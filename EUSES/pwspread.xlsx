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8900116-C650-41F9-8458-7CFFB105B4AE}" xr6:coauthVersionLast="45" xr6:coauthVersionMax="45" xr10:uidLastSave="{00000000-0000-0000-0000-000000000000}"/>
  <workbookProtection lockStructure="1"/>
  <bookViews>
    <workbookView xWindow="4180" yWindow="4180" windowWidth="28800" windowHeight="15460" tabRatio="856" activeTab="6"/>
  </bookViews>
  <sheets>
    <sheet name="dosag2" sheetId="1" r:id="rId1"/>
    <sheet name="idod2" sheetId="2" r:id="rId2"/>
    <sheet name="nh3fres2" sheetId="3" r:id="rId3"/>
    <sheet name="nh3fresh" sheetId="4" r:id="rId4"/>
    <sheet name="nh3salt" sheetId="5" r:id="rId5"/>
    <sheet name="phmix2" sheetId="6" r:id="rId6"/>
    <sheet name="rivplum5" sheetId="7" r:id="rId7"/>
    <sheet name="wqbp2" sheetId="8" r:id="rId8"/>
  </sheets>
  <definedNames>
    <definedName name="_Regression_Int" localSheetId="0" hidden="1">1</definedName>
    <definedName name="_Regression_Int" localSheetId="1" hidden="1">1</definedName>
    <definedName name="_Regression_Int" localSheetId="2" hidden="1">1</definedName>
    <definedName name="_Regression_Int" localSheetId="3" hidden="1">1</definedName>
    <definedName name="_Regression_Int" localSheetId="4" hidden="1">1</definedName>
    <definedName name="_Regression_Int" localSheetId="5" hidden="1">1</definedName>
    <definedName name="_Regression_Int" localSheetId="6" hidden="1">1</definedName>
    <definedName name="_Regression_Int" localSheetId="7" hidden="1">1</definedName>
    <definedName name="Print_Area_MI" localSheetId="0">dosag2!$A$1:$D$67</definedName>
    <definedName name="Print_Area_MI" localSheetId="1">idod2!$A$1:$B$19</definedName>
    <definedName name="Print_Area_MI" localSheetId="2">nh3fres2!$A$1:$B$40</definedName>
    <definedName name="Print_Area_MI" localSheetId="3">nh3fresh!$A$1:$B$40</definedName>
    <definedName name="Print_Area_MI" localSheetId="4">nh3salt!$A$1:$B$37</definedName>
    <definedName name="Print_Area_MI" localSheetId="5">phmix2!$A$1:$B$43</definedName>
    <definedName name="Print_Area_MI" localSheetId="6">rivplum5!$A$1:$B$73</definedName>
    <definedName name="Print_Area_MI" localSheetId="7">wqbp2!$A$1:$B$51</definedName>
  </definedNames>
  <calcPr calcId="0" iterate="1"/>
</workbook>
</file>

<file path=xl/calcChain.xml><?xml version="1.0" encoding="utf-8"?>
<calcChain xmlns="http://schemas.openxmlformats.org/spreadsheetml/2006/main">
  <c r="D29" i="1" l="1"/>
  <c r="D30" i="1"/>
  <c r="D31" i="1"/>
  <c r="D32" i="1"/>
  <c r="D38" i="1"/>
  <c r="D43" i="1"/>
  <c r="D44" i="1"/>
  <c r="D45" i="1"/>
  <c r="D46" i="1"/>
  <c r="D49" i="1"/>
  <c r="D50" i="1"/>
  <c r="D53" i="1"/>
  <c r="D54" i="1"/>
  <c r="D57" i="1"/>
  <c r="D58" i="1"/>
  <c r="D60" i="1"/>
  <c r="D62" i="1"/>
  <c r="D64" i="1"/>
  <c r="D66" i="1"/>
  <c r="B18" i="2"/>
  <c r="B22" i="3"/>
  <c r="B23" i="3"/>
  <c r="B24" i="3"/>
  <c r="B25" i="3"/>
  <c r="B26" i="3"/>
  <c r="B27" i="3"/>
  <c r="B29" i="3"/>
  <c r="B33" i="3"/>
  <c r="B34" i="3"/>
  <c r="B38" i="3"/>
  <c r="B39" i="3"/>
  <c r="B22" i="4"/>
  <c r="B23" i="4"/>
  <c r="B24" i="4"/>
  <c r="B25" i="4"/>
  <c r="B26" i="4"/>
  <c r="B27" i="4"/>
  <c r="B29" i="4"/>
  <c r="B33" i="4"/>
  <c r="B34" i="4"/>
  <c r="B38" i="4"/>
  <c r="B39" i="4"/>
  <c r="B19" i="5"/>
  <c r="B21" i="5"/>
  <c r="B23" i="5"/>
  <c r="B31" i="5"/>
  <c r="B32" i="5"/>
  <c r="B35" i="5"/>
  <c r="B36" i="5"/>
  <c r="B25" i="6"/>
  <c r="B26" i="6"/>
  <c r="B29" i="6"/>
  <c r="B30" i="6"/>
  <c r="B33" i="6"/>
  <c r="B34" i="6"/>
  <c r="B37" i="6"/>
  <c r="B38" i="6"/>
  <c r="B39" i="6"/>
  <c r="B40" i="6"/>
  <c r="B42" i="6"/>
  <c r="B31" i="7"/>
  <c r="B34" i="7"/>
  <c r="B38" i="7"/>
  <c r="B39" i="7"/>
  <c r="B40" i="7"/>
  <c r="B42" i="7"/>
  <c r="B45" i="7"/>
  <c r="B46" i="7"/>
  <c r="B47" i="7"/>
  <c r="B48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6" i="7"/>
  <c r="B68" i="7"/>
  <c r="B70" i="7"/>
  <c r="B72" i="7"/>
  <c r="B36" i="8"/>
  <c r="B37" i="8"/>
  <c r="B40" i="8"/>
  <c r="B41" i="8"/>
  <c r="B42" i="8"/>
  <c r="B43" i="8"/>
  <c r="B44" i="8"/>
  <c r="B47" i="8"/>
  <c r="B49" i="8"/>
  <c r="B50" i="8"/>
</calcChain>
</file>

<file path=xl/sharedStrings.xml><?xml version="1.0" encoding="utf-8"?>
<sst xmlns="http://schemas.openxmlformats.org/spreadsheetml/2006/main" count="268" uniqueCount="218">
  <si>
    <t>Streeter-Phelps analysis of critical dissolved oxygen sag.</t>
  </si>
  <si>
    <t>Based on Lotus File DOSAG2.WK1 Revised 19-Oct-93</t>
  </si>
  <si>
    <t>INPUT</t>
  </si>
  <si>
    <t>1. EFFLUENT CHARACTERISTICS</t>
  </si>
  <si>
    <t xml:space="preserve">     Discharge (cfs):</t>
  </si>
  <si>
    <t xml:space="preserve">     CBOD5 (mg/L):</t>
  </si>
  <si>
    <t xml:space="preserve">     NBOD (mg/L):</t>
  </si>
  <si>
    <t xml:space="preserve">     Dissolved Oxygen (mg/L):</t>
  </si>
  <si>
    <t xml:space="preserve">     Temperature (deg C):</t>
  </si>
  <si>
    <t xml:space="preserve">2. RECEIVING WATER CHARACTERISTICS </t>
  </si>
  <si>
    <t xml:space="preserve">     Upstream Discharge (cfs):</t>
  </si>
  <si>
    <t xml:space="preserve">     Upstream CBOD5 (mg/L):</t>
  </si>
  <si>
    <t xml:space="preserve">     Upstream NBOD (mg/L):</t>
  </si>
  <si>
    <t xml:space="preserve">     Upstream Dissolved Oxygen (mg/L):</t>
  </si>
  <si>
    <t xml:space="preserve">     Upstream Temperature (deg C):</t>
  </si>
  <si>
    <t xml:space="preserve">     Elevation (ft NGVD):</t>
  </si>
  <si>
    <t xml:space="preserve">     Downstream Average Channel Slope (ft/ft):</t>
  </si>
  <si>
    <t xml:space="preserve">     Downstream Average Channel Depth (ft):</t>
  </si>
  <si>
    <t xml:space="preserve">     Downstream Average Channel Velocity (fps):</t>
  </si>
  <si>
    <t>3. REAERATION RATE (Base e) AT 20 deg C (day^-1):</t>
  </si>
  <si>
    <t xml:space="preserve">          Reference</t>
  </si>
  <si>
    <t>Applic.</t>
  </si>
  <si>
    <t>Suggested</t>
  </si>
  <si>
    <t>Vel (fps)</t>
  </si>
  <si>
    <t>Dep (ft)</t>
  </si>
  <si>
    <t>Values</t>
  </si>
  <si>
    <t xml:space="preserve">          Churchill</t>
  </si>
  <si>
    <t>1.5 - 6</t>
  </si>
  <si>
    <t>2 - 50</t>
  </si>
  <si>
    <t xml:space="preserve">          O'Connor and Dobbins</t>
  </si>
  <si>
    <t>.1 - 1.5</t>
  </si>
  <si>
    <t xml:space="preserve">          Owens</t>
  </si>
  <si>
    <t>.1 - 6</t>
  </si>
  <si>
    <t>1 - 2</t>
  </si>
  <si>
    <t xml:space="preserve">          Tsivoglou-Wallace</t>
  </si>
  <si>
    <t>.1 - 2</t>
  </si>
  <si>
    <t>4. BOD DECAY RATE (Base e) AT 20 deg C (day^-1):</t>
  </si>
  <si>
    <t>Value</t>
  </si>
  <si>
    <t xml:space="preserve">          Wright and McDonnell, 1979</t>
  </si>
  <si>
    <t>OUTPUT</t>
  </si>
  <si>
    <t xml:space="preserve">1. INITIAL MIXED RIVER CONDITION </t>
  </si>
  <si>
    <t>2. TEMPERATURE ADJUSTED RATE CONSTANTS (Base e)</t>
  </si>
  <si>
    <t xml:space="preserve">     Reaeration (day^-1):</t>
  </si>
  <si>
    <t xml:space="preserve">     BOD Decay (day^-1):</t>
  </si>
  <si>
    <t xml:space="preserve">3. CALCULATED INITIAL ULTIMATE CBODU AND TOTAL BODU </t>
  </si>
  <si>
    <t xml:space="preserve">     Initial Mixed CBODU (mg/L):</t>
  </si>
  <si>
    <t xml:space="preserve">     Initial Mixed Total BODU (CBODU + NBOD, mg/L):</t>
  </si>
  <si>
    <t>4. INITIAL DISSOLVED OXYGEN DEFICIT</t>
  </si>
  <si>
    <t xml:space="preserve">     Saturation Dissolved Oxygen (mg/L):</t>
  </si>
  <si>
    <t xml:space="preserve">     Initial Deficit (mg/L):</t>
  </si>
  <si>
    <t>5. TRAVEL TIME TO CRITICAL DO CONCENTRATION (days):</t>
  </si>
  <si>
    <t>6. DISTANCE TO CRITICAL DO CONCENTRATION (miles):</t>
  </si>
  <si>
    <t>7. CRITICAL DO DEFICIT (mg/L):</t>
  </si>
  <si>
    <t>8. CRITICAL DO CONCENTRATION (mg/L):</t>
  </si>
  <si>
    <t>Dissolved oxygen concentration following initial dilution.</t>
  </si>
  <si>
    <t>References: EPA/600/6-85/002b and EPA/430/9-82-011</t>
  </si>
  <si>
    <t>Based on Lotus File IDOD2.WK1 Revised 19-Oct-93</t>
  </si>
  <si>
    <t>1.  Dilution Factor at Mixing Zone Boundary:</t>
  </si>
  <si>
    <t>2.  Ambient Dissolved Oxygen Concentration (mg/L):</t>
  </si>
  <si>
    <t>3.  Effluent Dissolved Oxygen Concentration (mg/L):</t>
  </si>
  <si>
    <t>4.  Effluent Immediate Dissolved Oxygen Demand (mg/L):</t>
  </si>
  <si>
    <t>Dissolved Oxygen at Mixing Zone Boundary (mg/L):</t>
  </si>
  <si>
    <t>Freshwater un-ionized ammonia criteria based on EPA Gold Book</t>
  </si>
  <si>
    <t>(EPA 440/5-86-001) as revised by Heber and Ballentine (1992).</t>
  </si>
  <si>
    <t>Based on Lotus File NH3FRES2.WK1 Revised 12-Dec-94</t>
  </si>
  <si>
    <t xml:space="preserve">INPUT </t>
  </si>
  <si>
    <t xml:space="preserve"> 1.  Temperature (deg C; 0&lt;T&lt;30):</t>
  </si>
  <si>
    <t xml:space="preserve"> 2.  pH (6.5&lt;pH&lt;9.0):</t>
  </si>
  <si>
    <t xml:space="preserve"> 3.  Total Ammonia (ug N/L):</t>
  </si>
  <si>
    <t xml:space="preserve"> 4.  Acute TCAP (Salmonids present- 20; absent- 25):</t>
  </si>
  <si>
    <t xml:space="preserve"> 5.  Chronic TCAP (Salmonids present- 15; absent- 20):</t>
  </si>
  <si>
    <t xml:space="preserve"> 1.  Intermediate Calculations:</t>
  </si>
  <si>
    <t xml:space="preserve">        Acute FT:</t>
  </si>
  <si>
    <t xml:space="preserve">        Chronic FT:</t>
  </si>
  <si>
    <t xml:space="preserve">        FPH:</t>
  </si>
  <si>
    <t xml:space="preserve">        RATIO:</t>
  </si>
  <si>
    <t xml:space="preserve">        pKa:</t>
  </si>
  <si>
    <t xml:space="preserve">        Fraction Of Total Ammonia Present As Un-ionized:</t>
  </si>
  <si>
    <t xml:space="preserve"> 2.  Sample Un-ionized Ammonia Concentration (ug/L as NH3-N):</t>
  </si>
  <si>
    <t xml:space="preserve"> 3.  Un-ionized Ammonia Criteria:</t>
  </si>
  <si>
    <t xml:space="preserve">        Acute (1-hour) Un-ionized Ammonia Criterion (ug/L as NH3-N):</t>
  </si>
  <si>
    <t xml:space="preserve">        Chronic (4-day) Un-ionized Ammonia Criterion (ug/L as NH3-N):</t>
  </si>
  <si>
    <t xml:space="preserve"> 4.  Total Ammonia Criteria:</t>
  </si>
  <si>
    <t xml:space="preserve">        Acute Total Ammonia Criterion (ug/L as NH3-N):</t>
  </si>
  <si>
    <t xml:space="preserve">        Chronic Total Ammonia Criterion (ug/L as NH3-N):</t>
  </si>
  <si>
    <t>(EPA 440/5-86-001).</t>
  </si>
  <si>
    <t>Based on Lotus File NH3FRESH.WK1 Revised 19-Oct-93</t>
  </si>
  <si>
    <t xml:space="preserve">OUTPUT </t>
  </si>
  <si>
    <t>Calculation of seawater fraction of un-ionized ammonia</t>
  </si>
  <si>
    <t xml:space="preserve">   from Hampson (1977).  Un-ionized ammonia criteria for </t>
  </si>
  <si>
    <t xml:space="preserve">   salt water are from EPA 440/5-88-004.</t>
  </si>
  <si>
    <t>Based on Lotus File NH3SALT.WK1 Revised 19-Oct-93</t>
  </si>
  <si>
    <t>1. Temperature (deg C):</t>
  </si>
  <si>
    <t xml:space="preserve"> </t>
  </si>
  <si>
    <t>2. pH:</t>
  </si>
  <si>
    <t>3. Salinity (g/Kg):</t>
  </si>
  <si>
    <t>1. Pressure (atm; EPA criteria assumes 1 atm):</t>
  </si>
  <si>
    <t>2. Molal Ionic Strength (not valid if &gt;0.85):</t>
  </si>
  <si>
    <t>3. pKa8 at 25 deg C (Whitfield model "B"):</t>
  </si>
  <si>
    <t>4. Percent of Total Ammonia Present as Unionized:</t>
  </si>
  <si>
    <t>5. Unionized ammonia criteria (mg un-ionized NH3 per liter)</t>
  </si>
  <si>
    <t xml:space="preserve">     from EPA 440/5-88-004</t>
  </si>
  <si>
    <t xml:space="preserve">      Acute:</t>
  </si>
  <si>
    <t xml:space="preserve">      Chronic:</t>
  </si>
  <si>
    <t>6. Total Ammonia Criteria (mg/L as NH3)</t>
  </si>
  <si>
    <t>7. Total Ammonia Criteria (mg/L as NH3-N)</t>
  </si>
  <si>
    <t>Calculation of pH of a mixture of two flows. Based on the</t>
  </si>
  <si>
    <t xml:space="preserve">procedure in EPA's DESCON program (EPA, 1988. Technical </t>
  </si>
  <si>
    <t>Guidance on Supplementary Stream Design Conditions for Steady</t>
  </si>
  <si>
    <t>State Modeling. USEPA Office of Water, Washington D.C.)</t>
  </si>
  <si>
    <t>Based on Lotus File PHMIX2.WK1 Revised 19-Oct-93</t>
  </si>
  <si>
    <t xml:space="preserve">1.  DILUTION FACTOR AT MIXING ZONE BOUNDARY </t>
  </si>
  <si>
    <t>1.  UPSTREAM/BACKGROUND CHARACTERISTICS</t>
  </si>
  <si>
    <t xml:space="preserve">      Temperature (deg C):</t>
  </si>
  <si>
    <t xml:space="preserve">      pH:</t>
  </si>
  <si>
    <t xml:space="preserve">      Alkalinity (mg CaCO3/L):</t>
  </si>
  <si>
    <t>2.  EFFLUENT CHARACTERISTICS</t>
  </si>
  <si>
    <t>1.  IONIZATION CONSTANTS</t>
  </si>
  <si>
    <t xml:space="preserve">      Upstream/Background pKa:</t>
  </si>
  <si>
    <t xml:space="preserve">      Effluent pKa:</t>
  </si>
  <si>
    <t>2.  IONIZATION FRACTIONS</t>
  </si>
  <si>
    <t xml:space="preserve">      Upstream/Background Ionization Fraction:</t>
  </si>
  <si>
    <t xml:space="preserve">      Effluent Ionization Fraction:</t>
  </si>
  <si>
    <t>3.  TOTAL INORGANIC CARBON</t>
  </si>
  <si>
    <t xml:space="preserve">      Upstream/Background Total Inorganic Carbon (mg CaCO3/L):</t>
  </si>
  <si>
    <t xml:space="preserve">      Effluent Total Inorganic Carbon (mg CaCO3/L):</t>
  </si>
  <si>
    <t>4.  CONDITIONS AT MIXING ZONE BOUNDARY</t>
  </si>
  <si>
    <t xml:space="preserve">      Total Inorganic Carbon (mg CaCO3/L):</t>
  </si>
  <si>
    <t xml:space="preserve">      pKa:</t>
  </si>
  <si>
    <t xml:space="preserve">      pH at Mixing Zone Boundary:</t>
  </si>
  <si>
    <t>Spread of a plume from a point source in a river with boundary effects from the shoreline</t>
  </si>
  <si>
    <r>
      <t xml:space="preserve">based on the method of Fischer </t>
    </r>
    <r>
      <rPr>
        <i/>
        <sz val="14"/>
        <rFont val="CG Times (WN)"/>
      </rPr>
      <t>et al.</t>
    </r>
    <r>
      <rPr>
        <sz val="14"/>
        <rFont val="CG Times (WN)"/>
        <family val="1"/>
      </rPr>
      <t xml:space="preserve"> (1979) with correction for the effective origin of effluent.</t>
    </r>
  </si>
  <si>
    <t>Revised 22-Feb-96</t>
  </si>
  <si>
    <t>1. Effluent Discharge Rate (cfs):</t>
  </si>
  <si>
    <t>2. Receiving Water Characteristics Downstream From Waste Input</t>
  </si>
  <si>
    <t xml:space="preserve">     Stream Depth (ft):</t>
  </si>
  <si>
    <t xml:space="preserve">     Stream Velocity (fps):</t>
  </si>
  <si>
    <t xml:space="preserve">     Channel Width (ft):</t>
  </si>
  <si>
    <t xml:space="preserve">     Stream Slope (ft/ft) or Manning roughness "n":</t>
  </si>
  <si>
    <t xml:space="preserve">     0 if slope or 1 if Manning "n" in previous cell:</t>
  </si>
  <si>
    <t>3. Discharge Distance From Nearest Shoreline (ft):</t>
  </si>
  <si>
    <t>4. Location of Point of Interest to Estimate Dilution</t>
  </si>
  <si>
    <t xml:space="preserve">     Distance Downstream to Point of Interest (ft):</t>
  </si>
  <si>
    <t xml:space="preserve">     Distance From Nearest Shoreline (ft):</t>
  </si>
  <si>
    <t>5. Transverse Mixing Coefficient Constant (usually 0.6):</t>
  </si>
  <si>
    <r>
      <t xml:space="preserve">6. Original Fischer Method (enter 0) or </t>
    </r>
    <r>
      <rPr>
        <i/>
        <sz val="12"/>
        <rFont val="Arial"/>
        <family val="2"/>
      </rPr>
      <t>Effective Origin</t>
    </r>
    <r>
      <rPr>
        <sz val="12"/>
        <rFont val="Arial"/>
        <family val="2"/>
      </rPr>
      <t xml:space="preserve"> Modification (enter 1) </t>
    </r>
  </si>
  <si>
    <t/>
  </si>
  <si>
    <t>1. Source Conservative Mass Input Rate</t>
  </si>
  <si>
    <t xml:space="preserve">     Concentration of Conservative Substance (%):</t>
  </si>
  <si>
    <t xml:space="preserve">     Source Conservative Mass Input Rate (cfs*%):</t>
  </si>
  <si>
    <t>2. Shear Velocity</t>
  </si>
  <si>
    <t xml:space="preserve">     Shear Velocity based on slope (ft/sec):</t>
  </si>
  <si>
    <t xml:space="preserve">     Shear Velocity based on Manning "n":</t>
  </si>
  <si>
    <t xml:space="preserve">       using Prasuhn equations 8-26 and 8-54 assuming</t>
  </si>
  <si>
    <t xml:space="preserve">       hydraulic radius equals depth for wide channel</t>
  </si>
  <si>
    <t xml:space="preserve">        Darcy-Weisbach friction factor "f":</t>
  </si>
  <si>
    <t xml:space="preserve">        Shear Velocity from Darcy-Weisbach "f" (ft/sec):</t>
  </si>
  <si>
    <t xml:space="preserve">     Selected Shear Velocity for next step (ft/sec):</t>
  </si>
  <si>
    <t>3. Transverse Mixing Coefficient (ft2/sec):</t>
  </si>
  <si>
    <r>
      <t xml:space="preserve">4. Plume Characteristics Accounting for Shoreline Effect (Fischer </t>
    </r>
    <r>
      <rPr>
        <i/>
        <sz val="12"/>
        <rFont val="Arial"/>
        <family val="2"/>
      </rPr>
      <t>et al.</t>
    </r>
    <r>
      <rPr>
        <sz val="12"/>
        <rFont val="Arial"/>
        <family val="2"/>
      </rPr>
      <t>, 1979)</t>
    </r>
  </si>
  <si>
    <t xml:space="preserve">     Co</t>
  </si>
  <si>
    <t xml:space="preserve">     x'</t>
  </si>
  <si>
    <t xml:space="preserve">     y'o</t>
  </si>
  <si>
    <t xml:space="preserve">     y' at point of interest</t>
  </si>
  <si>
    <t xml:space="preserve">     Solution using superposition equation (Fischer eqn 5.9) </t>
  </si>
  <si>
    <t xml:space="preserve">      Term for n= -2</t>
  </si>
  <si>
    <t xml:space="preserve">      Term for n= -1</t>
  </si>
  <si>
    <t xml:space="preserve">      Term for n= 0</t>
  </si>
  <si>
    <t xml:space="preserve">      Term for n= 1</t>
  </si>
  <si>
    <t xml:space="preserve">      Term for n= 2</t>
  </si>
  <si>
    <r>
      <t xml:space="preserve">     </t>
    </r>
    <r>
      <rPr>
        <sz val="12"/>
        <rFont val="Arial"/>
        <family val="2"/>
      </rPr>
      <t xml:space="preserve">Upstream Distance from Outfall to </t>
    </r>
    <r>
      <rPr>
        <i/>
        <sz val="12"/>
        <rFont val="Arial"/>
        <family val="2"/>
      </rPr>
      <t>Effective Origin</t>
    </r>
    <r>
      <rPr>
        <sz val="12"/>
        <rFont val="Arial"/>
        <family val="2"/>
      </rPr>
      <t xml:space="preserve"> of Effluent Source (ft)</t>
    </r>
  </si>
  <si>
    <t xml:space="preserve">     Effective Distance Downstream from Effluent to Point of Interest (ft)</t>
  </si>
  <si>
    <r>
      <t xml:space="preserve">     x' Adjusted for </t>
    </r>
    <r>
      <rPr>
        <i/>
        <sz val="12"/>
        <rFont val="Arial"/>
        <family val="2"/>
      </rPr>
      <t>Effective Origin</t>
    </r>
  </si>
  <si>
    <t xml:space="preserve">     C/Co (dimensionless)</t>
  </si>
  <si>
    <t xml:space="preserve">     Concentration at Point of Interest (Fischer Eqn 5.9)</t>
  </si>
  <si>
    <t xml:space="preserve">     Unbounded Plume Width at Point of Interest (ft)</t>
  </si>
  <si>
    <t xml:space="preserve">     Unbounded Plume half-width (ft)</t>
  </si>
  <si>
    <t xml:space="preserve">     Distance from near shore to discharge point (ft)</t>
  </si>
  <si>
    <t xml:space="preserve">     Distance from far shore to discharge point (ft)</t>
  </si>
  <si>
    <t xml:space="preserve">     Plume width bounded by shoreline (ft)</t>
  </si>
  <si>
    <t xml:space="preserve">     Approximate Downstream Distance to Complete Mix (ft):</t>
  </si>
  <si>
    <t xml:space="preserve">     Theoretical Dilution Factor at Complete Mix:</t>
  </si>
  <si>
    <t xml:space="preserve">     Calculated Flux-Average Dilution Factor Across Entire Plume Width:</t>
  </si>
  <si>
    <t xml:space="preserve">     Calculated Dilution Factor at Point of Interest:</t>
  </si>
  <si>
    <t>Water Quality-Based Permit Limits for acute and chronic criteria.</t>
  </si>
  <si>
    <t xml:space="preserve">(based on EPA/505/2-90-001 Box 5-2). </t>
  </si>
  <si>
    <t>Based on Lotus File WQBP2.WK1 Revised 19-Oct-93</t>
  </si>
  <si>
    <t>1. Water Quality Standards (Concentration)</t>
  </si>
  <si>
    <t xml:space="preserve">     Acute (one-hour) Criteria:</t>
  </si>
  <si>
    <t xml:space="preserve">     Chronic (n-day) Criteria:</t>
  </si>
  <si>
    <t xml:space="preserve">2. Upstream Receiving Water Concentration </t>
  </si>
  <si>
    <t xml:space="preserve">     Upstream Concentration for Acute Condition (7Q10):</t>
  </si>
  <si>
    <t xml:space="preserve">     Upstream Concentration for Chronic Condition (7Q10):</t>
  </si>
  <si>
    <t>3. Dilution Factors (1/{Effluent Volume Fraction})</t>
  </si>
  <si>
    <t xml:space="preserve">     Acute Receiving Water Dilution Factor at 7Q10:</t>
  </si>
  <si>
    <t xml:space="preserve">     Chronic Receiving Water Dilution Factor at 7Q10:</t>
  </si>
  <si>
    <t>4. Coefficient of Variation for Effluent Concentration</t>
  </si>
  <si>
    <t xml:space="preserve">   (use 0.6 if data are not available):</t>
  </si>
  <si>
    <t>5. Number of days (n1) for chronic average</t>
  </si>
  <si>
    <t xml:space="preserve">   (usually four or seven; four is recommended):</t>
  </si>
  <si>
    <t>6. Number of samples (n2) required per month for monitoring:</t>
  </si>
  <si>
    <t>1. Z Statistics</t>
  </si>
  <si>
    <t xml:space="preserve">     LTA Derivation (99%tile):</t>
  </si>
  <si>
    <t xml:space="preserve">     Daily Maximum Permit Limit (99%tile):</t>
  </si>
  <si>
    <t xml:space="preserve">     Monthly Average Permit Limit (95%tile):</t>
  </si>
  <si>
    <t>2. Calculated Waste Load Allocations (WLA's)</t>
  </si>
  <si>
    <t xml:space="preserve">     Acute (one-hour) WLA:</t>
  </si>
  <si>
    <t xml:space="preserve">     Chronic (n1-day) WLA:</t>
  </si>
  <si>
    <t>3. Derivation of LTAs using April 1990 TSD (Box 5-2 Step 2 &amp; 3)</t>
  </si>
  <si>
    <t xml:space="preserve">     Sigma^2:</t>
  </si>
  <si>
    <t xml:space="preserve">     Sigma^2-n1:</t>
  </si>
  <si>
    <t xml:space="preserve">     LTA for Acute (1-hour) WLA:</t>
  </si>
  <si>
    <t xml:space="preserve">     LTA for Chronic (n1-day) WLA:</t>
  </si>
  <si>
    <t xml:space="preserve">     Most Limiting LTA (minimum of acute and chronic):</t>
  </si>
  <si>
    <t>4. Derivation of Permit Limits From Limiting LTA (Box 5-2 Step 4)</t>
  </si>
  <si>
    <t xml:space="preserve">     Sigma^2-n2:</t>
  </si>
  <si>
    <t xml:space="preserve">     Daily Maximum Permit Limit:</t>
  </si>
  <si>
    <t xml:space="preserve">     Monthly Average Permit Limit: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</si>
</sst>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72" formatCode="General_)"/>
    <numFmt numFmtId="173" formatCode="0.0_)"/>
    <numFmt numFmtId="174" formatCode="0.00_)"/>
    <numFmt numFmtId="175" formatCode="0.000_)"/>
    <numFmt numFmtId="176" formatCode="0.0000_)"/>
    <numFmt numFmtId="177" formatCode="0.0000%"/>
    <numFmt numFmtId="178" formatCode="0.000%"/>
    <numFmt numFmtId="179" formatCode="0_)"/>
    <numFmt numFmtId="180" formatCode="0.00E+00_)"/>
    <numFmt numFmtId="181" formatCode="#,##0.000_);\(#,##0.000\)"/>
  </numFmts>
  <fonts count="9">
    <font>
      <sz val="12"/>
      <name val="Helv"/>
    </font>
    <font>
      <sz val="12"/>
      <name val="Arial"/>
      <family val="2"/>
    </font>
    <font>
      <sz val="12"/>
      <color indexed="12"/>
      <name val="Arial"/>
      <family val="2"/>
    </font>
    <font>
      <sz val="14"/>
      <name val="CG Times (WN)"/>
      <family val="1"/>
    </font>
    <font>
      <b/>
      <sz val="14"/>
      <name val="CG Times (WN)"/>
      <family val="1"/>
    </font>
    <font>
      <b/>
      <sz val="14"/>
      <name val="CG Times (WN)"/>
    </font>
    <font>
      <i/>
      <sz val="12"/>
      <name val="Arial"/>
      <family val="2"/>
    </font>
    <font>
      <i/>
      <sz val="14"/>
      <name val="CG Times (WN)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172" fontId="0" fillId="0" borderId="0"/>
  </cellStyleXfs>
  <cellXfs count="48">
    <xf numFmtId="172" fontId="0" fillId="0" borderId="0" xfId="0"/>
    <xf numFmtId="172" fontId="1" fillId="0" borderId="0" xfId="0" applyFont="1" applyAlignment="1" applyProtection="1">
      <alignment horizontal="left"/>
    </xf>
    <xf numFmtId="172" fontId="1" fillId="0" borderId="0" xfId="0" applyFont="1"/>
    <xf numFmtId="172" fontId="1" fillId="0" borderId="1" xfId="0" applyFont="1" applyBorder="1" applyAlignment="1" applyProtection="1">
      <alignment horizontal="fill"/>
    </xf>
    <xf numFmtId="173" fontId="2" fillId="0" borderId="0" xfId="0" applyNumberFormat="1" applyFont="1" applyProtection="1">
      <protection locked="0"/>
    </xf>
    <xf numFmtId="172" fontId="2" fillId="0" borderId="0" xfId="0" applyFont="1" applyProtection="1">
      <protection locked="0"/>
    </xf>
    <xf numFmtId="174" fontId="2" fillId="0" borderId="0" xfId="0" applyNumberFormat="1" applyFont="1" applyProtection="1">
      <protection locked="0"/>
    </xf>
    <xf numFmtId="176" fontId="1" fillId="0" borderId="0" xfId="0" applyNumberFormat="1" applyFont="1" applyProtection="1"/>
    <xf numFmtId="176" fontId="1" fillId="0" borderId="1" xfId="0" applyNumberFormat="1" applyFont="1" applyBorder="1" applyAlignment="1" applyProtection="1">
      <alignment horizontal="fill"/>
    </xf>
    <xf numFmtId="177" fontId="1" fillId="0" borderId="0" xfId="0" applyNumberFormat="1" applyFont="1" applyProtection="1"/>
    <xf numFmtId="173" fontId="1" fillId="0" borderId="0" xfId="0" applyNumberFormat="1" applyFont="1" applyProtection="1"/>
    <xf numFmtId="37" fontId="1" fillId="0" borderId="0" xfId="0" applyNumberFormat="1" applyFont="1" applyProtection="1"/>
    <xf numFmtId="172" fontId="1" fillId="0" borderId="0" xfId="0" quotePrefix="1" applyFont="1" applyAlignment="1" applyProtection="1">
      <alignment horizontal="left"/>
    </xf>
    <xf numFmtId="174" fontId="1" fillId="0" borderId="0" xfId="0" applyNumberFormat="1" applyFont="1" applyProtection="1"/>
    <xf numFmtId="172" fontId="2" fillId="0" borderId="0" xfId="0" applyNumberFormat="1" applyFont="1" applyProtection="1">
      <protection locked="0"/>
    </xf>
    <xf numFmtId="172" fontId="1" fillId="0" borderId="0" xfId="0" applyFont="1" applyAlignment="1" applyProtection="1">
      <alignment horizontal="right"/>
    </xf>
    <xf numFmtId="175" fontId="1" fillId="0" borderId="0" xfId="0" applyNumberFormat="1" applyFont="1" applyProtection="1"/>
    <xf numFmtId="179" fontId="1" fillId="0" borderId="0" xfId="0" applyNumberFormat="1" applyFont="1" applyProtection="1"/>
    <xf numFmtId="178" fontId="1" fillId="0" borderId="0" xfId="0" applyNumberFormat="1" applyFont="1" applyProtection="1"/>
    <xf numFmtId="172" fontId="1" fillId="0" borderId="0" xfId="0" applyFont="1" applyProtection="1"/>
    <xf numFmtId="175" fontId="2" fillId="0" borderId="0" xfId="0" applyNumberFormat="1" applyFont="1" applyProtection="1">
      <protection locked="0"/>
    </xf>
    <xf numFmtId="172" fontId="1" fillId="0" borderId="0" xfId="0" applyFont="1" applyAlignment="1">
      <alignment horizontal="right"/>
    </xf>
    <xf numFmtId="172" fontId="1" fillId="0" borderId="1" xfId="0" applyFont="1" applyBorder="1" applyAlignment="1" applyProtection="1">
      <alignment horizontal="right"/>
    </xf>
    <xf numFmtId="174" fontId="2" fillId="0" borderId="0" xfId="0" applyNumberFormat="1" applyFont="1" applyAlignment="1" applyProtection="1">
      <alignment horizontal="right"/>
      <protection locked="0"/>
    </xf>
    <xf numFmtId="172" fontId="2" fillId="0" borderId="0" xfId="0" applyFont="1" applyAlignment="1" applyProtection="1">
      <alignment horizontal="right"/>
      <protection locked="0"/>
    </xf>
    <xf numFmtId="174" fontId="1" fillId="0" borderId="0" xfId="0" applyNumberFormat="1" applyFont="1" applyAlignment="1" applyProtection="1">
      <alignment horizontal="right"/>
    </xf>
    <xf numFmtId="39" fontId="1" fillId="0" borderId="0" xfId="0" applyNumberFormat="1" applyFont="1" applyAlignment="1" applyProtection="1">
      <alignment horizontal="right"/>
    </xf>
    <xf numFmtId="175" fontId="1" fillId="0" borderId="0" xfId="0" applyNumberFormat="1" applyFont="1" applyAlignment="1" applyProtection="1">
      <alignment horizontal="right"/>
    </xf>
    <xf numFmtId="180" fontId="1" fillId="0" borderId="0" xfId="0" applyNumberFormat="1" applyFont="1" applyAlignment="1" applyProtection="1">
      <alignment horizontal="right"/>
    </xf>
    <xf numFmtId="37" fontId="1" fillId="0" borderId="0" xfId="0" applyNumberFormat="1" applyFont="1" applyAlignment="1" applyProtection="1">
      <alignment horizontal="right"/>
    </xf>
    <xf numFmtId="181" fontId="1" fillId="0" borderId="0" xfId="0" applyNumberFormat="1" applyFont="1" applyAlignment="1" applyProtection="1">
      <alignment horizontal="right"/>
    </xf>
    <xf numFmtId="172" fontId="3" fillId="0" borderId="0" xfId="0" applyFont="1" applyFill="1" applyAlignment="1" applyProtection="1">
      <alignment horizontal="centerContinuous"/>
    </xf>
    <xf numFmtId="172" fontId="3" fillId="0" borderId="0" xfId="0" applyFont="1" applyFill="1" applyAlignment="1">
      <alignment horizontal="centerContinuous"/>
    </xf>
    <xf numFmtId="172" fontId="3" fillId="0" borderId="0" xfId="0" quotePrefix="1" applyFont="1" applyFill="1" applyAlignment="1" applyProtection="1">
      <alignment horizontal="centerContinuous"/>
    </xf>
    <xf numFmtId="172" fontId="3" fillId="0" borderId="1" xfId="0" applyFont="1" applyFill="1" applyBorder="1" applyAlignment="1" applyProtection="1">
      <alignment horizontal="centerContinuous"/>
    </xf>
    <xf numFmtId="172" fontId="3" fillId="0" borderId="0" xfId="0" applyFont="1" applyAlignment="1" applyProtection="1">
      <alignment horizontal="centerContinuous"/>
    </xf>
    <xf numFmtId="172" fontId="3" fillId="0" borderId="0" xfId="0" applyFont="1" applyAlignment="1">
      <alignment horizontal="centerContinuous"/>
    </xf>
    <xf numFmtId="172" fontId="3" fillId="0" borderId="0" xfId="0" quotePrefix="1" applyFont="1" applyAlignment="1" applyProtection="1">
      <alignment horizontal="centerContinuous"/>
    </xf>
    <xf numFmtId="172" fontId="3" fillId="0" borderId="1" xfId="0" applyFont="1" applyBorder="1" applyAlignment="1" applyProtection="1">
      <alignment horizontal="centerContinuous"/>
    </xf>
    <xf numFmtId="172" fontId="4" fillId="2" borderId="0" xfId="0" applyFont="1" applyFill="1" applyAlignment="1" applyProtection="1">
      <alignment horizontal="centerContinuous"/>
    </xf>
    <xf numFmtId="172" fontId="1" fillId="2" borderId="0" xfId="0" applyFont="1" applyFill="1" applyAlignment="1">
      <alignment horizontal="centerContinuous"/>
    </xf>
    <xf numFmtId="172" fontId="5" fillId="2" borderId="0" xfId="0" applyFont="1" applyFill="1" applyAlignment="1" applyProtection="1">
      <alignment horizontal="centerContinuous"/>
    </xf>
    <xf numFmtId="172" fontId="3" fillId="2" borderId="0" xfId="0" applyFont="1" applyFill="1" applyAlignment="1">
      <alignment horizontal="centerContinuous"/>
    </xf>
    <xf numFmtId="176" fontId="3" fillId="2" borderId="0" xfId="0" applyNumberFormat="1" applyFont="1" applyFill="1" applyAlignment="1" applyProtection="1">
      <alignment horizontal="centerContinuous"/>
    </xf>
    <xf numFmtId="173" fontId="2" fillId="0" borderId="0" xfId="0" applyNumberFormat="1" applyFont="1" applyAlignment="1" applyProtection="1">
      <alignment horizontal="right"/>
      <protection locked="0"/>
    </xf>
    <xf numFmtId="172" fontId="1" fillId="0" borderId="0" xfId="0" applyFont="1" applyAlignment="1" applyProtection="1">
      <alignment horizontal="center"/>
    </xf>
    <xf numFmtId="172" fontId="6" fillId="0" borderId="0" xfId="0" quotePrefix="1" applyFont="1" applyAlignment="1" applyProtection="1">
      <alignment horizontal="left"/>
    </xf>
    <xf numFmtId="172" fontId="2" fillId="0" borderId="0" xfId="0" applyNumberFormat="1" applyFont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>
    <pageSetUpPr fitToPage="1"/>
  </sheetPr>
  <dimension ref="A1:D67"/>
  <sheetViews>
    <sheetView showGridLines="0" zoomScale="75" workbookViewId="0">
      <selection activeCell="D8" sqref="D8"/>
    </sheetView>
  </sheetViews>
  <sheetFormatPr defaultColWidth="9.765625" defaultRowHeight="15.5"/>
  <cols>
    <col min="1" max="1" width="44.69140625" style="2" customWidth="1"/>
    <col min="2" max="2" width="10.765625" style="2" customWidth="1"/>
    <col min="3" max="3" width="18.765625" style="2" customWidth="1"/>
    <col min="4" max="4" width="12.765625" style="2" customWidth="1"/>
    <col min="5" max="16384" width="9.765625" style="2"/>
  </cols>
  <sheetData>
    <row r="1" spans="1:4" ht="18">
      <c r="A1" s="31" t="s">
        <v>0</v>
      </c>
      <c r="B1" s="32"/>
      <c r="C1" s="32"/>
      <c r="D1" s="32"/>
    </row>
    <row r="2" spans="1:4" ht="18">
      <c r="A2" s="32"/>
      <c r="B2" s="32"/>
      <c r="C2" s="32"/>
      <c r="D2" s="32"/>
    </row>
    <row r="3" spans="1:4" ht="18">
      <c r="A3" s="33" t="s">
        <v>1</v>
      </c>
      <c r="B3" s="32"/>
      <c r="C3" s="32"/>
      <c r="D3" s="32"/>
    </row>
    <row r="4" spans="1:4" ht="18">
      <c r="A4" s="34"/>
      <c r="B4" s="34"/>
      <c r="C4" s="34"/>
      <c r="D4" s="34"/>
    </row>
    <row r="5" spans="1:4" ht="17.5">
      <c r="A5" s="41" t="s">
        <v>2</v>
      </c>
      <c r="B5" s="40"/>
      <c r="C5" s="40"/>
      <c r="D5" s="40"/>
    </row>
    <row r="7" spans="1:4">
      <c r="A7" s="12" t="s">
        <v>3</v>
      </c>
    </row>
    <row r="8" spans="1:4">
      <c r="A8" s="1" t="s">
        <v>4</v>
      </c>
      <c r="D8" s="14">
        <v>1.86</v>
      </c>
    </row>
    <row r="9" spans="1:4">
      <c r="A9" s="1" t="s">
        <v>5</v>
      </c>
      <c r="D9" s="14">
        <v>40</v>
      </c>
    </row>
    <row r="10" spans="1:4">
      <c r="A10" s="1" t="s">
        <v>6</v>
      </c>
      <c r="D10" s="14">
        <v>2.6</v>
      </c>
    </row>
    <row r="11" spans="1:4">
      <c r="A11" s="1" t="s">
        <v>7</v>
      </c>
      <c r="D11" s="14">
        <v>2</v>
      </c>
    </row>
    <row r="12" spans="1:4">
      <c r="A12" s="1" t="s">
        <v>8</v>
      </c>
      <c r="D12" s="14">
        <v>20.7</v>
      </c>
    </row>
    <row r="13" spans="1:4">
      <c r="D13" s="5"/>
    </row>
    <row r="14" spans="1:4">
      <c r="A14" s="1" t="s">
        <v>9</v>
      </c>
      <c r="D14" s="5"/>
    </row>
    <row r="15" spans="1:4">
      <c r="A15" s="1" t="s">
        <v>10</v>
      </c>
      <c r="D15" s="14">
        <v>16</v>
      </c>
    </row>
    <row r="16" spans="1:4">
      <c r="A16" s="1" t="s">
        <v>11</v>
      </c>
      <c r="D16" s="4">
        <v>1.5</v>
      </c>
    </row>
    <row r="17" spans="1:4">
      <c r="A17" s="1" t="s">
        <v>12</v>
      </c>
      <c r="D17" s="14">
        <v>0.2</v>
      </c>
    </row>
    <row r="18" spans="1:4">
      <c r="A18" s="1" t="s">
        <v>13</v>
      </c>
      <c r="D18" s="14">
        <v>8.32</v>
      </c>
    </row>
    <row r="19" spans="1:4">
      <c r="A19" s="1" t="s">
        <v>14</v>
      </c>
      <c r="D19" s="14">
        <v>20.7</v>
      </c>
    </row>
    <row r="20" spans="1:4">
      <c r="A20" s="1" t="s">
        <v>15</v>
      </c>
      <c r="D20" s="14">
        <v>1540</v>
      </c>
    </row>
    <row r="21" spans="1:4">
      <c r="A21" s="1" t="s">
        <v>16</v>
      </c>
      <c r="D21" s="14">
        <v>8.8000000000000003E-4</v>
      </c>
    </row>
    <row r="22" spans="1:4">
      <c r="A22" s="1" t="s">
        <v>17</v>
      </c>
      <c r="D22" s="14">
        <v>0.46</v>
      </c>
    </row>
    <row r="23" spans="1:4">
      <c r="A23" s="1" t="s">
        <v>18</v>
      </c>
      <c r="D23" s="14">
        <v>0.98</v>
      </c>
    </row>
    <row r="24" spans="1:4">
      <c r="D24" s="5"/>
    </row>
    <row r="25" spans="1:4">
      <c r="A25" s="1" t="s">
        <v>19</v>
      </c>
      <c r="D25" s="6">
        <v>3.57</v>
      </c>
    </row>
    <row r="27" spans="1:4">
      <c r="A27" s="1" t="s">
        <v>20</v>
      </c>
      <c r="B27" s="45" t="s">
        <v>21</v>
      </c>
      <c r="C27" s="45" t="s">
        <v>21</v>
      </c>
      <c r="D27" s="15" t="s">
        <v>22</v>
      </c>
    </row>
    <row r="28" spans="1:4">
      <c r="B28" s="45" t="s">
        <v>23</v>
      </c>
      <c r="C28" s="45" t="s">
        <v>24</v>
      </c>
      <c r="D28" s="15" t="s">
        <v>25</v>
      </c>
    </row>
    <row r="29" spans="1:4">
      <c r="A29" s="1" t="s">
        <v>26</v>
      </c>
      <c r="B29" s="45" t="s">
        <v>27</v>
      </c>
      <c r="C29" s="45" t="s">
        <v>28</v>
      </c>
      <c r="D29" s="13">
        <f>11.6*D23^0.969*D22^-1.673</f>
        <v>41.702510863810858</v>
      </c>
    </row>
    <row r="30" spans="1:4">
      <c r="A30" s="1" t="s">
        <v>29</v>
      </c>
      <c r="B30" s="45" t="s">
        <v>30</v>
      </c>
      <c r="C30" s="45" t="s">
        <v>28</v>
      </c>
      <c r="D30" s="13">
        <f>(SQRT(0.0000000225*D23)/D22^1.5)*86400</f>
        <v>41.122668789690913</v>
      </c>
    </row>
    <row r="31" spans="1:4">
      <c r="A31" s="1" t="s">
        <v>31</v>
      </c>
      <c r="B31" s="45" t="s">
        <v>32</v>
      </c>
      <c r="C31" s="45" t="s">
        <v>33</v>
      </c>
      <c r="D31" s="13">
        <f>21.6*D23^0.67/D22^1.85</f>
        <v>89.634094032594902</v>
      </c>
    </row>
    <row r="32" spans="1:4">
      <c r="A32" s="1" t="s">
        <v>34</v>
      </c>
      <c r="B32" s="45" t="s">
        <v>32</v>
      </c>
      <c r="C32" s="45" t="s">
        <v>35</v>
      </c>
      <c r="D32" s="13">
        <f>(IF(D21=0,NA(),IF(D15+D8&lt;10,7776*D23*D21,IF((D15+D8)&lt;3000,4665.6*D23*D21,2592*D23*D21))))/(1.024^5)</f>
        <v>3.5736866266233851</v>
      </c>
    </row>
    <row r="34" spans="1:4">
      <c r="A34" s="1" t="s">
        <v>36</v>
      </c>
      <c r="D34" s="6">
        <v>2.5099999999999998</v>
      </c>
    </row>
    <row r="36" spans="1:4">
      <c r="A36" s="1" t="s">
        <v>20</v>
      </c>
      <c r="D36" s="15" t="s">
        <v>22</v>
      </c>
    </row>
    <row r="37" spans="1:4">
      <c r="D37" s="15" t="s">
        <v>37</v>
      </c>
    </row>
    <row r="38" spans="1:4">
      <c r="A38" s="1" t="s">
        <v>38</v>
      </c>
      <c r="D38" s="13">
        <f>IF(D15+D8&lt;10,3.33,IF(D15+D8&lt;800,10.3/((D15+D8)^0.49),0.39))</f>
        <v>2.5085069694347495</v>
      </c>
    </row>
    <row r="39" spans="1:4">
      <c r="A39" s="3"/>
      <c r="B39" s="3"/>
      <c r="C39" s="3"/>
      <c r="D39" s="3"/>
    </row>
    <row r="40" spans="1:4" ht="17.5">
      <c r="A40" s="39" t="s">
        <v>39</v>
      </c>
      <c r="B40" s="40"/>
      <c r="C40" s="40"/>
      <c r="D40" s="40"/>
    </row>
    <row r="42" spans="1:4">
      <c r="A42" s="1" t="s">
        <v>40</v>
      </c>
    </row>
    <row r="43" spans="1:4">
      <c r="A43" s="1" t="s">
        <v>5</v>
      </c>
      <c r="D43" s="10">
        <f t="shared" ref="D43:D46" si="0">(D$15*D16+D$8*D9)/(D$15+D$8)</f>
        <v>5.5095184770436738</v>
      </c>
    </row>
    <row r="44" spans="1:4">
      <c r="A44" s="1" t="s">
        <v>6</v>
      </c>
      <c r="D44" s="10">
        <f t="shared" si="0"/>
        <v>0.44994400895856673</v>
      </c>
    </row>
    <row r="45" spans="1:4">
      <c r="A45" s="1" t="s">
        <v>7</v>
      </c>
      <c r="D45" s="10">
        <f t="shared" si="0"/>
        <v>7.6618141097424415</v>
      </c>
    </row>
    <row r="46" spans="1:4">
      <c r="A46" s="1" t="s">
        <v>8</v>
      </c>
      <c r="D46" s="10">
        <f t="shared" si="0"/>
        <v>20.7</v>
      </c>
    </row>
    <row r="48" spans="1:4">
      <c r="A48" s="1" t="s">
        <v>41</v>
      </c>
    </row>
    <row r="49" spans="1:4">
      <c r="A49" s="1" t="s">
        <v>42</v>
      </c>
      <c r="D49" s="13">
        <f>D25*1.024^(D46-20)</f>
        <v>3.6297623013960769</v>
      </c>
    </row>
    <row r="50" spans="1:4">
      <c r="A50" s="1" t="s">
        <v>43</v>
      </c>
      <c r="D50" s="13">
        <f>D34*1.047^(D46-20)</f>
        <v>2.5920083643341054</v>
      </c>
    </row>
    <row r="52" spans="1:4">
      <c r="A52" s="1" t="s">
        <v>44</v>
      </c>
    </row>
    <row r="53" spans="1:4">
      <c r="A53" s="1" t="s">
        <v>45</v>
      </c>
      <c r="D53" s="10">
        <f>D43/0.68</f>
        <v>8.10223305447599</v>
      </c>
    </row>
    <row r="54" spans="1:4">
      <c r="A54" s="1" t="s">
        <v>46</v>
      </c>
      <c r="D54" s="10">
        <f>D53+D44</f>
        <v>8.5521770634345575</v>
      </c>
    </row>
    <row r="56" spans="1:4">
      <c r="A56" s="1" t="s">
        <v>47</v>
      </c>
    </row>
    <row r="57" spans="1:4">
      <c r="A57" s="1" t="s">
        <v>48</v>
      </c>
      <c r="D57" s="16">
        <f>EXP(-139.34411+(157570.1/(D46+273.15))-(66423080/(D46+273.15)^2)+(12438000000/(D46+273.15)^3)-(862194900000/(D46+273.15)^4))*(1-0.027*D20/760)</f>
        <v>8.4769544366566194</v>
      </c>
    </row>
    <row r="58" spans="1:4">
      <c r="A58" s="1" t="s">
        <v>49</v>
      </c>
      <c r="D58" s="13">
        <f>D57-D45</f>
        <v>0.81514032691417793</v>
      </c>
    </row>
    <row r="60" spans="1:4">
      <c r="A60" s="1" t="s">
        <v>50</v>
      </c>
      <c r="D60" s="13">
        <f>IF((D49/D50)*(1-(D58*(D49-D50)/(D50*D54)))&lt;0,0,(1/(D49-D50))*LN((D49/D50)*(1-(D58*(D49-D50)/(D50*D54)))))</f>
        <v>0.28699145334343246</v>
      </c>
    </row>
    <row r="61" spans="1:4">
      <c r="D61" s="13"/>
    </row>
    <row r="62" spans="1:4">
      <c r="A62" s="1" t="s">
        <v>51</v>
      </c>
      <c r="D62" s="13">
        <f>D60*D23*60*60*24/5280</f>
        <v>4.6022993063437712</v>
      </c>
    </row>
    <row r="64" spans="1:4">
      <c r="A64" s="1" t="s">
        <v>52</v>
      </c>
      <c r="D64" s="13">
        <f>IF(D60=0,+D58,EXP(LN(D50*D54/D49)-D50*D60))</f>
        <v>2.902485594151373</v>
      </c>
    </row>
    <row r="65" spans="1:4">
      <c r="D65" s="13"/>
    </row>
    <row r="66" spans="1:4">
      <c r="A66" s="1" t="s">
        <v>53</v>
      </c>
      <c r="D66" s="13">
        <f>D57-D64</f>
        <v>5.5744688425052464</v>
      </c>
    </row>
    <row r="67" spans="1:4">
      <c r="A67" s="3"/>
      <c r="B67" s="3"/>
      <c r="C67" s="3"/>
      <c r="D67" s="3"/>
    </row>
  </sheetData>
  <sheetProtection sheet="1" objects="1" scenarios="1"/>
  <printOptions horizontalCentered="1" verticalCentered="1" gridLinesSet="0"/>
  <pageMargins left="0.5" right="0.5" top="0.5" bottom="0.6" header="0.5" footer="0.5"/>
  <pageSetup orientation="portrait" horizontalDpi="4294967292" verticalDpi="0" r:id="rId1"/>
  <headerFooter alignWithMargins="0">
    <oddFooter>&amp;C&amp;"Arial,Regular"&amp;10&amp;F\&amp;A, Printed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>
    <pageSetUpPr fitToPage="1"/>
  </sheetPr>
  <dimension ref="A1:B19"/>
  <sheetViews>
    <sheetView showGridLines="0" zoomScale="75" workbookViewId="0">
      <selection activeCell="B8" sqref="B8"/>
    </sheetView>
  </sheetViews>
  <sheetFormatPr defaultColWidth="9.765625" defaultRowHeight="15.5"/>
  <cols>
    <col min="1" max="1" width="72.765625" style="2" customWidth="1"/>
    <col min="2" max="2" width="12.765625" style="2" customWidth="1"/>
    <col min="3" max="16384" width="9.765625" style="2"/>
  </cols>
  <sheetData>
    <row r="1" spans="1:2" ht="18">
      <c r="A1" s="35" t="s">
        <v>54</v>
      </c>
      <c r="B1" s="36"/>
    </row>
    <row r="2" spans="1:2" ht="18">
      <c r="A2" s="35" t="s">
        <v>55</v>
      </c>
      <c r="B2" s="36"/>
    </row>
    <row r="3" spans="1:2" ht="18">
      <c r="A3" s="36"/>
      <c r="B3" s="36"/>
    </row>
    <row r="4" spans="1:2" ht="18">
      <c r="A4" s="37" t="s">
        <v>56</v>
      </c>
      <c r="B4" s="36"/>
    </row>
    <row r="5" spans="1:2" ht="18">
      <c r="A5" s="38"/>
      <c r="B5" s="38"/>
    </row>
    <row r="6" spans="1:2" ht="18">
      <c r="A6" s="39" t="s">
        <v>2</v>
      </c>
      <c r="B6" s="42"/>
    </row>
    <row r="8" spans="1:2">
      <c r="A8" s="1" t="s">
        <v>57</v>
      </c>
      <c r="B8" s="5">
        <v>10</v>
      </c>
    </row>
    <row r="9" spans="1:2">
      <c r="B9" s="5"/>
    </row>
    <row r="10" spans="1:2">
      <c r="A10" s="1" t="s">
        <v>58</v>
      </c>
      <c r="B10" s="5">
        <v>6.5</v>
      </c>
    </row>
    <row r="11" spans="1:2">
      <c r="B11" s="5"/>
    </row>
    <row r="12" spans="1:2">
      <c r="A12" s="1" t="s">
        <v>59</v>
      </c>
      <c r="B12" s="5">
        <v>4</v>
      </c>
    </row>
    <row r="13" spans="1:2">
      <c r="B13" s="5"/>
    </row>
    <row r="14" spans="1:2">
      <c r="A14" s="1" t="s">
        <v>60</v>
      </c>
      <c r="B14" s="5">
        <v>0</v>
      </c>
    </row>
    <row r="15" spans="1:2">
      <c r="A15" s="3"/>
      <c r="B15" s="3"/>
    </row>
    <row r="16" spans="1:2" ht="18">
      <c r="A16" s="39" t="s">
        <v>39</v>
      </c>
      <c r="B16" s="42"/>
    </row>
    <row r="18" spans="1:2">
      <c r="A18" s="1" t="s">
        <v>61</v>
      </c>
      <c r="B18" s="13">
        <f>B10+((B12-B14-B10)/B8)</f>
        <v>6.25</v>
      </c>
    </row>
    <row r="19" spans="1:2">
      <c r="A19" s="3"/>
      <c r="B19" s="3"/>
    </row>
  </sheetData>
  <sheetProtection sheet="1" objects="1" scenarios="1"/>
  <printOptions horizontalCentered="1" verticalCentered="1" gridLinesSet="0"/>
  <pageMargins left="0.5" right="0.5" top="0.5" bottom="0.6" header="0.5" footer="0.5"/>
  <pageSetup orientation="portrait" horizontalDpi="4294967292" verticalDpi="0" r:id="rId1"/>
  <headerFooter alignWithMargins="0">
    <oddFooter>&amp;C&amp;"Arial,Regular"&amp;10&amp;F\&amp;A, Printed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>
    <pageSetUpPr fitToPage="1"/>
  </sheetPr>
  <dimension ref="A1:B40"/>
  <sheetViews>
    <sheetView showGridLines="0" zoomScale="75" workbookViewId="0">
      <selection activeCell="B8" sqref="B8"/>
    </sheetView>
  </sheetViews>
  <sheetFormatPr defaultColWidth="9.765625" defaultRowHeight="15.5"/>
  <cols>
    <col min="1" max="1" width="72.69140625" style="2" customWidth="1"/>
    <col min="2" max="2" width="12.765625" style="2" customWidth="1"/>
    <col min="3" max="16384" width="9.765625" style="2"/>
  </cols>
  <sheetData>
    <row r="1" spans="1:2" ht="18">
      <c r="A1" s="35" t="s">
        <v>62</v>
      </c>
      <c r="B1" s="36"/>
    </row>
    <row r="2" spans="1:2" ht="18">
      <c r="A2" s="35" t="s">
        <v>63</v>
      </c>
      <c r="B2" s="36"/>
    </row>
    <row r="3" spans="1:2" ht="18">
      <c r="A3" s="36"/>
      <c r="B3" s="36"/>
    </row>
    <row r="4" spans="1:2" ht="18">
      <c r="A4" s="37" t="s">
        <v>64</v>
      </c>
      <c r="B4" s="36"/>
    </row>
    <row r="5" spans="1:2" ht="18">
      <c r="A5" s="38"/>
      <c r="B5" s="38"/>
    </row>
    <row r="6" spans="1:2" ht="18">
      <c r="A6" s="39" t="s">
        <v>65</v>
      </c>
      <c r="B6" s="42"/>
    </row>
    <row r="8" spans="1:2">
      <c r="A8" s="1" t="s">
        <v>66</v>
      </c>
      <c r="B8" s="44">
        <v>20</v>
      </c>
    </row>
    <row r="9" spans="1:2">
      <c r="B9" s="5"/>
    </row>
    <row r="10" spans="1:2">
      <c r="A10" s="1" t="s">
        <v>67</v>
      </c>
      <c r="B10" s="6">
        <v>7.25</v>
      </c>
    </row>
    <row r="11" spans="1:2">
      <c r="B11" s="5"/>
    </row>
    <row r="12" spans="1:2">
      <c r="A12" s="1" t="s">
        <v>68</v>
      </c>
      <c r="B12" s="4">
        <v>200</v>
      </c>
    </row>
    <row r="13" spans="1:2">
      <c r="B13" s="5"/>
    </row>
    <row r="14" spans="1:2">
      <c r="A14" s="1" t="s">
        <v>69</v>
      </c>
      <c r="B14" s="5">
        <v>20</v>
      </c>
    </row>
    <row r="15" spans="1:2">
      <c r="B15" s="5"/>
    </row>
    <row r="16" spans="1:2">
      <c r="A16" s="1" t="s">
        <v>70</v>
      </c>
      <c r="B16" s="5">
        <v>15</v>
      </c>
    </row>
    <row r="17" spans="1:2">
      <c r="A17" s="3"/>
      <c r="B17" s="8"/>
    </row>
    <row r="18" spans="1:2" ht="18">
      <c r="A18" s="39" t="s">
        <v>39</v>
      </c>
      <c r="B18" s="43"/>
    </row>
    <row r="20" spans="1:2">
      <c r="A20" s="1" t="s">
        <v>71</v>
      </c>
    </row>
    <row r="22" spans="1:2">
      <c r="A22" s="1" t="s">
        <v>72</v>
      </c>
      <c r="B22" s="7">
        <f>IF(AND(B8&gt;=B14,B8&lt;=30),10^(0.03*(20-B14)),IF(AND(B8&gt;=0,B8&lt;B14),10^(0.03*(20-B8)),#VALUE!))</f>
        <v>1</v>
      </c>
    </row>
    <row r="23" spans="1:2">
      <c r="A23" s="1" t="s">
        <v>73</v>
      </c>
      <c r="B23" s="7">
        <f>IF(AND(B8&gt;=B16,B8&lt;=30),10^(0.03*(20-B16)),IF(AND(B8&gt;=0,B8&lt;B16),10^(0.03*(20-B8)),#VALUE!))</f>
        <v>1.4125375446227544</v>
      </c>
    </row>
    <row r="24" spans="1:2">
      <c r="A24" s="1" t="s">
        <v>74</v>
      </c>
      <c r="B24" s="7">
        <f>IF(AND(B10&gt;8,B10&lt;=9),1,IF(AND(B10&gt;=6.5,B10&lt;=8),(1+10^(7.4-B10))/1.25,#VALUE!))</f>
        <v>1.9300300356982043</v>
      </c>
    </row>
    <row r="25" spans="1:2">
      <c r="A25" s="1" t="s">
        <v>75</v>
      </c>
      <c r="B25" s="7">
        <f>IF(AND(B10&gt;=7.7,B10&lt;=9),13.5,IF(AND(B10&gt;=6.5,B10&lt;7.7),20.25*(10^(7.7-B10)/(1+10^(7.4-B10))),#VALUE!))</f>
        <v>23.656524842613184</v>
      </c>
    </row>
    <row r="26" spans="1:2">
      <c r="A26" s="1" t="s">
        <v>76</v>
      </c>
      <c r="B26" s="7">
        <f>0.09018+2729.92/(273.2+B8)</f>
        <v>9.4009576261937244</v>
      </c>
    </row>
    <row r="27" spans="1:2">
      <c r="A27" s="1" t="s">
        <v>77</v>
      </c>
      <c r="B27" s="9">
        <f>1/((10^(B26-B10))+1)</f>
        <v>7.0143165421124249E-3</v>
      </c>
    </row>
    <row r="29" spans="1:2">
      <c r="A29" s="1" t="s">
        <v>78</v>
      </c>
      <c r="B29" s="10">
        <f>B27*B12</f>
        <v>1.4028633084224851</v>
      </c>
    </row>
    <row r="31" spans="1:2">
      <c r="A31" s="1" t="s">
        <v>79</v>
      </c>
    </row>
    <row r="33" spans="1:2">
      <c r="A33" s="1" t="s">
        <v>80</v>
      </c>
      <c r="B33" s="10">
        <f>1000*(0.52/B22/B24/2)*0.822</f>
        <v>110.73402799282603</v>
      </c>
    </row>
    <row r="34" spans="1:2">
      <c r="A34" s="1" t="s">
        <v>81</v>
      </c>
      <c r="B34" s="10">
        <f>1000*(0.8/B23/B24/B25)*0.822</f>
        <v>10.196398255312955</v>
      </c>
    </row>
    <row r="36" spans="1:2">
      <c r="A36" s="1" t="s">
        <v>82</v>
      </c>
    </row>
    <row r="38" spans="1:2">
      <c r="A38" s="1" t="s">
        <v>83</v>
      </c>
      <c r="B38" s="11">
        <f>B33/B27</f>
        <v>15786.859251076439</v>
      </c>
    </row>
    <row r="39" spans="1:2">
      <c r="A39" s="1" t="s">
        <v>84</v>
      </c>
      <c r="B39" s="11">
        <f>B34/B27</f>
        <v>1453.6552769034597</v>
      </c>
    </row>
    <row r="40" spans="1:2">
      <c r="A40" s="3"/>
      <c r="B40" s="3"/>
    </row>
  </sheetData>
  <sheetProtection sheet="1" objects="1" scenarios="1"/>
  <printOptions horizontalCentered="1" verticalCentered="1" gridLinesSet="0"/>
  <pageMargins left="0.5" right="0.5" top="0.5" bottom="0.6" header="0.5" footer="0.5"/>
  <pageSetup orientation="portrait" horizontalDpi="4294967292" verticalDpi="0" r:id="rId1"/>
  <headerFooter alignWithMargins="0">
    <oddFooter>&amp;C&amp;"Arial,Regular"&amp;10&amp;F\&amp;A, Printed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>
    <pageSetUpPr fitToPage="1"/>
  </sheetPr>
  <dimension ref="A1:C40"/>
  <sheetViews>
    <sheetView showGridLines="0" zoomScale="75" workbookViewId="0">
      <selection activeCell="B8" sqref="B8"/>
    </sheetView>
  </sheetViews>
  <sheetFormatPr defaultColWidth="9.765625" defaultRowHeight="15.5"/>
  <cols>
    <col min="1" max="1" width="72.69140625" style="2" customWidth="1"/>
    <col min="2" max="2" width="12.765625" style="2" customWidth="1"/>
    <col min="3" max="16384" width="9.765625" style="2"/>
  </cols>
  <sheetData>
    <row r="1" spans="1:2" ht="18">
      <c r="A1" s="35" t="s">
        <v>62</v>
      </c>
      <c r="B1" s="36"/>
    </row>
    <row r="2" spans="1:2" ht="18">
      <c r="A2" s="35" t="s">
        <v>85</v>
      </c>
      <c r="B2" s="36"/>
    </row>
    <row r="3" spans="1:2" ht="18">
      <c r="A3" s="36"/>
      <c r="B3" s="36"/>
    </row>
    <row r="4" spans="1:2" ht="18">
      <c r="A4" s="37" t="s">
        <v>86</v>
      </c>
      <c r="B4" s="36"/>
    </row>
    <row r="5" spans="1:2" ht="18">
      <c r="A5" s="38"/>
      <c r="B5" s="38"/>
    </row>
    <row r="6" spans="1:2" ht="18">
      <c r="A6" s="39" t="s">
        <v>65</v>
      </c>
      <c r="B6" s="42"/>
    </row>
    <row r="8" spans="1:2">
      <c r="A8" s="1" t="s">
        <v>66</v>
      </c>
      <c r="B8" s="4">
        <v>20</v>
      </c>
    </row>
    <row r="9" spans="1:2">
      <c r="B9" s="5"/>
    </row>
    <row r="10" spans="1:2">
      <c r="A10" s="1" t="s">
        <v>67</v>
      </c>
      <c r="B10" s="6">
        <v>9</v>
      </c>
    </row>
    <row r="11" spans="1:2">
      <c r="B11" s="5"/>
    </row>
    <row r="12" spans="1:2">
      <c r="A12" s="1" t="s">
        <v>68</v>
      </c>
      <c r="B12" s="4">
        <v>200</v>
      </c>
    </row>
    <row r="13" spans="1:2">
      <c r="B13" s="5"/>
    </row>
    <row r="14" spans="1:2">
      <c r="A14" s="1" t="s">
        <v>69</v>
      </c>
      <c r="B14" s="5">
        <v>20</v>
      </c>
    </row>
    <row r="15" spans="1:2">
      <c r="B15" s="5"/>
    </row>
    <row r="16" spans="1:2">
      <c r="A16" s="1" t="s">
        <v>70</v>
      </c>
      <c r="B16" s="5">
        <v>15</v>
      </c>
    </row>
    <row r="17" spans="1:3">
      <c r="A17" s="3"/>
      <c r="B17" s="3"/>
    </row>
    <row r="18" spans="1:3" ht="18">
      <c r="A18" s="39" t="s">
        <v>87</v>
      </c>
      <c r="B18" s="42"/>
    </row>
    <row r="20" spans="1:3">
      <c r="A20" s="1" t="s">
        <v>71</v>
      </c>
    </row>
    <row r="22" spans="1:3">
      <c r="A22" s="1" t="s">
        <v>72</v>
      </c>
      <c r="B22" s="13">
        <f>IF(AND(B8&gt;=B14,B8&lt;=30),10^(0.03*(20-B14)),IF(AND(B8&gt;=0,B8&lt;B14),10^(0.03*(20-B8)),#VALUE!))</f>
        <v>1</v>
      </c>
    </row>
    <row r="23" spans="1:3">
      <c r="A23" s="1" t="s">
        <v>73</v>
      </c>
      <c r="B23" s="13">
        <f>IF(AND(B8&gt;=B16,B8&lt;=30),10^(0.03*(20-B16)),IF(AND(B8&gt;=0,B8&lt;B16),10^(0.03*(20-B8)),#VALUE!))</f>
        <v>1.4125375446227544</v>
      </c>
      <c r="C23" s="13"/>
    </row>
    <row r="24" spans="1:3">
      <c r="A24" s="1" t="s">
        <v>74</v>
      </c>
      <c r="B24" s="13">
        <f>IF(AND(B10&gt;8,B10&lt;=9),1,IF(AND(B10&gt;=6.5,B10&lt;=8),(1+10^(7.4-B10))/1.25,#VALUE!))</f>
        <v>1</v>
      </c>
    </row>
    <row r="25" spans="1:3">
      <c r="A25" s="1" t="s">
        <v>75</v>
      </c>
      <c r="B25" s="17">
        <f>IF(AND(B10&gt;=7.7,B10&lt;=9),16,IF(AND(B10&gt;=6.5,B10&lt;7.7),24*(10^(7.7-B10)/(1+10^(7.4-B10))),#VALUE!))</f>
        <v>16</v>
      </c>
    </row>
    <row r="26" spans="1:3">
      <c r="A26" s="1" t="s">
        <v>76</v>
      </c>
      <c r="B26" s="13">
        <f>0.09018+2729.92/(273.2+B8)</f>
        <v>9.4009576261937244</v>
      </c>
    </row>
    <row r="27" spans="1:3">
      <c r="A27" s="1" t="s">
        <v>77</v>
      </c>
      <c r="B27" s="9">
        <f>1/((10^(B26-B10))+1)</f>
        <v>0.28429837487852344</v>
      </c>
    </row>
    <row r="29" spans="1:3">
      <c r="A29" s="1" t="s">
        <v>78</v>
      </c>
      <c r="B29" s="10">
        <f>B27*B12</f>
        <v>56.859674975704685</v>
      </c>
    </row>
    <row r="31" spans="1:3">
      <c r="A31" s="1" t="s">
        <v>79</v>
      </c>
    </row>
    <row r="33" spans="1:3">
      <c r="A33" s="1" t="s">
        <v>80</v>
      </c>
      <c r="B33" s="10">
        <f>1000*(0.52/B22/B24/2)*0.822</f>
        <v>213.72</v>
      </c>
      <c r="C33" s="7"/>
    </row>
    <row r="34" spans="1:3">
      <c r="A34" s="1" t="s">
        <v>81</v>
      </c>
      <c r="B34" s="10">
        <f>1000*(0.8/B23/B24/B25)*0.822</f>
        <v>29.096571738188068</v>
      </c>
      <c r="C34" s="7"/>
    </row>
    <row r="36" spans="1:3">
      <c r="A36" s="1" t="s">
        <v>82</v>
      </c>
    </row>
    <row r="38" spans="1:3">
      <c r="A38" s="1" t="s">
        <v>83</v>
      </c>
      <c r="B38" s="11">
        <f>B33/B27</f>
        <v>751.74541567928213</v>
      </c>
    </row>
    <row r="39" spans="1:3">
      <c r="A39" s="1" t="s">
        <v>84</v>
      </c>
      <c r="B39" s="11">
        <f>B34/B27</f>
        <v>102.34519191543255</v>
      </c>
    </row>
    <row r="40" spans="1:3">
      <c r="A40" s="3"/>
      <c r="B40" s="3"/>
    </row>
  </sheetData>
  <sheetProtection sheet="1" objects="1" scenarios="1"/>
  <printOptions horizontalCentered="1" verticalCentered="1" gridLinesSet="0"/>
  <pageMargins left="0.5" right="0.5" top="0.5" bottom="0.6" header="0.5" footer="0.5"/>
  <pageSetup orientation="portrait" horizontalDpi="4294967292" verticalDpi="0" r:id="rId1"/>
  <headerFooter alignWithMargins="0">
    <oddFooter>&amp;C&amp;"Arial,Regular"&amp;10&amp;F\&amp;A, Printed 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>
    <pageSetUpPr fitToPage="1"/>
  </sheetPr>
  <dimension ref="A1:B37"/>
  <sheetViews>
    <sheetView showGridLines="0" zoomScale="75" workbookViewId="0">
      <selection activeCell="B9" sqref="B9"/>
    </sheetView>
  </sheetViews>
  <sheetFormatPr defaultColWidth="9.765625" defaultRowHeight="15.5"/>
  <cols>
    <col min="1" max="1" width="72.69140625" style="2" customWidth="1"/>
    <col min="2" max="2" width="12.765625" style="2" customWidth="1"/>
    <col min="3" max="16384" width="9.765625" style="2"/>
  </cols>
  <sheetData>
    <row r="1" spans="1:2" ht="18">
      <c r="A1" s="35" t="s">
        <v>88</v>
      </c>
      <c r="B1" s="36"/>
    </row>
    <row r="2" spans="1:2" ht="18">
      <c r="A2" s="35" t="s">
        <v>89</v>
      </c>
      <c r="B2" s="36"/>
    </row>
    <row r="3" spans="1:2" ht="18">
      <c r="A3" s="35" t="s">
        <v>90</v>
      </c>
      <c r="B3" s="36"/>
    </row>
    <row r="4" spans="1:2" ht="18">
      <c r="A4" s="36"/>
      <c r="B4" s="36"/>
    </row>
    <row r="5" spans="1:2" ht="18">
      <c r="A5" s="37" t="s">
        <v>91</v>
      </c>
      <c r="B5" s="36"/>
    </row>
    <row r="6" spans="1:2" ht="18">
      <c r="A6" s="38"/>
      <c r="B6" s="38"/>
    </row>
    <row r="7" spans="1:2" ht="18">
      <c r="A7" s="39" t="s">
        <v>2</v>
      </c>
      <c r="B7" s="42"/>
    </row>
    <row r="9" spans="1:2">
      <c r="A9" s="1" t="s">
        <v>92</v>
      </c>
      <c r="B9" s="4">
        <v>15</v>
      </c>
    </row>
    <row r="10" spans="1:2">
      <c r="A10" s="1" t="s">
        <v>93</v>
      </c>
      <c r="B10" s="4"/>
    </row>
    <row r="11" spans="1:2">
      <c r="A11" s="1" t="s">
        <v>94</v>
      </c>
      <c r="B11" s="4">
        <v>8</v>
      </c>
    </row>
    <row r="12" spans="1:2">
      <c r="B12" s="4"/>
    </row>
    <row r="13" spans="1:2">
      <c r="A13" s="1" t="s">
        <v>95</v>
      </c>
      <c r="B13" s="4">
        <v>20</v>
      </c>
    </row>
    <row r="14" spans="1:2">
      <c r="A14" s="3"/>
      <c r="B14" s="3"/>
    </row>
    <row r="15" spans="1:2" ht="18">
      <c r="A15" s="39" t="s">
        <v>39</v>
      </c>
      <c r="B15" s="42"/>
    </row>
    <row r="17" spans="1:2">
      <c r="A17" s="1" t="s">
        <v>96</v>
      </c>
      <c r="B17" s="4">
        <v>1</v>
      </c>
    </row>
    <row r="19" spans="1:2">
      <c r="A19" s="1" t="s">
        <v>97</v>
      </c>
      <c r="B19" s="16">
        <f>(19.9273*B13/(1000-1.005109*B13))</f>
        <v>0.40672199883044946</v>
      </c>
    </row>
    <row r="21" spans="1:2">
      <c r="A21" s="1" t="s">
        <v>98</v>
      </c>
      <c r="B21" s="16">
        <f>IF(B19&gt;0.85,#VALUE!,9.245+0.116*B19)</f>
        <v>9.2921797518643316</v>
      </c>
    </row>
    <row r="23" spans="1:2">
      <c r="A23" s="1" t="s">
        <v>99</v>
      </c>
      <c r="B23" s="18">
        <f>1/(1+10^(B21+0.0324*(298-B9-273)+0.0415*B17/(B9+273)-B11))</f>
        <v>2.3620803583783392E-2</v>
      </c>
    </row>
    <row r="25" spans="1:2">
      <c r="A25" s="1" t="s">
        <v>100</v>
      </c>
    </row>
    <row r="26" spans="1:2">
      <c r="A26" s="1" t="s">
        <v>101</v>
      </c>
    </row>
    <row r="27" spans="1:2">
      <c r="A27" s="1" t="s">
        <v>102</v>
      </c>
      <c r="B27" s="19">
        <v>0.23300000000000001</v>
      </c>
    </row>
    <row r="28" spans="1:2">
      <c r="A28" s="1" t="s">
        <v>103</v>
      </c>
      <c r="B28" s="19">
        <v>3.5000000000000003E-2</v>
      </c>
    </row>
    <row r="30" spans="1:2">
      <c r="A30" s="1" t="s">
        <v>104</v>
      </c>
    </row>
    <row r="31" spans="1:2">
      <c r="A31" s="1" t="s">
        <v>102</v>
      </c>
      <c r="B31" s="13">
        <f t="shared" ref="B31:B32" si="0">B27/B$23</f>
        <v>9.8641859991572698</v>
      </c>
    </row>
    <row r="32" spans="1:2">
      <c r="A32" s="1" t="s">
        <v>103</v>
      </c>
      <c r="B32" s="13">
        <f t="shared" si="0"/>
        <v>1.4817446779849976</v>
      </c>
    </row>
    <row r="33" spans="1:2">
      <c r="B33" s="13"/>
    </row>
    <row r="34" spans="1:2">
      <c r="A34" s="1" t="s">
        <v>105</v>
      </c>
      <c r="B34" s="13"/>
    </row>
    <row r="35" spans="1:2">
      <c r="A35" s="1" t="s">
        <v>102</v>
      </c>
      <c r="B35" s="13">
        <f t="shared" ref="B35:B36" si="1">B31*0.822</f>
        <v>8.1083608913072744</v>
      </c>
    </row>
    <row r="36" spans="1:2">
      <c r="A36" s="1" t="s">
        <v>103</v>
      </c>
      <c r="B36" s="13">
        <f t="shared" si="1"/>
        <v>1.2179941253036679</v>
      </c>
    </row>
    <row r="37" spans="1:2">
      <c r="A37" s="3"/>
      <c r="B37" s="3"/>
    </row>
  </sheetData>
  <sheetProtection sheet="1" objects="1" scenarios="1"/>
  <printOptions horizontalCentered="1" verticalCentered="1" gridLinesSet="0"/>
  <pageMargins left="0.5" right="0.5" top="0.5" bottom="0.6" header="0.5" footer="0.5"/>
  <pageSetup orientation="portrait" horizontalDpi="4294967292" verticalDpi="0" r:id="rId1"/>
  <headerFooter alignWithMargins="0">
    <oddFooter>&amp;C&amp;"Arial,Regular"&amp;10&amp;F\&amp;A, Printed 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>
    <pageSetUpPr fitToPage="1"/>
  </sheetPr>
  <dimension ref="A1:B43"/>
  <sheetViews>
    <sheetView showGridLines="0" zoomScale="75" workbookViewId="0">
      <selection activeCell="B10" sqref="B10"/>
    </sheetView>
  </sheetViews>
  <sheetFormatPr defaultColWidth="9.765625" defaultRowHeight="15.5"/>
  <cols>
    <col min="1" max="1" width="72.69140625" style="2" customWidth="1"/>
    <col min="2" max="2" width="12.765625" style="2" customWidth="1"/>
    <col min="3" max="16384" width="9.765625" style="2"/>
  </cols>
  <sheetData>
    <row r="1" spans="1:2" ht="18">
      <c r="A1" s="35" t="s">
        <v>106</v>
      </c>
      <c r="B1" s="36"/>
    </row>
    <row r="2" spans="1:2" ht="18">
      <c r="A2" s="35" t="s">
        <v>107</v>
      </c>
      <c r="B2" s="36"/>
    </row>
    <row r="3" spans="1:2" ht="18">
      <c r="A3" s="35" t="s">
        <v>108</v>
      </c>
      <c r="B3" s="36"/>
    </row>
    <row r="4" spans="1:2" ht="18">
      <c r="A4" s="35" t="s">
        <v>109</v>
      </c>
      <c r="B4" s="36"/>
    </row>
    <row r="5" spans="1:2" ht="18">
      <c r="A5" s="36"/>
      <c r="B5" s="36"/>
    </row>
    <row r="6" spans="1:2" ht="18">
      <c r="A6" s="37" t="s">
        <v>110</v>
      </c>
      <c r="B6" s="36"/>
    </row>
    <row r="7" spans="1:2" ht="18">
      <c r="A7" s="38"/>
      <c r="B7" s="38"/>
    </row>
    <row r="8" spans="1:2" ht="18">
      <c r="A8" s="39" t="s">
        <v>2</v>
      </c>
      <c r="B8" s="42"/>
    </row>
    <row r="10" spans="1:2">
      <c r="A10" s="1" t="s">
        <v>111</v>
      </c>
      <c r="B10" s="20">
        <v>2</v>
      </c>
    </row>
    <row r="12" spans="1:2">
      <c r="A12" s="1" t="s">
        <v>112</v>
      </c>
    </row>
    <row r="13" spans="1:2">
      <c r="A13" s="1" t="s">
        <v>113</v>
      </c>
      <c r="B13" s="6">
        <v>12</v>
      </c>
    </row>
    <row r="14" spans="1:2">
      <c r="A14" s="1" t="s">
        <v>114</v>
      </c>
      <c r="B14" s="6">
        <v>7.5</v>
      </c>
    </row>
    <row r="15" spans="1:2">
      <c r="A15" s="1" t="s">
        <v>115</v>
      </c>
      <c r="B15" s="6">
        <v>50</v>
      </c>
    </row>
    <row r="16" spans="1:2">
      <c r="B16" s="5"/>
    </row>
    <row r="17" spans="1:2">
      <c r="A17" s="1" t="s">
        <v>116</v>
      </c>
      <c r="B17" s="5"/>
    </row>
    <row r="18" spans="1:2">
      <c r="A18" s="1" t="s">
        <v>113</v>
      </c>
      <c r="B18" s="6">
        <v>20</v>
      </c>
    </row>
    <row r="19" spans="1:2">
      <c r="A19" s="1" t="s">
        <v>114</v>
      </c>
      <c r="B19" s="6">
        <v>7.2</v>
      </c>
    </row>
    <row r="20" spans="1:2">
      <c r="A20" s="1" t="s">
        <v>115</v>
      </c>
      <c r="B20" s="6">
        <v>150</v>
      </c>
    </row>
    <row r="21" spans="1:2">
      <c r="A21" s="3"/>
      <c r="B21" s="3"/>
    </row>
    <row r="22" spans="1:2" ht="18">
      <c r="A22" s="39" t="s">
        <v>39</v>
      </c>
      <c r="B22" s="42"/>
    </row>
    <row r="24" spans="1:2">
      <c r="A24" s="1" t="s">
        <v>117</v>
      </c>
    </row>
    <row r="25" spans="1:2">
      <c r="A25" s="1" t="s">
        <v>118</v>
      </c>
      <c r="B25" s="13">
        <f>6.57-0.0118*B13+0.00012*(B13^2)</f>
        <v>6.4456800000000003</v>
      </c>
    </row>
    <row r="26" spans="1:2">
      <c r="A26" s="1" t="s">
        <v>119</v>
      </c>
      <c r="B26" s="13">
        <f>6.57-0.0118*B18+0.00012*(B18^2)</f>
        <v>6.3820000000000006</v>
      </c>
    </row>
    <row r="28" spans="1:2">
      <c r="A28" s="1" t="s">
        <v>120</v>
      </c>
    </row>
    <row r="29" spans="1:2">
      <c r="A29" s="1" t="s">
        <v>121</v>
      </c>
      <c r="B29" s="13">
        <f>1/(1+10^(B25-B14))</f>
        <v>0.91891245739005389</v>
      </c>
    </row>
    <row r="30" spans="1:2">
      <c r="A30" s="1" t="s">
        <v>122</v>
      </c>
      <c r="B30" s="13">
        <f>1/(1+10^(B26-B19))</f>
        <v>0.86801430003146707</v>
      </c>
    </row>
    <row r="32" spans="1:2">
      <c r="A32" s="1" t="s">
        <v>123</v>
      </c>
    </row>
    <row r="33" spans="1:2">
      <c r="A33" s="1" t="s">
        <v>124</v>
      </c>
      <c r="B33" s="13">
        <f>B15/B29</f>
        <v>54.41214731380699</v>
      </c>
    </row>
    <row r="34" spans="1:2">
      <c r="A34" s="1" t="s">
        <v>125</v>
      </c>
      <c r="B34" s="13">
        <f>B20/B30</f>
        <v>172.80821294598744</v>
      </c>
    </row>
    <row r="36" spans="1:2">
      <c r="A36" s="1" t="s">
        <v>126</v>
      </c>
    </row>
    <row r="37" spans="1:2">
      <c r="A37" s="1" t="s">
        <v>113</v>
      </c>
      <c r="B37" s="13">
        <f>B13+(B18-B13)/B$10</f>
        <v>16</v>
      </c>
    </row>
    <row r="38" spans="1:2">
      <c r="A38" s="1" t="s">
        <v>115</v>
      </c>
      <c r="B38" s="13">
        <f>B15+(B20-B15)/B$10</f>
        <v>100</v>
      </c>
    </row>
    <row r="39" spans="1:2">
      <c r="A39" s="1" t="s">
        <v>127</v>
      </c>
      <c r="B39" s="13">
        <f>B33+(B34-B33)/B$10</f>
        <v>113.6101801298972</v>
      </c>
    </row>
    <row r="40" spans="1:2">
      <c r="A40" s="1" t="s">
        <v>128</v>
      </c>
      <c r="B40" s="13">
        <f>6.57-0.0118*B37+0.00012*(B37^2)</f>
        <v>6.4119200000000003</v>
      </c>
    </row>
    <row r="42" spans="1:2">
      <c r="A42" s="1" t="s">
        <v>129</v>
      </c>
      <c r="B42" s="13">
        <f>B40-LOG((B39/B38)-1)</f>
        <v>7.2780561268978632</v>
      </c>
    </row>
    <row r="43" spans="1:2">
      <c r="A43" s="3"/>
      <c r="B43" s="3"/>
    </row>
  </sheetData>
  <sheetProtection sheet="1" objects="1" scenarios="1"/>
  <printOptions horizontalCentered="1" verticalCentered="1" gridLinesSet="0"/>
  <pageMargins left="0.5" right="0.5" top="0.5" bottom="0.6" header="0.5" footer="0.5"/>
  <pageSetup orientation="portrait" horizontalDpi="4294967292" verticalDpi="0" r:id="rId1"/>
  <headerFooter alignWithMargins="0">
    <oddFooter>&amp;C&amp;"Arial,Regular"&amp;10&amp;F\&amp;A, Printed 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>
    <pageSetUpPr fitToPage="1"/>
  </sheetPr>
  <dimension ref="A1:C73"/>
  <sheetViews>
    <sheetView showGridLines="0" tabSelected="1" zoomScale="75" workbookViewId="0">
      <selection activeCell="B8" sqref="B8"/>
    </sheetView>
  </sheetViews>
  <sheetFormatPr defaultColWidth="9.765625" defaultRowHeight="15.5"/>
  <cols>
    <col min="1" max="1" width="72.69140625" style="2" customWidth="1"/>
    <col min="2" max="2" width="12.765625" style="21" customWidth="1"/>
    <col min="3" max="16384" width="9.765625" style="2"/>
  </cols>
  <sheetData>
    <row r="1" spans="1:2" ht="18">
      <c r="A1" s="35" t="s">
        <v>130</v>
      </c>
      <c r="B1" s="36"/>
    </row>
    <row r="2" spans="1:2" ht="18">
      <c r="A2" s="35" t="s">
        <v>131</v>
      </c>
      <c r="B2" s="36"/>
    </row>
    <row r="3" spans="1:2" ht="18">
      <c r="A3" s="36"/>
      <c r="B3" s="36"/>
    </row>
    <row r="4" spans="1:2" ht="18">
      <c r="A4" s="35" t="s">
        <v>132</v>
      </c>
      <c r="B4" s="36"/>
    </row>
    <row r="5" spans="1:2" ht="18">
      <c r="A5" s="38"/>
      <c r="B5" s="38"/>
    </row>
    <row r="6" spans="1:2" ht="18">
      <c r="A6" s="39" t="s">
        <v>2</v>
      </c>
      <c r="B6" s="42"/>
    </row>
    <row r="8" spans="1:2">
      <c r="A8" s="1" t="s">
        <v>133</v>
      </c>
      <c r="B8" s="23">
        <v>5.5699199999999998</v>
      </c>
    </row>
    <row r="9" spans="1:2">
      <c r="B9" s="24"/>
    </row>
    <row r="10" spans="1:2">
      <c r="A10" s="1" t="s">
        <v>134</v>
      </c>
      <c r="B10" s="24"/>
    </row>
    <row r="11" spans="1:2">
      <c r="A11" s="1" t="s">
        <v>135</v>
      </c>
      <c r="B11" s="23">
        <v>0.89554751747248873</v>
      </c>
    </row>
    <row r="12" spans="1:2">
      <c r="A12" s="1" t="s">
        <v>136</v>
      </c>
      <c r="B12" s="23">
        <v>1.7163887827304367</v>
      </c>
    </row>
    <row r="13" spans="1:2">
      <c r="A13" s="1" t="s">
        <v>137</v>
      </c>
      <c r="B13" s="23">
        <v>114.22096088020885</v>
      </c>
    </row>
    <row r="14" spans="1:2">
      <c r="A14" s="1" t="s">
        <v>138</v>
      </c>
      <c r="B14" s="24">
        <v>7.0000000000000001E-3</v>
      </c>
    </row>
    <row r="15" spans="1:2">
      <c r="A15" s="1" t="s">
        <v>139</v>
      </c>
      <c r="B15" s="24">
        <v>0</v>
      </c>
    </row>
    <row r="16" spans="1:2">
      <c r="B16" s="24"/>
    </row>
    <row r="17" spans="1:2">
      <c r="A17" s="1" t="s">
        <v>140</v>
      </c>
      <c r="B17" s="47">
        <v>0</v>
      </c>
    </row>
    <row r="18" spans="1:2">
      <c r="B18" s="23"/>
    </row>
    <row r="19" spans="1:2">
      <c r="A19" s="1" t="s">
        <v>141</v>
      </c>
      <c r="B19" s="23"/>
    </row>
    <row r="20" spans="1:2">
      <c r="A20" s="12" t="s">
        <v>142</v>
      </c>
      <c r="B20" s="47">
        <v>300</v>
      </c>
    </row>
    <row r="21" spans="1:2">
      <c r="A21" s="1" t="s">
        <v>143</v>
      </c>
      <c r="B21" s="47">
        <v>0</v>
      </c>
    </row>
    <row r="23" spans="1:2">
      <c r="A23" s="1" t="s">
        <v>144</v>
      </c>
      <c r="B23" s="24">
        <v>0.6</v>
      </c>
    </row>
    <row r="24" spans="1:2">
      <c r="A24" s="1"/>
      <c r="B24" s="24"/>
    </row>
    <row r="25" spans="1:2">
      <c r="A25" s="12" t="s">
        <v>145</v>
      </c>
      <c r="B25" s="24">
        <v>0</v>
      </c>
    </row>
    <row r="26" spans="1:2">
      <c r="A26" s="3"/>
      <c r="B26" s="22"/>
    </row>
    <row r="27" spans="1:2" ht="18">
      <c r="A27" s="39" t="s">
        <v>39</v>
      </c>
      <c r="B27" s="42"/>
    </row>
    <row r="28" spans="1:2">
      <c r="A28" s="1" t="s">
        <v>146</v>
      </c>
    </row>
    <row r="29" spans="1:2">
      <c r="A29" s="1" t="s">
        <v>147</v>
      </c>
    </row>
    <row r="30" spans="1:2">
      <c r="A30" s="12" t="s">
        <v>148</v>
      </c>
      <c r="B30" s="25">
        <v>100</v>
      </c>
    </row>
    <row r="31" spans="1:2">
      <c r="A31" s="12" t="s">
        <v>149</v>
      </c>
      <c r="B31" s="26">
        <f>B8*B30</f>
        <v>556.99199999999996</v>
      </c>
    </row>
    <row r="33" spans="1:3">
      <c r="A33" s="1" t="s">
        <v>150</v>
      </c>
    </row>
    <row r="34" spans="1:3">
      <c r="A34" s="1" t="s">
        <v>151</v>
      </c>
      <c r="B34" s="27">
        <f>IF(ISNUMBER(B15),IF(B15=0,SQRT(32.2*B11*B14),IF(B15=1,NA(),#VALUE!)),#VALUE!)</f>
        <v>0.44928433139638757</v>
      </c>
    </row>
    <row r="35" spans="1:3">
      <c r="A35" s="1" t="s">
        <v>152</v>
      </c>
    </row>
    <row r="36" spans="1:3">
      <c r="A36" s="1" t="s">
        <v>153</v>
      </c>
    </row>
    <row r="37" spans="1:3">
      <c r="A37" s="1" t="s">
        <v>154</v>
      </c>
      <c r="B37" s="25"/>
    </row>
    <row r="38" spans="1:3">
      <c r="A38" s="1" t="s">
        <v>155</v>
      </c>
      <c r="B38" s="27" t="e">
        <f>IF(ISNUMBER(B15),IF(B15=1,(B14*SQRT(8*32.2)/(1.49*B11^(1/6)))^2,IF(B15=0,NA(),#VALUE!)),#VALUE!)</f>
        <v>#N/A</v>
      </c>
    </row>
    <row r="39" spans="1:3">
      <c r="A39" s="1" t="s">
        <v>156</v>
      </c>
      <c r="B39" s="27" t="e">
        <f>B12*SQRT(B38/8)</f>
        <v>#N/A</v>
      </c>
    </row>
    <row r="40" spans="1:3">
      <c r="A40" s="1" t="s">
        <v>157</v>
      </c>
      <c r="B40" s="27">
        <f>IF(B15=0,B34,IF(B15=1,B39,#VALUE!))</f>
        <v>0.44928433139638757</v>
      </c>
    </row>
    <row r="42" spans="1:3">
      <c r="A42" s="1" t="s">
        <v>158</v>
      </c>
      <c r="B42" s="27">
        <f>B23*B11*B40</f>
        <v>0.24141328057279307</v>
      </c>
    </row>
    <row r="43" spans="1:3">
      <c r="A43" s="1"/>
      <c r="B43" s="27"/>
    </row>
    <row r="44" spans="1:3">
      <c r="A44" s="12" t="s">
        <v>159</v>
      </c>
    </row>
    <row r="45" spans="1:3">
      <c r="A45" s="12" t="s">
        <v>160</v>
      </c>
      <c r="B45" s="28">
        <f>B31/(B12*B11*B13)</f>
        <v>3.1724796593858446</v>
      </c>
    </row>
    <row r="46" spans="1:3">
      <c r="A46" s="12" t="s">
        <v>161</v>
      </c>
      <c r="B46" s="28">
        <f>IF(ISERR(B57),(B20*B42)/(B12*B13^2),MAXA((B20*B42)/(B12*B13^2),B57))</f>
        <v>3.2342614639590673E-3</v>
      </c>
      <c r="C46" s="28"/>
    </row>
    <row r="47" spans="1:3">
      <c r="A47" s="12" t="s">
        <v>162</v>
      </c>
      <c r="B47" s="28">
        <f>B17/B13</f>
        <v>0</v>
      </c>
    </row>
    <row r="48" spans="1:3">
      <c r="A48" s="12" t="s">
        <v>163</v>
      </c>
      <c r="B48" s="28">
        <f>B21/B13</f>
        <v>0</v>
      </c>
    </row>
    <row r="49" spans="1:3">
      <c r="A49" s="12" t="s">
        <v>164</v>
      </c>
    </row>
    <row r="50" spans="1:3">
      <c r="A50" s="1" t="s">
        <v>165</v>
      </c>
      <c r="B50" s="28">
        <f>EXP(-((B48-2*(-2)-B47)^2/(4*B46)))+EXP(-((B48-2*(-2)+B47)^2/(4*B46)))</f>
        <v>0</v>
      </c>
    </row>
    <row r="51" spans="1:3">
      <c r="A51" s="1" t="s">
        <v>166</v>
      </c>
      <c r="B51" s="28">
        <f>EXP(-((B48-2*(-1)-B47)^2/(4*B46)))+EXP(-((B48-2*(-1)+B47)^2/(4*B46)))</f>
        <v>1.05122086726541E-134</v>
      </c>
    </row>
    <row r="52" spans="1:3">
      <c r="A52" s="1" t="s">
        <v>167</v>
      </c>
      <c r="B52" s="28">
        <f>EXP(-((B48-2*(0)-B47)^2/(4*B46)))+EXP(-((B48-2*(0)+B47)^2/(4*B46)))</f>
        <v>2</v>
      </c>
    </row>
    <row r="53" spans="1:3">
      <c r="A53" s="1" t="s">
        <v>168</v>
      </c>
      <c r="B53" s="28">
        <f>EXP(-((B48-2*(1)-B47)^2/(4*B46)))+EXP(-((B48-2*(1)+B47)^2/(4*B46)))</f>
        <v>1.05122086726541E-134</v>
      </c>
    </row>
    <row r="54" spans="1:3">
      <c r="A54" s="12" t="s">
        <v>169</v>
      </c>
      <c r="B54" s="28">
        <f>EXP(-((B48-2*(2)-B47)^2/(4*B46)))+EXP(-((B48-2*(2)+B47)^2/(4*B46)))</f>
        <v>0</v>
      </c>
    </row>
    <row r="55" spans="1:3">
      <c r="A55" s="46" t="s">
        <v>170</v>
      </c>
      <c r="B55" s="25" t="e">
        <f>IF(ISNUMBER(B25),IF(B25=0,NA(),IF(B25=1,((SUM(B50:B54)*B8/B11)^2)/(B12*4*PI()*B42),#VALUE!)),#VALUE!)</f>
        <v>#N/A</v>
      </c>
      <c r="C55"/>
    </row>
    <row r="56" spans="1:3">
      <c r="A56" s="12" t="s">
        <v>171</v>
      </c>
      <c r="B56" s="25">
        <f>IF(ISNUMBER(B25),IF(B25=0,B20,IF(B25=1,B20+B55,#VALUE!)),#VALUE!)</f>
        <v>300</v>
      </c>
      <c r="C56" s="25"/>
    </row>
    <row r="57" spans="1:3">
      <c r="A57" s="12" t="s">
        <v>172</v>
      </c>
      <c r="B57" s="28">
        <f>(B56*B42)/(B12*B13^2)</f>
        <v>3.2342614639590673E-3</v>
      </c>
      <c r="C57"/>
    </row>
    <row r="58" spans="1:3">
      <c r="A58" s="12" t="s">
        <v>173</v>
      </c>
      <c r="B58" s="28">
        <f>(1/SQRT(4*PI()*B57))*SUM(B50:B54)</f>
        <v>9.920589980676958</v>
      </c>
    </row>
    <row r="59" spans="1:3">
      <c r="A59" s="12" t="s">
        <v>174</v>
      </c>
      <c r="B59" s="28">
        <f>IF(+B58*B45&lt;=B30,B58*B45,B30)</f>
        <v>31.472869922804659</v>
      </c>
    </row>
    <row r="60" spans="1:3">
      <c r="A60" s="12" t="s">
        <v>175</v>
      </c>
      <c r="B60" s="27">
        <f>4*SQRT(2*B42*B56/B12)</f>
        <v>36.745855391220537</v>
      </c>
    </row>
    <row r="61" spans="1:3">
      <c r="A61" s="12" t="s">
        <v>176</v>
      </c>
      <c r="B61" s="27">
        <f>B60/2</f>
        <v>18.372927695610269</v>
      </c>
    </row>
    <row r="62" spans="1:3">
      <c r="A62" s="1" t="s">
        <v>177</v>
      </c>
      <c r="B62" s="25">
        <f>B17</f>
        <v>0</v>
      </c>
    </row>
    <row r="63" spans="1:3">
      <c r="A63" s="1" t="s">
        <v>178</v>
      </c>
      <c r="B63" s="25">
        <f>B13-B17</f>
        <v>114.22096088020885</v>
      </c>
    </row>
    <row r="64" spans="1:3">
      <c r="A64" s="1" t="s">
        <v>179</v>
      </c>
      <c r="B64" s="25">
        <f>MINA(B61,B62)+MINA(B61,B63)</f>
        <v>18.372927695610269</v>
      </c>
    </row>
    <row r="66" spans="1:2">
      <c r="A66" s="1" t="s">
        <v>180</v>
      </c>
      <c r="B66" s="29">
        <f>0.1*B12*((2-2*B47)*B13)^2/B42</f>
        <v>37102.751690677389</v>
      </c>
    </row>
    <row r="68" spans="1:2">
      <c r="A68" s="1" t="s">
        <v>181</v>
      </c>
      <c r="B68" s="30">
        <f>B30/B45</f>
        <v>31.521084683442492</v>
      </c>
    </row>
    <row r="70" spans="1:2">
      <c r="A70" s="1" t="s">
        <v>182</v>
      </c>
      <c r="B70" s="27">
        <f>(B64*B11*B12)/B8</f>
        <v>5.0703006288265637</v>
      </c>
    </row>
    <row r="72" spans="1:2">
      <c r="A72" s="1" t="s">
        <v>183</v>
      </c>
      <c r="B72" s="30">
        <f>B30/B59</f>
        <v>3.1773397292740011</v>
      </c>
    </row>
    <row r="73" spans="1:2">
      <c r="A73" s="3"/>
      <c r="B73" s="22"/>
    </row>
  </sheetData>
  <sheetProtection sheet="1" objects="1" scenarios="1"/>
  <printOptions horizontalCentered="1" verticalCentered="1" gridLinesSet="0"/>
  <pageMargins left="0.5" right="0.5" top="0.5" bottom="0.6" header="0.5" footer="0.5"/>
  <pageSetup scale="65" orientation="portrait" horizontalDpi="4294967292" verticalDpi="0" r:id="rId1"/>
  <headerFooter alignWithMargins="0">
    <oddFooter>&amp;C&amp;"Arial,Regular"&amp;10&amp;F\&amp;A, Printed 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>
    <pageSetUpPr fitToPage="1"/>
  </sheetPr>
  <dimension ref="A1:B51"/>
  <sheetViews>
    <sheetView showGridLines="0" zoomScale="75" workbookViewId="0">
      <selection activeCell="B9" sqref="B9"/>
    </sheetView>
  </sheetViews>
  <sheetFormatPr defaultColWidth="9.765625" defaultRowHeight="15.5"/>
  <cols>
    <col min="1" max="1" width="72.765625" style="2" customWidth="1"/>
    <col min="2" max="2" width="12.765625" style="2" customWidth="1"/>
    <col min="3" max="16384" width="9.765625" style="2"/>
  </cols>
  <sheetData>
    <row r="1" spans="1:2" ht="18">
      <c r="A1" s="35" t="s">
        <v>184</v>
      </c>
      <c r="B1" s="36"/>
    </row>
    <row r="2" spans="1:2" ht="18">
      <c r="A2" s="35" t="s">
        <v>185</v>
      </c>
      <c r="B2" s="36"/>
    </row>
    <row r="3" spans="1:2" ht="18">
      <c r="A3" s="36"/>
      <c r="B3" s="36"/>
    </row>
    <row r="4" spans="1:2" ht="18">
      <c r="A4" s="37" t="s">
        <v>186</v>
      </c>
      <c r="B4" s="36"/>
    </row>
    <row r="5" spans="1:2" ht="18">
      <c r="A5" s="38"/>
      <c r="B5" s="38"/>
    </row>
    <row r="6" spans="1:2" ht="18">
      <c r="A6" s="39" t="s">
        <v>2</v>
      </c>
      <c r="B6" s="42"/>
    </row>
    <row r="8" spans="1:2">
      <c r="A8" s="1" t="s">
        <v>187</v>
      </c>
    </row>
    <row r="9" spans="1:2">
      <c r="A9" s="1" t="s">
        <v>188</v>
      </c>
      <c r="B9" s="20">
        <v>19</v>
      </c>
    </row>
    <row r="10" spans="1:2">
      <c r="A10" s="1" t="s">
        <v>189</v>
      </c>
      <c r="B10" s="20">
        <v>11</v>
      </c>
    </row>
    <row r="11" spans="1:2">
      <c r="B11" s="5"/>
    </row>
    <row r="12" spans="1:2">
      <c r="A12" s="1" t="s">
        <v>190</v>
      </c>
      <c r="B12" s="5"/>
    </row>
    <row r="13" spans="1:2">
      <c r="A13" s="1" t="s">
        <v>191</v>
      </c>
      <c r="B13" s="20">
        <v>0</v>
      </c>
    </row>
    <row r="14" spans="1:2">
      <c r="A14" s="1" t="s">
        <v>192</v>
      </c>
      <c r="B14" s="20">
        <v>0</v>
      </c>
    </row>
    <row r="15" spans="1:2">
      <c r="B15" s="5"/>
    </row>
    <row r="16" spans="1:2">
      <c r="A16" s="1" t="s">
        <v>193</v>
      </c>
      <c r="B16" s="5"/>
    </row>
    <row r="17" spans="1:2">
      <c r="A17" s="1" t="s">
        <v>194</v>
      </c>
      <c r="B17" s="20">
        <v>26</v>
      </c>
    </row>
    <row r="18" spans="1:2">
      <c r="A18" s="1" t="s">
        <v>195</v>
      </c>
      <c r="B18" s="20">
        <v>100</v>
      </c>
    </row>
    <row r="19" spans="1:2">
      <c r="B19" s="20"/>
    </row>
    <row r="20" spans="1:2">
      <c r="A20" s="1" t="s">
        <v>196</v>
      </c>
      <c r="B20" s="20"/>
    </row>
    <row r="21" spans="1:2">
      <c r="A21" s="1" t="s">
        <v>197</v>
      </c>
      <c r="B21" s="20">
        <v>0.6</v>
      </c>
    </row>
    <row r="22" spans="1:2">
      <c r="B22" s="5"/>
    </row>
    <row r="23" spans="1:2">
      <c r="A23" s="1" t="s">
        <v>198</v>
      </c>
      <c r="B23" s="5"/>
    </row>
    <row r="24" spans="1:2">
      <c r="A24" s="1" t="s">
        <v>199</v>
      </c>
      <c r="B24" s="5">
        <v>4</v>
      </c>
    </row>
    <row r="25" spans="1:2">
      <c r="B25" s="5"/>
    </row>
    <row r="26" spans="1:2">
      <c r="A26" s="1" t="s">
        <v>200</v>
      </c>
      <c r="B26" s="5">
        <v>30</v>
      </c>
    </row>
    <row r="27" spans="1:2">
      <c r="A27" s="3"/>
      <c r="B27" s="3"/>
    </row>
    <row r="28" spans="1:2" ht="18">
      <c r="A28" s="39" t="s">
        <v>39</v>
      </c>
      <c r="B28" s="42"/>
    </row>
    <row r="30" spans="1:2">
      <c r="A30" s="1" t="s">
        <v>201</v>
      </c>
    </row>
    <row r="31" spans="1:2">
      <c r="A31" s="1" t="s">
        <v>202</v>
      </c>
      <c r="B31" s="19">
        <v>2.3260000000000001</v>
      </c>
    </row>
    <row r="32" spans="1:2">
      <c r="A32" s="1" t="s">
        <v>203</v>
      </c>
      <c r="B32" s="19">
        <v>2.3260000000000001</v>
      </c>
    </row>
    <row r="33" spans="1:2">
      <c r="A33" s="1" t="s">
        <v>204</v>
      </c>
      <c r="B33" s="19">
        <v>1.645</v>
      </c>
    </row>
    <row r="35" spans="1:2">
      <c r="A35" s="1" t="s">
        <v>205</v>
      </c>
    </row>
    <row r="36" spans="1:2">
      <c r="A36" s="1" t="s">
        <v>206</v>
      </c>
      <c r="B36" s="16">
        <f t="shared" ref="B36:B37" si="0">(B9*B17)-(B13*(B17-1))</f>
        <v>494</v>
      </c>
    </row>
    <row r="37" spans="1:2">
      <c r="A37" s="1" t="s">
        <v>207</v>
      </c>
      <c r="B37" s="16">
        <f t="shared" si="0"/>
        <v>1100</v>
      </c>
    </row>
    <row r="39" spans="1:2">
      <c r="A39" s="1" t="s">
        <v>208</v>
      </c>
    </row>
    <row r="40" spans="1:2">
      <c r="A40" s="1" t="s">
        <v>209</v>
      </c>
      <c r="B40" s="7">
        <f>LN(B21^2+1)</f>
        <v>0.30748469974796055</v>
      </c>
    </row>
    <row r="41" spans="1:2">
      <c r="A41" s="1" t="s">
        <v>210</v>
      </c>
      <c r="B41" s="7">
        <f>LN((B21^2/B24)+1)</f>
        <v>8.6177696241052412E-2</v>
      </c>
    </row>
    <row r="42" spans="1:2">
      <c r="A42" s="1" t="s">
        <v>211</v>
      </c>
      <c r="B42" s="16">
        <f>B36*EXP(0.5*B40-B31*SQRT(B40))</f>
        <v>158.61510761249676</v>
      </c>
    </row>
    <row r="43" spans="1:2">
      <c r="A43" s="1" t="s">
        <v>212</v>
      </c>
      <c r="B43" s="16">
        <f>B37*EXP(0.5*B41-B31*SQRT(B41))</f>
        <v>580.17678850772961</v>
      </c>
    </row>
    <row r="44" spans="1:2">
      <c r="A44" s="1" t="s">
        <v>213</v>
      </c>
      <c r="B44" s="16">
        <f>MINA(B42:B43)</f>
        <v>158.61510761249676</v>
      </c>
    </row>
    <row r="46" spans="1:2">
      <c r="A46" s="1" t="s">
        <v>214</v>
      </c>
    </row>
    <row r="47" spans="1:2">
      <c r="A47" s="1" t="s">
        <v>215</v>
      </c>
      <c r="B47" s="7">
        <f>LN((B21^2/B26)+1)</f>
        <v>1.1928570865273812E-2</v>
      </c>
    </row>
    <row r="49" spans="1:2">
      <c r="A49" s="1" t="s">
        <v>216</v>
      </c>
      <c r="B49" s="16">
        <f>B44*EXP(B32*SQRT(B40)-0.5*B40)</f>
        <v>493.99999999999994</v>
      </c>
    </row>
    <row r="50" spans="1:2">
      <c r="A50" s="1" t="s">
        <v>217</v>
      </c>
      <c r="B50" s="16">
        <f>B44*EXP(B33*SQRT(B47)-0.5*B47)</f>
        <v>188.70404350031717</v>
      </c>
    </row>
    <row r="51" spans="1:2">
      <c r="A51" s="3"/>
      <c r="B51" s="3"/>
    </row>
  </sheetData>
  <sheetProtection sheet="1" objects="1" scenarios="1"/>
  <printOptions horizontalCentered="1" verticalCentered="1" gridLinesSet="0"/>
  <pageMargins left="0.5" right="0.5" top="0.5" bottom="0.6" header="0.5" footer="0.5"/>
  <pageSetup orientation="portrait" horizontalDpi="4294967292" verticalDpi="0" r:id="rId1"/>
  <headerFooter alignWithMargins="0">
    <oddFooter>&amp;C&amp;"Arial,Regular"&amp;10&amp;F\&amp;A, Printed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dosag2</vt:lpstr>
      <vt:lpstr>idod2</vt:lpstr>
      <vt:lpstr>nh3fres2</vt:lpstr>
      <vt:lpstr>nh3fresh</vt:lpstr>
      <vt:lpstr>nh3salt</vt:lpstr>
      <vt:lpstr>phmix2</vt:lpstr>
      <vt:lpstr>rivplum5</vt:lpstr>
      <vt:lpstr>wqbp2</vt:lpstr>
      <vt:lpstr>dosag2!Print_Area_MI</vt:lpstr>
      <vt:lpstr>idod2!Print_Area_MI</vt:lpstr>
      <vt:lpstr>nh3fres2!Print_Area_MI</vt:lpstr>
      <vt:lpstr>nh3fresh!Print_Area_MI</vt:lpstr>
      <vt:lpstr>nh3salt!Print_Area_MI</vt:lpstr>
      <vt:lpstr>phmix2!Print_Area_MI</vt:lpstr>
      <vt:lpstr>rivplum5!Print_Area_MI</vt:lpstr>
      <vt:lpstr>wqbp2!Print_Area_MI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 Pelletier</dc:creator>
  <cp:keywords/>
  <dc:description/>
  <cp:lastModifiedBy>Carina Negreanu</cp:lastModifiedBy>
  <dcterms:created xsi:type="dcterms:W3CDTF">2020-01-27T12:00:28Z</dcterms:created>
  <dcterms:modified xsi:type="dcterms:W3CDTF">2020-01-27T12:00:28Z</dcterms:modified>
</cp:coreProperties>
</file>