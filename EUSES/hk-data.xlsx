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916E3B-C8B8-421E-A8E2-87559C485DFB}" xr6:coauthVersionLast="45" xr6:coauthVersionMax="45" xr10:uidLastSave="{00000000-0000-0000-0000-000000000000}"/>
  <bookViews>
    <workbookView xWindow="380" yWindow="380" windowWidth="28800" windowHeight="15460" tabRatio="602"/>
  </bookViews>
  <sheets>
    <sheet name="Cover" sheetId="5" r:id="rId1"/>
    <sheet name="Table 1" sheetId="4" r:id="rId2"/>
    <sheet name="Table 2" sheetId="6" r:id="rId3"/>
    <sheet name="Table 3" sheetId="7" r:id="rId4"/>
    <sheet name="Table 4" sheetId="1" r:id="rId5"/>
    <sheet name="Table 5" sheetId="8" r:id="rId6"/>
    <sheet name="Table 6" sheetId="9" r:id="rId7"/>
    <sheet name="Table 7" sheetId="10" r:id="rId8"/>
    <sheet name="Table 8" sheetId="2" r:id="rId9"/>
    <sheet name="Table 9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3" l="1"/>
  <c r="C17" i="3"/>
  <c r="B18" i="3"/>
  <c r="C18" i="3"/>
  <c r="B19" i="3"/>
  <c r="C19" i="3"/>
</calcChain>
</file>

<file path=xl/sharedStrings.xml><?xml version="1.0" encoding="utf-8"?>
<sst xmlns="http://schemas.openxmlformats.org/spreadsheetml/2006/main" count="174" uniqueCount="119">
  <si>
    <t>Year</t>
  </si>
  <si>
    <t>2000Q1</t>
  </si>
  <si>
    <t>2000Q2</t>
  </si>
  <si>
    <t>2000Q3</t>
  </si>
  <si>
    <t>2000Q4</t>
  </si>
  <si>
    <t>GDP % change</t>
  </si>
  <si>
    <t>Population growth rate</t>
  </si>
  <si>
    <t>-</t>
  </si>
  <si>
    <t>Per Capita GDP</t>
  </si>
  <si>
    <t>Notes:</t>
  </si>
  <si>
    <t>Quarterly figures are not available for per capita GDP.</t>
  </si>
  <si>
    <t>1999Q2</t>
  </si>
  <si>
    <t>1999Q3</t>
  </si>
  <si>
    <t>1999Q4</t>
  </si>
  <si>
    <t>2000 Dec</t>
  </si>
  <si>
    <t>Manufacturing</t>
  </si>
  <si>
    <t>Transport Services</t>
  </si>
  <si>
    <t>***</t>
  </si>
  <si>
    <t>Financing, insurance, real estate and business services</t>
  </si>
  <si>
    <t>Personal services</t>
  </si>
  <si>
    <t>All selected Industries</t>
  </si>
  <si>
    <t>Figures refer to September of the year.</t>
  </si>
  <si>
    <t>*** Data are not released in order to safeguard confidentiality of information provided by individual firms</t>
  </si>
  <si>
    <t>Median hours of work per week for all employed persons (hours)</t>
  </si>
  <si>
    <t>Proportion of employed persons working for:</t>
  </si>
  <si>
    <t>50-59 hours per week (%)</t>
  </si>
  <si>
    <t>60 hours or more per week (%)</t>
  </si>
  <si>
    <t>50 hours or more per week (%)</t>
  </si>
  <si>
    <t>1999Q1</t>
  </si>
  <si>
    <t>Source: General Household Survey, Census and Statistics Department, Various issues.</t>
  </si>
  <si>
    <t>Table 5: Poverty rates</t>
  </si>
  <si>
    <t xml:space="preserve">Table 6: Income distribution </t>
  </si>
  <si>
    <t>highest/lowest</t>
  </si>
  <si>
    <t>Table 7: Trade Union Participation Rate</t>
  </si>
  <si>
    <t>* this is defined as : (declared membership of employee unions/ number of salaried employees and wage earners)</t>
  </si>
  <si>
    <t>1999Q4</t>
  </si>
  <si>
    <t>2000Q4</t>
  </si>
  <si>
    <t>.</t>
  </si>
  <si>
    <t>%</t>
  </si>
  <si>
    <t>Year *</t>
  </si>
  <si>
    <t>* for Q3 of the year</t>
  </si>
  <si>
    <t>Year</t>
  </si>
  <si>
    <t>GPN global labor market database:</t>
  </si>
  <si>
    <t>Submitted by:</t>
  </si>
  <si>
    <t xml:space="preserve">Hong Kong, 2000 fourth quarter </t>
  </si>
  <si>
    <t xml:space="preserve">The Social and Economic Policy Institute </t>
  </si>
  <si>
    <t>Tel: 852-23849373</t>
  </si>
  <si>
    <t>Fax: 852-23849057</t>
  </si>
  <si>
    <t>http://www.sepi.org/</t>
  </si>
  <si>
    <t>Table 1: Unemployment rates</t>
  </si>
  <si>
    <t>GPN global labour market database</t>
  </si>
  <si>
    <t>Hong Kong, 2000 fourth quarter</t>
  </si>
  <si>
    <t>Table 4: Output and population growth</t>
  </si>
  <si>
    <t>Poverty rate (%)*</t>
  </si>
  <si>
    <t>Source:  HKSAR Census and Statistics Department; Hong Kong Confederation of Trade Unions.</t>
  </si>
  <si>
    <t>Participation Rate (%)*</t>
  </si>
  <si>
    <t>2. The quarterly figures for overall unemployment rate are seasonally adjusted figures.</t>
  </si>
  <si>
    <r>
      <t>Male</t>
    </r>
    <r>
      <rPr>
        <b/>
        <vertAlign val="superscript"/>
        <sz val="12"/>
        <rFont val="Arial"/>
        <family val="2"/>
      </rPr>
      <t>1</t>
    </r>
  </si>
  <si>
    <r>
      <t>Female</t>
    </r>
    <r>
      <rPr>
        <b/>
        <vertAlign val="superscript"/>
        <sz val="12"/>
        <rFont val="Arial"/>
        <family val="2"/>
      </rPr>
      <t>1</t>
    </r>
  </si>
  <si>
    <r>
      <t>Overall</t>
    </r>
    <r>
      <rPr>
        <b/>
        <vertAlign val="superscript"/>
        <sz val="12"/>
        <rFont val="Arial"/>
        <family val="2"/>
      </rPr>
      <t>2</t>
    </r>
  </si>
  <si>
    <t>Table 3: Real wage index for Craftsmen and Operatives (Sept 1992=100) by Industry Sector</t>
  </si>
  <si>
    <t>Unemployment rate (%) in Hong Kong, 1990-2000</t>
  </si>
  <si>
    <t>(a)</t>
  </si>
  <si>
    <t>(b)</t>
  </si>
  <si>
    <t>Male (%)</t>
  </si>
  <si>
    <t>Female (%)</t>
  </si>
  <si>
    <t>Overall (%)</t>
  </si>
  <si>
    <t xml:space="preserve">Table 2: Underemployment and Long-Term Unemployment </t>
  </si>
  <si>
    <t xml:space="preserve">* Poverty rate is defined as the proportion of population with income below the half of median per capita household income </t>
  </si>
  <si>
    <t>The ratio of average per capita  household income between the highest and the lowest decile groups</t>
  </si>
  <si>
    <t>10.5(*1)</t>
  </si>
  <si>
    <t>-(*3)</t>
  </si>
  <si>
    <t>1.1(*4)</t>
  </si>
  <si>
    <t>1.5(*5)</t>
  </si>
  <si>
    <t>9.2(*6)</t>
  </si>
  <si>
    <t>(*1). Preliminary figures.</t>
  </si>
  <si>
    <t>(*3). Since August 2000, new approach for compiling population estimates has been adopted, and revised population figures backdated only to 1996 have been complied.</t>
  </si>
  <si>
    <t>(*4). Compared with Mid-1999.</t>
  </si>
  <si>
    <t>(*5). Compared with End-1999.</t>
  </si>
  <si>
    <t>(*6). Preliminary figures.</t>
  </si>
  <si>
    <t>14.1 (5.1) (*2)</t>
  </si>
  <si>
    <t>10.8  (-0.7) (*2)</t>
  </si>
  <si>
    <t>10.8 (2.1)  (*2)</t>
  </si>
  <si>
    <t>6.8  (-0.1)  (*2)</t>
  </si>
  <si>
    <t xml:space="preserve">(*2). Year-on-year rate of change. Figures in brackets are % change over the preceding quarter, seasonally adjusted figures, and are subject to revisions later on. </t>
  </si>
  <si>
    <t>Long-term unemployment rate (%)**</t>
  </si>
  <si>
    <t>Underemployment rate (%)*</t>
  </si>
  <si>
    <t>#The CPI(A) is compiled based on the expenditure patterns of households in the relatively low expenditure range.</t>
  </si>
  <si>
    <t>1st</t>
  </si>
  <si>
    <t>10th</t>
  </si>
  <si>
    <t>Consumer Price Indices (A)           (Oct 1994-Sept 1995=100)#</t>
  </si>
  <si>
    <t xml:space="preserve">Sources: HKSAR Census and Statistics Department, Hong Kong Annual Digest of Statistics 2000 edition; </t>
  </si>
  <si>
    <t>and Hong Kong Monthly Digest of Statistics, various issues.</t>
  </si>
  <si>
    <t xml:space="preserve">1. For both male and female, seasonally adjusted quarterly figures are not officially published. </t>
  </si>
  <si>
    <t>The average unemployment rates for both sex groups for 2000 are also not yet available</t>
  </si>
  <si>
    <t xml:space="preserve">*The underemployed population comprises those employed persons who have </t>
  </si>
  <si>
    <t xml:space="preserve">involuntarily worked less than 35 hours during the 7 days before enumeration and </t>
  </si>
  <si>
    <t xml:space="preserve">have sought additional work during the 30 days before enumeration, or have not </t>
  </si>
  <si>
    <t xml:space="preserve">sought additional work but have been available for additonal work during the 7 </t>
  </si>
  <si>
    <t xml:space="preserve">days before enumeration. The underemployment rate refers to the proportion of </t>
  </si>
  <si>
    <t>underemployed persons in the labour force.</t>
  </si>
  <si>
    <t>**This is defined as the proportion of persons unemployed for six months or more.</t>
  </si>
  <si>
    <t xml:space="preserve"> Annual figures are not officially published.</t>
  </si>
  <si>
    <t xml:space="preserve">and Hong Kong Monthly Digest of Statistics, various issues. </t>
  </si>
  <si>
    <t xml:space="preserve">Source: HKSAR Census and Statistics Department, 2000 Gross Domestic Product; Hong Kong Annual Digest of Statistics, various issues; </t>
  </si>
  <si>
    <t>and Hong Kong Monthly Digest of Statistics, April 2001.</t>
  </si>
  <si>
    <t>Percentage Share of the Total Household Incomes of the 1st and the 10th Decile Group</t>
  </si>
  <si>
    <t xml:space="preserve"> in the Income Distribution of Persons in Domestic Households</t>
  </si>
  <si>
    <t xml:space="preserve">Source: Calculated from the Report of the Commissioner for Labour, 1999 and HKSAR Census and Statistics Department, </t>
  </si>
  <si>
    <t>Hong Kong Annual Digest of Statistics 2000 edition.</t>
  </si>
  <si>
    <t xml:space="preserve">Table 8: Median hours of work per week and proportion </t>
  </si>
  <si>
    <t>of the employed population working for 50 hours or more per week</t>
  </si>
  <si>
    <t xml:space="preserve">Notes: New method for compiling population figures has been adopted by the government since August 2000. </t>
  </si>
  <si>
    <t>Therefore, the statisitcs between table (a) and table (b) may not be strictly comparable.</t>
  </si>
  <si>
    <t xml:space="preserve">Table 9: Proportion of employed persons with monthly employment </t>
  </si>
  <si>
    <t xml:space="preserve">earnings below the half of median </t>
  </si>
  <si>
    <t xml:space="preserve">Flat A, 15/F, Wing Wong Commercial Building, </t>
  </si>
  <si>
    <t>557-559 Nathan Road, Yaumatei, Kowloon, Hong Kong</t>
  </si>
  <si>
    <t>Posted to GPN on June 20, 2001.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</si>
</sst>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5" formatCode="0.0_ "/>
    <numFmt numFmtId="187" formatCode="#,##0.0_ "/>
    <numFmt numFmtId="188" formatCode="0.0%"/>
  </numFmts>
  <fonts count="13" x14ac:knownFonts="1">
    <font>
      <sz val="12"/>
      <name val="新細明體"/>
      <charset val="136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2"/>
      <color indexed="12"/>
      <name val="新細明體"/>
      <family val="1"/>
      <charset val="136"/>
    </font>
    <font>
      <u/>
      <sz val="12"/>
      <color indexed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b/>
      <sz val="14"/>
      <name val="新細明體"/>
      <family val="1"/>
      <charset val="136"/>
    </font>
    <font>
      <b/>
      <sz val="12"/>
      <name val="新細明體"/>
      <charset val="136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 applyFont="1" applyAlignment="1" applyProtection="1"/>
    <xf numFmtId="185" fontId="2" fillId="0" borderId="0" xfId="0" applyNumberFormat="1" applyFont="1"/>
    <xf numFmtId="0" fontId="8" fillId="0" borderId="0" xfId="0" applyFont="1"/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2" fillId="0" borderId="0" xfId="0" quotePrefix="1" applyFont="1" applyBorder="1" applyAlignment="1">
      <alignment horizontal="center" vertical="top" wrapText="1"/>
    </xf>
    <xf numFmtId="10" fontId="2" fillId="0" borderId="0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5" fontId="2" fillId="0" borderId="0" xfId="0" applyNumberFormat="1" applyFont="1" applyBorder="1" applyAlignment="1">
      <alignment horizontal="center" vertical="top" wrapText="1"/>
    </xf>
    <xf numFmtId="187" fontId="2" fillId="0" borderId="0" xfId="0" applyNumberFormat="1" applyFont="1" applyBorder="1" applyAlignment="1">
      <alignment horizontal="center" vertical="top" wrapText="1"/>
    </xf>
    <xf numFmtId="0" fontId="10" fillId="0" borderId="0" xfId="0" applyFont="1"/>
    <xf numFmtId="188" fontId="2" fillId="0" borderId="0" xfId="0" applyNumberFormat="1" applyFont="1"/>
    <xf numFmtId="0" fontId="5" fillId="0" borderId="0" xfId="0" applyFont="1" applyBorder="1" applyAlignment="1">
      <alignment horizontal="left" vertical="top" wrapText="1"/>
    </xf>
    <xf numFmtId="0" fontId="11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85" fontId="8" fillId="0" borderId="0" xfId="0" applyNumberFormat="1" applyFont="1" applyBorder="1" applyAlignment="1">
      <alignment horizontal="center" vertical="top" wrapText="1"/>
    </xf>
    <xf numFmtId="0" fontId="8" fillId="0" borderId="0" xfId="0" applyFont="1" applyBorder="1"/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603250</xdr:colOff>
      <xdr:row>2</xdr:row>
      <xdr:rowOff>146050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315E97D-E8AA-4514-9319-8A5C8753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03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234950</xdr:colOff>
      <xdr:row>3</xdr:row>
      <xdr:rowOff>146050</xdr:rowOff>
    </xdr:from>
    <xdr:to>
      <xdr:col>6</xdr:col>
      <xdr:colOff>584200</xdr:colOff>
      <xdr:row>6</xdr:row>
      <xdr:rowOff>12700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5B7F087F-7827-43FC-92C7-D9D8E5ED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736600"/>
          <a:ext cx="34925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epi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75" zoomScaleNormal="75" workbookViewId="0">
      <selection activeCell="A23" sqref="A23"/>
    </sheetView>
  </sheetViews>
  <sheetFormatPr defaultColWidth="9" defaultRowHeight="15.5" x14ac:dyDescent="0.35"/>
  <cols>
    <col min="1" max="16384" width="9" style="2"/>
  </cols>
  <sheetData>
    <row r="1" spans="1:10" x14ac:dyDescent="0.35">
      <c r="A1"/>
      <c r="B1"/>
      <c r="C1"/>
      <c r="D1"/>
      <c r="E1"/>
      <c r="F1"/>
      <c r="G1"/>
      <c r="H1"/>
      <c r="I1"/>
      <c r="J1"/>
    </row>
    <row r="2" spans="1:10" x14ac:dyDescent="0.35">
      <c r="A2"/>
      <c r="B2"/>
      <c r="C2"/>
      <c r="D2"/>
      <c r="E2"/>
      <c r="F2"/>
      <c r="G2"/>
      <c r="H2"/>
      <c r="I2"/>
      <c r="J2"/>
    </row>
    <row r="3" spans="1:10" x14ac:dyDescent="0.35">
      <c r="A3"/>
      <c r="B3"/>
      <c r="C3"/>
      <c r="D3"/>
      <c r="E3"/>
      <c r="F3"/>
      <c r="G3"/>
      <c r="H3"/>
      <c r="I3"/>
      <c r="J3"/>
    </row>
    <row r="4" spans="1:10" x14ac:dyDescent="0.35">
      <c r="A4"/>
      <c r="B4"/>
      <c r="C4"/>
      <c r="D4"/>
      <c r="E4"/>
      <c r="F4"/>
      <c r="G4"/>
      <c r="H4"/>
      <c r="I4"/>
      <c r="J4"/>
    </row>
    <row r="5" spans="1:10" x14ac:dyDescent="0.35">
      <c r="A5"/>
      <c r="B5"/>
      <c r="C5"/>
      <c r="D5"/>
      <c r="E5"/>
      <c r="F5"/>
      <c r="G5"/>
      <c r="H5"/>
      <c r="I5"/>
      <c r="J5"/>
    </row>
    <row r="6" spans="1:10" x14ac:dyDescent="0.35">
      <c r="A6"/>
      <c r="B6"/>
      <c r="C6"/>
      <c r="D6"/>
      <c r="E6"/>
      <c r="F6"/>
      <c r="G6"/>
      <c r="H6"/>
      <c r="I6"/>
      <c r="J6"/>
    </row>
    <row r="10" spans="1:10" ht="20" x14ac:dyDescent="0.4">
      <c r="A10" s="1" t="s">
        <v>42</v>
      </c>
    </row>
    <row r="11" spans="1:10" ht="20" x14ac:dyDescent="0.4">
      <c r="A11" s="1" t="s">
        <v>44</v>
      </c>
    </row>
    <row r="14" spans="1:10" x14ac:dyDescent="0.35">
      <c r="A14" s="2" t="s">
        <v>43</v>
      </c>
    </row>
    <row r="15" spans="1:10" ht="17.5" x14ac:dyDescent="0.35">
      <c r="A15" s="3"/>
    </row>
    <row r="16" spans="1:10" ht="18" x14ac:dyDescent="0.4">
      <c r="A16" s="4" t="s">
        <v>45</v>
      </c>
    </row>
    <row r="17" spans="1:5" ht="17.5" x14ac:dyDescent="0.35">
      <c r="A17" s="2" t="s">
        <v>116</v>
      </c>
      <c r="B17" s="3"/>
      <c r="C17" s="3"/>
      <c r="D17" s="3"/>
      <c r="E17" s="3"/>
    </row>
    <row r="18" spans="1:5" ht="17.5" x14ac:dyDescent="0.35">
      <c r="A18" s="2" t="s">
        <v>117</v>
      </c>
      <c r="B18" s="3"/>
      <c r="C18" s="3"/>
      <c r="D18" s="3"/>
      <c r="E18" s="3"/>
    </row>
    <row r="19" spans="1:5" x14ac:dyDescent="0.35">
      <c r="A19" s="2" t="s">
        <v>46</v>
      </c>
    </row>
    <row r="20" spans="1:5" x14ac:dyDescent="0.35">
      <c r="A20" s="2" t="s">
        <v>47</v>
      </c>
    </row>
    <row r="21" spans="1:5" x14ac:dyDescent="0.35">
      <c r="A21" s="6" t="s">
        <v>48</v>
      </c>
    </row>
    <row r="23" spans="1:5" x14ac:dyDescent="0.35">
      <c r="A23" s="2" t="s">
        <v>118</v>
      </c>
    </row>
  </sheetData>
  <hyperlinks>
    <hyperlink ref="A21" r:id="rId1"/>
  </hyperlinks>
  <pageMargins left="0.75" right="0.75" top="1" bottom="1" header="0.5" footer="0.5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75" workbookViewId="0">
      <selection activeCell="A8" sqref="A8:A9"/>
    </sheetView>
  </sheetViews>
  <sheetFormatPr defaultColWidth="9" defaultRowHeight="15.5" x14ac:dyDescent="0.35"/>
  <cols>
    <col min="1" max="16384" width="9" style="2"/>
  </cols>
  <sheetData>
    <row r="1" spans="1:12" ht="20" x14ac:dyDescent="0.4">
      <c r="A1" s="1" t="s">
        <v>50</v>
      </c>
      <c r="B1" s="1"/>
      <c r="C1" s="1"/>
      <c r="D1" s="1"/>
    </row>
    <row r="2" spans="1:12" ht="20" x14ac:dyDescent="0.4">
      <c r="A2" s="1" t="s">
        <v>51</v>
      </c>
      <c r="B2" s="1"/>
      <c r="C2" s="1"/>
      <c r="D2" s="1"/>
    </row>
    <row r="4" spans="1:12" ht="18" x14ac:dyDescent="0.4">
      <c r="A4" s="4" t="s">
        <v>49</v>
      </c>
      <c r="B4" s="4"/>
      <c r="C4" s="4"/>
    </row>
    <row r="6" spans="1:12" s="5" customFormat="1" x14ac:dyDescent="0.35">
      <c r="A6" s="5" t="s">
        <v>61</v>
      </c>
    </row>
    <row r="7" spans="1:12" s="5" customFormat="1" x14ac:dyDescent="0.35"/>
    <row r="8" spans="1:12" s="11" customFormat="1" x14ac:dyDescent="0.35">
      <c r="A8" s="30" t="s">
        <v>0</v>
      </c>
      <c r="B8" s="29">
        <v>1990</v>
      </c>
      <c r="C8" s="29">
        <v>1993</v>
      </c>
      <c r="D8" s="29">
        <v>1996</v>
      </c>
      <c r="E8" s="29">
        <v>1997</v>
      </c>
      <c r="F8" s="29">
        <v>1998</v>
      </c>
      <c r="G8" s="29">
        <v>1999</v>
      </c>
      <c r="H8" s="29">
        <v>2000</v>
      </c>
      <c r="I8" s="29" t="s">
        <v>1</v>
      </c>
      <c r="J8" s="29" t="s">
        <v>2</v>
      </c>
      <c r="K8" s="29" t="s">
        <v>3</v>
      </c>
      <c r="L8" s="29" t="s">
        <v>4</v>
      </c>
    </row>
    <row r="9" spans="1:12" s="11" customFormat="1" x14ac:dyDescent="0.35">
      <c r="A9" s="30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 s="13" customFormat="1" ht="17.5" x14ac:dyDescent="0.35">
      <c r="A10" s="9" t="s">
        <v>57</v>
      </c>
      <c r="B10" s="12">
        <v>1.3</v>
      </c>
      <c r="C10" s="18">
        <v>2</v>
      </c>
      <c r="D10" s="12">
        <v>3.1</v>
      </c>
      <c r="E10" s="12">
        <v>2.2999999999999998</v>
      </c>
      <c r="F10" s="12">
        <v>5.2</v>
      </c>
      <c r="G10" s="12">
        <v>7.2</v>
      </c>
      <c r="H10" s="12" t="s">
        <v>7</v>
      </c>
      <c r="I10" s="12">
        <v>6.2</v>
      </c>
      <c r="J10" s="12">
        <v>5.7</v>
      </c>
      <c r="K10" s="12">
        <v>5.5</v>
      </c>
      <c r="L10" s="12">
        <v>5.3</v>
      </c>
    </row>
    <row r="11" spans="1:12" s="13" customFormat="1" ht="33" x14ac:dyDescent="0.35">
      <c r="A11" s="9" t="s">
        <v>58</v>
      </c>
      <c r="B11" s="12">
        <v>1.3</v>
      </c>
      <c r="C11" s="18">
        <v>1.9</v>
      </c>
      <c r="D11" s="12">
        <v>2.2999999999999998</v>
      </c>
      <c r="E11" s="18">
        <v>2</v>
      </c>
      <c r="F11" s="18">
        <v>4</v>
      </c>
      <c r="G11" s="12">
        <v>4.9000000000000004</v>
      </c>
      <c r="H11" s="12" t="s">
        <v>7</v>
      </c>
      <c r="I11" s="12">
        <v>4.5999999999999996</v>
      </c>
      <c r="J11" s="12">
        <v>4.2</v>
      </c>
      <c r="K11" s="12">
        <v>4.2</v>
      </c>
      <c r="L11" s="12">
        <v>3.2</v>
      </c>
    </row>
    <row r="12" spans="1:12" s="13" customFormat="1" ht="33" x14ac:dyDescent="0.35">
      <c r="A12" s="9" t="s">
        <v>59</v>
      </c>
      <c r="B12" s="12">
        <v>1.3</v>
      </c>
      <c r="C12" s="18">
        <v>2</v>
      </c>
      <c r="D12" s="12">
        <v>2.8</v>
      </c>
      <c r="E12" s="12">
        <v>2.2000000000000002</v>
      </c>
      <c r="F12" s="12">
        <v>4.7</v>
      </c>
      <c r="G12" s="12">
        <v>6.3</v>
      </c>
      <c r="H12" s="19">
        <v>5</v>
      </c>
      <c r="I12" s="19">
        <v>5.6</v>
      </c>
      <c r="J12" s="19">
        <v>5</v>
      </c>
      <c r="K12" s="12">
        <v>4.8</v>
      </c>
      <c r="L12" s="12">
        <v>4.4000000000000004</v>
      </c>
    </row>
    <row r="13" spans="1:12" s="13" customFormat="1" x14ac:dyDescent="0.35">
      <c r="A13" s="9"/>
      <c r="B13" s="12"/>
      <c r="C13" s="12"/>
      <c r="D13" s="12"/>
      <c r="E13" s="12"/>
      <c r="F13" s="12"/>
      <c r="G13" s="12"/>
      <c r="H13" s="19"/>
      <c r="I13" s="19"/>
      <c r="J13" s="19"/>
      <c r="K13" s="12"/>
      <c r="L13" s="12"/>
    </row>
    <row r="14" spans="1:12" s="8" customFormat="1" ht="12.5" x14ac:dyDescent="0.25">
      <c r="A14" s="8" t="s">
        <v>9</v>
      </c>
    </row>
    <row r="15" spans="1:12" s="8" customFormat="1" ht="12.5" x14ac:dyDescent="0.25">
      <c r="A15" s="8" t="s">
        <v>93</v>
      </c>
    </row>
    <row r="16" spans="1:12" s="8" customFormat="1" ht="12.5" x14ac:dyDescent="0.25">
      <c r="A16" s="8" t="s">
        <v>94</v>
      </c>
    </row>
    <row r="17" spans="1:12" s="8" customFormat="1" ht="12.5" x14ac:dyDescent="0.25">
      <c r="A17" s="8" t="s">
        <v>56</v>
      </c>
    </row>
    <row r="18" spans="1:12" s="8" customFormat="1" ht="12.5" x14ac:dyDescent="0.25">
      <c r="A18" s="8" t="s">
        <v>91</v>
      </c>
    </row>
    <row r="19" spans="1:12" x14ac:dyDescent="0.35">
      <c r="A19" s="8" t="s">
        <v>92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</sheetData>
  <mergeCells count="12">
    <mergeCell ref="A8:A9"/>
    <mergeCell ref="B8:B9"/>
    <mergeCell ref="C8:C9"/>
    <mergeCell ref="D8:D9"/>
    <mergeCell ref="I8:I9"/>
    <mergeCell ref="J8:J9"/>
    <mergeCell ref="K8:K9"/>
    <mergeCell ref="L8:L9"/>
    <mergeCell ref="E8:E9"/>
    <mergeCell ref="F8:F9"/>
    <mergeCell ref="G8:G9"/>
    <mergeCell ref="H8:H9"/>
  </mergeCells>
  <pageMargins left="0.75" right="0.75" top="1" bottom="1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zoomScale="75" workbookViewId="0">
      <selection activeCell="C24" sqref="C24"/>
    </sheetView>
  </sheetViews>
  <sheetFormatPr defaultColWidth="9" defaultRowHeight="15.5" x14ac:dyDescent="0.35"/>
  <cols>
    <col min="1" max="1" width="9" style="2"/>
    <col min="2" max="2" width="20.6328125" style="2" customWidth="1"/>
    <col min="3" max="3" width="25.26953125" style="2" customWidth="1"/>
    <col min="4" max="16384" width="9" style="2"/>
  </cols>
  <sheetData>
    <row r="1" spans="1:4" ht="20" x14ac:dyDescent="0.4">
      <c r="A1" s="1" t="s">
        <v>50</v>
      </c>
      <c r="B1" s="1"/>
      <c r="C1" s="1"/>
      <c r="D1" s="1"/>
    </row>
    <row r="2" spans="1:4" ht="20" x14ac:dyDescent="0.4">
      <c r="A2" s="1" t="s">
        <v>51</v>
      </c>
      <c r="B2" s="1"/>
      <c r="C2" s="1"/>
      <c r="D2" s="1"/>
    </row>
    <row r="3" spans="1:4" ht="20" x14ac:dyDescent="0.4">
      <c r="A3" s="1"/>
      <c r="B3" s="1"/>
      <c r="C3" s="1"/>
      <c r="D3" s="1"/>
    </row>
    <row r="4" spans="1:4" s="4" customFormat="1" ht="18" x14ac:dyDescent="0.4">
      <c r="A4" s="4" t="s">
        <v>67</v>
      </c>
    </row>
    <row r="5" spans="1:4" s="4" customFormat="1" ht="18" x14ac:dyDescent="0.4"/>
    <row r="6" spans="1:4" s="11" customFormat="1" ht="33.75" customHeight="1" x14ac:dyDescent="0.35">
      <c r="A6" s="9" t="s">
        <v>0</v>
      </c>
      <c r="B6" s="10" t="s">
        <v>86</v>
      </c>
      <c r="C6" s="10" t="s">
        <v>85</v>
      </c>
    </row>
    <row r="7" spans="1:4" s="13" customFormat="1" x14ac:dyDescent="0.35">
      <c r="A7" s="22">
        <v>1996</v>
      </c>
      <c r="B7" s="12">
        <v>1.7</v>
      </c>
      <c r="C7" s="12" t="s">
        <v>7</v>
      </c>
    </row>
    <row r="8" spans="1:4" s="13" customFormat="1" x14ac:dyDescent="0.35">
      <c r="A8" s="22">
        <v>1997</v>
      </c>
      <c r="B8" s="12">
        <v>1.2</v>
      </c>
      <c r="C8" s="12" t="s">
        <v>7</v>
      </c>
    </row>
    <row r="9" spans="1:4" s="13" customFormat="1" x14ac:dyDescent="0.35">
      <c r="A9" s="22">
        <v>1998</v>
      </c>
      <c r="B9" s="12">
        <v>2.5</v>
      </c>
      <c r="C9" s="12" t="s">
        <v>7</v>
      </c>
    </row>
    <row r="10" spans="1:4" s="13" customFormat="1" x14ac:dyDescent="0.35">
      <c r="A10" s="22">
        <v>1999</v>
      </c>
      <c r="B10" s="18">
        <v>3</v>
      </c>
      <c r="C10" s="12" t="s">
        <v>7</v>
      </c>
    </row>
    <row r="11" spans="1:4" s="13" customFormat="1" x14ac:dyDescent="0.35">
      <c r="A11" s="22" t="s">
        <v>11</v>
      </c>
      <c r="B11" s="12">
        <v>2.9</v>
      </c>
      <c r="C11" s="18">
        <v>30</v>
      </c>
    </row>
    <row r="12" spans="1:4" s="13" customFormat="1" x14ac:dyDescent="0.35">
      <c r="A12" s="22" t="s">
        <v>12</v>
      </c>
      <c r="B12" s="12">
        <v>3.1</v>
      </c>
      <c r="C12" s="12">
        <v>26.7</v>
      </c>
    </row>
    <row r="13" spans="1:4" s="13" customFormat="1" x14ac:dyDescent="0.35">
      <c r="A13" s="22" t="s">
        <v>13</v>
      </c>
      <c r="B13" s="12">
        <v>2.8</v>
      </c>
      <c r="C13" s="12">
        <v>32.299999999999997</v>
      </c>
    </row>
    <row r="14" spans="1:4" s="13" customFormat="1" x14ac:dyDescent="0.35">
      <c r="A14" s="22">
        <v>2000</v>
      </c>
      <c r="B14" s="12">
        <v>2.8</v>
      </c>
      <c r="C14" s="12" t="s">
        <v>7</v>
      </c>
    </row>
    <row r="15" spans="1:4" s="13" customFormat="1" x14ac:dyDescent="0.35">
      <c r="A15" s="22" t="s">
        <v>1</v>
      </c>
      <c r="B15" s="12">
        <v>2.8</v>
      </c>
      <c r="C15" s="12">
        <v>28.4</v>
      </c>
    </row>
    <row r="16" spans="1:4" s="13" customFormat="1" x14ac:dyDescent="0.35">
      <c r="A16" s="22" t="s">
        <v>2</v>
      </c>
      <c r="B16" s="12">
        <v>3.2</v>
      </c>
      <c r="C16" s="12">
        <v>23.6</v>
      </c>
    </row>
    <row r="17" spans="1:6" s="13" customFormat="1" x14ac:dyDescent="0.35">
      <c r="A17" s="22" t="s">
        <v>3</v>
      </c>
      <c r="B17" s="12">
        <v>2.6</v>
      </c>
      <c r="C17" s="12">
        <v>20.5</v>
      </c>
    </row>
    <row r="18" spans="1:6" s="13" customFormat="1" x14ac:dyDescent="0.35">
      <c r="A18" s="22" t="s">
        <v>4</v>
      </c>
      <c r="B18" s="12">
        <v>2.7</v>
      </c>
      <c r="C18" s="12">
        <v>23.5</v>
      </c>
    </row>
    <row r="19" spans="1:6" s="13" customFormat="1" x14ac:dyDescent="0.35">
      <c r="A19" s="22"/>
      <c r="B19" s="12"/>
      <c r="C19" s="12"/>
    </row>
    <row r="20" spans="1:6" s="8" customFormat="1" ht="17.25" customHeight="1" x14ac:dyDescent="0.25">
      <c r="A20" s="8" t="s">
        <v>9</v>
      </c>
    </row>
    <row r="21" spans="1:6" s="8" customFormat="1" ht="17.25" customHeight="1" x14ac:dyDescent="0.25">
      <c r="A21" s="8" t="s">
        <v>95</v>
      </c>
    </row>
    <row r="22" spans="1:6" s="8" customFormat="1" ht="17.25" customHeight="1" x14ac:dyDescent="0.25">
      <c r="A22" s="8" t="s">
        <v>96</v>
      </c>
    </row>
    <row r="23" spans="1:6" s="8" customFormat="1" ht="17.25" customHeight="1" x14ac:dyDescent="0.25">
      <c r="A23" s="8" t="s">
        <v>97</v>
      </c>
    </row>
    <row r="24" spans="1:6" s="8" customFormat="1" ht="17.25" customHeight="1" x14ac:dyDescent="0.25">
      <c r="A24" s="8" t="s">
        <v>98</v>
      </c>
    </row>
    <row r="25" spans="1:6" s="8" customFormat="1" ht="17.25" customHeight="1" x14ac:dyDescent="0.25">
      <c r="A25" s="8" t="s">
        <v>99</v>
      </c>
    </row>
    <row r="26" spans="1:6" s="8" customFormat="1" ht="17.25" customHeight="1" x14ac:dyDescent="0.25">
      <c r="A26" s="8" t="s">
        <v>100</v>
      </c>
    </row>
    <row r="27" spans="1:6" s="8" customFormat="1" ht="17.25" customHeight="1" x14ac:dyDescent="0.25"/>
    <row r="28" spans="1:6" s="8" customFormat="1" ht="12.5" x14ac:dyDescent="0.25">
      <c r="A28" s="8" t="s">
        <v>101</v>
      </c>
    </row>
    <row r="29" spans="1:6" s="8" customFormat="1" ht="12.5" x14ac:dyDescent="0.25">
      <c r="A29" s="8" t="s">
        <v>102</v>
      </c>
    </row>
    <row r="30" spans="1:6" s="8" customFormat="1" ht="12.5" x14ac:dyDescent="0.25"/>
    <row r="31" spans="1:6" s="8" customFormat="1" ht="12.5" x14ac:dyDescent="0.25">
      <c r="A31" s="8" t="s">
        <v>91</v>
      </c>
    </row>
    <row r="32" spans="1:6" x14ac:dyDescent="0.35">
      <c r="A32" s="8" t="s">
        <v>92</v>
      </c>
      <c r="B32" s="8"/>
      <c r="C32" s="8"/>
      <c r="D32" s="8"/>
      <c r="E32" s="8"/>
      <c r="F32" s="8"/>
    </row>
    <row r="33" spans="1:6" x14ac:dyDescent="0.35">
      <c r="A33" s="8"/>
      <c r="B33" s="8"/>
      <c r="C33" s="8"/>
      <c r="D33" s="8"/>
      <c r="E33" s="8"/>
      <c r="F33" s="8"/>
    </row>
    <row r="34" spans="1:6" x14ac:dyDescent="0.35">
      <c r="A34" s="8"/>
      <c r="B34" s="8"/>
      <c r="C34" s="8"/>
      <c r="D34" s="8"/>
      <c r="E34" s="8"/>
      <c r="F34" s="8"/>
    </row>
  </sheetData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75" workbookViewId="0">
      <selection activeCell="D30" sqref="D30"/>
    </sheetView>
  </sheetViews>
  <sheetFormatPr defaultColWidth="9" defaultRowHeight="15.5" x14ac:dyDescent="0.35"/>
  <cols>
    <col min="1" max="1" width="19.08984375" style="2" customWidth="1"/>
    <col min="2" max="16384" width="9" style="2"/>
  </cols>
  <sheetData>
    <row r="1" spans="1:13" ht="20" x14ac:dyDescent="0.4">
      <c r="A1" s="1" t="s">
        <v>50</v>
      </c>
      <c r="B1" s="1"/>
      <c r="C1" s="1"/>
      <c r="D1" s="1"/>
    </row>
    <row r="2" spans="1:13" ht="20" x14ac:dyDescent="0.4">
      <c r="A2" s="1" t="s">
        <v>51</v>
      </c>
      <c r="B2" s="1"/>
      <c r="C2" s="1"/>
      <c r="D2" s="1"/>
    </row>
    <row r="3" spans="1:13" ht="20" x14ac:dyDescent="0.4">
      <c r="A3" s="1"/>
      <c r="B3" s="1"/>
      <c r="C3" s="1"/>
      <c r="D3" s="1"/>
    </row>
    <row r="4" spans="1:13" s="4" customFormat="1" ht="18" x14ac:dyDescent="0.4">
      <c r="A4" s="4" t="s">
        <v>60</v>
      </c>
    </row>
    <row r="5" spans="1:13" s="4" customFormat="1" ht="18" x14ac:dyDescent="0.4"/>
    <row r="6" spans="1:13" s="11" customFormat="1" ht="31" x14ac:dyDescent="0.35">
      <c r="A6" s="9" t="s">
        <v>0</v>
      </c>
      <c r="B6" s="10">
        <v>1990</v>
      </c>
      <c r="C6" s="10">
        <v>1993</v>
      </c>
      <c r="D6" s="10">
        <v>1995</v>
      </c>
      <c r="E6" s="10">
        <v>1996</v>
      </c>
      <c r="F6" s="10">
        <v>1997</v>
      </c>
      <c r="G6" s="10">
        <v>1998</v>
      </c>
      <c r="H6" s="10">
        <v>1999</v>
      </c>
      <c r="I6" s="10">
        <v>2000</v>
      </c>
      <c r="J6" s="10" t="s">
        <v>14</v>
      </c>
    </row>
    <row r="7" spans="1:13" s="13" customFormat="1" x14ac:dyDescent="0.35">
      <c r="A7" s="9" t="s">
        <v>15</v>
      </c>
      <c r="B7" s="12">
        <v>100.9</v>
      </c>
      <c r="C7" s="12">
        <v>101.1</v>
      </c>
      <c r="D7" s="12">
        <v>95.3</v>
      </c>
      <c r="E7" s="12">
        <v>97.5</v>
      </c>
      <c r="F7" s="12">
        <v>96.9</v>
      </c>
      <c r="G7" s="12">
        <v>94.6</v>
      </c>
      <c r="H7" s="12">
        <v>98.4</v>
      </c>
      <c r="I7" s="12">
        <v>103.3</v>
      </c>
      <c r="J7" s="12">
        <v>103.6</v>
      </c>
    </row>
    <row r="8" spans="1:13" s="13" customFormat="1" ht="22.5" customHeight="1" x14ac:dyDescent="0.35">
      <c r="A8" s="9" t="s">
        <v>16</v>
      </c>
      <c r="B8" s="12" t="s">
        <v>17</v>
      </c>
      <c r="C8" s="12">
        <v>104.8</v>
      </c>
      <c r="D8" s="12">
        <v>98.4</v>
      </c>
      <c r="E8" s="12">
        <v>99.2</v>
      </c>
      <c r="F8" s="12">
        <v>105.1</v>
      </c>
      <c r="G8" s="12">
        <v>107.1</v>
      </c>
      <c r="H8" s="18">
        <v>111</v>
      </c>
      <c r="I8" s="12">
        <v>107</v>
      </c>
      <c r="J8" s="12">
        <v>106.4</v>
      </c>
    </row>
    <row r="9" spans="1:13" s="13" customFormat="1" ht="72" customHeight="1" x14ac:dyDescent="0.35">
      <c r="A9" s="9" t="s">
        <v>18</v>
      </c>
      <c r="B9" s="12" t="s">
        <v>7</v>
      </c>
      <c r="C9" s="12">
        <v>101.6</v>
      </c>
      <c r="D9" s="12">
        <v>97.6</v>
      </c>
      <c r="E9" s="12">
        <v>99.1</v>
      </c>
      <c r="F9" s="12">
        <v>100.7</v>
      </c>
      <c r="G9" s="12">
        <v>99.5</v>
      </c>
      <c r="H9" s="12">
        <v>100.9</v>
      </c>
      <c r="I9" s="12">
        <v>108.3</v>
      </c>
      <c r="J9" s="12">
        <v>110.5</v>
      </c>
    </row>
    <row r="10" spans="1:13" s="13" customFormat="1" ht="23.25" customHeight="1" x14ac:dyDescent="0.35">
      <c r="A10" s="9" t="s">
        <v>19</v>
      </c>
      <c r="B10" s="12">
        <v>91.2</v>
      </c>
      <c r="C10" s="12">
        <v>103.3</v>
      </c>
      <c r="D10" s="12">
        <v>100.5</v>
      </c>
      <c r="E10" s="12">
        <v>102.6</v>
      </c>
      <c r="F10" s="12">
        <v>101.2</v>
      </c>
      <c r="G10" s="12">
        <v>99.4</v>
      </c>
      <c r="H10" s="18">
        <v>107</v>
      </c>
      <c r="I10" s="12">
        <v>111.3</v>
      </c>
      <c r="J10" s="12">
        <v>107.4</v>
      </c>
    </row>
    <row r="11" spans="1:13" s="13" customFormat="1" ht="31" x14ac:dyDescent="0.35">
      <c r="A11" s="9" t="s">
        <v>20</v>
      </c>
      <c r="B11" s="12">
        <v>100.4</v>
      </c>
      <c r="C11" s="12">
        <v>101.7</v>
      </c>
      <c r="D11" s="12">
        <v>96.2</v>
      </c>
      <c r="E11" s="12">
        <v>98.1</v>
      </c>
      <c r="F11" s="12">
        <v>99.5</v>
      </c>
      <c r="G11" s="12">
        <v>98.7</v>
      </c>
      <c r="H11" s="12">
        <v>102.5</v>
      </c>
      <c r="I11" s="12">
        <v>104.1</v>
      </c>
      <c r="J11" s="18">
        <v>104</v>
      </c>
    </row>
    <row r="12" spans="1:13" s="13" customFormat="1" ht="62" x14ac:dyDescent="0.35">
      <c r="A12" s="9" t="s">
        <v>90</v>
      </c>
      <c r="B12" s="12">
        <v>65.400000000000006</v>
      </c>
      <c r="C12" s="12">
        <v>86.7</v>
      </c>
      <c r="D12" s="12">
        <v>101.8</v>
      </c>
      <c r="E12" s="18">
        <v>107.9</v>
      </c>
      <c r="F12" s="12">
        <v>114.1</v>
      </c>
      <c r="G12" s="18">
        <v>117</v>
      </c>
      <c r="H12" s="12">
        <v>113.2</v>
      </c>
      <c r="I12" s="12">
        <v>110.1</v>
      </c>
      <c r="J12" s="12">
        <v>109.7</v>
      </c>
    </row>
    <row r="13" spans="1:13" s="13" customFormat="1" x14ac:dyDescent="0.35">
      <c r="A13" s="25"/>
      <c r="B13" s="26"/>
      <c r="C13" s="26"/>
      <c r="D13" s="26"/>
      <c r="E13" s="27"/>
      <c r="F13" s="26"/>
      <c r="G13" s="27"/>
      <c r="H13" s="26"/>
      <c r="I13" s="26"/>
      <c r="J13" s="26"/>
      <c r="K13" s="28"/>
      <c r="L13" s="28"/>
      <c r="M13" s="28"/>
    </row>
    <row r="14" spans="1:13" s="8" customFormat="1" ht="12.5" x14ac:dyDescent="0.25">
      <c r="A14" s="8" t="s">
        <v>9</v>
      </c>
    </row>
    <row r="15" spans="1:13" s="8" customFormat="1" ht="12.5" x14ac:dyDescent="0.25">
      <c r="A15" s="8" t="s">
        <v>21</v>
      </c>
    </row>
    <row r="16" spans="1:13" s="8" customFormat="1" ht="12.5" x14ac:dyDescent="0.25">
      <c r="A16" s="8" t="s">
        <v>22</v>
      </c>
    </row>
    <row r="17" spans="1:13" s="8" customFormat="1" ht="12.5" x14ac:dyDescent="0.25">
      <c r="A17" s="8" t="s">
        <v>87</v>
      </c>
    </row>
    <row r="18" spans="1:13" s="8" customFormat="1" ht="12.5" x14ac:dyDescent="0.25">
      <c r="A18" s="8" t="s">
        <v>91</v>
      </c>
    </row>
    <row r="19" spans="1:13" x14ac:dyDescent="0.35">
      <c r="A19" s="8" t="s">
        <v>103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</sheetData>
  <pageMargins left="0.75" right="0.75" top="1" bottom="1" header="0.5" footer="0.5"/>
  <pageSetup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="75" zoomScaleNormal="75" workbookViewId="0">
      <selection activeCell="L18" sqref="L18"/>
    </sheetView>
  </sheetViews>
  <sheetFormatPr defaultColWidth="9" defaultRowHeight="15.5" x14ac:dyDescent="0.35"/>
  <cols>
    <col min="1" max="1" width="11.453125" style="2" customWidth="1"/>
    <col min="2" max="6" width="9" style="2"/>
    <col min="7" max="7" width="10.453125" style="2" customWidth="1"/>
    <col min="8" max="8" width="12.90625" style="2" customWidth="1"/>
    <col min="9" max="9" width="11.36328125" style="2" customWidth="1"/>
    <col min="10" max="10" width="12" style="2" customWidth="1"/>
    <col min="11" max="16384" width="9" style="2"/>
  </cols>
  <sheetData>
    <row r="1" spans="1:10" ht="20" x14ac:dyDescent="0.4">
      <c r="A1" s="1" t="s">
        <v>50</v>
      </c>
      <c r="B1" s="1"/>
      <c r="C1" s="1"/>
      <c r="D1" s="1"/>
    </row>
    <row r="2" spans="1:10" ht="20" x14ac:dyDescent="0.4">
      <c r="A2" s="1" t="s">
        <v>51</v>
      </c>
      <c r="B2" s="1"/>
      <c r="C2" s="1"/>
      <c r="D2" s="1"/>
    </row>
    <row r="4" spans="1:10" s="4" customFormat="1" ht="18" x14ac:dyDescent="0.4">
      <c r="A4" s="4" t="s">
        <v>52</v>
      </c>
    </row>
    <row r="6" spans="1:10" s="11" customFormat="1" x14ac:dyDescent="0.35">
      <c r="A6" s="9" t="s">
        <v>0</v>
      </c>
      <c r="B6" s="10">
        <v>1996</v>
      </c>
      <c r="C6" s="10">
        <v>1997</v>
      </c>
      <c r="D6" s="10">
        <v>1998</v>
      </c>
      <c r="E6" s="10">
        <v>1999</v>
      </c>
      <c r="F6" s="10">
        <v>2000</v>
      </c>
      <c r="G6" s="10" t="s">
        <v>1</v>
      </c>
      <c r="H6" s="10" t="s">
        <v>2</v>
      </c>
      <c r="I6" s="10" t="s">
        <v>3</v>
      </c>
      <c r="J6" s="10" t="s">
        <v>4</v>
      </c>
    </row>
    <row r="7" spans="1:10" s="13" customFormat="1" ht="31" x14ac:dyDescent="0.35">
      <c r="A7" s="9" t="s">
        <v>5</v>
      </c>
      <c r="B7" s="12">
        <v>4.5</v>
      </c>
      <c r="C7" s="18">
        <v>5</v>
      </c>
      <c r="D7" s="12">
        <v>-5.3</v>
      </c>
      <c r="E7" s="12">
        <v>3.1</v>
      </c>
      <c r="F7" s="12" t="s">
        <v>70</v>
      </c>
      <c r="G7" s="12" t="s">
        <v>80</v>
      </c>
      <c r="H7" s="12" t="s">
        <v>81</v>
      </c>
      <c r="I7" s="12" t="s">
        <v>82</v>
      </c>
      <c r="J7" s="12" t="s">
        <v>83</v>
      </c>
    </row>
    <row r="8" spans="1:10" s="13" customFormat="1" ht="46.5" x14ac:dyDescent="0.35">
      <c r="A8" s="9" t="s">
        <v>6</v>
      </c>
      <c r="B8" s="14" t="s">
        <v>71</v>
      </c>
      <c r="C8" s="12">
        <v>1.2</v>
      </c>
      <c r="D8" s="12">
        <v>1.2</v>
      </c>
      <c r="E8" s="12">
        <v>1.1000000000000001</v>
      </c>
      <c r="F8" s="12">
        <v>1.1000000000000001</v>
      </c>
      <c r="G8" s="12" t="s">
        <v>7</v>
      </c>
      <c r="H8" s="15" t="s">
        <v>72</v>
      </c>
      <c r="I8" s="12" t="s">
        <v>7</v>
      </c>
      <c r="J8" s="12" t="s">
        <v>73</v>
      </c>
    </row>
    <row r="9" spans="1:10" s="13" customFormat="1" ht="46.5" x14ac:dyDescent="0.35">
      <c r="A9" s="9" t="s">
        <v>8</v>
      </c>
      <c r="B9" s="12">
        <v>-0.8</v>
      </c>
      <c r="C9" s="12">
        <v>3.7</v>
      </c>
      <c r="D9" s="12">
        <v>-6.5</v>
      </c>
      <c r="E9" s="12">
        <v>1.9</v>
      </c>
      <c r="F9" s="12" t="s">
        <v>74</v>
      </c>
      <c r="G9" s="12" t="s">
        <v>7</v>
      </c>
      <c r="H9" s="12" t="s">
        <v>7</v>
      </c>
      <c r="I9" s="12" t="s">
        <v>7</v>
      </c>
      <c r="J9" s="12" t="s">
        <v>7</v>
      </c>
    </row>
    <row r="11" spans="1:10" s="8" customFormat="1" ht="12.5" x14ac:dyDescent="0.25">
      <c r="A11" s="8" t="s">
        <v>9</v>
      </c>
    </row>
    <row r="12" spans="1:10" s="8" customFormat="1" ht="12.5" x14ac:dyDescent="0.25">
      <c r="A12" s="8" t="s">
        <v>10</v>
      </c>
    </row>
    <row r="13" spans="1:10" s="8" customFormat="1" ht="12.5" x14ac:dyDescent="0.25">
      <c r="A13" s="8" t="s">
        <v>75</v>
      </c>
    </row>
    <row r="14" spans="1:10" s="8" customFormat="1" ht="12.5" x14ac:dyDescent="0.25">
      <c r="A14" s="8" t="s">
        <v>84</v>
      </c>
    </row>
    <row r="15" spans="1:10" s="8" customFormat="1" ht="12.5" x14ac:dyDescent="0.25">
      <c r="A15" s="8" t="s">
        <v>76</v>
      </c>
    </row>
    <row r="16" spans="1:10" s="8" customFormat="1" ht="12.5" x14ac:dyDescent="0.25">
      <c r="A16" s="8" t="s">
        <v>77</v>
      </c>
    </row>
    <row r="17" spans="1:13" s="8" customFormat="1" ht="12.5" x14ac:dyDescent="0.25">
      <c r="A17" s="8" t="s">
        <v>78</v>
      </c>
    </row>
    <row r="18" spans="1:13" s="8" customFormat="1" ht="12.5" x14ac:dyDescent="0.25">
      <c r="A18" s="8" t="s">
        <v>79</v>
      </c>
    </row>
    <row r="19" spans="1:13" s="8" customFormat="1" ht="12.5" x14ac:dyDescent="0.25"/>
    <row r="20" spans="1:13" s="8" customFormat="1" ht="12.5" x14ac:dyDescent="0.25">
      <c r="A20" s="8" t="s">
        <v>104</v>
      </c>
    </row>
    <row r="21" spans="1:13" x14ac:dyDescent="0.35">
      <c r="A21" s="8" t="s">
        <v>105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</sheetData>
  <pageMargins left="0.75" right="0.75" top="1" bottom="1" header="0.5" footer="0.5"/>
  <pageSetup paperSize="9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75" workbookViewId="0"/>
  </sheetViews>
  <sheetFormatPr defaultColWidth="9" defaultRowHeight="15.5" x14ac:dyDescent="0.35"/>
  <cols>
    <col min="1" max="1" width="9" style="2"/>
    <col min="2" max="2" width="17.7265625" style="2" customWidth="1"/>
    <col min="3" max="16384" width="9" style="2"/>
  </cols>
  <sheetData>
    <row r="1" spans="1:4" ht="20" x14ac:dyDescent="0.4">
      <c r="A1" s="1" t="s">
        <v>50</v>
      </c>
      <c r="B1" s="1"/>
      <c r="C1" s="1"/>
      <c r="D1" s="1"/>
    </row>
    <row r="2" spans="1:4" ht="20" x14ac:dyDescent="0.4">
      <c r="A2" s="1" t="s">
        <v>51</v>
      </c>
      <c r="B2" s="1"/>
      <c r="C2" s="1"/>
      <c r="D2" s="1"/>
    </row>
    <row r="4" spans="1:4" s="4" customFormat="1" ht="18" x14ac:dyDescent="0.4">
      <c r="A4" s="4" t="s">
        <v>30</v>
      </c>
    </row>
    <row r="6" spans="1:4" s="5" customFormat="1" x14ac:dyDescent="0.35">
      <c r="B6" s="16" t="s">
        <v>53</v>
      </c>
    </row>
    <row r="7" spans="1:4" x14ac:dyDescent="0.35">
      <c r="A7" s="5">
        <v>1996</v>
      </c>
      <c r="B7" s="17">
        <v>17.899999999999999</v>
      </c>
    </row>
    <row r="8" spans="1:4" x14ac:dyDescent="0.35">
      <c r="A8" s="5">
        <v>1997</v>
      </c>
      <c r="B8" s="17">
        <v>18.2</v>
      </c>
    </row>
    <row r="9" spans="1:4" x14ac:dyDescent="0.35">
      <c r="A9" s="5">
        <v>1998</v>
      </c>
      <c r="B9" s="17">
        <v>18.2</v>
      </c>
    </row>
    <row r="10" spans="1:4" x14ac:dyDescent="0.35">
      <c r="A10" s="5">
        <v>1999</v>
      </c>
      <c r="B10" s="17">
        <v>18.399999999999999</v>
      </c>
    </row>
    <row r="12" spans="1:4" s="8" customFormat="1" ht="12.5" x14ac:dyDescent="0.25">
      <c r="A12" s="8" t="s">
        <v>68</v>
      </c>
    </row>
    <row r="13" spans="1:4" s="8" customFormat="1" ht="12.5" x14ac:dyDescent="0.25">
      <c r="A13" s="8" t="s">
        <v>54</v>
      </c>
    </row>
  </sheetData>
  <pageMargins left="0.75" right="0.75" top="1" bottom="1" header="0.5" footer="0.5"/>
  <pageSetup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75" workbookViewId="0">
      <selection activeCell="B15" sqref="B15"/>
    </sheetView>
  </sheetViews>
  <sheetFormatPr defaultColWidth="9" defaultRowHeight="15.5" x14ac:dyDescent="0.35"/>
  <cols>
    <col min="1" max="1" width="14.6328125" style="2" customWidth="1"/>
    <col min="2" max="16384" width="9" style="2"/>
  </cols>
  <sheetData>
    <row r="1" spans="1:11" ht="20" x14ac:dyDescent="0.4">
      <c r="A1" s="1" t="s">
        <v>50</v>
      </c>
      <c r="B1" s="1"/>
      <c r="C1" s="1"/>
      <c r="D1" s="1"/>
    </row>
    <row r="2" spans="1:11" ht="20" x14ac:dyDescent="0.4">
      <c r="A2" s="1" t="s">
        <v>51</v>
      </c>
      <c r="B2" s="1"/>
      <c r="C2" s="1"/>
      <c r="D2" s="1"/>
    </row>
    <row r="4" spans="1:11" s="4" customFormat="1" ht="18" x14ac:dyDescent="0.4">
      <c r="A4" s="4" t="s">
        <v>31</v>
      </c>
    </row>
    <row r="6" spans="1:11" s="5" customFormat="1" x14ac:dyDescent="0.35">
      <c r="A6" s="5" t="s">
        <v>69</v>
      </c>
    </row>
    <row r="7" spans="1:11" s="5" customFormat="1" x14ac:dyDescent="0.35">
      <c r="B7" s="5">
        <v>1990</v>
      </c>
      <c r="C7" s="5">
        <v>1991</v>
      </c>
      <c r="D7" s="5">
        <v>1992</v>
      </c>
      <c r="E7" s="5">
        <v>1993</v>
      </c>
      <c r="F7" s="5">
        <v>1994</v>
      </c>
      <c r="G7" s="5">
        <v>1995</v>
      </c>
      <c r="H7" s="5">
        <v>1996</v>
      </c>
      <c r="I7" s="5">
        <v>1997</v>
      </c>
      <c r="J7" s="5">
        <v>1998</v>
      </c>
      <c r="K7" s="5">
        <v>1999</v>
      </c>
    </row>
    <row r="8" spans="1:11" x14ac:dyDescent="0.35">
      <c r="A8" s="5" t="s">
        <v>32</v>
      </c>
      <c r="B8" s="2">
        <v>10.8</v>
      </c>
      <c r="C8" s="2">
        <v>11.2</v>
      </c>
      <c r="D8" s="2">
        <v>11.2</v>
      </c>
      <c r="E8" s="2">
        <v>12.8</v>
      </c>
      <c r="F8" s="2">
        <v>12.8</v>
      </c>
      <c r="G8" s="7">
        <v>15</v>
      </c>
      <c r="H8" s="2">
        <v>14.4</v>
      </c>
      <c r="I8" s="2">
        <v>14.8</v>
      </c>
      <c r="J8" s="2">
        <v>17.7</v>
      </c>
      <c r="K8" s="2">
        <v>19.2</v>
      </c>
    </row>
    <row r="9" spans="1:11" x14ac:dyDescent="0.35">
      <c r="A9" s="5"/>
      <c r="G9" s="7"/>
    </row>
    <row r="10" spans="1:11" x14ac:dyDescent="0.35">
      <c r="A10" s="5"/>
      <c r="G10" s="7"/>
    </row>
    <row r="11" spans="1:11" s="5" customFormat="1" x14ac:dyDescent="0.35">
      <c r="A11" s="5" t="s">
        <v>106</v>
      </c>
    </row>
    <row r="12" spans="1:11" s="5" customFormat="1" x14ac:dyDescent="0.35">
      <c r="A12" s="5" t="s">
        <v>107</v>
      </c>
    </row>
    <row r="13" spans="1:11" s="5" customFormat="1" x14ac:dyDescent="0.35">
      <c r="B13" s="5">
        <v>1990</v>
      </c>
      <c r="C13" s="5">
        <v>1991</v>
      </c>
      <c r="D13" s="5">
        <v>1992</v>
      </c>
      <c r="E13" s="5">
        <v>1993</v>
      </c>
      <c r="F13" s="5">
        <v>1994</v>
      </c>
      <c r="G13" s="5">
        <v>1995</v>
      </c>
      <c r="H13" s="5">
        <v>1996</v>
      </c>
      <c r="I13" s="5">
        <v>1997</v>
      </c>
      <c r="J13" s="5">
        <v>1998</v>
      </c>
      <c r="K13" s="5">
        <v>1999</v>
      </c>
    </row>
    <row r="14" spans="1:11" x14ac:dyDescent="0.35">
      <c r="A14" s="5" t="s">
        <v>88</v>
      </c>
      <c r="B14" s="2">
        <v>2.9</v>
      </c>
      <c r="C14" s="2">
        <v>2.8</v>
      </c>
      <c r="D14" s="2">
        <v>2.7</v>
      </c>
      <c r="E14" s="2">
        <v>2.5</v>
      </c>
      <c r="F14" s="2">
        <v>2.6</v>
      </c>
      <c r="G14" s="2">
        <v>2.2999999999999998</v>
      </c>
      <c r="H14" s="2">
        <v>2.4</v>
      </c>
      <c r="I14" s="2">
        <v>2.2999999999999998</v>
      </c>
      <c r="J14" s="7">
        <v>2</v>
      </c>
      <c r="K14" s="2">
        <v>1.9</v>
      </c>
    </row>
    <row r="15" spans="1:11" x14ac:dyDescent="0.35">
      <c r="A15" s="5" t="s">
        <v>89</v>
      </c>
      <c r="B15" s="2">
        <v>30.9</v>
      </c>
      <c r="C15" s="2">
        <v>30.8</v>
      </c>
      <c r="D15" s="2">
        <v>30.5</v>
      </c>
      <c r="E15" s="2">
        <v>32.700000000000003</v>
      </c>
      <c r="F15" s="2">
        <v>33.1</v>
      </c>
      <c r="G15" s="2">
        <v>34.6</v>
      </c>
      <c r="H15" s="2">
        <v>34.5</v>
      </c>
      <c r="I15" s="2">
        <v>34.200000000000003</v>
      </c>
      <c r="J15" s="7">
        <v>35</v>
      </c>
      <c r="K15" s="2">
        <v>35.9</v>
      </c>
    </row>
    <row r="17" spans="1:1" s="8" customFormat="1" ht="12.5" x14ac:dyDescent="0.25">
      <c r="A17" s="8" t="s">
        <v>54</v>
      </c>
    </row>
  </sheetData>
  <pageMargins left="0.75" right="0.75" top="1" bottom="1" header="0.5" footer="0.5"/>
  <pageSetup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75" workbookViewId="0">
      <selection activeCell="H40" sqref="H40"/>
    </sheetView>
  </sheetViews>
  <sheetFormatPr defaultColWidth="9" defaultRowHeight="15.5" x14ac:dyDescent="0.35"/>
  <cols>
    <col min="1" max="1" width="9" style="2"/>
    <col min="2" max="2" width="23" style="2" customWidth="1"/>
    <col min="3" max="16384" width="9" style="2"/>
  </cols>
  <sheetData>
    <row r="1" spans="1:13" ht="20" x14ac:dyDescent="0.4">
      <c r="A1" s="1" t="s">
        <v>50</v>
      </c>
      <c r="B1" s="1"/>
      <c r="C1" s="1"/>
      <c r="D1" s="1"/>
    </row>
    <row r="2" spans="1:13" ht="20" x14ac:dyDescent="0.4">
      <c r="A2" s="1" t="s">
        <v>51</v>
      </c>
      <c r="B2" s="1"/>
      <c r="C2" s="1"/>
      <c r="D2" s="1"/>
    </row>
    <row r="4" spans="1:13" s="4" customFormat="1" ht="18" x14ac:dyDescent="0.4">
      <c r="A4" s="4" t="s">
        <v>33</v>
      </c>
    </row>
    <row r="5" spans="1:13" s="4" customFormat="1" ht="18" x14ac:dyDescent="0.4"/>
    <row r="6" spans="1:13" s="5" customFormat="1" x14ac:dyDescent="0.35">
      <c r="B6" s="16" t="s">
        <v>55</v>
      </c>
    </row>
    <row r="7" spans="1:13" x14ac:dyDescent="0.35">
      <c r="A7" s="5">
        <v>1995</v>
      </c>
      <c r="B7" s="17">
        <v>22.8</v>
      </c>
    </row>
    <row r="8" spans="1:13" x14ac:dyDescent="0.35">
      <c r="A8" s="5">
        <v>1996</v>
      </c>
      <c r="B8" s="17">
        <v>22.6</v>
      </c>
    </row>
    <row r="9" spans="1:13" x14ac:dyDescent="0.35">
      <c r="A9" s="5">
        <v>1997</v>
      </c>
      <c r="B9" s="17">
        <v>22.6</v>
      </c>
    </row>
    <row r="10" spans="1:13" x14ac:dyDescent="0.35">
      <c r="A10" s="5">
        <v>1998</v>
      </c>
      <c r="B10" s="17">
        <v>23.3</v>
      </c>
    </row>
    <row r="11" spans="1:13" x14ac:dyDescent="0.35">
      <c r="A11" s="5">
        <v>1999</v>
      </c>
      <c r="B11" s="17">
        <v>24.1</v>
      </c>
    </row>
    <row r="12" spans="1:13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s="8" customFormat="1" ht="12.5" x14ac:dyDescent="0.25">
      <c r="A13" s="8" t="s">
        <v>34</v>
      </c>
    </row>
    <row r="14" spans="1:13" s="8" customFormat="1" ht="12.5" x14ac:dyDescent="0.25"/>
    <row r="15" spans="1:13" s="8" customFormat="1" ht="12.5" x14ac:dyDescent="0.25">
      <c r="A15" s="8" t="s">
        <v>108</v>
      </c>
    </row>
    <row r="16" spans="1:13" x14ac:dyDescent="0.35">
      <c r="A16" s="8" t="s">
        <v>109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pageMargins left="0.75" right="0.75" top="1" bottom="1" header="0.5" footer="0.5"/>
  <pageSetup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zoomScale="75" workbookViewId="0">
      <selection activeCell="A6" sqref="A6"/>
    </sheetView>
  </sheetViews>
  <sheetFormatPr defaultRowHeight="15" x14ac:dyDescent="0.3"/>
  <cols>
    <col min="2" max="2" width="23.36328125" customWidth="1"/>
    <col min="3" max="3" width="23.7265625" customWidth="1"/>
    <col min="4" max="4" width="27.08984375" customWidth="1"/>
    <col min="5" max="5" width="26.7265625" customWidth="1"/>
  </cols>
  <sheetData>
    <row r="1" spans="1:10" s="2" customFormat="1" ht="20" x14ac:dyDescent="0.4">
      <c r="A1" s="1" t="s">
        <v>50</v>
      </c>
      <c r="B1" s="1"/>
      <c r="C1" s="1"/>
      <c r="D1" s="1"/>
    </row>
    <row r="2" spans="1:10" s="2" customFormat="1" ht="20" x14ac:dyDescent="0.4">
      <c r="A2" s="1" t="s">
        <v>51</v>
      </c>
      <c r="B2" s="1"/>
      <c r="C2" s="1"/>
      <c r="D2" s="1"/>
    </row>
    <row r="3" spans="1:10" s="2" customFormat="1" ht="20" x14ac:dyDescent="0.4">
      <c r="A3" s="1"/>
      <c r="B3" s="1"/>
      <c r="C3" s="1"/>
      <c r="D3" s="1"/>
    </row>
    <row r="4" spans="1:10" s="20" customFormat="1" ht="18" x14ac:dyDescent="0.4">
      <c r="A4" s="4" t="s">
        <v>110</v>
      </c>
      <c r="B4" s="4"/>
      <c r="C4" s="4"/>
      <c r="D4" s="4"/>
      <c r="E4" s="4"/>
      <c r="F4" s="4"/>
      <c r="G4" s="4"/>
      <c r="H4" s="4"/>
      <c r="I4" s="4"/>
      <c r="J4" s="4"/>
    </row>
    <row r="5" spans="1:10" s="20" customFormat="1" ht="18" x14ac:dyDescent="0.4">
      <c r="A5" s="4" t="s">
        <v>111</v>
      </c>
      <c r="B5" s="4"/>
      <c r="C5" s="4"/>
      <c r="D5" s="4"/>
      <c r="E5" s="4"/>
      <c r="F5" s="4"/>
      <c r="G5" s="4"/>
      <c r="H5" s="4"/>
      <c r="I5" s="4"/>
      <c r="J5" s="4"/>
    </row>
    <row r="6" spans="1:10" s="20" customFormat="1" ht="18" x14ac:dyDescent="0.4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s="23" customFormat="1" ht="29.25" customHeight="1" x14ac:dyDescent="0.35">
      <c r="A7" s="30"/>
      <c r="B7" s="29" t="s">
        <v>23</v>
      </c>
      <c r="C7" s="31" t="s">
        <v>24</v>
      </c>
      <c r="D7" s="31"/>
      <c r="E7" s="31"/>
      <c r="F7" s="11"/>
      <c r="G7" s="11"/>
      <c r="H7" s="11"/>
      <c r="I7" s="11"/>
      <c r="J7" s="11"/>
    </row>
    <row r="8" spans="1:10" s="23" customFormat="1" ht="28.5" customHeight="1" x14ac:dyDescent="0.35">
      <c r="A8" s="30"/>
      <c r="B8" s="29"/>
      <c r="C8" s="10" t="s">
        <v>25</v>
      </c>
      <c r="D8" s="10" t="s">
        <v>26</v>
      </c>
      <c r="E8" s="10" t="s">
        <v>27</v>
      </c>
      <c r="F8" s="11"/>
      <c r="G8" s="11"/>
      <c r="H8" s="11"/>
      <c r="I8" s="11"/>
      <c r="J8" s="11"/>
    </row>
    <row r="9" spans="1:10" s="24" customFormat="1" ht="15.5" x14ac:dyDescent="0.35">
      <c r="A9" s="9" t="s">
        <v>28</v>
      </c>
      <c r="B9" s="12">
        <v>45</v>
      </c>
      <c r="C9" s="12">
        <v>12</v>
      </c>
      <c r="D9" s="12">
        <v>16</v>
      </c>
      <c r="E9" s="12">
        <v>28</v>
      </c>
      <c r="F9" s="13"/>
      <c r="G9" s="13"/>
      <c r="H9" s="13"/>
      <c r="I9" s="13"/>
      <c r="J9" s="13"/>
    </row>
    <row r="10" spans="1:10" s="24" customFormat="1" ht="15.5" x14ac:dyDescent="0.35">
      <c r="A10" s="9" t="s">
        <v>11</v>
      </c>
      <c r="B10" s="12">
        <v>45</v>
      </c>
      <c r="C10" s="12">
        <v>13</v>
      </c>
      <c r="D10" s="12">
        <v>17</v>
      </c>
      <c r="E10" s="12">
        <v>30</v>
      </c>
      <c r="F10" s="13"/>
      <c r="G10" s="13"/>
      <c r="H10" s="13"/>
      <c r="I10" s="13"/>
      <c r="J10" s="13"/>
    </row>
    <row r="11" spans="1:10" s="24" customFormat="1" ht="15.5" x14ac:dyDescent="0.35">
      <c r="A11" s="9" t="s">
        <v>12</v>
      </c>
      <c r="B11" s="12">
        <v>48</v>
      </c>
      <c r="C11" s="12">
        <v>13</v>
      </c>
      <c r="D11" s="12">
        <v>17</v>
      </c>
      <c r="E11" s="12">
        <v>30</v>
      </c>
      <c r="F11" s="13"/>
      <c r="G11" s="13"/>
      <c r="H11" s="13"/>
      <c r="I11" s="13"/>
      <c r="J11" s="13"/>
    </row>
    <row r="12" spans="1:10" s="24" customFormat="1" ht="15.5" x14ac:dyDescent="0.35">
      <c r="A12" s="9" t="s">
        <v>13</v>
      </c>
      <c r="B12" s="12">
        <v>48</v>
      </c>
      <c r="C12" s="12">
        <v>14</v>
      </c>
      <c r="D12" s="12">
        <v>18</v>
      </c>
      <c r="E12" s="12">
        <v>33</v>
      </c>
      <c r="F12" s="13"/>
      <c r="G12" s="13"/>
      <c r="H12" s="13"/>
      <c r="I12" s="13"/>
      <c r="J12" s="13"/>
    </row>
    <row r="13" spans="1:10" s="24" customFormat="1" ht="15.5" x14ac:dyDescent="0.35">
      <c r="A13" s="9" t="s">
        <v>1</v>
      </c>
      <c r="B13" s="12">
        <v>46</v>
      </c>
      <c r="C13" s="12">
        <v>13</v>
      </c>
      <c r="D13" s="12">
        <v>18</v>
      </c>
      <c r="E13" s="12">
        <v>31</v>
      </c>
      <c r="F13" s="13"/>
      <c r="G13" s="13"/>
      <c r="H13" s="13"/>
      <c r="I13" s="13"/>
      <c r="J13" s="13"/>
    </row>
    <row r="14" spans="1:10" s="24" customFormat="1" ht="15.5" x14ac:dyDescent="0.35">
      <c r="A14" s="9" t="s">
        <v>2</v>
      </c>
      <c r="B14" s="12">
        <v>48</v>
      </c>
      <c r="C14" s="12">
        <v>14</v>
      </c>
      <c r="D14" s="12">
        <v>18</v>
      </c>
      <c r="E14" s="12">
        <v>32</v>
      </c>
      <c r="F14" s="13"/>
      <c r="G14" s="13"/>
      <c r="H14" s="13"/>
      <c r="I14" s="13"/>
      <c r="J14" s="13"/>
    </row>
    <row r="15" spans="1:10" s="24" customFormat="1" ht="15.5" x14ac:dyDescent="0.35">
      <c r="A15" s="9" t="s">
        <v>3</v>
      </c>
      <c r="B15" s="12">
        <v>48</v>
      </c>
      <c r="C15" s="12">
        <v>16</v>
      </c>
      <c r="D15" s="12">
        <v>18</v>
      </c>
      <c r="E15" s="12">
        <v>34</v>
      </c>
      <c r="F15" s="13"/>
      <c r="G15" s="13"/>
      <c r="H15" s="13"/>
      <c r="I15" s="13"/>
      <c r="J15" s="13"/>
    </row>
    <row r="16" spans="1:10" s="24" customFormat="1" ht="15.5" x14ac:dyDescent="0.35">
      <c r="A16" s="9" t="s">
        <v>4</v>
      </c>
      <c r="B16" s="12">
        <v>48</v>
      </c>
      <c r="C16" s="12">
        <v>15</v>
      </c>
      <c r="D16" s="12">
        <v>19</v>
      </c>
      <c r="E16" s="12">
        <v>34</v>
      </c>
      <c r="F16" s="13"/>
      <c r="G16" s="13"/>
      <c r="H16" s="13"/>
      <c r="I16" s="13"/>
      <c r="J16" s="13"/>
    </row>
    <row r="17" spans="1:10" ht="15.5" x14ac:dyDescent="0.35">
      <c r="A17" s="9"/>
      <c r="B17" s="12"/>
      <c r="C17" s="12"/>
      <c r="D17" s="12"/>
      <c r="E17" s="12"/>
      <c r="F17" s="2"/>
      <c r="G17" s="2"/>
      <c r="H17" s="2"/>
      <c r="I17" s="2"/>
      <c r="J17" s="2"/>
    </row>
    <row r="18" spans="1:10" s="8" customFormat="1" ht="12.5" x14ac:dyDescent="0.25">
      <c r="A18" s="8" t="s">
        <v>29</v>
      </c>
    </row>
    <row r="19" spans="1:10" ht="15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3">
    <mergeCell ref="A7:A8"/>
    <mergeCell ref="B7:B8"/>
    <mergeCell ref="C7:E7"/>
  </mergeCells>
  <pageMargins left="0.75" right="0.75" top="1" bottom="1" header="0.5" footer="0.5"/>
  <pageSetup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zoomScale="75" workbookViewId="0"/>
  </sheetViews>
  <sheetFormatPr defaultColWidth="9" defaultRowHeight="15.5" x14ac:dyDescent="0.35"/>
  <cols>
    <col min="1" max="1" width="11.453125" style="2" customWidth="1"/>
    <col min="2" max="16384" width="9" style="2"/>
  </cols>
  <sheetData>
    <row r="1" spans="1:10" ht="20" x14ac:dyDescent="0.4">
      <c r="A1" s="1" t="s">
        <v>50</v>
      </c>
      <c r="B1" s="1"/>
      <c r="C1" s="1"/>
      <c r="D1" s="1"/>
    </row>
    <row r="2" spans="1:10" ht="20" x14ac:dyDescent="0.4">
      <c r="A2" s="1" t="s">
        <v>51</v>
      </c>
      <c r="B2" s="1"/>
      <c r="C2" s="1"/>
      <c r="D2" s="1"/>
    </row>
    <row r="4" spans="1:10" s="4" customFormat="1" ht="18" x14ac:dyDescent="0.4">
      <c r="A4" s="4" t="s">
        <v>114</v>
      </c>
    </row>
    <row r="5" spans="1:10" s="4" customFormat="1" ht="18" x14ac:dyDescent="0.4">
      <c r="A5" s="4" t="s">
        <v>115</v>
      </c>
    </row>
    <row r="6" spans="1:10" s="4" customFormat="1" ht="18" x14ac:dyDescent="0.4"/>
    <row r="7" spans="1:10" s="5" customFormat="1" x14ac:dyDescent="0.35">
      <c r="A7" s="5" t="s">
        <v>62</v>
      </c>
    </row>
    <row r="8" spans="1:10" s="5" customFormat="1" x14ac:dyDescent="0.35">
      <c r="A8" s="16" t="s">
        <v>39</v>
      </c>
      <c r="B8" s="16">
        <v>1991</v>
      </c>
      <c r="C8" s="16">
        <v>1992</v>
      </c>
      <c r="D8" s="16">
        <v>1993</v>
      </c>
      <c r="E8" s="16">
        <v>1994</v>
      </c>
      <c r="F8" s="16">
        <v>1995</v>
      </c>
      <c r="G8" s="16">
        <v>1996</v>
      </c>
      <c r="H8" s="16">
        <v>1997</v>
      </c>
      <c r="I8" s="16">
        <v>1998</v>
      </c>
      <c r="J8" s="16">
        <v>1999</v>
      </c>
    </row>
    <row r="9" spans="1:10" x14ac:dyDescent="0.35">
      <c r="A9" s="16" t="s">
        <v>38</v>
      </c>
      <c r="B9" s="17">
        <v>7.8</v>
      </c>
      <c r="C9" s="17">
        <v>7.1</v>
      </c>
      <c r="D9" s="17">
        <v>6.6</v>
      </c>
      <c r="E9" s="17">
        <v>8.1999999999999993</v>
      </c>
      <c r="F9" s="17">
        <v>9.6</v>
      </c>
      <c r="G9" s="17">
        <v>9.6999999999999993</v>
      </c>
      <c r="H9" s="17">
        <v>9.8000000000000007</v>
      </c>
      <c r="I9" s="17">
        <v>9.9</v>
      </c>
      <c r="J9" s="17">
        <v>11.1</v>
      </c>
    </row>
    <row r="10" spans="1:10" x14ac:dyDescent="0.35">
      <c r="B10" s="2" t="s">
        <v>37</v>
      </c>
    </row>
    <row r="11" spans="1:10" s="8" customFormat="1" ht="12.5" x14ac:dyDescent="0.25">
      <c r="A11" s="8" t="s">
        <v>40</v>
      </c>
    </row>
    <row r="12" spans="1:10" s="8" customFormat="1" ht="12.5" x14ac:dyDescent="0.25">
      <c r="A12" s="8" t="s">
        <v>29</v>
      </c>
    </row>
    <row r="13" spans="1:10" s="8" customFormat="1" ht="12.5" x14ac:dyDescent="0.25"/>
    <row r="14" spans="1:10" s="8" customFormat="1" ht="12.5" x14ac:dyDescent="0.25"/>
    <row r="15" spans="1:10" x14ac:dyDescent="0.35">
      <c r="A15" s="5" t="s">
        <v>63</v>
      </c>
    </row>
    <row r="16" spans="1:10" x14ac:dyDescent="0.35">
      <c r="A16" s="5" t="s">
        <v>41</v>
      </c>
      <c r="B16" s="5" t="s">
        <v>35</v>
      </c>
      <c r="C16" s="5" t="s">
        <v>36</v>
      </c>
    </row>
    <row r="17" spans="1:15" x14ac:dyDescent="0.35">
      <c r="A17" s="5" t="s">
        <v>64</v>
      </c>
      <c r="B17" s="21">
        <f>(24.2+21.9+30.5)/1820.1</f>
        <v>4.2085599692324595E-2</v>
      </c>
      <c r="C17" s="21">
        <f>(22+20.8+27)/1862.1</f>
        <v>3.7484560442511146E-2</v>
      </c>
    </row>
    <row r="18" spans="1:15" x14ac:dyDescent="0.35">
      <c r="A18" s="5" t="s">
        <v>65</v>
      </c>
      <c r="B18" s="21">
        <f>(68+172+63.4)/1328.4</f>
        <v>0.22839506172839502</v>
      </c>
      <c r="C18" s="21">
        <f>(58.9+189.7+72.2)/1392.8</f>
        <v>0.2303273980470994</v>
      </c>
    </row>
    <row r="19" spans="1:15" x14ac:dyDescent="0.35">
      <c r="A19" s="5" t="s">
        <v>66</v>
      </c>
      <c r="B19" s="21">
        <f>(92.2+193.9+93.9)/3148.5</f>
        <v>0.12069239320311259</v>
      </c>
      <c r="C19" s="21">
        <f>(80.9+210.4+99.2)/3254.9</f>
        <v>0.11997296383913483</v>
      </c>
    </row>
    <row r="20" spans="1:1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s="8" customFormat="1" ht="12.5" x14ac:dyDescent="0.25">
      <c r="A21" s="8" t="s">
        <v>112</v>
      </c>
    </row>
    <row r="22" spans="1:15" x14ac:dyDescent="0.35">
      <c r="A22" s="8" t="s">
        <v>113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</sheetData>
  <pageMargins left="0.75" right="0.75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Franklen Choi</dc:creator>
  <cp:lastModifiedBy>Carina Negreanu</cp:lastModifiedBy>
  <cp:lastPrinted>2001-06-19T21:14:41Z</cp:lastPrinted>
  <dcterms:created xsi:type="dcterms:W3CDTF">2001-05-12T08:01:26Z</dcterms:created>
  <dcterms:modified xsi:type="dcterms:W3CDTF">2020-01-27T11:41:56Z</dcterms:modified>
</cp:coreProperties>
</file>