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247D38-940F-4164-B682-1210B49F47C6}" xr6:coauthVersionLast="45" xr6:coauthVersionMax="45" xr10:uidLastSave="{00000000-0000-0000-0000-000000000000}"/>
  <bookViews>
    <workbookView xWindow="1140" yWindow="1140" windowWidth="28800" windowHeight="15460"/>
  </bookViews>
  <sheets>
    <sheet name="Emission Graphs" sheetId="1" r:id="rId1"/>
    <sheet name="Total Emissions" sheetId="2" r:id="rId2"/>
    <sheet name="Tufts Summary Data" sheetId="3" r:id="rId3"/>
    <sheet name="Medford Data" sheetId="4" r:id="rId4"/>
    <sheet name="Grafton Data" sheetId="5" r:id="rId5"/>
    <sheet name="Boston Data" sheetId="6" r:id="rId6"/>
    <sheet name="Energy Use Emissions" sheetId="7" r:id="rId7"/>
    <sheet name="Agriculture Emissions" sheetId="8" r:id="rId8"/>
    <sheet name="Conversion Factors" sheetId="9" r:id="rId9"/>
  </sheets>
  <definedNames>
    <definedName name="_xlnm.Print_Area" localSheetId="6">'Energy Use Emissions'!$A$1:$K$23</definedName>
    <definedName name="_xlnm.Print_Area" localSheetId="4">'Grafton Data'!$A$1:$J$86</definedName>
    <definedName name="_xlnm.Print_Area" localSheetId="3">'Medford Data'!$A$1:$J$71</definedName>
    <definedName name="_xlnm.Print_Area" localSheetId="1">'Total Emissions'!$A$1:$I$45</definedName>
    <definedName name="_xlnm.Print_Area" localSheetId="2">'Tufts Summary Data'!$A$1:$J$87</definedName>
  </definedNames>
  <calcPr calcId="0" iterate="1" iterateCount="1"/>
</workbook>
</file>

<file path=xl/calcChain.xml><?xml version="1.0" encoding="utf-8"?>
<calcChain xmlns="http://schemas.openxmlformats.org/spreadsheetml/2006/main">
  <c r="J1" i="8" l="1"/>
  <c r="B8" i="8"/>
  <c r="C8" i="8"/>
  <c r="D8" i="8"/>
  <c r="E8" i="8"/>
  <c r="F8" i="8"/>
  <c r="G8" i="8"/>
  <c r="H8" i="8"/>
  <c r="B9" i="8"/>
  <c r="C9" i="8"/>
  <c r="D9" i="8"/>
  <c r="E9" i="8"/>
  <c r="F9" i="8"/>
  <c r="G9" i="8"/>
  <c r="H9" i="8"/>
  <c r="B10" i="8"/>
  <c r="C10" i="8"/>
  <c r="D10" i="8"/>
  <c r="E10" i="8"/>
  <c r="F10" i="8"/>
  <c r="G10" i="8"/>
  <c r="H10" i="8"/>
  <c r="B11" i="8"/>
  <c r="C11" i="8"/>
  <c r="D11" i="8"/>
  <c r="E11" i="8"/>
  <c r="F11" i="8"/>
  <c r="G11" i="8"/>
  <c r="H11" i="8"/>
  <c r="B12" i="8"/>
  <c r="C12" i="8"/>
  <c r="D12" i="8"/>
  <c r="E12" i="8"/>
  <c r="F12" i="8"/>
  <c r="G12" i="8"/>
  <c r="H12" i="8"/>
  <c r="B13" i="8"/>
  <c r="C13" i="8"/>
  <c r="D13" i="8"/>
  <c r="E13" i="8"/>
  <c r="F13" i="8"/>
  <c r="G13" i="8"/>
  <c r="H13" i="8"/>
  <c r="B14" i="8"/>
  <c r="C14" i="8"/>
  <c r="D14" i="8"/>
  <c r="E14" i="8"/>
  <c r="F14" i="8"/>
  <c r="G14" i="8"/>
  <c r="H14" i="8"/>
  <c r="B15" i="8"/>
  <c r="C15" i="8"/>
  <c r="D15" i="8"/>
  <c r="E15" i="8"/>
  <c r="F15" i="8"/>
  <c r="G15" i="8"/>
  <c r="H15" i="8"/>
  <c r="B16" i="8"/>
  <c r="C16" i="8"/>
  <c r="D16" i="8"/>
  <c r="E16" i="8"/>
  <c r="F16" i="8"/>
  <c r="G16" i="8"/>
  <c r="H16" i="8"/>
  <c r="B17" i="8"/>
  <c r="C17" i="8"/>
  <c r="D17" i="8"/>
  <c r="E17" i="8"/>
  <c r="F17" i="8"/>
  <c r="G17" i="8"/>
  <c r="H17" i="8"/>
  <c r="B18" i="8"/>
  <c r="C18" i="8"/>
  <c r="D18" i="8"/>
  <c r="E18" i="8"/>
  <c r="F18" i="8"/>
  <c r="G18" i="8"/>
  <c r="H18" i="8"/>
  <c r="B25" i="8"/>
  <c r="C25" i="8"/>
  <c r="D25" i="8"/>
  <c r="E25" i="8"/>
  <c r="F25" i="8"/>
  <c r="G25" i="8"/>
  <c r="H25" i="8"/>
  <c r="B26" i="8"/>
  <c r="C26" i="8"/>
  <c r="D26" i="8"/>
  <c r="E26" i="8"/>
  <c r="F26" i="8"/>
  <c r="G26" i="8"/>
  <c r="H26" i="8"/>
  <c r="B27" i="8"/>
  <c r="C27" i="8"/>
  <c r="D27" i="8"/>
  <c r="E27" i="8"/>
  <c r="F27" i="8"/>
  <c r="G27" i="8"/>
  <c r="H27" i="8"/>
  <c r="B28" i="8"/>
  <c r="C28" i="8"/>
  <c r="D28" i="8"/>
  <c r="E28" i="8"/>
  <c r="F28" i="8"/>
  <c r="G28" i="8"/>
  <c r="H28" i="8"/>
  <c r="B29" i="8"/>
  <c r="C29" i="8"/>
  <c r="D29" i="8"/>
  <c r="E29" i="8"/>
  <c r="F29" i="8"/>
  <c r="G29" i="8"/>
  <c r="H29" i="8"/>
  <c r="B30" i="8"/>
  <c r="C30" i="8"/>
  <c r="D30" i="8"/>
  <c r="E30" i="8"/>
  <c r="F30" i="8"/>
  <c r="G30" i="8"/>
  <c r="H30" i="8"/>
  <c r="B31" i="8"/>
  <c r="C31" i="8"/>
  <c r="D31" i="8"/>
  <c r="E31" i="8"/>
  <c r="F31" i="8"/>
  <c r="G31" i="8"/>
  <c r="H31" i="8"/>
  <c r="B32" i="8"/>
  <c r="C32" i="8"/>
  <c r="D32" i="8"/>
  <c r="E32" i="8"/>
  <c r="F32" i="8"/>
  <c r="G32" i="8"/>
  <c r="H32" i="8"/>
  <c r="B33" i="8"/>
  <c r="C33" i="8"/>
  <c r="D33" i="8"/>
  <c r="E33" i="8"/>
  <c r="F33" i="8"/>
  <c r="G33" i="8"/>
  <c r="H33" i="8"/>
  <c r="B34" i="8"/>
  <c r="C34" i="8"/>
  <c r="D34" i="8"/>
  <c r="E34" i="8"/>
  <c r="F34" i="8"/>
  <c r="G34" i="8"/>
  <c r="H34" i="8"/>
  <c r="B35" i="8"/>
  <c r="C35" i="8"/>
  <c r="D35" i="8"/>
  <c r="E35" i="8"/>
  <c r="F35" i="8"/>
  <c r="G35" i="8"/>
  <c r="H35" i="8"/>
  <c r="G1" i="6"/>
  <c r="G1" i="9"/>
  <c r="B2" i="9"/>
  <c r="E26" i="9"/>
  <c r="F26" i="9"/>
  <c r="G26" i="9"/>
  <c r="H26" i="9"/>
  <c r="I26" i="9"/>
  <c r="J26" i="9"/>
  <c r="E27" i="9"/>
  <c r="F27" i="9"/>
  <c r="G27" i="9"/>
  <c r="H27" i="9"/>
  <c r="I27" i="9"/>
  <c r="J27" i="9"/>
  <c r="E28" i="9"/>
  <c r="F28" i="9"/>
  <c r="G28" i="9"/>
  <c r="H28" i="9"/>
  <c r="I28" i="9"/>
  <c r="J28" i="9"/>
  <c r="E29" i="9"/>
  <c r="F29" i="9"/>
  <c r="G29" i="9"/>
  <c r="H29" i="9"/>
  <c r="I29" i="9"/>
  <c r="J29" i="9"/>
  <c r="E30" i="9"/>
  <c r="F30" i="9"/>
  <c r="G30" i="9"/>
  <c r="H30" i="9"/>
  <c r="I30" i="9"/>
  <c r="J30" i="9"/>
  <c r="E31" i="9"/>
  <c r="F31" i="9"/>
  <c r="G31" i="9"/>
  <c r="H31" i="9"/>
  <c r="I31" i="9"/>
  <c r="J31" i="9"/>
  <c r="E32" i="9"/>
  <c r="F32" i="9"/>
  <c r="G32" i="9"/>
  <c r="H32" i="9"/>
  <c r="I32" i="9"/>
  <c r="J32" i="9"/>
  <c r="E33" i="9"/>
  <c r="F33" i="9"/>
  <c r="G33" i="9"/>
  <c r="H33" i="9"/>
  <c r="I33" i="9"/>
  <c r="J33" i="9"/>
  <c r="E34" i="9"/>
  <c r="F34" i="9"/>
  <c r="G34" i="9"/>
  <c r="H34" i="9"/>
  <c r="I34" i="9"/>
  <c r="J34" i="9"/>
  <c r="E35" i="9"/>
  <c r="F35" i="9"/>
  <c r="G35" i="9"/>
  <c r="H35" i="9"/>
  <c r="I35" i="9"/>
  <c r="J35" i="9"/>
  <c r="E36" i="9"/>
  <c r="F36" i="9"/>
  <c r="G36" i="9"/>
  <c r="H36" i="9"/>
  <c r="I36" i="9"/>
  <c r="J36" i="9"/>
  <c r="E43" i="9"/>
  <c r="F43" i="9"/>
  <c r="G43" i="9"/>
  <c r="H43" i="9"/>
  <c r="I43" i="9"/>
  <c r="J43" i="9"/>
  <c r="E44" i="9"/>
  <c r="F44" i="9"/>
  <c r="G44" i="9"/>
  <c r="H44" i="9"/>
  <c r="I44" i="9"/>
  <c r="J44" i="9"/>
  <c r="E45" i="9"/>
  <c r="F45" i="9"/>
  <c r="G45" i="9"/>
  <c r="H45" i="9"/>
  <c r="I45" i="9"/>
  <c r="J45" i="9"/>
  <c r="E46" i="9"/>
  <c r="F46" i="9"/>
  <c r="G46" i="9"/>
  <c r="H46" i="9"/>
  <c r="I46" i="9"/>
  <c r="J46" i="9"/>
  <c r="E47" i="9"/>
  <c r="F47" i="9"/>
  <c r="G47" i="9"/>
  <c r="H47" i="9"/>
  <c r="I47" i="9"/>
  <c r="J47" i="9"/>
  <c r="E48" i="9"/>
  <c r="F48" i="9"/>
  <c r="G48" i="9"/>
  <c r="H48" i="9"/>
  <c r="I48" i="9"/>
  <c r="J48" i="9"/>
  <c r="E49" i="9"/>
  <c r="F49" i="9"/>
  <c r="G49" i="9"/>
  <c r="H49" i="9"/>
  <c r="I49" i="9"/>
  <c r="J49" i="9"/>
  <c r="E50" i="9"/>
  <c r="F50" i="9"/>
  <c r="G50" i="9"/>
  <c r="H50" i="9"/>
  <c r="I50" i="9"/>
  <c r="J50" i="9"/>
  <c r="E51" i="9"/>
  <c r="F51" i="9"/>
  <c r="G51" i="9"/>
  <c r="H51" i="9"/>
  <c r="I51" i="9"/>
  <c r="J51" i="9"/>
  <c r="E52" i="9"/>
  <c r="F52" i="9"/>
  <c r="G52" i="9"/>
  <c r="H52" i="9"/>
  <c r="I52" i="9"/>
  <c r="J52" i="9"/>
  <c r="E53" i="9"/>
  <c r="F53" i="9"/>
  <c r="G53" i="9"/>
  <c r="H53" i="9"/>
  <c r="I53" i="9"/>
  <c r="J53" i="9"/>
  <c r="G1" i="7"/>
  <c r="B8" i="7"/>
  <c r="C8" i="7"/>
  <c r="D8" i="7"/>
  <c r="E8" i="7"/>
  <c r="F8" i="7"/>
  <c r="G8" i="7"/>
  <c r="H8" i="7"/>
  <c r="I8" i="7"/>
  <c r="J8" i="7"/>
  <c r="K8" i="7"/>
  <c r="B9" i="7"/>
  <c r="C9" i="7"/>
  <c r="D9" i="7"/>
  <c r="E9" i="7"/>
  <c r="F9" i="7"/>
  <c r="G9" i="7"/>
  <c r="H9" i="7"/>
  <c r="I9" i="7"/>
  <c r="J9" i="7"/>
  <c r="K9" i="7"/>
  <c r="B10" i="7"/>
  <c r="C10" i="7"/>
  <c r="D10" i="7"/>
  <c r="E10" i="7"/>
  <c r="F10" i="7"/>
  <c r="G10" i="7"/>
  <c r="H10" i="7"/>
  <c r="I10" i="7"/>
  <c r="J10" i="7"/>
  <c r="K10" i="7"/>
  <c r="B11" i="7"/>
  <c r="C11" i="7"/>
  <c r="D11" i="7"/>
  <c r="E11" i="7"/>
  <c r="F11" i="7"/>
  <c r="G11" i="7"/>
  <c r="H11" i="7"/>
  <c r="I11" i="7"/>
  <c r="J11" i="7"/>
  <c r="K11" i="7"/>
  <c r="B12" i="7"/>
  <c r="C12" i="7"/>
  <c r="D12" i="7"/>
  <c r="E12" i="7"/>
  <c r="F12" i="7"/>
  <c r="G12" i="7"/>
  <c r="H12" i="7"/>
  <c r="I12" i="7"/>
  <c r="J12" i="7"/>
  <c r="K12" i="7"/>
  <c r="B13" i="7"/>
  <c r="C13" i="7"/>
  <c r="D13" i="7"/>
  <c r="E13" i="7"/>
  <c r="F13" i="7"/>
  <c r="G13" i="7"/>
  <c r="H13" i="7"/>
  <c r="I13" i="7"/>
  <c r="J13" i="7"/>
  <c r="K13" i="7"/>
  <c r="B14" i="7"/>
  <c r="C14" i="7"/>
  <c r="D14" i="7"/>
  <c r="E14" i="7"/>
  <c r="F14" i="7"/>
  <c r="G14" i="7"/>
  <c r="H14" i="7"/>
  <c r="I14" i="7"/>
  <c r="J14" i="7"/>
  <c r="K14" i="7"/>
  <c r="B15" i="7"/>
  <c r="C15" i="7"/>
  <c r="D15" i="7"/>
  <c r="E15" i="7"/>
  <c r="F15" i="7"/>
  <c r="G15" i="7"/>
  <c r="H15" i="7"/>
  <c r="I15" i="7"/>
  <c r="J15" i="7"/>
  <c r="K15" i="7"/>
  <c r="B16" i="7"/>
  <c r="C16" i="7"/>
  <c r="D16" i="7"/>
  <c r="E16" i="7"/>
  <c r="F16" i="7"/>
  <c r="G16" i="7"/>
  <c r="H16" i="7"/>
  <c r="I16" i="7"/>
  <c r="J16" i="7"/>
  <c r="K16" i="7"/>
  <c r="B17" i="7"/>
  <c r="C17" i="7"/>
  <c r="D17" i="7"/>
  <c r="E17" i="7"/>
  <c r="F17" i="7"/>
  <c r="G17" i="7"/>
  <c r="H17" i="7"/>
  <c r="I17" i="7"/>
  <c r="J17" i="7"/>
  <c r="K17" i="7"/>
  <c r="B18" i="7"/>
  <c r="C18" i="7"/>
  <c r="D18" i="7"/>
  <c r="E18" i="7"/>
  <c r="F18" i="7"/>
  <c r="G18" i="7"/>
  <c r="H18" i="7"/>
  <c r="I18" i="7"/>
  <c r="J18" i="7"/>
  <c r="K18" i="7"/>
  <c r="G1" i="5"/>
  <c r="G1" i="4"/>
  <c r="H1" i="2"/>
  <c r="B3" i="2"/>
  <c r="B8" i="2"/>
  <c r="C8" i="2"/>
  <c r="G8" i="2"/>
  <c r="B9" i="2"/>
  <c r="C9" i="2"/>
  <c r="G9" i="2"/>
  <c r="B10" i="2"/>
  <c r="C10" i="2"/>
  <c r="G10" i="2"/>
  <c r="B11" i="2"/>
  <c r="C11" i="2"/>
  <c r="G11" i="2"/>
  <c r="B12" i="2"/>
  <c r="C12" i="2"/>
  <c r="G12" i="2"/>
  <c r="B13" i="2"/>
  <c r="C13" i="2"/>
  <c r="G13" i="2"/>
  <c r="B14" i="2"/>
  <c r="C14" i="2"/>
  <c r="G14" i="2"/>
  <c r="B15" i="2"/>
  <c r="C15" i="2"/>
  <c r="G15" i="2"/>
  <c r="B16" i="2"/>
  <c r="C16" i="2"/>
  <c r="G16" i="2"/>
  <c r="B17" i="2"/>
  <c r="C17" i="2"/>
  <c r="G17" i="2"/>
  <c r="B18" i="2"/>
  <c r="C18" i="2"/>
  <c r="G18" i="2"/>
  <c r="B24" i="2"/>
  <c r="C24" i="2"/>
  <c r="G24" i="2"/>
  <c r="H24" i="2"/>
  <c r="I24" i="2"/>
  <c r="B25" i="2"/>
  <c r="C25" i="2"/>
  <c r="G25" i="2"/>
  <c r="H25" i="2"/>
  <c r="I25" i="2"/>
  <c r="B26" i="2"/>
  <c r="C26" i="2"/>
  <c r="G26" i="2"/>
  <c r="H26" i="2"/>
  <c r="I26" i="2"/>
  <c r="B27" i="2"/>
  <c r="C27" i="2"/>
  <c r="G27" i="2"/>
  <c r="H27" i="2"/>
  <c r="I27" i="2"/>
  <c r="B28" i="2"/>
  <c r="C28" i="2"/>
  <c r="G28" i="2"/>
  <c r="H28" i="2"/>
  <c r="I28" i="2"/>
  <c r="B29" i="2"/>
  <c r="C29" i="2"/>
  <c r="G29" i="2"/>
  <c r="H29" i="2"/>
  <c r="I29" i="2"/>
  <c r="B30" i="2"/>
  <c r="C30" i="2"/>
  <c r="G30" i="2"/>
  <c r="H30" i="2"/>
  <c r="I30" i="2"/>
  <c r="B31" i="2"/>
  <c r="C31" i="2"/>
  <c r="G31" i="2"/>
  <c r="H31" i="2"/>
  <c r="I31" i="2"/>
  <c r="B32" i="2"/>
  <c r="C32" i="2"/>
  <c r="G32" i="2"/>
  <c r="H32" i="2"/>
  <c r="I32" i="2"/>
  <c r="B33" i="2"/>
  <c r="C33" i="2"/>
  <c r="G33" i="2"/>
  <c r="H33" i="2"/>
  <c r="I33" i="2"/>
  <c r="B34" i="2"/>
  <c r="C34" i="2"/>
  <c r="G34" i="2"/>
  <c r="H34" i="2"/>
  <c r="I34" i="2"/>
  <c r="C40" i="2"/>
  <c r="H40" i="2"/>
  <c r="I40" i="2"/>
  <c r="C41" i="2"/>
  <c r="D41" i="2"/>
  <c r="E41" i="2"/>
  <c r="H41" i="2"/>
  <c r="I41" i="2"/>
  <c r="C42" i="2"/>
  <c r="D42" i="2"/>
  <c r="E42" i="2"/>
  <c r="H42" i="2"/>
  <c r="I42" i="2"/>
  <c r="C43" i="2"/>
  <c r="B51" i="2"/>
  <c r="C51" i="2"/>
  <c r="D51" i="2"/>
  <c r="E51" i="2"/>
  <c r="F51" i="2"/>
  <c r="G51" i="2"/>
  <c r="H51" i="2"/>
  <c r="I51" i="2"/>
  <c r="J51" i="2"/>
  <c r="K51" i="2"/>
  <c r="B52" i="2"/>
  <c r="C52" i="2"/>
  <c r="D52" i="2"/>
  <c r="E52" i="2"/>
  <c r="F52" i="2"/>
  <c r="G52" i="2"/>
  <c r="H52" i="2"/>
  <c r="I52" i="2"/>
  <c r="J52" i="2"/>
  <c r="K52" i="2"/>
  <c r="B59" i="2"/>
  <c r="C59" i="2"/>
  <c r="D59" i="2"/>
  <c r="E59" i="2"/>
  <c r="F59" i="2"/>
  <c r="B60" i="2"/>
  <c r="C60" i="2"/>
  <c r="D60" i="2"/>
  <c r="E60" i="2"/>
  <c r="F60" i="2"/>
  <c r="B61" i="2"/>
  <c r="C61" i="2"/>
  <c r="D61" i="2"/>
  <c r="E61" i="2"/>
  <c r="F61" i="2"/>
  <c r="B62" i="2"/>
  <c r="C62" i="2"/>
  <c r="D62" i="2"/>
  <c r="E62" i="2"/>
  <c r="F62" i="2"/>
  <c r="B69" i="2"/>
  <c r="C69" i="2"/>
  <c r="D69" i="2"/>
  <c r="E69" i="2"/>
  <c r="B70" i="2"/>
  <c r="C70" i="2"/>
  <c r="D70" i="2"/>
  <c r="E70" i="2"/>
  <c r="B71" i="2"/>
  <c r="C71" i="2"/>
  <c r="D71" i="2"/>
  <c r="E71" i="2"/>
  <c r="G1" i="3"/>
  <c r="B8" i="3"/>
  <c r="C8" i="3"/>
  <c r="D8" i="3"/>
  <c r="E8" i="3"/>
  <c r="F8" i="3"/>
  <c r="G8" i="3"/>
  <c r="H8" i="3"/>
  <c r="I8" i="3"/>
  <c r="J8" i="3"/>
  <c r="B9" i="3"/>
  <c r="C9" i="3"/>
  <c r="D9" i="3"/>
  <c r="E9" i="3"/>
  <c r="F9" i="3"/>
  <c r="G9" i="3"/>
  <c r="H9" i="3"/>
  <c r="I9" i="3"/>
  <c r="J9" i="3"/>
  <c r="B10" i="3"/>
  <c r="C10" i="3"/>
  <c r="D10" i="3"/>
  <c r="E10" i="3"/>
  <c r="F10" i="3"/>
  <c r="G10" i="3"/>
  <c r="H10" i="3"/>
  <c r="I10" i="3"/>
  <c r="J10" i="3"/>
  <c r="B11" i="3"/>
  <c r="C11" i="3"/>
  <c r="D11" i="3"/>
  <c r="E11" i="3"/>
  <c r="F11" i="3"/>
  <c r="G11" i="3"/>
  <c r="H11" i="3"/>
  <c r="I11" i="3"/>
  <c r="J11" i="3"/>
  <c r="B12" i="3"/>
  <c r="C12" i="3"/>
  <c r="D12" i="3"/>
  <c r="E12" i="3"/>
  <c r="F12" i="3"/>
  <c r="G12" i="3"/>
  <c r="H12" i="3"/>
  <c r="I12" i="3"/>
  <c r="J12" i="3"/>
  <c r="B13" i="3"/>
  <c r="C13" i="3"/>
  <c r="D13" i="3"/>
  <c r="E13" i="3"/>
  <c r="F13" i="3"/>
  <c r="G13" i="3"/>
  <c r="H13" i="3"/>
  <c r="I13" i="3"/>
  <c r="J13" i="3"/>
  <c r="B14" i="3"/>
  <c r="C14" i="3"/>
  <c r="D14" i="3"/>
  <c r="E14" i="3"/>
  <c r="F14" i="3"/>
  <c r="G14" i="3"/>
  <c r="H14" i="3"/>
  <c r="I14" i="3"/>
  <c r="J14" i="3"/>
  <c r="B15" i="3"/>
  <c r="C15" i="3"/>
  <c r="D15" i="3"/>
  <c r="E15" i="3"/>
  <c r="F15" i="3"/>
  <c r="G15" i="3"/>
  <c r="H15" i="3"/>
  <c r="I15" i="3"/>
  <c r="J15" i="3"/>
  <c r="B16" i="3"/>
  <c r="C16" i="3"/>
  <c r="D16" i="3"/>
  <c r="E16" i="3"/>
  <c r="F16" i="3"/>
  <c r="G16" i="3"/>
  <c r="H16" i="3"/>
  <c r="I16" i="3"/>
  <c r="J16" i="3"/>
  <c r="B17" i="3"/>
  <c r="C17" i="3"/>
  <c r="D17" i="3"/>
  <c r="E17" i="3"/>
  <c r="F17" i="3"/>
  <c r="G17" i="3"/>
  <c r="H17" i="3"/>
  <c r="I17" i="3"/>
  <c r="J17" i="3"/>
  <c r="B18" i="3"/>
  <c r="C18" i="3"/>
  <c r="D18" i="3"/>
  <c r="E18" i="3"/>
  <c r="F18" i="3"/>
  <c r="G18" i="3"/>
  <c r="H18" i="3"/>
  <c r="I18" i="3"/>
  <c r="J18" i="3"/>
  <c r="B25" i="3"/>
  <c r="C25" i="3"/>
  <c r="D25" i="3"/>
  <c r="E25" i="3"/>
  <c r="F25" i="3"/>
  <c r="G25" i="3"/>
  <c r="H25" i="3"/>
  <c r="I25" i="3"/>
  <c r="J25" i="3"/>
  <c r="B26" i="3"/>
  <c r="C26" i="3"/>
  <c r="D26" i="3"/>
  <c r="E26" i="3"/>
  <c r="F26" i="3"/>
  <c r="G26" i="3"/>
  <c r="H26" i="3"/>
  <c r="I26" i="3"/>
  <c r="J26" i="3"/>
  <c r="B27" i="3"/>
  <c r="C27" i="3"/>
  <c r="D27" i="3"/>
  <c r="E27" i="3"/>
  <c r="F27" i="3"/>
  <c r="G27" i="3"/>
  <c r="H27" i="3"/>
  <c r="I27" i="3"/>
  <c r="J27" i="3"/>
  <c r="B28" i="3"/>
  <c r="C28" i="3"/>
  <c r="D28" i="3"/>
  <c r="E28" i="3"/>
  <c r="F28" i="3"/>
  <c r="G28" i="3"/>
  <c r="H28" i="3"/>
  <c r="I28" i="3"/>
  <c r="J28" i="3"/>
  <c r="B29" i="3"/>
  <c r="C29" i="3"/>
  <c r="D29" i="3"/>
  <c r="E29" i="3"/>
  <c r="F29" i="3"/>
  <c r="G29" i="3"/>
  <c r="H29" i="3"/>
  <c r="I29" i="3"/>
  <c r="J29" i="3"/>
  <c r="B30" i="3"/>
  <c r="C30" i="3"/>
  <c r="D30" i="3"/>
  <c r="E30" i="3"/>
  <c r="F30" i="3"/>
  <c r="G30" i="3"/>
  <c r="H30" i="3"/>
  <c r="I30" i="3"/>
  <c r="J30" i="3"/>
  <c r="B31" i="3"/>
  <c r="C31" i="3"/>
  <c r="D31" i="3"/>
  <c r="E31" i="3"/>
  <c r="F31" i="3"/>
  <c r="G31" i="3"/>
  <c r="H31" i="3"/>
  <c r="I31" i="3"/>
  <c r="J31" i="3"/>
  <c r="B32" i="3"/>
  <c r="C32" i="3"/>
  <c r="D32" i="3"/>
  <c r="E32" i="3"/>
  <c r="F32" i="3"/>
  <c r="G32" i="3"/>
  <c r="H32" i="3"/>
  <c r="I32" i="3"/>
  <c r="J32" i="3"/>
  <c r="B33" i="3"/>
  <c r="C33" i="3"/>
  <c r="D33" i="3"/>
  <c r="E33" i="3"/>
  <c r="F33" i="3"/>
  <c r="G33" i="3"/>
  <c r="H33" i="3"/>
  <c r="I33" i="3"/>
  <c r="J33" i="3"/>
  <c r="B34" i="3"/>
  <c r="C34" i="3"/>
  <c r="D34" i="3"/>
  <c r="E34" i="3"/>
  <c r="F34" i="3"/>
  <c r="G34" i="3"/>
  <c r="H34" i="3"/>
  <c r="I34" i="3"/>
  <c r="J34" i="3"/>
  <c r="B35" i="3"/>
  <c r="C35" i="3"/>
  <c r="D35" i="3"/>
  <c r="E35" i="3"/>
  <c r="F35" i="3"/>
  <c r="G35" i="3"/>
  <c r="H35" i="3"/>
  <c r="I35" i="3"/>
  <c r="J35" i="3"/>
  <c r="B41" i="3"/>
  <c r="C41" i="3"/>
  <c r="D41" i="3"/>
  <c r="E41" i="3"/>
  <c r="F41" i="3"/>
  <c r="G41" i="3"/>
  <c r="H41" i="3"/>
  <c r="I41" i="3"/>
  <c r="J41" i="3"/>
  <c r="K41" i="3"/>
  <c r="B42" i="3"/>
  <c r="C42" i="3"/>
  <c r="D42" i="3"/>
  <c r="E42" i="3"/>
  <c r="F42" i="3"/>
  <c r="G42" i="3"/>
  <c r="H42" i="3"/>
  <c r="I42" i="3"/>
  <c r="J42" i="3"/>
  <c r="K42" i="3"/>
  <c r="B43" i="3"/>
  <c r="C43" i="3"/>
  <c r="D43" i="3"/>
  <c r="E43" i="3"/>
  <c r="F43" i="3"/>
  <c r="G43" i="3"/>
  <c r="H43" i="3"/>
  <c r="I43" i="3"/>
  <c r="J43" i="3"/>
  <c r="K43" i="3"/>
  <c r="B44" i="3"/>
  <c r="C44" i="3"/>
  <c r="D44" i="3"/>
  <c r="E44" i="3"/>
  <c r="F44" i="3"/>
  <c r="G44" i="3"/>
  <c r="H44" i="3"/>
  <c r="I44" i="3"/>
  <c r="J44" i="3"/>
  <c r="K44" i="3"/>
  <c r="B45" i="3"/>
  <c r="C45" i="3"/>
  <c r="D45" i="3"/>
  <c r="E45" i="3"/>
  <c r="F45" i="3"/>
  <c r="G45" i="3"/>
  <c r="H45" i="3"/>
  <c r="I45" i="3"/>
  <c r="J45" i="3"/>
  <c r="K45" i="3"/>
  <c r="B46" i="3"/>
  <c r="C46" i="3"/>
  <c r="D46" i="3"/>
  <c r="E46" i="3"/>
  <c r="F46" i="3"/>
  <c r="G46" i="3"/>
  <c r="H46" i="3"/>
  <c r="I46" i="3"/>
  <c r="J46" i="3"/>
  <c r="K46" i="3"/>
  <c r="B47" i="3"/>
  <c r="C47" i="3"/>
  <c r="D47" i="3"/>
  <c r="E47" i="3"/>
  <c r="F47" i="3"/>
  <c r="G47" i="3"/>
  <c r="H47" i="3"/>
  <c r="I47" i="3"/>
  <c r="J47" i="3"/>
  <c r="K47" i="3"/>
  <c r="B48" i="3"/>
  <c r="C48" i="3"/>
  <c r="D48" i="3"/>
  <c r="E48" i="3"/>
  <c r="F48" i="3"/>
  <c r="G48" i="3"/>
  <c r="H48" i="3"/>
  <c r="I48" i="3"/>
  <c r="J48" i="3"/>
  <c r="K48" i="3"/>
  <c r="B49" i="3"/>
  <c r="C49" i="3"/>
  <c r="D49" i="3"/>
  <c r="E49" i="3"/>
  <c r="F49" i="3"/>
  <c r="G49" i="3"/>
  <c r="H49" i="3"/>
  <c r="I49" i="3"/>
  <c r="J49" i="3"/>
  <c r="K49" i="3"/>
  <c r="B50" i="3"/>
  <c r="C50" i="3"/>
  <c r="D50" i="3"/>
  <c r="E50" i="3"/>
  <c r="F50" i="3"/>
  <c r="G50" i="3"/>
  <c r="H50" i="3"/>
  <c r="I50" i="3"/>
  <c r="J50" i="3"/>
  <c r="K50" i="3"/>
  <c r="B51" i="3"/>
  <c r="C51" i="3"/>
  <c r="D51" i="3"/>
  <c r="E51" i="3"/>
  <c r="F51" i="3"/>
  <c r="G51" i="3"/>
  <c r="H51" i="3"/>
  <c r="I51" i="3"/>
  <c r="J51" i="3"/>
  <c r="K51" i="3"/>
  <c r="B57" i="3"/>
  <c r="C57" i="3"/>
  <c r="D57" i="3"/>
  <c r="E57" i="3"/>
  <c r="F57" i="3"/>
  <c r="G57" i="3"/>
  <c r="B58" i="3"/>
  <c r="C58" i="3"/>
  <c r="D58" i="3"/>
  <c r="E58" i="3"/>
  <c r="F58" i="3"/>
  <c r="G58" i="3"/>
  <c r="B59" i="3"/>
  <c r="C59" i="3"/>
  <c r="D59" i="3"/>
  <c r="E59" i="3"/>
  <c r="F59" i="3"/>
  <c r="G59" i="3"/>
  <c r="B60" i="3"/>
  <c r="C60" i="3"/>
  <c r="D60" i="3"/>
  <c r="E60" i="3"/>
  <c r="F60" i="3"/>
  <c r="G60" i="3"/>
  <c r="B61" i="3"/>
  <c r="C61" i="3"/>
  <c r="D61" i="3"/>
  <c r="E61" i="3"/>
  <c r="F61" i="3"/>
  <c r="G61" i="3"/>
  <c r="B62" i="3"/>
  <c r="C62" i="3"/>
  <c r="D62" i="3"/>
  <c r="E62" i="3"/>
  <c r="F62" i="3"/>
  <c r="G62" i="3"/>
  <c r="B63" i="3"/>
  <c r="C63" i="3"/>
  <c r="D63" i="3"/>
  <c r="E63" i="3"/>
  <c r="F63" i="3"/>
  <c r="G63" i="3"/>
  <c r="B64" i="3"/>
  <c r="C64" i="3"/>
  <c r="D64" i="3"/>
  <c r="E64" i="3"/>
  <c r="F64" i="3"/>
  <c r="G64" i="3"/>
  <c r="B65" i="3"/>
  <c r="C65" i="3"/>
  <c r="D65" i="3"/>
  <c r="E65" i="3"/>
  <c r="F65" i="3"/>
  <c r="G65" i="3"/>
  <c r="B66" i="3"/>
  <c r="C66" i="3"/>
  <c r="D66" i="3"/>
  <c r="E66" i="3"/>
  <c r="F66" i="3"/>
  <c r="G66" i="3"/>
  <c r="B67" i="3"/>
  <c r="C67" i="3"/>
  <c r="D67" i="3"/>
  <c r="E67" i="3"/>
  <c r="F67" i="3"/>
  <c r="G67" i="3"/>
  <c r="B72" i="3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B78" i="3"/>
  <c r="C78" i="3"/>
  <c r="D78" i="3"/>
  <c r="E78" i="3"/>
  <c r="F78" i="3"/>
  <c r="B79" i="3"/>
  <c r="C79" i="3"/>
  <c r="D79" i="3"/>
  <c r="E79" i="3"/>
  <c r="F79" i="3"/>
  <c r="B80" i="3"/>
  <c r="C80" i="3"/>
  <c r="D80" i="3"/>
  <c r="E80" i="3"/>
  <c r="F80" i="3"/>
  <c r="B81" i="3"/>
  <c r="C81" i="3"/>
  <c r="D81" i="3"/>
  <c r="E81" i="3"/>
  <c r="F81" i="3"/>
  <c r="B82" i="3"/>
  <c r="C82" i="3"/>
  <c r="D82" i="3"/>
  <c r="E82" i="3"/>
  <c r="F82" i="3"/>
</calcChain>
</file>

<file path=xl/comments1.xml><?xml version="1.0" encoding="utf-8"?>
<comments xmlns="http://schemas.openxmlformats.org/spreadsheetml/2006/main">
  <authors>
    <author/>
  </authors>
  <commentList>
    <comment ref="G23" authorId="0" shapeId="0">
      <text>
        <r>
          <rPr>
            <sz val="9"/>
            <color indexed="81"/>
            <rFont val="Tahoma"/>
            <family val="2"/>
          </rPr>
          <t xml:space="preserve">Metric Tonne Carbon Equivalent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71" authorId="0" shapeId="0">
      <text>
        <r>
          <rPr>
            <sz val="9"/>
            <color indexed="81"/>
            <rFont val="Tahoma"/>
            <family val="2"/>
          </rPr>
          <t>Source: Tufts Facts and Figures website:http://www.tufts.edu/ir/staff.htm</t>
        </r>
      </text>
    </comment>
    <comment ref="D71" authorId="0" shapeId="0">
      <text>
        <r>
          <rPr>
            <sz val="9"/>
            <color indexed="81"/>
            <rFont val="Tahoma"/>
            <family val="2"/>
          </rPr>
          <t xml:space="preserve">Source: Tufts Facts and Figures website:http://www.tufts.edu/ir/enrollment.html
</t>
        </r>
      </text>
    </comment>
    <comment ref="E71" authorId="0" shapeId="0">
      <text>
        <r>
          <rPr>
            <sz val="9"/>
            <color indexed="81"/>
            <rFont val="Tahoma"/>
            <family val="2"/>
          </rPr>
          <t>Source: Tufts Facts and Figures website:http://www.tufts.edu/ir/enrollment.html</t>
        </r>
      </text>
    </comment>
    <comment ref="F71" authorId="0" shapeId="0">
      <text>
        <r>
          <rPr>
            <sz val="9"/>
            <color indexed="81"/>
            <rFont val="Tahoma"/>
            <family val="2"/>
          </rPr>
          <t xml:space="preserve">FTE students includes all full-time students + 1/2* part-time students
</t>
        </r>
      </text>
    </comment>
    <comment ref="G71" authorId="0" shapeId="0">
      <text>
        <r>
          <rPr>
            <sz val="9"/>
            <color indexed="81"/>
            <rFont val="Tahoma"/>
            <family val="2"/>
          </rPr>
          <t xml:space="preserve">Source: NOAA
http://www.nws.noaa.gov/er/box/climate/boshdd.html
</t>
        </r>
      </text>
    </comment>
    <comment ref="H71" authorId="0" shapeId="0">
      <text>
        <r>
          <rPr>
            <sz val="9"/>
            <color indexed="81"/>
            <rFont val="Tahoma"/>
            <family val="2"/>
          </rPr>
          <t xml:space="preserve">Source: NOAA
http://www.nws.noaa.gov/er/box/climate/boscdd.html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8" authorId="0" shapeId="0">
      <text>
        <r>
          <rPr>
            <sz val="9"/>
            <color indexed="81"/>
            <rFont val="Tahoma"/>
            <family val="2"/>
          </rPr>
          <t>TSource: McClennen M. and S. H. Creighton (1998) Campus Ultility Use and Impacts at Tufts University, unpublished report, Center for Environmental Management, Tuft University, Medford MA, Figure 9.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Source: McClennen M. and S. H. Creighton (1998) Campus Ultility Use and Impacts at Tufts University, unpublished report, Center for Environmental Management, Tuft University, Medford MA, Figure 9.
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 xml:space="preserve">Source: McClennen M. and S. H. Creighton (1998) Campus Ultility Use and Impacts at Tufts University, unpublished report, Center for Environmental Management, Tuft University, Medford MA, Figure 9.
</t>
        </r>
      </text>
    </comment>
    <comment ref="I8" authorId="0" shapeId="0">
      <text>
        <r>
          <rPr>
            <sz val="9"/>
            <color indexed="81"/>
            <rFont val="Tahoma"/>
            <family val="2"/>
          </rPr>
          <t xml:space="preserve">2000 personnel commuters at 75% single = 1750 vehicles.
Average trip distance = 27 miles.
Edmondson, L. and S. H. Creighton (1992) Transportation and Parking at Tufts University: Opportunities to Meet Obligations and Improve the Environment, unpublished report, Center for Environmental Management, Tufts University, Medford, MA, p. 1.
Average fuel economy = 20.2
National Transportation Statistics 1999, Table 4-23.
http://www.bts.gov/ntda/nts/NTS99/data/Chapter4/4-23.html
150 commuter days (two 15 week semesters)
1750 x 27 x 150 / 20.2
 </t>
        </r>
      </text>
    </comment>
    <comment ref="B9" authorId="0" shapeId="0">
      <text>
        <r>
          <rPr>
            <sz val="9"/>
            <color indexed="81"/>
            <rFont val="Tahoma"/>
            <family val="2"/>
          </rPr>
          <t xml:space="preserve">Source: McClennen M. and S. H. Creighton (1998) Campus Ultility Use and Impacts at Tufts University, unpublished report, Center for Environmental Management, Tuft University, Medford MA, Figure 9.
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 xml:space="preserve">Source: McClennen M. and S. H. Creighton (1998) Campus Ultility Use and Impacts at Tufts University, unpublished report, Center for Environmental Management, Tuft University, Medford MA, Table 1, p. 11.
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 xml:space="preserve">Source: McClennen M. and S. H. Creighton (1998) Campus Ultility Use and Impacts at Tufts University, unpublished report, Center for Environmental Management, Tuft University, Medford MA, Figure 9.
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 xml:space="preserve">Source: McClennen M. and S. H. Creighton (1998) Campus Ultility Use and Impacts at Tufts University, unpublished report, Center for Environmental Management, Tuft University, Medford MA, Figure 9.
</t>
        </r>
      </text>
    </comment>
    <comment ref="H16" authorId="0" shapeId="0">
      <text>
        <r>
          <rPr>
            <sz val="9"/>
            <color indexed="81"/>
            <rFont val="Tahoma"/>
            <family val="2"/>
          </rPr>
          <t>Medford Campus: 4021 gallons/month in bulk purchases (police cars, athletic vans, mail vans, lawn mowers etc.) = 48,252 gallons. 
All Campuses: $17,000 @ $1.25/gallon = 13,600 gallons.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>2200 commuters at a 75% single occupancy rate = 1926 vehicles
average of 26 miles/ round trip
Email: S Creighton 11/7/00
average of 21.5 mpg fuel economy 
National Transportation Statistics 1999, Table 4-23.
http://www.bts.gov/ntda/nts/NTS99/data/Chapter4/4-23.html
150 commuting days (two 15 week semesters at 5 days per week)
1925 x 26 x 150 / 21.5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 xml:space="preserve">Based on 4 lbs per student and staff per day for 150 days.
</t>
        </r>
      </text>
    </comment>
    <comment ref="C33" authorId="0" shapeId="0">
      <text>
        <r>
          <rPr>
            <sz val="9"/>
            <color indexed="81"/>
            <rFont val="Tahoma"/>
            <family val="2"/>
          </rPr>
          <t xml:space="preserve">Based on 4 lbs per student and staff per day for 150 days.
</t>
        </r>
      </text>
    </comment>
    <comment ref="D71" authorId="0" shapeId="0">
      <text>
        <r>
          <rPr>
            <sz val="9"/>
            <color indexed="81"/>
            <rFont val="Tahoma"/>
            <family val="2"/>
          </rPr>
          <t xml:space="preserve">The number of students includes all undergraduates, Fletcher, GSAS, 
Nutrition and unclassfied students
</t>
        </r>
      </text>
    </comment>
    <comment ref="E71" authorId="0" shapeId="0">
      <text>
        <r>
          <rPr>
            <sz val="9"/>
            <color indexed="81"/>
            <rFont val="Tahoma"/>
            <family val="2"/>
          </rPr>
          <t xml:space="preserve">The number of students includes all undergraduates, Fletcher, GSAS, 
Nutrition and unclassfied students
</t>
        </r>
      </text>
    </comment>
    <comment ref="B72" authorId="0" shapeId="0">
      <text>
        <r>
          <rPr>
            <sz val="9"/>
            <color indexed="81"/>
            <rFont val="Tahoma"/>
            <family val="2"/>
          </rPr>
          <t xml:space="preserve">Source: McClennen M. and S. H. Creighton (1998) Campus Ultility Use and Impacts at Tufts University, unpublished report, Center for Environmental Management, Tuft University, Medford MA, p.1.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71" authorId="0" shapeId="0">
      <text>
        <r>
          <rPr>
            <sz val="9"/>
            <color indexed="81"/>
            <rFont val="Tahoma"/>
            <family val="2"/>
          </rPr>
          <t xml:space="preserve">This includes all veterinary students
</t>
        </r>
      </text>
    </comment>
    <comment ref="E71" authorId="0" shapeId="0">
      <text>
        <r>
          <rPr>
            <sz val="9"/>
            <color indexed="81"/>
            <rFont val="Tahoma"/>
            <family val="2"/>
          </rPr>
          <t xml:space="preserve">This includes all veterinary students
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71" authorId="0" shapeId="0">
      <text>
        <r>
          <rPr>
            <sz val="9"/>
            <color indexed="81"/>
            <rFont val="Tahoma"/>
            <family val="2"/>
          </rPr>
          <t xml:space="preserve">This includes all Sackler, Medical and Dental Students
</t>
        </r>
      </text>
    </comment>
    <comment ref="E71" authorId="0" shapeId="0">
      <text>
        <r>
          <rPr>
            <sz val="9"/>
            <color indexed="81"/>
            <rFont val="Tahoma"/>
            <family val="2"/>
          </rPr>
          <t xml:space="preserve">This includes all Sackler, Medical and Dental Students
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B6" authorId="0" shapeId="0">
      <text>
        <r>
          <rPr>
            <sz val="9"/>
            <color indexed="81"/>
            <rFont val="Tahoma"/>
            <family val="2"/>
          </rPr>
          <t>Source: U. S. Department of Energy, Sector-Specific Issues and Reporting Methodologies Supporting the General Guidelines for the Voluntary Reporting of Greenhouse Gases under Section 1605(b) of the Energy Policy Act of 1992 (DOE/PO-0028, October 1994), Volume I, Table C.1 "Adjusted Electricity Emissions Factors by State."  http://www.eia.doe.gov/oiaf/1605/e-factor.html
Conversion factor prior to 1998 is from??</t>
        </r>
      </text>
    </comment>
    <comment ref="C6" authorId="0" shapeId="0">
      <text>
        <r>
          <rPr>
            <sz val="9"/>
            <color indexed="81"/>
            <rFont val="Tahoma"/>
            <family val="2"/>
          </rPr>
          <t xml:space="preserve">Source: Energy Information Agency
http://www.eia.doe.gov/oiaf/1605/factors.html
</t>
        </r>
      </text>
    </comment>
    <comment ref="D6" authorId="0" shapeId="0">
      <text>
        <r>
          <rPr>
            <sz val="9"/>
            <color indexed="81"/>
            <rFont val="Tahoma"/>
            <family val="2"/>
          </rPr>
          <t xml:space="preserve">Source: Energy Information Agency
http://www.eia.doe.gov/oiaf/1605/factors.html
</t>
        </r>
      </text>
    </comment>
    <comment ref="E6" authorId="0" shapeId="0">
      <text>
        <r>
          <rPr>
            <sz val="9"/>
            <color indexed="81"/>
            <rFont val="Tahoma"/>
            <family val="2"/>
          </rPr>
          <t xml:space="preserve">Source: Energy Information Agency
http://www.eia.doe.gov/oiaf/1605/factors.html
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Source: Energy Information Agency
http://www.eia.doe.gov/oiaf/1605/factors.html</t>
        </r>
      </text>
    </comment>
    <comment ref="G6" authorId="0" shapeId="0">
      <text>
        <r>
          <rPr>
            <sz val="9"/>
            <color indexed="81"/>
            <rFont val="Tahoma"/>
            <family val="2"/>
          </rPr>
          <t>Source: Trigen Corporation 1999 fuel mix data. 
Energy used in 1999: 4,512,887 mmbtu
2% - #2 oil (0.02*161.386 lbs/mmbtu) = 3.228
29% - #6 oil (0.29*173.906 lbs/mmbtu) = 66.436
69% - natural gas (0.69*117.080 lbs/mmbtu) = 80.785
as a weighted average = 150.45 lbs CO2/mmbtu
Estimate of 1.19 mmbtu /Mlb of steam
179 lbs CO2/Mlb of steam at 100% efficiency
224 lbs CO2/Mlb of steam at 80% efficiency
358 lbs CO2/Mlb of steam at 50% efficiency
597 lbs CO2/Mlb of steam at 30% efficiency
This does not include any benefit towards coproduction of electricity and chilling water</t>
        </r>
      </text>
    </comment>
    <comment ref="H6" authorId="0" shapeId="0">
      <text>
        <r>
          <rPr>
            <sz val="9"/>
            <color indexed="81"/>
            <rFont val="Tahoma"/>
            <family val="2"/>
          </rPr>
          <t xml:space="preserve">Source: Energy Information Agency
http://www.eia.doe.gov/oiaf/1605/factors.html
</t>
        </r>
      </text>
    </comment>
    <comment ref="I6" authorId="0" shapeId="0">
      <text>
        <r>
          <rPr>
            <sz val="9"/>
            <color indexed="81"/>
            <rFont val="Tahoma"/>
            <family val="2"/>
          </rPr>
          <t xml:space="preserve">Source: Energy Information Agency
http://www.eia.doe.gov/oiaf/1605/factors.html
</t>
        </r>
      </text>
    </comment>
    <comment ref="J6" authorId="0" shapeId="0">
      <text>
        <r>
          <rPr>
            <sz val="9"/>
            <color indexed="81"/>
            <rFont val="Tahoma"/>
            <family val="2"/>
          </rPr>
          <t xml:space="preserve">Source: Energy Information Agency
http://www.eia.doe.gov/oiaf/1605/factors.html
</t>
        </r>
      </text>
    </comment>
    <comment ref="D22" authorId="0" shapeId="0">
      <text>
        <r>
          <rPr>
            <sz val="9"/>
            <color indexed="81"/>
            <rFont val="Tahoma"/>
            <family val="2"/>
          </rPr>
          <t xml:space="preserve">US EPA, Office of Policy (2000): Inventory of U.S. Greenhouse Gases and Sinks: 1990-1998, Doc. No. EPA 236-R-00-001, Washington, D.C., April 15. 
Web presence:
http://www.epa.gov/globalwarming/publications/emissions/us2000/index.html
</t>
        </r>
      </text>
    </comment>
    <comment ref="A33" authorId="0" shapeId="0">
      <text>
        <r>
          <rPr>
            <sz val="9"/>
            <color indexed="81"/>
            <rFont val="Tahoma"/>
            <family val="2"/>
          </rPr>
          <t xml:space="preserve">Average of CF4 and C2F6
</t>
        </r>
      </text>
    </comment>
    <comment ref="D39" authorId="0" shapeId="0">
      <text>
        <r>
          <rPr>
            <sz val="9"/>
            <color indexed="81"/>
            <rFont val="Tahoma"/>
            <family val="2"/>
          </rPr>
          <t xml:space="preserve">US EPA, Office of Policy (2000): Inventory of U.S. Greenhouse Gases and Sinks: 1990-1998, Doc. No. EPA 236-R-00-001, Washington, D.C., April 15. 
Web presence:
http://www.epa.gov/globalwarming/publications/emissions/us2000/index.html
</t>
        </r>
      </text>
    </comment>
  </commentList>
</comments>
</file>

<file path=xl/sharedStrings.xml><?xml version="1.0" encoding="utf-8"?>
<sst xmlns="http://schemas.openxmlformats.org/spreadsheetml/2006/main" count="496" uniqueCount="140">
  <si>
    <t xml:space="preserve">SUMMARY OF TOTAL EMISSIONS </t>
  </si>
  <si>
    <t xml:space="preserve">ENTITY: </t>
  </si>
  <si>
    <t>SHORT TONS in Carbon Equivalents</t>
  </si>
  <si>
    <t>Year</t>
  </si>
  <si>
    <r>
      <t>CO</t>
    </r>
    <r>
      <rPr>
        <b/>
        <vertAlign val="subscript"/>
        <sz val="12"/>
        <color indexed="62"/>
        <rFont val="Arial"/>
        <family val="2"/>
      </rPr>
      <t>2</t>
    </r>
    <r>
      <rPr>
        <b/>
        <sz val="12"/>
        <color indexed="62"/>
        <rFont val="Arial"/>
        <family val="2"/>
      </rPr>
      <t xml:space="preserve"> </t>
    </r>
  </si>
  <si>
    <r>
      <t>CH</t>
    </r>
    <r>
      <rPr>
        <b/>
        <vertAlign val="subscript"/>
        <sz val="12"/>
        <color indexed="62"/>
        <rFont val="Arial"/>
        <family val="2"/>
      </rPr>
      <t>4</t>
    </r>
    <r>
      <rPr>
        <b/>
        <sz val="12"/>
        <color indexed="62"/>
        <rFont val="Arial"/>
        <family val="2"/>
      </rPr>
      <t xml:space="preserve"> </t>
    </r>
    <r>
      <rPr>
        <sz val="12"/>
        <color indexed="62"/>
        <rFont val="Arial"/>
        <family val="2"/>
      </rPr>
      <t xml:space="preserve"> </t>
    </r>
  </si>
  <si>
    <r>
      <t>N</t>
    </r>
    <r>
      <rPr>
        <b/>
        <vertAlign val="subscript"/>
        <sz val="12"/>
        <color indexed="62"/>
        <rFont val="Arial"/>
        <family val="2"/>
      </rPr>
      <t>2</t>
    </r>
    <r>
      <rPr>
        <b/>
        <sz val="12"/>
        <color indexed="62"/>
        <rFont val="Arial"/>
        <family val="2"/>
      </rPr>
      <t>O</t>
    </r>
  </si>
  <si>
    <r>
      <t>CF</t>
    </r>
    <r>
      <rPr>
        <b/>
        <vertAlign val="subscript"/>
        <sz val="12"/>
        <color indexed="62"/>
        <rFont val="Arial"/>
        <family val="2"/>
      </rPr>
      <t>4</t>
    </r>
  </si>
  <si>
    <r>
      <t>C</t>
    </r>
    <r>
      <rPr>
        <b/>
        <vertAlign val="subscript"/>
        <sz val="12"/>
        <color indexed="62"/>
        <rFont val="Arial"/>
        <family val="2"/>
      </rPr>
      <t>2</t>
    </r>
    <r>
      <rPr>
        <b/>
        <sz val="12"/>
        <color indexed="62"/>
        <rFont val="Arial"/>
        <family val="2"/>
      </rPr>
      <t>F</t>
    </r>
    <r>
      <rPr>
        <b/>
        <vertAlign val="subscript"/>
        <sz val="12"/>
        <color indexed="62"/>
        <rFont val="Arial"/>
        <family val="2"/>
      </rPr>
      <t>6</t>
    </r>
  </si>
  <si>
    <t>Total</t>
  </si>
  <si>
    <t>(methane)</t>
  </si>
  <si>
    <t>(nitrous oxide)</t>
  </si>
  <si>
    <t>perfluoromethane</t>
  </si>
  <si>
    <t>perfluoroethane</t>
  </si>
  <si>
    <t>Carbon Equivalents</t>
  </si>
  <si>
    <t>METRIC TONS in Carbon Equivalents</t>
  </si>
  <si>
    <t>(perfluoromethane)</t>
  </si>
  <si>
    <t>(perfluoroethane)</t>
  </si>
  <si>
    <t>MTCE</t>
  </si>
  <si>
    <t>MTCE/Area (sqft)</t>
  </si>
  <si>
    <t>MTCE/FTE Student</t>
  </si>
  <si>
    <t>Inventory Estimates</t>
  </si>
  <si>
    <t>Reduction Requirements</t>
  </si>
  <si>
    <t>Emissions Intensity</t>
  </si>
  <si>
    <t>Emissions</t>
  </si>
  <si>
    <t>Percent</t>
  </si>
  <si>
    <t>By student</t>
  </si>
  <si>
    <t>By Area</t>
  </si>
  <si>
    <t>(MTCE)</t>
  </si>
  <si>
    <t>Reduction</t>
  </si>
  <si>
    <t>-</t>
  </si>
  <si>
    <t xml:space="preserve">Target </t>
  </si>
  <si>
    <t>(7% below 1990)</t>
  </si>
  <si>
    <r>
      <t xml:space="preserve">Tufts University Categories of Emissions Released </t>
    </r>
    <r>
      <rPr>
        <b/>
        <i/>
        <sz val="12"/>
        <color indexed="61"/>
        <rFont val="Arial"/>
        <family val="2"/>
      </rPr>
      <t>(MTCE)</t>
    </r>
    <r>
      <rPr>
        <i/>
        <sz val="12"/>
        <color indexed="61"/>
        <rFont val="Arial"/>
        <family val="2"/>
      </rPr>
      <t>:</t>
    </r>
  </si>
  <si>
    <t>Gasoline</t>
  </si>
  <si>
    <t>Electricity</t>
  </si>
  <si>
    <t>Gas</t>
  </si>
  <si>
    <t>#6 Oil</t>
  </si>
  <si>
    <t>#2 Oil</t>
  </si>
  <si>
    <t>Propane</t>
  </si>
  <si>
    <t>Steam</t>
  </si>
  <si>
    <t>On Campus</t>
  </si>
  <si>
    <t>Commuters</t>
  </si>
  <si>
    <t>Agriculture</t>
  </si>
  <si>
    <t>Totals</t>
  </si>
  <si>
    <r>
      <t xml:space="preserve">Tufts University Summarized Categories of Emissions Released </t>
    </r>
    <r>
      <rPr>
        <b/>
        <i/>
        <sz val="12"/>
        <color indexed="61"/>
        <rFont val="Arial"/>
        <family val="2"/>
      </rPr>
      <t>(MTCE)</t>
    </r>
    <r>
      <rPr>
        <i/>
        <sz val="12"/>
        <color indexed="61"/>
        <rFont val="Arial"/>
        <family val="2"/>
      </rPr>
      <t>:</t>
    </r>
  </si>
  <si>
    <t>Heating</t>
  </si>
  <si>
    <t>Transportation</t>
  </si>
  <si>
    <t>Target</t>
  </si>
  <si>
    <r>
      <t xml:space="preserve">Tufts University Summarized Categories of Emissions Released </t>
    </r>
    <r>
      <rPr>
        <b/>
        <i/>
        <sz val="12"/>
        <color indexed="61"/>
        <rFont val="Arial"/>
        <family val="2"/>
      </rPr>
      <t>(% of Total)</t>
    </r>
    <r>
      <rPr>
        <i/>
        <sz val="12"/>
        <color indexed="61"/>
        <rFont val="Arial"/>
        <family val="2"/>
      </rPr>
      <t>:</t>
    </r>
  </si>
  <si>
    <t>Percent Contribution by Source</t>
  </si>
  <si>
    <t>QUANTITIES OF ENERGY AND MATERIALS USED</t>
  </si>
  <si>
    <t xml:space="preserve">Tufts University GHG Emissions </t>
  </si>
  <si>
    <r>
      <t xml:space="preserve">Total Quantities of </t>
    </r>
    <r>
      <rPr>
        <b/>
        <i/>
        <sz val="12"/>
        <color indexed="61"/>
        <rFont val="Arial"/>
        <family val="2"/>
      </rPr>
      <t>Fuel Used</t>
    </r>
    <r>
      <rPr>
        <i/>
        <sz val="12"/>
        <color indexed="61"/>
        <rFont val="Arial"/>
        <family val="2"/>
      </rPr>
      <t>:</t>
    </r>
  </si>
  <si>
    <t>Diesel</t>
  </si>
  <si>
    <t>(kWh)</t>
  </si>
  <si>
    <t>(Ccf)*</t>
  </si>
  <si>
    <t>(gal.)</t>
  </si>
  <si>
    <t>(Mlb.)**</t>
  </si>
  <si>
    <r>
      <t xml:space="preserve">Quantities of </t>
    </r>
    <r>
      <rPr>
        <b/>
        <i/>
        <sz val="12"/>
        <color indexed="61"/>
        <rFont val="Arial"/>
        <family val="2"/>
      </rPr>
      <t>Solid Waste</t>
    </r>
    <r>
      <rPr>
        <i/>
        <sz val="12"/>
        <color indexed="61"/>
        <rFont val="Arial"/>
        <family val="2"/>
      </rPr>
      <t xml:space="preserve"> Materials in </t>
    </r>
    <r>
      <rPr>
        <b/>
        <i/>
        <sz val="12"/>
        <color indexed="61"/>
        <rFont val="Arial"/>
        <family val="2"/>
      </rPr>
      <t>Short Tons</t>
    </r>
    <r>
      <rPr>
        <i/>
        <sz val="12"/>
        <color indexed="61"/>
        <rFont val="Arial"/>
        <family val="2"/>
      </rPr>
      <t>:</t>
    </r>
  </si>
  <si>
    <t>Landfill</t>
  </si>
  <si>
    <t>Composted</t>
  </si>
  <si>
    <t>No LFG</t>
  </si>
  <si>
    <t>Incineration</t>
  </si>
  <si>
    <t>Food</t>
  </si>
  <si>
    <t>Landscaping</t>
  </si>
  <si>
    <t>Recovery</t>
  </si>
  <si>
    <t>Generation</t>
  </si>
  <si>
    <t>Wastes</t>
  </si>
  <si>
    <r>
      <t xml:space="preserve">Quantities of </t>
    </r>
    <r>
      <rPr>
        <b/>
        <i/>
        <sz val="12"/>
        <color indexed="61"/>
        <rFont val="Arial"/>
        <family val="2"/>
      </rPr>
      <t>Recycled</t>
    </r>
    <r>
      <rPr>
        <i/>
        <sz val="12"/>
        <color indexed="61"/>
        <rFont val="Arial"/>
        <family val="2"/>
      </rPr>
      <t xml:space="preserve"> Materials in </t>
    </r>
    <r>
      <rPr>
        <b/>
        <i/>
        <sz val="12"/>
        <color indexed="61"/>
        <rFont val="Arial"/>
        <family val="2"/>
      </rPr>
      <t>Short Tons</t>
    </r>
    <r>
      <rPr>
        <i/>
        <sz val="12"/>
        <color indexed="61"/>
        <rFont val="Arial"/>
        <family val="2"/>
      </rPr>
      <t>:</t>
    </r>
  </si>
  <si>
    <t>Newspaper</t>
  </si>
  <si>
    <t>Office</t>
  </si>
  <si>
    <t>MIxed</t>
  </si>
  <si>
    <t>Corregated</t>
  </si>
  <si>
    <t>Aluminum</t>
  </si>
  <si>
    <t>Steel</t>
  </si>
  <si>
    <t>HDPE</t>
  </si>
  <si>
    <t>LDPE</t>
  </si>
  <si>
    <t>PET</t>
  </si>
  <si>
    <t>Wooden</t>
  </si>
  <si>
    <t>Paper</t>
  </si>
  <si>
    <t>Cardboard</t>
  </si>
  <si>
    <t>Cans</t>
  </si>
  <si>
    <t>Pallets</t>
  </si>
  <si>
    <r>
      <t xml:space="preserve">Quantities of </t>
    </r>
    <r>
      <rPr>
        <b/>
        <i/>
        <sz val="12"/>
        <color indexed="61"/>
        <rFont val="Arial"/>
        <family val="2"/>
      </rPr>
      <t>Domesticated Animals</t>
    </r>
    <r>
      <rPr>
        <i/>
        <sz val="12"/>
        <color indexed="61"/>
        <rFont val="Arial"/>
        <family val="2"/>
      </rPr>
      <t>:</t>
    </r>
  </si>
  <si>
    <t>Dairy</t>
  </si>
  <si>
    <t>Beef</t>
  </si>
  <si>
    <t>Cattle</t>
  </si>
  <si>
    <t>Sheep</t>
  </si>
  <si>
    <t>Goats</t>
  </si>
  <si>
    <t>Horses</t>
  </si>
  <si>
    <t>Swine</t>
  </si>
  <si>
    <r>
      <t xml:space="preserve">Total </t>
    </r>
    <r>
      <rPr>
        <b/>
        <i/>
        <sz val="12"/>
        <color indexed="61"/>
        <rFont val="Arial"/>
        <family val="2"/>
      </rPr>
      <t>University Statistics</t>
    </r>
    <r>
      <rPr>
        <i/>
        <sz val="12"/>
        <color indexed="61"/>
        <rFont val="Arial"/>
        <family val="2"/>
      </rPr>
      <t>:</t>
    </r>
  </si>
  <si>
    <t>Square</t>
  </si>
  <si>
    <t>Full-time</t>
  </si>
  <si>
    <t>Part-time</t>
  </si>
  <si>
    <t xml:space="preserve">Heating </t>
  </si>
  <si>
    <t>Cooling</t>
  </si>
  <si>
    <t>Area (sqft)</t>
  </si>
  <si>
    <t>Personnel</t>
  </si>
  <si>
    <t>Students</t>
  </si>
  <si>
    <t>Equivalent</t>
  </si>
  <si>
    <t>Degree Days</t>
  </si>
  <si>
    <t>*Ccf - a unit of measure equal to one hundred cubic feet</t>
  </si>
  <si>
    <t>*Mlb. - a unit of measure equal to one thousand pounds of steam</t>
  </si>
  <si>
    <t xml:space="preserve">Medford - Tufts University Main Campus </t>
  </si>
  <si>
    <r>
      <t xml:space="preserve">Enter Quantities of </t>
    </r>
    <r>
      <rPr>
        <b/>
        <i/>
        <sz val="12"/>
        <color indexed="61"/>
        <rFont val="Arial"/>
        <family val="2"/>
      </rPr>
      <t>Fuel Used</t>
    </r>
    <r>
      <rPr>
        <i/>
        <sz val="12"/>
        <color indexed="61"/>
        <rFont val="Arial"/>
        <family val="2"/>
      </rPr>
      <t>:</t>
    </r>
  </si>
  <si>
    <t>(Mlb.)</t>
  </si>
  <si>
    <r>
      <t xml:space="preserve">Enter Quantities of </t>
    </r>
    <r>
      <rPr>
        <b/>
        <i/>
        <sz val="12"/>
        <color indexed="61"/>
        <rFont val="Arial"/>
        <family val="2"/>
      </rPr>
      <t>Solid Waste</t>
    </r>
    <r>
      <rPr>
        <i/>
        <sz val="12"/>
        <color indexed="61"/>
        <rFont val="Arial"/>
        <family val="2"/>
      </rPr>
      <t xml:space="preserve"> Materials in </t>
    </r>
    <r>
      <rPr>
        <b/>
        <i/>
        <sz val="12"/>
        <color indexed="61"/>
        <rFont val="Arial"/>
        <family val="2"/>
      </rPr>
      <t>Short Tons</t>
    </r>
    <r>
      <rPr>
        <i/>
        <sz val="12"/>
        <color indexed="61"/>
        <rFont val="Arial"/>
        <family val="2"/>
      </rPr>
      <t>:</t>
    </r>
  </si>
  <si>
    <r>
      <t xml:space="preserve">Enter Quantities of </t>
    </r>
    <r>
      <rPr>
        <b/>
        <i/>
        <sz val="12"/>
        <color indexed="61"/>
        <rFont val="Arial"/>
        <family val="2"/>
      </rPr>
      <t>Recycled</t>
    </r>
    <r>
      <rPr>
        <i/>
        <sz val="12"/>
        <color indexed="61"/>
        <rFont val="Arial"/>
        <family val="2"/>
      </rPr>
      <t xml:space="preserve"> Materials in </t>
    </r>
    <r>
      <rPr>
        <b/>
        <i/>
        <sz val="12"/>
        <color indexed="61"/>
        <rFont val="Arial"/>
        <family val="2"/>
      </rPr>
      <t>Short Tons</t>
    </r>
    <r>
      <rPr>
        <i/>
        <sz val="12"/>
        <color indexed="61"/>
        <rFont val="Arial"/>
        <family val="2"/>
      </rPr>
      <t>:</t>
    </r>
  </si>
  <si>
    <r>
      <t xml:space="preserve">Enter Quantities of </t>
    </r>
    <r>
      <rPr>
        <b/>
        <i/>
        <sz val="12"/>
        <color indexed="61"/>
        <rFont val="Arial"/>
        <family val="2"/>
      </rPr>
      <t>Domesticated Animals</t>
    </r>
    <r>
      <rPr>
        <i/>
        <sz val="12"/>
        <color indexed="61"/>
        <rFont val="Arial"/>
        <family val="2"/>
      </rPr>
      <t>:</t>
    </r>
  </si>
  <si>
    <r>
      <t xml:space="preserve">Enter </t>
    </r>
    <r>
      <rPr>
        <b/>
        <i/>
        <sz val="12"/>
        <color indexed="61"/>
        <rFont val="Arial"/>
        <family val="2"/>
      </rPr>
      <t>Campus Statistics</t>
    </r>
    <r>
      <rPr>
        <i/>
        <sz val="12"/>
        <color indexed="61"/>
        <rFont val="Arial"/>
        <family val="2"/>
      </rPr>
      <t>:</t>
    </r>
  </si>
  <si>
    <t>Grafton Campus</t>
  </si>
  <si>
    <r>
      <t xml:space="preserve">Enter </t>
    </r>
    <r>
      <rPr>
        <b/>
        <i/>
        <sz val="12"/>
        <color indexed="61"/>
        <rFont val="Arial"/>
        <family val="2"/>
      </rPr>
      <t>University Statistics</t>
    </r>
    <r>
      <rPr>
        <i/>
        <sz val="12"/>
        <color indexed="61"/>
        <rFont val="Arial"/>
        <family val="2"/>
      </rPr>
      <t>:</t>
    </r>
  </si>
  <si>
    <t>Boston Campus</t>
  </si>
  <si>
    <r>
      <t>QUANTITIES OF CO</t>
    </r>
    <r>
      <rPr>
        <b/>
        <vertAlign val="subscript"/>
        <sz val="14"/>
        <color indexed="62"/>
        <rFont val="Arial"/>
        <family val="2"/>
      </rPr>
      <t>2</t>
    </r>
    <r>
      <rPr>
        <b/>
        <sz val="14"/>
        <color indexed="62"/>
        <rFont val="Arial"/>
        <family val="2"/>
      </rPr>
      <t xml:space="preserve"> EMISSIONS BY ENERGY USED</t>
    </r>
  </si>
  <si>
    <t>Tufts University Summary Data</t>
  </si>
  <si>
    <r>
      <t xml:space="preserve">Categories of Emissions Released by </t>
    </r>
    <r>
      <rPr>
        <b/>
        <i/>
        <sz val="12"/>
        <color indexed="61"/>
        <rFont val="Arial"/>
        <family val="2"/>
      </rPr>
      <t>Fuel Used(short tons of CO</t>
    </r>
    <r>
      <rPr>
        <b/>
        <i/>
        <vertAlign val="subscript"/>
        <sz val="12"/>
        <color indexed="61"/>
        <rFont val="Arial"/>
        <family val="2"/>
      </rPr>
      <t>2</t>
    </r>
    <r>
      <rPr>
        <b/>
        <i/>
        <sz val="12"/>
        <color indexed="61"/>
        <rFont val="Arial"/>
        <family val="2"/>
      </rPr>
      <t>)</t>
    </r>
    <r>
      <rPr>
        <i/>
        <sz val="12"/>
        <color indexed="61"/>
        <rFont val="Arial"/>
        <family val="2"/>
      </rPr>
      <t>:</t>
    </r>
  </si>
  <si>
    <t>QUANTITIES OF GHG EMISSIONS BY AGRICULTURAL SOURCES</t>
  </si>
  <si>
    <r>
      <t xml:space="preserve">Categories of </t>
    </r>
    <r>
      <rPr>
        <b/>
        <i/>
        <sz val="12"/>
        <color indexed="61"/>
        <rFont val="Arial"/>
        <family val="2"/>
      </rPr>
      <t>Enteric Fermentation (short tons of CH</t>
    </r>
    <r>
      <rPr>
        <b/>
        <i/>
        <vertAlign val="subscript"/>
        <sz val="12"/>
        <color indexed="61"/>
        <rFont val="Arial"/>
        <family val="2"/>
      </rPr>
      <t>4</t>
    </r>
    <r>
      <rPr>
        <b/>
        <i/>
        <sz val="12"/>
        <color indexed="61"/>
        <rFont val="Arial"/>
        <family val="2"/>
      </rPr>
      <t>)</t>
    </r>
    <r>
      <rPr>
        <i/>
        <sz val="12"/>
        <color indexed="61"/>
        <rFont val="Arial"/>
        <family val="2"/>
      </rPr>
      <t>:</t>
    </r>
  </si>
  <si>
    <r>
      <t xml:space="preserve">Categories of </t>
    </r>
    <r>
      <rPr>
        <b/>
        <i/>
        <sz val="12"/>
        <color indexed="61"/>
        <rFont val="Arial"/>
        <family val="2"/>
      </rPr>
      <t>Manure Management (short tons of CH</t>
    </r>
    <r>
      <rPr>
        <b/>
        <i/>
        <vertAlign val="subscript"/>
        <sz val="12"/>
        <color indexed="61"/>
        <rFont val="Arial"/>
        <family val="2"/>
      </rPr>
      <t>4</t>
    </r>
    <r>
      <rPr>
        <b/>
        <i/>
        <sz val="12"/>
        <color indexed="61"/>
        <rFont val="Arial"/>
        <family val="2"/>
      </rPr>
      <t>)</t>
    </r>
    <r>
      <rPr>
        <i/>
        <sz val="12"/>
        <color indexed="61"/>
        <rFont val="Arial"/>
        <family val="2"/>
      </rPr>
      <t>:</t>
    </r>
  </si>
  <si>
    <t>CONVERSION FACTORS</t>
  </si>
  <si>
    <r>
      <t>Pounds of CO</t>
    </r>
    <r>
      <rPr>
        <b/>
        <sz val="8"/>
        <color indexed="62"/>
        <rFont val="Arial"/>
        <family val="2"/>
      </rPr>
      <t xml:space="preserve">2 </t>
    </r>
    <r>
      <rPr>
        <b/>
        <sz val="12"/>
        <color indexed="62"/>
        <rFont val="Arial"/>
        <family val="2"/>
      </rPr>
      <t>per unit</t>
    </r>
  </si>
  <si>
    <t>Natural Gas</t>
  </si>
  <si>
    <t>(Mlbs.)</t>
  </si>
  <si>
    <t>Global Warming Potential</t>
  </si>
  <si>
    <r>
      <t>Emission Releases/head of via Enteric Fermentation (short tons of CH</t>
    </r>
    <r>
      <rPr>
        <b/>
        <vertAlign val="subscript"/>
        <sz val="12"/>
        <color indexed="61"/>
        <rFont val="Arial"/>
        <family val="2"/>
      </rPr>
      <t>4</t>
    </r>
    <r>
      <rPr>
        <b/>
        <sz val="12"/>
        <color indexed="61"/>
        <rFont val="Arial"/>
        <family val="2"/>
      </rPr>
      <t xml:space="preserve"> / head)</t>
    </r>
  </si>
  <si>
    <t>Chemical</t>
  </si>
  <si>
    <t>Compound</t>
  </si>
  <si>
    <t>GWP</t>
  </si>
  <si>
    <t>Carbon Dioxide</t>
  </si>
  <si>
    <t>Methane</t>
  </si>
  <si>
    <t>Nitrous Oxide</t>
  </si>
  <si>
    <t>HFC-134a</t>
  </si>
  <si>
    <t>HFC-23</t>
  </si>
  <si>
    <t>HFC-152a</t>
  </si>
  <si>
    <t>HCF-227ea</t>
  </si>
  <si>
    <t>PFCs</t>
  </si>
  <si>
    <t>SF6</t>
  </si>
  <si>
    <r>
      <t>Emission Releases/head of via Manure Management (short tons of CH</t>
    </r>
    <r>
      <rPr>
        <b/>
        <vertAlign val="subscript"/>
        <sz val="12"/>
        <color indexed="61"/>
        <rFont val="Arial"/>
        <family val="2"/>
      </rPr>
      <t>4</t>
    </r>
    <r>
      <rPr>
        <b/>
        <sz val="12"/>
        <color indexed="61"/>
        <rFont val="Arial"/>
        <family val="2"/>
      </rPr>
      <t xml:space="preserve"> / head)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</si>
</sst>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82" formatCode="dd\-mmm\-yy_)"/>
    <numFmt numFmtId="183" formatCode="0.000_)"/>
    <numFmt numFmtId="184" formatCode="0.00000_)"/>
    <numFmt numFmtId="187" formatCode="#,##0.00000"/>
    <numFmt numFmtId="192" formatCode="0.00000"/>
    <numFmt numFmtId="193" formatCode="#,##0.000"/>
    <numFmt numFmtId="194" formatCode="yyyy"/>
  </numFmts>
  <fonts count="26" x14ac:knownFonts="1">
    <font>
      <sz val="10"/>
      <name val="Arial"/>
    </font>
    <font>
      <sz val="14"/>
      <color indexed="62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sz val="12"/>
      <color indexed="62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i/>
      <sz val="12"/>
      <color indexed="61"/>
      <name val="Arial"/>
      <family val="2"/>
    </font>
    <font>
      <b/>
      <i/>
      <sz val="12"/>
      <color indexed="61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2"/>
      <name val="Arial"/>
      <family val="2"/>
    </font>
    <font>
      <b/>
      <i/>
      <sz val="12"/>
      <color indexed="62"/>
      <name val="Arial"/>
      <family val="2"/>
    </font>
    <font>
      <sz val="9"/>
      <color indexed="62"/>
      <name val="Arial"/>
      <family val="2"/>
    </font>
    <font>
      <b/>
      <sz val="8"/>
      <color indexed="62"/>
      <name val="Arial"/>
      <family val="2"/>
    </font>
    <font>
      <b/>
      <sz val="14"/>
      <color indexed="62"/>
      <name val="Arial"/>
      <family val="2"/>
    </font>
    <font>
      <sz val="12"/>
      <name val="Arial"/>
      <family val="2"/>
    </font>
    <font>
      <b/>
      <vertAlign val="subscript"/>
      <sz val="12"/>
      <color indexed="62"/>
      <name val="Arial"/>
      <family val="2"/>
    </font>
    <font>
      <b/>
      <vertAlign val="subscript"/>
      <sz val="14"/>
      <color indexed="62"/>
      <name val="Arial"/>
      <family val="2"/>
    </font>
    <font>
      <b/>
      <i/>
      <vertAlign val="subscript"/>
      <sz val="12"/>
      <color indexed="61"/>
      <name val="Arial"/>
      <family val="2"/>
    </font>
    <font>
      <b/>
      <sz val="11"/>
      <color indexed="62"/>
      <name val="Arial"/>
      <family val="2"/>
    </font>
    <font>
      <sz val="11"/>
      <color indexed="62"/>
      <name val="Arial"/>
      <family val="2"/>
    </font>
    <font>
      <b/>
      <sz val="12"/>
      <color indexed="61"/>
      <name val="Arial"/>
      <family val="2"/>
    </font>
    <font>
      <b/>
      <vertAlign val="subscript"/>
      <sz val="12"/>
      <color indexed="61"/>
      <name val="Arial"/>
      <family val="2"/>
    </font>
    <font>
      <b/>
      <sz val="14"/>
      <color indexed="10"/>
      <name val="Arial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38">
    <xf numFmtId="0" fontId="0" fillId="0" borderId="0" xfId="0"/>
    <xf numFmtId="0" fontId="3" fillId="2" borderId="0" xfId="0" applyFont="1" applyFill="1" applyBorder="1" applyProtection="1"/>
    <xf numFmtId="0" fontId="4" fillId="2" borderId="0" xfId="0" applyFont="1" applyFill="1" applyBorder="1"/>
    <xf numFmtId="0" fontId="5" fillId="3" borderId="1" xfId="0" applyFont="1" applyFill="1" applyBorder="1" applyProtection="1">
      <protection locked="0"/>
    </xf>
    <xf numFmtId="0" fontId="4" fillId="2" borderId="0" xfId="0" applyFont="1" applyFill="1" applyBorder="1" applyProtection="1"/>
    <xf numFmtId="182" fontId="4" fillId="2" borderId="0" xfId="0" applyNumberFormat="1" applyFont="1" applyFill="1" applyBorder="1" applyProtection="1"/>
    <xf numFmtId="0" fontId="3" fillId="2" borderId="0" xfId="0" applyFont="1" applyFill="1" applyBorder="1" applyAlignment="1" applyProtection="1">
      <alignment horizontal="right"/>
    </xf>
    <xf numFmtId="0" fontId="6" fillId="3" borderId="0" xfId="0" applyFont="1" applyFill="1" applyBorder="1" applyProtection="1">
      <protection locked="0"/>
    </xf>
    <xf numFmtId="0" fontId="4" fillId="3" borderId="0" xfId="0" applyFont="1" applyFill="1" applyBorder="1"/>
    <xf numFmtId="0" fontId="6" fillId="2" borderId="0" xfId="0" applyFont="1" applyFill="1" applyBorder="1" applyProtection="1">
      <protection locked="0"/>
    </xf>
    <xf numFmtId="0" fontId="7" fillId="2" borderId="0" xfId="0" applyFont="1" applyFill="1" applyBorder="1" applyProtection="1"/>
    <xf numFmtId="0" fontId="9" fillId="2" borderId="2" xfId="0" applyFont="1" applyFill="1" applyBorder="1" applyAlignment="1" applyProtection="1">
      <alignment horizontal="center"/>
    </xf>
    <xf numFmtId="0" fontId="10" fillId="2" borderId="3" xfId="0" applyFont="1" applyFill="1" applyBorder="1" applyProtection="1"/>
    <xf numFmtId="0" fontId="9" fillId="2" borderId="3" xfId="0" applyFont="1" applyFill="1" applyBorder="1" applyAlignment="1" applyProtection="1">
      <alignment horizontal="center"/>
    </xf>
    <xf numFmtId="0" fontId="9" fillId="2" borderId="1" xfId="0" applyFont="1" applyFill="1" applyBorder="1" applyProtection="1"/>
    <xf numFmtId="0" fontId="9" fillId="2" borderId="3" xfId="0" applyFont="1" applyFill="1" applyBorder="1" applyProtection="1"/>
    <xf numFmtId="0" fontId="9" fillId="2" borderId="0" xfId="0" applyFont="1" applyFill="1" applyBorder="1" applyProtection="1"/>
    <xf numFmtId="0" fontId="9" fillId="2" borderId="4" xfId="0" applyFont="1" applyFill="1" applyBorder="1" applyAlignment="1" applyProtection="1">
      <alignment horizontal="center"/>
    </xf>
    <xf numFmtId="0" fontId="6" fillId="2" borderId="0" xfId="1" applyFont="1" applyFill="1"/>
    <xf numFmtId="0" fontId="3" fillId="2" borderId="5" xfId="1" applyFont="1" applyFill="1" applyBorder="1" applyProtection="1"/>
    <xf numFmtId="0" fontId="4" fillId="2" borderId="6" xfId="1" applyFont="1" applyFill="1" applyBorder="1"/>
    <xf numFmtId="182" fontId="4" fillId="2" borderId="0" xfId="1" applyNumberFormat="1" applyFont="1" applyFill="1" applyBorder="1" applyProtection="1"/>
    <xf numFmtId="0" fontId="3" fillId="2" borderId="7" xfId="1" applyFont="1" applyFill="1" applyBorder="1" applyAlignment="1" applyProtection="1">
      <alignment horizontal="left"/>
    </xf>
    <xf numFmtId="0" fontId="4" fillId="2" borderId="0" xfId="1" applyFont="1" applyFill="1" applyBorder="1"/>
    <xf numFmtId="0" fontId="3" fillId="2" borderId="7" xfId="1" applyFont="1" applyFill="1" applyBorder="1" applyAlignment="1" applyProtection="1">
      <alignment horizontal="right"/>
    </xf>
    <xf numFmtId="0" fontId="12" fillId="2" borderId="7" xfId="1" applyFont="1" applyFill="1" applyBorder="1" applyAlignment="1" applyProtection="1">
      <alignment horizontal="left"/>
    </xf>
    <xf numFmtId="0" fontId="3" fillId="2" borderId="2" xfId="1" applyFont="1" applyFill="1" applyBorder="1" applyAlignment="1" applyProtection="1">
      <alignment horizontal="center"/>
    </xf>
    <xf numFmtId="0" fontId="13" fillId="2" borderId="4" xfId="1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/>
    </xf>
    <xf numFmtId="0" fontId="3" fillId="2" borderId="7" xfId="1" applyFont="1" applyFill="1" applyBorder="1" applyProtection="1"/>
    <xf numFmtId="183" fontId="4" fillId="2" borderId="0" xfId="1" applyNumberFormat="1" applyFont="1" applyFill="1" applyBorder="1" applyProtection="1"/>
    <xf numFmtId="184" fontId="4" fillId="2" borderId="0" xfId="1" applyNumberFormat="1" applyFont="1" applyFill="1" applyBorder="1" applyProtection="1"/>
    <xf numFmtId="0" fontId="10" fillId="2" borderId="0" xfId="1" applyFont="1" applyFill="1" applyBorder="1"/>
    <xf numFmtId="4" fontId="5" fillId="4" borderId="1" xfId="1" applyNumberFormat="1" applyFont="1" applyFill="1" applyBorder="1" applyProtection="1"/>
    <xf numFmtId="0" fontId="4" fillId="2" borderId="7" xfId="1" applyFont="1" applyFill="1" applyBorder="1"/>
    <xf numFmtId="3" fontId="5" fillId="3" borderId="1" xfId="0" applyNumberFormat="1" applyFont="1" applyFill="1" applyBorder="1" applyProtection="1">
      <protection locked="0"/>
    </xf>
    <xf numFmtId="0" fontId="3" fillId="2" borderId="1" xfId="1" applyFont="1" applyFill="1" applyBorder="1" applyAlignment="1" applyProtection="1">
      <alignment horizontal="center"/>
    </xf>
    <xf numFmtId="0" fontId="3" fillId="2" borderId="7" xfId="1" applyFont="1" applyFill="1" applyBorder="1"/>
    <xf numFmtId="0" fontId="2" fillId="2" borderId="8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3" fontId="5" fillId="4" borderId="8" xfId="0" applyNumberFormat="1" applyFont="1" applyFill="1" applyBorder="1" applyAlignment="1">
      <alignment horizontal="center" vertical="top" wrapText="1"/>
    </xf>
    <xf numFmtId="3" fontId="5" fillId="4" borderId="1" xfId="0" applyNumberFormat="1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15" fillId="2" borderId="0" xfId="0" applyFont="1" applyFill="1" applyBorder="1" applyProtection="1"/>
    <xf numFmtId="3" fontId="6" fillId="4" borderId="1" xfId="1" applyNumberFormat="1" applyFont="1" applyFill="1" applyBorder="1" applyProtection="1"/>
    <xf numFmtId="0" fontId="3" fillId="2" borderId="7" xfId="1" applyFont="1" applyFill="1" applyBorder="1" applyAlignment="1" applyProtection="1">
      <alignment horizontal="center"/>
    </xf>
    <xf numFmtId="2" fontId="6" fillId="4" borderId="1" xfId="1" applyNumberFormat="1" applyFont="1" applyFill="1" applyBorder="1" applyAlignment="1" applyProtection="1">
      <alignment horizontal="center"/>
    </xf>
    <xf numFmtId="192" fontId="6" fillId="4" borderId="1" xfId="1" applyNumberFormat="1" applyFont="1" applyFill="1" applyBorder="1" applyAlignment="1" applyProtection="1">
      <alignment horizontal="center"/>
    </xf>
    <xf numFmtId="0" fontId="15" fillId="2" borderId="5" xfId="1" applyFont="1" applyFill="1" applyBorder="1" applyProtection="1"/>
    <xf numFmtId="0" fontId="1" fillId="2" borderId="6" xfId="1" applyFont="1" applyFill="1" applyBorder="1"/>
    <xf numFmtId="182" fontId="1" fillId="2" borderId="0" xfId="1" applyNumberFormat="1" applyFont="1" applyFill="1" applyBorder="1" applyProtection="1"/>
    <xf numFmtId="0" fontId="15" fillId="2" borderId="7" xfId="1" applyFont="1" applyFill="1" applyBorder="1" applyProtection="1"/>
    <xf numFmtId="0" fontId="1" fillId="2" borderId="0" xfId="1" applyFont="1" applyFill="1" applyBorder="1"/>
    <xf numFmtId="2" fontId="5" fillId="4" borderId="1" xfId="1" applyNumberFormat="1" applyFont="1" applyFill="1" applyBorder="1" applyAlignment="1" applyProtection="1">
      <alignment horizontal="center"/>
    </xf>
    <xf numFmtId="1" fontId="5" fillId="4" borderId="1" xfId="1" applyNumberFormat="1" applyFont="1" applyFill="1" applyBorder="1" applyAlignment="1" applyProtection="1">
      <alignment horizontal="center"/>
    </xf>
    <xf numFmtId="0" fontId="3" fillId="2" borderId="2" xfId="1" applyFont="1" applyFill="1" applyBorder="1" applyAlignment="1" applyProtection="1">
      <alignment horizontal="center" vertical="center"/>
    </xf>
    <xf numFmtId="0" fontId="9" fillId="2" borderId="2" xfId="0" applyFont="1" applyFill="1" applyBorder="1" applyProtection="1"/>
    <xf numFmtId="0" fontId="9" fillId="2" borderId="4" xfId="0" applyFont="1" applyFill="1" applyBorder="1" applyProtection="1"/>
    <xf numFmtId="183" fontId="4" fillId="2" borderId="0" xfId="1" applyNumberFormat="1" applyFont="1" applyFill="1" applyBorder="1" applyAlignment="1" applyProtection="1">
      <alignment horizontal="center"/>
    </xf>
    <xf numFmtId="193" fontId="5" fillId="4" borderId="1" xfId="1" applyNumberFormat="1" applyFont="1" applyFill="1" applyBorder="1" applyProtection="1"/>
    <xf numFmtId="0" fontId="3" fillId="2" borderId="1" xfId="0" applyFont="1" applyFill="1" applyBorder="1" applyProtection="1"/>
    <xf numFmtId="0" fontId="20" fillId="2" borderId="2" xfId="0" applyFont="1" applyFill="1" applyBorder="1" applyAlignment="1" applyProtection="1">
      <alignment horizontal="center"/>
    </xf>
    <xf numFmtId="0" fontId="20" fillId="2" borderId="4" xfId="0" applyFont="1" applyFill="1" applyBorder="1" applyAlignment="1" applyProtection="1">
      <alignment horizontal="center"/>
    </xf>
    <xf numFmtId="0" fontId="21" fillId="2" borderId="3" xfId="0" applyFont="1" applyFill="1" applyBorder="1" applyProtection="1"/>
    <xf numFmtId="0" fontId="20" fillId="2" borderId="3" xfId="0" applyFont="1" applyFill="1" applyBorder="1" applyAlignment="1" applyProtection="1">
      <alignment horizontal="center"/>
    </xf>
    <xf numFmtId="0" fontId="22" fillId="2" borderId="0" xfId="0" applyFont="1" applyFill="1" applyBorder="1" applyProtection="1"/>
    <xf numFmtId="0" fontId="24" fillId="2" borderId="0" xfId="1" applyFont="1" applyFill="1"/>
    <xf numFmtId="0" fontId="24" fillId="3" borderId="0" xfId="1" applyFont="1" applyFill="1"/>
    <xf numFmtId="3" fontId="6" fillId="4" borderId="1" xfId="1" applyNumberFormat="1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right"/>
    </xf>
    <xf numFmtId="194" fontId="3" fillId="2" borderId="1" xfId="0" applyNumberFormat="1" applyFont="1" applyFill="1" applyBorder="1" applyProtection="1"/>
    <xf numFmtId="194" fontId="3" fillId="2" borderId="1" xfId="0" applyNumberFormat="1" applyFont="1" applyFill="1" applyBorder="1" applyAlignment="1" applyProtection="1">
      <alignment horizontal="right"/>
    </xf>
    <xf numFmtId="0" fontId="15" fillId="2" borderId="0" xfId="1" applyFont="1" applyFill="1" applyBorder="1" applyAlignment="1" applyProtection="1">
      <alignment horizontal="left" vertical="center"/>
    </xf>
    <xf numFmtId="0" fontId="0" fillId="2" borderId="0" xfId="0" applyFill="1"/>
    <xf numFmtId="183" fontId="3" fillId="3" borderId="9" xfId="1" applyNumberFormat="1" applyFont="1" applyFill="1" applyBorder="1" applyAlignment="1" applyProtection="1">
      <alignment horizontal="center"/>
    </xf>
    <xf numFmtId="0" fontId="3" fillId="2" borderId="7" xfId="0" applyFont="1" applyFill="1" applyBorder="1" applyAlignment="1" applyProtection="1">
      <alignment horizontal="right"/>
    </xf>
    <xf numFmtId="0" fontId="3" fillId="2" borderId="6" xfId="0" applyFont="1" applyFill="1" applyBorder="1" applyAlignment="1" applyProtection="1">
      <alignment horizontal="right"/>
    </xf>
    <xf numFmtId="183" fontId="3" fillId="3" borderId="10" xfId="1" applyNumberFormat="1" applyFont="1" applyFill="1" applyBorder="1" applyAlignment="1" applyProtection="1">
      <alignment horizontal="center"/>
    </xf>
    <xf numFmtId="0" fontId="13" fillId="3" borderId="11" xfId="1" applyFont="1" applyFill="1" applyBorder="1" applyAlignment="1" applyProtection="1">
      <alignment horizontal="center"/>
    </xf>
    <xf numFmtId="0" fontId="3" fillId="4" borderId="12" xfId="1" applyFont="1" applyFill="1" applyBorder="1" applyAlignment="1">
      <alignment horizontal="center" vertical="center"/>
    </xf>
    <xf numFmtId="187" fontId="6" fillId="4" borderId="13" xfId="1" applyNumberFormat="1" applyFont="1" applyFill="1" applyBorder="1" applyAlignment="1" applyProtection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187" fontId="6" fillId="4" borderId="11" xfId="1" applyNumberFormat="1" applyFont="1" applyFill="1" applyBorder="1" applyAlignment="1" applyProtection="1">
      <alignment horizontal="center" vertical="center"/>
    </xf>
    <xf numFmtId="0" fontId="3" fillId="4" borderId="14" xfId="1" applyFont="1" applyFill="1" applyBorder="1" applyAlignment="1" applyProtection="1">
      <alignment horizontal="center" vertical="center"/>
    </xf>
    <xf numFmtId="0" fontId="9" fillId="4" borderId="15" xfId="1" applyFont="1" applyFill="1" applyBorder="1" applyAlignment="1" applyProtection="1">
      <alignment horizontal="center" vertical="center"/>
    </xf>
    <xf numFmtId="183" fontId="4" fillId="3" borderId="16" xfId="1" applyNumberFormat="1" applyFont="1" applyFill="1" applyBorder="1" applyAlignment="1" applyProtection="1">
      <alignment horizontal="center"/>
    </xf>
    <xf numFmtId="3" fontId="6" fillId="4" borderId="13" xfId="1" applyNumberFormat="1" applyFont="1" applyFill="1" applyBorder="1" applyAlignment="1" applyProtection="1">
      <alignment horizontal="center" vertical="center"/>
    </xf>
    <xf numFmtId="3" fontId="6" fillId="4" borderId="11" xfId="1" applyNumberFormat="1" applyFont="1" applyFill="1" applyBorder="1" applyAlignment="1" applyProtection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13" fillId="3" borderId="17" xfId="1" applyFont="1" applyFill="1" applyBorder="1" applyAlignment="1" applyProtection="1">
      <alignment horizontal="center"/>
    </xf>
    <xf numFmtId="4" fontId="6" fillId="4" borderId="9" xfId="1" applyNumberFormat="1" applyFont="1" applyFill="1" applyBorder="1" applyAlignment="1" applyProtection="1">
      <alignment horizontal="center" vertical="center"/>
    </xf>
    <xf numFmtId="4" fontId="6" fillId="4" borderId="17" xfId="1" applyNumberFormat="1" applyFont="1" applyFill="1" applyBorder="1" applyAlignment="1" applyProtection="1">
      <alignment horizontal="center" vertical="center"/>
    </xf>
    <xf numFmtId="183" fontId="3" fillId="3" borderId="12" xfId="1" applyNumberFormat="1" applyFont="1" applyFill="1" applyBorder="1" applyAlignment="1" applyProtection="1">
      <alignment horizontal="center"/>
    </xf>
    <xf numFmtId="183" fontId="4" fillId="3" borderId="18" xfId="1" applyNumberFormat="1" applyFont="1" applyFill="1" applyBorder="1" applyAlignment="1" applyProtection="1">
      <alignment horizontal="center"/>
    </xf>
    <xf numFmtId="183" fontId="3" fillId="3" borderId="16" xfId="1" applyNumberFormat="1" applyFont="1" applyFill="1" applyBorder="1" applyAlignment="1" applyProtection="1">
      <alignment horizontal="center"/>
    </xf>
    <xf numFmtId="3" fontId="6" fillId="4" borderId="12" xfId="1" applyNumberFormat="1" applyFont="1" applyFill="1" applyBorder="1" applyAlignment="1" applyProtection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9" fontId="6" fillId="4" borderId="11" xfId="1" applyNumberFormat="1" applyFont="1" applyFill="1" applyBorder="1" applyAlignment="1">
      <alignment horizontal="center" vertical="center"/>
    </xf>
    <xf numFmtId="0" fontId="3" fillId="4" borderId="15" xfId="1" applyFont="1" applyFill="1" applyBorder="1" applyAlignment="1" applyProtection="1">
      <alignment horizontal="center" vertical="center"/>
    </xf>
    <xf numFmtId="4" fontId="6" fillId="4" borderId="19" xfId="1" applyNumberFormat="1" applyFont="1" applyFill="1" applyBorder="1" applyAlignment="1">
      <alignment horizontal="center" vertical="center"/>
    </xf>
    <xf numFmtId="187" fontId="6" fillId="4" borderId="20" xfId="1" applyNumberFormat="1" applyFont="1" applyFill="1" applyBorder="1" applyAlignment="1">
      <alignment horizontal="center" vertical="center"/>
    </xf>
    <xf numFmtId="0" fontId="20" fillId="3" borderId="4" xfId="0" applyFont="1" applyFill="1" applyBorder="1" applyAlignment="1" applyProtection="1">
      <alignment horizontal="center" vertical="center"/>
    </xf>
    <xf numFmtId="194" fontId="3" fillId="4" borderId="2" xfId="0" applyNumberFormat="1" applyFont="1" applyFill="1" applyBorder="1" applyAlignment="1" applyProtection="1">
      <alignment horizontal="center" vertical="center"/>
    </xf>
    <xf numFmtId="9" fontId="6" fillId="4" borderId="2" xfId="1" applyNumberFormat="1" applyFont="1" applyFill="1" applyBorder="1" applyAlignment="1" applyProtection="1">
      <alignment horizontal="center" vertical="center"/>
    </xf>
    <xf numFmtId="0" fontId="4" fillId="2" borderId="0" xfId="1" applyFont="1" applyFill="1" applyBorder="1" applyAlignment="1">
      <alignment vertical="center"/>
    </xf>
    <xf numFmtId="194" fontId="3" fillId="4" borderId="4" xfId="0" applyNumberFormat="1" applyFont="1" applyFill="1" applyBorder="1" applyAlignment="1" applyProtection="1">
      <alignment horizontal="center" vertical="center"/>
    </xf>
    <xf numFmtId="9" fontId="6" fillId="4" borderId="4" xfId="1" applyNumberFormat="1" applyFont="1" applyFill="1" applyBorder="1" applyAlignment="1" applyProtection="1">
      <alignment horizontal="center" vertical="center"/>
    </xf>
    <xf numFmtId="194" fontId="3" fillId="4" borderId="3" xfId="0" applyNumberFormat="1" applyFont="1" applyFill="1" applyBorder="1" applyAlignment="1" applyProtection="1">
      <alignment horizontal="center" vertical="center"/>
    </xf>
    <xf numFmtId="9" fontId="6" fillId="4" borderId="3" xfId="1" applyNumberFormat="1" applyFont="1" applyFill="1" applyBorder="1" applyAlignment="1" applyProtection="1">
      <alignment horizontal="center" vertical="center"/>
    </xf>
    <xf numFmtId="0" fontId="3" fillId="2" borderId="5" xfId="1" applyFont="1" applyFill="1" applyBorder="1" applyAlignment="1">
      <alignment horizontal="centerContinuous" vertical="center"/>
    </xf>
    <xf numFmtId="0" fontId="3" fillId="2" borderId="6" xfId="1" applyFont="1" applyFill="1" applyBorder="1" applyAlignment="1">
      <alignment horizontal="centerContinuous" vertical="center"/>
    </xf>
    <xf numFmtId="0" fontId="3" fillId="2" borderId="9" xfId="1" applyFont="1" applyFill="1" applyBorder="1" applyAlignment="1">
      <alignment horizontal="centerContinuous" vertical="center"/>
    </xf>
    <xf numFmtId="0" fontId="4" fillId="2" borderId="7" xfId="1" applyFont="1" applyFill="1" applyBorder="1" applyAlignment="1">
      <alignment horizontal="centerContinuous" vertical="center"/>
    </xf>
    <xf numFmtId="0" fontId="3" fillId="2" borderId="0" xfId="1" applyFont="1" applyFill="1" applyBorder="1" applyAlignment="1">
      <alignment horizontal="centerContinuous" vertical="center"/>
    </xf>
    <xf numFmtId="0" fontId="3" fillId="2" borderId="17" xfId="1" applyFont="1" applyFill="1" applyBorder="1" applyAlignment="1">
      <alignment horizontal="centerContinuous" vertical="center"/>
    </xf>
    <xf numFmtId="0" fontId="3" fillId="2" borderId="21" xfId="1" applyFont="1" applyFill="1" applyBorder="1" applyAlignment="1">
      <alignment horizontal="centerContinuous" vertical="center"/>
    </xf>
    <xf numFmtId="0" fontId="3" fillId="2" borderId="22" xfId="1" applyFont="1" applyFill="1" applyBorder="1" applyAlignment="1">
      <alignment horizontal="centerContinuous" vertical="center"/>
    </xf>
    <xf numFmtId="0" fontId="3" fillId="2" borderId="23" xfId="1" applyFont="1" applyFill="1" applyBorder="1" applyAlignment="1">
      <alignment horizontal="centerContinuous" vertical="center"/>
    </xf>
    <xf numFmtId="0" fontId="3" fillId="3" borderId="12" xfId="1" applyFont="1" applyFill="1" applyBorder="1" applyAlignment="1">
      <alignment horizontal="centerContinuous" vertical="center"/>
    </xf>
    <xf numFmtId="0" fontId="16" fillId="0" borderId="18" xfId="0" applyFont="1" applyBorder="1" applyAlignment="1">
      <alignment horizontal="centerContinuous" vertical="center"/>
    </xf>
    <xf numFmtId="0" fontId="3" fillId="2" borderId="24" xfId="1" applyFont="1" applyFill="1" applyBorder="1" applyAlignment="1">
      <alignment horizontal="centerContinuous" vertical="center"/>
    </xf>
    <xf numFmtId="0" fontId="0" fillId="0" borderId="25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2" xfId="0" applyBorder="1" applyAlignment="1"/>
    <xf numFmtId="0" fontId="0" fillId="0" borderId="28" xfId="0" applyBorder="1" applyAlignment="1"/>
    <xf numFmtId="0" fontId="16" fillId="2" borderId="26" xfId="0" applyFont="1" applyFill="1" applyBorder="1" applyAlignment="1">
      <alignment vertical="center"/>
    </xf>
    <xf numFmtId="0" fontId="16" fillId="2" borderId="27" xfId="0" applyFont="1" applyFill="1" applyBorder="1" applyAlignment="1">
      <alignment vertical="center"/>
    </xf>
    <xf numFmtId="0" fontId="16" fillId="2" borderId="28" xfId="0" applyFont="1" applyFill="1" applyBorder="1" applyAlignment="1">
      <alignment vertical="center"/>
    </xf>
    <xf numFmtId="3" fontId="6" fillId="4" borderId="11" xfId="1" applyNumberFormat="1" applyFont="1" applyFill="1" applyBorder="1" applyAlignment="1">
      <alignment horizontal="centerContinuous" vertical="center"/>
    </xf>
    <xf numFmtId="0" fontId="0" fillId="0" borderId="20" xfId="0" applyBorder="1" applyAlignment="1">
      <alignment horizontal="centerContinuous" vertical="center"/>
    </xf>
    <xf numFmtId="0" fontId="6" fillId="4" borderId="14" xfId="1" applyFont="1" applyFill="1" applyBorder="1" applyAlignment="1">
      <alignment horizontal="centerContinuous" vertical="center"/>
    </xf>
    <xf numFmtId="0" fontId="5" fillId="4" borderId="15" xfId="0" applyFont="1" applyFill="1" applyBorder="1" applyAlignment="1">
      <alignment horizontal="centerContinuous" vertical="center"/>
    </xf>
    <xf numFmtId="0" fontId="6" fillId="4" borderId="11" xfId="1" applyFont="1" applyFill="1" applyBorder="1" applyAlignment="1">
      <alignment horizontal="centerContinuous" vertical="center"/>
    </xf>
    <xf numFmtId="0" fontId="5" fillId="4" borderId="20" xfId="0" applyFont="1" applyFill="1" applyBorder="1" applyAlignment="1">
      <alignment horizontal="centerContinuous" vertical="center"/>
    </xf>
    <xf numFmtId="0" fontId="3" fillId="2" borderId="2" xfId="1" applyFont="1" applyFill="1" applyBorder="1" applyAlignment="1" applyProtection="1">
      <alignment horizontal="centerContinuous" vertical="center"/>
    </xf>
    <xf numFmtId="0" fontId="16" fillId="0" borderId="3" xfId="0" applyFont="1" applyBorder="1" applyAlignment="1">
      <alignment horizontal="centerContinuous" vertical="center"/>
    </xf>
    <xf numFmtId="0" fontId="16" fillId="0" borderId="3" xfId="1" applyFont="1" applyBorder="1" applyAlignment="1">
      <alignment vertical="center"/>
    </xf>
  </cellXfs>
  <cellStyles count="2">
    <cellStyle name="Normal" xfId="0" builtinId="0"/>
    <cellStyle name="Normal_recycle estimates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Trajan"/>
                <a:ea typeface="Trajan"/>
                <a:cs typeface="Trajan"/>
              </a:defRPr>
            </a:pPr>
            <a:r>
              <a:rPr lang="en-GB"/>
              <a:t>Tufts University Carbon Inventory</a:t>
            </a:r>
          </a:p>
        </c:rich>
      </c:tx>
      <c:layout>
        <c:manualLayout>
          <c:xMode val="edge"/>
          <c:yMode val="edge"/>
          <c:x val="0.27942064933911748"/>
          <c:y val="2.927490435983088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48222347284"/>
          <c:y val="0.19672735729806357"/>
          <c:w val="0.72869964077648797"/>
          <c:h val="0.66395483088096452"/>
        </c:manualLayout>
      </c:layout>
      <c:barChart>
        <c:barDir val="col"/>
        <c:grouping val="stacked"/>
        <c:varyColors val="0"/>
        <c:ser>
          <c:idx val="0"/>
          <c:order val="0"/>
          <c:tx>
            <c:v>Electricity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Emissions'!$B$59:$B$61</c:f>
              <c:numCache>
                <c:formatCode>#,##0</c:formatCode>
                <c:ptCount val="3"/>
                <c:pt idx="0">
                  <c:v>7541.833281512726</c:v>
                </c:pt>
                <c:pt idx="1">
                  <c:v>8962.6042375448724</c:v>
                </c:pt>
                <c:pt idx="2">
                  <c:v>11093.760671592783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F-4911-B514-A003065E4720}"/>
            </c:ext>
          </c:extLst>
        </c:ser>
        <c:ser>
          <c:idx val="1"/>
          <c:order val="1"/>
          <c:tx>
            <c:v>Heat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Emissions'!$C$59:$C$61</c:f>
              <c:numCache>
                <c:formatCode>#,##0</c:formatCode>
                <c:ptCount val="3"/>
                <c:pt idx="0">
                  <c:v>7228.4256570501821</c:v>
                </c:pt>
                <c:pt idx="1">
                  <c:v>7747.1387522057448</c:v>
                </c:pt>
                <c:pt idx="2">
                  <c:v>8525.2083949390508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9F-4911-B514-A003065E4720}"/>
            </c:ext>
          </c:extLst>
        </c:ser>
        <c:ser>
          <c:idx val="2"/>
          <c:order val="2"/>
          <c:tx>
            <c:v>Transportation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Emissions'!$D$59:$D$61</c:f>
              <c:numCache>
                <c:formatCode>#,##0</c:formatCode>
                <c:ptCount val="3"/>
                <c:pt idx="0">
                  <c:v>986.06527121454542</c:v>
                </c:pt>
                <c:pt idx="1">
                  <c:v>995.88714063185444</c:v>
                </c:pt>
                <c:pt idx="2">
                  <c:v>1010.61994475762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9F-4911-B514-A003065E4720}"/>
            </c:ext>
          </c:extLst>
        </c:ser>
        <c:ser>
          <c:idx val="3"/>
          <c:order val="3"/>
          <c:tx>
            <c:v>Agriculture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Emissions'!$E$59:$E$61</c:f>
              <c:numCache>
                <c:formatCode>#,##0</c:formatCode>
                <c:ptCount val="3"/>
                <c:pt idx="0">
                  <c:v>63.263454545454543</c:v>
                </c:pt>
                <c:pt idx="1">
                  <c:v>77.248710000000003</c:v>
                </c:pt>
                <c:pt idx="2">
                  <c:v>98.226593181828321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9F-4911-B514-A003065E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29214703"/>
        <c:axId val="1"/>
      </c:barChart>
      <c:catAx>
        <c:axId val="212921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5957343641302217"/>
              <c:y val="0.92274498542186956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Emission Releases (MTCE)</a:t>
                </a:r>
              </a:p>
            </c:rich>
          </c:tx>
          <c:layout>
            <c:manualLayout>
              <c:xMode val="edge"/>
              <c:yMode val="edge"/>
              <c:x val="1.9853572453042558E-2"/>
              <c:y val="0.3489568599691841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92147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811552047039497"/>
          <c:y val="0.45317551949018209"/>
          <c:w val="0.13235714968695036"/>
          <c:h val="0.148716514147940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Trajan"/>
                <a:ea typeface="Trajan"/>
                <a:cs typeface="Trajan"/>
              </a:defRPr>
            </a:pPr>
            <a:r>
              <a:rPr lang="en-GB"/>
              <a:t>Percent Contribution by Source</a:t>
            </a:r>
          </a:p>
        </c:rich>
      </c:tx>
      <c:layout>
        <c:manualLayout>
          <c:xMode val="edge"/>
          <c:yMode val="edge"/>
          <c:x val="0.25884184242197716"/>
          <c:y val="3.12954413719261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81340415641105"/>
          <c:y val="0.19773028866807876"/>
          <c:w val="0.70673540593031303"/>
          <c:h val="0.60314850644075824"/>
        </c:manualLayout>
      </c:layout>
      <c:barChart>
        <c:barDir val="col"/>
        <c:grouping val="percentStacked"/>
        <c:varyColors val="0"/>
        <c:ser>
          <c:idx val="0"/>
          <c:order val="0"/>
          <c:tx>
            <c:v>Electricity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Emissions'!$B$59:$B$60</c:f>
              <c:numCache>
                <c:formatCode>#,##0</c:formatCode>
                <c:ptCount val="2"/>
                <c:pt idx="0">
                  <c:v>7541.833281512726</c:v>
                </c:pt>
                <c:pt idx="1">
                  <c:v>8962.6042375448724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1-4149-8F5B-DD3423EEDC9B}"/>
            </c:ext>
          </c:extLst>
        </c:ser>
        <c:ser>
          <c:idx val="1"/>
          <c:order val="1"/>
          <c:tx>
            <c:v>Heat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Emissions'!$C$59:$C$60</c:f>
              <c:numCache>
                <c:formatCode>#,##0</c:formatCode>
                <c:ptCount val="2"/>
                <c:pt idx="0">
                  <c:v>7228.4256570501821</c:v>
                </c:pt>
                <c:pt idx="1">
                  <c:v>7747.1387522057448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1-4149-8F5B-DD3423EEDC9B}"/>
            </c:ext>
          </c:extLst>
        </c:ser>
        <c:ser>
          <c:idx val="2"/>
          <c:order val="2"/>
          <c:tx>
            <c:v>Transportation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Emissions'!$D$59:$D$60</c:f>
              <c:numCache>
                <c:formatCode>#,##0</c:formatCode>
                <c:ptCount val="2"/>
                <c:pt idx="0">
                  <c:v>986.06527121454542</c:v>
                </c:pt>
                <c:pt idx="1">
                  <c:v>995.88714063185444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1-4149-8F5B-DD3423EEDC9B}"/>
            </c:ext>
          </c:extLst>
        </c:ser>
        <c:ser>
          <c:idx val="3"/>
          <c:order val="3"/>
          <c:tx>
            <c:v>Agriculture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Emissions'!$E$59:$E$60</c:f>
              <c:numCache>
                <c:formatCode>#,##0</c:formatCode>
                <c:ptCount val="2"/>
                <c:pt idx="0">
                  <c:v>63.263454545454543</c:v>
                </c:pt>
                <c:pt idx="1">
                  <c:v>77.248710000000003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51-4149-8F5B-DD3423EED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2129215503"/>
        <c:axId val="1"/>
      </c:barChart>
      <c:catAx>
        <c:axId val="2129215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6556194865659373"/>
              <c:y val="0.86915975810213042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Contribution</a:t>
                </a:r>
              </a:p>
            </c:rich>
          </c:tx>
          <c:layout>
            <c:manualLayout>
              <c:xMode val="edge"/>
              <c:yMode val="edge"/>
              <c:x val="2.03186429204965E-2"/>
              <c:y val="0.32291205415578333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9215503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631564860154984"/>
          <c:y val="0.46089650020473039"/>
          <c:w val="0.1413470811860626"/>
          <c:h val="0.1664348472961526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Trajan"/>
                <a:ea typeface="Trajan"/>
                <a:cs typeface="Trajan"/>
              </a:defRPr>
            </a:pPr>
            <a:r>
              <a:rPr lang="en-GB"/>
              <a:t>Tufts University Carbon Inventory</a:t>
            </a:r>
          </a:p>
        </c:rich>
      </c:tx>
      <c:layout>
        <c:manualLayout>
          <c:xMode val="edge"/>
          <c:yMode val="edge"/>
          <c:x val="0.27897542270180775"/>
          <c:y val="2.79223122861885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08483500605618"/>
          <c:y val="0.18097795000307396"/>
          <c:w val="0.72695976550603336"/>
          <c:h val="0.69598948772610725"/>
        </c:manualLayout>
      </c:layout>
      <c:barChart>
        <c:barDir val="col"/>
        <c:grouping val="stacked"/>
        <c:varyColors val="0"/>
        <c:ser>
          <c:idx val="0"/>
          <c:order val="0"/>
          <c:tx>
            <c:v>Electricity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Emissions'!$B$59:$B$61</c:f>
              <c:numCache>
                <c:formatCode>#,##0</c:formatCode>
                <c:ptCount val="3"/>
                <c:pt idx="0">
                  <c:v>7541.833281512726</c:v>
                </c:pt>
                <c:pt idx="1">
                  <c:v>8962.6042375448724</c:v>
                </c:pt>
                <c:pt idx="2">
                  <c:v>11093.760671592783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CC-4B12-A33D-6811E7124E5B}"/>
            </c:ext>
          </c:extLst>
        </c:ser>
        <c:ser>
          <c:idx val="1"/>
          <c:order val="1"/>
          <c:tx>
            <c:v>Heat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Emissions'!$C$59:$C$61</c:f>
              <c:numCache>
                <c:formatCode>#,##0</c:formatCode>
                <c:ptCount val="3"/>
                <c:pt idx="0">
                  <c:v>7228.4256570501821</c:v>
                </c:pt>
                <c:pt idx="1">
                  <c:v>7747.1387522057448</c:v>
                </c:pt>
                <c:pt idx="2">
                  <c:v>8525.2083949390508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CC-4B12-A33D-6811E7124E5B}"/>
            </c:ext>
          </c:extLst>
        </c:ser>
        <c:ser>
          <c:idx val="2"/>
          <c:order val="2"/>
          <c:tx>
            <c:v>Transportation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Emissions'!$D$59:$D$61</c:f>
              <c:numCache>
                <c:formatCode>#,##0</c:formatCode>
                <c:ptCount val="3"/>
                <c:pt idx="0">
                  <c:v>986.06527121454542</c:v>
                </c:pt>
                <c:pt idx="1">
                  <c:v>995.88714063185444</c:v>
                </c:pt>
                <c:pt idx="2">
                  <c:v>1010.61994475762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CC-4B12-A33D-6811E7124E5B}"/>
            </c:ext>
          </c:extLst>
        </c:ser>
        <c:ser>
          <c:idx val="3"/>
          <c:order val="3"/>
          <c:tx>
            <c:v>Agriculture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Emissions'!$A$59:$A$61</c:f>
              <c:numCache>
                <c:formatCode>yyyy</c:formatCode>
                <c:ptCount val="3"/>
                <c:pt idx="0">
                  <c:v>32874</c:v>
                </c:pt>
                <c:pt idx="1">
                  <c:v>35796</c:v>
                </c:pt>
                <c:pt idx="2">
                  <c:v>40179</c:v>
                </c:pt>
              </c:numCache>
            </c:numRef>
          </c:cat>
          <c:val>
            <c:numRef>
              <c:f>'Total Emissions'!$E$59:$E$61</c:f>
              <c:numCache>
                <c:formatCode>#,##0</c:formatCode>
                <c:ptCount val="3"/>
                <c:pt idx="0">
                  <c:v>63.263454545454543</c:v>
                </c:pt>
                <c:pt idx="1">
                  <c:v>77.248710000000003</c:v>
                </c:pt>
                <c:pt idx="2">
                  <c:v>98.226593181828321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CC-4B12-A33D-6811E7124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77742127"/>
        <c:axId val="1"/>
      </c:barChart>
      <c:catAx>
        <c:axId val="57774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5979282630483126"/>
              <c:y val="0.93177790258725501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Emission Releases (MTCE)</a:t>
                </a:r>
              </a:p>
            </c:rich>
          </c:tx>
          <c:layout>
            <c:manualLayout>
              <c:xMode val="edge"/>
              <c:yMode val="edge"/>
              <c:x val="2.0664846126059833E-2"/>
              <c:y val="0.3702291777205741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774212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759111423148304"/>
          <c:y val="0.45916691315065616"/>
          <c:w val="0.1328454393818132"/>
          <c:h val="0.131338283716516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Trajan"/>
                <a:ea typeface="Trajan"/>
                <a:cs typeface="Trajan"/>
              </a:defRPr>
            </a:pPr>
            <a:r>
              <a:rPr lang="en-GB"/>
              <a:t>Percent Contribution by Source</a:t>
            </a:r>
          </a:p>
        </c:rich>
      </c:tx>
      <c:layout>
        <c:manualLayout>
          <c:xMode val="edge"/>
          <c:yMode val="edge"/>
          <c:x val="0.25648716922691578"/>
          <c:y val="3.03841041415427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41462856933401"/>
          <c:y val="0.19815720092310488"/>
          <c:w val="0.70332892746196063"/>
          <c:h val="0.61428732286162513"/>
        </c:manualLayout>
      </c:layout>
      <c:barChart>
        <c:barDir val="col"/>
        <c:grouping val="percentStacked"/>
        <c:varyColors val="0"/>
        <c:ser>
          <c:idx val="0"/>
          <c:order val="0"/>
          <c:tx>
            <c:v>Electricity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Emissions'!$B$59:$B$60</c:f>
              <c:numCache>
                <c:formatCode>#,##0</c:formatCode>
                <c:ptCount val="2"/>
                <c:pt idx="0">
                  <c:v>7541.833281512726</c:v>
                </c:pt>
                <c:pt idx="1">
                  <c:v>8962.6042375448724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1-4A56-8AE1-5359841297EA}"/>
            </c:ext>
          </c:extLst>
        </c:ser>
        <c:ser>
          <c:idx val="1"/>
          <c:order val="1"/>
          <c:tx>
            <c:v>Heat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Emissions'!$C$59:$C$60</c:f>
              <c:numCache>
                <c:formatCode>#,##0</c:formatCode>
                <c:ptCount val="2"/>
                <c:pt idx="0">
                  <c:v>7228.4256570501821</c:v>
                </c:pt>
                <c:pt idx="1">
                  <c:v>7747.1387522057448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21-4A56-8AE1-5359841297EA}"/>
            </c:ext>
          </c:extLst>
        </c:ser>
        <c:ser>
          <c:idx val="2"/>
          <c:order val="2"/>
          <c:tx>
            <c:v>Transportation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Emissions'!$D$59:$D$60</c:f>
              <c:numCache>
                <c:formatCode>#,##0</c:formatCode>
                <c:ptCount val="2"/>
                <c:pt idx="0">
                  <c:v>986.06527121454542</c:v>
                </c:pt>
                <c:pt idx="1">
                  <c:v>995.88714063185444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21-4A56-8AE1-5359841297EA}"/>
            </c:ext>
          </c:extLst>
        </c:ser>
        <c:ser>
          <c:idx val="3"/>
          <c:order val="3"/>
          <c:tx>
            <c:v>Agriculture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'Total Emissions'!$A$59:$A$60</c:f>
              <c:numCache>
                <c:formatCode>yyyy</c:formatCode>
                <c:ptCount val="2"/>
                <c:pt idx="0">
                  <c:v>32874</c:v>
                </c:pt>
                <c:pt idx="1">
                  <c:v>35796</c:v>
                </c:pt>
              </c:numCache>
            </c:numRef>
          </c:cat>
          <c:val>
            <c:numRef>
              <c:f>'Total Emissions'!$E$59:$E$60</c:f>
              <c:numCache>
                <c:formatCode>#,##0</c:formatCode>
                <c:ptCount val="2"/>
                <c:pt idx="0">
                  <c:v>63.263454545454543</c:v>
                </c:pt>
                <c:pt idx="1">
                  <c:v>77.248710000000003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21-4A56-8AE1-535984129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3175">
              <a:solidFill>
                <a:srgbClr val="000000"/>
              </a:solidFill>
              <a:prstDash val="solid"/>
            </a:ln>
          </c:spPr>
        </c:serLines>
        <c:axId val="577741727"/>
        <c:axId val="1"/>
      </c:barChart>
      <c:catAx>
        <c:axId val="577741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6471542856444664"/>
              <c:y val="0.87585482808012349"/>
            </c:manualLayout>
          </c:layout>
          <c:overlay val="0"/>
          <c:spPr>
            <a:noFill/>
            <a:ln w="25400">
              <a:noFill/>
            </a:ln>
          </c:spPr>
        </c:title>
        <c:numFmt formatCode="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Contribution</a:t>
                </a:r>
              </a:p>
            </c:rich>
          </c:tx>
          <c:layout>
            <c:manualLayout>
              <c:xMode val="edge"/>
              <c:yMode val="edge"/>
              <c:x val="2.0554720878812063E-2"/>
              <c:y val="0.3408303855877403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774172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453092306423483"/>
          <c:y val="0.47689833022160572"/>
          <c:w val="0.14298936263521436"/>
          <c:h val="0.1545626167200218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0</xdr:row>
      <xdr:rowOff>114300</xdr:rowOff>
    </xdr:from>
    <xdr:to>
      <xdr:col>14</xdr:col>
      <xdr:colOff>107950</xdr:colOff>
      <xdr:row>34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AEC7FBC4-0F37-49FB-BE4D-A48F1B935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247650</xdr:colOff>
      <xdr:row>16</xdr:row>
      <xdr:rowOff>57150</xdr:rowOff>
    </xdr:from>
    <xdr:ext cx="450850" cy="184150"/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8BF9A1D5-1697-455C-ACA2-8DD5A8BECAC7}"/>
            </a:ext>
          </a:extLst>
        </xdr:cNvPr>
        <xdr:cNvSpPr txBox="1">
          <a:spLocks noChangeArrowheads="1"/>
        </xdr:cNvSpPr>
      </xdr:nvSpPr>
      <xdr:spPr bwMode="auto">
        <a:xfrm>
          <a:off x="889000" y="2597150"/>
          <a:ext cx="450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14,700</a:t>
          </a:r>
        </a:p>
      </xdr:txBody>
    </xdr:sp>
    <xdr:clientData/>
  </xdr:oneCellAnchor>
  <xdr:oneCellAnchor>
    <xdr:from>
      <xdr:col>8</xdr:col>
      <xdr:colOff>152400</xdr:colOff>
      <xdr:row>15</xdr:row>
      <xdr:rowOff>0</xdr:rowOff>
    </xdr:from>
    <xdr:ext cx="63500" cy="184150"/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11E1A1DD-F7F9-4D03-B762-F66FC0C53F2F}"/>
            </a:ext>
          </a:extLst>
        </xdr:cNvPr>
        <xdr:cNvSpPr txBox="1">
          <a:spLocks noChangeArrowheads="1"/>
        </xdr:cNvSpPr>
      </xdr:nvSpPr>
      <xdr:spPr bwMode="auto">
        <a:xfrm>
          <a:off x="5283200" y="23812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10</xdr:col>
      <xdr:colOff>190500</xdr:colOff>
      <xdr:row>8</xdr:row>
      <xdr:rowOff>133350</xdr:rowOff>
    </xdr:from>
    <xdr:ext cx="596900" cy="184150"/>
    <xdr:sp macro="" textlink="">
      <xdr:nvSpPr>
        <xdr:cNvPr id="1028" name="Text 4">
          <a:extLst>
            <a:ext uri="{FF2B5EF4-FFF2-40B4-BE49-F238E27FC236}">
              <a16:creationId xmlns:a16="http://schemas.microsoft.com/office/drawing/2014/main" id="{9A81381D-E759-467E-8753-2C89AD96B860}"/>
            </a:ext>
          </a:extLst>
        </xdr:cNvPr>
        <xdr:cNvSpPr txBox="1">
          <a:spLocks noChangeArrowheads="1"/>
        </xdr:cNvSpPr>
      </xdr:nvSpPr>
      <xdr:spPr bwMode="auto">
        <a:xfrm>
          <a:off x="6604000" y="1403350"/>
          <a:ext cx="5969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Projected</a:t>
          </a:r>
        </a:p>
      </xdr:txBody>
    </xdr:sp>
    <xdr:clientData/>
  </xdr:oneCellAnchor>
  <xdr:twoCellAnchor>
    <xdr:from>
      <xdr:col>1</xdr:col>
      <xdr:colOff>19050</xdr:colOff>
      <xdr:row>39</xdr:row>
      <xdr:rowOff>0</xdr:rowOff>
    </xdr:from>
    <xdr:to>
      <xdr:col>12</xdr:col>
      <xdr:colOff>152400</xdr:colOff>
      <xdr:row>67</xdr:row>
      <xdr:rowOff>19050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1BB1813F-A9E6-4664-8F69-0820E490AF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0.11681</cdr:x>
      <cdr:y>0.487</cdr:y>
    </cdr:from>
    <cdr:to>
      <cdr:x>0.84539</cdr:x>
      <cdr:y>0.48773</cdr:y>
    </cdr:to>
    <cdr:sp macro="" textlink="">
      <cdr:nvSpPr>
        <cdr:cNvPr id="2049" name="Line 1">
          <a:extLst xmlns:a="http://schemas.openxmlformats.org/drawingml/2006/main">
            <a:ext uri="{FF2B5EF4-FFF2-40B4-BE49-F238E27FC236}">
              <a16:creationId xmlns:a16="http://schemas.microsoft.com/office/drawing/2014/main" id="{40F28E45-3B26-437B-B8F0-E69A445DEABA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009499" y="2644034"/>
          <a:ext cx="6296668" cy="399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4765" cap="flat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/>
          <a:tailEnd type="non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0.4664</cdr:x>
      <cdr:y>0.28878</cdr:y>
    </cdr:from>
    <cdr:to>
      <cdr:x>0.56177</cdr:x>
      <cdr:y>0.47375</cdr:y>
    </cdr:to>
    <cdr:sp macro="" textlink="">
      <cdr:nvSpPr>
        <cdr:cNvPr id="2050" name="Line 2">
          <a:extLst xmlns:a="http://schemas.openxmlformats.org/drawingml/2006/main">
            <a:ext uri="{FF2B5EF4-FFF2-40B4-BE49-F238E27FC236}">
              <a16:creationId xmlns:a16="http://schemas.microsoft.com/office/drawing/2014/main" id="{FBB09764-742F-45E5-BD1E-3A05BBD4925F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030790" y="1567848"/>
          <a:ext cx="824182" cy="100426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714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0.36733</cdr:x>
      <cdr:y>0.22181</cdr:y>
    </cdr:from>
    <cdr:to>
      <cdr:x>0.62822</cdr:x>
      <cdr:y>0.28976</cdr:y>
    </cdr:to>
    <cdr:sp macro="" textlink="">
      <cdr:nvSpPr>
        <cdr:cNvPr id="2051" name="Text 3">
          <a:extLst xmlns:a="http://schemas.openxmlformats.org/drawingml/2006/main">
            <a:ext uri="{FF2B5EF4-FFF2-40B4-BE49-F238E27FC236}">
              <a16:creationId xmlns:a16="http://schemas.microsoft.com/office/drawing/2014/main" id="{83337CAF-825F-4130-A28F-0560F70DB91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74579" y="1204236"/>
          <a:ext cx="2254758" cy="3689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54864" tIns="5029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Emissions Target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75</xdr:row>
      <xdr:rowOff>107950</xdr:rowOff>
    </xdr:from>
    <xdr:to>
      <xdr:col>7</xdr:col>
      <xdr:colOff>908050</xdr:colOff>
      <xdr:row>106</xdr:row>
      <xdr:rowOff>146050</xdr:rowOff>
    </xdr:to>
    <xdr:graphicFrame macro="">
      <xdr:nvGraphicFramePr>
        <xdr:cNvPr id="3077" name="Chart 5">
          <a:extLst>
            <a:ext uri="{FF2B5EF4-FFF2-40B4-BE49-F238E27FC236}">
              <a16:creationId xmlns:a16="http://schemas.microsoft.com/office/drawing/2014/main" id="{F39B917C-5E0C-4443-A6D2-0C0863FEF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889000</xdr:colOff>
      <xdr:row>85</xdr:row>
      <xdr:rowOff>107950</xdr:rowOff>
    </xdr:from>
    <xdr:ext cx="440997" cy="190719"/>
    <xdr:sp macro="" textlink="">
      <xdr:nvSpPr>
        <xdr:cNvPr id="3078" name="Text 6">
          <a:extLst>
            <a:ext uri="{FF2B5EF4-FFF2-40B4-BE49-F238E27FC236}">
              <a16:creationId xmlns:a16="http://schemas.microsoft.com/office/drawing/2014/main" id="{DD557CF5-893F-47EF-9BFA-FFC8DE0F10A4}"/>
            </a:ext>
          </a:extLst>
        </xdr:cNvPr>
        <xdr:cNvSpPr txBox="1">
          <a:spLocks noChangeArrowheads="1"/>
        </xdr:cNvSpPr>
      </xdr:nvSpPr>
      <xdr:spPr bwMode="auto">
        <a:xfrm>
          <a:off x="889000" y="18046700"/>
          <a:ext cx="4445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14,800</a:t>
          </a:r>
        </a:p>
      </xdr:txBody>
    </xdr:sp>
    <xdr:clientData/>
  </xdr:oneCellAnchor>
  <xdr:oneCellAnchor>
    <xdr:from>
      <xdr:col>4</xdr:col>
      <xdr:colOff>438150</xdr:colOff>
      <xdr:row>84</xdr:row>
      <xdr:rowOff>69850</xdr:rowOff>
    </xdr:from>
    <xdr:ext cx="69850" cy="190719"/>
    <xdr:sp macro="" textlink="">
      <xdr:nvSpPr>
        <xdr:cNvPr id="3079" name="Text 7">
          <a:extLst>
            <a:ext uri="{FF2B5EF4-FFF2-40B4-BE49-F238E27FC236}">
              <a16:creationId xmlns:a16="http://schemas.microsoft.com/office/drawing/2014/main" id="{F830D714-A552-4683-8068-F91D6D04D120}"/>
            </a:ext>
          </a:extLst>
        </xdr:cNvPr>
        <xdr:cNvSpPr txBox="1">
          <a:spLocks noChangeArrowheads="1"/>
        </xdr:cNvSpPr>
      </xdr:nvSpPr>
      <xdr:spPr bwMode="auto">
        <a:xfrm>
          <a:off x="5257800" y="17811750"/>
          <a:ext cx="69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654050</xdr:colOff>
      <xdr:row>80</xdr:row>
      <xdr:rowOff>31750</xdr:rowOff>
    </xdr:from>
    <xdr:ext cx="578872" cy="184369"/>
    <xdr:sp macro="" textlink="">
      <xdr:nvSpPr>
        <xdr:cNvPr id="3080" name="Text 8">
          <a:extLst>
            <a:ext uri="{FF2B5EF4-FFF2-40B4-BE49-F238E27FC236}">
              <a16:creationId xmlns:a16="http://schemas.microsoft.com/office/drawing/2014/main" id="{02FD9CAF-5155-49B9-91C8-F0633B3FD1AB}"/>
            </a:ext>
          </a:extLst>
        </xdr:cNvPr>
        <xdr:cNvSpPr txBox="1">
          <a:spLocks noChangeArrowheads="1"/>
        </xdr:cNvSpPr>
      </xdr:nvSpPr>
      <xdr:spPr bwMode="auto">
        <a:xfrm>
          <a:off x="6572250" y="16986250"/>
          <a:ext cx="57785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Projected</a:t>
          </a:r>
        </a:p>
      </xdr:txBody>
    </xdr:sp>
    <xdr:clientData/>
  </xdr:oneCellAnchor>
  <xdr:twoCellAnchor>
    <xdr:from>
      <xdr:col>0</xdr:col>
      <xdr:colOff>1238250</xdr:colOff>
      <xdr:row>107</xdr:row>
      <xdr:rowOff>57150</xdr:rowOff>
    </xdr:from>
    <xdr:to>
      <xdr:col>7</xdr:col>
      <xdr:colOff>139700</xdr:colOff>
      <xdr:row>131</xdr:row>
      <xdr:rowOff>139700</xdr:rowOff>
    </xdr:to>
    <xdr:graphicFrame macro="">
      <xdr:nvGraphicFramePr>
        <xdr:cNvPr id="3083" name="Chart 11">
          <a:extLst>
            <a:ext uri="{FF2B5EF4-FFF2-40B4-BE49-F238E27FC236}">
              <a16:creationId xmlns:a16="http://schemas.microsoft.com/office/drawing/2014/main" id="{6F6B4481-9A9A-4566-828C-92F308FEC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0.11806</cdr:x>
      <cdr:y>0.48525</cdr:y>
    </cdr:from>
    <cdr:to>
      <cdr:x>0.84513</cdr:x>
      <cdr:y>0.48574</cdr:y>
    </cdr:to>
    <cdr:sp macro="" textlink="">
      <cdr:nvSpPr>
        <cdr:cNvPr id="4097" name="Line 1">
          <a:extLst xmlns:a="http://schemas.openxmlformats.org/drawingml/2006/main">
            <a:ext uri="{FF2B5EF4-FFF2-40B4-BE49-F238E27FC236}">
              <a16:creationId xmlns:a16="http://schemas.microsoft.com/office/drawing/2014/main" id="{B7AC3E5D-800D-4292-B683-D6A76D59A29F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016572" y="2982722"/>
          <a:ext cx="6260496" cy="3023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24765" cap="flat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olid"/>
          <a:round/>
          <a:headEnd/>
          <a:tailEnd type="non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0.46739</cdr:x>
      <cdr:y>0.27724</cdr:y>
    </cdr:from>
    <cdr:to>
      <cdr:x>0.5625</cdr:x>
      <cdr:y>0.4705</cdr:y>
    </cdr:to>
    <cdr:sp macro="" textlink="">
      <cdr:nvSpPr>
        <cdr:cNvPr id="4099" name="Line 3">
          <a:extLst xmlns:a="http://schemas.openxmlformats.org/drawingml/2006/main">
            <a:ext uri="{FF2B5EF4-FFF2-40B4-BE49-F238E27FC236}">
              <a16:creationId xmlns:a16="http://schemas.microsoft.com/office/drawing/2014/main" id="{E5EC16BF-82D9-41C2-9186-7A41115696E3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4024503" y="1704162"/>
          <a:ext cx="818991" cy="118788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714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</cdr:sp>
  </cdr:relSizeAnchor>
  <cdr:relSizeAnchor xmlns:cdr="http://schemas.openxmlformats.org/drawingml/2006/chartDrawing">
    <cdr:from>
      <cdr:x>0.36783</cdr:x>
      <cdr:y>0.20643</cdr:y>
    </cdr:from>
    <cdr:to>
      <cdr:x>0.6297</cdr:x>
      <cdr:y>0.26643</cdr:y>
    </cdr:to>
    <cdr:sp macro="" textlink="">
      <cdr:nvSpPr>
        <cdr:cNvPr id="4101" name="Text 5">
          <a:extLst xmlns:a="http://schemas.openxmlformats.org/drawingml/2006/main">
            <a:ext uri="{FF2B5EF4-FFF2-40B4-BE49-F238E27FC236}">
              <a16:creationId xmlns:a16="http://schemas.microsoft.com/office/drawing/2014/main" id="{50590A70-049E-4F22-963C-57DD1B450E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67221" y="1268908"/>
          <a:ext cx="2254885" cy="368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54864" tIns="5029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2000" b="1" i="0" u="none" strike="noStrike" baseline="0">
              <a:solidFill>
                <a:srgbClr val="000000"/>
              </a:solidFill>
              <a:latin typeface="Arial"/>
              <a:cs typeface="Arial"/>
            </a:rPr>
            <a:t>Emissions Target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34" workbookViewId="0"/>
  </sheetViews>
  <sheetFormatPr defaultColWidth="9.1796875" defaultRowHeight="12.5" x14ac:dyDescent="0.25"/>
  <cols>
    <col min="1" max="16384" width="9.1796875" style="73"/>
  </cols>
  <sheetData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transitionEvaluation="1">
    <pageSetUpPr fitToPage="1"/>
  </sheetPr>
  <dimension ref="A1:K74"/>
  <sheetViews>
    <sheetView defaultGridColor="0" colorId="22" zoomScale="87" workbookViewId="0"/>
  </sheetViews>
  <sheetFormatPr defaultColWidth="12.54296875" defaultRowHeight="15.5" x14ac:dyDescent="0.35"/>
  <cols>
    <col min="1" max="1" width="18.54296875" style="34" customWidth="1"/>
    <col min="2" max="2" width="17.453125" style="23" customWidth="1"/>
    <col min="3" max="3" width="16.7265625" style="23" customWidth="1"/>
    <col min="4" max="4" width="16.26953125" style="23" customWidth="1"/>
    <col min="5" max="5" width="15.7265625" style="23" customWidth="1"/>
    <col min="6" max="6" width="16.1796875" style="23" customWidth="1"/>
    <col min="7" max="7" width="16.54296875" style="23" customWidth="1"/>
    <col min="8" max="8" width="17.26953125" style="23" customWidth="1"/>
    <col min="9" max="9" width="15.54296875" style="23" customWidth="1"/>
    <col min="10" max="16384" width="12.54296875" style="23"/>
  </cols>
  <sheetData>
    <row r="1" spans="1:8" s="49" customFormat="1" ht="18" x14ac:dyDescent="0.4">
      <c r="A1" s="48" t="s">
        <v>0</v>
      </c>
      <c r="H1" s="50">
        <f ca="1">NOW()</f>
        <v>43857.445003935187</v>
      </c>
    </row>
    <row r="2" spans="1:8" s="52" customFormat="1" ht="18" x14ac:dyDescent="0.4">
      <c r="A2" s="51"/>
      <c r="H2" s="50"/>
    </row>
    <row r="3" spans="1:8" ht="18" x14ac:dyDescent="0.4">
      <c r="A3" s="22" t="s">
        <v>1</v>
      </c>
      <c r="B3" s="67" t="str">
        <f>IF('Tufts Summary Data'!B2="Enter Entity Name Here","*****",'Tufts Summary Data'!B2)</f>
        <v xml:space="preserve">Tufts University GHG Emissions </v>
      </c>
      <c r="C3" s="8"/>
      <c r="D3" s="8"/>
      <c r="E3" s="8"/>
      <c r="F3" s="8"/>
      <c r="G3" s="8"/>
      <c r="H3" s="8"/>
    </row>
    <row r="4" spans="1:8" ht="18" x14ac:dyDescent="0.4">
      <c r="A4" s="24"/>
      <c r="B4" s="18"/>
      <c r="C4" s="18"/>
      <c r="D4" s="66"/>
    </row>
    <row r="5" spans="1:8" x14ac:dyDescent="0.35">
      <c r="A5" s="25" t="s">
        <v>2</v>
      </c>
    </row>
    <row r="6" spans="1:8" ht="17.5" x14ac:dyDescent="0.45">
      <c r="A6" s="135" t="s">
        <v>3</v>
      </c>
      <c r="B6" s="135" t="s">
        <v>4</v>
      </c>
      <c r="C6" s="55" t="s">
        <v>5</v>
      </c>
      <c r="D6" s="55" t="s">
        <v>6</v>
      </c>
      <c r="E6" s="26" t="s">
        <v>7</v>
      </c>
      <c r="F6" s="26" t="s">
        <v>8</v>
      </c>
      <c r="G6" s="26" t="s">
        <v>9</v>
      </c>
    </row>
    <row r="7" spans="1:8" x14ac:dyDescent="0.35">
      <c r="A7" s="137"/>
      <c r="B7" s="136"/>
      <c r="C7" s="58" t="s">
        <v>10</v>
      </c>
      <c r="D7" s="23" t="s">
        <v>11</v>
      </c>
      <c r="E7" s="27" t="s">
        <v>12</v>
      </c>
      <c r="F7" s="27" t="s">
        <v>13</v>
      </c>
      <c r="G7" s="27" t="s">
        <v>14</v>
      </c>
    </row>
    <row r="8" spans="1:8" x14ac:dyDescent="0.35">
      <c r="A8" s="36">
        <v>1990</v>
      </c>
      <c r="B8" s="44">
        <f>'Energy Use Emissions'!K8*'Conversion Factors'!B$26*(12/44)</f>
        <v>17368.082241818182</v>
      </c>
      <c r="C8" s="44">
        <f>('Agriculture Emissions'!H8+'Agriculture Emissions'!H25)*'Conversion Factors'!B$27*(12/44)</f>
        <v>69.734848484848484</v>
      </c>
      <c r="D8" s="44"/>
      <c r="E8" s="44"/>
      <c r="F8" s="44"/>
      <c r="G8" s="44">
        <f>SUM(B8:F8)</f>
        <v>17437.81709030303</v>
      </c>
    </row>
    <row r="9" spans="1:8" x14ac:dyDescent="0.35">
      <c r="A9" s="36">
        <v>1991</v>
      </c>
      <c r="B9" s="44">
        <f>'Energy Use Emissions'!K9*'Conversion Factors'!B$26*(12/44)</f>
        <v>0</v>
      </c>
      <c r="C9" s="44">
        <f>('Agriculture Emissions'!H9+'Agriculture Emissions'!H26)*'Conversion Factors'!B$27*(12/44)</f>
        <v>0</v>
      </c>
      <c r="D9" s="44"/>
      <c r="E9" s="44"/>
      <c r="F9" s="44"/>
      <c r="G9" s="44">
        <f t="shared" ref="G9:G18" si="0">SUM(B9:F9)</f>
        <v>0</v>
      </c>
    </row>
    <row r="10" spans="1:8" x14ac:dyDescent="0.35">
      <c r="A10" s="36">
        <v>1992</v>
      </c>
      <c r="B10" s="44">
        <f>'Energy Use Emissions'!K10*'Conversion Factors'!B$26*(12/44)</f>
        <v>0</v>
      </c>
      <c r="C10" s="44">
        <f>('Agriculture Emissions'!H10+'Agriculture Emissions'!H27)*'Conversion Factors'!B$27*(12/44)</f>
        <v>0</v>
      </c>
      <c r="D10" s="44"/>
      <c r="E10" s="44"/>
      <c r="F10" s="44"/>
      <c r="G10" s="44">
        <f t="shared" si="0"/>
        <v>0</v>
      </c>
    </row>
    <row r="11" spans="1:8" x14ac:dyDescent="0.35">
      <c r="A11" s="36">
        <v>1993</v>
      </c>
      <c r="B11" s="44">
        <f>'Energy Use Emissions'!K11*'Conversion Factors'!B$26*(12/44)</f>
        <v>0</v>
      </c>
      <c r="C11" s="44">
        <f>('Agriculture Emissions'!H11+'Agriculture Emissions'!H28)*'Conversion Factors'!B$27*(12/44)</f>
        <v>0</v>
      </c>
      <c r="D11" s="44"/>
      <c r="E11" s="44"/>
      <c r="F11" s="44"/>
      <c r="G11" s="44">
        <f t="shared" si="0"/>
        <v>0</v>
      </c>
    </row>
    <row r="12" spans="1:8" x14ac:dyDescent="0.35">
      <c r="A12" s="36">
        <v>1994</v>
      </c>
      <c r="B12" s="44">
        <f>'Energy Use Emissions'!K12*'Conversion Factors'!B$26*(12/44)</f>
        <v>0</v>
      </c>
      <c r="C12" s="44">
        <f>('Agriculture Emissions'!H12+'Agriculture Emissions'!H29)*'Conversion Factors'!B$27*(12/44)</f>
        <v>0</v>
      </c>
      <c r="D12" s="44"/>
      <c r="E12" s="44"/>
      <c r="F12" s="44"/>
      <c r="G12" s="44">
        <f t="shared" si="0"/>
        <v>0</v>
      </c>
    </row>
    <row r="13" spans="1:8" x14ac:dyDescent="0.35">
      <c r="A13" s="36">
        <v>1995</v>
      </c>
      <c r="B13" s="44">
        <f>'Energy Use Emissions'!K13*'Conversion Factors'!B$26*(12/44)</f>
        <v>0</v>
      </c>
      <c r="C13" s="44">
        <f>('Agriculture Emissions'!H13+'Agriculture Emissions'!H30)*'Conversion Factors'!B$27*(12/44)</f>
        <v>0</v>
      </c>
      <c r="D13" s="44"/>
      <c r="E13" s="44"/>
      <c r="F13" s="44"/>
      <c r="G13" s="44">
        <f t="shared" si="0"/>
        <v>0</v>
      </c>
    </row>
    <row r="14" spans="1:8" x14ac:dyDescent="0.35">
      <c r="A14" s="36">
        <v>1996</v>
      </c>
      <c r="B14" s="44">
        <f>'Energy Use Emissions'!K14*'Conversion Factors'!B$26*(12/44)</f>
        <v>0</v>
      </c>
      <c r="C14" s="44">
        <f>('Agriculture Emissions'!H14+'Agriculture Emissions'!H31)*'Conversion Factors'!B$27*(12/44)</f>
        <v>0</v>
      </c>
      <c r="D14" s="44"/>
      <c r="E14" s="44"/>
      <c r="F14" s="44"/>
      <c r="G14" s="44">
        <f t="shared" si="0"/>
        <v>0</v>
      </c>
    </row>
    <row r="15" spans="1:8" x14ac:dyDescent="0.35">
      <c r="A15" s="36">
        <v>1997</v>
      </c>
      <c r="B15" s="44">
        <f>'Energy Use Emissions'!K15*'Conversion Factors'!B$26*(12/44)</f>
        <v>0</v>
      </c>
      <c r="C15" s="44">
        <f>('Agriculture Emissions'!H15+'Agriculture Emissions'!H32)*'Conversion Factors'!B$27*(12/44)</f>
        <v>0</v>
      </c>
      <c r="D15" s="44"/>
      <c r="E15" s="44"/>
      <c r="F15" s="44"/>
      <c r="G15" s="44">
        <f t="shared" si="0"/>
        <v>0</v>
      </c>
    </row>
    <row r="16" spans="1:8" x14ac:dyDescent="0.35">
      <c r="A16" s="36">
        <v>1998</v>
      </c>
      <c r="B16" s="44">
        <f>'Energy Use Emissions'!K16*'Conversion Factors'!B$26*(12/44)</f>
        <v>19516.788062590906</v>
      </c>
      <c r="C16" s="44">
        <f>('Agriculture Emissions'!H16+'Agriculture Emissions'!H33)*'Conversion Factors'!B$27*(12/44)</f>
        <v>85.15069444444444</v>
      </c>
      <c r="D16" s="44"/>
      <c r="E16" s="44"/>
      <c r="F16" s="44"/>
      <c r="G16" s="44">
        <f t="shared" si="0"/>
        <v>19601.93875703535</v>
      </c>
    </row>
    <row r="17" spans="1:9" x14ac:dyDescent="0.35">
      <c r="A17" s="36">
        <v>1999</v>
      </c>
      <c r="B17" s="44">
        <f>'Energy Use Emissions'!K17*'Conversion Factors'!B$26*(12/44)</f>
        <v>0</v>
      </c>
      <c r="C17" s="44">
        <f>('Agriculture Emissions'!H17+'Agriculture Emissions'!H34)*'Conversion Factors'!B$27*(12/44)</f>
        <v>0</v>
      </c>
      <c r="D17" s="44"/>
      <c r="E17" s="44"/>
      <c r="F17" s="44"/>
      <c r="G17" s="44">
        <f t="shared" si="0"/>
        <v>0</v>
      </c>
    </row>
    <row r="18" spans="1:9" x14ac:dyDescent="0.35">
      <c r="A18" s="36">
        <v>2000</v>
      </c>
      <c r="B18" s="44">
        <f>'Energy Use Emissions'!K18*'Conversion Factors'!B$26*(12/44)</f>
        <v>0</v>
      </c>
      <c r="C18" s="44">
        <f>('Agriculture Emissions'!H18+'Agriculture Emissions'!H35)*'Conversion Factors'!B$27*(12/44)</f>
        <v>0</v>
      </c>
      <c r="D18" s="44"/>
      <c r="E18" s="44"/>
      <c r="F18" s="44"/>
      <c r="G18" s="44">
        <f t="shared" si="0"/>
        <v>0</v>
      </c>
    </row>
    <row r="19" spans="1:9" x14ac:dyDescent="0.35">
      <c r="A19" s="45"/>
      <c r="B19" s="30"/>
      <c r="C19" s="30"/>
      <c r="D19" s="30"/>
      <c r="E19" s="31"/>
      <c r="F19" s="31"/>
    </row>
    <row r="20" spans="1:9" x14ac:dyDescent="0.35">
      <c r="A20" s="29"/>
      <c r="B20" s="30"/>
      <c r="C20" s="30"/>
      <c r="D20" s="30"/>
      <c r="E20" s="31"/>
      <c r="F20" s="31"/>
    </row>
    <row r="21" spans="1:9" x14ac:dyDescent="0.35">
      <c r="A21" s="25" t="s">
        <v>15</v>
      </c>
    </row>
    <row r="22" spans="1:9" ht="17.5" x14ac:dyDescent="0.45">
      <c r="A22" s="135" t="s">
        <v>3</v>
      </c>
      <c r="B22" s="135" t="s">
        <v>4</v>
      </c>
      <c r="C22" s="55" t="s">
        <v>5</v>
      </c>
      <c r="D22" s="55" t="s">
        <v>6</v>
      </c>
      <c r="E22" s="26" t="s">
        <v>7</v>
      </c>
      <c r="F22" s="26" t="s">
        <v>8</v>
      </c>
      <c r="G22" s="26" t="s">
        <v>9</v>
      </c>
      <c r="H22" s="26" t="s">
        <v>9</v>
      </c>
      <c r="I22" s="26" t="s">
        <v>9</v>
      </c>
    </row>
    <row r="23" spans="1:9" x14ac:dyDescent="0.35">
      <c r="A23" s="137"/>
      <c r="B23" s="136"/>
      <c r="C23" s="58" t="s">
        <v>10</v>
      </c>
      <c r="D23" s="23" t="s">
        <v>11</v>
      </c>
      <c r="E23" s="27" t="s">
        <v>16</v>
      </c>
      <c r="F23" s="27" t="s">
        <v>17</v>
      </c>
      <c r="G23" s="27" t="s">
        <v>18</v>
      </c>
      <c r="H23" s="27" t="s">
        <v>19</v>
      </c>
      <c r="I23" s="27" t="s">
        <v>20</v>
      </c>
    </row>
    <row r="24" spans="1:9" x14ac:dyDescent="0.35">
      <c r="A24" s="36">
        <v>1990</v>
      </c>
      <c r="B24" s="44">
        <f>B8*0.9072</f>
        <v>15756.324209777455</v>
      </c>
      <c r="C24" s="44">
        <f t="shared" ref="C24:C34" si="1">C8*0.9072</f>
        <v>63.263454545454543</v>
      </c>
      <c r="D24" s="44"/>
      <c r="E24" s="44"/>
      <c r="F24" s="44"/>
      <c r="G24" s="44">
        <f>SUM(B24:F24)</f>
        <v>15819.587664322909</v>
      </c>
      <c r="H24" s="47">
        <f>IF('Tufts Summary Data'!B72 &gt; 0, G24/'Tufts Summary Data'!B72)</f>
        <v>4.3401086878024978E-3</v>
      </c>
      <c r="I24" s="46">
        <f>IF('Tufts Summary Data'!D72 &gt; 0, G24/'Tufts Summary Data'!D72)</f>
        <v>2.0454600031449326</v>
      </c>
    </row>
    <row r="25" spans="1:9" s="32" customFormat="1" x14ac:dyDescent="0.35">
      <c r="A25" s="36">
        <v>1991</v>
      </c>
      <c r="B25" s="44">
        <f t="shared" ref="B25:B34" si="2">B9*0.9072</f>
        <v>0</v>
      </c>
      <c r="C25" s="44">
        <f t="shared" si="1"/>
        <v>0</v>
      </c>
      <c r="D25" s="44"/>
      <c r="E25" s="44"/>
      <c r="F25" s="44"/>
      <c r="G25" s="44">
        <f t="shared" ref="G25:G34" si="3">SUM(B25:F25)</f>
        <v>0</v>
      </c>
      <c r="H25" s="47" t="b">
        <f>IF('Tufts Summary Data'!B73 &gt; 0, G25/'Tufts Summary Data'!B73)</f>
        <v>0</v>
      </c>
      <c r="I25" s="46" t="b">
        <f>IF('Tufts Summary Data'!D73 &gt; 0, G25/'Tufts Summary Data'!D73)</f>
        <v>0</v>
      </c>
    </row>
    <row r="26" spans="1:9" s="32" customFormat="1" x14ac:dyDescent="0.35">
      <c r="A26" s="36">
        <v>1992</v>
      </c>
      <c r="B26" s="44">
        <f t="shared" si="2"/>
        <v>0</v>
      </c>
      <c r="C26" s="44">
        <f t="shared" si="1"/>
        <v>0</v>
      </c>
      <c r="D26" s="44"/>
      <c r="E26" s="44"/>
      <c r="F26" s="44"/>
      <c r="G26" s="44">
        <f t="shared" si="3"/>
        <v>0</v>
      </c>
      <c r="H26" s="47" t="b">
        <f>IF('Tufts Summary Data'!B74 &gt; 0, G26/'Tufts Summary Data'!B74)</f>
        <v>0</v>
      </c>
      <c r="I26" s="46" t="b">
        <f>IF('Tufts Summary Data'!D74 &gt; 0, G26/'Tufts Summary Data'!D74)</f>
        <v>0</v>
      </c>
    </row>
    <row r="27" spans="1:9" s="32" customFormat="1" x14ac:dyDescent="0.35">
      <c r="A27" s="36">
        <v>1993</v>
      </c>
      <c r="B27" s="44">
        <f t="shared" si="2"/>
        <v>0</v>
      </c>
      <c r="C27" s="44">
        <f t="shared" si="1"/>
        <v>0</v>
      </c>
      <c r="D27" s="44"/>
      <c r="E27" s="44"/>
      <c r="F27" s="44"/>
      <c r="G27" s="44">
        <f t="shared" si="3"/>
        <v>0</v>
      </c>
      <c r="H27" s="47" t="b">
        <f>IF('Tufts Summary Data'!B75 &gt; 0, G27/'Tufts Summary Data'!B75)</f>
        <v>0</v>
      </c>
      <c r="I27" s="46" t="b">
        <f>IF('Tufts Summary Data'!D75 &gt; 0, G27/'Tufts Summary Data'!D75)</f>
        <v>0</v>
      </c>
    </row>
    <row r="28" spans="1:9" s="32" customFormat="1" x14ac:dyDescent="0.35">
      <c r="A28" s="36">
        <v>1994</v>
      </c>
      <c r="B28" s="44">
        <f t="shared" si="2"/>
        <v>0</v>
      </c>
      <c r="C28" s="44">
        <f t="shared" si="1"/>
        <v>0</v>
      </c>
      <c r="D28" s="44"/>
      <c r="E28" s="44"/>
      <c r="F28" s="44"/>
      <c r="G28" s="44">
        <f t="shared" si="3"/>
        <v>0</v>
      </c>
      <c r="H28" s="47" t="b">
        <f>IF('Tufts Summary Data'!B76 &gt; 0, G28/'Tufts Summary Data'!B76)</f>
        <v>0</v>
      </c>
      <c r="I28" s="46" t="b">
        <f>IF('Tufts Summary Data'!D76 &gt; 0, G28/'Tufts Summary Data'!D76)</f>
        <v>0</v>
      </c>
    </row>
    <row r="29" spans="1:9" s="32" customFormat="1" x14ac:dyDescent="0.35">
      <c r="A29" s="36">
        <v>1995</v>
      </c>
      <c r="B29" s="44">
        <f t="shared" si="2"/>
        <v>0</v>
      </c>
      <c r="C29" s="44">
        <f t="shared" si="1"/>
        <v>0</v>
      </c>
      <c r="D29" s="44"/>
      <c r="E29" s="44"/>
      <c r="F29" s="44"/>
      <c r="G29" s="44">
        <f t="shared" si="3"/>
        <v>0</v>
      </c>
      <c r="H29" s="47" t="b">
        <f>IF('Tufts Summary Data'!B77 &gt; 0, G29/'Tufts Summary Data'!B77)</f>
        <v>0</v>
      </c>
      <c r="I29" s="46" t="b">
        <f>IF('Tufts Summary Data'!D77 &gt; 0, G29/'Tufts Summary Data'!D77)</f>
        <v>0</v>
      </c>
    </row>
    <row r="30" spans="1:9" s="32" customFormat="1" x14ac:dyDescent="0.35">
      <c r="A30" s="36">
        <v>1996</v>
      </c>
      <c r="B30" s="44">
        <f t="shared" si="2"/>
        <v>0</v>
      </c>
      <c r="C30" s="44">
        <f t="shared" si="1"/>
        <v>0</v>
      </c>
      <c r="D30" s="44"/>
      <c r="E30" s="44"/>
      <c r="F30" s="44"/>
      <c r="G30" s="44">
        <f t="shared" si="3"/>
        <v>0</v>
      </c>
      <c r="H30" s="47" t="b">
        <f>IF('Tufts Summary Data'!B78 &gt; 0, G30/'Tufts Summary Data'!B78)</f>
        <v>0</v>
      </c>
      <c r="I30" s="46" t="b">
        <f>IF('Tufts Summary Data'!D78 &gt; 0, G30/'Tufts Summary Data'!D78)</f>
        <v>0</v>
      </c>
    </row>
    <row r="31" spans="1:9" s="32" customFormat="1" x14ac:dyDescent="0.35">
      <c r="A31" s="36">
        <v>1997</v>
      </c>
      <c r="B31" s="44">
        <f t="shared" si="2"/>
        <v>0</v>
      </c>
      <c r="C31" s="44">
        <f t="shared" si="1"/>
        <v>0</v>
      </c>
      <c r="D31" s="44"/>
      <c r="E31" s="44"/>
      <c r="F31" s="44"/>
      <c r="G31" s="44">
        <f t="shared" si="3"/>
        <v>0</v>
      </c>
      <c r="H31" s="47" t="b">
        <f>IF('Tufts Summary Data'!B79 &gt; 0, G31/'Tufts Summary Data'!B79)</f>
        <v>0</v>
      </c>
      <c r="I31" s="46" t="b">
        <f>IF('Tufts Summary Data'!D79 &gt; 0, G31/'Tufts Summary Data'!D79)</f>
        <v>0</v>
      </c>
    </row>
    <row r="32" spans="1:9" s="32" customFormat="1" x14ac:dyDescent="0.35">
      <c r="A32" s="36">
        <v>1998</v>
      </c>
      <c r="B32" s="44">
        <f t="shared" si="2"/>
        <v>17705.630130382469</v>
      </c>
      <c r="C32" s="44">
        <f t="shared" si="1"/>
        <v>77.248710000000003</v>
      </c>
      <c r="D32" s="44"/>
      <c r="E32" s="44"/>
      <c r="F32" s="44"/>
      <c r="G32" s="44">
        <f t="shared" si="3"/>
        <v>17782.878840382469</v>
      </c>
      <c r="H32" s="47">
        <f>IF('Tufts Summary Data'!B80 &gt; 0, G32/'Tufts Summary Data'!B80)</f>
        <v>4.5775838801388365E-3</v>
      </c>
      <c r="I32" s="46">
        <f>IF('Tufts Summary Data'!D80 &gt; 0, G32/'Tufts Summary Data'!D80)</f>
        <v>2.1800758661741413</v>
      </c>
    </row>
    <row r="33" spans="1:11" s="32" customFormat="1" x14ac:dyDescent="0.35">
      <c r="A33" s="36">
        <v>1999</v>
      </c>
      <c r="B33" s="44">
        <f t="shared" si="2"/>
        <v>0</v>
      </c>
      <c r="C33" s="44">
        <f t="shared" si="1"/>
        <v>0</v>
      </c>
      <c r="D33" s="44"/>
      <c r="E33" s="44"/>
      <c r="F33" s="44"/>
      <c r="G33" s="44">
        <f t="shared" si="3"/>
        <v>0</v>
      </c>
      <c r="H33" s="47" t="b">
        <f>IF('Tufts Summary Data'!B81 &gt; 0, G33/'Tufts Summary Data'!B81)</f>
        <v>0</v>
      </c>
      <c r="I33" s="46" t="b">
        <f>IF('Tufts Summary Data'!D81 &gt; 0, G33/'Tufts Summary Data'!D81)</f>
        <v>0</v>
      </c>
    </row>
    <row r="34" spans="1:11" s="32" customFormat="1" x14ac:dyDescent="0.35">
      <c r="A34" s="36">
        <v>2000</v>
      </c>
      <c r="B34" s="44">
        <f t="shared" si="2"/>
        <v>0</v>
      </c>
      <c r="C34" s="44">
        <f t="shared" si="1"/>
        <v>0</v>
      </c>
      <c r="D34" s="44"/>
      <c r="E34" s="44"/>
      <c r="F34" s="44"/>
      <c r="G34" s="44">
        <f t="shared" si="3"/>
        <v>0</v>
      </c>
      <c r="H34" s="47" t="b">
        <f>IF('Tufts Summary Data'!B82 &gt; 0, G34/'Tufts Summary Data'!B82)</f>
        <v>0</v>
      </c>
      <c r="I34" s="46" t="b">
        <f>IF('Tufts Summary Data'!D82 &gt; 0, G34/'Tufts Summary Data'!D82)</f>
        <v>0</v>
      </c>
    </row>
    <row r="35" spans="1:11" s="32" customFormat="1" ht="16" thickBot="1" x14ac:dyDescent="0.4">
      <c r="B35" s="30"/>
      <c r="C35" s="30"/>
      <c r="D35" s="30"/>
      <c r="E35" s="31"/>
      <c r="F35" s="31"/>
      <c r="G35" s="23"/>
      <c r="H35" s="23"/>
      <c r="I35" s="23"/>
    </row>
    <row r="36" spans="1:11" s="32" customFormat="1" ht="15" customHeight="1" x14ac:dyDescent="0.35">
      <c r="B36" s="120" t="s">
        <v>21</v>
      </c>
      <c r="C36" s="126"/>
      <c r="D36" s="120" t="s">
        <v>22</v>
      </c>
      <c r="E36" s="126"/>
      <c r="F36" s="23"/>
      <c r="G36" s="120" t="s">
        <v>23</v>
      </c>
      <c r="H36" s="121"/>
      <c r="I36" s="122"/>
      <c r="J36" s="23"/>
    </row>
    <row r="37" spans="1:11" s="32" customFormat="1" x14ac:dyDescent="0.35">
      <c r="B37" s="127"/>
      <c r="C37" s="128"/>
      <c r="D37" s="127"/>
      <c r="E37" s="128"/>
      <c r="F37" s="23"/>
      <c r="G37" s="123"/>
      <c r="H37" s="124"/>
      <c r="I37" s="125"/>
      <c r="J37" s="23"/>
    </row>
    <row r="38" spans="1:11" s="32" customFormat="1" x14ac:dyDescent="0.35">
      <c r="B38" s="118" t="s">
        <v>3</v>
      </c>
      <c r="C38" s="77" t="s">
        <v>24</v>
      </c>
      <c r="D38" s="92" t="s">
        <v>24</v>
      </c>
      <c r="E38" s="77" t="s">
        <v>25</v>
      </c>
      <c r="F38" s="23"/>
      <c r="G38" s="118" t="s">
        <v>3</v>
      </c>
      <c r="H38" s="74" t="s">
        <v>26</v>
      </c>
      <c r="I38" s="77" t="s">
        <v>27</v>
      </c>
      <c r="J38" s="23"/>
    </row>
    <row r="39" spans="1:11" s="32" customFormat="1" x14ac:dyDescent="0.35">
      <c r="B39" s="119"/>
      <c r="C39" s="85" t="s">
        <v>28</v>
      </c>
      <c r="D39" s="93" t="s">
        <v>28</v>
      </c>
      <c r="E39" s="94" t="s">
        <v>29</v>
      </c>
      <c r="F39" s="23"/>
      <c r="G39" s="119"/>
      <c r="H39" s="89" t="s">
        <v>20</v>
      </c>
      <c r="I39" s="78" t="s">
        <v>19</v>
      </c>
      <c r="J39" s="23"/>
    </row>
    <row r="40" spans="1:11" s="32" customFormat="1" ht="28.5" customHeight="1" x14ac:dyDescent="0.35">
      <c r="B40" s="79">
        <v>1990</v>
      </c>
      <c r="C40" s="86">
        <f>G24</f>
        <v>15819.587664322909</v>
      </c>
      <c r="D40" s="95" t="s">
        <v>30</v>
      </c>
      <c r="E40" s="86" t="s">
        <v>30</v>
      </c>
      <c r="F40" s="23"/>
      <c r="G40" s="79">
        <v>1990</v>
      </c>
      <c r="H40" s="90">
        <f>I24</f>
        <v>2.0454600031449326</v>
      </c>
      <c r="I40" s="80">
        <f>H24</f>
        <v>4.3401086878024978E-3</v>
      </c>
      <c r="J40" s="23"/>
    </row>
    <row r="41" spans="1:11" s="32" customFormat="1" ht="28.5" customHeight="1" x14ac:dyDescent="0.35">
      <c r="B41" s="81">
        <v>1998</v>
      </c>
      <c r="C41" s="87">
        <f>G32</f>
        <v>17782.878840382469</v>
      </c>
      <c r="D41" s="96">
        <f>C41-C43</f>
        <v>3070.6623125621627</v>
      </c>
      <c r="E41" s="97">
        <f>D41/C41</f>
        <v>0.17267520856010735</v>
      </c>
      <c r="F41" s="23"/>
      <c r="G41" s="81">
        <v>1998</v>
      </c>
      <c r="H41" s="91">
        <f>I32</f>
        <v>2.1800758661741413</v>
      </c>
      <c r="I41" s="82">
        <f>H32</f>
        <v>4.5775838801388365E-3</v>
      </c>
      <c r="J41" s="23"/>
    </row>
    <row r="42" spans="1:11" ht="28.5" customHeight="1" thickBot="1" x14ac:dyDescent="0.4">
      <c r="A42" s="23"/>
      <c r="B42" s="83">
        <v>2010</v>
      </c>
      <c r="C42" s="88">
        <f>FORECAST(2010,C40:C41,$B40:$B41)</f>
        <v>20727.815604473115</v>
      </c>
      <c r="D42" s="96">
        <f>C42-C43</f>
        <v>6015.5990766528084</v>
      </c>
      <c r="E42" s="97">
        <f>D42/C42</f>
        <v>0.29021866999601381</v>
      </c>
      <c r="G42" s="98">
        <v>2010</v>
      </c>
      <c r="H42" s="99">
        <f>FORECAST(2010,H40:H41,$B40:$B41)</f>
        <v>2.3819996607175611</v>
      </c>
      <c r="I42" s="100">
        <f>FORECAST(2010,I40:I41,$B40:$B41)</f>
        <v>4.933796668643492E-3</v>
      </c>
    </row>
    <row r="43" spans="1:11" ht="24" customHeight="1" x14ac:dyDescent="0.35">
      <c r="A43" s="23"/>
      <c r="B43" s="83" t="s">
        <v>31</v>
      </c>
      <c r="C43" s="129">
        <f>G24*0.93</f>
        <v>14712.216527820307</v>
      </c>
      <c r="D43" s="131" t="s">
        <v>30</v>
      </c>
      <c r="E43" s="133" t="s">
        <v>30</v>
      </c>
    </row>
    <row r="44" spans="1:11" ht="16" thickBot="1" x14ac:dyDescent="0.4">
      <c r="A44" s="23"/>
      <c r="B44" s="84" t="s">
        <v>32</v>
      </c>
      <c r="C44" s="130"/>
      <c r="D44" s="132"/>
      <c r="E44" s="134"/>
    </row>
    <row r="45" spans="1:11" ht="15.75" customHeight="1" x14ac:dyDescent="0.35">
      <c r="A45" s="23"/>
      <c r="B45" s="72"/>
    </row>
    <row r="46" spans="1:11" s="32" customFormat="1" x14ac:dyDescent="0.35">
      <c r="A46" s="6"/>
      <c r="B46" s="9"/>
      <c r="C46" s="2"/>
      <c r="D46" s="2"/>
      <c r="E46" s="2"/>
      <c r="F46" s="2"/>
      <c r="G46" s="2"/>
      <c r="H46" s="2"/>
      <c r="I46" s="2"/>
      <c r="J46" s="2"/>
      <c r="K46" s="1"/>
    </row>
    <row r="47" spans="1:11" s="32" customFormat="1" x14ac:dyDescent="0.35">
      <c r="A47" s="10" t="s">
        <v>33</v>
      </c>
      <c r="B47" s="2"/>
      <c r="C47" s="2"/>
      <c r="D47" s="2"/>
      <c r="E47" s="2"/>
      <c r="F47" s="2"/>
      <c r="G47" s="2"/>
      <c r="H47" s="2"/>
      <c r="I47" s="2"/>
      <c r="J47" s="2"/>
      <c r="K47" s="1"/>
    </row>
    <row r="48" spans="1:11" s="32" customFormat="1" ht="14" x14ac:dyDescent="0.3">
      <c r="A48" s="61"/>
      <c r="B48" s="61"/>
      <c r="C48" s="61"/>
      <c r="D48" s="61"/>
      <c r="E48" s="61"/>
      <c r="F48" s="61"/>
      <c r="G48" s="61"/>
      <c r="H48" s="61" t="s">
        <v>34</v>
      </c>
      <c r="I48" s="61" t="s">
        <v>34</v>
      </c>
      <c r="J48" s="61"/>
      <c r="K48" s="61"/>
    </row>
    <row r="49" spans="1:11" s="32" customFormat="1" ht="14" x14ac:dyDescent="0.3">
      <c r="A49" s="62" t="s">
        <v>3</v>
      </c>
      <c r="B49" s="62" t="s">
        <v>35</v>
      </c>
      <c r="C49" s="62" t="s">
        <v>36</v>
      </c>
      <c r="D49" s="62" t="s">
        <v>37</v>
      </c>
      <c r="E49" s="62" t="s">
        <v>38</v>
      </c>
      <c r="F49" s="62" t="s">
        <v>39</v>
      </c>
      <c r="G49" s="62" t="s">
        <v>40</v>
      </c>
      <c r="H49" s="62" t="s">
        <v>41</v>
      </c>
      <c r="I49" s="62" t="s">
        <v>42</v>
      </c>
      <c r="J49" s="62" t="s">
        <v>43</v>
      </c>
      <c r="K49" s="62" t="s">
        <v>44</v>
      </c>
    </row>
    <row r="50" spans="1:11" s="32" customFormat="1" ht="14" x14ac:dyDescent="0.3">
      <c r="A50" s="63"/>
      <c r="B50" s="64"/>
      <c r="C50" s="64"/>
      <c r="D50" s="64"/>
      <c r="E50" s="64"/>
      <c r="F50" s="64"/>
      <c r="G50" s="64"/>
      <c r="H50" s="64"/>
      <c r="I50" s="64"/>
      <c r="J50" s="64"/>
      <c r="K50" s="64"/>
    </row>
    <row r="51" spans="1:11" s="32" customFormat="1" x14ac:dyDescent="0.35">
      <c r="A51" s="60">
        <v>1990</v>
      </c>
      <c r="B51" s="68">
        <f>('Tufts Summary Data'!B8*'Conversion Factors'!B8)/2000*(12/44)*0.9072</f>
        <v>7541.833281512726</v>
      </c>
      <c r="C51" s="68">
        <f>('Tufts Summary Data'!C8*'Conversion Factors'!C8)/2000*(12/44)*0.9072</f>
        <v>489.13873857163634</v>
      </c>
      <c r="D51" s="68">
        <f>('Tufts Summary Data'!D8*'Conversion Factors'!D8)/2000*(12/44)*0.9072</f>
        <v>2560.3124170909091</v>
      </c>
      <c r="E51" s="68">
        <f>('Tufts Summary Data'!E8*'Conversion Factors'!E8)/2000*(12/44)*0.9072</f>
        <v>1231.8914258967272</v>
      </c>
      <c r="F51" s="68">
        <f>('Tufts Summary Data'!F8*'Conversion Factors'!F8)/2000*(12/44)*0.9072</f>
        <v>0</v>
      </c>
      <c r="G51" s="68">
        <f>('Tufts Summary Data'!G8*'Conversion Factors'!G8)/2000*(12/44)*0.9072</f>
        <v>2947.0830754909089</v>
      </c>
      <c r="H51" s="68">
        <f>('Tufts Summary Data'!H8*'Conversion Factors'!H8)/2000*(12/44)*0.9072</f>
        <v>135.25674074181819</v>
      </c>
      <c r="I51" s="68">
        <f>('Tufts Summary Data'!I8*'Conversion Factors'!I8)/2000*(12/44)*0.9072</f>
        <v>850.80853047272717</v>
      </c>
      <c r="J51" s="68">
        <f>('Agriculture Emissions'!H8+'Agriculture Emissions'!H25)*'Conversion Factors'!B$27*(12/44)*0.9072</f>
        <v>63.263454545454543</v>
      </c>
      <c r="K51" s="44">
        <f>SUM(B51:J51)</f>
        <v>15819.587664322906</v>
      </c>
    </row>
    <row r="52" spans="1:11" x14ac:dyDescent="0.35">
      <c r="A52" s="60">
        <v>1998</v>
      </c>
      <c r="B52" s="68">
        <f>('Tufts Summary Data'!B16*'Conversion Factors'!B16)/2000*(12/44)*0.9072</f>
        <v>8962.6042375448724</v>
      </c>
      <c r="C52" s="68">
        <f>('Tufts Summary Data'!C16*'Conversion Factors'!C16)/2000*(12/44)*0.9072</f>
        <v>1297.1122194239999</v>
      </c>
      <c r="D52" s="68">
        <f>('Tufts Summary Data'!D16*'Conversion Factors'!D16)/2000*(12/44)*0.9072</f>
        <v>2179.946607474109</v>
      </c>
      <c r="E52" s="68">
        <f>('Tufts Summary Data'!E16*'Conversion Factors'!E16)/2000*(12/44)*0.9072</f>
        <v>1246.761515938909</v>
      </c>
      <c r="F52" s="68">
        <f>('Tufts Summary Data'!F16*'Conversion Factors'!F16)/2000*(12/44)*0.9072</f>
        <v>20.918442750545452</v>
      </c>
      <c r="G52" s="68">
        <f>('Tufts Summary Data'!G16*'Conversion Factors'!G16)/2000*(12/44)*0.9072</f>
        <v>3002.3999666181817</v>
      </c>
      <c r="H52" s="68">
        <f>('Tufts Summary Data'!H16*'Conversion Factors'!H16)/2000*(12/44)*0.9072</f>
        <v>149.9265220136727</v>
      </c>
      <c r="I52" s="68">
        <f>('Tufts Summary Data'!I16*'Conversion Factors'!I16)/2000*(12/44)*0.9072</f>
        <v>845.9606186181818</v>
      </c>
      <c r="J52" s="68">
        <f>('Agriculture Emissions'!H16+'Agriculture Emissions'!H33)*'Conversion Factors'!B$27*(12/44)*0.9072</f>
        <v>77.248710000000003</v>
      </c>
      <c r="K52" s="44">
        <f>SUM(B52:J52)</f>
        <v>17782.878840382473</v>
      </c>
    </row>
    <row r="53" spans="1:11" x14ac:dyDescent="0.35">
      <c r="A53" s="23"/>
    </row>
    <row r="54" spans="1:11" x14ac:dyDescent="0.35">
      <c r="A54" s="23"/>
    </row>
    <row r="55" spans="1:11" x14ac:dyDescent="0.35">
      <c r="A55" s="10" t="s">
        <v>45</v>
      </c>
    </row>
    <row r="56" spans="1:11" x14ac:dyDescent="0.35">
      <c r="A56" s="61"/>
      <c r="B56" s="61"/>
      <c r="C56" s="61"/>
      <c r="D56" s="61"/>
      <c r="E56" s="61"/>
      <c r="F56" s="61"/>
    </row>
    <row r="57" spans="1:11" x14ac:dyDescent="0.35">
      <c r="A57" s="62" t="s">
        <v>3</v>
      </c>
      <c r="B57" s="62" t="s">
        <v>35</v>
      </c>
      <c r="C57" s="62" t="s">
        <v>46</v>
      </c>
      <c r="D57" s="62" t="s">
        <v>47</v>
      </c>
      <c r="E57" s="62" t="s">
        <v>43</v>
      </c>
      <c r="F57" s="62" t="s">
        <v>44</v>
      </c>
    </row>
    <row r="58" spans="1:11" x14ac:dyDescent="0.35">
      <c r="A58" s="63"/>
      <c r="B58" s="64"/>
      <c r="C58" s="64"/>
      <c r="D58" s="64"/>
      <c r="E58" s="64"/>
      <c r="F58" s="64"/>
    </row>
    <row r="59" spans="1:11" x14ac:dyDescent="0.35">
      <c r="A59" s="70">
        <v>32874</v>
      </c>
      <c r="B59" s="68">
        <f>B51</f>
        <v>7541.833281512726</v>
      </c>
      <c r="C59" s="68">
        <f>SUM(C51:G51)</f>
        <v>7228.4256570501821</v>
      </c>
      <c r="D59" s="68">
        <f>SUM(H51:I51)</f>
        <v>986.06527121454542</v>
      </c>
      <c r="E59" s="68">
        <f>J51</f>
        <v>63.263454545454543</v>
      </c>
      <c r="F59" s="68">
        <f>SUM(B59:E59)</f>
        <v>15819.587664322908</v>
      </c>
    </row>
    <row r="60" spans="1:11" x14ac:dyDescent="0.35">
      <c r="A60" s="70">
        <v>35796</v>
      </c>
      <c r="B60" s="68">
        <f>B52</f>
        <v>8962.6042375448724</v>
      </c>
      <c r="C60" s="68">
        <f>SUM(C52:G52)</f>
        <v>7747.1387522057448</v>
      </c>
      <c r="D60" s="68">
        <f>SUM(H52:I52)</f>
        <v>995.88714063185444</v>
      </c>
      <c r="E60" s="68">
        <f>J52</f>
        <v>77.248710000000003</v>
      </c>
      <c r="F60" s="68">
        <f>SUM(B60:E60)</f>
        <v>17782.878840382469</v>
      </c>
    </row>
    <row r="61" spans="1:11" x14ac:dyDescent="0.35">
      <c r="A61" s="71">
        <v>40179</v>
      </c>
      <c r="B61" s="68">
        <f>FORECAST(2010,B59:B60,{1990,1998})</f>
        <v>11093.760671592783</v>
      </c>
      <c r="C61" s="68">
        <f>FORECAST(2010,C59:C60,{1990,1998})</f>
        <v>8525.2083949390508</v>
      </c>
      <c r="D61" s="68">
        <f>FORECAST(2010,D59:D60,{1990,1998})</f>
        <v>1010.61994475762</v>
      </c>
      <c r="E61" s="68">
        <f>FORECAST(2010,E59:E60,{1990,1998})</f>
        <v>98.226593181828321</v>
      </c>
      <c r="F61" s="68">
        <f>FORECAST(2010,F59:F60,{1990,1998})</f>
        <v>20727.81560446939</v>
      </c>
    </row>
    <row r="62" spans="1:11" x14ac:dyDescent="0.35">
      <c r="A62" s="69" t="s">
        <v>48</v>
      </c>
      <c r="B62" s="68">
        <f>B59*0.93</f>
        <v>7013.9049518068359</v>
      </c>
      <c r="C62" s="68">
        <f>C59*0.93</f>
        <v>6722.4358610566696</v>
      </c>
      <c r="D62" s="68">
        <f>D59*0.93</f>
        <v>917.04070222952726</v>
      </c>
      <c r="E62" s="68">
        <f>E59*0.93</f>
        <v>58.835012727272726</v>
      </c>
      <c r="F62" s="68">
        <f>SUM(B62:E62)</f>
        <v>14712.216527820307</v>
      </c>
    </row>
    <row r="64" spans="1:11" x14ac:dyDescent="0.35">
      <c r="A64" s="10" t="s">
        <v>49</v>
      </c>
    </row>
    <row r="65" spans="1:6" x14ac:dyDescent="0.35">
      <c r="A65" s="109" t="s">
        <v>50</v>
      </c>
      <c r="B65" s="110"/>
      <c r="C65" s="110"/>
      <c r="D65" s="110"/>
      <c r="E65" s="111"/>
    </row>
    <row r="66" spans="1:6" x14ac:dyDescent="0.35">
      <c r="A66" s="112"/>
      <c r="B66" s="113"/>
      <c r="C66" s="113"/>
      <c r="D66" s="113"/>
      <c r="E66" s="114"/>
    </row>
    <row r="67" spans="1:6" x14ac:dyDescent="0.35">
      <c r="A67" s="115"/>
      <c r="B67" s="116"/>
      <c r="C67" s="116"/>
      <c r="D67" s="116"/>
      <c r="E67" s="117"/>
    </row>
    <row r="68" spans="1:6" ht="21.75" customHeight="1" x14ac:dyDescent="0.35">
      <c r="A68" s="101" t="s">
        <v>3</v>
      </c>
      <c r="B68" s="101" t="s">
        <v>35</v>
      </c>
      <c r="C68" s="101" t="s">
        <v>46</v>
      </c>
      <c r="D68" s="101" t="s">
        <v>47</v>
      </c>
      <c r="E68" s="101" t="s">
        <v>43</v>
      </c>
    </row>
    <row r="69" spans="1:6" s="104" customFormat="1" ht="26.25" customHeight="1" x14ac:dyDescent="0.25">
      <c r="A69" s="102">
        <v>32874</v>
      </c>
      <c r="B69" s="103">
        <f t="shared" ref="B69:E71" si="4">B59/$F59</f>
        <v>0.47674019333142481</v>
      </c>
      <c r="C69" s="103">
        <f t="shared" si="4"/>
        <v>0.4569288283886232</v>
      </c>
      <c r="D69" s="103">
        <f t="shared" si="4"/>
        <v>6.2331919904484431E-2</v>
      </c>
      <c r="E69" s="103">
        <f t="shared" si="4"/>
        <v>3.9990583754676056E-3</v>
      </c>
    </row>
    <row r="70" spans="1:6" s="104" customFormat="1" ht="26.25" customHeight="1" x14ac:dyDescent="0.25">
      <c r="A70" s="105">
        <v>35796</v>
      </c>
      <c r="B70" s="106">
        <f t="shared" si="4"/>
        <v>0.50400187269971342</v>
      </c>
      <c r="C70" s="106">
        <f t="shared" si="4"/>
        <v>0.43565155123326038</v>
      </c>
      <c r="D70" s="106">
        <f t="shared" si="4"/>
        <v>5.6002582572307238E-2</v>
      </c>
      <c r="E70" s="106">
        <f t="shared" si="4"/>
        <v>4.3439934947191354E-3</v>
      </c>
    </row>
    <row r="71" spans="1:6" s="104" customFormat="1" ht="26.25" customHeight="1" x14ac:dyDescent="0.25">
      <c r="A71" s="107">
        <v>40179</v>
      </c>
      <c r="B71" s="108">
        <f t="shared" si="4"/>
        <v>0.53521127760325671</v>
      </c>
      <c r="C71" s="108">
        <f t="shared" si="4"/>
        <v>0.41129314142976175</v>
      </c>
      <c r="D71" s="108">
        <f t="shared" si="4"/>
        <v>4.8756702782501951E-2</v>
      </c>
      <c r="E71" s="108">
        <f t="shared" si="4"/>
        <v>4.7388781845709022E-3</v>
      </c>
    </row>
    <row r="72" spans="1:6" x14ac:dyDescent="0.35">
      <c r="A72" s="75"/>
      <c r="B72" s="76"/>
      <c r="C72" s="76"/>
      <c r="D72" s="76"/>
      <c r="E72" s="76"/>
    </row>
    <row r="73" spans="1:6" x14ac:dyDescent="0.35">
      <c r="A73" s="75"/>
      <c r="B73" s="6"/>
      <c r="C73" s="6"/>
      <c r="D73" s="6"/>
      <c r="E73" s="6"/>
      <c r="F73" s="6"/>
    </row>
    <row r="74" spans="1:6" x14ac:dyDescent="0.35">
      <c r="F74" s="6"/>
    </row>
  </sheetData>
  <pageMargins left="0.5" right="0.5" top="0.5" bottom="0.5" header="0.5" footer="0.5"/>
  <pageSetup scale="75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95"/>
  <sheetViews>
    <sheetView workbookViewId="0"/>
  </sheetViews>
  <sheetFormatPr defaultRowHeight="12.5" x14ac:dyDescent="0.25"/>
  <cols>
    <col min="1" max="1" width="10.81640625" customWidth="1"/>
    <col min="2" max="3" width="12.7265625" customWidth="1"/>
    <col min="4" max="4" width="11.81640625" customWidth="1"/>
    <col min="5" max="5" width="12.7265625" customWidth="1"/>
    <col min="6" max="6" width="13.54296875" customWidth="1"/>
    <col min="7" max="7" width="12.54296875" customWidth="1"/>
    <col min="8" max="9" width="11.81640625" customWidth="1"/>
    <col min="10" max="10" width="12.1796875" customWidth="1"/>
  </cols>
  <sheetData>
    <row r="1" spans="1:22" ht="15.5" x14ac:dyDescent="0.35">
      <c r="A1" s="1" t="s">
        <v>51</v>
      </c>
      <c r="B1" s="4"/>
      <c r="C1" s="4"/>
      <c r="D1" s="4"/>
      <c r="E1" s="4"/>
      <c r="F1" s="4"/>
      <c r="G1" s="5">
        <f ca="1">NOW()</f>
        <v>43857.445003935187</v>
      </c>
      <c r="H1" s="4"/>
      <c r="I1" s="4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15.5" x14ac:dyDescent="0.35">
      <c r="A2" s="6" t="s">
        <v>1</v>
      </c>
      <c r="B2" s="7" t="s">
        <v>52</v>
      </c>
      <c r="C2" s="8"/>
      <c r="D2" s="8"/>
      <c r="E2" s="8"/>
      <c r="F2" s="8"/>
      <c r="G2" s="8"/>
      <c r="H2" s="8"/>
      <c r="I2" s="8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ht="15.5" x14ac:dyDescent="0.35">
      <c r="A3" s="6"/>
      <c r="B3" s="9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ht="15.5" x14ac:dyDescent="0.35">
      <c r="A4" s="10" t="s">
        <v>53</v>
      </c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ht="15.5" x14ac:dyDescent="0.35">
      <c r="A5" s="11" t="s">
        <v>3</v>
      </c>
      <c r="B5" s="11"/>
      <c r="C5" s="11"/>
      <c r="D5" s="11"/>
      <c r="E5" s="11"/>
      <c r="F5" s="11"/>
      <c r="G5" s="11"/>
      <c r="H5" s="11" t="s">
        <v>34</v>
      </c>
      <c r="I5" s="11" t="s">
        <v>34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5" x14ac:dyDescent="0.35">
      <c r="A6" s="17"/>
      <c r="B6" s="17" t="s">
        <v>35</v>
      </c>
      <c r="C6" s="17" t="s">
        <v>36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5" x14ac:dyDescent="0.35">
      <c r="A7" s="12"/>
      <c r="B7" s="13" t="s">
        <v>55</v>
      </c>
      <c r="C7" s="13" t="s">
        <v>56</v>
      </c>
      <c r="D7" s="13" t="s">
        <v>57</v>
      </c>
      <c r="E7" s="13" t="s">
        <v>57</v>
      </c>
      <c r="F7" s="13" t="s">
        <v>57</v>
      </c>
      <c r="G7" s="13" t="s">
        <v>58</v>
      </c>
      <c r="H7" s="13" t="s">
        <v>57</v>
      </c>
      <c r="I7" s="13" t="s">
        <v>57</v>
      </c>
      <c r="J7" s="13" t="s">
        <v>57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5" x14ac:dyDescent="0.35">
      <c r="A8" s="14">
        <v>1990</v>
      </c>
      <c r="B8" s="41">
        <f>SUM('Medford Data:Boston Data'!B8)</f>
        <v>38102663</v>
      </c>
      <c r="C8" s="41">
        <f>SUM('Medford Data:Boston Data'!C8)</f>
        <v>327856</v>
      </c>
      <c r="D8" s="41">
        <f>SUM('Medford Data:Boston Data'!D8)</f>
        <v>795000</v>
      </c>
      <c r="E8" s="41">
        <f>SUM('Medford Data:Boston Data'!E8)</f>
        <v>444870</v>
      </c>
      <c r="F8" s="41">
        <f>SUM('Medford Data:Boston Data'!F8)</f>
        <v>0</v>
      </c>
      <c r="G8" s="41">
        <f>SUM('Medford Data:Boston Data'!G8)</f>
        <v>39904</v>
      </c>
      <c r="H8" s="41">
        <f>SUM('Medford Data:Boston Data'!H8)</f>
        <v>55800</v>
      </c>
      <c r="I8" s="41">
        <f>SUM('Medford Data:Boston Data'!I8)</f>
        <v>351000</v>
      </c>
      <c r="J8" s="41">
        <f>SUM('Medford Data:Boston Data'!J8)</f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5" x14ac:dyDescent="0.35">
      <c r="A9" s="14">
        <v>1991</v>
      </c>
      <c r="B9" s="41">
        <f>SUM('Medford Data:Boston Data'!B9)</f>
        <v>0</v>
      </c>
      <c r="C9" s="41">
        <f>SUM('Medford Data:Boston Data'!C9)</f>
        <v>0</v>
      </c>
      <c r="D9" s="41">
        <f>SUM('Medford Data:Boston Data'!D9)</f>
        <v>0</v>
      </c>
      <c r="E9" s="41">
        <f>SUM('Medford Data:Boston Data'!E9)</f>
        <v>0</v>
      </c>
      <c r="F9" s="41">
        <f>SUM('Medford Data:Boston Data'!F9)</f>
        <v>0</v>
      </c>
      <c r="G9" s="41">
        <f>SUM('Medford Data:Boston Data'!G9)</f>
        <v>0</v>
      </c>
      <c r="H9" s="41">
        <f>SUM('Medford Data:Boston Data'!H9)</f>
        <v>0</v>
      </c>
      <c r="I9" s="41">
        <f>SUM('Medford Data:Boston Data'!I9)</f>
        <v>0</v>
      </c>
      <c r="J9" s="41">
        <f>SUM('Medford Data:Boston Data'!J9)</f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5" x14ac:dyDescent="0.35">
      <c r="A10" s="14">
        <v>1992</v>
      </c>
      <c r="B10" s="41">
        <f>SUM('Medford Data:Boston Data'!B10)</f>
        <v>0</v>
      </c>
      <c r="C10" s="41">
        <f>SUM('Medford Data:Boston Data'!C10)</f>
        <v>0</v>
      </c>
      <c r="D10" s="41">
        <f>SUM('Medford Data:Boston Data'!D10)</f>
        <v>0</v>
      </c>
      <c r="E10" s="41">
        <f>SUM('Medford Data:Boston Data'!E10)</f>
        <v>0</v>
      </c>
      <c r="F10" s="41">
        <f>SUM('Medford Data:Boston Data'!F10)</f>
        <v>0</v>
      </c>
      <c r="G10" s="41">
        <f>SUM('Medford Data:Boston Data'!G10)</f>
        <v>0</v>
      </c>
      <c r="H10" s="41">
        <f>SUM('Medford Data:Boston Data'!H10)</f>
        <v>0</v>
      </c>
      <c r="I10" s="41">
        <f>SUM('Medford Data:Boston Data'!I10)</f>
        <v>0</v>
      </c>
      <c r="J10" s="41">
        <f>SUM('Medford Data:Boston Data'!J10)</f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5" x14ac:dyDescent="0.35">
      <c r="A11" s="14">
        <v>1993</v>
      </c>
      <c r="B11" s="41">
        <f>SUM('Medford Data:Boston Data'!B11)</f>
        <v>0</v>
      </c>
      <c r="C11" s="41">
        <f>SUM('Medford Data:Boston Data'!C11)</f>
        <v>0</v>
      </c>
      <c r="D11" s="41">
        <f>SUM('Medford Data:Boston Data'!D11)</f>
        <v>0</v>
      </c>
      <c r="E11" s="41">
        <f>SUM('Medford Data:Boston Data'!E11)</f>
        <v>0</v>
      </c>
      <c r="F11" s="41">
        <f>SUM('Medford Data:Boston Data'!F11)</f>
        <v>0</v>
      </c>
      <c r="G11" s="41">
        <f>SUM('Medford Data:Boston Data'!G11)</f>
        <v>0</v>
      </c>
      <c r="H11" s="41">
        <f>SUM('Medford Data:Boston Data'!H11)</f>
        <v>0</v>
      </c>
      <c r="I11" s="41">
        <f>SUM('Medford Data:Boston Data'!I11)</f>
        <v>0</v>
      </c>
      <c r="J11" s="41">
        <f>SUM('Medford Data:Boston Data'!J11)</f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5" x14ac:dyDescent="0.35">
      <c r="A12" s="14">
        <v>1994</v>
      </c>
      <c r="B12" s="41">
        <f>SUM('Medford Data:Boston Data'!B12)</f>
        <v>0</v>
      </c>
      <c r="C12" s="41">
        <f>SUM('Medford Data:Boston Data'!C12)</f>
        <v>0</v>
      </c>
      <c r="D12" s="41">
        <f>SUM('Medford Data:Boston Data'!D12)</f>
        <v>0</v>
      </c>
      <c r="E12" s="41">
        <f>SUM('Medford Data:Boston Data'!E12)</f>
        <v>0</v>
      </c>
      <c r="F12" s="41">
        <f>SUM('Medford Data:Boston Data'!F12)</f>
        <v>0</v>
      </c>
      <c r="G12" s="41">
        <f>SUM('Medford Data:Boston Data'!G12)</f>
        <v>0</v>
      </c>
      <c r="H12" s="41">
        <f>SUM('Medford Data:Boston Data'!H12)</f>
        <v>0</v>
      </c>
      <c r="I12" s="41">
        <f>SUM('Medford Data:Boston Data'!I12)</f>
        <v>0</v>
      </c>
      <c r="J12" s="41">
        <f>SUM('Medford Data:Boston Data'!J12)</f>
        <v>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5" x14ac:dyDescent="0.35">
      <c r="A13" s="14">
        <v>1995</v>
      </c>
      <c r="B13" s="41">
        <f>SUM('Medford Data:Boston Data'!B13)</f>
        <v>0</v>
      </c>
      <c r="C13" s="41">
        <f>SUM('Medford Data:Boston Data'!C13)</f>
        <v>0</v>
      </c>
      <c r="D13" s="41">
        <f>SUM('Medford Data:Boston Data'!D13)</f>
        <v>0</v>
      </c>
      <c r="E13" s="41">
        <f>SUM('Medford Data:Boston Data'!E13)</f>
        <v>0</v>
      </c>
      <c r="F13" s="41">
        <f>SUM('Medford Data:Boston Data'!F13)</f>
        <v>0</v>
      </c>
      <c r="G13" s="41">
        <f>SUM('Medford Data:Boston Data'!G13)</f>
        <v>0</v>
      </c>
      <c r="H13" s="41">
        <f>SUM('Medford Data:Boston Data'!H13)</f>
        <v>0</v>
      </c>
      <c r="I13" s="41">
        <f>SUM('Medford Data:Boston Data'!I13)</f>
        <v>0</v>
      </c>
      <c r="J13" s="41">
        <f>SUM('Medford Data:Boston Data'!J13)</f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5" x14ac:dyDescent="0.35">
      <c r="A14" s="14">
        <v>1996</v>
      </c>
      <c r="B14" s="41">
        <f>SUM('Medford Data:Boston Data'!B14)</f>
        <v>0</v>
      </c>
      <c r="C14" s="41">
        <f>SUM('Medford Data:Boston Data'!C14)</f>
        <v>0</v>
      </c>
      <c r="D14" s="41">
        <f>SUM('Medford Data:Boston Data'!D14)</f>
        <v>0</v>
      </c>
      <c r="E14" s="41">
        <f>SUM('Medford Data:Boston Data'!E14)</f>
        <v>0</v>
      </c>
      <c r="F14" s="41">
        <f>SUM('Medford Data:Boston Data'!F14)</f>
        <v>0</v>
      </c>
      <c r="G14" s="41">
        <f>SUM('Medford Data:Boston Data'!G14)</f>
        <v>0</v>
      </c>
      <c r="H14" s="41">
        <f>SUM('Medford Data:Boston Data'!H14)</f>
        <v>0</v>
      </c>
      <c r="I14" s="41">
        <f>SUM('Medford Data:Boston Data'!I14)</f>
        <v>0</v>
      </c>
      <c r="J14" s="41">
        <f>SUM('Medford Data:Boston Data'!J14)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5" x14ac:dyDescent="0.35">
      <c r="A15" s="14">
        <v>1997</v>
      </c>
      <c r="B15" s="41">
        <f>SUM('Medford Data:Boston Data'!B15)</f>
        <v>0</v>
      </c>
      <c r="C15" s="41">
        <f>SUM('Medford Data:Boston Data'!C15)</f>
        <v>0</v>
      </c>
      <c r="D15" s="41">
        <f>SUM('Medford Data:Boston Data'!D15)</f>
        <v>0</v>
      </c>
      <c r="E15" s="41">
        <f>SUM('Medford Data:Boston Data'!E15)</f>
        <v>0</v>
      </c>
      <c r="F15" s="41">
        <f>SUM('Medford Data:Boston Data'!F15)</f>
        <v>0</v>
      </c>
      <c r="G15" s="41">
        <f>SUM('Medford Data:Boston Data'!G15)</f>
        <v>0</v>
      </c>
      <c r="H15" s="41">
        <f>SUM('Medford Data:Boston Data'!H15)</f>
        <v>0</v>
      </c>
      <c r="I15" s="41">
        <f>SUM('Medford Data:Boston Data'!I15)</f>
        <v>0</v>
      </c>
      <c r="J15" s="41">
        <f>SUM('Medford Data:Boston Data'!J15)</f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5" x14ac:dyDescent="0.35">
      <c r="A16" s="14">
        <v>1998</v>
      </c>
      <c r="B16" s="41">
        <f>SUM('Medford Data:Boston Data'!B16)</f>
        <v>49656638</v>
      </c>
      <c r="C16" s="41">
        <f>SUM('Medford Data:Boston Data'!C16)</f>
        <v>869418</v>
      </c>
      <c r="D16" s="41">
        <f>SUM('Medford Data:Boston Data'!D16)</f>
        <v>676893</v>
      </c>
      <c r="E16" s="41">
        <f>SUM('Medford Data:Boston Data'!E16)</f>
        <v>450240</v>
      </c>
      <c r="F16" s="41">
        <f>SUM('Medford Data:Boston Data'!F16)</f>
        <v>13346</v>
      </c>
      <c r="G16" s="41">
        <f>SUM('Medford Data:Boston Data'!G16)</f>
        <v>40653</v>
      </c>
      <c r="H16" s="41">
        <f>SUM('Medford Data:Boston Data'!H16)</f>
        <v>61852</v>
      </c>
      <c r="I16" s="41">
        <f>SUM('Medford Data:Boston Data'!I16)</f>
        <v>349000</v>
      </c>
      <c r="J16" s="41">
        <f>SUM('Medford Data:Boston Data'!J16)</f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5" x14ac:dyDescent="0.35">
      <c r="A17" s="14">
        <v>1999</v>
      </c>
      <c r="B17" s="41">
        <f>SUM('Medford Data:Boston Data'!B17)</f>
        <v>0</v>
      </c>
      <c r="C17" s="41">
        <f>SUM('Medford Data:Boston Data'!C17)</f>
        <v>0</v>
      </c>
      <c r="D17" s="41">
        <f>SUM('Medford Data:Boston Data'!D17)</f>
        <v>0</v>
      </c>
      <c r="E17" s="41">
        <f>SUM('Medford Data:Boston Data'!E17)</f>
        <v>0</v>
      </c>
      <c r="F17" s="41">
        <f>SUM('Medford Data:Boston Data'!F17)</f>
        <v>0</v>
      </c>
      <c r="G17" s="41">
        <f>SUM('Medford Data:Boston Data'!G17)</f>
        <v>0</v>
      </c>
      <c r="H17" s="41">
        <f>SUM('Medford Data:Boston Data'!H17)</f>
        <v>0</v>
      </c>
      <c r="I17" s="41">
        <f>SUM('Medford Data:Boston Data'!I17)</f>
        <v>0</v>
      </c>
      <c r="J17" s="41">
        <f>SUM('Medford Data:Boston Data'!J17)</f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5" x14ac:dyDescent="0.35">
      <c r="A18" s="14">
        <v>2000</v>
      </c>
      <c r="B18" s="41">
        <f>SUM('Medford Data:Boston Data'!B18)</f>
        <v>0</v>
      </c>
      <c r="C18" s="41">
        <f>SUM('Medford Data:Boston Data'!C18)</f>
        <v>0</v>
      </c>
      <c r="D18" s="41">
        <f>SUM('Medford Data:Boston Data'!D18)</f>
        <v>0</v>
      </c>
      <c r="E18" s="41">
        <f>SUM('Medford Data:Boston Data'!E18)</f>
        <v>0</v>
      </c>
      <c r="F18" s="41">
        <f>SUM('Medford Data:Boston Data'!F18)</f>
        <v>0</v>
      </c>
      <c r="G18" s="41">
        <f>SUM('Medford Data:Boston Data'!G18)</f>
        <v>0</v>
      </c>
      <c r="H18" s="41">
        <f>SUM('Medford Data:Boston Data'!H18)</f>
        <v>0</v>
      </c>
      <c r="I18" s="41">
        <f>SUM('Medford Data:Boston Data'!I18)</f>
        <v>0</v>
      </c>
      <c r="J18" s="41">
        <f>SUM('Medford Data:Boston Data'!J18)</f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5" x14ac:dyDescent="0.35">
      <c r="A19" s="16"/>
      <c r="B19" s="2"/>
      <c r="C19" s="16"/>
      <c r="D19" s="16"/>
      <c r="E19" s="16"/>
      <c r="F19" s="16"/>
      <c r="G19" s="16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2" ht="15.5" x14ac:dyDescent="0.35">
      <c r="A21" s="10" t="s">
        <v>59</v>
      </c>
      <c r="B21" s="2"/>
      <c r="C21" s="2"/>
      <c r="D21" s="2"/>
      <c r="E21" s="2"/>
      <c r="F21" s="2"/>
      <c r="G21" s="2"/>
      <c r="H21" s="10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2" ht="15.5" x14ac:dyDescent="0.35">
      <c r="A22" s="11"/>
      <c r="B22" s="11" t="s">
        <v>60</v>
      </c>
      <c r="C22" s="11" t="s">
        <v>60</v>
      </c>
      <c r="D22" s="56"/>
      <c r="E22" s="11" t="s">
        <v>61</v>
      </c>
      <c r="F22" s="11" t="s">
        <v>61</v>
      </c>
      <c r="G22" s="11"/>
      <c r="H22" s="11"/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2" ht="15.5" x14ac:dyDescent="0.35">
      <c r="A23" s="17" t="s">
        <v>3</v>
      </c>
      <c r="B23" s="17" t="s">
        <v>62</v>
      </c>
      <c r="C23" s="17" t="s">
        <v>35</v>
      </c>
      <c r="D23" s="57" t="s">
        <v>63</v>
      </c>
      <c r="E23" s="17" t="s">
        <v>64</v>
      </c>
      <c r="F23" s="17" t="s">
        <v>65</v>
      </c>
      <c r="G23" s="17"/>
      <c r="H23" s="17"/>
      <c r="I23" s="17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2" ht="15.5" x14ac:dyDescent="0.35">
      <c r="A24" s="12"/>
      <c r="B24" s="13" t="s">
        <v>66</v>
      </c>
      <c r="C24" s="13" t="s">
        <v>67</v>
      </c>
      <c r="D24" s="13"/>
      <c r="E24" s="13" t="s">
        <v>68</v>
      </c>
      <c r="F24" s="13" t="s">
        <v>68</v>
      </c>
      <c r="G24" s="13"/>
      <c r="H24" s="13"/>
      <c r="I24" s="15"/>
      <c r="J24" s="1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" ht="15.5" x14ac:dyDescent="0.35">
      <c r="A25" s="14">
        <v>1990</v>
      </c>
      <c r="B25" s="41">
        <f>SUM('Medford Data:Boston Data'!B25)</f>
        <v>0</v>
      </c>
      <c r="C25" s="41">
        <f>SUM('Medford Data:Boston Data'!C25)</f>
        <v>3400</v>
      </c>
      <c r="D25" s="41">
        <f>SUM('Medford Data:Boston Data'!D25)</f>
        <v>70</v>
      </c>
      <c r="E25" s="41">
        <f>SUM('Medford Data:Boston Data'!E25)</f>
        <v>0</v>
      </c>
      <c r="F25" s="41">
        <f>SUM('Medford Data:Boston Data'!F25)</f>
        <v>0</v>
      </c>
      <c r="G25" s="41">
        <f>SUM('Medford Data:Boston Data'!G25)</f>
        <v>0</v>
      </c>
      <c r="H25" s="41">
        <f>SUM('Medford Data:Boston Data'!H25)</f>
        <v>0</v>
      </c>
      <c r="I25" s="41">
        <f>SUM('Medford Data:Boston Data'!I25)</f>
        <v>0</v>
      </c>
      <c r="J25" s="41">
        <f>SUM('Medford Data:Boston Data'!J25)</f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" ht="15.5" x14ac:dyDescent="0.35">
      <c r="A26" s="14">
        <v>1991</v>
      </c>
      <c r="B26" s="41">
        <f>SUM('Medford Data:Boston Data'!B26)</f>
        <v>0</v>
      </c>
      <c r="C26" s="41">
        <f>SUM('Medford Data:Boston Data'!C26)</f>
        <v>0</v>
      </c>
      <c r="D26" s="41">
        <f>SUM('Medford Data:Boston Data'!D26)</f>
        <v>0</v>
      </c>
      <c r="E26" s="41">
        <f>SUM('Medford Data:Boston Data'!E26)</f>
        <v>0</v>
      </c>
      <c r="F26" s="41">
        <f>SUM('Medford Data:Boston Data'!F26)</f>
        <v>0</v>
      </c>
      <c r="G26" s="41">
        <f>SUM('Medford Data:Boston Data'!G26)</f>
        <v>0</v>
      </c>
      <c r="H26" s="41">
        <f>SUM('Medford Data:Boston Data'!H26)</f>
        <v>0</v>
      </c>
      <c r="I26" s="41">
        <f>SUM('Medford Data:Boston Data'!I26)</f>
        <v>0</v>
      </c>
      <c r="J26" s="41">
        <f>SUM('Medford Data:Boston Data'!J26)</f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2" ht="15.5" x14ac:dyDescent="0.35">
      <c r="A27" s="14">
        <v>1992</v>
      </c>
      <c r="B27" s="41">
        <f>SUM('Medford Data:Boston Data'!B27)</f>
        <v>0</v>
      </c>
      <c r="C27" s="41">
        <f>SUM('Medford Data:Boston Data'!C27)</f>
        <v>0</v>
      </c>
      <c r="D27" s="41">
        <f>SUM('Medford Data:Boston Data'!D27)</f>
        <v>0</v>
      </c>
      <c r="E27" s="41">
        <f>SUM('Medford Data:Boston Data'!E27)</f>
        <v>0</v>
      </c>
      <c r="F27" s="41">
        <f>SUM('Medford Data:Boston Data'!F27)</f>
        <v>0</v>
      </c>
      <c r="G27" s="41">
        <f>SUM('Medford Data:Boston Data'!G27)</f>
        <v>0</v>
      </c>
      <c r="H27" s="41">
        <f>SUM('Medford Data:Boston Data'!H27)</f>
        <v>0</v>
      </c>
      <c r="I27" s="41">
        <f>SUM('Medford Data:Boston Data'!I27)</f>
        <v>0</v>
      </c>
      <c r="J27" s="41">
        <f>SUM('Medford Data:Boston Data'!J27)</f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2" ht="15.5" x14ac:dyDescent="0.35">
      <c r="A28" s="14">
        <v>1993</v>
      </c>
      <c r="B28" s="41">
        <f>SUM('Medford Data:Boston Data'!B28)</f>
        <v>0</v>
      </c>
      <c r="C28" s="41">
        <f>SUM('Medford Data:Boston Data'!C28)</f>
        <v>0</v>
      </c>
      <c r="D28" s="41">
        <f>SUM('Medford Data:Boston Data'!D28)</f>
        <v>0</v>
      </c>
      <c r="E28" s="41">
        <f>SUM('Medford Data:Boston Data'!E28)</f>
        <v>0</v>
      </c>
      <c r="F28" s="41">
        <f>SUM('Medford Data:Boston Data'!F28)</f>
        <v>0</v>
      </c>
      <c r="G28" s="41">
        <f>SUM('Medford Data:Boston Data'!G28)</f>
        <v>0</v>
      </c>
      <c r="H28" s="41">
        <f>SUM('Medford Data:Boston Data'!H28)</f>
        <v>0</v>
      </c>
      <c r="I28" s="41">
        <f>SUM('Medford Data:Boston Data'!I28)</f>
        <v>0</v>
      </c>
      <c r="J28" s="41">
        <f>SUM('Medford Data:Boston Data'!J28)</f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2" ht="15.5" x14ac:dyDescent="0.35">
      <c r="A29" s="14">
        <v>1994</v>
      </c>
      <c r="B29" s="41">
        <f>SUM('Medford Data:Boston Data'!B29)</f>
        <v>0</v>
      </c>
      <c r="C29" s="41">
        <f>SUM('Medford Data:Boston Data'!C29)</f>
        <v>0</v>
      </c>
      <c r="D29" s="41">
        <f>SUM('Medford Data:Boston Data'!D29)</f>
        <v>0</v>
      </c>
      <c r="E29" s="41">
        <f>SUM('Medford Data:Boston Data'!E29)</f>
        <v>0</v>
      </c>
      <c r="F29" s="41">
        <f>SUM('Medford Data:Boston Data'!F29)</f>
        <v>0</v>
      </c>
      <c r="G29" s="41">
        <f>SUM('Medford Data:Boston Data'!G29)</f>
        <v>0</v>
      </c>
      <c r="H29" s="41">
        <f>SUM('Medford Data:Boston Data'!H29)</f>
        <v>0</v>
      </c>
      <c r="I29" s="41">
        <f>SUM('Medford Data:Boston Data'!I29)</f>
        <v>0</v>
      </c>
      <c r="J29" s="41">
        <f>SUM('Medford Data:Boston Data'!J29)</f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2" ht="15.5" x14ac:dyDescent="0.35">
      <c r="A30" s="14">
        <v>1995</v>
      </c>
      <c r="B30" s="41">
        <f>SUM('Medford Data:Boston Data'!B30)</f>
        <v>0</v>
      </c>
      <c r="C30" s="41">
        <f>SUM('Medford Data:Boston Data'!C30)</f>
        <v>0</v>
      </c>
      <c r="D30" s="41">
        <f>SUM('Medford Data:Boston Data'!D30)</f>
        <v>0</v>
      </c>
      <c r="E30" s="41">
        <f>SUM('Medford Data:Boston Data'!E30)</f>
        <v>0</v>
      </c>
      <c r="F30" s="41">
        <f>SUM('Medford Data:Boston Data'!F30)</f>
        <v>0</v>
      </c>
      <c r="G30" s="41">
        <f>SUM('Medford Data:Boston Data'!G30)</f>
        <v>0</v>
      </c>
      <c r="H30" s="41">
        <f>SUM('Medford Data:Boston Data'!H30)</f>
        <v>0</v>
      </c>
      <c r="I30" s="41">
        <f>SUM('Medford Data:Boston Data'!I30)</f>
        <v>0</v>
      </c>
      <c r="J30" s="41">
        <f>SUM('Medford Data:Boston Data'!J30)</f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2" ht="15.5" x14ac:dyDescent="0.35">
      <c r="A31" s="14">
        <v>1996</v>
      </c>
      <c r="B31" s="41">
        <f>SUM('Medford Data:Boston Data'!B31)</f>
        <v>0</v>
      </c>
      <c r="C31" s="41">
        <f>SUM('Medford Data:Boston Data'!C31)</f>
        <v>0</v>
      </c>
      <c r="D31" s="41">
        <f>SUM('Medford Data:Boston Data'!D31)</f>
        <v>0</v>
      </c>
      <c r="E31" s="41">
        <f>SUM('Medford Data:Boston Data'!E31)</f>
        <v>0</v>
      </c>
      <c r="F31" s="41">
        <f>SUM('Medford Data:Boston Data'!F31)</f>
        <v>0</v>
      </c>
      <c r="G31" s="41">
        <f>SUM('Medford Data:Boston Data'!G31)</f>
        <v>0</v>
      </c>
      <c r="H31" s="41">
        <f>SUM('Medford Data:Boston Data'!H31)</f>
        <v>0</v>
      </c>
      <c r="I31" s="41">
        <f>SUM('Medford Data:Boston Data'!I31)</f>
        <v>0</v>
      </c>
      <c r="J31" s="41">
        <f>SUM('Medford Data:Boston Data'!J31)</f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2" ht="15.5" x14ac:dyDescent="0.35">
      <c r="A32" s="14">
        <v>1997</v>
      </c>
      <c r="B32" s="41">
        <f>SUM('Medford Data:Boston Data'!B32)</f>
        <v>0</v>
      </c>
      <c r="C32" s="41">
        <f>SUM('Medford Data:Boston Data'!C32)</f>
        <v>0</v>
      </c>
      <c r="D32" s="41">
        <f>SUM('Medford Data:Boston Data'!D32)</f>
        <v>0</v>
      </c>
      <c r="E32" s="41">
        <f>SUM('Medford Data:Boston Data'!E32)</f>
        <v>0</v>
      </c>
      <c r="F32" s="41">
        <f>SUM('Medford Data:Boston Data'!F32)</f>
        <v>0</v>
      </c>
      <c r="G32" s="41">
        <f>SUM('Medford Data:Boston Data'!G32)</f>
        <v>0</v>
      </c>
      <c r="H32" s="41">
        <f>SUM('Medford Data:Boston Data'!H32)</f>
        <v>0</v>
      </c>
      <c r="I32" s="41">
        <f>SUM('Medford Data:Boston Data'!I32)</f>
        <v>0</v>
      </c>
      <c r="J32" s="41">
        <f>SUM('Medford Data:Boston Data'!J32)</f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5" x14ac:dyDescent="0.35">
      <c r="A33" s="14">
        <v>1998</v>
      </c>
      <c r="B33" s="41">
        <f>SUM('Medford Data:Boston Data'!B33)</f>
        <v>0</v>
      </c>
      <c r="C33" s="41">
        <f>SUM('Medford Data:Boston Data'!C33)</f>
        <v>4000</v>
      </c>
      <c r="D33" s="41">
        <f>SUM('Medford Data:Boston Data'!D33)</f>
        <v>500</v>
      </c>
      <c r="E33" s="41">
        <f>SUM('Medford Data:Boston Data'!E33)</f>
        <v>50</v>
      </c>
      <c r="F33" s="41">
        <f>SUM('Medford Data:Boston Data'!F33)</f>
        <v>0</v>
      </c>
      <c r="G33" s="41">
        <f>SUM('Medford Data:Boston Data'!G33)</f>
        <v>0</v>
      </c>
      <c r="H33" s="41">
        <f>SUM('Medford Data:Boston Data'!H33)</f>
        <v>0</v>
      </c>
      <c r="I33" s="41">
        <f>SUM('Medford Data:Boston Data'!I33)</f>
        <v>0</v>
      </c>
      <c r="J33" s="41">
        <f>SUM('Medford Data:Boston Data'!J33)</f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5" x14ac:dyDescent="0.35">
      <c r="A34" s="14">
        <v>1999</v>
      </c>
      <c r="B34" s="41">
        <f>SUM('Medford Data:Boston Data'!B34)</f>
        <v>0</v>
      </c>
      <c r="C34" s="41">
        <f>SUM('Medford Data:Boston Data'!C34)</f>
        <v>0</v>
      </c>
      <c r="D34" s="41">
        <f>SUM('Medford Data:Boston Data'!D34)</f>
        <v>0</v>
      </c>
      <c r="E34" s="41">
        <f>SUM('Medford Data:Boston Data'!E34)</f>
        <v>0</v>
      </c>
      <c r="F34" s="41">
        <f>SUM('Medford Data:Boston Data'!F34)</f>
        <v>0</v>
      </c>
      <c r="G34" s="41">
        <f>SUM('Medford Data:Boston Data'!G34)</f>
        <v>0</v>
      </c>
      <c r="H34" s="41">
        <f>SUM('Medford Data:Boston Data'!H34)</f>
        <v>0</v>
      </c>
      <c r="I34" s="41">
        <f>SUM('Medford Data:Boston Data'!I34)</f>
        <v>0</v>
      </c>
      <c r="J34" s="41">
        <f>SUM('Medford Data:Boston Data'!J34)</f>
        <v>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5" x14ac:dyDescent="0.35">
      <c r="A35" s="14">
        <v>2000</v>
      </c>
      <c r="B35" s="41">
        <f>SUM('Medford Data:Boston Data'!B35)</f>
        <v>0</v>
      </c>
      <c r="C35" s="41">
        <f>SUM('Medford Data:Boston Data'!C35)</f>
        <v>0</v>
      </c>
      <c r="D35" s="41">
        <f>SUM('Medford Data:Boston Data'!D35)</f>
        <v>0</v>
      </c>
      <c r="E35" s="41">
        <f>SUM('Medford Data:Boston Data'!E35)</f>
        <v>0</v>
      </c>
      <c r="F35" s="41">
        <f>SUM('Medford Data:Boston Data'!F35)</f>
        <v>0</v>
      </c>
      <c r="G35" s="41">
        <f>SUM('Medford Data:Boston Data'!G35)</f>
        <v>0</v>
      </c>
      <c r="H35" s="41">
        <f>SUM('Medford Data:Boston Data'!H35)</f>
        <v>0</v>
      </c>
      <c r="I35" s="41">
        <f>SUM('Medford Data:Boston Data'!I35)</f>
        <v>0</v>
      </c>
      <c r="J35" s="41">
        <f>SUM('Medford Data:Boston Data'!J35)</f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5" x14ac:dyDescent="0.35">
      <c r="A38" s="10" t="s">
        <v>69</v>
      </c>
      <c r="B38" s="2"/>
      <c r="C38" s="2"/>
      <c r="D38" s="2"/>
      <c r="E38" s="2"/>
      <c r="F38" s="2"/>
      <c r="G38" s="2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5" x14ac:dyDescent="0.35">
      <c r="A39" s="11" t="s">
        <v>3</v>
      </c>
      <c r="B39" s="11" t="s">
        <v>70</v>
      </c>
      <c r="C39" s="11" t="s">
        <v>71</v>
      </c>
      <c r="D39" s="11" t="s">
        <v>72</v>
      </c>
      <c r="E39" s="11" t="s">
        <v>73</v>
      </c>
      <c r="F39" s="11" t="s">
        <v>74</v>
      </c>
      <c r="G39" s="11" t="s">
        <v>75</v>
      </c>
      <c r="H39" s="11" t="s">
        <v>76</v>
      </c>
      <c r="I39" s="11" t="s">
        <v>77</v>
      </c>
      <c r="J39" s="11" t="s">
        <v>78</v>
      </c>
      <c r="K39" s="11" t="s">
        <v>79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5" x14ac:dyDescent="0.35">
      <c r="A40" s="12"/>
      <c r="B40" s="15"/>
      <c r="C40" s="13" t="s">
        <v>80</v>
      </c>
      <c r="D40" s="13" t="s">
        <v>80</v>
      </c>
      <c r="E40" s="13" t="s">
        <v>81</v>
      </c>
      <c r="F40" s="13" t="s">
        <v>82</v>
      </c>
      <c r="G40" s="13"/>
      <c r="H40" s="15"/>
      <c r="I40" s="15"/>
      <c r="J40" s="15"/>
      <c r="K40" s="13" t="s">
        <v>83</v>
      </c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5" x14ac:dyDescent="0.35">
      <c r="A41" s="14">
        <v>1990</v>
      </c>
      <c r="B41" s="41">
        <f>SUM('Medford Data:Boston Data'!B41)</f>
        <v>0</v>
      </c>
      <c r="C41" s="41">
        <f>SUM('Medford Data:Boston Data'!C41)</f>
        <v>0</v>
      </c>
      <c r="D41" s="41">
        <f>SUM('Medford Data:Boston Data'!D41)</f>
        <v>0</v>
      </c>
      <c r="E41" s="41">
        <f>SUM('Medford Data:Boston Data'!E41)</f>
        <v>0</v>
      </c>
      <c r="F41" s="41">
        <f>SUM('Medford Data:Boston Data'!F41)</f>
        <v>0</v>
      </c>
      <c r="G41" s="41">
        <f>SUM('Medford Data:Boston Data'!G41)</f>
        <v>0</v>
      </c>
      <c r="H41" s="41">
        <f>SUM('Medford Data:Boston Data'!H41)</f>
        <v>0</v>
      </c>
      <c r="I41" s="41">
        <f>SUM('Medford Data:Boston Data'!I41)</f>
        <v>0</v>
      </c>
      <c r="J41" s="41">
        <f>SUM('Medford Data:Boston Data'!J41)</f>
        <v>0</v>
      </c>
      <c r="K41" s="41">
        <f>SUM('Medford Data:Boston Data'!K41)</f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5" x14ac:dyDescent="0.35">
      <c r="A42" s="14">
        <v>1991</v>
      </c>
      <c r="B42" s="41">
        <f>SUM('Medford Data:Boston Data'!B42)</f>
        <v>0</v>
      </c>
      <c r="C42" s="41">
        <f>SUM('Medford Data:Boston Data'!C42)</f>
        <v>0</v>
      </c>
      <c r="D42" s="41">
        <f>SUM('Medford Data:Boston Data'!D42)</f>
        <v>0</v>
      </c>
      <c r="E42" s="41">
        <f>SUM('Medford Data:Boston Data'!E42)</f>
        <v>0</v>
      </c>
      <c r="F42" s="41">
        <f>SUM('Medford Data:Boston Data'!F42)</f>
        <v>0</v>
      </c>
      <c r="G42" s="41">
        <f>SUM('Medford Data:Boston Data'!G42)</f>
        <v>0</v>
      </c>
      <c r="H42" s="41">
        <f>SUM('Medford Data:Boston Data'!H42)</f>
        <v>0</v>
      </c>
      <c r="I42" s="41">
        <f>SUM('Medford Data:Boston Data'!I42)</f>
        <v>0</v>
      </c>
      <c r="J42" s="41">
        <f>SUM('Medford Data:Boston Data'!J42)</f>
        <v>0</v>
      </c>
      <c r="K42" s="41">
        <f>SUM('Medford Data:Boston Data'!K42)</f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5" x14ac:dyDescent="0.35">
      <c r="A43" s="14">
        <v>1992</v>
      </c>
      <c r="B43" s="41">
        <f>SUM('Medford Data:Boston Data'!B43)</f>
        <v>0</v>
      </c>
      <c r="C43" s="41">
        <f>SUM('Medford Data:Boston Data'!C43)</f>
        <v>0</v>
      </c>
      <c r="D43" s="41">
        <f>SUM('Medford Data:Boston Data'!D43)</f>
        <v>0</v>
      </c>
      <c r="E43" s="41">
        <f>SUM('Medford Data:Boston Data'!E43)</f>
        <v>0</v>
      </c>
      <c r="F43" s="41">
        <f>SUM('Medford Data:Boston Data'!F43)</f>
        <v>0</v>
      </c>
      <c r="G43" s="41">
        <f>SUM('Medford Data:Boston Data'!G43)</f>
        <v>0</v>
      </c>
      <c r="H43" s="41">
        <f>SUM('Medford Data:Boston Data'!H43)</f>
        <v>0</v>
      </c>
      <c r="I43" s="41">
        <f>SUM('Medford Data:Boston Data'!I43)</f>
        <v>0</v>
      </c>
      <c r="J43" s="41">
        <f>SUM('Medford Data:Boston Data'!J43)</f>
        <v>0</v>
      </c>
      <c r="K43" s="41">
        <f>SUM('Medford Data:Boston Data'!K43)</f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5" x14ac:dyDescent="0.35">
      <c r="A44" s="14">
        <v>1993</v>
      </c>
      <c r="B44" s="41">
        <f>SUM('Medford Data:Boston Data'!B44)</f>
        <v>0</v>
      </c>
      <c r="C44" s="41">
        <f>SUM('Medford Data:Boston Data'!C44)</f>
        <v>0</v>
      </c>
      <c r="D44" s="41">
        <f>SUM('Medford Data:Boston Data'!D44)</f>
        <v>0</v>
      </c>
      <c r="E44" s="41">
        <f>SUM('Medford Data:Boston Data'!E44)</f>
        <v>0</v>
      </c>
      <c r="F44" s="41">
        <f>SUM('Medford Data:Boston Data'!F44)</f>
        <v>0</v>
      </c>
      <c r="G44" s="41">
        <f>SUM('Medford Data:Boston Data'!G44)</f>
        <v>0</v>
      </c>
      <c r="H44" s="41">
        <f>SUM('Medford Data:Boston Data'!H44)</f>
        <v>0</v>
      </c>
      <c r="I44" s="41">
        <f>SUM('Medford Data:Boston Data'!I44)</f>
        <v>0</v>
      </c>
      <c r="J44" s="41">
        <f>SUM('Medford Data:Boston Data'!J44)</f>
        <v>0</v>
      </c>
      <c r="K44" s="41">
        <f>SUM('Medford Data:Boston Data'!K44)</f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3" x14ac:dyDescent="0.3">
      <c r="A45" s="14">
        <v>1994</v>
      </c>
      <c r="B45" s="41">
        <f>SUM('Medford Data:Boston Data'!B45)</f>
        <v>0</v>
      </c>
      <c r="C45" s="41">
        <f>SUM('Medford Data:Boston Data'!C45)</f>
        <v>0</v>
      </c>
      <c r="D45" s="41">
        <f>SUM('Medford Data:Boston Data'!D45)</f>
        <v>0</v>
      </c>
      <c r="E45" s="41">
        <f>SUM('Medford Data:Boston Data'!E45)</f>
        <v>0</v>
      </c>
      <c r="F45" s="41">
        <f>SUM('Medford Data:Boston Data'!F45)</f>
        <v>0</v>
      </c>
      <c r="G45" s="41">
        <f>SUM('Medford Data:Boston Data'!G45)</f>
        <v>0</v>
      </c>
      <c r="H45" s="41">
        <f>SUM('Medford Data:Boston Data'!H45)</f>
        <v>0</v>
      </c>
      <c r="I45" s="41">
        <f>SUM('Medford Data:Boston Data'!I45)</f>
        <v>0</v>
      </c>
      <c r="J45" s="41">
        <f>SUM('Medford Data:Boston Data'!J45)</f>
        <v>0</v>
      </c>
      <c r="K45" s="41">
        <f>SUM('Medford Data:Boston Data'!K45)</f>
        <v>0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3" x14ac:dyDescent="0.3">
      <c r="A46" s="14">
        <v>1995</v>
      </c>
      <c r="B46" s="41">
        <f>SUM('Medford Data:Boston Data'!B46)</f>
        <v>0</v>
      </c>
      <c r="C46" s="41">
        <f>SUM('Medford Data:Boston Data'!C46)</f>
        <v>0</v>
      </c>
      <c r="D46" s="41">
        <f>SUM('Medford Data:Boston Data'!D46)</f>
        <v>0</v>
      </c>
      <c r="E46" s="41">
        <f>SUM('Medford Data:Boston Data'!E46)</f>
        <v>0</v>
      </c>
      <c r="F46" s="41">
        <f>SUM('Medford Data:Boston Data'!F46)</f>
        <v>0</v>
      </c>
      <c r="G46" s="41">
        <f>SUM('Medford Data:Boston Data'!G46)</f>
        <v>0</v>
      </c>
      <c r="H46" s="41">
        <f>SUM('Medford Data:Boston Data'!H46)</f>
        <v>0</v>
      </c>
      <c r="I46" s="41">
        <f>SUM('Medford Data:Boston Data'!I46)</f>
        <v>0</v>
      </c>
      <c r="J46" s="41">
        <f>SUM('Medford Data:Boston Data'!J46)</f>
        <v>0</v>
      </c>
      <c r="K46" s="41">
        <f>SUM('Medford Data:Boston Data'!K46)</f>
        <v>0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3" x14ac:dyDescent="0.3">
      <c r="A47" s="14">
        <v>1996</v>
      </c>
      <c r="B47" s="41">
        <f>SUM('Medford Data:Boston Data'!B47)</f>
        <v>0</v>
      </c>
      <c r="C47" s="41">
        <f>SUM('Medford Data:Boston Data'!C47)</f>
        <v>0</v>
      </c>
      <c r="D47" s="41">
        <f>SUM('Medford Data:Boston Data'!D47)</f>
        <v>0</v>
      </c>
      <c r="E47" s="41">
        <f>SUM('Medford Data:Boston Data'!E47)</f>
        <v>0</v>
      </c>
      <c r="F47" s="41">
        <f>SUM('Medford Data:Boston Data'!F47)</f>
        <v>0</v>
      </c>
      <c r="G47" s="41">
        <f>SUM('Medford Data:Boston Data'!G47)</f>
        <v>0</v>
      </c>
      <c r="H47" s="41">
        <f>SUM('Medford Data:Boston Data'!H47)</f>
        <v>0</v>
      </c>
      <c r="I47" s="41">
        <f>SUM('Medford Data:Boston Data'!I47)</f>
        <v>0</v>
      </c>
      <c r="J47" s="41">
        <f>SUM('Medford Data:Boston Data'!J47)</f>
        <v>0</v>
      </c>
      <c r="K47" s="41">
        <f>SUM('Medford Data:Boston Data'!K47)</f>
        <v>0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3" x14ac:dyDescent="0.3">
      <c r="A48" s="14">
        <v>1997</v>
      </c>
      <c r="B48" s="41">
        <f>SUM('Medford Data:Boston Data'!B48)</f>
        <v>0</v>
      </c>
      <c r="C48" s="41">
        <f>SUM('Medford Data:Boston Data'!C48)</f>
        <v>0</v>
      </c>
      <c r="D48" s="41">
        <f>SUM('Medford Data:Boston Data'!D48)</f>
        <v>0</v>
      </c>
      <c r="E48" s="41">
        <f>SUM('Medford Data:Boston Data'!E48)</f>
        <v>0</v>
      </c>
      <c r="F48" s="41">
        <f>SUM('Medford Data:Boston Data'!F48)</f>
        <v>0</v>
      </c>
      <c r="G48" s="41">
        <f>SUM('Medford Data:Boston Data'!G48)</f>
        <v>0</v>
      </c>
      <c r="H48" s="41">
        <f>SUM('Medford Data:Boston Data'!H48)</f>
        <v>0</v>
      </c>
      <c r="I48" s="41">
        <f>SUM('Medford Data:Boston Data'!I48)</f>
        <v>0</v>
      </c>
      <c r="J48" s="41">
        <f>SUM('Medford Data:Boston Data'!J48)</f>
        <v>0</v>
      </c>
      <c r="K48" s="41">
        <f>SUM('Medford Data:Boston Data'!K48)</f>
        <v>0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3" x14ac:dyDescent="0.3">
      <c r="A49" s="14">
        <v>1998</v>
      </c>
      <c r="B49" s="41">
        <f>SUM('Medford Data:Boston Data'!B49)</f>
        <v>0</v>
      </c>
      <c r="C49" s="41">
        <f>SUM('Medford Data:Boston Data'!C49)</f>
        <v>0</v>
      </c>
      <c r="D49" s="41">
        <f>SUM('Medford Data:Boston Data'!D49)</f>
        <v>275.89999999999998</v>
      </c>
      <c r="E49" s="41">
        <f>SUM('Medford Data:Boston Data'!E49)</f>
        <v>85</v>
      </c>
      <c r="F49" s="41">
        <f>SUM('Medford Data:Boston Data'!F49)</f>
        <v>0</v>
      </c>
      <c r="G49" s="41">
        <f>SUM('Medford Data:Boston Data'!G49)</f>
        <v>0</v>
      </c>
      <c r="H49" s="41">
        <f>SUM('Medford Data:Boston Data'!H49)</f>
        <v>46.41</v>
      </c>
      <c r="I49" s="41">
        <f>SUM('Medford Data:Boston Data'!I49)</f>
        <v>0</v>
      </c>
      <c r="J49" s="41">
        <f>SUM('Medford Data:Boston Data'!J49)</f>
        <v>0</v>
      </c>
      <c r="K49" s="41">
        <f>SUM('Medford Data:Boston Data'!K49)</f>
        <v>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x14ac:dyDescent="0.3">
      <c r="A50" s="14">
        <v>1999</v>
      </c>
      <c r="B50" s="41">
        <f>SUM('Medford Data:Boston Data'!B50)</f>
        <v>0</v>
      </c>
      <c r="C50" s="41">
        <f>SUM('Medford Data:Boston Data'!C50)</f>
        <v>0</v>
      </c>
      <c r="D50" s="41">
        <f>SUM('Medford Data:Boston Data'!D50)</f>
        <v>0</v>
      </c>
      <c r="E50" s="41">
        <f>SUM('Medford Data:Boston Data'!E50)</f>
        <v>0</v>
      </c>
      <c r="F50" s="41">
        <f>SUM('Medford Data:Boston Data'!F50)</f>
        <v>0</v>
      </c>
      <c r="G50" s="41">
        <f>SUM('Medford Data:Boston Data'!G50)</f>
        <v>0</v>
      </c>
      <c r="H50" s="41">
        <f>SUM('Medford Data:Boston Data'!H50)</f>
        <v>0</v>
      </c>
      <c r="I50" s="41">
        <f>SUM('Medford Data:Boston Data'!I50)</f>
        <v>0</v>
      </c>
      <c r="J50" s="41">
        <f>SUM('Medford Data:Boston Data'!J50)</f>
        <v>0</v>
      </c>
      <c r="K50" s="41">
        <f>SUM('Medford Data:Boston Data'!K50)</f>
        <v>0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" x14ac:dyDescent="0.3">
      <c r="A51" s="14">
        <v>2000</v>
      </c>
      <c r="B51" s="41">
        <f>SUM('Medford Data:Boston Data'!B51)</f>
        <v>0</v>
      </c>
      <c r="C51" s="41">
        <f>SUM('Medford Data:Boston Data'!C51)</f>
        <v>0</v>
      </c>
      <c r="D51" s="41">
        <f>SUM('Medford Data:Boston Data'!D51)</f>
        <v>0</v>
      </c>
      <c r="E51" s="41">
        <f>SUM('Medford Data:Boston Data'!E51)</f>
        <v>0</v>
      </c>
      <c r="F51" s="41">
        <f>SUM('Medford Data:Boston Data'!F51)</f>
        <v>0</v>
      </c>
      <c r="G51" s="41">
        <f>SUM('Medford Data:Boston Data'!G51)</f>
        <v>0</v>
      </c>
      <c r="H51" s="41">
        <f>SUM('Medford Data:Boston Data'!H51)</f>
        <v>0</v>
      </c>
      <c r="I51" s="41">
        <f>SUM('Medford Data:Boston Data'!I51)</f>
        <v>0</v>
      </c>
      <c r="J51" s="41">
        <f>SUM('Medford Data:Boston Data'!J51)</f>
        <v>0</v>
      </c>
      <c r="K51" s="41">
        <f>SUM('Medford Data:Boston Data'!K51)</f>
        <v>0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5.5" x14ac:dyDescent="0.35">
      <c r="A53" s="10" t="s">
        <v>84</v>
      </c>
      <c r="B53" s="2"/>
      <c r="C53" s="2"/>
      <c r="D53" s="10"/>
      <c r="E53" s="2"/>
      <c r="F53" s="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3" x14ac:dyDescent="0.3">
      <c r="A54" s="11"/>
      <c r="B54" s="11" t="s">
        <v>85</v>
      </c>
      <c r="C54" s="11" t="s">
        <v>86</v>
      </c>
      <c r="D54" s="11"/>
      <c r="E54" s="11"/>
      <c r="F54" s="11"/>
      <c r="G54" s="11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3" x14ac:dyDescent="0.3">
      <c r="A55" s="17" t="s">
        <v>3</v>
      </c>
      <c r="B55" s="17" t="s">
        <v>87</v>
      </c>
      <c r="C55" s="17" t="s">
        <v>87</v>
      </c>
      <c r="D55" s="17" t="s">
        <v>88</v>
      </c>
      <c r="E55" s="17" t="s">
        <v>89</v>
      </c>
      <c r="F55" s="17" t="s">
        <v>90</v>
      </c>
      <c r="G55" s="17" t="s">
        <v>91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x14ac:dyDescent="0.3">
      <c r="A56" s="12"/>
      <c r="B56" s="13"/>
      <c r="C56" s="15"/>
      <c r="D56" s="15"/>
      <c r="E56" s="13"/>
      <c r="F56" s="15"/>
      <c r="G56" s="1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3" x14ac:dyDescent="0.3">
      <c r="A57" s="14">
        <v>1990</v>
      </c>
      <c r="B57" s="41">
        <f>SUM('Medford Data:Boston Data'!B57)</f>
        <v>0</v>
      </c>
      <c r="C57" s="41">
        <f>SUM('Medford Data:Boston Data'!C57)</f>
        <v>50</v>
      </c>
      <c r="D57" s="41">
        <f>SUM('Medford Data:Boston Data'!D57)</f>
        <v>100</v>
      </c>
      <c r="E57" s="41">
        <f>SUM('Medford Data:Boston Data'!E57)</f>
        <v>0</v>
      </c>
      <c r="F57" s="41">
        <f>SUM('Medford Data:Boston Data'!F57)</f>
        <v>0</v>
      </c>
      <c r="G57" s="41">
        <f>SUM('Medford Data:Boston Data'!G57)</f>
        <v>800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3" x14ac:dyDescent="0.3">
      <c r="A58" s="14">
        <v>1991</v>
      </c>
      <c r="B58" s="41">
        <f>SUM('Medford Data:Boston Data'!B58)</f>
        <v>0</v>
      </c>
      <c r="C58" s="41">
        <f>SUM('Medford Data:Boston Data'!C58)</f>
        <v>0</v>
      </c>
      <c r="D58" s="41">
        <f>SUM('Medford Data:Boston Data'!D58)</f>
        <v>0</v>
      </c>
      <c r="E58" s="41">
        <f>SUM('Medford Data:Boston Data'!E58)</f>
        <v>0</v>
      </c>
      <c r="F58" s="41">
        <f>SUM('Medford Data:Boston Data'!F58)</f>
        <v>0</v>
      </c>
      <c r="G58" s="41">
        <f>SUM('Medford Data:Boston Data'!G58)</f>
        <v>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3" x14ac:dyDescent="0.3">
      <c r="A59" s="14">
        <v>1992</v>
      </c>
      <c r="B59" s="41">
        <f>SUM('Medford Data:Boston Data'!B59)</f>
        <v>0</v>
      </c>
      <c r="C59" s="41">
        <f>SUM('Medford Data:Boston Data'!C59)</f>
        <v>0</v>
      </c>
      <c r="D59" s="41">
        <f>SUM('Medford Data:Boston Data'!D59)</f>
        <v>0</v>
      </c>
      <c r="E59" s="41">
        <f>SUM('Medford Data:Boston Data'!E59)</f>
        <v>0</v>
      </c>
      <c r="F59" s="41">
        <f>SUM('Medford Data:Boston Data'!F59)</f>
        <v>0</v>
      </c>
      <c r="G59" s="41">
        <f>SUM('Medford Data:Boston Data'!G59)</f>
        <v>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3" x14ac:dyDescent="0.3">
      <c r="A60" s="14">
        <v>1993</v>
      </c>
      <c r="B60" s="41">
        <f>SUM('Medford Data:Boston Data'!B60)</f>
        <v>0</v>
      </c>
      <c r="C60" s="41">
        <f>SUM('Medford Data:Boston Data'!C60)</f>
        <v>0</v>
      </c>
      <c r="D60" s="41">
        <f>SUM('Medford Data:Boston Data'!D60)</f>
        <v>0</v>
      </c>
      <c r="E60" s="41">
        <f>SUM('Medford Data:Boston Data'!E60)</f>
        <v>0</v>
      </c>
      <c r="F60" s="41">
        <f>SUM('Medford Data:Boston Data'!F60)</f>
        <v>0</v>
      </c>
      <c r="G60" s="41">
        <f>SUM('Medford Data:Boston Data'!G60)</f>
        <v>0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3" x14ac:dyDescent="0.3">
      <c r="A61" s="14">
        <v>1994</v>
      </c>
      <c r="B61" s="41">
        <f>SUM('Medford Data:Boston Data'!B61)</f>
        <v>0</v>
      </c>
      <c r="C61" s="41">
        <f>SUM('Medford Data:Boston Data'!C61)</f>
        <v>0</v>
      </c>
      <c r="D61" s="41">
        <f>SUM('Medford Data:Boston Data'!D61)</f>
        <v>0</v>
      </c>
      <c r="E61" s="41">
        <f>SUM('Medford Data:Boston Data'!E61)</f>
        <v>0</v>
      </c>
      <c r="F61" s="41">
        <f>SUM('Medford Data:Boston Data'!F61)</f>
        <v>0</v>
      </c>
      <c r="G61" s="41">
        <f>SUM('Medford Data:Boston Data'!G61)</f>
        <v>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3" x14ac:dyDescent="0.3">
      <c r="A62" s="14">
        <v>1995</v>
      </c>
      <c r="B62" s="41">
        <f>SUM('Medford Data:Boston Data'!B62)</f>
        <v>0</v>
      </c>
      <c r="C62" s="41">
        <f>SUM('Medford Data:Boston Data'!C62)</f>
        <v>0</v>
      </c>
      <c r="D62" s="41">
        <f>SUM('Medford Data:Boston Data'!D62)</f>
        <v>0</v>
      </c>
      <c r="E62" s="41">
        <f>SUM('Medford Data:Boston Data'!E62)</f>
        <v>0</v>
      </c>
      <c r="F62" s="41">
        <f>SUM('Medford Data:Boston Data'!F62)</f>
        <v>0</v>
      </c>
      <c r="G62" s="41">
        <f>SUM('Medford Data:Boston Data'!G62)</f>
        <v>0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3" x14ac:dyDescent="0.3">
      <c r="A63" s="14">
        <v>1996</v>
      </c>
      <c r="B63" s="41">
        <f>SUM('Medford Data:Boston Data'!B63)</f>
        <v>0</v>
      </c>
      <c r="C63" s="41">
        <f>SUM('Medford Data:Boston Data'!C63)</f>
        <v>0</v>
      </c>
      <c r="D63" s="41">
        <f>SUM('Medford Data:Boston Data'!D63)</f>
        <v>0</v>
      </c>
      <c r="E63" s="41">
        <f>SUM('Medford Data:Boston Data'!E63)</f>
        <v>0</v>
      </c>
      <c r="F63" s="41">
        <f>SUM('Medford Data:Boston Data'!F63)</f>
        <v>0</v>
      </c>
      <c r="G63" s="41">
        <f>SUM('Medford Data:Boston Data'!G63)</f>
        <v>0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3" x14ac:dyDescent="0.3">
      <c r="A64" s="14">
        <v>1997</v>
      </c>
      <c r="B64" s="41">
        <f>SUM('Medford Data:Boston Data'!B64)</f>
        <v>0</v>
      </c>
      <c r="C64" s="41">
        <f>SUM('Medford Data:Boston Data'!C64)</f>
        <v>0</v>
      </c>
      <c r="D64" s="41">
        <f>SUM('Medford Data:Boston Data'!D64)</f>
        <v>0</v>
      </c>
      <c r="E64" s="41">
        <f>SUM('Medford Data:Boston Data'!E64)</f>
        <v>0</v>
      </c>
      <c r="F64" s="41">
        <f>SUM('Medford Data:Boston Data'!F64)</f>
        <v>0</v>
      </c>
      <c r="G64" s="41">
        <f>SUM('Medford Data:Boston Data'!G64)</f>
        <v>0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3" x14ac:dyDescent="0.3">
      <c r="A65" s="14">
        <v>1998</v>
      </c>
      <c r="B65" s="41">
        <f>SUM('Medford Data:Boston Data'!B65)</f>
        <v>50</v>
      </c>
      <c r="C65" s="41">
        <f>SUM('Medford Data:Boston Data'!C65)</f>
        <v>0</v>
      </c>
      <c r="D65" s="41">
        <f>SUM('Medford Data:Boston Data'!D65)</f>
        <v>65</v>
      </c>
      <c r="E65" s="41">
        <f>SUM('Medford Data:Boston Data'!E65)</f>
        <v>150</v>
      </c>
      <c r="F65" s="41">
        <f>SUM('Medford Data:Boston Data'!F65)</f>
        <v>8</v>
      </c>
      <c r="G65" s="41">
        <f>SUM('Medford Data:Boston Data'!G65)</f>
        <v>300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3" x14ac:dyDescent="0.3">
      <c r="A66" s="14">
        <v>1999</v>
      </c>
      <c r="B66" s="41">
        <f>SUM('Medford Data:Boston Data'!B66)</f>
        <v>0</v>
      </c>
      <c r="C66" s="41">
        <f>SUM('Medford Data:Boston Data'!C66)</f>
        <v>0</v>
      </c>
      <c r="D66" s="41">
        <f>SUM('Medford Data:Boston Data'!D66)</f>
        <v>0</v>
      </c>
      <c r="E66" s="41">
        <f>SUM('Medford Data:Boston Data'!E66)</f>
        <v>0</v>
      </c>
      <c r="F66" s="41">
        <f>SUM('Medford Data:Boston Data'!F66)</f>
        <v>0</v>
      </c>
      <c r="G66" s="41">
        <f>SUM('Medford Data:Boston Data'!G66)</f>
        <v>0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3" x14ac:dyDescent="0.3">
      <c r="A67" s="14">
        <v>2000</v>
      </c>
      <c r="B67" s="41">
        <f>SUM('Medford Data:Boston Data'!B67)</f>
        <v>0</v>
      </c>
      <c r="C67" s="41">
        <f>SUM('Medford Data:Boston Data'!C67)</f>
        <v>0</v>
      </c>
      <c r="D67" s="41">
        <f>SUM('Medford Data:Boston Data'!D67)</f>
        <v>0</v>
      </c>
      <c r="E67" s="41">
        <f>SUM('Medford Data:Boston Data'!E67)</f>
        <v>0</v>
      </c>
      <c r="F67" s="41">
        <f>SUM('Medford Data:Boston Data'!F67)</f>
        <v>0</v>
      </c>
      <c r="G67" s="41">
        <f>SUM('Medford Data:Boston Data'!G67)</f>
        <v>0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5.5" x14ac:dyDescent="0.35">
      <c r="A69" s="10" t="s">
        <v>92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3" x14ac:dyDescent="0.3">
      <c r="A70" s="11" t="s">
        <v>3</v>
      </c>
      <c r="B70" s="11" t="s">
        <v>93</v>
      </c>
      <c r="C70" s="11"/>
      <c r="D70" s="11" t="s">
        <v>94</v>
      </c>
      <c r="E70" s="11" t="s">
        <v>95</v>
      </c>
      <c r="F70" s="11" t="s">
        <v>94</v>
      </c>
      <c r="G70" s="11" t="s">
        <v>96</v>
      </c>
      <c r="H70" s="11" t="s">
        <v>97</v>
      </c>
      <c r="I70" s="11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1" ht="13" x14ac:dyDescent="0.3">
      <c r="A71" s="12"/>
      <c r="B71" s="13" t="s">
        <v>98</v>
      </c>
      <c r="C71" s="13" t="s">
        <v>99</v>
      </c>
      <c r="D71" s="13" t="s">
        <v>100</v>
      </c>
      <c r="E71" s="13" t="s">
        <v>100</v>
      </c>
      <c r="F71" s="13" t="s">
        <v>101</v>
      </c>
      <c r="G71" s="13" t="s">
        <v>102</v>
      </c>
      <c r="H71" s="15" t="s">
        <v>102</v>
      </c>
      <c r="I71" s="15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1" ht="13" x14ac:dyDescent="0.3">
      <c r="A72" s="14">
        <v>1990</v>
      </c>
      <c r="B72" s="41">
        <f>SUM('Medford Data:Boston Data'!B72)</f>
        <v>3644975</v>
      </c>
      <c r="C72" s="41">
        <f>SUM('Medford Data:Boston Data'!C72)</f>
        <v>2000</v>
      </c>
      <c r="D72" s="41">
        <f>SUM('Medford Data:Boston Data'!D72)</f>
        <v>7734</v>
      </c>
      <c r="E72" s="41">
        <f>SUM('Medford Data:Boston Data'!E72)</f>
        <v>900</v>
      </c>
      <c r="F72" s="41">
        <f t="shared" ref="F72:F82" si="0">D72+E72/2</f>
        <v>8184</v>
      </c>
      <c r="G72" s="42">
        <v>4959</v>
      </c>
      <c r="H72" s="42">
        <v>776</v>
      </c>
      <c r="I72" s="42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1" ht="13" x14ac:dyDescent="0.3">
      <c r="A73" s="14">
        <v>1991</v>
      </c>
      <c r="B73" s="41">
        <f>SUM('Medford Data:Boston Data'!B73)</f>
        <v>0</v>
      </c>
      <c r="C73" s="41">
        <f>SUM('Medford Data:Boston Data'!C73)</f>
        <v>0</v>
      </c>
      <c r="D73" s="41">
        <f>SUM('Medford Data:Boston Data'!D73)</f>
        <v>0</v>
      </c>
      <c r="E73" s="41">
        <f>SUM('Medford Data:Boston Data'!E73)</f>
        <v>0</v>
      </c>
      <c r="F73" s="41">
        <f t="shared" si="0"/>
        <v>0</v>
      </c>
      <c r="G73" s="42">
        <v>5061</v>
      </c>
      <c r="H73" s="42">
        <v>956</v>
      </c>
      <c r="I73" s="42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1" ht="13" x14ac:dyDescent="0.3">
      <c r="A74" s="14">
        <v>1992</v>
      </c>
      <c r="B74" s="41">
        <f>SUM('Medford Data:Boston Data'!B74)</f>
        <v>0</v>
      </c>
      <c r="C74" s="41">
        <f>SUM('Medford Data:Boston Data'!C74)</f>
        <v>0</v>
      </c>
      <c r="D74" s="41">
        <f>SUM('Medford Data:Boston Data'!D74)</f>
        <v>0</v>
      </c>
      <c r="E74" s="41">
        <f>SUM('Medford Data:Boston Data'!E74)</f>
        <v>0</v>
      </c>
      <c r="F74" s="41">
        <f t="shared" si="0"/>
        <v>0</v>
      </c>
      <c r="G74" s="42">
        <v>5921</v>
      </c>
      <c r="H74" s="42">
        <v>598</v>
      </c>
      <c r="I74" s="42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1" ht="13" x14ac:dyDescent="0.3">
      <c r="A75" s="14">
        <v>1993</v>
      </c>
      <c r="B75" s="41">
        <f>SUM('Medford Data:Boston Data'!B75)</f>
        <v>0</v>
      </c>
      <c r="C75" s="41">
        <f>SUM('Medford Data:Boston Data'!C75)</f>
        <v>0</v>
      </c>
      <c r="D75" s="41">
        <f>SUM('Medford Data:Boston Data'!D75)</f>
        <v>0</v>
      </c>
      <c r="E75" s="41">
        <f>SUM('Medford Data:Boston Data'!E75)</f>
        <v>0</v>
      </c>
      <c r="F75" s="41">
        <f t="shared" si="0"/>
        <v>0</v>
      </c>
      <c r="G75" s="42">
        <v>5634</v>
      </c>
      <c r="H75" s="42">
        <v>875</v>
      </c>
      <c r="I75" s="42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1" ht="13" x14ac:dyDescent="0.3">
      <c r="A76" s="14">
        <v>1994</v>
      </c>
      <c r="B76" s="41">
        <f>SUM('Medford Data:Boston Data'!B76)</f>
        <v>0</v>
      </c>
      <c r="C76" s="41">
        <f>SUM('Medford Data:Boston Data'!C76)</f>
        <v>0</v>
      </c>
      <c r="D76" s="41">
        <f>SUM('Medford Data:Boston Data'!D76)</f>
        <v>0</v>
      </c>
      <c r="E76" s="41">
        <f>SUM('Medford Data:Boston Data'!E76)</f>
        <v>0</v>
      </c>
      <c r="F76" s="41">
        <f t="shared" si="0"/>
        <v>0</v>
      </c>
      <c r="G76" s="42">
        <v>5488</v>
      </c>
      <c r="H76" s="42">
        <v>936</v>
      </c>
      <c r="I76" s="42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1" ht="13" x14ac:dyDescent="0.3">
      <c r="A77" s="14">
        <v>1995</v>
      </c>
      <c r="B77" s="41">
        <f>SUM('Medford Data:Boston Data'!B77)</f>
        <v>0</v>
      </c>
      <c r="C77" s="41">
        <f>SUM('Medford Data:Boston Data'!C77)</f>
        <v>0</v>
      </c>
      <c r="D77" s="41">
        <f>SUM('Medford Data:Boston Data'!D77)</f>
        <v>0</v>
      </c>
      <c r="E77" s="41">
        <f>SUM('Medford Data:Boston Data'!E77)</f>
        <v>0</v>
      </c>
      <c r="F77" s="41">
        <f t="shared" si="0"/>
        <v>0</v>
      </c>
      <c r="G77" s="42">
        <v>5639</v>
      </c>
      <c r="H77" s="42">
        <v>846</v>
      </c>
      <c r="I77" s="4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1" ht="13" x14ac:dyDescent="0.3">
      <c r="A78" s="14">
        <v>1996</v>
      </c>
      <c r="B78" s="41">
        <f>SUM('Medford Data:Boston Data'!B78)</f>
        <v>0</v>
      </c>
      <c r="C78" s="41">
        <f>SUM('Medford Data:Boston Data'!C78)</f>
        <v>0</v>
      </c>
      <c r="D78" s="41">
        <f>SUM('Medford Data:Boston Data'!D78)</f>
        <v>0</v>
      </c>
      <c r="E78" s="41">
        <f>SUM('Medford Data:Boston Data'!E78)</f>
        <v>0</v>
      </c>
      <c r="F78" s="41">
        <f t="shared" si="0"/>
        <v>0</v>
      </c>
      <c r="G78" s="42">
        <v>5695</v>
      </c>
      <c r="H78" s="42">
        <v>636</v>
      </c>
      <c r="I78" s="4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1" ht="13" x14ac:dyDescent="0.3">
      <c r="A79" s="14">
        <v>1997</v>
      </c>
      <c r="B79" s="41">
        <f>SUM('Medford Data:Boston Data'!B79)</f>
        <v>0</v>
      </c>
      <c r="C79" s="41">
        <f>SUM('Medford Data:Boston Data'!C79)</f>
        <v>0</v>
      </c>
      <c r="D79" s="41">
        <f>SUM('Medford Data:Boston Data'!D79)</f>
        <v>0</v>
      </c>
      <c r="E79" s="41">
        <f>SUM('Medford Data:Boston Data'!E79)</f>
        <v>0</v>
      </c>
      <c r="F79" s="41">
        <f t="shared" si="0"/>
        <v>0</v>
      </c>
      <c r="G79" s="42">
        <v>5769</v>
      </c>
      <c r="H79" s="42">
        <v>749</v>
      </c>
      <c r="I79" s="42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1" ht="13" x14ac:dyDescent="0.3">
      <c r="A80" s="14">
        <v>1998</v>
      </c>
      <c r="B80" s="41">
        <f>SUM('Medford Data:Boston Data'!B80)</f>
        <v>3884774</v>
      </c>
      <c r="C80" s="41">
        <f>SUM('Medford Data:Boston Data'!C80)</f>
        <v>2800</v>
      </c>
      <c r="D80" s="41">
        <f>SUM('Medford Data:Boston Data'!D80)</f>
        <v>8157</v>
      </c>
      <c r="E80" s="41">
        <f>SUM('Medford Data:Boston Data'!E80)</f>
        <v>632</v>
      </c>
      <c r="F80" s="41">
        <f t="shared" si="0"/>
        <v>8473</v>
      </c>
      <c r="G80" s="42">
        <v>4999</v>
      </c>
      <c r="H80" s="42">
        <v>752</v>
      </c>
      <c r="I80" s="4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1" ht="13" x14ac:dyDescent="0.3">
      <c r="A81" s="14">
        <v>1999</v>
      </c>
      <c r="B81" s="41">
        <f>SUM('Medford Data:Boston Data'!B81)</f>
        <v>0</v>
      </c>
      <c r="C81" s="41">
        <f>SUM('Medford Data:Boston Data'!C81)</f>
        <v>0</v>
      </c>
      <c r="D81" s="41">
        <f>SUM('Medford Data:Boston Data'!D81)</f>
        <v>0</v>
      </c>
      <c r="E81" s="41">
        <f>SUM('Medford Data:Boston Data'!E81)</f>
        <v>0</v>
      </c>
      <c r="F81" s="41">
        <f t="shared" si="0"/>
        <v>0</v>
      </c>
      <c r="G81" s="42">
        <v>5233</v>
      </c>
      <c r="H81" s="42">
        <v>891</v>
      </c>
      <c r="I81" s="4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1" ht="13" x14ac:dyDescent="0.3">
      <c r="A82" s="14">
        <v>2000</v>
      </c>
      <c r="B82" s="41">
        <f>SUM('Medford Data:Boston Data'!B82)</f>
        <v>0</v>
      </c>
      <c r="C82" s="41">
        <f>SUM('Medford Data:Boston Data'!C82)</f>
        <v>0</v>
      </c>
      <c r="D82" s="41">
        <f>SUM('Medford Data:Boston Data'!D82)</f>
        <v>0</v>
      </c>
      <c r="E82" s="41">
        <f>SUM('Medford Data:Boston Data'!E82)</f>
        <v>0</v>
      </c>
      <c r="F82" s="41">
        <f t="shared" si="0"/>
        <v>0</v>
      </c>
      <c r="G82" s="42"/>
      <c r="H82" s="42"/>
      <c r="I82" s="42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1" ht="13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3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3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3" x14ac:dyDescent="0.3">
      <c r="A86" s="16" t="s">
        <v>103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3" x14ac:dyDescent="0.3">
      <c r="A87" s="16" t="s">
        <v>104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3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3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3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3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3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3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3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3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</sheetData>
  <pageMargins left="0.75" right="0.75" top="1" bottom="1" header="0.5" footer="0.5"/>
  <pageSetup orientation="landscape" horizontalDpi="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95"/>
  <sheetViews>
    <sheetView workbookViewId="0"/>
  </sheetViews>
  <sheetFormatPr defaultRowHeight="12.5" x14ac:dyDescent="0.25"/>
  <cols>
    <col min="1" max="1" width="10.81640625" customWidth="1"/>
    <col min="2" max="2" width="12" customWidth="1"/>
    <col min="3" max="3" width="12.7265625" customWidth="1"/>
    <col min="4" max="4" width="11.81640625" customWidth="1"/>
    <col min="5" max="5" width="11.54296875" customWidth="1"/>
    <col min="6" max="6" width="11.81640625" customWidth="1"/>
    <col min="7" max="7" width="12.81640625" customWidth="1"/>
    <col min="8" max="8" width="13" customWidth="1"/>
    <col min="9" max="9" width="12.453125" customWidth="1"/>
    <col min="10" max="10" width="12.1796875" customWidth="1"/>
    <col min="11" max="11" width="11.7265625" customWidth="1"/>
  </cols>
  <sheetData>
    <row r="1" spans="1:21" ht="15.5" x14ac:dyDescent="0.35">
      <c r="A1" s="1" t="s">
        <v>51</v>
      </c>
      <c r="B1" s="4"/>
      <c r="C1" s="4"/>
      <c r="D1" s="4"/>
      <c r="E1" s="4"/>
      <c r="F1" s="4"/>
      <c r="G1" s="5">
        <f ca="1">NOW()</f>
        <v>43857.445003935187</v>
      </c>
      <c r="H1" s="4"/>
      <c r="I1" s="4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5" x14ac:dyDescent="0.35">
      <c r="A2" s="6" t="s">
        <v>1</v>
      </c>
      <c r="B2" s="7" t="s">
        <v>105</v>
      </c>
      <c r="C2" s="8"/>
      <c r="D2" s="8"/>
      <c r="E2" s="8"/>
      <c r="F2" s="8"/>
      <c r="G2" s="8"/>
      <c r="H2" s="8"/>
      <c r="I2" s="8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5" x14ac:dyDescent="0.35">
      <c r="A3" s="6"/>
      <c r="B3" s="9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5" x14ac:dyDescent="0.35">
      <c r="A4" s="10" t="s">
        <v>106</v>
      </c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5" x14ac:dyDescent="0.35">
      <c r="A5" s="11" t="s">
        <v>3</v>
      </c>
      <c r="B5" s="11"/>
      <c r="C5" s="11"/>
      <c r="D5" s="11"/>
      <c r="E5" s="11"/>
      <c r="F5" s="11"/>
      <c r="G5" s="11"/>
      <c r="H5" s="11" t="s">
        <v>34</v>
      </c>
      <c r="I5" s="11" t="s">
        <v>34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5" x14ac:dyDescent="0.35">
      <c r="A6" s="17"/>
      <c r="B6" s="17" t="s">
        <v>35</v>
      </c>
      <c r="C6" s="17" t="s">
        <v>36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5" x14ac:dyDescent="0.35">
      <c r="A7" s="12"/>
      <c r="B7" s="13" t="s">
        <v>55</v>
      </c>
      <c r="C7" s="13" t="s">
        <v>56</v>
      </c>
      <c r="D7" s="13" t="s">
        <v>57</v>
      </c>
      <c r="E7" s="13" t="s">
        <v>57</v>
      </c>
      <c r="F7" s="13" t="s">
        <v>57</v>
      </c>
      <c r="G7" s="13" t="s">
        <v>107</v>
      </c>
      <c r="H7" s="13" t="s">
        <v>57</v>
      </c>
      <c r="I7" s="13" t="s">
        <v>57</v>
      </c>
      <c r="J7" s="13" t="s">
        <v>57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5" x14ac:dyDescent="0.35">
      <c r="A8" s="14">
        <v>1990</v>
      </c>
      <c r="B8" s="35">
        <v>21807302</v>
      </c>
      <c r="C8" s="35">
        <v>261000</v>
      </c>
      <c r="D8" s="35">
        <v>795000</v>
      </c>
      <c r="E8" s="35">
        <v>343434</v>
      </c>
      <c r="F8" s="35">
        <v>0</v>
      </c>
      <c r="G8" s="35">
        <v>0</v>
      </c>
      <c r="H8" s="35">
        <v>55800</v>
      </c>
      <c r="I8" s="35">
        <v>351000</v>
      </c>
      <c r="J8" s="35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5" x14ac:dyDescent="0.35">
      <c r="A9" s="14">
        <v>1991</v>
      </c>
      <c r="B9" s="35"/>
      <c r="C9" s="35"/>
      <c r="D9" s="35"/>
      <c r="E9" s="35"/>
      <c r="F9" s="35"/>
      <c r="G9" s="35"/>
      <c r="H9" s="35"/>
      <c r="I9" s="35"/>
      <c r="J9" s="35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5" x14ac:dyDescent="0.35">
      <c r="A10" s="14">
        <v>1992</v>
      </c>
      <c r="B10" s="35"/>
      <c r="C10" s="35"/>
      <c r="D10" s="35"/>
      <c r="E10" s="35"/>
      <c r="F10" s="35"/>
      <c r="G10" s="35"/>
      <c r="H10" s="35"/>
      <c r="I10" s="35"/>
      <c r="J10" s="3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5" x14ac:dyDescent="0.35">
      <c r="A11" s="14">
        <v>1993</v>
      </c>
      <c r="B11" s="35"/>
      <c r="C11" s="35"/>
      <c r="D11" s="35"/>
      <c r="E11" s="35"/>
      <c r="F11" s="35"/>
      <c r="G11" s="35"/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5" x14ac:dyDescent="0.35">
      <c r="A12" s="14">
        <v>1994</v>
      </c>
      <c r="B12" s="35"/>
      <c r="C12" s="35"/>
      <c r="D12" s="35"/>
      <c r="E12" s="35"/>
      <c r="F12" s="35"/>
      <c r="G12" s="35"/>
      <c r="H12" s="35"/>
      <c r="I12" s="35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5" x14ac:dyDescent="0.35">
      <c r="A13" s="14">
        <v>1995</v>
      </c>
      <c r="B13" s="35"/>
      <c r="C13" s="35"/>
      <c r="D13" s="35"/>
      <c r="E13" s="35"/>
      <c r="F13" s="35"/>
      <c r="G13" s="35"/>
      <c r="H13" s="35"/>
      <c r="I13" s="35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5" x14ac:dyDescent="0.35">
      <c r="A14" s="14">
        <v>1996</v>
      </c>
      <c r="B14" s="35"/>
      <c r="C14" s="35"/>
      <c r="D14" s="35"/>
      <c r="E14" s="35"/>
      <c r="F14" s="35"/>
      <c r="G14" s="35"/>
      <c r="H14" s="35"/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5" x14ac:dyDescent="0.35">
      <c r="A15" s="14">
        <v>1997</v>
      </c>
      <c r="B15" s="35"/>
      <c r="C15" s="35"/>
      <c r="D15" s="35"/>
      <c r="E15" s="35"/>
      <c r="F15" s="35"/>
      <c r="G15" s="35"/>
      <c r="H15" s="35"/>
      <c r="I15" s="35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5" x14ac:dyDescent="0.35">
      <c r="A16" s="14">
        <v>1998</v>
      </c>
      <c r="B16" s="35">
        <v>29584987</v>
      </c>
      <c r="C16" s="35">
        <v>704470</v>
      </c>
      <c r="D16" s="35">
        <v>676893</v>
      </c>
      <c r="E16" s="35">
        <v>337250</v>
      </c>
      <c r="F16" s="35">
        <v>0</v>
      </c>
      <c r="G16" s="35">
        <v>0</v>
      </c>
      <c r="H16" s="35">
        <v>61852</v>
      </c>
      <c r="I16" s="35">
        <v>349000</v>
      </c>
      <c r="J16" s="35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5" x14ac:dyDescent="0.35">
      <c r="A17" s="14">
        <v>1999</v>
      </c>
      <c r="B17" s="35"/>
      <c r="C17" s="35"/>
      <c r="D17" s="35"/>
      <c r="E17" s="35"/>
      <c r="F17" s="35"/>
      <c r="G17" s="35"/>
      <c r="H17" s="35"/>
      <c r="I17" s="35"/>
      <c r="J17" s="3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5" x14ac:dyDescent="0.35">
      <c r="A18" s="14">
        <v>2000</v>
      </c>
      <c r="B18" s="35"/>
      <c r="C18" s="35"/>
      <c r="D18" s="35"/>
      <c r="E18" s="35"/>
      <c r="F18" s="35"/>
      <c r="G18" s="35"/>
      <c r="H18" s="35"/>
      <c r="I18" s="35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5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5" x14ac:dyDescent="0.35">
      <c r="A21" s="10" t="s">
        <v>108</v>
      </c>
      <c r="B21" s="2"/>
      <c r="C21" s="2"/>
      <c r="D21" s="2"/>
      <c r="E21" s="2"/>
      <c r="F21" s="2"/>
      <c r="G21" s="2"/>
      <c r="H21" s="10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5" x14ac:dyDescent="0.35">
      <c r="A22" s="11"/>
      <c r="B22" s="11" t="s">
        <v>60</v>
      </c>
      <c r="C22" s="11" t="s">
        <v>60</v>
      </c>
      <c r="D22" s="56"/>
      <c r="E22" s="11" t="s">
        <v>61</v>
      </c>
      <c r="F22" s="11" t="s">
        <v>61</v>
      </c>
      <c r="G22" s="11"/>
      <c r="H22" s="11"/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5" x14ac:dyDescent="0.35">
      <c r="A23" s="17" t="s">
        <v>3</v>
      </c>
      <c r="B23" s="17" t="s">
        <v>62</v>
      </c>
      <c r="C23" s="17" t="s">
        <v>35</v>
      </c>
      <c r="D23" s="57" t="s">
        <v>63</v>
      </c>
      <c r="E23" s="17" t="s">
        <v>64</v>
      </c>
      <c r="F23" s="17" t="s">
        <v>65</v>
      </c>
      <c r="G23" s="17"/>
      <c r="H23" s="17"/>
      <c r="I23" s="17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5" x14ac:dyDescent="0.35">
      <c r="A24" s="12"/>
      <c r="B24" s="13" t="s">
        <v>66</v>
      </c>
      <c r="C24" s="13" t="s">
        <v>67</v>
      </c>
      <c r="D24" s="13"/>
      <c r="E24" s="13" t="s">
        <v>68</v>
      </c>
      <c r="F24" s="13" t="s">
        <v>68</v>
      </c>
      <c r="G24" s="13"/>
      <c r="H24" s="13"/>
      <c r="I24" s="15"/>
      <c r="J24" s="1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5" x14ac:dyDescent="0.35">
      <c r="A25" s="14">
        <v>1990</v>
      </c>
      <c r="B25" s="35"/>
      <c r="C25" s="35">
        <v>3400</v>
      </c>
      <c r="D25" s="35"/>
      <c r="E25" s="35"/>
      <c r="F25" s="35"/>
      <c r="G25" s="35"/>
      <c r="H25" s="35"/>
      <c r="I25" s="35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5" x14ac:dyDescent="0.35">
      <c r="A26" s="14">
        <v>1991</v>
      </c>
      <c r="B26" s="35"/>
      <c r="C26" s="35"/>
      <c r="D26" s="35"/>
      <c r="E26" s="35"/>
      <c r="F26" s="35"/>
      <c r="G26" s="35"/>
      <c r="H26" s="35"/>
      <c r="I26" s="35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5" x14ac:dyDescent="0.35">
      <c r="A27" s="14">
        <v>1992</v>
      </c>
      <c r="B27" s="35"/>
      <c r="C27" s="35"/>
      <c r="D27" s="35"/>
      <c r="E27" s="35"/>
      <c r="F27" s="35"/>
      <c r="G27" s="35"/>
      <c r="H27" s="35"/>
      <c r="I27" s="35"/>
      <c r="J27" s="3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5" x14ac:dyDescent="0.35">
      <c r="A28" s="14">
        <v>1993</v>
      </c>
      <c r="B28" s="35"/>
      <c r="C28" s="35"/>
      <c r="D28" s="35"/>
      <c r="E28" s="35"/>
      <c r="F28" s="35"/>
      <c r="G28" s="35"/>
      <c r="H28" s="35"/>
      <c r="I28" s="35"/>
      <c r="J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5" x14ac:dyDescent="0.35">
      <c r="A29" s="14">
        <v>1994</v>
      </c>
      <c r="B29" s="35"/>
      <c r="C29" s="35"/>
      <c r="D29" s="35"/>
      <c r="E29" s="35"/>
      <c r="F29" s="35"/>
      <c r="G29" s="35"/>
      <c r="H29" s="35"/>
      <c r="I29" s="35"/>
      <c r="J29" s="3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5" x14ac:dyDescent="0.35">
      <c r="A30" s="14">
        <v>1995</v>
      </c>
      <c r="B30" s="35"/>
      <c r="C30" s="35"/>
      <c r="D30" s="35"/>
      <c r="E30" s="35"/>
      <c r="F30" s="35"/>
      <c r="G30" s="35"/>
      <c r="H30" s="35"/>
      <c r="I30" s="35"/>
      <c r="J30" s="3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5" x14ac:dyDescent="0.35">
      <c r="A31" s="14">
        <v>1996</v>
      </c>
      <c r="B31" s="35"/>
      <c r="C31" s="35"/>
      <c r="D31" s="35"/>
      <c r="E31" s="35"/>
      <c r="F31" s="35"/>
      <c r="G31" s="35"/>
      <c r="H31" s="35"/>
      <c r="I31" s="35"/>
      <c r="J31" s="3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5" x14ac:dyDescent="0.35">
      <c r="A32" s="14">
        <v>1997</v>
      </c>
      <c r="B32" s="35"/>
      <c r="C32" s="35"/>
      <c r="D32" s="35"/>
      <c r="E32" s="35"/>
      <c r="F32" s="35"/>
      <c r="G32" s="35"/>
      <c r="H32" s="35"/>
      <c r="I32" s="35"/>
      <c r="J32" s="3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5" x14ac:dyDescent="0.35">
      <c r="A33" s="14">
        <v>1998</v>
      </c>
      <c r="B33" s="35"/>
      <c r="C33" s="35">
        <v>4000</v>
      </c>
      <c r="D33" s="35"/>
      <c r="E33" s="35">
        <v>50</v>
      </c>
      <c r="F33" s="35"/>
      <c r="G33" s="35"/>
      <c r="H33" s="35"/>
      <c r="I33" s="35"/>
      <c r="J33" s="3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5" x14ac:dyDescent="0.35">
      <c r="A34" s="14">
        <v>1999</v>
      </c>
      <c r="B34" s="35"/>
      <c r="C34" s="35"/>
      <c r="D34" s="35"/>
      <c r="E34" s="35"/>
      <c r="F34" s="35"/>
      <c r="G34" s="35"/>
      <c r="H34" s="35"/>
      <c r="I34" s="35"/>
      <c r="J34" s="3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5" x14ac:dyDescent="0.35">
      <c r="A35" s="14">
        <v>2000</v>
      </c>
      <c r="B35" s="35"/>
      <c r="C35" s="35"/>
      <c r="D35" s="35"/>
      <c r="E35" s="35"/>
      <c r="F35" s="35"/>
      <c r="G35" s="35"/>
      <c r="H35" s="35"/>
      <c r="I35" s="35"/>
      <c r="J35" s="3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5" x14ac:dyDescent="0.35">
      <c r="A38" s="10" t="s">
        <v>109</v>
      </c>
      <c r="B38" s="2"/>
      <c r="C38" s="2"/>
      <c r="D38" s="2"/>
      <c r="E38" s="2"/>
      <c r="F38" s="2"/>
      <c r="G38" s="2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5" x14ac:dyDescent="0.35">
      <c r="A39" s="11" t="s">
        <v>3</v>
      </c>
      <c r="B39" s="11" t="s">
        <v>70</v>
      </c>
      <c r="C39" s="11" t="s">
        <v>71</v>
      </c>
      <c r="D39" s="11" t="s">
        <v>72</v>
      </c>
      <c r="E39" s="11" t="s">
        <v>73</v>
      </c>
      <c r="F39" s="11" t="s">
        <v>74</v>
      </c>
      <c r="G39" s="11" t="s">
        <v>75</v>
      </c>
      <c r="H39" s="11" t="s">
        <v>76</v>
      </c>
      <c r="I39" s="11" t="s">
        <v>77</v>
      </c>
      <c r="J39" s="11" t="s">
        <v>78</v>
      </c>
      <c r="K39" s="11" t="s">
        <v>79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5" x14ac:dyDescent="0.35">
      <c r="A40" s="12"/>
      <c r="B40" s="15"/>
      <c r="C40" s="13" t="s">
        <v>80</v>
      </c>
      <c r="D40" s="13" t="s">
        <v>80</v>
      </c>
      <c r="E40" s="13" t="s">
        <v>81</v>
      </c>
      <c r="F40" s="13" t="s">
        <v>82</v>
      </c>
      <c r="G40" s="13"/>
      <c r="H40" s="15"/>
      <c r="I40" s="15"/>
      <c r="J40" s="15"/>
      <c r="K40" s="13" t="s">
        <v>83</v>
      </c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 x14ac:dyDescent="0.35">
      <c r="A41" s="14">
        <v>1990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 x14ac:dyDescent="0.35">
      <c r="A42" s="14">
        <v>1991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 x14ac:dyDescent="0.35">
      <c r="A43" s="14">
        <v>1992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 x14ac:dyDescent="0.35">
      <c r="A44" s="14">
        <v>1993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35">
      <c r="A45" s="14">
        <v>1994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3">
      <c r="A46" s="14">
        <v>1995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5.75" customHeight="1" x14ac:dyDescent="0.3">
      <c r="A47" s="14">
        <v>1996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5.75" customHeight="1" x14ac:dyDescent="0.3">
      <c r="A48" s="14">
        <v>1997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2" ht="15.75" customHeight="1" x14ac:dyDescent="0.3">
      <c r="A49" s="14">
        <v>1998</v>
      </c>
      <c r="B49" s="35"/>
      <c r="C49" s="35"/>
      <c r="D49" s="35">
        <v>275</v>
      </c>
      <c r="E49" s="35">
        <v>70</v>
      </c>
      <c r="F49" s="35"/>
      <c r="G49" s="35"/>
      <c r="H49" s="35">
        <v>45</v>
      </c>
      <c r="I49" s="35"/>
      <c r="J49" s="35"/>
      <c r="K49" s="35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2" ht="15.75" customHeight="1" x14ac:dyDescent="0.3">
      <c r="A50" s="14">
        <v>1999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2" ht="15.75" customHeight="1" x14ac:dyDescent="0.3">
      <c r="A51" s="14">
        <v>2000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2" ht="1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2" ht="15.5" x14ac:dyDescent="0.35">
      <c r="A53" s="10" t="s">
        <v>110</v>
      </c>
      <c r="B53" s="2"/>
      <c r="C53" s="2"/>
      <c r="D53" s="10"/>
      <c r="E53" s="2"/>
      <c r="F53" s="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2" ht="13" x14ac:dyDescent="0.3">
      <c r="A54" s="11"/>
      <c r="B54" s="11" t="s">
        <v>85</v>
      </c>
      <c r="C54" s="11" t="s">
        <v>86</v>
      </c>
      <c r="D54" s="11"/>
      <c r="E54" s="11"/>
      <c r="F54" s="11"/>
      <c r="G54" s="11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2" ht="13" x14ac:dyDescent="0.3">
      <c r="A55" s="17" t="s">
        <v>3</v>
      </c>
      <c r="B55" s="17" t="s">
        <v>87</v>
      </c>
      <c r="C55" s="17" t="s">
        <v>87</v>
      </c>
      <c r="D55" s="17" t="s">
        <v>88</v>
      </c>
      <c r="E55" s="17" t="s">
        <v>89</v>
      </c>
      <c r="F55" s="17" t="s">
        <v>90</v>
      </c>
      <c r="G55" s="17" t="s">
        <v>91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ht="13" x14ac:dyDescent="0.3">
      <c r="A56" s="12"/>
      <c r="B56" s="13"/>
      <c r="C56" s="15"/>
      <c r="D56" s="15"/>
      <c r="E56" s="13"/>
      <c r="F56" s="15"/>
      <c r="G56" s="1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ht="15.75" customHeight="1" x14ac:dyDescent="0.3">
      <c r="A57" s="14">
        <v>1990</v>
      </c>
      <c r="B57" s="35">
        <v>0</v>
      </c>
      <c r="C57" s="35">
        <v>0</v>
      </c>
      <c r="D57" s="35">
        <v>0</v>
      </c>
      <c r="E57" s="35">
        <v>0</v>
      </c>
      <c r="F57" s="35">
        <v>0</v>
      </c>
      <c r="G57" s="35">
        <v>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ht="15.75" customHeight="1" x14ac:dyDescent="0.3">
      <c r="A58" s="14">
        <v>1991</v>
      </c>
      <c r="B58" s="35"/>
      <c r="C58" s="35"/>
      <c r="D58" s="35"/>
      <c r="E58" s="35"/>
      <c r="F58" s="35"/>
      <c r="G58" s="3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ht="15.75" customHeight="1" x14ac:dyDescent="0.3">
      <c r="A59" s="14">
        <v>1992</v>
      </c>
      <c r="B59" s="35"/>
      <c r="C59" s="35"/>
      <c r="D59" s="35"/>
      <c r="E59" s="35"/>
      <c r="F59" s="35"/>
      <c r="G59" s="35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ht="15.75" customHeight="1" x14ac:dyDescent="0.3">
      <c r="A60" s="14">
        <v>1993</v>
      </c>
      <c r="B60" s="35"/>
      <c r="C60" s="35"/>
      <c r="D60" s="35"/>
      <c r="E60" s="35"/>
      <c r="F60" s="35"/>
      <c r="G60" s="35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ht="15.75" customHeight="1" x14ac:dyDescent="0.3">
      <c r="A61" s="14">
        <v>1994</v>
      </c>
      <c r="B61" s="35"/>
      <c r="C61" s="35"/>
      <c r="D61" s="35"/>
      <c r="E61" s="35"/>
      <c r="F61" s="35"/>
      <c r="G61" s="35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ht="15.75" customHeight="1" x14ac:dyDescent="0.3">
      <c r="A62" s="14">
        <v>1995</v>
      </c>
      <c r="B62" s="35"/>
      <c r="C62" s="35"/>
      <c r="D62" s="35"/>
      <c r="E62" s="35"/>
      <c r="F62" s="35"/>
      <c r="G62" s="3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2" ht="15.75" customHeight="1" x14ac:dyDescent="0.3">
      <c r="A63" s="14">
        <v>1996</v>
      </c>
      <c r="B63" s="35"/>
      <c r="C63" s="35"/>
      <c r="D63" s="35"/>
      <c r="E63" s="35"/>
      <c r="F63" s="35"/>
      <c r="G63" s="35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spans="1:22" ht="15.75" customHeight="1" x14ac:dyDescent="0.3">
      <c r="A64" s="14">
        <v>1997</v>
      </c>
      <c r="B64" s="35"/>
      <c r="C64" s="35"/>
      <c r="D64" s="35"/>
      <c r="E64" s="35"/>
      <c r="F64" s="35"/>
      <c r="G64" s="3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spans="1:22" ht="15.75" customHeight="1" x14ac:dyDescent="0.3">
      <c r="A65" s="14">
        <v>1998</v>
      </c>
      <c r="B65" s="35">
        <v>0</v>
      </c>
      <c r="C65" s="35">
        <v>0</v>
      </c>
      <c r="D65" s="35">
        <v>0</v>
      </c>
      <c r="E65" s="35">
        <v>0</v>
      </c>
      <c r="F65" s="35">
        <v>0</v>
      </c>
      <c r="G65" s="35">
        <v>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spans="1:22" ht="15.75" customHeight="1" x14ac:dyDescent="0.3">
      <c r="A66" s="14">
        <v>1999</v>
      </c>
      <c r="B66" s="35"/>
      <c r="C66" s="35"/>
      <c r="D66" s="35"/>
      <c r="E66" s="35"/>
      <c r="F66" s="35"/>
      <c r="G66" s="3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spans="1:22" ht="15.75" customHeight="1" x14ac:dyDescent="0.3">
      <c r="A67" s="14">
        <v>2000</v>
      </c>
      <c r="B67" s="35"/>
      <c r="C67" s="35"/>
      <c r="D67" s="35"/>
      <c r="E67" s="35"/>
      <c r="F67" s="35"/>
      <c r="G67" s="3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spans="1:22" ht="1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2" ht="15.5" x14ac:dyDescent="0.35">
      <c r="A69" s="10" t="s">
        <v>111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2" ht="13" x14ac:dyDescent="0.3">
      <c r="A70" s="11" t="s">
        <v>3</v>
      </c>
      <c r="B70" s="11" t="s">
        <v>93</v>
      </c>
      <c r="C70" s="11"/>
      <c r="D70" s="11" t="s">
        <v>94</v>
      </c>
      <c r="E70" s="11" t="s">
        <v>95</v>
      </c>
      <c r="F70" s="11"/>
      <c r="G70" s="11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2" ht="13" x14ac:dyDescent="0.3">
      <c r="A71" s="12"/>
      <c r="B71" s="13" t="s">
        <v>98</v>
      </c>
      <c r="C71" s="13" t="s">
        <v>99</v>
      </c>
      <c r="D71" s="13" t="s">
        <v>100</v>
      </c>
      <c r="E71" s="13" t="s">
        <v>100</v>
      </c>
      <c r="F71" s="15"/>
      <c r="G71" s="15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2" ht="13" x14ac:dyDescent="0.3">
      <c r="A72" s="14">
        <v>1990</v>
      </c>
      <c r="B72" s="35">
        <v>2357754</v>
      </c>
      <c r="C72" s="35">
        <v>2000</v>
      </c>
      <c r="D72" s="35">
        <v>5831</v>
      </c>
      <c r="E72" s="3">
        <v>900</v>
      </c>
      <c r="F72" s="3"/>
      <c r="G72" s="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2" ht="13" x14ac:dyDescent="0.3">
      <c r="A73" s="14">
        <v>1991</v>
      </c>
      <c r="B73" s="35"/>
      <c r="C73" s="35"/>
      <c r="D73" s="35"/>
      <c r="E73" s="3"/>
      <c r="F73" s="3"/>
      <c r="G73" s="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2" ht="13" x14ac:dyDescent="0.3">
      <c r="A74" s="14">
        <v>1992</v>
      </c>
      <c r="B74" s="35"/>
      <c r="C74" s="35"/>
      <c r="D74" s="35"/>
      <c r="E74" s="3"/>
      <c r="F74" s="3"/>
      <c r="G74" s="3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2" ht="13" x14ac:dyDescent="0.3">
      <c r="A75" s="14">
        <v>1993</v>
      </c>
      <c r="B75" s="35"/>
      <c r="C75" s="35"/>
      <c r="D75" s="35"/>
      <c r="E75" s="3"/>
      <c r="F75" s="3"/>
      <c r="G75" s="3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2" ht="13" x14ac:dyDescent="0.3">
      <c r="A76" s="14">
        <v>1994</v>
      </c>
      <c r="B76" s="35"/>
      <c r="C76" s="35"/>
      <c r="D76" s="35"/>
      <c r="E76" s="3"/>
      <c r="F76" s="3"/>
      <c r="G76" s="3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2" ht="13" x14ac:dyDescent="0.3">
      <c r="A77" s="14">
        <v>1995</v>
      </c>
      <c r="B77" s="35"/>
      <c r="C77" s="35"/>
      <c r="D77" s="35"/>
      <c r="E77" s="3"/>
      <c r="F77" s="3"/>
      <c r="G77" s="3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2" ht="13" x14ac:dyDescent="0.3">
      <c r="A78" s="14">
        <v>1996</v>
      </c>
      <c r="B78" s="35"/>
      <c r="C78" s="35"/>
      <c r="D78" s="35"/>
      <c r="E78" s="3"/>
      <c r="F78" s="3"/>
      <c r="G78" s="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2" ht="13" x14ac:dyDescent="0.3">
      <c r="A79" s="14">
        <v>1997</v>
      </c>
      <c r="B79" s="35"/>
      <c r="C79" s="35"/>
      <c r="D79" s="35"/>
      <c r="E79" s="3"/>
      <c r="F79" s="3"/>
      <c r="G79" s="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2" ht="13" x14ac:dyDescent="0.3">
      <c r="A80" s="14">
        <v>1998</v>
      </c>
      <c r="B80" s="35">
        <v>2558229</v>
      </c>
      <c r="C80" s="35">
        <v>2000</v>
      </c>
      <c r="D80" s="35">
        <v>6256</v>
      </c>
      <c r="E80" s="3">
        <v>597</v>
      </c>
      <c r="F80" s="3"/>
      <c r="G80" s="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ht="13" x14ac:dyDescent="0.3">
      <c r="A81" s="14">
        <v>1999</v>
      </c>
      <c r="B81" s="35"/>
      <c r="C81" s="35"/>
      <c r="D81" s="35"/>
      <c r="E81" s="3"/>
      <c r="F81" s="3"/>
      <c r="G81" s="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ht="13" x14ac:dyDescent="0.3">
      <c r="A82" s="14">
        <v>2000</v>
      </c>
      <c r="B82" s="35"/>
      <c r="C82" s="35"/>
      <c r="D82" s="35"/>
      <c r="E82" s="3"/>
      <c r="F82" s="3"/>
      <c r="G82" s="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ht="13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3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3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3" x14ac:dyDescent="0.3">
      <c r="A86" s="16" t="s">
        <v>103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3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3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3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3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3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3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3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3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3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</sheetData>
  <pageMargins left="0.75" right="0.75" top="1" bottom="1" header="0.5" footer="0.5"/>
  <pageSetup orientation="landscape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95"/>
  <sheetViews>
    <sheetView workbookViewId="0"/>
  </sheetViews>
  <sheetFormatPr defaultRowHeight="12.5" x14ac:dyDescent="0.25"/>
  <cols>
    <col min="1" max="1" width="10.81640625" customWidth="1"/>
    <col min="2" max="3" width="12.7265625" customWidth="1"/>
    <col min="4" max="4" width="11.81640625" customWidth="1"/>
    <col min="5" max="5" width="11.54296875" customWidth="1"/>
    <col min="6" max="6" width="12.54296875" customWidth="1"/>
    <col min="7" max="7" width="14.54296875" customWidth="1"/>
    <col min="8" max="8" width="11.453125" customWidth="1"/>
    <col min="9" max="9" width="10.7265625" customWidth="1"/>
    <col min="10" max="10" width="12.1796875" customWidth="1"/>
  </cols>
  <sheetData>
    <row r="1" spans="1:22" ht="15.5" x14ac:dyDescent="0.35">
      <c r="A1" s="1" t="s">
        <v>51</v>
      </c>
      <c r="B1" s="4"/>
      <c r="C1" s="4"/>
      <c r="D1" s="4"/>
      <c r="E1" s="4"/>
      <c r="F1" s="4"/>
      <c r="G1" s="5">
        <f ca="1">NOW()</f>
        <v>43857.445003935187</v>
      </c>
      <c r="H1" s="4"/>
      <c r="I1" s="4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15.5" x14ac:dyDescent="0.35">
      <c r="A2" s="6" t="s">
        <v>1</v>
      </c>
      <c r="B2" s="7" t="s">
        <v>112</v>
      </c>
      <c r="C2" s="8"/>
      <c r="D2" s="8"/>
      <c r="E2" s="8"/>
      <c r="F2" s="8"/>
      <c r="G2" s="8"/>
      <c r="H2" s="8"/>
      <c r="I2" s="8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ht="15.5" x14ac:dyDescent="0.35">
      <c r="A3" s="6"/>
      <c r="B3" s="9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ht="15.5" x14ac:dyDescent="0.35">
      <c r="A4" s="10" t="s">
        <v>106</v>
      </c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ht="15.5" x14ac:dyDescent="0.35">
      <c r="A5" s="11" t="s">
        <v>3</v>
      </c>
      <c r="B5" s="11"/>
      <c r="C5" s="11"/>
      <c r="D5" s="11"/>
      <c r="E5" s="11"/>
      <c r="F5" s="11"/>
      <c r="G5" s="11"/>
      <c r="H5" s="11" t="s">
        <v>34</v>
      </c>
      <c r="I5" s="11" t="s">
        <v>34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5" x14ac:dyDescent="0.35">
      <c r="A6" s="17"/>
      <c r="B6" s="17" t="s">
        <v>35</v>
      </c>
      <c r="C6" s="17" t="s">
        <v>36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5" x14ac:dyDescent="0.35">
      <c r="A7" s="12"/>
      <c r="B7" s="13" t="s">
        <v>55</v>
      </c>
      <c r="C7" s="13" t="s">
        <v>56</v>
      </c>
      <c r="D7" s="13" t="s">
        <v>57</v>
      </c>
      <c r="E7" s="13" t="s">
        <v>57</v>
      </c>
      <c r="F7" s="13" t="s">
        <v>57</v>
      </c>
      <c r="G7" s="13" t="s">
        <v>107</v>
      </c>
      <c r="H7" s="13" t="s">
        <v>57</v>
      </c>
      <c r="I7" s="13" t="s">
        <v>57</v>
      </c>
      <c r="J7" s="13" t="s">
        <v>57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5" x14ac:dyDescent="0.35">
      <c r="A8" s="14">
        <v>1990</v>
      </c>
      <c r="B8" s="35">
        <v>3097552</v>
      </c>
      <c r="C8" s="35">
        <v>16582</v>
      </c>
      <c r="D8" s="35">
        <v>0</v>
      </c>
      <c r="E8" s="35">
        <v>101436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5" x14ac:dyDescent="0.35">
      <c r="A9" s="14">
        <v>1991</v>
      </c>
      <c r="B9" s="35"/>
      <c r="C9" s="35"/>
      <c r="D9" s="35"/>
      <c r="E9" s="35"/>
      <c r="F9" s="35"/>
      <c r="G9" s="35"/>
      <c r="H9" s="35"/>
      <c r="I9" s="35"/>
      <c r="J9" s="3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5" x14ac:dyDescent="0.35">
      <c r="A10" s="14">
        <v>1992</v>
      </c>
      <c r="B10" s="35"/>
      <c r="C10" s="35"/>
      <c r="D10" s="35"/>
      <c r="E10" s="35"/>
      <c r="F10" s="35"/>
      <c r="G10" s="35"/>
      <c r="H10" s="35"/>
      <c r="I10" s="35"/>
      <c r="J10" s="3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5" x14ac:dyDescent="0.35">
      <c r="A11" s="14">
        <v>1993</v>
      </c>
      <c r="B11" s="35"/>
      <c r="C11" s="35"/>
      <c r="D11" s="35"/>
      <c r="E11" s="35"/>
      <c r="F11" s="35"/>
      <c r="G11" s="35"/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5" x14ac:dyDescent="0.35">
      <c r="A12" s="14">
        <v>1994</v>
      </c>
      <c r="B12" s="35"/>
      <c r="C12" s="35"/>
      <c r="D12" s="35"/>
      <c r="E12" s="35"/>
      <c r="F12" s="35"/>
      <c r="G12" s="35"/>
      <c r="H12" s="35"/>
      <c r="I12" s="35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5" x14ac:dyDescent="0.35">
      <c r="A13" s="14">
        <v>1995</v>
      </c>
      <c r="B13" s="35"/>
      <c r="C13" s="35"/>
      <c r="D13" s="35"/>
      <c r="E13" s="35"/>
      <c r="F13" s="35"/>
      <c r="G13" s="35"/>
      <c r="H13" s="35"/>
      <c r="I13" s="35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5" x14ac:dyDescent="0.35">
      <c r="A14" s="14">
        <v>1996</v>
      </c>
      <c r="B14" s="35"/>
      <c r="C14" s="35"/>
      <c r="D14" s="35"/>
      <c r="E14" s="35"/>
      <c r="F14" s="35"/>
      <c r="G14" s="35"/>
      <c r="H14" s="35"/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5" x14ac:dyDescent="0.35">
      <c r="A15" s="14">
        <v>1997</v>
      </c>
      <c r="B15" s="35"/>
      <c r="C15" s="35"/>
      <c r="D15" s="35"/>
      <c r="E15" s="35"/>
      <c r="F15" s="35"/>
      <c r="G15" s="35"/>
      <c r="H15" s="35"/>
      <c r="I15" s="35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5" x14ac:dyDescent="0.35">
      <c r="A16" s="14">
        <v>1998</v>
      </c>
      <c r="B16" s="35">
        <v>5751319</v>
      </c>
      <c r="C16" s="35">
        <v>114013</v>
      </c>
      <c r="D16" s="35">
        <v>0</v>
      </c>
      <c r="E16" s="35">
        <v>112990</v>
      </c>
      <c r="F16" s="35">
        <v>13346</v>
      </c>
      <c r="G16" s="35">
        <v>0</v>
      </c>
      <c r="H16" s="35">
        <v>0</v>
      </c>
      <c r="I16" s="35">
        <v>0</v>
      </c>
      <c r="J16" s="35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5" x14ac:dyDescent="0.35">
      <c r="A17" s="14">
        <v>1999</v>
      </c>
      <c r="B17" s="35"/>
      <c r="C17" s="35"/>
      <c r="D17" s="35"/>
      <c r="E17" s="35"/>
      <c r="F17" s="35"/>
      <c r="G17" s="35"/>
      <c r="H17" s="35"/>
      <c r="I17" s="35"/>
      <c r="J17" s="3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5" x14ac:dyDescent="0.35">
      <c r="A18" s="14">
        <v>2000</v>
      </c>
      <c r="B18" s="35"/>
      <c r="C18" s="35"/>
      <c r="D18" s="35"/>
      <c r="E18" s="35"/>
      <c r="F18" s="35"/>
      <c r="G18" s="35"/>
      <c r="H18" s="35"/>
      <c r="I18" s="35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5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2" ht="15.5" x14ac:dyDescent="0.35">
      <c r="A21" s="10" t="s">
        <v>108</v>
      </c>
      <c r="B21" s="2"/>
      <c r="C21" s="2"/>
      <c r="D21" s="2"/>
      <c r="E21" s="2"/>
      <c r="F21" s="2"/>
      <c r="G21" s="2"/>
      <c r="H21" s="10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2" ht="15.5" x14ac:dyDescent="0.35">
      <c r="A22" s="11"/>
      <c r="B22" s="11" t="s">
        <v>60</v>
      </c>
      <c r="C22" s="11" t="s">
        <v>60</v>
      </c>
      <c r="D22" s="56"/>
      <c r="E22" s="11" t="s">
        <v>61</v>
      </c>
      <c r="F22" s="11" t="s">
        <v>61</v>
      </c>
      <c r="G22" s="11"/>
      <c r="H22" s="11"/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2" ht="15.5" x14ac:dyDescent="0.35">
      <c r="A23" s="17" t="s">
        <v>3</v>
      </c>
      <c r="B23" s="17" t="s">
        <v>62</v>
      </c>
      <c r="C23" s="17" t="s">
        <v>35</v>
      </c>
      <c r="D23" s="57" t="s">
        <v>63</v>
      </c>
      <c r="E23" s="17" t="s">
        <v>64</v>
      </c>
      <c r="F23" s="17" t="s">
        <v>65</v>
      </c>
      <c r="G23" s="17"/>
      <c r="H23" s="17"/>
      <c r="I23" s="17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2" ht="15.5" x14ac:dyDescent="0.35">
      <c r="A24" s="12"/>
      <c r="B24" s="13" t="s">
        <v>66</v>
      </c>
      <c r="C24" s="13" t="s">
        <v>67</v>
      </c>
      <c r="D24" s="13"/>
      <c r="E24" s="13" t="s">
        <v>68</v>
      </c>
      <c r="F24" s="13" t="s">
        <v>68</v>
      </c>
      <c r="G24" s="13"/>
      <c r="H24" s="13"/>
      <c r="I24" s="15"/>
      <c r="J24" s="1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" ht="15.5" x14ac:dyDescent="0.35">
      <c r="A25" s="14">
        <v>1990</v>
      </c>
      <c r="B25" s="35"/>
      <c r="C25" s="35"/>
      <c r="D25" s="35">
        <v>70</v>
      </c>
      <c r="E25" s="35"/>
      <c r="F25" s="35"/>
      <c r="G25" s="35"/>
      <c r="H25" s="35"/>
      <c r="I25" s="35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" ht="15.5" x14ac:dyDescent="0.35">
      <c r="A26" s="14">
        <v>1991</v>
      </c>
      <c r="B26" s="35"/>
      <c r="C26" s="35"/>
      <c r="D26" s="35"/>
      <c r="E26" s="35"/>
      <c r="F26" s="35"/>
      <c r="G26" s="35"/>
      <c r="H26" s="35"/>
      <c r="I26" s="35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2" ht="15.5" x14ac:dyDescent="0.35">
      <c r="A27" s="14">
        <v>1992</v>
      </c>
      <c r="B27" s="35"/>
      <c r="C27" s="35"/>
      <c r="D27" s="35"/>
      <c r="E27" s="35"/>
      <c r="F27" s="35"/>
      <c r="G27" s="35"/>
      <c r="H27" s="35"/>
      <c r="I27" s="35"/>
      <c r="J27" s="3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2" ht="15.5" x14ac:dyDescent="0.35">
      <c r="A28" s="14">
        <v>1993</v>
      </c>
      <c r="B28" s="35"/>
      <c r="C28" s="35"/>
      <c r="D28" s="35"/>
      <c r="E28" s="35"/>
      <c r="F28" s="35"/>
      <c r="G28" s="35"/>
      <c r="H28" s="35"/>
      <c r="I28" s="35"/>
      <c r="J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2" ht="15.5" x14ac:dyDescent="0.35">
      <c r="A29" s="14">
        <v>1994</v>
      </c>
      <c r="B29" s="35"/>
      <c r="C29" s="35"/>
      <c r="D29" s="35"/>
      <c r="E29" s="35"/>
      <c r="F29" s="35"/>
      <c r="G29" s="35"/>
      <c r="H29" s="35"/>
      <c r="I29" s="35"/>
      <c r="J29" s="3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2" ht="15.5" x14ac:dyDescent="0.35">
      <c r="A30" s="14">
        <v>1995</v>
      </c>
      <c r="B30" s="35"/>
      <c r="C30" s="35"/>
      <c r="D30" s="35"/>
      <c r="E30" s="35"/>
      <c r="F30" s="35"/>
      <c r="G30" s="35"/>
      <c r="H30" s="35"/>
      <c r="I30" s="35"/>
      <c r="J30" s="3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2" ht="15.5" x14ac:dyDescent="0.35">
      <c r="A31" s="14">
        <v>1996</v>
      </c>
      <c r="B31" s="35"/>
      <c r="C31" s="35"/>
      <c r="D31" s="35"/>
      <c r="E31" s="35"/>
      <c r="F31" s="35"/>
      <c r="G31" s="35"/>
      <c r="H31" s="35"/>
      <c r="I31" s="35"/>
      <c r="J31" s="3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2" ht="15.5" x14ac:dyDescent="0.35">
      <c r="A32" s="14">
        <v>1997</v>
      </c>
      <c r="B32" s="35"/>
      <c r="C32" s="35"/>
      <c r="D32" s="35"/>
      <c r="E32" s="35"/>
      <c r="F32" s="35"/>
      <c r="G32" s="35"/>
      <c r="H32" s="35"/>
      <c r="I32" s="35"/>
      <c r="J32" s="3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5" x14ac:dyDescent="0.35">
      <c r="A33" s="14">
        <v>1998</v>
      </c>
      <c r="B33" s="35"/>
      <c r="C33" s="35"/>
      <c r="D33" s="35">
        <v>500</v>
      </c>
      <c r="E33" s="35"/>
      <c r="F33" s="35"/>
      <c r="G33" s="35"/>
      <c r="H33" s="35"/>
      <c r="I33" s="35"/>
      <c r="J33" s="3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5" x14ac:dyDescent="0.35">
      <c r="A34" s="14">
        <v>1999</v>
      </c>
      <c r="B34" s="35"/>
      <c r="C34" s="35"/>
      <c r="D34" s="35"/>
      <c r="E34" s="35"/>
      <c r="F34" s="35"/>
      <c r="G34" s="35"/>
      <c r="H34" s="35"/>
      <c r="I34" s="35"/>
      <c r="J34" s="3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5" x14ac:dyDescent="0.35">
      <c r="A35" s="14">
        <v>2000</v>
      </c>
      <c r="B35" s="35"/>
      <c r="C35" s="35"/>
      <c r="D35" s="35"/>
      <c r="E35" s="35"/>
      <c r="F35" s="35"/>
      <c r="G35" s="35"/>
      <c r="H35" s="35"/>
      <c r="I35" s="35"/>
      <c r="J35" s="3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5" x14ac:dyDescent="0.35">
      <c r="A38" s="10" t="s">
        <v>109</v>
      </c>
      <c r="B38" s="2"/>
      <c r="C38" s="2"/>
      <c r="D38" s="2"/>
      <c r="E38" s="2"/>
      <c r="F38" s="2"/>
      <c r="G38" s="2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5" x14ac:dyDescent="0.35">
      <c r="A39" s="11" t="s">
        <v>3</v>
      </c>
      <c r="B39" s="11" t="s">
        <v>70</v>
      </c>
      <c r="C39" s="11" t="s">
        <v>71</v>
      </c>
      <c r="D39" s="11" t="s">
        <v>72</v>
      </c>
      <c r="E39" s="11" t="s">
        <v>73</v>
      </c>
      <c r="F39" s="11" t="s">
        <v>74</v>
      </c>
      <c r="G39" s="11" t="s">
        <v>75</v>
      </c>
      <c r="H39" s="11" t="s">
        <v>76</v>
      </c>
      <c r="I39" s="11" t="s">
        <v>77</v>
      </c>
      <c r="J39" s="11" t="s">
        <v>78</v>
      </c>
      <c r="K39" s="11" t="s">
        <v>79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5" x14ac:dyDescent="0.35">
      <c r="A40" s="12"/>
      <c r="B40" s="15"/>
      <c r="C40" s="13" t="s">
        <v>80</v>
      </c>
      <c r="D40" s="13" t="s">
        <v>80</v>
      </c>
      <c r="E40" s="13" t="s">
        <v>81</v>
      </c>
      <c r="F40" s="13" t="s">
        <v>82</v>
      </c>
      <c r="G40" s="13"/>
      <c r="H40" s="15"/>
      <c r="I40" s="15"/>
      <c r="J40" s="15"/>
      <c r="K40" s="13" t="s">
        <v>83</v>
      </c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5" x14ac:dyDescent="0.35">
      <c r="A41" s="14">
        <v>1990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5" x14ac:dyDescent="0.35">
      <c r="A42" s="14">
        <v>1991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5" x14ac:dyDescent="0.35">
      <c r="A43" s="14">
        <v>1992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5" x14ac:dyDescent="0.35">
      <c r="A44" s="14">
        <v>1993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3" x14ac:dyDescent="0.3">
      <c r="A45" s="14">
        <v>1994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3" x14ac:dyDescent="0.3">
      <c r="A46" s="14">
        <v>1995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3" x14ac:dyDescent="0.3">
      <c r="A47" s="14">
        <v>1996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3" x14ac:dyDescent="0.3">
      <c r="A48" s="14">
        <v>1997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3" x14ac:dyDescent="0.3">
      <c r="A49" s="14">
        <v>1998</v>
      </c>
      <c r="B49" s="35"/>
      <c r="C49" s="35"/>
      <c r="D49" s="35">
        <v>0.9</v>
      </c>
      <c r="E49" s="35">
        <v>15</v>
      </c>
      <c r="F49" s="35"/>
      <c r="G49" s="35"/>
      <c r="H49" s="35">
        <v>1.41</v>
      </c>
      <c r="I49" s="35"/>
      <c r="J49" s="35"/>
      <c r="K49" s="35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x14ac:dyDescent="0.3">
      <c r="A50" s="14">
        <v>1999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" x14ac:dyDescent="0.3">
      <c r="A51" s="14">
        <v>2000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5.5" x14ac:dyDescent="0.35">
      <c r="A53" s="10" t="s">
        <v>110</v>
      </c>
      <c r="B53" s="2"/>
      <c r="C53" s="2"/>
      <c r="D53" s="10"/>
      <c r="E53" s="2"/>
      <c r="F53" s="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3" x14ac:dyDescent="0.3">
      <c r="A54" s="11"/>
      <c r="B54" s="11" t="s">
        <v>85</v>
      </c>
      <c r="C54" s="11" t="s">
        <v>86</v>
      </c>
      <c r="D54" s="11"/>
      <c r="E54" s="11"/>
      <c r="F54" s="11"/>
      <c r="G54" s="11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3" x14ac:dyDescent="0.3">
      <c r="A55" s="17" t="s">
        <v>3</v>
      </c>
      <c r="B55" s="17" t="s">
        <v>87</v>
      </c>
      <c r="C55" s="17" t="s">
        <v>87</v>
      </c>
      <c r="D55" s="17" t="s">
        <v>88</v>
      </c>
      <c r="E55" s="17" t="s">
        <v>89</v>
      </c>
      <c r="F55" s="17" t="s">
        <v>90</v>
      </c>
      <c r="G55" s="17" t="s">
        <v>91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x14ac:dyDescent="0.3">
      <c r="A56" s="12"/>
      <c r="B56" s="13"/>
      <c r="C56" s="15"/>
      <c r="D56" s="15"/>
      <c r="E56" s="13"/>
      <c r="F56" s="15"/>
      <c r="G56" s="1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3" x14ac:dyDescent="0.3">
      <c r="A57" s="14">
        <v>1990</v>
      </c>
      <c r="B57" s="35">
        <v>0</v>
      </c>
      <c r="C57" s="35">
        <v>50</v>
      </c>
      <c r="D57" s="35">
        <v>100</v>
      </c>
      <c r="E57" s="35">
        <v>0</v>
      </c>
      <c r="F57" s="35">
        <v>0</v>
      </c>
      <c r="G57" s="35">
        <v>800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3" x14ac:dyDescent="0.3">
      <c r="A58" s="14">
        <v>1991</v>
      </c>
      <c r="B58" s="35"/>
      <c r="C58" s="35"/>
      <c r="D58" s="35"/>
      <c r="E58" s="35"/>
      <c r="F58" s="35"/>
      <c r="G58" s="3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3" x14ac:dyDescent="0.3">
      <c r="A59" s="14">
        <v>1992</v>
      </c>
      <c r="B59" s="35"/>
      <c r="C59" s="35"/>
      <c r="D59" s="35"/>
      <c r="E59" s="35"/>
      <c r="F59" s="35"/>
      <c r="G59" s="35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3" x14ac:dyDescent="0.3">
      <c r="A60" s="14">
        <v>1993</v>
      </c>
      <c r="B60" s="35"/>
      <c r="C60" s="35"/>
      <c r="D60" s="35"/>
      <c r="E60" s="35"/>
      <c r="F60" s="35"/>
      <c r="G60" s="35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3" x14ac:dyDescent="0.3">
      <c r="A61" s="14">
        <v>1994</v>
      </c>
      <c r="B61" s="35"/>
      <c r="C61" s="35"/>
      <c r="D61" s="35"/>
      <c r="E61" s="35"/>
      <c r="F61" s="35"/>
      <c r="G61" s="35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3" x14ac:dyDescent="0.3">
      <c r="A62" s="14">
        <v>1995</v>
      </c>
      <c r="B62" s="35"/>
      <c r="C62" s="35"/>
      <c r="D62" s="35"/>
      <c r="E62" s="35"/>
      <c r="F62" s="35"/>
      <c r="G62" s="3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3" x14ac:dyDescent="0.3">
      <c r="A63" s="14">
        <v>1996</v>
      </c>
      <c r="B63" s="35"/>
      <c r="C63" s="35"/>
      <c r="D63" s="35"/>
      <c r="E63" s="35"/>
      <c r="F63" s="35"/>
      <c r="G63" s="35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3" x14ac:dyDescent="0.3">
      <c r="A64" s="14">
        <v>1997</v>
      </c>
      <c r="B64" s="35"/>
      <c r="C64" s="35"/>
      <c r="D64" s="35"/>
      <c r="E64" s="35"/>
      <c r="F64" s="35"/>
      <c r="G64" s="3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3" x14ac:dyDescent="0.3">
      <c r="A65" s="14">
        <v>1998</v>
      </c>
      <c r="B65" s="35">
        <v>50</v>
      </c>
      <c r="C65" s="35">
        <v>0</v>
      </c>
      <c r="D65" s="35">
        <v>65</v>
      </c>
      <c r="E65" s="35">
        <v>150</v>
      </c>
      <c r="F65" s="35">
        <v>8</v>
      </c>
      <c r="G65" s="35">
        <v>300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3" x14ac:dyDescent="0.3">
      <c r="A66" s="14">
        <v>1999</v>
      </c>
      <c r="B66" s="35"/>
      <c r="C66" s="35"/>
      <c r="D66" s="35"/>
      <c r="E66" s="35"/>
      <c r="F66" s="35"/>
      <c r="G66" s="3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3" x14ac:dyDescent="0.3">
      <c r="A67" s="14">
        <v>2000</v>
      </c>
      <c r="B67" s="35"/>
      <c r="C67" s="35"/>
      <c r="D67" s="35"/>
      <c r="E67" s="35"/>
      <c r="F67" s="35"/>
      <c r="G67" s="3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5.5" x14ac:dyDescent="0.35">
      <c r="A69" s="10" t="s">
        <v>113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3" x14ac:dyDescent="0.3">
      <c r="A70" s="11" t="s">
        <v>3</v>
      </c>
      <c r="B70" s="11" t="s">
        <v>93</v>
      </c>
      <c r="C70" s="11"/>
      <c r="D70" s="11" t="s">
        <v>94</v>
      </c>
      <c r="E70" s="11" t="s">
        <v>95</v>
      </c>
      <c r="F70" s="11"/>
      <c r="G70" s="11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1:21" ht="13" x14ac:dyDescent="0.3">
      <c r="A71" s="12"/>
      <c r="B71" s="13" t="s">
        <v>98</v>
      </c>
      <c r="C71" s="13" t="s">
        <v>99</v>
      </c>
      <c r="D71" s="13" t="s">
        <v>100</v>
      </c>
      <c r="E71" s="13" t="s">
        <v>100</v>
      </c>
      <c r="F71" s="15"/>
      <c r="G71" s="15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spans="1:21" ht="13" x14ac:dyDescent="0.3">
      <c r="A72" s="14">
        <v>1990</v>
      </c>
      <c r="B72" s="35">
        <v>363268</v>
      </c>
      <c r="C72" s="35">
        <v>0</v>
      </c>
      <c r="D72" s="3">
        <v>274</v>
      </c>
      <c r="E72" s="3">
        <v>0</v>
      </c>
      <c r="F72" s="3"/>
      <c r="G72" s="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spans="1:21" ht="13" x14ac:dyDescent="0.3">
      <c r="A73" s="14">
        <v>1991</v>
      </c>
      <c r="B73" s="35"/>
      <c r="C73" s="35"/>
      <c r="D73" s="3"/>
      <c r="E73" s="3"/>
      <c r="F73" s="3"/>
      <c r="G73" s="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1:21" ht="13" x14ac:dyDescent="0.3">
      <c r="A74" s="14">
        <v>1992</v>
      </c>
      <c r="B74" s="35"/>
      <c r="C74" s="35"/>
      <c r="D74" s="3"/>
      <c r="E74" s="3"/>
      <c r="F74" s="3"/>
      <c r="G74" s="3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1:21" ht="13" x14ac:dyDescent="0.3">
      <c r="A75" s="14">
        <v>1993</v>
      </c>
      <c r="B75" s="35"/>
      <c r="C75" s="35"/>
      <c r="D75" s="3"/>
      <c r="E75" s="3"/>
      <c r="F75" s="3"/>
      <c r="G75" s="3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spans="1:21" ht="13" x14ac:dyDescent="0.3">
      <c r="A76" s="14">
        <v>1994</v>
      </c>
      <c r="B76" s="35"/>
      <c r="C76" s="35"/>
      <c r="D76" s="3"/>
      <c r="E76" s="3"/>
      <c r="F76" s="3"/>
      <c r="G76" s="3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spans="1:21" ht="13" x14ac:dyDescent="0.3">
      <c r="A77" s="14">
        <v>1995</v>
      </c>
      <c r="B77" s="35"/>
      <c r="C77" s="35"/>
      <c r="D77" s="3"/>
      <c r="E77" s="3"/>
      <c r="F77" s="3"/>
      <c r="G77" s="3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spans="1:21" ht="13" x14ac:dyDescent="0.3">
      <c r="A78" s="14">
        <v>1996</v>
      </c>
      <c r="B78" s="35"/>
      <c r="C78" s="35"/>
      <c r="D78" s="3"/>
      <c r="E78" s="3"/>
      <c r="F78" s="3"/>
      <c r="G78" s="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1:21" ht="13" x14ac:dyDescent="0.3">
      <c r="A79" s="14">
        <v>1997</v>
      </c>
      <c r="B79" s="35"/>
      <c r="C79" s="35"/>
      <c r="D79" s="3"/>
      <c r="E79" s="3"/>
      <c r="F79" s="3"/>
      <c r="G79" s="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spans="1:21" ht="13" x14ac:dyDescent="0.3">
      <c r="A80" s="14">
        <v>1998</v>
      </c>
      <c r="B80" s="35">
        <v>418239</v>
      </c>
      <c r="C80" s="35">
        <v>100</v>
      </c>
      <c r="D80" s="3">
        <v>328</v>
      </c>
      <c r="E80" s="3">
        <v>1</v>
      </c>
      <c r="F80" s="3"/>
      <c r="G80" s="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spans="1:21" ht="13" x14ac:dyDescent="0.3">
      <c r="A81" s="14">
        <v>1999</v>
      </c>
      <c r="B81" s="35"/>
      <c r="C81" s="35"/>
      <c r="D81" s="3"/>
      <c r="E81" s="3"/>
      <c r="F81" s="3"/>
      <c r="G81" s="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spans="1:21" ht="13" x14ac:dyDescent="0.3">
      <c r="A82" s="14">
        <v>2000</v>
      </c>
      <c r="B82" s="35"/>
      <c r="C82" s="35"/>
      <c r="D82" s="3"/>
      <c r="E82" s="3"/>
      <c r="F82" s="3"/>
      <c r="G82" s="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spans="1:21" ht="13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3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3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3" x14ac:dyDescent="0.3">
      <c r="A86" s="16" t="s">
        <v>103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3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3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3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3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3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3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3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3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3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</sheetData>
  <pageMargins left="0.75" right="0.75" top="1" bottom="1" header="0.5" footer="0.5"/>
  <pageSetup orientation="landscape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95"/>
  <sheetViews>
    <sheetView workbookViewId="0"/>
  </sheetViews>
  <sheetFormatPr defaultRowHeight="12.5" x14ac:dyDescent="0.25"/>
  <cols>
    <col min="1" max="1" width="10.81640625" customWidth="1"/>
    <col min="2" max="3" width="12.7265625" customWidth="1"/>
    <col min="4" max="4" width="11.81640625" customWidth="1"/>
    <col min="5" max="5" width="11.54296875" customWidth="1"/>
    <col min="6" max="6" width="12" customWidth="1"/>
    <col min="7" max="7" width="14.54296875" customWidth="1"/>
    <col min="8" max="8" width="11.453125" customWidth="1"/>
    <col min="9" max="9" width="10.7265625" customWidth="1"/>
    <col min="10" max="10" width="12.1796875" customWidth="1"/>
  </cols>
  <sheetData>
    <row r="1" spans="1:22" ht="15.5" x14ac:dyDescent="0.35">
      <c r="A1" s="1" t="s">
        <v>51</v>
      </c>
      <c r="B1" s="4"/>
      <c r="C1" s="4"/>
      <c r="D1" s="4"/>
      <c r="E1" s="4"/>
      <c r="F1" s="4"/>
      <c r="G1" s="5">
        <f ca="1">NOW()</f>
        <v>43857.445003935187</v>
      </c>
      <c r="H1" s="4"/>
      <c r="I1" s="4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15.5" x14ac:dyDescent="0.35">
      <c r="A2" s="6" t="s">
        <v>1</v>
      </c>
      <c r="B2" s="7" t="s">
        <v>114</v>
      </c>
      <c r="C2" s="8"/>
      <c r="D2" s="8"/>
      <c r="E2" s="8"/>
      <c r="F2" s="8"/>
      <c r="G2" s="8"/>
      <c r="H2" s="8"/>
      <c r="I2" s="8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ht="15.5" x14ac:dyDescent="0.35">
      <c r="A3" s="6"/>
      <c r="B3" s="9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ht="15.5" x14ac:dyDescent="0.35">
      <c r="A4" s="10" t="s">
        <v>106</v>
      </c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ht="15.5" x14ac:dyDescent="0.35">
      <c r="A5" s="11" t="s">
        <v>3</v>
      </c>
      <c r="B5" s="11"/>
      <c r="C5" s="11"/>
      <c r="D5" s="11"/>
      <c r="E5" s="11"/>
      <c r="F5" s="11"/>
      <c r="G5" s="11"/>
      <c r="H5" s="11" t="s">
        <v>34</v>
      </c>
      <c r="I5" s="11" t="s">
        <v>34</v>
      </c>
      <c r="J5" s="1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5" x14ac:dyDescent="0.35">
      <c r="A6" s="17"/>
      <c r="B6" s="17" t="s">
        <v>35</v>
      </c>
      <c r="C6" s="17" t="s">
        <v>36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54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5" x14ac:dyDescent="0.35">
      <c r="A7" s="12"/>
      <c r="B7" s="13" t="s">
        <v>55</v>
      </c>
      <c r="C7" s="13" t="s">
        <v>56</v>
      </c>
      <c r="D7" s="13" t="s">
        <v>57</v>
      </c>
      <c r="E7" s="13" t="s">
        <v>57</v>
      </c>
      <c r="F7" s="13" t="s">
        <v>57</v>
      </c>
      <c r="G7" s="13" t="s">
        <v>107</v>
      </c>
      <c r="H7" s="13" t="s">
        <v>57</v>
      </c>
      <c r="I7" s="13" t="s">
        <v>57</v>
      </c>
      <c r="J7" s="13" t="s">
        <v>57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5" x14ac:dyDescent="0.35">
      <c r="A8" s="14">
        <v>1990</v>
      </c>
      <c r="B8" s="35">
        <v>13197809</v>
      </c>
      <c r="C8" s="35">
        <v>50274</v>
      </c>
      <c r="D8" s="35">
        <v>0</v>
      </c>
      <c r="E8" s="35">
        <v>0</v>
      </c>
      <c r="F8" s="35">
        <v>0</v>
      </c>
      <c r="G8" s="35">
        <v>39904</v>
      </c>
      <c r="H8" s="35">
        <v>0</v>
      </c>
      <c r="I8" s="35">
        <v>0</v>
      </c>
      <c r="J8" s="35">
        <v>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5" x14ac:dyDescent="0.35">
      <c r="A9" s="14">
        <v>1991</v>
      </c>
      <c r="B9" s="35"/>
      <c r="C9" s="35"/>
      <c r="D9" s="35"/>
      <c r="E9" s="35"/>
      <c r="F9" s="35"/>
      <c r="G9" s="35"/>
      <c r="H9" s="35"/>
      <c r="I9" s="35"/>
      <c r="J9" s="3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5" x14ac:dyDescent="0.35">
      <c r="A10" s="14">
        <v>1992</v>
      </c>
      <c r="B10" s="35"/>
      <c r="C10" s="35"/>
      <c r="D10" s="35"/>
      <c r="E10" s="35"/>
      <c r="F10" s="35"/>
      <c r="G10" s="35"/>
      <c r="H10" s="35"/>
      <c r="I10" s="35"/>
      <c r="J10" s="3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5.5" x14ac:dyDescent="0.35">
      <c r="A11" s="14">
        <v>1993</v>
      </c>
      <c r="B11" s="35"/>
      <c r="C11" s="35"/>
      <c r="D11" s="35"/>
      <c r="E11" s="35"/>
      <c r="F11" s="35"/>
      <c r="G11" s="35"/>
      <c r="H11" s="35"/>
      <c r="I11" s="35"/>
      <c r="J11" s="35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5" x14ac:dyDescent="0.35">
      <c r="A12" s="14">
        <v>1994</v>
      </c>
      <c r="B12" s="35"/>
      <c r="C12" s="35"/>
      <c r="D12" s="35"/>
      <c r="E12" s="35"/>
      <c r="F12" s="35"/>
      <c r="G12" s="35"/>
      <c r="H12" s="35"/>
      <c r="I12" s="35"/>
      <c r="J12" s="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5" x14ac:dyDescent="0.35">
      <c r="A13" s="14">
        <v>1995</v>
      </c>
      <c r="B13" s="35"/>
      <c r="C13" s="35"/>
      <c r="D13" s="35"/>
      <c r="E13" s="35"/>
      <c r="F13" s="35"/>
      <c r="G13" s="35"/>
      <c r="H13" s="35"/>
      <c r="I13" s="35"/>
      <c r="J13" s="35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5" x14ac:dyDescent="0.35">
      <c r="A14" s="14">
        <v>1996</v>
      </c>
      <c r="B14" s="35"/>
      <c r="C14" s="35"/>
      <c r="D14" s="35"/>
      <c r="E14" s="35"/>
      <c r="F14" s="35"/>
      <c r="G14" s="35"/>
      <c r="H14" s="35"/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5" x14ac:dyDescent="0.35">
      <c r="A15" s="14">
        <v>1997</v>
      </c>
      <c r="B15" s="35"/>
      <c r="C15" s="35"/>
      <c r="D15" s="35"/>
      <c r="E15" s="35"/>
      <c r="F15" s="35"/>
      <c r="G15" s="35"/>
      <c r="H15" s="35"/>
      <c r="I15" s="35"/>
      <c r="J15" s="35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5" x14ac:dyDescent="0.35">
      <c r="A16" s="14">
        <v>1998</v>
      </c>
      <c r="B16" s="35">
        <v>14320332</v>
      </c>
      <c r="C16" s="35">
        <v>50935</v>
      </c>
      <c r="D16" s="35">
        <v>0</v>
      </c>
      <c r="E16" s="35">
        <v>0</v>
      </c>
      <c r="F16" s="35">
        <v>0</v>
      </c>
      <c r="G16" s="35">
        <v>40653</v>
      </c>
      <c r="H16" s="35">
        <v>0</v>
      </c>
      <c r="I16" s="35">
        <v>0</v>
      </c>
      <c r="J16" s="35"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.5" x14ac:dyDescent="0.35">
      <c r="A17" s="14">
        <v>1999</v>
      </c>
      <c r="B17" s="35"/>
      <c r="C17" s="35"/>
      <c r="D17" s="35"/>
      <c r="E17" s="35"/>
      <c r="F17" s="35"/>
      <c r="G17" s="35"/>
      <c r="H17" s="35"/>
      <c r="I17" s="35"/>
      <c r="J17" s="3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5.5" x14ac:dyDescent="0.35">
      <c r="A18" s="14">
        <v>2000</v>
      </c>
      <c r="B18" s="35"/>
      <c r="C18" s="35"/>
      <c r="D18" s="35"/>
      <c r="E18" s="35"/>
      <c r="F18" s="35"/>
      <c r="G18" s="35"/>
      <c r="H18" s="35"/>
      <c r="I18" s="35"/>
      <c r="J18" s="3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5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2" ht="15.5" x14ac:dyDescent="0.35">
      <c r="A21" s="10" t="s">
        <v>108</v>
      </c>
      <c r="B21" s="2"/>
      <c r="C21" s="2"/>
      <c r="D21" s="2"/>
      <c r="E21" s="2"/>
      <c r="F21" s="2"/>
      <c r="G21" s="2"/>
      <c r="H21" s="10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2" ht="15.5" x14ac:dyDescent="0.35">
      <c r="A22" s="11"/>
      <c r="B22" s="11" t="s">
        <v>60</v>
      </c>
      <c r="C22" s="11" t="s">
        <v>60</v>
      </c>
      <c r="D22" s="56"/>
      <c r="E22" s="11" t="s">
        <v>61</v>
      </c>
      <c r="F22" s="11" t="s">
        <v>61</v>
      </c>
      <c r="G22" s="11"/>
      <c r="H22" s="11"/>
      <c r="I22" s="11"/>
      <c r="J22" s="1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2" ht="15.5" x14ac:dyDescent="0.35">
      <c r="A23" s="17" t="s">
        <v>3</v>
      </c>
      <c r="B23" s="17" t="s">
        <v>62</v>
      </c>
      <c r="C23" s="17" t="s">
        <v>35</v>
      </c>
      <c r="D23" s="57" t="s">
        <v>63</v>
      </c>
      <c r="E23" s="17" t="s">
        <v>64</v>
      </c>
      <c r="F23" s="17" t="s">
        <v>65</v>
      </c>
      <c r="G23" s="17"/>
      <c r="H23" s="17"/>
      <c r="I23" s="17"/>
      <c r="J23" s="1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2" ht="15.5" x14ac:dyDescent="0.35">
      <c r="A24" s="12"/>
      <c r="B24" s="13" t="s">
        <v>66</v>
      </c>
      <c r="C24" s="13" t="s">
        <v>67</v>
      </c>
      <c r="D24" s="13"/>
      <c r="E24" s="13" t="s">
        <v>68</v>
      </c>
      <c r="F24" s="13" t="s">
        <v>68</v>
      </c>
      <c r="G24" s="13"/>
      <c r="H24" s="13"/>
      <c r="I24" s="15"/>
      <c r="J24" s="1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" ht="15.5" x14ac:dyDescent="0.35">
      <c r="A25" s="14">
        <v>1990</v>
      </c>
      <c r="B25" s="35"/>
      <c r="C25" s="35"/>
      <c r="D25" s="35"/>
      <c r="E25" s="35"/>
      <c r="F25" s="35"/>
      <c r="G25" s="35"/>
      <c r="H25" s="35"/>
      <c r="I25" s="35"/>
      <c r="J25" s="3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" ht="15.5" x14ac:dyDescent="0.35">
      <c r="A26" s="14">
        <v>1991</v>
      </c>
      <c r="B26" s="35"/>
      <c r="C26" s="35"/>
      <c r="D26" s="35"/>
      <c r="E26" s="35"/>
      <c r="F26" s="35"/>
      <c r="G26" s="35"/>
      <c r="H26" s="35"/>
      <c r="I26" s="35"/>
      <c r="J26" s="3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2" ht="15.5" x14ac:dyDescent="0.35">
      <c r="A27" s="14">
        <v>1992</v>
      </c>
      <c r="B27" s="35"/>
      <c r="C27" s="35"/>
      <c r="D27" s="35"/>
      <c r="E27" s="35"/>
      <c r="F27" s="35"/>
      <c r="G27" s="35"/>
      <c r="H27" s="35"/>
      <c r="I27" s="35"/>
      <c r="J27" s="3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2" ht="15.5" x14ac:dyDescent="0.35">
      <c r="A28" s="14">
        <v>1993</v>
      </c>
      <c r="B28" s="35"/>
      <c r="C28" s="35"/>
      <c r="D28" s="35"/>
      <c r="E28" s="35"/>
      <c r="F28" s="35"/>
      <c r="G28" s="35"/>
      <c r="H28" s="35"/>
      <c r="I28" s="35"/>
      <c r="J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2" ht="15.5" x14ac:dyDescent="0.35">
      <c r="A29" s="14">
        <v>1994</v>
      </c>
      <c r="B29" s="35"/>
      <c r="C29" s="35"/>
      <c r="D29" s="35"/>
      <c r="E29" s="35"/>
      <c r="F29" s="35"/>
      <c r="G29" s="35"/>
      <c r="H29" s="35"/>
      <c r="I29" s="35"/>
      <c r="J29" s="3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2" ht="15.5" x14ac:dyDescent="0.35">
      <c r="A30" s="14">
        <v>1995</v>
      </c>
      <c r="B30" s="35"/>
      <c r="C30" s="35"/>
      <c r="D30" s="35"/>
      <c r="E30" s="35"/>
      <c r="F30" s="35"/>
      <c r="G30" s="35"/>
      <c r="H30" s="35"/>
      <c r="I30" s="35"/>
      <c r="J30" s="3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2" ht="15.5" x14ac:dyDescent="0.35">
      <c r="A31" s="14">
        <v>1996</v>
      </c>
      <c r="B31" s="35"/>
      <c r="C31" s="35"/>
      <c r="D31" s="35"/>
      <c r="E31" s="35"/>
      <c r="F31" s="35"/>
      <c r="G31" s="35"/>
      <c r="H31" s="35"/>
      <c r="I31" s="35"/>
      <c r="J31" s="35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2" ht="15.5" x14ac:dyDescent="0.35">
      <c r="A32" s="14">
        <v>1997</v>
      </c>
      <c r="B32" s="35"/>
      <c r="C32" s="35"/>
      <c r="D32" s="35"/>
      <c r="E32" s="35"/>
      <c r="F32" s="35"/>
      <c r="G32" s="35"/>
      <c r="H32" s="35"/>
      <c r="I32" s="35"/>
      <c r="J32" s="3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5" x14ac:dyDescent="0.35">
      <c r="A33" s="14">
        <v>1998</v>
      </c>
      <c r="B33" s="35"/>
      <c r="C33" s="35"/>
      <c r="D33" s="35"/>
      <c r="E33" s="35"/>
      <c r="F33" s="35"/>
      <c r="G33" s="35"/>
      <c r="H33" s="35"/>
      <c r="I33" s="35"/>
      <c r="J33" s="3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5" x14ac:dyDescent="0.35">
      <c r="A34" s="14">
        <v>1999</v>
      </c>
      <c r="B34" s="35"/>
      <c r="C34" s="35"/>
      <c r="D34" s="35"/>
      <c r="E34" s="35"/>
      <c r="F34" s="35"/>
      <c r="G34" s="35"/>
      <c r="H34" s="35"/>
      <c r="I34" s="35"/>
      <c r="J34" s="3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5" x14ac:dyDescent="0.35">
      <c r="A35" s="14">
        <v>2000</v>
      </c>
      <c r="B35" s="35"/>
      <c r="C35" s="35"/>
      <c r="D35" s="35"/>
      <c r="E35" s="35"/>
      <c r="F35" s="35"/>
      <c r="G35" s="35"/>
      <c r="H35" s="35"/>
      <c r="I35" s="35"/>
      <c r="J35" s="3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5" x14ac:dyDescent="0.35">
      <c r="A38" s="10" t="s">
        <v>109</v>
      </c>
      <c r="B38" s="2"/>
      <c r="C38" s="2"/>
      <c r="D38" s="2"/>
      <c r="E38" s="2"/>
      <c r="F38" s="2"/>
      <c r="G38" s="2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5" x14ac:dyDescent="0.35">
      <c r="A39" s="11" t="s">
        <v>3</v>
      </c>
      <c r="B39" s="11" t="s">
        <v>70</v>
      </c>
      <c r="C39" s="11" t="s">
        <v>71</v>
      </c>
      <c r="D39" s="11" t="s">
        <v>72</v>
      </c>
      <c r="E39" s="11" t="s">
        <v>73</v>
      </c>
      <c r="F39" s="11" t="s">
        <v>74</v>
      </c>
      <c r="G39" s="11" t="s">
        <v>75</v>
      </c>
      <c r="H39" s="11" t="s">
        <v>76</v>
      </c>
      <c r="I39" s="11" t="s">
        <v>77</v>
      </c>
      <c r="J39" s="11" t="s">
        <v>78</v>
      </c>
      <c r="K39" s="11" t="s">
        <v>79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5" x14ac:dyDescent="0.35">
      <c r="A40" s="12"/>
      <c r="B40" s="15"/>
      <c r="C40" s="13" t="s">
        <v>80</v>
      </c>
      <c r="D40" s="13" t="s">
        <v>80</v>
      </c>
      <c r="E40" s="13" t="s">
        <v>81</v>
      </c>
      <c r="F40" s="13" t="s">
        <v>82</v>
      </c>
      <c r="G40" s="13"/>
      <c r="H40" s="15"/>
      <c r="I40" s="15"/>
      <c r="J40" s="15"/>
      <c r="K40" s="13" t="s">
        <v>83</v>
      </c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5" x14ac:dyDescent="0.35">
      <c r="A41" s="14">
        <v>1990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5" x14ac:dyDescent="0.35">
      <c r="A42" s="14">
        <v>1991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5" x14ac:dyDescent="0.35">
      <c r="A43" s="14">
        <v>1992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5" x14ac:dyDescent="0.35">
      <c r="A44" s="14">
        <v>1993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3" x14ac:dyDescent="0.3">
      <c r="A45" s="14">
        <v>1994</v>
      </c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3" x14ac:dyDescent="0.3">
      <c r="A46" s="14">
        <v>1995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3" x14ac:dyDescent="0.3">
      <c r="A47" s="14">
        <v>1996</v>
      </c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3" x14ac:dyDescent="0.3">
      <c r="A48" s="14">
        <v>1997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3" x14ac:dyDescent="0.3">
      <c r="A49" s="14">
        <v>1998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x14ac:dyDescent="0.3">
      <c r="A50" s="14">
        <v>1999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.5" customHeight="1" x14ac:dyDescent="0.3">
      <c r="A51" s="14">
        <v>2000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3.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3.5" customHeight="1" x14ac:dyDescent="0.35">
      <c r="A53" s="10" t="s">
        <v>110</v>
      </c>
      <c r="B53" s="2"/>
      <c r="C53" s="2"/>
      <c r="D53" s="10"/>
      <c r="E53" s="2"/>
      <c r="F53" s="2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3.5" customHeight="1" x14ac:dyDescent="0.3">
      <c r="A54" s="11"/>
      <c r="B54" s="11" t="s">
        <v>85</v>
      </c>
      <c r="C54" s="11" t="s">
        <v>86</v>
      </c>
      <c r="D54" s="11"/>
      <c r="E54" s="11"/>
      <c r="F54" s="11"/>
      <c r="G54" s="11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3.5" customHeight="1" x14ac:dyDescent="0.3">
      <c r="A55" s="17" t="s">
        <v>3</v>
      </c>
      <c r="B55" s="17" t="s">
        <v>87</v>
      </c>
      <c r="C55" s="17" t="s">
        <v>87</v>
      </c>
      <c r="D55" s="17" t="s">
        <v>88</v>
      </c>
      <c r="E55" s="17" t="s">
        <v>89</v>
      </c>
      <c r="F55" s="17" t="s">
        <v>90</v>
      </c>
      <c r="G55" s="17" t="s">
        <v>91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.5" customHeight="1" x14ac:dyDescent="0.3">
      <c r="A56" s="12"/>
      <c r="B56" s="13"/>
      <c r="C56" s="15"/>
      <c r="D56" s="15"/>
      <c r="E56" s="13"/>
      <c r="F56" s="15"/>
      <c r="G56" s="15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3.5" customHeight="1" x14ac:dyDescent="0.3">
      <c r="A57" s="14">
        <v>1990</v>
      </c>
      <c r="B57" s="35"/>
      <c r="C57" s="35"/>
      <c r="D57" s="35"/>
      <c r="E57" s="35"/>
      <c r="F57" s="35"/>
      <c r="G57" s="35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3" x14ac:dyDescent="0.3">
      <c r="A58" s="14">
        <v>1991</v>
      </c>
      <c r="B58" s="35"/>
      <c r="C58" s="35"/>
      <c r="D58" s="35"/>
      <c r="E58" s="35"/>
      <c r="F58" s="35"/>
      <c r="G58" s="35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3" x14ac:dyDescent="0.3">
      <c r="A59" s="14">
        <v>1992</v>
      </c>
      <c r="B59" s="35"/>
      <c r="C59" s="35"/>
      <c r="D59" s="35"/>
      <c r="E59" s="35"/>
      <c r="F59" s="35"/>
      <c r="G59" s="35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3" x14ac:dyDescent="0.3">
      <c r="A60" s="14">
        <v>1993</v>
      </c>
      <c r="B60" s="35"/>
      <c r="C60" s="35"/>
      <c r="D60" s="35"/>
      <c r="E60" s="35"/>
      <c r="F60" s="35"/>
      <c r="G60" s="35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3" x14ac:dyDescent="0.3">
      <c r="A61" s="14">
        <v>1994</v>
      </c>
      <c r="B61" s="35"/>
      <c r="C61" s="35"/>
      <c r="D61" s="35"/>
      <c r="E61" s="35"/>
      <c r="F61" s="35"/>
      <c r="G61" s="35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3" x14ac:dyDescent="0.3">
      <c r="A62" s="14">
        <v>1995</v>
      </c>
      <c r="B62" s="35"/>
      <c r="C62" s="35"/>
      <c r="D62" s="35"/>
      <c r="E62" s="35"/>
      <c r="F62" s="35"/>
      <c r="G62" s="35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3" x14ac:dyDescent="0.3">
      <c r="A63" s="14">
        <v>1996</v>
      </c>
      <c r="B63" s="35"/>
      <c r="C63" s="35"/>
      <c r="D63" s="35"/>
      <c r="E63" s="35"/>
      <c r="F63" s="35"/>
      <c r="G63" s="35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3" x14ac:dyDescent="0.3">
      <c r="A64" s="14">
        <v>1997</v>
      </c>
      <c r="B64" s="35"/>
      <c r="C64" s="35"/>
      <c r="D64" s="35"/>
      <c r="E64" s="35"/>
      <c r="F64" s="35"/>
      <c r="G64" s="35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3" x14ac:dyDescent="0.3">
      <c r="A65" s="14">
        <v>1998</v>
      </c>
      <c r="B65" s="35"/>
      <c r="C65" s="35"/>
      <c r="D65" s="35"/>
      <c r="E65" s="35"/>
      <c r="F65" s="35"/>
      <c r="G65" s="35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3" x14ac:dyDescent="0.3">
      <c r="A66" s="14">
        <v>1999</v>
      </c>
      <c r="B66" s="35"/>
      <c r="C66" s="35"/>
      <c r="D66" s="35"/>
      <c r="E66" s="35"/>
      <c r="F66" s="35"/>
      <c r="G66" s="35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3" x14ac:dyDescent="0.3">
      <c r="A67" s="14">
        <v>2000</v>
      </c>
      <c r="B67" s="35"/>
      <c r="C67" s="35"/>
      <c r="D67" s="35"/>
      <c r="E67" s="35"/>
      <c r="F67" s="35"/>
      <c r="G67" s="35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5.5" x14ac:dyDescent="0.35">
      <c r="A69" s="10" t="s">
        <v>113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3" x14ac:dyDescent="0.3">
      <c r="A70" s="11" t="s">
        <v>3</v>
      </c>
      <c r="B70" s="11" t="s">
        <v>93</v>
      </c>
      <c r="C70" s="11"/>
      <c r="D70" s="11" t="s">
        <v>94</v>
      </c>
      <c r="E70" s="11" t="s">
        <v>95</v>
      </c>
      <c r="F70" s="11"/>
      <c r="G70" s="11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 spans="1:21" ht="13" x14ac:dyDescent="0.3">
      <c r="A71" s="12"/>
      <c r="B71" s="13" t="s">
        <v>98</v>
      </c>
      <c r="C71" s="13" t="s">
        <v>99</v>
      </c>
      <c r="D71" s="13" t="s">
        <v>100</v>
      </c>
      <c r="E71" s="13" t="s">
        <v>100</v>
      </c>
      <c r="F71" s="15"/>
      <c r="G71" s="15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 spans="1:21" ht="13" x14ac:dyDescent="0.3">
      <c r="A72" s="14">
        <v>1990</v>
      </c>
      <c r="B72" s="35">
        <v>923953</v>
      </c>
      <c r="C72" s="35">
        <v>0</v>
      </c>
      <c r="D72" s="35">
        <v>1629</v>
      </c>
      <c r="E72" s="3"/>
      <c r="F72" s="3"/>
      <c r="G72" s="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 spans="1:21" ht="13" x14ac:dyDescent="0.3">
      <c r="A73" s="14">
        <v>1991</v>
      </c>
      <c r="B73" s="35"/>
      <c r="C73" s="35"/>
      <c r="D73" s="35"/>
      <c r="E73" s="3"/>
      <c r="F73" s="3"/>
      <c r="G73" s="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 spans="1:21" ht="13" x14ac:dyDescent="0.3">
      <c r="A74" s="14">
        <v>1992</v>
      </c>
      <c r="B74" s="35"/>
      <c r="C74" s="35"/>
      <c r="D74" s="35"/>
      <c r="E74" s="3"/>
      <c r="F74" s="3"/>
      <c r="G74" s="3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 spans="1:21" ht="13" x14ac:dyDescent="0.3">
      <c r="A75" s="14">
        <v>1993</v>
      </c>
      <c r="B75" s="35"/>
      <c r="C75" s="35"/>
      <c r="D75" s="35"/>
      <c r="E75" s="3"/>
      <c r="F75" s="3"/>
      <c r="G75" s="3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 spans="1:21" ht="13" x14ac:dyDescent="0.3">
      <c r="A76" s="14">
        <v>1994</v>
      </c>
      <c r="B76" s="35"/>
      <c r="C76" s="35"/>
      <c r="D76" s="35"/>
      <c r="E76" s="3"/>
      <c r="F76" s="3"/>
      <c r="G76" s="3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 spans="1:21" ht="13" x14ac:dyDescent="0.3">
      <c r="A77" s="14">
        <v>1995</v>
      </c>
      <c r="B77" s="35"/>
      <c r="C77" s="35"/>
      <c r="D77" s="35"/>
      <c r="E77" s="3"/>
      <c r="F77" s="3"/>
      <c r="G77" s="3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 spans="1:21" ht="13" x14ac:dyDescent="0.3">
      <c r="A78" s="14">
        <v>1996</v>
      </c>
      <c r="B78" s="35"/>
      <c r="C78" s="35"/>
      <c r="D78" s="35"/>
      <c r="E78" s="3"/>
      <c r="F78" s="3"/>
      <c r="G78" s="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 spans="1:21" ht="13" x14ac:dyDescent="0.3">
      <c r="A79" s="14">
        <v>1997</v>
      </c>
      <c r="B79" s="35"/>
      <c r="C79" s="35"/>
      <c r="D79" s="35"/>
      <c r="E79" s="3"/>
      <c r="F79" s="3"/>
      <c r="G79" s="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 spans="1:21" ht="13" x14ac:dyDescent="0.3">
      <c r="A80" s="14">
        <v>1998</v>
      </c>
      <c r="B80" s="35">
        <v>908306</v>
      </c>
      <c r="C80" s="35">
        <v>700</v>
      </c>
      <c r="D80" s="35">
        <v>1573</v>
      </c>
      <c r="E80" s="3">
        <v>34</v>
      </c>
      <c r="F80" s="3"/>
      <c r="G80" s="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 spans="1:21" ht="13" x14ac:dyDescent="0.3">
      <c r="A81" s="14">
        <v>1999</v>
      </c>
      <c r="B81" s="35"/>
      <c r="C81" s="35"/>
      <c r="D81" s="35"/>
      <c r="E81" s="3"/>
      <c r="F81" s="3"/>
      <c r="G81" s="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 spans="1:21" ht="13" x14ac:dyDescent="0.3">
      <c r="A82" s="14">
        <v>2000</v>
      </c>
      <c r="B82" s="35"/>
      <c r="C82" s="35"/>
      <c r="D82" s="35"/>
      <c r="E82" s="3"/>
      <c r="F82" s="3"/>
      <c r="G82" s="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 spans="1:21" ht="13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3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3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3" x14ac:dyDescent="0.3">
      <c r="A86" s="16" t="s">
        <v>103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3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3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3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3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3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3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3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3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3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</sheetData>
  <pageMargins left="0.75" right="0.75" top="1" bottom="1" header="0.5" footer="0.5"/>
  <pageSetup orientation="landscape" horizontalDpi="0" verticalDpi="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V79"/>
  <sheetViews>
    <sheetView defaultGridColor="0" colorId="22" zoomScale="87" workbookViewId="0"/>
  </sheetViews>
  <sheetFormatPr defaultRowHeight="12.5" x14ac:dyDescent="0.25"/>
  <cols>
    <col min="1" max="1" width="10.81640625" customWidth="1"/>
    <col min="2" max="2" width="14.81640625" customWidth="1"/>
    <col min="3" max="3" width="12.7265625" customWidth="1"/>
    <col min="4" max="4" width="11.81640625" customWidth="1"/>
    <col min="5" max="5" width="12.7265625" customWidth="1"/>
    <col min="6" max="6" width="13.54296875" customWidth="1"/>
    <col min="7" max="7" width="13.1796875" customWidth="1"/>
    <col min="8" max="8" width="12.453125" customWidth="1"/>
    <col min="9" max="9" width="13.453125" customWidth="1"/>
    <col min="10" max="10" width="12.1796875" customWidth="1"/>
    <col min="11" max="11" width="12.26953125" customWidth="1"/>
  </cols>
  <sheetData>
    <row r="1" spans="1:22" ht="20" x14ac:dyDescent="0.5">
      <c r="A1" s="43" t="s">
        <v>115</v>
      </c>
      <c r="B1" s="4"/>
      <c r="C1" s="4"/>
      <c r="D1" s="4"/>
      <c r="E1" s="4"/>
      <c r="F1" s="4"/>
      <c r="G1" s="5">
        <f ca="1">NOW()</f>
        <v>43857.445003935187</v>
      </c>
      <c r="H1" s="4"/>
      <c r="I1" s="4"/>
      <c r="J1" s="5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2" ht="17.25" customHeight="1" x14ac:dyDescent="0.35">
      <c r="A2" s="6" t="s">
        <v>1</v>
      </c>
      <c r="B2" s="7" t="s">
        <v>116</v>
      </c>
      <c r="C2" s="8"/>
      <c r="D2" s="8"/>
      <c r="E2" s="8"/>
      <c r="F2" s="8"/>
      <c r="G2" s="8"/>
      <c r="H2" s="8"/>
      <c r="I2" s="8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2" ht="17.25" customHeight="1" x14ac:dyDescent="0.35">
      <c r="A3" s="6"/>
      <c r="B3" s="9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ht="17.25" customHeight="1" x14ac:dyDescent="0.4">
      <c r="A4" s="10" t="s">
        <v>117</v>
      </c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ht="17.25" customHeight="1" x14ac:dyDescent="0.35">
      <c r="A5" s="61"/>
      <c r="B5" s="61"/>
      <c r="C5" s="61"/>
      <c r="D5" s="61"/>
      <c r="E5" s="61"/>
      <c r="F5" s="61"/>
      <c r="G5" s="61"/>
      <c r="H5" s="61" t="s">
        <v>34</v>
      </c>
      <c r="I5" s="61" t="s">
        <v>34</v>
      </c>
      <c r="J5" s="61"/>
      <c r="K5" s="6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7.25" customHeight="1" x14ac:dyDescent="0.35">
      <c r="A6" s="62" t="s">
        <v>3</v>
      </c>
      <c r="B6" s="62" t="s">
        <v>35</v>
      </c>
      <c r="C6" s="62" t="s">
        <v>36</v>
      </c>
      <c r="D6" s="62" t="s">
        <v>37</v>
      </c>
      <c r="E6" s="62" t="s">
        <v>38</v>
      </c>
      <c r="F6" s="62" t="s">
        <v>39</v>
      </c>
      <c r="G6" s="62" t="s">
        <v>40</v>
      </c>
      <c r="H6" s="62" t="s">
        <v>41</v>
      </c>
      <c r="I6" s="62" t="s">
        <v>42</v>
      </c>
      <c r="J6" s="62" t="s">
        <v>54</v>
      </c>
      <c r="K6" s="62" t="s">
        <v>44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7.25" customHeight="1" x14ac:dyDescent="0.35">
      <c r="A7" s="63"/>
      <c r="B7" s="64"/>
      <c r="C7" s="64"/>
      <c r="D7" s="64"/>
      <c r="E7" s="64"/>
      <c r="F7" s="64"/>
      <c r="G7" s="64"/>
      <c r="H7" s="64"/>
      <c r="I7" s="64"/>
      <c r="J7" s="64"/>
      <c r="K7" s="64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7.25" customHeight="1" x14ac:dyDescent="0.35">
      <c r="A8" s="60">
        <v>1990</v>
      </c>
      <c r="B8" s="44">
        <f>('Tufts Summary Data'!B8*'Conversion Factors'!B8)/2000</f>
        <v>30482.130400000002</v>
      </c>
      <c r="C8" s="44">
        <f>('Tufts Summary Data'!C8*'Conversion Factors'!C8)/2000</f>
        <v>1976.9716800000001</v>
      </c>
      <c r="D8" s="44">
        <f>('Tufts Summary Data'!D8*'Conversion Factors'!D8)/2000</f>
        <v>10348.1175</v>
      </c>
      <c r="E8" s="44">
        <f>('Tufts Summary Data'!E8*'Conversion Factors'!E8)/2000</f>
        <v>4978.9850400000005</v>
      </c>
      <c r="F8" s="44">
        <f>('Tufts Summary Data'!F8*'Conversion Factors'!F8)/2000</f>
        <v>0</v>
      </c>
      <c r="G8" s="44">
        <f>('Tufts Summary Data'!G8*'Conversion Factors'!G8)/2000</f>
        <v>11911.343999999999</v>
      </c>
      <c r="H8" s="44">
        <f>('Tufts Summary Data'!H8*'Conversion Factors'!H8)/2000</f>
        <v>546.67259999999999</v>
      </c>
      <c r="I8" s="44">
        <f>('Tufts Summary Data'!I8*'Conversion Factors'!I8)/2000</f>
        <v>3438.7469999999998</v>
      </c>
      <c r="J8" s="44">
        <f>('Tufts Summary Data'!J8*'Conversion Factors'!J8)/2000</f>
        <v>0</v>
      </c>
      <c r="K8" s="44">
        <f>SUM(B8:J8)</f>
        <v>63682.968220000002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7.25" customHeight="1" x14ac:dyDescent="0.35">
      <c r="A9" s="60">
        <v>1991</v>
      </c>
      <c r="B9" s="44">
        <f>('Tufts Summary Data'!B9*'Conversion Factors'!B9)/2000</f>
        <v>0</v>
      </c>
      <c r="C9" s="44">
        <f>('Tufts Summary Data'!C9*'Conversion Factors'!C9)/2000</f>
        <v>0</v>
      </c>
      <c r="D9" s="44">
        <f>('Tufts Summary Data'!D9*'Conversion Factors'!D9)/2000</f>
        <v>0</v>
      </c>
      <c r="E9" s="44">
        <f>('Tufts Summary Data'!E9*'Conversion Factors'!E9)/2000</f>
        <v>0</v>
      </c>
      <c r="F9" s="44">
        <f>('Tufts Summary Data'!F9*'Conversion Factors'!F9)/2000</f>
        <v>0</v>
      </c>
      <c r="G9" s="44">
        <f>('Tufts Summary Data'!G9*'Conversion Factors'!G9)/2000</f>
        <v>0</v>
      </c>
      <c r="H9" s="44">
        <f>('Tufts Summary Data'!H9*'Conversion Factors'!H9)/2000</f>
        <v>0</v>
      </c>
      <c r="I9" s="44">
        <f>('Tufts Summary Data'!I9*'Conversion Factors'!I9)/2000</f>
        <v>0</v>
      </c>
      <c r="J9" s="44">
        <f>('Tufts Summary Data'!J9*'Conversion Factors'!J9)/2000</f>
        <v>0</v>
      </c>
      <c r="K9" s="44">
        <f t="shared" ref="K9:K18" si="0">SUM(B9:J9)</f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7.25" customHeight="1" x14ac:dyDescent="0.35">
      <c r="A10" s="60">
        <v>1992</v>
      </c>
      <c r="B10" s="44">
        <f>('Tufts Summary Data'!B10*'Conversion Factors'!B10)/2000</f>
        <v>0</v>
      </c>
      <c r="C10" s="44">
        <f>('Tufts Summary Data'!C10*'Conversion Factors'!C10)/2000</f>
        <v>0</v>
      </c>
      <c r="D10" s="44">
        <f>('Tufts Summary Data'!D10*'Conversion Factors'!D10)/2000</f>
        <v>0</v>
      </c>
      <c r="E10" s="44">
        <f>('Tufts Summary Data'!E10*'Conversion Factors'!E10)/2000</f>
        <v>0</v>
      </c>
      <c r="F10" s="44">
        <f>('Tufts Summary Data'!F10*'Conversion Factors'!F10)/2000</f>
        <v>0</v>
      </c>
      <c r="G10" s="44">
        <f>('Tufts Summary Data'!G10*'Conversion Factors'!G10)/2000</f>
        <v>0</v>
      </c>
      <c r="H10" s="44">
        <f>('Tufts Summary Data'!H10*'Conversion Factors'!H10)/2000</f>
        <v>0</v>
      </c>
      <c r="I10" s="44">
        <f>('Tufts Summary Data'!I10*'Conversion Factors'!I10)/2000</f>
        <v>0</v>
      </c>
      <c r="J10" s="44">
        <f>('Tufts Summary Data'!J10*'Conversion Factors'!J10)/2000</f>
        <v>0</v>
      </c>
      <c r="K10" s="44">
        <f t="shared" si="0"/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7.25" customHeight="1" x14ac:dyDescent="0.35">
      <c r="A11" s="60">
        <v>1993</v>
      </c>
      <c r="B11" s="44">
        <f>('Tufts Summary Data'!B11*'Conversion Factors'!B11)/2000</f>
        <v>0</v>
      </c>
      <c r="C11" s="44">
        <f>('Tufts Summary Data'!C11*'Conversion Factors'!C11)/2000</f>
        <v>0</v>
      </c>
      <c r="D11" s="44">
        <f>('Tufts Summary Data'!D11*'Conversion Factors'!D11)/2000</f>
        <v>0</v>
      </c>
      <c r="E11" s="44">
        <f>('Tufts Summary Data'!E11*'Conversion Factors'!E11)/2000</f>
        <v>0</v>
      </c>
      <c r="F11" s="44">
        <f>('Tufts Summary Data'!F11*'Conversion Factors'!F11)/2000</f>
        <v>0</v>
      </c>
      <c r="G11" s="44">
        <f>('Tufts Summary Data'!G11*'Conversion Factors'!G11)/2000</f>
        <v>0</v>
      </c>
      <c r="H11" s="44">
        <f>('Tufts Summary Data'!H11*'Conversion Factors'!H11)/2000</f>
        <v>0</v>
      </c>
      <c r="I11" s="44">
        <f>('Tufts Summary Data'!I11*'Conversion Factors'!I11)/2000</f>
        <v>0</v>
      </c>
      <c r="J11" s="44">
        <f>('Tufts Summary Data'!J11*'Conversion Factors'!J11)/2000</f>
        <v>0</v>
      </c>
      <c r="K11" s="44">
        <f t="shared" si="0"/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7.25" customHeight="1" x14ac:dyDescent="0.35">
      <c r="A12" s="60">
        <v>1994</v>
      </c>
      <c r="B12" s="44">
        <f>('Tufts Summary Data'!B12*'Conversion Factors'!B12)/2000</f>
        <v>0</v>
      </c>
      <c r="C12" s="44">
        <f>('Tufts Summary Data'!C12*'Conversion Factors'!C12)/2000</f>
        <v>0</v>
      </c>
      <c r="D12" s="44">
        <f>('Tufts Summary Data'!D12*'Conversion Factors'!D12)/2000</f>
        <v>0</v>
      </c>
      <c r="E12" s="44">
        <f>('Tufts Summary Data'!E12*'Conversion Factors'!E12)/2000</f>
        <v>0</v>
      </c>
      <c r="F12" s="44">
        <f>('Tufts Summary Data'!F12*'Conversion Factors'!F12)/2000</f>
        <v>0</v>
      </c>
      <c r="G12" s="44">
        <f>('Tufts Summary Data'!G12*'Conversion Factors'!G12)/2000</f>
        <v>0</v>
      </c>
      <c r="H12" s="44">
        <f>('Tufts Summary Data'!H12*'Conversion Factors'!H12)/2000</f>
        <v>0</v>
      </c>
      <c r="I12" s="44">
        <f>('Tufts Summary Data'!I12*'Conversion Factors'!I12)/2000</f>
        <v>0</v>
      </c>
      <c r="J12" s="44">
        <f>('Tufts Summary Data'!J12*'Conversion Factors'!J12)/2000</f>
        <v>0</v>
      </c>
      <c r="K12" s="44">
        <f t="shared" si="0"/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7.25" customHeight="1" x14ac:dyDescent="0.35">
      <c r="A13" s="60">
        <v>1995</v>
      </c>
      <c r="B13" s="44">
        <f>('Tufts Summary Data'!B13*'Conversion Factors'!B13)/2000</f>
        <v>0</v>
      </c>
      <c r="C13" s="44">
        <f>('Tufts Summary Data'!C13*'Conversion Factors'!C13)/2000</f>
        <v>0</v>
      </c>
      <c r="D13" s="44">
        <f>('Tufts Summary Data'!D13*'Conversion Factors'!D13)/2000</f>
        <v>0</v>
      </c>
      <c r="E13" s="44">
        <f>('Tufts Summary Data'!E13*'Conversion Factors'!E13)/2000</f>
        <v>0</v>
      </c>
      <c r="F13" s="44">
        <f>('Tufts Summary Data'!F13*'Conversion Factors'!F13)/2000</f>
        <v>0</v>
      </c>
      <c r="G13" s="44">
        <f>('Tufts Summary Data'!G13*'Conversion Factors'!G13)/2000</f>
        <v>0</v>
      </c>
      <c r="H13" s="44">
        <f>('Tufts Summary Data'!H13*'Conversion Factors'!H13)/2000</f>
        <v>0</v>
      </c>
      <c r="I13" s="44">
        <f>('Tufts Summary Data'!I13*'Conversion Factors'!I13)/2000</f>
        <v>0</v>
      </c>
      <c r="J13" s="44">
        <f>('Tufts Summary Data'!J13*'Conversion Factors'!J13)/2000</f>
        <v>0</v>
      </c>
      <c r="K13" s="44">
        <f t="shared" si="0"/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7.25" customHeight="1" x14ac:dyDescent="0.35">
      <c r="A14" s="60">
        <v>1996</v>
      </c>
      <c r="B14" s="44">
        <f>('Tufts Summary Data'!B14*'Conversion Factors'!B14)/2000</f>
        <v>0</v>
      </c>
      <c r="C14" s="44">
        <f>('Tufts Summary Data'!C14*'Conversion Factors'!C14)/2000</f>
        <v>0</v>
      </c>
      <c r="D14" s="44">
        <f>('Tufts Summary Data'!D14*'Conversion Factors'!D14)/2000</f>
        <v>0</v>
      </c>
      <c r="E14" s="44">
        <f>('Tufts Summary Data'!E14*'Conversion Factors'!E14)/2000</f>
        <v>0</v>
      </c>
      <c r="F14" s="44">
        <f>('Tufts Summary Data'!F14*'Conversion Factors'!F14)/2000</f>
        <v>0</v>
      </c>
      <c r="G14" s="44">
        <f>('Tufts Summary Data'!G14*'Conversion Factors'!G14)/2000</f>
        <v>0</v>
      </c>
      <c r="H14" s="44">
        <f>('Tufts Summary Data'!H14*'Conversion Factors'!H14)/2000</f>
        <v>0</v>
      </c>
      <c r="I14" s="44">
        <f>('Tufts Summary Data'!I14*'Conversion Factors'!I14)/2000</f>
        <v>0</v>
      </c>
      <c r="J14" s="44">
        <f>('Tufts Summary Data'!J14*'Conversion Factors'!J14)/2000</f>
        <v>0</v>
      </c>
      <c r="K14" s="44">
        <f t="shared" si="0"/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7.25" customHeight="1" x14ac:dyDescent="0.35">
      <c r="A15" s="60">
        <v>1997</v>
      </c>
      <c r="B15" s="44">
        <f>('Tufts Summary Data'!B15*'Conversion Factors'!B15)/2000</f>
        <v>0</v>
      </c>
      <c r="C15" s="44">
        <f>('Tufts Summary Data'!C15*'Conversion Factors'!C15)/2000</f>
        <v>0</v>
      </c>
      <c r="D15" s="44">
        <f>('Tufts Summary Data'!D15*'Conversion Factors'!D15)/2000</f>
        <v>0</v>
      </c>
      <c r="E15" s="44">
        <f>('Tufts Summary Data'!E15*'Conversion Factors'!E15)/2000</f>
        <v>0</v>
      </c>
      <c r="F15" s="44">
        <f>('Tufts Summary Data'!F15*'Conversion Factors'!F15)/2000</f>
        <v>0</v>
      </c>
      <c r="G15" s="44">
        <f>('Tufts Summary Data'!G15*'Conversion Factors'!G15)/2000</f>
        <v>0</v>
      </c>
      <c r="H15" s="44">
        <f>('Tufts Summary Data'!H15*'Conversion Factors'!H15)/2000</f>
        <v>0</v>
      </c>
      <c r="I15" s="44">
        <f>('Tufts Summary Data'!I15*'Conversion Factors'!I15)/2000</f>
        <v>0</v>
      </c>
      <c r="J15" s="44">
        <f>('Tufts Summary Data'!J15*'Conversion Factors'!J15)/2000</f>
        <v>0</v>
      </c>
      <c r="K15" s="44">
        <f t="shared" si="0"/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7.25" customHeight="1" x14ac:dyDescent="0.35">
      <c r="A16" s="60">
        <v>1998</v>
      </c>
      <c r="B16" s="44">
        <f>('Tufts Summary Data'!B16*'Conversion Factors'!B16)/2000</f>
        <v>36224.517421000004</v>
      </c>
      <c r="C16" s="44">
        <f>('Tufts Summary Data'!C16*'Conversion Factors'!C16)/2000</f>
        <v>5242.5905400000001</v>
      </c>
      <c r="D16" s="44">
        <f>('Tufts Summary Data'!D16*'Conversion Factors'!D16)/2000</f>
        <v>8810.7777344999995</v>
      </c>
      <c r="E16" s="44">
        <f>('Tufts Summary Data'!E16*'Conversion Factors'!E16)/2000</f>
        <v>5039.08608</v>
      </c>
      <c r="F16" s="44">
        <f>('Tufts Summary Data'!F16*'Conversion Factors'!F16)/2000</f>
        <v>84.546909999999997</v>
      </c>
      <c r="G16" s="44">
        <f>('Tufts Summary Data'!G16*'Conversion Factors'!G16)/2000</f>
        <v>12134.9205</v>
      </c>
      <c r="H16" s="44">
        <f>('Tufts Summary Data'!H16*'Conversion Factors'!H16)/2000</f>
        <v>605.96404399999994</v>
      </c>
      <c r="I16" s="44">
        <f>('Tufts Summary Data'!I16*'Conversion Factors'!I16)/2000</f>
        <v>3419.1529999999998</v>
      </c>
      <c r="J16" s="44">
        <f>('Tufts Summary Data'!J16*'Conversion Factors'!J16)/2000</f>
        <v>0</v>
      </c>
      <c r="K16" s="44">
        <f t="shared" si="0"/>
        <v>71561.556229499998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7.25" customHeight="1" x14ac:dyDescent="0.35">
      <c r="A17" s="60">
        <v>1999</v>
      </c>
      <c r="B17" s="44">
        <f>('Tufts Summary Data'!B17*'Conversion Factors'!B17)/2000</f>
        <v>0</v>
      </c>
      <c r="C17" s="44">
        <f>('Tufts Summary Data'!C17*'Conversion Factors'!C17)/2000</f>
        <v>0</v>
      </c>
      <c r="D17" s="44">
        <f>('Tufts Summary Data'!D17*'Conversion Factors'!D17)/2000</f>
        <v>0</v>
      </c>
      <c r="E17" s="44">
        <f>('Tufts Summary Data'!E17*'Conversion Factors'!E17)/2000</f>
        <v>0</v>
      </c>
      <c r="F17" s="44">
        <f>('Tufts Summary Data'!F17*'Conversion Factors'!F17)/2000</f>
        <v>0</v>
      </c>
      <c r="G17" s="44">
        <f>('Tufts Summary Data'!G17*'Conversion Factors'!G17)/2000</f>
        <v>0</v>
      </c>
      <c r="H17" s="44">
        <f>('Tufts Summary Data'!H17*'Conversion Factors'!H17)/2000</f>
        <v>0</v>
      </c>
      <c r="I17" s="44">
        <f>('Tufts Summary Data'!I17*'Conversion Factors'!I17)/2000</f>
        <v>0</v>
      </c>
      <c r="J17" s="44">
        <f>('Tufts Summary Data'!J17*'Conversion Factors'!J17)/2000</f>
        <v>0</v>
      </c>
      <c r="K17" s="44">
        <f t="shared" si="0"/>
        <v>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7.25" customHeight="1" x14ac:dyDescent="0.35">
      <c r="A18" s="60">
        <v>2000</v>
      </c>
      <c r="B18" s="44">
        <f>('Tufts Summary Data'!B18*'Conversion Factors'!B18)/2000</f>
        <v>0</v>
      </c>
      <c r="C18" s="44">
        <f>('Tufts Summary Data'!C18*'Conversion Factors'!C18)/2000</f>
        <v>0</v>
      </c>
      <c r="D18" s="44">
        <f>('Tufts Summary Data'!D18*'Conversion Factors'!D18)/2000</f>
        <v>0</v>
      </c>
      <c r="E18" s="44">
        <f>('Tufts Summary Data'!E18*'Conversion Factors'!E18)/2000</f>
        <v>0</v>
      </c>
      <c r="F18" s="44">
        <f>('Tufts Summary Data'!F18*'Conversion Factors'!F18)/2000</f>
        <v>0</v>
      </c>
      <c r="G18" s="44">
        <f>('Tufts Summary Data'!G18*'Conversion Factors'!G18)/2000</f>
        <v>0</v>
      </c>
      <c r="H18" s="44">
        <f>('Tufts Summary Data'!H18*'Conversion Factors'!H18)/2000</f>
        <v>0</v>
      </c>
      <c r="I18" s="44">
        <f>('Tufts Summary Data'!I18*'Conversion Factors'!I18)/2000</f>
        <v>0</v>
      </c>
      <c r="J18" s="44">
        <f>('Tufts Summary Data'!J18*'Conversion Factors'!J18)/2000</f>
        <v>0</v>
      </c>
      <c r="K18" s="44">
        <f t="shared" si="0"/>
        <v>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5.5" x14ac:dyDescent="0.35">
      <c r="A19" s="16"/>
      <c r="B19" s="16"/>
      <c r="C19" s="16"/>
      <c r="D19" s="16"/>
      <c r="E19" s="16"/>
      <c r="F19" s="16"/>
      <c r="G19" s="16"/>
      <c r="H19" s="16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2" ht="15.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2" ht="15.5" x14ac:dyDescent="0.3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2" ht="15.5" x14ac:dyDescent="0.3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2" ht="15.5" x14ac:dyDescent="0.3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2" ht="15.5" x14ac:dyDescent="0.3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2" ht="15.5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2" ht="15.5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2" ht="15.5" x14ac:dyDescent="0.3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2" ht="15.5" x14ac:dyDescent="0.3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2" ht="15.5" x14ac:dyDescent="0.3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2" ht="15.5" x14ac:dyDescent="0.3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2" ht="15.5" x14ac:dyDescent="0.3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2" ht="15.5" x14ac:dyDescent="0.3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5" x14ac:dyDescent="0.3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5" x14ac:dyDescent="0.3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5" x14ac:dyDescent="0.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5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5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5" x14ac:dyDescent="0.3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5" x14ac:dyDescent="0.3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5" x14ac:dyDescent="0.3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5" x14ac:dyDescent="0.3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5" x14ac:dyDescent="0.3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5" x14ac:dyDescent="0.3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5" x14ac:dyDescent="0.3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3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3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3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3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3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3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3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3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3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3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3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3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3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3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3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3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3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3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3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3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 spans="1:21" ht="13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3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3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 spans="1:21" ht="13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ht="13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ht="13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3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ht="13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ht="13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ht="13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ht="13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</sheetData>
  <pageMargins left="0.5" right="0.5" top="0.5" bottom="0.5" header="0.5" footer="0.5"/>
  <pageSetup scale="9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"/>
  <sheetViews>
    <sheetView workbookViewId="0"/>
  </sheetViews>
  <sheetFormatPr defaultRowHeight="12.5" x14ac:dyDescent="0.25"/>
  <cols>
    <col min="1" max="6" width="9.26953125" customWidth="1"/>
    <col min="7" max="7" width="12.7265625" customWidth="1"/>
    <col min="8" max="9" width="9.26953125" customWidth="1"/>
    <col min="10" max="10" width="14" customWidth="1"/>
    <col min="11" max="11" width="9.26953125" customWidth="1"/>
  </cols>
  <sheetData>
    <row r="1" spans="1:21" ht="18" x14ac:dyDescent="0.4">
      <c r="A1" s="43" t="s">
        <v>118</v>
      </c>
      <c r="B1" s="4"/>
      <c r="C1" s="4"/>
      <c r="D1" s="4"/>
      <c r="E1" s="4"/>
      <c r="F1" s="4"/>
      <c r="G1" s="2"/>
      <c r="H1" s="4"/>
      <c r="I1" s="4"/>
      <c r="J1" s="5">
        <f ca="1">NOW()</f>
        <v>43857.445003935187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5" x14ac:dyDescent="0.35">
      <c r="A2" s="6" t="s">
        <v>1</v>
      </c>
      <c r="B2" s="7" t="s">
        <v>116</v>
      </c>
      <c r="C2" s="8"/>
      <c r="D2" s="8"/>
      <c r="E2" s="8"/>
      <c r="F2" s="8"/>
      <c r="G2" s="8"/>
      <c r="H2" s="8"/>
      <c r="I2" s="8"/>
      <c r="J2" s="2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5" x14ac:dyDescent="0.35">
      <c r="A3" s="6"/>
      <c r="B3" s="9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6.5" x14ac:dyDescent="0.4">
      <c r="A4" s="10" t="s">
        <v>119</v>
      </c>
      <c r="B4" s="2"/>
      <c r="C4" s="2"/>
      <c r="D4" s="2"/>
      <c r="E4" s="2"/>
      <c r="F4" s="2"/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5" x14ac:dyDescent="0.35">
      <c r="A5" s="11"/>
      <c r="B5" s="11" t="s">
        <v>85</v>
      </c>
      <c r="C5" s="11" t="s">
        <v>86</v>
      </c>
      <c r="D5" s="11"/>
      <c r="E5" s="11"/>
      <c r="F5" s="11"/>
      <c r="G5" s="11"/>
      <c r="H5" s="1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5" x14ac:dyDescent="0.35">
      <c r="A6" s="17" t="s">
        <v>3</v>
      </c>
      <c r="B6" s="17" t="s">
        <v>87</v>
      </c>
      <c r="C6" s="17" t="s">
        <v>87</v>
      </c>
      <c r="D6" s="17" t="s">
        <v>88</v>
      </c>
      <c r="E6" s="17" t="s">
        <v>89</v>
      </c>
      <c r="F6" s="17" t="s">
        <v>90</v>
      </c>
      <c r="G6" s="17" t="s">
        <v>91</v>
      </c>
      <c r="H6" s="17" t="s">
        <v>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5" x14ac:dyDescent="0.35">
      <c r="A7" s="12"/>
      <c r="B7" s="13"/>
      <c r="C7" s="15"/>
      <c r="D7" s="15"/>
      <c r="E7" s="13"/>
      <c r="F7" s="15"/>
      <c r="G7" s="15"/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5" x14ac:dyDescent="0.35">
      <c r="A8" s="14">
        <v>1990</v>
      </c>
      <c r="B8" s="33">
        <f>('Tufts Summary Data'!B57*'Conversion Factors'!E26)</f>
        <v>0</v>
      </c>
      <c r="C8" s="33">
        <f>('Tufts Summary Data'!C57*'Conversion Factors'!F26)</f>
        <v>3.3895502645502646</v>
      </c>
      <c r="D8" s="33">
        <f>('Tufts Summary Data'!D57*'Conversion Factors'!G26)</f>
        <v>0.88183421516754845</v>
      </c>
      <c r="E8" s="33">
        <f>('Tufts Summary Data'!E57*'Conversion Factors'!H26)</f>
        <v>0</v>
      </c>
      <c r="F8" s="33">
        <f>('Tufts Summary Data'!F57*'Conversion Factors'!I26)</f>
        <v>0</v>
      </c>
      <c r="G8" s="33">
        <f>('Tufts Summary Data'!G57*'Conversion Factors'!J26)</f>
        <v>1.3227513227513228</v>
      </c>
      <c r="H8" s="33">
        <f>SUM(B8:G8)</f>
        <v>5.5941358024691361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5" x14ac:dyDescent="0.35">
      <c r="A9" s="14">
        <v>1991</v>
      </c>
      <c r="B9" s="33">
        <f>('Tufts Summary Data'!B58*'Conversion Factors'!E27)</f>
        <v>0</v>
      </c>
      <c r="C9" s="33">
        <f>('Tufts Summary Data'!C58*'Conversion Factors'!F27)</f>
        <v>0</v>
      </c>
      <c r="D9" s="33">
        <f>('Tufts Summary Data'!D58*'Conversion Factors'!G27)</f>
        <v>0</v>
      </c>
      <c r="E9" s="33">
        <f>('Tufts Summary Data'!E58*'Conversion Factors'!H27)</f>
        <v>0</v>
      </c>
      <c r="F9" s="33">
        <f>('Tufts Summary Data'!F58*'Conversion Factors'!I27)</f>
        <v>0</v>
      </c>
      <c r="G9" s="33">
        <f>('Tufts Summary Data'!G58*'Conversion Factors'!J27)</f>
        <v>0</v>
      </c>
      <c r="H9" s="33">
        <f t="shared" ref="H9:H18" si="0">SUM(B9:G9)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5" x14ac:dyDescent="0.35">
      <c r="A10" s="14">
        <v>1992</v>
      </c>
      <c r="B10" s="33">
        <f>('Tufts Summary Data'!B59*'Conversion Factors'!E28)</f>
        <v>0</v>
      </c>
      <c r="C10" s="33">
        <f>('Tufts Summary Data'!C59*'Conversion Factors'!F28)</f>
        <v>0</v>
      </c>
      <c r="D10" s="33">
        <f>('Tufts Summary Data'!D59*'Conversion Factors'!G28)</f>
        <v>0</v>
      </c>
      <c r="E10" s="33">
        <f>('Tufts Summary Data'!E59*'Conversion Factors'!H28)</f>
        <v>0</v>
      </c>
      <c r="F10" s="33">
        <f>('Tufts Summary Data'!F59*'Conversion Factors'!I28)</f>
        <v>0</v>
      </c>
      <c r="G10" s="33">
        <f>('Tufts Summary Data'!G59*'Conversion Factors'!J28)</f>
        <v>0</v>
      </c>
      <c r="H10" s="33">
        <f t="shared" si="0"/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5" x14ac:dyDescent="0.35">
      <c r="A11" s="14">
        <v>1993</v>
      </c>
      <c r="B11" s="33">
        <f>('Tufts Summary Data'!B60*'Conversion Factors'!E29)</f>
        <v>0</v>
      </c>
      <c r="C11" s="33">
        <f>('Tufts Summary Data'!C60*'Conversion Factors'!F29)</f>
        <v>0</v>
      </c>
      <c r="D11" s="33">
        <f>('Tufts Summary Data'!D60*'Conversion Factors'!G29)</f>
        <v>0</v>
      </c>
      <c r="E11" s="33">
        <f>('Tufts Summary Data'!E60*'Conversion Factors'!H29)</f>
        <v>0</v>
      </c>
      <c r="F11" s="33">
        <f>('Tufts Summary Data'!F60*'Conversion Factors'!I29)</f>
        <v>0</v>
      </c>
      <c r="G11" s="33">
        <f>('Tufts Summary Data'!G60*'Conversion Factors'!J29)</f>
        <v>0</v>
      </c>
      <c r="H11" s="33">
        <f t="shared" si="0"/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5" x14ac:dyDescent="0.35">
      <c r="A12" s="14">
        <v>1994</v>
      </c>
      <c r="B12" s="33">
        <f>('Tufts Summary Data'!B61*'Conversion Factors'!E30)</f>
        <v>0</v>
      </c>
      <c r="C12" s="33">
        <f>('Tufts Summary Data'!C61*'Conversion Factors'!F30)</f>
        <v>0</v>
      </c>
      <c r="D12" s="33">
        <f>('Tufts Summary Data'!D61*'Conversion Factors'!G30)</f>
        <v>0</v>
      </c>
      <c r="E12" s="33">
        <f>('Tufts Summary Data'!E61*'Conversion Factors'!H30)</f>
        <v>0</v>
      </c>
      <c r="F12" s="33">
        <f>('Tufts Summary Data'!F61*'Conversion Factors'!I30)</f>
        <v>0</v>
      </c>
      <c r="G12" s="33">
        <f>('Tufts Summary Data'!G61*'Conversion Factors'!J30)</f>
        <v>0</v>
      </c>
      <c r="H12" s="33">
        <f t="shared" si="0"/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5" x14ac:dyDescent="0.35">
      <c r="A13" s="14">
        <v>1995</v>
      </c>
      <c r="B13" s="33">
        <f>('Tufts Summary Data'!B62*'Conversion Factors'!E31)</f>
        <v>0</v>
      </c>
      <c r="C13" s="33">
        <f>('Tufts Summary Data'!C62*'Conversion Factors'!F31)</f>
        <v>0</v>
      </c>
      <c r="D13" s="33">
        <f>('Tufts Summary Data'!D62*'Conversion Factors'!G31)</f>
        <v>0</v>
      </c>
      <c r="E13" s="33">
        <f>('Tufts Summary Data'!E62*'Conversion Factors'!H31)</f>
        <v>0</v>
      </c>
      <c r="F13" s="33">
        <f>('Tufts Summary Data'!F62*'Conversion Factors'!I31)</f>
        <v>0</v>
      </c>
      <c r="G13" s="33">
        <f>('Tufts Summary Data'!G62*'Conversion Factors'!J31)</f>
        <v>0</v>
      </c>
      <c r="H13" s="33">
        <f t="shared" si="0"/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5" x14ac:dyDescent="0.35">
      <c r="A14" s="14">
        <v>1996</v>
      </c>
      <c r="B14" s="33">
        <f>('Tufts Summary Data'!B63*'Conversion Factors'!E32)</f>
        <v>0</v>
      </c>
      <c r="C14" s="33">
        <f>('Tufts Summary Data'!C63*'Conversion Factors'!F32)</f>
        <v>0</v>
      </c>
      <c r="D14" s="33">
        <f>('Tufts Summary Data'!D63*'Conversion Factors'!G32)</f>
        <v>0</v>
      </c>
      <c r="E14" s="33">
        <f>('Tufts Summary Data'!E63*'Conversion Factors'!H32)</f>
        <v>0</v>
      </c>
      <c r="F14" s="33">
        <f>('Tufts Summary Data'!F63*'Conversion Factors'!I32)</f>
        <v>0</v>
      </c>
      <c r="G14" s="33">
        <f>('Tufts Summary Data'!G63*'Conversion Factors'!J32)</f>
        <v>0</v>
      </c>
      <c r="H14" s="33">
        <f t="shared" si="0"/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5" x14ac:dyDescent="0.35">
      <c r="A15" s="14">
        <v>1997</v>
      </c>
      <c r="B15" s="33">
        <f>('Tufts Summary Data'!B64*'Conversion Factors'!E33)</f>
        <v>0</v>
      </c>
      <c r="C15" s="33">
        <f>('Tufts Summary Data'!C64*'Conversion Factors'!F33)</f>
        <v>0</v>
      </c>
      <c r="D15" s="33">
        <f>('Tufts Summary Data'!D64*'Conversion Factors'!G33)</f>
        <v>0</v>
      </c>
      <c r="E15" s="33">
        <f>('Tufts Summary Data'!E64*'Conversion Factors'!H33)</f>
        <v>0</v>
      </c>
      <c r="F15" s="33">
        <f>('Tufts Summary Data'!F64*'Conversion Factors'!I33)</f>
        <v>0</v>
      </c>
      <c r="G15" s="33">
        <f>('Tufts Summary Data'!G64*'Conversion Factors'!J33)</f>
        <v>0</v>
      </c>
      <c r="H15" s="33">
        <f t="shared" si="0"/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5" x14ac:dyDescent="0.35">
      <c r="A16" s="14">
        <v>1998</v>
      </c>
      <c r="B16" s="33">
        <f>('Tufts Summary Data'!B65*'Conversion Factors'!E34)</f>
        <v>6.9334215167548496</v>
      </c>
      <c r="C16" s="33">
        <f>('Tufts Summary Data'!C65*'Conversion Factors'!F34)</f>
        <v>0</v>
      </c>
      <c r="D16" s="33">
        <f>('Tufts Summary Data'!D65*'Conversion Factors'!G34)</f>
        <v>0.57319223985890644</v>
      </c>
      <c r="E16" s="33">
        <f>('Tufts Summary Data'!E65*'Conversion Factors'!H34)</f>
        <v>0.82671957671957663</v>
      </c>
      <c r="F16" s="33">
        <f>('Tufts Summary Data'!F65*'Conversion Factors'!I34)</f>
        <v>0.15873015873015872</v>
      </c>
      <c r="G16" s="33">
        <f>('Tufts Summary Data'!G65*'Conversion Factors'!J34)</f>
        <v>0.49603174603174605</v>
      </c>
      <c r="H16" s="33">
        <f t="shared" si="0"/>
        <v>8.9880952380952372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5" x14ac:dyDescent="0.35">
      <c r="A17" s="14">
        <v>1999</v>
      </c>
      <c r="B17" s="33">
        <f>('Tufts Summary Data'!B66*'Conversion Factors'!E35)</f>
        <v>0</v>
      </c>
      <c r="C17" s="33">
        <f>('Tufts Summary Data'!C66*'Conversion Factors'!F35)</f>
        <v>0</v>
      </c>
      <c r="D17" s="33">
        <f>('Tufts Summary Data'!D66*'Conversion Factors'!G35)</f>
        <v>0</v>
      </c>
      <c r="E17" s="33">
        <f>('Tufts Summary Data'!E66*'Conversion Factors'!H35)</f>
        <v>0</v>
      </c>
      <c r="F17" s="33">
        <f>('Tufts Summary Data'!F66*'Conversion Factors'!I35)</f>
        <v>0</v>
      </c>
      <c r="G17" s="33">
        <f>('Tufts Summary Data'!G66*'Conversion Factors'!J35)</f>
        <v>0</v>
      </c>
      <c r="H17" s="33">
        <f t="shared" si="0"/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5" x14ac:dyDescent="0.35">
      <c r="A18" s="14">
        <v>2000</v>
      </c>
      <c r="B18" s="33">
        <f>('Tufts Summary Data'!B67*'Conversion Factors'!E36)</f>
        <v>0</v>
      </c>
      <c r="C18" s="33">
        <f>('Tufts Summary Data'!C67*'Conversion Factors'!F36)</f>
        <v>0</v>
      </c>
      <c r="D18" s="33">
        <f>('Tufts Summary Data'!D67*'Conversion Factors'!G36)</f>
        <v>0</v>
      </c>
      <c r="E18" s="33">
        <f>('Tufts Summary Data'!E67*'Conversion Factors'!H36)</f>
        <v>0</v>
      </c>
      <c r="F18" s="33">
        <f>('Tufts Summary Data'!F67*'Conversion Factors'!I36)</f>
        <v>0</v>
      </c>
      <c r="G18" s="33">
        <f>('Tufts Summary Data'!G67*'Conversion Factors'!J36)</f>
        <v>0</v>
      </c>
      <c r="H18" s="33">
        <f t="shared" si="0"/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5" x14ac:dyDescent="0.3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6.5" x14ac:dyDescent="0.4">
      <c r="A21" s="10" t="s">
        <v>120</v>
      </c>
      <c r="B21" s="2"/>
      <c r="C21" s="2"/>
      <c r="D21" s="2"/>
      <c r="E21" s="2"/>
      <c r="F21" s="2"/>
      <c r="G21" s="2"/>
      <c r="H21" s="16"/>
      <c r="I21" s="16"/>
      <c r="J21" s="16"/>
      <c r="K21" s="16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5" x14ac:dyDescent="0.35">
      <c r="A22" s="11"/>
      <c r="B22" s="11" t="s">
        <v>85</v>
      </c>
      <c r="C22" s="11" t="s">
        <v>86</v>
      </c>
      <c r="D22" s="11"/>
      <c r="E22" s="11"/>
      <c r="F22" s="11"/>
      <c r="G22" s="11"/>
      <c r="H22" s="11"/>
      <c r="I22" s="16"/>
      <c r="J22" s="16"/>
      <c r="K22" s="16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5" x14ac:dyDescent="0.35">
      <c r="A23" s="17" t="s">
        <v>3</v>
      </c>
      <c r="B23" s="17" t="s">
        <v>87</v>
      </c>
      <c r="C23" s="17" t="s">
        <v>87</v>
      </c>
      <c r="D23" s="17" t="s">
        <v>88</v>
      </c>
      <c r="E23" s="17" t="s">
        <v>89</v>
      </c>
      <c r="F23" s="17" t="s">
        <v>90</v>
      </c>
      <c r="G23" s="17" t="s">
        <v>91</v>
      </c>
      <c r="H23" s="17" t="s">
        <v>9</v>
      </c>
      <c r="I23" s="16"/>
      <c r="J23" s="16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5" x14ac:dyDescent="0.35">
      <c r="A24" s="12"/>
      <c r="B24" s="13"/>
      <c r="C24" s="15"/>
      <c r="D24" s="15"/>
      <c r="E24" s="13"/>
      <c r="F24" s="15"/>
      <c r="G24" s="15"/>
      <c r="H24" s="15"/>
      <c r="I24" s="16"/>
      <c r="J24" s="16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5" x14ac:dyDescent="0.35">
      <c r="A25" s="14">
        <v>1990</v>
      </c>
      <c r="B25" s="33">
        <f>('Tufts Summary Data'!B57*'Conversion Factors'!E43)</f>
        <v>0</v>
      </c>
      <c r="C25" s="33">
        <f>('Tufts Summary Data'!C57*'Conversion Factors'!F43)</f>
        <v>4.905202821869489</v>
      </c>
      <c r="D25" s="33">
        <f>('Tufts Summary Data'!D57*'Conversion Factors'!G43)</f>
        <v>0.18628747795414463</v>
      </c>
      <c r="E25" s="33">
        <f>('Tufts Summary Data'!E57*'Conversion Factors'!H43)</f>
        <v>0</v>
      </c>
      <c r="F25" s="33">
        <f>('Tufts Summary Data'!F57*'Conversion Factors'!I43)</f>
        <v>0</v>
      </c>
      <c r="G25" s="33">
        <f>('Tufts Summary Data'!G57*'Conversion Factors'!J43)</f>
        <v>1.4902998236331571</v>
      </c>
      <c r="H25" s="33">
        <f t="shared" ref="H25:H35" si="1">SUM(B25:G25)</f>
        <v>6.5817901234567913</v>
      </c>
      <c r="I25" s="16"/>
      <c r="J25" s="16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5" x14ac:dyDescent="0.35">
      <c r="A26" s="14">
        <v>1991</v>
      </c>
      <c r="B26" s="33">
        <f>('Tufts Summary Data'!B58*'Conversion Factors'!E44)</f>
        <v>0</v>
      </c>
      <c r="C26" s="33">
        <f>('Tufts Summary Data'!C58*'Conversion Factors'!F44)</f>
        <v>0</v>
      </c>
      <c r="D26" s="33">
        <f>('Tufts Summary Data'!D58*'Conversion Factors'!G44)</f>
        <v>0</v>
      </c>
      <c r="E26" s="33">
        <f>('Tufts Summary Data'!E58*'Conversion Factors'!H44)</f>
        <v>0</v>
      </c>
      <c r="F26" s="33">
        <f>('Tufts Summary Data'!F58*'Conversion Factors'!I44)</f>
        <v>0</v>
      </c>
      <c r="G26" s="33">
        <f>('Tufts Summary Data'!G58*'Conversion Factors'!J44)</f>
        <v>0</v>
      </c>
      <c r="H26" s="33">
        <f t="shared" si="1"/>
        <v>0</v>
      </c>
      <c r="I26" s="16"/>
      <c r="J26" s="16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5" x14ac:dyDescent="0.35">
      <c r="A27" s="14">
        <v>1992</v>
      </c>
      <c r="B27" s="33">
        <f>('Tufts Summary Data'!B59*'Conversion Factors'!E45)</f>
        <v>0</v>
      </c>
      <c r="C27" s="33">
        <f>('Tufts Summary Data'!C59*'Conversion Factors'!F45)</f>
        <v>0</v>
      </c>
      <c r="D27" s="33">
        <f>('Tufts Summary Data'!D59*'Conversion Factors'!G45)</f>
        <v>0</v>
      </c>
      <c r="E27" s="33">
        <f>('Tufts Summary Data'!E59*'Conversion Factors'!H45)</f>
        <v>0</v>
      </c>
      <c r="F27" s="33">
        <f>('Tufts Summary Data'!F59*'Conversion Factors'!I45)</f>
        <v>0</v>
      </c>
      <c r="G27" s="33">
        <f>('Tufts Summary Data'!G59*'Conversion Factors'!J45)</f>
        <v>0</v>
      </c>
      <c r="H27" s="33">
        <f t="shared" si="1"/>
        <v>0</v>
      </c>
      <c r="I27" s="16"/>
      <c r="J27" s="16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5" x14ac:dyDescent="0.35">
      <c r="A28" s="14">
        <v>1993</v>
      </c>
      <c r="B28" s="33">
        <f>('Tufts Summary Data'!B60*'Conversion Factors'!E46)</f>
        <v>0</v>
      </c>
      <c r="C28" s="33">
        <f>('Tufts Summary Data'!C60*'Conversion Factors'!F46)</f>
        <v>0</v>
      </c>
      <c r="D28" s="33">
        <f>('Tufts Summary Data'!D60*'Conversion Factors'!G46)</f>
        <v>0</v>
      </c>
      <c r="E28" s="33">
        <f>('Tufts Summary Data'!E60*'Conversion Factors'!H46)</f>
        <v>0</v>
      </c>
      <c r="F28" s="33">
        <f>('Tufts Summary Data'!F60*'Conversion Factors'!I46)</f>
        <v>0</v>
      </c>
      <c r="G28" s="33">
        <f>('Tufts Summary Data'!G60*'Conversion Factors'!J46)</f>
        <v>0</v>
      </c>
      <c r="H28" s="33">
        <f t="shared" si="1"/>
        <v>0</v>
      </c>
      <c r="I28" s="16"/>
      <c r="J28" s="16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5" x14ac:dyDescent="0.35">
      <c r="A29" s="14">
        <v>1994</v>
      </c>
      <c r="B29" s="33">
        <f>('Tufts Summary Data'!B61*'Conversion Factors'!E47)</f>
        <v>0</v>
      </c>
      <c r="C29" s="33">
        <f>('Tufts Summary Data'!C61*'Conversion Factors'!F47)</f>
        <v>0</v>
      </c>
      <c r="D29" s="33">
        <f>('Tufts Summary Data'!D61*'Conversion Factors'!G47)</f>
        <v>0</v>
      </c>
      <c r="E29" s="33">
        <f>('Tufts Summary Data'!E61*'Conversion Factors'!H47)</f>
        <v>0</v>
      </c>
      <c r="F29" s="33">
        <f>('Tufts Summary Data'!F61*'Conversion Factors'!I47)</f>
        <v>0</v>
      </c>
      <c r="G29" s="33">
        <f>('Tufts Summary Data'!G61*'Conversion Factors'!J47)</f>
        <v>0</v>
      </c>
      <c r="H29" s="33">
        <f t="shared" si="1"/>
        <v>0</v>
      </c>
      <c r="I29" s="16"/>
      <c r="J29" s="16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5" x14ac:dyDescent="0.35">
      <c r="A30" s="14">
        <v>1995</v>
      </c>
      <c r="B30" s="33">
        <f>('Tufts Summary Data'!B62*'Conversion Factors'!E48)</f>
        <v>0</v>
      </c>
      <c r="C30" s="33">
        <f>('Tufts Summary Data'!C62*'Conversion Factors'!F48)</f>
        <v>0</v>
      </c>
      <c r="D30" s="33">
        <f>('Tufts Summary Data'!D62*'Conversion Factors'!G48)</f>
        <v>0</v>
      </c>
      <c r="E30" s="33">
        <f>('Tufts Summary Data'!E62*'Conversion Factors'!H48)</f>
        <v>0</v>
      </c>
      <c r="F30" s="33">
        <f>('Tufts Summary Data'!F62*'Conversion Factors'!I48)</f>
        <v>0</v>
      </c>
      <c r="G30" s="33">
        <f>('Tufts Summary Data'!G62*'Conversion Factors'!J48)</f>
        <v>0</v>
      </c>
      <c r="H30" s="33">
        <f t="shared" si="1"/>
        <v>0</v>
      </c>
      <c r="I30" s="16"/>
      <c r="J30" s="16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5" x14ac:dyDescent="0.35">
      <c r="A31" s="14">
        <v>1996</v>
      </c>
      <c r="B31" s="33">
        <f>('Tufts Summary Data'!B63*'Conversion Factors'!E49)</f>
        <v>0</v>
      </c>
      <c r="C31" s="33">
        <f>('Tufts Summary Data'!C63*'Conversion Factors'!F49)</f>
        <v>0</v>
      </c>
      <c r="D31" s="33">
        <f>('Tufts Summary Data'!D63*'Conversion Factors'!G49)</f>
        <v>0</v>
      </c>
      <c r="E31" s="33">
        <f>('Tufts Summary Data'!E63*'Conversion Factors'!H49)</f>
        <v>0</v>
      </c>
      <c r="F31" s="33">
        <f>('Tufts Summary Data'!F63*'Conversion Factors'!I49)</f>
        <v>0</v>
      </c>
      <c r="G31" s="33">
        <f>('Tufts Summary Data'!G63*'Conversion Factors'!J49)</f>
        <v>0</v>
      </c>
      <c r="H31" s="33">
        <f t="shared" si="1"/>
        <v>0</v>
      </c>
      <c r="I31" s="16"/>
      <c r="J31" s="16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5" x14ac:dyDescent="0.35">
      <c r="A32" s="14">
        <v>1997</v>
      </c>
      <c r="B32" s="33">
        <f>('Tufts Summary Data'!B64*'Conversion Factors'!E50)</f>
        <v>0</v>
      </c>
      <c r="C32" s="33">
        <f>('Tufts Summary Data'!C64*'Conversion Factors'!F50)</f>
        <v>0</v>
      </c>
      <c r="D32" s="33">
        <f>('Tufts Summary Data'!D64*'Conversion Factors'!G50)</f>
        <v>0</v>
      </c>
      <c r="E32" s="33">
        <f>('Tufts Summary Data'!E64*'Conversion Factors'!H50)</f>
        <v>0</v>
      </c>
      <c r="F32" s="33">
        <f>('Tufts Summary Data'!F64*'Conversion Factors'!I50)</f>
        <v>0</v>
      </c>
      <c r="G32" s="33">
        <f>('Tufts Summary Data'!G64*'Conversion Factors'!J50)</f>
        <v>0</v>
      </c>
      <c r="H32" s="33">
        <f t="shared" si="1"/>
        <v>0</v>
      </c>
      <c r="I32" s="16"/>
      <c r="J32" s="16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5" x14ac:dyDescent="0.35">
      <c r="A33" s="14">
        <v>1998</v>
      </c>
      <c r="B33" s="33">
        <f>('Tufts Summary Data'!B65*'Conversion Factors'!E51)</f>
        <v>4.905202821869489</v>
      </c>
      <c r="C33" s="33">
        <f>('Tufts Summary Data'!C65*'Conversion Factors'!F51)</f>
        <v>0</v>
      </c>
      <c r="D33" s="33">
        <f>('Tufts Summary Data'!D65*'Conversion Factors'!G51)</f>
        <v>0.12108686067019402</v>
      </c>
      <c r="E33" s="33">
        <f>('Tufts Summary Data'!E65*'Conversion Factors'!H51)</f>
        <v>0.27943121693121697</v>
      </c>
      <c r="F33" s="33">
        <f>('Tufts Summary Data'!F65*'Conversion Factors'!I51)</f>
        <v>1.4902998236331571E-2</v>
      </c>
      <c r="G33" s="33">
        <f>('Tufts Summary Data'!G65*'Conversion Factors'!J51)</f>
        <v>0.55886243386243395</v>
      </c>
      <c r="H33" s="33">
        <f t="shared" si="1"/>
        <v>5.8794863315696659</v>
      </c>
      <c r="I33" s="16"/>
      <c r="J33" s="16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5" x14ac:dyDescent="0.35">
      <c r="A34" s="14">
        <v>1999</v>
      </c>
      <c r="B34" s="33">
        <f>('Tufts Summary Data'!B66*'Conversion Factors'!E52)</f>
        <v>0</v>
      </c>
      <c r="C34" s="33">
        <f>('Tufts Summary Data'!C66*'Conversion Factors'!F52)</f>
        <v>0</v>
      </c>
      <c r="D34" s="33">
        <f>('Tufts Summary Data'!D66*'Conversion Factors'!G52)</f>
        <v>0</v>
      </c>
      <c r="E34" s="33">
        <f>('Tufts Summary Data'!E66*'Conversion Factors'!H52)</f>
        <v>0</v>
      </c>
      <c r="F34" s="33">
        <f>('Tufts Summary Data'!F66*'Conversion Factors'!I52)</f>
        <v>0</v>
      </c>
      <c r="G34" s="33">
        <f>('Tufts Summary Data'!G66*'Conversion Factors'!J52)</f>
        <v>0</v>
      </c>
      <c r="H34" s="33">
        <f t="shared" si="1"/>
        <v>0</v>
      </c>
      <c r="I34" s="16"/>
      <c r="J34" s="16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5" x14ac:dyDescent="0.35">
      <c r="A35" s="14">
        <v>2000</v>
      </c>
      <c r="B35" s="33">
        <f>('Tufts Summary Data'!B67*'Conversion Factors'!E53)</f>
        <v>0</v>
      </c>
      <c r="C35" s="33">
        <f>('Tufts Summary Data'!C67*'Conversion Factors'!F53)</f>
        <v>0</v>
      </c>
      <c r="D35" s="33">
        <f>('Tufts Summary Data'!D67*'Conversion Factors'!G53)</f>
        <v>0</v>
      </c>
      <c r="E35" s="33">
        <f>('Tufts Summary Data'!E67*'Conversion Factors'!H53)</f>
        <v>0</v>
      </c>
      <c r="F35" s="33">
        <f>('Tufts Summary Data'!F67*'Conversion Factors'!I53)</f>
        <v>0</v>
      </c>
      <c r="G35" s="33">
        <f>('Tufts Summary Data'!G67*'Conversion Factors'!J53)</f>
        <v>0</v>
      </c>
      <c r="H35" s="33">
        <f t="shared" si="1"/>
        <v>0</v>
      </c>
      <c r="I35" s="16"/>
      <c r="J35" s="16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5" x14ac:dyDescent="0.3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5" x14ac:dyDescent="0.3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3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ht="13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ht="13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ht="13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3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3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3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3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3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3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3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3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3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3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3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3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3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3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3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3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3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spans="1:21" ht="13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4"/>
  <sheetViews>
    <sheetView topLeftCell="A13" workbookViewId="0">
      <selection activeCell="A33" sqref="A33"/>
    </sheetView>
  </sheetViews>
  <sheetFormatPr defaultColWidth="12.54296875" defaultRowHeight="15.5" x14ac:dyDescent="0.35"/>
  <cols>
    <col min="1" max="1" width="14" style="34" customWidth="1"/>
    <col min="2" max="2" width="12.54296875" style="23"/>
    <col min="3" max="3" width="12.81640625" style="23" customWidth="1"/>
    <col min="4" max="4" width="12.54296875" style="23"/>
    <col min="5" max="5" width="11.453125" style="23" customWidth="1"/>
    <col min="6" max="6" width="10.453125" style="23" customWidth="1"/>
    <col min="7" max="7" width="12.453125" style="23" customWidth="1"/>
    <col min="8" max="8" width="11.54296875" style="23" customWidth="1"/>
    <col min="9" max="9" width="11.453125" style="23" customWidth="1"/>
    <col min="10" max="10" width="10.1796875" style="23" customWidth="1"/>
    <col min="11" max="16384" width="12.54296875" style="23"/>
  </cols>
  <sheetData>
    <row r="1" spans="1:10" s="20" customFormat="1" x14ac:dyDescent="0.35">
      <c r="A1" s="19" t="s">
        <v>121</v>
      </c>
      <c r="G1" s="21">
        <f ca="1">NOW()</f>
        <v>43857.445003935187</v>
      </c>
    </row>
    <row r="2" spans="1:10" x14ac:dyDescent="0.35">
      <c r="A2" s="22" t="s">
        <v>1</v>
      </c>
      <c r="B2" s="18" t="str">
        <f>IF('Tufts Summary Data'!B2="Enter Entity Name Here","*****",'Tufts Summary Data'!B2)</f>
        <v xml:space="preserve">Tufts University GHG Emissions </v>
      </c>
    </row>
    <row r="3" spans="1:10" x14ac:dyDescent="0.35">
      <c r="A3" s="22"/>
      <c r="B3" s="18"/>
    </row>
    <row r="4" spans="1:10" x14ac:dyDescent="0.35">
      <c r="A4" s="22" t="s">
        <v>122</v>
      </c>
      <c r="B4" s="18"/>
    </row>
    <row r="5" spans="1:10" x14ac:dyDescent="0.35">
      <c r="A5" s="11"/>
      <c r="B5" s="11"/>
      <c r="C5" s="11"/>
      <c r="D5" s="11"/>
      <c r="E5" s="11"/>
      <c r="F5" s="11"/>
      <c r="G5" s="11"/>
      <c r="H5" s="11" t="s">
        <v>34</v>
      </c>
      <c r="I5" s="11" t="s">
        <v>34</v>
      </c>
      <c r="J5" s="11"/>
    </row>
    <row r="6" spans="1:10" x14ac:dyDescent="0.35">
      <c r="A6" s="17" t="s">
        <v>3</v>
      </c>
      <c r="B6" s="17" t="s">
        <v>35</v>
      </c>
      <c r="C6" s="17" t="s">
        <v>123</v>
      </c>
      <c r="D6" s="17" t="s">
        <v>37</v>
      </c>
      <c r="E6" s="17" t="s">
        <v>38</v>
      </c>
      <c r="F6" s="17" t="s">
        <v>39</v>
      </c>
      <c r="G6" s="17" t="s">
        <v>40</v>
      </c>
      <c r="H6" s="17" t="s">
        <v>41</v>
      </c>
      <c r="I6" s="17" t="s">
        <v>42</v>
      </c>
      <c r="J6" s="17" t="s">
        <v>54</v>
      </c>
    </row>
    <row r="7" spans="1:10" x14ac:dyDescent="0.35">
      <c r="A7" s="12"/>
      <c r="B7" s="13" t="s">
        <v>55</v>
      </c>
      <c r="C7" s="13" t="s">
        <v>56</v>
      </c>
      <c r="D7" s="13" t="s">
        <v>57</v>
      </c>
      <c r="E7" s="13" t="s">
        <v>57</v>
      </c>
      <c r="F7" s="13" t="s">
        <v>57</v>
      </c>
      <c r="G7" s="13" t="s">
        <v>124</v>
      </c>
      <c r="H7" s="13" t="s">
        <v>57</v>
      </c>
      <c r="I7" s="13" t="s">
        <v>57</v>
      </c>
      <c r="J7" s="13" t="s">
        <v>57</v>
      </c>
    </row>
    <row r="8" spans="1:10" x14ac:dyDescent="0.35">
      <c r="A8" s="28">
        <v>1990</v>
      </c>
      <c r="B8" s="53">
        <v>1.6</v>
      </c>
      <c r="C8" s="53">
        <v>12.06</v>
      </c>
      <c r="D8" s="53">
        <v>26.033000000000001</v>
      </c>
      <c r="E8" s="53">
        <v>22.384</v>
      </c>
      <c r="F8" s="53">
        <v>12.67</v>
      </c>
      <c r="G8" s="54">
        <v>597</v>
      </c>
      <c r="H8" s="53">
        <v>19.594000000000001</v>
      </c>
      <c r="I8" s="53">
        <v>19.594000000000001</v>
      </c>
      <c r="J8" s="53">
        <v>22.384</v>
      </c>
    </row>
    <row r="9" spans="1:10" x14ac:dyDescent="0.35">
      <c r="A9" s="28">
        <v>1991</v>
      </c>
      <c r="B9" s="53">
        <v>1.6</v>
      </c>
      <c r="C9" s="53">
        <v>12.06</v>
      </c>
      <c r="D9" s="53">
        <v>26.033000000000001</v>
      </c>
      <c r="E9" s="53">
        <v>22.384</v>
      </c>
      <c r="F9" s="53">
        <v>12.67</v>
      </c>
      <c r="G9" s="54">
        <v>597</v>
      </c>
      <c r="H9" s="53">
        <v>19.594000000000001</v>
      </c>
      <c r="I9" s="53">
        <v>19.594000000000001</v>
      </c>
      <c r="J9" s="53">
        <v>22.384</v>
      </c>
    </row>
    <row r="10" spans="1:10" x14ac:dyDescent="0.35">
      <c r="A10" s="28">
        <v>1992</v>
      </c>
      <c r="B10" s="53">
        <v>1.6</v>
      </c>
      <c r="C10" s="53">
        <v>12.06</v>
      </c>
      <c r="D10" s="53">
        <v>26.033000000000001</v>
      </c>
      <c r="E10" s="53">
        <v>22.384</v>
      </c>
      <c r="F10" s="53">
        <v>12.67</v>
      </c>
      <c r="G10" s="54">
        <v>597</v>
      </c>
      <c r="H10" s="53">
        <v>19.594000000000001</v>
      </c>
      <c r="I10" s="53">
        <v>19.594000000000001</v>
      </c>
      <c r="J10" s="53">
        <v>22.384</v>
      </c>
    </row>
    <row r="11" spans="1:10" x14ac:dyDescent="0.35">
      <c r="A11" s="28">
        <v>1993</v>
      </c>
      <c r="B11" s="53">
        <v>1.6</v>
      </c>
      <c r="C11" s="53">
        <v>12.06</v>
      </c>
      <c r="D11" s="53">
        <v>26.033000000000001</v>
      </c>
      <c r="E11" s="53">
        <v>22.384</v>
      </c>
      <c r="F11" s="53">
        <v>12.67</v>
      </c>
      <c r="G11" s="54">
        <v>597</v>
      </c>
      <c r="H11" s="53">
        <v>19.594000000000001</v>
      </c>
      <c r="I11" s="53">
        <v>19.594000000000001</v>
      </c>
      <c r="J11" s="53">
        <v>22.384</v>
      </c>
    </row>
    <row r="12" spans="1:10" x14ac:dyDescent="0.35">
      <c r="A12" s="28">
        <v>1994</v>
      </c>
      <c r="B12" s="53">
        <v>1.6</v>
      </c>
      <c r="C12" s="53">
        <v>12.06</v>
      </c>
      <c r="D12" s="53">
        <v>26.033000000000001</v>
      </c>
      <c r="E12" s="53">
        <v>22.384</v>
      </c>
      <c r="F12" s="53">
        <v>12.67</v>
      </c>
      <c r="G12" s="54">
        <v>597</v>
      </c>
      <c r="H12" s="53">
        <v>19.594000000000001</v>
      </c>
      <c r="I12" s="53">
        <v>19.594000000000001</v>
      </c>
      <c r="J12" s="53">
        <v>22.384</v>
      </c>
    </row>
    <row r="13" spans="1:10" x14ac:dyDescent="0.35">
      <c r="A13" s="28">
        <v>1995</v>
      </c>
      <c r="B13" s="53">
        <v>1.6</v>
      </c>
      <c r="C13" s="53">
        <v>12.06</v>
      </c>
      <c r="D13" s="53">
        <v>26.033000000000001</v>
      </c>
      <c r="E13" s="53">
        <v>22.384</v>
      </c>
      <c r="F13" s="53">
        <v>12.67</v>
      </c>
      <c r="G13" s="54">
        <v>597</v>
      </c>
      <c r="H13" s="53">
        <v>19.594000000000001</v>
      </c>
      <c r="I13" s="53">
        <v>19.594000000000001</v>
      </c>
      <c r="J13" s="53">
        <v>22.384</v>
      </c>
    </row>
    <row r="14" spans="1:10" x14ac:dyDescent="0.35">
      <c r="A14" s="28">
        <v>1996</v>
      </c>
      <c r="B14" s="53">
        <v>1.6</v>
      </c>
      <c r="C14" s="53">
        <v>12.06</v>
      </c>
      <c r="D14" s="53">
        <v>26.033000000000001</v>
      </c>
      <c r="E14" s="53">
        <v>22.384</v>
      </c>
      <c r="F14" s="53">
        <v>12.67</v>
      </c>
      <c r="G14" s="54">
        <v>597</v>
      </c>
      <c r="H14" s="53">
        <v>19.594000000000001</v>
      </c>
      <c r="I14" s="53">
        <v>19.594000000000001</v>
      </c>
      <c r="J14" s="53">
        <v>22.384</v>
      </c>
    </row>
    <row r="15" spans="1:10" x14ac:dyDescent="0.35">
      <c r="A15" s="28">
        <v>1997</v>
      </c>
      <c r="B15" s="53">
        <v>1.6</v>
      </c>
      <c r="C15" s="53">
        <v>12.06</v>
      </c>
      <c r="D15" s="53">
        <v>26.033000000000001</v>
      </c>
      <c r="E15" s="53">
        <v>22.384</v>
      </c>
      <c r="F15" s="53">
        <v>12.67</v>
      </c>
      <c r="G15" s="54">
        <v>597</v>
      </c>
      <c r="H15" s="53">
        <v>19.594000000000001</v>
      </c>
      <c r="I15" s="53">
        <v>19.594000000000001</v>
      </c>
      <c r="J15" s="53">
        <v>22.384</v>
      </c>
    </row>
    <row r="16" spans="1:10" x14ac:dyDescent="0.35">
      <c r="A16" s="28">
        <v>1998</v>
      </c>
      <c r="B16" s="53">
        <v>1.4590000000000001</v>
      </c>
      <c r="C16" s="53">
        <v>12.06</v>
      </c>
      <c r="D16" s="53">
        <v>26.033000000000001</v>
      </c>
      <c r="E16" s="53">
        <v>22.384</v>
      </c>
      <c r="F16" s="53">
        <v>12.67</v>
      </c>
      <c r="G16" s="54">
        <v>597</v>
      </c>
      <c r="H16" s="53">
        <v>19.594000000000001</v>
      </c>
      <c r="I16" s="53">
        <v>19.594000000000001</v>
      </c>
      <c r="J16" s="53">
        <v>22.384</v>
      </c>
    </row>
    <row r="17" spans="1:10" x14ac:dyDescent="0.35">
      <c r="A17" s="28">
        <v>1999</v>
      </c>
      <c r="B17" s="53">
        <v>1.4590000000000001</v>
      </c>
      <c r="C17" s="53">
        <v>12.06</v>
      </c>
      <c r="D17" s="53">
        <v>26.033000000000001</v>
      </c>
      <c r="E17" s="53">
        <v>22.384</v>
      </c>
      <c r="F17" s="53">
        <v>12.67</v>
      </c>
      <c r="G17" s="54">
        <v>597</v>
      </c>
      <c r="H17" s="53">
        <v>19.594000000000001</v>
      </c>
      <c r="I17" s="53">
        <v>19.594000000000001</v>
      </c>
      <c r="J17" s="53">
        <v>22.384</v>
      </c>
    </row>
    <row r="18" spans="1:10" x14ac:dyDescent="0.35">
      <c r="A18" s="28">
        <v>2000</v>
      </c>
      <c r="B18" s="53">
        <v>1.4590000000000001</v>
      </c>
      <c r="C18" s="53">
        <v>12.06</v>
      </c>
      <c r="D18" s="53">
        <v>26.033000000000001</v>
      </c>
      <c r="E18" s="53">
        <v>22.384</v>
      </c>
      <c r="F18" s="53">
        <v>12.67</v>
      </c>
      <c r="G18" s="54">
        <v>597</v>
      </c>
      <c r="H18" s="53">
        <v>19.594000000000001</v>
      </c>
      <c r="I18" s="53">
        <v>19.594000000000001</v>
      </c>
      <c r="J18" s="53">
        <v>22.384</v>
      </c>
    </row>
    <row r="19" spans="1:10" x14ac:dyDescent="0.35">
      <c r="A19" s="29"/>
      <c r="B19" s="30"/>
      <c r="C19" s="30"/>
      <c r="D19" s="31"/>
      <c r="E19" s="31"/>
    </row>
    <row r="20" spans="1:10" x14ac:dyDescent="0.35">
      <c r="A20" s="29"/>
      <c r="B20" s="30"/>
      <c r="C20" s="30"/>
      <c r="D20" s="31"/>
      <c r="E20" s="31"/>
    </row>
    <row r="22" spans="1:10" ht="17.5" x14ac:dyDescent="0.45">
      <c r="A22" s="37" t="s">
        <v>125</v>
      </c>
      <c r="D22" s="65" t="s">
        <v>126</v>
      </c>
      <c r="E22" s="2"/>
      <c r="F22" s="2"/>
      <c r="G22" s="2"/>
      <c r="H22" s="2"/>
      <c r="I22" s="2"/>
      <c r="J22" s="2"/>
    </row>
    <row r="23" spans="1:10" x14ac:dyDescent="0.35">
      <c r="A23" s="11" t="s">
        <v>127</v>
      </c>
      <c r="B23" s="11"/>
      <c r="D23" s="11"/>
      <c r="E23" s="11" t="s">
        <v>85</v>
      </c>
      <c r="F23" s="11" t="s">
        <v>86</v>
      </c>
      <c r="G23" s="11"/>
      <c r="H23" s="11"/>
      <c r="I23" s="11"/>
      <c r="J23" s="11"/>
    </row>
    <row r="24" spans="1:10" x14ac:dyDescent="0.35">
      <c r="A24" s="17" t="s">
        <v>128</v>
      </c>
      <c r="B24" s="17" t="s">
        <v>129</v>
      </c>
      <c r="D24" s="17" t="s">
        <v>3</v>
      </c>
      <c r="E24" s="17" t="s">
        <v>87</v>
      </c>
      <c r="F24" s="17" t="s">
        <v>87</v>
      </c>
      <c r="G24" s="17" t="s">
        <v>88</v>
      </c>
      <c r="H24" s="17" t="s">
        <v>89</v>
      </c>
      <c r="I24" s="17" t="s">
        <v>90</v>
      </c>
      <c r="J24" s="17" t="s">
        <v>91</v>
      </c>
    </row>
    <row r="25" spans="1:10" x14ac:dyDescent="0.35">
      <c r="A25" s="12"/>
      <c r="B25" s="13"/>
      <c r="D25" s="12"/>
      <c r="E25" s="13"/>
      <c r="F25" s="15"/>
      <c r="G25" s="15"/>
      <c r="H25" s="13"/>
      <c r="I25" s="15"/>
      <c r="J25" s="15"/>
    </row>
    <row r="26" spans="1:10" x14ac:dyDescent="0.35">
      <c r="A26" s="38" t="s">
        <v>130</v>
      </c>
      <c r="B26" s="39">
        <v>1</v>
      </c>
      <c r="D26" s="14">
        <v>1990</v>
      </c>
      <c r="E26" s="59">
        <f t="shared" ref="E26:E33" si="0">0.1258/0.9072</f>
        <v>0.13866843033509699</v>
      </c>
      <c r="F26" s="59">
        <f t="shared" ref="F26:F33" si="1">0.0615/0.9072</f>
        <v>6.7791005291005291E-2</v>
      </c>
      <c r="G26" s="59">
        <f t="shared" ref="G26:G33" si="2">0.008/0.9072</f>
        <v>8.8183421516754845E-3</v>
      </c>
      <c r="H26" s="59">
        <f t="shared" ref="H26:H33" si="3">0.005/0.9072</f>
        <v>5.5114638447971778E-3</v>
      </c>
      <c r="I26" s="59">
        <f t="shared" ref="I26:I33" si="4">0.018/0.9072</f>
        <v>1.984126984126984E-2</v>
      </c>
      <c r="J26" s="59">
        <f t="shared" ref="J26:J33" si="5">0.0015/0.9072</f>
        <v>1.6534391534391536E-3</v>
      </c>
    </row>
    <row r="27" spans="1:10" x14ac:dyDescent="0.35">
      <c r="A27" s="38" t="s">
        <v>131</v>
      </c>
      <c r="B27" s="39">
        <v>21</v>
      </c>
      <c r="D27" s="14">
        <v>1991</v>
      </c>
      <c r="E27" s="59">
        <f t="shared" si="0"/>
        <v>0.13866843033509699</v>
      </c>
      <c r="F27" s="59">
        <f t="shared" si="1"/>
        <v>6.7791005291005291E-2</v>
      </c>
      <c r="G27" s="59">
        <f t="shared" si="2"/>
        <v>8.8183421516754845E-3</v>
      </c>
      <c r="H27" s="59">
        <f t="shared" si="3"/>
        <v>5.5114638447971778E-3</v>
      </c>
      <c r="I27" s="59">
        <f t="shared" si="4"/>
        <v>1.984126984126984E-2</v>
      </c>
      <c r="J27" s="59">
        <f t="shared" si="5"/>
        <v>1.6534391534391536E-3</v>
      </c>
    </row>
    <row r="28" spans="1:10" x14ac:dyDescent="0.35">
      <c r="A28" s="38" t="s">
        <v>132</v>
      </c>
      <c r="B28" s="39">
        <v>310</v>
      </c>
      <c r="D28" s="14">
        <v>1992</v>
      </c>
      <c r="E28" s="59">
        <f t="shared" si="0"/>
        <v>0.13866843033509699</v>
      </c>
      <c r="F28" s="59">
        <f t="shared" si="1"/>
        <v>6.7791005291005291E-2</v>
      </c>
      <c r="G28" s="59">
        <f t="shared" si="2"/>
        <v>8.8183421516754845E-3</v>
      </c>
      <c r="H28" s="59">
        <f t="shared" si="3"/>
        <v>5.5114638447971778E-3</v>
      </c>
      <c r="I28" s="59">
        <f t="shared" si="4"/>
        <v>1.984126984126984E-2</v>
      </c>
      <c r="J28" s="59">
        <f t="shared" si="5"/>
        <v>1.6534391534391536E-3</v>
      </c>
    </row>
    <row r="29" spans="1:10" x14ac:dyDescent="0.35">
      <c r="A29" s="38" t="s">
        <v>133</v>
      </c>
      <c r="B29" s="40">
        <v>1300</v>
      </c>
      <c r="D29" s="14">
        <v>1993</v>
      </c>
      <c r="E29" s="59">
        <f t="shared" si="0"/>
        <v>0.13866843033509699</v>
      </c>
      <c r="F29" s="59">
        <f t="shared" si="1"/>
        <v>6.7791005291005291E-2</v>
      </c>
      <c r="G29" s="59">
        <f t="shared" si="2"/>
        <v>8.8183421516754845E-3</v>
      </c>
      <c r="H29" s="59">
        <f t="shared" si="3"/>
        <v>5.5114638447971778E-3</v>
      </c>
      <c r="I29" s="59">
        <f t="shared" si="4"/>
        <v>1.984126984126984E-2</v>
      </c>
      <c r="J29" s="59">
        <f t="shared" si="5"/>
        <v>1.6534391534391536E-3</v>
      </c>
    </row>
    <row r="30" spans="1:10" x14ac:dyDescent="0.35">
      <c r="A30" s="38" t="s">
        <v>134</v>
      </c>
      <c r="B30" s="40">
        <v>12100</v>
      </c>
      <c r="D30" s="14">
        <v>1994</v>
      </c>
      <c r="E30" s="59">
        <f t="shared" si="0"/>
        <v>0.13866843033509699</v>
      </c>
      <c r="F30" s="59">
        <f t="shared" si="1"/>
        <v>6.7791005291005291E-2</v>
      </c>
      <c r="G30" s="59">
        <f t="shared" si="2"/>
        <v>8.8183421516754845E-3</v>
      </c>
      <c r="H30" s="59">
        <f t="shared" si="3"/>
        <v>5.5114638447971778E-3</v>
      </c>
      <c r="I30" s="59">
        <f t="shared" si="4"/>
        <v>1.984126984126984E-2</v>
      </c>
      <c r="J30" s="59">
        <f t="shared" si="5"/>
        <v>1.6534391534391536E-3</v>
      </c>
    </row>
    <row r="31" spans="1:10" x14ac:dyDescent="0.35">
      <c r="A31" s="38" t="s">
        <v>135</v>
      </c>
      <c r="B31" s="39">
        <v>140</v>
      </c>
      <c r="D31" s="14">
        <v>1995</v>
      </c>
      <c r="E31" s="59">
        <f t="shared" si="0"/>
        <v>0.13866843033509699</v>
      </c>
      <c r="F31" s="59">
        <f t="shared" si="1"/>
        <v>6.7791005291005291E-2</v>
      </c>
      <c r="G31" s="59">
        <f t="shared" si="2"/>
        <v>8.8183421516754845E-3</v>
      </c>
      <c r="H31" s="59">
        <f t="shared" si="3"/>
        <v>5.5114638447971778E-3</v>
      </c>
      <c r="I31" s="59">
        <f t="shared" si="4"/>
        <v>1.984126984126984E-2</v>
      </c>
      <c r="J31" s="59">
        <f t="shared" si="5"/>
        <v>1.6534391534391536E-3</v>
      </c>
    </row>
    <row r="32" spans="1:10" x14ac:dyDescent="0.35">
      <c r="A32" s="38" t="s">
        <v>136</v>
      </c>
      <c r="B32" s="40">
        <v>2900</v>
      </c>
      <c r="D32" s="14">
        <v>1996</v>
      </c>
      <c r="E32" s="59">
        <f t="shared" si="0"/>
        <v>0.13866843033509699</v>
      </c>
      <c r="F32" s="59">
        <f t="shared" si="1"/>
        <v>6.7791005291005291E-2</v>
      </c>
      <c r="G32" s="59">
        <f t="shared" si="2"/>
        <v>8.8183421516754845E-3</v>
      </c>
      <c r="H32" s="59">
        <f t="shared" si="3"/>
        <v>5.5114638447971778E-3</v>
      </c>
      <c r="I32" s="59">
        <f t="shared" si="4"/>
        <v>1.984126984126984E-2</v>
      </c>
      <c r="J32" s="59">
        <f t="shared" si="5"/>
        <v>1.6534391534391536E-3</v>
      </c>
    </row>
    <row r="33" spans="1:10" x14ac:dyDescent="0.35">
      <c r="A33" s="38" t="s">
        <v>137</v>
      </c>
      <c r="B33" s="40">
        <v>7850</v>
      </c>
      <c r="D33" s="14">
        <v>1997</v>
      </c>
      <c r="E33" s="59">
        <f t="shared" si="0"/>
        <v>0.13866843033509699</v>
      </c>
      <c r="F33" s="59">
        <f t="shared" si="1"/>
        <v>6.7791005291005291E-2</v>
      </c>
      <c r="G33" s="59">
        <f t="shared" si="2"/>
        <v>8.8183421516754845E-3</v>
      </c>
      <c r="H33" s="59">
        <f t="shared" si="3"/>
        <v>5.5114638447971778E-3</v>
      </c>
      <c r="I33" s="59">
        <f t="shared" si="4"/>
        <v>1.984126984126984E-2</v>
      </c>
      <c r="J33" s="59">
        <f t="shared" si="5"/>
        <v>1.6534391534391536E-3</v>
      </c>
    </row>
    <row r="34" spans="1:10" x14ac:dyDescent="0.35">
      <c r="A34" s="38" t="s">
        <v>138</v>
      </c>
      <c r="B34" s="40">
        <v>23900</v>
      </c>
      <c r="D34" s="14">
        <v>1998</v>
      </c>
      <c r="E34" s="59">
        <f>0.1258/0.9072</f>
        <v>0.13866843033509699</v>
      </c>
      <c r="F34" s="59">
        <f>0.0615/0.9072</f>
        <v>6.7791005291005291E-2</v>
      </c>
      <c r="G34" s="59">
        <f>0.008/0.9072</f>
        <v>8.8183421516754845E-3</v>
      </c>
      <c r="H34" s="59">
        <f>0.005/0.9072</f>
        <v>5.5114638447971778E-3</v>
      </c>
      <c r="I34" s="59">
        <f>0.018/0.9072</f>
        <v>1.984126984126984E-2</v>
      </c>
      <c r="J34" s="59">
        <f>0.0015/0.9072</f>
        <v>1.6534391534391536E-3</v>
      </c>
    </row>
    <row r="35" spans="1:10" x14ac:dyDescent="0.35">
      <c r="D35" s="14">
        <v>1999</v>
      </c>
      <c r="E35" s="59">
        <f>0.1258/0.9072</f>
        <v>0.13866843033509699</v>
      </c>
      <c r="F35" s="59">
        <f>0.0615/0.9072</f>
        <v>6.7791005291005291E-2</v>
      </c>
      <c r="G35" s="59">
        <f>0.008/0.9072</f>
        <v>8.8183421516754845E-3</v>
      </c>
      <c r="H35" s="59">
        <f>0.005/0.9072</f>
        <v>5.5114638447971778E-3</v>
      </c>
      <c r="I35" s="59">
        <f>0.018/0.9072</f>
        <v>1.984126984126984E-2</v>
      </c>
      <c r="J35" s="59">
        <f>0.0015/0.9072</f>
        <v>1.6534391534391536E-3</v>
      </c>
    </row>
    <row r="36" spans="1:10" x14ac:dyDescent="0.35">
      <c r="D36" s="14">
        <v>2000</v>
      </c>
      <c r="E36" s="59">
        <f>0.1258/0.9072</f>
        <v>0.13866843033509699</v>
      </c>
      <c r="F36" s="59">
        <f>0.0615/0.9072</f>
        <v>6.7791005291005291E-2</v>
      </c>
      <c r="G36" s="59">
        <f>0.008/0.9072</f>
        <v>8.8183421516754845E-3</v>
      </c>
      <c r="H36" s="59">
        <f>0.005/0.9072</f>
        <v>5.5114638447971778E-3</v>
      </c>
      <c r="I36" s="59">
        <f>0.018/0.9072</f>
        <v>1.984126984126984E-2</v>
      </c>
      <c r="J36" s="59">
        <f>0.0015/0.9072</f>
        <v>1.6534391534391536E-3</v>
      </c>
    </row>
    <row r="37" spans="1:10" x14ac:dyDescent="0.35">
      <c r="D37" s="2"/>
      <c r="E37" s="2"/>
      <c r="F37" s="2"/>
      <c r="G37" s="2"/>
      <c r="H37" s="2"/>
      <c r="I37" s="2"/>
      <c r="J37" s="2"/>
    </row>
    <row r="38" spans="1:10" x14ac:dyDescent="0.35">
      <c r="D38" s="16"/>
      <c r="E38" s="16"/>
      <c r="F38" s="16"/>
      <c r="G38" s="16"/>
      <c r="H38" s="16"/>
      <c r="I38" s="16"/>
      <c r="J38" s="16"/>
    </row>
    <row r="39" spans="1:10" ht="17.5" x14ac:dyDescent="0.45">
      <c r="D39" s="65" t="s">
        <v>139</v>
      </c>
      <c r="E39" s="2"/>
      <c r="F39" s="2"/>
      <c r="G39" s="2"/>
      <c r="H39" s="2"/>
      <c r="I39" s="2"/>
      <c r="J39" s="2"/>
    </row>
    <row r="40" spans="1:10" x14ac:dyDescent="0.35">
      <c r="D40" s="11"/>
      <c r="E40" s="11" t="s">
        <v>85</v>
      </c>
      <c r="F40" s="11" t="s">
        <v>86</v>
      </c>
      <c r="G40" s="11"/>
      <c r="H40" s="11"/>
      <c r="I40" s="11"/>
      <c r="J40" s="11"/>
    </row>
    <row r="41" spans="1:10" x14ac:dyDescent="0.35">
      <c r="D41" s="17" t="s">
        <v>3</v>
      </c>
      <c r="E41" s="17" t="s">
        <v>87</v>
      </c>
      <c r="F41" s="17" t="s">
        <v>87</v>
      </c>
      <c r="G41" s="17" t="s">
        <v>88</v>
      </c>
      <c r="H41" s="17" t="s">
        <v>89</v>
      </c>
      <c r="I41" s="17" t="s">
        <v>90</v>
      </c>
      <c r="J41" s="17" t="s">
        <v>91</v>
      </c>
    </row>
    <row r="42" spans="1:10" x14ac:dyDescent="0.35">
      <c r="D42" s="12"/>
      <c r="E42" s="13"/>
      <c r="F42" s="15"/>
      <c r="G42" s="15"/>
      <c r="H42" s="13"/>
      <c r="I42" s="15"/>
      <c r="J42" s="15"/>
    </row>
    <row r="43" spans="1:10" x14ac:dyDescent="0.35">
      <c r="D43" s="14">
        <v>1990</v>
      </c>
      <c r="E43" s="59">
        <f>0.089/0.9072</f>
        <v>9.8104056437389772E-2</v>
      </c>
      <c r="F43" s="59">
        <f t="shared" ref="F43:F53" si="6">0.089/0.9072</f>
        <v>9.8104056437389772E-2</v>
      </c>
      <c r="G43" s="59">
        <f t="shared" ref="G43:I53" si="7">0.00169/0.9072</f>
        <v>1.8628747795414464E-3</v>
      </c>
      <c r="H43" s="59">
        <f t="shared" si="7"/>
        <v>1.8628747795414464E-3</v>
      </c>
      <c r="I43" s="59">
        <f t="shared" si="7"/>
        <v>1.8628747795414464E-3</v>
      </c>
      <c r="J43" s="59">
        <f>0.00169/0.9072</f>
        <v>1.8628747795414464E-3</v>
      </c>
    </row>
    <row r="44" spans="1:10" x14ac:dyDescent="0.35">
      <c r="D44" s="14">
        <v>1991</v>
      </c>
      <c r="E44" s="59">
        <f t="shared" ref="E44:E53" si="8">0.089/0.9072</f>
        <v>9.8104056437389772E-2</v>
      </c>
      <c r="F44" s="59">
        <f t="shared" si="6"/>
        <v>9.8104056437389772E-2</v>
      </c>
      <c r="G44" s="59">
        <f t="shared" si="7"/>
        <v>1.8628747795414464E-3</v>
      </c>
      <c r="H44" s="59">
        <f t="shared" si="7"/>
        <v>1.8628747795414464E-3</v>
      </c>
      <c r="I44" s="59">
        <f t="shared" si="7"/>
        <v>1.8628747795414464E-3</v>
      </c>
      <c r="J44" s="59">
        <f t="shared" ref="J44:J53" si="9">0.00169/0.9072</f>
        <v>1.8628747795414464E-3</v>
      </c>
    </row>
    <row r="45" spans="1:10" x14ac:dyDescent="0.35">
      <c r="D45" s="14">
        <v>1992</v>
      </c>
      <c r="E45" s="59">
        <f t="shared" si="8"/>
        <v>9.8104056437389772E-2</v>
      </c>
      <c r="F45" s="59">
        <f t="shared" si="6"/>
        <v>9.8104056437389772E-2</v>
      </c>
      <c r="G45" s="59">
        <f t="shared" si="7"/>
        <v>1.8628747795414464E-3</v>
      </c>
      <c r="H45" s="59">
        <f t="shared" si="7"/>
        <v>1.8628747795414464E-3</v>
      </c>
      <c r="I45" s="59">
        <f t="shared" si="7"/>
        <v>1.8628747795414464E-3</v>
      </c>
      <c r="J45" s="59">
        <f t="shared" si="9"/>
        <v>1.8628747795414464E-3</v>
      </c>
    </row>
    <row r="46" spans="1:10" x14ac:dyDescent="0.35">
      <c r="D46" s="14">
        <v>1993</v>
      </c>
      <c r="E46" s="59">
        <f t="shared" si="8"/>
        <v>9.8104056437389772E-2</v>
      </c>
      <c r="F46" s="59">
        <f t="shared" si="6"/>
        <v>9.8104056437389772E-2</v>
      </c>
      <c r="G46" s="59">
        <f t="shared" si="7"/>
        <v>1.8628747795414464E-3</v>
      </c>
      <c r="H46" s="59">
        <f t="shared" si="7"/>
        <v>1.8628747795414464E-3</v>
      </c>
      <c r="I46" s="59">
        <f t="shared" si="7"/>
        <v>1.8628747795414464E-3</v>
      </c>
      <c r="J46" s="59">
        <f t="shared" si="9"/>
        <v>1.8628747795414464E-3</v>
      </c>
    </row>
    <row r="47" spans="1:10" x14ac:dyDescent="0.35">
      <c r="D47" s="14">
        <v>1994</v>
      </c>
      <c r="E47" s="59">
        <f t="shared" si="8"/>
        <v>9.8104056437389772E-2</v>
      </c>
      <c r="F47" s="59">
        <f t="shared" si="6"/>
        <v>9.8104056437389772E-2</v>
      </c>
      <c r="G47" s="59">
        <f t="shared" si="7"/>
        <v>1.8628747795414464E-3</v>
      </c>
      <c r="H47" s="59">
        <f t="shared" si="7"/>
        <v>1.8628747795414464E-3</v>
      </c>
      <c r="I47" s="59">
        <f t="shared" si="7"/>
        <v>1.8628747795414464E-3</v>
      </c>
      <c r="J47" s="59">
        <f t="shared" si="9"/>
        <v>1.8628747795414464E-3</v>
      </c>
    </row>
    <row r="48" spans="1:10" x14ac:dyDescent="0.35">
      <c r="D48" s="14">
        <v>1995</v>
      </c>
      <c r="E48" s="59">
        <f t="shared" si="8"/>
        <v>9.8104056437389772E-2</v>
      </c>
      <c r="F48" s="59">
        <f t="shared" si="6"/>
        <v>9.8104056437389772E-2</v>
      </c>
      <c r="G48" s="59">
        <f t="shared" si="7"/>
        <v>1.8628747795414464E-3</v>
      </c>
      <c r="H48" s="59">
        <f t="shared" si="7"/>
        <v>1.8628747795414464E-3</v>
      </c>
      <c r="I48" s="59">
        <f t="shared" si="7"/>
        <v>1.8628747795414464E-3</v>
      </c>
      <c r="J48" s="59">
        <f t="shared" si="9"/>
        <v>1.8628747795414464E-3</v>
      </c>
    </row>
    <row r="49" spans="4:10" x14ac:dyDescent="0.35">
      <c r="D49" s="14">
        <v>1996</v>
      </c>
      <c r="E49" s="59">
        <f t="shared" si="8"/>
        <v>9.8104056437389772E-2</v>
      </c>
      <c r="F49" s="59">
        <f t="shared" si="6"/>
        <v>9.8104056437389772E-2</v>
      </c>
      <c r="G49" s="59">
        <f t="shared" si="7"/>
        <v>1.8628747795414464E-3</v>
      </c>
      <c r="H49" s="59">
        <f t="shared" si="7"/>
        <v>1.8628747795414464E-3</v>
      </c>
      <c r="I49" s="59">
        <f t="shared" si="7"/>
        <v>1.8628747795414464E-3</v>
      </c>
      <c r="J49" s="59">
        <f t="shared" si="9"/>
        <v>1.8628747795414464E-3</v>
      </c>
    </row>
    <row r="50" spans="4:10" x14ac:dyDescent="0.35">
      <c r="D50" s="14">
        <v>1997</v>
      </c>
      <c r="E50" s="59">
        <f t="shared" si="8"/>
        <v>9.8104056437389772E-2</v>
      </c>
      <c r="F50" s="59">
        <f t="shared" si="6"/>
        <v>9.8104056437389772E-2</v>
      </c>
      <c r="G50" s="59">
        <f t="shared" si="7"/>
        <v>1.8628747795414464E-3</v>
      </c>
      <c r="H50" s="59">
        <f t="shared" si="7"/>
        <v>1.8628747795414464E-3</v>
      </c>
      <c r="I50" s="59">
        <f t="shared" si="7"/>
        <v>1.8628747795414464E-3</v>
      </c>
      <c r="J50" s="59">
        <f t="shared" si="9"/>
        <v>1.8628747795414464E-3</v>
      </c>
    </row>
    <row r="51" spans="4:10" x14ac:dyDescent="0.35">
      <c r="D51" s="14">
        <v>1998</v>
      </c>
      <c r="E51" s="59">
        <f t="shared" si="8"/>
        <v>9.8104056437389772E-2</v>
      </c>
      <c r="F51" s="59">
        <f t="shared" si="6"/>
        <v>9.8104056437389772E-2</v>
      </c>
      <c r="G51" s="59">
        <f t="shared" si="7"/>
        <v>1.8628747795414464E-3</v>
      </c>
      <c r="H51" s="59">
        <f t="shared" si="7"/>
        <v>1.8628747795414464E-3</v>
      </c>
      <c r="I51" s="59">
        <f t="shared" si="7"/>
        <v>1.8628747795414464E-3</v>
      </c>
      <c r="J51" s="59">
        <f t="shared" si="9"/>
        <v>1.8628747795414464E-3</v>
      </c>
    </row>
    <row r="52" spans="4:10" x14ac:dyDescent="0.35">
      <c r="D52" s="14">
        <v>1999</v>
      </c>
      <c r="E52" s="59">
        <f t="shared" si="8"/>
        <v>9.8104056437389772E-2</v>
      </c>
      <c r="F52" s="59">
        <f t="shared" si="6"/>
        <v>9.8104056437389772E-2</v>
      </c>
      <c r="G52" s="59">
        <f t="shared" si="7"/>
        <v>1.8628747795414464E-3</v>
      </c>
      <c r="H52" s="59">
        <f t="shared" si="7"/>
        <v>1.8628747795414464E-3</v>
      </c>
      <c r="I52" s="59">
        <f t="shared" si="7"/>
        <v>1.8628747795414464E-3</v>
      </c>
      <c r="J52" s="59">
        <f t="shared" si="9"/>
        <v>1.8628747795414464E-3</v>
      </c>
    </row>
    <row r="53" spans="4:10" x14ac:dyDescent="0.35">
      <c r="D53" s="14">
        <v>2000</v>
      </c>
      <c r="E53" s="59">
        <f t="shared" si="8"/>
        <v>9.8104056437389772E-2</v>
      </c>
      <c r="F53" s="59">
        <f t="shared" si="6"/>
        <v>9.8104056437389772E-2</v>
      </c>
      <c r="G53" s="59">
        <f t="shared" si="7"/>
        <v>1.8628747795414464E-3</v>
      </c>
      <c r="H53" s="59">
        <f t="shared" si="7"/>
        <v>1.8628747795414464E-3</v>
      </c>
      <c r="I53" s="59">
        <f t="shared" si="7"/>
        <v>1.8628747795414464E-3</v>
      </c>
      <c r="J53" s="59">
        <f t="shared" si="9"/>
        <v>1.8628747795414464E-3</v>
      </c>
    </row>
    <row r="54" spans="4:10" x14ac:dyDescent="0.35">
      <c r="D54" s="16"/>
      <c r="E54" s="16"/>
      <c r="F54" s="16"/>
      <c r="G54" s="16"/>
      <c r="H54" s="16"/>
      <c r="I54" s="16"/>
      <c r="J54" s="16"/>
    </row>
  </sheetData>
  <pageMargins left="0.75" right="0.75" top="1" bottom="1" header="0.5" footer="0.5"/>
  <pageSetup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Emission Graphs</vt:lpstr>
      <vt:lpstr>Total Emissions</vt:lpstr>
      <vt:lpstr>Tufts Summary Data</vt:lpstr>
      <vt:lpstr>Medford Data</vt:lpstr>
      <vt:lpstr>Grafton Data</vt:lpstr>
      <vt:lpstr>Boston Data</vt:lpstr>
      <vt:lpstr>Energy Use Emissions</vt:lpstr>
      <vt:lpstr>Agriculture Emissions</vt:lpstr>
      <vt:lpstr>Conversion Factors</vt:lpstr>
      <vt:lpstr>'Energy Use Emissions'!Print_Area</vt:lpstr>
      <vt:lpstr>'Grafton Data'!Print_Area</vt:lpstr>
      <vt:lpstr>'Medford Data'!Print_Area</vt:lpstr>
      <vt:lpstr>'Total Emissions'!Print_Area</vt:lpstr>
      <vt:lpstr>'Tufts Summary Data'!Print_Area</vt:lpstr>
    </vt:vector>
  </TitlesOfParts>
  <Company>Tufts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Tufts GHG Inventory for 1990-1999</dc:title>
  <dc:subject/>
  <dc:creator>Betsy Isenstein/Sarah Creighton/Tom Gloria</dc:creator>
  <dc:description>Revised version</dc:description>
  <cp:lastModifiedBy>Carina Negreanu</cp:lastModifiedBy>
  <cp:lastPrinted>2000-11-29T04:10:17Z</cp:lastPrinted>
  <dcterms:created xsi:type="dcterms:W3CDTF">1998-10-23T16:35:38Z</dcterms:created>
  <dcterms:modified xsi:type="dcterms:W3CDTF">2020-01-27T10:40:48Z</dcterms:modified>
</cp:coreProperties>
</file>