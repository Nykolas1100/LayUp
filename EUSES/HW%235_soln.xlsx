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C530543-B3F1-4693-AC34-B7D4AE3D279F}" xr6:coauthVersionLast="45" xr6:coauthVersionMax="45" xr10:uidLastSave="{00000000-0000-0000-0000-000000000000}"/>
  <bookViews>
    <workbookView xWindow="380" yWindow="380" windowWidth="28800" windowHeight="15460"/>
  </bookViews>
  <sheets>
    <sheet name="Exe #1" sheetId="1" r:id="rId1"/>
    <sheet name="Exe #2" sheetId="2" r:id="rId2"/>
    <sheet name="graphs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calcChain.xml><?xml version="1.0" encoding="utf-8"?>
<calcChain xmlns="http://schemas.openxmlformats.org/spreadsheetml/2006/main">
  <c r="B10" i="1" l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F20" i="1"/>
  <c r="H20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C6" i="2"/>
  <c r="D6" i="2"/>
  <c r="E6" i="2"/>
  <c r="F6" i="2"/>
  <c r="G6" i="2"/>
  <c r="H6" i="2"/>
  <c r="C7" i="2"/>
  <c r="D7" i="2"/>
  <c r="E7" i="2"/>
  <c r="F7" i="2"/>
  <c r="G7" i="2"/>
  <c r="H7" i="2"/>
  <c r="D8" i="2"/>
  <c r="F8" i="2"/>
  <c r="G8" i="2"/>
  <c r="H8" i="2"/>
  <c r="I8" i="2"/>
  <c r="J8" i="2"/>
  <c r="H9" i="2"/>
  <c r="I9" i="2"/>
  <c r="J9" i="2"/>
  <c r="I10" i="2"/>
  <c r="J10" i="2"/>
  <c r="G12" i="2"/>
  <c r="G13" i="2"/>
  <c r="G14" i="2"/>
</calcChain>
</file>

<file path=xl/sharedStrings.xml><?xml version="1.0" encoding="utf-8"?>
<sst xmlns="http://schemas.openxmlformats.org/spreadsheetml/2006/main" count="50" uniqueCount="41">
  <si>
    <t xml:space="preserve">Homework # 5 </t>
  </si>
  <si>
    <t>Data processing unit</t>
  </si>
  <si>
    <t>Data storage unit</t>
  </si>
  <si>
    <t>FR/hr</t>
  </si>
  <si>
    <t>Schedule maintenance, hr/week</t>
  </si>
  <si>
    <t>MTTR, hr</t>
  </si>
  <si>
    <t>Reliability</t>
  </si>
  <si>
    <t>Year</t>
  </si>
  <si>
    <t>DPU</t>
  </si>
  <si>
    <t>DSU</t>
  </si>
  <si>
    <t>Sys A</t>
  </si>
  <si>
    <t>FR(A)/hr</t>
  </si>
  <si>
    <t>Sys B</t>
  </si>
  <si>
    <t>FR(B)/hr</t>
  </si>
  <si>
    <t>Sys C</t>
  </si>
  <si>
    <t>FR(C)/hr</t>
  </si>
  <si>
    <t>(1a) Reliability</t>
  </si>
  <si>
    <t>(1c) MTLS</t>
  </si>
  <si>
    <t>(1d) MMD(1year)</t>
  </si>
  <si>
    <t>(1b)Failure Rate</t>
  </si>
  <si>
    <t>Maintenance</t>
  </si>
  <si>
    <t>Assume 1 service-person</t>
  </si>
  <si>
    <t>(2a)</t>
  </si>
  <si>
    <t>(2b)</t>
  </si>
  <si>
    <t>(3)</t>
  </si>
  <si>
    <t>Scheduled Maintenance hours per year</t>
  </si>
  <si>
    <t># Failures per year</t>
  </si>
  <si>
    <t>Un-scheduled Maintenance hours per year</t>
  </si>
  <si>
    <t>Downtime  hours per year</t>
  </si>
  <si>
    <t>Availability</t>
  </si>
  <si>
    <t>MTTLS   weeks</t>
  </si>
  <si>
    <t># Processing units repaired in     5 years</t>
  </si>
  <si>
    <t># Storage units repaired in    5 years</t>
  </si>
  <si>
    <t>Processing Unit</t>
  </si>
  <si>
    <t>Storage Unit</t>
  </si>
  <si>
    <t>System A</t>
  </si>
  <si>
    <t>System B</t>
  </si>
  <si>
    <t>System C</t>
  </si>
  <si>
    <t>Prob. failure during weekly maintenance</t>
  </si>
  <si>
    <t>MTTLS, weeks</t>
  </si>
  <si>
    <t>MTTLS,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</si>
</sst>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00"/>
    <numFmt numFmtId="175" formatCode="0.0000"/>
  </numFmts>
  <fonts count="4" x14ac:knownFonts="1">
    <font>
      <sz val="10"/>
      <name val="Arial"/>
    </font>
    <font>
      <b/>
      <sz val="10"/>
      <name val="Arial"/>
    </font>
    <font>
      <b/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11" fontId="0" fillId="0" borderId="0" xfId="0" applyNumberForma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1" fontId="0" fillId="0" borderId="1" xfId="0" applyNumberFormat="1" applyBorder="1"/>
    <xf numFmtId="2" fontId="0" fillId="0" borderId="1" xfId="0" applyNumberFormat="1" applyBorder="1" applyAlignment="1">
      <alignment vertical="top"/>
    </xf>
    <xf numFmtId="2" fontId="0" fillId="0" borderId="2" xfId="0" applyNumberFormat="1" applyBorder="1"/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0" borderId="5" xfId="0" applyNumberFormat="1" applyBorder="1"/>
    <xf numFmtId="2" fontId="0" fillId="0" borderId="5" xfId="0" applyNumberFormat="1" applyBorder="1" applyAlignment="1">
      <alignment vertical="top"/>
    </xf>
    <xf numFmtId="2" fontId="0" fillId="0" borderId="6" xfId="0" applyNumberFormat="1" applyBorder="1"/>
    <xf numFmtId="0" fontId="0" fillId="0" borderId="7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2" fontId="0" fillId="0" borderId="0" xfId="0" applyNumberFormat="1" applyAlignment="1">
      <alignment vertical="top" wrapText="1"/>
    </xf>
    <xf numFmtId="0" fontId="0" fillId="0" borderId="0" xfId="0" applyBorder="1" applyAlignment="1">
      <alignment vertical="top" wrapText="1"/>
    </xf>
    <xf numFmtId="2" fontId="0" fillId="0" borderId="0" xfId="0" applyNumberFormat="1" applyBorder="1"/>
    <xf numFmtId="0" fontId="3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/>
    <xf numFmtId="0" fontId="1" fillId="0" borderId="0" xfId="0" applyFont="1" applyAlignment="1">
      <alignment horizontal="center"/>
    </xf>
    <xf numFmtId="172" fontId="0" fillId="0" borderId="0" xfId="0" applyNumberFormat="1"/>
    <xf numFmtId="2" fontId="2" fillId="0" borderId="0" xfId="0" applyNumberFormat="1" applyFont="1" applyAlignment="1">
      <alignment vertical="top" wrapText="1"/>
    </xf>
    <xf numFmtId="2" fontId="3" fillId="0" borderId="0" xfId="0" applyNumberFormat="1" applyFont="1" applyAlignment="1">
      <alignment vertical="top" wrapText="1"/>
    </xf>
    <xf numFmtId="172" fontId="1" fillId="0" borderId="0" xfId="0" applyNumberFormat="1" applyFont="1"/>
    <xf numFmtId="172" fontId="1" fillId="0" borderId="0" xfId="0" applyNumberFormat="1" applyFont="1" applyAlignment="1">
      <alignment vertical="top"/>
    </xf>
    <xf numFmtId="0" fontId="1" fillId="0" borderId="0" xfId="0" applyFont="1"/>
    <xf numFmtId="175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3" fillId="0" borderId="0" xfId="0" quotePrefix="1" applyFont="1" applyAlignment="1">
      <alignment horizont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System Reliability</a:t>
            </a:r>
          </a:p>
        </c:rich>
      </c:tx>
      <c:layout>
        <c:manualLayout>
          <c:xMode val="edge"/>
          <c:yMode val="edge"/>
          <c:x val="0.35325332201474369"/>
          <c:y val="4.22548360690829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13223220121398"/>
          <c:y val="0.27324793991340302"/>
          <c:w val="0.56315746987857684"/>
          <c:h val="0.42818233883337381"/>
        </c:manualLayout>
      </c:layout>
      <c:lineChart>
        <c:grouping val="standard"/>
        <c:varyColors val="0"/>
        <c:ser>
          <c:idx val="0"/>
          <c:order val="0"/>
          <c:tx>
            <c:strRef>
              <c:f>'Exe #1'!$B$22</c:f>
              <c:strCache>
                <c:ptCount val="1"/>
                <c:pt idx="0">
                  <c:v>Sys 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'Exe #1'!$A$23:$A$33</c:f>
              <c:numCache>
                <c:formatCode>0.00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cat>
          <c:val>
            <c:numRef>
              <c:f>'Exe #1'!$B$23:$B$33</c:f>
              <c:numCache>
                <c:formatCode>0.000</c:formatCode>
                <c:ptCount val="11"/>
                <c:pt idx="0">
                  <c:v>1</c:v>
                </c:pt>
                <c:pt idx="1">
                  <c:v>0.83928914615307471</c:v>
                </c:pt>
                <c:pt idx="2">
                  <c:v>0.70440627085035723</c:v>
                </c:pt>
                <c:pt idx="3">
                  <c:v>0.59120053760686786</c:v>
                </c:pt>
                <c:pt idx="4">
                  <c:v>0.49618819441330675</c:v>
                </c:pt>
                <c:pt idx="5">
                  <c:v>0.41644536602038007</c:v>
                </c:pt>
                <c:pt idx="6">
                  <c:v>0.3495180756666495</c:v>
                </c:pt>
                <c:pt idx="7">
                  <c:v>0.29334672729132799</c:v>
                </c:pt>
                <c:pt idx="8">
                  <c:v>0.24620272427513748</c:v>
                </c:pt>
                <c:pt idx="9">
                  <c:v>0.20663527423744105</c:v>
                </c:pt>
                <c:pt idx="10">
                  <c:v>0.17342674287984836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24-4BD2-8FBF-EBD700E17DE1}"/>
            </c:ext>
          </c:extLst>
        </c:ser>
        <c:ser>
          <c:idx val="1"/>
          <c:order val="1"/>
          <c:tx>
            <c:strRef>
              <c:f>'Exe #1'!$C$22</c:f>
              <c:strCache>
                <c:ptCount val="1"/>
                <c:pt idx="0">
                  <c:v>Sys B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'Exe #1'!$A$23:$A$33</c:f>
              <c:numCache>
                <c:formatCode>0.00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cat>
          <c:val>
            <c:numRef>
              <c:f>'Exe #1'!$C$23:$C$33</c:f>
              <c:numCache>
                <c:formatCode>0.000</c:formatCode>
                <c:ptCount val="11"/>
                <c:pt idx="0">
                  <c:v>1</c:v>
                </c:pt>
                <c:pt idx="1">
                  <c:v>0.97417202145579218</c:v>
                </c:pt>
                <c:pt idx="2">
                  <c:v>0.9126243472874076</c:v>
                </c:pt>
                <c:pt idx="3">
                  <c:v>0.83288299954708611</c:v>
                </c:pt>
                <c:pt idx="4">
                  <c:v>0.74617366455147605</c:v>
                </c:pt>
                <c:pt idx="5">
                  <c:v>0.65946398916091176</c:v>
                </c:pt>
                <c:pt idx="6">
                  <c:v>0.57687326611558132</c:v>
                </c:pt>
                <c:pt idx="7">
                  <c:v>0.50064115217012317</c:v>
                </c:pt>
                <c:pt idx="8">
                  <c:v>0.43178966710977551</c:v>
                </c:pt>
                <c:pt idx="9">
                  <c:v>0.37057241191569967</c:v>
                </c:pt>
                <c:pt idx="10">
                  <c:v>0.31677665061378368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24-4BD2-8FBF-EBD700E17DE1}"/>
            </c:ext>
          </c:extLst>
        </c:ser>
        <c:ser>
          <c:idx val="2"/>
          <c:order val="2"/>
          <c:tx>
            <c:strRef>
              <c:f>'Exe #1'!$D$22</c:f>
              <c:strCache>
                <c:ptCount val="1"/>
                <c:pt idx="0">
                  <c:v>Sys C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'Exe #1'!$A$23:$A$33</c:f>
              <c:numCache>
                <c:formatCode>0.00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cat>
          <c:val>
            <c:numRef>
              <c:f>'Exe #1'!$D$23:$D$33</c:f>
              <c:numCache>
                <c:formatCode>0.000</c:formatCode>
                <c:ptCount val="11"/>
                <c:pt idx="0">
                  <c:v>1</c:v>
                </c:pt>
                <c:pt idx="1">
                  <c:v>0.98302957914037903</c:v>
                </c:pt>
                <c:pt idx="2">
                  <c:v>0.93993186153041997</c:v>
                </c:pt>
                <c:pt idx="3">
                  <c:v>0.88031428705932213</c:v>
                </c:pt>
                <c:pt idx="4">
                  <c:v>0.81137131530494855</c:v>
                </c:pt>
                <c:pt idx="5">
                  <c:v>0.73835492556238969</c:v>
                </c:pt>
                <c:pt idx="6">
                  <c:v>0.66498739262662332</c:v>
                </c:pt>
                <c:pt idx="7">
                  <c:v>0.59380986476617192</c:v>
                </c:pt>
                <c:pt idx="8">
                  <c:v>0.52646858795628715</c:v>
                </c:pt>
                <c:pt idx="9">
                  <c:v>0.46394478574998543</c:v>
                </c:pt>
                <c:pt idx="10">
                  <c:v>0.40673588674713984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24-4BD2-8FBF-EBD700E17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0436415"/>
        <c:axId val="1"/>
      </c:lineChart>
      <c:catAx>
        <c:axId val="940436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Years</a:t>
                </a:r>
              </a:p>
            </c:rich>
          </c:tx>
          <c:layout>
            <c:manualLayout>
              <c:xMode val="edge"/>
              <c:yMode val="edge"/>
              <c:x val="0.43175406024024227"/>
              <c:y val="0.8479137104529310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Reliability</a:t>
                </a:r>
              </a:p>
            </c:rich>
          </c:tx>
          <c:layout>
            <c:manualLayout>
              <c:xMode val="edge"/>
              <c:yMode val="edge"/>
              <c:x val="4.6076520262792652E-2"/>
              <c:y val="0.3746595464792020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043641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719237349262685"/>
          <c:y val="0.38311051369301868"/>
          <c:w val="0.1706537787510839"/>
          <c:h val="0.2140911694166869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System Failure Rate</a:t>
            </a:r>
          </a:p>
        </c:rich>
      </c:tx>
      <c:layout>
        <c:manualLayout>
          <c:xMode val="edge"/>
          <c:yMode val="edge"/>
          <c:x val="0.33448140635212442"/>
          <c:y val="4.57533588055009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062182803902829"/>
          <c:y val="0.31046922046589931"/>
          <c:w val="0.48636326944058911"/>
          <c:h val="0.34315019104125716"/>
        </c:manualLayout>
      </c:layout>
      <c:lineChart>
        <c:grouping val="standard"/>
        <c:varyColors val="0"/>
        <c:ser>
          <c:idx val="0"/>
          <c:order val="0"/>
          <c:tx>
            <c:strRef>
              <c:f>'Exe #1'!$B$38</c:f>
              <c:strCache>
                <c:ptCount val="1"/>
                <c:pt idx="0">
                  <c:v>FR(A)/hr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'Exe #1'!$A$39:$A$48</c:f>
              <c:numCache>
                <c:formatCode>0.00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</c:numCache>
            </c:numRef>
          </c:cat>
          <c:val>
            <c:numRef>
              <c:f>'Exe #1'!$B$39:$B$48</c:f>
              <c:numCache>
                <c:formatCode>0.00E+00</c:formatCode>
                <c:ptCount val="10"/>
                <c:pt idx="0">
                  <c:v>3.9897996289360487E-5</c:v>
                </c:pt>
                <c:pt idx="1">
                  <c:v>3.9897996289360474E-5</c:v>
                </c:pt>
                <c:pt idx="2">
                  <c:v>3.989799628936046E-5</c:v>
                </c:pt>
                <c:pt idx="3">
                  <c:v>3.9897996289360535E-5</c:v>
                </c:pt>
                <c:pt idx="4">
                  <c:v>3.9897996289360474E-5</c:v>
                </c:pt>
                <c:pt idx="5">
                  <c:v>3.989799628936046E-5</c:v>
                </c:pt>
                <c:pt idx="6">
                  <c:v>3.9897996289360501E-5</c:v>
                </c:pt>
                <c:pt idx="7">
                  <c:v>3.9897996289360528E-5</c:v>
                </c:pt>
                <c:pt idx="8">
                  <c:v>3.9897996289360447E-5</c:v>
                </c:pt>
                <c:pt idx="9">
                  <c:v>3.9897996289360453E-5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7-43FE-8710-DF3D201CE675}"/>
            </c:ext>
          </c:extLst>
        </c:ser>
        <c:ser>
          <c:idx val="1"/>
          <c:order val="1"/>
          <c:tx>
            <c:strRef>
              <c:f>'Exe #1'!$C$38</c:f>
              <c:strCache>
                <c:ptCount val="1"/>
                <c:pt idx="0">
                  <c:v>FR(B)/hr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'Exe #1'!$A$39:$A$48</c:f>
              <c:numCache>
                <c:formatCode>0.00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</c:numCache>
            </c:numRef>
          </c:cat>
          <c:val>
            <c:numRef>
              <c:f>'Exe #1'!$C$39:$C$48</c:f>
              <c:numCache>
                <c:formatCode>0.00E+00</c:formatCode>
                <c:ptCount val="10"/>
                <c:pt idx="0">
                  <c:v>5.9739462319367034E-6</c:v>
                </c:pt>
                <c:pt idx="1">
                  <c:v>1.4895068314235556E-5</c:v>
                </c:pt>
                <c:pt idx="2">
                  <c:v>2.0860166745606699E-5</c:v>
                </c:pt>
                <c:pt idx="3">
                  <c:v>2.5074023340109946E-5</c:v>
                </c:pt>
                <c:pt idx="4">
                  <c:v>2.816761416278252E-5</c:v>
                </c:pt>
                <c:pt idx="5">
                  <c:v>3.0503536768674341E-5</c:v>
                </c:pt>
                <c:pt idx="6">
                  <c:v>3.2305075328236748E-5</c:v>
                </c:pt>
                <c:pt idx="7">
                  <c:v>3.3717283496068061E-5</c:v>
                </c:pt>
                <c:pt idx="8">
                  <c:v>3.4838491616473104E-5</c:v>
                </c:pt>
                <c:pt idx="9">
                  <c:v>3.5737699963810248E-5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D7-43FE-8710-DF3D201CE675}"/>
            </c:ext>
          </c:extLst>
        </c:ser>
        <c:ser>
          <c:idx val="2"/>
          <c:order val="2"/>
          <c:tx>
            <c:strRef>
              <c:f>'Exe #1'!$D$38</c:f>
              <c:strCache>
                <c:ptCount val="1"/>
                <c:pt idx="0">
                  <c:v>FR(C)/hr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'Exe #1'!$A$39:$A$48</c:f>
              <c:numCache>
                <c:formatCode>0.00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</c:numCache>
            </c:numRef>
          </c:cat>
          <c:val>
            <c:numRef>
              <c:f>'Exe #1'!$D$39:$D$48</c:f>
              <c:numCache>
                <c:formatCode>0.00E+00</c:formatCode>
                <c:ptCount val="10"/>
                <c:pt idx="0">
                  <c:v>3.9076828214486947E-6</c:v>
                </c:pt>
                <c:pt idx="1">
                  <c:v>1.0233862569134764E-5</c:v>
                </c:pt>
                <c:pt idx="2">
                  <c:v>1.4955470042271263E-5</c:v>
                </c:pt>
                <c:pt idx="3">
                  <c:v>1.8609136931983623E-5</c:v>
                </c:pt>
                <c:pt idx="4">
                  <c:v>2.1514004444672258E-5</c:v>
                </c:pt>
                <c:pt idx="5">
                  <c:v>2.3872405298022192E-5</c:v>
                </c:pt>
                <c:pt idx="6">
                  <c:v>2.5819212810722747E-5</c:v>
                </c:pt>
                <c:pt idx="7">
                  <c:v>2.7448034362327208E-5</c:v>
                </c:pt>
                <c:pt idx="8">
                  <c:v>2.8826025708743611E-5</c:v>
                </c:pt>
                <c:pt idx="9">
                  <c:v>3.0002715987579773E-5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D7-43FE-8710-DF3D201CE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259199"/>
        <c:axId val="1"/>
      </c:lineChart>
      <c:catAx>
        <c:axId val="881259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Years</a:t>
                </a:r>
              </a:p>
            </c:rich>
          </c:tx>
          <c:layout>
            <c:manualLayout>
              <c:xMode val="edge"/>
              <c:yMode val="edge"/>
              <c:x val="0.44199328696530732"/>
              <c:y val="0.8235604584990171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FR/hr</a:t>
                </a:r>
              </a:p>
            </c:rich>
          </c:tx>
          <c:layout>
            <c:manualLayout>
              <c:xMode val="edge"/>
              <c:yMode val="edge"/>
              <c:x val="4.6076520262792652E-2"/>
              <c:y val="0.40197593807690118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5919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64746933174318"/>
          <c:y val="0.36275877338647183"/>
          <c:w val="0.201371458926279"/>
          <c:h val="0.2483753763727194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88900</xdr:rowOff>
    </xdr:from>
    <xdr:to>
      <xdr:col>6</xdr:col>
      <xdr:colOff>215900</xdr:colOff>
      <xdr:row>14</xdr:row>
      <xdr:rowOff>120650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A050CB-6F5C-42C2-B615-03A02CE58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234950</xdr:colOff>
      <xdr:row>18</xdr:row>
      <xdr:rowOff>63500</xdr:rowOff>
    </xdr:from>
    <xdr:to>
      <xdr:col>6</xdr:col>
      <xdr:colOff>298450</xdr:colOff>
      <xdr:row>30</xdr:row>
      <xdr:rowOff>101600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6C737A68-C42F-4222-B9C5-BDC40104B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9"/>
  <sheetViews>
    <sheetView tabSelected="1" workbookViewId="0">
      <selection activeCell="G30" sqref="G30"/>
    </sheetView>
  </sheetViews>
  <sheetFormatPr defaultRowHeight="12.5" x14ac:dyDescent="0.25"/>
  <cols>
    <col min="1" max="1" width="14.54296875" style="3" customWidth="1"/>
    <col min="2" max="2" width="12" customWidth="1"/>
    <col min="3" max="3" width="12.36328125" customWidth="1"/>
    <col min="4" max="4" width="12.08984375" customWidth="1"/>
    <col min="5" max="5" width="9.6328125" customWidth="1"/>
    <col min="6" max="7" width="10.453125" customWidth="1"/>
  </cols>
  <sheetData>
    <row r="1" spans="1:9" s="1" customFormat="1" ht="15.5" x14ac:dyDescent="0.35">
      <c r="A1" s="4"/>
      <c r="B1" s="1" t="s">
        <v>0</v>
      </c>
    </row>
    <row r="2" spans="1:9" ht="13" thickBot="1" x14ac:dyDescent="0.3"/>
    <row r="3" spans="1:9" ht="38" thickBot="1" x14ac:dyDescent="0.3">
      <c r="B3" s="9" t="s">
        <v>1</v>
      </c>
      <c r="C3" s="8" t="s">
        <v>2</v>
      </c>
      <c r="F3" s="3"/>
      <c r="G3" s="3"/>
    </row>
    <row r="4" spans="1:9" x14ac:dyDescent="0.25">
      <c r="A4" s="13" t="s">
        <v>3</v>
      </c>
      <c r="B4" s="10">
        <v>1.0000000000000001E-5</v>
      </c>
      <c r="C4" s="5">
        <v>3.0000000000000001E-5</v>
      </c>
    </row>
    <row r="5" spans="1:9" ht="37.5" x14ac:dyDescent="0.25">
      <c r="A5" s="14" t="s">
        <v>4</v>
      </c>
      <c r="B5" s="11">
        <v>1</v>
      </c>
      <c r="C5" s="6">
        <v>2</v>
      </c>
    </row>
    <row r="6" spans="1:9" ht="13" thickBot="1" x14ac:dyDescent="0.3">
      <c r="A6" s="15" t="s">
        <v>5</v>
      </c>
      <c r="B6" s="12">
        <v>4</v>
      </c>
      <c r="C6" s="7">
        <v>8</v>
      </c>
    </row>
    <row r="7" spans="1:9" x14ac:dyDescent="0.25">
      <c r="A7" s="17"/>
      <c r="B7" s="18"/>
      <c r="C7" s="18"/>
    </row>
    <row r="8" spans="1:9" ht="15.5" x14ac:dyDescent="0.35">
      <c r="D8" s="19" t="s">
        <v>6</v>
      </c>
      <c r="E8" s="19"/>
    </row>
    <row r="9" spans="1:9" s="21" customFormat="1" ht="13" x14ac:dyDescent="0.3">
      <c r="A9" s="20" t="s">
        <v>7</v>
      </c>
      <c r="B9" s="22" t="s">
        <v>8</v>
      </c>
      <c r="C9" s="22" t="s">
        <v>9</v>
      </c>
      <c r="D9" s="22" t="s">
        <v>10</v>
      </c>
      <c r="E9" s="22" t="s">
        <v>11</v>
      </c>
      <c r="F9" s="22" t="s">
        <v>12</v>
      </c>
      <c r="G9" s="22" t="s">
        <v>13</v>
      </c>
      <c r="H9" s="22" t="s">
        <v>14</v>
      </c>
      <c r="I9" s="22" t="s">
        <v>15</v>
      </c>
    </row>
    <row r="10" spans="1:9" x14ac:dyDescent="0.25">
      <c r="A10" s="16">
        <v>0</v>
      </c>
      <c r="B10" s="23">
        <f>+EXP(-A10*8760*$B$4)</f>
        <v>1</v>
      </c>
      <c r="C10" s="23">
        <f>+EXP(-A10*8760*$C$4)</f>
        <v>1</v>
      </c>
      <c r="D10" s="23">
        <f>+B10*C10</f>
        <v>1</v>
      </c>
      <c r="E10" s="2">
        <f>+(D10-D11)/((D10+D11)/2)/(8760/2)</f>
        <v>3.9897996289360487E-5</v>
      </c>
      <c r="F10" s="23">
        <f>1-(1-D10)^2</f>
        <v>1</v>
      </c>
      <c r="G10" s="2">
        <f>+(F10-F11)/((F10+F11)/2)/(8760/2)</f>
        <v>5.9739462319367034E-6</v>
      </c>
      <c r="H10" s="23">
        <f>+(1-(1-B10)^2)*(1-(1-C10)^2)</f>
        <v>1</v>
      </c>
      <c r="I10" s="2">
        <f>+(H10-H11)/((H10+H11)/2)/(8760/2)</f>
        <v>3.9076828214486947E-6</v>
      </c>
    </row>
    <row r="11" spans="1:9" x14ac:dyDescent="0.25">
      <c r="A11" s="16">
        <v>0.5</v>
      </c>
      <c r="B11" s="23">
        <f t="shared" ref="B11:B20" si="0">+EXP(-A11*8760*$B$4)</f>
        <v>0.95714536740489642</v>
      </c>
      <c r="C11" s="23">
        <f t="shared" ref="C11:C20" si="1">+EXP(-A11*8760*$C$4)</f>
        <v>0.87686695744935306</v>
      </c>
      <c r="D11" s="23">
        <f t="shared" ref="D11:D20" si="2">+B11*C11</f>
        <v>0.83928914615307471</v>
      </c>
      <c r="E11" s="2">
        <f t="shared" ref="E11:E19" si="3">+(D11-D12)/((D11+D12)/2)/(8760/2)</f>
        <v>3.9897996289360474E-5</v>
      </c>
      <c r="F11" s="23">
        <f t="shared" ref="F11:F20" si="4">1-(1-D11)^2</f>
        <v>0.97417202145579218</v>
      </c>
      <c r="G11" s="2">
        <f t="shared" ref="G11:G19" si="5">+(F11-F12)/((F11+F12)/2)/(8760/2)</f>
        <v>1.4895068314235556E-5</v>
      </c>
      <c r="H11" s="23">
        <f t="shared" ref="H11:H20" si="6">+(1-(1-B11)^2)*(1-(1-C11)^2)</f>
        <v>0.98302957914037903</v>
      </c>
      <c r="I11" s="2">
        <f t="shared" ref="I11:I19" si="7">+(H11-H12)/((H11+H12)/2)/(8760/2)</f>
        <v>1.0233862569134764E-5</v>
      </c>
    </row>
    <row r="12" spans="1:9" x14ac:dyDescent="0.25">
      <c r="A12" s="16">
        <v>1</v>
      </c>
      <c r="B12" s="23">
        <f t="shared" si="0"/>
        <v>0.91612725434465414</v>
      </c>
      <c r="C12" s="23">
        <f t="shared" si="1"/>
        <v>0.76889566106648555</v>
      </c>
      <c r="D12" s="23">
        <f t="shared" si="2"/>
        <v>0.70440627085035723</v>
      </c>
      <c r="E12" s="2">
        <f t="shared" si="3"/>
        <v>3.989799628936046E-5</v>
      </c>
      <c r="F12" s="23">
        <f t="shared" si="4"/>
        <v>0.9126243472874076</v>
      </c>
      <c r="G12" s="2">
        <f t="shared" si="5"/>
        <v>2.0860166745606699E-5</v>
      </c>
      <c r="H12" s="23">
        <f t="shared" si="6"/>
        <v>0.93993186153041997</v>
      </c>
      <c r="I12" s="2">
        <f t="shared" si="7"/>
        <v>1.4955470042271263E-5</v>
      </c>
    </row>
    <row r="13" spans="1:9" x14ac:dyDescent="0.25">
      <c r="A13" s="16">
        <v>1.5</v>
      </c>
      <c r="B13" s="23">
        <f t="shared" si="0"/>
        <v>0.87686695744935306</v>
      </c>
      <c r="C13" s="23">
        <f t="shared" si="1"/>
        <v>0.67421919891537818</v>
      </c>
      <c r="D13" s="23">
        <f t="shared" si="2"/>
        <v>0.59120053760686786</v>
      </c>
      <c r="E13" s="2">
        <f t="shared" si="3"/>
        <v>3.9897996289360535E-5</v>
      </c>
      <c r="F13" s="23">
        <f t="shared" si="4"/>
        <v>0.83288299954708611</v>
      </c>
      <c r="G13" s="2">
        <f t="shared" si="5"/>
        <v>2.5074023340109946E-5</v>
      </c>
      <c r="H13" s="23">
        <f t="shared" si="6"/>
        <v>0.88031428705932213</v>
      </c>
      <c r="I13" s="2">
        <f t="shared" si="7"/>
        <v>1.8609136931983623E-5</v>
      </c>
    </row>
    <row r="14" spans="1:9" x14ac:dyDescent="0.25">
      <c r="A14" s="16">
        <v>2</v>
      </c>
      <c r="B14" s="23">
        <f t="shared" si="0"/>
        <v>0.83928914615307471</v>
      </c>
      <c r="C14" s="23">
        <f t="shared" si="1"/>
        <v>0.59120053760686775</v>
      </c>
      <c r="D14" s="23">
        <f t="shared" si="2"/>
        <v>0.49618819441330675</v>
      </c>
      <c r="E14" s="2">
        <f t="shared" si="3"/>
        <v>3.9897996289360474E-5</v>
      </c>
      <c r="F14" s="23">
        <f t="shared" si="4"/>
        <v>0.74617366455147605</v>
      </c>
      <c r="G14" s="2">
        <f t="shared" si="5"/>
        <v>2.816761416278252E-5</v>
      </c>
      <c r="H14" s="23">
        <f t="shared" si="6"/>
        <v>0.81137131530494855</v>
      </c>
      <c r="I14" s="2">
        <f t="shared" si="7"/>
        <v>2.1514004444672258E-5</v>
      </c>
    </row>
    <row r="15" spans="1:9" x14ac:dyDescent="0.25">
      <c r="A15" s="16">
        <v>2.5</v>
      </c>
      <c r="B15" s="23">
        <f t="shared" si="0"/>
        <v>0.80332171815362652</v>
      </c>
      <c r="C15" s="23">
        <f t="shared" si="1"/>
        <v>0.51840421665375591</v>
      </c>
      <c r="D15" s="23">
        <f t="shared" si="2"/>
        <v>0.41644536602038007</v>
      </c>
      <c r="E15" s="2">
        <f t="shared" si="3"/>
        <v>3.989799628936046E-5</v>
      </c>
      <c r="F15" s="23">
        <f t="shared" si="4"/>
        <v>0.65946398916091176</v>
      </c>
      <c r="G15" s="2">
        <f t="shared" si="5"/>
        <v>3.0503536768674341E-5</v>
      </c>
      <c r="H15" s="23">
        <f t="shared" si="6"/>
        <v>0.73835492556238969</v>
      </c>
      <c r="I15" s="2">
        <f t="shared" si="7"/>
        <v>2.3872405298022192E-5</v>
      </c>
    </row>
    <row r="16" spans="1:9" x14ac:dyDescent="0.25">
      <c r="A16" s="16">
        <v>3</v>
      </c>
      <c r="B16" s="23">
        <f t="shared" si="0"/>
        <v>0.76889566106648555</v>
      </c>
      <c r="C16" s="23">
        <f t="shared" si="1"/>
        <v>0.45457152818609425</v>
      </c>
      <c r="D16" s="23">
        <f t="shared" si="2"/>
        <v>0.3495180756666495</v>
      </c>
      <c r="E16" s="2">
        <f t="shared" si="3"/>
        <v>3.9897996289360501E-5</v>
      </c>
      <c r="F16" s="23">
        <f t="shared" si="4"/>
        <v>0.57687326611558132</v>
      </c>
      <c r="G16" s="2">
        <f t="shared" si="5"/>
        <v>3.2305075328236748E-5</v>
      </c>
      <c r="H16" s="23">
        <f t="shared" si="6"/>
        <v>0.66498739262662332</v>
      </c>
      <c r="I16" s="2">
        <f t="shared" si="7"/>
        <v>2.5819212810722747E-5</v>
      </c>
    </row>
    <row r="17" spans="1:9" x14ac:dyDescent="0.25">
      <c r="A17" s="16">
        <v>3.5</v>
      </c>
      <c r="B17" s="23">
        <f t="shared" si="0"/>
        <v>0.73594492000751199</v>
      </c>
      <c r="C17" s="23">
        <f t="shared" si="1"/>
        <v>0.39859875286364327</v>
      </c>
      <c r="D17" s="23">
        <f t="shared" si="2"/>
        <v>0.29334672729132799</v>
      </c>
      <c r="E17" s="2">
        <f t="shared" si="3"/>
        <v>3.9897996289360528E-5</v>
      </c>
      <c r="F17" s="23">
        <f t="shared" si="4"/>
        <v>0.50064115217012317</v>
      </c>
      <c r="G17" s="2">
        <f t="shared" si="5"/>
        <v>3.3717283496068061E-5</v>
      </c>
      <c r="H17" s="23">
        <f t="shared" si="6"/>
        <v>0.59380986476617192</v>
      </c>
      <c r="I17" s="2">
        <f t="shared" si="7"/>
        <v>2.7448034362327208E-5</v>
      </c>
    </row>
    <row r="18" spans="1:9" x14ac:dyDescent="0.25">
      <c r="A18" s="16">
        <v>4</v>
      </c>
      <c r="B18" s="23">
        <f t="shared" si="0"/>
        <v>0.70440627085035712</v>
      </c>
      <c r="C18" s="23">
        <f t="shared" si="1"/>
        <v>0.34951807566664944</v>
      </c>
      <c r="D18" s="23">
        <f t="shared" si="2"/>
        <v>0.24620272427513748</v>
      </c>
      <c r="E18" s="2">
        <f t="shared" si="3"/>
        <v>3.9897996289360447E-5</v>
      </c>
      <c r="F18" s="23">
        <f t="shared" si="4"/>
        <v>0.43178966710977551</v>
      </c>
      <c r="G18" s="2">
        <f t="shared" si="5"/>
        <v>3.4838491616473104E-5</v>
      </c>
      <c r="H18" s="23">
        <f t="shared" si="6"/>
        <v>0.52646858795628715</v>
      </c>
      <c r="I18" s="2">
        <f t="shared" si="7"/>
        <v>2.8826025708743611E-5</v>
      </c>
    </row>
    <row r="19" spans="1:9" x14ac:dyDescent="0.25">
      <c r="A19" s="16">
        <v>4.5</v>
      </c>
      <c r="B19" s="23">
        <f t="shared" si="0"/>
        <v>0.67421919891537807</v>
      </c>
      <c r="C19" s="23">
        <f t="shared" si="1"/>
        <v>0.30648085158336769</v>
      </c>
      <c r="D19" s="23">
        <f t="shared" si="2"/>
        <v>0.20663527423744105</v>
      </c>
      <c r="E19" s="2">
        <f t="shared" si="3"/>
        <v>3.9897996289360453E-5</v>
      </c>
      <c r="F19" s="23">
        <f t="shared" si="4"/>
        <v>0.37057241191569967</v>
      </c>
      <c r="G19" s="2">
        <f t="shared" si="5"/>
        <v>3.5737699963810248E-5</v>
      </c>
      <c r="H19" s="23">
        <f t="shared" si="6"/>
        <v>0.46394478574998543</v>
      </c>
      <c r="I19" s="2">
        <f t="shared" si="7"/>
        <v>3.0002715987579773E-5</v>
      </c>
    </row>
    <row r="20" spans="1:9" x14ac:dyDescent="0.25">
      <c r="A20" s="16">
        <v>5</v>
      </c>
      <c r="B20" s="23">
        <f t="shared" si="0"/>
        <v>0.64532578285729458</v>
      </c>
      <c r="C20" s="23">
        <f t="shared" si="1"/>
        <v>0.26874293184439435</v>
      </c>
      <c r="D20" s="23">
        <f t="shared" si="2"/>
        <v>0.17342674287984836</v>
      </c>
      <c r="E20" s="2"/>
      <c r="F20" s="23">
        <f t="shared" si="4"/>
        <v>0.31677665061378368</v>
      </c>
      <c r="G20" s="23"/>
      <c r="H20" s="23">
        <f t="shared" si="6"/>
        <v>0.40673588674713984</v>
      </c>
      <c r="I20" s="23"/>
    </row>
    <row r="21" spans="1:9" ht="31" x14ac:dyDescent="0.25">
      <c r="A21" s="24" t="s">
        <v>16</v>
      </c>
      <c r="B21" s="23"/>
    </row>
    <row r="22" spans="1:9" ht="13" x14ac:dyDescent="0.3">
      <c r="A22" s="20" t="s">
        <v>7</v>
      </c>
      <c r="B22" s="22" t="s">
        <v>10</v>
      </c>
      <c r="C22" s="22" t="s">
        <v>12</v>
      </c>
      <c r="D22" s="22" t="s">
        <v>14</v>
      </c>
    </row>
    <row r="23" spans="1:9" x14ac:dyDescent="0.25">
      <c r="A23" s="16">
        <v>0</v>
      </c>
      <c r="B23" s="23">
        <f>+D10</f>
        <v>1</v>
      </c>
      <c r="C23" s="23">
        <f>+F10</f>
        <v>1</v>
      </c>
      <c r="D23" s="23">
        <f>+H10</f>
        <v>1</v>
      </c>
    </row>
    <row r="24" spans="1:9" x14ac:dyDescent="0.25">
      <c r="A24" s="16">
        <v>0.5</v>
      </c>
      <c r="B24" s="23">
        <f t="shared" ref="B24:B33" si="8">+D11</f>
        <v>0.83928914615307471</v>
      </c>
      <c r="C24" s="23">
        <f t="shared" ref="C24:C33" si="9">+F11</f>
        <v>0.97417202145579218</v>
      </c>
      <c r="D24" s="23">
        <f t="shared" ref="D24:D33" si="10">+H11</f>
        <v>0.98302957914037903</v>
      </c>
    </row>
    <row r="25" spans="1:9" x14ac:dyDescent="0.25">
      <c r="A25" s="16">
        <v>1</v>
      </c>
      <c r="B25" s="23">
        <f t="shared" si="8"/>
        <v>0.70440627085035723</v>
      </c>
      <c r="C25" s="23">
        <f t="shared" si="9"/>
        <v>0.9126243472874076</v>
      </c>
      <c r="D25" s="23">
        <f t="shared" si="10"/>
        <v>0.93993186153041997</v>
      </c>
    </row>
    <row r="26" spans="1:9" x14ac:dyDescent="0.25">
      <c r="A26" s="16">
        <v>1.5</v>
      </c>
      <c r="B26" s="23">
        <f t="shared" si="8"/>
        <v>0.59120053760686786</v>
      </c>
      <c r="C26" s="23">
        <f t="shared" si="9"/>
        <v>0.83288299954708611</v>
      </c>
      <c r="D26" s="23">
        <f t="shared" si="10"/>
        <v>0.88031428705932213</v>
      </c>
    </row>
    <row r="27" spans="1:9" x14ac:dyDescent="0.25">
      <c r="A27" s="16">
        <v>2</v>
      </c>
      <c r="B27" s="23">
        <f t="shared" si="8"/>
        <v>0.49618819441330675</v>
      </c>
      <c r="C27" s="23">
        <f t="shared" si="9"/>
        <v>0.74617366455147605</v>
      </c>
      <c r="D27" s="23">
        <f t="shared" si="10"/>
        <v>0.81137131530494855</v>
      </c>
    </row>
    <row r="28" spans="1:9" x14ac:dyDescent="0.25">
      <c r="A28" s="16">
        <v>2.5</v>
      </c>
      <c r="B28" s="23">
        <f t="shared" si="8"/>
        <v>0.41644536602038007</v>
      </c>
      <c r="C28" s="23">
        <f t="shared" si="9"/>
        <v>0.65946398916091176</v>
      </c>
      <c r="D28" s="23">
        <f t="shared" si="10"/>
        <v>0.73835492556238969</v>
      </c>
    </row>
    <row r="29" spans="1:9" x14ac:dyDescent="0.25">
      <c r="A29" s="16">
        <v>3</v>
      </c>
      <c r="B29" s="23">
        <f t="shared" si="8"/>
        <v>0.3495180756666495</v>
      </c>
      <c r="C29" s="23">
        <f t="shared" si="9"/>
        <v>0.57687326611558132</v>
      </c>
      <c r="D29" s="23">
        <f t="shared" si="10"/>
        <v>0.66498739262662332</v>
      </c>
    </row>
    <row r="30" spans="1:9" x14ac:dyDescent="0.25">
      <c r="A30" s="16">
        <v>3.5</v>
      </c>
      <c r="B30" s="23">
        <f t="shared" si="8"/>
        <v>0.29334672729132799</v>
      </c>
      <c r="C30" s="23">
        <f t="shared" si="9"/>
        <v>0.50064115217012317</v>
      </c>
      <c r="D30" s="23">
        <f t="shared" si="10"/>
        <v>0.59380986476617192</v>
      </c>
    </row>
    <row r="31" spans="1:9" x14ac:dyDescent="0.25">
      <c r="A31" s="16">
        <v>4</v>
      </c>
      <c r="B31" s="23">
        <f t="shared" si="8"/>
        <v>0.24620272427513748</v>
      </c>
      <c r="C31" s="23">
        <f t="shared" si="9"/>
        <v>0.43178966710977551</v>
      </c>
      <c r="D31" s="23">
        <f t="shared" si="10"/>
        <v>0.52646858795628715</v>
      </c>
    </row>
    <row r="32" spans="1:9" x14ac:dyDescent="0.25">
      <c r="A32" s="16">
        <v>4.5</v>
      </c>
      <c r="B32" s="23">
        <f t="shared" si="8"/>
        <v>0.20663527423744105</v>
      </c>
      <c r="C32" s="23">
        <f t="shared" si="9"/>
        <v>0.37057241191569967</v>
      </c>
      <c r="D32" s="23">
        <f t="shared" si="10"/>
        <v>0.46394478574998543</v>
      </c>
    </row>
    <row r="33" spans="1:4" x14ac:dyDescent="0.25">
      <c r="A33" s="16">
        <v>5</v>
      </c>
      <c r="B33" s="23">
        <f t="shared" si="8"/>
        <v>0.17342674287984836</v>
      </c>
      <c r="C33" s="23">
        <f t="shared" si="9"/>
        <v>0.31677665061378368</v>
      </c>
      <c r="D33" s="23">
        <f t="shared" si="10"/>
        <v>0.40673588674713984</v>
      </c>
    </row>
    <row r="34" spans="1:4" ht="15.5" x14ac:dyDescent="0.3">
      <c r="A34" s="25" t="s">
        <v>17</v>
      </c>
      <c r="B34" s="26">
        <f>+SUM(B23:B32)/2</f>
        <v>2.5716161582572714</v>
      </c>
      <c r="C34" s="26">
        <f t="shared" ref="C34:D34" si="11">+SUM(C23:C32)/2</f>
        <v>3.5025967596569272</v>
      </c>
      <c r="D34" s="26">
        <f t="shared" si="11"/>
        <v>3.8011062998482634</v>
      </c>
    </row>
    <row r="35" spans="1:4" ht="31" x14ac:dyDescent="0.25">
      <c r="A35" s="25" t="s">
        <v>18</v>
      </c>
      <c r="B35" s="27">
        <f>+(B23+B24)/2</f>
        <v>0.91964457307653735</v>
      </c>
      <c r="C35" s="27">
        <f t="shared" ref="C35:D35" si="12">+(C23+C24)/2</f>
        <v>0.98708601072789603</v>
      </c>
      <c r="D35" s="27">
        <f t="shared" si="12"/>
        <v>0.99151478957018946</v>
      </c>
    </row>
    <row r="36" spans="1:4" x14ac:dyDescent="0.25">
      <c r="A36" s="16"/>
      <c r="B36" s="23"/>
      <c r="C36" s="23"/>
      <c r="D36" s="23"/>
    </row>
    <row r="37" spans="1:4" ht="31" x14ac:dyDescent="0.25">
      <c r="A37" s="24" t="s">
        <v>19</v>
      </c>
    </row>
    <row r="38" spans="1:4" ht="13" x14ac:dyDescent="0.3">
      <c r="A38" s="20" t="s">
        <v>7</v>
      </c>
      <c r="B38" s="22" t="s">
        <v>11</v>
      </c>
      <c r="C38" s="22" t="s">
        <v>13</v>
      </c>
      <c r="D38" s="22" t="s">
        <v>15</v>
      </c>
    </row>
    <row r="39" spans="1:4" x14ac:dyDescent="0.25">
      <c r="A39" s="16">
        <v>0</v>
      </c>
      <c r="B39" s="2">
        <f>+E10</f>
        <v>3.9897996289360487E-5</v>
      </c>
      <c r="C39" s="2">
        <f t="shared" ref="C39:C48" si="13">G10</f>
        <v>5.9739462319367034E-6</v>
      </c>
      <c r="D39" s="2">
        <f>+I10</f>
        <v>3.9076828214486947E-6</v>
      </c>
    </row>
    <row r="40" spans="1:4" x14ac:dyDescent="0.25">
      <c r="A40" s="16">
        <v>0.5</v>
      </c>
      <c r="B40" s="2">
        <f t="shared" ref="B40:B48" si="14">+E11</f>
        <v>3.9897996289360474E-5</v>
      </c>
      <c r="C40" s="2">
        <f t="shared" si="13"/>
        <v>1.4895068314235556E-5</v>
      </c>
      <c r="D40" s="2">
        <f t="shared" ref="D40:D48" si="15">+I11</f>
        <v>1.0233862569134764E-5</v>
      </c>
    </row>
    <row r="41" spans="1:4" x14ac:dyDescent="0.25">
      <c r="A41" s="16">
        <v>1</v>
      </c>
      <c r="B41" s="2">
        <f t="shared" si="14"/>
        <v>3.989799628936046E-5</v>
      </c>
      <c r="C41" s="2">
        <f t="shared" si="13"/>
        <v>2.0860166745606699E-5</v>
      </c>
      <c r="D41" s="2">
        <f t="shared" si="15"/>
        <v>1.4955470042271263E-5</v>
      </c>
    </row>
    <row r="42" spans="1:4" x14ac:dyDescent="0.25">
      <c r="A42" s="16">
        <v>1.5</v>
      </c>
      <c r="B42" s="2">
        <f t="shared" si="14"/>
        <v>3.9897996289360535E-5</v>
      </c>
      <c r="C42" s="2">
        <f t="shared" si="13"/>
        <v>2.5074023340109946E-5</v>
      </c>
      <c r="D42" s="2">
        <f t="shared" si="15"/>
        <v>1.8609136931983623E-5</v>
      </c>
    </row>
    <row r="43" spans="1:4" x14ac:dyDescent="0.25">
      <c r="A43" s="16">
        <v>2</v>
      </c>
      <c r="B43" s="2">
        <f t="shared" si="14"/>
        <v>3.9897996289360474E-5</v>
      </c>
      <c r="C43" s="2">
        <f t="shared" si="13"/>
        <v>2.816761416278252E-5</v>
      </c>
      <c r="D43" s="2">
        <f t="shared" si="15"/>
        <v>2.1514004444672258E-5</v>
      </c>
    </row>
    <row r="44" spans="1:4" x14ac:dyDescent="0.25">
      <c r="A44" s="16">
        <v>2.5</v>
      </c>
      <c r="B44" s="2">
        <f t="shared" si="14"/>
        <v>3.989799628936046E-5</v>
      </c>
      <c r="C44" s="2">
        <f t="shared" si="13"/>
        <v>3.0503536768674341E-5</v>
      </c>
      <c r="D44" s="2">
        <f t="shared" si="15"/>
        <v>2.3872405298022192E-5</v>
      </c>
    </row>
    <row r="45" spans="1:4" x14ac:dyDescent="0.25">
      <c r="A45" s="16">
        <v>3</v>
      </c>
      <c r="B45" s="2">
        <f t="shared" si="14"/>
        <v>3.9897996289360501E-5</v>
      </c>
      <c r="C45" s="2">
        <f t="shared" si="13"/>
        <v>3.2305075328236748E-5</v>
      </c>
      <c r="D45" s="2">
        <f t="shared" si="15"/>
        <v>2.5819212810722747E-5</v>
      </c>
    </row>
    <row r="46" spans="1:4" x14ac:dyDescent="0.25">
      <c r="A46" s="16">
        <v>3.5</v>
      </c>
      <c r="B46" s="2">
        <f t="shared" si="14"/>
        <v>3.9897996289360528E-5</v>
      </c>
      <c r="C46" s="2">
        <f t="shared" si="13"/>
        <v>3.3717283496068061E-5</v>
      </c>
      <c r="D46" s="2">
        <f t="shared" si="15"/>
        <v>2.7448034362327208E-5</v>
      </c>
    </row>
    <row r="47" spans="1:4" x14ac:dyDescent="0.25">
      <c r="A47" s="16">
        <v>4</v>
      </c>
      <c r="B47" s="2">
        <f t="shared" si="14"/>
        <v>3.9897996289360447E-5</v>
      </c>
      <c r="C47" s="2">
        <f t="shared" si="13"/>
        <v>3.4838491616473104E-5</v>
      </c>
      <c r="D47" s="2">
        <f t="shared" si="15"/>
        <v>2.8826025708743611E-5</v>
      </c>
    </row>
    <row r="48" spans="1:4" x14ac:dyDescent="0.25">
      <c r="A48" s="16">
        <v>4.5</v>
      </c>
      <c r="B48" s="2">
        <f t="shared" si="14"/>
        <v>3.9897996289360453E-5</v>
      </c>
      <c r="C48" s="2">
        <f t="shared" si="13"/>
        <v>3.5737699963810248E-5</v>
      </c>
      <c r="D48" s="2">
        <f t="shared" si="15"/>
        <v>3.0002715987579773E-5</v>
      </c>
    </row>
    <row r="49" spans="1:2" x14ac:dyDescent="0.25">
      <c r="A49" s="16"/>
      <c r="B49" s="2"/>
    </row>
  </sheetData>
  <pageMargins left="0.75" right="0.75" top="1" bottom="1" header="0.5" footer="0.5"/>
  <pageSetup scale="90" orientation="portrait" horizontalDpi="300" verticalDpi="300" copies="0" r:id="rId1"/>
  <headerFooter alignWithMargins="0">
    <oddHeader>&amp;A</oddHeader>
    <oddFooter>&amp;LEngr 202 &amp;D&amp;CPage &amp;P&amp;R&amp;F</oddFooter>
  </headerFooter>
  <rowBreaks count="1" manualBreakCount="1">
    <brk id="20" max="6553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opLeftCell="B1" workbookViewId="0">
      <selection activeCell="F16" sqref="F16"/>
    </sheetView>
  </sheetViews>
  <sheetFormatPr defaultRowHeight="12.5" x14ac:dyDescent="0.25"/>
  <cols>
    <col min="2" max="2" width="17.08984375" customWidth="1"/>
    <col min="3" max="3" width="14" customWidth="1"/>
    <col min="4" max="4" width="11" customWidth="1"/>
    <col min="5" max="5" width="15.08984375" customWidth="1"/>
    <col min="6" max="6" width="15" customWidth="1"/>
    <col min="7" max="7" width="10.90625" customWidth="1"/>
    <col min="9" max="9" width="13.08984375" customWidth="1"/>
    <col min="10" max="10" width="13" customWidth="1"/>
  </cols>
  <sheetData>
    <row r="1" spans="1:10" ht="15.5" x14ac:dyDescent="0.35">
      <c r="A1" s="1" t="s">
        <v>20</v>
      </c>
    </row>
    <row r="3" spans="1:10" ht="13" x14ac:dyDescent="0.3">
      <c r="A3" s="28" t="s">
        <v>21</v>
      </c>
    </row>
    <row r="4" spans="1:10" ht="15.5" x14ac:dyDescent="0.35">
      <c r="G4" s="31" t="s">
        <v>22</v>
      </c>
      <c r="H4" s="31" t="s">
        <v>23</v>
      </c>
      <c r="I4" s="33" t="s">
        <v>24</v>
      </c>
    </row>
    <row r="5" spans="1:10" s="32" customFormat="1" ht="52" x14ac:dyDescent="0.25">
      <c r="C5" s="32" t="s">
        <v>25</v>
      </c>
      <c r="D5" s="32" t="s">
        <v>26</v>
      </c>
      <c r="E5" s="32" t="s">
        <v>27</v>
      </c>
      <c r="F5" s="32" t="s">
        <v>28</v>
      </c>
      <c r="G5" s="32" t="s">
        <v>29</v>
      </c>
      <c r="H5" s="32" t="s">
        <v>30</v>
      </c>
      <c r="I5" s="32" t="s">
        <v>31</v>
      </c>
      <c r="J5" s="32" t="s">
        <v>32</v>
      </c>
    </row>
    <row r="6" spans="1:10" ht="13" x14ac:dyDescent="0.3">
      <c r="B6" s="28" t="s">
        <v>33</v>
      </c>
      <c r="C6">
        <f>1*52</f>
        <v>52</v>
      </c>
      <c r="D6" s="23">
        <f>8760*0.00001</f>
        <v>8.7600000000000011E-2</v>
      </c>
      <c r="E6">
        <f>+D6*4</f>
        <v>0.35040000000000004</v>
      </c>
      <c r="F6" s="30">
        <f t="shared" ref="F6:F7" si="0">+C6+E6</f>
        <v>52.3504</v>
      </c>
      <c r="G6" s="29">
        <f t="shared" ref="G6:G8" si="1">+(8760-F6)/8760</f>
        <v>0.99402392694063935</v>
      </c>
      <c r="H6" s="23">
        <f>1/(1+1/(1/(D6/52)))</f>
        <v>0.99831821777160024</v>
      </c>
    </row>
    <row r="7" spans="1:10" ht="13" x14ac:dyDescent="0.3">
      <c r="B7" s="28" t="s">
        <v>34</v>
      </c>
      <c r="C7">
        <f>2*52</f>
        <v>104</v>
      </c>
      <c r="D7" s="23">
        <f>8760*0.00003</f>
        <v>0.26280000000000003</v>
      </c>
      <c r="E7">
        <f>+D7*8</f>
        <v>2.1024000000000003</v>
      </c>
      <c r="F7" s="30">
        <f t="shared" si="0"/>
        <v>106.1024</v>
      </c>
      <c r="G7" s="29">
        <f t="shared" si="1"/>
        <v>0.98788785388127853</v>
      </c>
      <c r="H7" s="23">
        <f t="shared" ref="H7:H8" si="2">1/(1+1/(1/(D7/52)))</f>
        <v>0.99497156677407261</v>
      </c>
    </row>
    <row r="8" spans="1:10" ht="15.5" x14ac:dyDescent="0.35">
      <c r="A8" s="31"/>
      <c r="B8" s="28" t="s">
        <v>35</v>
      </c>
      <c r="D8" s="23">
        <f>+D6+D7</f>
        <v>0.35040000000000004</v>
      </c>
      <c r="F8" s="30">
        <f>+F6+F7</f>
        <v>158.4528</v>
      </c>
      <c r="G8" s="29">
        <f t="shared" si="1"/>
        <v>0.98191178082191788</v>
      </c>
      <c r="H8" s="23">
        <f t="shared" si="2"/>
        <v>0.99330664140102076</v>
      </c>
      <c r="I8">
        <f>+D6*5</f>
        <v>0.43800000000000006</v>
      </c>
      <c r="J8">
        <f>+D7*5</f>
        <v>1.3140000000000001</v>
      </c>
    </row>
    <row r="9" spans="1:10" ht="13" x14ac:dyDescent="0.3">
      <c r="B9" s="28" t="s">
        <v>36</v>
      </c>
      <c r="D9" s="23"/>
      <c r="F9" s="30"/>
      <c r="G9" s="29"/>
      <c r="H9" s="30">
        <f>+G14</f>
        <v>160.25641025641022</v>
      </c>
      <c r="I9">
        <f>2*I8</f>
        <v>0.87600000000000011</v>
      </c>
      <c r="J9">
        <f>+D7*5*2</f>
        <v>2.6280000000000001</v>
      </c>
    </row>
    <row r="10" spans="1:10" ht="13" x14ac:dyDescent="0.3">
      <c r="B10" s="28" t="s">
        <v>37</v>
      </c>
      <c r="D10" s="23"/>
      <c r="F10" s="30"/>
      <c r="G10" s="29"/>
      <c r="I10">
        <f t="shared" ref="I10:J10" si="3">+I9</f>
        <v>0.87600000000000011</v>
      </c>
      <c r="J10">
        <f t="shared" si="3"/>
        <v>2.6280000000000001</v>
      </c>
    </row>
    <row r="12" spans="1:10" s="34" customFormat="1" ht="37.5" x14ac:dyDescent="0.25">
      <c r="E12" s="34" t="s">
        <v>36</v>
      </c>
      <c r="F12" s="3" t="s">
        <v>38</v>
      </c>
      <c r="G12" s="34">
        <f>3*0.00004</f>
        <v>1.2000000000000002E-4</v>
      </c>
    </row>
    <row r="13" spans="1:10" x14ac:dyDescent="0.25">
      <c r="F13" t="s">
        <v>39</v>
      </c>
      <c r="G13" s="30">
        <f>1/G12</f>
        <v>8333.3333333333321</v>
      </c>
    </row>
    <row r="14" spans="1:10" x14ac:dyDescent="0.25">
      <c r="F14" t="s">
        <v>40</v>
      </c>
      <c r="G14" s="30">
        <f>+G13/52</f>
        <v>160.25641025641022</v>
      </c>
    </row>
  </sheetData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7" sqref="H7"/>
    </sheetView>
  </sheetViews>
  <sheetFormatPr defaultRowHeight="12.5" x14ac:dyDescent="0.25"/>
  <sheetData/>
  <pageMargins left="0.75" right="0.75" top="1" bottom="1" header="0.5" footer="0.5"/>
  <pageSetup orientation="portrait" horizontalDpi="300" verticalDpi="300" copies="0" r:id="rId1"/>
  <headerFooter alignWithMargins="0">
    <oddHeader>&amp;A</oddHead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Exe #1</vt:lpstr>
      <vt:lpstr>Exe #2</vt:lpstr>
      <vt:lpstr>graphs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>Self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Kujawski</dc:creator>
  <cp:lastModifiedBy>Carina Negreanu</cp:lastModifiedBy>
  <cp:lastPrinted>1999-11-28T22:11:01Z</cp:lastPrinted>
  <dcterms:created xsi:type="dcterms:W3CDTF">1999-11-20T20:07:58Z</dcterms:created>
  <dcterms:modified xsi:type="dcterms:W3CDTF">2020-01-27T11:43:03Z</dcterms:modified>
</cp:coreProperties>
</file>