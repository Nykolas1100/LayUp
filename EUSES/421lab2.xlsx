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150D70A-FDFE-4167-9C52-3E894B7B2514}" xr6:coauthVersionLast="45" xr6:coauthVersionMax="45" xr10:uidLastSave="{00000000-0000-0000-0000-000000000000}"/>
  <bookViews>
    <workbookView xWindow="3420" yWindow="3420" windowWidth="28800" windowHeight="15460"/>
  </bookViews>
  <sheets>
    <sheet name="Appendix2A-3a" sheetId="1" r:id="rId1"/>
  </sheets>
  <definedNames>
    <definedName name="_xlnm.Print_Area" localSheetId="0">'Appendix2A-3a'!$A$1:$P$32</definedName>
    <definedName name="solver_adj" localSheetId="0" hidden="1">'Appendix2A-3a'!$F$31</definedName>
    <definedName name="solver_cvg" localSheetId="0" hidden="1">0.001</definedName>
    <definedName name="solver_drv" localSheetId="0" hidden="1">1</definedName>
    <definedName name="solver_est" localSheetId="0" hidden="1">1</definedName>
    <definedName name="solver_itr" localSheetId="0" hidden="1">100</definedName>
    <definedName name="solver_lhs1" localSheetId="0" hidden="1">'Appendix2A-3a'!$F$31</definedName>
    <definedName name="solver_lin" localSheetId="0" hidden="1">2</definedName>
    <definedName name="solver_neg" localSheetId="0" hidden="1">2</definedName>
    <definedName name="solver_num" localSheetId="0" hidden="1">0</definedName>
    <definedName name="solver_nwt" localSheetId="0" hidden="1">1</definedName>
    <definedName name="solver_opt" localSheetId="0" hidden="1">'Appendix2A-3a'!$F$32</definedName>
    <definedName name="solver_pre" localSheetId="0" hidden="1">0.000001</definedName>
    <definedName name="solver_rel1" localSheetId="0" hidden="1">3</definedName>
    <definedName name="solver_rhs1" localSheetId="0" hidden="1">0</definedName>
    <definedName name="solver_scl" localSheetId="0" hidden="1">2</definedName>
    <definedName name="solver_sho" localSheetId="0" hidden="1">2</definedName>
    <definedName name="solver_tim" localSheetId="0" hidden="1">100</definedName>
    <definedName name="solver_tol" localSheetId="0" hidden="1">0.05</definedName>
    <definedName name="solver_typ" localSheetId="0" hidden="1">3</definedName>
    <definedName name="solver_val" localSheetId="0" hidden="1">0</definedName>
  </definedNames>
  <calcPr calcId="0"/>
</workbook>
</file>

<file path=xl/calcChain.xml><?xml version="1.0" encoding="utf-8"?>
<calcChain xmlns="http://schemas.openxmlformats.org/spreadsheetml/2006/main">
  <c r="B10" i="1" l="1"/>
  <c r="C10" i="1"/>
  <c r="B11" i="1"/>
  <c r="C11" i="1"/>
  <c r="D11" i="1"/>
  <c r="E11" i="1"/>
  <c r="B12" i="1"/>
  <c r="C12" i="1"/>
  <c r="D12" i="1"/>
  <c r="E12" i="1"/>
  <c r="B13" i="1"/>
  <c r="C13" i="1"/>
  <c r="D13" i="1"/>
  <c r="E13" i="1"/>
  <c r="B14" i="1"/>
  <c r="C14" i="1"/>
  <c r="D14" i="1"/>
  <c r="E14" i="1"/>
  <c r="B15" i="1"/>
  <c r="C15" i="1"/>
  <c r="D15" i="1"/>
  <c r="E15" i="1"/>
  <c r="B16" i="1"/>
  <c r="C16" i="1"/>
  <c r="D16" i="1"/>
  <c r="E16" i="1"/>
  <c r="B17" i="1"/>
  <c r="C17" i="1"/>
  <c r="D17" i="1"/>
  <c r="E17" i="1"/>
  <c r="B18" i="1"/>
  <c r="C18" i="1"/>
  <c r="D18" i="1"/>
  <c r="E18" i="1"/>
  <c r="B19" i="1"/>
  <c r="C19" i="1"/>
  <c r="D19" i="1"/>
  <c r="E19" i="1"/>
  <c r="B20" i="1"/>
  <c r="C20" i="1"/>
  <c r="D20" i="1"/>
  <c r="E20" i="1"/>
  <c r="B21" i="1"/>
  <c r="C21" i="1"/>
  <c r="D21" i="1"/>
  <c r="E21" i="1"/>
  <c r="B22" i="1"/>
  <c r="C22" i="1"/>
  <c r="D22" i="1"/>
  <c r="E22" i="1"/>
  <c r="B23" i="1"/>
  <c r="C23" i="1"/>
  <c r="D23" i="1"/>
  <c r="E23" i="1"/>
  <c r="B24" i="1"/>
  <c r="C24" i="1"/>
  <c r="D24" i="1"/>
  <c r="E24" i="1"/>
  <c r="B25" i="1"/>
  <c r="C25" i="1"/>
  <c r="D25" i="1"/>
  <c r="E25" i="1"/>
  <c r="F30" i="1"/>
  <c r="F32" i="1"/>
</calcChain>
</file>

<file path=xl/sharedStrings.xml><?xml version="1.0" encoding="utf-8"?>
<sst xmlns="http://schemas.openxmlformats.org/spreadsheetml/2006/main" count="21" uniqueCount="20">
  <si>
    <t>AAE421 HOMEWORK 2: Appendix 2A, Problem 3 (Cubic Cost Function)</t>
  </si>
  <si>
    <t>Problem 3a: Cubic</t>
  </si>
  <si>
    <t>TC = 1500 + 300Q - 25 Q*Q + 1.5Q*Q*Q</t>
  </si>
  <si>
    <t>dTC/dQ = MC = 300 -50Q + 4.5Q*Q</t>
  </si>
  <si>
    <t>AC = 1500/Q + 300 - 25Q + 1.5Q*Q</t>
  </si>
  <si>
    <t>AVC = 300 - 25Q + 1.5 Q*Q</t>
  </si>
  <si>
    <t>Q</t>
  </si>
  <si>
    <t>TC</t>
  </si>
  <si>
    <t>MC</t>
  </si>
  <si>
    <t>AC</t>
  </si>
  <si>
    <t>AVC</t>
  </si>
  <si>
    <t>Problem 3c: Cubic</t>
  </si>
  <si>
    <t xml:space="preserve">MIN Marginal Costs (MC) ???  </t>
  </si>
  <si>
    <t xml:space="preserve">Q = </t>
  </si>
  <si>
    <t>Use Tools, Solve and MIN MC !!!</t>
  </si>
  <si>
    <t xml:space="preserve">MC = </t>
  </si>
  <si>
    <t>MIN MC ??? Set dMC/dQ = 0,</t>
  </si>
  <si>
    <t>Use Tools, Solve !!!</t>
  </si>
  <si>
    <t xml:space="preserve">dMC/dQ=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</si>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</sst>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4" formatCode="0.000"/>
  </numFmts>
  <fonts count="6" x14ac:knownFonts="1">
    <font>
      <sz val="10"/>
      <name val="Arial"/>
    </font>
    <font>
      <b/>
      <sz val="12"/>
      <name val="Times New Roman"/>
      <family val="1"/>
    </font>
    <font>
      <sz val="12"/>
      <name val="Times New Roman"/>
      <family val="1"/>
    </font>
    <font>
      <b/>
      <sz val="24"/>
      <name val="Times New Roman"/>
      <family val="1"/>
    </font>
    <font>
      <b/>
      <sz val="26"/>
      <name val="Times New Roman"/>
      <family val="1"/>
    </font>
    <font>
      <b/>
      <sz val="16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1" fillId="0" borderId="0" xfId="0" applyFont="1" applyBorder="1"/>
    <xf numFmtId="0" fontId="1" fillId="0" borderId="1" xfId="0" applyFont="1" applyBorder="1"/>
    <xf numFmtId="0" fontId="2" fillId="0" borderId="0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3" fontId="1" fillId="0" borderId="5" xfId="0" applyNumberFormat="1" applyFont="1" applyBorder="1" applyAlignment="1">
      <alignment horizontal="center"/>
    </xf>
    <xf numFmtId="0" fontId="1" fillId="0" borderId="6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7" xfId="0" applyFont="1" applyBorder="1"/>
    <xf numFmtId="0" fontId="1" fillId="0" borderId="4" xfId="0" applyFont="1" applyBorder="1"/>
    <xf numFmtId="0" fontId="1" fillId="0" borderId="8" xfId="0" applyFont="1" applyBorder="1"/>
    <xf numFmtId="174" fontId="1" fillId="0" borderId="9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6" xfId="0" applyFont="1" applyBorder="1" applyAlignment="1">
      <alignment horizontal="centerContinuous"/>
    </xf>
    <xf numFmtId="0" fontId="4" fillId="0" borderId="2" xfId="0" applyFont="1" applyBorder="1" applyAlignment="1">
      <alignment horizontal="centerContinuous"/>
    </xf>
    <xf numFmtId="0" fontId="4" fillId="0" borderId="3" xfId="0" applyFont="1" applyBorder="1" applyAlignment="1">
      <alignment horizontal="centerContinuous"/>
    </xf>
    <xf numFmtId="0" fontId="2" fillId="0" borderId="1" xfId="0" applyFont="1" applyBorder="1"/>
    <xf numFmtId="0" fontId="2" fillId="0" borderId="10" xfId="0" applyFont="1" applyBorder="1"/>
    <xf numFmtId="0" fontId="2" fillId="0" borderId="8" xfId="0" applyFont="1" applyBorder="1"/>
    <xf numFmtId="0" fontId="5" fillId="0" borderId="6" xfId="0" applyFont="1" applyBorder="1" applyAlignment="1">
      <alignment horizontal="left"/>
    </xf>
    <xf numFmtId="0" fontId="5" fillId="0" borderId="2" xfId="0" applyFont="1" applyBorder="1"/>
    <xf numFmtId="0" fontId="5" fillId="0" borderId="1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" wrapText="1"/>
    </xf>
    <xf numFmtId="2" fontId="1" fillId="0" borderId="0" xfId="0" applyNumberFormat="1" applyFont="1" applyBorder="1" applyAlignment="1">
      <alignment horizontal="center"/>
    </xf>
    <xf numFmtId="2" fontId="2" fillId="0" borderId="0" xfId="0" applyNumberFormat="1" applyFont="1" applyBorder="1"/>
    <xf numFmtId="0" fontId="1" fillId="0" borderId="11" xfId="0" applyFont="1" applyBorder="1" applyAlignment="1">
      <alignment horizontal="right"/>
    </xf>
    <xf numFmtId="0" fontId="1" fillId="0" borderId="1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2"/>
  <sheetViews>
    <sheetView tabSelected="1" zoomScale="50" workbookViewId="0">
      <selection activeCell="T14" sqref="T14"/>
    </sheetView>
  </sheetViews>
  <sheetFormatPr defaultColWidth="9.1796875" defaultRowHeight="15.5" x14ac:dyDescent="0.35"/>
  <cols>
    <col min="1" max="5" width="11.7265625" style="1" customWidth="1"/>
    <col min="6" max="6" width="14.7265625" style="1" customWidth="1"/>
    <col min="7" max="16384" width="9.1796875" style="1"/>
  </cols>
  <sheetData>
    <row r="1" spans="1:19" ht="32.5" x14ac:dyDescent="0.65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9"/>
      <c r="Q1" s="16"/>
      <c r="R1" s="16"/>
      <c r="S1" s="16"/>
    </row>
    <row r="2" spans="1:19" ht="16" thickBot="1" x14ac:dyDescent="0.4">
      <c r="A2" s="20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1"/>
    </row>
    <row r="3" spans="1:19" ht="20" x14ac:dyDescent="0.4">
      <c r="A3" s="23" t="s">
        <v>1</v>
      </c>
      <c r="B3" s="5"/>
      <c r="C3" s="5"/>
      <c r="D3" s="5"/>
      <c r="E3" s="5"/>
      <c r="F3" s="5"/>
      <c r="G3" s="24"/>
      <c r="H3" s="5"/>
      <c r="I3" s="5"/>
      <c r="J3" s="5"/>
      <c r="K3" s="5"/>
      <c r="L3" s="5"/>
      <c r="M3" s="5"/>
      <c r="N3" s="5"/>
      <c r="O3" s="5"/>
      <c r="P3" s="6"/>
    </row>
    <row r="4" spans="1:19" x14ac:dyDescent="0.35">
      <c r="A4" s="26" t="s">
        <v>2</v>
      </c>
      <c r="B4" s="26"/>
      <c r="C4" s="26"/>
      <c r="D4" s="26"/>
      <c r="E4" s="26"/>
      <c r="F4" s="4"/>
      <c r="G4" s="4"/>
      <c r="H4" s="4"/>
      <c r="I4" s="4"/>
      <c r="J4" s="4"/>
      <c r="K4" s="4"/>
      <c r="L4" s="4"/>
      <c r="M4" s="4"/>
      <c r="N4" s="4"/>
      <c r="O4" s="4"/>
      <c r="P4" s="21"/>
    </row>
    <row r="5" spans="1:19" x14ac:dyDescent="0.35">
      <c r="A5" s="26" t="s">
        <v>3</v>
      </c>
      <c r="B5" s="26"/>
      <c r="C5" s="26"/>
      <c r="D5" s="26"/>
      <c r="E5" s="26"/>
      <c r="F5" s="4"/>
      <c r="G5" s="4"/>
      <c r="H5" s="4"/>
      <c r="I5" s="4"/>
      <c r="J5" s="4"/>
      <c r="K5" s="4"/>
      <c r="L5" s="4"/>
      <c r="M5" s="4"/>
      <c r="N5" s="4"/>
      <c r="O5" s="4"/>
      <c r="P5" s="21"/>
    </row>
    <row r="6" spans="1:19" x14ac:dyDescent="0.35">
      <c r="A6" s="26" t="s">
        <v>4</v>
      </c>
      <c r="B6" s="26"/>
      <c r="C6" s="26"/>
      <c r="D6" s="26"/>
      <c r="E6" s="26"/>
      <c r="F6" s="4"/>
      <c r="G6" s="4"/>
      <c r="H6" s="4"/>
      <c r="I6" s="4"/>
      <c r="J6" s="4"/>
      <c r="K6" s="4"/>
      <c r="L6" s="4"/>
      <c r="M6" s="4"/>
      <c r="N6" s="4"/>
      <c r="O6" s="4"/>
      <c r="P6" s="21"/>
    </row>
    <row r="7" spans="1:19" x14ac:dyDescent="0.35">
      <c r="A7" s="26" t="s">
        <v>5</v>
      </c>
      <c r="B7" s="26"/>
      <c r="C7" s="26"/>
      <c r="D7" s="26"/>
      <c r="E7" s="26"/>
      <c r="F7" s="4"/>
      <c r="G7" s="4"/>
      <c r="H7" s="4"/>
      <c r="I7" s="4"/>
      <c r="J7" s="4"/>
      <c r="K7" s="4"/>
      <c r="L7" s="4"/>
      <c r="M7" s="4"/>
      <c r="N7" s="4"/>
      <c r="O7" s="4"/>
      <c r="P7" s="21"/>
    </row>
    <row r="8" spans="1:19" x14ac:dyDescent="0.35">
      <c r="A8" s="3"/>
      <c r="B8" s="2"/>
      <c r="C8" s="2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21"/>
    </row>
    <row r="9" spans="1:19" x14ac:dyDescent="0.35">
      <c r="A9" s="27" t="s">
        <v>6</v>
      </c>
      <c r="B9" s="27" t="s">
        <v>7</v>
      </c>
      <c r="C9" s="27" t="s">
        <v>8</v>
      </c>
      <c r="D9" s="27" t="s">
        <v>9</v>
      </c>
      <c r="E9" s="27" t="s">
        <v>10</v>
      </c>
      <c r="F9" s="4"/>
      <c r="G9" s="4"/>
      <c r="H9" s="4"/>
      <c r="I9" s="4"/>
      <c r="J9" s="4"/>
      <c r="K9" s="4"/>
      <c r="L9" s="4"/>
      <c r="M9" s="4"/>
      <c r="N9" s="4"/>
      <c r="O9" s="4"/>
      <c r="P9" s="21"/>
    </row>
    <row r="10" spans="1:19" x14ac:dyDescent="0.35">
      <c r="A10" s="28">
        <v>0</v>
      </c>
      <c r="B10" s="28">
        <f>1500+300*$A10-25*$A10^2+1.5*$A10^3</f>
        <v>1500</v>
      </c>
      <c r="C10" s="28">
        <f>300-50*$A10+4.5*$A10^2</f>
        <v>300</v>
      </c>
      <c r="D10" s="29"/>
      <c r="E10" s="29"/>
      <c r="F10" s="4"/>
      <c r="G10" s="4"/>
      <c r="H10" s="4"/>
      <c r="I10" s="4"/>
      <c r="J10" s="4"/>
      <c r="K10" s="4"/>
      <c r="L10" s="4"/>
      <c r="M10" s="4"/>
      <c r="N10" s="4"/>
      <c r="O10" s="4"/>
      <c r="P10" s="21"/>
    </row>
    <row r="11" spans="1:19" x14ac:dyDescent="0.35">
      <c r="A11" s="28">
        <v>1</v>
      </c>
      <c r="B11" s="28">
        <f>1500+300*$A11-25*$A11^2+1.5*$A11^3</f>
        <v>1776.5</v>
      </c>
      <c r="C11" s="28">
        <f>300-50*$A11+4.5*$A11^2</f>
        <v>254.5</v>
      </c>
      <c r="D11" s="28">
        <f>B11/A11</f>
        <v>1776.5</v>
      </c>
      <c r="E11" s="28">
        <f>(B11-1500)/A11</f>
        <v>276.5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21"/>
    </row>
    <row r="12" spans="1:19" x14ac:dyDescent="0.35">
      <c r="A12" s="28">
        <v>2</v>
      </c>
      <c r="B12" s="28">
        <f t="shared" ref="B12:B25" si="0">1500+300*$A12-25*$A12^2+1.5*$A12^3</f>
        <v>2012</v>
      </c>
      <c r="C12" s="28">
        <f t="shared" ref="C12:C25" si="1">300-50*$A12+4.5*$A12^2</f>
        <v>218</v>
      </c>
      <c r="D12" s="28">
        <f t="shared" ref="D12:D25" si="2">B12/A12</f>
        <v>1006</v>
      </c>
      <c r="E12" s="28">
        <f t="shared" ref="E12:E25" si="3">(B12-1500)/A12</f>
        <v>256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21"/>
    </row>
    <row r="13" spans="1:19" x14ac:dyDescent="0.35">
      <c r="A13" s="28">
        <v>3</v>
      </c>
      <c r="B13" s="28">
        <f t="shared" si="0"/>
        <v>2215.5</v>
      </c>
      <c r="C13" s="28">
        <f t="shared" si="1"/>
        <v>190.5</v>
      </c>
      <c r="D13" s="28">
        <f t="shared" si="2"/>
        <v>738.5</v>
      </c>
      <c r="E13" s="28">
        <f t="shared" si="3"/>
        <v>238.5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21"/>
    </row>
    <row r="14" spans="1:19" x14ac:dyDescent="0.35">
      <c r="A14" s="28">
        <v>4</v>
      </c>
      <c r="B14" s="28">
        <f t="shared" si="0"/>
        <v>2396</v>
      </c>
      <c r="C14" s="28">
        <f t="shared" si="1"/>
        <v>172</v>
      </c>
      <c r="D14" s="28">
        <f t="shared" si="2"/>
        <v>599</v>
      </c>
      <c r="E14" s="28">
        <f t="shared" si="3"/>
        <v>224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21"/>
    </row>
    <row r="15" spans="1:19" x14ac:dyDescent="0.35">
      <c r="A15" s="28">
        <v>5</v>
      </c>
      <c r="B15" s="28">
        <f t="shared" si="0"/>
        <v>2562.5</v>
      </c>
      <c r="C15" s="28">
        <f t="shared" si="1"/>
        <v>162.5</v>
      </c>
      <c r="D15" s="28">
        <f t="shared" si="2"/>
        <v>512.5</v>
      </c>
      <c r="E15" s="28">
        <f t="shared" si="3"/>
        <v>212.5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21"/>
    </row>
    <row r="16" spans="1:19" x14ac:dyDescent="0.35">
      <c r="A16" s="28">
        <v>6</v>
      </c>
      <c r="B16" s="28">
        <f t="shared" si="0"/>
        <v>2724</v>
      </c>
      <c r="C16" s="28">
        <f t="shared" si="1"/>
        <v>162</v>
      </c>
      <c r="D16" s="28">
        <f t="shared" si="2"/>
        <v>454</v>
      </c>
      <c r="E16" s="28">
        <f t="shared" si="3"/>
        <v>204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21"/>
    </row>
    <row r="17" spans="1:16" x14ac:dyDescent="0.35">
      <c r="A17" s="28">
        <v>7</v>
      </c>
      <c r="B17" s="28">
        <f t="shared" si="0"/>
        <v>2889.5</v>
      </c>
      <c r="C17" s="28">
        <f t="shared" si="1"/>
        <v>170.5</v>
      </c>
      <c r="D17" s="28">
        <f t="shared" si="2"/>
        <v>412.78571428571428</v>
      </c>
      <c r="E17" s="28">
        <f t="shared" si="3"/>
        <v>198.5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21"/>
    </row>
    <row r="18" spans="1:16" x14ac:dyDescent="0.35">
      <c r="A18" s="28">
        <v>8</v>
      </c>
      <c r="B18" s="28">
        <f t="shared" si="0"/>
        <v>3068</v>
      </c>
      <c r="C18" s="28">
        <f t="shared" si="1"/>
        <v>188</v>
      </c>
      <c r="D18" s="28">
        <f t="shared" si="2"/>
        <v>383.5</v>
      </c>
      <c r="E18" s="28">
        <f t="shared" si="3"/>
        <v>196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21"/>
    </row>
    <row r="19" spans="1:16" x14ac:dyDescent="0.35">
      <c r="A19" s="28">
        <v>9</v>
      </c>
      <c r="B19" s="28">
        <f t="shared" si="0"/>
        <v>3268.5</v>
      </c>
      <c r="C19" s="28">
        <f t="shared" si="1"/>
        <v>214.5</v>
      </c>
      <c r="D19" s="28">
        <f t="shared" si="2"/>
        <v>363.16666666666669</v>
      </c>
      <c r="E19" s="28">
        <f t="shared" si="3"/>
        <v>196.5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21"/>
    </row>
    <row r="20" spans="1:16" x14ac:dyDescent="0.35">
      <c r="A20" s="28">
        <v>10</v>
      </c>
      <c r="B20" s="28">
        <f t="shared" si="0"/>
        <v>3500</v>
      </c>
      <c r="C20" s="28">
        <f t="shared" si="1"/>
        <v>250</v>
      </c>
      <c r="D20" s="28">
        <f t="shared" si="2"/>
        <v>350</v>
      </c>
      <c r="E20" s="28">
        <f t="shared" si="3"/>
        <v>200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21"/>
    </row>
    <row r="21" spans="1:16" x14ac:dyDescent="0.35">
      <c r="A21" s="28">
        <v>11</v>
      </c>
      <c r="B21" s="28">
        <f t="shared" si="0"/>
        <v>3771.5</v>
      </c>
      <c r="C21" s="28">
        <f t="shared" si="1"/>
        <v>294.5</v>
      </c>
      <c r="D21" s="28">
        <f t="shared" si="2"/>
        <v>342.86363636363637</v>
      </c>
      <c r="E21" s="28">
        <f t="shared" si="3"/>
        <v>206.5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21"/>
    </row>
    <row r="22" spans="1:16" x14ac:dyDescent="0.35">
      <c r="A22" s="28">
        <v>12</v>
      </c>
      <c r="B22" s="28">
        <f t="shared" si="0"/>
        <v>4092</v>
      </c>
      <c r="C22" s="28">
        <f t="shared" si="1"/>
        <v>348</v>
      </c>
      <c r="D22" s="28">
        <f t="shared" si="2"/>
        <v>341</v>
      </c>
      <c r="E22" s="28">
        <f t="shared" si="3"/>
        <v>216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21"/>
    </row>
    <row r="23" spans="1:16" x14ac:dyDescent="0.35">
      <c r="A23" s="28">
        <v>13</v>
      </c>
      <c r="B23" s="28">
        <f t="shared" si="0"/>
        <v>4470.5</v>
      </c>
      <c r="C23" s="28">
        <f t="shared" si="1"/>
        <v>410.5</v>
      </c>
      <c r="D23" s="28">
        <f t="shared" si="2"/>
        <v>343.88461538461536</v>
      </c>
      <c r="E23" s="28">
        <f t="shared" si="3"/>
        <v>228.5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21"/>
    </row>
    <row r="24" spans="1:16" x14ac:dyDescent="0.35">
      <c r="A24" s="28">
        <v>14</v>
      </c>
      <c r="B24" s="28">
        <f t="shared" si="0"/>
        <v>4916</v>
      </c>
      <c r="C24" s="28">
        <f t="shared" si="1"/>
        <v>482</v>
      </c>
      <c r="D24" s="28">
        <f t="shared" si="2"/>
        <v>351.14285714285717</v>
      </c>
      <c r="E24" s="28">
        <f t="shared" si="3"/>
        <v>244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21"/>
    </row>
    <row r="25" spans="1:16" x14ac:dyDescent="0.35">
      <c r="A25" s="28">
        <v>15</v>
      </c>
      <c r="B25" s="28">
        <f t="shared" si="0"/>
        <v>5437.5</v>
      </c>
      <c r="C25" s="28">
        <f t="shared" si="1"/>
        <v>562.5</v>
      </c>
      <c r="D25" s="28">
        <f t="shared" si="2"/>
        <v>362.5</v>
      </c>
      <c r="E25" s="28">
        <f t="shared" si="3"/>
        <v>262.5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21"/>
    </row>
    <row r="26" spans="1:16" x14ac:dyDescent="0.35">
      <c r="A26" s="28">
        <v>16</v>
      </c>
      <c r="B26" s="29"/>
      <c r="C26" s="29"/>
      <c r="D26" s="29"/>
      <c r="E26" s="29"/>
      <c r="F26" s="4"/>
      <c r="G26" s="4"/>
      <c r="H26" s="4"/>
      <c r="I26" s="4"/>
      <c r="J26" s="4"/>
      <c r="K26" s="4"/>
      <c r="L26" s="4"/>
      <c r="M26" s="4"/>
      <c r="N26" s="4"/>
      <c r="O26" s="4"/>
      <c r="P26" s="21"/>
    </row>
    <row r="27" spans="1:16" x14ac:dyDescent="0.35">
      <c r="A27" s="20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21"/>
    </row>
    <row r="28" spans="1:16" ht="20.5" thickBot="1" x14ac:dyDescent="0.45">
      <c r="A28" s="25" t="s">
        <v>11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21"/>
    </row>
    <row r="29" spans="1:16" x14ac:dyDescent="0.35">
      <c r="A29" s="9" t="s">
        <v>12</v>
      </c>
      <c r="B29" s="10"/>
      <c r="C29" s="10"/>
      <c r="D29" s="11"/>
      <c r="E29" s="30" t="s">
        <v>13</v>
      </c>
      <c r="F29" s="15">
        <v>5.555555538953989</v>
      </c>
      <c r="G29" s="4"/>
      <c r="H29" s="4"/>
      <c r="I29" s="4"/>
      <c r="J29" s="4"/>
      <c r="K29" s="4"/>
      <c r="L29" s="4"/>
      <c r="M29" s="4"/>
      <c r="N29" s="4"/>
      <c r="O29" s="4"/>
      <c r="P29" s="21"/>
    </row>
    <row r="30" spans="1:16" ht="16" thickBot="1" x14ac:dyDescent="0.4">
      <c r="A30" s="12" t="s">
        <v>14</v>
      </c>
      <c r="B30" s="13"/>
      <c r="C30" s="13"/>
      <c r="D30" s="14"/>
      <c r="E30" s="31" t="s">
        <v>15</v>
      </c>
      <c r="F30" s="8">
        <f>300-50*$F$29+4.5*$F$29^2</f>
        <v>161.11111111111109</v>
      </c>
      <c r="G30" s="4"/>
      <c r="H30" s="4"/>
      <c r="I30" s="4"/>
      <c r="J30" s="4"/>
      <c r="K30" s="4"/>
      <c r="L30" s="4"/>
      <c r="M30" s="4"/>
      <c r="N30" s="4"/>
      <c r="O30" s="4"/>
      <c r="P30" s="21"/>
    </row>
    <row r="31" spans="1:16" x14ac:dyDescent="0.35">
      <c r="A31" s="9" t="s">
        <v>16</v>
      </c>
      <c r="B31" s="10"/>
      <c r="C31" s="10"/>
      <c r="D31" s="11"/>
      <c r="E31" s="30" t="s">
        <v>13</v>
      </c>
      <c r="F31" s="15">
        <v>5.5555556666666668</v>
      </c>
      <c r="G31" s="4"/>
      <c r="H31" s="4"/>
      <c r="I31" s="4"/>
      <c r="J31" s="4"/>
      <c r="K31" s="4"/>
      <c r="L31" s="4"/>
      <c r="M31" s="4"/>
      <c r="N31" s="4"/>
      <c r="O31" s="4"/>
      <c r="P31" s="21"/>
    </row>
    <row r="32" spans="1:16" ht="16" thickBot="1" x14ac:dyDescent="0.4">
      <c r="A32" s="12" t="s">
        <v>17</v>
      </c>
      <c r="B32" s="13"/>
      <c r="C32" s="13"/>
      <c r="D32" s="14"/>
      <c r="E32" s="31" t="s">
        <v>18</v>
      </c>
      <c r="F32" s="8">
        <f>-50+9*$F$31</f>
        <v>9.9999999747524271E-7</v>
      </c>
      <c r="G32" s="7"/>
      <c r="H32" s="7"/>
      <c r="I32" s="7"/>
      <c r="J32" s="7" t="s">
        <v>19</v>
      </c>
      <c r="K32" s="7"/>
      <c r="L32" s="7"/>
      <c r="M32" s="7"/>
      <c r="N32" s="7"/>
      <c r="O32" s="7"/>
      <c r="P32" s="22"/>
    </row>
  </sheetData>
  <printOptions horizontalCentered="1" verticalCentered="1" headings="1" gridLines="1"/>
  <pageMargins left="0.75" right="0.75" top="0.75" bottom="0.75" header="0.5" footer="0.5"/>
  <pageSetup scale="72" orientation="landscape" r:id="rId1"/>
  <headerFooter alignWithMargins="0">
    <oddHeader xml:space="preserve">&amp;LTom Cox
AAE421: Homework 2&amp;R
</oddHeader>
    <oddFooter>&amp;L&amp;F&amp;R&amp;D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Appendix2A-3a</vt:lpstr>
      <vt:lpstr>'Appendix2A-3a'!Print_Area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Math Appendix A</dc:title>
  <dc:subject/>
  <dc:creator>Preferred Customer</dc:creator>
  <cp:keywords/>
  <dc:description/>
  <cp:lastModifiedBy>Carina Negreanu</cp:lastModifiedBy>
  <cp:lastPrinted>1998-02-04T15:07:32Z</cp:lastPrinted>
  <dcterms:created xsi:type="dcterms:W3CDTF">1998-02-03T22:33:04Z</dcterms:created>
  <dcterms:modified xsi:type="dcterms:W3CDTF">2020-01-27T11:12:25Z</dcterms:modified>
</cp:coreProperties>
</file>