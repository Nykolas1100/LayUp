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E3CFCF-9059-446D-952E-9EBFFD63440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7" i="1" l="1"/>
  <c r="K22" i="1"/>
  <c r="K24" i="1" s="1"/>
  <c r="K62" i="1" s="1"/>
  <c r="K59" i="1"/>
</calcChain>
</file>

<file path=xl/sharedStrings.xml><?xml version="1.0" encoding="utf-8"?>
<sst xmlns="http://schemas.openxmlformats.org/spreadsheetml/2006/main" count="54" uniqueCount="53">
  <si>
    <t>JUNIOR CHAMBER INTERNATIONAL (JCI), INC.</t>
  </si>
  <si>
    <t>Executive</t>
  </si>
  <si>
    <t>Information Technology</t>
  </si>
  <si>
    <t>Membership Services</t>
  </si>
  <si>
    <t xml:space="preserve">Finance </t>
  </si>
  <si>
    <t>Language Editing</t>
  </si>
  <si>
    <t>JCI Officers</t>
  </si>
  <si>
    <t>Total Expenses Explanations</t>
  </si>
  <si>
    <t>Total Revenues Explanations</t>
  </si>
  <si>
    <t>Total Revenues Under Budget</t>
  </si>
  <si>
    <t>Revenues</t>
  </si>
  <si>
    <t>Expenses</t>
  </si>
  <si>
    <t>Increase/(Decrease) in Unrestricted Net Assets</t>
  </si>
  <si>
    <t>Direct Expenses</t>
  </si>
  <si>
    <t>Other Differences</t>
  </si>
  <si>
    <t>JCI Meetings</t>
  </si>
  <si>
    <t xml:space="preserve">1)   Actual dues revenues of $2,050,519 are 1.4% under budget. </t>
  </si>
  <si>
    <t>The total revenues of $2,437,148 are under the $2,450,200 budget by $13,052.</t>
  </si>
  <si>
    <t>$805,100 budget by $10,862.</t>
  </si>
  <si>
    <t xml:space="preserve">      applications.</t>
  </si>
  <si>
    <t xml:space="preserve">2)   Senate revenues of $91,635 are over budget due to 87 more than anticipated Senator </t>
  </si>
  <si>
    <t>For the first seven months of the year, the JCI increase in net assets of $815,962 are over the</t>
  </si>
  <si>
    <t xml:space="preserve">      Registrations of $41,225.  No May Edmonton Area C or June Birmingham Area D Conference</t>
  </si>
  <si>
    <t>7/31/03 FINANCIAL STATEMENTS</t>
  </si>
  <si>
    <t xml:space="preserve">The total expenses of $1,621,186 are under the $1,645,100 budget by $23,914. </t>
  </si>
  <si>
    <t xml:space="preserve">      Finance expenses of $176,366 are under budget primarily due to not paying the budgeted</t>
  </si>
  <si>
    <t xml:space="preserve">      JCI Officers expenses of $232,024 are under budget due to the EVPs and VPs still having </t>
  </si>
  <si>
    <t>Total revenues over(under) expenses of $815,962 are over budget of $805,100.</t>
  </si>
  <si>
    <t>Total Expenses Under Budget</t>
  </si>
  <si>
    <t xml:space="preserve">      from Japan for the U.N. meeting, and $38,795 from the JCI Foundation.</t>
  </si>
  <si>
    <t xml:space="preserve">      budgeted until November, but are included to allow a running total of ongoing expenses for</t>
  </si>
  <si>
    <t xml:space="preserve">      Executive expenses of $253,304 are over budget primarily due to a staff addition.</t>
  </si>
  <si>
    <t>ANALYSIS AND SIGNIFICANT EXPLANATIONS</t>
  </si>
  <si>
    <t>Summary</t>
  </si>
  <si>
    <t xml:space="preserve">      development, web business, and web/net hosting expenses of $71,583 budgeted for $92,700.</t>
  </si>
  <si>
    <t xml:space="preserve">      Information Technology expenses of $123,491 are under budget primarily due to less web</t>
  </si>
  <si>
    <t xml:space="preserve">      Membership Services expenses of $337,003 are under budget primarily due to less development</t>
  </si>
  <si>
    <t xml:space="preserve">      fund expenses of $17,112 budgeted for $53,000 and less marketing and marketing brochures</t>
  </si>
  <si>
    <t xml:space="preserve">      $35,000 audit fee, which will actually be approximately $16,000 because of changing auditors.</t>
  </si>
  <si>
    <t xml:space="preserve">      JCI Meetings expenses of $172,067 are over budget due to the March Executive Meeting, the</t>
  </si>
  <si>
    <t xml:space="preserve">      MYE Meeting, and the U.N. Summit Meeting expenses of $38,788, $38,838, and $6,929 over  </t>
  </si>
  <si>
    <t xml:space="preserve">      expenses of $5,726 budgeted for $28,000.</t>
  </si>
  <si>
    <t xml:space="preserve">      levies have been recorded as of July.  Levies for the Cebu Area B Conference will be postponed</t>
  </si>
  <si>
    <t xml:space="preserve">      until August, due to moving the conference because of the SARS outbreak.</t>
  </si>
  <si>
    <t>3)   Conference levies of $45,820 include Libreville Area A levies of $4,595 and not budgeted U.N.</t>
  </si>
  <si>
    <t xml:space="preserve">      monitoring purposes.  The World Congress expenses include marketing/public relations</t>
  </si>
  <si>
    <t xml:space="preserve">      expenses of $26,604 and speaker expenses of $48,000.</t>
  </si>
  <si>
    <t xml:space="preserve">4)   Corporate sponsorship revenues of $67,495 include $18,700 from Anheuser Busch, $10,000 </t>
  </si>
  <si>
    <t xml:space="preserve">      Total Direct expenses of $96,647 include 2003 World Congress direct expenses of $79,154 not</t>
  </si>
  <si>
    <t xml:space="preserve">      in translations expenses of $32,193 budgeted for $19,200.</t>
  </si>
  <si>
    <t xml:space="preserve">      Language Editing expenses of $81,096 are over budget due to the more than anticipated increase</t>
  </si>
  <si>
    <t xml:space="preserve">      allocated budget amounts to spend for the remainder of the year. </t>
  </si>
  <si>
    <t xml:space="preserve">      budget by $9,088, $17,438, and $6,929,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</si>
</sst>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67" formatCode="&quot;$&quot;#,##0.00_);[Red]\(&quot;$&quot;#,##0.00\)"/>
  </numFmts>
  <fonts count="3" x14ac:knownFonts="1">
    <font>
      <sz val="10"/>
      <name val="Arial"/>
    </font>
    <font>
      <b/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38" fontId="0" fillId="0" borderId="0" xfId="0" applyNumberFormat="1"/>
    <xf numFmtId="38" fontId="0" fillId="0" borderId="0" xfId="0" applyNumberFormat="1" applyBorder="1"/>
    <xf numFmtId="38" fontId="0" fillId="0" borderId="1" xfId="0" applyNumberFormat="1" applyBorder="1"/>
    <xf numFmtId="0" fontId="2" fillId="0" borderId="0" xfId="0" applyFont="1"/>
    <xf numFmtId="167" fontId="0" fillId="0" borderId="0" xfId="0" applyNumberFormat="1"/>
    <xf numFmtId="165" fontId="0" fillId="0" borderId="2" xfId="0" applyNumberFormat="1" applyBorder="1"/>
    <xf numFmtId="165" fontId="0" fillId="0" borderId="0" xfId="0" applyNumberFormat="1"/>
    <xf numFmtId="165" fontId="0" fillId="0" borderId="0" xfId="0" applyNumberFormat="1" applyBorder="1"/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abSelected="1" zoomScaleNormal="100" workbookViewId="0">
      <selection activeCell="F3" sqref="F3"/>
    </sheetView>
  </sheetViews>
  <sheetFormatPr defaultRowHeight="12.5" x14ac:dyDescent="0.25"/>
  <cols>
    <col min="2" max="2" width="10.7265625" bestFit="1" customWidth="1"/>
    <col min="11" max="11" width="12.26953125" bestFit="1" customWidth="1"/>
  </cols>
  <sheetData>
    <row r="1" spans="1:11" x14ac:dyDescent="0.25">
      <c r="D1" s="1"/>
      <c r="E1" s="1"/>
      <c r="F1" s="1" t="s">
        <v>0</v>
      </c>
      <c r="G1" s="1"/>
      <c r="H1" s="1"/>
    </row>
    <row r="2" spans="1:11" x14ac:dyDescent="0.25">
      <c r="D2" s="1"/>
      <c r="E2" s="1"/>
      <c r="F2" s="1" t="s">
        <v>23</v>
      </c>
      <c r="G2" s="1"/>
      <c r="H2" s="1"/>
    </row>
    <row r="3" spans="1:11" x14ac:dyDescent="0.25">
      <c r="D3" s="1"/>
      <c r="E3" s="1"/>
      <c r="F3" s="1" t="s">
        <v>32</v>
      </c>
      <c r="G3" s="1"/>
      <c r="H3" s="1"/>
    </row>
    <row r="4" spans="1:11" x14ac:dyDescent="0.25">
      <c r="D4" s="1"/>
      <c r="E4" s="1"/>
      <c r="F4" s="1"/>
      <c r="G4" s="1"/>
      <c r="H4" s="1"/>
    </row>
    <row r="5" spans="1:11" ht="13" x14ac:dyDescent="0.3">
      <c r="A5" s="2" t="s">
        <v>33</v>
      </c>
      <c r="D5" s="1"/>
      <c r="E5" s="1"/>
      <c r="F5" s="1"/>
      <c r="G5" s="1"/>
      <c r="H5" s="1"/>
    </row>
    <row r="6" spans="1:11" x14ac:dyDescent="0.25">
      <c r="B6" t="s">
        <v>21</v>
      </c>
      <c r="D6" s="1"/>
      <c r="E6" s="1"/>
      <c r="F6" s="1"/>
      <c r="G6" s="1"/>
      <c r="H6" s="1"/>
      <c r="K6" s="3"/>
    </row>
    <row r="7" spans="1:11" x14ac:dyDescent="0.25">
      <c r="B7" s="7" t="s">
        <v>18</v>
      </c>
      <c r="D7" s="1"/>
      <c r="E7" s="1"/>
      <c r="F7" s="1"/>
      <c r="G7" s="1"/>
      <c r="H7" s="1"/>
      <c r="K7" s="4"/>
    </row>
    <row r="8" spans="1:11" x14ac:dyDescent="0.25">
      <c r="D8" s="1"/>
      <c r="E8" s="1"/>
      <c r="F8" s="1"/>
      <c r="G8" s="1"/>
      <c r="H8" s="1"/>
      <c r="K8" s="3"/>
    </row>
    <row r="9" spans="1:11" ht="13" x14ac:dyDescent="0.3">
      <c r="A9" s="2" t="s">
        <v>10</v>
      </c>
      <c r="K9" s="3"/>
    </row>
    <row r="10" spans="1:11" x14ac:dyDescent="0.25">
      <c r="B10" t="s">
        <v>17</v>
      </c>
      <c r="K10" s="3"/>
    </row>
    <row r="11" spans="1:11" x14ac:dyDescent="0.25">
      <c r="K11" s="3"/>
    </row>
    <row r="12" spans="1:11" x14ac:dyDescent="0.25">
      <c r="B12" t="s">
        <v>16</v>
      </c>
      <c r="K12" s="9">
        <v>-28481</v>
      </c>
    </row>
    <row r="13" spans="1:11" x14ac:dyDescent="0.25">
      <c r="B13" t="s">
        <v>20</v>
      </c>
      <c r="K13" s="3"/>
    </row>
    <row r="14" spans="1:11" x14ac:dyDescent="0.25">
      <c r="B14" t="s">
        <v>19</v>
      </c>
      <c r="K14" s="3">
        <v>21635</v>
      </c>
    </row>
    <row r="15" spans="1:11" x14ac:dyDescent="0.25">
      <c r="B15" t="s">
        <v>44</v>
      </c>
      <c r="K15" s="3"/>
    </row>
    <row r="16" spans="1:11" x14ac:dyDescent="0.25">
      <c r="B16" t="s">
        <v>22</v>
      </c>
      <c r="K16" s="3"/>
    </row>
    <row r="17" spans="1:11" x14ac:dyDescent="0.25">
      <c r="B17" t="s">
        <v>42</v>
      </c>
      <c r="K17" s="3"/>
    </row>
    <row r="18" spans="1:11" x14ac:dyDescent="0.25">
      <c r="B18" t="s">
        <v>43</v>
      </c>
      <c r="K18" s="3">
        <v>-22180</v>
      </c>
    </row>
    <row r="19" spans="1:11" x14ac:dyDescent="0.25">
      <c r="B19" t="s">
        <v>47</v>
      </c>
      <c r="K19" s="3"/>
    </row>
    <row r="20" spans="1:11" x14ac:dyDescent="0.25">
      <c r="B20" t="s">
        <v>29</v>
      </c>
      <c r="K20" s="5">
        <v>11295</v>
      </c>
    </row>
    <row r="21" spans="1:11" x14ac:dyDescent="0.25">
      <c r="K21" s="4"/>
    </row>
    <row r="22" spans="1:11" x14ac:dyDescent="0.25">
      <c r="G22" t="s">
        <v>8</v>
      </c>
      <c r="K22" s="4">
        <f>SUM(K10:K20)</f>
        <v>-17731</v>
      </c>
    </row>
    <row r="23" spans="1:11" x14ac:dyDescent="0.25">
      <c r="G23" t="s">
        <v>14</v>
      </c>
      <c r="K23" s="3">
        <v>4679</v>
      </c>
    </row>
    <row r="24" spans="1:11" x14ac:dyDescent="0.25">
      <c r="G24" t="s">
        <v>9</v>
      </c>
      <c r="K24" s="11">
        <f>SUM(K22+K23)</f>
        <v>-13052</v>
      </c>
    </row>
    <row r="25" spans="1:11" x14ac:dyDescent="0.25">
      <c r="K25" s="10"/>
    </row>
    <row r="26" spans="1:11" ht="13" x14ac:dyDescent="0.3">
      <c r="A26" s="2" t="s">
        <v>11</v>
      </c>
      <c r="K26" s="3"/>
    </row>
    <row r="27" spans="1:11" x14ac:dyDescent="0.25">
      <c r="B27" t="s">
        <v>24</v>
      </c>
      <c r="K27" s="3"/>
    </row>
    <row r="28" spans="1:11" x14ac:dyDescent="0.25">
      <c r="K28" s="3"/>
    </row>
    <row r="29" spans="1:11" ht="13" x14ac:dyDescent="0.3">
      <c r="B29" s="2" t="s">
        <v>13</v>
      </c>
      <c r="K29" s="3"/>
    </row>
    <row r="30" spans="1:11" x14ac:dyDescent="0.25">
      <c r="B30" t="s">
        <v>48</v>
      </c>
      <c r="K30" s="3"/>
    </row>
    <row r="31" spans="1:11" x14ac:dyDescent="0.25">
      <c r="B31" t="s">
        <v>30</v>
      </c>
    </row>
    <row r="32" spans="1:11" x14ac:dyDescent="0.25">
      <c r="B32" t="s">
        <v>45</v>
      </c>
    </row>
    <row r="33" spans="2:11" x14ac:dyDescent="0.25">
      <c r="B33" t="s">
        <v>46</v>
      </c>
      <c r="K33" s="9">
        <v>62347</v>
      </c>
    </row>
    <row r="34" spans="2:11" ht="13" x14ac:dyDescent="0.3">
      <c r="B34" s="2" t="s">
        <v>1</v>
      </c>
    </row>
    <row r="35" spans="2:11" x14ac:dyDescent="0.25">
      <c r="B35" t="s">
        <v>31</v>
      </c>
      <c r="K35" s="4">
        <v>13004</v>
      </c>
    </row>
    <row r="36" spans="2:11" ht="13" x14ac:dyDescent="0.3">
      <c r="B36" s="2" t="s">
        <v>2</v>
      </c>
    </row>
    <row r="37" spans="2:11" x14ac:dyDescent="0.25">
      <c r="B37" t="s">
        <v>35</v>
      </c>
    </row>
    <row r="38" spans="2:11" x14ac:dyDescent="0.25">
      <c r="B38" t="s">
        <v>34</v>
      </c>
      <c r="K38" s="4">
        <v>-28309</v>
      </c>
    </row>
    <row r="39" spans="2:11" ht="13" x14ac:dyDescent="0.3">
      <c r="B39" s="2" t="s">
        <v>3</v>
      </c>
      <c r="K39" s="3"/>
    </row>
    <row r="40" spans="2:11" x14ac:dyDescent="0.25">
      <c r="B40" s="6" t="s">
        <v>36</v>
      </c>
      <c r="K40" s="3"/>
    </row>
    <row r="41" spans="2:11" x14ac:dyDescent="0.25">
      <c r="B41" s="6" t="s">
        <v>37</v>
      </c>
    </row>
    <row r="42" spans="2:11" x14ac:dyDescent="0.25">
      <c r="B42" s="6" t="s">
        <v>41</v>
      </c>
      <c r="K42" s="3">
        <v>-38797</v>
      </c>
    </row>
    <row r="43" spans="2:11" ht="13" x14ac:dyDescent="0.3">
      <c r="B43" s="2" t="s">
        <v>4</v>
      </c>
      <c r="K43" s="3"/>
    </row>
    <row r="44" spans="2:11" x14ac:dyDescent="0.25">
      <c r="B44" t="s">
        <v>25</v>
      </c>
      <c r="K44" s="3"/>
    </row>
    <row r="45" spans="2:11" x14ac:dyDescent="0.25">
      <c r="B45" t="s">
        <v>38</v>
      </c>
      <c r="K45" s="3">
        <v>-26834</v>
      </c>
    </row>
    <row r="46" spans="2:11" ht="13" x14ac:dyDescent="0.3">
      <c r="B46" s="2" t="s">
        <v>5</v>
      </c>
      <c r="K46" s="3"/>
    </row>
    <row r="47" spans="2:11" x14ac:dyDescent="0.25">
      <c r="B47" t="s">
        <v>50</v>
      </c>
    </row>
    <row r="48" spans="2:11" x14ac:dyDescent="0.25">
      <c r="B48" t="s">
        <v>49</v>
      </c>
      <c r="K48" s="3">
        <v>11896</v>
      </c>
    </row>
    <row r="49" spans="1:11" ht="13" x14ac:dyDescent="0.3">
      <c r="B49" s="2" t="s">
        <v>6</v>
      </c>
      <c r="K49" s="3"/>
    </row>
    <row r="50" spans="1:11" x14ac:dyDescent="0.25">
      <c r="B50" t="s">
        <v>26</v>
      </c>
      <c r="K50" s="3"/>
    </row>
    <row r="51" spans="1:11" x14ac:dyDescent="0.25">
      <c r="B51" t="s">
        <v>51</v>
      </c>
      <c r="K51" s="3">
        <v>-36276</v>
      </c>
    </row>
    <row r="52" spans="1:11" ht="13" x14ac:dyDescent="0.3">
      <c r="B52" s="2" t="s">
        <v>15</v>
      </c>
      <c r="K52" s="3"/>
    </row>
    <row r="53" spans="1:11" x14ac:dyDescent="0.25">
      <c r="B53" t="s">
        <v>39</v>
      </c>
      <c r="K53" s="3"/>
    </row>
    <row r="54" spans="1:11" x14ac:dyDescent="0.25">
      <c r="B54" t="s">
        <v>40</v>
      </c>
    </row>
    <row r="55" spans="1:11" x14ac:dyDescent="0.25">
      <c r="B55" t="s">
        <v>52</v>
      </c>
      <c r="K55" s="5">
        <v>33567</v>
      </c>
    </row>
    <row r="57" spans="1:11" x14ac:dyDescent="0.25">
      <c r="G57" t="s">
        <v>7</v>
      </c>
      <c r="K57" s="4">
        <f>SUM(K26:K55)</f>
        <v>-9402</v>
      </c>
    </row>
    <row r="58" spans="1:11" x14ac:dyDescent="0.25">
      <c r="G58" t="s">
        <v>14</v>
      </c>
      <c r="K58" s="3">
        <v>-14512</v>
      </c>
    </row>
    <row r="59" spans="1:11" x14ac:dyDescent="0.25">
      <c r="G59" t="s">
        <v>28</v>
      </c>
      <c r="K59" s="11">
        <f>SUM(K57+K58)</f>
        <v>-23914</v>
      </c>
    </row>
    <row r="60" spans="1:11" x14ac:dyDescent="0.25">
      <c r="K60" s="10"/>
    </row>
    <row r="61" spans="1:11" ht="13" x14ac:dyDescent="0.3">
      <c r="A61" s="2" t="s">
        <v>12</v>
      </c>
      <c r="K61" s="3"/>
    </row>
    <row r="62" spans="1:11" ht="13.5" thickBot="1" x14ac:dyDescent="0.35">
      <c r="A62" s="2"/>
      <c r="B62" t="s">
        <v>27</v>
      </c>
      <c r="K62" s="8">
        <f>SUM(K24-K59)</f>
        <v>10862</v>
      </c>
    </row>
    <row r="63" spans="1:11" ht="13" thickTop="1" x14ac:dyDescent="0.25"/>
    <row r="64" spans="1:11" x14ac:dyDescent="0.25">
      <c r="K64" s="3"/>
    </row>
    <row r="65" spans="11:11" x14ac:dyDescent="0.25">
      <c r="K65" s="3"/>
    </row>
    <row r="66" spans="11:11" x14ac:dyDescent="0.25">
      <c r="K66" s="3"/>
    </row>
    <row r="67" spans="11:11" x14ac:dyDescent="0.25">
      <c r="K67" s="3"/>
    </row>
    <row r="68" spans="11:11" x14ac:dyDescent="0.25">
      <c r="K68" s="3"/>
    </row>
    <row r="69" spans="11:11" x14ac:dyDescent="0.25">
      <c r="K69" s="3"/>
    </row>
    <row r="70" spans="11:11" x14ac:dyDescent="0.25">
      <c r="K70" s="3"/>
    </row>
    <row r="71" spans="11:11" x14ac:dyDescent="0.25">
      <c r="K71" s="3"/>
    </row>
  </sheetData>
  <phoneticPr fontId="0" type="noConversion"/>
  <pageMargins left="0.75" right="0.75" top="1" bottom="1" header="0.5" footer="0.5"/>
  <pageSetup scale="83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Gonzalez</dc:creator>
  <cp:lastModifiedBy>Carina Negreanu</cp:lastModifiedBy>
  <cp:lastPrinted>2003-08-14T19:29:21Z</cp:lastPrinted>
  <dcterms:created xsi:type="dcterms:W3CDTF">2002-06-18T17:39:42Z</dcterms:created>
  <dcterms:modified xsi:type="dcterms:W3CDTF">2020-01-27T11:12:43Z</dcterms:modified>
</cp:coreProperties>
</file>