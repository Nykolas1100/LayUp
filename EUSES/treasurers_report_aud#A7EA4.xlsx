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0142C82-5159-40FE-8869-BBC98B2333B8}" xr6:coauthVersionLast="45" xr6:coauthVersionMax="45" xr10:uidLastSave="{00000000-0000-0000-0000-000000000000}"/>
  <bookViews>
    <workbookView xWindow="4940" yWindow="494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" i="1" l="1"/>
  <c r="B16" i="1"/>
  <c r="B20" i="1"/>
  <c r="B29" i="1"/>
  <c r="B31" i="1"/>
  <c r="B35" i="1"/>
  <c r="B37" i="1"/>
  <c r="B39" i="1" s="1"/>
  <c r="B38" i="1"/>
</calcChain>
</file>

<file path=xl/sharedStrings.xml><?xml version="1.0" encoding="utf-8"?>
<sst xmlns="http://schemas.openxmlformats.org/spreadsheetml/2006/main" count="31" uniqueCount="28">
  <si>
    <t>The American Society of Hematology</t>
  </si>
  <si>
    <t>INCOME</t>
  </si>
  <si>
    <t>Administrative</t>
  </si>
  <si>
    <t>Awards</t>
  </si>
  <si>
    <t>Annual Meeting</t>
  </si>
  <si>
    <t>Education &amp; Communications</t>
  </si>
  <si>
    <t>Self Assessment Program</t>
  </si>
  <si>
    <t>BLOOD Journal - Publishing</t>
  </si>
  <si>
    <t>BLOOD Journal - Editorial</t>
  </si>
  <si>
    <t>TOTAL INCOME:</t>
  </si>
  <si>
    <t>EXPENSES</t>
  </si>
  <si>
    <t xml:space="preserve">CME </t>
  </si>
  <si>
    <t xml:space="preserve">Education &amp; Communications </t>
  </si>
  <si>
    <t xml:space="preserve">Training Programs </t>
  </si>
  <si>
    <t>Development</t>
  </si>
  <si>
    <t xml:space="preserve">Self Assessment Program </t>
  </si>
  <si>
    <t>Membership Relations</t>
  </si>
  <si>
    <t xml:space="preserve">Blood Journal - Publishing </t>
  </si>
  <si>
    <t>Blood Journal - Editorial</t>
  </si>
  <si>
    <t>TOTAL EXPENSES:</t>
  </si>
  <si>
    <t>TOTAL INCOME</t>
  </si>
  <si>
    <t>TOTAL EXPENSES</t>
  </si>
  <si>
    <t>NET INCOME</t>
  </si>
  <si>
    <t>Clinical Research Training Institute</t>
  </si>
  <si>
    <t>Committees</t>
  </si>
  <si>
    <t xml:space="preserve">International Members/Outreach </t>
  </si>
  <si>
    <t>2002 Audited Financial Statement</t>
  </si>
  <si>
    <t xml:space="preserve">Clinical Research Training Institute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</si>
</sst>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2" formatCode="_(&quot;$&quot;* #,##0_);_(&quot;$&quot;* \(#,##0\);_(&quot;$&quot;* &quot;-&quot;??_);_(@_)"/>
  </numFmts>
  <fonts count="8" x14ac:knownFonts="1">
    <font>
      <sz val="10"/>
      <name val="Arial"/>
    </font>
    <font>
      <sz val="10"/>
      <name val="Arial"/>
    </font>
    <font>
      <b/>
      <sz val="10"/>
      <color indexed="17"/>
      <name val="Arial"/>
      <family val="2"/>
    </font>
    <font>
      <i/>
      <sz val="9"/>
      <name val="Arial"/>
      <family val="2"/>
    </font>
    <font>
      <b/>
      <i/>
      <sz val="10"/>
      <color indexed="17"/>
      <name val="Arial"/>
      <family val="2"/>
    </font>
    <font>
      <b/>
      <sz val="10"/>
      <color indexed="18"/>
      <name val="Arial"/>
      <family val="2"/>
    </font>
    <font>
      <b/>
      <sz val="10"/>
      <name val="Arial"/>
      <family val="2"/>
    </font>
    <font>
      <b/>
      <sz val="10"/>
      <color indexed="1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Fill="1" applyBorder="1" applyAlignment="1">
      <alignment horizontal="left"/>
    </xf>
    <xf numFmtId="4" fontId="3" fillId="0" borderId="0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left" wrapText="1"/>
    </xf>
    <xf numFmtId="4" fontId="3" fillId="0" borderId="1" xfId="0" applyNumberFormat="1" applyFont="1" applyFill="1" applyBorder="1" applyAlignment="1">
      <alignment horizontal="right" wrapText="1"/>
    </xf>
    <xf numFmtId="0" fontId="4" fillId="0" borderId="0" xfId="0" applyFont="1" applyFill="1" applyBorder="1" applyAlignment="1">
      <alignment horizontal="left" wrapText="1"/>
    </xf>
    <xf numFmtId="38" fontId="0" fillId="0" borderId="0" xfId="0" applyNumberFormat="1" applyFill="1" applyBorder="1" applyAlignment="1">
      <alignment wrapText="1"/>
    </xf>
    <xf numFmtId="0" fontId="4" fillId="0" borderId="0" xfId="0" applyFont="1" applyFill="1" applyBorder="1" applyAlignment="1">
      <alignment horizontal="left"/>
    </xf>
    <xf numFmtId="38" fontId="0" fillId="0" borderId="0" xfId="0" applyNumberFormat="1" applyFill="1" applyBorder="1" applyAlignment="1"/>
    <xf numFmtId="0" fontId="5" fillId="0" borderId="0" xfId="0" applyFont="1" applyFill="1" applyBorder="1" applyAlignment="1">
      <alignment horizontal="left"/>
    </xf>
    <xf numFmtId="38" fontId="1" fillId="0" borderId="0" xfId="0" applyNumberFormat="1" applyFont="1" applyFill="1" applyBorder="1" applyAlignment="1"/>
    <xf numFmtId="3" fontId="0" fillId="0" borderId="0" xfId="0" applyNumberFormat="1"/>
    <xf numFmtId="0" fontId="6" fillId="0" borderId="0" xfId="0" applyFont="1" applyFill="1" applyBorder="1" applyAlignment="1">
      <alignment horizontal="left"/>
    </xf>
    <xf numFmtId="38" fontId="1" fillId="0" borderId="0" xfId="0" applyNumberFormat="1" applyFont="1"/>
    <xf numFmtId="38" fontId="0" fillId="0" borderId="0" xfId="0" applyNumberFormat="1"/>
    <xf numFmtId="38" fontId="1" fillId="0" borderId="2" xfId="0" applyNumberFormat="1" applyFont="1" applyFill="1" applyBorder="1" applyAlignment="1"/>
    <xf numFmtId="38" fontId="1" fillId="0" borderId="3" xfId="1" applyNumberFormat="1" applyFont="1" applyFill="1" applyBorder="1" applyAlignment="1"/>
    <xf numFmtId="38" fontId="0" fillId="0" borderId="3" xfId="1" applyNumberFormat="1" applyFont="1" applyFill="1" applyBorder="1" applyAlignment="1"/>
    <xf numFmtId="0" fontId="7" fillId="0" borderId="0" xfId="0" applyFont="1" applyFill="1" applyBorder="1" applyAlignment="1">
      <alignment horizontal="left"/>
    </xf>
    <xf numFmtId="172" fontId="4" fillId="0" borderId="0" xfId="1" applyNumberFormat="1" applyFont="1" applyFill="1" applyBorder="1" applyAlignment="1">
      <alignment horizontal="left"/>
    </xf>
    <xf numFmtId="38" fontId="0" fillId="0" borderId="0" xfId="1" applyNumberFormat="1" applyFont="1" applyFill="1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5"/>
  <sheetViews>
    <sheetView tabSelected="1" workbookViewId="0"/>
  </sheetViews>
  <sheetFormatPr defaultRowHeight="12.5" x14ac:dyDescent="0.25"/>
  <cols>
    <col min="1" max="1" width="35.54296875" bestFit="1" customWidth="1"/>
    <col min="2" max="2" width="13.1796875" customWidth="1"/>
    <col min="3" max="4" width="9.7265625" bestFit="1" customWidth="1"/>
  </cols>
  <sheetData>
    <row r="1" spans="1:15" ht="13" x14ac:dyDescent="0.3">
      <c r="A1" s="1" t="s">
        <v>0</v>
      </c>
      <c r="B1" s="2"/>
    </row>
    <row r="2" spans="1:15" ht="13" x14ac:dyDescent="0.3">
      <c r="A2" s="1" t="s">
        <v>26</v>
      </c>
      <c r="B2" s="2"/>
    </row>
    <row r="3" spans="1:15" ht="13.5" thickBot="1" x14ac:dyDescent="0.35">
      <c r="A3" s="3"/>
      <c r="B3" s="4"/>
    </row>
    <row r="4" spans="1:15" ht="19.149999999999999" customHeight="1" x14ac:dyDescent="0.3">
      <c r="A4" s="5"/>
      <c r="B4" s="6"/>
    </row>
    <row r="5" spans="1:15" ht="19.149999999999999" customHeight="1" x14ac:dyDescent="0.3">
      <c r="A5" s="7" t="s">
        <v>1</v>
      </c>
      <c r="B5" s="8"/>
    </row>
    <row r="6" spans="1:15" ht="19.149999999999999" customHeight="1" x14ac:dyDescent="0.25">
      <c r="B6" s="8"/>
    </row>
    <row r="7" spans="1:15" ht="13" x14ac:dyDescent="0.3">
      <c r="A7" s="9" t="s">
        <v>2</v>
      </c>
      <c r="B7" s="11">
        <f>926567+540+59959+30702</f>
        <v>1017768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3" x14ac:dyDescent="0.3">
      <c r="A8" s="9" t="s">
        <v>4</v>
      </c>
      <c r="B8" s="11">
        <v>9316889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13" x14ac:dyDescent="0.3">
      <c r="A9" s="9" t="s">
        <v>3</v>
      </c>
      <c r="B9" s="11">
        <v>252592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" ht="13" x14ac:dyDescent="0.3">
      <c r="A10" s="9" t="s">
        <v>8</v>
      </c>
      <c r="B10" s="11">
        <v>619595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" ht="13" x14ac:dyDescent="0.3">
      <c r="A11" s="9" t="s">
        <v>7</v>
      </c>
      <c r="B11" s="11">
        <v>8730190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" ht="12.75" customHeight="1" x14ac:dyDescent="0.3">
      <c r="A12" s="9" t="s">
        <v>23</v>
      </c>
      <c r="B12" s="11">
        <v>15000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" ht="13" x14ac:dyDescent="0.3">
      <c r="A13" s="9" t="s">
        <v>5</v>
      </c>
      <c r="B13" s="11">
        <v>111759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" ht="13" x14ac:dyDescent="0.3">
      <c r="A14" s="9" t="s">
        <v>6</v>
      </c>
      <c r="B14" s="11">
        <v>325160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ht="20.25" customHeight="1" x14ac:dyDescent="0.3">
      <c r="A15" s="12"/>
      <c r="B15" s="15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ht="13.5" thickBot="1" x14ac:dyDescent="0.35">
      <c r="A16" s="7" t="s">
        <v>9</v>
      </c>
      <c r="B16" s="16">
        <f>SUM(B7:B15)</f>
        <v>20388953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ht="20.25" customHeight="1" thickTop="1" x14ac:dyDescent="0.3">
      <c r="A17" s="7"/>
      <c r="B17" s="13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19.149999999999999" customHeight="1" x14ac:dyDescent="0.3">
      <c r="A18" s="7"/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19.149999999999999" customHeight="1" x14ac:dyDescent="0.3">
      <c r="A19" s="7" t="s">
        <v>10</v>
      </c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13" x14ac:dyDescent="0.3">
      <c r="A20" s="9" t="s">
        <v>2</v>
      </c>
      <c r="B20" s="11">
        <f>1263117+50000</f>
        <v>1313117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ht="13" x14ac:dyDescent="0.3">
      <c r="A21" s="9" t="s">
        <v>4</v>
      </c>
      <c r="B21" s="11">
        <v>4719488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ht="13" x14ac:dyDescent="0.3">
      <c r="A22" s="9" t="s">
        <v>3</v>
      </c>
      <c r="B22" s="11">
        <v>1633459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ht="13" x14ac:dyDescent="0.3">
      <c r="A23" s="9" t="s">
        <v>18</v>
      </c>
      <c r="B23" s="11">
        <v>1252340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ht="13" x14ac:dyDescent="0.3">
      <c r="A24" s="9" t="s">
        <v>17</v>
      </c>
      <c r="B24" s="11">
        <v>5492425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ht="13" x14ac:dyDescent="0.3">
      <c r="A25" s="18" t="s">
        <v>27</v>
      </c>
      <c r="B25" s="11">
        <v>5216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ht="13" x14ac:dyDescent="0.3">
      <c r="A26" s="9" t="s">
        <v>12</v>
      </c>
      <c r="B26" s="11">
        <v>570741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ht="13" x14ac:dyDescent="0.3">
      <c r="A27" s="9" t="s">
        <v>15</v>
      </c>
      <c r="B27" s="11">
        <v>378892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 ht="13" x14ac:dyDescent="0.3">
      <c r="A28" s="9" t="s">
        <v>11</v>
      </c>
      <c r="B28" s="11">
        <v>92398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1:15" ht="13" x14ac:dyDescent="0.3">
      <c r="A29" s="9" t="s">
        <v>24</v>
      </c>
      <c r="B29" s="11">
        <f>15882+133594+94202+12560+227126+5030+5582+8896+138163+10608</f>
        <v>651643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spans="1:15" ht="13" x14ac:dyDescent="0.3">
      <c r="A30" s="9" t="s">
        <v>14</v>
      </c>
      <c r="B30" s="11">
        <v>200774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spans="1:15" ht="13" x14ac:dyDescent="0.3">
      <c r="A31" s="9" t="s">
        <v>25</v>
      </c>
      <c r="B31" s="11">
        <f>137623+11758</f>
        <v>149381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15" ht="13" x14ac:dyDescent="0.3">
      <c r="A32" s="9" t="s">
        <v>16</v>
      </c>
      <c r="B32" s="11">
        <v>512101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 ht="13" x14ac:dyDescent="0.3">
      <c r="A33" s="9" t="s">
        <v>13</v>
      </c>
      <c r="B33" s="11">
        <v>193705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1:15" ht="19.149999999999999" customHeight="1" x14ac:dyDescent="0.3">
      <c r="A34" s="9"/>
      <c r="B34" s="8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 ht="13.5" thickBot="1" x14ac:dyDescent="0.35">
      <c r="A35" s="7" t="s">
        <v>19</v>
      </c>
      <c r="B35" s="17">
        <f>SUM(B20:B34)</f>
        <v>17165680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spans="1:15" ht="20.25" customHeight="1" thickTop="1" x14ac:dyDescent="0.3">
      <c r="A36" s="19"/>
      <c r="B36" s="2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5" ht="13.5" thickBot="1" x14ac:dyDescent="0.35">
      <c r="A37" s="7" t="s">
        <v>20</v>
      </c>
      <c r="B37" s="17">
        <f>B16</f>
        <v>20388953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 ht="14" thickTop="1" thickBot="1" x14ac:dyDescent="0.35">
      <c r="A38" s="7" t="s">
        <v>21</v>
      </c>
      <c r="B38" s="17">
        <f>B35</f>
        <v>17165680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1:15" ht="14" thickTop="1" thickBot="1" x14ac:dyDescent="0.35">
      <c r="A39" s="7" t="s">
        <v>22</v>
      </c>
      <c r="B39" s="17">
        <f>B37-B35</f>
        <v>3223273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 ht="20.25" customHeight="1" thickTop="1" x14ac:dyDescent="0.3">
      <c r="A40" s="9"/>
      <c r="B40" s="14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1:15" x14ac:dyDescent="0.25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 x14ac:dyDescent="0.25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5" x14ac:dyDescent="0.25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spans="1:15" x14ac:dyDescent="0.25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spans="1:15" x14ac:dyDescent="0.25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 x14ac:dyDescent="0.25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 x14ac:dyDescent="0.25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 x14ac:dyDescent="0.25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2:15" x14ac:dyDescent="0.2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2:15" x14ac:dyDescent="0.25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2:15" x14ac:dyDescent="0.25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2:15" x14ac:dyDescent="0.25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2:15" x14ac:dyDescent="0.25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2:15" x14ac:dyDescent="0.25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2:15" x14ac:dyDescent="0.25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2:15" x14ac:dyDescent="0.25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2:15" x14ac:dyDescent="0.25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spans="2:15" x14ac:dyDescent="0.25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2:15" x14ac:dyDescent="0.25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2:15" x14ac:dyDescent="0.25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2:15" x14ac:dyDescent="0.25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2:15" x14ac:dyDescent="0.25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2:15" x14ac:dyDescent="0.25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spans="2:15" x14ac:dyDescent="0.25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2:15" x14ac:dyDescent="0.25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2:15" x14ac:dyDescent="0.25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 spans="2:15" x14ac:dyDescent="0.25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 spans="2:15" x14ac:dyDescent="0.25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spans="2:15" x14ac:dyDescent="0.25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2:15" x14ac:dyDescent="0.25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spans="2:15" x14ac:dyDescent="0.25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spans="2:15" x14ac:dyDescent="0.25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2:15" x14ac:dyDescent="0.25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2:15" x14ac:dyDescent="0.25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2:15" x14ac:dyDescent="0.25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 spans="2:15" x14ac:dyDescent="0.25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</row>
    <row r="77" spans="2:15" x14ac:dyDescent="0.25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</row>
    <row r="78" spans="2:15" x14ac:dyDescent="0.25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 spans="2:15" x14ac:dyDescent="0.25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</row>
    <row r="80" spans="2:15" x14ac:dyDescent="0.25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</row>
    <row r="81" spans="2:15" x14ac:dyDescent="0.25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</row>
    <row r="82" spans="2:15" x14ac:dyDescent="0.25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</row>
    <row r="83" spans="2:15" x14ac:dyDescent="0.25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</row>
    <row r="84" spans="2:15" x14ac:dyDescent="0.25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</row>
    <row r="85" spans="2:15" x14ac:dyDescent="0.25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 spans="2:15" x14ac:dyDescent="0.25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</row>
    <row r="87" spans="2:15" x14ac:dyDescent="0.25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</row>
    <row r="88" spans="2:15" x14ac:dyDescent="0.25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</row>
    <row r="89" spans="2:15" x14ac:dyDescent="0.25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</row>
    <row r="90" spans="2:15" x14ac:dyDescent="0.25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</row>
    <row r="91" spans="2:15" x14ac:dyDescent="0.25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</row>
    <row r="92" spans="2:15" x14ac:dyDescent="0.25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</row>
    <row r="93" spans="2:15" x14ac:dyDescent="0.25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</row>
    <row r="94" spans="2:15" x14ac:dyDescent="0.25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</row>
    <row r="95" spans="2:15" x14ac:dyDescent="0.25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</row>
    <row r="96" spans="2:15" x14ac:dyDescent="0.25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</row>
    <row r="97" spans="2:15" x14ac:dyDescent="0.25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</row>
    <row r="98" spans="2:15" x14ac:dyDescent="0.25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</row>
    <row r="99" spans="2:15" x14ac:dyDescent="0.25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</row>
    <row r="100" spans="2:15" x14ac:dyDescent="0.25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1" spans="2:15" x14ac:dyDescent="0.25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</row>
    <row r="102" spans="2:15" x14ac:dyDescent="0.25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  <row r="103" spans="2:15" x14ac:dyDescent="0.25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 spans="2:15" x14ac:dyDescent="0.25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</row>
    <row r="105" spans="2:15" x14ac:dyDescent="0.25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Carina Negreanu</cp:lastModifiedBy>
  <cp:lastPrinted>2003-10-27T16:02:22Z</cp:lastPrinted>
  <dcterms:created xsi:type="dcterms:W3CDTF">2003-10-22T20:32:11Z</dcterms:created>
  <dcterms:modified xsi:type="dcterms:W3CDTF">2020-01-27T12:48:00Z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641657002</vt:i4>
  </property>
  <property fmtid="{D5CDD505-2E9C-101B-9397-08002B2CF9AE}" pid="3" name="_EmailSubject">
    <vt:lpwstr>Treasurer's Report</vt:lpwstr>
  </property>
  <property fmtid="{D5CDD505-2E9C-101B-9397-08002B2CF9AE}" pid="4" name="_AuthorEmail">
    <vt:lpwstr>take@hematology.org</vt:lpwstr>
  </property>
  <property fmtid="{D5CDD505-2E9C-101B-9397-08002B2CF9AE}" pid="5" name="_AuthorEmailDisplayName">
    <vt:lpwstr>Tiffany Ake</vt:lpwstr>
  </property>
  <property fmtid="{D5CDD505-2E9C-101B-9397-08002B2CF9AE}" pid="6" name="_ReviewingToolsShownOnce">
    <vt:lpwstr/>
  </property>
</Properties>
</file>