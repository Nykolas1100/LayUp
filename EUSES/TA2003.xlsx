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9F2AB8-46EB-4264-9DB0-48F7BC0D47F1}" xr6:coauthVersionLast="45" xr6:coauthVersionMax="45" xr10:uidLastSave="{00000000-0000-0000-0000-000000000000}"/>
  <bookViews>
    <workbookView xWindow="760" yWindow="760" windowWidth="28800" windowHeight="15460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Tabelle1!$A$1:$AE$1379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55" i="1" l="1"/>
  <c r="I354" i="1"/>
  <c r="I51" i="1"/>
  <c r="I351" i="1"/>
  <c r="I460" i="1"/>
  <c r="I275" i="1"/>
  <c r="I473" i="1"/>
  <c r="I472" i="1"/>
  <c r="I471" i="1"/>
  <c r="I109" i="1"/>
  <c r="I108" i="1"/>
  <c r="I107" i="1"/>
  <c r="I106" i="1"/>
  <c r="I172" i="1"/>
  <c r="I145" i="1"/>
  <c r="I144" i="1"/>
  <c r="I143" i="1"/>
  <c r="I464" i="1"/>
  <c r="I252" i="1"/>
  <c r="I79" i="1"/>
  <c r="I78" i="1"/>
  <c r="I229" i="1"/>
  <c r="I201" i="1"/>
  <c r="I200" i="1"/>
  <c r="I199" i="1"/>
  <c r="I12" i="1"/>
  <c r="I52" i="1"/>
  <c r="I167" i="1"/>
  <c r="I168" i="1"/>
  <c r="I149" i="1"/>
  <c r="I142" i="1"/>
  <c r="I141" i="1"/>
  <c r="I175" i="1"/>
  <c r="I174" i="1"/>
  <c r="I39" i="1"/>
  <c r="I237" i="1"/>
  <c r="I251" i="1"/>
  <c r="I488" i="1"/>
  <c r="I487" i="1"/>
  <c r="I486" i="1"/>
  <c r="I333" i="1"/>
  <c r="I227" i="1"/>
  <c r="I226" i="1"/>
  <c r="I225" i="1"/>
  <c r="I158" i="1"/>
  <c r="I357" i="1"/>
  <c r="I356" i="1"/>
  <c r="I485" i="1"/>
  <c r="I334" i="1"/>
  <c r="I294" i="1"/>
  <c r="I293" i="1"/>
  <c r="I257" i="1"/>
  <c r="I452" i="1"/>
  <c r="I262" i="1"/>
  <c r="I72" i="1"/>
  <c r="I148" i="1"/>
  <c r="I462" i="1"/>
  <c r="I461" i="1"/>
  <c r="I404" i="1"/>
  <c r="I402" i="1"/>
  <c r="I401" i="1"/>
  <c r="I442" i="1"/>
  <c r="I130" i="1"/>
  <c r="I129" i="1"/>
  <c r="I497" i="1"/>
  <c r="I496" i="1"/>
  <c r="I292" i="1"/>
  <c r="I291" i="1"/>
  <c r="I290" i="1"/>
  <c r="I289" i="1"/>
  <c r="I288" i="1"/>
  <c r="I475" i="1"/>
  <c r="I373" i="1"/>
  <c r="I267" i="1"/>
  <c r="I272" i="1"/>
  <c r="I449" i="1"/>
  <c r="I406" i="1"/>
  <c r="I38" i="1"/>
  <c r="I198" i="1"/>
  <c r="I481" i="1"/>
  <c r="I479" i="1"/>
  <c r="I478" i="1"/>
  <c r="I477" i="1"/>
  <c r="I480" i="1"/>
  <c r="I360" i="1"/>
  <c r="I216" i="1"/>
  <c r="I215" i="1"/>
  <c r="I62" i="1"/>
  <c r="I89" i="1"/>
  <c r="I81" i="1"/>
  <c r="I66" i="1"/>
  <c r="I65" i="1"/>
  <c r="I64" i="1"/>
  <c r="I68" i="1"/>
  <c r="I67" i="1"/>
  <c r="I361" i="1"/>
  <c r="I397" i="1"/>
  <c r="I431" i="1"/>
  <c r="I7" i="1"/>
  <c r="I223" i="1"/>
  <c r="I236" i="1"/>
  <c r="I245" i="1"/>
  <c r="I159" i="1"/>
  <c r="I297" i="1"/>
  <c r="I371" i="1"/>
  <c r="I147" i="1"/>
  <c r="I202" i="1"/>
  <c r="I244" i="1"/>
  <c r="I49" i="1"/>
  <c r="I48" i="1"/>
  <c r="I47" i="1"/>
  <c r="I46" i="1"/>
  <c r="I45" i="1"/>
  <c r="I44" i="1"/>
  <c r="I43" i="1"/>
  <c r="I256" i="1"/>
  <c r="I255" i="1"/>
  <c r="I254" i="1"/>
  <c r="I253" i="1"/>
  <c r="I421" i="1"/>
  <c r="I453" i="1"/>
  <c r="I392" i="1"/>
  <c r="I61" i="1"/>
  <c r="I212" i="1"/>
  <c r="I125" i="1"/>
  <c r="I124" i="1"/>
  <c r="I123" i="1"/>
  <c r="I122" i="1"/>
  <c r="I358" i="1"/>
  <c r="I206" i="1"/>
  <c r="I362" i="1"/>
  <c r="I55" i="1"/>
  <c r="I264" i="1"/>
  <c r="I265" i="1"/>
  <c r="I263" i="1"/>
  <c r="I266" i="1"/>
  <c r="I133" i="1"/>
  <c r="I132" i="1"/>
  <c r="I131" i="1"/>
  <c r="I456" i="1"/>
  <c r="I408" i="1"/>
  <c r="I396" i="1"/>
  <c r="I395" i="1"/>
  <c r="I394" i="1"/>
  <c r="I393" i="1"/>
  <c r="I363" i="1"/>
  <c r="I126" i="1"/>
  <c r="I249" i="1"/>
  <c r="I248" i="1"/>
  <c r="I247" i="1"/>
  <c r="I242" i="1"/>
  <c r="I224" i="1"/>
  <c r="I50" i="1"/>
  <c r="I161" i="1"/>
  <c r="I160" i="1"/>
  <c r="I69" i="1"/>
  <c r="I379" i="1"/>
  <c r="I306" i="1"/>
  <c r="I412" i="1"/>
  <c r="I59" i="1"/>
  <c r="I58" i="1"/>
  <c r="I11" i="1"/>
  <c r="I387" i="1"/>
  <c r="I57" i="1"/>
  <c r="I490" i="1"/>
  <c r="I489" i="1"/>
  <c r="I415" i="1"/>
  <c r="I434" i="1"/>
  <c r="I433" i="1"/>
  <c r="I432" i="1"/>
  <c r="I71" i="1"/>
  <c r="I70" i="1"/>
  <c r="I139" i="1"/>
  <c r="I405" i="1"/>
  <c r="I134" i="1"/>
  <c r="I135" i="1"/>
  <c r="I389" i="1"/>
  <c r="I105" i="1"/>
  <c r="I441" i="1"/>
  <c r="I444" i="1"/>
  <c r="I96" i="1"/>
  <c r="I176" i="1"/>
  <c r="I169" i="1"/>
  <c r="I455" i="1"/>
  <c r="I454" i="1"/>
  <c r="I378" i="1"/>
  <c r="I436" i="1"/>
  <c r="I435" i="1"/>
  <c r="I346" i="1"/>
  <c r="I345" i="1"/>
  <c r="I344" i="1"/>
  <c r="I343" i="1"/>
  <c r="I98" i="1"/>
  <c r="I99" i="1"/>
  <c r="I342" i="1"/>
  <c r="I261" i="1"/>
  <c r="I372" i="1"/>
  <c r="I347" i="1"/>
  <c r="I388" i="1"/>
  <c r="I260" i="1"/>
  <c r="I463" i="1"/>
  <c r="I211" i="1"/>
  <c r="I228" i="1"/>
  <c r="I110" i="1"/>
  <c r="I178" i="1"/>
  <c r="I177" i="1"/>
  <c r="I33" i="1"/>
  <c r="I32" i="1"/>
  <c r="I31" i="1"/>
  <c r="I30" i="1"/>
  <c r="I29" i="1"/>
  <c r="I28" i="1"/>
  <c r="I27" i="1"/>
  <c r="I26" i="1"/>
  <c r="I25" i="1"/>
  <c r="I154" i="1"/>
  <c r="I153" i="1"/>
  <c r="I152" i="1"/>
  <c r="I151" i="1"/>
  <c r="I24" i="1"/>
  <c r="I23" i="1"/>
  <c r="I22" i="1"/>
  <c r="I36" i="1"/>
  <c r="I284" i="1"/>
  <c r="I283" i="1"/>
  <c r="I282" i="1"/>
  <c r="I281" i="1"/>
  <c r="I280" i="1"/>
  <c r="I279" i="1"/>
  <c r="I459" i="1"/>
  <c r="I445" i="1"/>
  <c r="I429" i="1"/>
  <c r="I417" i="1"/>
  <c r="I416" i="1"/>
  <c r="I368" i="1"/>
  <c r="I367" i="1"/>
  <c r="I366" i="1"/>
  <c r="I365" i="1"/>
  <c r="I364" i="1"/>
  <c r="I359" i="1"/>
  <c r="I353" i="1"/>
  <c r="I341" i="1"/>
  <c r="I340" i="1"/>
  <c r="I325" i="1"/>
  <c r="I324" i="1"/>
  <c r="I322" i="1"/>
  <c r="I323" i="1"/>
  <c r="I320" i="1"/>
  <c r="I318" i="1"/>
  <c r="I317" i="1"/>
  <c r="I316" i="1"/>
  <c r="I315" i="1"/>
  <c r="I314" i="1"/>
  <c r="I313" i="1"/>
  <c r="I312" i="1"/>
  <c r="I311" i="1"/>
  <c r="I309" i="1"/>
  <c r="I310" i="1"/>
  <c r="I307" i="1"/>
  <c r="I88" i="1"/>
  <c r="I74" i="1"/>
  <c r="I73" i="1"/>
  <c r="I54" i="1"/>
  <c r="I53" i="1"/>
  <c r="I37" i="1"/>
  <c r="I210" i="1"/>
  <c r="I164" i="1"/>
  <c r="I163" i="1"/>
  <c r="I465" i="1"/>
  <c r="I231" i="1"/>
  <c r="I128" i="1"/>
  <c r="I19" i="1"/>
  <c r="I146" i="1"/>
  <c r="I411" i="1"/>
  <c r="I104" i="1"/>
  <c r="I484" i="1"/>
  <c r="I18" i="1"/>
  <c r="I173" i="1"/>
  <c r="I150" i="1"/>
  <c r="I14" i="1"/>
  <c r="I41" i="1"/>
  <c r="I214" i="1"/>
  <c r="I162" i="1"/>
  <c r="I427" i="1"/>
  <c r="I165" i="1"/>
  <c r="I40" i="1"/>
  <c r="I296" i="1"/>
  <c r="I329" i="1"/>
  <c r="I170" i="1"/>
  <c r="I391" i="1"/>
  <c r="I349" i="1"/>
  <c r="I328" i="1"/>
  <c r="I232" i="1"/>
  <c r="I269" i="1"/>
  <c r="I350" i="1"/>
  <c r="I213" i="1"/>
  <c r="I295" i="1"/>
  <c r="I235" i="1"/>
  <c r="I466" i="1"/>
  <c r="I495" i="1"/>
  <c r="I428" i="1"/>
  <c r="I17" i="1"/>
  <c r="H276" i="1"/>
  <c r="I34" i="1"/>
  <c r="I330" i="1"/>
  <c r="I209" i="1"/>
  <c r="I299" i="1"/>
  <c r="I2" i="1"/>
  <c r="I179" i="1"/>
  <c r="I437" i="1"/>
  <c r="I171" i="1"/>
  <c r="I42" i="1"/>
  <c r="I239" i="1"/>
  <c r="I430" i="1"/>
  <c r="I493" i="1"/>
  <c r="I327" i="1"/>
  <c r="I326" i="1"/>
  <c r="I273" i="1"/>
  <c r="I137" i="1"/>
  <c r="I56" i="1"/>
  <c r="I60" i="1"/>
  <c r="I375" i="1"/>
  <c r="I377" i="1"/>
  <c r="H377" i="1"/>
  <c r="I376" i="1"/>
  <c r="I374" i="1"/>
  <c r="I335" i="1"/>
  <c r="I483" i="1"/>
  <c r="I451" i="1"/>
  <c r="I258" i="1"/>
  <c r="I274" i="1"/>
  <c r="I234" i="1"/>
  <c r="I87" i="1"/>
  <c r="I82" i="1"/>
  <c r="I83" i="1"/>
  <c r="I86" i="1"/>
  <c r="I85" i="1"/>
  <c r="I80" i="1"/>
  <c r="I20" i="1"/>
  <c r="I398" i="1"/>
  <c r="I399" i="1"/>
  <c r="I16" i="1"/>
  <c r="I101" i="1"/>
  <c r="I97" i="1"/>
  <c r="I390" i="1"/>
  <c r="I369" i="1"/>
  <c r="I286" i="1"/>
  <c r="I94" i="1"/>
  <c r="I119" i="1"/>
  <c r="I321" i="1"/>
  <c r="I259" i="1"/>
  <c r="I474" i="1"/>
  <c r="I93" i="1"/>
  <c r="I352" i="1"/>
  <c r="I140" i="1"/>
  <c r="I207" i="1"/>
  <c r="I136" i="1"/>
  <c r="I208" i="1"/>
  <c r="I205" i="1"/>
  <c r="I204" i="1"/>
  <c r="I414" i="1"/>
  <c r="I413" i="1"/>
  <c r="I494" i="1"/>
  <c r="I230" i="1"/>
  <c r="I4" i="1"/>
  <c r="I3" i="1"/>
  <c r="I285" i="1"/>
  <c r="I15" i="1"/>
  <c r="I337" i="1"/>
  <c r="I287" i="1"/>
  <c r="H287" i="1"/>
  <c r="I336" i="1"/>
  <c r="I102" i="1"/>
  <c r="I447" i="1"/>
  <c r="I419" i="1"/>
  <c r="I420" i="1"/>
  <c r="I220" i="1"/>
  <c r="I277" i="1"/>
  <c r="I339" i="1"/>
  <c r="I156" i="1"/>
  <c r="I157" i="1"/>
  <c r="I381" i="1"/>
  <c r="I338" i="1"/>
  <c r="I21" i="1"/>
  <c r="I127" i="1"/>
  <c r="I90" i="1"/>
  <c r="I92" i="1"/>
  <c r="I91" i="1"/>
</calcChain>
</file>

<file path=xl/sharedStrings.xml><?xml version="1.0" encoding="utf-8"?>
<sst xmlns="http://schemas.openxmlformats.org/spreadsheetml/2006/main" count="8334" uniqueCount="2702">
  <si>
    <t xml:space="preserve">Intelligenz </t>
  </si>
  <si>
    <t>nonverbal</t>
  </si>
  <si>
    <t>Cattell   R.B.</t>
  </si>
  <si>
    <t>Cattell A.K.S.</t>
  </si>
  <si>
    <t>Cattell R.B., Cattell A.K.S.</t>
  </si>
  <si>
    <t>Institute for Personality and Ability Testing</t>
  </si>
  <si>
    <t>Leistungs- und Fähigkeitstest:</t>
  </si>
  <si>
    <t>High School Pupils and Adults of Superior Intelligence</t>
  </si>
  <si>
    <t>JA</t>
  </si>
  <si>
    <t>Anweisungsheft, Schablone, Antwortblatt, Form A,Form B</t>
  </si>
  <si>
    <t>Cattell R.B.</t>
  </si>
  <si>
    <t>Junior High School Mathematics Test (Acorn Achievement Tests)</t>
  </si>
  <si>
    <t>Anweisungsheft, Technical repport, Testheft Form AM und AH</t>
  </si>
  <si>
    <t>OHIO State University Psychological Test</t>
  </si>
  <si>
    <t>2. Auflage</t>
  </si>
  <si>
    <t>high school, college</t>
  </si>
  <si>
    <t>Schule, Sprachfähigkeit</t>
  </si>
  <si>
    <t>OSUPT</t>
  </si>
  <si>
    <t>1964-65</t>
  </si>
  <si>
    <t>Manual, Testheft, Auswertungsblatt</t>
  </si>
  <si>
    <t>Sprachfähigkeit</t>
  </si>
  <si>
    <t>Reading for Understanding</t>
  </si>
  <si>
    <t>Thurstone T G.</t>
  </si>
  <si>
    <t>Grade 5 - high school, college</t>
  </si>
  <si>
    <t>RFU</t>
  </si>
  <si>
    <t>1959-63</t>
  </si>
  <si>
    <t>Anweisungsheft, Studentenheft, Antwortheft, Testheft, Schlüssel</t>
  </si>
  <si>
    <t>Thurstone T. G.</t>
  </si>
  <si>
    <t>Flanagan Aptitude Classification Tests (Form A)</t>
  </si>
  <si>
    <t>Flanagan J.C.</t>
  </si>
  <si>
    <t>Beruf</t>
  </si>
  <si>
    <t>FACT</t>
  </si>
  <si>
    <t>1953-56</t>
  </si>
  <si>
    <t xml:space="preserve">Testbeschreib,Studentenheft, Anweisungsmanual,  Testblätter Form A, Antwortblatt,Technical Supplement, </t>
  </si>
  <si>
    <t>Flanagan J. C.</t>
  </si>
  <si>
    <t>Flanagan Aptitude Classification Tests</t>
  </si>
  <si>
    <t>1957-59</t>
  </si>
  <si>
    <t xml:space="preserve">Testbeschreib, Studentenheft, Manuale,  Testhefte, Antwortblatt, Normenheft, </t>
  </si>
  <si>
    <t>Schule, Kartenlesen, Geographie, Naturwissenschaften</t>
  </si>
  <si>
    <t>MG II</t>
  </si>
  <si>
    <t>1962-64</t>
  </si>
  <si>
    <t>Anweisungsheft, Testhefte,  Karten</t>
  </si>
  <si>
    <t>Kartenlesen</t>
  </si>
  <si>
    <t>Geographie</t>
  </si>
  <si>
    <t>Naturwissenschaften</t>
  </si>
  <si>
    <t>Brown C.M.</t>
  </si>
  <si>
    <t>Graph and Picture Study Skills</t>
  </si>
  <si>
    <t>Naslund R.A., McClellan J.</t>
  </si>
  <si>
    <t>Schule, visuelle Informationsverarbeitung, visuelle Darstellung</t>
  </si>
  <si>
    <t>GP II</t>
  </si>
  <si>
    <t>Schule, Naturwissenschaften</t>
  </si>
  <si>
    <t>Anweisung- und Klassen-Score-Blatt, Testhefte Form A und B</t>
  </si>
  <si>
    <t>visuelle Darstellung</t>
  </si>
  <si>
    <t>McClellan J.</t>
  </si>
  <si>
    <t>SRA Verbal and Non Verbal Forms</t>
  </si>
  <si>
    <t>McMurry R.N., King J.E.</t>
  </si>
  <si>
    <t>ab 12 Jahren</t>
  </si>
  <si>
    <t>Intelligenz , nonverbal</t>
  </si>
  <si>
    <t>verbale Form fehlt</t>
  </si>
  <si>
    <t>Manual, Testblatt Form AH</t>
  </si>
  <si>
    <t>McMurry R.N.</t>
  </si>
  <si>
    <t>King J.E.</t>
  </si>
  <si>
    <t>SRA Mechanical Aptitudes</t>
  </si>
  <si>
    <t>Mechanik</t>
  </si>
  <si>
    <t>Manual, Testheft Form AH</t>
  </si>
  <si>
    <t>Test of Economic Understanding</t>
  </si>
  <si>
    <t>Students of secondary schools and colleges</t>
  </si>
  <si>
    <t>Ökonomie</t>
  </si>
  <si>
    <t>Manual, Testhefte Form A und B, Antwortblatt</t>
  </si>
  <si>
    <t>Diagnostic Reading Tests</t>
  </si>
  <si>
    <t>Grades 4 - 8, Grade 7 - College</t>
  </si>
  <si>
    <t>1956-66</t>
  </si>
  <si>
    <t>Anweisungshefte, Normentabellen, Testhefte</t>
  </si>
  <si>
    <t>Office Skill Achievement Test</t>
  </si>
  <si>
    <t>Mellenbruch P.L.</t>
  </si>
  <si>
    <t>Psychometric Affiliates</t>
  </si>
  <si>
    <t>Jugendliche/Erwachsene</t>
  </si>
  <si>
    <t>Kaufmännische Kenntnisse</t>
  </si>
  <si>
    <t>Anweisungsheft, Testheft, Schlüssel</t>
  </si>
  <si>
    <t>Mellenbruch P.L.</t>
  </si>
  <si>
    <t>Anweisungsheft, Testheft, Karten</t>
  </si>
  <si>
    <t>visuelle Informationsverarbeitung</t>
  </si>
  <si>
    <t>Signatur:</t>
  </si>
  <si>
    <t>Exempl.nr.:</t>
  </si>
  <si>
    <t>Testname:</t>
  </si>
  <si>
    <t>Autor:</t>
  </si>
  <si>
    <t>Verlag:</t>
  </si>
  <si>
    <t>Auflage:</t>
  </si>
  <si>
    <t>Aufnahmedatum:</t>
  </si>
  <si>
    <t>Testklassifikation:1</t>
  </si>
  <si>
    <t>Testklassifikation:2</t>
  </si>
  <si>
    <t>Alter:</t>
  </si>
  <si>
    <t>Stichwörter:</t>
  </si>
  <si>
    <t>Inventar:</t>
  </si>
  <si>
    <t>Bermerkungen:</t>
  </si>
  <si>
    <t>Testkürzel:</t>
  </si>
  <si>
    <t>Sprache:</t>
  </si>
  <si>
    <t>Anzahl:</t>
  </si>
  <si>
    <t>Jahr:</t>
  </si>
  <si>
    <t>Hinweise:</t>
  </si>
  <si>
    <t>Registriert:</t>
  </si>
  <si>
    <t>Testmaterial:</t>
  </si>
  <si>
    <t>Ort:</t>
  </si>
  <si>
    <t>Schlagwort 1:</t>
  </si>
  <si>
    <t>Schlagwort 2:</t>
  </si>
  <si>
    <t>Schlagwort 3:</t>
  </si>
  <si>
    <t>Schlagwort 4:</t>
  </si>
  <si>
    <t>Schlagwort 5:</t>
  </si>
  <si>
    <t>Nr.:</t>
  </si>
  <si>
    <t>Autor 1:</t>
  </si>
  <si>
    <t>Autor 2:</t>
  </si>
  <si>
    <t>Autor 3:</t>
  </si>
  <si>
    <t>Autor 4:</t>
  </si>
  <si>
    <t>Culture Fair Intelligence Test (Scale 3)</t>
  </si>
  <si>
    <t>Cattell R. B., Cattell A.K.S.</t>
  </si>
  <si>
    <t>1. Auflage</t>
  </si>
  <si>
    <t>Leistungs- und Fähigkeitstest</t>
  </si>
  <si>
    <t>Jugendliche / Erwachsene</t>
  </si>
  <si>
    <t>Intelligenz, nonverbal</t>
  </si>
  <si>
    <t>CFT 3</t>
  </si>
  <si>
    <t>engl</t>
  </si>
  <si>
    <t>Ja</t>
  </si>
  <si>
    <t>Anweisungsheft , Schablone, Antwortblatt, Form A, Form B</t>
  </si>
  <si>
    <t>S</t>
  </si>
  <si>
    <t>Kunze D.R.</t>
  </si>
  <si>
    <t>MacElroy A.J.</t>
  </si>
  <si>
    <t>Academic Aptitude Test (Acorn National Aptitude Test)</t>
  </si>
  <si>
    <t>Kobal A., Wrightstone J.W., Kunze K.R., MacElroy A.J.</t>
  </si>
  <si>
    <t>Schlüssel Form B fehlt</t>
  </si>
  <si>
    <t>AAT</t>
  </si>
  <si>
    <t>1945-62</t>
  </si>
  <si>
    <t>Anweisungsheft, Testheft, Antwortblatt</t>
  </si>
  <si>
    <t>Academic Aptitude Tests (Acorn National Aptitude Test)</t>
  </si>
  <si>
    <t>1957-66</t>
  </si>
  <si>
    <t>Manuale, Testhefte Form A und B, Schlüssel, Antwort-, Profil-, Scoreblatt</t>
  </si>
  <si>
    <t>Bennett G.K. &amp; M. G.</t>
  </si>
  <si>
    <t>Clendenen D.M.</t>
  </si>
  <si>
    <t>Doppelt J.E.</t>
  </si>
  <si>
    <t>Eisner H.</t>
  </si>
  <si>
    <t>- Schultest: - Rechentest</t>
  </si>
  <si>
    <t>Grades 7 - 9</t>
  </si>
  <si>
    <t>Schule, Rechenfähigkeit</t>
  </si>
  <si>
    <t>Testheft Form A fehlt</t>
  </si>
  <si>
    <t>1958-60</t>
  </si>
  <si>
    <t>Anweisheft, Schlüssel Form A, Testhefte Form A und B</t>
  </si>
  <si>
    <t>Rechenfähigkeit</t>
  </si>
  <si>
    <t>Eisner H.</t>
  </si>
  <si>
    <t>Health Knowledge Test for College Freshmen (National Achievement Tests)</t>
  </si>
  <si>
    <t>Bridges A.F.</t>
  </si>
  <si>
    <t>College Freshmen</t>
  </si>
  <si>
    <t>Gesundheit</t>
  </si>
  <si>
    <t>Anweisungsheft, Testheft, Klassen-Score-blatt</t>
  </si>
  <si>
    <t>Bridges A.F.</t>
  </si>
  <si>
    <t>Intermediate Battery (National Achievement Test)</t>
  </si>
  <si>
    <t>Bristow W.H., Speer R.K., Smith S., Crow L.D., Crow A.</t>
  </si>
  <si>
    <t>Grades 4 through 6</t>
  </si>
  <si>
    <t>Testheft Form A und Anweisungsheft und Schlüssel Form B fehlt</t>
  </si>
  <si>
    <t>Anweisungsheft und Schlüssel Form A, Testheft Form B, Klassen-Score-Blatt Form A und B, Normenblatt</t>
  </si>
  <si>
    <t>Bristow W.H.</t>
  </si>
  <si>
    <t>Achievement Series / SRA Achievement Series</t>
  </si>
  <si>
    <t>Thorpe L.P., Lefever D.W., Naslund R.A.</t>
  </si>
  <si>
    <t>Grades 1 through 4</t>
  </si>
  <si>
    <t>Katen wahrscheinlich nicht alle vorhanden</t>
  </si>
  <si>
    <t>1955-65</t>
  </si>
  <si>
    <t xml:space="preserve">Handbuch, Test Coordinator's Manual, Testhefte, Anweisunghefte, </t>
  </si>
  <si>
    <t>Thorpe L.P.</t>
  </si>
  <si>
    <t>Lefever D.W.</t>
  </si>
  <si>
    <t>Naslund R.A.</t>
  </si>
  <si>
    <t>- Schultest: - Mehrfächertest</t>
  </si>
  <si>
    <t>Grades 4 - 12</t>
  </si>
  <si>
    <t>Intelligenz, Schule</t>
  </si>
  <si>
    <t>TEA</t>
  </si>
  <si>
    <t>1962-63</t>
  </si>
  <si>
    <t xml:space="preserve"> Anweisungshefte, Technical supplement, Testhefte, Antwortblätter, Schlüssel</t>
  </si>
  <si>
    <t>Intelligenz</t>
  </si>
  <si>
    <t>Schule</t>
  </si>
  <si>
    <t>IOWA Tests of Educational Development</t>
  </si>
  <si>
    <t>Grades 9 - 12</t>
  </si>
  <si>
    <t>1960-66</t>
  </si>
  <si>
    <t>Antwortblatt, Manuale, Testheft Form X-4,</t>
  </si>
  <si>
    <t>Army General Classification Test</t>
  </si>
  <si>
    <t>High school -, college students,  Adults</t>
  </si>
  <si>
    <t>AGCT</t>
  </si>
  <si>
    <t>Anweisung- und Klassen-Score-Blatt, Normenblatt, Testheft</t>
  </si>
  <si>
    <t>Naslund R.A., Brown C.M.</t>
  </si>
  <si>
    <t>Grades 4 - 6</t>
  </si>
  <si>
    <t>Anweisungs- und Klassen-Score-Blatt, Testheft</t>
  </si>
  <si>
    <t>Biologie</t>
  </si>
  <si>
    <t>Crow L.D.</t>
  </si>
  <si>
    <t>Murray J.G.</t>
  </si>
  <si>
    <t>General Chemistry Test (National Achievement Tests)</t>
  </si>
  <si>
    <t>Crow L.D., Cook R.S.</t>
  </si>
  <si>
    <t>10-12 Years, College</t>
  </si>
  <si>
    <t>Schule, Naturwissenschaften, Chemie</t>
  </si>
  <si>
    <t>Chemie</t>
  </si>
  <si>
    <t>Cook R.S.</t>
  </si>
  <si>
    <t>General Science Test (National Achievement Test)</t>
  </si>
  <si>
    <t>Elementary Science Test (National Achievement Tests)</t>
  </si>
  <si>
    <t>Crow L.D., Shuman W.L.</t>
  </si>
  <si>
    <t>1948-60</t>
  </si>
  <si>
    <t>Anweisungs- und Klassen-Score-Blätter Form A und B, Testhefte Form A und B, Normen</t>
  </si>
  <si>
    <t>Shuman W.L.</t>
  </si>
  <si>
    <t>General Physics Test (National Achievement Tests)</t>
  </si>
  <si>
    <t>Schule, Naturwissenschaften, Physik</t>
  </si>
  <si>
    <t>1958-66</t>
  </si>
  <si>
    <t>Anweisung- und Klassen-Score-Blatt, Testheft Form A</t>
  </si>
  <si>
    <t>Physik</t>
  </si>
  <si>
    <t>Algebra Test for Engeneering and Science</t>
  </si>
  <si>
    <t>Lonski A.B.</t>
  </si>
  <si>
    <t>Manual fehlt</t>
  </si>
  <si>
    <t>1959-61</t>
  </si>
  <si>
    <t>Klassen-Score-Liste, Schlüssel, Testheft</t>
  </si>
  <si>
    <t>Lonski A.B.</t>
  </si>
  <si>
    <t>Evaluation Aptitude Test</t>
  </si>
  <si>
    <t>Sell D.E.</t>
  </si>
  <si>
    <t>Denkfähigkeit</t>
  </si>
  <si>
    <t>1952-55</t>
  </si>
  <si>
    <t>Anweisungsheft, Testblatt, Schlüssel</t>
  </si>
  <si>
    <t>Perfludex</t>
  </si>
  <si>
    <t>Holmes F.J.</t>
  </si>
  <si>
    <t>Psychomteric Affiliates</t>
  </si>
  <si>
    <t>Konzentration, Motorik</t>
  </si>
  <si>
    <t>Testblätter, Manual, Schlüssel</t>
  </si>
  <si>
    <t>Konzentration</t>
  </si>
  <si>
    <t>Motorik</t>
  </si>
  <si>
    <t>Curtis Spatial Test</t>
  </si>
  <si>
    <t>Curtis J.W.</t>
  </si>
  <si>
    <t>Räumliche Vorstellung, Beruf</t>
  </si>
  <si>
    <t>1969-61</t>
  </si>
  <si>
    <t>Mechanical Motivation Test</t>
  </si>
  <si>
    <t>Jugendliche und Erwachsene</t>
  </si>
  <si>
    <t>1956-57</t>
  </si>
  <si>
    <t>Anweisungsheft, Testhefte Form A und B, Schlüssel</t>
  </si>
  <si>
    <t>Ohio Classification Test</t>
  </si>
  <si>
    <t>Sell D.E., Scollay R.W., Vernon L.N.</t>
  </si>
  <si>
    <t>1952-57</t>
  </si>
  <si>
    <t>Anweisungsheft, Testheft, Antwortblatt, Schlüssel</t>
  </si>
  <si>
    <t>Sell D.E.</t>
  </si>
  <si>
    <t>Scollay R.W.</t>
  </si>
  <si>
    <t>Vernon L.N.</t>
  </si>
  <si>
    <t>Culture Fair Intelligence Test (Scale 1)</t>
  </si>
  <si>
    <t>Cattel R.B.</t>
  </si>
  <si>
    <t>Grades 4-8 (and mentally defective Adults)</t>
  </si>
  <si>
    <t>CFT 1</t>
  </si>
  <si>
    <t>Anweisungsheft, Testblätter, Schlüssel</t>
  </si>
  <si>
    <t>Drake Musical Aptitude Test</t>
  </si>
  <si>
    <t>Drake R. M.</t>
  </si>
  <si>
    <t>Science Research Associates</t>
  </si>
  <si>
    <t>ab 8 Jahren</t>
  </si>
  <si>
    <t>Musik</t>
  </si>
  <si>
    <t>Anweisungsheft, Rhythm Test und Musical Memory Test je Form A und Form B, Schallplatte</t>
  </si>
  <si>
    <t>Drake R.M.</t>
  </si>
  <si>
    <t>Tests of Educational Ability</t>
  </si>
  <si>
    <t>Science Research Associates</t>
  </si>
  <si>
    <t>2/3. Auflage</t>
  </si>
  <si>
    <t>Anweisungheft, Testheft, Antwortblatt</t>
  </si>
  <si>
    <t>Kobal A.</t>
  </si>
  <si>
    <t>Wrightstone J.W.</t>
  </si>
  <si>
    <t>Revision von Army Alpha Examinations</t>
  </si>
  <si>
    <t>Testheft, Manual, Schlüssel, Antwortblatt</t>
  </si>
  <si>
    <t>Wells F.L.</t>
  </si>
  <si>
    <t>Academic Promise Tests</t>
  </si>
  <si>
    <t>Bennett G.K., Bennett M.G., Clendenen D.M., Doppelt J.E., Ricks J.H., Seashore H.G., Wesman A.G.</t>
  </si>
  <si>
    <t>Grade 6-9</t>
  </si>
  <si>
    <t>APT</t>
  </si>
  <si>
    <t>Differential Aptitude Test (Form L)</t>
  </si>
  <si>
    <t>Bennett G.K., Seashore H.G., Wesman A.G.</t>
  </si>
  <si>
    <t>4. Auflage</t>
  </si>
  <si>
    <t>DAT</t>
  </si>
  <si>
    <t>1961-66</t>
  </si>
  <si>
    <t>Manual, Testhefte Form L, Schlüssel,  Anweisungsblätter</t>
  </si>
  <si>
    <t>Bennett G.K.</t>
  </si>
  <si>
    <t>Seashore H.G.</t>
  </si>
  <si>
    <t>Wesman A.G.</t>
  </si>
  <si>
    <t>Differential Aptitude Test (Form M)</t>
  </si>
  <si>
    <t>Manual, Testhefte Form M, Schlüssel,  Anweisungsblätter</t>
  </si>
  <si>
    <t>Differential Aptitude Test (Form A)</t>
  </si>
  <si>
    <t>Jugendliche</t>
  </si>
  <si>
    <t>Mechanik, räumliche Vorstellung</t>
  </si>
  <si>
    <t>Testhefte, Anweisungsheft, Schlüssel, Antwort-, Profilblatt</t>
  </si>
  <si>
    <t>räumliche Vorstellung</t>
  </si>
  <si>
    <t>Davis Reading Test</t>
  </si>
  <si>
    <t>Davis F.B., Davis Ch.C.</t>
  </si>
  <si>
    <t>Grade 8-1, college</t>
  </si>
  <si>
    <t>1961-62</t>
  </si>
  <si>
    <t>Manual, Antwortblätter, Testhefte, Schlüssel</t>
  </si>
  <si>
    <t xml:space="preserve">Davis F.B. </t>
  </si>
  <si>
    <t>Davis Ch.C.</t>
  </si>
  <si>
    <t>Mechanical Comprehension Test (Form AA)</t>
  </si>
  <si>
    <t>Bennett  G.K.</t>
  </si>
  <si>
    <t>Manual, Antwortblatt, Schlüssel, Testheft</t>
  </si>
  <si>
    <t>Processes of Science Test</t>
  </si>
  <si>
    <t>Biolog.Science Curriculum Study</t>
  </si>
  <si>
    <t>Biologie, Naturwissenschaften</t>
  </si>
  <si>
    <t>POST</t>
  </si>
  <si>
    <t>1962-65</t>
  </si>
  <si>
    <t>Speer R.K.</t>
  </si>
  <si>
    <t>Smith S.</t>
  </si>
  <si>
    <t>Advanced Battery (National Achievement Tests)</t>
  </si>
  <si>
    <t>Bristow W.H., Crow L.D., Crow A.</t>
  </si>
  <si>
    <t>1954-55</t>
  </si>
  <si>
    <t>World History Test / Acorn National Achievement Tests</t>
  </si>
  <si>
    <t>McGarrett V., Merrill E.H.</t>
  </si>
  <si>
    <t>High School and College</t>
  </si>
  <si>
    <t>Schule, Geschichte</t>
  </si>
  <si>
    <t>1957-58</t>
  </si>
  <si>
    <t>Anweisungheft und Schlüssel, Testheft</t>
  </si>
  <si>
    <t>SRA Achievement Series</t>
  </si>
  <si>
    <t>Thorpe L.P., Lefever D.W., Naslund R.A.</t>
  </si>
  <si>
    <t>Grades 4 - 9</t>
  </si>
  <si>
    <t>Karen wahrscheinlich nicht alle vorhanden</t>
  </si>
  <si>
    <t>1963-64</t>
  </si>
  <si>
    <t xml:space="preserve">Handbuch, Antwortblätter, Testhefte, Anweisungsmanual, </t>
  </si>
  <si>
    <t>Thorpe L.P.</t>
  </si>
  <si>
    <t>Lefever D.W.</t>
  </si>
  <si>
    <t>Naslund R.A.</t>
  </si>
  <si>
    <t>Organizing and Reporting Skills</t>
  </si>
  <si>
    <t>Naslund R.A., Servey R.E.</t>
  </si>
  <si>
    <t>Grades 4-6</t>
  </si>
  <si>
    <t>Karten wahrscheinlich nicht alle vorhanden</t>
  </si>
  <si>
    <t>OR II</t>
  </si>
  <si>
    <t>Anweisungsheft,Testheft, Karten</t>
  </si>
  <si>
    <t>Servey R.E.</t>
  </si>
  <si>
    <t xml:space="preserve">Map and Globe Skills </t>
  </si>
  <si>
    <t>Schule, Naturwissenschaften, Biologie</t>
  </si>
  <si>
    <t>Votaw Algebra Test</t>
  </si>
  <si>
    <t>Votaw D.F., Votaw D.F.jr.</t>
  </si>
  <si>
    <t>Steck-Vaughn Company</t>
  </si>
  <si>
    <t>Testheft, Manual</t>
  </si>
  <si>
    <t xml:space="preserve">Votaw, D.F. </t>
  </si>
  <si>
    <t>Votaw D.F.jr.</t>
  </si>
  <si>
    <t>Gray Votaw Rogers General Achievement Test</t>
  </si>
  <si>
    <t>Gray H., Votaw D.F., Rogers J.L.</t>
  </si>
  <si>
    <t>Steck-Vaughn company</t>
  </si>
  <si>
    <t>Grade 1-9</t>
  </si>
  <si>
    <t>GVR</t>
  </si>
  <si>
    <t>drei Testhefte, je ein Manual, Klassenscore-Listen</t>
  </si>
  <si>
    <t>Gray H.</t>
  </si>
  <si>
    <t>Votaw D.F.</t>
  </si>
  <si>
    <t>Rogers J.L.</t>
  </si>
  <si>
    <t>Developmental Test of Visual Perception</t>
  </si>
  <si>
    <t>Frostig M., Maslow P.</t>
  </si>
  <si>
    <t>Consulting Psychologists Press</t>
  </si>
  <si>
    <t>ab 2 1/2 Jahren</t>
  </si>
  <si>
    <t>Motorik, visuelle Wahrnehmung</t>
  </si>
  <si>
    <t>1961,1963,1966</t>
  </si>
  <si>
    <t>Testheft, Anleitungsmanual, techn.Manual, 9 Karten, 3 Schablonen</t>
  </si>
  <si>
    <t>visuelle Wahrnehmung</t>
  </si>
  <si>
    <t>Frostig M.</t>
  </si>
  <si>
    <t>Maslow P.</t>
  </si>
  <si>
    <t>Analysis of Relationships</t>
  </si>
  <si>
    <t>Ghiselli E.E.</t>
  </si>
  <si>
    <t>Grade 6-16</t>
  </si>
  <si>
    <t>Tyler Kimber Study Skills Test</t>
  </si>
  <si>
    <t>Tyler H.T., Kimber G.C.</t>
  </si>
  <si>
    <t>Grade 9-16</t>
  </si>
  <si>
    <t>Schlüssel, Testheft</t>
  </si>
  <si>
    <t>Tyler H.T.</t>
  </si>
  <si>
    <t>Kimber G.C.</t>
  </si>
  <si>
    <t>Tucker Sanders Plane Geometry</t>
  </si>
  <si>
    <t>Tucker Ch.B., Snaders M.W.</t>
  </si>
  <si>
    <t>Bureau of Educational Measurements</t>
  </si>
  <si>
    <t>Schule, Geometrie</t>
  </si>
  <si>
    <t xml:space="preserve">Manual, Schlüssel, Form A und B, je 2 Testhefte </t>
  </si>
  <si>
    <t>Geometrie</t>
  </si>
  <si>
    <t>Tucker Ch.B.</t>
  </si>
  <si>
    <t>Snaders M.W.</t>
  </si>
  <si>
    <t>Schrammel Gray High School and College Reading Test</t>
  </si>
  <si>
    <t>Schrammel H.E., Gray W.H.</t>
  </si>
  <si>
    <t>Testblätter, Manual</t>
  </si>
  <si>
    <t>Räumliche Vorstellung</t>
  </si>
  <si>
    <t>Vineland Social Maturity Scale</t>
  </si>
  <si>
    <t>Doll E.A.</t>
  </si>
  <si>
    <t>American Guidance Service</t>
  </si>
  <si>
    <t>Säugling bis Jugendlicher</t>
  </si>
  <si>
    <t>Soziale Kompetenz</t>
  </si>
  <si>
    <t>VSMS</t>
  </si>
  <si>
    <t>Antwortblätter, Manual</t>
  </si>
  <si>
    <t>California Algebra Aptitude Test</t>
  </si>
  <si>
    <t>Keys N., McCrum M.</t>
  </si>
  <si>
    <t>Test for High School Entrants</t>
  </si>
  <si>
    <t>Crow L.D., Crow A.</t>
  </si>
  <si>
    <t>High School Entrants</t>
  </si>
  <si>
    <t>Testheft Form A und Schlüssel Form B fehlt</t>
  </si>
  <si>
    <t>1951-58</t>
  </si>
  <si>
    <t>Anweisungheft, Testheft Form B, Schlüssel Form A</t>
  </si>
  <si>
    <t>Crow L.D. &amp; A.</t>
  </si>
  <si>
    <t>American Literacy Test</t>
  </si>
  <si>
    <t>McCarty J.J.</t>
  </si>
  <si>
    <t>Jugendliche und Erwachsenen</t>
  </si>
  <si>
    <t>Anweisungsheft, Testheft</t>
  </si>
  <si>
    <t>McCarty J.J.</t>
  </si>
  <si>
    <t>Mechanical Aptitude Test (Acorn National Aptitude Test)</t>
  </si>
  <si>
    <t>Kobal A., Wrightstone J.W., Kunze D.R., MacElroy A.J.</t>
  </si>
  <si>
    <t>Acorn Publishing Company</t>
  </si>
  <si>
    <t>1945-60</t>
  </si>
  <si>
    <t>Modified Alpha Examination (Form 9)</t>
  </si>
  <si>
    <t>Wells F.L.</t>
  </si>
  <si>
    <t>Psychological Corporation</t>
  </si>
  <si>
    <t xml:space="preserve">Schule, Sprachfähigkeit, Rechenfähigkeit, </t>
  </si>
  <si>
    <t>STEP</t>
  </si>
  <si>
    <t>1957-63</t>
  </si>
  <si>
    <t xml:space="preserve">Je 4 Testhefte zu 6 Themenbereichen, Manual., Techn.Report,  Manual für Interpretation, </t>
  </si>
  <si>
    <t>Cooperative School and College Ability Tests</t>
  </si>
  <si>
    <t>SCAT</t>
  </si>
  <si>
    <t>Diverse Manuale, Testhefte Form 1B-5B,  Form UA, Antwortblätter, Schablone</t>
  </si>
  <si>
    <t>Ricks J.H.</t>
  </si>
  <si>
    <t>Manual, 4 Testhefte Form B, Schlüssel, Antwortblatt</t>
  </si>
  <si>
    <t>Cooperative Mathematics Tests</t>
  </si>
  <si>
    <t>Manual, 9 Testhefte, Antwortblatt, Schablone</t>
  </si>
  <si>
    <t>Cooperative Latin Test</t>
  </si>
  <si>
    <t>Schule, Latein</t>
  </si>
  <si>
    <t>1941-51</t>
  </si>
  <si>
    <t>Manual, Schlüssle, Antwortblatt, Normenheft, Testheft Form R und Q</t>
  </si>
  <si>
    <t>Latein</t>
  </si>
  <si>
    <t>Cooperative French Listening Comprehension Test</t>
  </si>
  <si>
    <t>Schule, Französisch</t>
  </si>
  <si>
    <t>Manual, Testheft Form A, Schlüssel</t>
  </si>
  <si>
    <t>Französisch</t>
  </si>
  <si>
    <t>Cooperative Social Studies Tests</t>
  </si>
  <si>
    <t>Eduactional Testing Service</t>
  </si>
  <si>
    <t>Schule, Geschichte, Sozialkunde</t>
  </si>
  <si>
    <t>Handbuch, 7 Testhefte, Antwortblatt</t>
  </si>
  <si>
    <t>Henmon Nelson Tests of Mental Ability</t>
  </si>
  <si>
    <t>Henmon V.A.C., Nelson M.J., Lamke T.A.</t>
  </si>
  <si>
    <t>Houghton Mifflin Company</t>
  </si>
  <si>
    <t>Grade 3-12</t>
  </si>
  <si>
    <t>3 Manuale, 3 Testhefte, Klassenscore-Blatt</t>
  </si>
  <si>
    <t>Henmon V.A.C.</t>
  </si>
  <si>
    <t>Nelson M.J.</t>
  </si>
  <si>
    <t>Lamke T.A.</t>
  </si>
  <si>
    <t>Lorge Thorndike Intelligence Tests</t>
  </si>
  <si>
    <t>Lorge I., Thorndike R.L., Hagen E.P.</t>
  </si>
  <si>
    <t>Grade 1-13</t>
  </si>
  <si>
    <t>Manual, Testheft, Antwortblatt, Schlüssel</t>
  </si>
  <si>
    <t>Biolog.Sciences Curriculum Study</t>
  </si>
  <si>
    <t>College Qualification Test</t>
  </si>
  <si>
    <t>Bennett G.K., Bennett M.G., Wallace W.L., Wesman A.G.</t>
  </si>
  <si>
    <t>high school - college</t>
  </si>
  <si>
    <t>CQT</t>
  </si>
  <si>
    <t>1956-61</t>
  </si>
  <si>
    <t>Geschichte</t>
  </si>
  <si>
    <t>McGarrett V.</t>
  </si>
  <si>
    <t>Merrill E.H.</t>
  </si>
  <si>
    <t>Social Studies Test (National Achievement Tests)</t>
  </si>
  <si>
    <t>Speer R.K., Smith S.</t>
  </si>
  <si>
    <t>Schule, Sozialkunde</t>
  </si>
  <si>
    <t>1945-55</t>
  </si>
  <si>
    <t>Anweisungs mit Klassen-Score-Blatt, Testheft</t>
  </si>
  <si>
    <t>Sozialkunde</t>
  </si>
  <si>
    <t>Grades 7-9</t>
  </si>
  <si>
    <t>1945-58</t>
  </si>
  <si>
    <t xml:space="preserve">Anweisungs- und Klassen-Score-Blatt Form A und B, Testhefte Form A und B, </t>
  </si>
  <si>
    <t>General Biology Test (National Achievement Tests)</t>
  </si>
  <si>
    <t>Crow L.D., Murray J.G.</t>
  </si>
  <si>
    <t>Manual, Testheft, Schlüssel, Antwortblatt</t>
  </si>
  <si>
    <t>Moore B.V.</t>
  </si>
  <si>
    <t>Griffin C.H.</t>
  </si>
  <si>
    <t>Design Judgment Test</t>
  </si>
  <si>
    <t>Graves M.</t>
  </si>
  <si>
    <t>Kunst, Ästhetik</t>
  </si>
  <si>
    <t>Manual, Testheft, Antwortblätter, Schlüssel</t>
  </si>
  <si>
    <t>Kunst</t>
  </si>
  <si>
    <t>Ästhetik</t>
  </si>
  <si>
    <t>Persönlichkeit</t>
  </si>
  <si>
    <t>Temperament</t>
  </si>
  <si>
    <t>Welsh Figure Preference Test</t>
  </si>
  <si>
    <t>Welsh G.S.</t>
  </si>
  <si>
    <t>Conulting Psychologists Press</t>
  </si>
  <si>
    <t>1. Aufalge</t>
  </si>
  <si>
    <t>ab 5 Jahren</t>
  </si>
  <si>
    <t>Persönlichkeit , nonverbal</t>
  </si>
  <si>
    <t>WFPT</t>
  </si>
  <si>
    <t>194-59</t>
  </si>
  <si>
    <t>Manual, Testheft, Antwortblätter</t>
  </si>
  <si>
    <t xml:space="preserve">Persönlichkeit </t>
  </si>
  <si>
    <t xml:space="preserve">Occupational Interest Survey </t>
  </si>
  <si>
    <t>Kuder G.F.</t>
  </si>
  <si>
    <t>Schule, Sprachfähigkeit, Rechenfähigkeit</t>
  </si>
  <si>
    <t>University Bookstore</t>
  </si>
  <si>
    <t>Kreativität</t>
  </si>
  <si>
    <t>1957-60</t>
  </si>
  <si>
    <t>Manual, Testhefte Form G und H</t>
  </si>
  <si>
    <t>Lawshe C.H</t>
  </si>
  <si>
    <t>Harris D.H.</t>
  </si>
  <si>
    <t>Purdue Master Attitude Scales</t>
  </si>
  <si>
    <t>Remmers H.H.</t>
  </si>
  <si>
    <t>Einstellung zur Schule, Einstellung zu "sozialen Handlungen", Einstellung zu Institutionen, Einstellung zu Gruppen</t>
  </si>
  <si>
    <t>Manual, Testblätter Form A und B</t>
  </si>
  <si>
    <t>Einstellung zur Schule</t>
  </si>
  <si>
    <t>Einstellung zu "sozialen Handlungen"</t>
  </si>
  <si>
    <t>Einstellung zu Institutionen</t>
  </si>
  <si>
    <t xml:space="preserve">Einstellung zu Gruppen </t>
  </si>
  <si>
    <t>Purdue Rating Scale for Instruction</t>
  </si>
  <si>
    <t>Remmers H.H., Elliott D.N.</t>
  </si>
  <si>
    <t>Studenten</t>
  </si>
  <si>
    <t>Lehrerbeurteilung</t>
  </si>
  <si>
    <t xml:space="preserve">Manual, Reportblatt, </t>
  </si>
  <si>
    <t>Elliott D.N.</t>
  </si>
  <si>
    <t>Purdue Instructor Performance Indicator</t>
  </si>
  <si>
    <t>Remmers H.H., Snedeker J.H.</t>
  </si>
  <si>
    <t>Beurteilung von Lehrern</t>
  </si>
  <si>
    <t>Manual, Testheft Form A und B, Schlüssel</t>
  </si>
  <si>
    <t>Snedeker J.H.</t>
  </si>
  <si>
    <t>Cain Levine Social Competency Scale / Social Competency Scale</t>
  </si>
  <si>
    <t>Cain L.F., Levine S., Elzey F.F.</t>
  </si>
  <si>
    <t>Manual, Schlüssel, Testhefte Form A und B</t>
  </si>
  <si>
    <t>Schrammel H.E.</t>
  </si>
  <si>
    <t>Gray W.H.</t>
  </si>
  <si>
    <t>Schrammel General Ability Test / General Ability Test</t>
  </si>
  <si>
    <t xml:space="preserve">Intelligenz  </t>
  </si>
  <si>
    <t>Manual, Schlüssel, Testhefte Form A,B,C,D</t>
  </si>
  <si>
    <t>Algebra Test / Garman Schrammel Algebra Test</t>
  </si>
  <si>
    <t>ältere Schüler</t>
  </si>
  <si>
    <t>Manual, Testheft, Klassenscoreblatt, Schlüssel</t>
  </si>
  <si>
    <t>Keys N.</t>
  </si>
  <si>
    <t>McCrum M.</t>
  </si>
  <si>
    <t>Kuhlmann Finch Tests (Scholastic Aptitude Tests)</t>
  </si>
  <si>
    <t>Kuhlmann F., Finch F.H.</t>
  </si>
  <si>
    <t>Schüler jeden Alters</t>
  </si>
  <si>
    <t>1952-56</t>
  </si>
  <si>
    <t>Testhefte, Schlüssel, Klassenscoreblatt, Manual</t>
  </si>
  <si>
    <t>Kuhlmann F.</t>
  </si>
  <si>
    <t>Finch F.H.</t>
  </si>
  <si>
    <t>Minnesota High School Achievement Examinations</t>
  </si>
  <si>
    <t>Lohmann V.L.</t>
  </si>
  <si>
    <t>Grade 7-12</t>
  </si>
  <si>
    <t xml:space="preserve">Manual, Klassenblatt, </t>
  </si>
  <si>
    <t>Testmanual, Testheft Form A, Antwortblatt</t>
  </si>
  <si>
    <t>Sequential Tests of Educational Progress</t>
  </si>
  <si>
    <t>Cooperative Test Division</t>
  </si>
  <si>
    <t>Grade 4-14</t>
  </si>
  <si>
    <t>Persönlichkeit, Motivation, Selbstkonzept, Sexualität, Emotion</t>
  </si>
  <si>
    <t>MAT</t>
  </si>
  <si>
    <t>Manual, Testheft Form A, 4 Schlüssel, Antwort- und Profilblatt</t>
  </si>
  <si>
    <t>Motivation</t>
  </si>
  <si>
    <t>Selbstkonzept</t>
  </si>
  <si>
    <t>Sexualität</t>
  </si>
  <si>
    <t>Cooperative Science Tests</t>
  </si>
  <si>
    <t>Schule, Naturwissenschaften, Biologie, Chemie, Physik</t>
  </si>
  <si>
    <t xml:space="preserve">Moral, Einstellung zu Arbeitsgruppe  </t>
  </si>
  <si>
    <t>Manual, Testblatt, Schlüssel</t>
  </si>
  <si>
    <t>Moral</t>
  </si>
  <si>
    <t>Einstellung zu Arbeitsgruppe</t>
  </si>
  <si>
    <t>Study of Values</t>
  </si>
  <si>
    <t>Allport G.W., Vernon P.E., Lindzey G.</t>
  </si>
  <si>
    <t>college students / Erwachsene (mit college)</t>
  </si>
  <si>
    <t>Persönlichkeit, Typologie, Einstellung zu "Theorie", Einstellung zu Oekonomie, Einstellung zu Aesthetik, Einstellung zu sozialen Werten, Einstellung zu Religion, Einstellung zu Politik</t>
  </si>
  <si>
    <t>Einstellung zu Oekonomie</t>
  </si>
  <si>
    <t>Einstellung zu Religion</t>
  </si>
  <si>
    <t>Einstellung zu sozialen Werten</t>
  </si>
  <si>
    <t>Einstellung zu Politik</t>
  </si>
  <si>
    <t>Allport G.W.</t>
  </si>
  <si>
    <t>Vernon P.E.</t>
  </si>
  <si>
    <t>Lindzey G.</t>
  </si>
  <si>
    <t>Inventory of Vocational Interests</t>
  </si>
  <si>
    <t>1943/60</t>
  </si>
  <si>
    <t>Testanweisungsblatt, Testblätter, Antwortblatt</t>
  </si>
  <si>
    <t>Kunze K.R.</t>
  </si>
  <si>
    <t>Berner Bewältigungsformen</t>
  </si>
  <si>
    <t>Heim E., Augustiny K., Blaser A., Schaffner L.</t>
  </si>
  <si>
    <t>Verlag Hans Huber</t>
  </si>
  <si>
    <t>Bewältigung von Störungen, Krankheit</t>
  </si>
  <si>
    <t>BEFO</t>
  </si>
  <si>
    <t>dt</t>
  </si>
  <si>
    <t>Handbuch, Testblätter</t>
  </si>
  <si>
    <t>Bewältigung von Störungen</t>
  </si>
  <si>
    <t>Krankheit</t>
  </si>
  <si>
    <t>2 Testhefte, 2  Manual, Techn. Manual, 2 Schablonen, Antwortblätter, Klassenscore-Blatt</t>
  </si>
  <si>
    <t>Lorge  I.</t>
  </si>
  <si>
    <t>Thorndike R.L.</t>
  </si>
  <si>
    <t>Hagen E.P.</t>
  </si>
  <si>
    <t>Stanford Achievement Test</t>
  </si>
  <si>
    <t>Gardner E.F., Merwin J.C., Callis R., Madden R.</t>
  </si>
  <si>
    <t>Harcourt</t>
  </si>
  <si>
    <t>je 4 Mal: Manual, Testheft, Schlüssel, Antwortblatt</t>
  </si>
  <si>
    <t>Manual, Testhefte Form A und B, Schlüssel, Antwortblatt</t>
  </si>
  <si>
    <t xml:space="preserve">Bennett G.K. </t>
  </si>
  <si>
    <t>Bennett M.G.</t>
  </si>
  <si>
    <t>Wallace W.L.</t>
  </si>
  <si>
    <t>Revised Beta Examination</t>
  </si>
  <si>
    <t>Kellogg C.E., Morton N.W., Lindner R.M., Gurvitz M.</t>
  </si>
  <si>
    <t>Manual, Testheft, Schlüssel</t>
  </si>
  <si>
    <t>Kellogg C.E.</t>
  </si>
  <si>
    <t>Morton N.W.</t>
  </si>
  <si>
    <t>Lindner R.M.</t>
  </si>
  <si>
    <t>Gurvitz M.</t>
  </si>
  <si>
    <t>Engineering and Physical Science Aptitude Test</t>
  </si>
  <si>
    <t>Moore B.V., Griffin C.H.</t>
  </si>
  <si>
    <t>high school</t>
  </si>
  <si>
    <t>Schule, Physik</t>
  </si>
  <si>
    <t>EPSAT</t>
  </si>
  <si>
    <t>1943-51</t>
  </si>
  <si>
    <t>Persönlichkeit, Temperament</t>
  </si>
  <si>
    <t>TDOT</t>
  </si>
  <si>
    <t>Manual, Testheft, 10 Schablonen, Antwortblatt</t>
  </si>
  <si>
    <t>Basler H.-D.</t>
  </si>
  <si>
    <t>Beisenherz B.</t>
  </si>
  <si>
    <t>Test d`Intelligence</t>
  </si>
  <si>
    <t>Bonnardel R.</t>
  </si>
  <si>
    <t>Psychometrischer Persölichkeitstest</t>
  </si>
  <si>
    <t>Interesse, Beruf</t>
  </si>
  <si>
    <t>OIS</t>
  </si>
  <si>
    <t xml:space="preserve">Manual, Anwortblatt, </t>
  </si>
  <si>
    <t>Interesse</t>
  </si>
  <si>
    <t>Purdue Creativity Test</t>
  </si>
  <si>
    <t>Lawshe C.H, Harris D.H.</t>
  </si>
  <si>
    <t>Manual, Testheft, Technischer Rapport, Auswertungsblätter, Schablone</t>
  </si>
  <si>
    <t>Frankfurter Befindlichkeits Skala</t>
  </si>
  <si>
    <t>Süllwold L., Herrlich J.</t>
  </si>
  <si>
    <t>Springer Verlag</t>
  </si>
  <si>
    <t>Schizophrenie, Krankheit, Befindlichkeit</t>
  </si>
  <si>
    <t>FBS</t>
  </si>
  <si>
    <t>Manual, Fragebögen</t>
  </si>
  <si>
    <t>Schizophrenie</t>
  </si>
  <si>
    <t>Befindlichkeit</t>
  </si>
  <si>
    <t>Süllwold L.</t>
  </si>
  <si>
    <t>Herrlich J.</t>
  </si>
  <si>
    <t>Abzeichentest</t>
  </si>
  <si>
    <t>Busemann A.</t>
  </si>
  <si>
    <t>Verlag für Psychologie</t>
  </si>
  <si>
    <t>6-15 Jahre</t>
  </si>
  <si>
    <t>Testheft, Bögen</t>
  </si>
  <si>
    <t>Mensch Test</t>
  </si>
  <si>
    <t>Abraham A.</t>
  </si>
  <si>
    <t>Ernst Reinhardt Verlag</t>
  </si>
  <si>
    <t>Buch</t>
  </si>
  <si>
    <t>Generelle Interessen Skala</t>
  </si>
  <si>
    <t>Brickenkamp R.</t>
  </si>
  <si>
    <t>GIS</t>
  </si>
  <si>
    <t>Manual, Fragebögen (4 Formen)</t>
  </si>
  <si>
    <t>Narzissmusinventar</t>
  </si>
  <si>
    <t>Deneke F.-W., Hilgenstock B., Müller R.</t>
  </si>
  <si>
    <t xml:space="preserve">Narzissmus </t>
  </si>
  <si>
    <t>Manual, 6 Schablonen, Fragebögen, Auswertungsbögen</t>
  </si>
  <si>
    <t>Narzissmus</t>
  </si>
  <si>
    <t>Deneke F.-W.</t>
  </si>
  <si>
    <t>Hilgenstock B.</t>
  </si>
  <si>
    <t>Müller R.</t>
  </si>
  <si>
    <t>Aussagen Liste zum Selbstwertgefühl für Kinder und Jugendliche</t>
  </si>
  <si>
    <t>Schauder T.</t>
  </si>
  <si>
    <t>Selbstkonzept, Selbstwertgefühl</t>
  </si>
  <si>
    <t>ALS</t>
  </si>
  <si>
    <t>erweiterte Auflage siehe S 661</t>
  </si>
  <si>
    <t>Kinder / Jugendliche</t>
  </si>
  <si>
    <t>Soziale Kompetenz, Sprachfähigkeit</t>
  </si>
  <si>
    <t>Manual, Frageliste</t>
  </si>
  <si>
    <t>Cain L.F.</t>
  </si>
  <si>
    <t>Levine S.</t>
  </si>
  <si>
    <t>Elzey F.F.</t>
  </si>
  <si>
    <t>Brainard Occupational Preference Inventory</t>
  </si>
  <si>
    <t>Brainard P.P., Brainard R.T.</t>
  </si>
  <si>
    <t>Neigung, Interesse, Beruf</t>
  </si>
  <si>
    <t>1945-47</t>
  </si>
  <si>
    <t>Garman H.R., Schrammel H.E., Rasmussen O.M.</t>
  </si>
  <si>
    <t>Manual, Schlüssel, Testblatt Form A und B</t>
  </si>
  <si>
    <t>Garman H.R.</t>
  </si>
  <si>
    <t>Rasmussen O.M.</t>
  </si>
  <si>
    <t>Army Alpha Group Intelligence Examination</t>
  </si>
  <si>
    <t>Schrammel H.E., Brannan C.V.</t>
  </si>
  <si>
    <t>Kinder/Jugendliche</t>
  </si>
  <si>
    <t>Manual, Schlüssel, Testheft Form A,B,C</t>
  </si>
  <si>
    <t>Brannan C.V.</t>
  </si>
  <si>
    <t>Cooperative Academic Ability Test</t>
  </si>
  <si>
    <t>Cooperative Test Division</t>
  </si>
  <si>
    <t>Educational Testing Service</t>
  </si>
  <si>
    <t>Schuleinstellung, Einstellung zur Schule</t>
  </si>
  <si>
    <t>Manual, Testheft</t>
  </si>
  <si>
    <t>Schuleinstellung</t>
  </si>
  <si>
    <t>Doll R.C.</t>
  </si>
  <si>
    <t>Motivation Analysis Test</t>
  </si>
  <si>
    <t>Cattell R.B., Horn J.L., Sweney A.B., Radcliffe J.A.</t>
  </si>
  <si>
    <t>Sprachfähigkeit, Wortschatz, Schule, Intelligenz</t>
  </si>
  <si>
    <t>WST</t>
  </si>
  <si>
    <t>Manual, 2 Schablonen, Testbogen</t>
  </si>
  <si>
    <t>Wortschatz</t>
  </si>
  <si>
    <t>Schmidt K.-H.</t>
  </si>
  <si>
    <t>Emotion</t>
  </si>
  <si>
    <t>Horn J.L.</t>
  </si>
  <si>
    <t>Sweney A.B.</t>
  </si>
  <si>
    <t>Radcliffe J.A.</t>
  </si>
  <si>
    <t>Work Information Inventory</t>
  </si>
  <si>
    <t>Bernberg R.E.</t>
  </si>
  <si>
    <t>Persönlichkeit, Behinderung,Selbständigkeit, Durchsetzungsvermögen, Kommunikationsbereitschaft, Labilität, Kooperation</t>
  </si>
  <si>
    <t>VFHK</t>
  </si>
  <si>
    <t>Manual, 4 Schablonen, Fragebögen</t>
  </si>
  <si>
    <t>Behinderung</t>
  </si>
  <si>
    <t>Verhalten</t>
  </si>
  <si>
    <t>Durchsetzungsvermögen</t>
  </si>
  <si>
    <t>Selbständigkeit</t>
  </si>
  <si>
    <t>Hintergrund Interferenz Verfahren</t>
  </si>
  <si>
    <t>Wallasch R.</t>
  </si>
  <si>
    <t>Visuomotorische Fähigkeit, Hirnorganische Störungen, Motorik, visuelle Wahrnehmung</t>
  </si>
  <si>
    <t>HIV</t>
  </si>
  <si>
    <t>dt. Bearbeitung von "Background Interference Procedure for the Bender Gestalt Test" von A.Canter, 1976</t>
  </si>
  <si>
    <t>Manual, Auswertungsrichtlinien, Testmaterial, Auswertungsblätter</t>
  </si>
  <si>
    <t>Visuomotorische Fähigkeit</t>
  </si>
  <si>
    <t>Hirnorganische Störung</t>
  </si>
  <si>
    <t>Mehrdimensionaler Persönlichkeitstest für Erwachsene</t>
  </si>
  <si>
    <t>Schmidt H.</t>
  </si>
  <si>
    <t>ab 18 Jahren</t>
  </si>
  <si>
    <t>Persönlichkeit, Emotion, Fehlanpassung, Einstellung zu Mit-/Umwelt, Einstellung zu Arbeit</t>
  </si>
  <si>
    <t>MPT-E</t>
  </si>
  <si>
    <t>Manual, Testheft, Antwortbögen, Profilbogen, 1 Schablone</t>
  </si>
  <si>
    <t>Fehlanpassung</t>
  </si>
  <si>
    <t>Einstellung zu Mit-/Umwelt</t>
  </si>
  <si>
    <t>Heim E.</t>
  </si>
  <si>
    <t>Augustiny K.</t>
  </si>
  <si>
    <t>Blaser A.</t>
  </si>
  <si>
    <t>Schaffner L.</t>
  </si>
  <si>
    <t>Mengenfolgen Test</t>
  </si>
  <si>
    <t>Guthke J.</t>
  </si>
  <si>
    <t>Psychodiagnostisches Zentrum</t>
  </si>
  <si>
    <t>5-7 Jahre</t>
  </si>
  <si>
    <t>Schulreife, Mathematik, Rechenfähigkeit</t>
  </si>
  <si>
    <t>MFT</t>
  </si>
  <si>
    <t>Nein</t>
  </si>
  <si>
    <t>Gardner E.F.</t>
  </si>
  <si>
    <t>Merwin J.C.</t>
  </si>
  <si>
    <t>Callis R.</t>
  </si>
  <si>
    <t>Madden R.</t>
  </si>
  <si>
    <t>Kuhlmann Anderson Test</t>
  </si>
  <si>
    <t>Kuhlmann F., Anderson R.G.</t>
  </si>
  <si>
    <t>Personnel Press</t>
  </si>
  <si>
    <t>Kindergarten-Grade4</t>
  </si>
  <si>
    <t>1963-65</t>
  </si>
  <si>
    <t xml:space="preserve">4 Manuale, 4 Testhefte Form A,B,CD,K, 4 Schlüssel, Klassenscore-Blatt, Techn.Manual, </t>
  </si>
  <si>
    <t>Anderson R.G.</t>
  </si>
  <si>
    <t>Thorndike Dimensions of Temperament</t>
  </si>
  <si>
    <t>Schallberger</t>
  </si>
  <si>
    <t>Psychometrischer Persönlichkeitstest</t>
  </si>
  <si>
    <t>Fragebogen zur Messung der Psychotherapiemotivation</t>
  </si>
  <si>
    <t>Schneider W., Basler H.-D., Beisenherz B.</t>
  </si>
  <si>
    <t>Beltz Test</t>
  </si>
  <si>
    <t>Motivation, Psychotherapie</t>
  </si>
  <si>
    <t>FMP</t>
  </si>
  <si>
    <t>Testmanual, Fragebogen, 2 Schablonen</t>
  </si>
  <si>
    <t>Motivation (zur Psychotherapie)</t>
  </si>
  <si>
    <t>Psychotherapie (Motivation)</t>
  </si>
  <si>
    <t>Schneider W.</t>
  </si>
  <si>
    <t>3 Handbücher, Leitfaden, 5 Sorten Formulare</t>
  </si>
  <si>
    <t>Selbsthilfe</t>
  </si>
  <si>
    <t>Verständigungsvermögen</t>
  </si>
  <si>
    <t>Editions Scientifiques et Psychologiques</t>
  </si>
  <si>
    <t>B 53</t>
  </si>
  <si>
    <t>franz</t>
  </si>
  <si>
    <t>6.-9.  Schuljahr</t>
  </si>
  <si>
    <t>LTS</t>
  </si>
  <si>
    <t>Manual, Lehrprogramm (7 Lehrhefte), 4 Schablonen, Formulare</t>
  </si>
  <si>
    <t>K</t>
  </si>
  <si>
    <t>Jäger Ch.</t>
  </si>
  <si>
    <t>Schmidt I.</t>
  </si>
  <si>
    <t>Heidelberger Sprachentwicklungstest / Schweizer Version</t>
  </si>
  <si>
    <t>Grissemann H., Baumberger W., Hollenweger J.</t>
  </si>
  <si>
    <t>letzte 4 Kindergartenmonate - 1. Klasse (8 Schulmonate)</t>
  </si>
  <si>
    <t>Sprachentwicklung, Grammatik, Wortschatz, Gedächtnis</t>
  </si>
  <si>
    <t>HSET</t>
  </si>
  <si>
    <t>Handbuch, Protokollbogen, Bildkarten, Spielfiguren, Bildband</t>
  </si>
  <si>
    <t>Sprachentwicklung</t>
  </si>
  <si>
    <t>Grammatik</t>
  </si>
  <si>
    <t>Gedächtnis</t>
  </si>
  <si>
    <t>Grissemann H.</t>
  </si>
  <si>
    <t>Baumberger W.</t>
  </si>
  <si>
    <t>Hollenweger J.</t>
  </si>
  <si>
    <t>Motoriktest für vier- bis sechsjährige Kinder</t>
  </si>
  <si>
    <t>Zimmer R., Volkamer M.</t>
  </si>
  <si>
    <t>2. erw. Auflage</t>
  </si>
  <si>
    <t>MOT 4-6</t>
  </si>
  <si>
    <t>Manual, Testmaterial, Formulare</t>
  </si>
  <si>
    <t>I</t>
  </si>
  <si>
    <t>Zimmer R.</t>
  </si>
  <si>
    <t>Volkamer M.</t>
  </si>
  <si>
    <t>Paardiagnostik mit dem Giessen-Test</t>
  </si>
  <si>
    <t>Brähler E.,Brähler Ch.</t>
  </si>
  <si>
    <t>Persönlichkeit, Paardiagnostik, Selbstbild, Fremdbild, Dominanz, soziale Resonanz, Kontrolle, Durchlässigkeit,</t>
  </si>
  <si>
    <t>GT-Paardiagnostik</t>
  </si>
  <si>
    <t>siehe Giessen-Test (S145)</t>
  </si>
  <si>
    <t>Handbuch, Formulare</t>
  </si>
  <si>
    <t>Paardiagnostik</t>
  </si>
  <si>
    <t>Manual, Testhefte Version H und F, Ergebnisbogen, Auswertungsschlüssel</t>
  </si>
  <si>
    <t>Selbstwertgefühl</t>
  </si>
  <si>
    <t>Mannheimer Schuleingangs Diagnostikum</t>
  </si>
  <si>
    <t>Jäger R.S., Beetz E., Erler R., Habersang-Walther R.</t>
  </si>
  <si>
    <t>Beltz Verlag</t>
  </si>
  <si>
    <t>3. Auflage</t>
  </si>
  <si>
    <t>Manual, Testheft Form R, Schlüssel, Anwortblatt</t>
  </si>
  <si>
    <t>Neigung</t>
  </si>
  <si>
    <t>Brainard P.P.</t>
  </si>
  <si>
    <t>Brainard R.T.</t>
  </si>
  <si>
    <t>Empathy Test</t>
  </si>
  <si>
    <t>Kerr W.A., Speroff B.J.</t>
  </si>
  <si>
    <t>Erwachsene</t>
  </si>
  <si>
    <t>Einfühlung, Empathie</t>
  </si>
  <si>
    <t>1947-54</t>
  </si>
  <si>
    <t xml:space="preserve">Manual, Testblatt Form A,B,C, </t>
  </si>
  <si>
    <t>Einfühlung</t>
  </si>
  <si>
    <t>Empathie</t>
  </si>
  <si>
    <t>Kerr W.A.</t>
  </si>
  <si>
    <t>Speroff B.J.</t>
  </si>
  <si>
    <t>Life Adjustment Inventory</t>
  </si>
  <si>
    <t>Doll R.C., Wrightstone J.W.</t>
  </si>
  <si>
    <t xml:space="preserve">1. Auflage
</t>
  </si>
  <si>
    <t>Avè-Lallemant U.</t>
  </si>
  <si>
    <t xml:space="preserve">Ernst Reinhardt
</t>
  </si>
  <si>
    <t>Projektiver Persönlichkeitststest</t>
  </si>
  <si>
    <t>Kinder bis Erwachsene</t>
  </si>
  <si>
    <t>Persönlichkeit, Emotion, Denken, Verarbeitung von Erlebnissen</t>
  </si>
  <si>
    <t>Denken</t>
  </si>
  <si>
    <t>Verarbeitung von Erlebnissen</t>
  </si>
  <si>
    <t>Wortschatztest</t>
  </si>
  <si>
    <t>Schmidt K.-H., Metzler P.</t>
  </si>
  <si>
    <t>Verhaltensfragebogen für geistig- und lernbehinderte Heimkinder</t>
  </si>
  <si>
    <t>Stahl B.</t>
  </si>
  <si>
    <t>6-16 Jahre</t>
  </si>
  <si>
    <t>Kinderpsychologische Tests / Ein Kompendium für Kinderärzte</t>
  </si>
  <si>
    <t>Rauchfleisch U.</t>
  </si>
  <si>
    <t>Enke Verlag</t>
  </si>
  <si>
    <t xml:space="preserve"> - </t>
  </si>
  <si>
    <t>Mehrdimensionaler Persönlichkeitstest für Jugendliche</t>
  </si>
  <si>
    <t>Schmid H.</t>
  </si>
  <si>
    <t>Jugendliche: 14-18 Jahre</t>
  </si>
  <si>
    <t>Persönlichkeit, Leistungsmotivation, Aggression, Flexibilität, Introversion-Extraversion, Psychische Stabilität</t>
  </si>
  <si>
    <t>MPT-J</t>
  </si>
  <si>
    <t>Handanweisung, Testheft, Antwortenbogen, Profilbogen, Schablone.</t>
  </si>
  <si>
    <t>Leistungsmotivation</t>
  </si>
  <si>
    <t>Aggression</t>
  </si>
  <si>
    <t>Flexibilität</t>
  </si>
  <si>
    <t>Introversion-Extraversion</t>
  </si>
  <si>
    <t>Berliner Fragebogen zum Erleben der Menstruation</t>
  </si>
  <si>
    <t>Saupe R.</t>
  </si>
  <si>
    <t>Menstruation</t>
  </si>
  <si>
    <t>FEM</t>
  </si>
  <si>
    <t>Handbuch (Fragebogen)</t>
  </si>
  <si>
    <t>Fragebogen zur Erfassung dispositionaler Selbstaufmerksamkeit</t>
  </si>
  <si>
    <t>Filipp S.H., Freudenberg E.</t>
  </si>
  <si>
    <t>Hogrefe</t>
  </si>
  <si>
    <t>Selbstaufmerksamkeit</t>
  </si>
  <si>
    <t>Einzel- oder Gruppentest</t>
  </si>
  <si>
    <t>SAM</t>
  </si>
  <si>
    <t>übera. von "Self-consciousness scale" (Fenigstein et al. 1975)</t>
  </si>
  <si>
    <t>Handanweisung, Fragebogen, Auswertungsschablone</t>
  </si>
  <si>
    <t>Filipp S.H.</t>
  </si>
  <si>
    <t>Freudenberg E.</t>
  </si>
  <si>
    <t>State Trait Ärgerausdrucks Inventar</t>
  </si>
  <si>
    <t>Schwenkmezger P., Hodapp V., Spielberger C.D.</t>
  </si>
  <si>
    <t>Hans Huber</t>
  </si>
  <si>
    <t>Einstellung zu Arbeit</t>
  </si>
  <si>
    <t>Lern und Arbeitsverhaltenstraining</t>
  </si>
  <si>
    <t>Keller G., Binder A., Thiel R.D.</t>
  </si>
  <si>
    <t>ab 14 Jahren</t>
  </si>
  <si>
    <t>Lerntraining, Arbeitsverhalten, Schule</t>
  </si>
  <si>
    <t>LAT</t>
  </si>
  <si>
    <t>Heft</t>
  </si>
  <si>
    <t>Testheft, Testbögen, Testmaterial</t>
  </si>
  <si>
    <t>Schulreife</t>
  </si>
  <si>
    <t>Mathematik</t>
  </si>
  <si>
    <t>Fragebogen zur Erfassung praktischer und sozialer Selbständigkeit 4-6-jähriger Kinder</t>
  </si>
  <si>
    <t>Duhm E., Huss K.</t>
  </si>
  <si>
    <t>Westermann</t>
  </si>
  <si>
    <t>4-6 Jahre</t>
  </si>
  <si>
    <t>Selbständigkeit, Erziehung</t>
  </si>
  <si>
    <t>FPSS</t>
  </si>
  <si>
    <t>Handanweisung, Fragebogen für Eltern, Beobachtungsbogen für Erzieher, Auswertungsbogen</t>
  </si>
  <si>
    <t>Selbstständigkeit</t>
  </si>
  <si>
    <t>Erziehung</t>
  </si>
  <si>
    <t>Duhm E.</t>
  </si>
  <si>
    <t>Huss K.</t>
  </si>
  <si>
    <t>Richter H.-E.</t>
  </si>
  <si>
    <t>Pädagogische Analyse und Curriculum zur sozialen und persönlichen Entwicklung des behinderten Menschen</t>
  </si>
  <si>
    <t>Günzburg H.C.</t>
  </si>
  <si>
    <t>SEFA Ltd. "the Globe"</t>
  </si>
  <si>
    <t>2.Auflage</t>
  </si>
  <si>
    <t>Kind bis Erwachsener</t>
  </si>
  <si>
    <t>Persönlichkeit, Selbsthilfe, Verständigungsvermögen, Sozialverhalten, Motorik, Behinderung</t>
  </si>
  <si>
    <t>PAC</t>
  </si>
  <si>
    <t>Guthke J., Jäger Ch., Schmidt I.</t>
  </si>
  <si>
    <t>1.Auflage</t>
  </si>
  <si>
    <t>Bell H.M.</t>
  </si>
  <si>
    <t>Consulting Psychologists Press, Palo Alto, California</t>
  </si>
  <si>
    <t>Jugendliche, Erwachsene</t>
  </si>
  <si>
    <t>Persönlichkeit, Maskulinität, Femininität, Gesundheit, Beziehung, Emotion, Feindseligkeit</t>
  </si>
  <si>
    <t>Handanweisung, Frageheft, Antwortbogen, Profilbogen, Schablonensatz</t>
  </si>
  <si>
    <t>Befindlichkeitsstörungen</t>
  </si>
  <si>
    <t>Alters Konzentrations Test</t>
  </si>
  <si>
    <t>Gatterer G.</t>
  </si>
  <si>
    <t>Alte Leute</t>
  </si>
  <si>
    <t>Konzentration, Aufmerksamkeit</t>
  </si>
  <si>
    <t>AKT</t>
  </si>
  <si>
    <t>Handanweisung, Testbögen, Auswertungsschablonen</t>
  </si>
  <si>
    <t>Aufmerksamkeit</t>
  </si>
  <si>
    <t>Figuren von Rybakoff / Rybakoff Figuren</t>
  </si>
  <si>
    <t>Meili R.</t>
  </si>
  <si>
    <t>Hans Huber Verlag</t>
  </si>
  <si>
    <t>ab 11 Jahren</t>
  </si>
  <si>
    <t>räumliche Vorstellung, Intelligenz, nonverbal</t>
  </si>
  <si>
    <t>Anweisung, Aufgabenblätter</t>
  </si>
  <si>
    <t>Fragebogen: Einstellung zur Schule für 4. -6. Klassen</t>
  </si>
  <si>
    <t>Landauer Bildungs-Beratungssystem</t>
  </si>
  <si>
    <t>Beltz</t>
  </si>
  <si>
    <t>4.- 6. Klasse</t>
  </si>
  <si>
    <t>Schule, Einstellung zur Schule</t>
  </si>
  <si>
    <t>FES 4-6</t>
  </si>
  <si>
    <t>Beiheft</t>
  </si>
  <si>
    <t>LandauerBildungsBeratungssystem</t>
  </si>
  <si>
    <t xml:space="preserve">Apperzeptiver Situationstest </t>
  </si>
  <si>
    <t>Laufs K. H.</t>
  </si>
  <si>
    <t>VLESS Verlag</t>
  </si>
  <si>
    <t>Persönlichkeit, Neurotizismus, Emotion, Extravertiertheit</t>
  </si>
  <si>
    <t>AST</t>
  </si>
  <si>
    <t>Handbuch, Testbilder</t>
  </si>
  <si>
    <t>Extravertiertheit</t>
  </si>
  <si>
    <t>Selbstbild</t>
  </si>
  <si>
    <t>Fremdbild</t>
  </si>
  <si>
    <t xml:space="preserve">Brähler E. </t>
  </si>
  <si>
    <t>Brähler Ch.</t>
  </si>
  <si>
    <t>- Schultest: - Einschulung</t>
  </si>
  <si>
    <t>Schulanfänger</t>
  </si>
  <si>
    <t>Schulreife, Schule</t>
  </si>
  <si>
    <t>MSD</t>
  </si>
  <si>
    <t>Manual, Schablone, Testheft</t>
  </si>
  <si>
    <t>Jäger R.S.</t>
  </si>
  <si>
    <t>Beetz E.</t>
  </si>
  <si>
    <t>Erler R.</t>
  </si>
  <si>
    <t>Habersang-Walther R.</t>
  </si>
  <si>
    <t>Anweisungs- und Sprachverständnistest</t>
  </si>
  <si>
    <t>Kleber E.W., Fischer R.</t>
  </si>
  <si>
    <t>Schulkinder</t>
  </si>
  <si>
    <t>Sprachverständnis, Schule</t>
  </si>
  <si>
    <t>ASVT</t>
  </si>
  <si>
    <t>Manual, Testheft, 7 Schablonen</t>
  </si>
  <si>
    <t>Sprachverständnis</t>
  </si>
  <si>
    <t>Kleber E.W.</t>
  </si>
  <si>
    <t>Fischer R.</t>
  </si>
  <si>
    <t>Sterne Wellen Test</t>
  </si>
  <si>
    <t>Handanweisung, Schablonen, Fragebogen</t>
  </si>
  <si>
    <t>Kontrollüberzeugung</t>
  </si>
  <si>
    <t>Kompetenz</t>
  </si>
  <si>
    <t xml:space="preserve">Myers Brigg Typenindikator </t>
  </si>
  <si>
    <t>Briggs C., Briggs Myers I.</t>
  </si>
  <si>
    <t>2.  überarbeitete, erweiterte Auflage</t>
  </si>
  <si>
    <t>Typologie</t>
  </si>
  <si>
    <t>dt. Bearbeitung Bents R., Blank R.</t>
  </si>
  <si>
    <t>MBTI</t>
  </si>
  <si>
    <t>engl. Originalausgabe: Myers-Briggs Type Indicator</t>
  </si>
  <si>
    <t>Manual, Auswertungsschablonen, Testheft, Auswertungsblätter</t>
  </si>
  <si>
    <t>Briggs C.</t>
  </si>
  <si>
    <t>Briggs Myers I.</t>
  </si>
  <si>
    <t>Metzler P.</t>
  </si>
  <si>
    <t>Ginsburg H. P., Baroody A.</t>
  </si>
  <si>
    <t>Pro-Ed</t>
  </si>
  <si>
    <t>TEMA-2</t>
  </si>
  <si>
    <t>Beiheft, Beobachtungsbogen, Testbogen (3 Formen)</t>
  </si>
  <si>
    <t>Kettwiger Schulreifetest</t>
  </si>
  <si>
    <t>Meis R.</t>
  </si>
  <si>
    <t>KST</t>
  </si>
  <si>
    <t>Beiheft, Testbogen (Form A, B)</t>
  </si>
  <si>
    <t>Minnesota Counseling Inventory</t>
  </si>
  <si>
    <t>Berdie R.F., Layton W.L.</t>
  </si>
  <si>
    <t>Persönlichkeit, Beziehung, Emotion, Realitätsanpassung, Stimmung, Führungsposition, Konformität</t>
  </si>
  <si>
    <t>MCI</t>
  </si>
  <si>
    <t>Manual, Testbogen, Auswertungsbogen, 8 Schablonen</t>
  </si>
  <si>
    <t>Emotion (Stimmung)</t>
  </si>
  <si>
    <t>Realitätsanpassung</t>
  </si>
  <si>
    <t>Konformität</t>
  </si>
  <si>
    <t>Manual, Instruktionsheft, Testmaterial, Auswertungsbögen</t>
  </si>
  <si>
    <t>Ginsburg H. P.</t>
  </si>
  <si>
    <t>Baroody A.</t>
  </si>
  <si>
    <t>Diagnostic test of arithmetic strategies</t>
  </si>
  <si>
    <t>Ginsburg H. P., Mathews S.C.</t>
  </si>
  <si>
    <t>DTAS</t>
  </si>
  <si>
    <t>Handbuch, Testmaterial</t>
  </si>
  <si>
    <t>Mathews S.C.</t>
  </si>
  <si>
    <t>Test of mathematical abilities</t>
  </si>
  <si>
    <t>Brown  V. L.,  McEntire  E.</t>
  </si>
  <si>
    <t>Kinder und Jugendliche</t>
  </si>
  <si>
    <t>TOMA</t>
  </si>
  <si>
    <t>Handbuch, Auswertungsblatt, Testbögen</t>
  </si>
  <si>
    <t>Brown  V. L.</t>
  </si>
  <si>
    <t>McEntire  E.</t>
  </si>
  <si>
    <t>Arbeitskurve Mainzer Revision</t>
  </si>
  <si>
    <t>Christiansen  E.</t>
  </si>
  <si>
    <t>Arbeitsverhalten, Willensfähigkeit, Motivation</t>
  </si>
  <si>
    <t>Nach Kraepelin und Pauli</t>
  </si>
  <si>
    <t>Manual, 2 Schablonen,Testbögen, Zahlenstreifen</t>
  </si>
  <si>
    <t>Willensfähigkeit</t>
  </si>
  <si>
    <t>Ab 14 Jahre</t>
  </si>
  <si>
    <t>Ärger</t>
  </si>
  <si>
    <t>Lerntraining</t>
  </si>
  <si>
    <t>Arbeitsverhalten</t>
  </si>
  <si>
    <t>Keller G.</t>
  </si>
  <si>
    <t>Binder A.</t>
  </si>
  <si>
    <t>Thiel R.D.</t>
  </si>
  <si>
    <t>Giessen Test</t>
  </si>
  <si>
    <t>Beckmann D., Brähler E., Richter H.-E.</t>
  </si>
  <si>
    <t>4. verb. Auflage</t>
  </si>
  <si>
    <t xml:space="preserve">Persönlichkeit, soziale Resonanz, Dominanz, Kontrolle, Emotion, Soziale Potenz, </t>
  </si>
  <si>
    <t>GT</t>
  </si>
  <si>
    <t>Buch, Fragebogen, 6 Auswertungsschablonen, Profilblatt</t>
  </si>
  <si>
    <t>soziale Resonanz (und Potenz)</t>
  </si>
  <si>
    <t>Dominanz</t>
  </si>
  <si>
    <t>Kontrolle</t>
  </si>
  <si>
    <t>Beckmann D.</t>
  </si>
  <si>
    <t>Brähler E.</t>
  </si>
  <si>
    <t>Giessener Beschwerdebogen für Kinder u.Jugendliche</t>
  </si>
  <si>
    <t>9 - 15 Jahre</t>
  </si>
  <si>
    <t>Körperbeschwerden, Gesundheit</t>
  </si>
  <si>
    <t>GBB-KJ</t>
  </si>
  <si>
    <t>Handanweisung, Fragebogen Selbstbildform mit Auswertungsblatt, Fragebogen Fremdbildform</t>
  </si>
  <si>
    <t>Körperbeschwerden</t>
  </si>
  <si>
    <t>Berliner Verfahren zur Neurosendiagnostik</t>
  </si>
  <si>
    <t>Hänsgen K.-D.</t>
  </si>
  <si>
    <t>2. erweit., bearb. Auflage</t>
  </si>
  <si>
    <t>18 - 65 Jahre</t>
  </si>
  <si>
    <t>Körperbeschwerden, Befindlichkeitsstörungen, psychische Beschwerden, Persönlichkeit, Selbstkonzept</t>
  </si>
  <si>
    <t>BVND</t>
  </si>
  <si>
    <t>Lerntestbatterie "Schlussfolgerndes Denken"</t>
  </si>
  <si>
    <t>Risikoverhalten</t>
  </si>
  <si>
    <t>Bewältigungsverhalten</t>
  </si>
  <si>
    <t>Coping</t>
  </si>
  <si>
    <t>Reicherts M.</t>
  </si>
  <si>
    <t>Perrez M.</t>
  </si>
  <si>
    <t>Bell Adjustment Inventory</t>
  </si>
  <si>
    <t>Berufsberatung</t>
  </si>
  <si>
    <t>Mooney Problem Check Lists</t>
  </si>
  <si>
    <t>Mooney R. L., Gordon L. V.</t>
  </si>
  <si>
    <t>college</t>
  </si>
  <si>
    <t>Manual, Testbogen</t>
  </si>
  <si>
    <t>Mooney R. L.</t>
  </si>
  <si>
    <t>Gordon L. V.</t>
  </si>
  <si>
    <t>Mooney Problem Check List</t>
  </si>
  <si>
    <t>Gordon L. V., Mooney R. L.</t>
  </si>
  <si>
    <t>Persönlichkeit, Problemanalyse, Gesundheit, Familie, Beziehung, Sexualität, Religion, Selbsteinschätzung</t>
  </si>
  <si>
    <t>Selbsteinschätzung</t>
  </si>
  <si>
    <t>junior high school</t>
  </si>
  <si>
    <t>Persönlichkeit, Problemanalyse, Gesundheit, Schule, Familie, Zukunft, Beziehungen</t>
  </si>
  <si>
    <t>Manual, Fragebogen (Jugendlichen- und Erwachsenenform), Auswertungsschablonen</t>
  </si>
  <si>
    <t>Maskulinität</t>
  </si>
  <si>
    <t>Femininität</t>
  </si>
  <si>
    <t>Bildertest</t>
  </si>
  <si>
    <t>Horn H. , Schwarz E., Vieweger G.</t>
  </si>
  <si>
    <t xml:space="preserve">Beltz Test </t>
  </si>
  <si>
    <t xml:space="preserve">1. Auflage </t>
  </si>
  <si>
    <t>6-8 Jahre</t>
  </si>
  <si>
    <t>BT 1-2</t>
  </si>
  <si>
    <t>deutsche Bearbeitung des Moray House Picture Intelligence Test 1 von Mellone M.A. und Thomson G.H., Schweizer Fassung siehe S 603</t>
  </si>
  <si>
    <t>Manual, Fragebogen, Auswertungsbogen</t>
  </si>
  <si>
    <t xml:space="preserve">Horn H. </t>
  </si>
  <si>
    <t>Schwarz E.</t>
  </si>
  <si>
    <t>Vieweger G.</t>
  </si>
  <si>
    <t>Ingenkamp K.H.</t>
  </si>
  <si>
    <t>Kinder in 2. und 3. Klasse</t>
  </si>
  <si>
    <t xml:space="preserve">Intelligenz, nonverbal </t>
  </si>
  <si>
    <t>BT 2-3</t>
  </si>
  <si>
    <t>Neurotizismus</t>
  </si>
  <si>
    <t>Werteinstellungs Test</t>
  </si>
  <si>
    <t>Roth  E.</t>
  </si>
  <si>
    <t>Revised Minnesota Paper Form Board Test</t>
  </si>
  <si>
    <t>Likert R., Quasha W.H.</t>
  </si>
  <si>
    <t>The Psychological Corporation</t>
  </si>
  <si>
    <t>MPFT</t>
  </si>
  <si>
    <t>Original: Minnesota Paper Form Board Test (Paterson, Ellitt, Anderson, Toops, Heidbreder, 1920)</t>
  </si>
  <si>
    <t>Manual, 2 Schablonen, Schlüssel, 2 Sorten Fragebogen</t>
  </si>
  <si>
    <t>Likert R.</t>
  </si>
  <si>
    <t>Quasha W.H.</t>
  </si>
  <si>
    <t>Fragebogen zur Kompetenz- und Kontrollüberzeugung</t>
  </si>
  <si>
    <t>Krampen G.</t>
  </si>
  <si>
    <t>Kontrollüberzeugung, Kompetenz, Selbstkonzept</t>
  </si>
  <si>
    <t>FKK</t>
  </si>
  <si>
    <t>Lernfähigkeit, Intelligenz</t>
  </si>
  <si>
    <t>SLT</t>
  </si>
  <si>
    <t>Handanweisung, Protokollbögen, Testmaterial</t>
  </si>
  <si>
    <t>Lernfähigkeit</t>
  </si>
  <si>
    <t>Familiensystemtest</t>
  </si>
  <si>
    <t>Gehring T.M.</t>
  </si>
  <si>
    <t>Projektiver Persönlichkeitstest</t>
  </si>
  <si>
    <t>ab 6 Jahren</t>
  </si>
  <si>
    <t>Familie, Beziehung, psychosoziale Störungen</t>
  </si>
  <si>
    <t>FAST</t>
  </si>
  <si>
    <t>Manual, Brett, Holzfiguren: 6 weibliche, 6 männliche,6 Farbfiguren, Holzklötzchen, Protokollbogen</t>
  </si>
  <si>
    <t>Familie</t>
  </si>
  <si>
    <t>Beziehung</t>
  </si>
  <si>
    <t>psychosoziale Störungen</t>
  </si>
  <si>
    <t>Test of early mathematics ability</t>
  </si>
  <si>
    <t>Kinder</t>
  </si>
  <si>
    <t>Schlevoigt G.</t>
  </si>
  <si>
    <t>Süllwold F.</t>
  </si>
  <si>
    <t>Wicht G.</t>
  </si>
  <si>
    <t>Frankfurter Schulreifetest</t>
  </si>
  <si>
    <t>Verlag Julius Beltz</t>
  </si>
  <si>
    <t>Schule, Schulreife</t>
  </si>
  <si>
    <t>FST</t>
  </si>
  <si>
    <t>siehe auch Frankfurter Schulreifetest</t>
  </si>
  <si>
    <t>Stress, Anpassungfähigkeit, Rigidität, Flexibilität</t>
  </si>
  <si>
    <t>TBR</t>
  </si>
  <si>
    <t>Anpassungsfähigkeit</t>
  </si>
  <si>
    <t>Rigidität</t>
  </si>
  <si>
    <t>Unsicherheitsfragebogen</t>
  </si>
  <si>
    <t>Behzadi B.</t>
  </si>
  <si>
    <t>Unsicherheit, Selbstvertrauen</t>
  </si>
  <si>
    <t>UFB</t>
  </si>
  <si>
    <t>Unsicherheit</t>
  </si>
  <si>
    <t>Verständiges Lesen</t>
  </si>
  <si>
    <t>Hochschule für Int.Pädag.Forsch.</t>
  </si>
  <si>
    <t>- Schultest: - Lesetest</t>
  </si>
  <si>
    <t>10-14 Jahre</t>
  </si>
  <si>
    <t>Schule, Lesen, Textverständnis, Sprachfähigkeit</t>
  </si>
  <si>
    <t>Anleitung, Beispiele, 4 Testhefter, 4 Schlüssel</t>
  </si>
  <si>
    <t>Lesen</t>
  </si>
  <si>
    <t>Textverständnis</t>
  </si>
  <si>
    <t>Verständiges Lesen 5-6</t>
  </si>
  <si>
    <t>Berdie R.F.</t>
  </si>
  <si>
    <t>Layton W.L.</t>
  </si>
  <si>
    <t>Minnesota Multiphasic Personality Inventory (Computerversion)</t>
  </si>
  <si>
    <t>Hathaway S.R., McKinley J.C.</t>
  </si>
  <si>
    <t>MMPI</t>
  </si>
  <si>
    <t>1943-1967</t>
  </si>
  <si>
    <t>2 Manuals, Testheft, 18 Auswerteskalen</t>
  </si>
  <si>
    <t>Hathaway S. R.</t>
  </si>
  <si>
    <t>McKinley J. C.</t>
  </si>
  <si>
    <t>Minnesota Multiphase Personality Inventory</t>
  </si>
  <si>
    <t>Hathaway S.R., McKinley J. C.</t>
  </si>
  <si>
    <t>Ein programmierter Kurs</t>
  </si>
  <si>
    <t>Handbuch,  2 Testhefte, Manual, Antwortsblätter</t>
  </si>
  <si>
    <t>Hathaway S.R.</t>
  </si>
  <si>
    <t>Minnesota Multiphasic Personality Inventory Saarbrücken</t>
  </si>
  <si>
    <t>Spreen Ph. O.</t>
  </si>
  <si>
    <t>Motivation (Arbeit)</t>
  </si>
  <si>
    <t>Dreidimensionaler Würfeltest</t>
  </si>
  <si>
    <t>Gittler  G.</t>
  </si>
  <si>
    <t>ab 13 Jahre</t>
  </si>
  <si>
    <t>3 DW</t>
  </si>
  <si>
    <t>Manual, Aufgabenheft, Antwortbogen</t>
  </si>
  <si>
    <t>Heidelberger Nonverbaler Test</t>
  </si>
  <si>
    <t>Kratzmeier  H.</t>
  </si>
  <si>
    <t>ab 14 Jahre</t>
  </si>
  <si>
    <t>Computerunterstützte Form (Hänsgen, 1992)</t>
  </si>
  <si>
    <t>STAXI</t>
  </si>
  <si>
    <t>Handbuch, Fragebogen, Auswertungsschablonen</t>
  </si>
  <si>
    <t>Schwenkmezger P.</t>
  </si>
  <si>
    <t>Hodapp V.</t>
  </si>
  <si>
    <t>Spielberger C.D.</t>
  </si>
  <si>
    <t>Fragebogen irrationaler Einstellungen</t>
  </si>
  <si>
    <t>Klages U.</t>
  </si>
  <si>
    <t>Selbstbewertung, Abhängigkeit, Internalisierung von Misserfolgen, Irritierbarkeit</t>
  </si>
  <si>
    <t>FIE</t>
  </si>
  <si>
    <t>übera. von "Self inverntory" (Plutchnik 1976)</t>
  </si>
  <si>
    <t>Selbstbewertung</t>
  </si>
  <si>
    <t>Abhängigkeit</t>
  </si>
  <si>
    <t>Misserfolg (Internalisierung)</t>
  </si>
  <si>
    <t>Irritierbarkeit</t>
  </si>
  <si>
    <t>Fragebogen zum Umgang mit Belastungen im Verlauf</t>
  </si>
  <si>
    <t>Reicherts M., Perrez M.</t>
  </si>
  <si>
    <t>Stress, Risikoverhalten, Bewältigungsverhalten, Coping</t>
  </si>
  <si>
    <t>UBV</t>
  </si>
  <si>
    <t>Testheft, Handanweisung, Antwortblätter, Auswertungsbögen</t>
  </si>
  <si>
    <t>Stress</t>
  </si>
  <si>
    <t>Nach Stunkard und Messick ("Three-factor Eating Questionnaire") 1985.</t>
  </si>
  <si>
    <t>Handanweisung, 2 Schablonen, Fragebogen</t>
  </si>
  <si>
    <t>Essen</t>
  </si>
  <si>
    <t xml:space="preserve">Essverhalten
</t>
  </si>
  <si>
    <t>Pudel  V.</t>
  </si>
  <si>
    <t>Westenhöfer  J.</t>
  </si>
  <si>
    <t>Psychological corporation</t>
  </si>
  <si>
    <t>Jugendliche, junge Erwachsene</t>
  </si>
  <si>
    <t>Berufsberatung, Interesse</t>
  </si>
  <si>
    <t>MVII</t>
  </si>
  <si>
    <t>Manual, Testbogen, Auswertungsbogen</t>
  </si>
  <si>
    <t>Literatur zu Untersuchung mit AST 3   =</t>
  </si>
  <si>
    <t>Anleitung, Testhefte Form A und B, je 14 Schablonen, Klassenliste</t>
  </si>
  <si>
    <t xml:space="preserve">Diagnostischer Rechtschreibtest </t>
  </si>
  <si>
    <t>schweizer Bearbeitung durch Niedermann, A.</t>
  </si>
  <si>
    <t xml:space="preserve">Sprachfähigkeit </t>
  </si>
  <si>
    <t>Müller  R.</t>
  </si>
  <si>
    <t>Lesetest Serie</t>
  </si>
  <si>
    <t>Biglmaier F.</t>
  </si>
  <si>
    <t>6-11 Jahre</t>
  </si>
  <si>
    <t>Lesefähigkeit, Textverständnis, Sprachfähigkeit</t>
  </si>
  <si>
    <t>Uebersetzung von "Oral Reading Paragraphs" (Gray)</t>
  </si>
  <si>
    <t>Handanweisung, Leseanschnitt, Schablone</t>
  </si>
  <si>
    <t>Lesefähigkeit</t>
  </si>
  <si>
    <t>Begabungsprüfung</t>
  </si>
  <si>
    <t>Hylla E., Krakk B.</t>
  </si>
  <si>
    <t>Beziehungen</t>
  </si>
  <si>
    <t>Persönlichkeit, Problemanalyse, Familie, Zukunft, Beziehung, Gesundheit, Sexualität, Religion, Schule</t>
  </si>
  <si>
    <t xml:space="preserve"> Beziehung</t>
  </si>
  <si>
    <t>Mooney  R. L.</t>
  </si>
  <si>
    <t>Orientation Inventory</t>
  </si>
  <si>
    <t>Bass B. M.</t>
  </si>
  <si>
    <t>ORI</t>
  </si>
  <si>
    <t>Manual, 2 Schablonen</t>
  </si>
  <si>
    <t>Bass B. M</t>
  </si>
  <si>
    <t>Berufsberatung, berufliche Einstellung</t>
  </si>
  <si>
    <t>Einstellung zu Beruf</t>
  </si>
  <si>
    <t>Personality Inventory</t>
  </si>
  <si>
    <t>Bernreuter R. G.</t>
  </si>
  <si>
    <t>deutsche Form des "Deeside Picture Test" von Emmet W.G., Schweizer Fassung siehe S 640</t>
  </si>
  <si>
    <t>Beiheft, Testheft, Auswertungsschablonen (14)</t>
  </si>
  <si>
    <t>College Inventory of academic Adjustment</t>
  </si>
  <si>
    <t>Borow H.</t>
  </si>
  <si>
    <t>Einstellung zum Studium, Studienfähigkeit</t>
  </si>
  <si>
    <t>Manual, Testbogen, Auswertungsschablonen</t>
  </si>
  <si>
    <t>Persönlichkeit, Einstellung zu "Theorie", Einstellung zu Oekonomie, Einstellung zu Aesthetik, Einstellung sozial, Einstellung zu Politik, Einstellung zu Religion, Typologie, Werteinstellung</t>
  </si>
  <si>
    <t>WET</t>
  </si>
  <si>
    <t>siehe auch Study of Values (S 104)</t>
  </si>
  <si>
    <t>Handanweisung, Testheft</t>
  </si>
  <si>
    <t>Einstellung sozial</t>
  </si>
  <si>
    <t>Diagnosticum für bildlich angeregte kognitive Leistung</t>
  </si>
  <si>
    <t>Berg  M., Schaarschmidt  U.</t>
  </si>
  <si>
    <t>Kleinkinder und Kinder</t>
  </si>
  <si>
    <t>BILKOG</t>
  </si>
  <si>
    <t>Handbuch, Auswertungsbögen, Testmaterial</t>
  </si>
  <si>
    <t>Berg  M.</t>
  </si>
  <si>
    <t>Schaarschmidt  U.</t>
  </si>
  <si>
    <t>Situations Lerntest (für Hilfsschulbedürftige)</t>
  </si>
  <si>
    <t>Legler  R.</t>
  </si>
  <si>
    <t>Frankfurter Schulreifetests</t>
  </si>
  <si>
    <t>Roth H., Schlevoigt G., Süllwold F., Wicht G.</t>
  </si>
  <si>
    <t>Hochschule für Internationale Pädagogische Forschung</t>
  </si>
  <si>
    <t>Schule, Einschulung</t>
  </si>
  <si>
    <t>siehe auch FST</t>
  </si>
  <si>
    <t>2 Handbücher, Beobachtungsbogen, Auswertungsblatt</t>
  </si>
  <si>
    <t>Einschulung</t>
  </si>
  <si>
    <t>Roth H.</t>
  </si>
  <si>
    <t>Manual, Testbogen, Auswertungsschablone</t>
  </si>
  <si>
    <t>Studiengewohnheiten</t>
  </si>
  <si>
    <t>Test of Behavioral Rigidity</t>
  </si>
  <si>
    <t>Schaie W. K.</t>
  </si>
  <si>
    <t>Manual, Testhefte Form A,B,C, Blätter</t>
  </si>
  <si>
    <t>Damm H.</t>
  </si>
  <si>
    <t>Schäfer K.</t>
  </si>
  <si>
    <t>Stork C.</t>
  </si>
  <si>
    <t>Frankfurter Leistungsmessung HI 19 (Form V)</t>
  </si>
  <si>
    <t>Hylla E., Ingenkamp K.</t>
  </si>
  <si>
    <t>4. Klasse</t>
  </si>
  <si>
    <t>Schule, Sprachfähigkeit, Rechenfähigkeit, Rechtschreibung, Sprachgebrauch, Sachrechnen, Zahlenrechnen, Wortschatz, Lesen</t>
  </si>
  <si>
    <t>HI 19</t>
  </si>
  <si>
    <t>Manual, Testheft, Auswertungsblatt, Uebungsblatt</t>
  </si>
  <si>
    <t>Ingenkamp K.</t>
  </si>
  <si>
    <t>Frankfurter Zahlenrechnentest (4-5)</t>
  </si>
  <si>
    <t>Krüger K., Hylla E., Bargmann R.</t>
  </si>
  <si>
    <t>4./5. Schuljahr</t>
  </si>
  <si>
    <t xml:space="preserve">Manual, Testheft Form Ia, Form Ib, </t>
  </si>
  <si>
    <t>Anger H., Bargmann R., Voigt M.</t>
  </si>
  <si>
    <t xml:space="preserve"> Julius Beltz Verlag
</t>
  </si>
  <si>
    <t>10-12 Jahre</t>
  </si>
  <si>
    <t>VL 5-6</t>
  </si>
  <si>
    <t>früher: Verständiges Lesen als FrankfurterTest , S196</t>
  </si>
  <si>
    <t>Anleitungs- Normenheft, Testhefte, Klassenliste</t>
  </si>
  <si>
    <t>Anger H.</t>
  </si>
  <si>
    <t>Bargmann R.</t>
  </si>
  <si>
    <t>Voigt M.</t>
  </si>
  <si>
    <t>Verständiges Lesen 7-9</t>
  </si>
  <si>
    <t>12-14/15 Jahre</t>
  </si>
  <si>
    <t>VL 7-9</t>
  </si>
  <si>
    <t>Maudsley Persönlichkeitsfragebogen</t>
  </si>
  <si>
    <t>Eysenck H.J.</t>
  </si>
  <si>
    <t>Persönlichkeit, Emotion, Gesundheit, Familie, Einstellung zu Politik, Einstellung zu Religion, Phobien, Moral, Einstellung sozial, Zwanghaftigkeit, Erziehung, Sensiblität</t>
  </si>
  <si>
    <t>MMPI Saarbrücken</t>
  </si>
  <si>
    <t>urspr. von Hathaway S.R., Mckinley J.C.</t>
  </si>
  <si>
    <t>Testheft, 18 Schablonen, Profilblatt, Antwortblatt</t>
  </si>
  <si>
    <t>Klinische Störungen</t>
  </si>
  <si>
    <t>Kognitive Leistungsfähigkeit, Kreativität</t>
  </si>
  <si>
    <t>HNT</t>
  </si>
  <si>
    <t>Testbögen (Form A, B), Beiheft</t>
  </si>
  <si>
    <t>Leistungsfähigkeit (kognitiv)</t>
  </si>
  <si>
    <t>Verbaler Kurz Intelligenztest</t>
  </si>
  <si>
    <t>Anger H., Mertesdorf R., Wegner R., Wülfing G.</t>
  </si>
  <si>
    <t>Ab 16 Jahre</t>
  </si>
  <si>
    <t>VKI</t>
  </si>
  <si>
    <t>Manual, 2 Schablonen, Testbögen (Form A, B)</t>
  </si>
  <si>
    <t>Anger H.</t>
  </si>
  <si>
    <t>Mertesdorf R.</t>
  </si>
  <si>
    <t>Wegner R.</t>
  </si>
  <si>
    <t>Wülfing G.</t>
  </si>
  <si>
    <t>Fragebogen zum Essverhalten</t>
  </si>
  <si>
    <t>Pudel  V., Westenhöfer  J.</t>
  </si>
  <si>
    <t>Essen, Essverhalten</t>
  </si>
  <si>
    <t>FEV</t>
  </si>
  <si>
    <t>Persönlichkeit, Emotion, Gesundheit, Familie, Einstellung zu Politik, Einstellung zu Religion, Phobien, Moral, Einstellung sozial, Zwanghaftigkeit, Erziehung, Sensiblität, Persönlichkeit</t>
  </si>
  <si>
    <t>Minnesota Multiphasic Personality Inventory Saarbrücken (Buch)</t>
  </si>
  <si>
    <t>Minnesota Vocational Interest Inventory</t>
  </si>
  <si>
    <t>Clark K. E.</t>
  </si>
  <si>
    <t>Schule, Sprachfähigkeit, Rechenfähigkeit, Geographie</t>
  </si>
  <si>
    <t>AST 4</t>
  </si>
  <si>
    <t>Verbal Language Development Scale</t>
  </si>
  <si>
    <t>Mecham M.J.</t>
  </si>
  <si>
    <t>Sprachfähigkeit, Entwicklung</t>
  </si>
  <si>
    <t>Manual, Auswertungsbogen</t>
  </si>
  <si>
    <t>Entwicklung</t>
  </si>
  <si>
    <t>KV Interessentest</t>
  </si>
  <si>
    <t>Bollschweiler R.</t>
  </si>
  <si>
    <t>Schweizerischer Verband für Berufsberatung SVB</t>
  </si>
  <si>
    <t xml:space="preserve"> 1. Auflage</t>
  </si>
  <si>
    <t>18 - 40 Jahre</t>
  </si>
  <si>
    <t>KV</t>
  </si>
  <si>
    <t>KV-IT</t>
  </si>
  <si>
    <t>Handbuch,Testheft,Antwortblätter, 2 Profilblätter, Schablonen I,II+III</t>
  </si>
  <si>
    <t>First Grade Screening Test</t>
  </si>
  <si>
    <t>Pate J.E., Webb W.W.</t>
  </si>
  <si>
    <t>FGST</t>
  </si>
  <si>
    <t>Manual, Testbogen Knaben + Mädchen</t>
  </si>
  <si>
    <t>Pate J.E.</t>
  </si>
  <si>
    <t>Hochschule für internationale pädagogische Forschung</t>
  </si>
  <si>
    <t xml:space="preserve">Mittelstufe </t>
  </si>
  <si>
    <t>siehe: Aufgaben zum Nachdenken (AzN4+) S209</t>
  </si>
  <si>
    <t>Handbuch, Testbogen (3 Formen), Normtabellen, Auswertungsschlüssel</t>
  </si>
  <si>
    <t>Hylla E.</t>
  </si>
  <si>
    <t>Krakk B.</t>
  </si>
  <si>
    <t>Aufgaben zum Nachdenken</t>
  </si>
  <si>
    <t>Hylla E., Kraak B.</t>
  </si>
  <si>
    <t>Mittelstufe</t>
  </si>
  <si>
    <t>AzN4+</t>
  </si>
  <si>
    <t>Neubearbeitung von  Horn H. et al. Normierung 1968. siehe: Aufgaben zum Nachdenken AzN  4-6  (S 210.1)</t>
  </si>
  <si>
    <t>Persönlichkeit, Neurotische Tendenzen, Selbstgenügsamkeit, Introversion-Extraversion, Selbstvertrauen, Dominanz-Submission</t>
  </si>
  <si>
    <t>Selbstgenügsamkeit</t>
  </si>
  <si>
    <t>Selbstvertrauen</t>
  </si>
  <si>
    <t>Dominanz-Submission</t>
  </si>
  <si>
    <t>Pictorial Study of Values</t>
  </si>
  <si>
    <t>Shooster Ch.</t>
  </si>
  <si>
    <t>Psychometrical Affiliates</t>
  </si>
  <si>
    <t>Wertorientierung</t>
  </si>
  <si>
    <t>Manual, Testmaterial, Antwortsbogen, auswertungsbogen</t>
  </si>
  <si>
    <t>Problemfragebogen für Jugendliche</t>
  </si>
  <si>
    <t>Roth H., Süllwold F., Berg M.</t>
  </si>
  <si>
    <t>Einstellung zum Studium</t>
  </si>
  <si>
    <t>Studienfähigkeit</t>
  </si>
  <si>
    <t>Cornell Index (Form N2)</t>
  </si>
  <si>
    <t>Weider A., Wolff H.G., Brodman K., Mittelmann B., Wechsler D.</t>
  </si>
  <si>
    <t>Psychosomatische Störungen, Persönlichkeitsstörungen</t>
  </si>
  <si>
    <t>C. I. Form N2</t>
  </si>
  <si>
    <t>Psychosomatische Störungen</t>
  </si>
  <si>
    <t>Persönlichkeitsstörungen</t>
  </si>
  <si>
    <t>Weider A.</t>
  </si>
  <si>
    <t>Wolff H. G.</t>
  </si>
  <si>
    <t>Brodman K.</t>
  </si>
  <si>
    <t>Mittelmann B.</t>
  </si>
  <si>
    <t>Erwachsene ab 16 Jahre</t>
  </si>
  <si>
    <t>SASKA</t>
  </si>
  <si>
    <t>Manual, Testheft, Auswertungsbogen, 2 Schablonen</t>
  </si>
  <si>
    <t>Riegel K.F.</t>
  </si>
  <si>
    <t>Manual, Testheft, 2 Schablonen, Auswertungsbogen</t>
  </si>
  <si>
    <t>Riegel K. F.</t>
  </si>
  <si>
    <t>Study Habits Inventory</t>
  </si>
  <si>
    <t>Wrenn  G. C.</t>
  </si>
  <si>
    <t>Stanford University Press</t>
  </si>
  <si>
    <t>Studiengewohnheiten, Einstellung zum Studium</t>
  </si>
  <si>
    <t>13 Jahre</t>
  </si>
  <si>
    <t>RST 8+</t>
  </si>
  <si>
    <t>Wahrnehmung, Gedächtnis, Geometrie, Französisch</t>
  </si>
  <si>
    <t>Testklassifikation unklar</t>
  </si>
  <si>
    <t>nur 1 Auswertungsheft für alle 3 Exemplare vorhanden</t>
  </si>
  <si>
    <t>Handbuch, Testtafel, Auswertungsheft (feuille de depouillement)</t>
  </si>
  <si>
    <t>Wahrnehmung</t>
  </si>
  <si>
    <t xml:space="preserve"> Gedächtnis</t>
  </si>
  <si>
    <t>Kelley T.L., Madden R., Gardner E.F., Rudman H.C.</t>
  </si>
  <si>
    <t>grade 1-2</t>
  </si>
  <si>
    <t>Manual Primary I Form W, Testbogen, Schablone</t>
  </si>
  <si>
    <t>Kelley T.L.</t>
  </si>
  <si>
    <t>Madden R.</t>
  </si>
  <si>
    <t>Gardner E.F.</t>
  </si>
  <si>
    <t>Rudman H.C.</t>
  </si>
  <si>
    <t>grade 2-3</t>
  </si>
  <si>
    <t>Manual Primary II Form W, Testbogen, Schablone</t>
  </si>
  <si>
    <t>grade 4-5</t>
  </si>
  <si>
    <t>Krüger K.</t>
  </si>
  <si>
    <t>Bargmann R.</t>
  </si>
  <si>
    <t>Frankfurter Rechentest (8.Schuljahr)</t>
  </si>
  <si>
    <t>Fisch E., Hylla E., Süllwold F.</t>
  </si>
  <si>
    <t>8. Schuljahr</t>
  </si>
  <si>
    <t>RT 8+</t>
  </si>
  <si>
    <t>Handbuch, Testheft Form A, Form B, Schlüssel</t>
  </si>
  <si>
    <t>Fisch E.</t>
  </si>
  <si>
    <t>Julius Beltz Verlag</t>
  </si>
  <si>
    <t>Frankfurter Wortschatztest</t>
  </si>
  <si>
    <t>Anger H., Bargmann R.</t>
  </si>
  <si>
    <t>- Schultest: - Wortschatztest</t>
  </si>
  <si>
    <t>5.-8.Schuljahr</t>
  </si>
  <si>
    <t xml:space="preserve">Verlag für Psychologie
</t>
  </si>
  <si>
    <t>2. verb. Auflage</t>
  </si>
  <si>
    <t>Persönlichkeit, neurotische Tendenz, klinische Störung</t>
  </si>
  <si>
    <t>MMQ</t>
  </si>
  <si>
    <t>Anleitung, Testheft</t>
  </si>
  <si>
    <t>neurotische Tendenz</t>
  </si>
  <si>
    <t>klinische Störungen</t>
  </si>
  <si>
    <t>Persönlichkeit, neurotische Tendenz, klinische Störungen</t>
  </si>
  <si>
    <t>klinische Störung</t>
  </si>
  <si>
    <t>2.verb.Auflage: S199</t>
  </si>
  <si>
    <t>Anleitung, Testhefte</t>
  </si>
  <si>
    <t>Diagnostischer Rechtschreibtest</t>
  </si>
  <si>
    <t>- Schultest: - Rechtschreibtest</t>
  </si>
  <si>
    <t>7-8 Jahre</t>
  </si>
  <si>
    <t>Schule, Sprachfähigkeit, Rechtschreibung</t>
  </si>
  <si>
    <t>DRT 2</t>
  </si>
  <si>
    <t>Einstellung zu Politik/Religion, sozial</t>
  </si>
  <si>
    <t>4. unverän. Auflage</t>
  </si>
  <si>
    <t xml:space="preserve">Persönlichkeit, Emotion, Gesundheit, Familie, Einstellung zu Politik, Einstellung zu Religion, Phobien, Moral, Einstellung sozial, Zwanghaftigkeit, Erziehung, Sensiblität, </t>
  </si>
  <si>
    <t>Einstellung zu Politik, Religion, sozial</t>
  </si>
  <si>
    <t>9. unverän. Auflage</t>
  </si>
  <si>
    <t>Anleitung, Testheft Form A und B, Auswertungsschlüssel, Klassenliste</t>
  </si>
  <si>
    <t>Anleitung, Testheft Form A und B, Klassenliste, Analyseblatt</t>
  </si>
  <si>
    <t>9-11 Jahre</t>
  </si>
  <si>
    <t>DRT 4-5</t>
  </si>
  <si>
    <t>Anleitung, Testheft Form A und B, Klassenliste, 3 Sorten Analyseblätter</t>
  </si>
  <si>
    <t>Allgemeiner Schulleistungstest</t>
  </si>
  <si>
    <t>Fippinger F.</t>
  </si>
  <si>
    <t xml:space="preserve">Beltz Verlag
</t>
  </si>
  <si>
    <t>9-10 Jahre</t>
  </si>
  <si>
    <t>Kindergarten - 1. Klasse</t>
  </si>
  <si>
    <t xml:space="preserve"> Schule</t>
  </si>
  <si>
    <t>Katharine M.</t>
  </si>
  <si>
    <t>Banham Ph.D.</t>
  </si>
  <si>
    <t>Handanweisung, Anleitung zur psych. Untersuchung des Legasthenikers, Testbogen, 9 Lesekarten, Analyseblatt</t>
  </si>
  <si>
    <t>Legasthenie</t>
  </si>
  <si>
    <t>Linder M.</t>
  </si>
  <si>
    <t>Grissemann H.</t>
  </si>
  <si>
    <t>Heilpädagogische Betreuung des legasthenischen Kindes</t>
  </si>
  <si>
    <t>ab 2. Klasse</t>
  </si>
  <si>
    <t>Beilage zum Buch "Die Legasthenie als Deutungsschwäche.</t>
  </si>
  <si>
    <t>Arbeitsmappe mit 100 Arbeitsblättern</t>
  </si>
  <si>
    <t>Test D 48</t>
  </si>
  <si>
    <t>Intelligenz, Domino</t>
  </si>
  <si>
    <t>D 48</t>
  </si>
  <si>
    <t>Handbuch, Testbogen, Schablone, Auswertungsbogen</t>
  </si>
  <si>
    <t>Domino</t>
  </si>
  <si>
    <t>Quick Test</t>
  </si>
  <si>
    <t>Ammons R.B., Ammons C.H.</t>
  </si>
  <si>
    <t>Psychological Test Specialists</t>
  </si>
  <si>
    <t>ab 2 Jahren</t>
  </si>
  <si>
    <t>QT</t>
  </si>
  <si>
    <t>Webb W.W.</t>
  </si>
  <si>
    <t>Remote Associates Test</t>
  </si>
  <si>
    <t>Mednick S.A., Mednick M.T.</t>
  </si>
  <si>
    <t>wo ist der eigentliche Test?</t>
  </si>
  <si>
    <t>RAT</t>
  </si>
  <si>
    <t>nur Manual, eigentlicher Test fehlt</t>
  </si>
  <si>
    <t>Manual</t>
  </si>
  <si>
    <t>Mednick S.A.</t>
  </si>
  <si>
    <t xml:space="preserve"> Mednick M.T.</t>
  </si>
  <si>
    <t>Metropolitan Achievement Test, Primary II Battery Form A</t>
  </si>
  <si>
    <t>Beiheft, Testbogen (2 Formen), Schablonen</t>
  </si>
  <si>
    <t>Kraak B.</t>
  </si>
  <si>
    <t>Flammer A.</t>
  </si>
  <si>
    <t>AzN 4-6</t>
  </si>
  <si>
    <t>Schweizer Bearbeitung des Tests Aufgaben zum Nachdenken AzN  4+ (S 209)</t>
  </si>
  <si>
    <t>Beiheft, Testbogen (2 Formen), Auswertungsschlüssel (2 Formen)</t>
  </si>
  <si>
    <t xml:space="preserve">Göppinger Leistungsprüfung </t>
  </si>
  <si>
    <t>Kleiner A.</t>
  </si>
  <si>
    <t>Beratungsstelle für Schul-, Erziehungs- und kinderpsychologischen Fragen</t>
  </si>
  <si>
    <t>22. Auflage</t>
  </si>
  <si>
    <t>6-10 Jahre</t>
  </si>
  <si>
    <t>1967-68</t>
  </si>
  <si>
    <t>Anweisung, 4 Protokollbogen</t>
  </si>
  <si>
    <t>34. Auflage</t>
  </si>
  <si>
    <t>Persönlichkeit, Schule, Selbstsicherheit, Selbstvertrauen, soziale Einstellung, Familie, Sexualität, Gesundheit</t>
  </si>
  <si>
    <t>Deutsche Fassung des SRA Youth Inventory (Remmers &amp; Shimberg, 1960)</t>
  </si>
  <si>
    <t>Beiheft, Testbogen (2 Formen)</t>
  </si>
  <si>
    <t>Roth H.</t>
  </si>
  <si>
    <t>Berg M.</t>
  </si>
  <si>
    <t>Deutsche Fassung des SRA Youth Inventory (Remmers &amp; Shimlberg, 1960)</t>
  </si>
  <si>
    <t>Sprachlicher Leistungstest</t>
  </si>
  <si>
    <t>Riegel K. L.</t>
  </si>
  <si>
    <t>8-10 Jahre</t>
  </si>
  <si>
    <t>Rechtschreibung, Sprachfähigkeit,Schule</t>
  </si>
  <si>
    <t>RST 4+</t>
  </si>
  <si>
    <t>Handanweisung, Testheft Form A,B,C,  Registrierbogen</t>
  </si>
  <si>
    <t>Hylla E.</t>
  </si>
  <si>
    <t>Süllwold F.</t>
  </si>
  <si>
    <t>Wicht G.</t>
  </si>
  <si>
    <t>Frankfurter Rechtschreibtest (8.Schuljahr)</t>
  </si>
  <si>
    <t>Damm H., Hylla E., Schäfer K., Stork C.</t>
  </si>
  <si>
    <t xml:space="preserve">Hochschule für Internationale Pädagogische Forschung
</t>
  </si>
  <si>
    <t>Centre de psychologie appliquée</t>
  </si>
  <si>
    <t>ab 4 Jahren</t>
  </si>
  <si>
    <t>Rey A.</t>
  </si>
  <si>
    <t>Torrance Test of Creative Thinking</t>
  </si>
  <si>
    <t>Torrance E.P.</t>
  </si>
  <si>
    <t xml:space="preserve">Kindergarten- Graduate </t>
  </si>
  <si>
    <t>Manual, Figural Test A + B, Verbal Test A + B, Testbogen, Auswertungsbogen</t>
  </si>
  <si>
    <t>Fragebogen zur Kausalattribuierung von Leistung</t>
  </si>
  <si>
    <t>Kessler M.</t>
  </si>
  <si>
    <t xml:space="preserve">Beltz </t>
  </si>
  <si>
    <t>Attribuierung, Leistung, Kontrollüberzeugung</t>
  </si>
  <si>
    <t>FKL 7-9</t>
  </si>
  <si>
    <t>Attribuierung</t>
  </si>
  <si>
    <t>Leistung</t>
  </si>
  <si>
    <t>Profilauswertung zum AID</t>
  </si>
  <si>
    <t>Seel H.</t>
  </si>
  <si>
    <t>Manual, 7 Schablonen,Synopse-Blätter,  Blatt zu Förderungshinweisen</t>
  </si>
  <si>
    <t>Fragmentierter Bildertest</t>
  </si>
  <si>
    <t>Kessler J., Schaaf A., Mielke R.</t>
  </si>
  <si>
    <t>Kinder - Erwachsene</t>
  </si>
  <si>
    <t>Wahrnehmung, Gedächtnis</t>
  </si>
  <si>
    <t>FBT</t>
  </si>
  <si>
    <t>Handanweisung, Bildband, Protokollbogen</t>
  </si>
  <si>
    <t>Kessler J.</t>
  </si>
  <si>
    <t>Schaaf A.</t>
  </si>
  <si>
    <t>Mielke R.</t>
  </si>
  <si>
    <t>Manual Intermediate I Form W, Testbogen, Schablone</t>
  </si>
  <si>
    <t>grade 5-6</t>
  </si>
  <si>
    <t>Manual Intermediate II Form W, Testbogen, Schablone</t>
  </si>
  <si>
    <t>Manual, Zusatzheft, Testheft Form Ia, Form IIa, Form Ia, Form IIb, 4 Schablonen</t>
  </si>
  <si>
    <t>Manual, Testheft Form Ia, Form IIa, Form Ia, Form IIb, 4 Schablonen</t>
  </si>
  <si>
    <t>Frankfurter Analogietest (4.-8.Schuljahr)</t>
  </si>
  <si>
    <t>Belser H., Anger R., Bargmann R.</t>
  </si>
  <si>
    <t>4.-8. Schulklasse</t>
  </si>
  <si>
    <t>FAT 4-8</t>
  </si>
  <si>
    <t>Handbuch, Testheft, Form Ia,IIa, Ib,IIb</t>
  </si>
  <si>
    <t>Belser H.</t>
  </si>
  <si>
    <t>Anger R.</t>
  </si>
  <si>
    <t>Diagnostischer Englisch Leistungstest</t>
  </si>
  <si>
    <t>Kamratowski J., Schneider J.</t>
  </si>
  <si>
    <t>Julius Beltz/ Franz Cornelsen</t>
  </si>
  <si>
    <t>6. -7. Schulklasse</t>
  </si>
  <si>
    <t>ELT 6-7</t>
  </si>
  <si>
    <t>schweizer Bearbeitung durch Niedermann A.</t>
  </si>
  <si>
    <t>Anleitung, Testheft Form A und B, Analyseblatt</t>
  </si>
  <si>
    <t>Rechtschreibung</t>
  </si>
  <si>
    <t xml:space="preserve">Rechtschreibungstests </t>
  </si>
  <si>
    <t>Jäger A.O.</t>
  </si>
  <si>
    <t>ab 13 Jahren</t>
  </si>
  <si>
    <t>Schule, Rechtschreibung, Sprachfähigkeit</t>
  </si>
  <si>
    <t>RT</t>
  </si>
  <si>
    <t>Handanweisung, 3 Beihefte, 3 Anweisungeshefte, Gruppenliste</t>
  </si>
  <si>
    <t>7-9 Jahre</t>
  </si>
  <si>
    <t>DRT 3</t>
  </si>
  <si>
    <t>Schütt H.</t>
  </si>
  <si>
    <t>Geschichtstest 'Neuzeit'</t>
  </si>
  <si>
    <t>Ingenkamp K., Mielke H.</t>
  </si>
  <si>
    <t>8. -10. Schulklasse</t>
  </si>
  <si>
    <t>Geschichte, Schule</t>
  </si>
  <si>
    <t>GTN 8-10</t>
  </si>
  <si>
    <t>Beiheft Teil I+II, Testbogen Teil I Form A+B, Teil II Form A+B</t>
  </si>
  <si>
    <t>Mielke H.</t>
  </si>
  <si>
    <t>Maturity Level for School Entrance and Reading Readiness</t>
  </si>
  <si>
    <t>Katharine M., Banham Ph.D.</t>
  </si>
  <si>
    <t>American Guidance Service, inc.</t>
  </si>
  <si>
    <t>Detroit Advanced First-Grade Intelligence Test</t>
  </si>
  <si>
    <t>Baker H.</t>
  </si>
  <si>
    <t>grade 1 advanced</t>
  </si>
  <si>
    <t>Otis quick scoring mental ability test / Alpha Test</t>
  </si>
  <si>
    <t>grade 1-4</t>
  </si>
  <si>
    <t>Manual Form A, Testbogen, Schablone</t>
  </si>
  <si>
    <t>Otis quick scoring mental ability test / Alpha Test (Short Form)</t>
  </si>
  <si>
    <t>Manual Form As, Testbogen, Schablone, IQ Tabelle</t>
  </si>
  <si>
    <t>Otis quick scoring mental ability test / Beta Test</t>
  </si>
  <si>
    <t>grade 4-9</t>
  </si>
  <si>
    <t>Manual Form Fm, Testbogen, Schablone</t>
  </si>
  <si>
    <t>Otis quick scoring mental ability test / Gamma Test</t>
  </si>
  <si>
    <t>Manual, Testbogen Fm, Schablone, IQ Tabelle</t>
  </si>
  <si>
    <t>Zürcher Lesetest (mit Mottier-Test)</t>
  </si>
  <si>
    <t>Linder M., Grissemann H.</t>
  </si>
  <si>
    <t>2. - 6. Klasse</t>
  </si>
  <si>
    <t>Lesen, Legasthenie, Schule</t>
  </si>
  <si>
    <t>ZLT</t>
  </si>
  <si>
    <t>beinhaltet Mottier-Test  S.19</t>
  </si>
  <si>
    <t>Scheer J.W., Catina A., Lohaus A., Raeithel A.</t>
  </si>
  <si>
    <t>Scheer J.W.</t>
  </si>
  <si>
    <t>Catina A.</t>
  </si>
  <si>
    <t>Lohaus A.</t>
  </si>
  <si>
    <t>Raeithel A.</t>
  </si>
  <si>
    <t>Eating Disorder Inventory-2</t>
  </si>
  <si>
    <t>Durost W.N., Bixler H.H., Hildreth G.H., Lund K.W.</t>
  </si>
  <si>
    <t>Harcourt, Brace &amp; World, inc.</t>
  </si>
  <si>
    <t>Unterstufe</t>
  </si>
  <si>
    <t>Sprachfähigkeit, Mathematik</t>
  </si>
  <si>
    <t>Manual Form A, Testbogen Form A, Auswertungsbogen</t>
  </si>
  <si>
    <t>Durost W.N.</t>
  </si>
  <si>
    <t>Bixler H.H.</t>
  </si>
  <si>
    <t xml:space="preserve"> Hildreth G.H.,</t>
  </si>
  <si>
    <t>Lund K.W.</t>
  </si>
  <si>
    <t>Metropolitan Achievement Tests, Primary I Battery Form A</t>
  </si>
  <si>
    <t>Harcourt, Brace &amp; World, Inc.</t>
  </si>
  <si>
    <t>grade 2, Unterstufe</t>
  </si>
  <si>
    <t>Hildreth G.H.</t>
  </si>
  <si>
    <t>Metropolitan Achievement Tests, Intermediate Form A</t>
  </si>
  <si>
    <t>grade 5 - 6</t>
  </si>
  <si>
    <t>Metropolitan Achievement Tests, Elemantary</t>
  </si>
  <si>
    <t>grade 3 - 4</t>
  </si>
  <si>
    <t>Aufmerksamkeits Belastungs Test</t>
  </si>
  <si>
    <t>Brickenkamp R.</t>
  </si>
  <si>
    <t>9-60 Jahre</t>
  </si>
  <si>
    <t>Aufmerksamkeit, Belastung, Konzentration</t>
  </si>
  <si>
    <t>d2/d 2</t>
  </si>
  <si>
    <t>siehe S 504: erweiterte Auflage</t>
  </si>
  <si>
    <t>Anweisung, Testbogen, Auswertungsschablonen 1+2</t>
  </si>
  <si>
    <t>Belastung</t>
  </si>
  <si>
    <t>6. Auflage</t>
  </si>
  <si>
    <t>Frankfurter Rechtschreibung (4.Schuljahr)</t>
  </si>
  <si>
    <t>Hylla E., Süllwold F., Wicht G.</t>
  </si>
  <si>
    <t>David M., Garner Ph.D.</t>
  </si>
  <si>
    <t>Psychological Assessment Resources, Inc. (PAR)</t>
  </si>
  <si>
    <t>Essen, Essverhalten, Magersucht, Bulimie</t>
  </si>
  <si>
    <t>EDI2</t>
  </si>
  <si>
    <t>Manual, Profilbogen, Antwortbogen,Testbogen</t>
  </si>
  <si>
    <t>Magersucht</t>
  </si>
  <si>
    <t>Bulimie</t>
  </si>
  <si>
    <t>David M.</t>
  </si>
  <si>
    <t>Garner Ph.D.</t>
  </si>
  <si>
    <t>Seashore Measures of Musical Talents</t>
  </si>
  <si>
    <t>Seashore C.E., Lewis D., Saetveit J.G.</t>
  </si>
  <si>
    <t>ab grade 4 - Erwachsene</t>
  </si>
  <si>
    <t>Musik, Rhythmik</t>
  </si>
  <si>
    <t>Manual, 1 LP,2 Schablonen, Auswertebogen englisch &amp; dt.</t>
  </si>
  <si>
    <t>Rhythmik</t>
  </si>
  <si>
    <t>Seashore C.E.</t>
  </si>
  <si>
    <t>Lewis D.</t>
  </si>
  <si>
    <t>Saetveit J.G.</t>
  </si>
  <si>
    <t>Engle Psychology Test</t>
  </si>
  <si>
    <t>Otis self administering tests of mental ability</t>
  </si>
  <si>
    <t>Otis A.S.</t>
  </si>
  <si>
    <t>Harcourt Brace &amp; World, Inc.</t>
  </si>
  <si>
    <t>grade 4 - high school and college</t>
  </si>
  <si>
    <t>Denkfähigkeit, Intelligenz</t>
  </si>
  <si>
    <t>Manual, Testbogen Form A für grades 4-9 + high schools and colleges, Auswertungsbogen</t>
  </si>
  <si>
    <t>Prüfsystem für Schul- und Bildungsberatung</t>
  </si>
  <si>
    <t>Horn W.</t>
  </si>
  <si>
    <t>9 - 20 Jahre</t>
  </si>
  <si>
    <t>PSB</t>
  </si>
  <si>
    <t>Handanweisung, Testbogen Form A+B, Schablonen, Schweizer Eichung</t>
  </si>
  <si>
    <t>Otis Lennon Mental Ability Test / National Standardization Program</t>
  </si>
  <si>
    <t>Otis A.S., Lennon R.T.</t>
  </si>
  <si>
    <t>Harcourt, Brace &amp;World, Inc.</t>
  </si>
  <si>
    <t>Grades 4-12</t>
  </si>
  <si>
    <t>Manual, Testbogen Elementary II, Intermediate, Advanced Level</t>
  </si>
  <si>
    <t>Lennon R.T.</t>
  </si>
  <si>
    <t>Test de copie d'une figure complete</t>
  </si>
  <si>
    <t>Metropolitan Readiness Tests</t>
  </si>
  <si>
    <t>Hildreth G.H., Griffiths N.L., McGauvran M.E.</t>
  </si>
  <si>
    <t>Kindergarten, 1. Klasse</t>
  </si>
  <si>
    <t>Einschulung, Reife, Schule</t>
  </si>
  <si>
    <t>Manual Form A, Testbogen, Auswertungsbogen</t>
  </si>
  <si>
    <t>Reife</t>
  </si>
  <si>
    <t>Griffiths N.L.</t>
  </si>
  <si>
    <t>McGauvran M.E.</t>
  </si>
  <si>
    <t>Detroit Kindergarten Test</t>
  </si>
  <si>
    <t>Baker H.J., Kaufmann J.</t>
  </si>
  <si>
    <t>Kindergarten</t>
  </si>
  <si>
    <t>Einschulung, Reife</t>
  </si>
  <si>
    <t>Manual, Testbogen Test 1-8</t>
  </si>
  <si>
    <t>Baker H.J.</t>
  </si>
  <si>
    <t>Kaufmann J.</t>
  </si>
  <si>
    <t>Detroit Beginning First-Grade Intelligence Test (revised)</t>
  </si>
  <si>
    <t>Engel A.M., Baker H.J.</t>
  </si>
  <si>
    <t>grade 1</t>
  </si>
  <si>
    <t>Engel A.M.</t>
  </si>
  <si>
    <t>in Ahnlehnung an das Lehrbuch 'Peter Pim and Billy Ball', Part 2</t>
  </si>
  <si>
    <t>Beiheft, Testbogen</t>
  </si>
  <si>
    <t>Kamratowski J.</t>
  </si>
  <si>
    <t>Schneider J.</t>
  </si>
  <si>
    <t>Hamburger Englischtest</t>
  </si>
  <si>
    <t>Fettweiss B., Horn H., Hylla E., Schütt H.</t>
  </si>
  <si>
    <t>Julius Beltz</t>
  </si>
  <si>
    <t>6.-7. Schulklasse</t>
  </si>
  <si>
    <t>HET 6+</t>
  </si>
  <si>
    <t>Beiheft, Testbogen Teil 1 -6, Schablone</t>
  </si>
  <si>
    <t>Fettweiss B.</t>
  </si>
  <si>
    <t>Horn H.</t>
  </si>
  <si>
    <t xml:space="preserve"> Manual, Instruktion, 3 Bildtafeln, Item Cardboard, Auswertungsbogen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</si>
  <si>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Ammons R.B.</t>
  </si>
  <si>
    <t>Ammons C.H.</t>
  </si>
  <si>
    <t>Wisconsin Contemporary Test of Elementary Mathematics</t>
  </si>
  <si>
    <t>DeVault M.V., Fennema E., Neufeld K. A., Smith L.B.</t>
  </si>
  <si>
    <t>Personnel Press, Inc.</t>
  </si>
  <si>
    <t>grades 3-6</t>
  </si>
  <si>
    <t>Mathematik, Schule</t>
  </si>
  <si>
    <t>WCTEM</t>
  </si>
  <si>
    <t>Manual, 2 Testbogen Form A grades 3-4, 5-6, 
4 Schablonen</t>
  </si>
  <si>
    <t>DeVault M.V.</t>
  </si>
  <si>
    <t>Fennema E.</t>
  </si>
  <si>
    <t>Neufeld K. A.</t>
  </si>
  <si>
    <t>Smith L.B.</t>
  </si>
  <si>
    <t>Manual, 2 Testbogen Form A grades 3-4, 5-6, 
3 Schablonen</t>
  </si>
  <si>
    <t xml:space="preserve">Brief outline of techniques in driver selection / McGuire SD Scale </t>
  </si>
  <si>
    <t>McGuire F.L.</t>
  </si>
  <si>
    <t>Western Psychological Services</t>
  </si>
  <si>
    <t>Handanweisung, Test, Auswertungsbogen (alles in einem Heft)</t>
  </si>
  <si>
    <t>Reicherter Sanders Typewriting I + II</t>
  </si>
  <si>
    <t>Reicherter F.R., Sanders M.W.</t>
  </si>
  <si>
    <t>high school students</t>
  </si>
  <si>
    <t>Maschinenschreiben</t>
  </si>
  <si>
    <t>Manual,Testbogen Form A + B</t>
  </si>
  <si>
    <t>Reicherter F.R.</t>
  </si>
  <si>
    <t>Sanders M.W.</t>
  </si>
  <si>
    <t>Allgemeiner Büroarbeitstest</t>
  </si>
  <si>
    <t>Lienert G.A.</t>
  </si>
  <si>
    <t>Büro, Rechtschreibung, Prüfen, Sortieren</t>
  </si>
  <si>
    <t>ABAT</t>
  </si>
  <si>
    <t>Handanweisung, Testheft A + B, Lösungsschlüsselkarten A + B, 6 Lösungsschlüsselfolien A + B</t>
  </si>
  <si>
    <t>Büro</t>
  </si>
  <si>
    <t>Prüfen</t>
  </si>
  <si>
    <t>Sortieren</t>
  </si>
  <si>
    <t>Büro Test</t>
  </si>
  <si>
    <t>Marschner G.</t>
  </si>
  <si>
    <t>Kinder, Jugendliche</t>
  </si>
  <si>
    <t>Repertory Grid Technik</t>
  </si>
  <si>
    <t>Riemann R.</t>
  </si>
  <si>
    <t xml:space="preserve"> </t>
  </si>
  <si>
    <t>Handanweisung, 1 Diskette, Auswertungsbogen, Protokollbogen</t>
  </si>
  <si>
    <t>Einführung in die Repertory Grid-Technik (Buch, Band 1+2)</t>
  </si>
  <si>
    <t>Manual, 4 Bildtafeln, Testbogen</t>
  </si>
  <si>
    <t>Van Lennep D.J.</t>
  </si>
  <si>
    <t>Houwink R.</t>
  </si>
  <si>
    <t>Manual, 4 Bildtafeln, dt. Testbogen</t>
  </si>
  <si>
    <t>Berufswahlmodellversuch / Stellenanzeigentest</t>
  </si>
  <si>
    <t>Greub W.</t>
  </si>
  <si>
    <t>W. Bertelsmann</t>
  </si>
  <si>
    <t>Berufsberatung, Berufswahl</t>
  </si>
  <si>
    <t>Buch, Berufsverzeichnis</t>
  </si>
  <si>
    <t>Berufswahl</t>
  </si>
  <si>
    <t>Gruppentest für die soziale Einstellung</t>
  </si>
  <si>
    <t>Jörger K.</t>
  </si>
  <si>
    <t>8 - 15 Jahre</t>
  </si>
  <si>
    <t>Persönlichkeit, soziale Einstellung, soziale Erwünschtheit, soziale Reife</t>
  </si>
  <si>
    <t>SET</t>
  </si>
  <si>
    <t>Handanweisung, Testheft, Anwortbogen</t>
  </si>
  <si>
    <t>soziale Einstellung</t>
  </si>
  <si>
    <t>soziale Erwünschtheit</t>
  </si>
  <si>
    <t xml:space="preserve">soziale Reife
</t>
  </si>
  <si>
    <t>Jesness Inventory</t>
  </si>
  <si>
    <t>Jesness C.F.</t>
  </si>
  <si>
    <t>Consulting Psychologists Press, Inc.</t>
  </si>
  <si>
    <t>8 - 18 Jahre</t>
  </si>
  <si>
    <t>Engle T.L.</t>
  </si>
  <si>
    <t>Studienmotivation, Studiermethode, Einstellung zur Schule</t>
  </si>
  <si>
    <t>Manual, Testbogen Form D + H, 6 Schablonen, Antwortbogen</t>
  </si>
  <si>
    <t>Studienmotivation</t>
  </si>
  <si>
    <t>Studiermethode</t>
  </si>
  <si>
    <t>Sozialer Motivationstest 4-9</t>
  </si>
  <si>
    <t>Müller R.</t>
  </si>
  <si>
    <t>9 -14 Jahre</t>
  </si>
  <si>
    <t>Sozialmotivation, Sozialverhalten, Problemlösungsstrategien</t>
  </si>
  <si>
    <t>SMT 4-9</t>
  </si>
  <si>
    <t>Beiheft, Testbogen Form A + B, Auswertungsfolie A + B</t>
  </si>
  <si>
    <t>Sozialmotivation</t>
  </si>
  <si>
    <t>Sozialverhalten</t>
  </si>
  <si>
    <t>Problemlösungsstrategien</t>
  </si>
  <si>
    <t>Wilson Driver Selection Test</t>
  </si>
  <si>
    <t>Wilson C.L.</t>
  </si>
  <si>
    <t>Martin M. Bruce</t>
  </si>
  <si>
    <t>Autofahren, Verkehrspsychologie, Selektion</t>
  </si>
  <si>
    <t>Manual, Testheft, Auswertungsschlüssel</t>
  </si>
  <si>
    <t>Autofahren</t>
  </si>
  <si>
    <t>Verkehrspsychologie</t>
  </si>
  <si>
    <t>Selektion</t>
  </si>
  <si>
    <t>ab 3 Jahren - Jugendliche</t>
  </si>
  <si>
    <t>Persönlichkeit, Komplexe, Fabeln</t>
  </si>
  <si>
    <t>Komplexe</t>
  </si>
  <si>
    <t>Fabeln</t>
  </si>
  <si>
    <t>Learning to Think Series (The Red Book)</t>
  </si>
  <si>
    <t>Thurstone T.G.</t>
  </si>
  <si>
    <t>Lehrerhandbuch, Testheft, Auswertungsbogen</t>
  </si>
  <si>
    <t>Einstellung</t>
  </si>
  <si>
    <t>Depressions Inventar für Kinder und Jugendliche</t>
  </si>
  <si>
    <t>Stiensmeier J., Schürmann M., Duda K.</t>
  </si>
  <si>
    <t>Depression</t>
  </si>
  <si>
    <t>DIKJ</t>
  </si>
  <si>
    <t>Stiensmeier J.</t>
  </si>
  <si>
    <t>Schürmann M.</t>
  </si>
  <si>
    <t>Duda K.</t>
  </si>
  <si>
    <t>Selbstregulations Strategientest für Kinder</t>
  </si>
  <si>
    <t>Kuhl J., Christ E.</t>
  </si>
  <si>
    <t>Kinder im Grundschulalter</t>
  </si>
  <si>
    <t>Strategien, Selbstregulation</t>
  </si>
  <si>
    <t>SRST-K</t>
  </si>
  <si>
    <t>Handanweisung, Auswertungsschablone, Protokollbogen, 6 Bildergeschichten (3 für Mäd., 3 für Knaben)</t>
  </si>
  <si>
    <t>Strategien</t>
  </si>
  <si>
    <t>Selbstregulation</t>
  </si>
  <si>
    <t>Kuhl J.</t>
  </si>
  <si>
    <t>Christ E.</t>
  </si>
  <si>
    <t>Test für medizinische Studiengänge</t>
  </si>
  <si>
    <t xml:space="preserve">Trost G.                                                                </t>
  </si>
  <si>
    <t>Maturaabsolventen</t>
  </si>
  <si>
    <t>Medizin</t>
  </si>
  <si>
    <t>TMS</t>
  </si>
  <si>
    <t>Handbuch (beinhaltet Test, Antwortbogen, Auswertung)</t>
  </si>
  <si>
    <t xml:space="preserve">Trost G.             </t>
  </si>
  <si>
    <t>Test de Nathan et Mauco</t>
  </si>
  <si>
    <t>Nathan R., Mauco G.</t>
  </si>
  <si>
    <t>Hartwell M.D.</t>
  </si>
  <si>
    <t>Hutt M.L.</t>
  </si>
  <si>
    <t>Walton R.E.</t>
  </si>
  <si>
    <t>Rating Scale for Pupil Adjustment</t>
  </si>
  <si>
    <t>Persönlichkeit, soziale Anpassung, Schule</t>
  </si>
  <si>
    <t>zusätzlich zum Michigan Picture Test zu gebrauchen</t>
  </si>
  <si>
    <t>Manual, Rating Scale</t>
  </si>
  <si>
    <t>soziale Anpassung</t>
  </si>
  <si>
    <t>Charakterologischer Intelligenz-Test (Wartegg-Sacher)</t>
  </si>
  <si>
    <t>Sacher H., Wartegg E.</t>
  </si>
  <si>
    <t>Testverlag Siegfried Wolf</t>
  </si>
  <si>
    <t>ab 10 Jahren</t>
  </si>
  <si>
    <t>Intelligenz, Integrationsleisung</t>
  </si>
  <si>
    <t>CIT</t>
  </si>
  <si>
    <t>Variante zum Wartegg-Zeichen-Test</t>
  </si>
  <si>
    <t>Handanweisung, Testbogen</t>
  </si>
  <si>
    <t>Intergrationsleistung</t>
  </si>
  <si>
    <t>Sacher H.</t>
  </si>
  <si>
    <t>Wartegg E.</t>
  </si>
  <si>
    <t>Four Picture Test</t>
  </si>
  <si>
    <t>Van Lennep D.J., Houwink R.</t>
  </si>
  <si>
    <t>Nederlandsche Stichting voor Psychotechniek</t>
  </si>
  <si>
    <t>Pictorial Reasoning Test</t>
  </si>
  <si>
    <t>McMurry R.N., Arnold P.D.</t>
  </si>
  <si>
    <t>Lernpotential, Leseschwierigkeiten, nonverbal</t>
  </si>
  <si>
    <t>Lernpotential</t>
  </si>
  <si>
    <t>Leseschwierigkeiten</t>
  </si>
  <si>
    <t>Persönlichkeit, Gefühle, Triebe, Konflikte</t>
  </si>
  <si>
    <t>Manuel, 3 Bildtafeln</t>
  </si>
  <si>
    <t>Gefühle</t>
  </si>
  <si>
    <t>Triebe</t>
  </si>
  <si>
    <t>Konflikte</t>
  </si>
  <si>
    <t>Nathan R.</t>
  </si>
  <si>
    <t>Mauco G.</t>
  </si>
  <si>
    <t>Diagnosticum für Cerebralschädigung</t>
  </si>
  <si>
    <t>Hillers F.</t>
  </si>
  <si>
    <t>Hirnfunktionsstörung, POS, Hirnschädigung</t>
  </si>
  <si>
    <t>DCS</t>
  </si>
  <si>
    <t>Handbuch, 9 Testkärtchen (Originalform), 9 Testkärtchen (Parallelform), 5 Holzstäbchen, Protokollbogen</t>
  </si>
  <si>
    <t>Hirnfunktionsstörung</t>
  </si>
  <si>
    <t>POS</t>
  </si>
  <si>
    <t>Hirnschädigung</t>
  </si>
  <si>
    <t>GTS</t>
  </si>
  <si>
    <t>Anweisung, Testmappe</t>
  </si>
  <si>
    <t xml:space="preserve">Our Working World </t>
  </si>
  <si>
    <t>Senesh L.</t>
  </si>
  <si>
    <t>Persönlichkeit, soziale Anpassung, Erziehung</t>
  </si>
  <si>
    <t>kein Test!</t>
  </si>
  <si>
    <t>verbesserte Auflage</t>
  </si>
  <si>
    <t>Jugendliche - Erwachsene</t>
  </si>
  <si>
    <t>Psychologie</t>
  </si>
  <si>
    <t>Manual, Testheft Form E, 1 Schablone, Antwortbogen</t>
  </si>
  <si>
    <t>Chicago Non Verbal Examination (Brown)</t>
  </si>
  <si>
    <t>Brown A.W., Stein S.P., Rohrer P.L.</t>
  </si>
  <si>
    <t>7 - 15 Jahre</t>
  </si>
  <si>
    <t>Intelligenz, nonverbal, Leistungsgeschwindigkeit</t>
  </si>
  <si>
    <t>Manual, Testbogen, Auswertungsschlüssel</t>
  </si>
  <si>
    <t>Leistungsgeschwindigkeit</t>
  </si>
  <si>
    <t>Brown A.W.</t>
  </si>
  <si>
    <t>Stein S.P.</t>
  </si>
  <si>
    <t>Rohrer P.L.</t>
  </si>
  <si>
    <t>Survey of Study Habits and Attitudes</t>
  </si>
  <si>
    <t>Brown W.F., Holtzman W.H.</t>
  </si>
  <si>
    <t>7-14 Jahre</t>
  </si>
  <si>
    <t>Studienmotivation, Lernmethoden, Einstellung zur Schule</t>
  </si>
  <si>
    <t>SSHA</t>
  </si>
  <si>
    <t xml:space="preserve">Manual, Testheft, 6 Schablonen, Antwortbogen, </t>
  </si>
  <si>
    <t>Studienmotivation,</t>
  </si>
  <si>
    <t>Lernmethoden</t>
  </si>
  <si>
    <t>Brown W.F.</t>
  </si>
  <si>
    <t>Holtzman W.H.</t>
  </si>
  <si>
    <t>Form C 7-12 Jahre, Form H Jugendliche - Erwachsene</t>
  </si>
  <si>
    <t>Persönlichkeit, Frustration, Aggression, Extrapunivität, Alltagsverhalten</t>
  </si>
  <si>
    <t>PFT</t>
  </si>
  <si>
    <t>Handbuch siehe S 128</t>
  </si>
  <si>
    <t>Extrapunivität</t>
  </si>
  <si>
    <t>Alltagsverhalten</t>
  </si>
  <si>
    <t>Rosenzweig S.</t>
  </si>
  <si>
    <t>Hörmann H.</t>
  </si>
  <si>
    <t>Moog W.</t>
  </si>
  <si>
    <t>Handbuch siehe S128</t>
  </si>
  <si>
    <t>Selection Interview: Essentials for Management</t>
  </si>
  <si>
    <t>Balinsky B.</t>
  </si>
  <si>
    <t>Selektion, Interview</t>
  </si>
  <si>
    <t>Interview</t>
  </si>
  <si>
    <t>Trait Evaluation Index</t>
  </si>
  <si>
    <t>Nelson A.R.</t>
  </si>
  <si>
    <t>Persönlichkeit, Sozialverhalten, Motivation, Selbstkontrolle, Intelligenz</t>
  </si>
  <si>
    <t>TEI</t>
  </si>
  <si>
    <t>Manual, Testheft, Auswertungsbogen, Profilbogen, 24 Schablonen</t>
  </si>
  <si>
    <t>Selbstkontrolle</t>
  </si>
  <si>
    <t xml:space="preserve"> Intelligenz</t>
  </si>
  <si>
    <t>Düss Fabeln / Fabelmethode</t>
  </si>
  <si>
    <t>Düss L.</t>
  </si>
  <si>
    <t>Institut für Psycho-Hygiene</t>
  </si>
  <si>
    <t>Handanweisung, Testbogen, 3 Auswertungsschablonen</t>
  </si>
  <si>
    <t>Berufs Interessen Test II</t>
  </si>
  <si>
    <t>Irle M., Allehoff W.</t>
  </si>
  <si>
    <t>BIT II</t>
  </si>
  <si>
    <t xml:space="preserve">Kindergarten </t>
  </si>
  <si>
    <t>Lernen, Gedächtnis, Denken, geistige Entwicklung</t>
  </si>
  <si>
    <t>Lehrerhandbuch, Testheft</t>
  </si>
  <si>
    <t>Lernen</t>
  </si>
  <si>
    <t>geistige Entwicklung</t>
  </si>
  <si>
    <t>Learning to Think Series (The Blue Book)</t>
  </si>
  <si>
    <t>Kindergarten - grade 1</t>
  </si>
  <si>
    <t>Learning to Think Series (The Green Book)</t>
  </si>
  <si>
    <t>Learning to Think Series (The Gold Book)</t>
  </si>
  <si>
    <t>Book about me (Workbook)</t>
  </si>
  <si>
    <t>Jay E.S.</t>
  </si>
  <si>
    <t>4 - 7 Jahre</t>
  </si>
  <si>
    <t>Persönlichkeit, Einstellung, Interesse, Reife</t>
  </si>
  <si>
    <t>BASC</t>
  </si>
  <si>
    <t>Schulübertritt</t>
  </si>
  <si>
    <t>Gymnasium</t>
  </si>
  <si>
    <t>Sekundarschule</t>
  </si>
  <si>
    <t>Kahn Intelligence Tests: Experimental Form (Beschreibung)</t>
  </si>
  <si>
    <t>Kahn T.C.</t>
  </si>
  <si>
    <t>Intelligenz, Blindheit, Gedächtnis, Motorik</t>
  </si>
  <si>
    <t>Büro, Kombinationsfähigkeit, Organisationsfähigkeit, praktisches Denken</t>
  </si>
  <si>
    <t>BT</t>
  </si>
  <si>
    <t>Handanweisung, Testheft A + B, Lösungsschlüssel, Lösungsblätter</t>
  </si>
  <si>
    <t>Kombinationsfähigkeit</t>
  </si>
  <si>
    <t>Organisationsfähigkeit</t>
  </si>
  <si>
    <t>praktisches Denken</t>
  </si>
  <si>
    <t>Social Intelligence Test</t>
  </si>
  <si>
    <t>Moss F.A., Hunt T., Omwake K.T., Woodward L.G.</t>
  </si>
  <si>
    <t>Center for Psychological Services</t>
  </si>
  <si>
    <t>high school students - Erwachsene</t>
  </si>
  <si>
    <t>Intelligenz, Gedächtnis, Urteilsfähigkeit</t>
  </si>
  <si>
    <t>Manual,Testbogen</t>
  </si>
  <si>
    <t>Urteilsfähigkeit</t>
  </si>
  <si>
    <t>Moss F.A.</t>
  </si>
  <si>
    <t>Hunt T.</t>
  </si>
  <si>
    <t>Omwake K.T.</t>
  </si>
  <si>
    <t>Woodward L.G.</t>
  </si>
  <si>
    <t>Michigan Picture Test (Review Set)</t>
  </si>
  <si>
    <t xml:space="preserve"> Andrew G., Hartwell M.D., Hutt M.L., Walton R.E.</t>
  </si>
  <si>
    <t>Science Research Associates, Inc.</t>
  </si>
  <si>
    <t>8 - 14 Jahre</t>
  </si>
  <si>
    <t>Persönlichkeit, Gefühle, Konflikte</t>
  </si>
  <si>
    <t>Manual, 16 Bildtafeln</t>
  </si>
  <si>
    <t>Andrew G.</t>
  </si>
  <si>
    <t>Reading Laboratory I (Word Games)</t>
  </si>
  <si>
    <t>Parker D.H., Scannell G.</t>
  </si>
  <si>
    <t>grades 1 - 6</t>
  </si>
  <si>
    <t>Lesen, Phonetik</t>
  </si>
  <si>
    <t>siehe S 316-318</t>
  </si>
  <si>
    <t xml:space="preserve">Einführung, Lehrerhandbuch, Testheft, Auswertungsschlüssel, Kärtchen, </t>
  </si>
  <si>
    <t>Phonetik</t>
  </si>
  <si>
    <t>Parker D.H.</t>
  </si>
  <si>
    <t>Scannell G.</t>
  </si>
  <si>
    <t>Reading Laboratory Ia</t>
  </si>
  <si>
    <t>siehe S 315-318</t>
  </si>
  <si>
    <t>Lehrerhandbuch, Lesebuch, Einführung, Auswertungsschlüssel</t>
  </si>
  <si>
    <t>Reading Laboratory Ib</t>
  </si>
  <si>
    <t>siehe S 315- 318</t>
  </si>
  <si>
    <t>Reading Laboratory Ic</t>
  </si>
  <si>
    <t>grade 3</t>
  </si>
  <si>
    <t>General Interest Survey (Form E)</t>
  </si>
  <si>
    <t>Kuder G.F.</t>
  </si>
  <si>
    <t>grades 6-12</t>
  </si>
  <si>
    <t>Interesse, Kunst, Musik, Mechanik, Literatur</t>
  </si>
  <si>
    <t>Manual, Testheft, 2 Profilbogen grades 6-8,9-12, Auswertungschablonen</t>
  </si>
  <si>
    <t>Literatur</t>
  </si>
  <si>
    <t>Dombrose L.A., Slobin M.S.</t>
  </si>
  <si>
    <t>10 - 92 Jahre</t>
  </si>
  <si>
    <t>Persönlichkeit, Über-Ich, Psychoanalyse</t>
  </si>
  <si>
    <t>McMurry R.N.</t>
  </si>
  <si>
    <t>Arnold P.D.</t>
  </si>
  <si>
    <t>Differentieller Interessen Test</t>
  </si>
  <si>
    <t>Todt E.</t>
  </si>
  <si>
    <t>15 - 20 Jahre</t>
  </si>
  <si>
    <t>Interesse, Politik, Kunst, Musik, Sport</t>
  </si>
  <si>
    <t>DIT</t>
  </si>
  <si>
    <t>Handanweisung,Testheft (Form M), Auswertungsbogen weiblich + männlich , Antwortbogen, 9 Schablonen</t>
  </si>
  <si>
    <t>Politik</t>
  </si>
  <si>
    <t>Sport</t>
  </si>
  <si>
    <t>Giese Test System</t>
  </si>
  <si>
    <t>Dorsch F.</t>
  </si>
  <si>
    <t>Siegfried Wolf</t>
  </si>
  <si>
    <t xml:space="preserve">Beruf, Berufswahl </t>
  </si>
  <si>
    <t>Cassel R.N.</t>
  </si>
  <si>
    <t>College Placement Test Program (Beschreibung)</t>
  </si>
  <si>
    <t>unbekannt</t>
  </si>
  <si>
    <t>College Entrance Examination Board</t>
  </si>
  <si>
    <t>Schule, Schulübertritt, Fremdsprachen, Mathematik, Geschichte</t>
  </si>
  <si>
    <t>Achievement Tests (Beschreibung)</t>
  </si>
  <si>
    <t xml:space="preserve">Persönlichkeit, Sozialverhalten, Wertorientierung, </t>
  </si>
  <si>
    <t>Manual, Profilbogen,Testbogen</t>
  </si>
  <si>
    <t>Kinder Angst Test</t>
  </si>
  <si>
    <t>Thurner F., Tewes U.</t>
  </si>
  <si>
    <t>Persönlichkeit, Angst, Frustration</t>
  </si>
  <si>
    <t>KAT</t>
  </si>
  <si>
    <t>Angst</t>
  </si>
  <si>
    <t>Frustration</t>
  </si>
  <si>
    <t>Thurner F.</t>
  </si>
  <si>
    <t>Tewes U.</t>
  </si>
  <si>
    <t>Do's and Dont's of Audio-Lingual Teaching (Lehreranweisung)</t>
  </si>
  <si>
    <t>Quilter D.</t>
  </si>
  <si>
    <t>Blaisdell Publishing Company</t>
  </si>
  <si>
    <t>Schüler und Studenten</t>
  </si>
  <si>
    <t>Schule, Unterricht, Fremdsprachen, Lehrer</t>
  </si>
  <si>
    <t>Buch (Lehreranweisung)</t>
  </si>
  <si>
    <t>Unterricht</t>
  </si>
  <si>
    <t>Fremdsprachen</t>
  </si>
  <si>
    <t>Lehrer</t>
  </si>
  <si>
    <t>Principles of Psychology (Workbook)</t>
  </si>
  <si>
    <t>Bugelski B.R.</t>
  </si>
  <si>
    <t>Holt, Rinehart &amp; Winston, Inc.</t>
  </si>
  <si>
    <t>für beide Exemplare nur 1 Manual vorhanden</t>
  </si>
  <si>
    <t>Manual, Workbook</t>
  </si>
  <si>
    <t>Rosenzweig Picture Frustration Test (für Erwachsene)</t>
  </si>
  <si>
    <t>Rosenzweig S., Hörmann H., Moog W.</t>
  </si>
  <si>
    <t>Handanweisung, Antwortbogen, Auswertungsschablone, Profilblatt</t>
  </si>
  <si>
    <t>Orientierungssinn</t>
  </si>
  <si>
    <t>Gehirnschäden</t>
  </si>
  <si>
    <t>Neurophysiologie</t>
  </si>
  <si>
    <t>Money J.</t>
  </si>
  <si>
    <t>Alexander D.</t>
  </si>
  <si>
    <t>Walker H.T.</t>
  </si>
  <si>
    <t>Konzentrations Leistungs Test</t>
  </si>
  <si>
    <t>Düker H., Lienert G.A.</t>
  </si>
  <si>
    <t xml:space="preserve">ab 4. Schuljahr </t>
  </si>
  <si>
    <t>Leistung, Konzentration, Koordination, Auffassung, Rechnen</t>
  </si>
  <si>
    <t>KLT</t>
  </si>
  <si>
    <t>Handanweisung,Testbogen Form A+B, 4 Auswertungsschablonen</t>
  </si>
  <si>
    <t>Koordination</t>
  </si>
  <si>
    <t>Auffassung</t>
  </si>
  <si>
    <t>Rechnen</t>
  </si>
  <si>
    <t>Düker H.</t>
  </si>
  <si>
    <t>Es fehlen 2 Schablonen  (Schwierigkeitsstufe C).</t>
  </si>
  <si>
    <t>Berufs Interessen Test</t>
  </si>
  <si>
    <t>Irle M.</t>
  </si>
  <si>
    <t>Interesse, Beruf, Berufswahl</t>
  </si>
  <si>
    <t>BIT</t>
  </si>
  <si>
    <t>Thorpe L.P., Clark W.W., Tiegs E.W.</t>
  </si>
  <si>
    <t>Persönlichkeit, soziale Anpassung, persönliche Anpassung,  soziale Sicherheit, Selbstvertrauen</t>
  </si>
  <si>
    <t>Handanweisung, Testbogen, 6 Auswertungsschablonen, 1 Schablone</t>
  </si>
  <si>
    <t>Allehoff W.</t>
  </si>
  <si>
    <t>Batterie d'aptitudes scolaires collecive (dt. Fassung)</t>
  </si>
  <si>
    <t>Schallberger U.</t>
  </si>
  <si>
    <t>Akademische Berufsberatung des Kantons Zürich</t>
  </si>
  <si>
    <t>- Schultest: - spez.Schuleignungstest</t>
  </si>
  <si>
    <t>6. Primarstufe</t>
  </si>
  <si>
    <t>Intelligenz, Schule, Schulübertritt, Gymnasium, Sekundarschule</t>
  </si>
  <si>
    <t>Manual in englisch, Testheft, Kommentar zum Test, Eigenschaftsliste, Antwortbogen, Profilblatt</t>
  </si>
  <si>
    <t>Verantwortungsbewusstsein</t>
  </si>
  <si>
    <t>Cooperative English Tests</t>
  </si>
  <si>
    <t>Jugendliche- Erwachsene</t>
  </si>
  <si>
    <t>kein Test! nur Beschreibung</t>
  </si>
  <si>
    <t>Manual, Antwortbogen</t>
  </si>
  <si>
    <t>KIT:EXP</t>
  </si>
  <si>
    <t>Mental Computation (Form A)</t>
  </si>
  <si>
    <t>Kramer K.</t>
  </si>
  <si>
    <t xml:space="preserve">Science Research Associates, Inc. </t>
  </si>
  <si>
    <t>grade 2</t>
  </si>
  <si>
    <t>Mathematik, Gedächtnis</t>
  </si>
  <si>
    <t>Lehrerhandbuch (A), Schülerbuch (A)</t>
  </si>
  <si>
    <t>Reading checklist review test</t>
  </si>
  <si>
    <t>Larsen V.S.</t>
  </si>
  <si>
    <t>ab 9 Jahren</t>
  </si>
  <si>
    <t>Lesen, Textverständnis, Gedächtnis</t>
  </si>
  <si>
    <t>Lehrerhandbuch, Übungsheft, Profilbogen</t>
  </si>
  <si>
    <t>Preprimary Profil</t>
  </si>
  <si>
    <t>Schiff H.J., Friedman M.I.</t>
  </si>
  <si>
    <t>Schuleintritt</t>
  </si>
  <si>
    <t>Reife, Entwicklung, Fähigkeiten, Sprache</t>
  </si>
  <si>
    <t>Lehrerhandbuch, Auswertungsbogen, Instruktionsbogen</t>
  </si>
  <si>
    <t xml:space="preserve">Entwicklung
</t>
  </si>
  <si>
    <t>Fähigkeiten</t>
  </si>
  <si>
    <t>Sprache</t>
  </si>
  <si>
    <t>Schiff H.J.</t>
  </si>
  <si>
    <t>Friedman M.I.</t>
  </si>
  <si>
    <t xml:space="preserve">Greater Cleveland Mathematics Program </t>
  </si>
  <si>
    <t>diverse</t>
  </si>
  <si>
    <t>Kindergarten - grade 3</t>
  </si>
  <si>
    <t>GCMP</t>
  </si>
  <si>
    <t>Lehrmittel, kein Test</t>
  </si>
  <si>
    <t>Einführung, Lehrerhandbuch, Testbogen</t>
  </si>
  <si>
    <t xml:space="preserve">diverse </t>
  </si>
  <si>
    <t>9 - 60 Jahre</t>
  </si>
  <si>
    <t>Hirnschädigung, Hirnfunktionsstörung, Wahrnehmung, Gedächtnis, Zeichnen</t>
  </si>
  <si>
    <t>MFD</t>
  </si>
  <si>
    <t>Manual, 15 Bilder</t>
  </si>
  <si>
    <t>Zeichnen</t>
  </si>
  <si>
    <t>Graham F.K.</t>
  </si>
  <si>
    <t>Kendall B.S.</t>
  </si>
  <si>
    <t>Formpunkt Versuch (Beschreibung)</t>
  </si>
  <si>
    <t>Hector H.</t>
  </si>
  <si>
    <t>Summa Psychologica</t>
  </si>
  <si>
    <t>Persönlichkeit, Wahrnehmung, Gestaltung, Ästhetik</t>
  </si>
  <si>
    <t>Handanweisung, Testbogen, Papierpunkte</t>
  </si>
  <si>
    <t>Gestaltung</t>
  </si>
  <si>
    <t>Kahn Test Of Symbol Arrangement (Beschreibung)</t>
  </si>
  <si>
    <t>Denken, Entwicklung, Hirnschädigung</t>
  </si>
  <si>
    <t>KTSA</t>
  </si>
  <si>
    <t>allg. Manual, klinisches Manual, Antwortbogen, 16 Plastikobjekte</t>
  </si>
  <si>
    <t>Ies Test (Beschreibung)</t>
  </si>
  <si>
    <t>Wartegg / Schichtdiagnostik-Der Zeichentest</t>
  </si>
  <si>
    <t>Wartegg Zeichentest / Gestaltung und Verlaufsdynamik</t>
  </si>
  <si>
    <t>Lossen H., Schott G.</t>
  </si>
  <si>
    <t>Institut für Psychohygiene</t>
  </si>
  <si>
    <t>Manual, Testbogen, Bilder</t>
  </si>
  <si>
    <t>Über-Ich</t>
  </si>
  <si>
    <t>Psychoanalyse</t>
  </si>
  <si>
    <t>Dombrose L.A.</t>
  </si>
  <si>
    <t>Slobin M.S.</t>
  </si>
  <si>
    <t>Group Personality Projective Test (Beschreibung)</t>
  </si>
  <si>
    <t>Cassel R.N., Kahn T.C.</t>
  </si>
  <si>
    <t>Persönlichkeit, Ängstlichkeit, Delinquenz</t>
  </si>
  <si>
    <t>GPPT</t>
  </si>
  <si>
    <t>Manual, Auswertungsschlüssel, Testheft, Antwortbogen</t>
  </si>
  <si>
    <t>Ängstlichkeit</t>
  </si>
  <si>
    <t>Delinquenz</t>
  </si>
  <si>
    <t>Wahrnehmung, Zeichnen</t>
  </si>
  <si>
    <t>8 Karten, Auswertungsblatt, Score Sheet, Auswertungsschablone</t>
  </si>
  <si>
    <t>Security Insecurity Inventory</t>
  </si>
  <si>
    <t>Lehrerbuch, 2 versch. Textbücher, Aufgabenheft</t>
  </si>
  <si>
    <t>California Abbreviated WISC (Wechsler Intelligence Scale for Children)</t>
  </si>
  <si>
    <t>Finley C.J., Thompson J.M.</t>
  </si>
  <si>
    <t>geistige Behinderung, Intelligenz</t>
  </si>
  <si>
    <t>WISC</t>
  </si>
  <si>
    <t>Manual für Form I+II</t>
  </si>
  <si>
    <t>geistige Behinderung</t>
  </si>
  <si>
    <t>Finley C.J.</t>
  </si>
  <si>
    <t>Thompson J.M.</t>
  </si>
  <si>
    <t>Riley Articulation and Language Test</t>
  </si>
  <si>
    <t>Riley G.D.</t>
  </si>
  <si>
    <t>Kindergarten - grade 2</t>
  </si>
  <si>
    <t>Sprache, Artikulation, Phonetik, Sprachtherapie</t>
  </si>
  <si>
    <t>RALT</t>
  </si>
  <si>
    <t>Artikulation</t>
  </si>
  <si>
    <t>Sprachtherapie</t>
  </si>
  <si>
    <t>Time Appreciation Test</t>
  </si>
  <si>
    <t>Buck J.N.</t>
  </si>
  <si>
    <t>ab 10 Jahren - Erwachsene</t>
  </si>
  <si>
    <t>Manual (beinhaltet Testfragen)</t>
  </si>
  <si>
    <t>Standardized Road Map Test of Direction Sense</t>
  </si>
  <si>
    <t>Money J., Alexander D., Walker H.T.</t>
  </si>
  <si>
    <t>John Hopkins Press</t>
  </si>
  <si>
    <t>ab 8 Jahren - Erwachsene</t>
  </si>
  <si>
    <t>Orientierungssinn, Gehirnschäden, Neurophysiologie</t>
  </si>
  <si>
    <t>Schule, Lesen, Wortschatz, Sprachverständnis</t>
  </si>
  <si>
    <t>Technical  Manual, Lehrermanual, Testheft Form A,B,C,CS,D,E, Antwortbogen, Auswertungsschlüssel</t>
  </si>
  <si>
    <t>Gates A.I.</t>
  </si>
  <si>
    <t>McGinitie W.H.</t>
  </si>
  <si>
    <t>California Short Form Test of Mental Maturity</t>
  </si>
  <si>
    <t>Sullivan E.T., Clark W.W., Tiegs E.W.</t>
  </si>
  <si>
    <t>California Test Bureau</t>
  </si>
  <si>
    <t>Lernen, logisches Denken, Problemlösungsstrategien, Gedächtnis,Sprachverständnis</t>
  </si>
  <si>
    <t>Manual, Testheft, Antwortbogen, Auswertungsbogen, Auswertungsschlüssel</t>
  </si>
  <si>
    <t>logisches Denken</t>
  </si>
  <si>
    <t>Sullivan E.T.</t>
  </si>
  <si>
    <t>Clark W.W.</t>
  </si>
  <si>
    <t>Tiegs E.W.</t>
  </si>
  <si>
    <t>California Test of Personality</t>
  </si>
  <si>
    <t>Hardy L.H., Rand G., Rittler M.C.</t>
  </si>
  <si>
    <t>American Optical Company</t>
  </si>
  <si>
    <t>Farbenblindheit, Farbsehen, Optik</t>
  </si>
  <si>
    <t>Manual, Antwortblatt, Bildkatalog</t>
  </si>
  <si>
    <t>Farbenblindheit</t>
  </si>
  <si>
    <t>Farbsehen</t>
  </si>
  <si>
    <t>Manual, Testheft Form AA, Auswertungsschlüssel, Profilbogen</t>
  </si>
  <si>
    <t>persönliche Anpassung</t>
  </si>
  <si>
    <t>soziale Sicherheit</t>
  </si>
  <si>
    <t>Tiegs E.W.</t>
  </si>
  <si>
    <t>California Personality Inventory ('Psychologischer Test')</t>
  </si>
  <si>
    <t>Gough H.G.</t>
  </si>
  <si>
    <t>Persönlichkeit, Selbstvertrauen, soziale Anpassung, Reife, Verantwortungsbewusstsein</t>
  </si>
  <si>
    <t>CPI</t>
  </si>
  <si>
    <t>Hetzer H. , Tent L.</t>
  </si>
  <si>
    <t>ca. 7 Wochen vor Schulbeginn</t>
  </si>
  <si>
    <t>Entwicklung, Einschulung, Schulreife</t>
  </si>
  <si>
    <t>WTA</t>
  </si>
  <si>
    <t>Blindheit</t>
  </si>
  <si>
    <t>Full Range Picture Vocabulary Test (Beschreibung)</t>
  </si>
  <si>
    <t>Ammons R.B., Ammons H.S.</t>
  </si>
  <si>
    <t>Intelligenz, Blindheit, Taubheit, nonverbal</t>
  </si>
  <si>
    <t>FRPV</t>
  </si>
  <si>
    <t>kein Test, nur Beschreibung!</t>
  </si>
  <si>
    <t>Manual, Anwortbogen Form A + B, 16 Bilder</t>
  </si>
  <si>
    <t>Taubheit</t>
  </si>
  <si>
    <t>Ammons H.S.</t>
  </si>
  <si>
    <t>Famous Sayings (Beschreibung)</t>
  </si>
  <si>
    <t>Bass B.M.</t>
  </si>
  <si>
    <t>Persönlichkeit, Feindseligkeit, Angst vor Misserfolg, Normgebundenheit, soziale Anpassung</t>
  </si>
  <si>
    <t>FS</t>
  </si>
  <si>
    <t>kein Test, nur Beschreibung</t>
  </si>
  <si>
    <t>Feindseligkeit</t>
  </si>
  <si>
    <t>Angst vor Misserfolg</t>
  </si>
  <si>
    <t>Normgebundenheit</t>
  </si>
  <si>
    <t>Proverbs Test ( Beschreibung)</t>
  </si>
  <si>
    <t>Gorham D.R.</t>
  </si>
  <si>
    <t>Sprachverständnis, Abstraktion, Schizophrenie, geistige Behinderung</t>
  </si>
  <si>
    <t>Manual, Form I,II,III, Anwortbogen, Auswertungsschablonen</t>
  </si>
  <si>
    <t>Abstraktion</t>
  </si>
  <si>
    <t>Memory For Designs Test (Beschreibung)</t>
  </si>
  <si>
    <t>Graham F.K., Kendall B.S.</t>
  </si>
  <si>
    <t>Zeichnen, Entwicklung, Reife</t>
  </si>
  <si>
    <t>nur 1 Manual für beide Exemplare vorhanden</t>
  </si>
  <si>
    <t>Manual, 24 Bildtafeln, Testbogen</t>
  </si>
  <si>
    <t>Goodenenough F.L.</t>
  </si>
  <si>
    <t>Harris D.B.</t>
  </si>
  <si>
    <t>Picture Story Test</t>
  </si>
  <si>
    <t>Symonds P.M.</t>
  </si>
  <si>
    <t>Bureau of Publications</t>
  </si>
  <si>
    <t>7. Auflage</t>
  </si>
  <si>
    <t>Persönlichkeit, Ängstlichkeit, Aggression, Gewohnheiten, Beziehungen</t>
  </si>
  <si>
    <t>Manual, 20 Bildtafeln</t>
  </si>
  <si>
    <t>Ängstlichkeit,</t>
  </si>
  <si>
    <t>Gewohnheiten</t>
  </si>
  <si>
    <t xml:space="preserve">Wartegg / Schichtdiagnostik-Der Zeichentest </t>
  </si>
  <si>
    <t>ab 3 Jahren</t>
  </si>
  <si>
    <t>Persönlichkeit, Charakter, Triebe, soziale Anpassung</t>
  </si>
  <si>
    <t>WZT</t>
  </si>
  <si>
    <t>Handbuch, Auswertungstafel, Testbogen</t>
  </si>
  <si>
    <t>Charakter</t>
  </si>
  <si>
    <t>intellektuelle Reife</t>
  </si>
  <si>
    <t>Velhagen Tafeln / Tafeln zur Prüfung des Farbsinnes</t>
  </si>
  <si>
    <t>Velhagen K.</t>
  </si>
  <si>
    <t>VEB Georg Thieme</t>
  </si>
  <si>
    <t>24. Auflage</t>
  </si>
  <si>
    <t>Farbsehen, Farbenblindheit, Farbsinne, Farbwahrnehmung</t>
  </si>
  <si>
    <t>eigentlicher Test siehe S 356</t>
  </si>
  <si>
    <t>Lossen H.</t>
  </si>
  <si>
    <t>Schott G.</t>
  </si>
  <si>
    <t>Free Association Test / Kent Rosanoff Free Association Test</t>
  </si>
  <si>
    <t>Kent G.H., Rosanoff A.J.</t>
  </si>
  <si>
    <t>Stoelting Company</t>
  </si>
  <si>
    <t>Assoziationen, Reizwort, Neologismus</t>
  </si>
  <si>
    <t>Manual, Antwortblätter</t>
  </si>
  <si>
    <t>Assoziationen</t>
  </si>
  <si>
    <t>Reizwort</t>
  </si>
  <si>
    <t>Neologismus</t>
  </si>
  <si>
    <t>Kent G.H.</t>
  </si>
  <si>
    <t>Rosanoff A.J.</t>
  </si>
  <si>
    <t>Bender Gestalt Test</t>
  </si>
  <si>
    <t xml:space="preserve">Bender L. </t>
  </si>
  <si>
    <t>Grune &amp; Stratton, Inc.</t>
  </si>
  <si>
    <t>Persönlichkeit, Schulerfolg, Führungsposition, Sozialverhalten</t>
  </si>
  <si>
    <t>CPQ</t>
  </si>
  <si>
    <t xml:space="preserve">Manual,Testbogen Form A+B, 
 4 Auswertungsschablonen, Testprofil, </t>
  </si>
  <si>
    <t>Schulerfolg</t>
  </si>
  <si>
    <t>Führungsposition</t>
  </si>
  <si>
    <t>Porter R.B.</t>
  </si>
  <si>
    <t>Labyrinth Test / Chapuis Labyrinth Test</t>
  </si>
  <si>
    <t>Schule, Fremdsprachen, Mathematik, Literatur</t>
  </si>
  <si>
    <t>kein Test</t>
  </si>
  <si>
    <t>Beschreibung über Achievement Tests</t>
  </si>
  <si>
    <t>Supplementary Achievement Tests (Beschreibung)</t>
  </si>
  <si>
    <t>Schule, Fremdsprachen, Schulfach, Sprachverständnis</t>
  </si>
  <si>
    <t>Schulfach</t>
  </si>
  <si>
    <t>College Level Examination Program (Beschreibung)</t>
  </si>
  <si>
    <t>Schule, Bildung, Allgemeinwissen, Erfolg</t>
  </si>
  <si>
    <t>CLEP</t>
  </si>
  <si>
    <t>Programmbeschreibung für Lehrer</t>
  </si>
  <si>
    <t>Bildung</t>
  </si>
  <si>
    <t>Allgemeinwissen</t>
  </si>
  <si>
    <t>Erfolg</t>
  </si>
  <si>
    <t>Scholastic Aptitude Test (Beschreibung)</t>
  </si>
  <si>
    <t>Schule, Schulfach, Sprachverständnis, Mathematik</t>
  </si>
  <si>
    <t>SAT</t>
  </si>
  <si>
    <t>Beschreibung</t>
  </si>
  <si>
    <t>Preliminary Scholastic Aptitude Test</t>
  </si>
  <si>
    <t>Schule, Erfolg, Sprachverständnis, Mathematik, Studiumwahl</t>
  </si>
  <si>
    <t>PSAT</t>
  </si>
  <si>
    <t>2 Beschreibungen</t>
  </si>
  <si>
    <t>Studiumwahl</t>
  </si>
  <si>
    <t>Gates Mc Ginitie Reading Tests</t>
  </si>
  <si>
    <t>Gates A.I., McGinitie W.H.</t>
  </si>
  <si>
    <t>Teachers College Press</t>
  </si>
  <si>
    <t>grade 1-9</t>
  </si>
  <si>
    <t>3 Hefte( Manual, Instructional and Assessment Materials for First Graders, Written Exercises for First Graders), diverse Karten</t>
  </si>
  <si>
    <t>Figur-Grund</t>
  </si>
  <si>
    <t>räumliche Wahrnehmung</t>
  </si>
  <si>
    <t>Zeitverständnis</t>
  </si>
  <si>
    <t>Leistungsprüfsystem</t>
  </si>
  <si>
    <t xml:space="preserve">Horn W. </t>
  </si>
  <si>
    <t>9 - 50 Jahre</t>
  </si>
  <si>
    <t>Allgemeinbildung, logisches Denken, Wortschatz, technische Begabung, räumliche Vorstellung</t>
  </si>
  <si>
    <t>LPS</t>
  </si>
  <si>
    <t>neuste Ausgabe siehe S 527</t>
  </si>
  <si>
    <t>Handanweisung, 2 Anwortblätter, 
6 Auswertungsschablonen</t>
  </si>
  <si>
    <t>Allgemeinbildung</t>
  </si>
  <si>
    <t>technische Begabung</t>
  </si>
  <si>
    <t>Pseudoisochromatische Tafeln / HRR Pseudoisochromatic Plates</t>
  </si>
  <si>
    <t>Lernbehinderung</t>
  </si>
  <si>
    <t>Schuleinstufung</t>
  </si>
  <si>
    <t>Optik</t>
  </si>
  <si>
    <t>Hardy L.H.</t>
  </si>
  <si>
    <t>Rand G.</t>
  </si>
  <si>
    <t>Rittler M.C.</t>
  </si>
  <si>
    <t>Mechanisch Technischer Verständnistest</t>
  </si>
  <si>
    <t>13-19 Jahre</t>
  </si>
  <si>
    <t>mechanische Fähigkeiten, technische Fähigkeiten, praktische Fähigkeiten</t>
  </si>
  <si>
    <t>MTVT</t>
  </si>
  <si>
    <t>Handanweisung, Testheft, Antwortbogen, 1 Auswertungsschablone</t>
  </si>
  <si>
    <t>mechanische Fähigkeiten</t>
  </si>
  <si>
    <t>technische Fähigkeiten</t>
  </si>
  <si>
    <t>Auswertungsschablone fehlt.</t>
  </si>
  <si>
    <t>Weilburger Testaufgaben für Schulanfänger</t>
  </si>
  <si>
    <t>Jugendliche ab 16 und Erwachsene</t>
  </si>
  <si>
    <t>Persönlichkeit, Interesse, Beruf, soziale Einstellung</t>
  </si>
  <si>
    <t>PIT</t>
  </si>
  <si>
    <t>Handanweisung, Testheft, Antwortblatt, Auswertungsblatt für Erwachsene, Auswertungsblatt für Jugendliche,  7 Schablonen, Altes Beiheft 1951</t>
  </si>
  <si>
    <t xml:space="preserve">Mittenecker E.
</t>
  </si>
  <si>
    <t>Toman W.</t>
  </si>
  <si>
    <t>dritte Auflage</t>
  </si>
  <si>
    <t>Normentabelle fehlt</t>
  </si>
  <si>
    <t>Form Lege Test</t>
  </si>
  <si>
    <t>Verlag für  Psychologie</t>
  </si>
  <si>
    <t>Englisch, Fremdsprachen, Wortschatz, Sprachverständnis, Grammatik</t>
  </si>
  <si>
    <t>Testheft Form 1B</t>
  </si>
  <si>
    <t>Englisch</t>
  </si>
  <si>
    <t>Critical Thinking Appraisal / Watson Glaser Critical Thinking Appraisal</t>
  </si>
  <si>
    <t>Watson G., Glaser E.M.</t>
  </si>
  <si>
    <t>Harcourt &amp; Brace, World.</t>
  </si>
  <si>
    <t>grade 9-12</t>
  </si>
  <si>
    <t>logisches Denken, Argumentation, Kritikfähigkeit</t>
  </si>
  <si>
    <t>Manual, Testheft Form ZM, Beschreibung, Anwortbogen, Auswertungsschablone, Klassenbogen</t>
  </si>
  <si>
    <t>Argumentation</t>
  </si>
  <si>
    <t>Kritikfähigkeit</t>
  </si>
  <si>
    <t>Watson G.</t>
  </si>
  <si>
    <t>Glaser E.M.</t>
  </si>
  <si>
    <t>California Achievement Tests</t>
  </si>
  <si>
    <t>Tiegs E.W., Clark W.W.</t>
  </si>
  <si>
    <t>grade 9-14</t>
  </si>
  <si>
    <t>Lesen, Mathematik, Sprachverständnis, Schule</t>
  </si>
  <si>
    <t>Manual Form W,X,Y, Testheft Form W,X,Y,Z, Anwortbogen, 3 Auswertungsschlüssel, Klassenbogen</t>
  </si>
  <si>
    <t>Tiegs E.W</t>
  </si>
  <si>
    <t>Goodenough Harris Drawing Test</t>
  </si>
  <si>
    <t>Goodenenough F.L., Harris D.B.</t>
  </si>
  <si>
    <t>3-15 Jahre</t>
  </si>
  <si>
    <t>Cattell R.B.</t>
  </si>
  <si>
    <t>ab 4 Jahren - Erwachsene</t>
  </si>
  <si>
    <t>g-Faktor, nonverbal</t>
  </si>
  <si>
    <t>Manuel, Testbogen Form A+B, Auswertungsblatt Form A, Auswertungsschablonen A+B</t>
  </si>
  <si>
    <t>g-Faktor</t>
  </si>
  <si>
    <t>Schulreifetest</t>
  </si>
  <si>
    <t xml:space="preserve">Strebel G. </t>
  </si>
  <si>
    <t>Antonius -Verlag</t>
  </si>
  <si>
    <t>ca. 3-4 Wochen vor Schulbeginn</t>
  </si>
  <si>
    <t>Schulreife, Entwicklung, Persönlichkeitsreife</t>
  </si>
  <si>
    <t>siehe S 369 (Buch zum Test)</t>
  </si>
  <si>
    <t>Anleitung, Prüfungsbogen, diverse Karten und Tafeln</t>
  </si>
  <si>
    <t>Persönlichkeitsreife</t>
  </si>
  <si>
    <t>Schulreifetest (kein Test)</t>
  </si>
  <si>
    <t>Strebel G.</t>
  </si>
  <si>
    <t>Antonius</t>
  </si>
  <si>
    <t>Schulreife, Entwicklung, persönliche Reife, intellektuelle Reife</t>
  </si>
  <si>
    <t>persönliche Reife</t>
  </si>
  <si>
    <t>Handanweisung, Tafeln</t>
  </si>
  <si>
    <t>Farbsinne</t>
  </si>
  <si>
    <t>Farbwahrnehmung</t>
  </si>
  <si>
    <t>Farnsworth Dichotomous Test for Color Blindness</t>
  </si>
  <si>
    <t>Farnsworth D.</t>
  </si>
  <si>
    <t>Testmaterial fehlt</t>
  </si>
  <si>
    <t>Farnsinne</t>
  </si>
  <si>
    <t>Children's Personality Questionnaire</t>
  </si>
  <si>
    <t>Porter R.B., Cattell R.B.</t>
  </si>
  <si>
    <t>8-12 Jahre</t>
  </si>
  <si>
    <t>Handbuch, 2 Klapper, 1 Knarre, Holzstäbe, Stimmpfeife, Stimmgeräusch, Löffel, Trommel  mit einem S chlegel, dünner Pappdeckel, weisse Papptafel, rote Papptafel, grosser Schirm, Zellstoff oder Watte, Windel, Flasche, Wolle, Maske,  Taschenlampe, Gummipuppe, grosser Ball, kleiner Ball, grosse Glocke, kleine Glocke, Hohlwürfel, blauer Hohlwürfel, Pappkästchen, Testbuch</t>
  </si>
  <si>
    <t>kindliches Verhalten</t>
  </si>
  <si>
    <t>Kleinkind</t>
  </si>
  <si>
    <t>Körperbewegung</t>
  </si>
  <si>
    <t>Bühler  C.</t>
  </si>
  <si>
    <t>Chapuis F.</t>
  </si>
  <si>
    <t>16-30 Jahre</t>
  </si>
  <si>
    <t>Maslow A.H., Birsh E., Honigman I., McGrath F., Stein M.</t>
  </si>
  <si>
    <t>Sicherheit, Unsicherheit</t>
  </si>
  <si>
    <t>SI Inventory</t>
  </si>
  <si>
    <t>Manual,  Testheft, Auswertungsschablone</t>
  </si>
  <si>
    <t>Sicherheit</t>
  </si>
  <si>
    <t>Maslow A.H.</t>
  </si>
  <si>
    <t>Birsh E.</t>
  </si>
  <si>
    <t>Honigman I.</t>
  </si>
  <si>
    <t>McGrath F.</t>
  </si>
  <si>
    <t>Test zur Untersuchung des praktisch-technischen Verständnisses</t>
  </si>
  <si>
    <t>Amthauer R.</t>
  </si>
  <si>
    <t>13 - 50 Jahre</t>
  </si>
  <si>
    <t xml:space="preserve">Technik, praktische Fähigkeiten, handwerkliche Fähigkeiten, Kombinationsfähigkeit </t>
  </si>
  <si>
    <t>PTV</t>
  </si>
  <si>
    <t>Handanweisung, Testheft Form A1 + Form B2, 
2 Auswertungsschablonen A1 + B2, Antwortbogen</t>
  </si>
  <si>
    <t>Technik</t>
  </si>
  <si>
    <t>praktische Fähigkeiten</t>
  </si>
  <si>
    <t>handwerkliche Fähigkeiten</t>
  </si>
  <si>
    <t>Let's Look at First Graders</t>
  </si>
  <si>
    <t>Educational testing Service</t>
  </si>
  <si>
    <t>Figur-Grund, räumliche Wahrnehmung, Mathematik, Zeitverständnis, logisches Denken</t>
  </si>
  <si>
    <t>Mehrdimensionale Zeichentest</t>
  </si>
  <si>
    <t>Bloch R.</t>
  </si>
  <si>
    <t>Zeichnen, Assoziationsexperiment, Persönlichkeit</t>
  </si>
  <si>
    <t>MDZT</t>
  </si>
  <si>
    <t>Handbuch, Auswertungsbogen</t>
  </si>
  <si>
    <t>Assoziationsexperiment</t>
  </si>
  <si>
    <t>Meier U.</t>
  </si>
  <si>
    <t>Schmid P</t>
  </si>
  <si>
    <t>Occupational Interest Inventory</t>
  </si>
  <si>
    <t>Lee E.A., Thorpe L.P.</t>
  </si>
  <si>
    <t>Grades 9 to  Adult</t>
  </si>
  <si>
    <t>Manual, Class Record  Sheet, Antwortbogen, kurze Testbeschreibung, Testbogen</t>
  </si>
  <si>
    <t>Lee E.A.</t>
  </si>
  <si>
    <t>Schulleistungsprüfung lernbehinderter Schüler</t>
  </si>
  <si>
    <t>Reinartz A.</t>
  </si>
  <si>
    <t>Marhold</t>
  </si>
  <si>
    <t>ab 1. Primarklasse</t>
  </si>
  <si>
    <t>Schule, Lernbehinderung, Schuleinstufung</t>
  </si>
  <si>
    <t>SLS</t>
  </si>
  <si>
    <t>Persönlichkeit, Einstellung zu "Theorie", Einstellung zu Oekonomie, Einstellung zu Aesthetik, Einstellung sozial, Einstellung zu Politik, Einstellung zu Religion, Typologie, Wert</t>
  </si>
  <si>
    <t>Persönlichkeits und Interessentest</t>
  </si>
  <si>
    <t xml:space="preserve">Mittenecker E., Toman W.
</t>
  </si>
  <si>
    <t>Huber</t>
  </si>
  <si>
    <t>zweite Auflage</t>
  </si>
  <si>
    <t>Paul Haupt</t>
  </si>
  <si>
    <t>4. - 6. Primarklasse</t>
  </si>
  <si>
    <t>Integration, Schule</t>
  </si>
  <si>
    <t>FDI 4-6</t>
  </si>
  <si>
    <t>Handbuch, Testbogen, 3 Auswertungsschablonen</t>
  </si>
  <si>
    <t>Integration</t>
  </si>
  <si>
    <t>Haeberlin U.</t>
  </si>
  <si>
    <t>Moser U.</t>
  </si>
  <si>
    <t>Bless G.</t>
  </si>
  <si>
    <t xml:space="preserve">Klaghofer R. </t>
  </si>
  <si>
    <t>Fragebogen zur Erfassung von Aggressivitätsfaktoren</t>
  </si>
  <si>
    <t>Hampel R., Selg H.</t>
  </si>
  <si>
    <t xml:space="preserve"> ab 15 Jahren</t>
  </si>
  <si>
    <t>Aggressivität, Erregbarkeit, Depressivität, Selbstaggression</t>
  </si>
  <si>
    <t>FAF</t>
  </si>
  <si>
    <t>Jugendliche 14-18 Jahren, unter Einschränkung Erwachsene von 20-50 Jahren</t>
  </si>
  <si>
    <t>Praktische Intelligenz, Niveau, Schnelligkeit</t>
  </si>
  <si>
    <t>FLT</t>
  </si>
  <si>
    <t>Testanleitung, Beiheft, Testbogen Form A+B, Auswertungsbogen, 7 Tafeln</t>
  </si>
  <si>
    <t>Hetzer H.</t>
  </si>
  <si>
    <t>Tent L.</t>
  </si>
  <si>
    <t>Würfelabwicklungen</t>
  </si>
  <si>
    <t xml:space="preserve">Meili R. </t>
  </si>
  <si>
    <t>14-19 Jahre</t>
  </si>
  <si>
    <t>räumliche Vorstellung, Würfel</t>
  </si>
  <si>
    <t>modifizierte Form als Untertest 8 im LPS, Untertest 7 im PSB</t>
  </si>
  <si>
    <t>Testerklärung, Testformular, Lösungsformular</t>
  </si>
  <si>
    <t>Würfel</t>
  </si>
  <si>
    <t>Testerklärung, Testformular, zusätzlich Form B, Lösungsformular</t>
  </si>
  <si>
    <t>Durchstreichetest 'ohne Modell'</t>
  </si>
  <si>
    <t>Aufmerksamkeit, Konzentration</t>
  </si>
  <si>
    <t>abgewandelte Form des Bourdon- Tests</t>
  </si>
  <si>
    <t>Testerklärung, Testbogen, Auswertungsbogen</t>
  </si>
  <si>
    <t>abgewandelte Form des Bourdon-Tests</t>
  </si>
  <si>
    <t>Test d'intelligence de Cattell (Culture Free Test)</t>
  </si>
  <si>
    <t>Beiheft für Prüfer, Testbogen,Uebungsblatt</t>
  </si>
  <si>
    <t>Textaufgaben</t>
  </si>
  <si>
    <t>Schultze W.</t>
  </si>
  <si>
    <t>Hecht K.</t>
  </si>
  <si>
    <t>Sickert O.</t>
  </si>
  <si>
    <t>Objective Analytic Batteries</t>
  </si>
  <si>
    <t>Catell R.B., Shueiger C., Shueiger J.</t>
  </si>
  <si>
    <t>Selbstvertrauen, Aengstlichkeit, Unabhängigkeit, Depression</t>
  </si>
  <si>
    <t>OA</t>
  </si>
  <si>
    <t>10 verschiedene Testbogen</t>
  </si>
  <si>
    <t>Aengstlichkeit</t>
  </si>
  <si>
    <t>Unabhängigkeit</t>
  </si>
  <si>
    <t>Catell R.B.</t>
  </si>
  <si>
    <t>Shueiger C.</t>
  </si>
  <si>
    <t>Shueiger J.</t>
  </si>
  <si>
    <t>Kleinkindertests / Entwicklungstests vom 1. bis 6. Lebensjahr</t>
  </si>
  <si>
    <t>Bühler C., Hetzer H.</t>
  </si>
  <si>
    <t>Springer-Verlag</t>
  </si>
  <si>
    <t>1-6 Jahre</t>
  </si>
  <si>
    <t>kindliches Verhalten, Entwicklung,  Lernen, Kleinkind, Körperbewegung</t>
  </si>
  <si>
    <t>2 Handbücher vorhanden</t>
  </si>
  <si>
    <t>Ende 2. Klasse - 1. Hälfte 3. Klasse (8-9 Jahre)</t>
  </si>
  <si>
    <t>Lesen, Textverständnis, Sprachverständnis</t>
  </si>
  <si>
    <t>SVL 3</t>
  </si>
  <si>
    <t>Handanweisung, Testbogen Form A+B, 
2 Auswertungsschablonen, Klassenliste</t>
  </si>
  <si>
    <t>Columbia Mental Maturity Scale</t>
  </si>
  <si>
    <t>Eggert D., Schuck K.D., Raatz U.</t>
  </si>
  <si>
    <t>9-14 Jahre, Sonderschule</t>
  </si>
  <si>
    <t>Intelligenz, nonverbal, Sonderschule, Lernbehinderung</t>
  </si>
  <si>
    <t>CMM-LB</t>
  </si>
  <si>
    <t>Beiheft, Testheft, 2 Auswertungsschablonen, Klassenliste</t>
  </si>
  <si>
    <t>Sonderschule</t>
  </si>
  <si>
    <t>Schuck K.D.</t>
  </si>
  <si>
    <t>Raatz U.</t>
  </si>
  <si>
    <t>Konstanzer Fragebogen für Schul- und Erziehungseinstellungen</t>
  </si>
  <si>
    <t>Koch J.J., Cloetta B. , Müller-Fohrbrodt G.</t>
  </si>
  <si>
    <t>ab 16 Jahren</t>
  </si>
  <si>
    <t xml:space="preserve">Intelligenzprüfung in der psychiatrischen Diagnostik / Anleitung zur Intelligenzprüfung in der psychiatrischen Diagnostik </t>
  </si>
  <si>
    <t>Kloos G.</t>
  </si>
  <si>
    <t>Gustav Fischer Verlag</t>
  </si>
  <si>
    <t>5. unveränderte Auflagae</t>
  </si>
  <si>
    <t>praktische Intelligenz, visuelle Wahrnehmung, räumliche Orientierung, visuomotorische Koordination, Persönlichkeit</t>
  </si>
  <si>
    <t>LT</t>
  </si>
  <si>
    <t>Testbogen, 1 Schablone</t>
  </si>
  <si>
    <t>praktische Intelligenz</t>
  </si>
  <si>
    <t>räumliche Orientierung</t>
  </si>
  <si>
    <t>visuomotorische Koordination</t>
  </si>
  <si>
    <t>SPD des Kantons St. Gallen</t>
  </si>
  <si>
    <t>SPD des Kantons St. Gallen</t>
  </si>
  <si>
    <t>Testbogen</t>
  </si>
  <si>
    <t>SPD des Kantos St. Gallen</t>
  </si>
  <si>
    <t>Thurstone Interest Schedule</t>
  </si>
  <si>
    <t>Thurstone L.L.</t>
  </si>
  <si>
    <t>1.  Auflage</t>
  </si>
  <si>
    <t>Interesse, Berufswahl</t>
  </si>
  <si>
    <t>Kuder Test</t>
  </si>
  <si>
    <t>Descombes, J.P.</t>
  </si>
  <si>
    <t>Imprimerie nouvelle</t>
  </si>
  <si>
    <t>Manual, Testheft Form C., 12 Schablonen, Auswertungsbogen</t>
  </si>
  <si>
    <t>suizidal-depressive Persönlichkeitsbild</t>
  </si>
  <si>
    <t>Suizid</t>
  </si>
  <si>
    <t>Suizidversuch</t>
  </si>
  <si>
    <t>Suizidgefährdung</t>
  </si>
  <si>
    <t>Selbstmord</t>
  </si>
  <si>
    <t>Eysenck Persönlichkeits Inventar</t>
  </si>
  <si>
    <t>Eggert D.</t>
  </si>
  <si>
    <t>Erwachsene und Jugendliche</t>
  </si>
  <si>
    <t>Persönlichkeitsmodell, Extraversion, Neurotizismus, Stabilität, Intraversion</t>
  </si>
  <si>
    <t>EPI</t>
  </si>
  <si>
    <t>EPI von 1983 (2. Auflage) siehe S 410</t>
  </si>
  <si>
    <t>Handbuch, Aufgabenbogen, Vorübungen, 10 Prüfkarten, 7 Abdeckblätter, 7 Testkarten</t>
  </si>
  <si>
    <t>Handbuch, Trainingsheft, 4 Schablonen, Tabelle zur Vereinfachung des Auszählens, Auswertungsblatt</t>
  </si>
  <si>
    <t>Arbeitstempo</t>
  </si>
  <si>
    <t>Leistungsgenauigkeit</t>
  </si>
  <si>
    <t>Fragebogen zur Erfassung von Dimensionen der Integration von Schülern</t>
  </si>
  <si>
    <t xml:space="preserve">Haeberlin U., Moser U., Bless G., Klaghofer R. </t>
  </si>
  <si>
    <t>Kos M.</t>
  </si>
  <si>
    <t>Biermann G.</t>
  </si>
  <si>
    <t>Mannheimer Biographisches Inventar</t>
  </si>
  <si>
    <t xml:space="preserve">Jäger R., Berbig E., Geisel B., Gosslar H., Hagen J., Liebich W., Schafheutle R. </t>
  </si>
  <si>
    <t>11-18 Jahre</t>
  </si>
  <si>
    <t>Persönlichkeit, Familiensituation, Interesse,Sozialverhalten, Arbeitsverhalten</t>
  </si>
  <si>
    <t>MBI</t>
  </si>
  <si>
    <t>Handanweisung, Testheft Form A, Antwortbogen, 
1 Auswertungsschablone</t>
  </si>
  <si>
    <t>Familiensituation</t>
  </si>
  <si>
    <t>Jäger R.</t>
  </si>
  <si>
    <t>Berbig E.</t>
  </si>
  <si>
    <t>Geisel B.</t>
  </si>
  <si>
    <t>Gosslar H.</t>
  </si>
  <si>
    <t>Minnesota Preschool Scale</t>
  </si>
  <si>
    <t>Goodenough F., Maurer K.M., van Wagenen M.J.</t>
  </si>
  <si>
    <t>American Guidance  Service</t>
  </si>
  <si>
    <t>3-7 Jahren</t>
  </si>
  <si>
    <t>Intelligenz, Kleinkind</t>
  </si>
  <si>
    <t>Handbuch, 15 Testkarten</t>
  </si>
  <si>
    <t>Goodenough F.</t>
  </si>
  <si>
    <t>Maurer K.M.</t>
  </si>
  <si>
    <t>van Wagenen M.J.</t>
  </si>
  <si>
    <t>Handanweisung, Testbogen, 3 Auswertungsschablonen, Auswertungsbogen</t>
  </si>
  <si>
    <t>Aggressivität</t>
  </si>
  <si>
    <t>Erregbarkeit</t>
  </si>
  <si>
    <t>Depressivität</t>
  </si>
  <si>
    <t>Selbstaggression</t>
  </si>
  <si>
    <t>Hampel R.</t>
  </si>
  <si>
    <t>Selg H.</t>
  </si>
  <si>
    <t>Beurteilungshilfen für Lehrer</t>
  </si>
  <si>
    <t>Janowski A., Fittkau B., Rauer W.</t>
  </si>
  <si>
    <t>Handanweisung, Testbogen, 4 aus Hartpappe geschnittene Flächenteilen§</t>
  </si>
  <si>
    <t>Praktische Intelligenz</t>
  </si>
  <si>
    <t>Niveau</t>
  </si>
  <si>
    <t>Schnelligkeit</t>
  </si>
  <si>
    <t>Göppinger Schulreiftest</t>
  </si>
  <si>
    <t>Arbeitsgemeinschft für Schulteste</t>
  </si>
  <si>
    <t>38. Auflage</t>
  </si>
  <si>
    <t>Vorschulalter</t>
  </si>
  <si>
    <t>Schulreife, psychische Funktionen</t>
  </si>
  <si>
    <t>Handbuch, Testbogen, Zusatzverfahren</t>
  </si>
  <si>
    <t>psychische Funktionen</t>
  </si>
  <si>
    <t>Hamburg West Yorkshire Gruppentest zur Intelligenzprüfung</t>
  </si>
  <si>
    <t>Schultze W., Hecht K., Sickert O.</t>
  </si>
  <si>
    <t>9.5 - 12.5 Jahre</t>
  </si>
  <si>
    <t>Rechnen, Sprachverständnis, Textaufgaben</t>
  </si>
  <si>
    <t>Sprache, Sprachverständnis, Wortschatz, Definitionen</t>
  </si>
  <si>
    <t>Anweisungsbogen</t>
  </si>
  <si>
    <t>Definitionen</t>
  </si>
  <si>
    <t>Frostigs Entwicklungstest der visuellen Wahrnehmung</t>
  </si>
  <si>
    <t xml:space="preserve"> Frostig M., Lockowandt O.</t>
  </si>
  <si>
    <t>4;0 - 7;11</t>
  </si>
  <si>
    <t>visuelle Wahrnehmung, visuomotorische Koordination, Figur-Grund, Formkonstanz, räumliche Vorstellung</t>
  </si>
  <si>
    <t>FEW</t>
  </si>
  <si>
    <t>Persönlichkeit, Einstellung zu, "Theorie", Einstellung zu Oekonomie, Einstellung zu Aesthetik, Einstellung sozial, Einstellung zu Politik, Einstellung zu Religion, Typologie, Wert</t>
  </si>
  <si>
    <t>Handanweisung, Testheft, Wet-Muster</t>
  </si>
  <si>
    <t>Links-Rechts</t>
  </si>
  <si>
    <t>Steingrüber H.J.</t>
  </si>
  <si>
    <t>Sinnverstehendes Lesen</t>
  </si>
  <si>
    <t>Müller H.A.</t>
  </si>
  <si>
    <t xml:space="preserve"> Handanweisung, Testbogen, Auswertungsschablone                                                </t>
  </si>
  <si>
    <t>Handdominanz</t>
  </si>
  <si>
    <t>Händigkeit</t>
  </si>
  <si>
    <t>verbale Intelligenz, Allgemeinwissen, visuelle Wahrnehmung</t>
  </si>
  <si>
    <t>WIPKI</t>
  </si>
  <si>
    <t>verbale Intelligenz,</t>
  </si>
  <si>
    <t>Paranoid Depressivitäts Skala / Depressivitäts Skala</t>
  </si>
  <si>
    <t>v. Zerssen D., Koeller D.M.</t>
  </si>
  <si>
    <t>ab 20 Jahren</t>
  </si>
  <si>
    <t>Depressivität, paranoid, Krankheitsverleugnung</t>
  </si>
  <si>
    <t>PDS / DS</t>
  </si>
  <si>
    <t>siehe S424</t>
  </si>
  <si>
    <t xml:space="preserve">Manual, 14 Auswertungsschablonen, 4 Testbogenarten: PD-S, PD-S',D-S und D-S' </t>
  </si>
  <si>
    <t xml:space="preserve"> paranoid</t>
  </si>
  <si>
    <t>Krankheitsverleugnung</t>
  </si>
  <si>
    <t>v. Zerssen D.</t>
  </si>
  <si>
    <t>Koeller D.M.</t>
  </si>
  <si>
    <t>Beschwerden Liste</t>
  </si>
  <si>
    <t>v.Zerssen D., Koeller D.M.</t>
  </si>
  <si>
    <t>Beschwerden</t>
  </si>
  <si>
    <t>BL</t>
  </si>
  <si>
    <t>siehe S 424</t>
  </si>
  <si>
    <t xml:space="preserve">Manual, 3 Testbogenarten B-L, B-L' und B-L° </t>
  </si>
  <si>
    <t>v.Zerssen D.</t>
  </si>
  <si>
    <t xml:space="preserve">Persönlichkeits Skalen System 25 </t>
  </si>
  <si>
    <t>Hehl F.J., Hehl R.</t>
  </si>
  <si>
    <t>Einstellung, Berufswahl, Interesse</t>
  </si>
  <si>
    <t>KSE</t>
  </si>
  <si>
    <t>Handanweisung, Antwortbogen, 6 Auswertungsschablonen</t>
  </si>
  <si>
    <t>Koch J.J.</t>
  </si>
  <si>
    <t>Intelligenzstörung, angeborener Schwachsinn, erworbener Schwachsinn, Denkvermögen, Kombinationsfähigkeit,  Urteilsfähigkeit</t>
  </si>
  <si>
    <t>Handbuch,  12 Bilderkarten</t>
  </si>
  <si>
    <t>Intelligenzstörung</t>
  </si>
  <si>
    <t>angeborener Schwachsinn</t>
  </si>
  <si>
    <t>erworbener Schwachsinn</t>
  </si>
  <si>
    <t>Denkvermögen</t>
  </si>
  <si>
    <t>bender-szymanski</t>
  </si>
  <si>
    <t>Fragebogentest zur Beurteilung der Suizidgefahr</t>
  </si>
  <si>
    <t>Stork J.</t>
  </si>
  <si>
    <t xml:space="preserve">Otto Müller Verlag </t>
  </si>
  <si>
    <t>Keine Angaben, vermutlich ab ca. 17 Jahren</t>
  </si>
  <si>
    <t>suizidal-depressive Persönlichkeitsbild, Suizid, Suizidversuch, Suizidgefährdung, Selbstmord</t>
  </si>
  <si>
    <t>Handanweisung, Fragebogen, Schablone</t>
  </si>
  <si>
    <t>Persönlichkeit, Einstellung, Extraversion, Introversion, Angst</t>
  </si>
  <si>
    <t>PSS 25</t>
  </si>
  <si>
    <t>Introversion</t>
  </si>
  <si>
    <t>Hehl F.J.</t>
  </si>
  <si>
    <t>Hehl R.</t>
  </si>
  <si>
    <t xml:space="preserve">Cloetta B. </t>
  </si>
  <si>
    <t>Müller-Fohrbrodt G.</t>
  </si>
  <si>
    <t>Neuenburger Schulfähigkeitstest</t>
  </si>
  <si>
    <t>Schallberger U., Trier U.P.</t>
  </si>
  <si>
    <t>5.-9. Primarklasse</t>
  </si>
  <si>
    <t>Handanweisung, gesonderte Fragebogen und Auswertungsschablonen für Form A und B.</t>
  </si>
  <si>
    <t>Persönlichkeitsmodell</t>
  </si>
  <si>
    <t>Extraversion</t>
  </si>
  <si>
    <t>Stabilität</t>
  </si>
  <si>
    <t>Intraversion</t>
  </si>
  <si>
    <t>Feldmarkierungstest</t>
  </si>
  <si>
    <t>Hentschel H.</t>
  </si>
  <si>
    <t>ab 15 Jahren</t>
  </si>
  <si>
    <t>Konzentration, Arbeitstempo, Leistungsgenauigkeit</t>
  </si>
  <si>
    <t>FMT</t>
  </si>
  <si>
    <t>Familie, Projektion, Zauber</t>
  </si>
  <si>
    <t>Zauber</t>
  </si>
  <si>
    <t>Schuleinstufung, Schulübertritt, Schulwahl, Schulfähigkeit</t>
  </si>
  <si>
    <t>NSF</t>
  </si>
  <si>
    <t>Beiheft, Testheft, 8 Auswertungsschablonen</t>
  </si>
  <si>
    <t>Schulwahl</t>
  </si>
  <si>
    <t>Schulfähigkeit</t>
  </si>
  <si>
    <t>Trier U.P.</t>
  </si>
  <si>
    <t>Verbaler Kreativitäts Test</t>
  </si>
  <si>
    <t>Schoppe K.J.</t>
  </si>
  <si>
    <t>Kreativität, Originalität, Produktivität</t>
  </si>
  <si>
    <t>VKT</t>
  </si>
  <si>
    <t>Handanweisung, Testheft Form A+B</t>
  </si>
  <si>
    <t>Originalität</t>
  </si>
  <si>
    <t>Produktivität</t>
  </si>
  <si>
    <t>Familie in Tieren</t>
  </si>
  <si>
    <t>Brem-Gräser L.</t>
  </si>
  <si>
    <t>Ernst Reinhardt</t>
  </si>
  <si>
    <t>ab 4 Jahren - Jugendliche</t>
  </si>
  <si>
    <t>Familie, Tiere, Projektion</t>
  </si>
  <si>
    <t>Handbuch</t>
  </si>
  <si>
    <t>Tiere</t>
  </si>
  <si>
    <t>Projektion</t>
  </si>
  <si>
    <t>Fragebogen zur Vorgesetzten Verhaltens Beschreibung</t>
  </si>
  <si>
    <t>Fittkau-Garthe H., Fittkau B.</t>
  </si>
  <si>
    <t>Beurteilung, Verhalten, Vorgesetzte</t>
  </si>
  <si>
    <t>FVVB</t>
  </si>
  <si>
    <t>Handanweisung, Testbogen, 2 Auswertungsschablonen</t>
  </si>
  <si>
    <t>Beurteilung</t>
  </si>
  <si>
    <t>Vorgesetzte</t>
  </si>
  <si>
    <t>Fittkau-Garthe H.</t>
  </si>
  <si>
    <t xml:space="preserve">Hillers F. </t>
  </si>
  <si>
    <t>8 - 60 Jahre</t>
  </si>
  <si>
    <t>Hirnschädigung, Cerebralschädigung, Merkfähigkeit, Konzentrationsschwäche</t>
  </si>
  <si>
    <t>siehe auch S 414</t>
  </si>
  <si>
    <t>Handbuch, 9 Karten, 5 Holzstäbchen, Protokollbogen</t>
  </si>
  <si>
    <t>Cerebralschädigung</t>
  </si>
  <si>
    <t>Merkfähigkeit</t>
  </si>
  <si>
    <t>Konzentrationsschwäche</t>
  </si>
  <si>
    <t>Weidlich S., Lamberti G.</t>
  </si>
  <si>
    <t>Weidlich S.</t>
  </si>
  <si>
    <t>Lamberti G.</t>
  </si>
  <si>
    <t>verzauberte Familie</t>
  </si>
  <si>
    <t>Kos M., Biermann G.</t>
  </si>
  <si>
    <t>Untersuchung zur diagnostischen Valenz des HAWIK und die Entwicklung einer Kurzform</t>
  </si>
  <si>
    <t>Baumert I.</t>
  </si>
  <si>
    <t>Georg Westermann Verlag</t>
  </si>
  <si>
    <t>Schüler</t>
  </si>
  <si>
    <t>Schülerbeurteilung, Einschätzung, Bewertung</t>
  </si>
  <si>
    <t>BFL</t>
  </si>
  <si>
    <t>Handanweisung, Beurteilungsheft, Individualbogen</t>
  </si>
  <si>
    <t>Schülerbeurteilung</t>
  </si>
  <si>
    <t>Einschätzung</t>
  </si>
  <si>
    <t>Bewertung</t>
  </si>
  <si>
    <t>Janowski A.</t>
  </si>
  <si>
    <t>Fittkau B.</t>
  </si>
  <si>
    <t>Rauer W.</t>
  </si>
  <si>
    <t>Allgemeiner Interessen Struktur Test / Umwelt Struktur Test</t>
  </si>
  <si>
    <t>Bergmann Chr., Eder F.</t>
  </si>
  <si>
    <t>Interesse, Schule, Berufswahl, Umwelt</t>
  </si>
  <si>
    <t>AIST / UST</t>
  </si>
  <si>
    <t>Manual, Auswertungsblatt, 1 Auswertungsschablone</t>
  </si>
  <si>
    <t>Umwelt</t>
  </si>
  <si>
    <t>Bergmann Chr.</t>
  </si>
  <si>
    <t>Eder F.</t>
  </si>
  <si>
    <t>Definitionen (A)</t>
  </si>
  <si>
    <t>Schmid F.W.</t>
  </si>
  <si>
    <t>Manual, Testheft, 3 Auswertungsschablonen, 9 A4-Karten, 2 kleine Karten</t>
  </si>
  <si>
    <t>Formkonstanz</t>
  </si>
  <si>
    <t xml:space="preserve">Frostig M. </t>
  </si>
  <si>
    <t>Lockowandt O.</t>
  </si>
  <si>
    <t>Hand Dominanz Test</t>
  </si>
  <si>
    <t>Steingrüber H.J., Lienert G.A.</t>
  </si>
  <si>
    <t xml:space="preserve"> 6-10 Jahre               </t>
  </si>
  <si>
    <t xml:space="preserve"> Handdominanz, Händigkeit, Links-Rechts</t>
  </si>
  <si>
    <t>HDT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</si>
</sst>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1"/>
  <sheetViews>
    <sheetView tabSelected="1" topLeftCell="A401" workbookViewId="0">
      <selection activeCell="D37" sqref="D1:D1379"/>
    </sheetView>
  </sheetViews>
  <sheetFormatPr defaultRowHeight="13" customHeight="1"/>
  <cols>
    <col min="1" max="1" width="9.69921875" customWidth="1"/>
    <col min="2" max="2" width="4.296875" customWidth="1"/>
    <col min="3" max="3" width="64.296875" customWidth="1"/>
    <col min="4" max="4" width="58.5" customWidth="1"/>
    <col min="5" max="5" width="38.296875" customWidth="1"/>
    <col min="6" max="6" width="11.19921875" customWidth="1"/>
    <col min="7" max="7" width="7" customWidth="1"/>
    <col min="8" max="8" width="24" customWidth="1"/>
    <col min="9" max="9" width="29.19921875" bestFit="1" customWidth="1"/>
    <col min="10" max="19" width="11.19921875" customWidth="1"/>
    <col min="20" max="20" width="23.796875" customWidth="1"/>
    <col min="21" max="256" width="11.19921875" customWidth="1"/>
  </cols>
  <sheetData>
    <row r="1" spans="1:31" ht="13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</row>
    <row r="2" spans="1:31" ht="13" customHeight="1">
      <c r="A2">
        <v>156</v>
      </c>
      <c r="C2" t="s">
        <v>618</v>
      </c>
      <c r="D2" t="s">
        <v>619</v>
      </c>
      <c r="E2" t="s">
        <v>620</v>
      </c>
      <c r="F2" t="s">
        <v>115</v>
      </c>
      <c r="H2" t="s">
        <v>6</v>
      </c>
      <c r="I2" t="e">
        <f>- Intelligenztest für Kinder und $K55:$AE55</f>
        <v>#NAME?</v>
      </c>
      <c r="J2" t="s">
        <v>621</v>
      </c>
      <c r="K2" t="s">
        <v>118</v>
      </c>
      <c r="L2" s="2">
        <v>33610</v>
      </c>
      <c r="O2" t="s">
        <v>564</v>
      </c>
      <c r="P2">
        <v>1</v>
      </c>
      <c r="Q2">
        <v>1955</v>
      </c>
      <c r="S2" t="s">
        <v>8</v>
      </c>
      <c r="T2" t="s">
        <v>622</v>
      </c>
      <c r="U2" t="s">
        <v>123</v>
      </c>
      <c r="V2" t="s">
        <v>0</v>
      </c>
      <c r="W2" t="s">
        <v>1</v>
      </c>
      <c r="AA2">
        <v>156</v>
      </c>
      <c r="AB2" t="s">
        <v>619</v>
      </c>
    </row>
    <row r="3" spans="1:31" ht="13" customHeight="1">
      <c r="A3">
        <v>26</v>
      </c>
      <c r="C3" t="s">
        <v>126</v>
      </c>
      <c r="D3" t="s">
        <v>127</v>
      </c>
      <c r="E3" t="s">
        <v>394</v>
      </c>
      <c r="F3" t="s">
        <v>115</v>
      </c>
      <c r="H3" t="s">
        <v>6</v>
      </c>
      <c r="I3" t="e">
        <f>- Intelligenztest für Jugendliche und Erw.</f>
        <v>#NAME?</v>
      </c>
      <c r="J3" t="s">
        <v>230</v>
      </c>
      <c r="K3" t="s">
        <v>0</v>
      </c>
      <c r="L3" s="2">
        <v>33577</v>
      </c>
      <c r="M3" t="s">
        <v>128</v>
      </c>
      <c r="N3" t="s">
        <v>129</v>
      </c>
      <c r="O3" t="s">
        <v>120</v>
      </c>
      <c r="P3">
        <v>1</v>
      </c>
      <c r="Q3" t="s">
        <v>130</v>
      </c>
      <c r="S3" t="s">
        <v>121</v>
      </c>
      <c r="T3" t="s">
        <v>131</v>
      </c>
      <c r="U3" t="s">
        <v>123</v>
      </c>
      <c r="V3" t="s">
        <v>174</v>
      </c>
      <c r="AA3">
        <v>26</v>
      </c>
      <c r="AB3" t="s">
        <v>256</v>
      </c>
      <c r="AC3" t="s">
        <v>257</v>
      </c>
      <c r="AD3" t="s">
        <v>124</v>
      </c>
      <c r="AE3" t="s">
        <v>125</v>
      </c>
    </row>
    <row r="4" spans="1:31" ht="13" customHeight="1">
      <c r="A4">
        <v>27</v>
      </c>
      <c r="C4" t="s">
        <v>132</v>
      </c>
      <c r="D4" t="s">
        <v>127</v>
      </c>
      <c r="E4" t="s">
        <v>394</v>
      </c>
      <c r="F4" t="s">
        <v>115</v>
      </c>
      <c r="G4">
        <v>1968</v>
      </c>
      <c r="H4" t="s">
        <v>6</v>
      </c>
      <c r="I4" t="e">
        <f>- Intelligenztest für Jugendliche und Erw.</f>
        <v>#NAME?</v>
      </c>
      <c r="J4" t="s">
        <v>230</v>
      </c>
      <c r="K4" t="s">
        <v>118</v>
      </c>
      <c r="L4" s="2">
        <v>33577</v>
      </c>
      <c r="N4" t="s">
        <v>129</v>
      </c>
      <c r="O4" t="s">
        <v>120</v>
      </c>
      <c r="P4">
        <v>1</v>
      </c>
      <c r="Q4" t="s">
        <v>133</v>
      </c>
      <c r="S4" t="s">
        <v>121</v>
      </c>
      <c r="T4" t="s">
        <v>131</v>
      </c>
      <c r="U4" t="s">
        <v>123</v>
      </c>
      <c r="V4" t="s">
        <v>174</v>
      </c>
      <c r="W4" t="s">
        <v>1</v>
      </c>
      <c r="AA4">
        <v>27</v>
      </c>
      <c r="AB4" t="s">
        <v>256</v>
      </c>
      <c r="AC4" t="s">
        <v>257</v>
      </c>
      <c r="AD4" t="s">
        <v>124</v>
      </c>
      <c r="AE4" t="s">
        <v>125</v>
      </c>
    </row>
    <row r="5" spans="1:31" ht="13" customHeight="1">
      <c r="A5">
        <v>49</v>
      </c>
      <c r="C5" t="s">
        <v>261</v>
      </c>
      <c r="D5" t="s">
        <v>262</v>
      </c>
      <c r="E5" t="s">
        <v>398</v>
      </c>
      <c r="F5" t="s">
        <v>115</v>
      </c>
      <c r="H5" t="s">
        <v>6</v>
      </c>
      <c r="I5" t="s">
        <v>168</v>
      </c>
      <c r="J5" t="s">
        <v>263</v>
      </c>
      <c r="K5" t="s">
        <v>175</v>
      </c>
      <c r="L5" s="2">
        <v>33871</v>
      </c>
      <c r="N5" t="s">
        <v>264</v>
      </c>
      <c r="O5" t="s">
        <v>120</v>
      </c>
      <c r="P5">
        <v>1</v>
      </c>
      <c r="Q5">
        <v>1965</v>
      </c>
      <c r="S5" t="s">
        <v>8</v>
      </c>
      <c r="T5" t="s">
        <v>134</v>
      </c>
      <c r="U5" t="s">
        <v>123</v>
      </c>
      <c r="V5" t="s">
        <v>175</v>
      </c>
      <c r="AA5">
        <v>49</v>
      </c>
      <c r="AB5" t="s">
        <v>135</v>
      </c>
      <c r="AC5" t="s">
        <v>136</v>
      </c>
      <c r="AD5" t="s">
        <v>137</v>
      </c>
      <c r="AE5" t="s">
        <v>406</v>
      </c>
    </row>
    <row r="6" spans="1:31" ht="13" customHeight="1">
      <c r="A6">
        <v>11</v>
      </c>
      <c r="C6" t="s">
        <v>159</v>
      </c>
      <c r="D6" t="s">
        <v>160</v>
      </c>
      <c r="E6" t="s">
        <v>247</v>
      </c>
      <c r="F6" t="s">
        <v>115</v>
      </c>
      <c r="H6" t="s">
        <v>6</v>
      </c>
      <c r="I6" t="s">
        <v>168</v>
      </c>
      <c r="J6" t="s">
        <v>161</v>
      </c>
      <c r="K6" t="s">
        <v>175</v>
      </c>
      <c r="L6" s="2">
        <v>33844</v>
      </c>
      <c r="M6" t="s">
        <v>162</v>
      </c>
      <c r="O6" t="s">
        <v>120</v>
      </c>
      <c r="P6">
        <v>1</v>
      </c>
      <c r="Q6" t="s">
        <v>163</v>
      </c>
      <c r="S6" t="s">
        <v>121</v>
      </c>
      <c r="T6" t="s">
        <v>164</v>
      </c>
      <c r="U6" t="s">
        <v>123</v>
      </c>
      <c r="V6" t="s">
        <v>175</v>
      </c>
      <c r="AA6">
        <v>11</v>
      </c>
      <c r="AB6" t="s">
        <v>165</v>
      </c>
      <c r="AC6" t="s">
        <v>166</v>
      </c>
      <c r="AD6" t="s">
        <v>167</v>
      </c>
    </row>
    <row r="7" spans="1:31" ht="13" customHeight="1">
      <c r="A7">
        <v>342</v>
      </c>
      <c r="C7" t="s">
        <v>1965</v>
      </c>
      <c r="D7" t="s">
        <v>1962</v>
      </c>
      <c r="E7" t="s">
        <v>1963</v>
      </c>
      <c r="F7" t="s">
        <v>115</v>
      </c>
      <c r="H7" t="s">
        <v>6</v>
      </c>
      <c r="I7" t="e">
        <f>- Schultest</f>
        <v>#NAME?</v>
      </c>
      <c r="J7" t="s">
        <v>1827</v>
      </c>
      <c r="K7" t="s">
        <v>2225</v>
      </c>
      <c r="L7" s="2">
        <v>33659</v>
      </c>
      <c r="O7" t="s">
        <v>120</v>
      </c>
      <c r="P7">
        <v>1</v>
      </c>
      <c r="Q7">
        <v>1968</v>
      </c>
      <c r="R7" t="s">
        <v>2226</v>
      </c>
      <c r="S7" t="s">
        <v>8</v>
      </c>
      <c r="T7" t="s">
        <v>2227</v>
      </c>
      <c r="U7" t="s">
        <v>123</v>
      </c>
      <c r="V7" t="s">
        <v>175</v>
      </c>
      <c r="W7" t="s">
        <v>1983</v>
      </c>
      <c r="X7" t="s">
        <v>855</v>
      </c>
      <c r="Y7" t="s">
        <v>1942</v>
      </c>
      <c r="AA7">
        <v>342</v>
      </c>
      <c r="AB7" t="s">
        <v>1962</v>
      </c>
    </row>
    <row r="8" spans="1:31" ht="13" customHeight="1">
      <c r="A8">
        <v>31</v>
      </c>
      <c r="C8" t="s">
        <v>298</v>
      </c>
      <c r="D8" t="s">
        <v>299</v>
      </c>
      <c r="E8" t="s">
        <v>394</v>
      </c>
      <c r="F8" t="s">
        <v>115</v>
      </c>
      <c r="H8" t="s">
        <v>6</v>
      </c>
      <c r="I8" t="s">
        <v>168</v>
      </c>
      <c r="J8" t="s">
        <v>140</v>
      </c>
      <c r="K8" t="s">
        <v>175</v>
      </c>
      <c r="L8" s="2">
        <v>33059</v>
      </c>
      <c r="O8" t="s">
        <v>120</v>
      </c>
      <c r="P8">
        <v>1</v>
      </c>
      <c r="Q8" t="s">
        <v>300</v>
      </c>
      <c r="S8" t="s">
        <v>121</v>
      </c>
      <c r="T8" s="1" t="s">
        <v>183</v>
      </c>
      <c r="U8" t="s">
        <v>123</v>
      </c>
      <c r="V8" t="s">
        <v>175</v>
      </c>
      <c r="AA8">
        <v>31</v>
      </c>
      <c r="AB8" t="s">
        <v>158</v>
      </c>
      <c r="AC8" t="s">
        <v>386</v>
      </c>
    </row>
    <row r="9" spans="1:31" ht="13" customHeight="1">
      <c r="A9">
        <v>69</v>
      </c>
      <c r="C9" t="s">
        <v>512</v>
      </c>
      <c r="D9" t="s">
        <v>654</v>
      </c>
      <c r="E9" t="s">
        <v>361</v>
      </c>
      <c r="F9" t="s">
        <v>115</v>
      </c>
      <c r="H9" t="s">
        <v>6</v>
      </c>
      <c r="I9" t="s">
        <v>139</v>
      </c>
      <c r="J9" t="s">
        <v>277</v>
      </c>
      <c r="K9" t="s">
        <v>175</v>
      </c>
      <c r="L9" s="2">
        <v>33844</v>
      </c>
      <c r="P9">
        <v>1</v>
      </c>
      <c r="Q9">
        <v>1934</v>
      </c>
      <c r="S9" t="s">
        <v>121</v>
      </c>
      <c r="T9" t="s">
        <v>655</v>
      </c>
      <c r="U9" t="s">
        <v>123</v>
      </c>
      <c r="V9" t="s">
        <v>175</v>
      </c>
      <c r="AA9">
        <v>69</v>
      </c>
      <c r="AB9" t="s">
        <v>656</v>
      </c>
      <c r="AC9" t="s">
        <v>507</v>
      </c>
      <c r="AD9" t="s">
        <v>657</v>
      </c>
    </row>
    <row r="10" spans="1:31" ht="13" customHeight="1">
      <c r="A10">
        <v>40</v>
      </c>
      <c r="C10" t="s">
        <v>207</v>
      </c>
      <c r="D10" t="s">
        <v>208</v>
      </c>
      <c r="E10" t="s">
        <v>394</v>
      </c>
      <c r="F10" t="s">
        <v>115</v>
      </c>
      <c r="H10" t="s">
        <v>6</v>
      </c>
      <c r="I10" t="s">
        <v>139</v>
      </c>
      <c r="J10" t="s">
        <v>230</v>
      </c>
      <c r="K10" t="s">
        <v>141</v>
      </c>
      <c r="L10" s="2">
        <v>33059</v>
      </c>
      <c r="M10" t="s">
        <v>209</v>
      </c>
      <c r="O10" t="s">
        <v>120</v>
      </c>
      <c r="P10">
        <v>1</v>
      </c>
      <c r="Q10" t="s">
        <v>210</v>
      </c>
      <c r="S10" t="s">
        <v>121</v>
      </c>
      <c r="T10" t="s">
        <v>211</v>
      </c>
      <c r="U10" t="s">
        <v>123</v>
      </c>
      <c r="V10" t="s">
        <v>175</v>
      </c>
      <c r="W10" t="s">
        <v>145</v>
      </c>
      <c r="AA10">
        <v>40</v>
      </c>
      <c r="AB10" t="s">
        <v>212</v>
      </c>
    </row>
    <row r="11" spans="1:31" ht="13" customHeight="1">
      <c r="A11">
        <v>288</v>
      </c>
      <c r="C11" t="s">
        <v>1683</v>
      </c>
      <c r="D11" t="s">
        <v>1684</v>
      </c>
      <c r="E11" t="s">
        <v>620</v>
      </c>
      <c r="F11" t="s">
        <v>115</v>
      </c>
      <c r="H11" t="s">
        <v>6</v>
      </c>
      <c r="I11" t="e">
        <f>- spez. Funktionsprüfungs- und Eignungstest</f>
        <v>#NAME?</v>
      </c>
      <c r="J11" t="s">
        <v>1827</v>
      </c>
      <c r="K11" t="s">
        <v>1685</v>
      </c>
      <c r="L11" s="2">
        <v>33191</v>
      </c>
      <c r="N11" t="s">
        <v>1686</v>
      </c>
      <c r="O11" t="s">
        <v>564</v>
      </c>
      <c r="P11">
        <v>1</v>
      </c>
      <c r="Q11">
        <v>1967</v>
      </c>
      <c r="S11" t="s">
        <v>8</v>
      </c>
      <c r="T11" t="s">
        <v>1687</v>
      </c>
      <c r="U11" t="s">
        <v>123</v>
      </c>
      <c r="V11" t="s">
        <v>1688</v>
      </c>
      <c r="W11" t="s">
        <v>1516</v>
      </c>
      <c r="X11" t="s">
        <v>1689</v>
      </c>
      <c r="Y11" t="s">
        <v>1690</v>
      </c>
      <c r="AA11">
        <v>288</v>
      </c>
      <c r="AB11" t="s">
        <v>1684</v>
      </c>
    </row>
    <row r="12" spans="1:31" ht="13" customHeight="1">
      <c r="A12">
        <v>503.1</v>
      </c>
      <c r="B12">
        <v>1</v>
      </c>
      <c r="C12" t="s">
        <v>2683</v>
      </c>
      <c r="D12" t="s">
        <v>2684</v>
      </c>
      <c r="E12" t="s">
        <v>1480</v>
      </c>
      <c r="F12" t="s">
        <v>115</v>
      </c>
      <c r="H12" t="s">
        <v>730</v>
      </c>
      <c r="I12" t="e">
        <f>- Interessentest</f>
        <v>#NAME?</v>
      </c>
      <c r="J12" t="s">
        <v>849</v>
      </c>
      <c r="K12" t="s">
        <v>2685</v>
      </c>
      <c r="L12" s="2">
        <v>34662</v>
      </c>
      <c r="N12" t="s">
        <v>2686</v>
      </c>
      <c r="O12" t="s">
        <v>564</v>
      </c>
      <c r="P12">
        <v>3</v>
      </c>
      <c r="Q12">
        <v>1992</v>
      </c>
      <c r="S12" t="s">
        <v>8</v>
      </c>
      <c r="T12" t="s">
        <v>2687</v>
      </c>
      <c r="U12" t="s">
        <v>123</v>
      </c>
      <c r="V12" t="s">
        <v>604</v>
      </c>
      <c r="W12" t="s">
        <v>175</v>
      </c>
      <c r="X12" t="s">
        <v>1708</v>
      </c>
      <c r="Y12" t="s">
        <v>2688</v>
      </c>
      <c r="AA12">
        <v>503</v>
      </c>
      <c r="AB12" t="s">
        <v>2689</v>
      </c>
      <c r="AC12" t="s">
        <v>2690</v>
      </c>
    </row>
    <row r="13" spans="1:31" ht="13" customHeight="1">
      <c r="A13">
        <v>206</v>
      </c>
      <c r="C13" t="s">
        <v>1403</v>
      </c>
      <c r="D13" t="s">
        <v>1404</v>
      </c>
      <c r="E13" s="1" t="s">
        <v>1405</v>
      </c>
      <c r="F13" t="s">
        <v>115</v>
      </c>
      <c r="G13">
        <v>1969</v>
      </c>
      <c r="H13" t="s">
        <v>6</v>
      </c>
      <c r="I13" t="s">
        <v>168</v>
      </c>
      <c r="J13" t="s">
        <v>1406</v>
      </c>
      <c r="K13" t="s">
        <v>1282</v>
      </c>
      <c r="L13" s="2">
        <v>33726</v>
      </c>
      <c r="N13" t="s">
        <v>1283</v>
      </c>
      <c r="O13" t="s">
        <v>564</v>
      </c>
      <c r="P13">
        <v>1</v>
      </c>
      <c r="Q13">
        <v>1967</v>
      </c>
      <c r="R13" t="s">
        <v>1167</v>
      </c>
      <c r="S13" t="s">
        <v>8</v>
      </c>
      <c r="T13" t="s">
        <v>1168</v>
      </c>
      <c r="U13" t="s">
        <v>123</v>
      </c>
      <c r="V13" t="s">
        <v>175</v>
      </c>
      <c r="W13" t="s">
        <v>20</v>
      </c>
      <c r="X13" t="s">
        <v>145</v>
      </c>
      <c r="Y13" t="s">
        <v>43</v>
      </c>
      <c r="AA13">
        <v>206</v>
      </c>
      <c r="AB13" t="s">
        <v>1404</v>
      </c>
    </row>
    <row r="14" spans="1:31" ht="13" customHeight="1">
      <c r="A14">
        <v>177</v>
      </c>
      <c r="C14" t="s">
        <v>883</v>
      </c>
      <c r="D14" t="s">
        <v>884</v>
      </c>
      <c r="E14" t="s">
        <v>835</v>
      </c>
      <c r="F14" t="s">
        <v>115</v>
      </c>
      <c r="H14" t="s">
        <v>6</v>
      </c>
      <c r="I14" t="e">
        <f>- Allg.Leistungs- und Fähigkeitstest</f>
        <v>#NAME?</v>
      </c>
      <c r="J14" t="s">
        <v>885</v>
      </c>
      <c r="K14" t="s">
        <v>886</v>
      </c>
      <c r="L14" s="2">
        <v>33768</v>
      </c>
      <c r="N14" t="s">
        <v>887</v>
      </c>
      <c r="O14" t="s">
        <v>564</v>
      </c>
      <c r="P14">
        <v>1</v>
      </c>
      <c r="Q14">
        <v>1990</v>
      </c>
      <c r="S14" t="s">
        <v>8</v>
      </c>
      <c r="T14" t="s">
        <v>888</v>
      </c>
      <c r="U14" t="s">
        <v>123</v>
      </c>
      <c r="V14" t="s">
        <v>223</v>
      </c>
      <c r="W14" t="s">
        <v>889</v>
      </c>
      <c r="AA14">
        <v>177</v>
      </c>
      <c r="AB14" t="s">
        <v>884</v>
      </c>
    </row>
    <row r="15" spans="1:31" ht="13" customHeight="1">
      <c r="A15">
        <v>24</v>
      </c>
      <c r="C15" t="s">
        <v>387</v>
      </c>
      <c r="D15" t="s">
        <v>388</v>
      </c>
      <c r="E15" t="s">
        <v>75</v>
      </c>
      <c r="F15" t="s">
        <v>115</v>
      </c>
      <c r="H15" t="s">
        <v>6</v>
      </c>
      <c r="I15" t="e">
        <f>- Allg.Leistungs- und Fähigkeitstest</f>
        <v>#NAME?</v>
      </c>
      <c r="J15" t="s">
        <v>389</v>
      </c>
      <c r="K15" t="s">
        <v>20</v>
      </c>
      <c r="L15" s="2">
        <v>33059</v>
      </c>
      <c r="O15" t="s">
        <v>120</v>
      </c>
      <c r="P15">
        <v>1</v>
      </c>
      <c r="Q15">
        <v>1962</v>
      </c>
      <c r="S15" t="s">
        <v>121</v>
      </c>
      <c r="T15" t="s">
        <v>390</v>
      </c>
      <c r="U15" t="s">
        <v>123</v>
      </c>
      <c r="V15" t="s">
        <v>20</v>
      </c>
      <c r="AA15">
        <v>24</v>
      </c>
      <c r="AB15" t="s">
        <v>391</v>
      </c>
    </row>
    <row r="16" spans="1:31" ht="13" customHeight="1">
      <c r="A16">
        <v>64</v>
      </c>
      <c r="C16" t="s">
        <v>350</v>
      </c>
      <c r="D16" t="s">
        <v>351</v>
      </c>
      <c r="E16" t="s">
        <v>342</v>
      </c>
      <c r="F16" t="s">
        <v>115</v>
      </c>
      <c r="H16" t="s">
        <v>6</v>
      </c>
      <c r="I16" t="e">
        <f>- Intelligenztest für Kinder und $K55:$AE55</f>
        <v>#NAME?</v>
      </c>
      <c r="J16" t="s">
        <v>352</v>
      </c>
      <c r="K16" t="s">
        <v>174</v>
      </c>
      <c r="L16" s="2">
        <v>33577</v>
      </c>
      <c r="O16" t="s">
        <v>120</v>
      </c>
      <c r="P16">
        <v>1</v>
      </c>
      <c r="Q16">
        <v>1960</v>
      </c>
      <c r="S16" t="s">
        <v>121</v>
      </c>
      <c r="T16" t="s">
        <v>582</v>
      </c>
      <c r="U16" t="s">
        <v>123</v>
      </c>
      <c r="V16" t="s">
        <v>174</v>
      </c>
      <c r="AA16">
        <v>64</v>
      </c>
      <c r="AB16" t="s">
        <v>351</v>
      </c>
    </row>
    <row r="17" spans="1:29" ht="13" customHeight="1">
      <c r="A17">
        <v>151</v>
      </c>
      <c r="C17" t="s">
        <v>924</v>
      </c>
      <c r="D17" t="s">
        <v>925</v>
      </c>
      <c r="E17" t="s">
        <v>733</v>
      </c>
      <c r="F17" t="s">
        <v>115</v>
      </c>
      <c r="H17" t="s">
        <v>6</v>
      </c>
      <c r="I17" t="e">
        <f>- Schultest</f>
        <v>#NAME?</v>
      </c>
      <c r="J17" t="s">
        <v>926</v>
      </c>
      <c r="K17" t="s">
        <v>927</v>
      </c>
      <c r="L17" s="2">
        <v>33036</v>
      </c>
      <c r="N17" t="s">
        <v>928</v>
      </c>
      <c r="O17" t="s">
        <v>564</v>
      </c>
      <c r="P17">
        <v>1</v>
      </c>
      <c r="Q17">
        <v>1982</v>
      </c>
      <c r="S17" t="s">
        <v>8</v>
      </c>
      <c r="T17" t="s">
        <v>929</v>
      </c>
      <c r="U17" t="s">
        <v>123</v>
      </c>
      <c r="V17" t="s">
        <v>930</v>
      </c>
      <c r="W17" t="s">
        <v>175</v>
      </c>
      <c r="AA17">
        <v>151</v>
      </c>
      <c r="AB17" t="s">
        <v>931</v>
      </c>
      <c r="AC17" t="s">
        <v>932</v>
      </c>
    </row>
    <row r="18" spans="1:29" ht="13" customHeight="1">
      <c r="A18">
        <v>180</v>
      </c>
      <c r="C18" t="s">
        <v>904</v>
      </c>
      <c r="D18" t="s">
        <v>905</v>
      </c>
      <c r="E18" t="s">
        <v>906</v>
      </c>
      <c r="F18" t="s">
        <v>115</v>
      </c>
      <c r="H18" t="s">
        <v>804</v>
      </c>
      <c r="I18" t="e">
        <f>- Formdeuteverfahren</f>
        <v>#NAME?</v>
      </c>
      <c r="J18" t="s">
        <v>117</v>
      </c>
      <c r="K18" t="s">
        <v>907</v>
      </c>
      <c r="L18" s="2">
        <v>33457</v>
      </c>
      <c r="N18" t="s">
        <v>908</v>
      </c>
      <c r="O18" t="s">
        <v>564</v>
      </c>
      <c r="P18">
        <v>1</v>
      </c>
      <c r="Q18">
        <v>1990</v>
      </c>
      <c r="S18" t="s">
        <v>716</v>
      </c>
      <c r="T18" t="s">
        <v>909</v>
      </c>
      <c r="U18" t="s">
        <v>123</v>
      </c>
      <c r="V18" t="s">
        <v>464</v>
      </c>
      <c r="W18" t="s">
        <v>677</v>
      </c>
      <c r="X18" t="s">
        <v>910</v>
      </c>
      <c r="Y18" t="s">
        <v>1053</v>
      </c>
      <c r="AA18">
        <v>180</v>
      </c>
      <c r="AB18" t="s">
        <v>905</v>
      </c>
    </row>
    <row r="19" spans="1:29" ht="13" customHeight="1">
      <c r="A19">
        <v>188</v>
      </c>
      <c r="C19" t="s">
        <v>979</v>
      </c>
      <c r="D19" t="s">
        <v>980</v>
      </c>
      <c r="E19" t="s">
        <v>733</v>
      </c>
      <c r="F19" t="s">
        <v>115</v>
      </c>
      <c r="H19" t="s">
        <v>730</v>
      </c>
      <c r="I19" t="e">
        <f>- mehrdimensionaler Persönlichkeits-Test</f>
        <v>#NAME?</v>
      </c>
      <c r="J19" t="s">
        <v>230</v>
      </c>
      <c r="K19" t="s">
        <v>981</v>
      </c>
      <c r="L19" s="2">
        <v>33955</v>
      </c>
      <c r="O19" t="s">
        <v>564</v>
      </c>
      <c r="P19">
        <v>1</v>
      </c>
      <c r="Q19">
        <v>1982</v>
      </c>
      <c r="R19" t="s">
        <v>982</v>
      </c>
      <c r="S19" t="s">
        <v>8</v>
      </c>
      <c r="T19" t="s">
        <v>983</v>
      </c>
      <c r="U19" t="s">
        <v>123</v>
      </c>
      <c r="V19" t="s">
        <v>988</v>
      </c>
      <c r="W19" t="s">
        <v>984</v>
      </c>
      <c r="X19" t="s">
        <v>1126</v>
      </c>
      <c r="AA19">
        <v>188</v>
      </c>
      <c r="AB19" t="s">
        <v>980</v>
      </c>
    </row>
    <row r="20" spans="1:29" ht="13" customHeight="1">
      <c r="A20">
        <v>70</v>
      </c>
      <c r="C20" t="s">
        <v>658</v>
      </c>
      <c r="D20" t="s">
        <v>659</v>
      </c>
      <c r="E20" t="s">
        <v>361</v>
      </c>
      <c r="F20" t="s">
        <v>115</v>
      </c>
      <c r="H20" t="s">
        <v>6</v>
      </c>
      <c r="I20" t="e">
        <f>- Intelligenztest für Kinder und J$72:J$72</f>
        <v>#NAME?</v>
      </c>
      <c r="J20" t="s">
        <v>660</v>
      </c>
      <c r="K20" t="s">
        <v>0</v>
      </c>
      <c r="L20" s="2">
        <v>33577</v>
      </c>
      <c r="O20" t="s">
        <v>120</v>
      </c>
      <c r="P20">
        <v>1</v>
      </c>
      <c r="Q20">
        <v>1936</v>
      </c>
      <c r="S20" t="s">
        <v>121</v>
      </c>
      <c r="T20" t="s">
        <v>661</v>
      </c>
      <c r="U20" t="s">
        <v>123</v>
      </c>
      <c r="V20" t="s">
        <v>174</v>
      </c>
      <c r="AA20">
        <v>70</v>
      </c>
      <c r="AB20" t="s">
        <v>507</v>
      </c>
      <c r="AC20" t="s">
        <v>662</v>
      </c>
    </row>
    <row r="21" spans="1:29" ht="13" customHeight="1">
      <c r="A21">
        <v>6</v>
      </c>
      <c r="C21" t="s">
        <v>180</v>
      </c>
      <c r="D21" t="s">
        <v>253</v>
      </c>
      <c r="E21" t="s">
        <v>247</v>
      </c>
      <c r="F21" t="s">
        <v>115</v>
      </c>
      <c r="H21" t="s">
        <v>6</v>
      </c>
      <c r="I21" t="e">
        <f>- Intelligenztest für Jugendliche und Erw.</f>
        <v>#NAME?</v>
      </c>
      <c r="J21" t="s">
        <v>181</v>
      </c>
      <c r="K21" t="s">
        <v>174</v>
      </c>
      <c r="L21" s="2">
        <v>33577</v>
      </c>
      <c r="N21" t="s">
        <v>182</v>
      </c>
      <c r="O21" t="s">
        <v>120</v>
      </c>
      <c r="P21">
        <v>1</v>
      </c>
      <c r="Q21">
        <v>1960</v>
      </c>
      <c r="S21" t="s">
        <v>121</v>
      </c>
      <c r="T21" t="s">
        <v>12</v>
      </c>
      <c r="U21" t="s">
        <v>123</v>
      </c>
      <c r="V21" t="s">
        <v>174</v>
      </c>
      <c r="AA21">
        <v>6</v>
      </c>
      <c r="AB21" t="s">
        <v>253</v>
      </c>
    </row>
    <row r="22" spans="1:29" ht="13" customHeight="1">
      <c r="A22">
        <v>209.1</v>
      </c>
      <c r="B22">
        <v>1</v>
      </c>
      <c r="C22" t="s">
        <v>1308</v>
      </c>
      <c r="D22" t="s">
        <v>1309</v>
      </c>
      <c r="E22" t="s">
        <v>783</v>
      </c>
      <c r="F22" t="s">
        <v>115</v>
      </c>
      <c r="G22">
        <v>1969</v>
      </c>
      <c r="H22" t="s">
        <v>6</v>
      </c>
      <c r="I22" t="e">
        <f>- Intelligenztest für $K143:$AE143</f>
        <v>#NAME?</v>
      </c>
      <c r="J22" t="s">
        <v>1310</v>
      </c>
      <c r="K22" t="s">
        <v>174</v>
      </c>
      <c r="L22" s="2">
        <v>34627</v>
      </c>
      <c r="N22" t="s">
        <v>1311</v>
      </c>
      <c r="O22" t="s">
        <v>564</v>
      </c>
      <c r="P22">
        <v>2</v>
      </c>
      <c r="Q22">
        <v>1965</v>
      </c>
      <c r="R22" t="s">
        <v>1312</v>
      </c>
      <c r="S22" t="s">
        <v>8</v>
      </c>
      <c r="T22" t="s">
        <v>1439</v>
      </c>
      <c r="U22" t="s">
        <v>123</v>
      </c>
      <c r="V22" t="s">
        <v>0</v>
      </c>
      <c r="AA22">
        <v>209</v>
      </c>
      <c r="AB22" t="s">
        <v>1306</v>
      </c>
      <c r="AC22" t="s">
        <v>1440</v>
      </c>
    </row>
    <row r="23" spans="1:29" ht="13" customHeight="1">
      <c r="A23">
        <v>210.1</v>
      </c>
      <c r="B23">
        <v>1</v>
      </c>
      <c r="C23" t="s">
        <v>1308</v>
      </c>
      <c r="D23" t="s">
        <v>1441</v>
      </c>
      <c r="E23" t="s">
        <v>783</v>
      </c>
      <c r="F23" t="s">
        <v>115</v>
      </c>
      <c r="H23" t="s">
        <v>6</v>
      </c>
      <c r="I23" t="e">
        <f>- Intelligenztest für $K143:$AE143</f>
        <v>#NAME?</v>
      </c>
      <c r="J23" t="s">
        <v>1310</v>
      </c>
      <c r="K23" t="s">
        <v>174</v>
      </c>
      <c r="L23" s="2">
        <v>33582</v>
      </c>
      <c r="N23" t="s">
        <v>1442</v>
      </c>
      <c r="O23" t="s">
        <v>564</v>
      </c>
      <c r="P23">
        <v>2</v>
      </c>
      <c r="Q23">
        <v>1971</v>
      </c>
      <c r="R23" t="s">
        <v>1443</v>
      </c>
      <c r="S23" t="s">
        <v>8</v>
      </c>
      <c r="T23" t="s">
        <v>1444</v>
      </c>
      <c r="U23" t="s">
        <v>123</v>
      </c>
      <c r="V23" t="s">
        <v>174</v>
      </c>
      <c r="AA23">
        <v>210</v>
      </c>
      <c r="AB23" t="s">
        <v>1441</v>
      </c>
    </row>
    <row r="24" spans="1:29" ht="13" customHeight="1">
      <c r="A24">
        <v>210.2</v>
      </c>
      <c r="B24">
        <v>2</v>
      </c>
      <c r="C24" t="s">
        <v>1308</v>
      </c>
      <c r="D24" t="s">
        <v>1441</v>
      </c>
      <c r="E24" t="s">
        <v>783</v>
      </c>
      <c r="F24" t="s">
        <v>115</v>
      </c>
      <c r="H24" t="s">
        <v>6</v>
      </c>
      <c r="I24" t="e">
        <f>- Intelligenztest für $K143:$AE143</f>
        <v>#NAME?</v>
      </c>
      <c r="J24" t="s">
        <v>1310</v>
      </c>
      <c r="K24" t="s">
        <v>0</v>
      </c>
      <c r="L24" s="2">
        <v>33582</v>
      </c>
      <c r="N24" t="s">
        <v>1442</v>
      </c>
      <c r="O24" t="s">
        <v>564</v>
      </c>
      <c r="P24">
        <v>2</v>
      </c>
      <c r="Q24">
        <v>1971</v>
      </c>
      <c r="R24" t="s">
        <v>1443</v>
      </c>
      <c r="S24" t="s">
        <v>8</v>
      </c>
      <c r="T24" t="s">
        <v>1444</v>
      </c>
      <c r="U24" t="s">
        <v>123</v>
      </c>
      <c r="V24" t="s">
        <v>0</v>
      </c>
      <c r="AB24" t="s">
        <v>1441</v>
      </c>
    </row>
    <row r="25" spans="1:29" ht="13" customHeight="1">
      <c r="A25">
        <v>221.1</v>
      </c>
      <c r="B25">
        <v>1</v>
      </c>
      <c r="C25" t="s">
        <v>1578</v>
      </c>
      <c r="D25" t="s">
        <v>1579</v>
      </c>
      <c r="E25" t="s">
        <v>620</v>
      </c>
      <c r="F25" t="s">
        <v>784</v>
      </c>
      <c r="H25" t="s">
        <v>6</v>
      </c>
      <c r="I25" t="e">
        <f>- Allg.Leistungs- und Fähigkeitstest</f>
        <v>#NAME?</v>
      </c>
      <c r="J25" t="s">
        <v>1580</v>
      </c>
      <c r="K25" t="s">
        <v>1581</v>
      </c>
      <c r="L25" s="2">
        <v>33948</v>
      </c>
      <c r="N25" t="s">
        <v>1582</v>
      </c>
      <c r="O25" t="s">
        <v>564</v>
      </c>
      <c r="P25">
        <v>10</v>
      </c>
      <c r="Q25">
        <v>1962</v>
      </c>
      <c r="R25" t="s">
        <v>1583</v>
      </c>
      <c r="S25" t="s">
        <v>8</v>
      </c>
      <c r="T25" t="s">
        <v>1584</v>
      </c>
      <c r="U25" t="s">
        <v>123</v>
      </c>
      <c r="V25" t="s">
        <v>889</v>
      </c>
      <c r="W25" t="s">
        <v>1585</v>
      </c>
      <c r="X25" t="s">
        <v>223</v>
      </c>
      <c r="AA25">
        <v>221</v>
      </c>
      <c r="AB25" t="s">
        <v>628</v>
      </c>
    </row>
    <row r="26" spans="1:29" ht="13" customHeight="1">
      <c r="A26">
        <v>221.2</v>
      </c>
      <c r="B26">
        <v>2</v>
      </c>
      <c r="C26" t="s">
        <v>1578</v>
      </c>
      <c r="D26" t="s">
        <v>1579</v>
      </c>
      <c r="E26" t="s">
        <v>620</v>
      </c>
      <c r="F26" t="s">
        <v>784</v>
      </c>
      <c r="H26" t="s">
        <v>6</v>
      </c>
      <c r="I26" t="e">
        <f>- Allg.Leistungs- und Fähigkeitstest</f>
        <v>#NAME?</v>
      </c>
      <c r="J26" t="s">
        <v>1580</v>
      </c>
      <c r="K26" t="s">
        <v>1581</v>
      </c>
      <c r="L26" s="2">
        <v>33948</v>
      </c>
      <c r="N26" t="s">
        <v>1582</v>
      </c>
      <c r="O26" t="s">
        <v>564</v>
      </c>
      <c r="P26">
        <v>10</v>
      </c>
      <c r="Q26">
        <v>1962</v>
      </c>
      <c r="R26" t="s">
        <v>1583</v>
      </c>
      <c r="S26" t="s">
        <v>8</v>
      </c>
      <c r="T26" t="s">
        <v>1584</v>
      </c>
      <c r="U26" t="s">
        <v>123</v>
      </c>
      <c r="V26" t="s">
        <v>889</v>
      </c>
      <c r="W26" t="s">
        <v>1585</v>
      </c>
      <c r="X26" t="s">
        <v>223</v>
      </c>
      <c r="AB26" t="s">
        <v>628</v>
      </c>
    </row>
    <row r="27" spans="1:29" ht="13" customHeight="1">
      <c r="A27">
        <v>221.3</v>
      </c>
      <c r="B27">
        <v>3</v>
      </c>
      <c r="C27" t="s">
        <v>1578</v>
      </c>
      <c r="D27" t="s">
        <v>1579</v>
      </c>
      <c r="E27" t="s">
        <v>620</v>
      </c>
      <c r="F27" t="s">
        <v>267</v>
      </c>
      <c r="H27" t="s">
        <v>6</v>
      </c>
      <c r="I27" t="e">
        <f>- Allg.Leistungs- und Fähigkeitstest</f>
        <v>#NAME?</v>
      </c>
      <c r="J27" t="s">
        <v>1580</v>
      </c>
      <c r="K27" t="s">
        <v>1581</v>
      </c>
      <c r="L27" s="2">
        <v>33948</v>
      </c>
      <c r="N27" t="s">
        <v>1582</v>
      </c>
      <c r="O27" t="s">
        <v>564</v>
      </c>
      <c r="P27">
        <v>10</v>
      </c>
      <c r="Q27">
        <v>1972</v>
      </c>
      <c r="R27" t="s">
        <v>1583</v>
      </c>
      <c r="S27" t="s">
        <v>8</v>
      </c>
      <c r="T27" t="s">
        <v>1584</v>
      </c>
      <c r="U27" t="s">
        <v>123</v>
      </c>
      <c r="V27" t="s">
        <v>889</v>
      </c>
      <c r="W27" t="s">
        <v>1585</v>
      </c>
      <c r="X27" t="s">
        <v>223</v>
      </c>
      <c r="AB27" t="s">
        <v>628</v>
      </c>
    </row>
    <row r="28" spans="1:29" ht="13" customHeight="1">
      <c r="A28">
        <v>221.4</v>
      </c>
      <c r="B28">
        <v>4</v>
      </c>
      <c r="C28" t="s">
        <v>1578</v>
      </c>
      <c r="D28" t="s">
        <v>1579</v>
      </c>
      <c r="E28" t="s">
        <v>620</v>
      </c>
      <c r="F28" t="s">
        <v>267</v>
      </c>
      <c r="H28" t="s">
        <v>6</v>
      </c>
      <c r="I28" t="e">
        <f>- Allg.Leistungs- und Fähigkeitstest</f>
        <v>#NAME?</v>
      </c>
      <c r="J28" t="s">
        <v>1580</v>
      </c>
      <c r="K28" t="s">
        <v>1581</v>
      </c>
      <c r="L28" s="2">
        <v>33948</v>
      </c>
      <c r="N28" t="s">
        <v>1582</v>
      </c>
      <c r="O28" t="s">
        <v>564</v>
      </c>
      <c r="P28">
        <v>10</v>
      </c>
      <c r="Q28">
        <v>1972</v>
      </c>
      <c r="R28" t="s">
        <v>1583</v>
      </c>
      <c r="S28" t="s">
        <v>8</v>
      </c>
      <c r="T28" t="s">
        <v>1584</v>
      </c>
      <c r="U28" t="s">
        <v>123</v>
      </c>
      <c r="V28" t="s">
        <v>889</v>
      </c>
      <c r="W28" t="s">
        <v>1585</v>
      </c>
      <c r="X28" t="s">
        <v>223</v>
      </c>
      <c r="AB28" t="s">
        <v>628</v>
      </c>
    </row>
    <row r="29" spans="1:29" ht="13" customHeight="1">
      <c r="A29">
        <v>221.5</v>
      </c>
      <c r="B29">
        <v>5</v>
      </c>
      <c r="C29" t="s">
        <v>1578</v>
      </c>
      <c r="D29" t="s">
        <v>1579</v>
      </c>
      <c r="E29" t="s">
        <v>620</v>
      </c>
      <c r="F29" t="s">
        <v>1586</v>
      </c>
      <c r="H29" t="s">
        <v>6</v>
      </c>
      <c r="I29" t="e">
        <f>- Allg.Leistungs- und Fähigkeitstest</f>
        <v>#NAME?</v>
      </c>
      <c r="J29" t="s">
        <v>1580</v>
      </c>
      <c r="K29" t="s">
        <v>1581</v>
      </c>
      <c r="L29" s="2">
        <v>33948</v>
      </c>
      <c r="N29" t="s">
        <v>1582</v>
      </c>
      <c r="O29" t="s">
        <v>564</v>
      </c>
      <c r="P29">
        <v>10</v>
      </c>
      <c r="Q29">
        <v>1978</v>
      </c>
      <c r="R29" t="s">
        <v>1583</v>
      </c>
      <c r="S29" t="s">
        <v>8</v>
      </c>
      <c r="T29" t="s">
        <v>1584</v>
      </c>
      <c r="U29" t="s">
        <v>123</v>
      </c>
      <c r="V29" t="s">
        <v>889</v>
      </c>
      <c r="W29" t="s">
        <v>1585</v>
      </c>
      <c r="X29" t="s">
        <v>223</v>
      </c>
      <c r="AB29" t="s">
        <v>628</v>
      </c>
    </row>
    <row r="30" spans="1:29" ht="13" customHeight="1">
      <c r="A30">
        <v>221.6</v>
      </c>
      <c r="B30">
        <v>6</v>
      </c>
      <c r="C30" t="s">
        <v>1578</v>
      </c>
      <c r="D30" t="s">
        <v>1579</v>
      </c>
      <c r="E30" t="s">
        <v>620</v>
      </c>
      <c r="F30" t="s">
        <v>784</v>
      </c>
      <c r="H30" t="s">
        <v>6</v>
      </c>
      <c r="I30" t="e">
        <f>- Allg.Leistungs- und Fähigkeitstest</f>
        <v>#NAME?</v>
      </c>
      <c r="J30" t="s">
        <v>1580</v>
      </c>
      <c r="K30" t="s">
        <v>1581</v>
      </c>
      <c r="L30" s="2">
        <v>33948</v>
      </c>
      <c r="N30" t="s">
        <v>1582</v>
      </c>
      <c r="O30" t="s">
        <v>564</v>
      </c>
      <c r="P30">
        <v>10</v>
      </c>
      <c r="Q30">
        <v>1962</v>
      </c>
      <c r="R30" t="s">
        <v>1583</v>
      </c>
      <c r="S30" t="s">
        <v>8</v>
      </c>
      <c r="T30" t="s">
        <v>1584</v>
      </c>
      <c r="U30" t="s">
        <v>123</v>
      </c>
      <c r="V30" t="s">
        <v>889</v>
      </c>
      <c r="W30" t="s">
        <v>1585</v>
      </c>
      <c r="X30" t="s">
        <v>223</v>
      </c>
      <c r="AB30" t="s">
        <v>628</v>
      </c>
    </row>
    <row r="31" spans="1:29" ht="13" customHeight="1">
      <c r="A31">
        <v>221.7</v>
      </c>
      <c r="B31">
        <v>7</v>
      </c>
      <c r="C31" t="s">
        <v>1578</v>
      </c>
      <c r="D31" t="s">
        <v>1579</v>
      </c>
      <c r="E31" t="s">
        <v>620</v>
      </c>
      <c r="F31" t="s">
        <v>14</v>
      </c>
      <c r="H31" t="s">
        <v>6</v>
      </c>
      <c r="I31" t="e">
        <f>- Allg.Leistungs- und Fähigkeitstest</f>
        <v>#NAME?</v>
      </c>
      <c r="J31" t="s">
        <v>1580</v>
      </c>
      <c r="K31" t="s">
        <v>1581</v>
      </c>
      <c r="L31" s="2">
        <v>33948</v>
      </c>
      <c r="N31" t="s">
        <v>1582</v>
      </c>
      <c r="O31" t="s">
        <v>564</v>
      </c>
      <c r="P31">
        <v>10</v>
      </c>
      <c r="Q31">
        <v>1962</v>
      </c>
      <c r="R31" t="s">
        <v>1583</v>
      </c>
      <c r="S31" t="s">
        <v>8</v>
      </c>
      <c r="T31" t="s">
        <v>1584</v>
      </c>
      <c r="U31" t="s">
        <v>123</v>
      </c>
      <c r="V31" t="s">
        <v>889</v>
      </c>
      <c r="W31" t="s">
        <v>1585</v>
      </c>
      <c r="X31" t="s">
        <v>223</v>
      </c>
      <c r="AB31" t="s">
        <v>628</v>
      </c>
    </row>
    <row r="32" spans="1:29" ht="13" customHeight="1">
      <c r="A32">
        <v>221.8</v>
      </c>
      <c r="B32">
        <v>8</v>
      </c>
      <c r="C32" t="s">
        <v>1578</v>
      </c>
      <c r="D32" t="s">
        <v>1579</v>
      </c>
      <c r="E32" t="s">
        <v>620</v>
      </c>
      <c r="F32" t="s">
        <v>267</v>
      </c>
      <c r="H32" t="s">
        <v>6</v>
      </c>
      <c r="I32" t="e">
        <f>- Allg.Leistungs- und Fähigkeitstest</f>
        <v>#NAME?</v>
      </c>
      <c r="J32" t="s">
        <v>1580</v>
      </c>
      <c r="K32" t="s">
        <v>1581</v>
      </c>
      <c r="L32" s="2">
        <v>33948</v>
      </c>
      <c r="N32" t="s">
        <v>1582</v>
      </c>
      <c r="O32" t="s">
        <v>564</v>
      </c>
      <c r="P32">
        <v>10</v>
      </c>
      <c r="Q32">
        <v>1972</v>
      </c>
      <c r="R32" t="s">
        <v>1583</v>
      </c>
      <c r="S32" t="s">
        <v>8</v>
      </c>
      <c r="T32" t="s">
        <v>1584</v>
      </c>
      <c r="U32" t="s">
        <v>123</v>
      </c>
      <c r="V32" t="s">
        <v>889</v>
      </c>
      <c r="W32" t="s">
        <v>1585</v>
      </c>
      <c r="X32" t="s">
        <v>223</v>
      </c>
      <c r="AB32" t="s">
        <v>628</v>
      </c>
    </row>
    <row r="33" spans="1:31" ht="13" customHeight="1">
      <c r="A33">
        <v>221.9</v>
      </c>
      <c r="B33">
        <v>9</v>
      </c>
      <c r="C33" t="s">
        <v>1578</v>
      </c>
      <c r="D33" t="s">
        <v>1579</v>
      </c>
      <c r="E33" t="s">
        <v>620</v>
      </c>
      <c r="F33" t="s">
        <v>1586</v>
      </c>
      <c r="H33" t="s">
        <v>6</v>
      </c>
      <c r="I33" t="e">
        <f>- Allg.Leistungs- und Fähigkeitstest</f>
        <v>#NAME?</v>
      </c>
      <c r="J33" t="s">
        <v>1580</v>
      </c>
      <c r="K33" t="s">
        <v>1581</v>
      </c>
      <c r="L33" s="2">
        <v>33948</v>
      </c>
      <c r="N33" t="s">
        <v>1582</v>
      </c>
      <c r="O33" t="s">
        <v>564</v>
      </c>
      <c r="P33">
        <v>10</v>
      </c>
      <c r="Q33">
        <v>1978</v>
      </c>
      <c r="R33" t="s">
        <v>1583</v>
      </c>
      <c r="S33" t="s">
        <v>8</v>
      </c>
      <c r="T33" t="s">
        <v>1584</v>
      </c>
      <c r="U33" t="s">
        <v>123</v>
      </c>
      <c r="V33" t="s">
        <v>889</v>
      </c>
      <c r="W33" t="s">
        <v>1585</v>
      </c>
      <c r="X33" t="s">
        <v>223</v>
      </c>
      <c r="AB33" t="s">
        <v>628</v>
      </c>
    </row>
    <row r="34" spans="1:31" ht="13" customHeight="1">
      <c r="A34">
        <v>149</v>
      </c>
      <c r="C34" t="s">
        <v>639</v>
      </c>
      <c r="D34" t="s">
        <v>640</v>
      </c>
      <c r="E34" t="s">
        <v>733</v>
      </c>
      <c r="F34" t="s">
        <v>115</v>
      </c>
      <c r="H34" t="s">
        <v>730</v>
      </c>
      <c r="I34" t="e">
        <f>- eindimensionaler Persönlichkeits-Test</f>
        <v>#NAME?</v>
      </c>
      <c r="J34" t="s">
        <v>660</v>
      </c>
      <c r="K34" t="s">
        <v>641</v>
      </c>
      <c r="L34" s="2">
        <v>34382</v>
      </c>
      <c r="N34" t="s">
        <v>642</v>
      </c>
      <c r="O34" t="s">
        <v>564</v>
      </c>
      <c r="P34">
        <v>1</v>
      </c>
      <c r="Q34">
        <v>1991</v>
      </c>
      <c r="R34" t="s">
        <v>643</v>
      </c>
      <c r="S34" t="s">
        <v>8</v>
      </c>
      <c r="T34" t="s">
        <v>779</v>
      </c>
      <c r="U34" t="s">
        <v>123</v>
      </c>
      <c r="V34" t="s">
        <v>536</v>
      </c>
      <c r="W34" t="s">
        <v>780</v>
      </c>
      <c r="AA34">
        <v>149</v>
      </c>
      <c r="AB34" t="s">
        <v>640</v>
      </c>
    </row>
    <row r="35" spans="1:31" ht="13" customHeight="1">
      <c r="A35">
        <v>331</v>
      </c>
      <c r="C35" t="s">
        <v>2018</v>
      </c>
      <c r="D35" t="s">
        <v>2019</v>
      </c>
      <c r="E35" t="s">
        <v>2020</v>
      </c>
      <c r="F35" t="s">
        <v>115</v>
      </c>
      <c r="H35" t="s">
        <v>6</v>
      </c>
      <c r="I35" t="s">
        <v>2021</v>
      </c>
      <c r="J35" t="s">
        <v>2022</v>
      </c>
      <c r="K35" t="s">
        <v>2023</v>
      </c>
      <c r="L35" s="2">
        <v>33222</v>
      </c>
      <c r="N35" t="s">
        <v>1890</v>
      </c>
      <c r="O35" t="s">
        <v>564</v>
      </c>
      <c r="P35">
        <v>1</v>
      </c>
      <c r="Q35">
        <v>1968</v>
      </c>
      <c r="S35" t="s">
        <v>716</v>
      </c>
      <c r="T35" t="s">
        <v>1793</v>
      </c>
      <c r="U35" t="s">
        <v>123</v>
      </c>
      <c r="V35" t="s">
        <v>174</v>
      </c>
      <c r="W35" t="s">
        <v>175</v>
      </c>
      <c r="X35" t="s">
        <v>1891</v>
      </c>
      <c r="Y35" t="s">
        <v>1892</v>
      </c>
      <c r="Z35" t="s">
        <v>1893</v>
      </c>
      <c r="AA35">
        <v>331</v>
      </c>
      <c r="AB35" t="s">
        <v>2019</v>
      </c>
    </row>
    <row r="36" spans="1:31" ht="13" customHeight="1">
      <c r="A36">
        <v>208</v>
      </c>
      <c r="C36" t="s">
        <v>1180</v>
      </c>
      <c r="D36" t="s">
        <v>1181</v>
      </c>
      <c r="E36" t="s">
        <v>1302</v>
      </c>
      <c r="F36" t="s">
        <v>115</v>
      </c>
      <c r="G36">
        <v>1969</v>
      </c>
      <c r="H36" t="s">
        <v>6</v>
      </c>
      <c r="I36" t="e">
        <f>- Intelligenztest für $K143:$AE143</f>
        <v>#NAME?</v>
      </c>
      <c r="J36" t="s">
        <v>1303</v>
      </c>
      <c r="K36" t="s">
        <v>0</v>
      </c>
      <c r="L36" s="2">
        <v>33582</v>
      </c>
      <c r="O36" t="s">
        <v>564</v>
      </c>
      <c r="P36">
        <v>1</v>
      </c>
      <c r="Q36">
        <v>1954</v>
      </c>
      <c r="R36" t="s">
        <v>1304</v>
      </c>
      <c r="S36" t="s">
        <v>716</v>
      </c>
      <c r="T36" t="s">
        <v>1305</v>
      </c>
      <c r="U36" t="s">
        <v>123</v>
      </c>
      <c r="V36" t="s">
        <v>174</v>
      </c>
      <c r="AA36">
        <v>208</v>
      </c>
      <c r="AB36" t="s">
        <v>1306</v>
      </c>
      <c r="AC36" t="s">
        <v>1307</v>
      </c>
    </row>
    <row r="37" spans="1:31" ht="13" customHeight="1">
      <c r="A37">
        <v>117</v>
      </c>
      <c r="C37" t="s">
        <v>1021</v>
      </c>
      <c r="D37" t="s">
        <v>877</v>
      </c>
      <c r="E37" t="s">
        <v>878</v>
      </c>
      <c r="F37" t="s">
        <v>14</v>
      </c>
      <c r="H37" t="s">
        <v>730</v>
      </c>
      <c r="I37" t="e">
        <f>- mehrdimensionaler Persönlichkeits-Test</f>
        <v>#NAME?</v>
      </c>
      <c r="J37" t="s">
        <v>879</v>
      </c>
      <c r="K37" t="s">
        <v>880</v>
      </c>
      <c r="L37" s="2">
        <v>33425</v>
      </c>
      <c r="O37" t="s">
        <v>120</v>
      </c>
      <c r="P37">
        <v>1</v>
      </c>
      <c r="Q37">
        <v>1962</v>
      </c>
      <c r="S37" t="s">
        <v>716</v>
      </c>
      <c r="T37" t="s">
        <v>1035</v>
      </c>
      <c r="U37" t="s">
        <v>123</v>
      </c>
      <c r="V37" t="s">
        <v>464</v>
      </c>
      <c r="W37" t="s">
        <v>1036</v>
      </c>
      <c r="X37" t="s">
        <v>1037</v>
      </c>
      <c r="Y37" t="s">
        <v>677</v>
      </c>
      <c r="Z37" t="s">
        <v>150</v>
      </c>
      <c r="AA37">
        <v>117</v>
      </c>
      <c r="AB37" t="s">
        <v>877</v>
      </c>
    </row>
    <row r="38" spans="1:31" ht="13" customHeight="1">
      <c r="A38">
        <v>359.1</v>
      </c>
      <c r="B38">
        <v>1</v>
      </c>
      <c r="C38" t="s">
        <v>2215</v>
      </c>
      <c r="D38" t="s">
        <v>2216</v>
      </c>
      <c r="E38" t="s">
        <v>2217</v>
      </c>
      <c r="H38" t="s">
        <v>6</v>
      </c>
      <c r="I38" t="e">
        <f>- spez. Funktionsprüfungs- und Eignungstest</f>
        <v>#NAME?</v>
      </c>
      <c r="K38" t="s">
        <v>2093</v>
      </c>
      <c r="L38" s="2">
        <v>34135</v>
      </c>
      <c r="O38" t="s">
        <v>120</v>
      </c>
      <c r="P38">
        <v>2</v>
      </c>
      <c r="Q38">
        <v>1969</v>
      </c>
      <c r="S38" t="s">
        <v>8</v>
      </c>
      <c r="T38" t="s">
        <v>2094</v>
      </c>
      <c r="U38" t="s">
        <v>123</v>
      </c>
      <c r="V38" t="s">
        <v>1352</v>
      </c>
      <c r="W38" t="s">
        <v>2063</v>
      </c>
      <c r="AA38">
        <v>359</v>
      </c>
      <c r="AB38" t="s">
        <v>2216</v>
      </c>
    </row>
    <row r="39" spans="1:31" ht="13" customHeight="1">
      <c r="A39">
        <v>359.2</v>
      </c>
      <c r="B39">
        <v>2</v>
      </c>
      <c r="C39" t="s">
        <v>2215</v>
      </c>
      <c r="D39" t="s">
        <v>2599</v>
      </c>
      <c r="E39" t="s">
        <v>2217</v>
      </c>
      <c r="H39" t="s">
        <v>6</v>
      </c>
      <c r="I39" t="e">
        <f>- spez. Funktionsprüfungs- und Eignungstest</f>
        <v>#NAME?</v>
      </c>
      <c r="K39" t="s">
        <v>2093</v>
      </c>
      <c r="L39" s="2">
        <v>34135</v>
      </c>
      <c r="O39" t="s">
        <v>564</v>
      </c>
      <c r="P39">
        <v>2</v>
      </c>
      <c r="Q39">
        <v>1969</v>
      </c>
      <c r="S39" t="s">
        <v>8</v>
      </c>
      <c r="T39" t="s">
        <v>2094</v>
      </c>
      <c r="U39" t="s">
        <v>123</v>
      </c>
      <c r="V39" t="s">
        <v>1352</v>
      </c>
      <c r="W39" t="s">
        <v>2063</v>
      </c>
      <c r="AB39" t="s">
        <v>1696</v>
      </c>
    </row>
    <row r="40" spans="1:31" ht="13" customHeight="1">
      <c r="A40">
        <v>170</v>
      </c>
      <c r="C40" t="s">
        <v>828</v>
      </c>
      <c r="D40" t="s">
        <v>829</v>
      </c>
      <c r="E40" t="s">
        <v>561</v>
      </c>
      <c r="F40" t="s">
        <v>115</v>
      </c>
      <c r="G40" s="2">
        <v>32838</v>
      </c>
      <c r="H40" t="s">
        <v>600</v>
      </c>
      <c r="I40" t="e">
        <f>- Einstellungstest</f>
        <v>#NAME?</v>
      </c>
      <c r="J40" t="s">
        <v>817</v>
      </c>
      <c r="K40" t="s">
        <v>830</v>
      </c>
      <c r="L40" s="2">
        <v>34093</v>
      </c>
      <c r="N40" t="s">
        <v>831</v>
      </c>
      <c r="O40" t="s">
        <v>564</v>
      </c>
      <c r="P40">
        <v>1</v>
      </c>
      <c r="Q40">
        <v>1987</v>
      </c>
      <c r="S40" t="s">
        <v>8</v>
      </c>
      <c r="T40" t="s">
        <v>832</v>
      </c>
      <c r="U40" t="s">
        <v>123</v>
      </c>
      <c r="V40" t="s">
        <v>830</v>
      </c>
      <c r="AA40">
        <v>170</v>
      </c>
      <c r="AB40" t="s">
        <v>829</v>
      </c>
    </row>
    <row r="41" spans="1:31" ht="13" customHeight="1">
      <c r="A41">
        <v>176</v>
      </c>
      <c r="C41" t="s">
        <v>1009</v>
      </c>
      <c r="D41" t="s">
        <v>1010</v>
      </c>
      <c r="E41" t="s">
        <v>835</v>
      </c>
      <c r="F41" t="s">
        <v>1011</v>
      </c>
      <c r="G41" s="2">
        <v>32838</v>
      </c>
      <c r="H41" t="s">
        <v>730</v>
      </c>
      <c r="I41" t="e">
        <f>- mehrdimensionaler Persönlichkeits-Test</f>
        <v>#NAME?</v>
      </c>
      <c r="J41" t="s">
        <v>1012</v>
      </c>
      <c r="K41" t="s">
        <v>1013</v>
      </c>
      <c r="L41" s="2">
        <v>33955</v>
      </c>
      <c r="N41" t="s">
        <v>1014</v>
      </c>
      <c r="O41" t="s">
        <v>564</v>
      </c>
      <c r="P41">
        <v>1</v>
      </c>
      <c r="Q41">
        <v>1991</v>
      </c>
      <c r="S41" t="s">
        <v>8</v>
      </c>
      <c r="T41" t="s">
        <v>881</v>
      </c>
      <c r="U41" t="s">
        <v>123</v>
      </c>
      <c r="V41" t="s">
        <v>1008</v>
      </c>
      <c r="W41" t="s">
        <v>882</v>
      </c>
      <c r="X41" t="s">
        <v>150</v>
      </c>
      <c r="Y41" t="s">
        <v>464</v>
      </c>
      <c r="Z41" t="s">
        <v>536</v>
      </c>
      <c r="AA41">
        <v>176</v>
      </c>
      <c r="AB41" t="s">
        <v>1010</v>
      </c>
    </row>
    <row r="42" spans="1:31" ht="13" customHeight="1">
      <c r="A42">
        <v>158</v>
      </c>
      <c r="C42" t="s">
        <v>559</v>
      </c>
      <c r="D42" t="s">
        <v>560</v>
      </c>
      <c r="E42" t="s">
        <v>561</v>
      </c>
      <c r="F42" t="s">
        <v>115</v>
      </c>
      <c r="H42" t="s">
        <v>730</v>
      </c>
      <c r="I42" t="e">
        <f>- eindimensionaler Persönlichkeits-Test</f>
        <v>#NAME?</v>
      </c>
      <c r="J42" t="s">
        <v>76</v>
      </c>
      <c r="K42" t="s">
        <v>562</v>
      </c>
      <c r="L42" s="2">
        <v>33955</v>
      </c>
      <c r="N42" t="s">
        <v>563</v>
      </c>
      <c r="O42" t="s">
        <v>564</v>
      </c>
      <c r="P42">
        <v>1</v>
      </c>
      <c r="Q42">
        <v>1991</v>
      </c>
      <c r="S42" t="s">
        <v>8</v>
      </c>
      <c r="T42" t="s">
        <v>565</v>
      </c>
      <c r="U42" t="s">
        <v>123</v>
      </c>
      <c r="V42" t="s">
        <v>566</v>
      </c>
      <c r="W42" t="s">
        <v>567</v>
      </c>
      <c r="AA42">
        <v>158</v>
      </c>
      <c r="AB42" t="s">
        <v>706</v>
      </c>
      <c r="AC42" t="s">
        <v>707</v>
      </c>
      <c r="AD42" t="s">
        <v>708</v>
      </c>
      <c r="AE42" t="s">
        <v>709</v>
      </c>
    </row>
    <row r="43" spans="1:31" ht="13" customHeight="1">
      <c r="A43">
        <v>329.1</v>
      </c>
      <c r="B43">
        <v>1</v>
      </c>
      <c r="C43" t="s">
        <v>2010</v>
      </c>
      <c r="D43" t="s">
        <v>2011</v>
      </c>
      <c r="E43" t="s">
        <v>620</v>
      </c>
      <c r="F43" t="s">
        <v>115</v>
      </c>
      <c r="H43" t="s">
        <v>730</v>
      </c>
      <c r="I43" t="e">
        <f t="shared" ref="I43:I50" si="0">- Interessentest</f>
        <v>#NAME?</v>
      </c>
      <c r="J43" t="s">
        <v>56</v>
      </c>
      <c r="K43" t="s">
        <v>2012</v>
      </c>
      <c r="L43" s="2">
        <v>33920</v>
      </c>
      <c r="N43" t="s">
        <v>2013</v>
      </c>
      <c r="O43" t="s">
        <v>564</v>
      </c>
      <c r="P43">
        <v>5</v>
      </c>
      <c r="Q43">
        <v>1955</v>
      </c>
      <c r="S43" t="s">
        <v>8</v>
      </c>
      <c r="T43" t="s">
        <v>1873</v>
      </c>
      <c r="U43" t="s">
        <v>123</v>
      </c>
      <c r="V43" t="s">
        <v>604</v>
      </c>
      <c r="W43" t="s">
        <v>30</v>
      </c>
      <c r="X43" t="s">
        <v>1708</v>
      </c>
      <c r="AA43">
        <v>329</v>
      </c>
      <c r="AB43" t="s">
        <v>2011</v>
      </c>
    </row>
    <row r="44" spans="1:31" ht="13" customHeight="1">
      <c r="A44">
        <v>329.2</v>
      </c>
      <c r="B44">
        <v>2</v>
      </c>
      <c r="C44" t="s">
        <v>2010</v>
      </c>
      <c r="D44" t="s">
        <v>2011</v>
      </c>
      <c r="E44" t="s">
        <v>620</v>
      </c>
      <c r="F44" t="s">
        <v>115</v>
      </c>
      <c r="H44" t="s">
        <v>730</v>
      </c>
      <c r="I44" t="e">
        <f t="shared" si="0"/>
        <v>#NAME?</v>
      </c>
      <c r="J44" t="s">
        <v>56</v>
      </c>
      <c r="K44" t="s">
        <v>2012</v>
      </c>
      <c r="L44" s="2">
        <v>33920</v>
      </c>
      <c r="N44" t="s">
        <v>2013</v>
      </c>
      <c r="O44" t="s">
        <v>564</v>
      </c>
      <c r="P44">
        <v>5</v>
      </c>
      <c r="Q44">
        <v>1955</v>
      </c>
      <c r="S44" t="s">
        <v>8</v>
      </c>
      <c r="T44" t="s">
        <v>1873</v>
      </c>
      <c r="U44" t="s">
        <v>123</v>
      </c>
      <c r="V44" t="s">
        <v>604</v>
      </c>
      <c r="W44" t="s">
        <v>30</v>
      </c>
      <c r="X44" t="s">
        <v>1708</v>
      </c>
      <c r="AB44" t="s">
        <v>2011</v>
      </c>
    </row>
    <row r="45" spans="1:31" ht="13" customHeight="1">
      <c r="A45">
        <v>329.3</v>
      </c>
      <c r="B45">
        <v>3</v>
      </c>
      <c r="C45" t="s">
        <v>2010</v>
      </c>
      <c r="D45" t="s">
        <v>2011</v>
      </c>
      <c r="E45" t="s">
        <v>620</v>
      </c>
      <c r="F45" t="s">
        <v>115</v>
      </c>
      <c r="H45" t="s">
        <v>730</v>
      </c>
      <c r="I45" t="e">
        <f t="shared" si="0"/>
        <v>#NAME?</v>
      </c>
      <c r="J45" t="s">
        <v>56</v>
      </c>
      <c r="K45" t="s">
        <v>2012</v>
      </c>
      <c r="L45" s="2">
        <v>33920</v>
      </c>
      <c r="N45" t="s">
        <v>2013</v>
      </c>
      <c r="O45" t="s">
        <v>564</v>
      </c>
      <c r="P45">
        <v>5</v>
      </c>
      <c r="Q45">
        <v>1955</v>
      </c>
      <c r="S45" t="s">
        <v>8</v>
      </c>
      <c r="T45" t="s">
        <v>1873</v>
      </c>
      <c r="U45" t="s">
        <v>123</v>
      </c>
      <c r="V45" t="s">
        <v>604</v>
      </c>
      <c r="W45" t="s">
        <v>30</v>
      </c>
      <c r="X45" t="s">
        <v>1708</v>
      </c>
      <c r="AB45" t="s">
        <v>2011</v>
      </c>
    </row>
    <row r="46" spans="1:31" ht="13" customHeight="1">
      <c r="A46">
        <v>329.4</v>
      </c>
      <c r="B46">
        <v>4</v>
      </c>
      <c r="C46" t="s">
        <v>2010</v>
      </c>
      <c r="D46" t="s">
        <v>2011</v>
      </c>
      <c r="E46" t="s">
        <v>620</v>
      </c>
      <c r="F46" t="s">
        <v>115</v>
      </c>
      <c r="H46" t="s">
        <v>730</v>
      </c>
      <c r="I46" t="e">
        <f t="shared" si="0"/>
        <v>#NAME?</v>
      </c>
      <c r="J46" t="s">
        <v>56</v>
      </c>
      <c r="K46" t="s">
        <v>2012</v>
      </c>
      <c r="L46" s="2">
        <v>33920</v>
      </c>
      <c r="N46" t="s">
        <v>2013</v>
      </c>
      <c r="O46" t="s">
        <v>564</v>
      </c>
      <c r="P46">
        <v>5</v>
      </c>
      <c r="Q46">
        <v>1955</v>
      </c>
      <c r="S46" t="s">
        <v>8</v>
      </c>
      <c r="T46" t="s">
        <v>1873</v>
      </c>
      <c r="U46" t="s">
        <v>123</v>
      </c>
      <c r="V46" t="s">
        <v>604</v>
      </c>
      <c r="W46" t="s">
        <v>30</v>
      </c>
      <c r="X46" t="s">
        <v>1708</v>
      </c>
      <c r="AB46" t="s">
        <v>2011</v>
      </c>
    </row>
    <row r="47" spans="1:31" ht="13" customHeight="1">
      <c r="A47">
        <v>329.5</v>
      </c>
      <c r="B47">
        <v>5</v>
      </c>
      <c r="C47" t="s">
        <v>2010</v>
      </c>
      <c r="D47" t="s">
        <v>2011</v>
      </c>
      <c r="E47" t="s">
        <v>620</v>
      </c>
      <c r="F47" t="s">
        <v>115</v>
      </c>
      <c r="H47" t="s">
        <v>730</v>
      </c>
      <c r="I47" t="e">
        <f t="shared" si="0"/>
        <v>#NAME?</v>
      </c>
      <c r="J47" t="s">
        <v>56</v>
      </c>
      <c r="K47" t="s">
        <v>2012</v>
      </c>
      <c r="L47" s="2">
        <v>33920</v>
      </c>
      <c r="N47" t="s">
        <v>2013</v>
      </c>
      <c r="O47" t="s">
        <v>564</v>
      </c>
      <c r="P47">
        <v>5</v>
      </c>
      <c r="Q47">
        <v>1955</v>
      </c>
      <c r="S47" t="s">
        <v>8</v>
      </c>
      <c r="T47" t="s">
        <v>1873</v>
      </c>
      <c r="U47" t="s">
        <v>123</v>
      </c>
      <c r="V47" t="s">
        <v>604</v>
      </c>
      <c r="W47" t="s">
        <v>30</v>
      </c>
      <c r="X47" t="s">
        <v>1708</v>
      </c>
      <c r="AB47" t="s">
        <v>2011</v>
      </c>
    </row>
    <row r="48" spans="1:31" ht="13" customHeight="1">
      <c r="A48">
        <v>330.1</v>
      </c>
      <c r="B48">
        <v>1</v>
      </c>
      <c r="C48" t="s">
        <v>1874</v>
      </c>
      <c r="D48" t="s">
        <v>1875</v>
      </c>
      <c r="E48" t="s">
        <v>620</v>
      </c>
      <c r="F48" t="s">
        <v>115</v>
      </c>
      <c r="H48" t="s">
        <v>730</v>
      </c>
      <c r="I48" t="e">
        <f t="shared" si="0"/>
        <v>#NAME?</v>
      </c>
      <c r="J48" t="s">
        <v>56</v>
      </c>
      <c r="K48" t="s">
        <v>2012</v>
      </c>
      <c r="L48" s="2">
        <v>33920</v>
      </c>
      <c r="N48" t="s">
        <v>1876</v>
      </c>
      <c r="O48" t="s">
        <v>564</v>
      </c>
      <c r="P48">
        <v>2</v>
      </c>
      <c r="Q48">
        <v>1984</v>
      </c>
      <c r="S48" t="s">
        <v>8</v>
      </c>
      <c r="T48" t="s">
        <v>2016</v>
      </c>
      <c r="U48" t="s">
        <v>123</v>
      </c>
      <c r="V48" t="s">
        <v>604</v>
      </c>
      <c r="W48" t="s">
        <v>30</v>
      </c>
      <c r="X48" t="s">
        <v>1708</v>
      </c>
      <c r="AA48">
        <v>330</v>
      </c>
      <c r="AB48" t="s">
        <v>2011</v>
      </c>
      <c r="AC48" t="s">
        <v>2017</v>
      </c>
    </row>
    <row r="49" spans="1:30" ht="13" customHeight="1">
      <c r="A49">
        <v>330.2</v>
      </c>
      <c r="B49">
        <v>2</v>
      </c>
      <c r="C49" t="s">
        <v>1874</v>
      </c>
      <c r="D49" t="s">
        <v>1875</v>
      </c>
      <c r="E49" t="s">
        <v>620</v>
      </c>
      <c r="F49" t="s">
        <v>115</v>
      </c>
      <c r="H49" t="s">
        <v>730</v>
      </c>
      <c r="I49" t="e">
        <f t="shared" si="0"/>
        <v>#NAME?</v>
      </c>
      <c r="J49" t="s">
        <v>56</v>
      </c>
      <c r="K49" t="s">
        <v>2012</v>
      </c>
      <c r="L49" s="2">
        <v>33920</v>
      </c>
      <c r="N49" t="s">
        <v>1876</v>
      </c>
      <c r="O49" t="s">
        <v>564</v>
      </c>
      <c r="P49">
        <v>2</v>
      </c>
      <c r="Q49">
        <v>1984</v>
      </c>
      <c r="S49" t="s">
        <v>8</v>
      </c>
      <c r="T49" t="s">
        <v>2016</v>
      </c>
      <c r="U49" t="s">
        <v>123</v>
      </c>
      <c r="V49" t="s">
        <v>604</v>
      </c>
      <c r="W49" t="s">
        <v>30</v>
      </c>
      <c r="X49" t="s">
        <v>1708</v>
      </c>
      <c r="AB49" t="s">
        <v>2011</v>
      </c>
      <c r="AC49" t="s">
        <v>2017</v>
      </c>
    </row>
    <row r="50" spans="1:30" ht="13" customHeight="1">
      <c r="A50">
        <v>295</v>
      </c>
      <c r="C50" t="s">
        <v>1703</v>
      </c>
      <c r="D50" t="s">
        <v>1704</v>
      </c>
      <c r="E50" t="s">
        <v>1705</v>
      </c>
      <c r="F50" t="s">
        <v>115</v>
      </c>
      <c r="H50" t="s">
        <v>730</v>
      </c>
      <c r="I50" t="e">
        <f t="shared" si="0"/>
        <v>#NAME?</v>
      </c>
      <c r="K50" t="s">
        <v>1706</v>
      </c>
      <c r="L50" s="2">
        <v>33844</v>
      </c>
      <c r="O50" t="s">
        <v>564</v>
      </c>
      <c r="P50">
        <v>1</v>
      </c>
      <c r="Q50">
        <v>1961</v>
      </c>
      <c r="S50" t="s">
        <v>8</v>
      </c>
      <c r="T50" t="s">
        <v>1707</v>
      </c>
      <c r="U50" t="s">
        <v>123</v>
      </c>
      <c r="V50" t="s">
        <v>1022</v>
      </c>
      <c r="W50" t="s">
        <v>1708</v>
      </c>
      <c r="AA50">
        <v>295</v>
      </c>
      <c r="AB50" t="s">
        <v>1704</v>
      </c>
    </row>
    <row r="51" spans="1:30" ht="13" customHeight="1">
      <c r="A51">
        <v>422</v>
      </c>
      <c r="C51" t="s">
        <v>2580</v>
      </c>
      <c r="D51" t="s">
        <v>2581</v>
      </c>
      <c r="E51" t="s">
        <v>898</v>
      </c>
      <c r="F51" t="s">
        <v>115</v>
      </c>
      <c r="H51" t="s">
        <v>730</v>
      </c>
      <c r="I51" t="e">
        <f>- klinischer Test</f>
        <v>#NAME?</v>
      </c>
      <c r="J51" t="s">
        <v>2571</v>
      </c>
      <c r="K51" t="s">
        <v>2582</v>
      </c>
      <c r="L51" s="2">
        <v>33577</v>
      </c>
      <c r="N51" t="s">
        <v>2583</v>
      </c>
      <c r="O51" t="s">
        <v>564</v>
      </c>
      <c r="P51">
        <v>1</v>
      </c>
      <c r="Q51">
        <v>1976</v>
      </c>
      <c r="R51" t="s">
        <v>2584</v>
      </c>
      <c r="S51" t="s">
        <v>8</v>
      </c>
      <c r="T51" t="s">
        <v>2585</v>
      </c>
      <c r="U51" t="s">
        <v>123</v>
      </c>
      <c r="V51" t="s">
        <v>2582</v>
      </c>
      <c r="AA51">
        <v>422</v>
      </c>
      <c r="AB51" t="s">
        <v>2586</v>
      </c>
      <c r="AC51" t="s">
        <v>2579</v>
      </c>
    </row>
    <row r="52" spans="1:30" ht="13" customHeight="1">
      <c r="A52">
        <v>502</v>
      </c>
      <c r="C52" t="s">
        <v>2532</v>
      </c>
      <c r="D52" t="s">
        <v>2533</v>
      </c>
      <c r="E52" t="s">
        <v>2672</v>
      </c>
      <c r="F52" t="s">
        <v>115</v>
      </c>
      <c r="H52" t="s">
        <v>730</v>
      </c>
      <c r="I52" t="e">
        <f>- mehrdimensionaler Persönlichkeits-Test</f>
        <v>#NAME?</v>
      </c>
      <c r="J52" t="s">
        <v>2673</v>
      </c>
      <c r="K52" t="s">
        <v>2674</v>
      </c>
      <c r="L52" s="2">
        <v>33355</v>
      </c>
      <c r="N52" t="s">
        <v>2675</v>
      </c>
      <c r="O52" t="s">
        <v>564</v>
      </c>
      <c r="P52">
        <v>1</v>
      </c>
      <c r="Q52">
        <v>1981</v>
      </c>
      <c r="S52" t="s">
        <v>121</v>
      </c>
      <c r="T52" t="s">
        <v>2676</v>
      </c>
      <c r="U52" t="s">
        <v>123</v>
      </c>
      <c r="V52" t="s">
        <v>2677</v>
      </c>
      <c r="W52" t="s">
        <v>2678</v>
      </c>
      <c r="X52" t="s">
        <v>2679</v>
      </c>
      <c r="AA52">
        <v>502</v>
      </c>
      <c r="AB52" t="s">
        <v>2680</v>
      </c>
      <c r="AC52" t="s">
        <v>2681</v>
      </c>
      <c r="AD52" t="s">
        <v>2682</v>
      </c>
    </row>
    <row r="53" spans="1:30" ht="13" customHeight="1">
      <c r="A53">
        <v>164</v>
      </c>
      <c r="C53" t="s">
        <v>1038</v>
      </c>
      <c r="D53" t="s">
        <v>1039</v>
      </c>
      <c r="E53" t="s">
        <v>1040</v>
      </c>
      <c r="F53" t="s">
        <v>1041</v>
      </c>
      <c r="H53" t="s">
        <v>730</v>
      </c>
      <c r="I53" t="e">
        <f>- Intelligenztest für $K143:$AE143</f>
        <v>#NAME?</v>
      </c>
      <c r="J53" t="s">
        <v>1042</v>
      </c>
      <c r="K53" t="s">
        <v>118</v>
      </c>
      <c r="L53" s="2">
        <v>35031</v>
      </c>
      <c r="N53" t="s">
        <v>1043</v>
      </c>
      <c r="O53" t="s">
        <v>564</v>
      </c>
      <c r="P53">
        <v>1</v>
      </c>
      <c r="Q53">
        <v>1967</v>
      </c>
      <c r="R53" t="s">
        <v>1044</v>
      </c>
      <c r="S53" t="s">
        <v>8</v>
      </c>
      <c r="T53" t="s">
        <v>1045</v>
      </c>
      <c r="U53" t="s">
        <v>123</v>
      </c>
      <c r="V53" t="s">
        <v>174</v>
      </c>
      <c r="W53" t="s">
        <v>1</v>
      </c>
      <c r="AA53">
        <v>164</v>
      </c>
      <c r="AB53" t="s">
        <v>1046</v>
      </c>
      <c r="AC53" t="s">
        <v>1047</v>
      </c>
      <c r="AD53" t="s">
        <v>1048</v>
      </c>
    </row>
    <row r="54" spans="1:30" ht="13" customHeight="1">
      <c r="A54">
        <v>165</v>
      </c>
      <c r="C54" t="s">
        <v>1038</v>
      </c>
      <c r="D54" t="s">
        <v>1049</v>
      </c>
      <c r="E54" t="s">
        <v>1040</v>
      </c>
      <c r="F54" t="s">
        <v>115</v>
      </c>
      <c r="H54" t="s">
        <v>6</v>
      </c>
      <c r="I54" t="e">
        <f>- Intelligenztest für $K143:$AE143</f>
        <v>#NAME?</v>
      </c>
      <c r="J54" t="s">
        <v>1050</v>
      </c>
      <c r="K54" t="s">
        <v>1051</v>
      </c>
      <c r="L54" s="2">
        <v>34016</v>
      </c>
      <c r="N54" t="s">
        <v>1052</v>
      </c>
      <c r="O54" t="s">
        <v>564</v>
      </c>
      <c r="P54">
        <v>1</v>
      </c>
      <c r="Q54">
        <v>1966</v>
      </c>
      <c r="R54" t="s">
        <v>1195</v>
      </c>
      <c r="S54" t="s">
        <v>8</v>
      </c>
      <c r="T54" t="s">
        <v>1196</v>
      </c>
      <c r="U54" t="s">
        <v>123</v>
      </c>
      <c r="V54" t="s">
        <v>174</v>
      </c>
      <c r="W54" t="s">
        <v>1</v>
      </c>
      <c r="AA54">
        <v>165</v>
      </c>
      <c r="AB54" t="s">
        <v>1049</v>
      </c>
    </row>
    <row r="55" spans="1:30" ht="13" customHeight="1">
      <c r="A55">
        <v>310</v>
      </c>
      <c r="C55" t="s">
        <v>1886</v>
      </c>
      <c r="D55" t="s">
        <v>1887</v>
      </c>
      <c r="E55" t="s">
        <v>1916</v>
      </c>
      <c r="F55" t="s">
        <v>115</v>
      </c>
      <c r="H55" t="s">
        <v>730</v>
      </c>
      <c r="I55" t="e">
        <f>- Einstellungstest</f>
        <v>#NAME?</v>
      </c>
      <c r="J55" t="s">
        <v>1888</v>
      </c>
      <c r="K55" t="s">
        <v>1889</v>
      </c>
      <c r="L55" s="2">
        <v>33920</v>
      </c>
      <c r="O55" t="s">
        <v>120</v>
      </c>
      <c r="P55">
        <v>1</v>
      </c>
      <c r="Q55">
        <v>1952</v>
      </c>
      <c r="S55" t="s">
        <v>8</v>
      </c>
      <c r="T55" t="s">
        <v>1750</v>
      </c>
      <c r="U55" t="s">
        <v>123</v>
      </c>
      <c r="V55" t="s">
        <v>464</v>
      </c>
      <c r="W55" t="s">
        <v>1751</v>
      </c>
      <c r="X55" t="s">
        <v>604</v>
      </c>
      <c r="Y55" t="s">
        <v>1631</v>
      </c>
      <c r="AA55">
        <v>310</v>
      </c>
      <c r="AB55" t="s">
        <v>1887</v>
      </c>
    </row>
    <row r="56" spans="1:30" ht="13" customHeight="1">
      <c r="A56">
        <v>93</v>
      </c>
      <c r="C56" t="s">
        <v>650</v>
      </c>
      <c r="D56" t="s">
        <v>651</v>
      </c>
      <c r="E56" t="s">
        <v>398</v>
      </c>
      <c r="F56" t="s">
        <v>115</v>
      </c>
      <c r="H56" t="s">
        <v>730</v>
      </c>
      <c r="I56" t="e">
        <f>- Interessentest</f>
        <v>#NAME?</v>
      </c>
      <c r="J56" t="s">
        <v>76</v>
      </c>
      <c r="K56" t="s">
        <v>652</v>
      </c>
      <c r="L56" s="2">
        <v>34459</v>
      </c>
      <c r="O56" t="s">
        <v>120</v>
      </c>
      <c r="P56">
        <v>1</v>
      </c>
      <c r="Q56" t="s">
        <v>653</v>
      </c>
      <c r="S56" t="s">
        <v>121</v>
      </c>
      <c r="T56" t="s">
        <v>785</v>
      </c>
      <c r="U56" t="s">
        <v>123</v>
      </c>
      <c r="V56" t="s">
        <v>786</v>
      </c>
      <c r="W56" t="s">
        <v>604</v>
      </c>
      <c r="X56" t="s">
        <v>30</v>
      </c>
      <c r="AA56">
        <v>93</v>
      </c>
      <c r="AB56" t="s">
        <v>787</v>
      </c>
      <c r="AC56" t="s">
        <v>788</v>
      </c>
    </row>
    <row r="57" spans="1:30" ht="13" customHeight="1">
      <c r="A57">
        <v>286</v>
      </c>
      <c r="C57" t="s">
        <v>1672</v>
      </c>
      <c r="D57" t="s">
        <v>1673</v>
      </c>
      <c r="E57" t="s">
        <v>1674</v>
      </c>
      <c r="F57" t="s">
        <v>115</v>
      </c>
      <c r="H57" t="s">
        <v>6</v>
      </c>
      <c r="I57" t="e">
        <f>- spez. Funktionsprüfungs- und Eignungstest</f>
        <v>#NAME?</v>
      </c>
      <c r="J57" t="s">
        <v>791</v>
      </c>
      <c r="K57" t="s">
        <v>1739</v>
      </c>
      <c r="L57" s="2">
        <v>33844</v>
      </c>
      <c r="O57" t="s">
        <v>120</v>
      </c>
      <c r="P57">
        <v>1</v>
      </c>
      <c r="Q57">
        <v>1961</v>
      </c>
      <c r="S57" t="s">
        <v>8</v>
      </c>
      <c r="T57" t="s">
        <v>1675</v>
      </c>
      <c r="U57" t="s">
        <v>123</v>
      </c>
      <c r="V57" t="s">
        <v>1741</v>
      </c>
      <c r="W57" t="s">
        <v>1742</v>
      </c>
      <c r="X57" t="s">
        <v>1743</v>
      </c>
      <c r="AA57">
        <v>286</v>
      </c>
      <c r="AB57" t="s">
        <v>1673</v>
      </c>
    </row>
    <row r="58" spans="1:30" ht="13" customHeight="1">
      <c r="A58">
        <v>289.10000000000002</v>
      </c>
      <c r="B58">
        <v>1</v>
      </c>
      <c r="C58" t="s">
        <v>1691</v>
      </c>
      <c r="D58" t="s">
        <v>1692</v>
      </c>
      <c r="E58" t="s">
        <v>620</v>
      </c>
      <c r="F58" t="s">
        <v>115</v>
      </c>
      <c r="H58" t="s">
        <v>6</v>
      </c>
      <c r="I58" t="e">
        <f>- spez. Funktionsprüfungs- und Eignungstest</f>
        <v>#NAME?</v>
      </c>
      <c r="J58" t="s">
        <v>849</v>
      </c>
      <c r="K58" t="s">
        <v>1897</v>
      </c>
      <c r="L58" s="2">
        <v>33500</v>
      </c>
      <c r="N58" t="s">
        <v>1898</v>
      </c>
      <c r="O58" t="s">
        <v>564</v>
      </c>
      <c r="P58">
        <v>2</v>
      </c>
      <c r="Q58">
        <v>1967</v>
      </c>
      <c r="S58" t="s">
        <v>8</v>
      </c>
      <c r="T58" t="s">
        <v>1899</v>
      </c>
      <c r="U58" t="s">
        <v>123</v>
      </c>
      <c r="V58" t="s">
        <v>1688</v>
      </c>
      <c r="W58" t="s">
        <v>1900</v>
      </c>
      <c r="X58" t="s">
        <v>1901</v>
      </c>
      <c r="Y58" t="s">
        <v>1902</v>
      </c>
      <c r="AA58">
        <v>289</v>
      </c>
      <c r="AB58" t="s">
        <v>1692</v>
      </c>
    </row>
    <row r="59" spans="1:30" ht="13" customHeight="1">
      <c r="A59">
        <v>289.2</v>
      </c>
      <c r="B59">
        <v>2</v>
      </c>
      <c r="C59" t="s">
        <v>1691</v>
      </c>
      <c r="D59" t="s">
        <v>1692</v>
      </c>
      <c r="E59" t="s">
        <v>620</v>
      </c>
      <c r="F59" t="s">
        <v>115</v>
      </c>
      <c r="H59" t="s">
        <v>6</v>
      </c>
      <c r="I59" t="e">
        <f>- spez. Funktionsprüfungs- und Eignungstest</f>
        <v>#NAME?</v>
      </c>
      <c r="J59" t="s">
        <v>849</v>
      </c>
      <c r="K59" t="s">
        <v>1897</v>
      </c>
      <c r="L59" s="2">
        <v>33500</v>
      </c>
      <c r="N59" t="s">
        <v>1898</v>
      </c>
      <c r="O59" t="s">
        <v>564</v>
      </c>
      <c r="P59">
        <v>2</v>
      </c>
      <c r="Q59">
        <v>1967</v>
      </c>
      <c r="S59" t="s">
        <v>8</v>
      </c>
      <c r="T59" t="s">
        <v>1899</v>
      </c>
      <c r="U59" t="s">
        <v>123</v>
      </c>
      <c r="V59" t="s">
        <v>1688</v>
      </c>
      <c r="W59" t="s">
        <v>1900</v>
      </c>
      <c r="X59" t="s">
        <v>1901</v>
      </c>
      <c r="Y59" t="s">
        <v>1902</v>
      </c>
      <c r="AB59" t="s">
        <v>1692</v>
      </c>
    </row>
    <row r="60" spans="1:30" ht="13" customHeight="1">
      <c r="A60">
        <v>92</v>
      </c>
      <c r="C60" t="s">
        <v>504</v>
      </c>
      <c r="D60" t="s">
        <v>505</v>
      </c>
      <c r="E60" t="s">
        <v>342</v>
      </c>
      <c r="F60" t="s">
        <v>115</v>
      </c>
      <c r="H60" t="s">
        <v>6</v>
      </c>
      <c r="I60" t="e">
        <f>- Entwicklungstest</f>
        <v>#NAME?</v>
      </c>
      <c r="J60" t="s">
        <v>644</v>
      </c>
      <c r="K60" t="s">
        <v>645</v>
      </c>
      <c r="L60" s="2">
        <v>33844</v>
      </c>
      <c r="O60" t="s">
        <v>120</v>
      </c>
      <c r="P60">
        <v>1</v>
      </c>
      <c r="Q60">
        <v>1963</v>
      </c>
      <c r="S60" t="s">
        <v>121</v>
      </c>
      <c r="T60" t="s">
        <v>646</v>
      </c>
      <c r="U60" t="s">
        <v>123</v>
      </c>
      <c r="V60" t="s">
        <v>375</v>
      </c>
      <c r="W60" t="s">
        <v>20</v>
      </c>
      <c r="AA60">
        <v>92</v>
      </c>
      <c r="AB60" t="s">
        <v>647</v>
      </c>
      <c r="AC60" t="s">
        <v>648</v>
      </c>
      <c r="AD60" t="s">
        <v>649</v>
      </c>
    </row>
    <row r="61" spans="1:30" ht="13" customHeight="1">
      <c r="A61">
        <v>322</v>
      </c>
      <c r="C61" t="s">
        <v>2097</v>
      </c>
      <c r="D61" t="s">
        <v>2098</v>
      </c>
      <c r="E61" t="s">
        <v>1674</v>
      </c>
      <c r="F61" t="s">
        <v>115</v>
      </c>
      <c r="H61" t="s">
        <v>6</v>
      </c>
      <c r="I61" t="e">
        <f>- Intelligenztest für $K143:$AE143</f>
        <v>#NAME?</v>
      </c>
      <c r="J61" t="s">
        <v>1083</v>
      </c>
      <c r="K61" t="s">
        <v>2099</v>
      </c>
      <c r="L61" s="2">
        <v>33500</v>
      </c>
      <c r="N61" t="s">
        <v>2100</v>
      </c>
      <c r="O61" t="s">
        <v>120</v>
      </c>
      <c r="P61">
        <v>1</v>
      </c>
      <c r="Q61">
        <v>1966</v>
      </c>
      <c r="S61" t="s">
        <v>8</v>
      </c>
      <c r="T61" t="s">
        <v>2101</v>
      </c>
      <c r="U61" t="s">
        <v>123</v>
      </c>
      <c r="V61" t="s">
        <v>2102</v>
      </c>
      <c r="W61" t="s">
        <v>174</v>
      </c>
      <c r="AA61">
        <v>322</v>
      </c>
      <c r="AB61" t="s">
        <v>2103</v>
      </c>
      <c r="AC61" t="s">
        <v>2104</v>
      </c>
    </row>
    <row r="62" spans="1:30" ht="13" customHeight="1">
      <c r="A62">
        <v>353</v>
      </c>
      <c r="C62" t="s">
        <v>2303</v>
      </c>
      <c r="D62" t="s">
        <v>2304</v>
      </c>
      <c r="E62" t="s">
        <v>2127</v>
      </c>
      <c r="F62" t="s">
        <v>14</v>
      </c>
      <c r="H62" t="s">
        <v>6</v>
      </c>
      <c r="I62" t="e">
        <f>- Intelligenztest für $K143:$AE143 und $K55:$AE55</f>
        <v>#NAME?</v>
      </c>
      <c r="J62" t="s">
        <v>2305</v>
      </c>
      <c r="K62" t="s">
        <v>2306</v>
      </c>
      <c r="L62" s="2">
        <v>33248</v>
      </c>
      <c r="O62" t="s">
        <v>120</v>
      </c>
      <c r="P62">
        <v>1</v>
      </c>
      <c r="Q62">
        <v>1963</v>
      </c>
      <c r="S62" t="s">
        <v>8</v>
      </c>
      <c r="T62" t="s">
        <v>2307</v>
      </c>
      <c r="U62" t="s">
        <v>123</v>
      </c>
      <c r="V62" t="s">
        <v>1107</v>
      </c>
      <c r="W62" t="s">
        <v>855</v>
      </c>
      <c r="X62" t="s">
        <v>930</v>
      </c>
      <c r="Y62" t="s">
        <v>175</v>
      </c>
      <c r="AA62">
        <v>353</v>
      </c>
      <c r="AB62" t="s">
        <v>2308</v>
      </c>
      <c r="AC62" t="s">
        <v>2132</v>
      </c>
    </row>
    <row r="63" spans="1:30" ht="13" customHeight="1">
      <c r="A63">
        <v>45</v>
      </c>
      <c r="C63" t="s">
        <v>378</v>
      </c>
      <c r="D63" t="s">
        <v>379</v>
      </c>
      <c r="E63" t="s">
        <v>373</v>
      </c>
      <c r="F63" t="s">
        <v>115</v>
      </c>
      <c r="H63" t="s">
        <v>6</v>
      </c>
      <c r="I63" t="s">
        <v>139</v>
      </c>
      <c r="J63" t="s">
        <v>513</v>
      </c>
      <c r="K63" t="s">
        <v>141</v>
      </c>
      <c r="L63" s="2">
        <v>33577</v>
      </c>
      <c r="O63" t="s">
        <v>120</v>
      </c>
      <c r="P63">
        <v>1</v>
      </c>
      <c r="Q63">
        <v>1958</v>
      </c>
      <c r="S63" t="s">
        <v>121</v>
      </c>
      <c r="T63" t="s">
        <v>514</v>
      </c>
      <c r="U63" t="s">
        <v>123</v>
      </c>
      <c r="V63" t="s">
        <v>175</v>
      </c>
      <c r="W63" t="s">
        <v>145</v>
      </c>
      <c r="AA63">
        <v>45</v>
      </c>
      <c r="AB63" t="s">
        <v>515</v>
      </c>
      <c r="AC63" t="s">
        <v>516</v>
      </c>
    </row>
    <row r="64" spans="1:30" ht="13" customHeight="1">
      <c r="A64">
        <v>350.1</v>
      </c>
      <c r="B64">
        <v>1</v>
      </c>
      <c r="C64" t="s">
        <v>2145</v>
      </c>
      <c r="D64" t="s">
        <v>2146</v>
      </c>
      <c r="E64" t="s">
        <v>342</v>
      </c>
      <c r="F64" t="s">
        <v>1826</v>
      </c>
      <c r="H64" t="s">
        <v>730</v>
      </c>
      <c r="I64" t="e">
        <f>- mehrdimensionaler Persönlichkeits-Test</f>
        <v>#NAME?</v>
      </c>
      <c r="J64" t="s">
        <v>1827</v>
      </c>
      <c r="K64" t="s">
        <v>2147</v>
      </c>
      <c r="L64" s="2">
        <v>33248</v>
      </c>
      <c r="N64" t="s">
        <v>2148</v>
      </c>
      <c r="O64" t="s">
        <v>564</v>
      </c>
      <c r="P64">
        <v>3</v>
      </c>
      <c r="Q64">
        <v>1969</v>
      </c>
      <c r="S64" t="s">
        <v>8</v>
      </c>
      <c r="T64" t="s">
        <v>2024</v>
      </c>
      <c r="U64" t="s">
        <v>123</v>
      </c>
      <c r="V64" t="s">
        <v>464</v>
      </c>
      <c r="W64" t="s">
        <v>1315</v>
      </c>
      <c r="X64" t="s">
        <v>1785</v>
      </c>
      <c r="Y64" t="s">
        <v>1631</v>
      </c>
      <c r="Z64" t="s">
        <v>2025</v>
      </c>
      <c r="AA64">
        <v>350</v>
      </c>
      <c r="AB64" t="s">
        <v>2146</v>
      </c>
    </row>
    <row r="65" spans="1:31" ht="13" customHeight="1">
      <c r="A65">
        <v>350.2</v>
      </c>
      <c r="B65">
        <v>2</v>
      </c>
      <c r="C65" t="s">
        <v>2145</v>
      </c>
      <c r="D65" t="s">
        <v>2146</v>
      </c>
      <c r="E65" t="s">
        <v>342</v>
      </c>
      <c r="F65" t="s">
        <v>1826</v>
      </c>
      <c r="H65" t="s">
        <v>730</v>
      </c>
      <c r="I65" t="e">
        <f>- mehrdimensionaler Persönlichkeits-Test</f>
        <v>#NAME?</v>
      </c>
      <c r="J65" t="s">
        <v>1827</v>
      </c>
      <c r="K65" t="s">
        <v>2147</v>
      </c>
      <c r="L65" s="2">
        <v>33248</v>
      </c>
      <c r="N65" t="s">
        <v>2148</v>
      </c>
      <c r="O65" t="s">
        <v>564</v>
      </c>
      <c r="P65">
        <v>3</v>
      </c>
      <c r="Q65">
        <v>1969</v>
      </c>
      <c r="S65" t="s">
        <v>8</v>
      </c>
      <c r="T65" t="s">
        <v>2024</v>
      </c>
      <c r="U65" t="s">
        <v>123</v>
      </c>
      <c r="V65" t="s">
        <v>464</v>
      </c>
      <c r="W65" t="s">
        <v>1315</v>
      </c>
      <c r="X65" t="s">
        <v>1785</v>
      </c>
      <c r="Y65" t="s">
        <v>1631</v>
      </c>
      <c r="Z65" t="s">
        <v>2025</v>
      </c>
      <c r="AB65" t="s">
        <v>2146</v>
      </c>
    </row>
    <row r="66" spans="1:31" ht="13" customHeight="1">
      <c r="A66">
        <v>350.3</v>
      </c>
      <c r="B66">
        <v>3</v>
      </c>
      <c r="C66" t="s">
        <v>2145</v>
      </c>
      <c r="D66" t="s">
        <v>2146</v>
      </c>
      <c r="E66" t="s">
        <v>342</v>
      </c>
      <c r="F66" t="s">
        <v>1826</v>
      </c>
      <c r="H66" t="s">
        <v>730</v>
      </c>
      <c r="I66" t="e">
        <f>- mehrdimensionaler Persönlichkeits-Test</f>
        <v>#NAME?</v>
      </c>
      <c r="J66" t="s">
        <v>1827</v>
      </c>
      <c r="K66" t="s">
        <v>2147</v>
      </c>
      <c r="L66" s="2">
        <v>33248</v>
      </c>
      <c r="N66" t="s">
        <v>2148</v>
      </c>
      <c r="O66" t="s">
        <v>564</v>
      </c>
      <c r="P66">
        <v>3</v>
      </c>
      <c r="Q66">
        <v>1969</v>
      </c>
      <c r="S66" t="s">
        <v>8</v>
      </c>
      <c r="T66" t="s">
        <v>2024</v>
      </c>
      <c r="U66" t="s">
        <v>123</v>
      </c>
      <c r="V66" t="s">
        <v>464</v>
      </c>
      <c r="W66" t="s">
        <v>1315</v>
      </c>
      <c r="X66" t="s">
        <v>1785</v>
      </c>
      <c r="Y66" t="s">
        <v>1631</v>
      </c>
      <c r="Z66" t="s">
        <v>2025</v>
      </c>
      <c r="AB66" t="s">
        <v>2146</v>
      </c>
    </row>
    <row r="67" spans="1:31" ht="13" customHeight="1">
      <c r="A67">
        <v>348</v>
      </c>
      <c r="C67" t="s">
        <v>2125</v>
      </c>
      <c r="D67" t="s">
        <v>2126</v>
      </c>
      <c r="E67" t="s">
        <v>2127</v>
      </c>
      <c r="F67" t="s">
        <v>1826</v>
      </c>
      <c r="H67" t="s">
        <v>6</v>
      </c>
      <c r="I67" t="e">
        <f>- Intelligenztest für $K55:$AE55 und Erw.</f>
        <v>#NAME?</v>
      </c>
      <c r="J67" t="s">
        <v>1827</v>
      </c>
      <c r="K67" t="s">
        <v>2128</v>
      </c>
      <c r="L67" s="2">
        <v>33582</v>
      </c>
      <c r="O67" t="s">
        <v>120</v>
      </c>
      <c r="P67">
        <v>1</v>
      </c>
      <c r="Q67">
        <v>1963</v>
      </c>
      <c r="S67" t="s">
        <v>8</v>
      </c>
      <c r="T67" t="s">
        <v>2129</v>
      </c>
      <c r="U67" t="s">
        <v>123</v>
      </c>
      <c r="V67" t="s">
        <v>1880</v>
      </c>
      <c r="W67" t="s">
        <v>2130</v>
      </c>
      <c r="X67" t="s">
        <v>1735</v>
      </c>
      <c r="Y67" t="s">
        <v>760</v>
      </c>
      <c r="Z67" t="s">
        <v>930</v>
      </c>
      <c r="AA67">
        <v>348</v>
      </c>
      <c r="AB67" t="s">
        <v>2131</v>
      </c>
      <c r="AC67" t="s">
        <v>2132</v>
      </c>
      <c r="AD67" t="s">
        <v>2133</v>
      </c>
    </row>
    <row r="68" spans="1:31" ht="13" customHeight="1">
      <c r="A68">
        <v>349</v>
      </c>
      <c r="C68" t="s">
        <v>2134</v>
      </c>
      <c r="D68" t="s">
        <v>2014</v>
      </c>
      <c r="E68" t="s">
        <v>2127</v>
      </c>
      <c r="F68" t="s">
        <v>1826</v>
      </c>
      <c r="H68" t="s">
        <v>730</v>
      </c>
      <c r="I68" t="e">
        <f>- mehrdimensionaler Persönlichkeits-Test</f>
        <v>#NAME?</v>
      </c>
      <c r="J68" t="s">
        <v>791</v>
      </c>
      <c r="K68" t="s">
        <v>2015</v>
      </c>
      <c r="L68" s="2">
        <v>33248</v>
      </c>
      <c r="O68" t="s">
        <v>120</v>
      </c>
      <c r="P68">
        <v>1</v>
      </c>
      <c r="Q68">
        <v>1953</v>
      </c>
      <c r="S68" t="s">
        <v>8</v>
      </c>
      <c r="T68" t="s">
        <v>2141</v>
      </c>
      <c r="U68" t="s">
        <v>123</v>
      </c>
      <c r="V68" t="s">
        <v>464</v>
      </c>
      <c r="W68" t="s">
        <v>1785</v>
      </c>
      <c r="X68" t="s">
        <v>2142</v>
      </c>
      <c r="Y68" t="s">
        <v>2143</v>
      </c>
      <c r="Z68" t="s">
        <v>1315</v>
      </c>
      <c r="AA68">
        <v>349</v>
      </c>
      <c r="AB68" t="s">
        <v>165</v>
      </c>
      <c r="AC68" t="s">
        <v>2132</v>
      </c>
      <c r="AD68" t="s">
        <v>2144</v>
      </c>
    </row>
    <row r="69" spans="1:31" ht="13" customHeight="1">
      <c r="A69">
        <v>293.10000000000002</v>
      </c>
      <c r="B69">
        <v>1</v>
      </c>
      <c r="C69" t="s">
        <v>1786</v>
      </c>
      <c r="D69" t="s">
        <v>1787</v>
      </c>
      <c r="E69" t="s">
        <v>1788</v>
      </c>
      <c r="F69" t="s">
        <v>115</v>
      </c>
      <c r="H69" t="s">
        <v>6</v>
      </c>
      <c r="I69" t="e">
        <f>- Intelligenztest für $K55:$AE55 und Erw.</f>
        <v>#NAME?</v>
      </c>
      <c r="J69" t="s">
        <v>1789</v>
      </c>
      <c r="K69" t="s">
        <v>1790</v>
      </c>
      <c r="L69" s="2">
        <v>34627</v>
      </c>
      <c r="N69" t="s">
        <v>1791</v>
      </c>
      <c r="O69" t="s">
        <v>564</v>
      </c>
      <c r="P69">
        <v>2</v>
      </c>
      <c r="Q69">
        <v>1954</v>
      </c>
      <c r="R69" t="s">
        <v>1792</v>
      </c>
      <c r="S69" t="s">
        <v>8</v>
      </c>
      <c r="T69" t="s">
        <v>1793</v>
      </c>
      <c r="U69" t="s">
        <v>123</v>
      </c>
      <c r="V69" t="s">
        <v>174</v>
      </c>
      <c r="W69" t="s">
        <v>1794</v>
      </c>
      <c r="AA69">
        <v>293</v>
      </c>
      <c r="AB69" t="s">
        <v>1795</v>
      </c>
      <c r="AC69" t="s">
        <v>1796</v>
      </c>
    </row>
    <row r="70" spans="1:31" ht="13" customHeight="1">
      <c r="A70">
        <v>281.10000000000002</v>
      </c>
      <c r="B70">
        <v>1</v>
      </c>
      <c r="C70" t="s">
        <v>1830</v>
      </c>
      <c r="D70" t="s">
        <v>1831</v>
      </c>
      <c r="E70" t="s">
        <v>1058</v>
      </c>
      <c r="F70" t="s">
        <v>14</v>
      </c>
      <c r="H70" t="s">
        <v>6</v>
      </c>
      <c r="I70" t="e">
        <f>- Intelligenztest für $K143:$AE143 und $K55:$AE55</f>
        <v>#NAME?</v>
      </c>
      <c r="J70" t="s">
        <v>1832</v>
      </c>
      <c r="K70" t="s">
        <v>1833</v>
      </c>
      <c r="L70" s="2">
        <v>33920</v>
      </c>
      <c r="O70" t="s">
        <v>120</v>
      </c>
      <c r="P70">
        <v>2</v>
      </c>
      <c r="Q70">
        <v>1963</v>
      </c>
      <c r="S70" t="s">
        <v>8</v>
      </c>
      <c r="T70" t="s">
        <v>1834</v>
      </c>
      <c r="U70" t="s">
        <v>123</v>
      </c>
      <c r="V70" t="s">
        <v>174</v>
      </c>
      <c r="W70" t="s">
        <v>1</v>
      </c>
      <c r="X70" t="s">
        <v>1835</v>
      </c>
      <c r="AA70">
        <v>281</v>
      </c>
      <c r="AB70" t="s">
        <v>1836</v>
      </c>
      <c r="AC70" t="s">
        <v>1837</v>
      </c>
      <c r="AD70" t="s">
        <v>1838</v>
      </c>
    </row>
    <row r="71" spans="1:31" ht="13" customHeight="1">
      <c r="A71">
        <v>281.2</v>
      </c>
      <c r="B71">
        <v>2</v>
      </c>
      <c r="C71" t="s">
        <v>1830</v>
      </c>
      <c r="D71" t="s">
        <v>1831</v>
      </c>
      <c r="E71" t="s">
        <v>1058</v>
      </c>
      <c r="F71" t="s">
        <v>14</v>
      </c>
      <c r="H71" t="s">
        <v>6</v>
      </c>
      <c r="I71" t="e">
        <f>- Intelligenztest für $K143:$AE143 und $K55:$AE55</f>
        <v>#NAME?</v>
      </c>
      <c r="J71" t="s">
        <v>1832</v>
      </c>
      <c r="K71" t="s">
        <v>1833</v>
      </c>
      <c r="L71" s="2">
        <v>33920</v>
      </c>
      <c r="O71" t="s">
        <v>120</v>
      </c>
      <c r="P71">
        <v>2</v>
      </c>
      <c r="Q71">
        <v>1963</v>
      </c>
      <c r="S71" t="s">
        <v>8</v>
      </c>
      <c r="T71" t="s">
        <v>1834</v>
      </c>
      <c r="U71" t="s">
        <v>123</v>
      </c>
      <c r="V71" t="s">
        <v>174</v>
      </c>
      <c r="W71" t="s">
        <v>1</v>
      </c>
      <c r="X71" t="s">
        <v>1835</v>
      </c>
      <c r="AB71" t="s">
        <v>1836</v>
      </c>
      <c r="AC71" t="s">
        <v>1837</v>
      </c>
      <c r="AD71" t="s">
        <v>1838</v>
      </c>
    </row>
    <row r="72" spans="1:31" ht="13" customHeight="1">
      <c r="A72">
        <v>372</v>
      </c>
      <c r="C72" t="s">
        <v>2337</v>
      </c>
      <c r="D72" t="s">
        <v>2338</v>
      </c>
      <c r="E72" t="s">
        <v>5</v>
      </c>
      <c r="F72" t="s">
        <v>14</v>
      </c>
      <c r="H72" t="s">
        <v>730</v>
      </c>
      <c r="I72" t="e">
        <f>- mehrdimensionaler Persönlichkeits-Test</f>
        <v>#NAME?</v>
      </c>
      <c r="J72" t="s">
        <v>2339</v>
      </c>
      <c r="K72" t="s">
        <v>2218</v>
      </c>
      <c r="L72" s="2">
        <v>33281</v>
      </c>
      <c r="N72" t="s">
        <v>2219</v>
      </c>
      <c r="O72" t="s">
        <v>120</v>
      </c>
      <c r="P72">
        <v>1</v>
      </c>
      <c r="Q72">
        <v>1963</v>
      </c>
      <c r="S72" t="s">
        <v>8</v>
      </c>
      <c r="T72" s="1" t="s">
        <v>2220</v>
      </c>
      <c r="U72" t="s">
        <v>123</v>
      </c>
      <c r="V72" t="s">
        <v>464</v>
      </c>
      <c r="W72" t="s">
        <v>2221</v>
      </c>
      <c r="X72" t="s">
        <v>2222</v>
      </c>
      <c r="Y72" t="s">
        <v>1734</v>
      </c>
      <c r="AA72">
        <v>372</v>
      </c>
      <c r="AB72" t="s">
        <v>2223</v>
      </c>
      <c r="AC72" t="s">
        <v>2312</v>
      </c>
    </row>
    <row r="73" spans="1:31" ht="13" customHeight="1">
      <c r="A73">
        <v>114.1</v>
      </c>
      <c r="B73">
        <v>1</v>
      </c>
      <c r="C73" t="s">
        <v>1197</v>
      </c>
      <c r="D73" t="s">
        <v>1198</v>
      </c>
      <c r="E73" t="s">
        <v>342</v>
      </c>
      <c r="F73" t="s">
        <v>115</v>
      </c>
      <c r="H73" t="s">
        <v>730</v>
      </c>
      <c r="I73" t="e">
        <f>- Einstellungstest</f>
        <v>#NAME?</v>
      </c>
      <c r="J73" t="s">
        <v>495</v>
      </c>
      <c r="K73" t="s">
        <v>1199</v>
      </c>
      <c r="L73" s="2">
        <v>33127</v>
      </c>
      <c r="O73" t="s">
        <v>120</v>
      </c>
      <c r="P73">
        <v>2</v>
      </c>
      <c r="Q73">
        <v>1949</v>
      </c>
      <c r="S73" t="s">
        <v>8</v>
      </c>
      <c r="T73" t="s">
        <v>1200</v>
      </c>
      <c r="U73" t="s">
        <v>123</v>
      </c>
      <c r="V73" t="s">
        <v>1324</v>
      </c>
      <c r="W73" t="s">
        <v>1325</v>
      </c>
      <c r="AA73">
        <v>114</v>
      </c>
      <c r="AB73" t="s">
        <v>1198</v>
      </c>
    </row>
    <row r="74" spans="1:31" ht="13" customHeight="1">
      <c r="A74">
        <v>114.2</v>
      </c>
      <c r="B74">
        <v>2</v>
      </c>
      <c r="C74" t="s">
        <v>1197</v>
      </c>
      <c r="D74" t="s">
        <v>1198</v>
      </c>
      <c r="E74" t="s">
        <v>342</v>
      </c>
      <c r="F74" t="s">
        <v>115</v>
      </c>
      <c r="H74" t="s">
        <v>730</v>
      </c>
      <c r="I74" t="e">
        <f>- Einstellungstest</f>
        <v>#NAME?</v>
      </c>
      <c r="J74" t="s">
        <v>495</v>
      </c>
      <c r="K74" t="s">
        <v>1199</v>
      </c>
      <c r="L74" s="2">
        <v>33127</v>
      </c>
      <c r="O74" t="s">
        <v>120</v>
      </c>
      <c r="P74">
        <v>2</v>
      </c>
      <c r="Q74">
        <v>1949</v>
      </c>
      <c r="S74" t="s">
        <v>8</v>
      </c>
      <c r="T74" t="s">
        <v>1200</v>
      </c>
      <c r="U74" t="s">
        <v>123</v>
      </c>
      <c r="V74" t="s">
        <v>1324</v>
      </c>
      <c r="W74" t="s">
        <v>1325</v>
      </c>
      <c r="AB74" t="s">
        <v>1198</v>
      </c>
    </row>
    <row r="75" spans="1:31" ht="13" customHeight="1">
      <c r="A75">
        <v>344</v>
      </c>
      <c r="C75" t="s">
        <v>2231</v>
      </c>
      <c r="D75" t="s">
        <v>1962</v>
      </c>
      <c r="E75" t="s">
        <v>1963</v>
      </c>
      <c r="F75" t="s">
        <v>115</v>
      </c>
      <c r="J75" t="s">
        <v>791</v>
      </c>
      <c r="K75" t="s">
        <v>2232</v>
      </c>
      <c r="L75" s="2">
        <v>33659</v>
      </c>
      <c r="N75" t="s">
        <v>2233</v>
      </c>
      <c r="O75" t="s">
        <v>120</v>
      </c>
      <c r="P75">
        <v>1</v>
      </c>
      <c r="Q75">
        <v>1968</v>
      </c>
      <c r="R75" t="s">
        <v>2226</v>
      </c>
      <c r="S75" t="s">
        <v>8</v>
      </c>
      <c r="T75" t="s">
        <v>2234</v>
      </c>
      <c r="U75" t="s">
        <v>123</v>
      </c>
      <c r="V75" t="s">
        <v>175</v>
      </c>
      <c r="W75" t="s">
        <v>2235</v>
      </c>
      <c r="X75" t="s">
        <v>2236</v>
      </c>
      <c r="Y75" t="s">
        <v>2237</v>
      </c>
      <c r="AA75">
        <v>344</v>
      </c>
      <c r="AB75" t="s">
        <v>1962</v>
      </c>
    </row>
    <row r="76" spans="1:31" ht="13" customHeight="1">
      <c r="A76">
        <v>341</v>
      </c>
      <c r="C76" t="s">
        <v>1961</v>
      </c>
      <c r="D76" t="s">
        <v>1962</v>
      </c>
      <c r="E76" t="s">
        <v>1963</v>
      </c>
      <c r="H76" t="s">
        <v>6</v>
      </c>
      <c r="I76" t="s">
        <v>168</v>
      </c>
      <c r="J76" t="s">
        <v>1025</v>
      </c>
      <c r="K76" t="s">
        <v>1964</v>
      </c>
      <c r="L76" s="2">
        <v>33659</v>
      </c>
      <c r="O76" t="s">
        <v>120</v>
      </c>
      <c r="P76">
        <v>1</v>
      </c>
      <c r="Q76">
        <v>1968</v>
      </c>
      <c r="R76" t="s">
        <v>2166</v>
      </c>
      <c r="S76" t="s">
        <v>8</v>
      </c>
      <c r="T76" t="s">
        <v>1026</v>
      </c>
      <c r="U76" t="s">
        <v>123</v>
      </c>
      <c r="V76" t="s">
        <v>175</v>
      </c>
      <c r="W76" t="s">
        <v>1891</v>
      </c>
      <c r="X76" t="s">
        <v>1983</v>
      </c>
      <c r="Y76" t="s">
        <v>855</v>
      </c>
      <c r="Z76" t="s">
        <v>441</v>
      </c>
      <c r="AA76">
        <v>341</v>
      </c>
      <c r="AB76" t="s">
        <v>1962</v>
      </c>
    </row>
    <row r="77" spans="1:31" ht="13" customHeight="1">
      <c r="A77">
        <v>57</v>
      </c>
      <c r="C77" t="s">
        <v>436</v>
      </c>
      <c r="D77" t="s">
        <v>437</v>
      </c>
      <c r="E77" t="s">
        <v>398</v>
      </c>
      <c r="F77" t="s">
        <v>115</v>
      </c>
      <c r="H77" t="s">
        <v>6</v>
      </c>
      <c r="I77" t="s">
        <v>168</v>
      </c>
      <c r="J77" t="s">
        <v>438</v>
      </c>
      <c r="K77" t="s">
        <v>175</v>
      </c>
      <c r="L77" s="2">
        <v>33059</v>
      </c>
      <c r="N77" t="s">
        <v>439</v>
      </c>
      <c r="O77" t="s">
        <v>120</v>
      </c>
      <c r="P77">
        <v>1</v>
      </c>
      <c r="Q77" t="s">
        <v>440</v>
      </c>
      <c r="S77" t="s">
        <v>8</v>
      </c>
      <c r="T77" t="s">
        <v>576</v>
      </c>
      <c r="U77" t="s">
        <v>123</v>
      </c>
      <c r="V77" t="s">
        <v>175</v>
      </c>
      <c r="AA77">
        <v>57</v>
      </c>
      <c r="AB77" t="s">
        <v>577</v>
      </c>
      <c r="AC77" t="s">
        <v>578</v>
      </c>
      <c r="AD77" t="s">
        <v>579</v>
      </c>
      <c r="AE77" t="s">
        <v>273</v>
      </c>
    </row>
    <row r="78" spans="1:31" ht="13" customHeight="1">
      <c r="A78">
        <v>405.1</v>
      </c>
      <c r="B78">
        <v>1</v>
      </c>
      <c r="C78" t="s">
        <v>2452</v>
      </c>
      <c r="D78" t="s">
        <v>2453</v>
      </c>
      <c r="E78" t="s">
        <v>898</v>
      </c>
      <c r="F78" t="s">
        <v>115</v>
      </c>
      <c r="H78" t="s">
        <v>6</v>
      </c>
      <c r="I78" t="e">
        <f>- Intelligenztest für $K143:$AE143</f>
        <v>#NAME?</v>
      </c>
      <c r="J78" t="s">
        <v>2454</v>
      </c>
      <c r="K78" t="s">
        <v>2455</v>
      </c>
      <c r="L78" s="2">
        <v>33920</v>
      </c>
      <c r="N78" t="s">
        <v>2456</v>
      </c>
      <c r="O78" t="s">
        <v>564</v>
      </c>
      <c r="P78">
        <v>2</v>
      </c>
      <c r="Q78">
        <v>1971</v>
      </c>
      <c r="S78" t="s">
        <v>8</v>
      </c>
      <c r="T78" t="s">
        <v>2457</v>
      </c>
      <c r="U78" t="s">
        <v>123</v>
      </c>
      <c r="V78" t="s">
        <v>174</v>
      </c>
      <c r="W78" t="s">
        <v>1</v>
      </c>
      <c r="X78" t="s">
        <v>2458</v>
      </c>
      <c r="Y78" t="s">
        <v>2265</v>
      </c>
      <c r="AA78">
        <v>405</v>
      </c>
      <c r="AB78" t="s">
        <v>2492</v>
      </c>
      <c r="AC78" t="s">
        <v>2459</v>
      </c>
      <c r="AD78" t="s">
        <v>2460</v>
      </c>
    </row>
    <row r="79" spans="1:31" ht="13" customHeight="1">
      <c r="A79">
        <v>405.2</v>
      </c>
      <c r="B79">
        <v>2</v>
      </c>
      <c r="C79" t="s">
        <v>2452</v>
      </c>
      <c r="D79" t="s">
        <v>2453</v>
      </c>
      <c r="E79" t="s">
        <v>898</v>
      </c>
      <c r="F79" t="s">
        <v>115</v>
      </c>
      <c r="H79" t="s">
        <v>6</v>
      </c>
      <c r="I79" t="e">
        <f>- Intelligenztest für $K143:$AE143</f>
        <v>#NAME?</v>
      </c>
      <c r="J79" t="s">
        <v>2454</v>
      </c>
      <c r="K79" t="s">
        <v>2455</v>
      </c>
      <c r="L79" s="2">
        <v>33920</v>
      </c>
      <c r="N79" t="s">
        <v>2456</v>
      </c>
      <c r="O79" t="s">
        <v>564</v>
      </c>
      <c r="P79">
        <v>2</v>
      </c>
      <c r="Q79">
        <v>1971</v>
      </c>
      <c r="S79" t="s">
        <v>8</v>
      </c>
      <c r="T79" t="s">
        <v>2457</v>
      </c>
      <c r="U79" t="s">
        <v>123</v>
      </c>
      <c r="V79" t="s">
        <v>174</v>
      </c>
      <c r="W79" t="s">
        <v>1</v>
      </c>
      <c r="X79" t="s">
        <v>2458</v>
      </c>
      <c r="Y79" t="s">
        <v>2265</v>
      </c>
      <c r="AB79" t="s">
        <v>2492</v>
      </c>
      <c r="AC79" t="s">
        <v>2459</v>
      </c>
      <c r="AD79" t="s">
        <v>2460</v>
      </c>
    </row>
    <row r="80" spans="1:31" ht="13" customHeight="1">
      <c r="A80">
        <v>71</v>
      </c>
      <c r="C80" t="s">
        <v>663</v>
      </c>
      <c r="D80" t="s">
        <v>664</v>
      </c>
      <c r="E80" t="s">
        <v>665</v>
      </c>
      <c r="F80" t="s">
        <v>115</v>
      </c>
      <c r="H80" t="s">
        <v>6</v>
      </c>
      <c r="I80" t="e">
        <f>- Schultest</f>
        <v>#NAME?</v>
      </c>
      <c r="J80" t="s">
        <v>277</v>
      </c>
      <c r="K80" t="s">
        <v>478</v>
      </c>
      <c r="L80" s="2">
        <v>33059</v>
      </c>
      <c r="N80" t="s">
        <v>129</v>
      </c>
      <c r="O80" t="s">
        <v>120</v>
      </c>
      <c r="P80">
        <v>1</v>
      </c>
      <c r="Q80">
        <v>1964</v>
      </c>
      <c r="S80" t="s">
        <v>8</v>
      </c>
      <c r="T80" t="s">
        <v>528</v>
      </c>
      <c r="U80" t="s">
        <v>123</v>
      </c>
      <c r="V80" t="s">
        <v>175</v>
      </c>
      <c r="W80" t="s">
        <v>20</v>
      </c>
      <c r="X80" t="s">
        <v>145</v>
      </c>
      <c r="AA80">
        <v>71</v>
      </c>
      <c r="AB80" t="s">
        <v>664</v>
      </c>
    </row>
    <row r="81" spans="1:31" ht="13" customHeight="1">
      <c r="A81">
        <v>351</v>
      </c>
      <c r="C81" t="s">
        <v>2026</v>
      </c>
      <c r="D81" t="s">
        <v>1962</v>
      </c>
      <c r="E81" t="s">
        <v>665</v>
      </c>
      <c r="F81" t="s">
        <v>115</v>
      </c>
      <c r="H81" t="s">
        <v>6</v>
      </c>
      <c r="I81" t="e">
        <f>- Schultest</f>
        <v>#NAME?</v>
      </c>
      <c r="J81" t="s">
        <v>2027</v>
      </c>
      <c r="K81" t="s">
        <v>2290</v>
      </c>
      <c r="L81" s="2">
        <v>33914</v>
      </c>
      <c r="O81" t="s">
        <v>120</v>
      </c>
      <c r="P81">
        <v>1</v>
      </c>
      <c r="Q81">
        <v>1960</v>
      </c>
      <c r="S81" t="s">
        <v>8</v>
      </c>
      <c r="T81" t="s">
        <v>2291</v>
      </c>
      <c r="U81" t="s">
        <v>123</v>
      </c>
      <c r="V81" t="s">
        <v>2292</v>
      </c>
      <c r="W81" t="s">
        <v>1983</v>
      </c>
      <c r="X81" t="s">
        <v>675</v>
      </c>
      <c r="Y81" t="s">
        <v>930</v>
      </c>
      <c r="Z81" t="s">
        <v>759</v>
      </c>
      <c r="AA81">
        <v>351</v>
      </c>
      <c r="AB81" t="s">
        <v>1962</v>
      </c>
    </row>
    <row r="82" spans="1:31" ht="13" customHeight="1">
      <c r="A82">
        <v>77</v>
      </c>
      <c r="C82" t="s">
        <v>415</v>
      </c>
      <c r="D82" t="s">
        <v>530</v>
      </c>
      <c r="E82" t="s">
        <v>665</v>
      </c>
      <c r="F82" t="s">
        <v>115</v>
      </c>
      <c r="H82" t="s">
        <v>6</v>
      </c>
      <c r="I82" t="e">
        <f>- Schultest</f>
        <v>#NAME?</v>
      </c>
      <c r="J82" t="s">
        <v>277</v>
      </c>
      <c r="K82" t="s">
        <v>416</v>
      </c>
      <c r="L82" s="2">
        <v>33059</v>
      </c>
      <c r="O82" t="s">
        <v>120</v>
      </c>
      <c r="P82">
        <v>1</v>
      </c>
      <c r="Q82">
        <v>1955</v>
      </c>
      <c r="S82" t="s">
        <v>121</v>
      </c>
      <c r="T82" t="s">
        <v>417</v>
      </c>
      <c r="U82" t="s">
        <v>123</v>
      </c>
      <c r="V82" t="s">
        <v>175</v>
      </c>
      <c r="W82" t="s">
        <v>418</v>
      </c>
      <c r="AA82">
        <v>77</v>
      </c>
      <c r="AB82" t="s">
        <v>530</v>
      </c>
    </row>
    <row r="83" spans="1:31" ht="13" customHeight="1">
      <c r="A83">
        <v>76</v>
      </c>
      <c r="C83" t="s">
        <v>410</v>
      </c>
      <c r="D83" t="s">
        <v>530</v>
      </c>
      <c r="E83" t="s">
        <v>665</v>
      </c>
      <c r="F83" t="s">
        <v>115</v>
      </c>
      <c r="H83" t="s">
        <v>6</v>
      </c>
      <c r="I83" t="e">
        <f>- Schultest</f>
        <v>#NAME?</v>
      </c>
      <c r="J83" t="s">
        <v>277</v>
      </c>
      <c r="K83" t="s">
        <v>411</v>
      </c>
      <c r="L83" s="2">
        <v>33059</v>
      </c>
      <c r="O83" t="s">
        <v>120</v>
      </c>
      <c r="P83">
        <v>1</v>
      </c>
      <c r="Q83" t="s">
        <v>412</v>
      </c>
      <c r="S83" t="s">
        <v>121</v>
      </c>
      <c r="T83" t="s">
        <v>413</v>
      </c>
      <c r="U83" t="s">
        <v>123</v>
      </c>
      <c r="V83" t="s">
        <v>175</v>
      </c>
      <c r="W83" t="s">
        <v>414</v>
      </c>
      <c r="AA83">
        <v>76</v>
      </c>
      <c r="AB83" t="s">
        <v>530</v>
      </c>
    </row>
    <row r="84" spans="1:31" ht="13" customHeight="1">
      <c r="A84">
        <v>75</v>
      </c>
      <c r="C84" t="s">
        <v>408</v>
      </c>
      <c r="D84" t="s">
        <v>530</v>
      </c>
      <c r="E84" t="s">
        <v>665</v>
      </c>
      <c r="F84" t="s">
        <v>115</v>
      </c>
      <c r="H84" t="s">
        <v>6</v>
      </c>
      <c r="I84" t="s">
        <v>139</v>
      </c>
      <c r="J84" t="s">
        <v>277</v>
      </c>
      <c r="K84" t="s">
        <v>141</v>
      </c>
      <c r="L84" s="2">
        <v>33059</v>
      </c>
      <c r="O84" t="s">
        <v>120</v>
      </c>
      <c r="P84">
        <v>1</v>
      </c>
      <c r="Q84">
        <v>1964</v>
      </c>
      <c r="S84" t="s">
        <v>121</v>
      </c>
      <c r="T84" t="s">
        <v>409</v>
      </c>
      <c r="U84" t="s">
        <v>123</v>
      </c>
      <c r="V84" t="s">
        <v>175</v>
      </c>
      <c r="W84" t="s">
        <v>145</v>
      </c>
      <c r="AA84">
        <v>75</v>
      </c>
      <c r="AB84" t="s">
        <v>530</v>
      </c>
    </row>
    <row r="85" spans="1:31" ht="13" customHeight="1">
      <c r="A85">
        <v>73</v>
      </c>
      <c r="C85" t="s">
        <v>403</v>
      </c>
      <c r="D85" t="s">
        <v>530</v>
      </c>
      <c r="E85" t="s">
        <v>665</v>
      </c>
      <c r="F85" t="s">
        <v>115</v>
      </c>
      <c r="H85" t="s">
        <v>6</v>
      </c>
      <c r="I85" t="e">
        <f>- Schultest</f>
        <v>#NAME?</v>
      </c>
      <c r="J85" t="s">
        <v>531</v>
      </c>
      <c r="K85" t="s">
        <v>478</v>
      </c>
      <c r="L85" s="2">
        <v>33059</v>
      </c>
      <c r="N85" t="s">
        <v>404</v>
      </c>
      <c r="O85" t="s">
        <v>120</v>
      </c>
      <c r="P85">
        <v>1</v>
      </c>
      <c r="Q85" t="s">
        <v>401</v>
      </c>
      <c r="S85" t="s">
        <v>121</v>
      </c>
      <c r="T85" t="s">
        <v>405</v>
      </c>
      <c r="U85" t="s">
        <v>123</v>
      </c>
      <c r="V85" t="s">
        <v>175</v>
      </c>
      <c r="W85" t="s">
        <v>20</v>
      </c>
      <c r="X85" t="s">
        <v>145</v>
      </c>
      <c r="AA85">
        <v>73</v>
      </c>
      <c r="AB85" t="s">
        <v>530</v>
      </c>
    </row>
    <row r="86" spans="1:31" ht="13" customHeight="1">
      <c r="A86">
        <v>74</v>
      </c>
      <c r="C86" t="s">
        <v>538</v>
      </c>
      <c r="D86" t="s">
        <v>530</v>
      </c>
      <c r="E86" t="s">
        <v>665</v>
      </c>
      <c r="F86" t="s">
        <v>115</v>
      </c>
      <c r="H86" t="s">
        <v>6</v>
      </c>
      <c r="I86" t="e">
        <f>- Schultest</f>
        <v>#NAME?</v>
      </c>
      <c r="J86" t="s">
        <v>589</v>
      </c>
      <c r="K86" t="s">
        <v>539</v>
      </c>
      <c r="L86" s="2">
        <v>33920</v>
      </c>
      <c r="O86" t="s">
        <v>120</v>
      </c>
      <c r="P86">
        <v>1</v>
      </c>
      <c r="Q86" t="s">
        <v>311</v>
      </c>
      <c r="S86" t="s">
        <v>121</v>
      </c>
      <c r="T86" t="s">
        <v>407</v>
      </c>
      <c r="U86" t="s">
        <v>123</v>
      </c>
      <c r="V86" t="s">
        <v>175</v>
      </c>
      <c r="W86" t="s">
        <v>44</v>
      </c>
      <c r="X86" t="s">
        <v>187</v>
      </c>
      <c r="Y86" t="s">
        <v>194</v>
      </c>
      <c r="Z86" t="s">
        <v>206</v>
      </c>
      <c r="AA86">
        <v>74</v>
      </c>
      <c r="AB86" t="s">
        <v>530</v>
      </c>
    </row>
    <row r="87" spans="1:31" ht="13" customHeight="1">
      <c r="A87">
        <v>78</v>
      </c>
      <c r="C87" t="s">
        <v>419</v>
      </c>
      <c r="D87" t="s">
        <v>530</v>
      </c>
      <c r="E87" t="s">
        <v>420</v>
      </c>
      <c r="F87" t="s">
        <v>115</v>
      </c>
      <c r="H87" t="s">
        <v>6</v>
      </c>
      <c r="I87" t="e">
        <f>- Schultest</f>
        <v>#NAME?</v>
      </c>
      <c r="J87" t="s">
        <v>277</v>
      </c>
      <c r="K87" t="s">
        <v>421</v>
      </c>
      <c r="L87" s="2">
        <v>33907</v>
      </c>
      <c r="O87" t="s">
        <v>120</v>
      </c>
      <c r="P87">
        <v>1</v>
      </c>
      <c r="Q87" t="s">
        <v>18</v>
      </c>
      <c r="S87" t="s">
        <v>121</v>
      </c>
      <c r="T87" t="s">
        <v>422</v>
      </c>
      <c r="U87" t="s">
        <v>123</v>
      </c>
      <c r="V87" t="s">
        <v>175</v>
      </c>
      <c r="W87" t="s">
        <v>441</v>
      </c>
      <c r="X87" t="s">
        <v>449</v>
      </c>
      <c r="AA87">
        <v>78</v>
      </c>
      <c r="AB87" t="s">
        <v>530</v>
      </c>
    </row>
    <row r="88" spans="1:31" ht="13" customHeight="1">
      <c r="A88">
        <v>118</v>
      </c>
      <c r="C88" t="s">
        <v>1326</v>
      </c>
      <c r="D88" t="s">
        <v>1327</v>
      </c>
      <c r="E88" t="s">
        <v>398</v>
      </c>
      <c r="F88" t="s">
        <v>14</v>
      </c>
      <c r="H88" t="s">
        <v>730</v>
      </c>
      <c r="I88" t="e">
        <f>- mehrdimensionaler Persönlichkeits-Test</f>
        <v>#NAME?</v>
      </c>
      <c r="J88" t="s">
        <v>791</v>
      </c>
      <c r="K88" t="s">
        <v>1328</v>
      </c>
      <c r="L88" s="2">
        <v>33425</v>
      </c>
      <c r="N88" t="s">
        <v>1329</v>
      </c>
      <c r="O88" t="s">
        <v>120</v>
      </c>
      <c r="P88">
        <v>1</v>
      </c>
      <c r="Q88">
        <v>1949</v>
      </c>
      <c r="S88" t="s">
        <v>8</v>
      </c>
      <c r="T88" t="s">
        <v>1200</v>
      </c>
      <c r="U88" t="s">
        <v>123</v>
      </c>
      <c r="V88" t="s">
        <v>1330</v>
      </c>
      <c r="W88" t="s">
        <v>1331</v>
      </c>
      <c r="AA88">
        <v>118</v>
      </c>
      <c r="AB88" t="s">
        <v>1332</v>
      </c>
      <c r="AC88" t="s">
        <v>1333</v>
      </c>
      <c r="AD88" t="s">
        <v>1334</v>
      </c>
      <c r="AE88" t="s">
        <v>1335</v>
      </c>
    </row>
    <row r="89" spans="1:31" ht="13" customHeight="1">
      <c r="A89">
        <v>352</v>
      </c>
      <c r="C89" t="s">
        <v>2293</v>
      </c>
      <c r="D89" t="s">
        <v>2294</v>
      </c>
      <c r="E89" t="s">
        <v>2295</v>
      </c>
      <c r="F89" t="s">
        <v>1826</v>
      </c>
      <c r="H89" t="s">
        <v>730</v>
      </c>
      <c r="I89" t="e">
        <f>- mehrdimensionaler Persönlichkeits-Test</f>
        <v>#NAME?</v>
      </c>
      <c r="J89" t="s">
        <v>2296</v>
      </c>
      <c r="K89" t="s">
        <v>2297</v>
      </c>
      <c r="L89" s="2">
        <v>33844</v>
      </c>
      <c r="O89" t="s">
        <v>120</v>
      </c>
      <c r="P89">
        <v>1</v>
      </c>
      <c r="Q89">
        <v>1952</v>
      </c>
      <c r="S89" t="s">
        <v>8</v>
      </c>
      <c r="T89" t="s">
        <v>2298</v>
      </c>
      <c r="U89" t="s">
        <v>123</v>
      </c>
      <c r="V89" t="s">
        <v>2130</v>
      </c>
      <c r="W89" t="s">
        <v>2299</v>
      </c>
      <c r="X89" t="s">
        <v>2300</v>
      </c>
      <c r="AA89">
        <v>352</v>
      </c>
      <c r="AB89" t="s">
        <v>2301</v>
      </c>
      <c r="AC89" t="s">
        <v>2302</v>
      </c>
    </row>
    <row r="90" spans="1:31" ht="13" customHeight="1">
      <c r="A90">
        <v>2</v>
      </c>
      <c r="C90" t="s">
        <v>240</v>
      </c>
      <c r="D90" t="s">
        <v>241</v>
      </c>
      <c r="E90" t="s">
        <v>5</v>
      </c>
      <c r="F90" t="s">
        <v>115</v>
      </c>
      <c r="G90">
        <v>1968</v>
      </c>
      <c r="H90" t="s">
        <v>6</v>
      </c>
      <c r="I90" t="e">
        <f>- Intelligenztest für Kinder</f>
        <v>#NAME?</v>
      </c>
      <c r="J90" t="s">
        <v>242</v>
      </c>
      <c r="K90" t="s">
        <v>118</v>
      </c>
      <c r="L90" s="2">
        <v>34466</v>
      </c>
      <c r="N90" t="s">
        <v>243</v>
      </c>
      <c r="O90" t="s">
        <v>120</v>
      </c>
      <c r="P90">
        <v>1</v>
      </c>
      <c r="Q90">
        <v>1962</v>
      </c>
      <c r="S90" t="s">
        <v>121</v>
      </c>
      <c r="T90" t="s">
        <v>244</v>
      </c>
      <c r="U90" t="s">
        <v>123</v>
      </c>
      <c r="V90" t="s">
        <v>0</v>
      </c>
      <c r="W90" t="s">
        <v>1</v>
      </c>
      <c r="AA90">
        <v>2</v>
      </c>
      <c r="AB90" t="s">
        <v>10</v>
      </c>
    </row>
    <row r="91" spans="1:31" ht="13" customHeight="1">
      <c r="A91">
        <v>1.1000000000000001</v>
      </c>
      <c r="B91">
        <v>1</v>
      </c>
      <c r="C91" t="s">
        <v>113</v>
      </c>
      <c r="D91" t="s">
        <v>114</v>
      </c>
      <c r="E91" s="1" t="s">
        <v>5</v>
      </c>
      <c r="F91" t="s">
        <v>115</v>
      </c>
      <c r="G91">
        <v>1968</v>
      </c>
      <c r="H91" t="s">
        <v>116</v>
      </c>
      <c r="I91" t="e">
        <f>- Intelligenztest für Jugendliche und Erw.</f>
        <v>#NAME?</v>
      </c>
      <c r="J91" t="s">
        <v>117</v>
      </c>
      <c r="K91" t="s">
        <v>118</v>
      </c>
      <c r="L91" s="2">
        <v>34473</v>
      </c>
      <c r="N91" t="s">
        <v>119</v>
      </c>
      <c r="O91" t="s">
        <v>120</v>
      </c>
      <c r="P91">
        <v>2</v>
      </c>
      <c r="Q91">
        <v>1959</v>
      </c>
      <c r="S91" t="s">
        <v>121</v>
      </c>
      <c r="T91" t="s">
        <v>122</v>
      </c>
      <c r="U91" t="s">
        <v>123</v>
      </c>
      <c r="V91" t="s">
        <v>0</v>
      </c>
      <c r="W91" t="s">
        <v>1</v>
      </c>
      <c r="AA91">
        <v>1</v>
      </c>
      <c r="AB91" t="s">
        <v>2</v>
      </c>
      <c r="AC91" t="s">
        <v>3</v>
      </c>
    </row>
    <row r="92" spans="1:31" ht="13" customHeight="1">
      <c r="A92">
        <v>1.2</v>
      </c>
      <c r="B92">
        <v>2</v>
      </c>
      <c r="C92" t="s">
        <v>113</v>
      </c>
      <c r="D92" t="s">
        <v>4</v>
      </c>
      <c r="E92" t="s">
        <v>5</v>
      </c>
      <c r="F92" t="s">
        <v>115</v>
      </c>
      <c r="G92">
        <v>1968</v>
      </c>
      <c r="H92" t="s">
        <v>6</v>
      </c>
      <c r="I92" t="e">
        <f>- Intelligenztest für Jugendliche und Erw.</f>
        <v>#NAME?</v>
      </c>
      <c r="J92" t="s">
        <v>7</v>
      </c>
      <c r="K92" t="s">
        <v>118</v>
      </c>
      <c r="L92" s="2">
        <v>33907</v>
      </c>
      <c r="N92" t="s">
        <v>119</v>
      </c>
      <c r="O92" t="s">
        <v>120</v>
      </c>
      <c r="P92">
        <v>2</v>
      </c>
      <c r="Q92">
        <v>1959</v>
      </c>
      <c r="S92" t="s">
        <v>8</v>
      </c>
      <c r="T92" t="s">
        <v>9</v>
      </c>
      <c r="U92" t="s">
        <v>123</v>
      </c>
      <c r="V92" t="s">
        <v>0</v>
      </c>
      <c r="W92" t="s">
        <v>1</v>
      </c>
      <c r="AB92" t="s">
        <v>10</v>
      </c>
      <c r="AC92" t="s">
        <v>3</v>
      </c>
    </row>
    <row r="93" spans="1:31" ht="13" customHeight="1">
      <c r="A93">
        <v>43</v>
      </c>
      <c r="C93" t="s">
        <v>225</v>
      </c>
      <c r="D93" t="s">
        <v>226</v>
      </c>
      <c r="E93" t="s">
        <v>75</v>
      </c>
      <c r="F93" t="s">
        <v>115</v>
      </c>
      <c r="H93" t="s">
        <v>6</v>
      </c>
      <c r="I93" t="e">
        <f>- Allg.Leistungs- und Fähigkeitstest</f>
        <v>#NAME?</v>
      </c>
      <c r="J93" t="s">
        <v>230</v>
      </c>
      <c r="K93" t="s">
        <v>227</v>
      </c>
      <c r="L93" s="2">
        <v>33577</v>
      </c>
      <c r="O93" t="s">
        <v>120</v>
      </c>
      <c r="P93">
        <v>1</v>
      </c>
      <c r="Q93" t="s">
        <v>228</v>
      </c>
      <c r="S93" t="s">
        <v>121</v>
      </c>
      <c r="T93" t="s">
        <v>369</v>
      </c>
      <c r="U93" t="s">
        <v>123</v>
      </c>
      <c r="V93" t="s">
        <v>370</v>
      </c>
      <c r="W93" t="s">
        <v>30</v>
      </c>
      <c r="AA93">
        <v>43</v>
      </c>
      <c r="AB93" t="s">
        <v>226</v>
      </c>
    </row>
    <row r="94" spans="1:31" ht="13" customHeight="1">
      <c r="A94">
        <v>54</v>
      </c>
      <c r="C94" t="s">
        <v>281</v>
      </c>
      <c r="D94" t="s">
        <v>282</v>
      </c>
      <c r="E94" t="s">
        <v>398</v>
      </c>
      <c r="F94" t="s">
        <v>115</v>
      </c>
      <c r="H94" t="s">
        <v>6</v>
      </c>
      <c r="I94" t="e">
        <f>- Schultest</f>
        <v>#NAME?</v>
      </c>
      <c r="J94" t="s">
        <v>283</v>
      </c>
      <c r="K94" t="s">
        <v>16</v>
      </c>
      <c r="L94" s="2">
        <v>33059</v>
      </c>
      <c r="O94" t="s">
        <v>120</v>
      </c>
      <c r="P94">
        <v>1</v>
      </c>
      <c r="Q94" t="s">
        <v>284</v>
      </c>
      <c r="S94" t="s">
        <v>8</v>
      </c>
      <c r="T94" t="s">
        <v>285</v>
      </c>
      <c r="U94" t="s">
        <v>123</v>
      </c>
      <c r="V94" t="s">
        <v>175</v>
      </c>
      <c r="W94" t="s">
        <v>20</v>
      </c>
      <c r="AA94">
        <v>54</v>
      </c>
      <c r="AB94" t="s">
        <v>286</v>
      </c>
      <c r="AC94" t="s">
        <v>287</v>
      </c>
    </row>
    <row r="95" spans="1:31" ht="13" customHeight="1">
      <c r="A95">
        <v>401</v>
      </c>
      <c r="C95" t="s">
        <v>2691</v>
      </c>
      <c r="D95" t="s">
        <v>2692</v>
      </c>
      <c r="E95" t="s">
        <v>1962</v>
      </c>
      <c r="F95" t="s">
        <v>1962</v>
      </c>
      <c r="H95" t="s">
        <v>6</v>
      </c>
      <c r="I95" t="s">
        <v>1375</v>
      </c>
      <c r="J95" t="s">
        <v>1827</v>
      </c>
      <c r="K95" t="s">
        <v>2549</v>
      </c>
      <c r="L95" s="2">
        <v>33355</v>
      </c>
      <c r="O95" t="s">
        <v>564</v>
      </c>
      <c r="P95">
        <v>1</v>
      </c>
      <c r="Q95" t="s">
        <v>1962</v>
      </c>
      <c r="S95" t="s">
        <v>121</v>
      </c>
      <c r="T95" t="s">
        <v>2550</v>
      </c>
      <c r="U95" t="s">
        <v>123</v>
      </c>
      <c r="V95" t="s">
        <v>2049</v>
      </c>
      <c r="W95" t="s">
        <v>930</v>
      </c>
      <c r="X95" t="s">
        <v>675</v>
      </c>
      <c r="Y95" t="s">
        <v>2551</v>
      </c>
      <c r="AA95">
        <v>401</v>
      </c>
      <c r="AB95" t="s">
        <v>2692</v>
      </c>
    </row>
    <row r="96" spans="1:31" ht="13" customHeight="1">
      <c r="A96">
        <v>270.10000000000002</v>
      </c>
      <c r="B96">
        <v>1</v>
      </c>
      <c r="C96" t="s">
        <v>1752</v>
      </c>
      <c r="D96" t="s">
        <v>1753</v>
      </c>
      <c r="E96" t="s">
        <v>620</v>
      </c>
      <c r="F96" t="s">
        <v>115</v>
      </c>
      <c r="H96" t="s">
        <v>730</v>
      </c>
      <c r="I96" t="e">
        <f>- eindimensionaler Persönlichkeits-Test</f>
        <v>#NAME?</v>
      </c>
      <c r="J96" t="s">
        <v>974</v>
      </c>
      <c r="K96" t="s">
        <v>1754</v>
      </c>
      <c r="L96" s="2">
        <v>33694</v>
      </c>
      <c r="N96" t="s">
        <v>1755</v>
      </c>
      <c r="O96" t="s">
        <v>564</v>
      </c>
      <c r="P96">
        <v>2</v>
      </c>
      <c r="Q96">
        <v>1989</v>
      </c>
      <c r="S96" t="s">
        <v>8</v>
      </c>
      <c r="T96" t="s">
        <v>840</v>
      </c>
      <c r="U96" t="s">
        <v>123</v>
      </c>
      <c r="V96" t="s">
        <v>1754</v>
      </c>
      <c r="AA96">
        <v>270</v>
      </c>
      <c r="AB96" t="s">
        <v>1756</v>
      </c>
      <c r="AC96" t="s">
        <v>1757</v>
      </c>
      <c r="AD96" t="s">
        <v>1758</v>
      </c>
    </row>
    <row r="97" spans="1:29" ht="13" customHeight="1">
      <c r="A97">
        <v>60</v>
      </c>
      <c r="C97" t="s">
        <v>458</v>
      </c>
      <c r="D97" t="s">
        <v>459</v>
      </c>
      <c r="E97" t="s">
        <v>398</v>
      </c>
      <c r="F97" t="s">
        <v>115</v>
      </c>
      <c r="H97" t="s">
        <v>6</v>
      </c>
      <c r="I97" t="e">
        <f>- spez. Funktionsprüfungs- und Eignungstest</f>
        <v>#NAME?</v>
      </c>
      <c r="J97" t="s">
        <v>230</v>
      </c>
      <c r="K97" t="s">
        <v>460</v>
      </c>
      <c r="L97" s="2">
        <v>33577</v>
      </c>
      <c r="O97" t="s">
        <v>120</v>
      </c>
      <c r="P97">
        <v>1</v>
      </c>
      <c r="Q97">
        <v>1948</v>
      </c>
      <c r="S97" t="s">
        <v>8</v>
      </c>
      <c r="T97" t="s">
        <v>461</v>
      </c>
      <c r="U97" t="s">
        <v>123</v>
      </c>
      <c r="V97" t="s">
        <v>462</v>
      </c>
      <c r="W97" t="s">
        <v>463</v>
      </c>
      <c r="AA97">
        <v>60</v>
      </c>
      <c r="AB97" t="s">
        <v>459</v>
      </c>
    </row>
    <row r="98" spans="1:29" ht="13" customHeight="1">
      <c r="A98">
        <v>255</v>
      </c>
      <c r="C98" t="s">
        <v>1536</v>
      </c>
      <c r="D98" t="s">
        <v>1537</v>
      </c>
      <c r="E98" t="s">
        <v>1571</v>
      </c>
      <c r="F98" t="s">
        <v>115</v>
      </c>
      <c r="H98" t="s">
        <v>6</v>
      </c>
      <c r="I98" t="e">
        <f>- Intelligenztest für $K143:$AE143</f>
        <v>#NAME?</v>
      </c>
      <c r="J98" t="s">
        <v>1538</v>
      </c>
      <c r="K98" t="s">
        <v>174</v>
      </c>
      <c r="L98" s="2">
        <v>33192</v>
      </c>
      <c r="O98" t="s">
        <v>120</v>
      </c>
      <c r="P98">
        <v>1</v>
      </c>
      <c r="Q98">
        <v>1928</v>
      </c>
      <c r="S98" t="s">
        <v>8</v>
      </c>
      <c r="T98" t="s">
        <v>1026</v>
      </c>
      <c r="U98" t="s">
        <v>123</v>
      </c>
      <c r="V98" t="s">
        <v>174</v>
      </c>
      <c r="AA98">
        <v>255</v>
      </c>
      <c r="AB98" t="s">
        <v>1537</v>
      </c>
    </row>
    <row r="99" spans="1:29" ht="13" customHeight="1">
      <c r="A99">
        <v>254</v>
      </c>
      <c r="C99" t="s">
        <v>1641</v>
      </c>
      <c r="D99" t="s">
        <v>1642</v>
      </c>
      <c r="E99" t="s">
        <v>1571</v>
      </c>
      <c r="F99" t="s">
        <v>14</v>
      </c>
      <c r="H99" t="s">
        <v>6</v>
      </c>
      <c r="I99" t="e">
        <f>- Intelligenztest für $K143:$AE143</f>
        <v>#NAME?</v>
      </c>
      <c r="J99" t="s">
        <v>1643</v>
      </c>
      <c r="K99" t="s">
        <v>174</v>
      </c>
      <c r="L99" s="2">
        <v>33192</v>
      </c>
      <c r="O99" t="s">
        <v>120</v>
      </c>
      <c r="P99">
        <v>1</v>
      </c>
      <c r="Q99">
        <v>1935</v>
      </c>
      <c r="S99" t="s">
        <v>8</v>
      </c>
      <c r="T99" t="s">
        <v>1026</v>
      </c>
      <c r="U99" t="s">
        <v>123</v>
      </c>
      <c r="V99" t="s">
        <v>174</v>
      </c>
      <c r="AA99">
        <v>254</v>
      </c>
      <c r="AB99" t="s">
        <v>1644</v>
      </c>
      <c r="AC99" t="s">
        <v>1639</v>
      </c>
    </row>
    <row r="100" spans="1:29" ht="13" customHeight="1">
      <c r="A100">
        <v>253</v>
      </c>
      <c r="C100" t="s">
        <v>1634</v>
      </c>
      <c r="D100" t="s">
        <v>1635</v>
      </c>
      <c r="E100" t="s">
        <v>1571</v>
      </c>
      <c r="F100" t="s">
        <v>115</v>
      </c>
      <c r="H100" t="s">
        <v>6</v>
      </c>
      <c r="I100" t="s">
        <v>915</v>
      </c>
      <c r="J100" t="s">
        <v>1636</v>
      </c>
      <c r="K100" t="s">
        <v>1637</v>
      </c>
      <c r="L100" s="2">
        <v>33192</v>
      </c>
      <c r="O100" t="s">
        <v>120</v>
      </c>
      <c r="P100">
        <v>1</v>
      </c>
      <c r="Q100">
        <v>1922</v>
      </c>
      <c r="S100" t="s">
        <v>8</v>
      </c>
      <c r="T100" t="s">
        <v>1638</v>
      </c>
      <c r="U100" t="s">
        <v>123</v>
      </c>
      <c r="V100" t="s">
        <v>1221</v>
      </c>
      <c r="W100" t="s">
        <v>1631</v>
      </c>
      <c r="AA100">
        <v>253</v>
      </c>
      <c r="AB100" t="s">
        <v>1639</v>
      </c>
      <c r="AC100" t="s">
        <v>1640</v>
      </c>
    </row>
    <row r="101" spans="1:29" ht="13" customHeight="1">
      <c r="A101">
        <v>63</v>
      </c>
      <c r="C101" t="s">
        <v>340</v>
      </c>
      <c r="D101" t="s">
        <v>341</v>
      </c>
      <c r="E101" t="s">
        <v>342</v>
      </c>
      <c r="F101" t="s">
        <v>115</v>
      </c>
      <c r="H101" t="s">
        <v>6</v>
      </c>
      <c r="I101" t="e">
        <f>- Allg.Leistungs- und Fähigkeitstest</f>
        <v>#NAME?</v>
      </c>
      <c r="J101" t="s">
        <v>343</v>
      </c>
      <c r="K101" t="s">
        <v>344</v>
      </c>
      <c r="L101" s="2">
        <v>34732</v>
      </c>
      <c r="O101" t="s">
        <v>120</v>
      </c>
      <c r="P101">
        <v>1</v>
      </c>
      <c r="Q101" t="s">
        <v>345</v>
      </c>
      <c r="S101" t="s">
        <v>8</v>
      </c>
      <c r="T101" t="s">
        <v>346</v>
      </c>
      <c r="U101" t="s">
        <v>123</v>
      </c>
      <c r="V101" t="s">
        <v>224</v>
      </c>
      <c r="W101" t="s">
        <v>347</v>
      </c>
      <c r="AA101">
        <v>63</v>
      </c>
      <c r="AB101" t="s">
        <v>348</v>
      </c>
      <c r="AC101" t="s">
        <v>349</v>
      </c>
    </row>
    <row r="102" spans="1:29" ht="13" customHeight="1">
      <c r="A102">
        <v>19</v>
      </c>
      <c r="C102" t="s">
        <v>69</v>
      </c>
      <c r="D102" t="s">
        <v>253</v>
      </c>
      <c r="E102" t="s">
        <v>247</v>
      </c>
      <c r="F102" t="s">
        <v>115</v>
      </c>
      <c r="H102" t="s">
        <v>6</v>
      </c>
      <c r="I102" t="e">
        <f>- Schultest</f>
        <v>#NAME?</v>
      </c>
      <c r="J102" t="s">
        <v>70</v>
      </c>
      <c r="K102" t="s">
        <v>16</v>
      </c>
      <c r="L102" s="2">
        <v>33920</v>
      </c>
      <c r="O102" t="s">
        <v>120</v>
      </c>
      <c r="P102">
        <v>1</v>
      </c>
      <c r="Q102" t="s">
        <v>71</v>
      </c>
      <c r="S102" t="s">
        <v>121</v>
      </c>
      <c r="T102" t="s">
        <v>72</v>
      </c>
      <c r="U102" t="s">
        <v>123</v>
      </c>
      <c r="V102" t="s">
        <v>175</v>
      </c>
      <c r="W102" t="s">
        <v>20</v>
      </c>
      <c r="AA102">
        <v>19</v>
      </c>
      <c r="AB102" t="s">
        <v>253</v>
      </c>
    </row>
    <row r="103" spans="1:29" ht="13" customHeight="1">
      <c r="A103">
        <v>623</v>
      </c>
      <c r="C103" t="s">
        <v>967</v>
      </c>
      <c r="D103" t="s">
        <v>968</v>
      </c>
      <c r="E103" t="s">
        <v>949</v>
      </c>
      <c r="F103" t="s">
        <v>115</v>
      </c>
      <c r="H103" t="s">
        <v>6</v>
      </c>
      <c r="I103" t="s">
        <v>139</v>
      </c>
      <c r="J103" t="s">
        <v>1083</v>
      </c>
      <c r="K103" t="s">
        <v>145</v>
      </c>
      <c r="L103" s="2">
        <v>33920</v>
      </c>
      <c r="N103" t="s">
        <v>969</v>
      </c>
      <c r="O103" t="s">
        <v>120</v>
      </c>
      <c r="P103">
        <v>1</v>
      </c>
      <c r="Q103">
        <v>1984</v>
      </c>
      <c r="S103" t="s">
        <v>716</v>
      </c>
      <c r="T103" t="s">
        <v>970</v>
      </c>
      <c r="U103" t="s">
        <v>123</v>
      </c>
      <c r="V103" t="s">
        <v>145</v>
      </c>
      <c r="AA103">
        <v>623</v>
      </c>
      <c r="AB103" t="s">
        <v>965</v>
      </c>
      <c r="AC103" t="s">
        <v>971</v>
      </c>
    </row>
    <row r="104" spans="1:29" ht="13" customHeight="1">
      <c r="A104">
        <v>2085</v>
      </c>
      <c r="C104" t="s">
        <v>1206</v>
      </c>
      <c r="D104" t="s">
        <v>1207</v>
      </c>
      <c r="E104" t="s">
        <v>712</v>
      </c>
      <c r="F104" t="s">
        <v>876</v>
      </c>
      <c r="H104" t="s">
        <v>6</v>
      </c>
      <c r="I104" t="e">
        <f>- Intelligenztest für Kinder</f>
        <v>#NAME?</v>
      </c>
      <c r="J104" t="s">
        <v>1208</v>
      </c>
      <c r="K104" t="s">
        <v>118</v>
      </c>
      <c r="L104" s="2">
        <v>33736</v>
      </c>
      <c r="N104" t="s">
        <v>1209</v>
      </c>
      <c r="O104" t="s">
        <v>564</v>
      </c>
      <c r="P104">
        <v>1</v>
      </c>
      <c r="Q104">
        <v>1989</v>
      </c>
      <c r="S104" t="s">
        <v>716</v>
      </c>
      <c r="T104" t="s">
        <v>1210</v>
      </c>
      <c r="U104" t="s">
        <v>749</v>
      </c>
      <c r="V104" t="s">
        <v>174</v>
      </c>
      <c r="W104" t="s">
        <v>1</v>
      </c>
      <c r="AA104">
        <v>2085</v>
      </c>
      <c r="AB104" t="s">
        <v>1211</v>
      </c>
      <c r="AC104" t="s">
        <v>1212</v>
      </c>
    </row>
    <row r="105" spans="1:29" ht="13" customHeight="1">
      <c r="A105">
        <v>274</v>
      </c>
      <c r="C105" t="s">
        <v>1812</v>
      </c>
      <c r="D105" t="s">
        <v>1813</v>
      </c>
      <c r="E105" t="s">
        <v>845</v>
      </c>
      <c r="F105" t="s">
        <v>784</v>
      </c>
      <c r="H105" t="s">
        <v>730</v>
      </c>
      <c r="I105" t="e">
        <f>- klinischer Test</f>
        <v>#NAME?</v>
      </c>
      <c r="J105" t="s">
        <v>470</v>
      </c>
      <c r="K105" t="s">
        <v>1814</v>
      </c>
      <c r="L105" s="2">
        <v>33577</v>
      </c>
      <c r="N105" t="s">
        <v>1815</v>
      </c>
      <c r="O105" t="s">
        <v>564</v>
      </c>
      <c r="P105">
        <v>1</v>
      </c>
      <c r="Q105">
        <v>1993</v>
      </c>
      <c r="S105" t="s">
        <v>8</v>
      </c>
      <c r="T105" t="s">
        <v>1816</v>
      </c>
      <c r="U105" t="s">
        <v>123</v>
      </c>
      <c r="V105" t="s">
        <v>1817</v>
      </c>
      <c r="W105" t="s">
        <v>1818</v>
      </c>
      <c r="X105" t="s">
        <v>1819</v>
      </c>
      <c r="AA105">
        <v>274</v>
      </c>
      <c r="AB105" t="s">
        <v>1813</v>
      </c>
    </row>
    <row r="106" spans="1:29" ht="13" customHeight="1">
      <c r="A106">
        <v>413.1</v>
      </c>
      <c r="B106">
        <v>1</v>
      </c>
      <c r="C106" t="s">
        <v>1812</v>
      </c>
      <c r="D106" t="s">
        <v>2657</v>
      </c>
      <c r="E106" t="s">
        <v>845</v>
      </c>
      <c r="F106" t="s">
        <v>115</v>
      </c>
      <c r="H106" t="s">
        <v>730</v>
      </c>
      <c r="I106" t="e">
        <f>- klinischer Test</f>
        <v>#NAME?</v>
      </c>
      <c r="J106" t="s">
        <v>2658</v>
      </c>
      <c r="K106" t="s">
        <v>2659</v>
      </c>
      <c r="L106" s="2">
        <v>33577</v>
      </c>
      <c r="N106" t="s">
        <v>1815</v>
      </c>
      <c r="O106" t="s">
        <v>564</v>
      </c>
      <c r="P106">
        <v>2</v>
      </c>
      <c r="Q106">
        <v>1972</v>
      </c>
      <c r="R106" t="s">
        <v>2660</v>
      </c>
      <c r="S106" t="s">
        <v>8</v>
      </c>
      <c r="T106" t="s">
        <v>2661</v>
      </c>
      <c r="U106" t="s">
        <v>123</v>
      </c>
      <c r="V106" t="s">
        <v>1819</v>
      </c>
      <c r="W106" t="s">
        <v>2662</v>
      </c>
      <c r="X106" t="s">
        <v>2663</v>
      </c>
      <c r="Y106" t="s">
        <v>2664</v>
      </c>
      <c r="AA106">
        <v>413</v>
      </c>
      <c r="AB106" t="s">
        <v>2657</v>
      </c>
    </row>
    <row r="107" spans="1:29" ht="13" customHeight="1">
      <c r="A107">
        <v>413.2</v>
      </c>
      <c r="B107">
        <v>2</v>
      </c>
      <c r="C107" t="s">
        <v>1812</v>
      </c>
      <c r="D107" t="s">
        <v>2657</v>
      </c>
      <c r="E107" t="s">
        <v>845</v>
      </c>
      <c r="F107" t="s">
        <v>115</v>
      </c>
      <c r="H107" t="s">
        <v>730</v>
      </c>
      <c r="I107" t="e">
        <f>- klinischer Test</f>
        <v>#NAME?</v>
      </c>
      <c r="J107" t="s">
        <v>2658</v>
      </c>
      <c r="K107" t="s">
        <v>2659</v>
      </c>
      <c r="L107" s="2">
        <v>33577</v>
      </c>
      <c r="N107" t="s">
        <v>1815</v>
      </c>
      <c r="O107" t="s">
        <v>564</v>
      </c>
      <c r="P107">
        <v>2</v>
      </c>
      <c r="Q107">
        <v>1972</v>
      </c>
      <c r="R107" t="s">
        <v>2660</v>
      </c>
      <c r="S107" t="s">
        <v>8</v>
      </c>
      <c r="T107" t="s">
        <v>2661</v>
      </c>
      <c r="U107" t="s">
        <v>123</v>
      </c>
      <c r="V107" t="s">
        <v>1819</v>
      </c>
      <c r="W107" t="s">
        <v>2662</v>
      </c>
      <c r="X107" t="s">
        <v>2663</v>
      </c>
      <c r="Y107" t="s">
        <v>2664</v>
      </c>
      <c r="AB107" t="s">
        <v>2657</v>
      </c>
    </row>
    <row r="108" spans="1:29" ht="13" customHeight="1">
      <c r="A108">
        <v>414.1</v>
      </c>
      <c r="B108">
        <v>1</v>
      </c>
      <c r="C108" t="s">
        <v>1812</v>
      </c>
      <c r="D108" t="s">
        <v>2665</v>
      </c>
      <c r="E108" t="s">
        <v>845</v>
      </c>
      <c r="F108" t="s">
        <v>14</v>
      </c>
      <c r="H108" t="s">
        <v>730</v>
      </c>
      <c r="I108" t="e">
        <f>- klinischer Test</f>
        <v>#NAME?</v>
      </c>
      <c r="J108" t="s">
        <v>2658</v>
      </c>
      <c r="K108" t="s">
        <v>2659</v>
      </c>
      <c r="L108" s="2">
        <v>33577</v>
      </c>
      <c r="N108" t="s">
        <v>1815</v>
      </c>
      <c r="O108" t="s">
        <v>564</v>
      </c>
      <c r="P108">
        <v>2</v>
      </c>
      <c r="Q108">
        <v>1980</v>
      </c>
      <c r="S108" t="s">
        <v>8</v>
      </c>
      <c r="T108" t="s">
        <v>2661</v>
      </c>
      <c r="U108" t="s">
        <v>123</v>
      </c>
      <c r="V108" t="s">
        <v>1819</v>
      </c>
      <c r="W108" t="s">
        <v>2662</v>
      </c>
      <c r="X108" t="s">
        <v>2663</v>
      </c>
      <c r="Y108" t="s">
        <v>2664</v>
      </c>
      <c r="AA108">
        <v>414</v>
      </c>
      <c r="AB108" t="s">
        <v>2666</v>
      </c>
      <c r="AC108" t="s">
        <v>2667</v>
      </c>
    </row>
    <row r="109" spans="1:29" ht="13" customHeight="1">
      <c r="A109">
        <v>414.2</v>
      </c>
      <c r="B109">
        <v>2</v>
      </c>
      <c r="C109" t="s">
        <v>1812</v>
      </c>
      <c r="D109" t="s">
        <v>2665</v>
      </c>
      <c r="E109" t="s">
        <v>845</v>
      </c>
      <c r="F109" t="s">
        <v>14</v>
      </c>
      <c r="H109" t="s">
        <v>730</v>
      </c>
      <c r="I109" t="e">
        <f>- klinischer Test</f>
        <v>#NAME?</v>
      </c>
      <c r="J109" t="s">
        <v>2658</v>
      </c>
      <c r="K109" t="s">
        <v>2659</v>
      </c>
      <c r="L109" s="2">
        <v>33577</v>
      </c>
      <c r="N109" t="s">
        <v>1815</v>
      </c>
      <c r="O109" t="s">
        <v>564</v>
      </c>
      <c r="P109">
        <v>2</v>
      </c>
      <c r="Q109">
        <v>1980</v>
      </c>
      <c r="S109" t="s">
        <v>8</v>
      </c>
      <c r="T109" t="s">
        <v>2661</v>
      </c>
      <c r="U109" t="s">
        <v>123</v>
      </c>
      <c r="V109" t="s">
        <v>1819</v>
      </c>
      <c r="W109" t="s">
        <v>2662</v>
      </c>
      <c r="X109" t="s">
        <v>2663</v>
      </c>
      <c r="Y109" t="s">
        <v>2664</v>
      </c>
      <c r="AB109" t="s">
        <v>2666</v>
      </c>
      <c r="AC109" t="s">
        <v>2667</v>
      </c>
    </row>
    <row r="110" spans="1:29" ht="13" customHeight="1">
      <c r="A110">
        <v>231</v>
      </c>
      <c r="C110" t="s">
        <v>1509</v>
      </c>
      <c r="D110" t="s">
        <v>1510</v>
      </c>
      <c r="E110" t="s">
        <v>1511</v>
      </c>
      <c r="F110" t="s">
        <v>115</v>
      </c>
      <c r="H110" t="s">
        <v>6</v>
      </c>
      <c r="I110" t="e">
        <f>- Schultest</f>
        <v>#NAME?</v>
      </c>
      <c r="J110" t="s">
        <v>1512</v>
      </c>
      <c r="K110" t="s">
        <v>175</v>
      </c>
      <c r="L110" s="2">
        <v>33582</v>
      </c>
      <c r="N110" t="s">
        <v>1513</v>
      </c>
      <c r="O110" t="s">
        <v>564</v>
      </c>
      <c r="P110">
        <v>1</v>
      </c>
      <c r="Q110">
        <v>1966</v>
      </c>
      <c r="R110" t="s">
        <v>1645</v>
      </c>
      <c r="S110" t="s">
        <v>716</v>
      </c>
      <c r="T110" t="s">
        <v>1646</v>
      </c>
      <c r="U110" t="s">
        <v>123</v>
      </c>
      <c r="V110" t="s">
        <v>175</v>
      </c>
      <c r="AA110">
        <v>231</v>
      </c>
      <c r="AB110" t="s">
        <v>1647</v>
      </c>
      <c r="AC110" t="s">
        <v>1648</v>
      </c>
    </row>
    <row r="111" spans="1:29" ht="13" customHeight="1">
      <c r="A111">
        <v>202.1</v>
      </c>
      <c r="B111">
        <v>1</v>
      </c>
      <c r="C111" t="s">
        <v>1388</v>
      </c>
      <c r="D111" t="s">
        <v>638</v>
      </c>
      <c r="E111" t="s">
        <v>783</v>
      </c>
      <c r="F111" t="s">
        <v>115</v>
      </c>
      <c r="G111">
        <v>1969</v>
      </c>
      <c r="H111" t="s">
        <v>6</v>
      </c>
      <c r="I111" t="s">
        <v>1389</v>
      </c>
      <c r="J111" t="s">
        <v>1390</v>
      </c>
      <c r="K111" t="s">
        <v>1391</v>
      </c>
      <c r="L111" s="2">
        <v>33457</v>
      </c>
      <c r="N111" t="s">
        <v>1392</v>
      </c>
      <c r="O111" t="s">
        <v>564</v>
      </c>
      <c r="P111">
        <v>2</v>
      </c>
      <c r="Q111">
        <v>1972</v>
      </c>
      <c r="R111" t="s">
        <v>1514</v>
      </c>
      <c r="S111" t="s">
        <v>121</v>
      </c>
      <c r="T111" t="s">
        <v>1515</v>
      </c>
      <c r="U111" t="s">
        <v>123</v>
      </c>
      <c r="V111" t="s">
        <v>175</v>
      </c>
      <c r="W111" t="s">
        <v>20</v>
      </c>
      <c r="X111" t="s">
        <v>1516</v>
      </c>
      <c r="AA111">
        <v>202</v>
      </c>
      <c r="AB111" t="s">
        <v>638</v>
      </c>
    </row>
    <row r="112" spans="1:29" ht="13" customHeight="1">
      <c r="A112">
        <v>203.1</v>
      </c>
      <c r="B112">
        <v>1</v>
      </c>
      <c r="C112" t="s">
        <v>1388</v>
      </c>
      <c r="D112" t="s">
        <v>638</v>
      </c>
      <c r="E112" t="s">
        <v>783</v>
      </c>
      <c r="F112" t="s">
        <v>115</v>
      </c>
      <c r="G112">
        <v>1969</v>
      </c>
      <c r="H112" t="s">
        <v>6</v>
      </c>
      <c r="I112" t="s">
        <v>1389</v>
      </c>
      <c r="J112" t="s">
        <v>1523</v>
      </c>
      <c r="K112" t="s">
        <v>1391</v>
      </c>
      <c r="L112" s="2">
        <v>33059</v>
      </c>
      <c r="N112" t="s">
        <v>1524</v>
      </c>
      <c r="O112" t="s">
        <v>564</v>
      </c>
      <c r="P112">
        <v>2</v>
      </c>
      <c r="Q112">
        <v>1971</v>
      </c>
      <c r="R112" t="s">
        <v>1514</v>
      </c>
      <c r="S112" t="s">
        <v>121</v>
      </c>
      <c r="T112" t="s">
        <v>1398</v>
      </c>
      <c r="U112" t="s">
        <v>123</v>
      </c>
      <c r="V112" t="s">
        <v>175</v>
      </c>
      <c r="W112" t="s">
        <v>20</v>
      </c>
      <c r="X112" t="s">
        <v>1516</v>
      </c>
      <c r="AA112">
        <v>203</v>
      </c>
      <c r="AB112" t="s">
        <v>638</v>
      </c>
    </row>
    <row r="113" spans="1:30" ht="13" customHeight="1">
      <c r="A113">
        <v>203.2</v>
      </c>
      <c r="B113">
        <v>2</v>
      </c>
      <c r="C113" t="s">
        <v>1388</v>
      </c>
      <c r="D113" t="s">
        <v>638</v>
      </c>
      <c r="E113" t="s">
        <v>783</v>
      </c>
      <c r="F113" t="s">
        <v>115</v>
      </c>
      <c r="G113">
        <v>1969</v>
      </c>
      <c r="H113" t="s">
        <v>6</v>
      </c>
      <c r="I113" t="s">
        <v>1389</v>
      </c>
      <c r="J113" t="s">
        <v>1523</v>
      </c>
      <c r="K113" t="s">
        <v>1391</v>
      </c>
      <c r="L113" s="2">
        <v>33059</v>
      </c>
      <c r="N113" t="s">
        <v>1524</v>
      </c>
      <c r="O113" t="s">
        <v>564</v>
      </c>
      <c r="P113">
        <v>2</v>
      </c>
      <c r="Q113">
        <v>1971</v>
      </c>
      <c r="R113" t="s">
        <v>1514</v>
      </c>
      <c r="S113" t="s">
        <v>121</v>
      </c>
      <c r="T113" t="s">
        <v>1398</v>
      </c>
      <c r="U113" t="s">
        <v>123</v>
      </c>
      <c r="V113" t="s">
        <v>175</v>
      </c>
      <c r="W113" t="s">
        <v>20</v>
      </c>
      <c r="X113" t="s">
        <v>1516</v>
      </c>
      <c r="AB113" t="s">
        <v>638</v>
      </c>
    </row>
    <row r="114" spans="1:30" ht="13" customHeight="1">
      <c r="A114">
        <v>201</v>
      </c>
      <c r="C114" t="s">
        <v>1388</v>
      </c>
      <c r="D114" t="s">
        <v>638</v>
      </c>
      <c r="E114" t="s">
        <v>783</v>
      </c>
      <c r="F114" t="s">
        <v>115</v>
      </c>
      <c r="G114">
        <v>1969</v>
      </c>
      <c r="H114" t="s">
        <v>6</v>
      </c>
      <c r="I114" t="s">
        <v>1389</v>
      </c>
      <c r="J114" t="s">
        <v>1523</v>
      </c>
      <c r="K114" t="s">
        <v>16</v>
      </c>
      <c r="L114" s="2">
        <v>33059</v>
      </c>
      <c r="N114" t="s">
        <v>1524</v>
      </c>
      <c r="O114" t="s">
        <v>564</v>
      </c>
      <c r="P114">
        <v>1</v>
      </c>
      <c r="Q114">
        <v>1966</v>
      </c>
      <c r="S114" t="s">
        <v>121</v>
      </c>
      <c r="T114" t="s">
        <v>1399</v>
      </c>
      <c r="U114" t="s">
        <v>123</v>
      </c>
      <c r="V114" t="s">
        <v>175</v>
      </c>
      <c r="W114" t="s">
        <v>20</v>
      </c>
      <c r="AA114">
        <v>201</v>
      </c>
      <c r="AB114" t="s">
        <v>638</v>
      </c>
    </row>
    <row r="115" spans="1:30" ht="13" customHeight="1">
      <c r="A115">
        <v>204.1</v>
      </c>
      <c r="B115">
        <v>1</v>
      </c>
      <c r="C115" t="s">
        <v>1388</v>
      </c>
      <c r="D115" t="s">
        <v>953</v>
      </c>
      <c r="E115" t="s">
        <v>783</v>
      </c>
      <c r="F115" t="s">
        <v>115</v>
      </c>
      <c r="G115">
        <v>1969</v>
      </c>
      <c r="H115" t="s">
        <v>6</v>
      </c>
      <c r="I115" t="s">
        <v>1389</v>
      </c>
      <c r="J115" t="s">
        <v>1400</v>
      </c>
      <c r="K115" t="s">
        <v>1391</v>
      </c>
      <c r="L115" s="2">
        <v>33027</v>
      </c>
      <c r="N115" t="s">
        <v>1401</v>
      </c>
      <c r="O115" t="s">
        <v>564</v>
      </c>
      <c r="P115">
        <v>2</v>
      </c>
      <c r="Q115">
        <v>1970</v>
      </c>
      <c r="S115" t="s">
        <v>121</v>
      </c>
      <c r="T115" t="s">
        <v>1402</v>
      </c>
      <c r="U115" t="s">
        <v>123</v>
      </c>
      <c r="V115" t="s">
        <v>175</v>
      </c>
      <c r="W115" t="s">
        <v>20</v>
      </c>
      <c r="X115" t="s">
        <v>1516</v>
      </c>
      <c r="AA115">
        <v>204</v>
      </c>
      <c r="AB115" t="s">
        <v>953</v>
      </c>
    </row>
    <row r="116" spans="1:30" ht="13" customHeight="1">
      <c r="A116">
        <v>204.2</v>
      </c>
      <c r="B116">
        <v>2</v>
      </c>
      <c r="C116" t="s">
        <v>1388</v>
      </c>
      <c r="D116" t="s">
        <v>953</v>
      </c>
      <c r="E116" t="s">
        <v>783</v>
      </c>
      <c r="F116" t="s">
        <v>115</v>
      </c>
      <c r="G116">
        <v>1969</v>
      </c>
      <c r="H116" t="s">
        <v>6</v>
      </c>
      <c r="I116" t="s">
        <v>1389</v>
      </c>
      <c r="J116" t="s">
        <v>1400</v>
      </c>
      <c r="K116" t="s">
        <v>1391</v>
      </c>
      <c r="L116" s="2">
        <v>33059</v>
      </c>
      <c r="N116" t="s">
        <v>1401</v>
      </c>
      <c r="O116" t="s">
        <v>564</v>
      </c>
      <c r="P116">
        <v>2</v>
      </c>
      <c r="Q116">
        <v>1970</v>
      </c>
      <c r="S116" t="s">
        <v>121</v>
      </c>
      <c r="T116" t="s">
        <v>1402</v>
      </c>
      <c r="U116" t="s">
        <v>123</v>
      </c>
      <c r="V116" t="s">
        <v>175</v>
      </c>
      <c r="W116" t="s">
        <v>20</v>
      </c>
      <c r="X116" t="s">
        <v>1516</v>
      </c>
      <c r="AB116" t="s">
        <v>953</v>
      </c>
    </row>
    <row r="117" spans="1:30" ht="13" customHeight="1">
      <c r="A117">
        <v>202.2</v>
      </c>
      <c r="B117">
        <v>2</v>
      </c>
      <c r="C117" t="s">
        <v>1169</v>
      </c>
      <c r="D117" t="s">
        <v>638</v>
      </c>
      <c r="E117" t="s">
        <v>783</v>
      </c>
      <c r="F117" t="s">
        <v>115</v>
      </c>
      <c r="G117">
        <v>1969</v>
      </c>
      <c r="H117" t="s">
        <v>6</v>
      </c>
      <c r="I117" t="s">
        <v>1389</v>
      </c>
      <c r="J117" t="s">
        <v>1390</v>
      </c>
      <c r="K117" t="s">
        <v>1391</v>
      </c>
      <c r="L117" s="2">
        <v>33059</v>
      </c>
      <c r="N117" t="s">
        <v>1392</v>
      </c>
      <c r="O117" t="s">
        <v>564</v>
      </c>
      <c r="P117">
        <v>2</v>
      </c>
      <c r="Q117">
        <v>1972</v>
      </c>
      <c r="R117" t="s">
        <v>1170</v>
      </c>
      <c r="S117" t="s">
        <v>8</v>
      </c>
      <c r="T117" t="s">
        <v>1515</v>
      </c>
      <c r="U117" t="s">
        <v>123</v>
      </c>
      <c r="V117" t="s">
        <v>175</v>
      </c>
      <c r="W117" t="s">
        <v>1171</v>
      </c>
      <c r="X117" t="s">
        <v>1516</v>
      </c>
      <c r="AB117" t="s">
        <v>1172</v>
      </c>
    </row>
    <row r="118" spans="1:30" ht="13" customHeight="1">
      <c r="A118">
        <v>244</v>
      </c>
      <c r="C118" t="s">
        <v>1169</v>
      </c>
      <c r="D118" t="s">
        <v>638</v>
      </c>
      <c r="E118" t="s">
        <v>783</v>
      </c>
      <c r="F118" t="s">
        <v>115</v>
      </c>
      <c r="H118" t="s">
        <v>6</v>
      </c>
      <c r="I118" t="s">
        <v>1389</v>
      </c>
      <c r="J118" t="s">
        <v>1390</v>
      </c>
      <c r="K118" t="s">
        <v>1391</v>
      </c>
      <c r="L118" s="2">
        <v>33059</v>
      </c>
      <c r="N118" t="s">
        <v>1392</v>
      </c>
      <c r="O118" t="s">
        <v>564</v>
      </c>
      <c r="P118">
        <v>1</v>
      </c>
      <c r="Q118">
        <v>1966</v>
      </c>
      <c r="S118" t="s">
        <v>8</v>
      </c>
      <c r="T118" t="s">
        <v>1515</v>
      </c>
      <c r="U118" t="s">
        <v>123</v>
      </c>
      <c r="V118" t="s">
        <v>175</v>
      </c>
      <c r="W118" t="s">
        <v>1171</v>
      </c>
      <c r="X118" t="s">
        <v>1516</v>
      </c>
      <c r="AA118">
        <v>244</v>
      </c>
      <c r="AB118" t="s">
        <v>638</v>
      </c>
    </row>
    <row r="119" spans="1:30" ht="13" customHeight="1">
      <c r="A119">
        <v>52</v>
      </c>
      <c r="C119" t="s">
        <v>276</v>
      </c>
      <c r="D119" t="s">
        <v>266</v>
      </c>
      <c r="E119" t="s">
        <v>398</v>
      </c>
      <c r="F119" t="s">
        <v>115</v>
      </c>
      <c r="H119" t="s">
        <v>6</v>
      </c>
      <c r="I119" t="e">
        <f>- Allg.Leistungs- und Fähigkeitstest</f>
        <v>#NAME?</v>
      </c>
      <c r="J119" t="s">
        <v>277</v>
      </c>
      <c r="K119" t="s">
        <v>278</v>
      </c>
      <c r="L119" s="2">
        <v>33907</v>
      </c>
      <c r="N119" t="s">
        <v>268</v>
      </c>
      <c r="O119" t="s">
        <v>120</v>
      </c>
      <c r="P119">
        <v>1</v>
      </c>
      <c r="Q119">
        <v>1959</v>
      </c>
      <c r="S119" t="s">
        <v>8</v>
      </c>
      <c r="T119" t="s">
        <v>279</v>
      </c>
      <c r="U119" t="s">
        <v>123</v>
      </c>
      <c r="V119" t="s">
        <v>63</v>
      </c>
      <c r="W119" t="s">
        <v>280</v>
      </c>
      <c r="AA119">
        <v>52</v>
      </c>
      <c r="AB119" t="s">
        <v>271</v>
      </c>
      <c r="AC119" t="s">
        <v>272</v>
      </c>
      <c r="AD119" t="s">
        <v>273</v>
      </c>
    </row>
    <row r="120" spans="1:30" ht="13" customHeight="1">
      <c r="A120">
        <v>50</v>
      </c>
      <c r="C120" t="s">
        <v>265</v>
      </c>
      <c r="D120" t="s">
        <v>266</v>
      </c>
      <c r="E120" t="s">
        <v>398</v>
      </c>
      <c r="F120" t="s">
        <v>267</v>
      </c>
      <c r="H120" t="s">
        <v>6</v>
      </c>
      <c r="I120" t="s">
        <v>168</v>
      </c>
      <c r="J120" t="s">
        <v>230</v>
      </c>
      <c r="K120" t="s">
        <v>175</v>
      </c>
      <c r="L120" s="2">
        <v>33059</v>
      </c>
      <c r="N120" t="s">
        <v>268</v>
      </c>
      <c r="O120" t="s">
        <v>120</v>
      </c>
      <c r="P120">
        <v>1</v>
      </c>
      <c r="Q120" t="s">
        <v>269</v>
      </c>
      <c r="S120" t="s">
        <v>8</v>
      </c>
      <c r="T120" t="s">
        <v>270</v>
      </c>
      <c r="U120" t="s">
        <v>123</v>
      </c>
      <c r="V120" t="s">
        <v>175</v>
      </c>
      <c r="AA120">
        <v>50</v>
      </c>
      <c r="AB120" t="s">
        <v>271</v>
      </c>
      <c r="AC120" t="s">
        <v>272</v>
      </c>
      <c r="AD120" t="s">
        <v>273</v>
      </c>
    </row>
    <row r="121" spans="1:30" ht="13" customHeight="1">
      <c r="A121">
        <v>51</v>
      </c>
      <c r="C121" t="s">
        <v>274</v>
      </c>
      <c r="D121" t="s">
        <v>266</v>
      </c>
      <c r="E121" t="s">
        <v>398</v>
      </c>
      <c r="F121" t="s">
        <v>267</v>
      </c>
      <c r="H121" t="s">
        <v>6</v>
      </c>
      <c r="I121" t="s">
        <v>168</v>
      </c>
      <c r="J121" t="s">
        <v>230</v>
      </c>
      <c r="K121" t="s">
        <v>175</v>
      </c>
      <c r="L121" s="2">
        <v>33059</v>
      </c>
      <c r="N121" t="s">
        <v>268</v>
      </c>
      <c r="O121" t="s">
        <v>120</v>
      </c>
      <c r="P121">
        <v>1</v>
      </c>
      <c r="Q121">
        <v>1966</v>
      </c>
      <c r="S121" t="s">
        <v>8</v>
      </c>
      <c r="T121" t="s">
        <v>275</v>
      </c>
      <c r="U121" t="s">
        <v>123</v>
      </c>
      <c r="V121" t="s">
        <v>175</v>
      </c>
      <c r="AA121">
        <v>51</v>
      </c>
      <c r="AB121" t="s">
        <v>271</v>
      </c>
      <c r="AC121" t="s">
        <v>272</v>
      </c>
      <c r="AD121" t="s">
        <v>273</v>
      </c>
    </row>
    <row r="122" spans="1:30" ht="13" customHeight="1">
      <c r="A122">
        <v>325.10000000000002</v>
      </c>
      <c r="B122">
        <v>1</v>
      </c>
      <c r="C122" t="s">
        <v>1948</v>
      </c>
      <c r="D122" t="s">
        <v>1949</v>
      </c>
      <c r="E122" t="s">
        <v>845</v>
      </c>
      <c r="F122" t="s">
        <v>115</v>
      </c>
      <c r="H122" t="s">
        <v>730</v>
      </c>
      <c r="I122" t="e">
        <f>- Interessentest</f>
        <v>#NAME?</v>
      </c>
      <c r="J122" t="s">
        <v>1950</v>
      </c>
      <c r="K122" t="s">
        <v>1951</v>
      </c>
      <c r="L122" s="2">
        <v>33920</v>
      </c>
      <c r="N122" t="s">
        <v>1952</v>
      </c>
      <c r="O122" t="s">
        <v>564</v>
      </c>
      <c r="P122">
        <v>4</v>
      </c>
      <c r="Q122">
        <v>1967</v>
      </c>
      <c r="S122" t="s">
        <v>8</v>
      </c>
      <c r="T122" t="s">
        <v>1953</v>
      </c>
      <c r="U122" t="s">
        <v>123</v>
      </c>
      <c r="V122" t="s">
        <v>604</v>
      </c>
      <c r="W122" t="s">
        <v>1954</v>
      </c>
      <c r="X122" t="s">
        <v>462</v>
      </c>
      <c r="Y122" t="s">
        <v>249</v>
      </c>
      <c r="Z122" t="s">
        <v>1955</v>
      </c>
      <c r="AA122">
        <v>325</v>
      </c>
      <c r="AB122" t="s">
        <v>1949</v>
      </c>
    </row>
    <row r="123" spans="1:30" ht="13" customHeight="1">
      <c r="A123">
        <v>325.2</v>
      </c>
      <c r="B123">
        <v>2</v>
      </c>
      <c r="C123" t="s">
        <v>1948</v>
      </c>
      <c r="D123" t="s">
        <v>1949</v>
      </c>
      <c r="E123" t="s">
        <v>845</v>
      </c>
      <c r="F123" t="s">
        <v>115</v>
      </c>
      <c r="H123" t="s">
        <v>730</v>
      </c>
      <c r="I123" t="e">
        <f>- Interessentest</f>
        <v>#NAME?</v>
      </c>
      <c r="J123" t="s">
        <v>1950</v>
      </c>
      <c r="K123" t="s">
        <v>1951</v>
      </c>
      <c r="L123" s="2">
        <v>33920</v>
      </c>
      <c r="N123" t="s">
        <v>1952</v>
      </c>
      <c r="O123" t="s">
        <v>564</v>
      </c>
      <c r="P123">
        <v>4</v>
      </c>
      <c r="Q123">
        <v>1967</v>
      </c>
      <c r="S123" t="s">
        <v>8</v>
      </c>
      <c r="T123" t="s">
        <v>1953</v>
      </c>
      <c r="U123" t="s">
        <v>123</v>
      </c>
      <c r="V123" t="s">
        <v>604</v>
      </c>
      <c r="W123" t="s">
        <v>1954</v>
      </c>
      <c r="X123" t="s">
        <v>462</v>
      </c>
      <c r="Y123" t="s">
        <v>249</v>
      </c>
      <c r="Z123" t="s">
        <v>1955</v>
      </c>
      <c r="AB123" t="s">
        <v>1949</v>
      </c>
    </row>
    <row r="124" spans="1:30" ht="13" customHeight="1">
      <c r="A124">
        <v>325.3</v>
      </c>
      <c r="B124">
        <v>3</v>
      </c>
      <c r="C124" t="s">
        <v>1948</v>
      </c>
      <c r="D124" t="s">
        <v>1949</v>
      </c>
      <c r="E124" t="s">
        <v>845</v>
      </c>
      <c r="F124" t="s">
        <v>115</v>
      </c>
      <c r="H124" t="s">
        <v>730</v>
      </c>
      <c r="I124" t="e">
        <f>- Interessentest</f>
        <v>#NAME?</v>
      </c>
      <c r="J124" t="s">
        <v>1950</v>
      </c>
      <c r="K124" t="s">
        <v>1951</v>
      </c>
      <c r="L124" s="2">
        <v>33920</v>
      </c>
      <c r="N124" t="s">
        <v>1952</v>
      </c>
      <c r="O124" t="s">
        <v>564</v>
      </c>
      <c r="P124">
        <v>4</v>
      </c>
      <c r="Q124">
        <v>1967</v>
      </c>
      <c r="S124" t="s">
        <v>8</v>
      </c>
      <c r="T124" t="s">
        <v>1953</v>
      </c>
      <c r="U124" t="s">
        <v>123</v>
      </c>
      <c r="V124" t="s">
        <v>604</v>
      </c>
      <c r="W124" t="s">
        <v>1954</v>
      </c>
      <c r="X124" t="s">
        <v>462</v>
      </c>
      <c r="Y124" t="s">
        <v>249</v>
      </c>
      <c r="Z124" t="s">
        <v>1955</v>
      </c>
      <c r="AB124" t="s">
        <v>1949</v>
      </c>
    </row>
    <row r="125" spans="1:30" ht="13" customHeight="1">
      <c r="A125">
        <v>325.39999999999998</v>
      </c>
      <c r="B125">
        <v>4</v>
      </c>
      <c r="C125" t="s">
        <v>1948</v>
      </c>
      <c r="D125" t="s">
        <v>1949</v>
      </c>
      <c r="E125" t="s">
        <v>845</v>
      </c>
      <c r="F125" t="s">
        <v>14</v>
      </c>
      <c r="H125" t="s">
        <v>730</v>
      </c>
      <c r="I125" t="e">
        <f>- Interessentest</f>
        <v>#NAME?</v>
      </c>
      <c r="J125" t="s">
        <v>1950</v>
      </c>
      <c r="K125" t="s">
        <v>1951</v>
      </c>
      <c r="L125" s="2">
        <v>33920</v>
      </c>
      <c r="N125" t="s">
        <v>1952</v>
      </c>
      <c r="O125" t="s">
        <v>564</v>
      </c>
      <c r="P125">
        <v>4</v>
      </c>
      <c r="Q125">
        <v>1972</v>
      </c>
      <c r="S125" t="s">
        <v>8</v>
      </c>
      <c r="T125" t="s">
        <v>1953</v>
      </c>
      <c r="U125" t="s">
        <v>123</v>
      </c>
      <c r="V125" t="s">
        <v>604</v>
      </c>
      <c r="W125" t="s">
        <v>1954</v>
      </c>
      <c r="X125" t="s">
        <v>462</v>
      </c>
      <c r="Y125" t="s">
        <v>249</v>
      </c>
      <c r="Z125" t="s">
        <v>1955</v>
      </c>
      <c r="AB125" t="s">
        <v>1949</v>
      </c>
    </row>
    <row r="126" spans="1:30" ht="13" customHeight="1">
      <c r="A126">
        <v>299</v>
      </c>
      <c r="C126" t="s">
        <v>1976</v>
      </c>
      <c r="D126" t="s">
        <v>1977</v>
      </c>
      <c r="E126" t="s">
        <v>1978</v>
      </c>
      <c r="F126" t="s">
        <v>115</v>
      </c>
      <c r="H126" t="s">
        <v>6</v>
      </c>
      <c r="I126" t="e">
        <f>- Schultest</f>
        <v>#NAME?</v>
      </c>
      <c r="J126" t="s">
        <v>1979</v>
      </c>
      <c r="K126" t="s">
        <v>1980</v>
      </c>
      <c r="L126" s="2">
        <v>33197</v>
      </c>
      <c r="O126" t="s">
        <v>120</v>
      </c>
      <c r="P126">
        <v>1</v>
      </c>
      <c r="Q126">
        <v>1966</v>
      </c>
      <c r="S126" t="s">
        <v>121</v>
      </c>
      <c r="T126" t="s">
        <v>1981</v>
      </c>
      <c r="U126" t="s">
        <v>123</v>
      </c>
      <c r="V126" t="s">
        <v>175</v>
      </c>
      <c r="W126" t="s">
        <v>1982</v>
      </c>
      <c r="X126" t="s">
        <v>1983</v>
      </c>
      <c r="Y126" t="s">
        <v>1984</v>
      </c>
      <c r="AA126">
        <v>299</v>
      </c>
      <c r="AB126" t="s">
        <v>1977</v>
      </c>
    </row>
    <row r="127" spans="1:30" ht="13" customHeight="1">
      <c r="A127">
        <v>3</v>
      </c>
      <c r="C127" t="s">
        <v>245</v>
      </c>
      <c r="D127" t="s">
        <v>246</v>
      </c>
      <c r="E127" t="s">
        <v>247</v>
      </c>
      <c r="F127" t="s">
        <v>115</v>
      </c>
      <c r="G127">
        <v>1968</v>
      </c>
      <c r="H127" t="s">
        <v>6</v>
      </c>
      <c r="I127" t="e">
        <f>- spez. Funktionsprüfungs- und Eignungstest</f>
        <v>#NAME?</v>
      </c>
      <c r="J127" t="s">
        <v>248</v>
      </c>
      <c r="K127" t="s">
        <v>249</v>
      </c>
      <c r="L127" s="2">
        <v>33059</v>
      </c>
      <c r="O127" t="s">
        <v>120</v>
      </c>
      <c r="P127">
        <v>1</v>
      </c>
      <c r="Q127">
        <v>1954</v>
      </c>
      <c r="S127" t="s">
        <v>8</v>
      </c>
      <c r="T127" t="s">
        <v>250</v>
      </c>
      <c r="U127" t="s">
        <v>123</v>
      </c>
      <c r="V127" t="s">
        <v>249</v>
      </c>
      <c r="AA127">
        <v>3</v>
      </c>
      <c r="AB127" t="s">
        <v>251</v>
      </c>
    </row>
    <row r="128" spans="1:30" ht="13" customHeight="1">
      <c r="A128">
        <v>190</v>
      </c>
      <c r="C128" t="s">
        <v>1127</v>
      </c>
      <c r="D128" t="s">
        <v>1128</v>
      </c>
      <c r="E128" t="s">
        <v>733</v>
      </c>
      <c r="F128" t="s">
        <v>115</v>
      </c>
      <c r="H128" t="s">
        <v>6</v>
      </c>
      <c r="I128" t="e">
        <f>- Allg.Leistungs- und Fähigkeitstest</f>
        <v>#NAME?</v>
      </c>
      <c r="J128" t="s">
        <v>1129</v>
      </c>
      <c r="K128" t="s">
        <v>280</v>
      </c>
      <c r="L128" s="2">
        <v>33907</v>
      </c>
      <c r="N128" t="s">
        <v>1130</v>
      </c>
      <c r="O128" t="s">
        <v>564</v>
      </c>
      <c r="P128">
        <v>1</v>
      </c>
      <c r="Q128">
        <v>1990</v>
      </c>
      <c r="S128" t="s">
        <v>8</v>
      </c>
      <c r="T128" t="s">
        <v>1131</v>
      </c>
      <c r="U128" t="s">
        <v>123</v>
      </c>
      <c r="V128" t="s">
        <v>280</v>
      </c>
      <c r="AA128">
        <v>190</v>
      </c>
      <c r="AB128" t="s">
        <v>1128</v>
      </c>
    </row>
    <row r="129" spans="1:31" ht="13" customHeight="1">
      <c r="A129">
        <v>366.1</v>
      </c>
      <c r="B129">
        <v>1</v>
      </c>
      <c r="C129" t="s">
        <v>2421</v>
      </c>
      <c r="D129" t="s">
        <v>2414</v>
      </c>
      <c r="E129" t="s">
        <v>845</v>
      </c>
      <c r="H129" t="s">
        <v>6</v>
      </c>
      <c r="I129" t="e">
        <f>- Allg.Leistungs- und Fähigkeitstest</f>
        <v>#NAME?</v>
      </c>
      <c r="J129" t="s">
        <v>849</v>
      </c>
      <c r="K129" t="s">
        <v>2422</v>
      </c>
      <c r="L129" s="2">
        <v>33278</v>
      </c>
      <c r="O129" t="s">
        <v>564</v>
      </c>
      <c r="P129">
        <v>2</v>
      </c>
      <c r="Q129">
        <v>1955</v>
      </c>
      <c r="R129" t="s">
        <v>2423</v>
      </c>
      <c r="S129" t="s">
        <v>8</v>
      </c>
      <c r="T129" t="s">
        <v>2424</v>
      </c>
      <c r="U129" t="s">
        <v>123</v>
      </c>
      <c r="V129" t="s">
        <v>889</v>
      </c>
      <c r="W129" t="s">
        <v>223</v>
      </c>
      <c r="AA129">
        <v>366</v>
      </c>
      <c r="AB129" t="s">
        <v>2414</v>
      </c>
    </row>
    <row r="130" spans="1:31" ht="13" customHeight="1">
      <c r="A130">
        <v>366.2</v>
      </c>
      <c r="B130">
        <v>2</v>
      </c>
      <c r="C130" t="s">
        <v>2421</v>
      </c>
      <c r="D130" t="s">
        <v>2414</v>
      </c>
      <c r="E130" t="s">
        <v>845</v>
      </c>
      <c r="H130" t="s">
        <v>6</v>
      </c>
      <c r="I130" t="e">
        <f>- Allg.Leistungs- und Fähigkeitstest</f>
        <v>#NAME?</v>
      </c>
      <c r="J130" t="s">
        <v>849</v>
      </c>
      <c r="K130" t="s">
        <v>2422</v>
      </c>
      <c r="L130" s="2">
        <v>33278</v>
      </c>
      <c r="O130" t="s">
        <v>564</v>
      </c>
      <c r="P130">
        <v>2</v>
      </c>
      <c r="Q130">
        <v>1955</v>
      </c>
      <c r="R130" t="s">
        <v>2425</v>
      </c>
      <c r="S130" t="s">
        <v>8</v>
      </c>
      <c r="T130" t="s">
        <v>2424</v>
      </c>
      <c r="U130" t="s">
        <v>123</v>
      </c>
      <c r="V130" t="s">
        <v>889</v>
      </c>
      <c r="W130" t="s">
        <v>223</v>
      </c>
      <c r="AB130" t="s">
        <v>2414</v>
      </c>
    </row>
    <row r="131" spans="1:31" ht="13" customHeight="1">
      <c r="A131">
        <v>305.10000000000002</v>
      </c>
      <c r="B131">
        <v>1</v>
      </c>
      <c r="C131" t="s">
        <v>1870</v>
      </c>
      <c r="D131" t="s">
        <v>1871</v>
      </c>
      <c r="E131" t="s">
        <v>1872</v>
      </c>
      <c r="F131" t="s">
        <v>14</v>
      </c>
      <c r="H131" t="s">
        <v>804</v>
      </c>
      <c r="I131" t="e">
        <f>- verbal-thematisches Verfahren</f>
        <v>#NAME?</v>
      </c>
      <c r="J131" t="s">
        <v>1744</v>
      </c>
      <c r="K131" t="s">
        <v>1745</v>
      </c>
      <c r="L131" s="2">
        <v>33844</v>
      </c>
      <c r="O131" t="s">
        <v>564</v>
      </c>
      <c r="P131">
        <v>3</v>
      </c>
      <c r="Q131">
        <v>1964</v>
      </c>
      <c r="S131" t="s">
        <v>8</v>
      </c>
      <c r="T131" t="s">
        <v>1793</v>
      </c>
      <c r="U131" t="s">
        <v>123</v>
      </c>
      <c r="V131" t="s">
        <v>464</v>
      </c>
      <c r="W131" t="s">
        <v>1746</v>
      </c>
      <c r="X131" t="s">
        <v>1747</v>
      </c>
      <c r="AA131">
        <v>305</v>
      </c>
      <c r="AB131" t="s">
        <v>1871</v>
      </c>
    </row>
    <row r="132" spans="1:31" ht="13" customHeight="1">
      <c r="A132">
        <v>305.2</v>
      </c>
      <c r="B132">
        <v>2</v>
      </c>
      <c r="C132" t="s">
        <v>1870</v>
      </c>
      <c r="D132" t="s">
        <v>1871</v>
      </c>
      <c r="E132" t="s">
        <v>1872</v>
      </c>
      <c r="F132" t="s">
        <v>784</v>
      </c>
      <c r="H132" t="s">
        <v>804</v>
      </c>
      <c r="I132" t="e">
        <f>- verbal-thematisches Verfahren</f>
        <v>#NAME?</v>
      </c>
      <c r="J132" t="s">
        <v>1744</v>
      </c>
      <c r="K132" t="s">
        <v>1745</v>
      </c>
      <c r="L132" s="2">
        <v>33844</v>
      </c>
      <c r="O132" t="s">
        <v>564</v>
      </c>
      <c r="P132">
        <v>3</v>
      </c>
      <c r="Q132">
        <v>1976</v>
      </c>
      <c r="S132" t="s">
        <v>8</v>
      </c>
      <c r="T132" t="s">
        <v>1793</v>
      </c>
      <c r="U132" t="s">
        <v>123</v>
      </c>
      <c r="V132" t="s">
        <v>464</v>
      </c>
      <c r="W132" t="s">
        <v>1746</v>
      </c>
      <c r="X132" t="s">
        <v>1747</v>
      </c>
      <c r="AB132" t="s">
        <v>1871</v>
      </c>
    </row>
    <row r="133" spans="1:31" ht="13" customHeight="1">
      <c r="A133">
        <v>305.3</v>
      </c>
      <c r="B133">
        <v>3</v>
      </c>
      <c r="C133" t="s">
        <v>1870</v>
      </c>
      <c r="D133" t="s">
        <v>1871</v>
      </c>
      <c r="E133" t="s">
        <v>1872</v>
      </c>
      <c r="F133" t="s">
        <v>784</v>
      </c>
      <c r="H133" t="s">
        <v>804</v>
      </c>
      <c r="I133" t="e">
        <f>- verbal-thematisches Verfahren</f>
        <v>#NAME?</v>
      </c>
      <c r="J133" t="s">
        <v>1744</v>
      </c>
      <c r="K133" t="s">
        <v>1745</v>
      </c>
      <c r="L133" s="2">
        <v>33844</v>
      </c>
      <c r="O133" t="s">
        <v>564</v>
      </c>
      <c r="P133">
        <v>3</v>
      </c>
      <c r="Q133">
        <v>1976</v>
      </c>
      <c r="S133" t="s">
        <v>8</v>
      </c>
      <c r="T133" t="s">
        <v>1793</v>
      </c>
      <c r="U133" t="s">
        <v>123</v>
      </c>
      <c r="V133" t="s">
        <v>464</v>
      </c>
      <c r="W133" t="s">
        <v>1746</v>
      </c>
      <c r="X133" t="s">
        <v>1747</v>
      </c>
      <c r="AB133" t="s">
        <v>1871</v>
      </c>
    </row>
    <row r="134" spans="1:31" ht="13" customHeight="1">
      <c r="A134">
        <v>278</v>
      </c>
      <c r="C134" t="s">
        <v>1560</v>
      </c>
      <c r="D134" t="s">
        <v>1589</v>
      </c>
      <c r="E134" t="s">
        <v>1590</v>
      </c>
      <c r="H134" t="s">
        <v>730</v>
      </c>
      <c r="I134" t="e">
        <f>- eindimensionaler Persönlichkeits-Test</f>
        <v>#NAME?</v>
      </c>
      <c r="J134" t="s">
        <v>893</v>
      </c>
      <c r="K134" t="s">
        <v>1591</v>
      </c>
      <c r="L134" s="2">
        <v>33192</v>
      </c>
      <c r="N134" t="s">
        <v>1592</v>
      </c>
      <c r="O134" t="s">
        <v>120</v>
      </c>
      <c r="P134">
        <v>1</v>
      </c>
      <c r="Q134">
        <v>1991</v>
      </c>
      <c r="S134" t="s">
        <v>716</v>
      </c>
      <c r="T134" t="s">
        <v>1593</v>
      </c>
      <c r="U134" t="s">
        <v>123</v>
      </c>
      <c r="V134" t="s">
        <v>1158</v>
      </c>
      <c r="W134" s="1" t="s">
        <v>1159</v>
      </c>
      <c r="X134" t="s">
        <v>1594</v>
      </c>
      <c r="Y134" t="s">
        <v>1595</v>
      </c>
      <c r="AA134">
        <v>278</v>
      </c>
      <c r="AB134" t="s">
        <v>1596</v>
      </c>
      <c r="AC134" t="s">
        <v>1597</v>
      </c>
    </row>
    <row r="135" spans="1:31" ht="13" customHeight="1">
      <c r="A135">
        <v>276</v>
      </c>
      <c r="C135" t="s">
        <v>1698</v>
      </c>
      <c r="D135" t="s">
        <v>1555</v>
      </c>
      <c r="E135" t="s">
        <v>845</v>
      </c>
      <c r="F135" t="s">
        <v>115</v>
      </c>
      <c r="H135" t="s">
        <v>730</v>
      </c>
      <c r="I135" t="e">
        <f>- mehrdimensionaler Persönlichkeits-Test</f>
        <v>#NAME?</v>
      </c>
      <c r="J135" t="s">
        <v>1696</v>
      </c>
      <c r="K135" t="s">
        <v>464</v>
      </c>
      <c r="L135" s="2">
        <v>33173</v>
      </c>
      <c r="O135" t="s">
        <v>564</v>
      </c>
      <c r="P135">
        <v>1</v>
      </c>
      <c r="Q135">
        <v>1993</v>
      </c>
      <c r="S135" t="s">
        <v>8</v>
      </c>
      <c r="T135" t="s">
        <v>1697</v>
      </c>
      <c r="U135" t="s">
        <v>123</v>
      </c>
      <c r="V135" t="s">
        <v>464</v>
      </c>
      <c r="AA135">
        <v>276</v>
      </c>
      <c r="AB135" t="s">
        <v>1556</v>
      </c>
      <c r="AC135" t="s">
        <v>1557</v>
      </c>
      <c r="AD135" t="s">
        <v>1558</v>
      </c>
      <c r="AE135" t="s">
        <v>1559</v>
      </c>
    </row>
    <row r="136" spans="1:31" ht="13" customHeight="1">
      <c r="A136">
        <v>38</v>
      </c>
      <c r="C136" t="s">
        <v>197</v>
      </c>
      <c r="D136" t="s">
        <v>198</v>
      </c>
      <c r="E136" t="s">
        <v>394</v>
      </c>
      <c r="F136" t="s">
        <v>115</v>
      </c>
      <c r="H136" t="s">
        <v>6</v>
      </c>
      <c r="I136" t="e">
        <f>- Schultest</f>
        <v>#NAME?</v>
      </c>
      <c r="J136" t="s">
        <v>318</v>
      </c>
      <c r="K136" t="s">
        <v>50</v>
      </c>
      <c r="L136" s="2">
        <v>33920</v>
      </c>
      <c r="O136" t="s">
        <v>120</v>
      </c>
      <c r="P136">
        <v>1</v>
      </c>
      <c r="Q136" t="s">
        <v>199</v>
      </c>
      <c r="S136" t="s">
        <v>121</v>
      </c>
      <c r="T136" t="s">
        <v>200</v>
      </c>
      <c r="U136" t="s">
        <v>123</v>
      </c>
      <c r="V136" t="s">
        <v>175</v>
      </c>
      <c r="W136" t="s">
        <v>44</v>
      </c>
      <c r="AA136">
        <v>38</v>
      </c>
      <c r="AB136" t="s">
        <v>188</v>
      </c>
      <c r="AC136" t="s">
        <v>201</v>
      </c>
    </row>
    <row r="137" spans="1:31" ht="13" customHeight="1">
      <c r="A137">
        <v>94</v>
      </c>
      <c r="C137" t="s">
        <v>789</v>
      </c>
      <c r="D137" t="s">
        <v>790</v>
      </c>
      <c r="E137" t="s">
        <v>75</v>
      </c>
      <c r="F137" t="s">
        <v>115</v>
      </c>
      <c r="H137" t="s">
        <v>730</v>
      </c>
      <c r="I137" t="e">
        <f>- eindimensionaler Persönlichkeits-Test</f>
        <v>#NAME?</v>
      </c>
      <c r="J137" t="s">
        <v>791</v>
      </c>
      <c r="K137" t="s">
        <v>792</v>
      </c>
      <c r="L137" s="2">
        <v>33907</v>
      </c>
      <c r="O137" t="s">
        <v>120</v>
      </c>
      <c r="P137">
        <v>1</v>
      </c>
      <c r="Q137" t="s">
        <v>793</v>
      </c>
      <c r="S137" t="s">
        <v>121</v>
      </c>
      <c r="T137" t="s">
        <v>794</v>
      </c>
      <c r="U137" t="s">
        <v>123</v>
      </c>
      <c r="V137" t="s">
        <v>795</v>
      </c>
      <c r="W137" t="s">
        <v>796</v>
      </c>
      <c r="AA137">
        <v>94</v>
      </c>
      <c r="AB137" t="s">
        <v>797</v>
      </c>
      <c r="AC137" t="s">
        <v>798</v>
      </c>
    </row>
    <row r="138" spans="1:31" ht="13" customHeight="1">
      <c r="A138">
        <v>59</v>
      </c>
      <c r="C138" t="s">
        <v>587</v>
      </c>
      <c r="D138" t="s">
        <v>588</v>
      </c>
      <c r="E138" t="s">
        <v>398</v>
      </c>
      <c r="F138" t="s">
        <v>115</v>
      </c>
      <c r="H138" t="s">
        <v>6</v>
      </c>
      <c r="I138" t="s">
        <v>168</v>
      </c>
      <c r="J138" t="s">
        <v>589</v>
      </c>
      <c r="K138" t="s">
        <v>590</v>
      </c>
      <c r="L138" s="2">
        <v>33026</v>
      </c>
      <c r="N138" t="s">
        <v>591</v>
      </c>
      <c r="O138" t="s">
        <v>120</v>
      </c>
      <c r="P138">
        <v>1</v>
      </c>
      <c r="Q138" t="s">
        <v>592</v>
      </c>
      <c r="S138" t="s">
        <v>8</v>
      </c>
      <c r="T138" t="s">
        <v>455</v>
      </c>
      <c r="U138" t="s">
        <v>123</v>
      </c>
      <c r="V138" t="s">
        <v>175</v>
      </c>
      <c r="W138" t="s">
        <v>206</v>
      </c>
      <c r="AA138">
        <v>59</v>
      </c>
      <c r="AB138" t="s">
        <v>456</v>
      </c>
      <c r="AC138" t="s">
        <v>457</v>
      </c>
    </row>
    <row r="139" spans="1:31" ht="13" customHeight="1">
      <c r="A139">
        <v>280</v>
      </c>
      <c r="C139" t="s">
        <v>1607</v>
      </c>
      <c r="D139" t="s">
        <v>1722</v>
      </c>
      <c r="E139" t="s">
        <v>1610</v>
      </c>
      <c r="F139" t="s">
        <v>1826</v>
      </c>
      <c r="H139" t="s">
        <v>6</v>
      </c>
      <c r="I139" t="e">
        <f>- Schultest</f>
        <v>#NAME?</v>
      </c>
      <c r="J139" t="s">
        <v>1827</v>
      </c>
      <c r="K139" t="s">
        <v>1828</v>
      </c>
      <c r="L139" s="2">
        <v>33191</v>
      </c>
      <c r="O139" t="s">
        <v>120</v>
      </c>
      <c r="P139">
        <v>1</v>
      </c>
      <c r="Q139">
        <v>1966</v>
      </c>
      <c r="S139" t="s">
        <v>8</v>
      </c>
      <c r="T139" t="s">
        <v>1829</v>
      </c>
      <c r="U139" t="s">
        <v>123</v>
      </c>
      <c r="V139" t="s">
        <v>1828</v>
      </c>
      <c r="AA139">
        <v>280</v>
      </c>
      <c r="AB139" t="s">
        <v>1722</v>
      </c>
    </row>
    <row r="140" spans="1:31" ht="13" customHeight="1">
      <c r="A140">
        <v>41</v>
      </c>
      <c r="C140" t="s">
        <v>213</v>
      </c>
      <c r="D140" t="s">
        <v>214</v>
      </c>
      <c r="E140" t="s">
        <v>75</v>
      </c>
      <c r="F140" t="s">
        <v>115</v>
      </c>
      <c r="H140" t="s">
        <v>6</v>
      </c>
      <c r="I140" t="e">
        <f>- Allg.Leistungs- und Fähigkeitstest</f>
        <v>#NAME?</v>
      </c>
      <c r="J140" t="s">
        <v>15</v>
      </c>
      <c r="K140" t="s">
        <v>215</v>
      </c>
      <c r="L140" s="2">
        <v>33059</v>
      </c>
      <c r="O140" t="s">
        <v>120</v>
      </c>
      <c r="P140">
        <v>1</v>
      </c>
      <c r="Q140" t="s">
        <v>216</v>
      </c>
      <c r="S140" t="s">
        <v>121</v>
      </c>
      <c r="T140" t="s">
        <v>217</v>
      </c>
      <c r="U140" t="s">
        <v>123</v>
      </c>
      <c r="V140" t="s">
        <v>215</v>
      </c>
      <c r="AA140">
        <v>41</v>
      </c>
      <c r="AB140" t="s">
        <v>237</v>
      </c>
    </row>
    <row r="141" spans="1:31" ht="13" customHeight="1">
      <c r="A141">
        <v>399.1</v>
      </c>
      <c r="B141">
        <v>1</v>
      </c>
      <c r="C141" t="s">
        <v>2491</v>
      </c>
      <c r="D141" t="s">
        <v>2492</v>
      </c>
      <c r="E141" t="s">
        <v>620</v>
      </c>
      <c r="F141" t="s">
        <v>115</v>
      </c>
      <c r="H141" t="s">
        <v>730</v>
      </c>
      <c r="I141" t="e">
        <f>- klinischer Test</f>
        <v>#NAME?</v>
      </c>
      <c r="J141" t="s">
        <v>2493</v>
      </c>
      <c r="K141" t="s">
        <v>2494</v>
      </c>
      <c r="L141" s="2">
        <v>33680</v>
      </c>
      <c r="N141" t="s">
        <v>2495</v>
      </c>
      <c r="O141" t="s">
        <v>564</v>
      </c>
      <c r="P141">
        <v>2</v>
      </c>
      <c r="Q141">
        <v>1974</v>
      </c>
      <c r="R141" t="s">
        <v>2496</v>
      </c>
      <c r="S141" t="s">
        <v>8</v>
      </c>
      <c r="T141" t="s">
        <v>2616</v>
      </c>
      <c r="U141" t="s">
        <v>123</v>
      </c>
      <c r="V141" t="s">
        <v>2617</v>
      </c>
      <c r="W141" t="s">
        <v>2618</v>
      </c>
      <c r="X141" t="s">
        <v>1053</v>
      </c>
      <c r="Y141" t="s">
        <v>2619</v>
      </c>
      <c r="Z141" t="s">
        <v>2620</v>
      </c>
      <c r="AA141">
        <v>399</v>
      </c>
      <c r="AB141" t="s">
        <v>2492</v>
      </c>
    </row>
    <row r="142" spans="1:31" ht="13" customHeight="1">
      <c r="A142">
        <v>399.2</v>
      </c>
      <c r="B142">
        <v>2</v>
      </c>
      <c r="C142" t="s">
        <v>2491</v>
      </c>
      <c r="D142" t="s">
        <v>2492</v>
      </c>
      <c r="E142" t="s">
        <v>835</v>
      </c>
      <c r="F142" t="s">
        <v>115</v>
      </c>
      <c r="H142" t="s">
        <v>730</v>
      </c>
      <c r="I142" t="e">
        <f>- klinischer Test</f>
        <v>#NAME?</v>
      </c>
      <c r="J142" t="s">
        <v>2493</v>
      </c>
      <c r="K142" t="s">
        <v>2494</v>
      </c>
      <c r="L142" s="2">
        <v>33680</v>
      </c>
      <c r="N142" t="s">
        <v>2495</v>
      </c>
      <c r="O142" t="s">
        <v>564</v>
      </c>
      <c r="P142">
        <v>2</v>
      </c>
      <c r="Q142">
        <v>1974</v>
      </c>
      <c r="R142" t="s">
        <v>2496</v>
      </c>
      <c r="S142" t="s">
        <v>8</v>
      </c>
      <c r="T142" t="s">
        <v>2616</v>
      </c>
      <c r="U142" t="s">
        <v>123</v>
      </c>
      <c r="V142" t="s">
        <v>2617</v>
      </c>
      <c r="W142" t="s">
        <v>2618</v>
      </c>
      <c r="X142" t="s">
        <v>1053</v>
      </c>
      <c r="Y142" t="s">
        <v>2619</v>
      </c>
      <c r="Z142" t="s">
        <v>2620</v>
      </c>
      <c r="AB142" t="s">
        <v>2492</v>
      </c>
    </row>
    <row r="143" spans="1:31" ht="13" customHeight="1">
      <c r="A143">
        <v>411.1</v>
      </c>
      <c r="B143">
        <v>1</v>
      </c>
      <c r="C143" t="s">
        <v>2641</v>
      </c>
      <c r="D143" t="s">
        <v>2642</v>
      </c>
      <c r="E143" t="s">
        <v>2643</v>
      </c>
      <c r="F143" t="s">
        <v>267</v>
      </c>
      <c r="H143" t="s">
        <v>804</v>
      </c>
      <c r="I143" t="e">
        <f>- zeichnerisches Gestaltungsverfahren</f>
        <v>#NAME?</v>
      </c>
      <c r="J143" t="s">
        <v>2644</v>
      </c>
      <c r="K143" t="s">
        <v>2645</v>
      </c>
      <c r="L143" s="2">
        <v>34466</v>
      </c>
      <c r="O143" t="s">
        <v>564</v>
      </c>
      <c r="P143">
        <v>4</v>
      </c>
      <c r="Q143">
        <v>1980</v>
      </c>
      <c r="S143" t="s">
        <v>8</v>
      </c>
      <c r="T143" t="s">
        <v>2646</v>
      </c>
      <c r="U143" t="s">
        <v>123</v>
      </c>
      <c r="V143" t="s">
        <v>1079</v>
      </c>
      <c r="W143" t="s">
        <v>2647</v>
      </c>
      <c r="X143" t="s">
        <v>2648</v>
      </c>
      <c r="AA143">
        <v>411</v>
      </c>
      <c r="AB143" t="s">
        <v>2642</v>
      </c>
    </row>
    <row r="144" spans="1:31" ht="13" customHeight="1">
      <c r="A144">
        <v>411.2</v>
      </c>
      <c r="B144">
        <v>2</v>
      </c>
      <c r="C144" t="s">
        <v>2641</v>
      </c>
      <c r="D144" t="s">
        <v>2642</v>
      </c>
      <c r="E144" t="s">
        <v>2643</v>
      </c>
      <c r="F144" t="s">
        <v>267</v>
      </c>
      <c r="H144" t="s">
        <v>804</v>
      </c>
      <c r="I144" t="e">
        <f>- zeichnerisches Gestaltungsverfahren</f>
        <v>#NAME?</v>
      </c>
      <c r="J144" t="s">
        <v>2644</v>
      </c>
      <c r="K144" t="s">
        <v>2645</v>
      </c>
      <c r="L144" s="2">
        <v>34004</v>
      </c>
      <c r="O144" t="s">
        <v>564</v>
      </c>
      <c r="P144">
        <v>4</v>
      </c>
      <c r="Q144">
        <v>1980</v>
      </c>
      <c r="S144" t="s">
        <v>8</v>
      </c>
      <c r="T144" t="s">
        <v>2646</v>
      </c>
      <c r="U144" t="s">
        <v>123</v>
      </c>
      <c r="V144" t="s">
        <v>1079</v>
      </c>
      <c r="W144" t="s">
        <v>2647</v>
      </c>
      <c r="X144" t="s">
        <v>2648</v>
      </c>
      <c r="AB144" t="s">
        <v>2642</v>
      </c>
    </row>
    <row r="145" spans="1:29" ht="13" customHeight="1">
      <c r="A145">
        <v>411.3</v>
      </c>
      <c r="B145">
        <v>3</v>
      </c>
      <c r="C145" t="s">
        <v>2641</v>
      </c>
      <c r="D145" t="s">
        <v>2642</v>
      </c>
      <c r="E145" t="s">
        <v>2643</v>
      </c>
      <c r="F145" t="s">
        <v>784</v>
      </c>
      <c r="H145" t="s">
        <v>804</v>
      </c>
      <c r="I145" t="e">
        <f>- zeichnerisches Gestaltungsverfahren</f>
        <v>#NAME?</v>
      </c>
      <c r="J145" t="s">
        <v>2644</v>
      </c>
      <c r="K145" t="s">
        <v>2645</v>
      </c>
      <c r="L145" s="2">
        <v>34004</v>
      </c>
      <c r="O145" t="s">
        <v>564</v>
      </c>
      <c r="P145">
        <v>4</v>
      </c>
      <c r="Q145">
        <v>1975</v>
      </c>
      <c r="S145" t="s">
        <v>8</v>
      </c>
      <c r="T145" t="s">
        <v>2646</v>
      </c>
      <c r="U145" t="s">
        <v>123</v>
      </c>
      <c r="V145" t="s">
        <v>1079</v>
      </c>
      <c r="W145" t="s">
        <v>2647</v>
      </c>
      <c r="X145" t="s">
        <v>2648</v>
      </c>
      <c r="AB145" t="s">
        <v>2642</v>
      </c>
    </row>
    <row r="146" spans="1:29" ht="13" customHeight="1">
      <c r="A146">
        <v>2061</v>
      </c>
      <c r="C146" t="s">
        <v>1072</v>
      </c>
      <c r="D146" t="s">
        <v>1073</v>
      </c>
      <c r="E146" t="s">
        <v>898</v>
      </c>
      <c r="F146" t="s">
        <v>115</v>
      </c>
      <c r="H146" t="s">
        <v>1074</v>
      </c>
      <c r="I146" t="e">
        <f>- spielerisches Gestaltungsverfahren</f>
        <v>#NAME?</v>
      </c>
      <c r="J146" t="s">
        <v>1075</v>
      </c>
      <c r="K146" t="s">
        <v>1076</v>
      </c>
      <c r="L146" s="2">
        <v>33726</v>
      </c>
      <c r="N146" t="s">
        <v>1077</v>
      </c>
      <c r="O146" t="s">
        <v>564</v>
      </c>
      <c r="P146">
        <v>1</v>
      </c>
      <c r="Q146">
        <v>1993</v>
      </c>
      <c r="S146" t="s">
        <v>8</v>
      </c>
      <c r="T146" t="s">
        <v>1078</v>
      </c>
      <c r="U146" t="s">
        <v>749</v>
      </c>
      <c r="V146" t="s">
        <v>1079</v>
      </c>
      <c r="W146" t="s">
        <v>1080</v>
      </c>
      <c r="X146" t="s">
        <v>1081</v>
      </c>
      <c r="AA146">
        <v>2061</v>
      </c>
      <c r="AB146" t="s">
        <v>1073</v>
      </c>
    </row>
    <row r="147" spans="1:29" ht="13" customHeight="1">
      <c r="A147">
        <v>334</v>
      </c>
      <c r="C147" t="s">
        <v>2162</v>
      </c>
      <c r="D147" t="s">
        <v>2163</v>
      </c>
      <c r="E147" t="s">
        <v>1426</v>
      </c>
      <c r="F147" t="s">
        <v>115</v>
      </c>
      <c r="H147" t="s">
        <v>730</v>
      </c>
      <c r="I147" t="e">
        <f>- mehrdimensionaler Persönlichkeits-Test</f>
        <v>#NAME?</v>
      </c>
      <c r="J147" t="s">
        <v>791</v>
      </c>
      <c r="K147" t="s">
        <v>2164</v>
      </c>
      <c r="L147" s="2">
        <v>33222</v>
      </c>
      <c r="N147" t="s">
        <v>2165</v>
      </c>
      <c r="O147" t="s">
        <v>120</v>
      </c>
      <c r="P147">
        <v>1</v>
      </c>
      <c r="Q147">
        <v>1958</v>
      </c>
      <c r="R147" t="s">
        <v>2166</v>
      </c>
      <c r="S147" t="s">
        <v>8</v>
      </c>
      <c r="T147" t="s">
        <v>1026</v>
      </c>
      <c r="U147" t="s">
        <v>123</v>
      </c>
      <c r="V147" t="s">
        <v>464</v>
      </c>
      <c r="W147" t="s">
        <v>2167</v>
      </c>
      <c r="X147" t="s">
        <v>2168</v>
      </c>
      <c r="Y147" t="s">
        <v>2169</v>
      </c>
      <c r="Z147" t="s">
        <v>1785</v>
      </c>
      <c r="AA147">
        <v>334</v>
      </c>
      <c r="AB147" t="s">
        <v>2163</v>
      </c>
    </row>
    <row r="148" spans="1:29" ht="13" customHeight="1">
      <c r="A148">
        <v>371</v>
      </c>
      <c r="C148" t="s">
        <v>2333</v>
      </c>
      <c r="D148" t="s">
        <v>2334</v>
      </c>
      <c r="E148" t="s">
        <v>1058</v>
      </c>
      <c r="F148" t="s">
        <v>115</v>
      </c>
      <c r="H148" t="s">
        <v>6</v>
      </c>
      <c r="I148" t="e">
        <f>- spez. Funktionsprüfungs- und Eignungstest</f>
        <v>#NAME?</v>
      </c>
      <c r="J148" t="s">
        <v>1490</v>
      </c>
      <c r="K148" t="s">
        <v>2201</v>
      </c>
      <c r="L148" s="2">
        <v>33914</v>
      </c>
      <c r="O148" t="s">
        <v>120</v>
      </c>
      <c r="P148">
        <v>1</v>
      </c>
      <c r="Q148">
        <v>1947</v>
      </c>
      <c r="R148" t="s">
        <v>2335</v>
      </c>
      <c r="S148" t="s">
        <v>8</v>
      </c>
      <c r="T148" t="s">
        <v>1026</v>
      </c>
      <c r="U148" t="s">
        <v>123</v>
      </c>
      <c r="V148" t="s">
        <v>2140</v>
      </c>
      <c r="W148" t="s">
        <v>2139</v>
      </c>
      <c r="X148" t="s">
        <v>2336</v>
      </c>
      <c r="Y148" t="s">
        <v>2332</v>
      </c>
      <c r="AA148">
        <v>371</v>
      </c>
      <c r="AB148" t="s">
        <v>2334</v>
      </c>
    </row>
    <row r="149" spans="1:29" ht="13" customHeight="1">
      <c r="A149">
        <v>400</v>
      </c>
      <c r="C149" t="s">
        <v>2621</v>
      </c>
      <c r="D149" t="s">
        <v>2622</v>
      </c>
      <c r="E149" t="s">
        <v>845</v>
      </c>
      <c r="F149" t="s">
        <v>115</v>
      </c>
      <c r="H149" t="s">
        <v>6</v>
      </c>
      <c r="I149" t="e">
        <f>- spez. Funktionsprüfungs- und Eignungstest</f>
        <v>#NAME?</v>
      </c>
      <c r="J149" t="s">
        <v>2623</v>
      </c>
      <c r="K149" t="s">
        <v>2624</v>
      </c>
      <c r="L149" s="2">
        <v>33913</v>
      </c>
      <c r="N149" t="s">
        <v>2625</v>
      </c>
      <c r="O149" t="s">
        <v>564</v>
      </c>
      <c r="P149">
        <v>1</v>
      </c>
      <c r="Q149">
        <v>1972</v>
      </c>
      <c r="S149" t="s">
        <v>8</v>
      </c>
      <c r="T149" t="s">
        <v>2498</v>
      </c>
      <c r="U149" t="s">
        <v>123</v>
      </c>
      <c r="V149" t="s">
        <v>223</v>
      </c>
      <c r="W149" t="s">
        <v>2499</v>
      </c>
      <c r="X149" t="s">
        <v>2500</v>
      </c>
      <c r="AA149">
        <v>400</v>
      </c>
      <c r="AB149" t="s">
        <v>2622</v>
      </c>
    </row>
    <row r="150" spans="1:29" ht="13" customHeight="1">
      <c r="A150">
        <v>178.1</v>
      </c>
      <c r="B150">
        <v>1</v>
      </c>
      <c r="C150" t="s">
        <v>890</v>
      </c>
      <c r="D150" t="s">
        <v>891</v>
      </c>
      <c r="E150" t="s">
        <v>892</v>
      </c>
      <c r="F150" t="s">
        <v>115</v>
      </c>
      <c r="H150" t="s">
        <v>6</v>
      </c>
      <c r="I150" t="e">
        <f>- Intelligenztest für $K55:$AE55 und Erw.</f>
        <v>#NAME?</v>
      </c>
      <c r="J150" t="s">
        <v>893</v>
      </c>
      <c r="K150" t="s">
        <v>894</v>
      </c>
      <c r="L150" s="2">
        <v>33907</v>
      </c>
      <c r="O150" t="s">
        <v>564</v>
      </c>
      <c r="P150">
        <v>5</v>
      </c>
      <c r="Q150">
        <v>1955</v>
      </c>
      <c r="S150" t="s">
        <v>8</v>
      </c>
      <c r="T150" t="s">
        <v>895</v>
      </c>
      <c r="U150" t="s">
        <v>123</v>
      </c>
      <c r="V150" t="s">
        <v>174</v>
      </c>
      <c r="W150" t="s">
        <v>280</v>
      </c>
      <c r="X150" t="s">
        <v>1</v>
      </c>
      <c r="AA150">
        <v>178</v>
      </c>
      <c r="AB150" t="s">
        <v>891</v>
      </c>
    </row>
    <row r="151" spans="1:29" ht="13" customHeight="1">
      <c r="A151">
        <v>178.2</v>
      </c>
      <c r="B151">
        <v>2</v>
      </c>
      <c r="C151" t="s">
        <v>890</v>
      </c>
      <c r="D151" t="s">
        <v>891</v>
      </c>
      <c r="E151" t="s">
        <v>892</v>
      </c>
      <c r="F151" t="s">
        <v>115</v>
      </c>
      <c r="H151" t="s">
        <v>6</v>
      </c>
      <c r="I151" t="e">
        <f>- Intelligenztest für $K55:$AE55 und Erw.</f>
        <v>#NAME?</v>
      </c>
      <c r="J151" t="s">
        <v>893</v>
      </c>
      <c r="K151" t="s">
        <v>894</v>
      </c>
      <c r="L151" s="2">
        <v>33907</v>
      </c>
      <c r="O151" t="s">
        <v>564</v>
      </c>
      <c r="P151">
        <v>5</v>
      </c>
      <c r="Q151">
        <v>1955</v>
      </c>
      <c r="S151" t="s">
        <v>8</v>
      </c>
      <c r="T151" t="s">
        <v>895</v>
      </c>
      <c r="U151" t="s">
        <v>123</v>
      </c>
      <c r="V151" t="s">
        <v>174</v>
      </c>
      <c r="W151" t="s">
        <v>280</v>
      </c>
      <c r="X151" t="s">
        <v>1</v>
      </c>
      <c r="AB151" t="s">
        <v>891</v>
      </c>
    </row>
    <row r="152" spans="1:29" ht="13" customHeight="1">
      <c r="A152">
        <v>178.3</v>
      </c>
      <c r="B152">
        <v>3</v>
      </c>
      <c r="C152" t="s">
        <v>890</v>
      </c>
      <c r="D152" t="s">
        <v>891</v>
      </c>
      <c r="E152" t="s">
        <v>892</v>
      </c>
      <c r="F152" t="s">
        <v>115</v>
      </c>
      <c r="H152" t="s">
        <v>6</v>
      </c>
      <c r="I152" t="e">
        <f>- Intelligenztest für $K55:$AE55 und Erw.</f>
        <v>#NAME?</v>
      </c>
      <c r="J152" t="s">
        <v>893</v>
      </c>
      <c r="K152" t="s">
        <v>894</v>
      </c>
      <c r="L152" s="2">
        <v>33907</v>
      </c>
      <c r="O152" t="s">
        <v>564</v>
      </c>
      <c r="P152">
        <v>5</v>
      </c>
      <c r="Q152">
        <v>1955</v>
      </c>
      <c r="S152" t="s">
        <v>8</v>
      </c>
      <c r="T152" t="s">
        <v>895</v>
      </c>
      <c r="U152" t="s">
        <v>123</v>
      </c>
      <c r="V152" t="s">
        <v>0</v>
      </c>
      <c r="W152" t="s">
        <v>280</v>
      </c>
      <c r="X152" t="s">
        <v>1</v>
      </c>
      <c r="AB152" t="s">
        <v>891</v>
      </c>
    </row>
    <row r="153" spans="1:29" ht="13" customHeight="1">
      <c r="A153">
        <v>178.4</v>
      </c>
      <c r="B153">
        <v>4</v>
      </c>
      <c r="C153" t="s">
        <v>890</v>
      </c>
      <c r="D153" t="s">
        <v>891</v>
      </c>
      <c r="E153" t="s">
        <v>892</v>
      </c>
      <c r="F153" t="s">
        <v>115</v>
      </c>
      <c r="H153" t="s">
        <v>6</v>
      </c>
      <c r="I153" t="e">
        <f>- Intelligenztest für $K55:$AE55 und Erw.</f>
        <v>#NAME?</v>
      </c>
      <c r="J153" t="s">
        <v>893</v>
      </c>
      <c r="K153" t="s">
        <v>894</v>
      </c>
      <c r="L153" s="2">
        <v>33907</v>
      </c>
      <c r="O153" t="s">
        <v>564</v>
      </c>
      <c r="P153">
        <v>5</v>
      </c>
      <c r="Q153">
        <v>1955</v>
      </c>
      <c r="S153" t="s">
        <v>8</v>
      </c>
      <c r="T153" t="s">
        <v>895</v>
      </c>
      <c r="U153" t="s">
        <v>123</v>
      </c>
      <c r="V153" t="s">
        <v>0</v>
      </c>
      <c r="W153" t="s">
        <v>280</v>
      </c>
      <c r="X153" t="s">
        <v>1</v>
      </c>
      <c r="AB153" t="s">
        <v>891</v>
      </c>
    </row>
    <row r="154" spans="1:29" ht="13" customHeight="1">
      <c r="A154">
        <v>178.5</v>
      </c>
      <c r="B154">
        <v>5</v>
      </c>
      <c r="C154" t="s">
        <v>890</v>
      </c>
      <c r="D154" t="s">
        <v>891</v>
      </c>
      <c r="E154" t="s">
        <v>892</v>
      </c>
      <c r="F154" t="s">
        <v>115</v>
      </c>
      <c r="H154" t="s">
        <v>6</v>
      </c>
      <c r="I154" t="e">
        <f>- Intelligenztest für $K55:$AE55 und Erw.</f>
        <v>#NAME?</v>
      </c>
      <c r="J154" t="s">
        <v>893</v>
      </c>
      <c r="K154" t="s">
        <v>894</v>
      </c>
      <c r="L154" s="2">
        <v>33907</v>
      </c>
      <c r="O154" t="s">
        <v>564</v>
      </c>
      <c r="P154">
        <v>5</v>
      </c>
      <c r="Q154">
        <v>1955</v>
      </c>
      <c r="S154" t="s">
        <v>8</v>
      </c>
      <c r="T154" t="s">
        <v>895</v>
      </c>
      <c r="U154" t="s">
        <v>123</v>
      </c>
      <c r="V154" t="s">
        <v>0</v>
      </c>
      <c r="W154" t="s">
        <v>280</v>
      </c>
      <c r="X154" t="s">
        <v>1</v>
      </c>
      <c r="AB154" t="s">
        <v>891</v>
      </c>
    </row>
    <row r="155" spans="1:29" ht="13" customHeight="1">
      <c r="A155">
        <v>237</v>
      </c>
      <c r="C155" t="s">
        <v>1297</v>
      </c>
      <c r="D155" t="s">
        <v>1298</v>
      </c>
      <c r="E155" t="s">
        <v>1535</v>
      </c>
      <c r="F155" t="s">
        <v>115</v>
      </c>
      <c r="H155" t="s">
        <v>6</v>
      </c>
      <c r="I155" t="s">
        <v>915</v>
      </c>
      <c r="J155" t="s">
        <v>1407</v>
      </c>
      <c r="K155" t="s">
        <v>917</v>
      </c>
      <c r="L155" s="2">
        <v>33171</v>
      </c>
      <c r="N155" t="s">
        <v>1299</v>
      </c>
      <c r="O155" t="s">
        <v>120</v>
      </c>
      <c r="P155">
        <v>1</v>
      </c>
      <c r="Q155">
        <v>1966</v>
      </c>
      <c r="S155" t="s">
        <v>8</v>
      </c>
      <c r="T155" t="s">
        <v>1300</v>
      </c>
      <c r="U155" t="s">
        <v>123</v>
      </c>
      <c r="V155" t="s">
        <v>854</v>
      </c>
      <c r="W155" t="s">
        <v>175</v>
      </c>
      <c r="AA155">
        <v>237</v>
      </c>
      <c r="AB155" t="s">
        <v>1301</v>
      </c>
      <c r="AC155" t="s">
        <v>1429</v>
      </c>
    </row>
    <row r="156" spans="1:29" ht="13" customHeight="1">
      <c r="A156">
        <v>10</v>
      </c>
      <c r="C156" t="s">
        <v>35</v>
      </c>
      <c r="D156" t="s">
        <v>29</v>
      </c>
      <c r="E156" t="s">
        <v>247</v>
      </c>
      <c r="F156" t="s">
        <v>14</v>
      </c>
      <c r="H156" t="s">
        <v>6</v>
      </c>
      <c r="I156" t="e">
        <f>- Allg.Leistungs- und Fähigkeitstest</f>
        <v>#NAME?</v>
      </c>
      <c r="J156" t="s">
        <v>177</v>
      </c>
      <c r="K156" t="s">
        <v>30</v>
      </c>
      <c r="L156" s="2">
        <v>33122</v>
      </c>
      <c r="N156" t="s">
        <v>31</v>
      </c>
      <c r="O156" t="s">
        <v>120</v>
      </c>
      <c r="P156">
        <v>1</v>
      </c>
      <c r="Q156" t="s">
        <v>36</v>
      </c>
      <c r="S156" t="s">
        <v>121</v>
      </c>
      <c r="T156" t="s">
        <v>37</v>
      </c>
      <c r="U156" t="s">
        <v>123</v>
      </c>
      <c r="V156" t="s">
        <v>30</v>
      </c>
      <c r="AA156">
        <v>10</v>
      </c>
      <c r="AB156" t="s">
        <v>34</v>
      </c>
    </row>
    <row r="157" spans="1:29" ht="13" customHeight="1">
      <c r="A157">
        <v>9</v>
      </c>
      <c r="C157" t="s">
        <v>28</v>
      </c>
      <c r="D157" t="s">
        <v>29</v>
      </c>
      <c r="E157" t="s">
        <v>247</v>
      </c>
      <c r="F157" t="s">
        <v>115</v>
      </c>
      <c r="H157" t="s">
        <v>6</v>
      </c>
      <c r="I157" t="e">
        <f>- Allg.Leistungs- und Fähigkeitstest</f>
        <v>#NAME?</v>
      </c>
      <c r="J157" t="s">
        <v>177</v>
      </c>
      <c r="K157" t="s">
        <v>30</v>
      </c>
      <c r="L157" s="2">
        <v>33122</v>
      </c>
      <c r="N157" t="s">
        <v>31</v>
      </c>
      <c r="O157" t="s">
        <v>120</v>
      </c>
      <c r="P157">
        <v>1</v>
      </c>
      <c r="Q157" t="s">
        <v>32</v>
      </c>
      <c r="S157" t="s">
        <v>121</v>
      </c>
      <c r="T157" t="s">
        <v>33</v>
      </c>
      <c r="U157" t="s">
        <v>123</v>
      </c>
      <c r="V157" t="s">
        <v>30</v>
      </c>
      <c r="AA157">
        <v>9</v>
      </c>
      <c r="AB157" t="s">
        <v>34</v>
      </c>
    </row>
    <row r="158" spans="1:29" ht="13" customHeight="1">
      <c r="A158">
        <v>382.1</v>
      </c>
      <c r="B158">
        <v>1</v>
      </c>
      <c r="C158" t="s">
        <v>2288</v>
      </c>
      <c r="D158" t="s">
        <v>1684</v>
      </c>
      <c r="E158" t="s">
        <v>2289</v>
      </c>
      <c r="F158" t="s">
        <v>115</v>
      </c>
      <c r="H158" t="s">
        <v>6</v>
      </c>
      <c r="I158" t="e">
        <f>- Intelligenztest für $K55:$AE55 und Erw.</f>
        <v>#NAME?</v>
      </c>
      <c r="J158" t="s">
        <v>2407</v>
      </c>
      <c r="K158" t="s">
        <v>2408</v>
      </c>
      <c r="L158" s="2">
        <v>34627</v>
      </c>
      <c r="N158" t="s">
        <v>2409</v>
      </c>
      <c r="O158" t="s">
        <v>564</v>
      </c>
      <c r="P158">
        <v>2</v>
      </c>
      <c r="Q158">
        <v>1958</v>
      </c>
      <c r="S158" t="s">
        <v>8</v>
      </c>
      <c r="T158" t="s">
        <v>2534</v>
      </c>
      <c r="U158" t="s">
        <v>123</v>
      </c>
      <c r="V158" t="s">
        <v>2535</v>
      </c>
      <c r="W158" t="s">
        <v>2536</v>
      </c>
      <c r="X158" t="s">
        <v>2537</v>
      </c>
      <c r="AA158">
        <v>382</v>
      </c>
      <c r="AB158" t="s">
        <v>1684</v>
      </c>
    </row>
    <row r="159" spans="1:29" ht="13" customHeight="1">
      <c r="A159">
        <v>337</v>
      </c>
      <c r="C159" t="s">
        <v>2066</v>
      </c>
      <c r="D159" t="s">
        <v>2067</v>
      </c>
      <c r="E159" t="s">
        <v>2068</v>
      </c>
      <c r="F159" t="s">
        <v>115</v>
      </c>
      <c r="H159" t="s">
        <v>804</v>
      </c>
      <c r="I159" t="e">
        <f>- Formdeuteverfahren</f>
        <v>#NAME?</v>
      </c>
      <c r="J159" t="s">
        <v>1490</v>
      </c>
      <c r="K159" t="s">
        <v>2069</v>
      </c>
      <c r="L159" s="2">
        <v>33582</v>
      </c>
      <c r="O159" t="s">
        <v>564</v>
      </c>
      <c r="P159">
        <v>1</v>
      </c>
      <c r="Q159">
        <v>1969</v>
      </c>
      <c r="R159" t="s">
        <v>2166</v>
      </c>
      <c r="S159" t="s">
        <v>8</v>
      </c>
      <c r="T159" t="s">
        <v>2070</v>
      </c>
      <c r="U159" t="s">
        <v>123</v>
      </c>
      <c r="V159" t="s">
        <v>464</v>
      </c>
      <c r="W159" t="s">
        <v>1352</v>
      </c>
      <c r="X159" t="s">
        <v>2071</v>
      </c>
      <c r="Y159" t="s">
        <v>463</v>
      </c>
      <c r="AA159">
        <v>337</v>
      </c>
      <c r="AB159" t="s">
        <v>2067</v>
      </c>
    </row>
    <row r="160" spans="1:29" ht="13" customHeight="1">
      <c r="A160">
        <v>294.10000000000002</v>
      </c>
      <c r="B160">
        <v>1</v>
      </c>
      <c r="C160" t="s">
        <v>1797</v>
      </c>
      <c r="D160" t="s">
        <v>1798</v>
      </c>
      <c r="E160" t="s">
        <v>1799</v>
      </c>
      <c r="F160" t="s">
        <v>14</v>
      </c>
      <c r="H160" t="s">
        <v>804</v>
      </c>
      <c r="I160" t="e">
        <f>- verbal-thematisches Verfahren</f>
        <v>#NAME?</v>
      </c>
      <c r="J160" t="s">
        <v>1789</v>
      </c>
      <c r="K160" t="s">
        <v>464</v>
      </c>
      <c r="L160" s="2">
        <v>33194</v>
      </c>
      <c r="O160" t="s">
        <v>120</v>
      </c>
      <c r="P160">
        <v>2</v>
      </c>
      <c r="Q160">
        <v>1958</v>
      </c>
      <c r="S160" t="s">
        <v>121</v>
      </c>
      <c r="T160" t="s">
        <v>1699</v>
      </c>
      <c r="U160" t="s">
        <v>123</v>
      </c>
      <c r="V160" t="s">
        <v>464</v>
      </c>
      <c r="AA160">
        <v>294</v>
      </c>
      <c r="AB160" t="s">
        <v>1700</v>
      </c>
      <c r="AC160" t="s">
        <v>1701</v>
      </c>
    </row>
    <row r="161" spans="1:31" ht="13" customHeight="1">
      <c r="A161">
        <v>294.2</v>
      </c>
      <c r="B161">
        <v>2</v>
      </c>
      <c r="C161" t="s">
        <v>1797</v>
      </c>
      <c r="D161" t="s">
        <v>1798</v>
      </c>
      <c r="E161" t="s">
        <v>1799</v>
      </c>
      <c r="F161" t="s">
        <v>14</v>
      </c>
      <c r="H161" t="s">
        <v>804</v>
      </c>
      <c r="I161" t="e">
        <f>- verbal-thematisches Verfahren</f>
        <v>#NAME?</v>
      </c>
      <c r="J161" t="s">
        <v>1789</v>
      </c>
      <c r="K161" t="s">
        <v>464</v>
      </c>
      <c r="L161" s="2">
        <v>33194</v>
      </c>
      <c r="O161" t="s">
        <v>120</v>
      </c>
      <c r="P161">
        <v>2</v>
      </c>
      <c r="Q161">
        <v>1958</v>
      </c>
      <c r="S161" t="s">
        <v>121</v>
      </c>
      <c r="T161" t="s">
        <v>1702</v>
      </c>
      <c r="U161" t="s">
        <v>123</v>
      </c>
      <c r="V161" t="s">
        <v>464</v>
      </c>
      <c r="AB161" t="s">
        <v>1700</v>
      </c>
      <c r="AC161" t="s">
        <v>1701</v>
      </c>
    </row>
    <row r="162" spans="1:31" ht="13" customHeight="1">
      <c r="A162">
        <v>174</v>
      </c>
      <c r="C162" t="s">
        <v>1141</v>
      </c>
      <c r="D162" t="s">
        <v>1142</v>
      </c>
      <c r="E162" t="s">
        <v>835</v>
      </c>
      <c r="F162" t="s">
        <v>115</v>
      </c>
      <c r="G162" s="2">
        <v>32838</v>
      </c>
      <c r="H162" t="s">
        <v>600</v>
      </c>
      <c r="I162" t="e">
        <f>- Einstellungstest</f>
        <v>#NAME?</v>
      </c>
      <c r="J162" t="s">
        <v>791</v>
      </c>
      <c r="K162" t="s">
        <v>1143</v>
      </c>
      <c r="L162" s="2">
        <v>33976</v>
      </c>
      <c r="N162" t="s">
        <v>1144</v>
      </c>
      <c r="O162" t="s">
        <v>564</v>
      </c>
      <c r="P162">
        <v>1</v>
      </c>
      <c r="Q162">
        <v>1989</v>
      </c>
      <c r="R162" t="s">
        <v>1145</v>
      </c>
      <c r="S162" t="s">
        <v>8</v>
      </c>
      <c r="T162" t="s">
        <v>840</v>
      </c>
      <c r="U162" t="s">
        <v>123</v>
      </c>
      <c r="V162" t="s">
        <v>1146</v>
      </c>
      <c r="W162" t="s">
        <v>1147</v>
      </c>
      <c r="X162" t="s">
        <v>1148</v>
      </c>
      <c r="Y162" t="s">
        <v>1149</v>
      </c>
      <c r="AA162">
        <v>174</v>
      </c>
      <c r="AB162" t="s">
        <v>1142</v>
      </c>
    </row>
    <row r="163" spans="1:31" ht="13" customHeight="1">
      <c r="A163">
        <v>192</v>
      </c>
      <c r="C163" t="s">
        <v>1274</v>
      </c>
      <c r="D163" t="s">
        <v>1275</v>
      </c>
      <c r="E163" t="s">
        <v>835</v>
      </c>
      <c r="F163" t="s">
        <v>115</v>
      </c>
      <c r="H163" t="s">
        <v>730</v>
      </c>
      <c r="I163" t="e">
        <f>- eindimensionaler Persönlichkeits-Test</f>
        <v>#NAME?</v>
      </c>
      <c r="J163" t="s">
        <v>791</v>
      </c>
      <c r="K163" t="s">
        <v>1276</v>
      </c>
      <c r="L163" s="2">
        <v>33127</v>
      </c>
      <c r="N163" t="s">
        <v>1277</v>
      </c>
      <c r="O163" t="s">
        <v>564</v>
      </c>
      <c r="P163">
        <v>1</v>
      </c>
      <c r="Q163">
        <v>1989</v>
      </c>
      <c r="R163" t="s">
        <v>1156</v>
      </c>
      <c r="S163" t="s">
        <v>8</v>
      </c>
      <c r="T163" t="s">
        <v>1157</v>
      </c>
      <c r="U163" t="s">
        <v>123</v>
      </c>
      <c r="V163" t="s">
        <v>1158</v>
      </c>
      <c r="W163" s="1" t="s">
        <v>1159</v>
      </c>
      <c r="AA163">
        <v>192</v>
      </c>
      <c r="AB163" t="s">
        <v>1160</v>
      </c>
      <c r="AC163" t="s">
        <v>1161</v>
      </c>
    </row>
    <row r="164" spans="1:31" ht="13" customHeight="1">
      <c r="A164">
        <v>193.1</v>
      </c>
      <c r="B164">
        <v>1</v>
      </c>
      <c r="C164" t="s">
        <v>1150</v>
      </c>
      <c r="D164" t="s">
        <v>1151</v>
      </c>
      <c r="E164" t="s">
        <v>892</v>
      </c>
      <c r="F164" t="s">
        <v>115</v>
      </c>
      <c r="H164" t="s">
        <v>730</v>
      </c>
      <c r="I164" t="e">
        <f>- mehrdimensionaler Persönlichkeits-Test</f>
        <v>#NAME?</v>
      </c>
      <c r="J164" t="s">
        <v>791</v>
      </c>
      <c r="K164" t="s">
        <v>1152</v>
      </c>
      <c r="L164" s="2">
        <v>34382</v>
      </c>
      <c r="N164" t="s">
        <v>1153</v>
      </c>
      <c r="O164" t="s">
        <v>564</v>
      </c>
      <c r="P164">
        <v>2</v>
      </c>
      <c r="Q164">
        <v>1993</v>
      </c>
      <c r="S164" t="s">
        <v>8</v>
      </c>
      <c r="T164" t="s">
        <v>1154</v>
      </c>
      <c r="U164" t="s">
        <v>123</v>
      </c>
      <c r="V164" t="s">
        <v>1155</v>
      </c>
      <c r="W164" t="s">
        <v>1016</v>
      </c>
      <c r="X164" t="s">
        <v>1017</v>
      </c>
      <c r="Y164" t="s">
        <v>1018</v>
      </c>
      <c r="AA164">
        <v>193</v>
      </c>
      <c r="AB164" t="s">
        <v>1019</v>
      </c>
      <c r="AC164" t="s">
        <v>1020</v>
      </c>
    </row>
    <row r="165" spans="1:31" ht="13" customHeight="1">
      <c r="A165">
        <v>172.1</v>
      </c>
      <c r="B165">
        <v>1</v>
      </c>
      <c r="C165" t="s">
        <v>833</v>
      </c>
      <c r="D165" t="s">
        <v>834</v>
      </c>
      <c r="E165" t="s">
        <v>835</v>
      </c>
      <c r="F165" t="s">
        <v>115</v>
      </c>
      <c r="G165" s="2">
        <v>32838</v>
      </c>
      <c r="H165" t="s">
        <v>730</v>
      </c>
      <c r="I165" t="e">
        <f>- eindimensionaler Persönlichkeits-Test</f>
        <v>#NAME?</v>
      </c>
      <c r="J165" t="s">
        <v>230</v>
      </c>
      <c r="K165" t="s">
        <v>836</v>
      </c>
      <c r="L165" s="2">
        <v>33955</v>
      </c>
      <c r="M165" t="s">
        <v>837</v>
      </c>
      <c r="N165" t="s">
        <v>838</v>
      </c>
      <c r="O165" t="s">
        <v>564</v>
      </c>
      <c r="P165">
        <v>2</v>
      </c>
      <c r="Q165">
        <v>1989</v>
      </c>
      <c r="R165" t="s">
        <v>839</v>
      </c>
      <c r="S165" t="s">
        <v>8</v>
      </c>
      <c r="T165" t="s">
        <v>840</v>
      </c>
      <c r="U165" t="s">
        <v>123</v>
      </c>
      <c r="V165" t="s">
        <v>836</v>
      </c>
      <c r="AA165">
        <v>172</v>
      </c>
      <c r="AB165" t="s">
        <v>841</v>
      </c>
      <c r="AC165" t="s">
        <v>842</v>
      </c>
    </row>
    <row r="166" spans="1:31" ht="13" customHeight="1">
      <c r="A166">
        <v>152</v>
      </c>
      <c r="C166" t="s">
        <v>856</v>
      </c>
      <c r="D166" t="s">
        <v>857</v>
      </c>
      <c r="E166" t="s">
        <v>858</v>
      </c>
      <c r="F166" t="s">
        <v>115</v>
      </c>
      <c r="H166" t="s">
        <v>6</v>
      </c>
      <c r="I166" t="s">
        <v>139</v>
      </c>
      <c r="J166" t="s">
        <v>859</v>
      </c>
      <c r="K166" t="s">
        <v>860</v>
      </c>
      <c r="L166" s="2">
        <v>34268</v>
      </c>
      <c r="N166" t="s">
        <v>861</v>
      </c>
      <c r="O166" t="s">
        <v>564</v>
      </c>
      <c r="P166">
        <v>1</v>
      </c>
      <c r="Q166">
        <v>1979</v>
      </c>
      <c r="S166" t="s">
        <v>8</v>
      </c>
      <c r="T166" t="s">
        <v>862</v>
      </c>
      <c r="U166" t="s">
        <v>123</v>
      </c>
      <c r="V166" t="s">
        <v>863</v>
      </c>
      <c r="W166" t="s">
        <v>864</v>
      </c>
      <c r="AA166">
        <v>152</v>
      </c>
      <c r="AB166" t="s">
        <v>865</v>
      </c>
      <c r="AC166" t="s">
        <v>866</v>
      </c>
    </row>
    <row r="167" spans="1:31" ht="13" customHeight="1">
      <c r="A167">
        <v>501.1</v>
      </c>
      <c r="B167">
        <v>1</v>
      </c>
      <c r="C167" t="s">
        <v>2402</v>
      </c>
      <c r="D167" t="s">
        <v>2403</v>
      </c>
      <c r="E167" t="s">
        <v>620</v>
      </c>
      <c r="F167" t="s">
        <v>115</v>
      </c>
      <c r="H167" t="s">
        <v>730</v>
      </c>
      <c r="I167" t="e">
        <f>- klinischer Test</f>
        <v>#NAME?</v>
      </c>
      <c r="J167" t="s">
        <v>2404</v>
      </c>
      <c r="K167" t="s">
        <v>2405</v>
      </c>
      <c r="L167" s="2">
        <v>33577</v>
      </c>
      <c r="N167" t="s">
        <v>2406</v>
      </c>
      <c r="O167" t="s">
        <v>564</v>
      </c>
      <c r="P167">
        <v>2</v>
      </c>
      <c r="Q167">
        <v>1975</v>
      </c>
      <c r="S167" t="s">
        <v>8</v>
      </c>
      <c r="T167" t="s">
        <v>2525</v>
      </c>
      <c r="U167" t="s">
        <v>123</v>
      </c>
      <c r="V167" t="s">
        <v>2526</v>
      </c>
      <c r="W167" t="s">
        <v>2527</v>
      </c>
      <c r="X167" t="s">
        <v>2528</v>
      </c>
      <c r="Y167" t="s">
        <v>2529</v>
      </c>
      <c r="AA167">
        <v>501</v>
      </c>
      <c r="AB167" t="s">
        <v>2530</v>
      </c>
      <c r="AC167" t="s">
        <v>2531</v>
      </c>
    </row>
    <row r="168" spans="1:31" ht="13" customHeight="1">
      <c r="A168">
        <v>500</v>
      </c>
      <c r="C168" t="s">
        <v>2501</v>
      </c>
      <c r="D168" t="s">
        <v>2502</v>
      </c>
      <c r="E168" t="s">
        <v>2392</v>
      </c>
      <c r="F168" t="s">
        <v>115</v>
      </c>
      <c r="H168" t="s">
        <v>730</v>
      </c>
      <c r="I168" t="e">
        <f>- mehrdimensionaler Persönlichkeits-Test</f>
        <v>#NAME?</v>
      </c>
      <c r="J168" t="s">
        <v>2393</v>
      </c>
      <c r="K168" t="s">
        <v>2394</v>
      </c>
      <c r="L168" s="2">
        <v>33920</v>
      </c>
      <c r="N168" t="s">
        <v>2395</v>
      </c>
      <c r="O168" t="s">
        <v>564</v>
      </c>
      <c r="P168">
        <v>1</v>
      </c>
      <c r="Q168">
        <v>1989</v>
      </c>
      <c r="S168" t="s">
        <v>121</v>
      </c>
      <c r="T168" t="s">
        <v>2396</v>
      </c>
      <c r="U168" t="s">
        <v>123</v>
      </c>
      <c r="V168" t="s">
        <v>2397</v>
      </c>
      <c r="W168" t="s">
        <v>175</v>
      </c>
      <c r="AA168">
        <v>500</v>
      </c>
      <c r="AB168" t="s">
        <v>2398</v>
      </c>
      <c r="AC168" t="s">
        <v>2399</v>
      </c>
      <c r="AD168" t="s">
        <v>2400</v>
      </c>
      <c r="AE168" t="s">
        <v>2401</v>
      </c>
    </row>
    <row r="169" spans="1:31" ht="13" customHeight="1">
      <c r="A169">
        <v>267</v>
      </c>
      <c r="C169" t="s">
        <v>1478</v>
      </c>
      <c r="D169" t="s">
        <v>1479</v>
      </c>
      <c r="E169" t="s">
        <v>1480</v>
      </c>
      <c r="F169" t="s">
        <v>115</v>
      </c>
      <c r="H169" t="s">
        <v>730</v>
      </c>
      <c r="I169" t="e">
        <f>- eindimensionaler Persönlichkeits-Test</f>
        <v>#NAME?</v>
      </c>
      <c r="J169" t="s">
        <v>56</v>
      </c>
      <c r="K169" t="s">
        <v>1481</v>
      </c>
      <c r="L169" s="2">
        <v>33164</v>
      </c>
      <c r="N169" t="s">
        <v>1482</v>
      </c>
      <c r="O169" t="s">
        <v>564</v>
      </c>
      <c r="P169">
        <v>1</v>
      </c>
      <c r="Q169">
        <v>1988</v>
      </c>
      <c r="S169" t="s">
        <v>8</v>
      </c>
      <c r="T169" t="s">
        <v>1200</v>
      </c>
      <c r="U169" t="s">
        <v>123</v>
      </c>
      <c r="V169" t="s">
        <v>1483</v>
      </c>
      <c r="W169" t="s">
        <v>1484</v>
      </c>
      <c r="X169" t="s">
        <v>935</v>
      </c>
      <c r="AA169">
        <v>267</v>
      </c>
      <c r="AB169" t="s">
        <v>1479</v>
      </c>
    </row>
    <row r="170" spans="1:31" ht="13" customHeight="1">
      <c r="A170">
        <v>168.1</v>
      </c>
      <c r="B170">
        <v>1</v>
      </c>
      <c r="C170" t="s">
        <v>1064</v>
      </c>
      <c r="D170" t="s">
        <v>1065</v>
      </c>
      <c r="E170" t="s">
        <v>620</v>
      </c>
      <c r="F170">
        <v>1991</v>
      </c>
      <c r="H170" t="s">
        <v>730</v>
      </c>
      <c r="I170" t="e">
        <f>- Einstellungstest</f>
        <v>#NAME?</v>
      </c>
      <c r="J170" t="s">
        <v>849</v>
      </c>
      <c r="K170" t="s">
        <v>1066</v>
      </c>
      <c r="L170" s="2">
        <v>34445</v>
      </c>
      <c r="N170" t="s">
        <v>1067</v>
      </c>
      <c r="O170" t="s">
        <v>564</v>
      </c>
      <c r="P170">
        <v>3</v>
      </c>
      <c r="Q170" t="s">
        <v>115</v>
      </c>
      <c r="S170" t="s">
        <v>121</v>
      </c>
      <c r="T170" t="s">
        <v>934</v>
      </c>
      <c r="U170" t="s">
        <v>123</v>
      </c>
      <c r="V170" t="s">
        <v>935</v>
      </c>
      <c r="W170" t="s">
        <v>936</v>
      </c>
      <c r="X170" t="s">
        <v>536</v>
      </c>
      <c r="AA170">
        <v>168</v>
      </c>
      <c r="AB170" t="s">
        <v>1065</v>
      </c>
    </row>
    <row r="171" spans="1:31" ht="13" customHeight="1">
      <c r="A171">
        <v>153</v>
      </c>
      <c r="C171" t="s">
        <v>731</v>
      </c>
      <c r="D171" t="s">
        <v>732</v>
      </c>
      <c r="E171" t="s">
        <v>733</v>
      </c>
      <c r="F171" t="s">
        <v>115</v>
      </c>
      <c r="H171" t="s">
        <v>730</v>
      </c>
      <c r="I171" t="e">
        <f>- eindimensionaler Persönlichkeits-Test</f>
        <v>#NAME?</v>
      </c>
      <c r="J171" t="s">
        <v>76</v>
      </c>
      <c r="K171" t="s">
        <v>734</v>
      </c>
      <c r="L171" s="2">
        <v>33127</v>
      </c>
      <c r="N171" t="s">
        <v>735</v>
      </c>
      <c r="O171" t="s">
        <v>564</v>
      </c>
      <c r="P171">
        <v>1</v>
      </c>
      <c r="Q171">
        <v>1989</v>
      </c>
      <c r="S171" t="s">
        <v>8</v>
      </c>
      <c r="T171" t="s">
        <v>736</v>
      </c>
      <c r="U171" t="s">
        <v>123</v>
      </c>
      <c r="V171" t="s">
        <v>737</v>
      </c>
      <c r="W171" t="s">
        <v>738</v>
      </c>
      <c r="AA171">
        <v>153</v>
      </c>
      <c r="AB171" t="s">
        <v>739</v>
      </c>
      <c r="AC171" t="s">
        <v>596</v>
      </c>
      <c r="AD171" t="s">
        <v>597</v>
      </c>
    </row>
    <row r="172" spans="1:31" ht="13" customHeight="1">
      <c r="A172">
        <v>412</v>
      </c>
      <c r="C172" t="s">
        <v>2649</v>
      </c>
      <c r="D172" t="s">
        <v>2650</v>
      </c>
      <c r="E172" t="s">
        <v>620</v>
      </c>
      <c r="F172" t="s">
        <v>115</v>
      </c>
      <c r="H172" t="s">
        <v>730</v>
      </c>
      <c r="I172" t="e">
        <f>- mehrdimensionaler Persönlichkeits-Test</f>
        <v>#NAME?</v>
      </c>
      <c r="J172" t="s">
        <v>791</v>
      </c>
      <c r="K172" t="s">
        <v>2651</v>
      </c>
      <c r="L172" s="2">
        <v>33582</v>
      </c>
      <c r="N172" t="s">
        <v>2652</v>
      </c>
      <c r="O172" t="s">
        <v>564</v>
      </c>
      <c r="P172">
        <v>1</v>
      </c>
      <c r="Q172">
        <v>1971</v>
      </c>
      <c r="S172" t="s">
        <v>8</v>
      </c>
      <c r="T172" t="s">
        <v>2653</v>
      </c>
      <c r="U172" t="s">
        <v>123</v>
      </c>
      <c r="V172" t="s">
        <v>2654</v>
      </c>
      <c r="W172" t="s">
        <v>687</v>
      </c>
      <c r="X172" t="s">
        <v>2655</v>
      </c>
      <c r="AA172">
        <v>412</v>
      </c>
      <c r="AB172" t="s">
        <v>2656</v>
      </c>
      <c r="AC172" t="s">
        <v>2681</v>
      </c>
    </row>
    <row r="173" spans="1:31" ht="13" customHeight="1">
      <c r="A173">
        <v>179</v>
      </c>
      <c r="C173" t="s">
        <v>896</v>
      </c>
      <c r="D173" t="s">
        <v>897</v>
      </c>
      <c r="E173" t="s">
        <v>898</v>
      </c>
      <c r="F173" t="s">
        <v>115</v>
      </c>
      <c r="H173" t="s">
        <v>600</v>
      </c>
      <c r="I173" t="e">
        <f>- Einstellungstest</f>
        <v>#NAME?</v>
      </c>
      <c r="J173" t="s">
        <v>899</v>
      </c>
      <c r="K173" t="s">
        <v>900</v>
      </c>
      <c r="L173" s="2">
        <v>33059</v>
      </c>
      <c r="N173" t="s">
        <v>901</v>
      </c>
      <c r="O173" t="s">
        <v>564</v>
      </c>
      <c r="P173">
        <v>1</v>
      </c>
      <c r="Q173">
        <v>1977</v>
      </c>
      <c r="S173" t="s">
        <v>8</v>
      </c>
      <c r="T173" t="s">
        <v>902</v>
      </c>
      <c r="U173" t="s">
        <v>123</v>
      </c>
      <c r="V173" t="s">
        <v>175</v>
      </c>
      <c r="W173" t="s">
        <v>489</v>
      </c>
      <c r="AA173">
        <v>179</v>
      </c>
      <c r="AB173" t="s">
        <v>903</v>
      </c>
    </row>
    <row r="174" spans="1:31" ht="13" customHeight="1">
      <c r="A174">
        <v>398.1</v>
      </c>
      <c r="B174">
        <v>1</v>
      </c>
      <c r="C174" t="s">
        <v>2600</v>
      </c>
      <c r="D174" t="s">
        <v>2601</v>
      </c>
      <c r="E174" t="s">
        <v>2602</v>
      </c>
      <c r="F174" t="s">
        <v>115</v>
      </c>
      <c r="H174" t="s">
        <v>730</v>
      </c>
      <c r="I174" t="e">
        <f>- klinischer Test</f>
        <v>#NAME?</v>
      </c>
      <c r="J174" t="s">
        <v>2603</v>
      </c>
      <c r="K174" t="s">
        <v>2604</v>
      </c>
      <c r="L174" s="2">
        <v>33659</v>
      </c>
      <c r="N174" t="s">
        <v>612</v>
      </c>
      <c r="O174" t="s">
        <v>564</v>
      </c>
      <c r="P174">
        <v>2</v>
      </c>
      <c r="Q174">
        <v>1972</v>
      </c>
      <c r="S174" t="s">
        <v>8</v>
      </c>
      <c r="T174" t="s">
        <v>2605</v>
      </c>
      <c r="U174" t="s">
        <v>123</v>
      </c>
      <c r="V174" t="s">
        <v>2486</v>
      </c>
      <c r="W174" t="s">
        <v>2487</v>
      </c>
      <c r="X174" t="s">
        <v>2488</v>
      </c>
      <c r="Y174" t="s">
        <v>2489</v>
      </c>
      <c r="Z174" t="s">
        <v>2490</v>
      </c>
      <c r="AA174">
        <v>398</v>
      </c>
      <c r="AB174" t="s">
        <v>2601</v>
      </c>
    </row>
    <row r="175" spans="1:31" ht="13" customHeight="1">
      <c r="A175">
        <v>398.2</v>
      </c>
      <c r="B175">
        <v>2</v>
      </c>
      <c r="C175" t="s">
        <v>2600</v>
      </c>
      <c r="D175" t="s">
        <v>2601</v>
      </c>
      <c r="E175" t="s">
        <v>2602</v>
      </c>
      <c r="F175" t="s">
        <v>115</v>
      </c>
      <c r="H175" t="s">
        <v>730</v>
      </c>
      <c r="I175" t="e">
        <f>- klinischer Test</f>
        <v>#NAME?</v>
      </c>
      <c r="J175" t="s">
        <v>2603</v>
      </c>
      <c r="K175" t="s">
        <v>2604</v>
      </c>
      <c r="L175" s="2">
        <v>33659</v>
      </c>
      <c r="N175" t="s">
        <v>612</v>
      </c>
      <c r="O175" t="s">
        <v>564</v>
      </c>
      <c r="P175">
        <v>2</v>
      </c>
      <c r="Q175">
        <v>1972</v>
      </c>
      <c r="S175" t="s">
        <v>8</v>
      </c>
      <c r="T175" t="s">
        <v>2605</v>
      </c>
      <c r="U175" t="s">
        <v>123</v>
      </c>
      <c r="V175" t="s">
        <v>2486</v>
      </c>
      <c r="W175" t="s">
        <v>2487</v>
      </c>
      <c r="X175" t="s">
        <v>2488</v>
      </c>
      <c r="Y175" t="s">
        <v>2489</v>
      </c>
      <c r="Z175" t="s">
        <v>2490</v>
      </c>
      <c r="AB175" t="s">
        <v>2601</v>
      </c>
    </row>
    <row r="176" spans="1:31" ht="13" customHeight="1">
      <c r="A176">
        <v>269</v>
      </c>
      <c r="C176" t="s">
        <v>1488</v>
      </c>
      <c r="D176" t="s">
        <v>1489</v>
      </c>
      <c r="E176" t="s">
        <v>620</v>
      </c>
      <c r="F176" t="s">
        <v>115</v>
      </c>
      <c r="H176" t="s">
        <v>6</v>
      </c>
      <c r="I176" t="e">
        <f>- spez. Funktionsprüfungs- und Eignungstest</f>
        <v>#NAME?</v>
      </c>
      <c r="J176" t="s">
        <v>1490</v>
      </c>
      <c r="K176" t="s">
        <v>1491</v>
      </c>
      <c r="L176" s="2">
        <v>33500</v>
      </c>
      <c r="N176" t="s">
        <v>1492</v>
      </c>
      <c r="O176" t="s">
        <v>564</v>
      </c>
      <c r="P176">
        <v>1</v>
      </c>
      <c r="Q176">
        <v>1993</v>
      </c>
      <c r="S176" t="s">
        <v>8</v>
      </c>
      <c r="T176" t="s">
        <v>1493</v>
      </c>
      <c r="U176" t="s">
        <v>123</v>
      </c>
      <c r="V176" t="s">
        <v>1352</v>
      </c>
      <c r="W176" t="s">
        <v>760</v>
      </c>
      <c r="AA176">
        <v>269</v>
      </c>
      <c r="AB176" t="s">
        <v>1494</v>
      </c>
      <c r="AC176" t="s">
        <v>1495</v>
      </c>
      <c r="AD176" t="s">
        <v>1496</v>
      </c>
    </row>
    <row r="177" spans="1:31" ht="13" customHeight="1">
      <c r="A177">
        <v>230.1</v>
      </c>
      <c r="B177">
        <v>1</v>
      </c>
      <c r="C177" t="s">
        <v>1502</v>
      </c>
      <c r="D177" t="s">
        <v>1503</v>
      </c>
      <c r="E177" t="s">
        <v>1302</v>
      </c>
      <c r="F177" t="s">
        <v>115</v>
      </c>
      <c r="H177" t="s">
        <v>6</v>
      </c>
      <c r="I177" t="e">
        <f>- Intelligenztest für $K143:$AE143 und $K55:$AE55</f>
        <v>#NAME?</v>
      </c>
      <c r="J177" t="s">
        <v>1504</v>
      </c>
      <c r="K177" t="s">
        <v>170</v>
      </c>
      <c r="L177" s="2">
        <v>34627</v>
      </c>
      <c r="N177" t="s">
        <v>1505</v>
      </c>
      <c r="O177" t="s">
        <v>564</v>
      </c>
      <c r="P177">
        <v>4</v>
      </c>
      <c r="Q177">
        <v>1957</v>
      </c>
      <c r="S177" t="s">
        <v>8</v>
      </c>
      <c r="T177" t="s">
        <v>1506</v>
      </c>
      <c r="U177" t="s">
        <v>123</v>
      </c>
      <c r="V177" t="s">
        <v>174</v>
      </c>
      <c r="W177" t="s">
        <v>175</v>
      </c>
      <c r="AA177">
        <v>230</v>
      </c>
      <c r="AB177" t="s">
        <v>1507</v>
      </c>
      <c r="AC177" t="s">
        <v>1508</v>
      </c>
      <c r="AD177" t="s">
        <v>1365</v>
      </c>
    </row>
    <row r="178" spans="1:31" ht="13" customHeight="1">
      <c r="A178">
        <v>230.2</v>
      </c>
      <c r="B178">
        <v>2</v>
      </c>
      <c r="C178" t="s">
        <v>1502</v>
      </c>
      <c r="D178" t="s">
        <v>1503</v>
      </c>
      <c r="E178" t="s">
        <v>1302</v>
      </c>
      <c r="F178" t="s">
        <v>115</v>
      </c>
      <c r="H178" t="s">
        <v>6</v>
      </c>
      <c r="I178" t="e">
        <f>- Intelligenztest für $K143:$AE143 und $K55:$AE55</f>
        <v>#NAME?</v>
      </c>
      <c r="J178" t="s">
        <v>1504</v>
      </c>
      <c r="K178" t="s">
        <v>170</v>
      </c>
      <c r="L178" s="2">
        <v>34627</v>
      </c>
      <c r="N178" t="s">
        <v>1505</v>
      </c>
      <c r="O178" t="s">
        <v>564</v>
      </c>
      <c r="P178">
        <v>4</v>
      </c>
      <c r="Q178">
        <v>1957</v>
      </c>
      <c r="S178" t="s">
        <v>8</v>
      </c>
      <c r="T178" t="s">
        <v>1506</v>
      </c>
      <c r="U178" t="s">
        <v>123</v>
      </c>
      <c r="V178" t="s">
        <v>174</v>
      </c>
      <c r="W178" t="s">
        <v>175</v>
      </c>
      <c r="AB178" t="s">
        <v>1507</v>
      </c>
      <c r="AC178" t="s">
        <v>1508</v>
      </c>
      <c r="AD178" t="s">
        <v>1365</v>
      </c>
    </row>
    <row r="179" spans="1:31" ht="13" customHeight="1">
      <c r="A179">
        <v>155</v>
      </c>
      <c r="C179" t="s">
        <v>608</v>
      </c>
      <c r="D179" t="s">
        <v>609</v>
      </c>
      <c r="E179" t="s">
        <v>610</v>
      </c>
      <c r="F179" t="s">
        <v>115</v>
      </c>
      <c r="H179" t="s">
        <v>730</v>
      </c>
      <c r="I179" t="e">
        <f>- eindimensionaler Persönlichkeits-Test</f>
        <v>#NAME?</v>
      </c>
      <c r="J179" t="s">
        <v>76</v>
      </c>
      <c r="K179" t="s">
        <v>611</v>
      </c>
      <c r="L179" s="2">
        <v>36095</v>
      </c>
      <c r="N179" t="s">
        <v>612</v>
      </c>
      <c r="O179" t="s">
        <v>564</v>
      </c>
      <c r="P179">
        <v>1</v>
      </c>
      <c r="Q179">
        <v>1987</v>
      </c>
      <c r="S179" t="s">
        <v>8</v>
      </c>
      <c r="T179" t="s">
        <v>613</v>
      </c>
      <c r="U179" t="s">
        <v>123</v>
      </c>
      <c r="V179" t="s">
        <v>614</v>
      </c>
      <c r="W179" t="s">
        <v>567</v>
      </c>
      <c r="X179" t="s">
        <v>615</v>
      </c>
      <c r="AA179">
        <v>155</v>
      </c>
      <c r="AB179" t="s">
        <v>616</v>
      </c>
      <c r="AC179" t="s">
        <v>617</v>
      </c>
    </row>
    <row r="180" spans="1:31" ht="13" customHeight="1">
      <c r="A180">
        <v>226.1</v>
      </c>
      <c r="B180">
        <v>1</v>
      </c>
      <c r="C180" t="s">
        <v>1231</v>
      </c>
      <c r="D180" t="s">
        <v>1232</v>
      </c>
      <c r="E180" t="s">
        <v>1217</v>
      </c>
      <c r="F180" t="s">
        <v>115</v>
      </c>
      <c r="H180" t="s">
        <v>6</v>
      </c>
      <c r="I180" t="s">
        <v>168</v>
      </c>
      <c r="J180" t="s">
        <v>1233</v>
      </c>
      <c r="K180" t="s">
        <v>1234</v>
      </c>
      <c r="L180" s="2">
        <v>33500</v>
      </c>
      <c r="N180" t="s">
        <v>1235</v>
      </c>
      <c r="O180" t="s">
        <v>564</v>
      </c>
      <c r="P180">
        <v>2</v>
      </c>
      <c r="Q180">
        <v>1956</v>
      </c>
      <c r="S180" t="s">
        <v>121</v>
      </c>
      <c r="T180" t="s">
        <v>1236</v>
      </c>
      <c r="U180" t="s">
        <v>123</v>
      </c>
      <c r="V180" t="s">
        <v>175</v>
      </c>
      <c r="W180" t="s">
        <v>20</v>
      </c>
      <c r="X180" t="s">
        <v>145</v>
      </c>
      <c r="AA180">
        <v>226</v>
      </c>
      <c r="AB180" t="s">
        <v>1465</v>
      </c>
      <c r="AC180" t="s">
        <v>1237</v>
      </c>
    </row>
    <row r="181" spans="1:31" ht="13" customHeight="1">
      <c r="A181">
        <v>226.2</v>
      </c>
      <c r="B181">
        <v>2</v>
      </c>
      <c r="C181" t="s">
        <v>1231</v>
      </c>
      <c r="D181" t="s">
        <v>1232</v>
      </c>
      <c r="E181" t="s">
        <v>1217</v>
      </c>
      <c r="F181" t="s">
        <v>115</v>
      </c>
      <c r="H181" t="s">
        <v>6</v>
      </c>
      <c r="I181" t="s">
        <v>168</v>
      </c>
      <c r="J181" t="s">
        <v>1233</v>
      </c>
      <c r="K181" t="s">
        <v>1234</v>
      </c>
      <c r="L181" s="2">
        <v>33500</v>
      </c>
      <c r="N181" t="s">
        <v>1235</v>
      </c>
      <c r="O181" t="s">
        <v>564</v>
      </c>
      <c r="P181">
        <v>2</v>
      </c>
      <c r="Q181">
        <v>1956</v>
      </c>
      <c r="S181" t="s">
        <v>121</v>
      </c>
      <c r="T181" t="s">
        <v>1236</v>
      </c>
      <c r="U181" t="s">
        <v>123</v>
      </c>
      <c r="V181" t="s">
        <v>175</v>
      </c>
      <c r="W181" t="s">
        <v>20</v>
      </c>
      <c r="X181" t="s">
        <v>145</v>
      </c>
      <c r="AB181" t="s">
        <v>1465</v>
      </c>
      <c r="AC181" t="s">
        <v>1237</v>
      </c>
    </row>
    <row r="182" spans="1:31" ht="13" customHeight="1">
      <c r="A182">
        <v>228.1</v>
      </c>
      <c r="B182">
        <v>1</v>
      </c>
      <c r="C182" t="s">
        <v>1366</v>
      </c>
      <c r="D182" t="s">
        <v>1367</v>
      </c>
      <c r="E182" t="s">
        <v>1217</v>
      </c>
      <c r="F182" t="s">
        <v>115</v>
      </c>
      <c r="H182" t="s">
        <v>6</v>
      </c>
      <c r="I182" t="s">
        <v>139</v>
      </c>
      <c r="J182" t="s">
        <v>1368</v>
      </c>
      <c r="K182" t="s">
        <v>141</v>
      </c>
      <c r="L182" s="2">
        <v>33127</v>
      </c>
      <c r="N182" t="s">
        <v>1369</v>
      </c>
      <c r="O182" t="s">
        <v>564</v>
      </c>
      <c r="P182">
        <v>6</v>
      </c>
      <c r="Q182">
        <v>1959</v>
      </c>
      <c r="S182" t="s">
        <v>8</v>
      </c>
      <c r="T182" t="s">
        <v>1370</v>
      </c>
      <c r="U182" t="s">
        <v>123</v>
      </c>
      <c r="V182" t="s">
        <v>175</v>
      </c>
      <c r="W182" t="s">
        <v>145</v>
      </c>
      <c r="AA182">
        <v>228</v>
      </c>
      <c r="AB182" t="s">
        <v>1371</v>
      </c>
      <c r="AC182" t="s">
        <v>1465</v>
      </c>
      <c r="AD182" t="s">
        <v>1466</v>
      </c>
    </row>
    <row r="183" spans="1:31" ht="13" customHeight="1">
      <c r="A183">
        <v>228.2</v>
      </c>
      <c r="B183">
        <v>2</v>
      </c>
      <c r="C183" t="s">
        <v>1366</v>
      </c>
      <c r="D183" t="s">
        <v>1367</v>
      </c>
      <c r="E183" t="s">
        <v>1372</v>
      </c>
      <c r="F183" t="s">
        <v>14</v>
      </c>
      <c r="H183" t="s">
        <v>6</v>
      </c>
      <c r="I183" t="s">
        <v>139</v>
      </c>
      <c r="J183" t="s">
        <v>1368</v>
      </c>
      <c r="K183" t="s">
        <v>141</v>
      </c>
      <c r="L183" s="2">
        <v>33171</v>
      </c>
      <c r="N183" t="s">
        <v>1369</v>
      </c>
      <c r="O183" t="s">
        <v>564</v>
      </c>
      <c r="P183">
        <v>6</v>
      </c>
      <c r="Q183">
        <v>1965</v>
      </c>
      <c r="S183" t="s">
        <v>121</v>
      </c>
      <c r="T183" t="s">
        <v>1370</v>
      </c>
      <c r="U183" t="s">
        <v>123</v>
      </c>
      <c r="V183" t="s">
        <v>175</v>
      </c>
      <c r="W183" t="s">
        <v>145</v>
      </c>
      <c r="AB183" t="s">
        <v>1371</v>
      </c>
      <c r="AC183" t="s">
        <v>1465</v>
      </c>
      <c r="AD183" t="s">
        <v>1466</v>
      </c>
    </row>
    <row r="184" spans="1:31" ht="13" customHeight="1">
      <c r="A184">
        <v>228.3</v>
      </c>
      <c r="B184">
        <v>3</v>
      </c>
      <c r="C184" t="s">
        <v>1366</v>
      </c>
      <c r="D184" t="s">
        <v>1367</v>
      </c>
      <c r="E184" t="s">
        <v>1372</v>
      </c>
      <c r="F184" t="s">
        <v>14</v>
      </c>
      <c r="H184" t="s">
        <v>6</v>
      </c>
      <c r="I184" t="s">
        <v>139</v>
      </c>
      <c r="J184" t="s">
        <v>1368</v>
      </c>
      <c r="K184" t="s">
        <v>141</v>
      </c>
      <c r="L184" s="2">
        <v>33136</v>
      </c>
      <c r="N184" t="s">
        <v>1369</v>
      </c>
      <c r="O184" t="s">
        <v>564</v>
      </c>
      <c r="P184">
        <v>6</v>
      </c>
      <c r="Q184">
        <v>1965</v>
      </c>
      <c r="S184" t="s">
        <v>121</v>
      </c>
      <c r="T184" t="s">
        <v>1370</v>
      </c>
      <c r="U184" t="s">
        <v>123</v>
      </c>
      <c r="V184" t="s">
        <v>175</v>
      </c>
      <c r="W184" t="s">
        <v>145</v>
      </c>
      <c r="AB184" t="s">
        <v>1371</v>
      </c>
      <c r="AC184" t="s">
        <v>1465</v>
      </c>
      <c r="AD184" t="s">
        <v>1466</v>
      </c>
    </row>
    <row r="185" spans="1:31" ht="13" customHeight="1">
      <c r="A185">
        <v>228.4</v>
      </c>
      <c r="B185">
        <v>4</v>
      </c>
      <c r="C185" t="s">
        <v>1366</v>
      </c>
      <c r="D185" t="s">
        <v>1367</v>
      </c>
      <c r="E185" t="s">
        <v>1372</v>
      </c>
      <c r="F185" t="s">
        <v>14</v>
      </c>
      <c r="H185" t="s">
        <v>6</v>
      </c>
      <c r="I185" t="s">
        <v>139</v>
      </c>
      <c r="J185" t="s">
        <v>1368</v>
      </c>
      <c r="K185" t="s">
        <v>141</v>
      </c>
      <c r="L185" s="2">
        <v>33136</v>
      </c>
      <c r="N185" t="s">
        <v>1369</v>
      </c>
      <c r="O185" t="s">
        <v>564</v>
      </c>
      <c r="P185">
        <v>6</v>
      </c>
      <c r="Q185">
        <v>1965</v>
      </c>
      <c r="S185" t="s">
        <v>121</v>
      </c>
      <c r="T185" t="s">
        <v>1370</v>
      </c>
      <c r="U185" t="s">
        <v>123</v>
      </c>
      <c r="V185" t="s">
        <v>175</v>
      </c>
      <c r="W185" t="s">
        <v>145</v>
      </c>
      <c r="AB185" t="s">
        <v>1371</v>
      </c>
      <c r="AC185" t="s">
        <v>1465</v>
      </c>
      <c r="AD185" t="s">
        <v>1466</v>
      </c>
    </row>
    <row r="186" spans="1:31" ht="13" customHeight="1">
      <c r="A186">
        <v>228.5</v>
      </c>
      <c r="B186">
        <v>5</v>
      </c>
      <c r="C186" t="s">
        <v>1366</v>
      </c>
      <c r="D186" t="s">
        <v>1367</v>
      </c>
      <c r="E186" t="s">
        <v>1372</v>
      </c>
      <c r="F186" t="s">
        <v>14</v>
      </c>
      <c r="H186" t="s">
        <v>6</v>
      </c>
      <c r="I186" t="s">
        <v>139</v>
      </c>
      <c r="J186" t="s">
        <v>1368</v>
      </c>
      <c r="K186" t="s">
        <v>141</v>
      </c>
      <c r="L186" s="2">
        <v>33136</v>
      </c>
      <c r="N186" t="s">
        <v>1369</v>
      </c>
      <c r="O186" t="s">
        <v>564</v>
      </c>
      <c r="P186">
        <v>6</v>
      </c>
      <c r="Q186">
        <v>1965</v>
      </c>
      <c r="S186" t="s">
        <v>121</v>
      </c>
      <c r="T186" t="s">
        <v>1370</v>
      </c>
      <c r="U186" t="s">
        <v>123</v>
      </c>
      <c r="V186" t="s">
        <v>175</v>
      </c>
      <c r="W186" t="s">
        <v>145</v>
      </c>
      <c r="AB186" t="s">
        <v>1371</v>
      </c>
      <c r="AC186" t="s">
        <v>1465</v>
      </c>
      <c r="AD186" t="s">
        <v>1466</v>
      </c>
    </row>
    <row r="187" spans="1:31" ht="13" customHeight="1">
      <c r="A187">
        <v>228.6</v>
      </c>
      <c r="B187">
        <v>6</v>
      </c>
      <c r="C187" t="s">
        <v>1366</v>
      </c>
      <c r="D187" t="s">
        <v>1367</v>
      </c>
      <c r="E187" t="s">
        <v>1372</v>
      </c>
      <c r="F187" t="s">
        <v>14</v>
      </c>
      <c r="H187" t="s">
        <v>6</v>
      </c>
      <c r="I187" t="s">
        <v>139</v>
      </c>
      <c r="J187" t="s">
        <v>1368</v>
      </c>
      <c r="K187" t="s">
        <v>141</v>
      </c>
      <c r="L187" s="2">
        <v>33136</v>
      </c>
      <c r="N187" t="s">
        <v>1369</v>
      </c>
      <c r="O187" t="s">
        <v>564</v>
      </c>
      <c r="P187">
        <v>6</v>
      </c>
      <c r="Q187">
        <v>1965</v>
      </c>
      <c r="S187" t="s">
        <v>121</v>
      </c>
      <c r="T187" t="s">
        <v>1370</v>
      </c>
      <c r="U187" t="s">
        <v>123</v>
      </c>
      <c r="V187" t="s">
        <v>175</v>
      </c>
      <c r="W187" t="s">
        <v>145</v>
      </c>
      <c r="AB187" t="s">
        <v>1371</v>
      </c>
      <c r="AC187" t="s">
        <v>1465</v>
      </c>
      <c r="AD187" t="s">
        <v>1466</v>
      </c>
    </row>
    <row r="188" spans="1:31" ht="13" customHeight="1">
      <c r="A188">
        <v>225.1</v>
      </c>
      <c r="B188">
        <v>1</v>
      </c>
      <c r="C188" t="s">
        <v>1468</v>
      </c>
      <c r="D188" t="s">
        <v>1469</v>
      </c>
      <c r="E188" s="1" t="s">
        <v>1470</v>
      </c>
      <c r="F188" t="s">
        <v>876</v>
      </c>
      <c r="H188" t="s">
        <v>6</v>
      </c>
      <c r="I188" t="s">
        <v>1389</v>
      </c>
      <c r="J188" t="s">
        <v>1346</v>
      </c>
      <c r="K188" t="s">
        <v>1520</v>
      </c>
      <c r="L188" s="2">
        <v>33127</v>
      </c>
      <c r="N188" t="s">
        <v>1347</v>
      </c>
      <c r="O188" t="s">
        <v>564</v>
      </c>
      <c r="P188">
        <v>2</v>
      </c>
      <c r="Q188">
        <v>1957</v>
      </c>
      <c r="S188" t="s">
        <v>716</v>
      </c>
      <c r="T188" t="s">
        <v>1227</v>
      </c>
      <c r="U188" t="s">
        <v>123</v>
      </c>
      <c r="V188" t="s">
        <v>175</v>
      </c>
      <c r="W188" t="s">
        <v>1516</v>
      </c>
      <c r="X188" t="s">
        <v>20</v>
      </c>
      <c r="AA188">
        <v>225</v>
      </c>
      <c r="AB188" t="s">
        <v>1228</v>
      </c>
      <c r="AC188" t="s">
        <v>1465</v>
      </c>
      <c r="AD188" t="s">
        <v>1229</v>
      </c>
      <c r="AE188" t="s">
        <v>1230</v>
      </c>
    </row>
    <row r="189" spans="1:31" ht="13" customHeight="1">
      <c r="A189">
        <v>225.2</v>
      </c>
      <c r="B189">
        <v>2</v>
      </c>
      <c r="C189" t="s">
        <v>1468</v>
      </c>
      <c r="D189" t="s">
        <v>1469</v>
      </c>
      <c r="E189" s="1" t="s">
        <v>1470</v>
      </c>
      <c r="F189" t="s">
        <v>876</v>
      </c>
      <c r="H189" t="s">
        <v>6</v>
      </c>
      <c r="I189" t="s">
        <v>1389</v>
      </c>
      <c r="J189" t="s">
        <v>1346</v>
      </c>
      <c r="K189" t="s">
        <v>1520</v>
      </c>
      <c r="L189" s="2">
        <v>33136</v>
      </c>
      <c r="N189" t="s">
        <v>1347</v>
      </c>
      <c r="O189" t="s">
        <v>564</v>
      </c>
      <c r="P189">
        <v>2</v>
      </c>
      <c r="Q189">
        <v>1957</v>
      </c>
      <c r="S189" t="s">
        <v>716</v>
      </c>
      <c r="T189" t="s">
        <v>1227</v>
      </c>
      <c r="U189" t="s">
        <v>123</v>
      </c>
      <c r="V189" t="s">
        <v>175</v>
      </c>
      <c r="W189" t="s">
        <v>1516</v>
      </c>
      <c r="X189" t="s">
        <v>20</v>
      </c>
      <c r="AB189" t="s">
        <v>1228</v>
      </c>
      <c r="AC189" t="s">
        <v>1465</v>
      </c>
      <c r="AD189" t="s">
        <v>1229</v>
      </c>
      <c r="AE189" t="s">
        <v>1230</v>
      </c>
    </row>
    <row r="190" spans="1:31" ht="13" customHeight="1">
      <c r="A190">
        <v>224.1</v>
      </c>
      <c r="B190">
        <v>1</v>
      </c>
      <c r="C190" t="s">
        <v>1587</v>
      </c>
      <c r="D190" t="s">
        <v>1588</v>
      </c>
      <c r="E190" t="s">
        <v>1217</v>
      </c>
      <c r="F190" t="s">
        <v>115</v>
      </c>
      <c r="H190" t="s">
        <v>6</v>
      </c>
      <c r="I190" t="s">
        <v>1389</v>
      </c>
      <c r="J190" t="s">
        <v>1461</v>
      </c>
      <c r="K190" t="s">
        <v>1462</v>
      </c>
      <c r="L190" s="2">
        <v>33127</v>
      </c>
      <c r="N190" t="s">
        <v>1463</v>
      </c>
      <c r="O190" t="s">
        <v>564</v>
      </c>
      <c r="P190">
        <v>2</v>
      </c>
      <c r="Q190">
        <v>1963</v>
      </c>
      <c r="S190" t="s">
        <v>121</v>
      </c>
      <c r="T190" t="s">
        <v>1464</v>
      </c>
      <c r="U190" t="s">
        <v>123</v>
      </c>
      <c r="V190" t="s">
        <v>20</v>
      </c>
      <c r="W190" t="s">
        <v>1516</v>
      </c>
      <c r="X190" t="s">
        <v>175</v>
      </c>
      <c r="AA190">
        <v>224</v>
      </c>
      <c r="AB190" t="s">
        <v>1465</v>
      </c>
      <c r="AC190" t="s">
        <v>1466</v>
      </c>
      <c r="AD190" t="s">
        <v>1467</v>
      </c>
    </row>
    <row r="191" spans="1:31" ht="13" customHeight="1">
      <c r="A191">
        <v>224.2</v>
      </c>
      <c r="B191">
        <v>2</v>
      </c>
      <c r="C191" t="s">
        <v>1587</v>
      </c>
      <c r="D191" t="s">
        <v>1588</v>
      </c>
      <c r="E191" t="s">
        <v>1217</v>
      </c>
      <c r="F191" t="s">
        <v>115</v>
      </c>
      <c r="H191" t="s">
        <v>6</v>
      </c>
      <c r="I191" t="s">
        <v>1389</v>
      </c>
      <c r="J191" t="s">
        <v>1461</v>
      </c>
      <c r="K191" t="s">
        <v>1462</v>
      </c>
      <c r="L191" s="2">
        <v>33127</v>
      </c>
      <c r="N191" t="s">
        <v>1463</v>
      </c>
      <c r="O191" t="s">
        <v>564</v>
      </c>
      <c r="P191">
        <v>2</v>
      </c>
      <c r="Q191">
        <v>1963</v>
      </c>
      <c r="S191" t="s">
        <v>121</v>
      </c>
      <c r="T191" t="s">
        <v>1464</v>
      </c>
      <c r="U191" t="s">
        <v>123</v>
      </c>
      <c r="V191" t="s">
        <v>20</v>
      </c>
      <c r="W191" t="s">
        <v>1516</v>
      </c>
      <c r="X191" t="s">
        <v>175</v>
      </c>
      <c r="AB191" t="s">
        <v>1465</v>
      </c>
      <c r="AC191" t="s">
        <v>1466</v>
      </c>
      <c r="AD191" t="s">
        <v>1467</v>
      </c>
    </row>
    <row r="192" spans="1:31" ht="13" customHeight="1">
      <c r="A192">
        <v>162.1</v>
      </c>
      <c r="B192">
        <v>1</v>
      </c>
      <c r="C192" t="s">
        <v>1087</v>
      </c>
      <c r="D192" t="s">
        <v>1216</v>
      </c>
      <c r="E192" t="s">
        <v>1088</v>
      </c>
      <c r="F192" t="s">
        <v>14</v>
      </c>
      <c r="H192" t="s">
        <v>6</v>
      </c>
      <c r="I192" t="s">
        <v>915</v>
      </c>
      <c r="J192" t="s">
        <v>1083</v>
      </c>
      <c r="K192" t="s">
        <v>1089</v>
      </c>
      <c r="L192" s="2">
        <v>33920</v>
      </c>
      <c r="N192" t="s">
        <v>1090</v>
      </c>
      <c r="O192" t="s">
        <v>564</v>
      </c>
      <c r="P192">
        <v>2</v>
      </c>
      <c r="Q192">
        <v>1965</v>
      </c>
      <c r="R192" t="s">
        <v>1091</v>
      </c>
      <c r="S192" t="s">
        <v>8</v>
      </c>
      <c r="T192" t="s">
        <v>951</v>
      </c>
      <c r="U192" t="s">
        <v>123</v>
      </c>
      <c r="V192" t="s">
        <v>175</v>
      </c>
      <c r="W192" t="s">
        <v>854</v>
      </c>
      <c r="AA192">
        <v>162</v>
      </c>
      <c r="AB192" t="s">
        <v>1222</v>
      </c>
      <c r="AC192" t="s">
        <v>1084</v>
      </c>
      <c r="AD192" t="s">
        <v>1085</v>
      </c>
      <c r="AE192" t="s">
        <v>1086</v>
      </c>
    </row>
    <row r="193" spans="1:31" ht="13" customHeight="1">
      <c r="A193">
        <v>162.19999999999999</v>
      </c>
      <c r="B193">
        <v>2</v>
      </c>
      <c r="C193" t="s">
        <v>1087</v>
      </c>
      <c r="D193" t="s">
        <v>1216</v>
      </c>
      <c r="E193" t="s">
        <v>1088</v>
      </c>
      <c r="F193" t="s">
        <v>14</v>
      </c>
      <c r="H193" t="s">
        <v>6</v>
      </c>
      <c r="I193" t="s">
        <v>915</v>
      </c>
      <c r="J193" t="s">
        <v>1083</v>
      </c>
      <c r="K193" t="s">
        <v>1089</v>
      </c>
      <c r="L193" s="2">
        <v>33920</v>
      </c>
      <c r="N193" t="s">
        <v>1090</v>
      </c>
      <c r="O193" t="s">
        <v>564</v>
      </c>
      <c r="P193">
        <v>2</v>
      </c>
      <c r="Q193">
        <v>1965</v>
      </c>
      <c r="S193" t="s">
        <v>8</v>
      </c>
      <c r="T193" t="s">
        <v>951</v>
      </c>
      <c r="U193" t="s">
        <v>123</v>
      </c>
      <c r="V193" t="s">
        <v>175</v>
      </c>
      <c r="W193" t="s">
        <v>854</v>
      </c>
      <c r="AB193" t="s">
        <v>1222</v>
      </c>
      <c r="AC193" t="s">
        <v>1084</v>
      </c>
      <c r="AD193" t="s">
        <v>1085</v>
      </c>
      <c r="AE193" t="s">
        <v>1086</v>
      </c>
    </row>
    <row r="194" spans="1:31" ht="13" customHeight="1">
      <c r="A194">
        <v>161</v>
      </c>
      <c r="C194" t="s">
        <v>1215</v>
      </c>
      <c r="D194" t="s">
        <v>1216</v>
      </c>
      <c r="E194" t="s">
        <v>1217</v>
      </c>
      <c r="F194" t="s">
        <v>14</v>
      </c>
      <c r="H194" t="s">
        <v>6</v>
      </c>
      <c r="I194" t="s">
        <v>915</v>
      </c>
      <c r="J194" t="s">
        <v>1083</v>
      </c>
      <c r="K194" t="s">
        <v>1218</v>
      </c>
      <c r="L194" s="2">
        <v>34466</v>
      </c>
      <c r="O194" t="s">
        <v>564</v>
      </c>
      <c r="P194">
        <v>1</v>
      </c>
      <c r="Q194">
        <v>1960</v>
      </c>
      <c r="R194" t="s">
        <v>1219</v>
      </c>
      <c r="S194" t="s">
        <v>716</v>
      </c>
      <c r="T194" t="s">
        <v>1220</v>
      </c>
      <c r="U194" t="s">
        <v>123</v>
      </c>
      <c r="V194" t="s">
        <v>175</v>
      </c>
      <c r="W194" t="s">
        <v>1221</v>
      </c>
      <c r="AA194">
        <v>161</v>
      </c>
      <c r="AB194" t="s">
        <v>1222</v>
      </c>
      <c r="AC194" t="s">
        <v>1084</v>
      </c>
      <c r="AD194" t="s">
        <v>1085</v>
      </c>
      <c r="AE194" t="s">
        <v>1086</v>
      </c>
    </row>
    <row r="195" spans="1:31" ht="13" customHeight="1">
      <c r="A195">
        <v>229.1</v>
      </c>
      <c r="B195">
        <v>1</v>
      </c>
      <c r="C195" t="s">
        <v>1373</v>
      </c>
      <c r="D195" t="s">
        <v>1374</v>
      </c>
      <c r="E195" t="s">
        <v>620</v>
      </c>
      <c r="F195" t="s">
        <v>115</v>
      </c>
      <c r="H195" t="s">
        <v>6</v>
      </c>
      <c r="I195" t="s">
        <v>1375</v>
      </c>
      <c r="J195" t="s">
        <v>1376</v>
      </c>
      <c r="K195" t="s">
        <v>16</v>
      </c>
      <c r="L195" s="2">
        <v>33127</v>
      </c>
      <c r="O195" t="s">
        <v>564</v>
      </c>
      <c r="P195">
        <v>2</v>
      </c>
      <c r="Q195">
        <v>1953</v>
      </c>
      <c r="S195" t="s">
        <v>8</v>
      </c>
      <c r="T195" t="s">
        <v>1500</v>
      </c>
      <c r="U195" t="s">
        <v>123</v>
      </c>
      <c r="V195" t="s">
        <v>175</v>
      </c>
      <c r="W195" t="s">
        <v>20</v>
      </c>
      <c r="AA195">
        <v>229</v>
      </c>
      <c r="AB195" t="s">
        <v>1270</v>
      </c>
      <c r="AC195" t="s">
        <v>1365</v>
      </c>
    </row>
    <row r="196" spans="1:31" ht="13" customHeight="1">
      <c r="A196">
        <v>229.2</v>
      </c>
      <c r="B196">
        <v>2</v>
      </c>
      <c r="C196" t="s">
        <v>1373</v>
      </c>
      <c r="D196" t="s">
        <v>1374</v>
      </c>
      <c r="E196" t="s">
        <v>620</v>
      </c>
      <c r="F196" t="s">
        <v>115</v>
      </c>
      <c r="H196" t="s">
        <v>6</v>
      </c>
      <c r="I196" t="s">
        <v>1375</v>
      </c>
      <c r="J196" t="s">
        <v>1376</v>
      </c>
      <c r="K196" t="s">
        <v>16</v>
      </c>
      <c r="L196" s="2">
        <v>33136</v>
      </c>
      <c r="O196" t="s">
        <v>564</v>
      </c>
      <c r="P196">
        <v>2</v>
      </c>
      <c r="Q196">
        <v>1953</v>
      </c>
      <c r="S196" t="s">
        <v>8</v>
      </c>
      <c r="T196" t="s">
        <v>1501</v>
      </c>
      <c r="U196" t="s">
        <v>123</v>
      </c>
      <c r="V196" t="s">
        <v>175</v>
      </c>
      <c r="W196" t="s">
        <v>20</v>
      </c>
      <c r="AB196" t="s">
        <v>1270</v>
      </c>
      <c r="AC196" t="s">
        <v>1365</v>
      </c>
    </row>
    <row r="197" spans="1:31" ht="13" customHeight="1">
      <c r="A197">
        <v>227</v>
      </c>
      <c r="C197" t="s">
        <v>1238</v>
      </c>
      <c r="D197" t="s">
        <v>1239</v>
      </c>
      <c r="E197" t="s">
        <v>1217</v>
      </c>
      <c r="F197">
        <v>1954</v>
      </c>
      <c r="H197" t="s">
        <v>6</v>
      </c>
      <c r="I197" t="s">
        <v>139</v>
      </c>
      <c r="J197" t="s">
        <v>1240</v>
      </c>
      <c r="K197" t="s">
        <v>141</v>
      </c>
      <c r="L197" s="2">
        <v>33127</v>
      </c>
      <c r="O197" t="s">
        <v>564</v>
      </c>
      <c r="P197">
        <v>1</v>
      </c>
      <c r="Q197" t="s">
        <v>115</v>
      </c>
      <c r="S197" t="s">
        <v>8</v>
      </c>
      <c r="T197" t="s">
        <v>1241</v>
      </c>
      <c r="U197" t="s">
        <v>123</v>
      </c>
      <c r="V197" t="s">
        <v>175</v>
      </c>
      <c r="W197" t="s">
        <v>145</v>
      </c>
      <c r="AA197">
        <v>227</v>
      </c>
      <c r="AB197" t="s">
        <v>1364</v>
      </c>
      <c r="AC197" t="s">
        <v>1465</v>
      </c>
      <c r="AD197" t="s">
        <v>1365</v>
      </c>
    </row>
    <row r="198" spans="1:31" ht="13" customHeight="1">
      <c r="A198">
        <v>358</v>
      </c>
      <c r="C198" t="s">
        <v>2205</v>
      </c>
      <c r="D198" t="s">
        <v>2206</v>
      </c>
      <c r="E198" t="s">
        <v>2207</v>
      </c>
      <c r="H198" t="s">
        <v>804</v>
      </c>
      <c r="I198" t="e">
        <f>- verbal-thematisches Verfahren</f>
        <v>#NAME?</v>
      </c>
      <c r="J198" t="s">
        <v>1472</v>
      </c>
      <c r="K198" t="s">
        <v>2208</v>
      </c>
      <c r="L198" s="2">
        <v>33844</v>
      </c>
      <c r="O198" t="s">
        <v>120</v>
      </c>
      <c r="P198">
        <v>1</v>
      </c>
      <c r="S198" t="s">
        <v>8</v>
      </c>
      <c r="T198" t="s">
        <v>2209</v>
      </c>
      <c r="U198" t="s">
        <v>123</v>
      </c>
      <c r="V198" t="s">
        <v>2210</v>
      </c>
      <c r="W198" t="s">
        <v>2211</v>
      </c>
      <c r="X198" t="s">
        <v>2212</v>
      </c>
      <c r="AA198">
        <v>358</v>
      </c>
      <c r="AB198" t="s">
        <v>2213</v>
      </c>
      <c r="AC198" t="s">
        <v>2214</v>
      </c>
    </row>
    <row r="199" spans="1:31" ht="13" customHeight="1">
      <c r="A199">
        <v>402.1</v>
      </c>
      <c r="B199">
        <v>1</v>
      </c>
      <c r="C199" t="s">
        <v>2552</v>
      </c>
      <c r="D199" t="s">
        <v>2553</v>
      </c>
      <c r="E199" t="s">
        <v>898</v>
      </c>
      <c r="F199" t="s">
        <v>14</v>
      </c>
      <c r="H199" t="s">
        <v>6</v>
      </c>
      <c r="I199" t="e">
        <f>- spez. Funktionsprüfungs- und Eignungstest</f>
        <v>#NAME?</v>
      </c>
      <c r="J199" t="s">
        <v>2554</v>
      </c>
      <c r="K199" t="s">
        <v>2555</v>
      </c>
      <c r="L199" s="2">
        <v>33907</v>
      </c>
      <c r="N199" t="s">
        <v>2556</v>
      </c>
      <c r="O199" t="s">
        <v>564</v>
      </c>
      <c r="P199">
        <v>3</v>
      </c>
      <c r="Q199">
        <v>1974</v>
      </c>
      <c r="S199" t="s">
        <v>8</v>
      </c>
      <c r="T199" t="s">
        <v>2693</v>
      </c>
      <c r="U199" t="s">
        <v>123</v>
      </c>
      <c r="V199" t="s">
        <v>347</v>
      </c>
      <c r="W199" t="s">
        <v>2473</v>
      </c>
      <c r="X199" t="s">
        <v>2252</v>
      </c>
      <c r="Y199" t="s">
        <v>2694</v>
      </c>
      <c r="Z199" t="s">
        <v>280</v>
      </c>
      <c r="AA199">
        <v>402</v>
      </c>
      <c r="AB199" t="s">
        <v>2695</v>
      </c>
      <c r="AC199" t="s">
        <v>2696</v>
      </c>
    </row>
    <row r="200" spans="1:31" ht="13" customHeight="1">
      <c r="A200">
        <v>402.2</v>
      </c>
      <c r="B200">
        <v>2</v>
      </c>
      <c r="C200" t="s">
        <v>2552</v>
      </c>
      <c r="D200" t="s">
        <v>2553</v>
      </c>
      <c r="E200" t="s">
        <v>898</v>
      </c>
      <c r="F200" t="s">
        <v>784</v>
      </c>
      <c r="H200" t="s">
        <v>6</v>
      </c>
      <c r="I200" t="e">
        <f>- spez. Funktionsprüfungs- und Eignungstest</f>
        <v>#NAME?</v>
      </c>
      <c r="J200" t="s">
        <v>2554</v>
      </c>
      <c r="K200" t="s">
        <v>2555</v>
      </c>
      <c r="L200" s="2">
        <v>33907</v>
      </c>
      <c r="N200" t="s">
        <v>2556</v>
      </c>
      <c r="O200" t="s">
        <v>564</v>
      </c>
      <c r="P200">
        <v>3</v>
      </c>
      <c r="Q200">
        <v>1979</v>
      </c>
      <c r="S200" t="s">
        <v>8</v>
      </c>
      <c r="T200" t="s">
        <v>2693</v>
      </c>
      <c r="U200" t="s">
        <v>123</v>
      </c>
      <c r="V200" t="s">
        <v>347</v>
      </c>
      <c r="W200" t="s">
        <v>2473</v>
      </c>
      <c r="X200" t="s">
        <v>2252</v>
      </c>
      <c r="Y200" t="s">
        <v>2694</v>
      </c>
      <c r="Z200" t="s">
        <v>280</v>
      </c>
      <c r="AB200" t="s">
        <v>2695</v>
      </c>
      <c r="AC200" t="s">
        <v>2696</v>
      </c>
    </row>
    <row r="201" spans="1:31" ht="13" customHeight="1">
      <c r="A201">
        <v>402.3</v>
      </c>
      <c r="B201">
        <v>3</v>
      </c>
      <c r="C201" t="s">
        <v>2552</v>
      </c>
      <c r="D201" t="s">
        <v>2553</v>
      </c>
      <c r="E201" t="s">
        <v>898</v>
      </c>
      <c r="F201" t="s">
        <v>784</v>
      </c>
      <c r="H201" t="s">
        <v>6</v>
      </c>
      <c r="I201" t="e">
        <f>- spez. Funktionsprüfungs- und Eignungstest</f>
        <v>#NAME?</v>
      </c>
      <c r="J201" t="s">
        <v>2554</v>
      </c>
      <c r="K201" t="s">
        <v>2555</v>
      </c>
      <c r="L201" s="2">
        <v>33907</v>
      </c>
      <c r="N201" t="s">
        <v>2556</v>
      </c>
      <c r="O201" t="s">
        <v>564</v>
      </c>
      <c r="P201">
        <v>3</v>
      </c>
      <c r="Q201">
        <v>1979</v>
      </c>
      <c r="S201" t="s">
        <v>8</v>
      </c>
      <c r="T201" t="s">
        <v>2693</v>
      </c>
      <c r="U201" t="s">
        <v>123</v>
      </c>
      <c r="V201" t="s">
        <v>347</v>
      </c>
      <c r="W201" t="s">
        <v>2473</v>
      </c>
      <c r="X201" t="s">
        <v>2252</v>
      </c>
      <c r="Y201" t="s">
        <v>2694</v>
      </c>
      <c r="Z201" t="s">
        <v>280</v>
      </c>
      <c r="AB201" t="s">
        <v>2695</v>
      </c>
      <c r="AC201" t="s">
        <v>2696</v>
      </c>
    </row>
    <row r="202" spans="1:31" ht="13" customHeight="1">
      <c r="A202">
        <v>333</v>
      </c>
      <c r="C202" t="s">
        <v>2154</v>
      </c>
      <c r="D202" t="s">
        <v>2155</v>
      </c>
      <c r="E202" t="s">
        <v>1426</v>
      </c>
      <c r="F202" t="s">
        <v>115</v>
      </c>
      <c r="H202" t="s">
        <v>6</v>
      </c>
      <c r="I202" t="e">
        <f>- Intelligenztest für $K55:$AE55 und Erw.</f>
        <v>#NAME?</v>
      </c>
      <c r="J202" t="s">
        <v>1490</v>
      </c>
      <c r="K202" t="s">
        <v>2156</v>
      </c>
      <c r="L202" s="2">
        <v>33582</v>
      </c>
      <c r="N202" t="s">
        <v>2157</v>
      </c>
      <c r="O202" t="s">
        <v>120</v>
      </c>
      <c r="P202">
        <v>1</v>
      </c>
      <c r="R202" t="s">
        <v>2158</v>
      </c>
      <c r="S202" t="s">
        <v>8</v>
      </c>
      <c r="T202" t="s">
        <v>2159</v>
      </c>
      <c r="U202" t="s">
        <v>123</v>
      </c>
      <c r="V202" t="s">
        <v>174</v>
      </c>
      <c r="W202" t="s">
        <v>2153</v>
      </c>
      <c r="X202" t="s">
        <v>2160</v>
      </c>
      <c r="Y202" t="s">
        <v>1</v>
      </c>
      <c r="AA202">
        <v>333</v>
      </c>
      <c r="AB202" t="s">
        <v>1658</v>
      </c>
      <c r="AC202" t="s">
        <v>2161</v>
      </c>
    </row>
    <row r="203" spans="1:31" ht="13" customHeight="1">
      <c r="A203">
        <v>347</v>
      </c>
      <c r="C203" t="s">
        <v>2247</v>
      </c>
      <c r="D203" t="s">
        <v>2248</v>
      </c>
      <c r="E203" t="s">
        <v>2249</v>
      </c>
      <c r="F203" t="s">
        <v>115</v>
      </c>
      <c r="H203" t="s">
        <v>6</v>
      </c>
      <c r="I203" t="s">
        <v>1103</v>
      </c>
      <c r="J203" t="s">
        <v>2250</v>
      </c>
      <c r="K203" t="s">
        <v>2121</v>
      </c>
      <c r="L203" s="2">
        <v>33582</v>
      </c>
      <c r="O203" t="s">
        <v>120</v>
      </c>
      <c r="P203">
        <v>1</v>
      </c>
      <c r="Q203">
        <v>1965</v>
      </c>
      <c r="S203" t="s">
        <v>8</v>
      </c>
      <c r="T203" t="s">
        <v>2122</v>
      </c>
      <c r="U203" t="s">
        <v>123</v>
      </c>
      <c r="V203" t="s">
        <v>175</v>
      </c>
      <c r="W203" t="s">
        <v>1107</v>
      </c>
      <c r="X203" t="s">
        <v>675</v>
      </c>
      <c r="Y203" t="s">
        <v>930</v>
      </c>
      <c r="AA203">
        <v>347</v>
      </c>
      <c r="AB203" t="s">
        <v>2123</v>
      </c>
      <c r="AC203" t="s">
        <v>2124</v>
      </c>
    </row>
    <row r="204" spans="1:31" ht="13" customHeight="1">
      <c r="A204">
        <v>35</v>
      </c>
      <c r="C204" t="s">
        <v>453</v>
      </c>
      <c r="D204" t="s">
        <v>454</v>
      </c>
      <c r="E204" t="s">
        <v>394</v>
      </c>
      <c r="F204" t="s">
        <v>115</v>
      </c>
      <c r="H204" t="s">
        <v>6</v>
      </c>
      <c r="I204" t="e">
        <f>- Schultest</f>
        <v>#NAME?</v>
      </c>
      <c r="J204" t="s">
        <v>177</v>
      </c>
      <c r="K204" t="s">
        <v>324</v>
      </c>
      <c r="L204" s="2">
        <v>33920</v>
      </c>
      <c r="O204" t="s">
        <v>120</v>
      </c>
      <c r="P204">
        <v>1</v>
      </c>
      <c r="Q204">
        <v>1951</v>
      </c>
      <c r="S204" t="s">
        <v>121</v>
      </c>
      <c r="T204" t="s">
        <v>186</v>
      </c>
      <c r="U204" t="s">
        <v>123</v>
      </c>
      <c r="V204" t="s">
        <v>175</v>
      </c>
      <c r="W204" t="s">
        <v>44</v>
      </c>
      <c r="X204" t="s">
        <v>187</v>
      </c>
      <c r="AA204">
        <v>35</v>
      </c>
      <c r="AB204" t="s">
        <v>188</v>
      </c>
      <c r="AC204" t="s">
        <v>189</v>
      </c>
    </row>
    <row r="205" spans="1:31" ht="13" customHeight="1">
      <c r="A205">
        <v>36</v>
      </c>
      <c r="C205" t="s">
        <v>190</v>
      </c>
      <c r="D205" t="s">
        <v>191</v>
      </c>
      <c r="E205" t="s">
        <v>394</v>
      </c>
      <c r="F205" t="s">
        <v>115</v>
      </c>
      <c r="H205" t="s">
        <v>6</v>
      </c>
      <c r="I205" t="e">
        <f>- Schultest</f>
        <v>#NAME?</v>
      </c>
      <c r="J205" t="s">
        <v>192</v>
      </c>
      <c r="K205" t="s">
        <v>193</v>
      </c>
      <c r="L205" s="2">
        <v>33920</v>
      </c>
      <c r="O205" t="s">
        <v>120</v>
      </c>
      <c r="P205">
        <v>1</v>
      </c>
      <c r="Q205">
        <v>1958</v>
      </c>
      <c r="S205" t="s">
        <v>121</v>
      </c>
      <c r="T205" t="s">
        <v>186</v>
      </c>
      <c r="U205" t="s">
        <v>123</v>
      </c>
      <c r="V205" t="s">
        <v>175</v>
      </c>
      <c r="W205" t="s">
        <v>44</v>
      </c>
      <c r="X205" t="s">
        <v>194</v>
      </c>
      <c r="AA205">
        <v>36</v>
      </c>
      <c r="AB205" t="s">
        <v>188</v>
      </c>
      <c r="AC205" t="s">
        <v>195</v>
      </c>
    </row>
    <row r="206" spans="1:31" ht="13" customHeight="1">
      <c r="A206">
        <v>319</v>
      </c>
      <c r="C206" t="s">
        <v>1937</v>
      </c>
      <c r="D206" t="s">
        <v>1938</v>
      </c>
      <c r="E206" t="s">
        <v>1916</v>
      </c>
      <c r="F206" t="s">
        <v>115</v>
      </c>
      <c r="H206" t="s">
        <v>730</v>
      </c>
      <c r="I206" t="e">
        <f>- Interessentest</f>
        <v>#NAME?</v>
      </c>
      <c r="J206" t="s">
        <v>1939</v>
      </c>
      <c r="K206" t="s">
        <v>1940</v>
      </c>
      <c r="L206" s="2">
        <v>33920</v>
      </c>
      <c r="O206" t="s">
        <v>120</v>
      </c>
      <c r="P206">
        <v>1</v>
      </c>
      <c r="Q206">
        <v>1964</v>
      </c>
      <c r="S206" t="s">
        <v>8</v>
      </c>
      <c r="T206" t="s">
        <v>1941</v>
      </c>
      <c r="U206" t="s">
        <v>123</v>
      </c>
      <c r="V206" t="s">
        <v>604</v>
      </c>
      <c r="W206" t="s">
        <v>462</v>
      </c>
      <c r="X206" t="s">
        <v>249</v>
      </c>
      <c r="Y206" t="s">
        <v>63</v>
      </c>
      <c r="Z206" t="s">
        <v>1942</v>
      </c>
      <c r="AA206">
        <v>319</v>
      </c>
      <c r="AB206" t="s">
        <v>1938</v>
      </c>
    </row>
    <row r="207" spans="1:31" ht="13" customHeight="1">
      <c r="A207">
        <v>39</v>
      </c>
      <c r="C207" t="s">
        <v>202</v>
      </c>
      <c r="D207" t="s">
        <v>191</v>
      </c>
      <c r="E207" t="s">
        <v>394</v>
      </c>
      <c r="F207" t="s">
        <v>115</v>
      </c>
      <c r="H207" t="s">
        <v>6</v>
      </c>
      <c r="I207" t="e">
        <f>- Schultest</f>
        <v>#NAME?</v>
      </c>
      <c r="J207" t="s">
        <v>192</v>
      </c>
      <c r="K207" t="s">
        <v>203</v>
      </c>
      <c r="L207" s="2">
        <v>33920</v>
      </c>
      <c r="O207" t="s">
        <v>120</v>
      </c>
      <c r="P207">
        <v>1</v>
      </c>
      <c r="Q207" t="s">
        <v>204</v>
      </c>
      <c r="S207" t="s">
        <v>121</v>
      </c>
      <c r="T207" t="s">
        <v>205</v>
      </c>
      <c r="U207" t="s">
        <v>123</v>
      </c>
      <c r="V207" t="s">
        <v>175</v>
      </c>
      <c r="W207" t="s">
        <v>44</v>
      </c>
      <c r="X207" t="s">
        <v>206</v>
      </c>
      <c r="AA207">
        <v>39</v>
      </c>
      <c r="AB207" t="s">
        <v>188</v>
      </c>
      <c r="AC207" t="s">
        <v>195</v>
      </c>
    </row>
    <row r="208" spans="1:31" ht="13" customHeight="1">
      <c r="A208">
        <v>37</v>
      </c>
      <c r="C208" t="s">
        <v>196</v>
      </c>
      <c r="D208" t="s">
        <v>445</v>
      </c>
      <c r="E208" t="s">
        <v>394</v>
      </c>
      <c r="F208" t="s">
        <v>115</v>
      </c>
      <c r="H208" t="s">
        <v>6</v>
      </c>
      <c r="I208" t="e">
        <f>- Schultest</f>
        <v>#NAME?</v>
      </c>
      <c r="J208" t="s">
        <v>450</v>
      </c>
      <c r="K208" t="s">
        <v>50</v>
      </c>
      <c r="L208" s="2">
        <v>33920</v>
      </c>
      <c r="O208" t="s">
        <v>120</v>
      </c>
      <c r="P208">
        <v>1</v>
      </c>
      <c r="Q208" t="s">
        <v>143</v>
      </c>
      <c r="S208" t="s">
        <v>121</v>
      </c>
      <c r="T208" t="s">
        <v>51</v>
      </c>
      <c r="U208" t="s">
        <v>123</v>
      </c>
      <c r="V208" t="s">
        <v>175</v>
      </c>
      <c r="W208" t="s">
        <v>44</v>
      </c>
      <c r="AA208">
        <v>37</v>
      </c>
      <c r="AB208" t="s">
        <v>296</v>
      </c>
      <c r="AC208" t="s">
        <v>297</v>
      </c>
    </row>
    <row r="209" spans="1:30" ht="13" customHeight="1">
      <c r="A209">
        <v>146.1</v>
      </c>
      <c r="B209">
        <v>1</v>
      </c>
      <c r="C209" t="s">
        <v>627</v>
      </c>
      <c r="D209" t="s">
        <v>628</v>
      </c>
      <c r="E209" t="s">
        <v>620</v>
      </c>
      <c r="F209" t="s">
        <v>115</v>
      </c>
      <c r="H209" t="s">
        <v>730</v>
      </c>
      <c r="I209" t="e">
        <f>- Interessenstest</f>
        <v>#NAME?</v>
      </c>
      <c r="J209" t="s">
        <v>76</v>
      </c>
      <c r="K209" t="s">
        <v>604</v>
      </c>
      <c r="L209" s="2">
        <v>33582</v>
      </c>
      <c r="N209" t="s">
        <v>629</v>
      </c>
      <c r="O209" t="s">
        <v>564</v>
      </c>
      <c r="P209">
        <v>2</v>
      </c>
      <c r="Q209">
        <v>1990</v>
      </c>
      <c r="S209" t="s">
        <v>8</v>
      </c>
      <c r="T209" t="s">
        <v>630</v>
      </c>
      <c r="U209" t="s">
        <v>123</v>
      </c>
      <c r="V209" t="s">
        <v>604</v>
      </c>
      <c r="AA209">
        <v>146</v>
      </c>
      <c r="AB209" t="s">
        <v>628</v>
      </c>
    </row>
    <row r="210" spans="1:30" ht="13" customHeight="1">
      <c r="A210">
        <v>146.19999999999999</v>
      </c>
      <c r="B210">
        <v>2</v>
      </c>
      <c r="C210" t="s">
        <v>627</v>
      </c>
      <c r="D210" t="s">
        <v>628</v>
      </c>
      <c r="E210" t="s">
        <v>620</v>
      </c>
      <c r="F210" t="s">
        <v>876</v>
      </c>
      <c r="H210" t="s">
        <v>730</v>
      </c>
      <c r="I210" t="e">
        <f>- Interessentest</f>
        <v>#NAME?</v>
      </c>
      <c r="J210" t="s">
        <v>76</v>
      </c>
      <c r="K210" t="s">
        <v>604</v>
      </c>
      <c r="L210" s="2">
        <v>33582</v>
      </c>
      <c r="N210" t="s">
        <v>629</v>
      </c>
      <c r="O210" t="s">
        <v>564</v>
      </c>
      <c r="P210">
        <v>2</v>
      </c>
      <c r="Q210">
        <v>1990</v>
      </c>
      <c r="S210" t="s">
        <v>8</v>
      </c>
      <c r="T210" t="s">
        <v>630</v>
      </c>
      <c r="U210" t="s">
        <v>123</v>
      </c>
      <c r="V210" t="s">
        <v>604</v>
      </c>
      <c r="AB210" t="s">
        <v>628</v>
      </c>
    </row>
    <row r="211" spans="1:30" ht="13" customHeight="1">
      <c r="A211">
        <v>233</v>
      </c>
      <c r="C211" t="s">
        <v>1526</v>
      </c>
      <c r="D211" t="s">
        <v>1527</v>
      </c>
      <c r="E211" t="s">
        <v>1651</v>
      </c>
      <c r="F211" t="s">
        <v>115</v>
      </c>
      <c r="H211" t="s">
        <v>6</v>
      </c>
      <c r="I211" t="e">
        <f>- Schultest</f>
        <v>#NAME?</v>
      </c>
      <c r="J211" t="s">
        <v>1528</v>
      </c>
      <c r="K211" t="s">
        <v>1529</v>
      </c>
      <c r="L211" s="2">
        <v>33171</v>
      </c>
      <c r="N211" t="s">
        <v>1530</v>
      </c>
      <c r="O211" t="s">
        <v>564</v>
      </c>
      <c r="P211">
        <v>1</v>
      </c>
      <c r="Q211">
        <v>1966</v>
      </c>
      <c r="S211" t="s">
        <v>8</v>
      </c>
      <c r="T211" t="s">
        <v>1531</v>
      </c>
      <c r="U211" t="s">
        <v>123</v>
      </c>
      <c r="V211" t="s">
        <v>441</v>
      </c>
      <c r="W211" t="s">
        <v>175</v>
      </c>
      <c r="AA211">
        <v>233</v>
      </c>
      <c r="AB211" t="s">
        <v>1237</v>
      </c>
      <c r="AC211" t="s">
        <v>1532</v>
      </c>
    </row>
    <row r="212" spans="1:30" ht="13" customHeight="1">
      <c r="A212">
        <v>326</v>
      </c>
      <c r="C212" t="s">
        <v>1956</v>
      </c>
      <c r="D212" t="s">
        <v>1957</v>
      </c>
      <c r="E212" t="s">
        <v>1958</v>
      </c>
      <c r="F212" t="s">
        <v>115</v>
      </c>
      <c r="H212" t="s">
        <v>6</v>
      </c>
      <c r="I212" t="e">
        <f>- spez. Funktionsprüfungs- und Eignungstest</f>
        <v>#NAME?</v>
      </c>
      <c r="J212" t="s">
        <v>849</v>
      </c>
      <c r="K212" t="s">
        <v>1959</v>
      </c>
      <c r="L212" s="2">
        <v>33582</v>
      </c>
      <c r="N212" t="s">
        <v>1820</v>
      </c>
      <c r="O212" t="s">
        <v>564</v>
      </c>
      <c r="P212">
        <v>1</v>
      </c>
      <c r="Q212">
        <v>1952</v>
      </c>
      <c r="S212" t="s">
        <v>8</v>
      </c>
      <c r="T212" t="s">
        <v>1821</v>
      </c>
      <c r="U212" t="s">
        <v>123</v>
      </c>
      <c r="V212" t="s">
        <v>30</v>
      </c>
      <c r="W212" t="s">
        <v>1708</v>
      </c>
      <c r="AA212">
        <v>326</v>
      </c>
      <c r="AB212" t="s">
        <v>1957</v>
      </c>
    </row>
    <row r="213" spans="1:30" ht="13" customHeight="1">
      <c r="A213">
        <v>145.1</v>
      </c>
      <c r="B213">
        <v>1</v>
      </c>
      <c r="C213" t="s">
        <v>992</v>
      </c>
      <c r="D213" t="s">
        <v>993</v>
      </c>
      <c r="E213" t="s">
        <v>561</v>
      </c>
      <c r="F213" t="s">
        <v>994</v>
      </c>
      <c r="H213" t="s">
        <v>730</v>
      </c>
      <c r="I213" t="e">
        <f>- mehrdimensionaler Persönlichkeits-Test</f>
        <v>#NAME?</v>
      </c>
      <c r="J213" t="s">
        <v>700</v>
      </c>
      <c r="K213" t="s">
        <v>995</v>
      </c>
      <c r="L213" s="2">
        <v>33582</v>
      </c>
      <c r="N213" t="s">
        <v>996</v>
      </c>
      <c r="O213" t="s">
        <v>564</v>
      </c>
      <c r="P213">
        <v>2</v>
      </c>
      <c r="Q213">
        <v>1990</v>
      </c>
      <c r="S213" t="s">
        <v>8</v>
      </c>
      <c r="T213" t="s">
        <v>997</v>
      </c>
      <c r="U213" t="s">
        <v>123</v>
      </c>
      <c r="V213" t="s">
        <v>464</v>
      </c>
      <c r="W213" t="s">
        <v>998</v>
      </c>
      <c r="X213" t="s">
        <v>999</v>
      </c>
      <c r="Y213" t="s">
        <v>1000</v>
      </c>
      <c r="Z213" t="s">
        <v>677</v>
      </c>
      <c r="AA213">
        <v>145</v>
      </c>
      <c r="AB213" t="s">
        <v>1001</v>
      </c>
      <c r="AC213" t="s">
        <v>1002</v>
      </c>
      <c r="AD213" t="s">
        <v>867</v>
      </c>
    </row>
    <row r="214" spans="1:30" ht="13" customHeight="1">
      <c r="A214">
        <v>175</v>
      </c>
      <c r="C214" t="s">
        <v>1003</v>
      </c>
      <c r="D214" t="s">
        <v>1002</v>
      </c>
      <c r="E214" t="s">
        <v>845</v>
      </c>
      <c r="F214" t="s">
        <v>115</v>
      </c>
      <c r="G214" s="2">
        <v>32838</v>
      </c>
      <c r="H214" t="s">
        <v>600</v>
      </c>
      <c r="I214" t="e">
        <f>- Einstellungstest</f>
        <v>#NAME?</v>
      </c>
      <c r="J214" t="s">
        <v>1004</v>
      </c>
      <c r="K214" t="s">
        <v>1005</v>
      </c>
      <c r="L214" s="2">
        <v>33059</v>
      </c>
      <c r="M214" t="s">
        <v>837</v>
      </c>
      <c r="N214" t="s">
        <v>1006</v>
      </c>
      <c r="O214" t="s">
        <v>564</v>
      </c>
      <c r="P214">
        <v>1</v>
      </c>
      <c r="Q214">
        <v>1992</v>
      </c>
      <c r="S214" t="s">
        <v>8</v>
      </c>
      <c r="T214" t="s">
        <v>1007</v>
      </c>
      <c r="U214" t="s">
        <v>123</v>
      </c>
      <c r="V214" t="s">
        <v>1008</v>
      </c>
      <c r="W214" t="s">
        <v>150</v>
      </c>
      <c r="AA214">
        <v>175</v>
      </c>
      <c r="AB214" t="s">
        <v>1002</v>
      </c>
    </row>
    <row r="215" spans="1:30" ht="13" customHeight="1">
      <c r="A215">
        <v>354.1</v>
      </c>
      <c r="B215">
        <v>1</v>
      </c>
      <c r="C215" t="s">
        <v>2309</v>
      </c>
      <c r="D215" t="s">
        <v>2310</v>
      </c>
      <c r="E215" t="s">
        <v>1571</v>
      </c>
      <c r="F215" t="s">
        <v>115</v>
      </c>
      <c r="H215" t="s">
        <v>6</v>
      </c>
      <c r="I215" t="e">
        <f>- Entwicklungstest</f>
        <v>#NAME?</v>
      </c>
      <c r="J215" t="s">
        <v>2311</v>
      </c>
      <c r="K215" t="s">
        <v>2177</v>
      </c>
      <c r="L215" s="2">
        <v>33582</v>
      </c>
      <c r="O215" t="s">
        <v>120</v>
      </c>
      <c r="P215">
        <v>2</v>
      </c>
      <c r="Q215">
        <v>1963</v>
      </c>
      <c r="R215" t="s">
        <v>2178</v>
      </c>
      <c r="S215" t="s">
        <v>8</v>
      </c>
      <c r="T215" t="s">
        <v>2179</v>
      </c>
      <c r="U215" t="s">
        <v>123</v>
      </c>
      <c r="V215" t="s">
        <v>2063</v>
      </c>
      <c r="W215" t="s">
        <v>1288</v>
      </c>
      <c r="X215" t="s">
        <v>1631</v>
      </c>
      <c r="AA215">
        <v>354</v>
      </c>
      <c r="AB215" t="s">
        <v>2180</v>
      </c>
      <c r="AC215" t="s">
        <v>2181</v>
      </c>
    </row>
    <row r="216" spans="1:30" ht="13" customHeight="1">
      <c r="A216">
        <v>354.2</v>
      </c>
      <c r="B216">
        <v>2</v>
      </c>
      <c r="C216" t="s">
        <v>2309</v>
      </c>
      <c r="D216" t="s">
        <v>2310</v>
      </c>
      <c r="E216" t="s">
        <v>1571</v>
      </c>
      <c r="F216" t="s">
        <v>115</v>
      </c>
      <c r="H216" t="s">
        <v>6</v>
      </c>
      <c r="I216" t="e">
        <f>- Entwicklungstest</f>
        <v>#NAME?</v>
      </c>
      <c r="J216" t="s">
        <v>2311</v>
      </c>
      <c r="K216" t="s">
        <v>2177</v>
      </c>
      <c r="L216" s="2">
        <v>33582</v>
      </c>
      <c r="O216" t="s">
        <v>120</v>
      </c>
      <c r="P216">
        <v>2</v>
      </c>
      <c r="Q216">
        <v>1963</v>
      </c>
      <c r="R216" t="s">
        <v>2178</v>
      </c>
      <c r="S216" t="s">
        <v>8</v>
      </c>
      <c r="T216" t="s">
        <v>2179</v>
      </c>
      <c r="U216" t="s">
        <v>123</v>
      </c>
      <c r="V216" t="s">
        <v>2063</v>
      </c>
      <c r="W216" t="s">
        <v>1288</v>
      </c>
      <c r="X216" t="s">
        <v>1631</v>
      </c>
      <c r="AB216" t="s">
        <v>2180</v>
      </c>
      <c r="AC216" t="s">
        <v>2181</v>
      </c>
    </row>
    <row r="217" spans="1:30" ht="13" customHeight="1">
      <c r="A217">
        <v>219.1</v>
      </c>
      <c r="B217">
        <v>1</v>
      </c>
      <c r="C217" t="s">
        <v>1445</v>
      </c>
      <c r="D217" t="s">
        <v>1446</v>
      </c>
      <c r="E217" t="s">
        <v>1447</v>
      </c>
      <c r="F217" t="s">
        <v>1448</v>
      </c>
      <c r="H217" t="s">
        <v>6</v>
      </c>
      <c r="I217" t="s">
        <v>168</v>
      </c>
      <c r="J217" t="s">
        <v>1449</v>
      </c>
      <c r="K217" t="s">
        <v>478</v>
      </c>
      <c r="L217" s="2">
        <v>33582</v>
      </c>
      <c r="O217" t="s">
        <v>564</v>
      </c>
      <c r="P217">
        <v>2</v>
      </c>
      <c r="Q217" t="s">
        <v>1450</v>
      </c>
      <c r="S217" t="s">
        <v>8</v>
      </c>
      <c r="T217" t="s">
        <v>1451</v>
      </c>
      <c r="U217" t="s">
        <v>123</v>
      </c>
      <c r="V217" t="s">
        <v>175</v>
      </c>
      <c r="W217" t="s">
        <v>20</v>
      </c>
      <c r="X217" t="s">
        <v>145</v>
      </c>
      <c r="AA217">
        <v>219</v>
      </c>
      <c r="AB217" t="s">
        <v>1446</v>
      </c>
    </row>
    <row r="218" spans="1:30" ht="13" customHeight="1">
      <c r="A218">
        <v>219.2</v>
      </c>
      <c r="B218">
        <v>2</v>
      </c>
      <c r="C218" t="s">
        <v>1445</v>
      </c>
      <c r="D218" t="s">
        <v>1446</v>
      </c>
      <c r="E218" t="s">
        <v>1447</v>
      </c>
      <c r="F218" t="s">
        <v>1452</v>
      </c>
      <c r="H218" t="s">
        <v>6</v>
      </c>
      <c r="I218" t="s">
        <v>168</v>
      </c>
      <c r="J218" t="s">
        <v>1449</v>
      </c>
      <c r="K218" t="s">
        <v>478</v>
      </c>
      <c r="L218" s="2">
        <v>33582</v>
      </c>
      <c r="O218" t="s">
        <v>564</v>
      </c>
      <c r="P218">
        <v>2</v>
      </c>
      <c r="Q218">
        <v>1973</v>
      </c>
      <c r="S218" t="s">
        <v>121</v>
      </c>
      <c r="T218" t="s">
        <v>1451</v>
      </c>
      <c r="U218" t="s">
        <v>123</v>
      </c>
      <c r="V218" t="s">
        <v>175</v>
      </c>
      <c r="W218" t="s">
        <v>20</v>
      </c>
      <c r="X218" t="s">
        <v>145</v>
      </c>
      <c r="AB218" t="s">
        <v>1446</v>
      </c>
    </row>
    <row r="219" spans="1:30" ht="13" customHeight="1">
      <c r="A219">
        <v>383</v>
      </c>
      <c r="C219" t="s">
        <v>2538</v>
      </c>
      <c r="D219" t="s">
        <v>1446</v>
      </c>
      <c r="E219" t="s">
        <v>2539</v>
      </c>
      <c r="F219" t="s">
        <v>2540</v>
      </c>
      <c r="H219" t="s">
        <v>6</v>
      </c>
      <c r="I219" t="s">
        <v>915</v>
      </c>
      <c r="J219" t="s">
        <v>2541</v>
      </c>
      <c r="K219" t="s">
        <v>2542</v>
      </c>
      <c r="L219" s="2">
        <v>33290</v>
      </c>
      <c r="O219" t="s">
        <v>564</v>
      </c>
      <c r="P219">
        <v>1</v>
      </c>
      <c r="Q219">
        <v>1965</v>
      </c>
      <c r="S219" t="s">
        <v>121</v>
      </c>
      <c r="T219" t="s">
        <v>2543</v>
      </c>
      <c r="U219" t="s">
        <v>123</v>
      </c>
      <c r="V219" t="s">
        <v>854</v>
      </c>
      <c r="W219" t="s">
        <v>2544</v>
      </c>
      <c r="AA219">
        <v>383</v>
      </c>
      <c r="AB219" t="s">
        <v>1446</v>
      </c>
    </row>
    <row r="220" spans="1:30" ht="13" customHeight="1">
      <c r="A220">
        <v>15</v>
      </c>
      <c r="C220" t="s">
        <v>46</v>
      </c>
      <c r="D220" t="s">
        <v>47</v>
      </c>
      <c r="E220" t="s">
        <v>247</v>
      </c>
      <c r="F220" t="s">
        <v>115</v>
      </c>
      <c r="H220" t="s">
        <v>6</v>
      </c>
      <c r="I220" t="e">
        <f>- Schultest</f>
        <v>#NAME?</v>
      </c>
      <c r="J220" t="s">
        <v>185</v>
      </c>
      <c r="K220" t="s">
        <v>48</v>
      </c>
      <c r="L220" s="2">
        <v>33059</v>
      </c>
      <c r="M220" t="s">
        <v>319</v>
      </c>
      <c r="N220" t="s">
        <v>49</v>
      </c>
      <c r="O220" t="s">
        <v>120</v>
      </c>
      <c r="P220">
        <v>1</v>
      </c>
      <c r="Q220">
        <v>1961</v>
      </c>
      <c r="S220" t="s">
        <v>121</v>
      </c>
      <c r="T220" t="s">
        <v>80</v>
      </c>
      <c r="U220" t="s">
        <v>123</v>
      </c>
      <c r="V220" t="s">
        <v>175</v>
      </c>
      <c r="W220" t="s">
        <v>81</v>
      </c>
      <c r="X220" t="s">
        <v>52</v>
      </c>
      <c r="AA220">
        <v>15</v>
      </c>
      <c r="AB220" t="s">
        <v>315</v>
      </c>
      <c r="AC220" t="s">
        <v>53</v>
      </c>
    </row>
    <row r="221" spans="1:30" ht="13" customHeight="1">
      <c r="A221">
        <v>62</v>
      </c>
      <c r="C221" t="s">
        <v>331</v>
      </c>
      <c r="D221" t="s">
        <v>332</v>
      </c>
      <c r="E221" t="s">
        <v>333</v>
      </c>
      <c r="F221" t="s">
        <v>115</v>
      </c>
      <c r="H221" t="s">
        <v>6</v>
      </c>
      <c r="I221" t="s">
        <v>168</v>
      </c>
      <c r="J221" t="s">
        <v>334</v>
      </c>
      <c r="K221" t="s">
        <v>478</v>
      </c>
      <c r="L221" s="2">
        <v>33582</v>
      </c>
      <c r="N221" t="s">
        <v>335</v>
      </c>
      <c r="O221" t="s">
        <v>120</v>
      </c>
      <c r="P221">
        <v>1</v>
      </c>
      <c r="Q221">
        <v>1963</v>
      </c>
      <c r="S221" t="s">
        <v>121</v>
      </c>
      <c r="T221" t="s">
        <v>336</v>
      </c>
      <c r="U221" t="s">
        <v>123</v>
      </c>
      <c r="V221" t="s">
        <v>175</v>
      </c>
      <c r="W221" t="s">
        <v>20</v>
      </c>
      <c r="X221" t="s">
        <v>145</v>
      </c>
      <c r="AA221">
        <v>62</v>
      </c>
      <c r="AB221" t="s">
        <v>337</v>
      </c>
      <c r="AC221" t="s">
        <v>338</v>
      </c>
      <c r="AD221" t="s">
        <v>339</v>
      </c>
    </row>
    <row r="222" spans="1:30" ht="13" customHeight="1">
      <c r="A222">
        <v>314</v>
      </c>
      <c r="C222" t="s">
        <v>2052</v>
      </c>
      <c r="D222" t="s">
        <v>2053</v>
      </c>
      <c r="E222" t="s">
        <v>1916</v>
      </c>
      <c r="F222" t="s">
        <v>115</v>
      </c>
      <c r="H222" t="s">
        <v>6</v>
      </c>
      <c r="I222" t="s">
        <v>139</v>
      </c>
      <c r="J222" t="s">
        <v>2054</v>
      </c>
      <c r="K222" t="s">
        <v>855</v>
      </c>
      <c r="L222" s="2">
        <v>33659</v>
      </c>
      <c r="N222" t="s">
        <v>2055</v>
      </c>
      <c r="O222" t="s">
        <v>120</v>
      </c>
      <c r="P222">
        <v>1</v>
      </c>
      <c r="Q222">
        <v>1963</v>
      </c>
      <c r="R222" t="s">
        <v>2056</v>
      </c>
      <c r="S222" t="s">
        <v>8</v>
      </c>
      <c r="T222" t="s">
        <v>2057</v>
      </c>
      <c r="U222" t="s">
        <v>123</v>
      </c>
      <c r="V222" t="s">
        <v>855</v>
      </c>
      <c r="AA222">
        <v>314</v>
      </c>
      <c r="AB222" t="s">
        <v>2058</v>
      </c>
    </row>
    <row r="223" spans="1:30" ht="13" customHeight="1">
      <c r="A223">
        <v>340</v>
      </c>
      <c r="C223" t="s">
        <v>2086</v>
      </c>
      <c r="D223" t="s">
        <v>2087</v>
      </c>
      <c r="E223" t="s">
        <v>1426</v>
      </c>
      <c r="F223" t="s">
        <v>115</v>
      </c>
      <c r="H223" t="s">
        <v>804</v>
      </c>
      <c r="I223" t="e">
        <f>- verbal-thematisches Verfahren</f>
        <v>#NAME?</v>
      </c>
      <c r="J223" t="s">
        <v>893</v>
      </c>
      <c r="K223" t="s">
        <v>2088</v>
      </c>
      <c r="L223" s="2">
        <v>33225</v>
      </c>
      <c r="N223" t="s">
        <v>2089</v>
      </c>
      <c r="O223" t="s">
        <v>120</v>
      </c>
      <c r="P223">
        <v>1</v>
      </c>
      <c r="Q223">
        <v>1957</v>
      </c>
      <c r="R223" t="s">
        <v>2166</v>
      </c>
      <c r="S223" t="s">
        <v>8</v>
      </c>
      <c r="T223" t="s">
        <v>2090</v>
      </c>
      <c r="U223" t="s">
        <v>123</v>
      </c>
      <c r="V223" t="s">
        <v>464</v>
      </c>
      <c r="W223" t="s">
        <v>2091</v>
      </c>
      <c r="X223" t="s">
        <v>2092</v>
      </c>
      <c r="AA223">
        <v>340</v>
      </c>
      <c r="AB223" t="s">
        <v>1960</v>
      </c>
      <c r="AC223" t="s">
        <v>1895</v>
      </c>
    </row>
    <row r="224" spans="1:30" ht="13" customHeight="1">
      <c r="A224">
        <v>296</v>
      </c>
      <c r="C224" t="s">
        <v>1709</v>
      </c>
      <c r="D224" t="s">
        <v>1710</v>
      </c>
      <c r="E224" t="s">
        <v>620</v>
      </c>
      <c r="F224" t="s">
        <v>115</v>
      </c>
      <c r="H224" t="s">
        <v>730</v>
      </c>
      <c r="I224" t="e">
        <f>- Einstellungstest</f>
        <v>#NAME?</v>
      </c>
      <c r="J224" t="s">
        <v>1711</v>
      </c>
      <c r="K224" t="s">
        <v>1712</v>
      </c>
      <c r="L224" s="2">
        <v>33197</v>
      </c>
      <c r="N224" t="s">
        <v>1713</v>
      </c>
      <c r="O224" t="s">
        <v>564</v>
      </c>
      <c r="P224">
        <v>1</v>
      </c>
      <c r="Q224">
        <v>1968</v>
      </c>
      <c r="S224" t="s">
        <v>8</v>
      </c>
      <c r="T224" t="s">
        <v>1714</v>
      </c>
      <c r="U224" t="s">
        <v>123</v>
      </c>
      <c r="V224" t="s">
        <v>464</v>
      </c>
      <c r="W224" t="s">
        <v>1715</v>
      </c>
      <c r="X224" t="s">
        <v>1716</v>
      </c>
      <c r="Y224" s="1" t="s">
        <v>1717</v>
      </c>
      <c r="AA224">
        <v>296</v>
      </c>
      <c r="AB224" t="s">
        <v>1710</v>
      </c>
    </row>
    <row r="225" spans="1:31" ht="13" customHeight="1">
      <c r="A225">
        <v>384.1</v>
      </c>
      <c r="B225">
        <v>1</v>
      </c>
      <c r="C225" t="s">
        <v>2545</v>
      </c>
      <c r="D225" t="s">
        <v>2546</v>
      </c>
      <c r="E225" t="s">
        <v>620</v>
      </c>
      <c r="F225" t="s">
        <v>115</v>
      </c>
      <c r="H225" t="s">
        <v>6</v>
      </c>
      <c r="I225" t="e">
        <f>- Intelligenztest für $K143:$AE143</f>
        <v>#NAME?</v>
      </c>
      <c r="J225" t="s">
        <v>2547</v>
      </c>
      <c r="K225" t="s">
        <v>2548</v>
      </c>
      <c r="L225" s="2">
        <v>33871</v>
      </c>
      <c r="O225" t="s">
        <v>564</v>
      </c>
      <c r="P225">
        <v>4</v>
      </c>
      <c r="Q225">
        <v>1953</v>
      </c>
      <c r="S225" t="s">
        <v>8</v>
      </c>
      <c r="T225" t="s">
        <v>2427</v>
      </c>
      <c r="U225" t="s">
        <v>123</v>
      </c>
      <c r="V225" t="s">
        <v>2007</v>
      </c>
      <c r="W225" t="s">
        <v>930</v>
      </c>
      <c r="X225" t="s">
        <v>2428</v>
      </c>
      <c r="AA225">
        <v>384</v>
      </c>
      <c r="AB225" t="s">
        <v>2429</v>
      </c>
      <c r="AC225" t="s">
        <v>2430</v>
      </c>
      <c r="AD225" t="s">
        <v>2431</v>
      </c>
    </row>
    <row r="226" spans="1:31" ht="13" customHeight="1">
      <c r="A226">
        <v>384.2</v>
      </c>
      <c r="B226">
        <v>2</v>
      </c>
      <c r="C226" t="s">
        <v>2545</v>
      </c>
      <c r="D226" t="s">
        <v>2546</v>
      </c>
      <c r="E226" t="s">
        <v>620</v>
      </c>
      <c r="F226" t="s">
        <v>115</v>
      </c>
      <c r="H226" t="s">
        <v>6</v>
      </c>
      <c r="I226" t="e">
        <f>- Intelligenztest für $K143:$AE143</f>
        <v>#NAME?</v>
      </c>
      <c r="J226" t="s">
        <v>2547</v>
      </c>
      <c r="K226" t="s">
        <v>2548</v>
      </c>
      <c r="L226" s="2">
        <v>33871</v>
      </c>
      <c r="O226" t="s">
        <v>564</v>
      </c>
      <c r="P226">
        <v>4</v>
      </c>
      <c r="Q226">
        <v>1953</v>
      </c>
      <c r="S226" t="s">
        <v>8</v>
      </c>
      <c r="T226" t="s">
        <v>2427</v>
      </c>
      <c r="U226" t="s">
        <v>123</v>
      </c>
      <c r="V226" t="s">
        <v>2007</v>
      </c>
      <c r="W226" t="s">
        <v>930</v>
      </c>
      <c r="X226" t="s">
        <v>2428</v>
      </c>
      <c r="AB226" t="s">
        <v>2429</v>
      </c>
      <c r="AC226" t="s">
        <v>2430</v>
      </c>
      <c r="AD226" t="s">
        <v>2431</v>
      </c>
    </row>
    <row r="227" spans="1:31" ht="13" customHeight="1">
      <c r="A227">
        <v>384.4</v>
      </c>
      <c r="B227">
        <v>4</v>
      </c>
      <c r="C227" t="s">
        <v>2545</v>
      </c>
      <c r="D227" t="s">
        <v>2546</v>
      </c>
      <c r="E227" t="s">
        <v>620</v>
      </c>
      <c r="F227" t="s">
        <v>115</v>
      </c>
      <c r="H227" t="s">
        <v>6</v>
      </c>
      <c r="I227" t="e">
        <f>- Intelligenztest für $K143:$AE143</f>
        <v>#NAME?</v>
      </c>
      <c r="J227" t="s">
        <v>2547</v>
      </c>
      <c r="K227" t="s">
        <v>2548</v>
      </c>
      <c r="L227" s="2">
        <v>33871</v>
      </c>
      <c r="O227" t="s">
        <v>564</v>
      </c>
      <c r="P227">
        <v>4</v>
      </c>
      <c r="Q227">
        <v>1953</v>
      </c>
      <c r="S227" t="s">
        <v>8</v>
      </c>
      <c r="T227" t="s">
        <v>2427</v>
      </c>
      <c r="U227" t="s">
        <v>123</v>
      </c>
      <c r="V227" t="s">
        <v>2007</v>
      </c>
      <c r="W227" t="s">
        <v>930</v>
      </c>
      <c r="X227" t="s">
        <v>2428</v>
      </c>
      <c r="AB227" t="s">
        <v>2429</v>
      </c>
      <c r="AC227" t="s">
        <v>2430</v>
      </c>
      <c r="AD227" t="s">
        <v>2431</v>
      </c>
    </row>
    <row r="228" spans="1:31" ht="13" customHeight="1">
      <c r="A228">
        <v>232</v>
      </c>
      <c r="C228" t="s">
        <v>1649</v>
      </c>
      <c r="D228" t="s">
        <v>1650</v>
      </c>
      <c r="E228" t="s">
        <v>1651</v>
      </c>
      <c r="F228" t="s">
        <v>115</v>
      </c>
      <c r="H228" t="s">
        <v>6</v>
      </c>
      <c r="I228" t="e">
        <f>- Schultest</f>
        <v>#NAME?</v>
      </c>
      <c r="J228" t="s">
        <v>1652</v>
      </c>
      <c r="K228" t="s">
        <v>175</v>
      </c>
      <c r="L228" s="2">
        <v>33192</v>
      </c>
      <c r="N228" t="s">
        <v>1653</v>
      </c>
      <c r="O228" t="s">
        <v>564</v>
      </c>
      <c r="P228">
        <v>1</v>
      </c>
      <c r="Q228">
        <v>1966</v>
      </c>
      <c r="S228" t="s">
        <v>8</v>
      </c>
      <c r="T228" t="s">
        <v>1654</v>
      </c>
      <c r="U228" t="s">
        <v>123</v>
      </c>
      <c r="V228" t="s">
        <v>175</v>
      </c>
      <c r="AA228">
        <v>232</v>
      </c>
      <c r="AB228" t="s">
        <v>1655</v>
      </c>
      <c r="AC228" t="s">
        <v>1656</v>
      </c>
      <c r="AD228" t="s">
        <v>1465</v>
      </c>
      <c r="AE228" t="s">
        <v>1525</v>
      </c>
    </row>
    <row r="229" spans="1:31" ht="13" customHeight="1">
      <c r="A229">
        <v>403</v>
      </c>
      <c r="C229" t="s">
        <v>2697</v>
      </c>
      <c r="D229" t="s">
        <v>2698</v>
      </c>
      <c r="E229" t="s">
        <v>620</v>
      </c>
      <c r="F229" t="s">
        <v>115</v>
      </c>
      <c r="H229" t="s">
        <v>6</v>
      </c>
      <c r="I229" t="e">
        <f>- spez. Funktionsprüfungs- und Eignungstest</f>
        <v>#NAME?</v>
      </c>
      <c r="J229" t="s">
        <v>2699</v>
      </c>
      <c r="K229" t="s">
        <v>2700</v>
      </c>
      <c r="L229" s="2">
        <v>33582</v>
      </c>
      <c r="N229" t="s">
        <v>2701</v>
      </c>
      <c r="O229" t="s">
        <v>564</v>
      </c>
      <c r="P229">
        <v>1</v>
      </c>
      <c r="Q229">
        <v>1971</v>
      </c>
      <c r="S229" t="s">
        <v>8</v>
      </c>
      <c r="T229" t="s">
        <v>2563</v>
      </c>
      <c r="U229" t="s">
        <v>123</v>
      </c>
      <c r="V229" t="s">
        <v>2564</v>
      </c>
      <c r="W229" t="s">
        <v>2565</v>
      </c>
      <c r="X229" t="s">
        <v>2559</v>
      </c>
      <c r="AA229">
        <v>403</v>
      </c>
      <c r="AB229" t="s">
        <v>2560</v>
      </c>
      <c r="AC229" t="s">
        <v>1684</v>
      </c>
    </row>
    <row r="230" spans="1:31" ht="13" customHeight="1">
      <c r="A230">
        <v>29</v>
      </c>
      <c r="C230" t="s">
        <v>147</v>
      </c>
      <c r="D230" t="s">
        <v>148</v>
      </c>
      <c r="E230" t="s">
        <v>394</v>
      </c>
      <c r="F230" t="s">
        <v>115</v>
      </c>
      <c r="H230" t="s">
        <v>6</v>
      </c>
      <c r="I230" t="e">
        <f>- spez. Funktionsprüfungs- und Eignungstest</f>
        <v>#NAME?</v>
      </c>
      <c r="J230" t="s">
        <v>149</v>
      </c>
      <c r="K230" t="s">
        <v>150</v>
      </c>
      <c r="L230" s="2">
        <v>33907</v>
      </c>
      <c r="O230" t="s">
        <v>120</v>
      </c>
      <c r="P230">
        <v>1</v>
      </c>
      <c r="Q230">
        <v>1956</v>
      </c>
      <c r="S230" t="s">
        <v>121</v>
      </c>
      <c r="T230" t="s">
        <v>151</v>
      </c>
      <c r="U230" t="s">
        <v>123</v>
      </c>
      <c r="V230" t="s">
        <v>150</v>
      </c>
      <c r="AA230">
        <v>29</v>
      </c>
      <c r="AB230" t="s">
        <v>152</v>
      </c>
    </row>
    <row r="231" spans="1:31" ht="13" customHeight="1">
      <c r="A231">
        <v>189</v>
      </c>
      <c r="C231" t="s">
        <v>1132</v>
      </c>
      <c r="D231" t="s">
        <v>1133</v>
      </c>
      <c r="E231" t="s">
        <v>733</v>
      </c>
      <c r="F231" t="s">
        <v>115</v>
      </c>
      <c r="H231" t="s">
        <v>6</v>
      </c>
      <c r="I231" t="e">
        <f>- Allg.Leistungs- und Fähigkeitstest</f>
        <v>#NAME?</v>
      </c>
      <c r="J231" t="s">
        <v>1134</v>
      </c>
      <c r="K231" t="s">
        <v>1261</v>
      </c>
      <c r="L231" s="2">
        <v>33059</v>
      </c>
      <c r="N231" t="s">
        <v>1262</v>
      </c>
      <c r="O231" t="s">
        <v>564</v>
      </c>
      <c r="P231">
        <v>1</v>
      </c>
      <c r="Q231">
        <v>1989</v>
      </c>
      <c r="S231" t="s">
        <v>8</v>
      </c>
      <c r="T231" t="s">
        <v>1263</v>
      </c>
      <c r="U231" t="s">
        <v>123</v>
      </c>
      <c r="V231" t="s">
        <v>1264</v>
      </c>
      <c r="W231" t="s">
        <v>480</v>
      </c>
      <c r="AA231">
        <v>189</v>
      </c>
      <c r="AB231" t="s">
        <v>1133</v>
      </c>
    </row>
    <row r="232" spans="1:31" ht="13" customHeight="1">
      <c r="A232">
        <v>2110</v>
      </c>
      <c r="C232" t="s">
        <v>752</v>
      </c>
      <c r="D232" t="s">
        <v>753</v>
      </c>
      <c r="E232" t="s">
        <v>561</v>
      </c>
      <c r="F232" t="s">
        <v>115</v>
      </c>
      <c r="H232" t="s">
        <v>6</v>
      </c>
      <c r="I232" t="e">
        <f>- Entwicklungstest</f>
        <v>#NAME?</v>
      </c>
      <c r="J232" t="s">
        <v>754</v>
      </c>
      <c r="K232" t="s">
        <v>755</v>
      </c>
      <c r="L232" s="2">
        <v>33740</v>
      </c>
      <c r="N232" t="s">
        <v>756</v>
      </c>
      <c r="O232" t="s">
        <v>564</v>
      </c>
      <c r="P232">
        <v>1</v>
      </c>
      <c r="Q232">
        <v>1991</v>
      </c>
      <c r="S232" t="s">
        <v>8</v>
      </c>
      <c r="T232" t="s">
        <v>757</v>
      </c>
      <c r="U232" t="s">
        <v>749</v>
      </c>
      <c r="V232" t="s">
        <v>758</v>
      </c>
      <c r="W232" t="s">
        <v>759</v>
      </c>
      <c r="X232" t="s">
        <v>675</v>
      </c>
      <c r="Y232" t="s">
        <v>760</v>
      </c>
      <c r="AA232">
        <v>2110</v>
      </c>
      <c r="AB232" t="s">
        <v>761</v>
      </c>
      <c r="AC232" t="s">
        <v>762</v>
      </c>
      <c r="AD232" t="s">
        <v>763</v>
      </c>
    </row>
    <row r="233" spans="1:31" ht="13" customHeight="1">
      <c r="A233">
        <v>261</v>
      </c>
      <c r="C233" t="s">
        <v>1415</v>
      </c>
      <c r="D233" t="s">
        <v>1414</v>
      </c>
      <c r="E233" t="s">
        <v>892</v>
      </c>
      <c r="F233" t="s">
        <v>115</v>
      </c>
      <c r="J233" t="s">
        <v>1416</v>
      </c>
      <c r="K233" t="s">
        <v>1412</v>
      </c>
      <c r="L233" s="2">
        <v>33500</v>
      </c>
      <c r="O233" t="s">
        <v>564</v>
      </c>
      <c r="P233">
        <v>1</v>
      </c>
      <c r="Q233">
        <v>1968</v>
      </c>
      <c r="R233" t="s">
        <v>1417</v>
      </c>
      <c r="S233" t="s">
        <v>8</v>
      </c>
      <c r="T233" t="s">
        <v>1418</v>
      </c>
      <c r="U233" t="s">
        <v>123</v>
      </c>
      <c r="V233" t="s">
        <v>1412</v>
      </c>
      <c r="AA233">
        <v>261</v>
      </c>
      <c r="AB233" t="s">
        <v>1414</v>
      </c>
    </row>
    <row r="234" spans="1:31" ht="13" customHeight="1">
      <c r="A234">
        <v>79</v>
      </c>
      <c r="C234" t="s">
        <v>423</v>
      </c>
      <c r="D234" t="s">
        <v>424</v>
      </c>
      <c r="E234" t="s">
        <v>425</v>
      </c>
      <c r="F234" t="s">
        <v>115</v>
      </c>
      <c r="H234" t="s">
        <v>6</v>
      </c>
      <c r="I234" t="e">
        <f>- Intelligenztest für Kinder und J$81:J$81</f>
        <v>#NAME?</v>
      </c>
      <c r="J234" t="s">
        <v>426</v>
      </c>
      <c r="K234" t="s">
        <v>0</v>
      </c>
      <c r="L234" s="2">
        <v>33582</v>
      </c>
      <c r="O234" t="s">
        <v>120</v>
      </c>
      <c r="P234">
        <v>1</v>
      </c>
      <c r="Q234">
        <v>1957</v>
      </c>
      <c r="S234" t="s">
        <v>8</v>
      </c>
      <c r="T234" t="s">
        <v>427</v>
      </c>
      <c r="U234" t="s">
        <v>123</v>
      </c>
      <c r="V234" t="s">
        <v>174</v>
      </c>
      <c r="AA234">
        <v>79</v>
      </c>
      <c r="AB234" t="s">
        <v>428</v>
      </c>
      <c r="AC234" t="s">
        <v>429</v>
      </c>
      <c r="AD234" t="s">
        <v>430</v>
      </c>
    </row>
    <row r="235" spans="1:31" ht="13" customHeight="1">
      <c r="A235">
        <v>142</v>
      </c>
      <c r="C235" t="s">
        <v>690</v>
      </c>
      <c r="D235" t="s">
        <v>691</v>
      </c>
      <c r="E235" t="s">
        <v>733</v>
      </c>
      <c r="F235" t="s">
        <v>115</v>
      </c>
      <c r="H235" t="s">
        <v>730</v>
      </c>
      <c r="I235" t="e">
        <f>- klinischer Test</f>
        <v>#NAME?</v>
      </c>
      <c r="J235" t="s">
        <v>805</v>
      </c>
      <c r="K235" t="s">
        <v>692</v>
      </c>
      <c r="L235" s="2">
        <v>33920</v>
      </c>
      <c r="N235" t="s">
        <v>693</v>
      </c>
      <c r="O235" t="s">
        <v>564</v>
      </c>
      <c r="P235">
        <v>1</v>
      </c>
      <c r="Q235">
        <v>1979</v>
      </c>
      <c r="R235" t="s">
        <v>694</v>
      </c>
      <c r="S235" t="s">
        <v>8</v>
      </c>
      <c r="T235" t="s">
        <v>695</v>
      </c>
      <c r="U235" t="s">
        <v>123</v>
      </c>
      <c r="V235" t="s">
        <v>696</v>
      </c>
      <c r="W235" t="s">
        <v>697</v>
      </c>
      <c r="X235" t="s">
        <v>224</v>
      </c>
      <c r="Y235" t="s">
        <v>347</v>
      </c>
      <c r="AA235">
        <v>142</v>
      </c>
      <c r="AB235" t="s">
        <v>691</v>
      </c>
    </row>
    <row r="236" spans="1:31" ht="13" customHeight="1">
      <c r="A236">
        <v>339</v>
      </c>
      <c r="C236" t="s">
        <v>2076</v>
      </c>
      <c r="D236" t="s">
        <v>1943</v>
      </c>
      <c r="E236" t="s">
        <v>1426</v>
      </c>
      <c r="F236" t="s">
        <v>115</v>
      </c>
      <c r="H236" t="s">
        <v>730</v>
      </c>
      <c r="I236" t="e">
        <f>- mehrdimensionaler Persönlichkeits-Test</f>
        <v>#NAME?</v>
      </c>
      <c r="J236" t="s">
        <v>1944</v>
      </c>
      <c r="K236" t="s">
        <v>1945</v>
      </c>
      <c r="L236" s="2">
        <v>33225</v>
      </c>
      <c r="O236" t="s">
        <v>120</v>
      </c>
      <c r="P236">
        <v>1</v>
      </c>
      <c r="Q236">
        <v>1958</v>
      </c>
      <c r="R236" t="s">
        <v>2166</v>
      </c>
      <c r="S236" t="s">
        <v>8</v>
      </c>
      <c r="T236" t="s">
        <v>2081</v>
      </c>
      <c r="U236" t="s">
        <v>123</v>
      </c>
      <c r="V236" t="s">
        <v>464</v>
      </c>
      <c r="W236" t="s">
        <v>2082</v>
      </c>
      <c r="X236" t="s">
        <v>2083</v>
      </c>
      <c r="AA236">
        <v>339</v>
      </c>
      <c r="AB236" t="s">
        <v>2084</v>
      </c>
      <c r="AC236" t="s">
        <v>2085</v>
      </c>
    </row>
    <row r="237" spans="1:31" ht="13" customHeight="1">
      <c r="A237">
        <v>397</v>
      </c>
      <c r="C237" t="s">
        <v>2464</v>
      </c>
      <c r="D237" t="s">
        <v>2465</v>
      </c>
      <c r="E237" t="s">
        <v>2466</v>
      </c>
      <c r="F237" t="s">
        <v>2467</v>
      </c>
      <c r="H237" t="s">
        <v>6</v>
      </c>
      <c r="I237" t="e">
        <f>- Intelligenztest für $K94:$AE94</f>
        <v>#NAME?</v>
      </c>
      <c r="J237" t="s">
        <v>791</v>
      </c>
      <c r="K237" t="s">
        <v>2593</v>
      </c>
      <c r="L237" s="2">
        <v>33914</v>
      </c>
      <c r="O237" t="s">
        <v>564</v>
      </c>
      <c r="P237">
        <v>1</v>
      </c>
      <c r="Q237">
        <v>1965</v>
      </c>
      <c r="S237" t="s">
        <v>8</v>
      </c>
      <c r="T237" t="s">
        <v>2594</v>
      </c>
      <c r="U237" t="s">
        <v>123</v>
      </c>
      <c r="V237" t="s">
        <v>2595</v>
      </c>
      <c r="W237" t="s">
        <v>2596</v>
      </c>
      <c r="X237" t="s">
        <v>2597</v>
      </c>
      <c r="Y237" t="s">
        <v>2598</v>
      </c>
      <c r="Z237" t="s">
        <v>1900</v>
      </c>
      <c r="AA237">
        <v>397</v>
      </c>
      <c r="AB237" t="s">
        <v>2465</v>
      </c>
    </row>
    <row r="238" spans="1:31" ht="13" customHeight="1">
      <c r="A238">
        <v>30</v>
      </c>
      <c r="C238" t="s">
        <v>153</v>
      </c>
      <c r="D238" t="s">
        <v>154</v>
      </c>
      <c r="E238" t="s">
        <v>394</v>
      </c>
      <c r="F238" t="s">
        <v>115</v>
      </c>
      <c r="H238" t="s">
        <v>6</v>
      </c>
      <c r="I238" t="s">
        <v>168</v>
      </c>
      <c r="J238" t="s">
        <v>155</v>
      </c>
      <c r="K238" t="s">
        <v>175</v>
      </c>
      <c r="L238" s="2">
        <v>33059</v>
      </c>
      <c r="M238" t="s">
        <v>156</v>
      </c>
      <c r="O238" t="s">
        <v>120</v>
      </c>
      <c r="P238">
        <v>1</v>
      </c>
      <c r="Q238" t="s">
        <v>36</v>
      </c>
      <c r="S238" t="s">
        <v>121</v>
      </c>
      <c r="T238" t="s">
        <v>157</v>
      </c>
      <c r="U238" t="s">
        <v>123</v>
      </c>
      <c r="V238" t="s">
        <v>175</v>
      </c>
      <c r="AA238">
        <v>30</v>
      </c>
      <c r="AB238" t="s">
        <v>158</v>
      </c>
      <c r="AC238" t="s">
        <v>296</v>
      </c>
      <c r="AD238" t="s">
        <v>297</v>
      </c>
      <c r="AE238" t="s">
        <v>386</v>
      </c>
    </row>
    <row r="239" spans="1:31" ht="13" customHeight="1">
      <c r="A239">
        <v>105</v>
      </c>
      <c r="C239" t="s">
        <v>555</v>
      </c>
      <c r="D239" t="s">
        <v>127</v>
      </c>
      <c r="E239" t="s">
        <v>394</v>
      </c>
      <c r="F239" t="s">
        <v>115</v>
      </c>
      <c r="H239" t="s">
        <v>730</v>
      </c>
      <c r="I239" t="e">
        <f>- Interessentest</f>
        <v>#NAME?</v>
      </c>
      <c r="J239" t="s">
        <v>117</v>
      </c>
      <c r="K239" t="s">
        <v>601</v>
      </c>
      <c r="L239" s="2">
        <v>33577</v>
      </c>
      <c r="O239" t="s">
        <v>120</v>
      </c>
      <c r="P239">
        <v>1</v>
      </c>
      <c r="Q239" t="s">
        <v>556</v>
      </c>
      <c r="S239" t="s">
        <v>8</v>
      </c>
      <c r="T239" t="s">
        <v>557</v>
      </c>
      <c r="U239" t="s">
        <v>123</v>
      </c>
      <c r="V239" t="s">
        <v>604</v>
      </c>
      <c r="W239" t="s">
        <v>30</v>
      </c>
      <c r="AA239">
        <v>105</v>
      </c>
      <c r="AB239" t="s">
        <v>256</v>
      </c>
      <c r="AC239" t="s">
        <v>257</v>
      </c>
      <c r="AD239" t="s">
        <v>558</v>
      </c>
      <c r="AE239" t="s">
        <v>125</v>
      </c>
    </row>
    <row r="240" spans="1:31" ht="13" customHeight="1">
      <c r="A240">
        <v>5.0999999999999996</v>
      </c>
      <c r="B240">
        <v>1</v>
      </c>
      <c r="C240" t="s">
        <v>176</v>
      </c>
      <c r="D240" t="s">
        <v>253</v>
      </c>
      <c r="E240" t="s">
        <v>247</v>
      </c>
      <c r="F240" t="s">
        <v>115</v>
      </c>
      <c r="H240" t="s">
        <v>6</v>
      </c>
      <c r="I240" t="s">
        <v>168</v>
      </c>
      <c r="J240" t="s">
        <v>177</v>
      </c>
      <c r="K240" t="s">
        <v>175</v>
      </c>
      <c r="L240" s="2">
        <v>33122</v>
      </c>
      <c r="O240" t="s">
        <v>120</v>
      </c>
      <c r="P240">
        <v>2</v>
      </c>
      <c r="Q240" t="s">
        <v>178</v>
      </c>
      <c r="S240" t="s">
        <v>121</v>
      </c>
      <c r="T240" t="s">
        <v>179</v>
      </c>
      <c r="U240" t="s">
        <v>123</v>
      </c>
      <c r="V240" t="s">
        <v>175</v>
      </c>
      <c r="AA240">
        <v>5</v>
      </c>
      <c r="AB240" t="s">
        <v>253</v>
      </c>
    </row>
    <row r="241" spans="1:30" ht="13" customHeight="1">
      <c r="A241">
        <v>5.2</v>
      </c>
      <c r="B241">
        <v>2</v>
      </c>
      <c r="C241" t="s">
        <v>176</v>
      </c>
      <c r="D241" t="s">
        <v>253</v>
      </c>
      <c r="E241" t="s">
        <v>247</v>
      </c>
      <c r="F241" t="s">
        <v>115</v>
      </c>
      <c r="H241" t="s">
        <v>6</v>
      </c>
      <c r="I241" t="s">
        <v>168</v>
      </c>
      <c r="J241" t="s">
        <v>177</v>
      </c>
      <c r="K241" t="s">
        <v>175</v>
      </c>
      <c r="L241" s="2">
        <v>33122</v>
      </c>
      <c r="O241" t="s">
        <v>120</v>
      </c>
      <c r="P241">
        <v>2</v>
      </c>
      <c r="Q241" t="s">
        <v>178</v>
      </c>
      <c r="S241" t="s">
        <v>121</v>
      </c>
      <c r="T241" t="s">
        <v>179</v>
      </c>
      <c r="U241" t="s">
        <v>123</v>
      </c>
      <c r="V241" t="s">
        <v>175</v>
      </c>
      <c r="AB241" t="s">
        <v>253</v>
      </c>
    </row>
    <row r="242" spans="1:30" ht="13" customHeight="1">
      <c r="A242">
        <v>297</v>
      </c>
      <c r="C242" t="s">
        <v>1718</v>
      </c>
      <c r="D242" t="s">
        <v>1719</v>
      </c>
      <c r="E242" t="s">
        <v>1720</v>
      </c>
      <c r="F242" t="s">
        <v>115</v>
      </c>
      <c r="H242" t="s">
        <v>730</v>
      </c>
      <c r="I242" t="e">
        <f>- mehrdimensionaler Persönlichkeits-Test</f>
        <v>#NAME?</v>
      </c>
      <c r="J242" t="s">
        <v>1721</v>
      </c>
      <c r="K242" t="s">
        <v>1966</v>
      </c>
      <c r="L242" s="2">
        <v>33197</v>
      </c>
      <c r="O242" t="s">
        <v>120</v>
      </c>
      <c r="P242">
        <v>1</v>
      </c>
      <c r="Q242">
        <v>1966</v>
      </c>
      <c r="S242" t="s">
        <v>121</v>
      </c>
      <c r="T242" t="s">
        <v>1967</v>
      </c>
      <c r="U242" t="s">
        <v>123</v>
      </c>
      <c r="V242" t="s">
        <v>464</v>
      </c>
      <c r="W242" t="s">
        <v>1734</v>
      </c>
      <c r="X242" t="s">
        <v>1320</v>
      </c>
      <c r="AA242">
        <v>297</v>
      </c>
      <c r="AB242" t="s">
        <v>1719</v>
      </c>
    </row>
    <row r="243" spans="1:30" ht="13" customHeight="1">
      <c r="A243">
        <v>28</v>
      </c>
      <c r="C243" t="s">
        <v>11</v>
      </c>
      <c r="D243" t="s">
        <v>138</v>
      </c>
      <c r="E243" t="s">
        <v>394</v>
      </c>
      <c r="F243" t="s">
        <v>115</v>
      </c>
      <c r="H243" t="s">
        <v>6</v>
      </c>
      <c r="I243" t="s">
        <v>139</v>
      </c>
      <c r="J243" t="s">
        <v>140</v>
      </c>
      <c r="K243" t="s">
        <v>141</v>
      </c>
      <c r="L243" s="2">
        <v>33059</v>
      </c>
      <c r="M243" t="s">
        <v>142</v>
      </c>
      <c r="O243" t="s">
        <v>120</v>
      </c>
      <c r="P243">
        <v>1</v>
      </c>
      <c r="Q243" t="s">
        <v>143</v>
      </c>
      <c r="S243" t="s">
        <v>121</v>
      </c>
      <c r="T243" t="s">
        <v>144</v>
      </c>
      <c r="U243" t="s">
        <v>123</v>
      </c>
      <c r="V243" t="s">
        <v>175</v>
      </c>
      <c r="W243" t="s">
        <v>145</v>
      </c>
      <c r="AA243">
        <v>28</v>
      </c>
      <c r="AB243" t="s">
        <v>146</v>
      </c>
    </row>
    <row r="244" spans="1:30" ht="13" customHeight="1">
      <c r="A244">
        <v>332</v>
      </c>
      <c r="C244" t="s">
        <v>1894</v>
      </c>
      <c r="D244" t="s">
        <v>1895</v>
      </c>
      <c r="E244" t="s">
        <v>1426</v>
      </c>
      <c r="F244" t="s">
        <v>115</v>
      </c>
      <c r="H244" t="s">
        <v>6</v>
      </c>
      <c r="I244" t="e">
        <f>- Intelligenztest für $K55:$AE55 und Erw.</f>
        <v>#NAME?</v>
      </c>
      <c r="J244" t="s">
        <v>1490</v>
      </c>
      <c r="K244" t="s">
        <v>1896</v>
      </c>
      <c r="L244" s="2">
        <v>33222</v>
      </c>
      <c r="N244" t="s">
        <v>2030</v>
      </c>
      <c r="O244" t="s">
        <v>120</v>
      </c>
      <c r="P244">
        <v>1</v>
      </c>
      <c r="Q244">
        <v>1960</v>
      </c>
      <c r="R244" t="s">
        <v>2028</v>
      </c>
      <c r="S244" t="s">
        <v>8</v>
      </c>
      <c r="T244" t="s">
        <v>2029</v>
      </c>
      <c r="U244" t="s">
        <v>123</v>
      </c>
      <c r="V244" t="s">
        <v>174</v>
      </c>
      <c r="W244" t="s">
        <v>2153</v>
      </c>
      <c r="X244" t="s">
        <v>760</v>
      </c>
      <c r="Y244" t="s">
        <v>224</v>
      </c>
      <c r="AA244">
        <v>332</v>
      </c>
      <c r="AB244" t="s">
        <v>1895</v>
      </c>
    </row>
    <row r="245" spans="1:30" ht="13" customHeight="1">
      <c r="A245">
        <v>338</v>
      </c>
      <c r="C245" t="s">
        <v>2072</v>
      </c>
      <c r="D245" t="s">
        <v>1895</v>
      </c>
      <c r="E245" t="s">
        <v>1426</v>
      </c>
      <c r="F245" t="s">
        <v>115</v>
      </c>
      <c r="H245" t="s">
        <v>6</v>
      </c>
      <c r="I245" t="e">
        <f>- spez. Funktionsprüfungs- und Eignungstest</f>
        <v>#NAME?</v>
      </c>
      <c r="J245" t="s">
        <v>1490</v>
      </c>
      <c r="K245" t="s">
        <v>2073</v>
      </c>
      <c r="L245" s="2">
        <v>33533</v>
      </c>
      <c r="N245" t="s">
        <v>2074</v>
      </c>
      <c r="O245" t="s">
        <v>120</v>
      </c>
      <c r="P245">
        <v>1</v>
      </c>
      <c r="Q245">
        <v>1953</v>
      </c>
      <c r="S245" t="s">
        <v>8</v>
      </c>
      <c r="T245" t="s">
        <v>2075</v>
      </c>
      <c r="U245" t="s">
        <v>123</v>
      </c>
      <c r="V245" t="s">
        <v>807</v>
      </c>
      <c r="W245" s="1" t="s">
        <v>2047</v>
      </c>
      <c r="X245" t="s">
        <v>1819</v>
      </c>
      <c r="AA245">
        <v>338</v>
      </c>
      <c r="AB245" t="s">
        <v>1895</v>
      </c>
    </row>
    <row r="246" spans="1:30" ht="13" customHeight="1">
      <c r="A246">
        <v>163</v>
      </c>
      <c r="C246" t="s">
        <v>952</v>
      </c>
      <c r="D246" t="s">
        <v>953</v>
      </c>
      <c r="E246" t="s">
        <v>1088</v>
      </c>
      <c r="F246" t="s">
        <v>115</v>
      </c>
      <c r="H246" t="s">
        <v>6</v>
      </c>
      <c r="I246" t="s">
        <v>915</v>
      </c>
      <c r="J246" t="s">
        <v>1083</v>
      </c>
      <c r="K246" t="s">
        <v>1089</v>
      </c>
      <c r="L246" s="2">
        <v>33920</v>
      </c>
      <c r="N246" t="s">
        <v>954</v>
      </c>
      <c r="O246" t="s">
        <v>564</v>
      </c>
      <c r="P246">
        <v>1</v>
      </c>
      <c r="Q246">
        <v>1968</v>
      </c>
      <c r="S246" t="s">
        <v>8</v>
      </c>
      <c r="T246" t="s">
        <v>955</v>
      </c>
      <c r="U246" t="s">
        <v>123</v>
      </c>
      <c r="V246" t="s">
        <v>175</v>
      </c>
      <c r="W246" t="s">
        <v>854</v>
      </c>
      <c r="AA246">
        <v>163</v>
      </c>
      <c r="AB246" t="s">
        <v>953</v>
      </c>
    </row>
    <row r="247" spans="1:30" ht="13" customHeight="1">
      <c r="A247">
        <v>298</v>
      </c>
      <c r="C247" t="s">
        <v>1968</v>
      </c>
      <c r="D247" t="s">
        <v>1969</v>
      </c>
      <c r="E247" t="s">
        <v>620</v>
      </c>
      <c r="F247" t="s">
        <v>115</v>
      </c>
      <c r="H247" t="s">
        <v>730</v>
      </c>
      <c r="I247" t="e">
        <f>- eindimensionaler Persönlichkeits-Test</f>
        <v>#NAME?</v>
      </c>
      <c r="J247" t="s">
        <v>1004</v>
      </c>
      <c r="K247" t="s">
        <v>1970</v>
      </c>
      <c r="L247" s="2">
        <v>33500</v>
      </c>
      <c r="N247" t="s">
        <v>1971</v>
      </c>
      <c r="O247" t="s">
        <v>564</v>
      </c>
      <c r="P247">
        <v>1</v>
      </c>
      <c r="Q247">
        <v>1969</v>
      </c>
      <c r="S247" t="s">
        <v>8</v>
      </c>
      <c r="T247" t="s">
        <v>1793</v>
      </c>
      <c r="U247" t="s">
        <v>123</v>
      </c>
      <c r="V247" t="s">
        <v>464</v>
      </c>
      <c r="W247" t="s">
        <v>1972</v>
      </c>
      <c r="X247" t="s">
        <v>1973</v>
      </c>
      <c r="AA247">
        <v>298</v>
      </c>
      <c r="AB247" t="s">
        <v>1974</v>
      </c>
      <c r="AC247" t="s">
        <v>1975</v>
      </c>
    </row>
    <row r="248" spans="1:30" ht="13" customHeight="1">
      <c r="A248">
        <v>302.10000000000002</v>
      </c>
      <c r="B248">
        <v>1</v>
      </c>
      <c r="C248" t="s">
        <v>1968</v>
      </c>
      <c r="D248" t="s">
        <v>1969</v>
      </c>
      <c r="E248" t="s">
        <v>620</v>
      </c>
      <c r="F248" t="s">
        <v>14</v>
      </c>
      <c r="H248" t="s">
        <v>730</v>
      </c>
      <c r="I248" t="e">
        <f>- eindimensionaler Persönlichkeits-Test</f>
        <v>#NAME?</v>
      </c>
      <c r="J248" t="s">
        <v>1004</v>
      </c>
      <c r="K248" t="s">
        <v>1970</v>
      </c>
      <c r="L248" s="2">
        <v>33500</v>
      </c>
      <c r="N248" t="s">
        <v>1971</v>
      </c>
      <c r="O248" t="s">
        <v>564</v>
      </c>
      <c r="P248">
        <v>2</v>
      </c>
      <c r="Q248">
        <v>1972</v>
      </c>
      <c r="S248" t="s">
        <v>8</v>
      </c>
      <c r="T248" t="s">
        <v>1793</v>
      </c>
      <c r="U248" t="s">
        <v>123</v>
      </c>
      <c r="V248" t="s">
        <v>464</v>
      </c>
      <c r="W248" t="s">
        <v>1972</v>
      </c>
      <c r="X248" t="s">
        <v>1973</v>
      </c>
      <c r="AA248">
        <v>302</v>
      </c>
      <c r="AB248" t="s">
        <v>1974</v>
      </c>
      <c r="AC248" t="s">
        <v>1975</v>
      </c>
    </row>
    <row r="249" spans="1:30" ht="13" customHeight="1">
      <c r="A249">
        <v>302.2</v>
      </c>
      <c r="B249">
        <v>2</v>
      </c>
      <c r="C249" t="s">
        <v>1968</v>
      </c>
      <c r="D249" t="s">
        <v>1969</v>
      </c>
      <c r="E249" t="s">
        <v>620</v>
      </c>
      <c r="F249" t="s">
        <v>784</v>
      </c>
      <c r="H249" t="s">
        <v>730</v>
      </c>
      <c r="I249" t="e">
        <f>- eindimensionaler Persönlichkeits-Test</f>
        <v>#NAME?</v>
      </c>
      <c r="J249" t="s">
        <v>1004</v>
      </c>
      <c r="K249" t="s">
        <v>1970</v>
      </c>
      <c r="L249" s="2">
        <v>33500</v>
      </c>
      <c r="N249" t="s">
        <v>1971</v>
      </c>
      <c r="O249" t="s">
        <v>564</v>
      </c>
      <c r="P249">
        <v>2</v>
      </c>
      <c r="Q249">
        <v>1975</v>
      </c>
      <c r="S249" t="s">
        <v>8</v>
      </c>
      <c r="T249" t="s">
        <v>1793</v>
      </c>
      <c r="U249" t="s">
        <v>123</v>
      </c>
      <c r="V249" t="s">
        <v>464</v>
      </c>
      <c r="W249" t="s">
        <v>1972</v>
      </c>
      <c r="X249" t="s">
        <v>1973</v>
      </c>
      <c r="AB249" t="s">
        <v>1974</v>
      </c>
      <c r="AC249" t="s">
        <v>1975</v>
      </c>
    </row>
    <row r="250" spans="1:30" ht="13" customHeight="1">
      <c r="A250">
        <v>3012</v>
      </c>
      <c r="C250" t="s">
        <v>814</v>
      </c>
      <c r="D250" t="s">
        <v>815</v>
      </c>
      <c r="E250" t="s">
        <v>816</v>
      </c>
      <c r="F250" t="s">
        <v>115</v>
      </c>
      <c r="G250" s="2">
        <v>32838</v>
      </c>
      <c r="J250" t="s">
        <v>817</v>
      </c>
      <c r="L250" s="2">
        <v>33907</v>
      </c>
      <c r="O250" t="s">
        <v>564</v>
      </c>
      <c r="P250">
        <v>1</v>
      </c>
      <c r="Q250">
        <v>1991</v>
      </c>
      <c r="S250" t="s">
        <v>716</v>
      </c>
      <c r="T250" t="s">
        <v>626</v>
      </c>
      <c r="U250" t="s">
        <v>769</v>
      </c>
      <c r="AA250">
        <v>3012</v>
      </c>
      <c r="AB250" t="s">
        <v>815</v>
      </c>
    </row>
    <row r="251" spans="1:30" ht="13" customHeight="1">
      <c r="A251">
        <v>3013</v>
      </c>
      <c r="C251" t="s">
        <v>2442</v>
      </c>
      <c r="D251" t="s">
        <v>2443</v>
      </c>
      <c r="E251" t="s">
        <v>2444</v>
      </c>
      <c r="F251" t="s">
        <v>267</v>
      </c>
      <c r="H251" t="s">
        <v>6</v>
      </c>
      <c r="I251" t="e">
        <f>- Entwicklungstest</f>
        <v>#NAME?</v>
      </c>
      <c r="J251" t="s">
        <v>2445</v>
      </c>
      <c r="K251" t="s">
        <v>2446</v>
      </c>
      <c r="L251" s="2">
        <v>35910</v>
      </c>
      <c r="O251" t="s">
        <v>564</v>
      </c>
      <c r="P251">
        <v>1</v>
      </c>
      <c r="Q251">
        <v>1977</v>
      </c>
      <c r="R251" t="s">
        <v>2447</v>
      </c>
      <c r="S251" t="s">
        <v>121</v>
      </c>
      <c r="T251" t="s">
        <v>2340</v>
      </c>
      <c r="U251" t="s">
        <v>769</v>
      </c>
      <c r="V251" t="s">
        <v>2341</v>
      </c>
      <c r="W251" t="s">
        <v>1288</v>
      </c>
      <c r="X251" t="s">
        <v>1880</v>
      </c>
      <c r="Y251" t="s">
        <v>2342</v>
      </c>
      <c r="Z251" t="s">
        <v>2343</v>
      </c>
      <c r="AA251">
        <v>3013</v>
      </c>
      <c r="AB251" t="s">
        <v>2344</v>
      </c>
      <c r="AC251" t="s">
        <v>2411</v>
      </c>
    </row>
    <row r="252" spans="1:30" ht="13" customHeight="1">
      <c r="A252">
        <v>406</v>
      </c>
      <c r="C252" t="s">
        <v>2461</v>
      </c>
      <c r="D252" t="s">
        <v>2462</v>
      </c>
      <c r="E252" t="s">
        <v>898</v>
      </c>
      <c r="F252" t="s">
        <v>115</v>
      </c>
      <c r="H252" t="s">
        <v>730</v>
      </c>
      <c r="I252" t="e">
        <f>- Einstellungstest</f>
        <v>#NAME?</v>
      </c>
      <c r="J252" t="s">
        <v>2463</v>
      </c>
      <c r="K252" t="s">
        <v>2589</v>
      </c>
      <c r="L252" s="2">
        <v>33920</v>
      </c>
      <c r="N252" t="s">
        <v>2590</v>
      </c>
      <c r="O252" t="s">
        <v>564</v>
      </c>
      <c r="P252">
        <v>1</v>
      </c>
      <c r="Q252">
        <v>1972</v>
      </c>
      <c r="S252" t="s">
        <v>8</v>
      </c>
      <c r="T252" t="s">
        <v>2591</v>
      </c>
      <c r="U252" t="s">
        <v>123</v>
      </c>
      <c r="V252" t="s">
        <v>1751</v>
      </c>
      <c r="W252" t="s">
        <v>1708</v>
      </c>
      <c r="X252" t="s">
        <v>604</v>
      </c>
      <c r="AA252">
        <v>406</v>
      </c>
      <c r="AB252" t="s">
        <v>2592</v>
      </c>
      <c r="AC252" t="s">
        <v>2611</v>
      </c>
      <c r="AD252" t="s">
        <v>2612</v>
      </c>
    </row>
    <row r="253" spans="1:30" ht="13" customHeight="1">
      <c r="A253">
        <v>328.1</v>
      </c>
      <c r="B253">
        <v>1</v>
      </c>
      <c r="C253" t="s">
        <v>1999</v>
      </c>
      <c r="D253" t="s">
        <v>2000</v>
      </c>
      <c r="E253" t="s">
        <v>620</v>
      </c>
      <c r="F253" t="s">
        <v>115</v>
      </c>
      <c r="H253" t="s">
        <v>6</v>
      </c>
      <c r="I253" t="e">
        <f>- Allg.Leistungs- und Fähigkeitstest</f>
        <v>#NAME?</v>
      </c>
      <c r="J253" t="s">
        <v>2001</v>
      </c>
      <c r="K253" t="s">
        <v>2002</v>
      </c>
      <c r="L253" s="2">
        <v>33582</v>
      </c>
      <c r="N253" t="s">
        <v>2003</v>
      </c>
      <c r="O253" t="s">
        <v>564</v>
      </c>
      <c r="P253">
        <v>4</v>
      </c>
      <c r="Q253">
        <v>1965</v>
      </c>
      <c r="S253" t="s">
        <v>8</v>
      </c>
      <c r="T253" t="s">
        <v>2004</v>
      </c>
      <c r="U253" t="s">
        <v>123</v>
      </c>
      <c r="V253" t="s">
        <v>1484</v>
      </c>
      <c r="W253" t="s">
        <v>223</v>
      </c>
      <c r="X253" t="s">
        <v>2005</v>
      </c>
      <c r="Y253" t="s">
        <v>2006</v>
      </c>
      <c r="Z253" t="s">
        <v>2007</v>
      </c>
      <c r="AA253">
        <v>328</v>
      </c>
      <c r="AB253" t="s">
        <v>2008</v>
      </c>
      <c r="AC253" t="s">
        <v>1684</v>
      </c>
    </row>
    <row r="254" spans="1:30" ht="13" customHeight="1">
      <c r="A254">
        <v>328.2</v>
      </c>
      <c r="B254">
        <v>2</v>
      </c>
      <c r="C254" t="s">
        <v>1999</v>
      </c>
      <c r="D254" t="s">
        <v>2000</v>
      </c>
      <c r="E254" t="s">
        <v>620</v>
      </c>
      <c r="F254" t="s">
        <v>115</v>
      </c>
      <c r="H254" t="s">
        <v>6</v>
      </c>
      <c r="I254" t="e">
        <f>- Allg.Leistungs- und Fähigkeitstest</f>
        <v>#NAME?</v>
      </c>
      <c r="J254" t="s">
        <v>2001</v>
      </c>
      <c r="K254" t="s">
        <v>2002</v>
      </c>
      <c r="L254" s="2">
        <v>33582</v>
      </c>
      <c r="N254" t="s">
        <v>2003</v>
      </c>
      <c r="O254" t="s">
        <v>564</v>
      </c>
      <c r="P254">
        <v>4</v>
      </c>
      <c r="Q254">
        <v>1965</v>
      </c>
      <c r="S254" t="s">
        <v>8</v>
      </c>
      <c r="T254" t="s">
        <v>2004</v>
      </c>
      <c r="U254" t="s">
        <v>123</v>
      </c>
      <c r="V254" t="s">
        <v>1484</v>
      </c>
      <c r="W254" t="s">
        <v>223</v>
      </c>
      <c r="X254" t="s">
        <v>2005</v>
      </c>
      <c r="Y254" t="s">
        <v>2006</v>
      </c>
      <c r="Z254" t="s">
        <v>2007</v>
      </c>
      <c r="AB254" t="s">
        <v>2008</v>
      </c>
      <c r="AC254" t="s">
        <v>1684</v>
      </c>
    </row>
    <row r="255" spans="1:30" ht="13" customHeight="1">
      <c r="A255">
        <v>328.3</v>
      </c>
      <c r="B255">
        <v>3</v>
      </c>
      <c r="C255" t="s">
        <v>1999</v>
      </c>
      <c r="D255" t="s">
        <v>2000</v>
      </c>
      <c r="E255" t="s">
        <v>620</v>
      </c>
      <c r="F255" t="s">
        <v>115</v>
      </c>
      <c r="H255" t="s">
        <v>6</v>
      </c>
      <c r="I255" t="e">
        <f>- Allg.Leistungs- und Fähigkeitstest</f>
        <v>#NAME?</v>
      </c>
      <c r="J255" t="s">
        <v>2001</v>
      </c>
      <c r="K255" t="s">
        <v>2002</v>
      </c>
      <c r="L255" s="2">
        <v>33582</v>
      </c>
      <c r="N255" t="s">
        <v>2003</v>
      </c>
      <c r="O255" t="s">
        <v>564</v>
      </c>
      <c r="P255">
        <v>4</v>
      </c>
      <c r="Q255">
        <v>1965</v>
      </c>
      <c r="S255" t="s">
        <v>8</v>
      </c>
      <c r="T255" t="s">
        <v>2004</v>
      </c>
      <c r="U255" t="s">
        <v>123</v>
      </c>
      <c r="V255" t="s">
        <v>1484</v>
      </c>
      <c r="W255" t="s">
        <v>223</v>
      </c>
      <c r="X255" t="s">
        <v>2005</v>
      </c>
      <c r="Y255" t="s">
        <v>2006</v>
      </c>
      <c r="Z255" t="s">
        <v>2007</v>
      </c>
      <c r="AB255" t="s">
        <v>2008</v>
      </c>
      <c r="AC255" t="s">
        <v>1684</v>
      </c>
    </row>
    <row r="256" spans="1:30" ht="13" customHeight="1">
      <c r="A256">
        <v>328.4</v>
      </c>
      <c r="B256">
        <v>4</v>
      </c>
      <c r="C256" t="s">
        <v>1999</v>
      </c>
      <c r="D256" t="s">
        <v>2000</v>
      </c>
      <c r="E256" t="s">
        <v>620</v>
      </c>
      <c r="F256" t="s">
        <v>115</v>
      </c>
      <c r="H256" t="s">
        <v>6</v>
      </c>
      <c r="I256" t="e">
        <f>- Allg.Leistungs- und Fähigkeitstest</f>
        <v>#NAME?</v>
      </c>
      <c r="J256" t="s">
        <v>2001</v>
      </c>
      <c r="K256" t="s">
        <v>2002</v>
      </c>
      <c r="L256" s="2">
        <v>33582</v>
      </c>
      <c r="N256" t="s">
        <v>2003</v>
      </c>
      <c r="O256" t="s">
        <v>564</v>
      </c>
      <c r="P256">
        <v>4</v>
      </c>
      <c r="Q256">
        <v>1965</v>
      </c>
      <c r="R256" t="s">
        <v>2009</v>
      </c>
      <c r="S256" t="s">
        <v>8</v>
      </c>
      <c r="T256" t="s">
        <v>2004</v>
      </c>
      <c r="U256" t="s">
        <v>123</v>
      </c>
      <c r="V256" t="s">
        <v>1484</v>
      </c>
      <c r="W256" t="s">
        <v>223</v>
      </c>
      <c r="X256" t="s">
        <v>2005</v>
      </c>
      <c r="Y256" t="s">
        <v>2006</v>
      </c>
      <c r="Z256" t="s">
        <v>2007</v>
      </c>
      <c r="AB256" t="s">
        <v>2008</v>
      </c>
      <c r="AC256" t="s">
        <v>1684</v>
      </c>
    </row>
    <row r="257" spans="1:30" ht="13" customHeight="1">
      <c r="A257">
        <v>376</v>
      </c>
      <c r="C257" t="s">
        <v>2482</v>
      </c>
      <c r="D257" t="s">
        <v>2483</v>
      </c>
      <c r="E257" t="s">
        <v>2484</v>
      </c>
      <c r="F257" t="s">
        <v>115</v>
      </c>
      <c r="H257" t="s">
        <v>730</v>
      </c>
      <c r="I257" t="e">
        <f>- Interessentest</f>
        <v>#NAME?</v>
      </c>
      <c r="J257" t="s">
        <v>230</v>
      </c>
      <c r="K257" t="s">
        <v>2481</v>
      </c>
      <c r="L257" s="2">
        <v>33920</v>
      </c>
      <c r="O257" t="s">
        <v>745</v>
      </c>
      <c r="P257">
        <v>1</v>
      </c>
      <c r="Q257">
        <v>1965</v>
      </c>
      <c r="S257" t="s">
        <v>121</v>
      </c>
      <c r="T257" t="s">
        <v>2485</v>
      </c>
      <c r="U257" t="s">
        <v>123</v>
      </c>
      <c r="V257" t="s">
        <v>604</v>
      </c>
      <c r="W257" t="s">
        <v>1708</v>
      </c>
      <c r="AA257">
        <v>376</v>
      </c>
      <c r="AB257" t="s">
        <v>2483</v>
      </c>
    </row>
    <row r="258" spans="1:30" ht="13" customHeight="1">
      <c r="A258">
        <v>82</v>
      </c>
      <c r="C258" t="s">
        <v>721</v>
      </c>
      <c r="D258" t="s">
        <v>722</v>
      </c>
      <c r="E258" t="s">
        <v>723</v>
      </c>
      <c r="F258" t="s">
        <v>115</v>
      </c>
      <c r="H258" t="s">
        <v>6</v>
      </c>
      <c r="I258" t="e">
        <f>- Intelligenztest für Kinder</f>
        <v>#NAME?</v>
      </c>
      <c r="J258" t="s">
        <v>724</v>
      </c>
      <c r="K258" t="s">
        <v>0</v>
      </c>
      <c r="L258" s="2">
        <v>33582</v>
      </c>
      <c r="O258" t="s">
        <v>120</v>
      </c>
      <c r="P258">
        <v>1</v>
      </c>
      <c r="Q258" t="s">
        <v>725</v>
      </c>
      <c r="S258" t="s">
        <v>8</v>
      </c>
      <c r="T258" t="s">
        <v>726</v>
      </c>
      <c r="U258" t="s">
        <v>123</v>
      </c>
      <c r="V258" t="s">
        <v>174</v>
      </c>
      <c r="AA258">
        <v>82</v>
      </c>
      <c r="AB258" t="s">
        <v>522</v>
      </c>
      <c r="AC258" t="s">
        <v>727</v>
      </c>
    </row>
    <row r="259" spans="1:30" ht="13" customHeight="1">
      <c r="A259">
        <v>46</v>
      </c>
      <c r="C259" t="s">
        <v>517</v>
      </c>
      <c r="D259" t="s">
        <v>518</v>
      </c>
      <c r="E259" t="s">
        <v>373</v>
      </c>
      <c r="F259" t="s">
        <v>115</v>
      </c>
      <c r="H259" t="s">
        <v>6</v>
      </c>
      <c r="I259" t="e">
        <f>- Intelligenztest für Kinder und Jugendliche</f>
        <v>#NAME?</v>
      </c>
      <c r="J259" t="s">
        <v>519</v>
      </c>
      <c r="K259" t="s">
        <v>118</v>
      </c>
      <c r="L259" s="2">
        <v>33577</v>
      </c>
      <c r="O259" t="s">
        <v>120</v>
      </c>
      <c r="P259">
        <v>1</v>
      </c>
      <c r="Q259" t="s">
        <v>520</v>
      </c>
      <c r="S259" t="s">
        <v>121</v>
      </c>
      <c r="T259" t="s">
        <v>521</v>
      </c>
      <c r="U259" t="s">
        <v>123</v>
      </c>
      <c r="V259" t="s">
        <v>174</v>
      </c>
      <c r="W259" t="s">
        <v>1</v>
      </c>
      <c r="AA259">
        <v>46</v>
      </c>
      <c r="AB259" t="s">
        <v>522</v>
      </c>
      <c r="AC259" t="s">
        <v>523</v>
      </c>
    </row>
    <row r="260" spans="1:30" ht="13" customHeight="1">
      <c r="A260">
        <v>277.10000000000002</v>
      </c>
      <c r="B260">
        <v>1</v>
      </c>
      <c r="C260" t="s">
        <v>1289</v>
      </c>
      <c r="D260" t="s">
        <v>1290</v>
      </c>
      <c r="E260" t="s">
        <v>1291</v>
      </c>
      <c r="F260" t="s">
        <v>1292</v>
      </c>
      <c r="H260" t="s">
        <v>730</v>
      </c>
      <c r="I260" t="e">
        <f>- Interessentest</f>
        <v>#NAME?</v>
      </c>
      <c r="J260" t="s">
        <v>1293</v>
      </c>
      <c r="K260" t="s">
        <v>1294</v>
      </c>
      <c r="L260" s="2">
        <v>33582</v>
      </c>
      <c r="N260" t="s">
        <v>1295</v>
      </c>
      <c r="O260" t="s">
        <v>564</v>
      </c>
      <c r="P260">
        <v>2</v>
      </c>
      <c r="Q260">
        <v>1994</v>
      </c>
      <c r="S260" t="s">
        <v>716</v>
      </c>
      <c r="T260" t="s">
        <v>1296</v>
      </c>
      <c r="U260" t="s">
        <v>123</v>
      </c>
      <c r="V260" t="s">
        <v>1294</v>
      </c>
      <c r="AA260">
        <v>277</v>
      </c>
      <c r="AB260" t="s">
        <v>1290</v>
      </c>
    </row>
    <row r="261" spans="1:30" ht="13" customHeight="1">
      <c r="A261">
        <v>277.2</v>
      </c>
      <c r="B261">
        <v>2</v>
      </c>
      <c r="C261" t="s">
        <v>1289</v>
      </c>
      <c r="D261" t="s">
        <v>1290</v>
      </c>
      <c r="E261" t="s">
        <v>1291</v>
      </c>
      <c r="F261" t="s">
        <v>1292</v>
      </c>
      <c r="H261" t="s">
        <v>730</v>
      </c>
      <c r="I261" t="e">
        <f>- Interessentest</f>
        <v>#NAME?</v>
      </c>
      <c r="J261" t="s">
        <v>1293</v>
      </c>
      <c r="K261" t="s">
        <v>1294</v>
      </c>
      <c r="L261" s="2">
        <v>33582</v>
      </c>
      <c r="N261" t="s">
        <v>1295</v>
      </c>
      <c r="O261" t="s">
        <v>564</v>
      </c>
      <c r="P261">
        <v>2</v>
      </c>
      <c r="Q261">
        <v>1994</v>
      </c>
      <c r="S261" t="s">
        <v>121</v>
      </c>
      <c r="T261" t="s">
        <v>1296</v>
      </c>
      <c r="U261" t="s">
        <v>123</v>
      </c>
      <c r="V261" t="s">
        <v>1294</v>
      </c>
      <c r="AB261" t="s">
        <v>1290</v>
      </c>
    </row>
    <row r="262" spans="1:30" ht="13" customHeight="1">
      <c r="A262">
        <v>373</v>
      </c>
      <c r="C262" t="s">
        <v>2224</v>
      </c>
      <c r="D262" t="s">
        <v>2345</v>
      </c>
      <c r="E262" t="s">
        <v>845</v>
      </c>
      <c r="F262" t="s">
        <v>115</v>
      </c>
      <c r="H262" t="s">
        <v>6</v>
      </c>
      <c r="I262" t="e">
        <f>- Intelligenztest für $K55:$AE55 und Erw.</f>
        <v>#NAME?</v>
      </c>
      <c r="J262" t="s">
        <v>2346</v>
      </c>
      <c r="K262" t="s">
        <v>2468</v>
      </c>
      <c r="L262" s="2">
        <v>33995</v>
      </c>
      <c r="N262" t="s">
        <v>2469</v>
      </c>
      <c r="O262" t="s">
        <v>564</v>
      </c>
      <c r="P262">
        <v>1</v>
      </c>
      <c r="Q262">
        <v>1959</v>
      </c>
      <c r="S262" t="s">
        <v>8</v>
      </c>
      <c r="T262" t="s">
        <v>2470</v>
      </c>
      <c r="U262" t="s">
        <v>123</v>
      </c>
      <c r="V262" t="s">
        <v>2471</v>
      </c>
      <c r="W262" t="s">
        <v>347</v>
      </c>
      <c r="X262" t="s">
        <v>2472</v>
      </c>
      <c r="Y262" t="s">
        <v>2473</v>
      </c>
      <c r="Z262" t="s">
        <v>464</v>
      </c>
      <c r="AA262">
        <v>373</v>
      </c>
      <c r="AB262" t="s">
        <v>2345</v>
      </c>
    </row>
    <row r="263" spans="1:30" ht="13" customHeight="1">
      <c r="A263">
        <v>307</v>
      </c>
      <c r="C263" t="s">
        <v>1882</v>
      </c>
      <c r="D263" t="s">
        <v>1749</v>
      </c>
      <c r="E263" t="s">
        <v>1916</v>
      </c>
      <c r="F263" t="s">
        <v>115</v>
      </c>
      <c r="H263" t="s">
        <v>6</v>
      </c>
      <c r="I263" t="e">
        <f>- Lerntest</f>
        <v>#NAME?</v>
      </c>
      <c r="J263" t="s">
        <v>1883</v>
      </c>
      <c r="K263" t="s">
        <v>1878</v>
      </c>
      <c r="L263" s="2">
        <v>33201</v>
      </c>
      <c r="O263" t="s">
        <v>120</v>
      </c>
      <c r="P263">
        <v>1</v>
      </c>
      <c r="Q263">
        <v>1967</v>
      </c>
      <c r="S263" t="s">
        <v>8</v>
      </c>
      <c r="T263" t="s">
        <v>1879</v>
      </c>
      <c r="U263" t="s">
        <v>123</v>
      </c>
      <c r="V263" t="s">
        <v>1880</v>
      </c>
      <c r="W263" t="s">
        <v>760</v>
      </c>
      <c r="X263" t="s">
        <v>807</v>
      </c>
      <c r="Y263" t="s">
        <v>1881</v>
      </c>
      <c r="AA263">
        <v>307</v>
      </c>
      <c r="AB263" t="s">
        <v>1749</v>
      </c>
    </row>
    <row r="264" spans="1:30" ht="13" customHeight="1">
      <c r="A264">
        <v>309</v>
      </c>
      <c r="C264" t="s">
        <v>1885</v>
      </c>
      <c r="D264" t="s">
        <v>1749</v>
      </c>
      <c r="E264" t="s">
        <v>1916</v>
      </c>
      <c r="F264" t="s">
        <v>115</v>
      </c>
      <c r="H264" t="s">
        <v>6</v>
      </c>
      <c r="I264" t="e">
        <f>- Lerntest</f>
        <v>#NAME?</v>
      </c>
      <c r="J264" t="s">
        <v>1643</v>
      </c>
      <c r="K264" t="s">
        <v>1878</v>
      </c>
      <c r="L264" s="2">
        <v>33201</v>
      </c>
      <c r="O264" t="s">
        <v>120</v>
      </c>
      <c r="P264">
        <v>1</v>
      </c>
      <c r="Q264">
        <v>1967</v>
      </c>
      <c r="S264" t="s">
        <v>8</v>
      </c>
      <c r="T264" t="s">
        <v>1879</v>
      </c>
      <c r="U264" t="s">
        <v>123</v>
      </c>
      <c r="V264" t="s">
        <v>1880</v>
      </c>
      <c r="W264" t="s">
        <v>760</v>
      </c>
      <c r="X264" t="s">
        <v>807</v>
      </c>
      <c r="Y264" t="s">
        <v>1881</v>
      </c>
      <c r="AA264">
        <v>309</v>
      </c>
      <c r="AB264" t="s">
        <v>1749</v>
      </c>
    </row>
    <row r="265" spans="1:30" ht="13" customHeight="1">
      <c r="A265">
        <v>308</v>
      </c>
      <c r="C265" t="s">
        <v>1884</v>
      </c>
      <c r="D265" t="s">
        <v>1749</v>
      </c>
      <c r="E265" t="s">
        <v>1916</v>
      </c>
      <c r="F265" t="s">
        <v>115</v>
      </c>
      <c r="H265" t="s">
        <v>6</v>
      </c>
      <c r="I265" t="e">
        <f>- Lerntest</f>
        <v>#NAME?</v>
      </c>
      <c r="J265" t="s">
        <v>1643</v>
      </c>
      <c r="K265" t="s">
        <v>1878</v>
      </c>
      <c r="L265" s="2">
        <v>33201</v>
      </c>
      <c r="O265" t="s">
        <v>120</v>
      </c>
      <c r="P265">
        <v>1</v>
      </c>
      <c r="Q265">
        <v>1967</v>
      </c>
      <c r="S265" t="s">
        <v>8</v>
      </c>
      <c r="T265" t="s">
        <v>1879</v>
      </c>
      <c r="U265" t="s">
        <v>123</v>
      </c>
      <c r="V265" t="s">
        <v>1880</v>
      </c>
      <c r="W265" t="s">
        <v>760</v>
      </c>
      <c r="X265" t="s">
        <v>807</v>
      </c>
      <c r="Y265" t="s">
        <v>1881</v>
      </c>
      <c r="AA265">
        <v>308</v>
      </c>
      <c r="AB265" t="s">
        <v>1749</v>
      </c>
    </row>
    <row r="266" spans="1:30" ht="13" customHeight="1">
      <c r="A266">
        <v>306</v>
      </c>
      <c r="C266" t="s">
        <v>1748</v>
      </c>
      <c r="D266" t="s">
        <v>1749</v>
      </c>
      <c r="E266" t="s">
        <v>1916</v>
      </c>
      <c r="F266" t="s">
        <v>115</v>
      </c>
      <c r="H266" t="s">
        <v>6</v>
      </c>
      <c r="I266" t="e">
        <f>- Lerntest</f>
        <v>#NAME?</v>
      </c>
      <c r="J266" t="s">
        <v>1877</v>
      </c>
      <c r="K266" t="s">
        <v>1878</v>
      </c>
      <c r="L266" s="2">
        <v>33201</v>
      </c>
      <c r="O266" t="s">
        <v>120</v>
      </c>
      <c r="P266">
        <v>1</v>
      </c>
      <c r="Q266">
        <v>1967</v>
      </c>
      <c r="S266" t="s">
        <v>8</v>
      </c>
      <c r="T266" t="s">
        <v>1879</v>
      </c>
      <c r="U266" t="s">
        <v>123</v>
      </c>
      <c r="V266" t="s">
        <v>1880</v>
      </c>
      <c r="W266" t="s">
        <v>760</v>
      </c>
      <c r="X266" t="s">
        <v>807</v>
      </c>
      <c r="Y266" t="s">
        <v>1881</v>
      </c>
      <c r="AA266">
        <v>306</v>
      </c>
      <c r="AB266" t="s">
        <v>1749</v>
      </c>
    </row>
    <row r="267" spans="1:30" ht="13" customHeight="1">
      <c r="A267">
        <v>361</v>
      </c>
      <c r="C267" t="s">
        <v>2255</v>
      </c>
      <c r="D267" t="s">
        <v>2256</v>
      </c>
      <c r="E267" t="s">
        <v>620</v>
      </c>
      <c r="F267" t="s">
        <v>115</v>
      </c>
      <c r="H267" t="s">
        <v>6</v>
      </c>
      <c r="I267" t="e">
        <f>- Intelligenztest für $K55:$AE55 und Erw.</f>
        <v>#NAME?</v>
      </c>
      <c r="J267" t="s">
        <v>2257</v>
      </c>
      <c r="K267" t="s">
        <v>2258</v>
      </c>
      <c r="L267" s="2">
        <v>33428</v>
      </c>
      <c r="N267" t="s">
        <v>2259</v>
      </c>
      <c r="O267" t="s">
        <v>564</v>
      </c>
      <c r="P267">
        <v>1</v>
      </c>
      <c r="Q267">
        <v>1962</v>
      </c>
      <c r="R267" t="s">
        <v>2260</v>
      </c>
      <c r="S267" t="s">
        <v>8</v>
      </c>
      <c r="T267" s="1" t="s">
        <v>2261</v>
      </c>
      <c r="U267" t="s">
        <v>123</v>
      </c>
      <c r="V267" t="s">
        <v>2262</v>
      </c>
      <c r="W267" t="s">
        <v>2130</v>
      </c>
      <c r="X267" t="s">
        <v>675</v>
      </c>
      <c r="Y267" t="s">
        <v>2263</v>
      </c>
      <c r="Z267" t="s">
        <v>280</v>
      </c>
      <c r="AA267">
        <v>361</v>
      </c>
      <c r="AB267" t="s">
        <v>2256</v>
      </c>
    </row>
    <row r="268" spans="1:30" ht="13" customHeight="1">
      <c r="A268">
        <v>144</v>
      </c>
      <c r="C268" t="s">
        <v>847</v>
      </c>
      <c r="D268" t="s">
        <v>848</v>
      </c>
      <c r="E268" t="s">
        <v>858</v>
      </c>
      <c r="F268" t="s">
        <v>115</v>
      </c>
      <c r="H268" t="s">
        <v>6</v>
      </c>
      <c r="I268" t="s">
        <v>6</v>
      </c>
      <c r="J268" t="s">
        <v>849</v>
      </c>
      <c r="K268" t="s">
        <v>850</v>
      </c>
      <c r="L268" s="2">
        <v>33582</v>
      </c>
      <c r="N268" t="s">
        <v>851</v>
      </c>
      <c r="O268" t="s">
        <v>564</v>
      </c>
      <c r="P268">
        <v>1</v>
      </c>
      <c r="Q268">
        <v>1981</v>
      </c>
      <c r="S268" t="s">
        <v>8</v>
      </c>
      <c r="T268" t="s">
        <v>852</v>
      </c>
      <c r="U268" t="s">
        <v>123</v>
      </c>
      <c r="V268" t="s">
        <v>987</v>
      </c>
      <c r="W268" t="s">
        <v>988</v>
      </c>
      <c r="X268" t="s">
        <v>175</v>
      </c>
      <c r="AA268">
        <v>144</v>
      </c>
      <c r="AB268" t="s">
        <v>989</v>
      </c>
      <c r="AC268" t="s">
        <v>990</v>
      </c>
      <c r="AD268" t="s">
        <v>991</v>
      </c>
    </row>
    <row r="269" spans="1:30" ht="13" customHeight="1">
      <c r="A269">
        <v>2086</v>
      </c>
      <c r="C269" t="s">
        <v>1015</v>
      </c>
      <c r="D269" t="s">
        <v>875</v>
      </c>
      <c r="E269" t="s">
        <v>712</v>
      </c>
      <c r="F269" t="s">
        <v>876</v>
      </c>
      <c r="H269" t="s">
        <v>6</v>
      </c>
      <c r="I269" t="e">
        <f>- Lerntest</f>
        <v>#NAME?</v>
      </c>
      <c r="J269" t="s">
        <v>746</v>
      </c>
      <c r="K269" t="s">
        <v>141</v>
      </c>
      <c r="L269" s="2">
        <v>33736</v>
      </c>
      <c r="N269" t="s">
        <v>747</v>
      </c>
      <c r="O269" t="s">
        <v>564</v>
      </c>
      <c r="P269">
        <v>1</v>
      </c>
      <c r="Q269">
        <v>1983</v>
      </c>
      <c r="S269" t="s">
        <v>716</v>
      </c>
      <c r="T269" t="s">
        <v>748</v>
      </c>
      <c r="U269" t="s">
        <v>749</v>
      </c>
      <c r="V269" t="s">
        <v>175</v>
      </c>
      <c r="W269" t="s">
        <v>145</v>
      </c>
      <c r="AA269">
        <v>2086</v>
      </c>
      <c r="AB269" t="s">
        <v>711</v>
      </c>
      <c r="AC269" t="s">
        <v>750</v>
      </c>
      <c r="AD269" t="s">
        <v>751</v>
      </c>
    </row>
    <row r="270" spans="1:30" ht="13" customHeight="1">
      <c r="A270">
        <v>207.1</v>
      </c>
      <c r="B270">
        <v>1</v>
      </c>
      <c r="C270" t="s">
        <v>1173</v>
      </c>
      <c r="D270" t="s">
        <v>1174</v>
      </c>
      <c r="E270" t="s">
        <v>625</v>
      </c>
      <c r="F270" t="s">
        <v>14</v>
      </c>
      <c r="G270">
        <v>1969</v>
      </c>
      <c r="H270" t="s">
        <v>6</v>
      </c>
      <c r="I270" t="s">
        <v>1103</v>
      </c>
      <c r="J270" t="s">
        <v>1175</v>
      </c>
      <c r="K270" t="s">
        <v>1176</v>
      </c>
      <c r="L270" s="2">
        <v>33582</v>
      </c>
      <c r="O270" t="s">
        <v>564</v>
      </c>
      <c r="P270">
        <v>2</v>
      </c>
      <c r="Q270">
        <v>1969</v>
      </c>
      <c r="R270" t="s">
        <v>1177</v>
      </c>
      <c r="S270" t="s">
        <v>8</v>
      </c>
      <c r="T270" t="s">
        <v>1178</v>
      </c>
      <c r="U270" t="s">
        <v>123</v>
      </c>
      <c r="V270" t="s">
        <v>1179</v>
      </c>
      <c r="W270" t="s">
        <v>1108</v>
      </c>
      <c r="X270" t="s">
        <v>20</v>
      </c>
      <c r="AA270">
        <v>207</v>
      </c>
      <c r="AB270" t="s">
        <v>1174</v>
      </c>
    </row>
    <row r="271" spans="1:30" ht="13" customHeight="1">
      <c r="A271">
        <v>207.2</v>
      </c>
      <c r="B271">
        <v>2</v>
      </c>
      <c r="C271" t="s">
        <v>1173</v>
      </c>
      <c r="D271" t="s">
        <v>1174</v>
      </c>
      <c r="E271" t="s">
        <v>625</v>
      </c>
      <c r="F271" t="s">
        <v>14</v>
      </c>
      <c r="G271">
        <v>1969</v>
      </c>
      <c r="H271" t="s">
        <v>6</v>
      </c>
      <c r="I271" t="s">
        <v>1103</v>
      </c>
      <c r="J271" t="s">
        <v>1175</v>
      </c>
      <c r="K271" t="s">
        <v>1176</v>
      </c>
      <c r="L271" s="2">
        <v>33582</v>
      </c>
      <c r="O271" t="s">
        <v>564</v>
      </c>
      <c r="P271">
        <v>2</v>
      </c>
      <c r="Q271">
        <v>1969</v>
      </c>
      <c r="R271" t="s">
        <v>1177</v>
      </c>
      <c r="S271" t="s">
        <v>8</v>
      </c>
      <c r="T271" t="s">
        <v>1178</v>
      </c>
      <c r="U271" t="s">
        <v>123</v>
      </c>
      <c r="V271" t="s">
        <v>1179</v>
      </c>
      <c r="W271" t="s">
        <v>1108</v>
      </c>
      <c r="X271" t="s">
        <v>20</v>
      </c>
      <c r="AB271" t="s">
        <v>1174</v>
      </c>
    </row>
    <row r="272" spans="1:30" ht="13" customHeight="1">
      <c r="A272">
        <v>360</v>
      </c>
      <c r="C272" t="s">
        <v>2365</v>
      </c>
      <c r="D272" t="s">
        <v>2053</v>
      </c>
      <c r="E272" t="s">
        <v>2366</v>
      </c>
      <c r="F272" t="s">
        <v>1826</v>
      </c>
      <c r="H272" t="s">
        <v>6</v>
      </c>
      <c r="I272" t="e">
        <f>- Entwicklungstest</f>
        <v>#NAME?</v>
      </c>
      <c r="J272" t="s">
        <v>1643</v>
      </c>
      <c r="K272" t="s">
        <v>2367</v>
      </c>
      <c r="L272" s="2">
        <v>33274</v>
      </c>
      <c r="O272" t="s">
        <v>120</v>
      </c>
      <c r="P272">
        <v>1</v>
      </c>
      <c r="Q272">
        <v>1965</v>
      </c>
      <c r="S272" t="s">
        <v>8</v>
      </c>
      <c r="T272" t="s">
        <v>2251</v>
      </c>
      <c r="U272" t="s">
        <v>123</v>
      </c>
      <c r="V272" t="s">
        <v>2252</v>
      </c>
      <c r="W272" t="s">
        <v>2253</v>
      </c>
      <c r="X272" t="s">
        <v>855</v>
      </c>
      <c r="Y272" t="s">
        <v>2254</v>
      </c>
      <c r="Z272" t="s">
        <v>2130</v>
      </c>
      <c r="AA272">
        <v>360</v>
      </c>
      <c r="AB272" t="s">
        <v>2053</v>
      </c>
    </row>
    <row r="273" spans="1:31" ht="13" customHeight="1">
      <c r="A273">
        <v>95</v>
      </c>
      <c r="C273" t="s">
        <v>799</v>
      </c>
      <c r="D273" t="s">
        <v>800</v>
      </c>
      <c r="E273" t="s">
        <v>394</v>
      </c>
      <c r="F273" s="1" t="s">
        <v>801</v>
      </c>
      <c r="H273" t="s">
        <v>730</v>
      </c>
      <c r="I273" t="e">
        <f>- Einstellungstest</f>
        <v>#NAME?</v>
      </c>
      <c r="J273" t="s">
        <v>277</v>
      </c>
      <c r="K273" t="s">
        <v>666</v>
      </c>
      <c r="L273" s="2">
        <v>33582</v>
      </c>
      <c r="O273" t="s">
        <v>120</v>
      </c>
      <c r="P273">
        <v>1</v>
      </c>
      <c r="Q273">
        <v>1951</v>
      </c>
      <c r="S273" t="s">
        <v>121</v>
      </c>
      <c r="T273" t="s">
        <v>667</v>
      </c>
      <c r="U273" t="s">
        <v>123</v>
      </c>
      <c r="V273" t="s">
        <v>668</v>
      </c>
      <c r="W273" t="s">
        <v>489</v>
      </c>
      <c r="AA273">
        <v>95</v>
      </c>
      <c r="AB273" t="s">
        <v>669</v>
      </c>
      <c r="AC273" t="s">
        <v>257</v>
      </c>
    </row>
    <row r="274" spans="1:31" ht="13" customHeight="1">
      <c r="A274">
        <v>80</v>
      </c>
      <c r="C274" t="s">
        <v>431</v>
      </c>
      <c r="D274" t="s">
        <v>432</v>
      </c>
      <c r="E274" t="s">
        <v>425</v>
      </c>
      <c r="F274" t="s">
        <v>115</v>
      </c>
      <c r="H274" t="s">
        <v>6</v>
      </c>
      <c r="I274" t="e">
        <f>- Intelligenztest für Kinder und $K55:$AE55</f>
        <v>#NAME?</v>
      </c>
      <c r="J274" t="s">
        <v>433</v>
      </c>
      <c r="K274" t="s">
        <v>118</v>
      </c>
      <c r="L274" s="2">
        <v>33871</v>
      </c>
      <c r="O274" t="s">
        <v>120</v>
      </c>
      <c r="P274">
        <v>1</v>
      </c>
      <c r="Q274">
        <v>1964</v>
      </c>
      <c r="S274" t="s">
        <v>8</v>
      </c>
      <c r="T274" t="s">
        <v>568</v>
      </c>
      <c r="U274" t="s">
        <v>123</v>
      </c>
      <c r="V274" t="s">
        <v>174</v>
      </c>
      <c r="W274" t="s">
        <v>1</v>
      </c>
      <c r="AA274">
        <v>80</v>
      </c>
      <c r="AB274" t="s">
        <v>569</v>
      </c>
      <c r="AC274" t="s">
        <v>570</v>
      </c>
      <c r="AD274" t="s">
        <v>571</v>
      </c>
    </row>
    <row r="275" spans="1:31" ht="13" customHeight="1">
      <c r="A275">
        <v>416</v>
      </c>
      <c r="C275" t="s">
        <v>2505</v>
      </c>
      <c r="D275" t="s">
        <v>2506</v>
      </c>
      <c r="E275" t="s">
        <v>620</v>
      </c>
      <c r="F275" t="s">
        <v>115</v>
      </c>
      <c r="H275" t="s">
        <v>730</v>
      </c>
      <c r="I275" t="e">
        <f>- mehrdimensionaler Persönlichkeits-Test</f>
        <v>#NAME?</v>
      </c>
      <c r="J275" t="s">
        <v>2507</v>
      </c>
      <c r="K275" t="s">
        <v>2508</v>
      </c>
      <c r="L275" s="2">
        <v>33920</v>
      </c>
      <c r="N275" t="s">
        <v>2509</v>
      </c>
      <c r="O275" t="s">
        <v>564</v>
      </c>
      <c r="P275">
        <v>1</v>
      </c>
      <c r="Q275">
        <v>1973</v>
      </c>
      <c r="S275" t="s">
        <v>8</v>
      </c>
      <c r="T275" s="1" t="s">
        <v>2510</v>
      </c>
      <c r="U275" t="s">
        <v>123</v>
      </c>
      <c r="V275" t="s">
        <v>464</v>
      </c>
      <c r="W275" t="s">
        <v>2511</v>
      </c>
      <c r="X275" t="s">
        <v>604</v>
      </c>
      <c r="Y275" t="s">
        <v>1734</v>
      </c>
      <c r="Z275" t="s">
        <v>988</v>
      </c>
      <c r="AA275">
        <v>416</v>
      </c>
      <c r="AB275" t="s">
        <v>2512</v>
      </c>
      <c r="AC275" t="s">
        <v>2513</v>
      </c>
      <c r="AD275" t="s">
        <v>2514</v>
      </c>
      <c r="AE275" t="s">
        <v>2515</v>
      </c>
    </row>
    <row r="276" spans="1:31" ht="13" customHeight="1">
      <c r="A276">
        <v>150</v>
      </c>
      <c r="C276" t="s">
        <v>781</v>
      </c>
      <c r="D276" t="s">
        <v>782</v>
      </c>
      <c r="E276" t="s">
        <v>783</v>
      </c>
      <c r="F276" t="s">
        <v>784</v>
      </c>
      <c r="H276" t="e">
        <f>- Allg.Leistungs- und Fähigkeitstest</f>
        <v>#NAME?</v>
      </c>
      <c r="I276" t="s">
        <v>915</v>
      </c>
      <c r="J276" t="s">
        <v>916</v>
      </c>
      <c r="K276" t="s">
        <v>917</v>
      </c>
      <c r="L276" s="2">
        <v>34466</v>
      </c>
      <c r="N276" t="s">
        <v>918</v>
      </c>
      <c r="O276" t="s">
        <v>564</v>
      </c>
      <c r="P276">
        <v>1</v>
      </c>
      <c r="Q276">
        <v>1991</v>
      </c>
      <c r="S276" t="s">
        <v>716</v>
      </c>
      <c r="T276" t="s">
        <v>919</v>
      </c>
      <c r="U276" t="s">
        <v>123</v>
      </c>
      <c r="V276" t="s">
        <v>854</v>
      </c>
      <c r="W276" t="s">
        <v>175</v>
      </c>
      <c r="AA276">
        <v>150</v>
      </c>
      <c r="AB276" t="s">
        <v>920</v>
      </c>
      <c r="AC276" t="s">
        <v>921</v>
      </c>
      <c r="AD276" t="s">
        <v>922</v>
      </c>
      <c r="AE276" t="s">
        <v>923</v>
      </c>
    </row>
    <row r="277" spans="1:31" ht="13" customHeight="1">
      <c r="A277">
        <v>14</v>
      </c>
      <c r="C277" t="s">
        <v>323</v>
      </c>
      <c r="D277" t="s">
        <v>184</v>
      </c>
      <c r="E277" t="s">
        <v>247</v>
      </c>
      <c r="F277" t="s">
        <v>115</v>
      </c>
      <c r="H277" t="s">
        <v>6</v>
      </c>
      <c r="I277" t="e">
        <f>- Schultest</f>
        <v>#NAME?</v>
      </c>
      <c r="J277" t="s">
        <v>185</v>
      </c>
      <c r="K277" t="s">
        <v>38</v>
      </c>
      <c r="L277" s="2">
        <v>33907</v>
      </c>
      <c r="M277" t="s">
        <v>319</v>
      </c>
      <c r="N277" t="s">
        <v>39</v>
      </c>
      <c r="O277" t="s">
        <v>120</v>
      </c>
      <c r="P277">
        <v>1</v>
      </c>
      <c r="Q277" t="s">
        <v>40</v>
      </c>
      <c r="S277" t="s">
        <v>121</v>
      </c>
      <c r="T277" t="s">
        <v>41</v>
      </c>
      <c r="U277" t="s">
        <v>123</v>
      </c>
      <c r="V277" t="s">
        <v>175</v>
      </c>
      <c r="W277" t="s">
        <v>42</v>
      </c>
      <c r="X277" t="s">
        <v>43</v>
      </c>
      <c r="Y277" t="s">
        <v>44</v>
      </c>
      <c r="AA277">
        <v>14</v>
      </c>
      <c r="AB277" t="s">
        <v>315</v>
      </c>
      <c r="AC277" t="s">
        <v>45</v>
      </c>
    </row>
    <row r="278" spans="1:31" ht="13" customHeight="1">
      <c r="A278">
        <v>234</v>
      </c>
      <c r="C278" t="s">
        <v>1533</v>
      </c>
      <c r="D278" t="s">
        <v>1534</v>
      </c>
      <c r="E278" t="s">
        <v>1535</v>
      </c>
      <c r="F278" t="s">
        <v>115</v>
      </c>
      <c r="H278" t="s">
        <v>6</v>
      </c>
      <c r="I278" t="s">
        <v>915</v>
      </c>
      <c r="J278" t="s">
        <v>1407</v>
      </c>
      <c r="K278" t="s">
        <v>917</v>
      </c>
      <c r="L278" s="2">
        <v>33171</v>
      </c>
      <c r="O278" t="s">
        <v>120</v>
      </c>
      <c r="P278">
        <v>1</v>
      </c>
      <c r="Q278">
        <v>1959</v>
      </c>
      <c r="S278" t="s">
        <v>8</v>
      </c>
      <c r="U278" t="s">
        <v>123</v>
      </c>
      <c r="V278" t="s">
        <v>854</v>
      </c>
      <c r="W278" t="s">
        <v>1408</v>
      </c>
      <c r="AA278">
        <v>234</v>
      </c>
      <c r="AB278" t="s">
        <v>1409</v>
      </c>
      <c r="AC278" t="s">
        <v>1410</v>
      </c>
    </row>
    <row r="279" spans="1:31" ht="13" customHeight="1">
      <c r="A279">
        <v>199.1</v>
      </c>
      <c r="B279">
        <v>1</v>
      </c>
      <c r="C279" t="s">
        <v>1254</v>
      </c>
      <c r="D279" t="s">
        <v>1255</v>
      </c>
      <c r="E279" s="1" t="s">
        <v>1377</v>
      </c>
      <c r="F279" t="s">
        <v>1378</v>
      </c>
      <c r="G279">
        <v>1969</v>
      </c>
      <c r="H279" t="s">
        <v>600</v>
      </c>
      <c r="I279" t="e">
        <f>- klinischer Test</f>
        <v>#NAME?</v>
      </c>
      <c r="J279" t="s">
        <v>76</v>
      </c>
      <c r="K279" t="s">
        <v>1379</v>
      </c>
      <c r="L279" s="2">
        <v>33582</v>
      </c>
      <c r="N279" t="s">
        <v>1380</v>
      </c>
      <c r="O279" t="s">
        <v>564</v>
      </c>
      <c r="P279">
        <v>5</v>
      </c>
      <c r="Q279">
        <v>1964</v>
      </c>
      <c r="S279" t="s">
        <v>121</v>
      </c>
      <c r="T279" t="s">
        <v>1381</v>
      </c>
      <c r="U279" t="s">
        <v>123</v>
      </c>
      <c r="V279" t="s">
        <v>464</v>
      </c>
      <c r="W279" t="s">
        <v>1382</v>
      </c>
      <c r="X279" t="s">
        <v>1383</v>
      </c>
      <c r="AA279">
        <v>199</v>
      </c>
      <c r="AB279" t="s">
        <v>1255</v>
      </c>
    </row>
    <row r="280" spans="1:31" ht="13" customHeight="1">
      <c r="A280">
        <v>199.2</v>
      </c>
      <c r="B280">
        <v>2</v>
      </c>
      <c r="C280" t="s">
        <v>1254</v>
      </c>
      <c r="D280" t="s">
        <v>1255</v>
      </c>
      <c r="E280" s="1" t="s">
        <v>1377</v>
      </c>
      <c r="F280" t="s">
        <v>1378</v>
      </c>
      <c r="G280">
        <v>1969</v>
      </c>
      <c r="H280" t="s">
        <v>600</v>
      </c>
      <c r="I280" t="e">
        <f>- klinischer Test</f>
        <v>#NAME?</v>
      </c>
      <c r="J280" t="s">
        <v>76</v>
      </c>
      <c r="K280" t="s">
        <v>1384</v>
      </c>
      <c r="L280" s="2">
        <v>33582</v>
      </c>
      <c r="N280" t="s">
        <v>1380</v>
      </c>
      <c r="O280" t="s">
        <v>564</v>
      </c>
      <c r="P280">
        <v>5</v>
      </c>
      <c r="Q280">
        <v>1964</v>
      </c>
      <c r="S280" t="s">
        <v>121</v>
      </c>
      <c r="T280" t="s">
        <v>1381</v>
      </c>
      <c r="U280" t="s">
        <v>123</v>
      </c>
      <c r="V280" t="s">
        <v>464</v>
      </c>
      <c r="W280" t="s">
        <v>1382</v>
      </c>
      <c r="X280" t="s">
        <v>1383</v>
      </c>
      <c r="AB280" t="s">
        <v>1255</v>
      </c>
    </row>
    <row r="281" spans="1:31" ht="13" customHeight="1">
      <c r="A281">
        <v>199.3</v>
      </c>
      <c r="B281">
        <v>3</v>
      </c>
      <c r="C281" t="s">
        <v>1254</v>
      </c>
      <c r="D281" t="s">
        <v>1255</v>
      </c>
      <c r="E281" s="1" t="s">
        <v>1377</v>
      </c>
      <c r="F281" t="s">
        <v>1378</v>
      </c>
      <c r="G281">
        <v>1969</v>
      </c>
      <c r="H281" t="s">
        <v>600</v>
      </c>
      <c r="I281" t="e">
        <f>- klinischer Test</f>
        <v>#NAME?</v>
      </c>
      <c r="J281" t="s">
        <v>76</v>
      </c>
      <c r="K281" t="s">
        <v>1379</v>
      </c>
      <c r="L281" s="2">
        <v>33582</v>
      </c>
      <c r="N281" t="s">
        <v>1380</v>
      </c>
      <c r="O281" t="s">
        <v>564</v>
      </c>
      <c r="P281">
        <v>5</v>
      </c>
      <c r="Q281">
        <v>1964</v>
      </c>
      <c r="S281" t="s">
        <v>121</v>
      </c>
      <c r="T281" t="s">
        <v>1381</v>
      </c>
      <c r="U281" t="s">
        <v>123</v>
      </c>
      <c r="V281" t="s">
        <v>464</v>
      </c>
      <c r="W281" t="s">
        <v>1382</v>
      </c>
      <c r="X281" t="s">
        <v>1385</v>
      </c>
      <c r="AB281" t="s">
        <v>1255</v>
      </c>
    </row>
    <row r="282" spans="1:31" ht="13" customHeight="1">
      <c r="A282">
        <v>199.4</v>
      </c>
      <c r="B282">
        <v>4</v>
      </c>
      <c r="C282" t="s">
        <v>1254</v>
      </c>
      <c r="D282" t="s">
        <v>1255</v>
      </c>
      <c r="E282" s="1" t="s">
        <v>1377</v>
      </c>
      <c r="F282" t="s">
        <v>1378</v>
      </c>
      <c r="G282">
        <v>1969</v>
      </c>
      <c r="H282" t="s">
        <v>600</v>
      </c>
      <c r="I282" t="e">
        <f>- klinischer Test</f>
        <v>#NAME?</v>
      </c>
      <c r="J282" t="s">
        <v>76</v>
      </c>
      <c r="K282" t="s">
        <v>1384</v>
      </c>
      <c r="L282" s="2">
        <v>33582</v>
      </c>
      <c r="N282" t="s">
        <v>1380</v>
      </c>
      <c r="O282" t="s">
        <v>564</v>
      </c>
      <c r="P282">
        <v>5</v>
      </c>
      <c r="Q282">
        <v>1964</v>
      </c>
      <c r="S282" t="s">
        <v>121</v>
      </c>
      <c r="T282" t="s">
        <v>1381</v>
      </c>
      <c r="U282" t="s">
        <v>123</v>
      </c>
      <c r="V282" t="s">
        <v>464</v>
      </c>
      <c r="W282" t="s">
        <v>1382</v>
      </c>
      <c r="X282" t="s">
        <v>1383</v>
      </c>
      <c r="AB282" t="s">
        <v>1255</v>
      </c>
    </row>
    <row r="283" spans="1:31" ht="13" customHeight="1">
      <c r="A283">
        <v>199.5</v>
      </c>
      <c r="B283">
        <v>5</v>
      </c>
      <c r="C283" t="s">
        <v>1254</v>
      </c>
      <c r="D283" t="s">
        <v>1255</v>
      </c>
      <c r="E283" s="1" t="s">
        <v>1377</v>
      </c>
      <c r="F283" t="s">
        <v>1378</v>
      </c>
      <c r="G283">
        <v>1969</v>
      </c>
      <c r="H283" t="s">
        <v>600</v>
      </c>
      <c r="I283" t="e">
        <f>- klinischer Test</f>
        <v>#NAME?</v>
      </c>
      <c r="J283" t="s">
        <v>76</v>
      </c>
      <c r="K283" t="s">
        <v>1384</v>
      </c>
      <c r="L283" s="2">
        <v>33582</v>
      </c>
      <c r="N283" t="s">
        <v>1380</v>
      </c>
      <c r="O283" t="s">
        <v>564</v>
      </c>
      <c r="P283">
        <v>5</v>
      </c>
      <c r="Q283">
        <v>1964</v>
      </c>
      <c r="S283" t="s">
        <v>121</v>
      </c>
      <c r="T283" t="s">
        <v>1381</v>
      </c>
      <c r="U283" t="s">
        <v>123</v>
      </c>
      <c r="V283" t="s">
        <v>464</v>
      </c>
      <c r="W283" t="s">
        <v>1382</v>
      </c>
      <c r="X283" t="s">
        <v>1383</v>
      </c>
      <c r="AB283" t="s">
        <v>1255</v>
      </c>
    </row>
    <row r="284" spans="1:31" ht="13" customHeight="1">
      <c r="A284">
        <v>200</v>
      </c>
      <c r="C284" t="s">
        <v>1254</v>
      </c>
      <c r="D284" t="s">
        <v>1255</v>
      </c>
      <c r="E284" t="s">
        <v>620</v>
      </c>
      <c r="F284" t="s">
        <v>115</v>
      </c>
      <c r="G284">
        <v>1969</v>
      </c>
      <c r="H284" t="s">
        <v>600</v>
      </c>
      <c r="I284" t="e">
        <f>- klinischer Test</f>
        <v>#NAME?</v>
      </c>
      <c r="J284" t="s">
        <v>76</v>
      </c>
      <c r="K284" t="s">
        <v>1384</v>
      </c>
      <c r="L284" s="2">
        <v>33582</v>
      </c>
      <c r="N284" t="s">
        <v>1380</v>
      </c>
      <c r="O284" t="s">
        <v>564</v>
      </c>
      <c r="P284">
        <v>1</v>
      </c>
      <c r="Q284">
        <v>1953</v>
      </c>
      <c r="R284" t="s">
        <v>1386</v>
      </c>
      <c r="S284" t="s">
        <v>121</v>
      </c>
      <c r="T284" t="s">
        <v>1387</v>
      </c>
      <c r="U284" t="s">
        <v>123</v>
      </c>
      <c r="V284" t="s">
        <v>464</v>
      </c>
      <c r="W284" t="s">
        <v>1382</v>
      </c>
      <c r="X284" t="s">
        <v>1383</v>
      </c>
      <c r="AA284">
        <v>200</v>
      </c>
      <c r="AB284" t="s">
        <v>1255</v>
      </c>
    </row>
    <row r="285" spans="1:31" ht="13" customHeight="1">
      <c r="A285">
        <v>25</v>
      </c>
      <c r="C285" t="s">
        <v>392</v>
      </c>
      <c r="D285" t="s">
        <v>393</v>
      </c>
      <c r="E285" t="s">
        <v>394</v>
      </c>
      <c r="F285" t="s">
        <v>115</v>
      </c>
      <c r="H285" t="s">
        <v>6</v>
      </c>
      <c r="I285" t="e">
        <f>- spez. Funktionsprüfungs- und Eignungstest</f>
        <v>#NAME?</v>
      </c>
      <c r="J285" t="s">
        <v>230</v>
      </c>
      <c r="K285" t="s">
        <v>63</v>
      </c>
      <c r="L285" s="2">
        <v>33059</v>
      </c>
      <c r="O285" t="s">
        <v>120</v>
      </c>
      <c r="P285">
        <v>1</v>
      </c>
      <c r="Q285" t="s">
        <v>395</v>
      </c>
      <c r="S285" t="s">
        <v>8</v>
      </c>
      <c r="T285" t="s">
        <v>255</v>
      </c>
      <c r="U285" t="s">
        <v>123</v>
      </c>
      <c r="V285" t="s">
        <v>63</v>
      </c>
      <c r="AA285">
        <v>25</v>
      </c>
      <c r="AB285" t="s">
        <v>256</v>
      </c>
      <c r="AC285" t="s">
        <v>257</v>
      </c>
      <c r="AD285" t="s">
        <v>124</v>
      </c>
      <c r="AE285" t="s">
        <v>125</v>
      </c>
    </row>
    <row r="286" spans="1:31" ht="13" customHeight="1">
      <c r="A286">
        <v>55</v>
      </c>
      <c r="C286" t="s">
        <v>288</v>
      </c>
      <c r="D286" t="s">
        <v>289</v>
      </c>
      <c r="E286" t="s">
        <v>398</v>
      </c>
      <c r="F286" t="s">
        <v>115</v>
      </c>
      <c r="H286" t="s">
        <v>6</v>
      </c>
      <c r="I286" t="e">
        <f>- spez. Funktionsprüfungs- und Eignungstest</f>
        <v>#NAME?</v>
      </c>
      <c r="J286" t="s">
        <v>230</v>
      </c>
      <c r="K286" t="s">
        <v>63</v>
      </c>
      <c r="L286" s="2">
        <v>33871</v>
      </c>
      <c r="O286" t="s">
        <v>120</v>
      </c>
      <c r="P286">
        <v>1</v>
      </c>
      <c r="Q286">
        <v>1940</v>
      </c>
      <c r="S286" t="s">
        <v>121</v>
      </c>
      <c r="T286" t="s">
        <v>290</v>
      </c>
      <c r="U286" t="s">
        <v>123</v>
      </c>
      <c r="V286" t="s">
        <v>63</v>
      </c>
      <c r="AA286">
        <v>55</v>
      </c>
      <c r="AB286" t="s">
        <v>271</v>
      </c>
    </row>
    <row r="287" spans="1:31" ht="13" customHeight="1">
      <c r="A287">
        <v>21</v>
      </c>
      <c r="C287" t="s">
        <v>229</v>
      </c>
      <c r="D287" t="s">
        <v>74</v>
      </c>
      <c r="E287" t="s">
        <v>75</v>
      </c>
      <c r="F287" t="s">
        <v>115</v>
      </c>
      <c r="H287" t="e">
        <f>- spez. Funktionsprüfungs- und Eignungstest</f>
        <v>#NAME?</v>
      </c>
      <c r="I287" t="e">
        <f>- spezieller Funktions- und Eignungstest</f>
        <v>#NAME?</v>
      </c>
      <c r="J287" t="s">
        <v>230</v>
      </c>
      <c r="K287" t="s">
        <v>63</v>
      </c>
      <c r="L287" s="2">
        <v>33127</v>
      </c>
      <c r="O287" t="s">
        <v>120</v>
      </c>
      <c r="P287">
        <v>1</v>
      </c>
      <c r="Q287" t="s">
        <v>231</v>
      </c>
      <c r="S287" t="s">
        <v>8</v>
      </c>
      <c r="T287" t="s">
        <v>232</v>
      </c>
      <c r="U287" t="s">
        <v>123</v>
      </c>
      <c r="V287" t="s">
        <v>63</v>
      </c>
      <c r="AA287">
        <v>21</v>
      </c>
      <c r="AB287" t="s">
        <v>79</v>
      </c>
    </row>
    <row r="288" spans="1:31" ht="13" customHeight="1">
      <c r="A288">
        <v>363.1</v>
      </c>
      <c r="B288">
        <v>1</v>
      </c>
      <c r="C288" t="s">
        <v>2271</v>
      </c>
      <c r="D288" t="s">
        <v>1684</v>
      </c>
      <c r="E288" t="s">
        <v>620</v>
      </c>
      <c r="F288" t="s">
        <v>115</v>
      </c>
      <c r="H288" t="s">
        <v>6</v>
      </c>
      <c r="I288" t="e">
        <f>- spez. Funktionsprüfungs- und Eignungstest</f>
        <v>#NAME?</v>
      </c>
      <c r="J288" t="s">
        <v>2272</v>
      </c>
      <c r="K288" t="s">
        <v>2273</v>
      </c>
      <c r="L288" s="2">
        <v>33582</v>
      </c>
      <c r="N288" t="s">
        <v>2274</v>
      </c>
      <c r="O288" t="s">
        <v>564</v>
      </c>
      <c r="P288">
        <v>5</v>
      </c>
      <c r="Q288">
        <v>1964</v>
      </c>
      <c r="S288" t="s">
        <v>8</v>
      </c>
      <c r="T288" t="s">
        <v>2275</v>
      </c>
      <c r="U288" t="s">
        <v>123</v>
      </c>
      <c r="V288" t="s">
        <v>2276</v>
      </c>
      <c r="W288" t="s">
        <v>2277</v>
      </c>
      <c r="X288" t="s">
        <v>2363</v>
      </c>
      <c r="AA288">
        <v>363</v>
      </c>
      <c r="AB288" t="s">
        <v>1684</v>
      </c>
    </row>
    <row r="289" spans="1:31" ht="13" customHeight="1">
      <c r="A289">
        <v>363.2</v>
      </c>
      <c r="B289">
        <v>2</v>
      </c>
      <c r="C289" t="s">
        <v>2271</v>
      </c>
      <c r="D289" t="s">
        <v>1684</v>
      </c>
      <c r="E289" t="s">
        <v>620</v>
      </c>
      <c r="F289" t="s">
        <v>115</v>
      </c>
      <c r="H289" t="s">
        <v>6</v>
      </c>
      <c r="I289" t="e">
        <f>- spez. Funktionsprüfungs- und Eignungstest</f>
        <v>#NAME?</v>
      </c>
      <c r="J289" t="s">
        <v>2272</v>
      </c>
      <c r="K289" t="s">
        <v>2273</v>
      </c>
      <c r="L289" s="2">
        <v>33582</v>
      </c>
      <c r="N289" t="s">
        <v>2274</v>
      </c>
      <c r="O289" t="s">
        <v>564</v>
      </c>
      <c r="P289">
        <v>5</v>
      </c>
      <c r="Q289">
        <v>1964</v>
      </c>
      <c r="S289" t="s">
        <v>8</v>
      </c>
      <c r="T289" t="s">
        <v>2275</v>
      </c>
      <c r="U289" t="s">
        <v>123</v>
      </c>
      <c r="V289" t="s">
        <v>2276</v>
      </c>
      <c r="W289" t="s">
        <v>2277</v>
      </c>
      <c r="X289" t="s">
        <v>2363</v>
      </c>
      <c r="AB289" t="s">
        <v>1684</v>
      </c>
    </row>
    <row r="290" spans="1:31" ht="13" customHeight="1">
      <c r="A290">
        <v>363.3</v>
      </c>
      <c r="B290">
        <v>3</v>
      </c>
      <c r="C290" t="s">
        <v>2271</v>
      </c>
      <c r="D290" t="s">
        <v>1684</v>
      </c>
      <c r="E290" t="s">
        <v>620</v>
      </c>
      <c r="F290" t="s">
        <v>115</v>
      </c>
      <c r="H290" t="s">
        <v>6</v>
      </c>
      <c r="I290" t="e">
        <f>- spez. Funktionsprüfungs- und Eignungstest</f>
        <v>#NAME?</v>
      </c>
      <c r="J290" t="s">
        <v>2272</v>
      </c>
      <c r="K290" t="s">
        <v>2273</v>
      </c>
      <c r="L290" s="2">
        <v>33582</v>
      </c>
      <c r="N290" t="s">
        <v>2274</v>
      </c>
      <c r="O290" t="s">
        <v>564</v>
      </c>
      <c r="P290">
        <v>5</v>
      </c>
      <c r="Q290">
        <v>1964</v>
      </c>
      <c r="S290" t="s">
        <v>8</v>
      </c>
      <c r="T290" t="s">
        <v>2275</v>
      </c>
      <c r="U290" t="s">
        <v>123</v>
      </c>
      <c r="V290" t="s">
        <v>2276</v>
      </c>
      <c r="W290" t="s">
        <v>2277</v>
      </c>
      <c r="X290" t="s">
        <v>2363</v>
      </c>
      <c r="AB290" t="s">
        <v>1684</v>
      </c>
    </row>
    <row r="291" spans="1:31" ht="13" customHeight="1">
      <c r="A291">
        <v>363.4</v>
      </c>
      <c r="B291">
        <v>4</v>
      </c>
      <c r="C291" t="s">
        <v>2271</v>
      </c>
      <c r="D291" t="s">
        <v>1684</v>
      </c>
      <c r="E291" t="s">
        <v>620</v>
      </c>
      <c r="F291" t="s">
        <v>115</v>
      </c>
      <c r="H291" t="s">
        <v>6</v>
      </c>
      <c r="I291" t="e">
        <f>- spez. Funktionsprüfungs- und Eignungstest</f>
        <v>#NAME?</v>
      </c>
      <c r="J291" t="s">
        <v>2272</v>
      </c>
      <c r="K291" t="s">
        <v>2273</v>
      </c>
      <c r="L291" s="2">
        <v>33582</v>
      </c>
      <c r="N291" t="s">
        <v>2274</v>
      </c>
      <c r="O291" t="s">
        <v>564</v>
      </c>
      <c r="P291">
        <v>5</v>
      </c>
      <c r="Q291">
        <v>1964</v>
      </c>
      <c r="S291" t="s">
        <v>8</v>
      </c>
      <c r="T291" t="s">
        <v>2275</v>
      </c>
      <c r="U291" t="s">
        <v>123</v>
      </c>
      <c r="V291" t="s">
        <v>2276</v>
      </c>
      <c r="W291" t="s">
        <v>2277</v>
      </c>
      <c r="X291" t="s">
        <v>2363</v>
      </c>
      <c r="AB291" t="s">
        <v>1684</v>
      </c>
    </row>
    <row r="292" spans="1:31" ht="13" customHeight="1">
      <c r="A292">
        <v>363.5</v>
      </c>
      <c r="B292">
        <v>5</v>
      </c>
      <c r="C292" t="s">
        <v>2271</v>
      </c>
      <c r="D292" t="s">
        <v>1684</v>
      </c>
      <c r="E292" t="s">
        <v>620</v>
      </c>
      <c r="F292" t="s">
        <v>115</v>
      </c>
      <c r="H292" t="s">
        <v>6</v>
      </c>
      <c r="I292" t="e">
        <f>- spez. Funktionsprüfungs- und Eignungstest</f>
        <v>#NAME?</v>
      </c>
      <c r="J292" t="s">
        <v>2272</v>
      </c>
      <c r="K292" t="s">
        <v>2273</v>
      </c>
      <c r="L292" s="2">
        <v>33582</v>
      </c>
      <c r="N292" t="s">
        <v>2274</v>
      </c>
      <c r="O292" t="s">
        <v>564</v>
      </c>
      <c r="P292">
        <v>5</v>
      </c>
      <c r="Q292">
        <v>1964</v>
      </c>
      <c r="R292" t="s">
        <v>2278</v>
      </c>
      <c r="S292" t="s">
        <v>8</v>
      </c>
      <c r="T292" t="s">
        <v>2275</v>
      </c>
      <c r="U292" t="s">
        <v>123</v>
      </c>
      <c r="V292" t="s">
        <v>2276</v>
      </c>
      <c r="W292" t="s">
        <v>2277</v>
      </c>
      <c r="X292" t="s">
        <v>2363</v>
      </c>
      <c r="AB292" t="s">
        <v>1684</v>
      </c>
    </row>
    <row r="293" spans="1:31" ht="13" customHeight="1">
      <c r="A293">
        <v>378.1</v>
      </c>
      <c r="B293">
        <v>1</v>
      </c>
      <c r="C293" t="s">
        <v>2368</v>
      </c>
      <c r="D293" t="s">
        <v>2369</v>
      </c>
      <c r="E293" t="s">
        <v>845</v>
      </c>
      <c r="F293" t="s">
        <v>115</v>
      </c>
      <c r="H293" t="s">
        <v>730</v>
      </c>
      <c r="I293" t="e">
        <f>- klinischer Test</f>
        <v>#NAME?</v>
      </c>
      <c r="J293" t="s">
        <v>791</v>
      </c>
      <c r="K293" t="s">
        <v>2370</v>
      </c>
      <c r="L293" s="2">
        <v>33577</v>
      </c>
      <c r="N293" t="s">
        <v>2371</v>
      </c>
      <c r="O293" t="s">
        <v>564</v>
      </c>
      <c r="P293">
        <v>2</v>
      </c>
      <c r="Q293">
        <v>1971</v>
      </c>
      <c r="S293" t="s">
        <v>8</v>
      </c>
      <c r="T293" t="s">
        <v>2372</v>
      </c>
      <c r="U293" t="s">
        <v>123</v>
      </c>
      <c r="V293" t="s">
        <v>2063</v>
      </c>
      <c r="W293" t="s">
        <v>2373</v>
      </c>
      <c r="X293" t="s">
        <v>464</v>
      </c>
      <c r="AA293">
        <v>378</v>
      </c>
      <c r="AB293" t="s">
        <v>2369</v>
      </c>
      <c r="AC293" t="s">
        <v>2374</v>
      </c>
      <c r="AD293" t="s">
        <v>2375</v>
      </c>
    </row>
    <row r="294" spans="1:31" ht="13" customHeight="1">
      <c r="A294">
        <v>378.2</v>
      </c>
      <c r="B294">
        <v>2</v>
      </c>
      <c r="C294" t="s">
        <v>2368</v>
      </c>
      <c r="D294" t="s">
        <v>2369</v>
      </c>
      <c r="E294" t="s">
        <v>845</v>
      </c>
      <c r="F294" t="s">
        <v>115</v>
      </c>
      <c r="H294" t="s">
        <v>730</v>
      </c>
      <c r="I294" t="e">
        <f>- klinischer Test</f>
        <v>#NAME?</v>
      </c>
      <c r="J294" t="s">
        <v>791</v>
      </c>
      <c r="K294" t="s">
        <v>2370</v>
      </c>
      <c r="L294" s="2">
        <v>33577</v>
      </c>
      <c r="N294" t="s">
        <v>2371</v>
      </c>
      <c r="O294" t="s">
        <v>564</v>
      </c>
      <c r="P294">
        <v>2</v>
      </c>
      <c r="Q294">
        <v>1971</v>
      </c>
      <c r="S294" t="s">
        <v>8</v>
      </c>
      <c r="T294" t="s">
        <v>2372</v>
      </c>
      <c r="U294" t="s">
        <v>123</v>
      </c>
      <c r="V294" t="s">
        <v>2063</v>
      </c>
      <c r="W294" t="s">
        <v>2373</v>
      </c>
      <c r="X294" t="s">
        <v>464</v>
      </c>
      <c r="AB294" t="s">
        <v>2369</v>
      </c>
      <c r="AC294" t="s">
        <v>2374</v>
      </c>
      <c r="AD294" t="s">
        <v>2375</v>
      </c>
    </row>
    <row r="295" spans="1:31" ht="13" customHeight="1">
      <c r="A295">
        <v>143</v>
      </c>
      <c r="C295" t="s">
        <v>698</v>
      </c>
      <c r="D295" t="s">
        <v>699</v>
      </c>
      <c r="E295" t="s">
        <v>858</v>
      </c>
      <c r="F295" t="s">
        <v>115</v>
      </c>
      <c r="H295" t="s">
        <v>730</v>
      </c>
      <c r="I295" t="e">
        <f>- mehrdimensionaler Persönlichkeits-Test</f>
        <v>#NAME?</v>
      </c>
      <c r="J295" t="s">
        <v>700</v>
      </c>
      <c r="K295" t="s">
        <v>701</v>
      </c>
      <c r="L295" s="2">
        <v>33955</v>
      </c>
      <c r="N295" t="s">
        <v>702</v>
      </c>
      <c r="O295" t="s">
        <v>564</v>
      </c>
      <c r="P295">
        <v>1</v>
      </c>
      <c r="Q295">
        <v>1981</v>
      </c>
      <c r="S295" t="s">
        <v>8</v>
      </c>
      <c r="T295" t="s">
        <v>703</v>
      </c>
      <c r="U295" t="s">
        <v>123</v>
      </c>
      <c r="V295" t="s">
        <v>464</v>
      </c>
      <c r="W295" t="s">
        <v>677</v>
      </c>
      <c r="X295" t="s">
        <v>704</v>
      </c>
      <c r="Y295" t="s">
        <v>705</v>
      </c>
      <c r="Z295" t="s">
        <v>846</v>
      </c>
      <c r="AA295">
        <v>143</v>
      </c>
      <c r="AB295" t="s">
        <v>699</v>
      </c>
    </row>
    <row r="296" spans="1:31" ht="13" customHeight="1">
      <c r="A296">
        <v>169</v>
      </c>
      <c r="C296" t="s">
        <v>818</v>
      </c>
      <c r="D296" t="s">
        <v>819</v>
      </c>
      <c r="E296" t="s">
        <v>858</v>
      </c>
      <c r="F296" t="s">
        <v>115</v>
      </c>
      <c r="G296" s="2">
        <v>32838</v>
      </c>
      <c r="H296" t="s">
        <v>730</v>
      </c>
      <c r="I296" t="e">
        <f>- mehrdimensionaler Persönlichkeits-Test</f>
        <v>#NAME?</v>
      </c>
      <c r="J296" t="s">
        <v>820</v>
      </c>
      <c r="K296" t="s">
        <v>821</v>
      </c>
      <c r="L296" s="2">
        <v>33955</v>
      </c>
      <c r="N296" t="s">
        <v>822</v>
      </c>
      <c r="O296" t="s">
        <v>564</v>
      </c>
      <c r="P296">
        <v>1</v>
      </c>
      <c r="Q296">
        <v>1981</v>
      </c>
      <c r="S296" t="s">
        <v>8</v>
      </c>
      <c r="T296" t="s">
        <v>823</v>
      </c>
      <c r="U296" t="s">
        <v>123</v>
      </c>
      <c r="V296" t="s">
        <v>464</v>
      </c>
      <c r="W296" t="s">
        <v>824</v>
      </c>
      <c r="X296" t="s">
        <v>825</v>
      </c>
      <c r="Y296" t="s">
        <v>826</v>
      </c>
      <c r="Z296" t="s">
        <v>827</v>
      </c>
      <c r="AA296">
        <v>169</v>
      </c>
      <c r="AB296" t="s">
        <v>819</v>
      </c>
    </row>
    <row r="297" spans="1:31" ht="13" customHeight="1">
      <c r="A297">
        <v>336</v>
      </c>
      <c r="C297" t="s">
        <v>2175</v>
      </c>
      <c r="D297" t="s">
        <v>2176</v>
      </c>
      <c r="E297" t="s">
        <v>1426</v>
      </c>
      <c r="F297" t="s">
        <v>115</v>
      </c>
      <c r="H297" t="s">
        <v>6</v>
      </c>
      <c r="I297" t="e">
        <f>- spez. Funktionsprüfungs- und Eignungstest</f>
        <v>#NAME?</v>
      </c>
      <c r="J297" t="s">
        <v>2059</v>
      </c>
      <c r="K297" t="s">
        <v>2060</v>
      </c>
      <c r="L297" s="2">
        <v>33582</v>
      </c>
      <c r="N297" t="s">
        <v>2061</v>
      </c>
      <c r="O297" t="s">
        <v>120</v>
      </c>
      <c r="P297">
        <v>1</v>
      </c>
      <c r="Q297">
        <v>1960</v>
      </c>
      <c r="S297" t="s">
        <v>8</v>
      </c>
      <c r="T297" t="s">
        <v>2062</v>
      </c>
      <c r="U297" t="s">
        <v>123</v>
      </c>
      <c r="V297" t="s">
        <v>1819</v>
      </c>
      <c r="W297" t="s">
        <v>1817</v>
      </c>
      <c r="X297" t="s">
        <v>1352</v>
      </c>
      <c r="Y297" t="s">
        <v>760</v>
      </c>
      <c r="Z297" t="s">
        <v>2063</v>
      </c>
      <c r="AA297">
        <v>336</v>
      </c>
      <c r="AB297" t="s">
        <v>2064</v>
      </c>
      <c r="AC297" t="s">
        <v>2065</v>
      </c>
    </row>
    <row r="298" spans="1:31" ht="13" customHeight="1">
      <c r="A298">
        <v>160</v>
      </c>
      <c r="C298" t="s">
        <v>710</v>
      </c>
      <c r="D298" t="s">
        <v>711</v>
      </c>
      <c r="E298" t="s">
        <v>712</v>
      </c>
      <c r="F298" t="s">
        <v>115</v>
      </c>
      <c r="H298" t="s">
        <v>6</v>
      </c>
      <c r="I298" t="s">
        <v>139</v>
      </c>
      <c r="J298" t="s">
        <v>713</v>
      </c>
      <c r="K298" t="s">
        <v>714</v>
      </c>
      <c r="L298" s="2">
        <v>33907</v>
      </c>
      <c r="N298" t="s">
        <v>715</v>
      </c>
      <c r="O298" t="s">
        <v>564</v>
      </c>
      <c r="P298">
        <v>1</v>
      </c>
      <c r="Q298">
        <v>1983</v>
      </c>
      <c r="S298" t="s">
        <v>716</v>
      </c>
      <c r="T298" t="s">
        <v>853</v>
      </c>
      <c r="U298" t="s">
        <v>123</v>
      </c>
      <c r="V298" t="s">
        <v>854</v>
      </c>
      <c r="W298" t="s">
        <v>855</v>
      </c>
      <c r="X298" t="s">
        <v>145</v>
      </c>
      <c r="AA298">
        <v>160</v>
      </c>
      <c r="AB298" t="s">
        <v>711</v>
      </c>
    </row>
    <row r="299" spans="1:31" ht="13" customHeight="1">
      <c r="A299">
        <v>157</v>
      </c>
      <c r="C299" t="s">
        <v>623</v>
      </c>
      <c r="D299" t="s">
        <v>624</v>
      </c>
      <c r="E299" t="s">
        <v>625</v>
      </c>
      <c r="F299" t="s">
        <v>115</v>
      </c>
      <c r="H299" t="s">
        <v>6</v>
      </c>
      <c r="I299" t="e">
        <f>- Intelligenztest für Kinder und $K55:$AE55</f>
        <v>#NAME?</v>
      </c>
      <c r="J299" t="s">
        <v>660</v>
      </c>
      <c r="K299" t="s">
        <v>118</v>
      </c>
      <c r="L299" s="2">
        <v>33610</v>
      </c>
      <c r="O299" t="s">
        <v>564</v>
      </c>
      <c r="P299">
        <v>1</v>
      </c>
      <c r="Q299">
        <v>1968</v>
      </c>
      <c r="S299" t="s">
        <v>8</v>
      </c>
      <c r="T299" t="s">
        <v>626</v>
      </c>
      <c r="U299" t="s">
        <v>123</v>
      </c>
      <c r="V299" t="s">
        <v>174</v>
      </c>
      <c r="W299" t="s">
        <v>1</v>
      </c>
      <c r="AA299">
        <v>157</v>
      </c>
      <c r="AB299" t="s">
        <v>624</v>
      </c>
    </row>
    <row r="300" spans="1:31" ht="13" customHeight="1">
      <c r="A300">
        <v>311</v>
      </c>
      <c r="C300" t="s">
        <v>2031</v>
      </c>
      <c r="D300" t="s">
        <v>2032</v>
      </c>
      <c r="E300" t="s">
        <v>2033</v>
      </c>
      <c r="F300" t="s">
        <v>115</v>
      </c>
      <c r="H300" t="s">
        <v>6</v>
      </c>
      <c r="I300" t="s">
        <v>139</v>
      </c>
      <c r="J300" t="s">
        <v>2034</v>
      </c>
      <c r="K300" t="s">
        <v>2035</v>
      </c>
      <c r="L300" s="2">
        <v>33201</v>
      </c>
      <c r="O300" t="s">
        <v>120</v>
      </c>
      <c r="P300">
        <v>1</v>
      </c>
      <c r="Q300">
        <v>1965</v>
      </c>
      <c r="S300" t="s">
        <v>121</v>
      </c>
      <c r="T300" t="s">
        <v>2036</v>
      </c>
      <c r="U300" t="s">
        <v>123</v>
      </c>
      <c r="V300" t="s">
        <v>855</v>
      </c>
      <c r="W300" t="s">
        <v>760</v>
      </c>
      <c r="AA300">
        <v>311</v>
      </c>
      <c r="AB300" t="s">
        <v>2032</v>
      </c>
    </row>
    <row r="301" spans="1:31" ht="13" customHeight="1">
      <c r="A301">
        <v>239</v>
      </c>
      <c r="C301" t="s">
        <v>1438</v>
      </c>
      <c r="D301" t="s">
        <v>1561</v>
      </c>
      <c r="E301" t="s">
        <v>1562</v>
      </c>
      <c r="F301" t="s">
        <v>115</v>
      </c>
      <c r="H301" t="s">
        <v>6</v>
      </c>
      <c r="I301" t="s">
        <v>168</v>
      </c>
      <c r="J301" t="s">
        <v>1563</v>
      </c>
      <c r="K301" t="s">
        <v>1564</v>
      </c>
      <c r="L301" s="2">
        <v>33171</v>
      </c>
      <c r="O301" t="s">
        <v>120</v>
      </c>
      <c r="P301">
        <v>1</v>
      </c>
      <c r="Q301">
        <v>1959</v>
      </c>
      <c r="S301" t="s">
        <v>8</v>
      </c>
      <c r="T301" t="s">
        <v>1565</v>
      </c>
      <c r="U301" t="s">
        <v>123</v>
      </c>
      <c r="V301" t="s">
        <v>20</v>
      </c>
      <c r="W301" t="s">
        <v>855</v>
      </c>
      <c r="AA301">
        <v>239</v>
      </c>
      <c r="AB301" t="s">
        <v>1566</v>
      </c>
      <c r="AC301" t="s">
        <v>1567</v>
      </c>
      <c r="AD301" t="s">
        <v>1568</v>
      </c>
      <c r="AE301" t="s">
        <v>1569</v>
      </c>
    </row>
    <row r="302" spans="1:31" ht="13" customHeight="1">
      <c r="A302">
        <v>242</v>
      </c>
      <c r="C302" t="s">
        <v>1576</v>
      </c>
      <c r="D302" t="s">
        <v>1561</v>
      </c>
      <c r="E302" t="s">
        <v>1571</v>
      </c>
      <c r="F302" t="s">
        <v>115</v>
      </c>
      <c r="H302" t="s">
        <v>6</v>
      </c>
      <c r="I302" t="s">
        <v>168</v>
      </c>
      <c r="J302" t="s">
        <v>1577</v>
      </c>
      <c r="K302" t="s">
        <v>1564</v>
      </c>
      <c r="L302" s="2">
        <v>33171</v>
      </c>
      <c r="O302" t="s">
        <v>120</v>
      </c>
      <c r="P302">
        <v>1</v>
      </c>
      <c r="Q302">
        <v>1959</v>
      </c>
      <c r="S302" t="s">
        <v>8</v>
      </c>
      <c r="T302" t="s">
        <v>1565</v>
      </c>
      <c r="U302" t="s">
        <v>123</v>
      </c>
      <c r="V302" t="s">
        <v>20</v>
      </c>
      <c r="W302" t="s">
        <v>855</v>
      </c>
      <c r="AA302">
        <v>242</v>
      </c>
      <c r="AB302" t="s">
        <v>1566</v>
      </c>
      <c r="AC302" t="s">
        <v>1567</v>
      </c>
      <c r="AD302" t="s">
        <v>1573</v>
      </c>
      <c r="AE302" t="s">
        <v>1569</v>
      </c>
    </row>
    <row r="303" spans="1:31" ht="13" customHeight="1">
      <c r="A303">
        <v>241</v>
      </c>
      <c r="C303" t="s">
        <v>1574</v>
      </c>
      <c r="D303" t="s">
        <v>1561</v>
      </c>
      <c r="E303" t="s">
        <v>1571</v>
      </c>
      <c r="F303" t="s">
        <v>115</v>
      </c>
      <c r="H303" t="s">
        <v>6</v>
      </c>
      <c r="I303" t="s">
        <v>168</v>
      </c>
      <c r="J303" t="s">
        <v>1575</v>
      </c>
      <c r="K303" t="s">
        <v>1564</v>
      </c>
      <c r="L303" s="2">
        <v>33171</v>
      </c>
      <c r="O303" t="s">
        <v>120</v>
      </c>
      <c r="P303">
        <v>1</v>
      </c>
      <c r="Q303">
        <v>1959</v>
      </c>
      <c r="S303" t="s">
        <v>8</v>
      </c>
      <c r="T303" t="s">
        <v>1565</v>
      </c>
      <c r="U303" t="s">
        <v>123</v>
      </c>
      <c r="V303" t="s">
        <v>20</v>
      </c>
      <c r="W303" t="s">
        <v>855</v>
      </c>
      <c r="AA303">
        <v>241</v>
      </c>
      <c r="AB303" t="s">
        <v>1566</v>
      </c>
      <c r="AC303" t="s">
        <v>1567</v>
      </c>
      <c r="AD303" t="s">
        <v>1573</v>
      </c>
      <c r="AE303" t="s">
        <v>1569</v>
      </c>
    </row>
    <row r="304" spans="1:31" ht="13" customHeight="1">
      <c r="A304">
        <v>240</v>
      </c>
      <c r="C304" t="s">
        <v>1570</v>
      </c>
      <c r="D304" t="s">
        <v>1561</v>
      </c>
      <c r="E304" t="s">
        <v>1571</v>
      </c>
      <c r="F304" t="s">
        <v>115</v>
      </c>
      <c r="H304" t="s">
        <v>6</v>
      </c>
      <c r="I304" t="s">
        <v>168</v>
      </c>
      <c r="J304" t="s">
        <v>1572</v>
      </c>
      <c r="K304" t="s">
        <v>1564</v>
      </c>
      <c r="L304" s="2">
        <v>33171</v>
      </c>
      <c r="O304" t="s">
        <v>120</v>
      </c>
      <c r="P304">
        <v>1</v>
      </c>
      <c r="Q304">
        <v>1959</v>
      </c>
      <c r="S304" t="s">
        <v>8</v>
      </c>
      <c r="T304" t="s">
        <v>1565</v>
      </c>
      <c r="U304" t="s">
        <v>123</v>
      </c>
      <c r="V304" t="s">
        <v>20</v>
      </c>
      <c r="W304" t="s">
        <v>855</v>
      </c>
      <c r="AA304">
        <v>240</v>
      </c>
      <c r="AB304" t="s">
        <v>1566</v>
      </c>
      <c r="AC304" t="s">
        <v>1567</v>
      </c>
      <c r="AD304" t="s">
        <v>1573</v>
      </c>
      <c r="AE304" t="s">
        <v>1569</v>
      </c>
    </row>
    <row r="305" spans="1:31" ht="13" customHeight="1">
      <c r="A305">
        <v>252</v>
      </c>
      <c r="C305" t="s">
        <v>1626</v>
      </c>
      <c r="D305" t="s">
        <v>1627</v>
      </c>
      <c r="E305" t="s">
        <v>1571</v>
      </c>
      <c r="F305" t="s">
        <v>115</v>
      </c>
      <c r="H305" t="s">
        <v>6</v>
      </c>
      <c r="I305" t="s">
        <v>915</v>
      </c>
      <c r="J305" t="s">
        <v>1628</v>
      </c>
      <c r="K305" t="s">
        <v>1629</v>
      </c>
      <c r="L305" s="2">
        <v>33192</v>
      </c>
      <c r="O305" t="s">
        <v>120</v>
      </c>
      <c r="P305">
        <v>1</v>
      </c>
      <c r="Q305">
        <v>1964</v>
      </c>
      <c r="S305" t="s">
        <v>8</v>
      </c>
      <c r="T305" t="s">
        <v>1630</v>
      </c>
      <c r="U305" t="s">
        <v>123</v>
      </c>
      <c r="V305" t="s">
        <v>1221</v>
      </c>
      <c r="W305" t="s">
        <v>1631</v>
      </c>
      <c r="X305" t="s">
        <v>175</v>
      </c>
      <c r="AA305">
        <v>252</v>
      </c>
      <c r="AB305" t="s">
        <v>1573</v>
      </c>
      <c r="AC305" t="s">
        <v>1632</v>
      </c>
      <c r="AD305" t="s">
        <v>1633</v>
      </c>
    </row>
    <row r="306" spans="1:31" ht="13" customHeight="1">
      <c r="A306">
        <v>291</v>
      </c>
      <c r="C306" t="s">
        <v>1914</v>
      </c>
      <c r="D306" t="s">
        <v>1915</v>
      </c>
      <c r="E306" t="s">
        <v>1916</v>
      </c>
      <c r="F306" t="s">
        <v>115</v>
      </c>
      <c r="H306" t="s">
        <v>804</v>
      </c>
      <c r="I306" t="e">
        <f>- verbal-thematisches Verfahren</f>
        <v>#NAME?</v>
      </c>
      <c r="J306" t="s">
        <v>1917</v>
      </c>
      <c r="K306" t="s">
        <v>1918</v>
      </c>
      <c r="L306" s="2">
        <v>33194</v>
      </c>
      <c r="O306" t="s">
        <v>120</v>
      </c>
      <c r="P306">
        <v>1</v>
      </c>
      <c r="Q306">
        <v>1953</v>
      </c>
      <c r="S306" t="s">
        <v>8</v>
      </c>
      <c r="T306" t="s">
        <v>1919</v>
      </c>
      <c r="U306" t="s">
        <v>123</v>
      </c>
      <c r="V306" t="s">
        <v>464</v>
      </c>
      <c r="W306" t="s">
        <v>1807</v>
      </c>
      <c r="X306" t="s">
        <v>1809</v>
      </c>
      <c r="AA306">
        <v>291</v>
      </c>
      <c r="AB306" t="s">
        <v>1920</v>
      </c>
      <c r="AC306" t="s">
        <v>1778</v>
      </c>
      <c r="AD306" t="s">
        <v>1779</v>
      </c>
      <c r="AE306" t="s">
        <v>1780</v>
      </c>
    </row>
    <row r="307" spans="1:31" ht="13" customHeight="1">
      <c r="A307">
        <v>123</v>
      </c>
      <c r="C307" t="s">
        <v>956</v>
      </c>
      <c r="D307" t="s">
        <v>957</v>
      </c>
      <c r="E307" t="s">
        <v>398</v>
      </c>
      <c r="F307" t="s">
        <v>115</v>
      </c>
      <c r="H307" t="s">
        <v>730</v>
      </c>
      <c r="I307" t="e">
        <f>- mehrdimensionaler Persönlichkeits-Test</f>
        <v>#NAME?</v>
      </c>
      <c r="J307" t="s">
        <v>277</v>
      </c>
      <c r="K307" t="s">
        <v>958</v>
      </c>
      <c r="L307" s="2">
        <v>33871</v>
      </c>
      <c r="N307" t="s">
        <v>959</v>
      </c>
      <c r="O307" t="s">
        <v>120</v>
      </c>
      <c r="P307">
        <v>1</v>
      </c>
      <c r="Q307">
        <v>1957</v>
      </c>
      <c r="S307" t="s">
        <v>8</v>
      </c>
      <c r="T307" t="s">
        <v>960</v>
      </c>
      <c r="U307" t="s">
        <v>123</v>
      </c>
      <c r="V307" t="s">
        <v>464</v>
      </c>
      <c r="W307" t="s">
        <v>961</v>
      </c>
      <c r="X307" t="s">
        <v>962</v>
      </c>
      <c r="Y307" t="s">
        <v>963</v>
      </c>
      <c r="Z307" t="s">
        <v>1080</v>
      </c>
      <c r="AA307">
        <v>123</v>
      </c>
      <c r="AB307" t="s">
        <v>1110</v>
      </c>
      <c r="AC307" t="s">
        <v>1111</v>
      </c>
    </row>
    <row r="308" spans="1:31" ht="13" customHeight="1">
      <c r="A308">
        <v>47</v>
      </c>
      <c r="C308" t="s">
        <v>524</v>
      </c>
      <c r="D308" t="s">
        <v>525</v>
      </c>
      <c r="E308" t="s">
        <v>373</v>
      </c>
      <c r="F308" t="s">
        <v>115</v>
      </c>
      <c r="H308" t="s">
        <v>6</v>
      </c>
      <c r="I308" t="s">
        <v>168</v>
      </c>
      <c r="J308" t="s">
        <v>526</v>
      </c>
      <c r="K308" t="s">
        <v>175</v>
      </c>
      <c r="L308" s="2">
        <v>33026</v>
      </c>
      <c r="O308" t="s">
        <v>120</v>
      </c>
      <c r="P308">
        <v>1</v>
      </c>
      <c r="Q308">
        <v>1967</v>
      </c>
      <c r="S308" t="s">
        <v>121</v>
      </c>
      <c r="T308" t="s">
        <v>527</v>
      </c>
      <c r="U308" t="s">
        <v>123</v>
      </c>
      <c r="V308" t="s">
        <v>175</v>
      </c>
      <c r="AA308">
        <v>47</v>
      </c>
      <c r="AB308" t="s">
        <v>525</v>
      </c>
    </row>
    <row r="309" spans="1:31" ht="13" customHeight="1">
      <c r="A309">
        <v>121</v>
      </c>
      <c r="C309" t="s">
        <v>1119</v>
      </c>
      <c r="D309" t="s">
        <v>1120</v>
      </c>
      <c r="E309" t="s">
        <v>561</v>
      </c>
      <c r="F309" t="s">
        <v>115</v>
      </c>
      <c r="H309" t="s">
        <v>730</v>
      </c>
      <c r="I309" t="e">
        <f>- mehrdimensionaler Persönlichkeits-Test</f>
        <v>#NAME?</v>
      </c>
      <c r="J309" t="s">
        <v>230</v>
      </c>
      <c r="K309" t="s">
        <v>464</v>
      </c>
      <c r="L309" s="2">
        <v>33425</v>
      </c>
      <c r="N309" t="s">
        <v>1114</v>
      </c>
      <c r="O309" t="s">
        <v>564</v>
      </c>
      <c r="P309">
        <v>1</v>
      </c>
      <c r="Q309">
        <v>1972</v>
      </c>
      <c r="R309" t="s">
        <v>1121</v>
      </c>
      <c r="S309" t="s">
        <v>8</v>
      </c>
      <c r="T309" t="s">
        <v>1122</v>
      </c>
      <c r="U309" t="s">
        <v>123</v>
      </c>
      <c r="V309" t="s">
        <v>464</v>
      </c>
      <c r="AA309">
        <v>121</v>
      </c>
      <c r="AB309" t="s">
        <v>1123</v>
      </c>
      <c r="AC309" t="s">
        <v>1118</v>
      </c>
    </row>
    <row r="310" spans="1:31" ht="13" customHeight="1">
      <c r="A310">
        <v>122</v>
      </c>
      <c r="C310" t="s">
        <v>1112</v>
      </c>
      <c r="D310" t="s">
        <v>1113</v>
      </c>
      <c r="E310" t="s">
        <v>398</v>
      </c>
      <c r="F310" t="s">
        <v>115</v>
      </c>
      <c r="H310" t="s">
        <v>730</v>
      </c>
      <c r="I310" t="e">
        <f>- klinischer Test</f>
        <v>#NAME?</v>
      </c>
      <c r="J310" t="s">
        <v>879</v>
      </c>
      <c r="K310" t="s">
        <v>464</v>
      </c>
      <c r="L310" s="2">
        <v>34809</v>
      </c>
      <c r="N310" t="s">
        <v>1114</v>
      </c>
      <c r="O310" t="s">
        <v>120</v>
      </c>
      <c r="P310">
        <v>1</v>
      </c>
      <c r="Q310" t="s">
        <v>1115</v>
      </c>
      <c r="S310" t="s">
        <v>8</v>
      </c>
      <c r="T310" t="s">
        <v>1116</v>
      </c>
      <c r="U310" t="s">
        <v>123</v>
      </c>
      <c r="V310" t="s">
        <v>464</v>
      </c>
      <c r="AA310">
        <v>122</v>
      </c>
      <c r="AB310" t="s">
        <v>1117</v>
      </c>
      <c r="AC310" t="s">
        <v>1118</v>
      </c>
    </row>
    <row r="311" spans="1:31" ht="13" customHeight="1">
      <c r="A311">
        <v>194.2</v>
      </c>
      <c r="B311">
        <v>2</v>
      </c>
      <c r="C311" t="s">
        <v>1124</v>
      </c>
      <c r="D311" t="s">
        <v>1125</v>
      </c>
      <c r="E311" t="s">
        <v>561</v>
      </c>
      <c r="F311" t="s">
        <v>115</v>
      </c>
      <c r="H311" t="s">
        <v>730</v>
      </c>
      <c r="I311" t="e">
        <f>- klinischer Test</f>
        <v>#NAME?</v>
      </c>
      <c r="J311" t="s">
        <v>117</v>
      </c>
      <c r="K311" t="s">
        <v>1256</v>
      </c>
      <c r="L311" s="2">
        <v>34361</v>
      </c>
      <c r="N311" t="s">
        <v>1257</v>
      </c>
      <c r="O311" t="s">
        <v>564</v>
      </c>
      <c r="P311">
        <v>5</v>
      </c>
      <c r="Q311">
        <v>1962</v>
      </c>
      <c r="R311" t="s">
        <v>1258</v>
      </c>
      <c r="S311" t="s">
        <v>8</v>
      </c>
      <c r="T311" t="s">
        <v>1259</v>
      </c>
      <c r="U311" t="s">
        <v>123</v>
      </c>
      <c r="V311" t="s">
        <v>464</v>
      </c>
      <c r="W311" t="s">
        <v>1260</v>
      </c>
      <c r="X311" t="s">
        <v>1393</v>
      </c>
      <c r="Y311" t="s">
        <v>1079</v>
      </c>
      <c r="Z311" t="s">
        <v>542</v>
      </c>
      <c r="AB311" t="s">
        <v>1125</v>
      </c>
    </row>
    <row r="312" spans="1:31" ht="13" customHeight="1">
      <c r="A312">
        <v>194.3</v>
      </c>
      <c r="B312">
        <v>3</v>
      </c>
      <c r="C312" t="s">
        <v>1124</v>
      </c>
      <c r="D312" t="s">
        <v>1125</v>
      </c>
      <c r="E312" t="s">
        <v>561</v>
      </c>
      <c r="F312" t="s">
        <v>1394</v>
      </c>
      <c r="H312" t="s">
        <v>730</v>
      </c>
      <c r="I312" t="e">
        <f>- klinischer Test</f>
        <v>#NAME?</v>
      </c>
      <c r="J312" t="s">
        <v>117</v>
      </c>
      <c r="K312" t="s">
        <v>1395</v>
      </c>
      <c r="L312" s="2">
        <v>33844</v>
      </c>
      <c r="N312" t="s">
        <v>1257</v>
      </c>
      <c r="O312" t="s">
        <v>564</v>
      </c>
      <c r="P312">
        <v>5</v>
      </c>
      <c r="Q312">
        <v>1970</v>
      </c>
      <c r="R312" t="s">
        <v>1258</v>
      </c>
      <c r="S312" t="s">
        <v>8</v>
      </c>
      <c r="T312" t="s">
        <v>1259</v>
      </c>
      <c r="U312" t="s">
        <v>123</v>
      </c>
      <c r="V312" t="s">
        <v>464</v>
      </c>
      <c r="W312" t="s">
        <v>1260</v>
      </c>
      <c r="X312" t="s">
        <v>542</v>
      </c>
      <c r="Y312" t="s">
        <v>1396</v>
      </c>
      <c r="Z312" t="s">
        <v>1079</v>
      </c>
      <c r="AB312" t="s">
        <v>1125</v>
      </c>
    </row>
    <row r="313" spans="1:31" ht="13" customHeight="1">
      <c r="A313">
        <v>194.4</v>
      </c>
      <c r="B313">
        <v>4</v>
      </c>
      <c r="C313" t="s">
        <v>1124</v>
      </c>
      <c r="D313" t="s">
        <v>1125</v>
      </c>
      <c r="E313" t="s">
        <v>561</v>
      </c>
      <c r="F313" t="s">
        <v>1394</v>
      </c>
      <c r="H313" t="s">
        <v>730</v>
      </c>
      <c r="I313" t="e">
        <f>- klinischer Test</f>
        <v>#NAME?</v>
      </c>
      <c r="J313" t="s">
        <v>117</v>
      </c>
      <c r="K313" t="s">
        <v>1395</v>
      </c>
      <c r="L313" s="2">
        <v>33844</v>
      </c>
      <c r="N313" t="s">
        <v>1257</v>
      </c>
      <c r="O313" t="s">
        <v>564</v>
      </c>
      <c r="P313">
        <v>5</v>
      </c>
      <c r="Q313">
        <v>1970</v>
      </c>
      <c r="R313" t="s">
        <v>1258</v>
      </c>
      <c r="S313" t="s">
        <v>8</v>
      </c>
      <c r="T313" t="s">
        <v>1259</v>
      </c>
      <c r="U313" t="s">
        <v>123</v>
      </c>
      <c r="V313" t="s">
        <v>464</v>
      </c>
      <c r="W313" t="s">
        <v>1260</v>
      </c>
      <c r="X313" t="s">
        <v>1396</v>
      </c>
      <c r="Y313" t="s">
        <v>1079</v>
      </c>
      <c r="Z313" t="s">
        <v>542</v>
      </c>
      <c r="AB313" t="s">
        <v>1125</v>
      </c>
    </row>
    <row r="314" spans="1:31" ht="13" customHeight="1">
      <c r="A314">
        <v>194.5</v>
      </c>
      <c r="B314">
        <v>5</v>
      </c>
      <c r="C314" t="s">
        <v>1124</v>
      </c>
      <c r="D314" t="s">
        <v>1125</v>
      </c>
      <c r="E314" t="s">
        <v>561</v>
      </c>
      <c r="F314" t="s">
        <v>1397</v>
      </c>
      <c r="H314" t="s">
        <v>730</v>
      </c>
      <c r="I314" t="e">
        <f>- klinischer Test</f>
        <v>#NAME?</v>
      </c>
      <c r="J314" t="s">
        <v>117</v>
      </c>
      <c r="K314" t="s">
        <v>1278</v>
      </c>
      <c r="L314" s="2">
        <v>33844</v>
      </c>
      <c r="N314" t="s">
        <v>1257</v>
      </c>
      <c r="O314" t="s">
        <v>564</v>
      </c>
      <c r="P314">
        <v>5</v>
      </c>
      <c r="Q314">
        <v>1977</v>
      </c>
      <c r="R314" t="s">
        <v>1258</v>
      </c>
      <c r="S314" t="s">
        <v>8</v>
      </c>
      <c r="T314" t="s">
        <v>1259</v>
      </c>
      <c r="U314" t="s">
        <v>123</v>
      </c>
      <c r="V314" t="s">
        <v>464</v>
      </c>
      <c r="W314" t="s">
        <v>1260</v>
      </c>
      <c r="X314" t="s">
        <v>1396</v>
      </c>
      <c r="Y314" t="s">
        <v>542</v>
      </c>
      <c r="Z314" t="s">
        <v>1079</v>
      </c>
      <c r="AB314" t="s">
        <v>1125</v>
      </c>
    </row>
    <row r="315" spans="1:31" ht="13" customHeight="1">
      <c r="A315">
        <v>194.1</v>
      </c>
      <c r="B315">
        <v>1</v>
      </c>
      <c r="C315" t="s">
        <v>1124</v>
      </c>
      <c r="D315" t="s">
        <v>1125</v>
      </c>
      <c r="E315" t="s">
        <v>561</v>
      </c>
      <c r="F315" t="s">
        <v>115</v>
      </c>
      <c r="H315" t="s">
        <v>730</v>
      </c>
      <c r="I315" t="e">
        <f>- klinischer Test</f>
        <v>#NAME?</v>
      </c>
      <c r="J315" t="s">
        <v>117</v>
      </c>
      <c r="K315" t="s">
        <v>1395</v>
      </c>
      <c r="L315" s="2">
        <v>33844</v>
      </c>
      <c r="N315" t="s">
        <v>1257</v>
      </c>
      <c r="O315" t="s">
        <v>564</v>
      </c>
      <c r="P315">
        <v>5</v>
      </c>
      <c r="Q315">
        <v>1962</v>
      </c>
      <c r="R315" t="s">
        <v>1258</v>
      </c>
      <c r="S315" t="s">
        <v>8</v>
      </c>
      <c r="T315" t="s">
        <v>1259</v>
      </c>
      <c r="U315" t="s">
        <v>123</v>
      </c>
      <c r="V315" t="s">
        <v>464</v>
      </c>
      <c r="W315" t="s">
        <v>1393</v>
      </c>
      <c r="X315" t="s">
        <v>1260</v>
      </c>
      <c r="Y315" t="s">
        <v>1079</v>
      </c>
      <c r="Z315" t="s">
        <v>542</v>
      </c>
      <c r="AA315">
        <v>194</v>
      </c>
      <c r="AB315" t="s">
        <v>1125</v>
      </c>
    </row>
    <row r="316" spans="1:31" ht="13" customHeight="1">
      <c r="A316">
        <v>195.1</v>
      </c>
      <c r="B316">
        <v>1</v>
      </c>
      <c r="C316" t="s">
        <v>1279</v>
      </c>
      <c r="D316" t="s">
        <v>1125</v>
      </c>
      <c r="E316" t="s">
        <v>561</v>
      </c>
      <c r="F316" t="s">
        <v>115</v>
      </c>
      <c r="H316" t="s">
        <v>730</v>
      </c>
      <c r="I316" t="e">
        <f>- klinischer Test</f>
        <v>#NAME?</v>
      </c>
      <c r="J316" t="s">
        <v>117</v>
      </c>
      <c r="K316" t="s">
        <v>1278</v>
      </c>
      <c r="L316" s="2">
        <v>33844</v>
      </c>
      <c r="N316" t="s">
        <v>1257</v>
      </c>
      <c r="O316" t="s">
        <v>564</v>
      </c>
      <c r="P316">
        <v>3</v>
      </c>
      <c r="Q316">
        <v>1962</v>
      </c>
      <c r="R316" t="s">
        <v>626</v>
      </c>
      <c r="S316" t="s">
        <v>8</v>
      </c>
      <c r="T316" t="s">
        <v>626</v>
      </c>
      <c r="U316" t="s">
        <v>123</v>
      </c>
      <c r="V316" t="s">
        <v>464</v>
      </c>
      <c r="W316" t="s">
        <v>1260</v>
      </c>
      <c r="X316" t="s">
        <v>1396</v>
      </c>
      <c r="Y316" t="s">
        <v>542</v>
      </c>
      <c r="Z316" t="s">
        <v>1079</v>
      </c>
      <c r="AA316">
        <v>195</v>
      </c>
      <c r="AB316" t="s">
        <v>1125</v>
      </c>
    </row>
    <row r="317" spans="1:31" ht="13" customHeight="1">
      <c r="A317">
        <v>195.2</v>
      </c>
      <c r="B317">
        <v>2</v>
      </c>
      <c r="C317" t="s">
        <v>1279</v>
      </c>
      <c r="D317" t="s">
        <v>1125</v>
      </c>
      <c r="E317" t="s">
        <v>561</v>
      </c>
      <c r="F317" t="s">
        <v>115</v>
      </c>
      <c r="H317" t="s">
        <v>730</v>
      </c>
      <c r="I317" t="e">
        <f>- klinischer Test</f>
        <v>#NAME?</v>
      </c>
      <c r="J317" t="s">
        <v>117</v>
      </c>
      <c r="K317" t="s">
        <v>1278</v>
      </c>
      <c r="L317" s="2">
        <v>33844</v>
      </c>
      <c r="N317" t="s">
        <v>1257</v>
      </c>
      <c r="O317" t="s">
        <v>564</v>
      </c>
      <c r="P317">
        <v>3</v>
      </c>
      <c r="Q317">
        <v>1962</v>
      </c>
      <c r="R317" t="s">
        <v>626</v>
      </c>
      <c r="S317" t="s">
        <v>8</v>
      </c>
      <c r="T317" t="s">
        <v>626</v>
      </c>
      <c r="U317" t="s">
        <v>123</v>
      </c>
      <c r="V317" t="s">
        <v>464</v>
      </c>
      <c r="W317" t="s">
        <v>1260</v>
      </c>
      <c r="X317" t="s">
        <v>1396</v>
      </c>
      <c r="Y317" t="s">
        <v>542</v>
      </c>
      <c r="Z317" t="s">
        <v>1079</v>
      </c>
      <c r="AB317" t="s">
        <v>1125</v>
      </c>
    </row>
    <row r="318" spans="1:31" ht="13" customHeight="1">
      <c r="A318">
        <v>195.3</v>
      </c>
      <c r="B318">
        <v>3</v>
      </c>
      <c r="C318" t="s">
        <v>1279</v>
      </c>
      <c r="D318" t="s">
        <v>1125</v>
      </c>
      <c r="E318" t="s">
        <v>561</v>
      </c>
      <c r="F318" t="s">
        <v>115</v>
      </c>
      <c r="H318" t="s">
        <v>730</v>
      </c>
      <c r="I318" t="e">
        <f>- klinischer Test</f>
        <v>#NAME?</v>
      </c>
      <c r="J318" t="s">
        <v>117</v>
      </c>
      <c r="K318" t="s">
        <v>1278</v>
      </c>
      <c r="L318" s="2">
        <v>33844</v>
      </c>
      <c r="N318" t="s">
        <v>1257</v>
      </c>
      <c r="O318" t="s">
        <v>564</v>
      </c>
      <c r="P318">
        <v>3</v>
      </c>
      <c r="Q318">
        <v>1962</v>
      </c>
      <c r="R318" t="s">
        <v>626</v>
      </c>
      <c r="S318" t="s">
        <v>8</v>
      </c>
      <c r="T318" t="s">
        <v>626</v>
      </c>
      <c r="U318" t="s">
        <v>123</v>
      </c>
      <c r="V318" t="s">
        <v>464</v>
      </c>
      <c r="W318" t="s">
        <v>1260</v>
      </c>
      <c r="X318" t="s">
        <v>1396</v>
      </c>
      <c r="Y318" t="s">
        <v>542</v>
      </c>
      <c r="Z318" t="s">
        <v>1079</v>
      </c>
      <c r="AB318" t="s">
        <v>1125</v>
      </c>
    </row>
    <row r="319" spans="1:31" ht="13" customHeight="1">
      <c r="A319">
        <v>417</v>
      </c>
      <c r="C319" t="s">
        <v>2516</v>
      </c>
      <c r="D319" t="s">
        <v>2517</v>
      </c>
      <c r="E319" t="s">
        <v>2518</v>
      </c>
      <c r="F319" t="s">
        <v>115</v>
      </c>
      <c r="H319" t="s">
        <v>6</v>
      </c>
      <c r="I319" t="s">
        <v>915</v>
      </c>
      <c r="J319" t="s">
        <v>2519</v>
      </c>
      <c r="K319" t="s">
        <v>2520</v>
      </c>
      <c r="L319" s="2">
        <v>33360</v>
      </c>
      <c r="O319" t="s">
        <v>564</v>
      </c>
      <c r="P319">
        <v>1</v>
      </c>
      <c r="Q319">
        <v>1938</v>
      </c>
      <c r="S319" t="s">
        <v>8</v>
      </c>
      <c r="T319" t="s">
        <v>2521</v>
      </c>
      <c r="U319" t="s">
        <v>123</v>
      </c>
      <c r="V319" t="s">
        <v>174</v>
      </c>
      <c r="W319" t="s">
        <v>2342</v>
      </c>
      <c r="AA319">
        <v>417</v>
      </c>
      <c r="AB319" t="s">
        <v>2522</v>
      </c>
      <c r="AC319" t="s">
        <v>2523</v>
      </c>
      <c r="AD319" t="s">
        <v>2524</v>
      </c>
    </row>
    <row r="320" spans="1:31" ht="13" customHeight="1">
      <c r="A320">
        <v>120</v>
      </c>
      <c r="C320" t="s">
        <v>1280</v>
      </c>
      <c r="D320" t="s">
        <v>1281</v>
      </c>
      <c r="E320" t="s">
        <v>1162</v>
      </c>
      <c r="F320" t="s">
        <v>115</v>
      </c>
      <c r="H320" t="s">
        <v>730</v>
      </c>
      <c r="I320" t="e">
        <f>- Interessenstest</f>
        <v>#NAME?</v>
      </c>
      <c r="J320" t="s">
        <v>1163</v>
      </c>
      <c r="K320" t="s">
        <v>1164</v>
      </c>
      <c r="L320" s="2">
        <v>33920</v>
      </c>
      <c r="N320" t="s">
        <v>1165</v>
      </c>
      <c r="O320" t="s">
        <v>120</v>
      </c>
      <c r="P320">
        <v>1</v>
      </c>
      <c r="Q320">
        <v>1965</v>
      </c>
      <c r="S320" t="s">
        <v>8</v>
      </c>
      <c r="T320" t="s">
        <v>1166</v>
      </c>
      <c r="U320" t="s">
        <v>123</v>
      </c>
      <c r="V320" t="s">
        <v>1022</v>
      </c>
      <c r="W320" t="s">
        <v>604</v>
      </c>
      <c r="AA320">
        <v>120</v>
      </c>
      <c r="AB320" t="s">
        <v>1281</v>
      </c>
    </row>
    <row r="321" spans="1:31" ht="13" customHeight="1">
      <c r="A321">
        <v>48</v>
      </c>
      <c r="C321" t="s">
        <v>396</v>
      </c>
      <c r="D321" t="s">
        <v>397</v>
      </c>
      <c r="E321" t="s">
        <v>398</v>
      </c>
      <c r="F321" t="s">
        <v>115</v>
      </c>
      <c r="H321" t="s">
        <v>6</v>
      </c>
      <c r="I321" t="e">
        <f>- Intelligenztest für Jugendliche und Erw.</f>
        <v>#NAME?</v>
      </c>
      <c r="J321" t="s">
        <v>230</v>
      </c>
      <c r="K321" t="s">
        <v>174</v>
      </c>
      <c r="L321" s="2">
        <v>33577</v>
      </c>
      <c r="O321" t="s">
        <v>120</v>
      </c>
      <c r="P321">
        <v>1</v>
      </c>
      <c r="Q321">
        <v>1951</v>
      </c>
      <c r="R321" t="s">
        <v>258</v>
      </c>
      <c r="S321" t="s">
        <v>8</v>
      </c>
      <c r="T321" t="s">
        <v>259</v>
      </c>
      <c r="U321" t="s">
        <v>123</v>
      </c>
      <c r="V321" t="s">
        <v>174</v>
      </c>
      <c r="AA321">
        <v>48</v>
      </c>
      <c r="AB321" t="s">
        <v>260</v>
      </c>
    </row>
    <row r="322" spans="1:31" ht="13" customHeight="1">
      <c r="A322">
        <v>107</v>
      </c>
      <c r="C322" t="s">
        <v>1029</v>
      </c>
      <c r="D322" t="s">
        <v>1030</v>
      </c>
      <c r="E322" t="s">
        <v>398</v>
      </c>
      <c r="F322" t="s">
        <v>115</v>
      </c>
      <c r="H322" t="s">
        <v>730</v>
      </c>
      <c r="I322" t="e">
        <f>- mehrdimensionaler Persönlichkeits-Test</f>
        <v>#NAME?</v>
      </c>
      <c r="J322" t="s">
        <v>791</v>
      </c>
      <c r="K322" t="s">
        <v>1031</v>
      </c>
      <c r="L322" s="2">
        <v>33582</v>
      </c>
      <c r="O322" t="s">
        <v>120</v>
      </c>
      <c r="P322">
        <v>1</v>
      </c>
      <c r="Q322">
        <v>1950</v>
      </c>
      <c r="S322" t="s">
        <v>8</v>
      </c>
      <c r="T322" t="s">
        <v>1026</v>
      </c>
      <c r="U322" t="s">
        <v>123</v>
      </c>
      <c r="V322" t="s">
        <v>464</v>
      </c>
      <c r="W322" t="s">
        <v>150</v>
      </c>
      <c r="X322" t="s">
        <v>1080</v>
      </c>
      <c r="Y322" t="s">
        <v>537</v>
      </c>
      <c r="Z322" t="s">
        <v>1032</v>
      </c>
      <c r="AA322">
        <v>107</v>
      </c>
      <c r="AB322" t="s">
        <v>1028</v>
      </c>
      <c r="AC322" t="s">
        <v>1027</v>
      </c>
    </row>
    <row r="323" spans="1:31" ht="13" customHeight="1">
      <c r="A323">
        <v>106</v>
      </c>
      <c r="C323" t="s">
        <v>1023</v>
      </c>
      <c r="D323" t="s">
        <v>1024</v>
      </c>
      <c r="E323" t="s">
        <v>398</v>
      </c>
      <c r="F323" t="s">
        <v>115</v>
      </c>
      <c r="H323" t="s">
        <v>730</v>
      </c>
      <c r="I323" t="e">
        <f>- mehrdimensionaler Persönlichkeits-Test</f>
        <v>#NAME?</v>
      </c>
      <c r="J323" t="s">
        <v>1025</v>
      </c>
      <c r="K323" t="s">
        <v>464</v>
      </c>
      <c r="L323" s="2">
        <v>33582</v>
      </c>
      <c r="O323" t="s">
        <v>120</v>
      </c>
      <c r="P323">
        <v>1</v>
      </c>
      <c r="Q323">
        <v>1950</v>
      </c>
      <c r="S323" t="s">
        <v>8</v>
      </c>
      <c r="T323" t="s">
        <v>1026</v>
      </c>
      <c r="U323" t="s">
        <v>123</v>
      </c>
      <c r="V323" t="s">
        <v>464</v>
      </c>
      <c r="AA323">
        <v>106</v>
      </c>
      <c r="AB323" t="s">
        <v>1027</v>
      </c>
      <c r="AC323" t="s">
        <v>1028</v>
      </c>
    </row>
    <row r="324" spans="1:31" ht="13" customHeight="1">
      <c r="A324">
        <v>108</v>
      </c>
      <c r="C324" t="s">
        <v>1023</v>
      </c>
      <c r="D324" t="s">
        <v>1024</v>
      </c>
      <c r="E324" t="s">
        <v>398</v>
      </c>
      <c r="F324" t="s">
        <v>115</v>
      </c>
      <c r="H324" t="s">
        <v>730</v>
      </c>
      <c r="I324" t="e">
        <f>- mehrdimensionaler Persönlichkeits-Test</f>
        <v>#NAME?</v>
      </c>
      <c r="J324" t="s">
        <v>1033</v>
      </c>
      <c r="K324" t="s">
        <v>1034</v>
      </c>
      <c r="L324" s="2">
        <v>33582</v>
      </c>
      <c r="O324" t="s">
        <v>120</v>
      </c>
      <c r="P324">
        <v>1</v>
      </c>
      <c r="Q324">
        <v>1950</v>
      </c>
      <c r="S324" t="s">
        <v>8</v>
      </c>
      <c r="T324" t="s">
        <v>1026</v>
      </c>
      <c r="U324" t="s">
        <v>123</v>
      </c>
      <c r="V324" t="s">
        <v>464</v>
      </c>
      <c r="W324" t="s">
        <v>150</v>
      </c>
      <c r="X324" t="s">
        <v>175</v>
      </c>
      <c r="Y324" t="s">
        <v>1079</v>
      </c>
      <c r="Z324" t="s">
        <v>1182</v>
      </c>
      <c r="AA324">
        <v>108</v>
      </c>
      <c r="AB324" t="s">
        <v>1027</v>
      </c>
      <c r="AC324" t="s">
        <v>1028</v>
      </c>
    </row>
    <row r="325" spans="1:31" ht="13" customHeight="1">
      <c r="A325">
        <v>109</v>
      </c>
      <c r="C325" t="s">
        <v>1023</v>
      </c>
      <c r="D325" t="s">
        <v>1024</v>
      </c>
      <c r="E325" t="s">
        <v>398</v>
      </c>
      <c r="F325" t="s">
        <v>115</v>
      </c>
      <c r="H325" t="s">
        <v>730</v>
      </c>
      <c r="I325" t="e">
        <f>- mehrdimensionaler Persönlichkeits-Test</f>
        <v>#NAME?</v>
      </c>
      <c r="J325" t="s">
        <v>589</v>
      </c>
      <c r="K325" t="s">
        <v>1183</v>
      </c>
      <c r="L325" s="2">
        <v>33582</v>
      </c>
      <c r="O325" t="s">
        <v>120</v>
      </c>
      <c r="P325">
        <v>1</v>
      </c>
      <c r="Q325">
        <v>1950</v>
      </c>
      <c r="S325" t="s">
        <v>8</v>
      </c>
      <c r="T325" t="s">
        <v>1026</v>
      </c>
      <c r="U325" t="s">
        <v>123</v>
      </c>
      <c r="V325" t="s">
        <v>464</v>
      </c>
      <c r="W325" t="s">
        <v>537</v>
      </c>
      <c r="X325" t="s">
        <v>1079</v>
      </c>
      <c r="Y325" t="s">
        <v>1184</v>
      </c>
      <c r="Z325" t="s">
        <v>175</v>
      </c>
      <c r="AA325">
        <v>109</v>
      </c>
      <c r="AB325" t="s">
        <v>1185</v>
      </c>
      <c r="AC325" t="s">
        <v>1028</v>
      </c>
    </row>
    <row r="326" spans="1:31" ht="13" customHeight="1">
      <c r="A326">
        <v>96.1</v>
      </c>
      <c r="B326">
        <v>1</v>
      </c>
      <c r="C326" t="s">
        <v>670</v>
      </c>
      <c r="D326" t="s">
        <v>671</v>
      </c>
      <c r="E326" t="s">
        <v>5</v>
      </c>
      <c r="F326" t="s">
        <v>115</v>
      </c>
      <c r="H326" t="s">
        <v>730</v>
      </c>
      <c r="I326" t="e">
        <f>- mehrdimensionaler Persönlichkeits-Test</f>
        <v>#NAME?</v>
      </c>
      <c r="J326" t="s">
        <v>791</v>
      </c>
      <c r="K326" t="s">
        <v>532</v>
      </c>
      <c r="L326" s="2">
        <v>33127</v>
      </c>
      <c r="N326" t="s">
        <v>533</v>
      </c>
      <c r="O326" t="s">
        <v>120</v>
      </c>
      <c r="P326">
        <v>2</v>
      </c>
      <c r="Q326">
        <v>1964</v>
      </c>
      <c r="S326" t="s">
        <v>121</v>
      </c>
      <c r="T326" t="s">
        <v>534</v>
      </c>
      <c r="U326" t="s">
        <v>123</v>
      </c>
      <c r="V326" t="s">
        <v>464</v>
      </c>
      <c r="W326" t="s">
        <v>535</v>
      </c>
      <c r="X326" t="s">
        <v>536</v>
      </c>
      <c r="Y326" t="s">
        <v>537</v>
      </c>
      <c r="Z326" t="s">
        <v>677</v>
      </c>
      <c r="AA326">
        <v>96</v>
      </c>
      <c r="AB326" t="s">
        <v>10</v>
      </c>
      <c r="AC326" t="s">
        <v>678</v>
      </c>
      <c r="AD326" t="s">
        <v>679</v>
      </c>
      <c r="AE326" t="s">
        <v>680</v>
      </c>
    </row>
    <row r="327" spans="1:31" ht="13" customHeight="1">
      <c r="A327">
        <v>96.2</v>
      </c>
      <c r="B327">
        <v>2</v>
      </c>
      <c r="C327" t="s">
        <v>670</v>
      </c>
      <c r="D327" t="s">
        <v>671</v>
      </c>
      <c r="E327" t="s">
        <v>5</v>
      </c>
      <c r="F327" t="s">
        <v>115</v>
      </c>
      <c r="H327" t="s">
        <v>730</v>
      </c>
      <c r="I327" t="e">
        <f>- mehrdimensionaler Persönlichkeits-Test</f>
        <v>#NAME?</v>
      </c>
      <c r="J327" t="s">
        <v>791</v>
      </c>
      <c r="K327" t="s">
        <v>532</v>
      </c>
      <c r="L327" s="2">
        <v>34233</v>
      </c>
      <c r="N327" t="s">
        <v>533</v>
      </c>
      <c r="O327" t="s">
        <v>120</v>
      </c>
      <c r="P327">
        <v>2</v>
      </c>
      <c r="Q327">
        <v>1964</v>
      </c>
      <c r="S327" t="s">
        <v>121</v>
      </c>
      <c r="T327" t="s">
        <v>534</v>
      </c>
      <c r="U327" t="s">
        <v>123</v>
      </c>
      <c r="V327" t="s">
        <v>464</v>
      </c>
      <c r="W327" t="s">
        <v>535</v>
      </c>
      <c r="X327" t="s">
        <v>536</v>
      </c>
      <c r="Y327" t="s">
        <v>537</v>
      </c>
      <c r="Z327" t="s">
        <v>677</v>
      </c>
      <c r="AB327" t="s">
        <v>10</v>
      </c>
      <c r="AC327" t="s">
        <v>678</v>
      </c>
      <c r="AD327" t="s">
        <v>679</v>
      </c>
      <c r="AE327" t="s">
        <v>680</v>
      </c>
    </row>
    <row r="328" spans="1:31" ht="13" customHeight="1">
      <c r="A328">
        <v>3001</v>
      </c>
      <c r="C328" t="s">
        <v>764</v>
      </c>
      <c r="D328" t="s">
        <v>765</v>
      </c>
      <c r="E328" t="s">
        <v>783</v>
      </c>
      <c r="F328" t="s">
        <v>766</v>
      </c>
      <c r="H328" t="s">
        <v>6</v>
      </c>
      <c r="I328" t="e">
        <f>- Allg.Leistungs- und Fähigkeitstest</f>
        <v>#NAME?</v>
      </c>
      <c r="J328" t="s">
        <v>859</v>
      </c>
      <c r="K328" t="s">
        <v>224</v>
      </c>
      <c r="L328" s="2">
        <v>33740</v>
      </c>
      <c r="N328" t="s">
        <v>767</v>
      </c>
      <c r="O328" t="s">
        <v>564</v>
      </c>
      <c r="P328">
        <v>1</v>
      </c>
      <c r="Q328">
        <v>1987</v>
      </c>
      <c r="S328" t="s">
        <v>716</v>
      </c>
      <c r="T328" t="s">
        <v>768</v>
      </c>
      <c r="U328" t="s">
        <v>769</v>
      </c>
      <c r="V328" t="s">
        <v>224</v>
      </c>
      <c r="AA328">
        <v>3001</v>
      </c>
      <c r="AB328" t="s">
        <v>770</v>
      </c>
      <c r="AC328" t="s">
        <v>771</v>
      </c>
    </row>
    <row r="329" spans="1:31" ht="13" customHeight="1">
      <c r="A329">
        <v>167</v>
      </c>
      <c r="C329" t="s">
        <v>937</v>
      </c>
      <c r="D329" t="s">
        <v>938</v>
      </c>
      <c r="E329" t="s">
        <v>733</v>
      </c>
      <c r="F329" t="s">
        <v>939</v>
      </c>
      <c r="G329" s="2">
        <v>32824</v>
      </c>
      <c r="H329" t="s">
        <v>730</v>
      </c>
      <c r="I329" t="e">
        <f>- mehrdimensionaler Persönlichkeits-Test</f>
        <v>#NAME?</v>
      </c>
      <c r="J329" t="s">
        <v>805</v>
      </c>
      <c r="K329" t="s">
        <v>940</v>
      </c>
      <c r="L329" s="2">
        <v>33955</v>
      </c>
      <c r="M329" t="s">
        <v>941</v>
      </c>
      <c r="N329" t="s">
        <v>942</v>
      </c>
      <c r="O329" t="s">
        <v>564</v>
      </c>
      <c r="P329">
        <v>1</v>
      </c>
      <c r="Q329">
        <v>1995</v>
      </c>
      <c r="R329" t="s">
        <v>943</v>
      </c>
      <c r="S329" t="s">
        <v>8</v>
      </c>
      <c r="T329" t="s">
        <v>944</v>
      </c>
      <c r="U329" t="s">
        <v>123</v>
      </c>
      <c r="V329" t="s">
        <v>940</v>
      </c>
      <c r="AA329">
        <v>167</v>
      </c>
      <c r="AB329" t="s">
        <v>945</v>
      </c>
      <c r="AC329" t="s">
        <v>946</v>
      </c>
    </row>
    <row r="330" spans="1:31" ht="13" customHeight="1">
      <c r="A330">
        <v>148</v>
      </c>
      <c r="C330" t="s">
        <v>631</v>
      </c>
      <c r="D330" t="s">
        <v>632</v>
      </c>
      <c r="E330" t="s">
        <v>561</v>
      </c>
      <c r="F330" t="s">
        <v>115</v>
      </c>
      <c r="H330" t="s">
        <v>730</v>
      </c>
      <c r="I330" t="e">
        <f>- eindimensionaler Persönlichkeits-Test</f>
        <v>#NAME?</v>
      </c>
      <c r="J330" t="s">
        <v>76</v>
      </c>
      <c r="K330" t="s">
        <v>633</v>
      </c>
      <c r="L330" s="2">
        <v>33425</v>
      </c>
      <c r="O330" t="s">
        <v>564</v>
      </c>
      <c r="P330">
        <v>1</v>
      </c>
      <c r="Q330">
        <v>1989</v>
      </c>
      <c r="S330" t="s">
        <v>8</v>
      </c>
      <c r="T330" t="s">
        <v>634</v>
      </c>
      <c r="U330" t="s">
        <v>123</v>
      </c>
      <c r="V330" t="s">
        <v>635</v>
      </c>
      <c r="AA330">
        <v>148</v>
      </c>
      <c r="AB330" t="s">
        <v>636</v>
      </c>
      <c r="AC330" t="s">
        <v>637</v>
      </c>
      <c r="AD330" t="s">
        <v>638</v>
      </c>
    </row>
    <row r="331" spans="1:31" ht="13" customHeight="1">
      <c r="A331">
        <v>408.1</v>
      </c>
      <c r="B331">
        <v>1</v>
      </c>
      <c r="C331" t="s">
        <v>2613</v>
      </c>
      <c r="D331" t="s">
        <v>2614</v>
      </c>
      <c r="E331" t="s">
        <v>898</v>
      </c>
      <c r="F331" t="s">
        <v>115</v>
      </c>
      <c r="H331" t="s">
        <v>6</v>
      </c>
      <c r="I331" t="s">
        <v>2021</v>
      </c>
      <c r="J331" t="s">
        <v>2615</v>
      </c>
      <c r="K331" t="s">
        <v>2628</v>
      </c>
      <c r="L331" s="2">
        <v>33355</v>
      </c>
      <c r="N331" t="s">
        <v>2629</v>
      </c>
      <c r="O331" t="s">
        <v>564</v>
      </c>
      <c r="P331">
        <v>2</v>
      </c>
      <c r="Q331">
        <v>1974</v>
      </c>
      <c r="S331" t="s">
        <v>8</v>
      </c>
      <c r="T331" t="s">
        <v>2630</v>
      </c>
      <c r="U331" t="s">
        <v>123</v>
      </c>
      <c r="V331" t="s">
        <v>2266</v>
      </c>
      <c r="W331" t="s">
        <v>1891</v>
      </c>
      <c r="X331" t="s">
        <v>2631</v>
      </c>
      <c r="Y331" t="s">
        <v>2632</v>
      </c>
      <c r="AA331">
        <v>408</v>
      </c>
      <c r="AB331" t="s">
        <v>2019</v>
      </c>
      <c r="AC331" t="s">
        <v>2633</v>
      </c>
    </row>
    <row r="332" spans="1:31" ht="13" customHeight="1">
      <c r="A332">
        <v>408.2</v>
      </c>
      <c r="B332">
        <v>2</v>
      </c>
      <c r="C332" t="s">
        <v>2613</v>
      </c>
      <c r="D332" t="s">
        <v>2614</v>
      </c>
      <c r="E332" t="s">
        <v>898</v>
      </c>
      <c r="F332" t="s">
        <v>115</v>
      </c>
      <c r="H332" t="s">
        <v>6</v>
      </c>
      <c r="I332" t="s">
        <v>2021</v>
      </c>
      <c r="J332" t="s">
        <v>2615</v>
      </c>
      <c r="K332" t="s">
        <v>2628</v>
      </c>
      <c r="L332" s="2">
        <v>33355</v>
      </c>
      <c r="N332" t="s">
        <v>2629</v>
      </c>
      <c r="O332" t="s">
        <v>564</v>
      </c>
      <c r="P332">
        <v>2</v>
      </c>
      <c r="Q332">
        <v>1974</v>
      </c>
      <c r="S332" t="s">
        <v>8</v>
      </c>
      <c r="T332" t="s">
        <v>2630</v>
      </c>
      <c r="U332" t="s">
        <v>123</v>
      </c>
      <c r="V332" t="s">
        <v>2266</v>
      </c>
      <c r="W332" t="s">
        <v>1891</v>
      </c>
      <c r="X332" t="s">
        <v>2631</v>
      </c>
      <c r="Y332" t="s">
        <v>2632</v>
      </c>
      <c r="AB332" t="s">
        <v>2019</v>
      </c>
      <c r="AC332" t="s">
        <v>2633</v>
      </c>
    </row>
    <row r="333" spans="1:31" ht="13" customHeight="1">
      <c r="A333">
        <v>385</v>
      </c>
      <c r="C333" t="s">
        <v>2432</v>
      </c>
      <c r="D333" t="s">
        <v>2433</v>
      </c>
      <c r="E333" t="s">
        <v>5</v>
      </c>
      <c r="F333" t="s">
        <v>115</v>
      </c>
      <c r="H333" t="s">
        <v>730</v>
      </c>
      <c r="I333" t="e">
        <f>- mehrdimensionaler Persönlichkeits-Test</f>
        <v>#NAME?</v>
      </c>
      <c r="J333" t="s">
        <v>849</v>
      </c>
      <c r="K333" t="s">
        <v>2434</v>
      </c>
      <c r="L333" s="2">
        <v>33582</v>
      </c>
      <c r="N333" t="s">
        <v>2435</v>
      </c>
      <c r="O333" t="s">
        <v>120</v>
      </c>
      <c r="P333">
        <v>1</v>
      </c>
      <c r="Q333">
        <v>1960</v>
      </c>
      <c r="S333" t="s">
        <v>8</v>
      </c>
      <c r="T333" t="s">
        <v>2436</v>
      </c>
      <c r="U333" t="s">
        <v>123</v>
      </c>
      <c r="V333" t="s">
        <v>1315</v>
      </c>
      <c r="W333" t="s">
        <v>2437</v>
      </c>
      <c r="X333" t="s">
        <v>2438</v>
      </c>
      <c r="Y333" t="s">
        <v>1754</v>
      </c>
      <c r="AA333">
        <v>385</v>
      </c>
      <c r="AB333" t="s">
        <v>2439</v>
      </c>
      <c r="AC333" t="s">
        <v>2440</v>
      </c>
      <c r="AD333" t="s">
        <v>2441</v>
      </c>
    </row>
    <row r="334" spans="1:31" ht="13" customHeight="1">
      <c r="A334">
        <v>379</v>
      </c>
      <c r="C334" t="s">
        <v>2376</v>
      </c>
      <c r="D334" t="s">
        <v>2377</v>
      </c>
      <c r="E334" t="s">
        <v>2127</v>
      </c>
      <c r="F334" t="s">
        <v>1826</v>
      </c>
      <c r="H334" t="s">
        <v>730</v>
      </c>
      <c r="I334" t="e">
        <f>- Interessentest</f>
        <v>#NAME?</v>
      </c>
      <c r="J334" t="s">
        <v>2378</v>
      </c>
      <c r="K334" t="s">
        <v>2481</v>
      </c>
      <c r="L334" s="2">
        <v>33920</v>
      </c>
      <c r="O334" t="s">
        <v>120</v>
      </c>
      <c r="P334">
        <v>1</v>
      </c>
      <c r="Q334">
        <v>1956</v>
      </c>
      <c r="S334" t="s">
        <v>8</v>
      </c>
      <c r="T334" t="s">
        <v>2379</v>
      </c>
      <c r="U334" t="s">
        <v>123</v>
      </c>
      <c r="V334" t="s">
        <v>604</v>
      </c>
      <c r="W334" t="s">
        <v>1708</v>
      </c>
      <c r="AA334">
        <v>379</v>
      </c>
      <c r="AB334" t="s">
        <v>2380</v>
      </c>
      <c r="AC334" t="s">
        <v>165</v>
      </c>
    </row>
    <row r="335" spans="1:31" ht="13" customHeight="1">
      <c r="A335">
        <v>86</v>
      </c>
      <c r="C335" t="s">
        <v>476</v>
      </c>
      <c r="D335" t="s">
        <v>477</v>
      </c>
      <c r="E335" t="s">
        <v>247</v>
      </c>
      <c r="F335" t="s">
        <v>115</v>
      </c>
      <c r="H335" t="s">
        <v>600</v>
      </c>
      <c r="I335" t="e">
        <f>- Interessenstest</f>
        <v>#NAME?</v>
      </c>
      <c r="J335" t="s">
        <v>277</v>
      </c>
      <c r="K335" t="s">
        <v>601</v>
      </c>
      <c r="L335" s="2">
        <v>33026</v>
      </c>
      <c r="N335" t="s">
        <v>602</v>
      </c>
      <c r="O335" t="s">
        <v>120</v>
      </c>
      <c r="P335">
        <v>1</v>
      </c>
      <c r="Q335">
        <v>1966</v>
      </c>
      <c r="S335" t="s">
        <v>121</v>
      </c>
      <c r="T335" t="s">
        <v>603</v>
      </c>
      <c r="U335" t="s">
        <v>123</v>
      </c>
      <c r="V335" t="s">
        <v>604</v>
      </c>
      <c r="W335" t="s">
        <v>30</v>
      </c>
      <c r="AA335">
        <v>86</v>
      </c>
      <c r="AB335" t="s">
        <v>477</v>
      </c>
    </row>
    <row r="336" spans="1:31" ht="13" customHeight="1">
      <c r="A336">
        <v>20</v>
      </c>
      <c r="C336" t="s">
        <v>73</v>
      </c>
      <c r="D336" t="s">
        <v>74</v>
      </c>
      <c r="E336" t="s">
        <v>75</v>
      </c>
      <c r="F336" t="s">
        <v>115</v>
      </c>
      <c r="G336">
        <v>1968</v>
      </c>
      <c r="H336" t="s">
        <v>6</v>
      </c>
      <c r="I336" t="e">
        <f>- spez. Funktionsprüfungs- und Eignungstest</f>
        <v>#NAME?</v>
      </c>
      <c r="J336" t="s">
        <v>76</v>
      </c>
      <c r="K336" t="s">
        <v>77</v>
      </c>
      <c r="L336" s="2">
        <v>33127</v>
      </c>
      <c r="O336" t="s">
        <v>120</v>
      </c>
      <c r="P336">
        <v>1</v>
      </c>
      <c r="Q336" t="s">
        <v>172</v>
      </c>
      <c r="S336" t="s">
        <v>8</v>
      </c>
      <c r="T336" t="s">
        <v>78</v>
      </c>
      <c r="U336" t="s">
        <v>123</v>
      </c>
      <c r="V336" t="s">
        <v>77</v>
      </c>
      <c r="AA336">
        <v>20</v>
      </c>
      <c r="AB336" t="s">
        <v>79</v>
      </c>
    </row>
    <row r="337" spans="1:30" ht="13" customHeight="1">
      <c r="A337">
        <v>22</v>
      </c>
      <c r="C337" t="s">
        <v>233</v>
      </c>
      <c r="D337" t="s">
        <v>234</v>
      </c>
      <c r="E337" t="s">
        <v>247</v>
      </c>
      <c r="F337" t="s">
        <v>115</v>
      </c>
      <c r="G337">
        <v>1968</v>
      </c>
      <c r="H337" t="s">
        <v>6</v>
      </c>
      <c r="I337" t="e">
        <f>- Intelligenztest für Jugendliche und Erw.</f>
        <v>#NAME?</v>
      </c>
      <c r="J337" t="s">
        <v>230</v>
      </c>
      <c r="K337" t="s">
        <v>118</v>
      </c>
      <c r="L337" s="2">
        <v>33577</v>
      </c>
      <c r="O337" t="s">
        <v>120</v>
      </c>
      <c r="P337">
        <v>1</v>
      </c>
      <c r="Q337" t="s">
        <v>235</v>
      </c>
      <c r="S337" t="s">
        <v>121</v>
      </c>
      <c r="T337" t="s">
        <v>236</v>
      </c>
      <c r="U337" t="s">
        <v>123</v>
      </c>
      <c r="V337" t="s">
        <v>0</v>
      </c>
      <c r="W337" t="s">
        <v>1</v>
      </c>
      <c r="AA337">
        <v>22</v>
      </c>
      <c r="AB337" t="s">
        <v>237</v>
      </c>
      <c r="AC337" t="s">
        <v>238</v>
      </c>
      <c r="AD337" t="s">
        <v>239</v>
      </c>
    </row>
    <row r="338" spans="1:30" ht="13" customHeight="1">
      <c r="A338">
        <v>7</v>
      </c>
      <c r="C338" t="s">
        <v>13</v>
      </c>
      <c r="D338" t="s">
        <v>253</v>
      </c>
      <c r="E338" t="s">
        <v>247</v>
      </c>
      <c r="F338" t="s">
        <v>14</v>
      </c>
      <c r="H338" t="s">
        <v>6</v>
      </c>
      <c r="I338" t="e">
        <f>- Schultest</f>
        <v>#NAME?</v>
      </c>
      <c r="J338" t="s">
        <v>15</v>
      </c>
      <c r="K338" t="s">
        <v>16</v>
      </c>
      <c r="L338" s="2">
        <v>33122</v>
      </c>
      <c r="N338" t="s">
        <v>17</v>
      </c>
      <c r="O338" t="s">
        <v>120</v>
      </c>
      <c r="P338">
        <v>1</v>
      </c>
      <c r="Q338" t="s">
        <v>18</v>
      </c>
      <c r="S338" t="s">
        <v>121</v>
      </c>
      <c r="T338" t="s">
        <v>19</v>
      </c>
      <c r="U338" t="s">
        <v>123</v>
      </c>
      <c r="V338" t="s">
        <v>175</v>
      </c>
      <c r="W338" t="s">
        <v>20</v>
      </c>
      <c r="AA338">
        <v>7</v>
      </c>
      <c r="AB338" t="s">
        <v>253</v>
      </c>
    </row>
    <row r="339" spans="1:30" ht="13" customHeight="1">
      <c r="A339">
        <v>13</v>
      </c>
      <c r="C339" t="s">
        <v>316</v>
      </c>
      <c r="D339" t="s">
        <v>317</v>
      </c>
      <c r="E339" t="s">
        <v>247</v>
      </c>
      <c r="F339" t="s">
        <v>115</v>
      </c>
      <c r="H339" t="s">
        <v>6</v>
      </c>
      <c r="I339" t="e">
        <f>- Schultest</f>
        <v>#NAME?</v>
      </c>
      <c r="J339" t="s">
        <v>318</v>
      </c>
      <c r="K339" t="s">
        <v>16</v>
      </c>
      <c r="L339" s="2">
        <v>33059</v>
      </c>
      <c r="M339" t="s">
        <v>319</v>
      </c>
      <c r="N339" t="s">
        <v>320</v>
      </c>
      <c r="O339" t="s">
        <v>120</v>
      </c>
      <c r="P339">
        <v>1</v>
      </c>
      <c r="Q339">
        <v>1962</v>
      </c>
      <c r="S339" t="s">
        <v>121</v>
      </c>
      <c r="T339" t="s">
        <v>321</v>
      </c>
      <c r="U339" t="s">
        <v>123</v>
      </c>
      <c r="V339" t="s">
        <v>175</v>
      </c>
      <c r="W339" t="s">
        <v>20</v>
      </c>
      <c r="AA339">
        <v>13</v>
      </c>
      <c r="AB339" t="s">
        <v>315</v>
      </c>
      <c r="AC339" t="s">
        <v>322</v>
      </c>
    </row>
    <row r="340" spans="1:30" ht="13" customHeight="1">
      <c r="A340">
        <v>110.1</v>
      </c>
      <c r="B340">
        <v>1</v>
      </c>
      <c r="C340" t="s">
        <v>1186</v>
      </c>
      <c r="D340" t="s">
        <v>1187</v>
      </c>
      <c r="E340" t="s">
        <v>342</v>
      </c>
      <c r="F340" t="s">
        <v>115</v>
      </c>
      <c r="H340" t="s">
        <v>730</v>
      </c>
      <c r="I340" t="e">
        <f>- Einstellungstest</f>
        <v>#NAME?</v>
      </c>
      <c r="J340" t="s">
        <v>879</v>
      </c>
      <c r="K340" t="s">
        <v>1022</v>
      </c>
      <c r="L340" s="2">
        <v>33582</v>
      </c>
      <c r="N340" t="s">
        <v>1188</v>
      </c>
      <c r="O340" t="s">
        <v>120</v>
      </c>
      <c r="P340">
        <v>2</v>
      </c>
      <c r="Q340">
        <v>1962</v>
      </c>
      <c r="S340" t="s">
        <v>8</v>
      </c>
      <c r="T340" t="s">
        <v>1189</v>
      </c>
      <c r="U340" t="s">
        <v>123</v>
      </c>
      <c r="V340" t="s">
        <v>1022</v>
      </c>
      <c r="AA340">
        <v>110</v>
      </c>
      <c r="AB340" t="s">
        <v>1190</v>
      </c>
    </row>
    <row r="341" spans="1:30" ht="13" customHeight="1">
      <c r="A341">
        <v>110.2</v>
      </c>
      <c r="B341">
        <v>2</v>
      </c>
      <c r="C341" t="s">
        <v>1186</v>
      </c>
      <c r="D341" t="s">
        <v>1187</v>
      </c>
      <c r="E341" t="s">
        <v>342</v>
      </c>
      <c r="F341" t="s">
        <v>115</v>
      </c>
      <c r="H341" t="s">
        <v>730</v>
      </c>
      <c r="I341" t="e">
        <f>- Einstellungstest</f>
        <v>#NAME?</v>
      </c>
      <c r="J341" t="s">
        <v>879</v>
      </c>
      <c r="K341" t="s">
        <v>1191</v>
      </c>
      <c r="L341" s="2">
        <v>33582</v>
      </c>
      <c r="N341" t="s">
        <v>1188</v>
      </c>
      <c r="O341" t="s">
        <v>120</v>
      </c>
      <c r="P341">
        <v>2</v>
      </c>
      <c r="Q341">
        <v>1962</v>
      </c>
      <c r="S341" t="s">
        <v>8</v>
      </c>
      <c r="T341" t="s">
        <v>1189</v>
      </c>
      <c r="U341" t="s">
        <v>123</v>
      </c>
      <c r="V341" t="s">
        <v>1022</v>
      </c>
      <c r="W341" t="s">
        <v>1192</v>
      </c>
      <c r="AB341" t="s">
        <v>1187</v>
      </c>
    </row>
    <row r="342" spans="1:30" ht="13" customHeight="1">
      <c r="A342">
        <v>133</v>
      </c>
      <c r="C342" t="s">
        <v>1619</v>
      </c>
      <c r="D342" t="s">
        <v>1620</v>
      </c>
      <c r="E342" t="s">
        <v>1621</v>
      </c>
      <c r="F342" t="s">
        <v>115</v>
      </c>
      <c r="H342" t="s">
        <v>6</v>
      </c>
      <c r="I342" t="e">
        <f>- Allg.Leistungs- und Fähigkeitstest</f>
        <v>#NAME?</v>
      </c>
      <c r="J342" t="s">
        <v>1622</v>
      </c>
      <c r="K342" t="s">
        <v>215</v>
      </c>
      <c r="L342" s="2">
        <v>33631</v>
      </c>
      <c r="O342" t="s">
        <v>120</v>
      </c>
      <c r="P342">
        <v>1</v>
      </c>
      <c r="Q342">
        <v>1966</v>
      </c>
      <c r="S342" t="s">
        <v>8</v>
      </c>
      <c r="T342" t="s">
        <v>1623</v>
      </c>
      <c r="U342" t="s">
        <v>123</v>
      </c>
      <c r="V342" t="s">
        <v>215</v>
      </c>
      <c r="AA342">
        <v>133</v>
      </c>
      <c r="AB342" t="s">
        <v>1609</v>
      </c>
      <c r="AC342" t="s">
        <v>1624</v>
      </c>
    </row>
    <row r="343" spans="1:30" ht="13" customHeight="1">
      <c r="A343">
        <v>256</v>
      </c>
      <c r="C343" t="s">
        <v>1539</v>
      </c>
      <c r="D343" t="s">
        <v>1609</v>
      </c>
      <c r="E343" t="s">
        <v>1571</v>
      </c>
      <c r="F343" t="s">
        <v>115</v>
      </c>
      <c r="H343" t="s">
        <v>6</v>
      </c>
      <c r="I343" t="e">
        <f>- Intelligenztest für $K143:$AE143</f>
        <v>#NAME?</v>
      </c>
      <c r="J343" t="s">
        <v>1540</v>
      </c>
      <c r="K343" t="s">
        <v>174</v>
      </c>
      <c r="L343" s="2">
        <v>33844</v>
      </c>
      <c r="O343" t="s">
        <v>120</v>
      </c>
      <c r="P343">
        <v>1</v>
      </c>
      <c r="Q343">
        <v>1936</v>
      </c>
      <c r="S343" t="s">
        <v>8</v>
      </c>
      <c r="T343" t="s">
        <v>1541</v>
      </c>
      <c r="U343" t="s">
        <v>123</v>
      </c>
      <c r="V343" t="s">
        <v>174</v>
      </c>
      <c r="AA343">
        <v>256</v>
      </c>
      <c r="AB343" t="s">
        <v>1609</v>
      </c>
    </row>
    <row r="344" spans="1:30" ht="13" customHeight="1">
      <c r="A344">
        <v>257</v>
      </c>
      <c r="C344" t="s">
        <v>1542</v>
      </c>
      <c r="D344" t="s">
        <v>1609</v>
      </c>
      <c r="E344" t="s">
        <v>1571</v>
      </c>
      <c r="F344" t="s">
        <v>267</v>
      </c>
      <c r="H344" t="s">
        <v>6</v>
      </c>
      <c r="I344" t="e">
        <f>- Intelligenztest für $K143:$AE143</f>
        <v>#NAME?</v>
      </c>
      <c r="J344" t="s">
        <v>1540</v>
      </c>
      <c r="K344" t="s">
        <v>174</v>
      </c>
      <c r="L344" s="2">
        <v>33844</v>
      </c>
      <c r="O344" t="s">
        <v>120</v>
      </c>
      <c r="P344">
        <v>1</v>
      </c>
      <c r="Q344">
        <v>1954</v>
      </c>
      <c r="S344" t="s">
        <v>8</v>
      </c>
      <c r="T344" t="s">
        <v>1543</v>
      </c>
      <c r="U344" t="s">
        <v>123</v>
      </c>
      <c r="V344" t="s">
        <v>174</v>
      </c>
      <c r="AA344">
        <v>257</v>
      </c>
      <c r="AB344" t="s">
        <v>1609</v>
      </c>
    </row>
    <row r="345" spans="1:30" ht="13" customHeight="1">
      <c r="A345">
        <v>258</v>
      </c>
      <c r="C345" t="s">
        <v>1544</v>
      </c>
      <c r="D345" t="s">
        <v>1609</v>
      </c>
      <c r="E345" t="s">
        <v>1571</v>
      </c>
      <c r="F345" t="s">
        <v>14</v>
      </c>
      <c r="H345" t="s">
        <v>6</v>
      </c>
      <c r="I345" t="e">
        <f>- Intelligenztest für $K143:$AE143</f>
        <v>#NAME?</v>
      </c>
      <c r="J345" t="s">
        <v>1545</v>
      </c>
      <c r="K345" t="s">
        <v>174</v>
      </c>
      <c r="L345" s="2">
        <v>33844</v>
      </c>
      <c r="O345" t="s">
        <v>120</v>
      </c>
      <c r="P345">
        <v>1</v>
      </c>
      <c r="Q345">
        <v>1954</v>
      </c>
      <c r="S345" t="s">
        <v>8</v>
      </c>
      <c r="T345" t="s">
        <v>1546</v>
      </c>
      <c r="U345" t="s">
        <v>123</v>
      </c>
      <c r="V345" t="s">
        <v>174</v>
      </c>
      <c r="AA345">
        <v>258</v>
      </c>
      <c r="AB345" t="s">
        <v>1609</v>
      </c>
    </row>
    <row r="346" spans="1:30" ht="13" customHeight="1">
      <c r="A346">
        <v>259</v>
      </c>
      <c r="C346" t="s">
        <v>1547</v>
      </c>
      <c r="D346" t="s">
        <v>1609</v>
      </c>
      <c r="E346" t="s">
        <v>1571</v>
      </c>
      <c r="F346" t="s">
        <v>14</v>
      </c>
      <c r="H346" t="s">
        <v>6</v>
      </c>
      <c r="I346" t="e">
        <f>- Intelligenztest für $K143:$AE143 und $K55:$AE55</f>
        <v>#NAME?</v>
      </c>
      <c r="J346" t="s">
        <v>15</v>
      </c>
      <c r="K346" t="s">
        <v>174</v>
      </c>
      <c r="L346" s="2">
        <v>33844</v>
      </c>
      <c r="O346" t="s">
        <v>120</v>
      </c>
      <c r="P346">
        <v>1</v>
      </c>
      <c r="Q346">
        <v>1954</v>
      </c>
      <c r="S346" t="s">
        <v>8</v>
      </c>
      <c r="T346" t="s">
        <v>1548</v>
      </c>
      <c r="U346" t="s">
        <v>123</v>
      </c>
      <c r="V346" t="s">
        <v>174</v>
      </c>
      <c r="AA346">
        <v>259</v>
      </c>
      <c r="AB346" t="s">
        <v>1609</v>
      </c>
    </row>
    <row r="347" spans="1:30" ht="13" customHeight="1">
      <c r="A347">
        <v>243</v>
      </c>
      <c r="C347" t="s">
        <v>1608</v>
      </c>
      <c r="D347" t="s">
        <v>1609</v>
      </c>
      <c r="E347" t="s">
        <v>1610</v>
      </c>
      <c r="F347" t="s">
        <v>115</v>
      </c>
      <c r="H347" t="s">
        <v>6</v>
      </c>
      <c r="I347" t="e">
        <f>- Allg.Leistungs- und Fähigkeitstest</f>
        <v>#NAME?</v>
      </c>
      <c r="J347" t="s">
        <v>1611</v>
      </c>
      <c r="K347" t="s">
        <v>1612</v>
      </c>
      <c r="L347" s="2">
        <v>33582</v>
      </c>
      <c r="O347" t="s">
        <v>120</v>
      </c>
      <c r="P347">
        <v>1</v>
      </c>
      <c r="Q347">
        <v>1922</v>
      </c>
      <c r="S347" t="s">
        <v>8</v>
      </c>
      <c r="T347" t="s">
        <v>1613</v>
      </c>
      <c r="U347" t="s">
        <v>123</v>
      </c>
      <c r="V347" t="s">
        <v>215</v>
      </c>
      <c r="W347" t="s">
        <v>174</v>
      </c>
      <c r="AA347">
        <v>243</v>
      </c>
      <c r="AB347" t="s">
        <v>1609</v>
      </c>
    </row>
    <row r="348" spans="1:30" ht="13" customHeight="1">
      <c r="A348">
        <v>321</v>
      </c>
      <c r="C348" t="s">
        <v>1822</v>
      </c>
      <c r="D348" t="s">
        <v>1823</v>
      </c>
      <c r="E348" t="s">
        <v>1916</v>
      </c>
      <c r="F348" t="s">
        <v>115</v>
      </c>
      <c r="J348" t="s">
        <v>1643</v>
      </c>
      <c r="K348" t="s">
        <v>1824</v>
      </c>
      <c r="L348" s="2">
        <v>33215</v>
      </c>
      <c r="O348" t="s">
        <v>120</v>
      </c>
      <c r="P348">
        <v>1</v>
      </c>
      <c r="Q348">
        <v>1963</v>
      </c>
      <c r="R348" t="s">
        <v>1825</v>
      </c>
      <c r="S348" t="s">
        <v>8</v>
      </c>
      <c r="T348" t="s">
        <v>2096</v>
      </c>
      <c r="U348" t="s">
        <v>123</v>
      </c>
      <c r="V348" t="s">
        <v>464</v>
      </c>
      <c r="W348" t="s">
        <v>1785</v>
      </c>
      <c r="X348" t="s">
        <v>864</v>
      </c>
      <c r="AA348">
        <v>321</v>
      </c>
      <c r="AB348" t="s">
        <v>1823</v>
      </c>
    </row>
    <row r="349" spans="1:30" ht="13" customHeight="1">
      <c r="A349">
        <v>166</v>
      </c>
      <c r="C349" t="s">
        <v>772</v>
      </c>
      <c r="D349" t="s">
        <v>773</v>
      </c>
      <c r="E349" t="s">
        <v>561</v>
      </c>
      <c r="F349" t="s">
        <v>876</v>
      </c>
      <c r="H349" t="s">
        <v>730</v>
      </c>
      <c r="I349" t="e">
        <f>- mehrdimensionaler Persönlichkeits-Test</f>
        <v>#NAME?</v>
      </c>
      <c r="J349" t="s">
        <v>791</v>
      </c>
      <c r="K349" t="s">
        <v>774</v>
      </c>
      <c r="L349" s="2">
        <v>33955</v>
      </c>
      <c r="N349" t="s">
        <v>775</v>
      </c>
      <c r="O349" t="s">
        <v>564</v>
      </c>
      <c r="P349">
        <v>1</v>
      </c>
      <c r="Q349">
        <v>1993</v>
      </c>
      <c r="R349" t="s">
        <v>776</v>
      </c>
      <c r="S349" t="s">
        <v>8</v>
      </c>
      <c r="T349" t="s">
        <v>777</v>
      </c>
      <c r="U349" t="s">
        <v>123</v>
      </c>
      <c r="V349" t="s">
        <v>464</v>
      </c>
      <c r="W349" t="s">
        <v>778</v>
      </c>
      <c r="X349" t="s">
        <v>911</v>
      </c>
      <c r="Y349" t="s">
        <v>912</v>
      </c>
      <c r="AA349">
        <v>166</v>
      </c>
      <c r="AB349" t="s">
        <v>913</v>
      </c>
      <c r="AC349" t="s">
        <v>914</v>
      </c>
    </row>
    <row r="350" spans="1:30" ht="13" customHeight="1">
      <c r="A350">
        <v>126</v>
      </c>
      <c r="C350" t="s">
        <v>868</v>
      </c>
      <c r="D350" t="s">
        <v>869</v>
      </c>
      <c r="E350" t="s">
        <v>870</v>
      </c>
      <c r="F350" t="s">
        <v>871</v>
      </c>
      <c r="H350" t="s">
        <v>730</v>
      </c>
      <c r="I350" t="e">
        <f>- mehrdimensionaler Persönlichkeits-Test</f>
        <v>#NAME?</v>
      </c>
      <c r="J350" t="s">
        <v>872</v>
      </c>
      <c r="K350" t="s">
        <v>873</v>
      </c>
      <c r="L350" s="2">
        <v>33127</v>
      </c>
      <c r="N350" t="s">
        <v>874</v>
      </c>
      <c r="O350" t="s">
        <v>564</v>
      </c>
      <c r="P350">
        <v>1</v>
      </c>
      <c r="Q350">
        <v>1991</v>
      </c>
      <c r="S350" t="s">
        <v>716</v>
      </c>
      <c r="T350" t="s">
        <v>740</v>
      </c>
      <c r="U350" t="s">
        <v>123</v>
      </c>
      <c r="V350" t="s">
        <v>464</v>
      </c>
      <c r="W350" t="s">
        <v>741</v>
      </c>
      <c r="X350" t="s">
        <v>742</v>
      </c>
      <c r="AA350">
        <v>126</v>
      </c>
      <c r="AB350" t="s">
        <v>869</v>
      </c>
    </row>
    <row r="351" spans="1:30" ht="13" customHeight="1">
      <c r="A351">
        <v>420</v>
      </c>
      <c r="C351" t="s">
        <v>2569</v>
      </c>
      <c r="D351" t="s">
        <v>2570</v>
      </c>
      <c r="E351" t="s">
        <v>898</v>
      </c>
      <c r="F351" t="s">
        <v>115</v>
      </c>
      <c r="H351" t="s">
        <v>730</v>
      </c>
      <c r="I351" t="e">
        <f>- klinischer Test</f>
        <v>#NAME?</v>
      </c>
      <c r="J351" t="s">
        <v>2571</v>
      </c>
      <c r="K351" t="s">
        <v>2572</v>
      </c>
      <c r="L351" s="2">
        <v>33577</v>
      </c>
      <c r="N351" t="s">
        <v>2573</v>
      </c>
      <c r="O351" t="s">
        <v>564</v>
      </c>
      <c r="P351">
        <v>1</v>
      </c>
      <c r="Q351">
        <v>1976</v>
      </c>
      <c r="R351" t="s">
        <v>2574</v>
      </c>
      <c r="S351" t="s">
        <v>8</v>
      </c>
      <c r="T351" t="s">
        <v>2575</v>
      </c>
      <c r="U351" t="s">
        <v>123</v>
      </c>
      <c r="V351" t="s">
        <v>2528</v>
      </c>
      <c r="W351" t="s">
        <v>2576</v>
      </c>
      <c r="X351" t="s">
        <v>2577</v>
      </c>
      <c r="AA351">
        <v>420</v>
      </c>
      <c r="AB351" t="s">
        <v>2578</v>
      </c>
      <c r="AC351" t="s">
        <v>2579</v>
      </c>
    </row>
    <row r="352" spans="1:30" ht="13" customHeight="1">
      <c r="A352">
        <v>42</v>
      </c>
      <c r="C352" t="s">
        <v>218</v>
      </c>
      <c r="D352" t="s">
        <v>219</v>
      </c>
      <c r="E352" t="s">
        <v>220</v>
      </c>
      <c r="F352" t="s">
        <v>115</v>
      </c>
      <c r="H352" t="s">
        <v>6</v>
      </c>
      <c r="I352" t="e">
        <f>- Allg.Leistungs- und Fähigkeitstest</f>
        <v>#NAME?</v>
      </c>
      <c r="J352" t="s">
        <v>230</v>
      </c>
      <c r="K352" t="s">
        <v>221</v>
      </c>
      <c r="L352" s="2">
        <v>33577</v>
      </c>
      <c r="O352" t="s">
        <v>120</v>
      </c>
      <c r="P352">
        <v>1</v>
      </c>
      <c r="Q352">
        <v>1955</v>
      </c>
      <c r="S352" t="s">
        <v>121</v>
      </c>
      <c r="T352" t="s">
        <v>222</v>
      </c>
      <c r="U352" t="s">
        <v>123</v>
      </c>
      <c r="V352" t="s">
        <v>223</v>
      </c>
      <c r="W352" t="s">
        <v>224</v>
      </c>
      <c r="AA352">
        <v>42</v>
      </c>
      <c r="AB352" t="s">
        <v>219</v>
      </c>
    </row>
    <row r="353" spans="1:30" ht="13" customHeight="1">
      <c r="A353">
        <v>102</v>
      </c>
      <c r="C353" t="s">
        <v>1193</v>
      </c>
      <c r="D353" t="s">
        <v>1194</v>
      </c>
      <c r="E353" t="s">
        <v>342</v>
      </c>
      <c r="F353" t="s">
        <v>115</v>
      </c>
      <c r="H353" t="s">
        <v>730</v>
      </c>
      <c r="I353" t="e">
        <f>- mehrdimensionaler Persönlichkeits-Test</f>
        <v>#NAME?</v>
      </c>
      <c r="J353" t="s">
        <v>879</v>
      </c>
      <c r="K353" t="s">
        <v>1313</v>
      </c>
      <c r="L353" s="2">
        <v>33920</v>
      </c>
      <c r="O353" t="s">
        <v>120</v>
      </c>
      <c r="P353">
        <v>1</v>
      </c>
      <c r="Q353">
        <v>1935</v>
      </c>
      <c r="S353" t="s">
        <v>8</v>
      </c>
      <c r="T353" t="s">
        <v>1026</v>
      </c>
      <c r="U353" t="s">
        <v>123</v>
      </c>
      <c r="V353" t="s">
        <v>464</v>
      </c>
      <c r="W353" t="s">
        <v>1314</v>
      </c>
      <c r="X353" t="s">
        <v>827</v>
      </c>
      <c r="Y353" t="s">
        <v>1315</v>
      </c>
      <c r="Z353" t="s">
        <v>1316</v>
      </c>
      <c r="AA353">
        <v>102</v>
      </c>
      <c r="AB353" t="s">
        <v>1194</v>
      </c>
    </row>
    <row r="354" spans="1:30" ht="13" customHeight="1">
      <c r="A354">
        <v>423.1</v>
      </c>
      <c r="B354">
        <v>1</v>
      </c>
      <c r="C354" t="s">
        <v>2587</v>
      </c>
      <c r="D354" t="s">
        <v>2588</v>
      </c>
      <c r="E354" t="s">
        <v>898</v>
      </c>
      <c r="F354" t="s">
        <v>115</v>
      </c>
      <c r="H354" t="s">
        <v>730</v>
      </c>
      <c r="I354" t="e">
        <f>- mehrdimensionaler Persönlichkeits-Test</f>
        <v>#NAME?</v>
      </c>
      <c r="J354" t="s">
        <v>2463</v>
      </c>
      <c r="K354" t="s">
        <v>2606</v>
      </c>
      <c r="L354" s="2">
        <v>33914</v>
      </c>
      <c r="N354" t="s">
        <v>2607</v>
      </c>
      <c r="O354" t="s">
        <v>564</v>
      </c>
      <c r="P354">
        <v>2</v>
      </c>
      <c r="Q354">
        <v>1975</v>
      </c>
      <c r="S354" t="s">
        <v>8</v>
      </c>
      <c r="T354" t="s">
        <v>1045</v>
      </c>
      <c r="U354" t="s">
        <v>123</v>
      </c>
      <c r="V354" t="s">
        <v>464</v>
      </c>
      <c r="W354" t="s">
        <v>1751</v>
      </c>
      <c r="X354" t="s">
        <v>2618</v>
      </c>
      <c r="Y354" t="s">
        <v>2608</v>
      </c>
      <c r="Z354" t="s">
        <v>1972</v>
      </c>
      <c r="AA354">
        <v>423</v>
      </c>
      <c r="AB354" t="s">
        <v>2609</v>
      </c>
      <c r="AC354" t="s">
        <v>2610</v>
      </c>
    </row>
    <row r="355" spans="1:30" ht="13" customHeight="1">
      <c r="A355">
        <v>423.2</v>
      </c>
      <c r="B355">
        <v>2</v>
      </c>
      <c r="C355" t="s">
        <v>2587</v>
      </c>
      <c r="D355" t="s">
        <v>2588</v>
      </c>
      <c r="E355" t="s">
        <v>898</v>
      </c>
      <c r="F355" t="s">
        <v>115</v>
      </c>
      <c r="H355" t="s">
        <v>730</v>
      </c>
      <c r="I355" t="e">
        <f>- mehrdimensionaler Persönlichkeits-Test</f>
        <v>#NAME?</v>
      </c>
      <c r="J355" t="s">
        <v>2463</v>
      </c>
      <c r="K355" t="s">
        <v>2606</v>
      </c>
      <c r="L355" s="2">
        <v>33914</v>
      </c>
      <c r="N355" t="s">
        <v>2607</v>
      </c>
      <c r="O355" t="s">
        <v>564</v>
      </c>
      <c r="P355">
        <v>2</v>
      </c>
      <c r="Q355">
        <v>1975</v>
      </c>
      <c r="S355" t="s">
        <v>8</v>
      </c>
      <c r="T355" t="s">
        <v>1045</v>
      </c>
      <c r="U355" t="s">
        <v>123</v>
      </c>
      <c r="V355" t="s">
        <v>464</v>
      </c>
      <c r="W355" t="s">
        <v>1751</v>
      </c>
      <c r="X355" t="s">
        <v>2618</v>
      </c>
      <c r="Y355" t="s">
        <v>2608</v>
      </c>
      <c r="Z355" t="s">
        <v>1972</v>
      </c>
      <c r="AB355" t="s">
        <v>2609</v>
      </c>
      <c r="AC355" t="s">
        <v>2610</v>
      </c>
    </row>
    <row r="356" spans="1:30" ht="13" customHeight="1">
      <c r="A356">
        <v>381.1</v>
      </c>
      <c r="B356">
        <v>1</v>
      </c>
      <c r="C356" t="s">
        <v>2388</v>
      </c>
      <c r="D356" s="1" t="s">
        <v>2389</v>
      </c>
      <c r="E356" t="s">
        <v>2390</v>
      </c>
      <c r="F356" t="s">
        <v>2391</v>
      </c>
      <c r="H356" t="s">
        <v>730</v>
      </c>
      <c r="I356" t="e">
        <f>- Interessentest</f>
        <v>#NAME?</v>
      </c>
      <c r="J356" t="s">
        <v>2280</v>
      </c>
      <c r="K356" t="s">
        <v>2281</v>
      </c>
      <c r="L356" s="2">
        <v>33920</v>
      </c>
      <c r="N356" t="s">
        <v>2282</v>
      </c>
      <c r="O356" t="s">
        <v>564</v>
      </c>
      <c r="P356">
        <v>2</v>
      </c>
      <c r="Q356">
        <v>1972</v>
      </c>
      <c r="S356" t="s">
        <v>8</v>
      </c>
      <c r="T356" t="s">
        <v>2283</v>
      </c>
      <c r="U356" t="s">
        <v>123</v>
      </c>
      <c r="V356" t="s">
        <v>464</v>
      </c>
      <c r="W356" t="s">
        <v>604</v>
      </c>
      <c r="X356" t="s">
        <v>30</v>
      </c>
      <c r="Y356" t="s">
        <v>1715</v>
      </c>
      <c r="AA356">
        <v>381</v>
      </c>
      <c r="AB356" s="1" t="s">
        <v>2284</v>
      </c>
      <c r="AC356" t="s">
        <v>2285</v>
      </c>
    </row>
    <row r="357" spans="1:30" ht="13" customHeight="1">
      <c r="A357">
        <v>381.2</v>
      </c>
      <c r="B357">
        <v>2</v>
      </c>
      <c r="C357" t="s">
        <v>2388</v>
      </c>
      <c r="D357" s="1" t="s">
        <v>2389</v>
      </c>
      <c r="E357" t="s">
        <v>2390</v>
      </c>
      <c r="F357" t="s">
        <v>2286</v>
      </c>
      <c r="H357" t="s">
        <v>730</v>
      </c>
      <c r="I357" t="e">
        <f>- Interessentest</f>
        <v>#NAME?</v>
      </c>
      <c r="J357" t="s">
        <v>2280</v>
      </c>
      <c r="K357" t="s">
        <v>2281</v>
      </c>
      <c r="L357" s="2">
        <v>33920</v>
      </c>
      <c r="N357" t="s">
        <v>2282</v>
      </c>
      <c r="O357" t="s">
        <v>564</v>
      </c>
      <c r="P357">
        <v>2</v>
      </c>
      <c r="Q357">
        <v>1974</v>
      </c>
      <c r="R357" t="s">
        <v>2287</v>
      </c>
      <c r="S357" t="s">
        <v>8</v>
      </c>
      <c r="T357" t="s">
        <v>2283</v>
      </c>
      <c r="U357" t="s">
        <v>123</v>
      </c>
      <c r="V357" t="s">
        <v>464</v>
      </c>
      <c r="W357" t="s">
        <v>604</v>
      </c>
      <c r="X357" t="s">
        <v>30</v>
      </c>
      <c r="Y357" t="s">
        <v>1715</v>
      </c>
      <c r="AB357" s="1" t="s">
        <v>2284</v>
      </c>
      <c r="AC357" t="s">
        <v>2285</v>
      </c>
    </row>
    <row r="358" spans="1:30" ht="13" customHeight="1">
      <c r="A358">
        <v>320</v>
      </c>
      <c r="C358" t="s">
        <v>1800</v>
      </c>
      <c r="D358" t="s">
        <v>1801</v>
      </c>
      <c r="E358" t="s">
        <v>1916</v>
      </c>
      <c r="F358" t="s">
        <v>115</v>
      </c>
      <c r="H358" t="s">
        <v>6</v>
      </c>
      <c r="I358" t="e">
        <f>- Allg.Leistungs- und Fähigkeitstest</f>
        <v>#NAME?</v>
      </c>
      <c r="J358" t="s">
        <v>849</v>
      </c>
      <c r="K358" t="s">
        <v>1802</v>
      </c>
      <c r="L358" s="2">
        <v>33208</v>
      </c>
      <c r="O358" t="s">
        <v>120</v>
      </c>
      <c r="P358">
        <v>1</v>
      </c>
      <c r="Q358">
        <v>1966</v>
      </c>
      <c r="S358" t="s">
        <v>8</v>
      </c>
      <c r="T358" t="s">
        <v>1026</v>
      </c>
      <c r="U358" t="s">
        <v>123</v>
      </c>
      <c r="V358" t="s">
        <v>1803</v>
      </c>
      <c r="W358" t="s">
        <v>1804</v>
      </c>
      <c r="X358" t="s">
        <v>1</v>
      </c>
      <c r="AA358">
        <v>320</v>
      </c>
      <c r="AB358" t="s">
        <v>1946</v>
      </c>
      <c r="AC358" t="s">
        <v>1947</v>
      </c>
    </row>
    <row r="359" spans="1:30" ht="13" customHeight="1">
      <c r="A359">
        <v>112</v>
      </c>
      <c r="C359" t="s">
        <v>1317</v>
      </c>
      <c r="D359" t="s">
        <v>1318</v>
      </c>
      <c r="E359" t="s">
        <v>1319</v>
      </c>
      <c r="F359" t="s">
        <v>115</v>
      </c>
      <c r="H359" t="s">
        <v>730</v>
      </c>
      <c r="I359" t="e">
        <f>- Einstellungstest</f>
        <v>#NAME?</v>
      </c>
      <c r="J359" t="s">
        <v>879</v>
      </c>
      <c r="K359" t="s">
        <v>1320</v>
      </c>
      <c r="L359" s="2">
        <v>33425</v>
      </c>
      <c r="O359" t="s">
        <v>120</v>
      </c>
      <c r="P359">
        <v>1</v>
      </c>
      <c r="Q359">
        <v>1957</v>
      </c>
      <c r="S359" t="s">
        <v>716</v>
      </c>
      <c r="T359" t="s">
        <v>1321</v>
      </c>
      <c r="U359" t="s">
        <v>123</v>
      </c>
      <c r="V359" t="s">
        <v>1320</v>
      </c>
      <c r="AA359">
        <v>112</v>
      </c>
      <c r="AB359" t="s">
        <v>1318</v>
      </c>
    </row>
    <row r="360" spans="1:30" ht="13" customHeight="1">
      <c r="A360">
        <v>355</v>
      </c>
      <c r="C360" t="s">
        <v>2182</v>
      </c>
      <c r="D360" t="s">
        <v>2183</v>
      </c>
      <c r="E360" t="s">
        <v>2184</v>
      </c>
      <c r="F360" t="s">
        <v>2185</v>
      </c>
      <c r="H360" t="s">
        <v>804</v>
      </c>
      <c r="I360" t="e">
        <f>- verbal-thematisches Verfahren</f>
        <v>#NAME?</v>
      </c>
      <c r="J360" t="s">
        <v>277</v>
      </c>
      <c r="K360" t="s">
        <v>2186</v>
      </c>
      <c r="L360" s="2">
        <v>33582</v>
      </c>
      <c r="O360" t="s">
        <v>120</v>
      </c>
      <c r="P360">
        <v>1</v>
      </c>
      <c r="Q360">
        <v>1964</v>
      </c>
      <c r="S360" t="s">
        <v>8</v>
      </c>
      <c r="T360" t="s">
        <v>2187</v>
      </c>
      <c r="U360" t="s">
        <v>123</v>
      </c>
      <c r="V360" t="s">
        <v>464</v>
      </c>
      <c r="W360" t="s">
        <v>2188</v>
      </c>
      <c r="X360" t="s">
        <v>825</v>
      </c>
      <c r="Y360" t="s">
        <v>2189</v>
      </c>
      <c r="Z360" t="s">
        <v>1182</v>
      </c>
      <c r="AA360">
        <v>355</v>
      </c>
      <c r="AB360" t="s">
        <v>2183</v>
      </c>
    </row>
    <row r="361" spans="1:30" ht="13" customHeight="1">
      <c r="A361">
        <v>346</v>
      </c>
      <c r="C361" t="s">
        <v>2242</v>
      </c>
      <c r="D361" t="s">
        <v>1962</v>
      </c>
      <c r="E361" t="s">
        <v>1963</v>
      </c>
      <c r="F361" t="s">
        <v>115</v>
      </c>
      <c r="H361" t="s">
        <v>6</v>
      </c>
      <c r="I361" t="e">
        <f>- Schultest</f>
        <v>#NAME?</v>
      </c>
      <c r="J361" t="s">
        <v>277</v>
      </c>
      <c r="K361" t="s">
        <v>2243</v>
      </c>
      <c r="L361" s="2">
        <v>33659</v>
      </c>
      <c r="N361" t="s">
        <v>2244</v>
      </c>
      <c r="O361" t="s">
        <v>120</v>
      </c>
      <c r="P361">
        <v>1</v>
      </c>
      <c r="Q361">
        <v>1968</v>
      </c>
      <c r="S361" t="s">
        <v>8</v>
      </c>
      <c r="T361" t="s">
        <v>2245</v>
      </c>
      <c r="U361" t="s">
        <v>123</v>
      </c>
      <c r="V361" t="s">
        <v>175</v>
      </c>
      <c r="W361" t="s">
        <v>2237</v>
      </c>
      <c r="X361" t="s">
        <v>930</v>
      </c>
      <c r="Y361" t="s">
        <v>855</v>
      </c>
      <c r="Z361" t="s">
        <v>2246</v>
      </c>
      <c r="AA361">
        <v>346</v>
      </c>
      <c r="AB361" t="s">
        <v>1962</v>
      </c>
    </row>
    <row r="362" spans="1:30" ht="13" customHeight="1">
      <c r="A362">
        <v>313</v>
      </c>
      <c r="C362" t="s">
        <v>2042</v>
      </c>
      <c r="D362" t="s">
        <v>2043</v>
      </c>
      <c r="E362" t="s">
        <v>1916</v>
      </c>
      <c r="F362" t="s">
        <v>115</v>
      </c>
      <c r="H362" t="s">
        <v>6</v>
      </c>
      <c r="I362" t="e">
        <f>- Entwicklungstest</f>
        <v>#NAME?</v>
      </c>
      <c r="J362" t="s">
        <v>2044</v>
      </c>
      <c r="K362" t="s">
        <v>2045</v>
      </c>
      <c r="L362" s="2">
        <v>33201</v>
      </c>
      <c r="O362" t="s">
        <v>120</v>
      </c>
      <c r="P362">
        <v>1</v>
      </c>
      <c r="Q362">
        <v>1966</v>
      </c>
      <c r="S362" t="s">
        <v>8</v>
      </c>
      <c r="T362" t="s">
        <v>2046</v>
      </c>
      <c r="U362" t="s">
        <v>123</v>
      </c>
      <c r="V362" t="s">
        <v>1631</v>
      </c>
      <c r="W362" s="1" t="s">
        <v>2047</v>
      </c>
      <c r="X362" t="s">
        <v>2048</v>
      </c>
      <c r="Y362" t="s">
        <v>2049</v>
      </c>
      <c r="AA362">
        <v>313</v>
      </c>
      <c r="AB362" t="s">
        <v>2050</v>
      </c>
      <c r="AC362" t="s">
        <v>2051</v>
      </c>
    </row>
    <row r="363" spans="1:30" ht="13" customHeight="1">
      <c r="A363">
        <v>300.10000000000002</v>
      </c>
      <c r="B363">
        <v>1</v>
      </c>
      <c r="C363" t="s">
        <v>1985</v>
      </c>
      <c r="D363" t="s">
        <v>1986</v>
      </c>
      <c r="E363" t="s">
        <v>1987</v>
      </c>
      <c r="F363" t="s">
        <v>115</v>
      </c>
      <c r="H363" t="s">
        <v>6</v>
      </c>
      <c r="I363" t="e">
        <f>- spez. Funktionsprüfungs- und Eignungstest</f>
        <v>#NAME?</v>
      </c>
      <c r="J363" t="s">
        <v>1979</v>
      </c>
      <c r="K363" t="s">
        <v>1828</v>
      </c>
      <c r="L363" s="2">
        <v>33197</v>
      </c>
      <c r="O363" t="s">
        <v>120</v>
      </c>
      <c r="P363">
        <v>2</v>
      </c>
      <c r="Q363">
        <v>1966</v>
      </c>
      <c r="R363" t="s">
        <v>1988</v>
      </c>
      <c r="S363" t="s">
        <v>8</v>
      </c>
      <c r="T363" t="s">
        <v>1989</v>
      </c>
      <c r="U363" t="s">
        <v>123</v>
      </c>
      <c r="V363" t="s">
        <v>1828</v>
      </c>
      <c r="AA363">
        <v>300</v>
      </c>
      <c r="AB363" t="s">
        <v>1986</v>
      </c>
    </row>
    <row r="364" spans="1:30" ht="13" customHeight="1">
      <c r="A364">
        <v>125.1</v>
      </c>
      <c r="B364">
        <v>1</v>
      </c>
      <c r="C364" t="s">
        <v>1322</v>
      </c>
      <c r="D364" t="s">
        <v>1323</v>
      </c>
      <c r="E364" t="s">
        <v>835</v>
      </c>
      <c r="F364" t="s">
        <v>115</v>
      </c>
      <c r="H364" t="s">
        <v>730</v>
      </c>
      <c r="I364" t="e">
        <f>- mehrdimensionaler Persönlichkeits-Test</f>
        <v>#NAME?</v>
      </c>
      <c r="J364" t="s">
        <v>277</v>
      </c>
      <c r="K364" t="s">
        <v>1453</v>
      </c>
      <c r="L364" s="2">
        <v>33871</v>
      </c>
      <c r="O364" t="s">
        <v>564</v>
      </c>
      <c r="P364">
        <v>5</v>
      </c>
      <c r="Q364">
        <v>1967</v>
      </c>
      <c r="R364" t="s">
        <v>1454</v>
      </c>
      <c r="S364" t="s">
        <v>8</v>
      </c>
      <c r="T364" t="s">
        <v>1455</v>
      </c>
      <c r="U364" t="s">
        <v>123</v>
      </c>
      <c r="V364" t="s">
        <v>464</v>
      </c>
      <c r="W364" t="s">
        <v>175</v>
      </c>
      <c r="X364" t="s">
        <v>1315</v>
      </c>
      <c r="Y364" t="s">
        <v>1205</v>
      </c>
      <c r="Z364" t="s">
        <v>537</v>
      </c>
      <c r="AA364">
        <v>125</v>
      </c>
      <c r="AB364" t="s">
        <v>1456</v>
      </c>
      <c r="AC364" t="s">
        <v>1085</v>
      </c>
      <c r="AD364" t="s">
        <v>1457</v>
      </c>
    </row>
    <row r="365" spans="1:30" ht="13" customHeight="1">
      <c r="A365">
        <v>125.2</v>
      </c>
      <c r="B365">
        <v>2</v>
      </c>
      <c r="C365" t="s">
        <v>1322</v>
      </c>
      <c r="D365" t="s">
        <v>1323</v>
      </c>
      <c r="E365" t="s">
        <v>835</v>
      </c>
      <c r="F365" t="s">
        <v>115</v>
      </c>
      <c r="H365" t="s">
        <v>730</v>
      </c>
      <c r="I365" t="e">
        <f>- mehrdimensionaler Persönlichkeits-Test</f>
        <v>#NAME?</v>
      </c>
      <c r="J365" t="s">
        <v>277</v>
      </c>
      <c r="K365" t="s">
        <v>1453</v>
      </c>
      <c r="L365" s="2">
        <v>33871</v>
      </c>
      <c r="O365" t="s">
        <v>564</v>
      </c>
      <c r="P365">
        <v>5</v>
      </c>
      <c r="Q365">
        <v>1967</v>
      </c>
      <c r="R365" t="s">
        <v>1454</v>
      </c>
      <c r="S365" t="s">
        <v>8</v>
      </c>
      <c r="T365" t="s">
        <v>1455</v>
      </c>
      <c r="U365" t="s">
        <v>123</v>
      </c>
      <c r="V365" t="s">
        <v>464</v>
      </c>
      <c r="W365" t="s">
        <v>175</v>
      </c>
      <c r="X365" t="s">
        <v>1315</v>
      </c>
      <c r="Y365" t="s">
        <v>1205</v>
      </c>
      <c r="Z365" t="s">
        <v>537</v>
      </c>
      <c r="AB365" t="s">
        <v>1456</v>
      </c>
      <c r="AC365" t="s">
        <v>1085</v>
      </c>
      <c r="AD365" t="s">
        <v>1457</v>
      </c>
    </row>
    <row r="366" spans="1:30" ht="13" customHeight="1">
      <c r="A366">
        <v>125.3</v>
      </c>
      <c r="B366">
        <v>3</v>
      </c>
      <c r="C366" t="s">
        <v>1322</v>
      </c>
      <c r="D366" t="s">
        <v>1323</v>
      </c>
      <c r="E366" t="s">
        <v>835</v>
      </c>
      <c r="F366" t="s">
        <v>115</v>
      </c>
      <c r="H366" t="s">
        <v>730</v>
      </c>
      <c r="I366" t="e">
        <f>- mehrdimensionaler Persönlichkeits-Test</f>
        <v>#NAME?</v>
      </c>
      <c r="J366" t="s">
        <v>277</v>
      </c>
      <c r="K366" t="s">
        <v>1453</v>
      </c>
      <c r="L366" s="2">
        <v>33871</v>
      </c>
      <c r="O366" t="s">
        <v>564</v>
      </c>
      <c r="P366">
        <v>5</v>
      </c>
      <c r="Q366">
        <v>1967</v>
      </c>
      <c r="R366" t="s">
        <v>1454</v>
      </c>
      <c r="S366" t="s">
        <v>8</v>
      </c>
      <c r="T366" t="s">
        <v>1455</v>
      </c>
      <c r="U366" t="s">
        <v>123</v>
      </c>
      <c r="V366" t="s">
        <v>464</v>
      </c>
      <c r="W366" t="s">
        <v>175</v>
      </c>
      <c r="X366" t="s">
        <v>1315</v>
      </c>
      <c r="Y366" t="s">
        <v>1205</v>
      </c>
      <c r="Z366" t="s">
        <v>537</v>
      </c>
      <c r="AB366" t="s">
        <v>1456</v>
      </c>
      <c r="AC366" t="s">
        <v>1085</v>
      </c>
      <c r="AD366" t="s">
        <v>1457</v>
      </c>
    </row>
    <row r="367" spans="1:30" ht="13" customHeight="1">
      <c r="A367">
        <v>125.4</v>
      </c>
      <c r="B367">
        <v>4</v>
      </c>
      <c r="C367" t="s">
        <v>1322</v>
      </c>
      <c r="D367" t="s">
        <v>1323</v>
      </c>
      <c r="E367" t="s">
        <v>835</v>
      </c>
      <c r="F367" t="s">
        <v>115</v>
      </c>
      <c r="H367" t="s">
        <v>730</v>
      </c>
      <c r="I367" t="e">
        <f>- mehrdimensionaler Persönlichkeits-Test</f>
        <v>#NAME?</v>
      </c>
      <c r="J367" t="s">
        <v>277</v>
      </c>
      <c r="K367" t="s">
        <v>1453</v>
      </c>
      <c r="L367" s="2">
        <v>33871</v>
      </c>
      <c r="O367" t="s">
        <v>564</v>
      </c>
      <c r="P367">
        <v>5</v>
      </c>
      <c r="Q367">
        <v>1967</v>
      </c>
      <c r="R367" t="s">
        <v>1454</v>
      </c>
      <c r="S367" t="s">
        <v>8</v>
      </c>
      <c r="T367" t="s">
        <v>1455</v>
      </c>
      <c r="U367" t="s">
        <v>123</v>
      </c>
      <c r="V367" t="s">
        <v>464</v>
      </c>
      <c r="W367" t="s">
        <v>175</v>
      </c>
      <c r="X367" t="s">
        <v>1315</v>
      </c>
      <c r="Y367" t="s">
        <v>1205</v>
      </c>
      <c r="Z367" t="s">
        <v>537</v>
      </c>
      <c r="AB367" t="s">
        <v>1456</v>
      </c>
      <c r="AC367" t="s">
        <v>1085</v>
      </c>
      <c r="AD367" t="s">
        <v>1457</v>
      </c>
    </row>
    <row r="368" spans="1:30" ht="13" customHeight="1">
      <c r="A368">
        <v>125.5</v>
      </c>
      <c r="B368">
        <v>5</v>
      </c>
      <c r="C368" t="s">
        <v>1322</v>
      </c>
      <c r="D368" t="s">
        <v>1323</v>
      </c>
      <c r="E368" t="s">
        <v>835</v>
      </c>
      <c r="F368" t="s">
        <v>115</v>
      </c>
      <c r="H368" t="s">
        <v>730</v>
      </c>
      <c r="I368" t="e">
        <f>- mehrdimensionaler Persönlichkeits-Test</f>
        <v>#NAME?</v>
      </c>
      <c r="J368" t="s">
        <v>277</v>
      </c>
      <c r="K368" t="s">
        <v>1453</v>
      </c>
      <c r="L368" s="2">
        <v>33871</v>
      </c>
      <c r="O368" t="s">
        <v>564</v>
      </c>
      <c r="P368">
        <v>5</v>
      </c>
      <c r="Q368">
        <v>1967</v>
      </c>
      <c r="R368" t="s">
        <v>1458</v>
      </c>
      <c r="S368" t="s">
        <v>8</v>
      </c>
      <c r="T368" t="s">
        <v>1455</v>
      </c>
      <c r="U368" t="s">
        <v>123</v>
      </c>
      <c r="V368" t="s">
        <v>464</v>
      </c>
      <c r="W368" t="s">
        <v>175</v>
      </c>
      <c r="X368" t="s">
        <v>1315</v>
      </c>
      <c r="Y368" t="s">
        <v>1205</v>
      </c>
      <c r="Z368" t="s">
        <v>537</v>
      </c>
      <c r="AB368" t="s">
        <v>1456</v>
      </c>
      <c r="AC368" t="s">
        <v>1085</v>
      </c>
      <c r="AD368" t="s">
        <v>1457</v>
      </c>
    </row>
    <row r="369" spans="1:31" ht="13" customHeight="1">
      <c r="A369">
        <v>56</v>
      </c>
      <c r="C369" t="s">
        <v>291</v>
      </c>
      <c r="D369" t="s">
        <v>292</v>
      </c>
      <c r="E369" t="s">
        <v>398</v>
      </c>
      <c r="F369" t="s">
        <v>115</v>
      </c>
      <c r="H369" t="s">
        <v>6</v>
      </c>
      <c r="I369" t="e">
        <f>- Schultest</f>
        <v>#NAME?</v>
      </c>
      <c r="J369" t="s">
        <v>277</v>
      </c>
      <c r="K369" t="s">
        <v>293</v>
      </c>
      <c r="L369" s="2">
        <v>33920</v>
      </c>
      <c r="N369" t="s">
        <v>294</v>
      </c>
      <c r="O369" t="s">
        <v>120</v>
      </c>
      <c r="P369">
        <v>1</v>
      </c>
      <c r="Q369" t="s">
        <v>295</v>
      </c>
      <c r="S369" t="s">
        <v>8</v>
      </c>
      <c r="T369" t="s">
        <v>434</v>
      </c>
      <c r="U369" t="s">
        <v>123</v>
      </c>
      <c r="V369" t="s">
        <v>187</v>
      </c>
      <c r="W369" t="s">
        <v>44</v>
      </c>
      <c r="AA369">
        <v>56</v>
      </c>
      <c r="AB369" t="s">
        <v>435</v>
      </c>
    </row>
    <row r="370" spans="1:31" ht="13" customHeight="1">
      <c r="A370">
        <v>268</v>
      </c>
      <c r="C370" t="s">
        <v>1485</v>
      </c>
      <c r="D370" t="s">
        <v>1486</v>
      </c>
      <c r="E370" t="s">
        <v>898</v>
      </c>
      <c r="F370" t="s">
        <v>115</v>
      </c>
      <c r="L370" s="2">
        <v>33164</v>
      </c>
      <c r="M370" t="s">
        <v>1432</v>
      </c>
      <c r="O370" t="s">
        <v>564</v>
      </c>
      <c r="P370">
        <v>1</v>
      </c>
      <c r="Q370">
        <v>1990</v>
      </c>
      <c r="S370" t="s">
        <v>8</v>
      </c>
      <c r="T370" t="s">
        <v>1487</v>
      </c>
      <c r="U370" t="s">
        <v>123</v>
      </c>
      <c r="AA370">
        <v>268</v>
      </c>
      <c r="AB370" t="s">
        <v>1486</v>
      </c>
    </row>
    <row r="371" spans="1:31" ht="13" customHeight="1">
      <c r="A371">
        <v>335</v>
      </c>
      <c r="C371" t="s">
        <v>2170</v>
      </c>
      <c r="D371" t="s">
        <v>2171</v>
      </c>
      <c r="E371" t="s">
        <v>1426</v>
      </c>
      <c r="F371" t="s">
        <v>115</v>
      </c>
      <c r="H371" t="s">
        <v>6</v>
      </c>
      <c r="I371" t="e">
        <f>- spez. Funktionsprüfungs- und Eignungstest</f>
        <v>#NAME?</v>
      </c>
      <c r="J371" t="s">
        <v>791</v>
      </c>
      <c r="K371" t="s">
        <v>2172</v>
      </c>
      <c r="L371" s="2">
        <v>33920</v>
      </c>
      <c r="O371" t="s">
        <v>120</v>
      </c>
      <c r="P371">
        <v>1</v>
      </c>
      <c r="Q371">
        <v>1956</v>
      </c>
      <c r="R371" t="s">
        <v>2166</v>
      </c>
      <c r="S371" t="s">
        <v>8</v>
      </c>
      <c r="T371" t="s">
        <v>2173</v>
      </c>
      <c r="U371" t="s">
        <v>123</v>
      </c>
      <c r="V371" t="s">
        <v>930</v>
      </c>
      <c r="W371" t="s">
        <v>2174</v>
      </c>
      <c r="X371" t="s">
        <v>614</v>
      </c>
      <c r="Y371" t="s">
        <v>2102</v>
      </c>
      <c r="AA371">
        <v>335</v>
      </c>
      <c r="AB371" t="s">
        <v>2171</v>
      </c>
    </row>
    <row r="372" spans="1:31" ht="13" customHeight="1">
      <c r="A372">
        <v>245.1</v>
      </c>
      <c r="B372">
        <v>1</v>
      </c>
      <c r="C372" t="s">
        <v>1614</v>
      </c>
      <c r="D372" t="s">
        <v>1615</v>
      </c>
      <c r="E372" t="s">
        <v>620</v>
      </c>
      <c r="F372" t="s">
        <v>115</v>
      </c>
      <c r="H372" t="s">
        <v>6</v>
      </c>
      <c r="I372" t="e">
        <f>- Intelligenztest für $K143:$AE143 und $K55:$AE55</f>
        <v>#NAME?</v>
      </c>
      <c r="J372" t="s">
        <v>1616</v>
      </c>
      <c r="K372" t="s">
        <v>174</v>
      </c>
      <c r="L372" s="2">
        <v>33582</v>
      </c>
      <c r="N372" t="s">
        <v>1617</v>
      </c>
      <c r="O372" t="s">
        <v>564</v>
      </c>
      <c r="P372">
        <v>5</v>
      </c>
      <c r="Q372">
        <v>1969</v>
      </c>
      <c r="S372" t="s">
        <v>8</v>
      </c>
      <c r="T372" t="s">
        <v>1618</v>
      </c>
      <c r="U372" t="s">
        <v>123</v>
      </c>
      <c r="V372" t="s">
        <v>174</v>
      </c>
      <c r="AA372">
        <v>245</v>
      </c>
      <c r="AB372" t="s">
        <v>1615</v>
      </c>
    </row>
    <row r="373" spans="1:31" ht="13" customHeight="1">
      <c r="A373">
        <v>362</v>
      </c>
      <c r="C373" t="s">
        <v>2264</v>
      </c>
      <c r="D373" t="s">
        <v>2135</v>
      </c>
      <c r="E373" t="s">
        <v>2136</v>
      </c>
      <c r="F373" t="s">
        <v>14</v>
      </c>
      <c r="H373" t="s">
        <v>6</v>
      </c>
      <c r="I373" t="e">
        <f>- spez. Funktionsprüfungs- und Eignungstest</f>
        <v>#NAME?</v>
      </c>
      <c r="J373" t="s">
        <v>1490</v>
      </c>
      <c r="K373" t="s">
        <v>2137</v>
      </c>
      <c r="L373" s="2">
        <v>33914</v>
      </c>
      <c r="O373" t="s">
        <v>120</v>
      </c>
      <c r="P373">
        <v>1</v>
      </c>
      <c r="Q373">
        <v>1957</v>
      </c>
      <c r="S373" t="s">
        <v>716</v>
      </c>
      <c r="T373" t="s">
        <v>2138</v>
      </c>
      <c r="U373" t="s">
        <v>123</v>
      </c>
      <c r="V373" t="s">
        <v>2139</v>
      </c>
      <c r="W373" t="s">
        <v>2140</v>
      </c>
      <c r="X373" t="s">
        <v>2267</v>
      </c>
      <c r="AA373">
        <v>362</v>
      </c>
      <c r="AB373" t="s">
        <v>2268</v>
      </c>
      <c r="AC373" t="s">
        <v>2269</v>
      </c>
      <c r="AD373" t="s">
        <v>2270</v>
      </c>
    </row>
    <row r="374" spans="1:31" ht="13" customHeight="1">
      <c r="A374">
        <v>87</v>
      </c>
      <c r="C374" t="s">
        <v>605</v>
      </c>
      <c r="D374" t="s">
        <v>606</v>
      </c>
      <c r="E374" t="s">
        <v>479</v>
      </c>
      <c r="F374" t="s">
        <v>115</v>
      </c>
      <c r="H374" t="s">
        <v>6</v>
      </c>
      <c r="I374" t="e">
        <f>- spez. Funktionsprüfungs- und Eignungstest</f>
        <v>#NAME?</v>
      </c>
      <c r="J374" t="s">
        <v>76</v>
      </c>
      <c r="K374" t="s">
        <v>480</v>
      </c>
      <c r="L374" s="2">
        <v>33059</v>
      </c>
      <c r="O374" t="s">
        <v>120</v>
      </c>
      <c r="P374">
        <v>1</v>
      </c>
      <c r="Q374" t="s">
        <v>481</v>
      </c>
      <c r="S374" t="s">
        <v>8</v>
      </c>
      <c r="T374" t="s">
        <v>482</v>
      </c>
      <c r="U374" t="s">
        <v>123</v>
      </c>
      <c r="V374" t="s">
        <v>480</v>
      </c>
      <c r="AA374">
        <v>87</v>
      </c>
      <c r="AB374" t="s">
        <v>483</v>
      </c>
      <c r="AC374" t="s">
        <v>484</v>
      </c>
    </row>
    <row r="375" spans="1:31" ht="13" customHeight="1">
      <c r="A375">
        <v>91</v>
      </c>
      <c r="C375" t="s">
        <v>499</v>
      </c>
      <c r="D375" t="s">
        <v>500</v>
      </c>
      <c r="E375" t="s">
        <v>479</v>
      </c>
      <c r="F375" t="s">
        <v>115</v>
      </c>
      <c r="H375" t="s">
        <v>600</v>
      </c>
      <c r="I375" t="e">
        <f>- Einstellungstest</f>
        <v>#NAME?</v>
      </c>
      <c r="J375" t="s">
        <v>495</v>
      </c>
      <c r="K375" t="s">
        <v>501</v>
      </c>
      <c r="L375" s="2">
        <v>33059</v>
      </c>
      <c r="O375" t="s">
        <v>120</v>
      </c>
      <c r="P375">
        <v>1</v>
      </c>
      <c r="Q375">
        <v>1960</v>
      </c>
      <c r="S375" t="s">
        <v>121</v>
      </c>
      <c r="T375" t="s">
        <v>502</v>
      </c>
      <c r="U375" t="s">
        <v>123</v>
      </c>
      <c r="V375" t="s">
        <v>501</v>
      </c>
      <c r="W375" t="s">
        <v>496</v>
      </c>
      <c r="AA375">
        <v>91</v>
      </c>
      <c r="AB375" t="s">
        <v>486</v>
      </c>
      <c r="AC375" t="s">
        <v>503</v>
      </c>
    </row>
    <row r="376" spans="1:31" ht="13" customHeight="1">
      <c r="A376">
        <v>89</v>
      </c>
      <c r="C376" t="s">
        <v>485</v>
      </c>
      <c r="D376" t="s">
        <v>486</v>
      </c>
      <c r="E376" t="s">
        <v>479</v>
      </c>
      <c r="F376" t="s">
        <v>115</v>
      </c>
      <c r="H376" t="s">
        <v>730</v>
      </c>
      <c r="I376" t="e">
        <f>- Einstellungstest</f>
        <v>#NAME?</v>
      </c>
      <c r="J376" t="s">
        <v>76</v>
      </c>
      <c r="K376" t="s">
        <v>487</v>
      </c>
      <c r="L376" s="2">
        <v>33127</v>
      </c>
      <c r="O376" t="s">
        <v>120</v>
      </c>
      <c r="P376">
        <v>1</v>
      </c>
      <c r="Q376">
        <v>1960</v>
      </c>
      <c r="S376" t="s">
        <v>121</v>
      </c>
      <c r="T376" t="s">
        <v>488</v>
      </c>
      <c r="U376" t="s">
        <v>123</v>
      </c>
      <c r="V376" t="s">
        <v>489</v>
      </c>
      <c r="W376" t="s">
        <v>490</v>
      </c>
      <c r="X376" t="s">
        <v>491</v>
      </c>
      <c r="Y376" t="s">
        <v>492</v>
      </c>
      <c r="AA376">
        <v>89</v>
      </c>
      <c r="AB376" t="s">
        <v>486</v>
      </c>
    </row>
    <row r="377" spans="1:31" ht="13" customHeight="1">
      <c r="A377">
        <v>90</v>
      </c>
      <c r="C377" t="s">
        <v>493</v>
      </c>
      <c r="D377" t="s">
        <v>494</v>
      </c>
      <c r="E377" t="s">
        <v>479</v>
      </c>
      <c r="F377" t="s">
        <v>115</v>
      </c>
      <c r="H377" t="e">
        <f>- Einstellungstest</f>
        <v>#NAME?</v>
      </c>
      <c r="I377" t="e">
        <f>- Einstellungstest</f>
        <v>#NAME?</v>
      </c>
      <c r="J377" t="s">
        <v>495</v>
      </c>
      <c r="K377" t="s">
        <v>496</v>
      </c>
      <c r="L377" s="2">
        <v>36095</v>
      </c>
      <c r="O377" t="s">
        <v>120</v>
      </c>
      <c r="P377">
        <v>1</v>
      </c>
      <c r="Q377">
        <v>1960</v>
      </c>
      <c r="S377" t="s">
        <v>121</v>
      </c>
      <c r="T377" t="s">
        <v>497</v>
      </c>
      <c r="U377" t="s">
        <v>123</v>
      </c>
      <c r="V377" t="s">
        <v>496</v>
      </c>
      <c r="AA377">
        <v>90</v>
      </c>
      <c r="AB377" t="s">
        <v>486</v>
      </c>
      <c r="AC377" t="s">
        <v>498</v>
      </c>
    </row>
    <row r="378" spans="1:31" ht="13" customHeight="1">
      <c r="A378">
        <v>263</v>
      </c>
      <c r="C378" t="s">
        <v>1424</v>
      </c>
      <c r="D378" t="s">
        <v>1425</v>
      </c>
      <c r="E378" t="s">
        <v>1426</v>
      </c>
      <c r="F378" t="s">
        <v>115</v>
      </c>
      <c r="H378" t="s">
        <v>6</v>
      </c>
      <c r="I378" t="e">
        <f>- Intelligenztest für $K143:$AE143 und $K55:$AE55</f>
        <v>#NAME?</v>
      </c>
      <c r="J378" t="s">
        <v>1427</v>
      </c>
      <c r="K378" t="s">
        <v>174</v>
      </c>
      <c r="L378" s="2">
        <v>33192</v>
      </c>
      <c r="N378" t="s">
        <v>1428</v>
      </c>
      <c r="O378" t="s">
        <v>120</v>
      </c>
      <c r="P378">
        <v>1</v>
      </c>
      <c r="Q378">
        <v>1962</v>
      </c>
      <c r="S378" t="s">
        <v>8</v>
      </c>
      <c r="T378" t="s">
        <v>1657</v>
      </c>
      <c r="U378" t="s">
        <v>123</v>
      </c>
      <c r="V378" t="s">
        <v>174</v>
      </c>
      <c r="AA378">
        <v>263</v>
      </c>
      <c r="AB378" t="s">
        <v>1658</v>
      </c>
      <c r="AC378" t="s">
        <v>1659</v>
      </c>
    </row>
    <row r="379" spans="1:31" ht="13" customHeight="1">
      <c r="A379">
        <v>292</v>
      </c>
      <c r="C379" t="s">
        <v>1781</v>
      </c>
      <c r="D379" t="s">
        <v>1915</v>
      </c>
      <c r="E379" t="s">
        <v>1916</v>
      </c>
      <c r="F379" t="s">
        <v>115</v>
      </c>
      <c r="H379" t="s">
        <v>730</v>
      </c>
      <c r="I379" t="e">
        <f>- mehrdimensionaler Persönlichkeits-Test</f>
        <v>#NAME?</v>
      </c>
      <c r="J379" t="s">
        <v>1917</v>
      </c>
      <c r="K379" t="s">
        <v>1782</v>
      </c>
      <c r="L379" s="2">
        <v>33197</v>
      </c>
      <c r="O379" t="s">
        <v>120</v>
      </c>
      <c r="P379">
        <v>1</v>
      </c>
      <c r="Q379">
        <v>1953</v>
      </c>
      <c r="R379" t="s">
        <v>1783</v>
      </c>
      <c r="S379" t="s">
        <v>8</v>
      </c>
      <c r="T379" t="s">
        <v>1784</v>
      </c>
      <c r="U379" t="s">
        <v>123</v>
      </c>
      <c r="V379" t="s">
        <v>464</v>
      </c>
      <c r="W379" t="s">
        <v>1785</v>
      </c>
      <c r="X379" t="s">
        <v>175</v>
      </c>
      <c r="AA379">
        <v>292</v>
      </c>
      <c r="AB379" t="s">
        <v>1920</v>
      </c>
      <c r="AC379" t="s">
        <v>1778</v>
      </c>
      <c r="AD379" t="s">
        <v>1779</v>
      </c>
      <c r="AE379" t="s">
        <v>1780</v>
      </c>
    </row>
    <row r="380" spans="1:31" ht="13" customHeight="1">
      <c r="A380">
        <v>312</v>
      </c>
      <c r="C380" t="s">
        <v>2037</v>
      </c>
      <c r="D380" t="s">
        <v>2038</v>
      </c>
      <c r="E380" t="s">
        <v>1916</v>
      </c>
      <c r="F380" t="s">
        <v>115</v>
      </c>
      <c r="H380" t="s">
        <v>6</v>
      </c>
      <c r="I380" t="s">
        <v>1103</v>
      </c>
      <c r="J380" t="s">
        <v>2039</v>
      </c>
      <c r="K380" t="s">
        <v>2040</v>
      </c>
      <c r="L380" s="2">
        <v>33920</v>
      </c>
      <c r="O380" t="s">
        <v>120</v>
      </c>
      <c r="P380">
        <v>1</v>
      </c>
      <c r="Q380">
        <v>1966</v>
      </c>
      <c r="S380" t="s">
        <v>8</v>
      </c>
      <c r="T380" t="s">
        <v>2041</v>
      </c>
      <c r="U380" t="s">
        <v>123</v>
      </c>
      <c r="V380" t="s">
        <v>1107</v>
      </c>
      <c r="W380" t="s">
        <v>1108</v>
      </c>
      <c r="X380" t="s">
        <v>760</v>
      </c>
      <c r="AA380">
        <v>312</v>
      </c>
      <c r="AB380" t="s">
        <v>2038</v>
      </c>
    </row>
    <row r="381" spans="1:31" ht="13" customHeight="1">
      <c r="A381">
        <v>8</v>
      </c>
      <c r="C381" t="s">
        <v>21</v>
      </c>
      <c r="D381" t="s">
        <v>22</v>
      </c>
      <c r="E381" t="s">
        <v>247</v>
      </c>
      <c r="F381" t="s">
        <v>115</v>
      </c>
      <c r="H381" t="s">
        <v>6</v>
      </c>
      <c r="I381" t="e">
        <f>- Schultest</f>
        <v>#NAME?</v>
      </c>
      <c r="J381" t="s">
        <v>23</v>
      </c>
      <c r="K381" t="s">
        <v>16</v>
      </c>
      <c r="L381" s="2">
        <v>33059</v>
      </c>
      <c r="N381" t="s">
        <v>24</v>
      </c>
      <c r="O381" t="s">
        <v>120</v>
      </c>
      <c r="P381">
        <v>1</v>
      </c>
      <c r="Q381" t="s">
        <v>25</v>
      </c>
      <c r="S381" t="s">
        <v>121</v>
      </c>
      <c r="T381" t="s">
        <v>26</v>
      </c>
      <c r="U381" t="s">
        <v>123</v>
      </c>
      <c r="V381" t="s">
        <v>175</v>
      </c>
      <c r="W381" t="s">
        <v>20</v>
      </c>
      <c r="AA381">
        <v>8</v>
      </c>
      <c r="AB381" t="s">
        <v>27</v>
      </c>
    </row>
    <row r="382" spans="1:31" ht="13" customHeight="1">
      <c r="A382">
        <v>315</v>
      </c>
      <c r="C382" t="s">
        <v>1921</v>
      </c>
      <c r="D382" t="s">
        <v>1922</v>
      </c>
      <c r="E382" t="s">
        <v>1916</v>
      </c>
      <c r="F382" t="s">
        <v>784</v>
      </c>
      <c r="H382" t="s">
        <v>6</v>
      </c>
      <c r="I382" t="s">
        <v>1103</v>
      </c>
      <c r="J382" t="s">
        <v>1923</v>
      </c>
      <c r="K382" t="s">
        <v>1924</v>
      </c>
      <c r="L382" s="2">
        <v>33208</v>
      </c>
      <c r="O382" t="s">
        <v>120</v>
      </c>
      <c r="P382">
        <v>1</v>
      </c>
      <c r="Q382">
        <v>1967</v>
      </c>
      <c r="R382" t="s">
        <v>1925</v>
      </c>
      <c r="S382" t="s">
        <v>8</v>
      </c>
      <c r="T382" t="s">
        <v>1926</v>
      </c>
      <c r="U382" t="s">
        <v>123</v>
      </c>
      <c r="V382" t="s">
        <v>1107</v>
      </c>
      <c r="W382" t="s">
        <v>1927</v>
      </c>
      <c r="AA382">
        <v>315</v>
      </c>
      <c r="AB382" t="s">
        <v>1928</v>
      </c>
      <c r="AC382" t="s">
        <v>1929</v>
      </c>
    </row>
    <row r="383" spans="1:31" ht="13" customHeight="1">
      <c r="A383">
        <v>316</v>
      </c>
      <c r="C383" t="s">
        <v>1930</v>
      </c>
      <c r="D383" t="s">
        <v>1922</v>
      </c>
      <c r="E383" t="s">
        <v>1916</v>
      </c>
      <c r="F383" t="s">
        <v>115</v>
      </c>
      <c r="H383" t="s">
        <v>6</v>
      </c>
      <c r="I383" t="s">
        <v>1103</v>
      </c>
      <c r="J383" t="s">
        <v>1643</v>
      </c>
      <c r="K383" t="s">
        <v>1924</v>
      </c>
      <c r="L383" s="2">
        <v>33208</v>
      </c>
      <c r="O383" t="s">
        <v>120</v>
      </c>
      <c r="P383">
        <v>1</v>
      </c>
      <c r="Q383">
        <v>1961</v>
      </c>
      <c r="R383" t="s">
        <v>1931</v>
      </c>
      <c r="S383" t="s">
        <v>8</v>
      </c>
      <c r="T383" t="s">
        <v>1932</v>
      </c>
      <c r="U383" t="s">
        <v>123</v>
      </c>
      <c r="V383" t="s">
        <v>1107</v>
      </c>
      <c r="W383" t="s">
        <v>1927</v>
      </c>
      <c r="AA383">
        <v>316</v>
      </c>
      <c r="AB383" t="s">
        <v>1928</v>
      </c>
      <c r="AC383" t="s">
        <v>1929</v>
      </c>
    </row>
    <row r="384" spans="1:31" ht="13" customHeight="1">
      <c r="A384">
        <v>317</v>
      </c>
      <c r="C384" t="s">
        <v>1933</v>
      </c>
      <c r="D384" t="s">
        <v>1922</v>
      </c>
      <c r="E384" t="s">
        <v>1916</v>
      </c>
      <c r="F384" t="s">
        <v>115</v>
      </c>
      <c r="H384" t="s">
        <v>6</v>
      </c>
      <c r="I384" t="s">
        <v>1103</v>
      </c>
      <c r="J384" t="s">
        <v>2034</v>
      </c>
      <c r="K384" t="s">
        <v>1924</v>
      </c>
      <c r="L384" s="2">
        <v>33208</v>
      </c>
      <c r="O384" t="s">
        <v>120</v>
      </c>
      <c r="P384">
        <v>1</v>
      </c>
      <c r="Q384">
        <v>1961</v>
      </c>
      <c r="R384" t="s">
        <v>1934</v>
      </c>
      <c r="S384" t="s">
        <v>8</v>
      </c>
      <c r="T384" t="s">
        <v>1932</v>
      </c>
      <c r="U384" t="s">
        <v>123</v>
      </c>
      <c r="V384" t="s">
        <v>1107</v>
      </c>
      <c r="W384" t="s">
        <v>1927</v>
      </c>
      <c r="AA384">
        <v>317</v>
      </c>
      <c r="AB384" t="s">
        <v>1928</v>
      </c>
      <c r="AC384" t="s">
        <v>1929</v>
      </c>
    </row>
    <row r="385" spans="1:31" ht="13" customHeight="1">
      <c r="A385">
        <v>318</v>
      </c>
      <c r="C385" t="s">
        <v>1935</v>
      </c>
      <c r="D385" t="s">
        <v>1922</v>
      </c>
      <c r="E385" t="s">
        <v>1916</v>
      </c>
      <c r="F385" t="s">
        <v>115</v>
      </c>
      <c r="H385" t="s">
        <v>6</v>
      </c>
      <c r="I385" t="s">
        <v>1103</v>
      </c>
      <c r="J385" t="s">
        <v>1936</v>
      </c>
      <c r="K385" t="s">
        <v>1924</v>
      </c>
      <c r="L385" s="2">
        <v>33208</v>
      </c>
      <c r="O385" t="s">
        <v>120</v>
      </c>
      <c r="P385">
        <v>1</v>
      </c>
      <c r="Q385">
        <v>1961</v>
      </c>
      <c r="R385" t="s">
        <v>1931</v>
      </c>
      <c r="S385" t="s">
        <v>8</v>
      </c>
      <c r="T385" t="s">
        <v>1932</v>
      </c>
      <c r="U385" t="s">
        <v>123</v>
      </c>
      <c r="V385" t="s">
        <v>1107</v>
      </c>
      <c r="W385" t="s">
        <v>1927</v>
      </c>
      <c r="AA385">
        <v>318</v>
      </c>
      <c r="AB385" t="s">
        <v>1928</v>
      </c>
      <c r="AC385" t="s">
        <v>1929</v>
      </c>
    </row>
    <row r="386" spans="1:31" ht="13" customHeight="1">
      <c r="A386">
        <v>205</v>
      </c>
      <c r="C386" t="s">
        <v>1517</v>
      </c>
      <c r="D386" t="s">
        <v>1518</v>
      </c>
      <c r="E386" t="s">
        <v>620</v>
      </c>
      <c r="F386" t="s">
        <v>115</v>
      </c>
      <c r="G386">
        <v>1969</v>
      </c>
      <c r="H386" t="s">
        <v>6</v>
      </c>
      <c r="I386" t="s">
        <v>1389</v>
      </c>
      <c r="J386" t="s">
        <v>1519</v>
      </c>
      <c r="K386" t="s">
        <v>1520</v>
      </c>
      <c r="L386" s="2">
        <v>33582</v>
      </c>
      <c r="N386" t="s">
        <v>1521</v>
      </c>
      <c r="O386" t="s">
        <v>564</v>
      </c>
      <c r="P386">
        <v>1</v>
      </c>
      <c r="Q386">
        <v>1968</v>
      </c>
      <c r="S386" t="s">
        <v>121</v>
      </c>
      <c r="T386" t="s">
        <v>1522</v>
      </c>
      <c r="U386" t="s">
        <v>123</v>
      </c>
      <c r="V386" t="s">
        <v>175</v>
      </c>
      <c r="W386" t="s">
        <v>1516</v>
      </c>
      <c r="X386" t="s">
        <v>20</v>
      </c>
      <c r="AA386">
        <v>205</v>
      </c>
      <c r="AB386" t="s">
        <v>1518</v>
      </c>
    </row>
    <row r="387" spans="1:31" ht="13" customHeight="1">
      <c r="A387">
        <v>287</v>
      </c>
      <c r="C387" t="s">
        <v>1676</v>
      </c>
      <c r="D387" t="s">
        <v>1677</v>
      </c>
      <c r="E387" t="s">
        <v>361</v>
      </c>
      <c r="F387" t="s">
        <v>115</v>
      </c>
      <c r="H387" t="s">
        <v>6</v>
      </c>
      <c r="I387" t="e">
        <f>- Schultest</f>
        <v>#NAME?</v>
      </c>
      <c r="J387" t="s">
        <v>1678</v>
      </c>
      <c r="K387" t="s">
        <v>1679</v>
      </c>
      <c r="L387" s="2">
        <v>33582</v>
      </c>
      <c r="O387" t="s">
        <v>120</v>
      </c>
      <c r="P387">
        <v>1</v>
      </c>
      <c r="Q387">
        <v>1964</v>
      </c>
      <c r="S387" t="s">
        <v>8</v>
      </c>
      <c r="T387" t="s">
        <v>1680</v>
      </c>
      <c r="U387" t="s">
        <v>123</v>
      </c>
      <c r="V387" t="s">
        <v>1679</v>
      </c>
      <c r="AA387">
        <v>287</v>
      </c>
      <c r="AB387" t="s">
        <v>1681</v>
      </c>
      <c r="AC387" t="s">
        <v>1682</v>
      </c>
    </row>
    <row r="388" spans="1:31" ht="13" customHeight="1">
      <c r="A388">
        <v>238</v>
      </c>
      <c r="C388" t="s">
        <v>1430</v>
      </c>
      <c r="D388" t="s">
        <v>1431</v>
      </c>
      <c r="E388" t="s">
        <v>425</v>
      </c>
      <c r="F388" t="s">
        <v>115</v>
      </c>
      <c r="H388" t="s">
        <v>730</v>
      </c>
      <c r="I388" t="e">
        <f>- eindimensionaler Persönlichkeits-Test</f>
        <v>#NAME?</v>
      </c>
      <c r="J388" t="s">
        <v>230</v>
      </c>
      <c r="K388" t="s">
        <v>480</v>
      </c>
      <c r="L388" s="2">
        <v>33631</v>
      </c>
      <c r="M388" t="s">
        <v>1432</v>
      </c>
      <c r="N388" t="s">
        <v>1433</v>
      </c>
      <c r="O388" t="s">
        <v>120</v>
      </c>
      <c r="P388">
        <v>1</v>
      </c>
      <c r="Q388">
        <v>1967</v>
      </c>
      <c r="R388" t="s">
        <v>1434</v>
      </c>
      <c r="S388" t="s">
        <v>8</v>
      </c>
      <c r="T388" t="s">
        <v>1435</v>
      </c>
      <c r="U388" t="s">
        <v>123</v>
      </c>
      <c r="V388" t="s">
        <v>480</v>
      </c>
      <c r="AA388">
        <v>238</v>
      </c>
      <c r="AB388" t="s">
        <v>1436</v>
      </c>
      <c r="AC388" t="s">
        <v>1437</v>
      </c>
    </row>
    <row r="389" spans="1:31" ht="13" customHeight="1">
      <c r="A389">
        <v>275</v>
      </c>
      <c r="C389" t="s">
        <v>1694</v>
      </c>
      <c r="D389" t="s">
        <v>1695</v>
      </c>
      <c r="E389" t="s">
        <v>620</v>
      </c>
      <c r="F389" t="s">
        <v>115</v>
      </c>
      <c r="H389" t="s">
        <v>730</v>
      </c>
      <c r="I389" t="e">
        <f>- mehrdimensionaler Persönlichkeits-Test</f>
        <v>#NAME?</v>
      </c>
      <c r="J389" t="s">
        <v>1696</v>
      </c>
      <c r="K389" t="s">
        <v>464</v>
      </c>
      <c r="L389" s="2">
        <v>33169</v>
      </c>
      <c r="O389" t="s">
        <v>564</v>
      </c>
      <c r="P389">
        <v>1</v>
      </c>
      <c r="Q389">
        <v>1991</v>
      </c>
      <c r="S389" t="s">
        <v>8</v>
      </c>
      <c r="T389" t="s">
        <v>1697</v>
      </c>
      <c r="U389" t="s">
        <v>123</v>
      </c>
      <c r="V389" t="s">
        <v>464</v>
      </c>
      <c r="AA389">
        <v>275</v>
      </c>
      <c r="AB389" t="s">
        <v>1695</v>
      </c>
    </row>
    <row r="390" spans="1:31" ht="13" customHeight="1">
      <c r="A390">
        <v>58</v>
      </c>
      <c r="C390" t="s">
        <v>580</v>
      </c>
      <c r="D390" t="s">
        <v>581</v>
      </c>
      <c r="E390" t="s">
        <v>398</v>
      </c>
      <c r="F390" t="s">
        <v>115</v>
      </c>
      <c r="H390" t="s">
        <v>6</v>
      </c>
      <c r="I390" t="e">
        <f>- Intelligenztest für $K55:$AE55 und Erw.</f>
        <v>#NAME?</v>
      </c>
      <c r="J390" t="s">
        <v>230</v>
      </c>
      <c r="K390" t="s">
        <v>118</v>
      </c>
      <c r="L390" s="2">
        <v>33577</v>
      </c>
      <c r="O390" t="s">
        <v>120</v>
      </c>
      <c r="P390">
        <v>1</v>
      </c>
      <c r="Q390">
        <v>1957</v>
      </c>
      <c r="S390" t="s">
        <v>8</v>
      </c>
      <c r="T390" t="s">
        <v>582</v>
      </c>
      <c r="U390" t="s">
        <v>123</v>
      </c>
      <c r="V390" t="s">
        <v>0</v>
      </c>
      <c r="W390" t="s">
        <v>1</v>
      </c>
      <c r="AA390">
        <v>58</v>
      </c>
      <c r="AB390" t="s">
        <v>583</v>
      </c>
      <c r="AC390" t="s">
        <v>584</v>
      </c>
      <c r="AD390" t="s">
        <v>585</v>
      </c>
      <c r="AE390" t="s">
        <v>586</v>
      </c>
    </row>
    <row r="391" spans="1:31" ht="13" customHeight="1">
      <c r="A391">
        <v>53</v>
      </c>
      <c r="C391" t="s">
        <v>1056</v>
      </c>
      <c r="D391" t="s">
        <v>1057</v>
      </c>
      <c r="E391" t="s">
        <v>1058</v>
      </c>
      <c r="F391" t="s">
        <v>115</v>
      </c>
      <c r="H391" t="s">
        <v>6</v>
      </c>
      <c r="I391" t="e">
        <f>- Allg.Leistungs- und Fähigkeitstest</f>
        <v>#NAME?</v>
      </c>
      <c r="J391" t="s">
        <v>76</v>
      </c>
      <c r="K391" t="s">
        <v>280</v>
      </c>
      <c r="L391" s="2">
        <v>33907</v>
      </c>
      <c r="N391" t="s">
        <v>1059</v>
      </c>
      <c r="O391" t="s">
        <v>120</v>
      </c>
      <c r="P391">
        <v>1</v>
      </c>
      <c r="Q391">
        <v>1948</v>
      </c>
      <c r="R391" t="s">
        <v>1060</v>
      </c>
      <c r="S391" t="s">
        <v>8</v>
      </c>
      <c r="T391" t="s">
        <v>1061</v>
      </c>
      <c r="U391" t="s">
        <v>123</v>
      </c>
      <c r="V391" t="s">
        <v>280</v>
      </c>
      <c r="AA391">
        <v>53</v>
      </c>
      <c r="AB391" t="s">
        <v>1062</v>
      </c>
      <c r="AC391" t="s">
        <v>1063</v>
      </c>
    </row>
    <row r="392" spans="1:31" ht="13" customHeight="1">
      <c r="A392">
        <v>323</v>
      </c>
      <c r="C392" t="s">
        <v>2105</v>
      </c>
      <c r="D392" t="s">
        <v>2106</v>
      </c>
      <c r="E392" t="s">
        <v>1674</v>
      </c>
      <c r="F392" t="s">
        <v>115</v>
      </c>
      <c r="H392" t="s">
        <v>6</v>
      </c>
      <c r="I392" t="e">
        <f>- Schultest</f>
        <v>#NAME?</v>
      </c>
      <c r="J392" t="s">
        <v>2107</v>
      </c>
      <c r="K392" t="s">
        <v>2108</v>
      </c>
      <c r="L392" s="2">
        <v>33215</v>
      </c>
      <c r="N392" t="s">
        <v>2109</v>
      </c>
      <c r="O392" t="s">
        <v>120</v>
      </c>
      <c r="P392">
        <v>1</v>
      </c>
      <c r="Q392">
        <v>1966</v>
      </c>
      <c r="S392" t="s">
        <v>8</v>
      </c>
      <c r="T392" t="s">
        <v>1435</v>
      </c>
      <c r="U392" t="s">
        <v>123</v>
      </c>
      <c r="V392" t="s">
        <v>2049</v>
      </c>
      <c r="W392" t="s">
        <v>2110</v>
      </c>
      <c r="X392" t="s">
        <v>1927</v>
      </c>
      <c r="Y392" t="s">
        <v>2111</v>
      </c>
      <c r="AA392">
        <v>323</v>
      </c>
      <c r="AB392" t="s">
        <v>2106</v>
      </c>
    </row>
    <row r="393" spans="1:31" ht="13" customHeight="1">
      <c r="A393">
        <v>301.10000000000002</v>
      </c>
      <c r="B393">
        <v>1</v>
      </c>
      <c r="C393" t="s">
        <v>1990</v>
      </c>
      <c r="D393" t="s">
        <v>1991</v>
      </c>
      <c r="E393" t="s">
        <v>620</v>
      </c>
      <c r="F393" t="s">
        <v>115</v>
      </c>
      <c r="H393" t="s">
        <v>804</v>
      </c>
      <c r="I393" t="e">
        <f>- verbal-thematisches Verfahren</f>
        <v>#NAME?</v>
      </c>
      <c r="J393" t="s">
        <v>1827</v>
      </c>
      <c r="K393" t="s">
        <v>1850</v>
      </c>
      <c r="L393" s="2">
        <v>33668</v>
      </c>
      <c r="N393" t="s">
        <v>1851</v>
      </c>
      <c r="O393" t="s">
        <v>564</v>
      </c>
      <c r="P393">
        <v>4</v>
      </c>
      <c r="Q393">
        <v>1957</v>
      </c>
      <c r="R393" t="s">
        <v>1852</v>
      </c>
      <c r="S393" t="s">
        <v>8</v>
      </c>
      <c r="T393" t="s">
        <v>1793</v>
      </c>
      <c r="U393" t="s">
        <v>123</v>
      </c>
      <c r="V393" t="s">
        <v>464</v>
      </c>
      <c r="W393" t="s">
        <v>1973</v>
      </c>
      <c r="X393" t="s">
        <v>825</v>
      </c>
      <c r="Y393" t="s">
        <v>1853</v>
      </c>
      <c r="Z393" t="s">
        <v>1854</v>
      </c>
      <c r="AA393">
        <v>301</v>
      </c>
      <c r="AB393" t="s">
        <v>1855</v>
      </c>
      <c r="AC393" t="s">
        <v>1856</v>
      </c>
      <c r="AD393" t="s">
        <v>1857</v>
      </c>
    </row>
    <row r="394" spans="1:31" ht="13" customHeight="1">
      <c r="A394">
        <v>301.2</v>
      </c>
      <c r="B394">
        <v>2</v>
      </c>
      <c r="C394" t="s">
        <v>1990</v>
      </c>
      <c r="D394" t="s">
        <v>1991</v>
      </c>
      <c r="E394" t="s">
        <v>620</v>
      </c>
      <c r="F394" t="s">
        <v>115</v>
      </c>
      <c r="H394" t="s">
        <v>804</v>
      </c>
      <c r="I394" t="e">
        <f>- verbal-thematisches Verfahren</f>
        <v>#NAME?</v>
      </c>
      <c r="J394" t="s">
        <v>1827</v>
      </c>
      <c r="K394" t="s">
        <v>1850</v>
      </c>
      <c r="L394" s="2">
        <v>33668</v>
      </c>
      <c r="N394" t="s">
        <v>1851</v>
      </c>
      <c r="O394" t="s">
        <v>564</v>
      </c>
      <c r="P394">
        <v>4</v>
      </c>
      <c r="Q394">
        <v>1957</v>
      </c>
      <c r="R394" t="s">
        <v>1858</v>
      </c>
      <c r="S394" t="s">
        <v>8</v>
      </c>
      <c r="T394" t="s">
        <v>1793</v>
      </c>
      <c r="U394" t="s">
        <v>123</v>
      </c>
      <c r="V394" t="s">
        <v>464</v>
      </c>
      <c r="W394" t="s">
        <v>1973</v>
      </c>
      <c r="X394" t="s">
        <v>825</v>
      </c>
      <c r="Y394" t="s">
        <v>1853</v>
      </c>
      <c r="Z394" t="s">
        <v>1854</v>
      </c>
      <c r="AB394" t="s">
        <v>1855</v>
      </c>
      <c r="AC394" t="s">
        <v>1856</v>
      </c>
      <c r="AD394" t="s">
        <v>1857</v>
      </c>
    </row>
    <row r="395" spans="1:31" ht="13" customHeight="1">
      <c r="A395">
        <v>301.3</v>
      </c>
      <c r="B395">
        <v>3</v>
      </c>
      <c r="C395" t="s">
        <v>1990</v>
      </c>
      <c r="D395" t="s">
        <v>1991</v>
      </c>
      <c r="E395" t="s">
        <v>620</v>
      </c>
      <c r="F395" t="s">
        <v>115</v>
      </c>
      <c r="H395" t="s">
        <v>804</v>
      </c>
      <c r="I395" t="e">
        <f>- verbal-thematisches Verfahren</f>
        <v>#NAME?</v>
      </c>
      <c r="J395" t="s">
        <v>1827</v>
      </c>
      <c r="K395" t="s">
        <v>1850</v>
      </c>
      <c r="L395" s="2">
        <v>33668</v>
      </c>
      <c r="N395" t="s">
        <v>1851</v>
      </c>
      <c r="O395" t="s">
        <v>564</v>
      </c>
      <c r="P395">
        <v>4</v>
      </c>
      <c r="Q395">
        <v>1957</v>
      </c>
      <c r="R395" t="s">
        <v>1852</v>
      </c>
      <c r="S395" t="s">
        <v>8</v>
      </c>
      <c r="T395" t="s">
        <v>1793</v>
      </c>
      <c r="U395" t="s">
        <v>123</v>
      </c>
      <c r="V395" t="s">
        <v>464</v>
      </c>
      <c r="W395" t="s">
        <v>1973</v>
      </c>
      <c r="X395" t="s">
        <v>825</v>
      </c>
      <c r="Y395" t="s">
        <v>1853</v>
      </c>
      <c r="Z395" t="s">
        <v>1854</v>
      </c>
      <c r="AB395" t="s">
        <v>1855</v>
      </c>
      <c r="AC395" t="s">
        <v>1856</v>
      </c>
      <c r="AD395" t="s">
        <v>1857</v>
      </c>
    </row>
    <row r="396" spans="1:31" ht="13" customHeight="1">
      <c r="A396">
        <v>301.39999999999998</v>
      </c>
      <c r="B396">
        <v>4</v>
      </c>
      <c r="C396" t="s">
        <v>1990</v>
      </c>
      <c r="D396" t="s">
        <v>1991</v>
      </c>
      <c r="E396" t="s">
        <v>620</v>
      </c>
      <c r="F396" t="s">
        <v>115</v>
      </c>
      <c r="H396" t="s">
        <v>804</v>
      </c>
      <c r="I396" t="e">
        <f>- verbal-thematisches Verfahren</f>
        <v>#NAME?</v>
      </c>
      <c r="J396" t="s">
        <v>1827</v>
      </c>
      <c r="K396" t="s">
        <v>1850</v>
      </c>
      <c r="L396" s="2">
        <v>33668</v>
      </c>
      <c r="N396" t="s">
        <v>1851</v>
      </c>
      <c r="O396" t="s">
        <v>564</v>
      </c>
      <c r="P396">
        <v>4</v>
      </c>
      <c r="Q396">
        <v>1957</v>
      </c>
      <c r="R396" t="s">
        <v>1852</v>
      </c>
      <c r="S396" t="s">
        <v>8</v>
      </c>
      <c r="T396" t="s">
        <v>1793</v>
      </c>
      <c r="U396" t="s">
        <v>123</v>
      </c>
      <c r="V396" t="s">
        <v>464</v>
      </c>
      <c r="W396" t="s">
        <v>1973</v>
      </c>
      <c r="X396" t="s">
        <v>825</v>
      </c>
      <c r="Y396" t="s">
        <v>1853</v>
      </c>
      <c r="Z396" t="s">
        <v>1854</v>
      </c>
      <c r="AB396" t="s">
        <v>1855</v>
      </c>
      <c r="AC396" t="s">
        <v>1856</v>
      </c>
      <c r="AD396" t="s">
        <v>1857</v>
      </c>
    </row>
    <row r="397" spans="1:31" ht="13" customHeight="1">
      <c r="A397">
        <v>345</v>
      </c>
      <c r="C397" t="s">
        <v>2238</v>
      </c>
      <c r="D397" t="s">
        <v>1962</v>
      </c>
      <c r="E397" t="s">
        <v>1963</v>
      </c>
      <c r="F397" t="s">
        <v>115</v>
      </c>
      <c r="H397" t="s">
        <v>6</v>
      </c>
      <c r="I397" t="e">
        <f>- Schultest</f>
        <v>#NAME?</v>
      </c>
      <c r="J397" t="s">
        <v>277</v>
      </c>
      <c r="K397" t="s">
        <v>2239</v>
      </c>
      <c r="L397" s="2">
        <v>33659</v>
      </c>
      <c r="N397" t="s">
        <v>2240</v>
      </c>
      <c r="O397" t="s">
        <v>120</v>
      </c>
      <c r="P397">
        <v>1</v>
      </c>
      <c r="Q397">
        <v>1968</v>
      </c>
      <c r="R397" t="s">
        <v>2226</v>
      </c>
      <c r="S397" t="s">
        <v>8</v>
      </c>
      <c r="T397" t="s">
        <v>2241</v>
      </c>
      <c r="U397" t="s">
        <v>123</v>
      </c>
      <c r="V397" t="s">
        <v>175</v>
      </c>
      <c r="W397" t="s">
        <v>2230</v>
      </c>
      <c r="X397" t="s">
        <v>930</v>
      </c>
      <c r="Y397" t="s">
        <v>855</v>
      </c>
      <c r="AA397">
        <v>345</v>
      </c>
      <c r="AB397" t="s">
        <v>1962</v>
      </c>
    </row>
    <row r="398" spans="1:31" ht="13" customHeight="1">
      <c r="A398">
        <v>68</v>
      </c>
      <c r="C398" t="s">
        <v>509</v>
      </c>
      <c r="D398" t="s">
        <v>507</v>
      </c>
      <c r="E398" t="s">
        <v>361</v>
      </c>
      <c r="F398" t="s">
        <v>115</v>
      </c>
      <c r="H398" t="s">
        <v>6</v>
      </c>
      <c r="I398" t="e">
        <f>- Intelligenztest für J$69:J$70 und Erw.</f>
        <v>#NAME?</v>
      </c>
      <c r="J398" t="s">
        <v>277</v>
      </c>
      <c r="K398" t="s">
        <v>510</v>
      </c>
      <c r="L398" s="2">
        <v>33844</v>
      </c>
      <c r="O398" t="s">
        <v>120</v>
      </c>
      <c r="P398">
        <v>1</v>
      </c>
      <c r="Q398">
        <v>1959</v>
      </c>
      <c r="S398" t="s">
        <v>121</v>
      </c>
      <c r="T398" t="s">
        <v>511</v>
      </c>
      <c r="U398" t="s">
        <v>123</v>
      </c>
      <c r="V398" t="s">
        <v>0</v>
      </c>
      <c r="AA398">
        <v>68</v>
      </c>
      <c r="AB398" t="s">
        <v>507</v>
      </c>
    </row>
    <row r="399" spans="1:31" ht="13" customHeight="1">
      <c r="A399">
        <v>67</v>
      </c>
      <c r="C399" t="s">
        <v>367</v>
      </c>
      <c r="D399" t="s">
        <v>368</v>
      </c>
      <c r="E399" t="s">
        <v>361</v>
      </c>
      <c r="F399" t="s">
        <v>115</v>
      </c>
      <c r="H399" t="s">
        <v>6</v>
      </c>
      <c r="I399" t="e">
        <f>- Schultest</f>
        <v>#NAME?</v>
      </c>
      <c r="J399" t="s">
        <v>526</v>
      </c>
      <c r="K399" t="s">
        <v>16</v>
      </c>
      <c r="L399" s="2">
        <v>33582</v>
      </c>
      <c r="O399" t="s">
        <v>120</v>
      </c>
      <c r="P399">
        <v>1</v>
      </c>
      <c r="Q399">
        <v>1940</v>
      </c>
      <c r="S399" t="s">
        <v>121</v>
      </c>
      <c r="T399" t="s">
        <v>506</v>
      </c>
      <c r="U399" t="s">
        <v>123</v>
      </c>
      <c r="V399" t="s">
        <v>175</v>
      </c>
      <c r="W399" t="s">
        <v>20</v>
      </c>
      <c r="AA399">
        <v>67</v>
      </c>
      <c r="AB399" t="s">
        <v>507</v>
      </c>
      <c r="AC399" t="s">
        <v>508</v>
      </c>
    </row>
    <row r="400" spans="1:31" ht="13" customHeight="1">
      <c r="A400">
        <v>380</v>
      </c>
      <c r="C400" t="s">
        <v>2381</v>
      </c>
      <c r="D400" t="s">
        <v>2382</v>
      </c>
      <c r="E400" t="s">
        <v>2383</v>
      </c>
      <c r="F400" t="s">
        <v>784</v>
      </c>
      <c r="H400" t="s">
        <v>6</v>
      </c>
      <c r="I400" t="s">
        <v>168</v>
      </c>
      <c r="J400" t="s">
        <v>2384</v>
      </c>
      <c r="K400" t="s">
        <v>2385</v>
      </c>
      <c r="L400" s="2">
        <v>33288</v>
      </c>
      <c r="N400" t="s">
        <v>2386</v>
      </c>
      <c r="O400" t="s">
        <v>564</v>
      </c>
      <c r="P400">
        <v>1</v>
      </c>
      <c r="Q400">
        <v>1971</v>
      </c>
      <c r="S400" t="s">
        <v>8</v>
      </c>
      <c r="T400" t="s">
        <v>2497</v>
      </c>
      <c r="U400" t="s">
        <v>123</v>
      </c>
      <c r="V400" t="s">
        <v>175</v>
      </c>
      <c r="W400" t="s">
        <v>2265</v>
      </c>
      <c r="X400" t="s">
        <v>2266</v>
      </c>
      <c r="AA400">
        <v>380</v>
      </c>
      <c r="AB400" t="s">
        <v>2382</v>
      </c>
    </row>
    <row r="401" spans="1:31" ht="13" customHeight="1">
      <c r="A401">
        <v>368.1</v>
      </c>
      <c r="B401">
        <v>1</v>
      </c>
      <c r="C401" t="s">
        <v>2317</v>
      </c>
      <c r="D401" t="s">
        <v>2318</v>
      </c>
      <c r="E401" t="s">
        <v>2319</v>
      </c>
      <c r="F401" t="s">
        <v>115</v>
      </c>
      <c r="H401" t="s">
        <v>6</v>
      </c>
      <c r="I401" t="e">
        <f>- Schultest</f>
        <v>#NAME?</v>
      </c>
      <c r="J401" t="s">
        <v>2320</v>
      </c>
      <c r="K401" t="s">
        <v>2321</v>
      </c>
      <c r="L401" s="2">
        <v>33278</v>
      </c>
      <c r="O401" t="s">
        <v>564</v>
      </c>
      <c r="P401">
        <v>2</v>
      </c>
      <c r="Q401">
        <v>1955</v>
      </c>
      <c r="R401" t="s">
        <v>2322</v>
      </c>
      <c r="S401" t="s">
        <v>121</v>
      </c>
      <c r="T401" t="s">
        <v>2323</v>
      </c>
      <c r="U401" t="s">
        <v>123</v>
      </c>
      <c r="V401" t="s">
        <v>854</v>
      </c>
      <c r="W401" t="s">
        <v>1288</v>
      </c>
      <c r="X401" t="s">
        <v>2324</v>
      </c>
      <c r="AA401">
        <v>368</v>
      </c>
      <c r="AB401" t="s">
        <v>2318</v>
      </c>
    </row>
    <row r="402" spans="1:31" ht="13" customHeight="1">
      <c r="A402">
        <v>368.2</v>
      </c>
      <c r="B402">
        <v>2</v>
      </c>
      <c r="C402" t="s">
        <v>2317</v>
      </c>
      <c r="D402" t="s">
        <v>2318</v>
      </c>
      <c r="E402" t="s">
        <v>2319</v>
      </c>
      <c r="F402" t="s">
        <v>115</v>
      </c>
      <c r="H402" t="s">
        <v>6</v>
      </c>
      <c r="I402" t="e">
        <f>- Schultest</f>
        <v>#NAME?</v>
      </c>
      <c r="J402" t="s">
        <v>2320</v>
      </c>
      <c r="K402" t="s">
        <v>2321</v>
      </c>
      <c r="L402" s="2">
        <v>33278</v>
      </c>
      <c r="O402" t="s">
        <v>564</v>
      </c>
      <c r="P402">
        <v>2</v>
      </c>
      <c r="Q402">
        <v>1955</v>
      </c>
      <c r="R402" t="s">
        <v>2322</v>
      </c>
      <c r="S402" t="s">
        <v>121</v>
      </c>
      <c r="T402" t="s">
        <v>2323</v>
      </c>
      <c r="U402" t="s">
        <v>123</v>
      </c>
      <c r="V402" t="s">
        <v>854</v>
      </c>
      <c r="W402" t="s">
        <v>1288</v>
      </c>
      <c r="X402" t="s">
        <v>2324</v>
      </c>
      <c r="AB402" t="s">
        <v>2318</v>
      </c>
    </row>
    <row r="403" spans="1:31" ht="13" customHeight="1">
      <c r="A403">
        <v>374.1</v>
      </c>
      <c r="C403" t="s">
        <v>2317</v>
      </c>
      <c r="D403" t="s">
        <v>2474</v>
      </c>
      <c r="E403" t="s">
        <v>2475</v>
      </c>
      <c r="H403" t="s">
        <v>6</v>
      </c>
      <c r="I403" t="s">
        <v>915</v>
      </c>
      <c r="J403" t="s">
        <v>1636</v>
      </c>
      <c r="K403" t="s">
        <v>854</v>
      </c>
      <c r="L403" s="2">
        <v>33920</v>
      </c>
      <c r="O403" t="s">
        <v>564</v>
      </c>
      <c r="P403">
        <v>1</v>
      </c>
      <c r="Q403">
        <v>1972</v>
      </c>
      <c r="S403" t="s">
        <v>716</v>
      </c>
      <c r="T403" t="s">
        <v>2476</v>
      </c>
      <c r="U403" t="s">
        <v>123</v>
      </c>
      <c r="V403" t="s">
        <v>854</v>
      </c>
      <c r="AA403">
        <v>374</v>
      </c>
      <c r="AB403" t="s">
        <v>2477</v>
      </c>
    </row>
    <row r="404" spans="1:31" ht="13" customHeight="1">
      <c r="A404">
        <v>369</v>
      </c>
      <c r="C404" t="s">
        <v>2325</v>
      </c>
      <c r="D404" t="s">
        <v>2326</v>
      </c>
      <c r="E404" t="s">
        <v>2327</v>
      </c>
      <c r="F404" t="s">
        <v>267</v>
      </c>
      <c r="H404" t="s">
        <v>6</v>
      </c>
      <c r="I404" t="e">
        <f>- Schultest</f>
        <v>#NAME?</v>
      </c>
      <c r="J404" t="s">
        <v>2320</v>
      </c>
      <c r="K404" t="s">
        <v>2328</v>
      </c>
      <c r="L404" s="2">
        <v>33278</v>
      </c>
      <c r="O404" t="s">
        <v>564</v>
      </c>
      <c r="P404">
        <v>1</v>
      </c>
      <c r="Q404">
        <v>1964</v>
      </c>
      <c r="R404" t="s">
        <v>2226</v>
      </c>
      <c r="S404" t="s">
        <v>121</v>
      </c>
      <c r="T404" t="s">
        <v>626</v>
      </c>
      <c r="U404" t="s">
        <v>123</v>
      </c>
      <c r="V404" t="s">
        <v>854</v>
      </c>
      <c r="W404" t="s">
        <v>1288</v>
      </c>
      <c r="X404" t="s">
        <v>2329</v>
      </c>
      <c r="Y404" t="s">
        <v>2196</v>
      </c>
      <c r="AA404">
        <v>369</v>
      </c>
      <c r="AB404" t="s">
        <v>2326</v>
      </c>
    </row>
    <row r="405" spans="1:31" ht="13" customHeight="1">
      <c r="A405">
        <v>279</v>
      </c>
      <c r="C405" t="s">
        <v>1598</v>
      </c>
      <c r="D405" t="s">
        <v>1599</v>
      </c>
      <c r="E405" t="s">
        <v>1058</v>
      </c>
      <c r="F405" t="s">
        <v>14</v>
      </c>
      <c r="H405" t="s">
        <v>730</v>
      </c>
      <c r="I405" t="e">
        <f>- eindimensionaler Persönlichkeits-Test</f>
        <v>#NAME?</v>
      </c>
      <c r="J405" t="s">
        <v>1600</v>
      </c>
      <c r="K405" t="s">
        <v>1601</v>
      </c>
      <c r="L405" s="2">
        <v>33191</v>
      </c>
      <c r="O405" t="s">
        <v>120</v>
      </c>
      <c r="P405">
        <v>1</v>
      </c>
      <c r="Q405">
        <v>1960</v>
      </c>
      <c r="S405" t="s">
        <v>8</v>
      </c>
      <c r="T405" t="s">
        <v>1602</v>
      </c>
      <c r="U405" t="s">
        <v>123</v>
      </c>
      <c r="V405" t="s">
        <v>249</v>
      </c>
      <c r="W405" t="s">
        <v>1603</v>
      </c>
      <c r="AA405">
        <v>279</v>
      </c>
      <c r="AB405" t="s">
        <v>1604</v>
      </c>
      <c r="AC405" t="s">
        <v>1605</v>
      </c>
      <c r="AD405" t="s">
        <v>1606</v>
      </c>
    </row>
    <row r="406" spans="1:31" ht="13" customHeight="1">
      <c r="A406">
        <v>147</v>
      </c>
      <c r="C406" t="s">
        <v>2095</v>
      </c>
      <c r="D406" t="s">
        <v>2347</v>
      </c>
      <c r="E406" t="s">
        <v>342</v>
      </c>
      <c r="F406" t="s">
        <v>115</v>
      </c>
      <c r="H406" t="s">
        <v>730</v>
      </c>
      <c r="I406" t="e">
        <f>- eindimensionaler Persönlichkeits-Test</f>
        <v>#NAME?</v>
      </c>
      <c r="J406" t="s">
        <v>791</v>
      </c>
      <c r="K406" t="s">
        <v>2348</v>
      </c>
      <c r="L406" s="2">
        <v>33582</v>
      </c>
      <c r="N406" t="s">
        <v>2349</v>
      </c>
      <c r="O406" t="s">
        <v>120</v>
      </c>
      <c r="P406">
        <v>1</v>
      </c>
      <c r="Q406">
        <v>1952</v>
      </c>
      <c r="S406" t="s">
        <v>8</v>
      </c>
      <c r="T406" t="s">
        <v>2350</v>
      </c>
      <c r="U406" t="s">
        <v>123</v>
      </c>
      <c r="V406" t="s">
        <v>2351</v>
      </c>
      <c r="W406" t="s">
        <v>1100</v>
      </c>
      <c r="AA406">
        <v>147</v>
      </c>
      <c r="AB406" t="s">
        <v>2352</v>
      </c>
      <c r="AC406" t="s">
        <v>2353</v>
      </c>
      <c r="AD406" t="s">
        <v>2354</v>
      </c>
      <c r="AE406" t="s">
        <v>2355</v>
      </c>
    </row>
    <row r="407" spans="1:31" ht="13" customHeight="1">
      <c r="A407">
        <v>271</v>
      </c>
      <c r="C407" t="s">
        <v>1759</v>
      </c>
      <c r="D407" t="s">
        <v>1760</v>
      </c>
      <c r="E407" t="s">
        <v>620</v>
      </c>
      <c r="F407" t="s">
        <v>115</v>
      </c>
      <c r="H407" t="s">
        <v>6</v>
      </c>
      <c r="J407" t="s">
        <v>1761</v>
      </c>
      <c r="K407" t="s">
        <v>1762</v>
      </c>
      <c r="L407" s="2">
        <v>33582</v>
      </c>
      <c r="N407" t="s">
        <v>1763</v>
      </c>
      <c r="O407" t="s">
        <v>564</v>
      </c>
      <c r="P407">
        <v>1</v>
      </c>
      <c r="Q407">
        <v>1993</v>
      </c>
      <c r="S407" t="s">
        <v>8</v>
      </c>
      <c r="T407" t="s">
        <v>1764</v>
      </c>
      <c r="U407" t="s">
        <v>123</v>
      </c>
      <c r="V407" t="s">
        <v>1765</v>
      </c>
      <c r="W407" t="s">
        <v>1766</v>
      </c>
      <c r="AA407">
        <v>271</v>
      </c>
      <c r="AB407" t="s">
        <v>1767</v>
      </c>
      <c r="AC407" t="s">
        <v>1768</v>
      </c>
    </row>
    <row r="408" spans="1:31" ht="13" customHeight="1">
      <c r="A408">
        <v>303</v>
      </c>
      <c r="C408" t="s">
        <v>1859</v>
      </c>
      <c r="D408" t="s">
        <v>1860</v>
      </c>
      <c r="E408" t="s">
        <v>1738</v>
      </c>
      <c r="F408" t="s">
        <v>115</v>
      </c>
      <c r="H408" t="s">
        <v>6</v>
      </c>
      <c r="I408" t="e">
        <f>- spez. Funktionsprüfungs- und Eignungstest</f>
        <v>#NAME?</v>
      </c>
      <c r="J408" t="s">
        <v>791</v>
      </c>
      <c r="K408" t="s">
        <v>1861</v>
      </c>
      <c r="L408" s="2">
        <v>33197</v>
      </c>
      <c r="O408" t="s">
        <v>120</v>
      </c>
      <c r="P408">
        <v>1</v>
      </c>
      <c r="Q408">
        <v>1962</v>
      </c>
      <c r="S408" t="s">
        <v>8</v>
      </c>
      <c r="T408" t="s">
        <v>1026</v>
      </c>
      <c r="U408" t="s">
        <v>123</v>
      </c>
      <c r="V408" t="s">
        <v>1743</v>
      </c>
      <c r="W408" t="s">
        <v>1862</v>
      </c>
      <c r="AA408">
        <v>303</v>
      </c>
      <c r="AB408" t="s">
        <v>1860</v>
      </c>
    </row>
    <row r="409" spans="1:31" ht="13" customHeight="1">
      <c r="A409">
        <v>72</v>
      </c>
      <c r="C409" t="s">
        <v>529</v>
      </c>
      <c r="D409" t="s">
        <v>530</v>
      </c>
      <c r="E409" t="s">
        <v>665</v>
      </c>
      <c r="F409" t="s">
        <v>115</v>
      </c>
      <c r="H409" t="s">
        <v>6</v>
      </c>
      <c r="I409" t="s">
        <v>168</v>
      </c>
      <c r="J409" t="s">
        <v>531</v>
      </c>
      <c r="K409" t="s">
        <v>399</v>
      </c>
      <c r="L409" s="2">
        <v>33059</v>
      </c>
      <c r="N409" t="s">
        <v>400</v>
      </c>
      <c r="O409" t="s">
        <v>120</v>
      </c>
      <c r="P409">
        <v>1</v>
      </c>
      <c r="Q409" t="s">
        <v>401</v>
      </c>
      <c r="S409" t="s">
        <v>121</v>
      </c>
      <c r="T409" t="s">
        <v>402</v>
      </c>
      <c r="U409" t="s">
        <v>123</v>
      </c>
      <c r="V409" t="s">
        <v>175</v>
      </c>
      <c r="W409" t="s">
        <v>20</v>
      </c>
      <c r="X409" t="s">
        <v>145</v>
      </c>
      <c r="AA409">
        <v>72</v>
      </c>
      <c r="AB409" t="s">
        <v>530</v>
      </c>
    </row>
    <row r="410" spans="1:31" ht="13" customHeight="1">
      <c r="A410">
        <v>404</v>
      </c>
      <c r="C410" t="s">
        <v>2561</v>
      </c>
      <c r="D410" t="s">
        <v>2562</v>
      </c>
      <c r="E410" t="s">
        <v>898</v>
      </c>
      <c r="F410" t="s">
        <v>115</v>
      </c>
      <c r="H410" t="s">
        <v>6</v>
      </c>
      <c r="I410" t="s">
        <v>1103</v>
      </c>
      <c r="J410" t="s">
        <v>2448</v>
      </c>
      <c r="K410" t="s">
        <v>2449</v>
      </c>
      <c r="L410" s="2">
        <v>33355</v>
      </c>
      <c r="N410" t="s">
        <v>2450</v>
      </c>
      <c r="O410" t="s">
        <v>564</v>
      </c>
      <c r="P410">
        <v>1</v>
      </c>
      <c r="Q410">
        <v>1969</v>
      </c>
      <c r="S410" t="s">
        <v>8</v>
      </c>
      <c r="T410" s="1" t="s">
        <v>2451</v>
      </c>
      <c r="U410" t="s">
        <v>123</v>
      </c>
      <c r="V410" t="s">
        <v>1107</v>
      </c>
      <c r="W410" t="s">
        <v>1108</v>
      </c>
      <c r="X410" t="s">
        <v>930</v>
      </c>
      <c r="AA410">
        <v>404</v>
      </c>
      <c r="AB410" t="s">
        <v>2562</v>
      </c>
    </row>
    <row r="411" spans="1:31" ht="13" customHeight="1">
      <c r="A411">
        <v>2087</v>
      </c>
      <c r="C411" t="s">
        <v>1213</v>
      </c>
      <c r="D411" t="s">
        <v>1214</v>
      </c>
      <c r="E411" t="s">
        <v>712</v>
      </c>
      <c r="F411" t="s">
        <v>115</v>
      </c>
      <c r="H411" t="s">
        <v>6</v>
      </c>
      <c r="I411" t="e">
        <f>- Lerntest</f>
        <v>#NAME?</v>
      </c>
      <c r="J411" t="s">
        <v>1083</v>
      </c>
      <c r="K411" t="s">
        <v>1068</v>
      </c>
      <c r="L411" s="2">
        <v>33736</v>
      </c>
      <c r="N411" t="s">
        <v>1069</v>
      </c>
      <c r="O411" t="s">
        <v>564</v>
      </c>
      <c r="P411">
        <v>1</v>
      </c>
      <c r="Q411">
        <v>1983</v>
      </c>
      <c r="S411" t="s">
        <v>121</v>
      </c>
      <c r="T411" t="s">
        <v>1070</v>
      </c>
      <c r="U411" t="s">
        <v>749</v>
      </c>
      <c r="V411" t="s">
        <v>1071</v>
      </c>
      <c r="W411" t="s">
        <v>0</v>
      </c>
      <c r="X411" t="s">
        <v>1</v>
      </c>
      <c r="AA411">
        <v>2087</v>
      </c>
      <c r="AB411" t="s">
        <v>1214</v>
      </c>
    </row>
    <row r="412" spans="1:31" ht="13" customHeight="1">
      <c r="A412">
        <v>290</v>
      </c>
      <c r="C412" t="s">
        <v>1903</v>
      </c>
      <c r="D412" t="s">
        <v>1904</v>
      </c>
      <c r="E412" t="s">
        <v>1905</v>
      </c>
      <c r="F412" t="s">
        <v>1826</v>
      </c>
      <c r="H412" t="s">
        <v>6</v>
      </c>
      <c r="I412" t="e">
        <f>- Intelligenztest für $K55:$AE55 und Erw.</f>
        <v>#NAME?</v>
      </c>
      <c r="J412" t="s">
        <v>1906</v>
      </c>
      <c r="K412" t="s">
        <v>1907</v>
      </c>
      <c r="L412" s="2">
        <v>33194</v>
      </c>
      <c r="O412" t="s">
        <v>120</v>
      </c>
      <c r="P412">
        <v>1</v>
      </c>
      <c r="Q412">
        <v>1955</v>
      </c>
      <c r="S412" t="s">
        <v>121</v>
      </c>
      <c r="T412" t="s">
        <v>1908</v>
      </c>
      <c r="U412" t="s">
        <v>123</v>
      </c>
      <c r="V412" t="s">
        <v>174</v>
      </c>
      <c r="W412" t="s">
        <v>760</v>
      </c>
      <c r="X412" t="s">
        <v>1909</v>
      </c>
      <c r="AA412">
        <v>290</v>
      </c>
      <c r="AB412" t="s">
        <v>1910</v>
      </c>
      <c r="AC412" t="s">
        <v>1911</v>
      </c>
      <c r="AD412" t="s">
        <v>1912</v>
      </c>
      <c r="AE412" t="s">
        <v>1913</v>
      </c>
    </row>
    <row r="413" spans="1:31" ht="13" customHeight="1">
      <c r="A413">
        <v>33</v>
      </c>
      <c r="C413" t="s">
        <v>444</v>
      </c>
      <c r="D413" t="s">
        <v>445</v>
      </c>
      <c r="E413" t="s">
        <v>394</v>
      </c>
      <c r="F413" t="s">
        <v>115</v>
      </c>
      <c r="H413" t="s">
        <v>6</v>
      </c>
      <c r="I413" t="e">
        <f>- Schultest</f>
        <v>#NAME?</v>
      </c>
      <c r="J413" t="s">
        <v>318</v>
      </c>
      <c r="K413" t="s">
        <v>446</v>
      </c>
      <c r="L413" s="2">
        <v>33059</v>
      </c>
      <c r="O413" t="s">
        <v>120</v>
      </c>
      <c r="P413">
        <v>1</v>
      </c>
      <c r="Q413" t="s">
        <v>447</v>
      </c>
      <c r="S413" t="s">
        <v>121</v>
      </c>
      <c r="T413" t="s">
        <v>448</v>
      </c>
      <c r="U413" t="s">
        <v>123</v>
      </c>
      <c r="V413" t="s">
        <v>175</v>
      </c>
      <c r="W413" t="s">
        <v>449</v>
      </c>
      <c r="AA413">
        <v>33</v>
      </c>
      <c r="AB413" t="s">
        <v>296</v>
      </c>
      <c r="AC413" t="s">
        <v>297</v>
      </c>
    </row>
    <row r="414" spans="1:31" ht="13" customHeight="1">
      <c r="A414">
        <v>34</v>
      </c>
      <c r="C414" t="s">
        <v>444</v>
      </c>
      <c r="D414" t="s">
        <v>445</v>
      </c>
      <c r="E414" t="s">
        <v>394</v>
      </c>
      <c r="F414" t="s">
        <v>115</v>
      </c>
      <c r="H414" t="s">
        <v>6</v>
      </c>
      <c r="I414" t="e">
        <f>- Schultest</f>
        <v>#NAME?</v>
      </c>
      <c r="J414" t="s">
        <v>450</v>
      </c>
      <c r="K414" t="s">
        <v>446</v>
      </c>
      <c r="L414" s="2">
        <v>33059</v>
      </c>
      <c r="O414" t="s">
        <v>120</v>
      </c>
      <c r="P414">
        <v>1</v>
      </c>
      <c r="Q414" t="s">
        <v>451</v>
      </c>
      <c r="S414" t="s">
        <v>121</v>
      </c>
      <c r="T414" t="s">
        <v>452</v>
      </c>
      <c r="U414" t="s">
        <v>123</v>
      </c>
      <c r="V414" t="s">
        <v>175</v>
      </c>
      <c r="W414" t="s">
        <v>449</v>
      </c>
      <c r="AA414">
        <v>34</v>
      </c>
      <c r="AB414" t="s">
        <v>296</v>
      </c>
      <c r="AC414" t="s">
        <v>297</v>
      </c>
    </row>
    <row r="415" spans="1:31" ht="13" customHeight="1">
      <c r="A415">
        <v>284</v>
      </c>
      <c r="C415" t="s">
        <v>1727</v>
      </c>
      <c r="D415" t="s">
        <v>1728</v>
      </c>
      <c r="E415" t="s">
        <v>1651</v>
      </c>
      <c r="F415" t="s">
        <v>115</v>
      </c>
      <c r="H415" t="s">
        <v>730</v>
      </c>
      <c r="I415" t="e">
        <f>- Einstellungstest</f>
        <v>#NAME?</v>
      </c>
      <c r="J415" t="s">
        <v>1729</v>
      </c>
      <c r="K415" t="s">
        <v>1730</v>
      </c>
      <c r="L415" s="2">
        <v>33191</v>
      </c>
      <c r="N415" t="s">
        <v>1731</v>
      </c>
      <c r="O415" t="s">
        <v>564</v>
      </c>
      <c r="P415">
        <v>1</v>
      </c>
      <c r="Q415">
        <v>1966</v>
      </c>
      <c r="S415" t="s">
        <v>8</v>
      </c>
      <c r="T415" t="s">
        <v>1732</v>
      </c>
      <c r="U415" t="s">
        <v>123</v>
      </c>
      <c r="V415" t="s">
        <v>1733</v>
      </c>
      <c r="W415" t="s">
        <v>1734</v>
      </c>
      <c r="X415" t="s">
        <v>1735</v>
      </c>
      <c r="AA415">
        <v>284</v>
      </c>
      <c r="AB415" t="s">
        <v>1728</v>
      </c>
    </row>
    <row r="416" spans="1:31" ht="13" customHeight="1">
      <c r="A416">
        <v>124.1</v>
      </c>
      <c r="B416">
        <v>1</v>
      </c>
      <c r="C416" t="s">
        <v>1459</v>
      </c>
      <c r="D416" t="s">
        <v>1460</v>
      </c>
      <c r="E416" t="s">
        <v>835</v>
      </c>
      <c r="F416" t="s">
        <v>115</v>
      </c>
      <c r="H416" t="s">
        <v>6</v>
      </c>
      <c r="I416" t="e">
        <f>- Intelligenztest für $K94:$AE94</f>
        <v>#NAME?</v>
      </c>
      <c r="J416" t="s">
        <v>1336</v>
      </c>
      <c r="K416" t="s">
        <v>0</v>
      </c>
      <c r="L416" s="2">
        <v>33610</v>
      </c>
      <c r="N416" t="s">
        <v>1337</v>
      </c>
      <c r="O416" t="s">
        <v>564</v>
      </c>
      <c r="P416">
        <v>2</v>
      </c>
      <c r="Q416">
        <v>1967</v>
      </c>
      <c r="S416" t="s">
        <v>8</v>
      </c>
      <c r="T416" t="s">
        <v>1338</v>
      </c>
      <c r="U416" t="s">
        <v>123</v>
      </c>
      <c r="V416" t="s">
        <v>0</v>
      </c>
      <c r="AA416">
        <v>124</v>
      </c>
      <c r="AB416" t="s">
        <v>1460</v>
      </c>
    </row>
    <row r="417" spans="1:31" ht="13" customHeight="1">
      <c r="A417">
        <v>124.2</v>
      </c>
      <c r="B417">
        <v>2</v>
      </c>
      <c r="C417" t="s">
        <v>1459</v>
      </c>
      <c r="D417" t="s">
        <v>1339</v>
      </c>
      <c r="E417" t="s">
        <v>835</v>
      </c>
      <c r="F417" t="s">
        <v>115</v>
      </c>
      <c r="H417" t="s">
        <v>6</v>
      </c>
      <c r="I417" t="e">
        <f>- Intelligenztest für $K94:$AE94</f>
        <v>#NAME?</v>
      </c>
      <c r="J417" t="s">
        <v>1336</v>
      </c>
      <c r="K417" t="s">
        <v>0</v>
      </c>
      <c r="L417" s="2">
        <v>33610</v>
      </c>
      <c r="N417" t="s">
        <v>1337</v>
      </c>
      <c r="O417" t="s">
        <v>564</v>
      </c>
      <c r="P417">
        <v>2</v>
      </c>
      <c r="Q417">
        <v>1967</v>
      </c>
      <c r="S417" t="s">
        <v>8</v>
      </c>
      <c r="T417" t="s">
        <v>1340</v>
      </c>
      <c r="U417" t="s">
        <v>123</v>
      </c>
      <c r="V417" t="s">
        <v>0</v>
      </c>
      <c r="AB417" t="s">
        <v>1341</v>
      </c>
    </row>
    <row r="418" spans="1:31" ht="13" customHeight="1">
      <c r="A418">
        <v>12</v>
      </c>
      <c r="C418" t="s">
        <v>307</v>
      </c>
      <c r="D418" t="s">
        <v>308</v>
      </c>
      <c r="E418" t="s">
        <v>247</v>
      </c>
      <c r="F418" t="s">
        <v>115</v>
      </c>
      <c r="H418" t="s">
        <v>6</v>
      </c>
      <c r="I418" t="s">
        <v>168</v>
      </c>
      <c r="J418" t="s">
        <v>309</v>
      </c>
      <c r="K418" t="s">
        <v>175</v>
      </c>
      <c r="L418" s="2">
        <v>33059</v>
      </c>
      <c r="M418" t="s">
        <v>310</v>
      </c>
      <c r="O418" t="s">
        <v>120</v>
      </c>
      <c r="P418">
        <v>1</v>
      </c>
      <c r="Q418" t="s">
        <v>311</v>
      </c>
      <c r="S418" t="s">
        <v>121</v>
      </c>
      <c r="T418" t="s">
        <v>312</v>
      </c>
      <c r="U418" t="s">
        <v>123</v>
      </c>
      <c r="V418" t="s">
        <v>175</v>
      </c>
      <c r="AA418">
        <v>12</v>
      </c>
      <c r="AB418" t="s">
        <v>313</v>
      </c>
      <c r="AC418" t="s">
        <v>314</v>
      </c>
      <c r="AD418" t="s">
        <v>315</v>
      </c>
    </row>
    <row r="419" spans="1:31" ht="13" customHeight="1">
      <c r="A419">
        <v>17</v>
      </c>
      <c r="C419" t="s">
        <v>62</v>
      </c>
      <c r="D419" t="s">
        <v>253</v>
      </c>
      <c r="E419" t="s">
        <v>247</v>
      </c>
      <c r="F419" t="s">
        <v>115</v>
      </c>
      <c r="H419" t="s">
        <v>6</v>
      </c>
      <c r="I419" t="e">
        <f>- spez. Funktionsprüfungs- und Eignungstest</f>
        <v>#NAME?</v>
      </c>
      <c r="J419" t="s">
        <v>177</v>
      </c>
      <c r="K419" t="s">
        <v>63</v>
      </c>
      <c r="L419" s="2">
        <v>33122</v>
      </c>
      <c r="O419" t="s">
        <v>120</v>
      </c>
      <c r="P419">
        <v>1</v>
      </c>
      <c r="Q419">
        <v>1947</v>
      </c>
      <c r="S419" t="s">
        <v>121</v>
      </c>
      <c r="T419" t="s">
        <v>64</v>
      </c>
      <c r="U419" t="s">
        <v>123</v>
      </c>
      <c r="V419" t="s">
        <v>63</v>
      </c>
      <c r="AA419">
        <v>17</v>
      </c>
      <c r="AB419" t="s">
        <v>253</v>
      </c>
    </row>
    <row r="420" spans="1:31" ht="13" customHeight="1">
      <c r="A420">
        <v>16</v>
      </c>
      <c r="C420" t="s">
        <v>54</v>
      </c>
      <c r="D420" t="s">
        <v>55</v>
      </c>
      <c r="E420" t="s">
        <v>247</v>
      </c>
      <c r="F420" t="s">
        <v>115</v>
      </c>
      <c r="H420" t="s">
        <v>6</v>
      </c>
      <c r="I420" t="e">
        <f>- Intelligenztest für Jugendliche und Erw.</f>
        <v>#NAME?</v>
      </c>
      <c r="J420" t="s">
        <v>56</v>
      </c>
      <c r="K420" t="s">
        <v>57</v>
      </c>
      <c r="L420" s="2">
        <v>33577</v>
      </c>
      <c r="M420" t="s">
        <v>58</v>
      </c>
      <c r="O420" t="s">
        <v>120</v>
      </c>
      <c r="P420">
        <v>1</v>
      </c>
      <c r="Q420">
        <v>1947</v>
      </c>
      <c r="S420" t="s">
        <v>121</v>
      </c>
      <c r="T420" t="s">
        <v>59</v>
      </c>
      <c r="U420" t="s">
        <v>123</v>
      </c>
      <c r="V420" t="s">
        <v>0</v>
      </c>
      <c r="W420" t="s">
        <v>1</v>
      </c>
      <c r="AA420">
        <v>16</v>
      </c>
      <c r="AB420" t="s">
        <v>60</v>
      </c>
      <c r="AC420" t="s">
        <v>61</v>
      </c>
    </row>
    <row r="421" spans="1:31" ht="13" customHeight="1">
      <c r="A421">
        <v>327</v>
      </c>
      <c r="C421" t="s">
        <v>2116</v>
      </c>
      <c r="D421" t="s">
        <v>2117</v>
      </c>
      <c r="E421" t="s">
        <v>2118</v>
      </c>
      <c r="F421" t="s">
        <v>115</v>
      </c>
      <c r="H421" t="s">
        <v>6</v>
      </c>
      <c r="I421" t="e">
        <f>- spez. Funktionsprüfungs- und Eignungstest</f>
        <v>#NAME?</v>
      </c>
      <c r="J421" t="s">
        <v>2119</v>
      </c>
      <c r="K421" t="s">
        <v>2120</v>
      </c>
      <c r="L421" s="2">
        <v>33582</v>
      </c>
      <c r="O421" t="s">
        <v>120</v>
      </c>
      <c r="P421">
        <v>1</v>
      </c>
      <c r="Q421">
        <v>1965</v>
      </c>
      <c r="S421" t="s">
        <v>8</v>
      </c>
      <c r="T421" t="s">
        <v>1992</v>
      </c>
      <c r="U421" t="s">
        <v>123</v>
      </c>
      <c r="V421" t="s">
        <v>1993</v>
      </c>
      <c r="W421" t="s">
        <v>1994</v>
      </c>
      <c r="X421" t="s">
        <v>1995</v>
      </c>
      <c r="AA421">
        <v>327</v>
      </c>
      <c r="AB421" t="s">
        <v>1996</v>
      </c>
      <c r="AC421" t="s">
        <v>1997</v>
      </c>
      <c r="AD421" t="s">
        <v>1998</v>
      </c>
    </row>
    <row r="422" spans="1:31" ht="13" customHeight="1">
      <c r="A422">
        <v>81</v>
      </c>
      <c r="C422" t="s">
        <v>572</v>
      </c>
      <c r="D422" t="s">
        <v>573</v>
      </c>
      <c r="E422" t="s">
        <v>574</v>
      </c>
      <c r="F422" t="s">
        <v>115</v>
      </c>
      <c r="H422" t="s">
        <v>6</v>
      </c>
      <c r="I422" t="s">
        <v>168</v>
      </c>
      <c r="J422" t="s">
        <v>589</v>
      </c>
      <c r="K422" t="s">
        <v>478</v>
      </c>
      <c r="L422" s="2">
        <v>33577</v>
      </c>
      <c r="O422" t="s">
        <v>120</v>
      </c>
      <c r="P422">
        <v>1</v>
      </c>
      <c r="Q422">
        <v>1965</v>
      </c>
      <c r="S422" t="s">
        <v>8</v>
      </c>
      <c r="T422" t="s">
        <v>575</v>
      </c>
      <c r="U422" t="s">
        <v>123</v>
      </c>
      <c r="V422" t="s">
        <v>175</v>
      </c>
      <c r="W422" t="s">
        <v>20</v>
      </c>
      <c r="X422" t="s">
        <v>145</v>
      </c>
      <c r="AA422">
        <v>81</v>
      </c>
      <c r="AB422" t="s">
        <v>717</v>
      </c>
      <c r="AC422" t="s">
        <v>718</v>
      </c>
      <c r="AD422" t="s">
        <v>719</v>
      </c>
      <c r="AE422" t="s">
        <v>720</v>
      </c>
    </row>
    <row r="423" spans="1:31" ht="13" customHeight="1">
      <c r="A423">
        <v>248</v>
      </c>
      <c r="C423" t="s">
        <v>572</v>
      </c>
      <c r="D423" t="s">
        <v>1354</v>
      </c>
      <c r="E423" t="s">
        <v>1571</v>
      </c>
      <c r="F423" t="s">
        <v>115</v>
      </c>
      <c r="H423" t="s">
        <v>6</v>
      </c>
      <c r="I423" t="s">
        <v>168</v>
      </c>
      <c r="J423" t="s">
        <v>1355</v>
      </c>
      <c r="K423" t="s">
        <v>16</v>
      </c>
      <c r="L423" s="2">
        <v>33192</v>
      </c>
      <c r="O423" t="s">
        <v>120</v>
      </c>
      <c r="P423">
        <v>1</v>
      </c>
      <c r="Q423">
        <v>1964</v>
      </c>
      <c r="S423" t="s">
        <v>8</v>
      </c>
      <c r="T423" t="s">
        <v>1356</v>
      </c>
      <c r="U423" t="s">
        <v>123</v>
      </c>
      <c r="V423" t="s">
        <v>175</v>
      </c>
      <c r="W423" t="s">
        <v>20</v>
      </c>
      <c r="AA423">
        <v>248</v>
      </c>
      <c r="AB423" t="s">
        <v>1357</v>
      </c>
      <c r="AC423" t="s">
        <v>1358</v>
      </c>
      <c r="AD423" t="s">
        <v>1359</v>
      </c>
      <c r="AE423" t="s">
        <v>1360</v>
      </c>
    </row>
    <row r="424" spans="1:31" ht="13" customHeight="1">
      <c r="A424">
        <v>249</v>
      </c>
      <c r="C424" t="s">
        <v>572</v>
      </c>
      <c r="D424" t="s">
        <v>1354</v>
      </c>
      <c r="E424" t="s">
        <v>1571</v>
      </c>
      <c r="F424" t="s">
        <v>115</v>
      </c>
      <c r="H424" t="s">
        <v>6</v>
      </c>
      <c r="I424" t="s">
        <v>168</v>
      </c>
      <c r="J424" t="s">
        <v>1361</v>
      </c>
      <c r="K424" t="s">
        <v>16</v>
      </c>
      <c r="L424" s="2">
        <v>33192</v>
      </c>
      <c r="O424" t="s">
        <v>120</v>
      </c>
      <c r="P424">
        <v>1</v>
      </c>
      <c r="Q424">
        <v>1964</v>
      </c>
      <c r="S424" t="s">
        <v>8</v>
      </c>
      <c r="T424" t="s">
        <v>1362</v>
      </c>
      <c r="U424" t="s">
        <v>123</v>
      </c>
      <c r="V424" t="s">
        <v>175</v>
      </c>
      <c r="W424" t="s">
        <v>20</v>
      </c>
      <c r="AA424">
        <v>249</v>
      </c>
      <c r="AB424" t="s">
        <v>1357</v>
      </c>
      <c r="AC424" t="s">
        <v>1358</v>
      </c>
      <c r="AD424" t="s">
        <v>1359</v>
      </c>
      <c r="AE424" t="s">
        <v>1360</v>
      </c>
    </row>
    <row r="425" spans="1:31" ht="13" customHeight="1">
      <c r="A425">
        <v>250</v>
      </c>
      <c r="C425" t="s">
        <v>572</v>
      </c>
      <c r="D425" t="s">
        <v>1354</v>
      </c>
      <c r="E425" t="s">
        <v>1571</v>
      </c>
      <c r="F425" t="s">
        <v>115</v>
      </c>
      <c r="H425" t="s">
        <v>6</v>
      </c>
      <c r="I425" t="s">
        <v>168</v>
      </c>
      <c r="J425" t="s">
        <v>1363</v>
      </c>
      <c r="K425" t="s">
        <v>16</v>
      </c>
      <c r="L425" s="2">
        <v>33192</v>
      </c>
      <c r="O425" t="s">
        <v>120</v>
      </c>
      <c r="P425">
        <v>1</v>
      </c>
      <c r="Q425">
        <v>1964</v>
      </c>
      <c r="S425" t="s">
        <v>8</v>
      </c>
      <c r="T425" t="s">
        <v>1497</v>
      </c>
      <c r="U425" t="s">
        <v>123</v>
      </c>
      <c r="V425" t="s">
        <v>175</v>
      </c>
      <c r="W425" t="s">
        <v>20</v>
      </c>
      <c r="AA425">
        <v>250</v>
      </c>
      <c r="AB425" t="s">
        <v>1357</v>
      </c>
      <c r="AC425" t="s">
        <v>1358</v>
      </c>
      <c r="AD425" t="s">
        <v>1359</v>
      </c>
      <c r="AE425" t="s">
        <v>1360</v>
      </c>
    </row>
    <row r="426" spans="1:31" ht="13" customHeight="1">
      <c r="A426">
        <v>251</v>
      </c>
      <c r="C426" t="s">
        <v>572</v>
      </c>
      <c r="D426" t="s">
        <v>1354</v>
      </c>
      <c r="E426" t="s">
        <v>1571</v>
      </c>
      <c r="F426" t="s">
        <v>115</v>
      </c>
      <c r="H426" t="s">
        <v>6</v>
      </c>
      <c r="I426" t="s">
        <v>168</v>
      </c>
      <c r="J426" t="s">
        <v>1498</v>
      </c>
      <c r="K426" t="s">
        <v>16</v>
      </c>
      <c r="L426" s="2">
        <v>33192</v>
      </c>
      <c r="O426" t="s">
        <v>120</v>
      </c>
      <c r="P426">
        <v>1</v>
      </c>
      <c r="Q426">
        <v>1964</v>
      </c>
      <c r="S426" t="s">
        <v>8</v>
      </c>
      <c r="T426" t="s">
        <v>1499</v>
      </c>
      <c r="U426" t="s">
        <v>123</v>
      </c>
      <c r="V426" t="s">
        <v>175</v>
      </c>
      <c r="W426" t="s">
        <v>20</v>
      </c>
      <c r="AA426">
        <v>251</v>
      </c>
      <c r="AB426" t="s">
        <v>1357</v>
      </c>
      <c r="AC426" t="s">
        <v>1358</v>
      </c>
      <c r="AD426" t="s">
        <v>1359</v>
      </c>
      <c r="AE426" t="s">
        <v>1360</v>
      </c>
    </row>
    <row r="427" spans="1:31" ht="13" customHeight="1">
      <c r="A427">
        <v>173</v>
      </c>
      <c r="C427" t="s">
        <v>843</v>
      </c>
      <c r="D427" t="s">
        <v>844</v>
      </c>
      <c r="E427" t="s">
        <v>845</v>
      </c>
      <c r="F427" t="s">
        <v>115</v>
      </c>
      <c r="G427" s="2">
        <v>32838</v>
      </c>
      <c r="H427" t="s">
        <v>730</v>
      </c>
      <c r="I427" t="e">
        <f>- eindimensionaler Persönlichkeits-Test</f>
        <v>#NAME?</v>
      </c>
      <c r="J427" t="s">
        <v>985</v>
      </c>
      <c r="K427" t="s">
        <v>986</v>
      </c>
      <c r="L427" s="2">
        <v>33955</v>
      </c>
      <c r="M427" t="s">
        <v>1135</v>
      </c>
      <c r="N427" t="s">
        <v>1136</v>
      </c>
      <c r="O427" t="s">
        <v>564</v>
      </c>
      <c r="P427">
        <v>1</v>
      </c>
      <c r="Q427">
        <v>1992</v>
      </c>
      <c r="S427" t="s">
        <v>8</v>
      </c>
      <c r="T427" t="s">
        <v>1137</v>
      </c>
      <c r="U427" t="s">
        <v>123</v>
      </c>
      <c r="V427" t="s">
        <v>986</v>
      </c>
      <c r="AA427">
        <v>173</v>
      </c>
      <c r="AB427" t="s">
        <v>1138</v>
      </c>
      <c r="AC427" t="s">
        <v>1139</v>
      </c>
      <c r="AD427" t="s">
        <v>1140</v>
      </c>
    </row>
    <row r="428" spans="1:31" ht="13" customHeight="1">
      <c r="A428">
        <v>139</v>
      </c>
      <c r="C428" t="s">
        <v>933</v>
      </c>
      <c r="D428" t="s">
        <v>802</v>
      </c>
      <c r="E428" s="1" t="s">
        <v>803</v>
      </c>
      <c r="F428" t="s">
        <v>115</v>
      </c>
      <c r="H428" t="s">
        <v>804</v>
      </c>
      <c r="I428" t="e">
        <f>- zeichnerisches Gestaltungsverfahren</f>
        <v>#NAME?</v>
      </c>
      <c r="J428" t="s">
        <v>805</v>
      </c>
      <c r="K428" t="s">
        <v>806</v>
      </c>
      <c r="L428" s="2">
        <v>33907</v>
      </c>
      <c r="O428" t="s">
        <v>564</v>
      </c>
      <c r="P428">
        <v>1</v>
      </c>
      <c r="Q428">
        <v>1979</v>
      </c>
      <c r="S428" t="s">
        <v>8</v>
      </c>
      <c r="T428" t="s">
        <v>626</v>
      </c>
      <c r="U428" t="s">
        <v>123</v>
      </c>
      <c r="V428" t="s">
        <v>464</v>
      </c>
      <c r="W428" t="s">
        <v>677</v>
      </c>
      <c r="X428" t="s">
        <v>807</v>
      </c>
      <c r="Y428" t="s">
        <v>808</v>
      </c>
      <c r="AA428">
        <v>139</v>
      </c>
      <c r="AB428" t="s">
        <v>802</v>
      </c>
    </row>
    <row r="429" spans="1:31" ht="13" customHeight="1">
      <c r="A429">
        <v>111</v>
      </c>
      <c r="C429" t="s">
        <v>1342</v>
      </c>
      <c r="D429" t="s">
        <v>1343</v>
      </c>
      <c r="E429" t="s">
        <v>1344</v>
      </c>
      <c r="F429" t="s">
        <v>14</v>
      </c>
      <c r="H429" t="s">
        <v>730</v>
      </c>
      <c r="I429" t="e">
        <f>- Einstellungstest</f>
        <v>#NAME?</v>
      </c>
      <c r="J429" t="s">
        <v>879</v>
      </c>
      <c r="K429" t="s">
        <v>1345</v>
      </c>
      <c r="L429" s="2">
        <v>33582</v>
      </c>
      <c r="O429" t="s">
        <v>120</v>
      </c>
      <c r="P429">
        <v>1</v>
      </c>
      <c r="Q429">
        <v>1941</v>
      </c>
      <c r="S429" t="s">
        <v>8</v>
      </c>
      <c r="T429" t="s">
        <v>1223</v>
      </c>
      <c r="U429" t="s">
        <v>123</v>
      </c>
      <c r="V429" t="s">
        <v>1224</v>
      </c>
      <c r="W429" t="s">
        <v>1324</v>
      </c>
      <c r="AA429">
        <v>111</v>
      </c>
      <c r="AB429" t="s">
        <v>1343</v>
      </c>
    </row>
    <row r="430" spans="1:31" ht="13" customHeight="1">
      <c r="A430">
        <v>104</v>
      </c>
      <c r="C430" t="s">
        <v>544</v>
      </c>
      <c r="D430" t="s">
        <v>545</v>
      </c>
      <c r="E430" t="s">
        <v>425</v>
      </c>
      <c r="F430" t="s">
        <v>115</v>
      </c>
      <c r="H430" t="s">
        <v>730</v>
      </c>
      <c r="I430" t="e">
        <f>- Einstellungstest</f>
        <v>#NAME?</v>
      </c>
      <c r="J430" t="s">
        <v>546</v>
      </c>
      <c r="K430" t="s">
        <v>547</v>
      </c>
      <c r="L430" s="2">
        <v>33127</v>
      </c>
      <c r="O430" t="s">
        <v>120</v>
      </c>
      <c r="P430">
        <v>1</v>
      </c>
      <c r="Q430">
        <v>1960</v>
      </c>
      <c r="S430" t="s">
        <v>8</v>
      </c>
      <c r="T430" t="s">
        <v>667</v>
      </c>
      <c r="U430" t="s">
        <v>123</v>
      </c>
      <c r="V430" t="s">
        <v>464</v>
      </c>
      <c r="W430" t="s">
        <v>548</v>
      </c>
      <c r="X430" t="s">
        <v>549</v>
      </c>
      <c r="Y430" t="s">
        <v>550</v>
      </c>
      <c r="Z430" t="s">
        <v>551</v>
      </c>
      <c r="AA430">
        <v>104</v>
      </c>
      <c r="AB430" t="s">
        <v>552</v>
      </c>
      <c r="AC430" t="s">
        <v>553</v>
      </c>
      <c r="AD430" t="s">
        <v>554</v>
      </c>
    </row>
    <row r="431" spans="1:31" ht="13" customHeight="1">
      <c r="A431">
        <v>343</v>
      </c>
      <c r="C431" t="s">
        <v>2228</v>
      </c>
      <c r="D431" t="s">
        <v>1962</v>
      </c>
      <c r="E431" t="s">
        <v>1963</v>
      </c>
      <c r="F431" t="s">
        <v>115</v>
      </c>
      <c r="H431" t="s">
        <v>6</v>
      </c>
      <c r="I431" t="e">
        <f>- Schultest</f>
        <v>#NAME?</v>
      </c>
      <c r="J431" t="s">
        <v>1827</v>
      </c>
      <c r="K431" t="s">
        <v>2229</v>
      </c>
      <c r="L431" s="2">
        <v>33659</v>
      </c>
      <c r="O431" t="s">
        <v>120</v>
      </c>
      <c r="P431">
        <v>1</v>
      </c>
      <c r="Q431">
        <v>1968</v>
      </c>
      <c r="R431" t="s">
        <v>2226</v>
      </c>
      <c r="S431" t="s">
        <v>8</v>
      </c>
      <c r="T431" t="s">
        <v>2227</v>
      </c>
      <c r="U431" t="s">
        <v>123</v>
      </c>
      <c r="V431" t="s">
        <v>175</v>
      </c>
      <c r="W431" t="s">
        <v>1983</v>
      </c>
      <c r="X431" t="s">
        <v>2230</v>
      </c>
      <c r="Y431" t="s">
        <v>930</v>
      </c>
      <c r="AA431">
        <v>343</v>
      </c>
      <c r="AB431" t="s">
        <v>1962</v>
      </c>
    </row>
    <row r="432" spans="1:31" ht="13" customHeight="1">
      <c r="A432">
        <v>282</v>
      </c>
      <c r="C432" t="s">
        <v>1839</v>
      </c>
      <c r="D432" t="s">
        <v>1840</v>
      </c>
      <c r="E432" t="s">
        <v>1058</v>
      </c>
      <c r="F432" t="s">
        <v>1826</v>
      </c>
      <c r="H432" t="s">
        <v>730</v>
      </c>
      <c r="I432" t="e">
        <f>- Einstellungstest</f>
        <v>#NAME?</v>
      </c>
      <c r="J432" t="s">
        <v>1841</v>
      </c>
      <c r="K432" t="s">
        <v>1842</v>
      </c>
      <c r="L432" s="2">
        <v>33191</v>
      </c>
      <c r="N432" t="s">
        <v>1843</v>
      </c>
      <c r="O432" t="s">
        <v>120</v>
      </c>
      <c r="P432">
        <v>1</v>
      </c>
      <c r="Q432">
        <v>1956</v>
      </c>
      <c r="S432" t="s">
        <v>8</v>
      </c>
      <c r="T432" t="s">
        <v>1844</v>
      </c>
      <c r="U432" t="s">
        <v>123</v>
      </c>
      <c r="V432" t="s">
        <v>1845</v>
      </c>
      <c r="W432" t="s">
        <v>1846</v>
      </c>
      <c r="X432" t="s">
        <v>489</v>
      </c>
      <c r="AA432">
        <v>282</v>
      </c>
      <c r="AB432" t="s">
        <v>1847</v>
      </c>
      <c r="AC432" t="s">
        <v>1848</v>
      </c>
    </row>
    <row r="433" spans="1:29" ht="13" customHeight="1">
      <c r="A433">
        <v>283.10000000000002</v>
      </c>
      <c r="B433">
        <v>1</v>
      </c>
      <c r="C433" t="s">
        <v>1839</v>
      </c>
      <c r="D433" t="s">
        <v>1840</v>
      </c>
      <c r="E433" t="s">
        <v>1058</v>
      </c>
      <c r="F433" t="s">
        <v>784</v>
      </c>
      <c r="H433" t="s">
        <v>730</v>
      </c>
      <c r="I433" t="e">
        <f>- Einstellungstest</f>
        <v>#NAME?</v>
      </c>
      <c r="J433" t="s">
        <v>1849</v>
      </c>
      <c r="K433" t="s">
        <v>1723</v>
      </c>
      <c r="L433" s="2">
        <v>33191</v>
      </c>
      <c r="N433" t="s">
        <v>1843</v>
      </c>
      <c r="O433" t="s">
        <v>120</v>
      </c>
      <c r="P433">
        <v>2</v>
      </c>
      <c r="Q433">
        <v>1967</v>
      </c>
      <c r="S433" t="s">
        <v>8</v>
      </c>
      <c r="T433" t="s">
        <v>1724</v>
      </c>
      <c r="U433" t="s">
        <v>123</v>
      </c>
      <c r="V433" t="s">
        <v>1725</v>
      </c>
      <c r="W433" t="s">
        <v>1726</v>
      </c>
      <c r="X433" t="s">
        <v>489</v>
      </c>
      <c r="AA433">
        <v>283</v>
      </c>
      <c r="AB433" t="s">
        <v>1847</v>
      </c>
      <c r="AC433" t="s">
        <v>1848</v>
      </c>
    </row>
    <row r="434" spans="1:29" ht="13" customHeight="1">
      <c r="A434">
        <v>283.2</v>
      </c>
      <c r="B434">
        <v>2</v>
      </c>
      <c r="C434" t="s">
        <v>1839</v>
      </c>
      <c r="D434" t="s">
        <v>1840</v>
      </c>
      <c r="E434" t="s">
        <v>1058</v>
      </c>
      <c r="F434" t="s">
        <v>784</v>
      </c>
      <c r="H434" t="s">
        <v>730</v>
      </c>
      <c r="I434" t="e">
        <f>- Einstellungstest</f>
        <v>#NAME?</v>
      </c>
      <c r="J434" t="s">
        <v>1849</v>
      </c>
      <c r="K434" t="s">
        <v>1723</v>
      </c>
      <c r="L434" s="2">
        <v>33191</v>
      </c>
      <c r="N434" t="s">
        <v>1843</v>
      </c>
      <c r="O434" t="s">
        <v>120</v>
      </c>
      <c r="P434">
        <v>2</v>
      </c>
      <c r="Q434">
        <v>1967</v>
      </c>
      <c r="S434" t="s">
        <v>8</v>
      </c>
      <c r="T434" t="s">
        <v>1724</v>
      </c>
      <c r="U434" t="s">
        <v>123</v>
      </c>
      <c r="V434" t="s">
        <v>1725</v>
      </c>
      <c r="W434" t="s">
        <v>1726</v>
      </c>
      <c r="X434" t="s">
        <v>489</v>
      </c>
      <c r="AB434" t="s">
        <v>1847</v>
      </c>
      <c r="AC434" t="s">
        <v>1848</v>
      </c>
    </row>
    <row r="435" spans="1:29" ht="13" customHeight="1">
      <c r="A435">
        <v>262.10000000000002</v>
      </c>
      <c r="B435">
        <v>1</v>
      </c>
      <c r="C435" t="s">
        <v>1419</v>
      </c>
      <c r="D435" t="s">
        <v>1471</v>
      </c>
      <c r="E435" t="s">
        <v>1471</v>
      </c>
      <c r="F435" t="s">
        <v>115</v>
      </c>
      <c r="H435" t="s">
        <v>6</v>
      </c>
      <c r="I435" t="e">
        <f>- Intelligenztest für $K55:$AE55 und Erw.</f>
        <v>#NAME?</v>
      </c>
      <c r="J435" t="s">
        <v>849</v>
      </c>
      <c r="K435" t="s">
        <v>1420</v>
      </c>
      <c r="L435" s="2">
        <v>33844</v>
      </c>
      <c r="N435" t="s">
        <v>1421</v>
      </c>
      <c r="O435" t="s">
        <v>745</v>
      </c>
      <c r="P435">
        <v>2</v>
      </c>
      <c r="Q435">
        <v>1961</v>
      </c>
      <c r="S435" t="s">
        <v>8</v>
      </c>
      <c r="T435" t="s">
        <v>1422</v>
      </c>
      <c r="U435" t="s">
        <v>123</v>
      </c>
      <c r="V435" t="s">
        <v>174</v>
      </c>
      <c r="W435" t="s">
        <v>1423</v>
      </c>
      <c r="AA435">
        <v>262</v>
      </c>
      <c r="AB435" t="s">
        <v>1471</v>
      </c>
    </row>
    <row r="436" spans="1:29" ht="13" customHeight="1">
      <c r="A436">
        <v>262.2</v>
      </c>
      <c r="B436">
        <v>2</v>
      </c>
      <c r="C436" t="s">
        <v>1419</v>
      </c>
      <c r="D436" t="s">
        <v>1471</v>
      </c>
      <c r="E436" t="s">
        <v>1471</v>
      </c>
      <c r="F436" t="s">
        <v>115</v>
      </c>
      <c r="H436" t="s">
        <v>6</v>
      </c>
      <c r="I436" t="e">
        <f>- Intelligenztest für $K55:$AE55 und Erw.</f>
        <v>#NAME?</v>
      </c>
      <c r="J436" t="s">
        <v>849</v>
      </c>
      <c r="K436" t="s">
        <v>1420</v>
      </c>
      <c r="L436" s="2">
        <v>33844</v>
      </c>
      <c r="N436" t="s">
        <v>1421</v>
      </c>
      <c r="O436" t="s">
        <v>745</v>
      </c>
      <c r="P436">
        <v>2</v>
      </c>
      <c r="Q436">
        <v>1960</v>
      </c>
      <c r="S436" t="s">
        <v>8</v>
      </c>
      <c r="T436" t="s">
        <v>1422</v>
      </c>
      <c r="U436" t="s">
        <v>123</v>
      </c>
      <c r="V436" t="s">
        <v>174</v>
      </c>
      <c r="W436" t="s">
        <v>1423</v>
      </c>
      <c r="AB436" t="s">
        <v>1471</v>
      </c>
    </row>
    <row r="437" spans="1:29" ht="13" customHeight="1">
      <c r="A437">
        <v>154</v>
      </c>
      <c r="C437" t="s">
        <v>598</v>
      </c>
      <c r="D437" t="s">
        <v>599</v>
      </c>
      <c r="E437" t="s">
        <v>743</v>
      </c>
      <c r="F437" t="s">
        <v>14</v>
      </c>
      <c r="H437" t="s">
        <v>6</v>
      </c>
      <c r="I437" t="e">
        <f>- Intelligenztest für $K55:$AE55 und Erw.</f>
        <v>#NAME?</v>
      </c>
      <c r="J437" t="s">
        <v>76</v>
      </c>
      <c r="K437" t="s">
        <v>118</v>
      </c>
      <c r="L437" s="2">
        <v>33610</v>
      </c>
      <c r="N437" t="s">
        <v>744</v>
      </c>
      <c r="O437" t="s">
        <v>745</v>
      </c>
      <c r="P437">
        <v>1</v>
      </c>
      <c r="Q437">
        <v>1977</v>
      </c>
      <c r="S437" t="s">
        <v>716</v>
      </c>
      <c r="T437" t="s">
        <v>607</v>
      </c>
      <c r="U437" t="s">
        <v>123</v>
      </c>
      <c r="V437" t="s">
        <v>0</v>
      </c>
      <c r="W437" t="s">
        <v>1</v>
      </c>
      <c r="AA437">
        <v>154</v>
      </c>
      <c r="AB437" t="s">
        <v>599</v>
      </c>
    </row>
    <row r="438" spans="1:29" ht="13" customHeight="1">
      <c r="A438">
        <v>247.1</v>
      </c>
      <c r="B438">
        <v>1</v>
      </c>
      <c r="C438" t="s">
        <v>1625</v>
      </c>
      <c r="D438" t="s">
        <v>1473</v>
      </c>
      <c r="E438" t="s">
        <v>1471</v>
      </c>
      <c r="F438" t="s">
        <v>115</v>
      </c>
      <c r="H438" t="s">
        <v>6</v>
      </c>
      <c r="J438" t="s">
        <v>1472</v>
      </c>
      <c r="K438" t="s">
        <v>1348</v>
      </c>
      <c r="L438" s="2">
        <v>33164</v>
      </c>
      <c r="M438" t="s">
        <v>1349</v>
      </c>
      <c r="O438" t="s">
        <v>745</v>
      </c>
      <c r="P438">
        <v>3</v>
      </c>
      <c r="Q438">
        <v>1959</v>
      </c>
      <c r="R438" t="s">
        <v>1350</v>
      </c>
      <c r="S438" t="s">
        <v>8</v>
      </c>
      <c r="T438" t="s">
        <v>1351</v>
      </c>
      <c r="U438" t="s">
        <v>123</v>
      </c>
      <c r="V438" t="s">
        <v>1352</v>
      </c>
      <c r="W438" t="s">
        <v>1353</v>
      </c>
      <c r="X438" t="s">
        <v>364</v>
      </c>
      <c r="Y438" t="s">
        <v>418</v>
      </c>
      <c r="AA438">
        <v>247</v>
      </c>
      <c r="AB438" t="s">
        <v>1473</v>
      </c>
    </row>
    <row r="439" spans="1:29" ht="13" customHeight="1">
      <c r="A439">
        <v>247.2</v>
      </c>
      <c r="B439">
        <v>2</v>
      </c>
      <c r="C439" t="s">
        <v>1625</v>
      </c>
      <c r="D439" t="s">
        <v>1473</v>
      </c>
      <c r="E439" t="s">
        <v>1471</v>
      </c>
      <c r="F439" t="s">
        <v>115</v>
      </c>
      <c r="H439" t="s">
        <v>6</v>
      </c>
      <c r="J439" t="s">
        <v>1472</v>
      </c>
      <c r="K439" t="s">
        <v>1348</v>
      </c>
      <c r="L439" s="2">
        <v>33171</v>
      </c>
      <c r="M439" t="s">
        <v>1349</v>
      </c>
      <c r="O439" t="s">
        <v>745</v>
      </c>
      <c r="P439">
        <v>3</v>
      </c>
      <c r="Q439">
        <v>1959</v>
      </c>
      <c r="R439" t="s">
        <v>1350</v>
      </c>
      <c r="S439" t="s">
        <v>8</v>
      </c>
      <c r="T439" t="s">
        <v>1351</v>
      </c>
      <c r="U439" t="s">
        <v>123</v>
      </c>
      <c r="V439" t="s">
        <v>1352</v>
      </c>
      <c r="W439" t="s">
        <v>1353</v>
      </c>
      <c r="X439" t="s">
        <v>364</v>
      </c>
      <c r="Y439" t="s">
        <v>418</v>
      </c>
      <c r="AB439" t="s">
        <v>1473</v>
      </c>
    </row>
    <row r="440" spans="1:29" ht="13" customHeight="1">
      <c r="A440">
        <v>247.3</v>
      </c>
      <c r="B440">
        <v>3</v>
      </c>
      <c r="C440" t="s">
        <v>1625</v>
      </c>
      <c r="D440" t="s">
        <v>1473</v>
      </c>
      <c r="E440" t="s">
        <v>1471</v>
      </c>
      <c r="F440" t="s">
        <v>115</v>
      </c>
      <c r="H440" t="s">
        <v>6</v>
      </c>
      <c r="J440" t="s">
        <v>1472</v>
      </c>
      <c r="K440" t="s">
        <v>1348</v>
      </c>
      <c r="L440" s="2">
        <v>33171</v>
      </c>
      <c r="M440" t="s">
        <v>1349</v>
      </c>
      <c r="O440" t="s">
        <v>745</v>
      </c>
      <c r="P440">
        <v>3</v>
      </c>
      <c r="Q440">
        <v>1959</v>
      </c>
      <c r="R440" t="s">
        <v>1350</v>
      </c>
      <c r="S440" t="s">
        <v>8</v>
      </c>
      <c r="T440" t="s">
        <v>1351</v>
      </c>
      <c r="U440" t="s">
        <v>123</v>
      </c>
      <c r="V440" t="s">
        <v>1352</v>
      </c>
      <c r="W440" t="s">
        <v>1353</v>
      </c>
      <c r="X440" t="s">
        <v>364</v>
      </c>
      <c r="Y440" t="s">
        <v>418</v>
      </c>
      <c r="AB440" t="s">
        <v>1473</v>
      </c>
    </row>
    <row r="441" spans="1:29" ht="13" customHeight="1">
      <c r="A441">
        <v>273</v>
      </c>
      <c r="C441" t="s">
        <v>1776</v>
      </c>
      <c r="D441" t="s">
        <v>1777</v>
      </c>
      <c r="E441" t="s">
        <v>1471</v>
      </c>
      <c r="F441" t="s">
        <v>115</v>
      </c>
      <c r="H441" t="s">
        <v>804</v>
      </c>
      <c r="I441" t="e">
        <f>- verbal-thematisches Verfahren</f>
        <v>#NAME?</v>
      </c>
      <c r="J441" t="s">
        <v>1693</v>
      </c>
      <c r="K441" t="s">
        <v>1805</v>
      </c>
      <c r="L441" s="2">
        <v>33169</v>
      </c>
      <c r="O441" t="s">
        <v>745</v>
      </c>
      <c r="P441">
        <v>1</v>
      </c>
      <c r="Q441">
        <v>1966</v>
      </c>
      <c r="S441" t="s">
        <v>8</v>
      </c>
      <c r="T441" t="s">
        <v>1806</v>
      </c>
      <c r="U441" t="s">
        <v>123</v>
      </c>
      <c r="V441" t="s">
        <v>464</v>
      </c>
      <c r="W441" t="s">
        <v>1807</v>
      </c>
      <c r="X441" t="s">
        <v>1808</v>
      </c>
      <c r="Y441" t="s">
        <v>1809</v>
      </c>
      <c r="AA441">
        <v>273</v>
      </c>
      <c r="AB441" t="s">
        <v>1810</v>
      </c>
      <c r="AC441" t="s">
        <v>1811</v>
      </c>
    </row>
    <row r="442" spans="1:29" ht="13" customHeight="1">
      <c r="A442">
        <v>367</v>
      </c>
      <c r="C442" t="s">
        <v>2426</v>
      </c>
      <c r="D442" t="s">
        <v>2312</v>
      </c>
      <c r="E442" t="s">
        <v>1471</v>
      </c>
      <c r="F442" t="s">
        <v>267</v>
      </c>
      <c r="H442" t="s">
        <v>6</v>
      </c>
      <c r="I442" t="e">
        <f>- Intelligenztest für $K143:$AE143 und $K55:$AE55</f>
        <v>#NAME?</v>
      </c>
      <c r="J442" t="s">
        <v>2313</v>
      </c>
      <c r="K442" t="s">
        <v>2314</v>
      </c>
      <c r="L442" s="2">
        <v>33278</v>
      </c>
      <c r="O442" t="s">
        <v>745</v>
      </c>
      <c r="P442">
        <v>1</v>
      </c>
      <c r="Q442">
        <v>1960</v>
      </c>
      <c r="S442" t="s">
        <v>8</v>
      </c>
      <c r="T442" t="s">
        <v>2315</v>
      </c>
      <c r="U442" t="s">
        <v>123</v>
      </c>
      <c r="V442" t="s">
        <v>2316</v>
      </c>
      <c r="W442" t="s">
        <v>1</v>
      </c>
      <c r="AA442">
        <v>367</v>
      </c>
      <c r="AB442" t="s">
        <v>2312</v>
      </c>
    </row>
    <row r="443" spans="1:29" ht="13" customHeight="1">
      <c r="A443">
        <v>23</v>
      </c>
      <c r="C443" t="s">
        <v>380</v>
      </c>
      <c r="D443" t="s">
        <v>381</v>
      </c>
      <c r="E443" t="s">
        <v>247</v>
      </c>
      <c r="F443" t="s">
        <v>115</v>
      </c>
      <c r="H443" t="s">
        <v>6</v>
      </c>
      <c r="I443" t="s">
        <v>168</v>
      </c>
      <c r="J443" t="s">
        <v>382</v>
      </c>
      <c r="K443" t="s">
        <v>175</v>
      </c>
      <c r="L443" s="2">
        <v>33059</v>
      </c>
      <c r="M443" t="s">
        <v>383</v>
      </c>
      <c r="O443" t="s">
        <v>120</v>
      </c>
      <c r="P443">
        <v>1</v>
      </c>
      <c r="Q443" t="s">
        <v>384</v>
      </c>
      <c r="S443" t="s">
        <v>121</v>
      </c>
      <c r="T443" t="s">
        <v>385</v>
      </c>
      <c r="U443" t="s">
        <v>123</v>
      </c>
      <c r="V443" t="s">
        <v>175</v>
      </c>
      <c r="AA443">
        <v>23</v>
      </c>
      <c r="AB443" t="s">
        <v>386</v>
      </c>
    </row>
    <row r="444" spans="1:29" ht="13" customHeight="1">
      <c r="A444">
        <v>272</v>
      </c>
      <c r="C444" t="s">
        <v>1769</v>
      </c>
      <c r="D444" t="s">
        <v>1770</v>
      </c>
      <c r="E444" t="s">
        <v>620</v>
      </c>
      <c r="F444" t="s">
        <v>784</v>
      </c>
      <c r="H444" t="s">
        <v>6</v>
      </c>
      <c r="I444" t="e">
        <f>- spez. Funktionsprüfungs- und Eignungstest</f>
        <v>#NAME?</v>
      </c>
      <c r="J444" t="s">
        <v>1771</v>
      </c>
      <c r="K444" t="s">
        <v>1772</v>
      </c>
      <c r="L444" s="2">
        <v>33659</v>
      </c>
      <c r="N444" t="s">
        <v>1773</v>
      </c>
      <c r="O444" t="s">
        <v>564</v>
      </c>
      <c r="P444">
        <v>1</v>
      </c>
      <c r="Q444">
        <v>1990</v>
      </c>
      <c r="S444" t="s">
        <v>8</v>
      </c>
      <c r="T444" t="s">
        <v>1774</v>
      </c>
      <c r="U444" t="s">
        <v>123</v>
      </c>
      <c r="V444" t="s">
        <v>1772</v>
      </c>
      <c r="AA444">
        <v>272</v>
      </c>
      <c r="AB444" t="s">
        <v>1775</v>
      </c>
    </row>
    <row r="445" spans="1:29" ht="13" customHeight="1">
      <c r="A445">
        <v>116</v>
      </c>
      <c r="C445" t="s">
        <v>1225</v>
      </c>
      <c r="D445" t="s">
        <v>1226</v>
      </c>
      <c r="E445" t="s">
        <v>342</v>
      </c>
      <c r="F445" t="s">
        <v>115</v>
      </c>
      <c r="H445" t="s">
        <v>730</v>
      </c>
      <c r="I445" t="e">
        <f>- eindimensionaler Persönlichkeits-Test</f>
        <v>#NAME?</v>
      </c>
      <c r="J445" t="s">
        <v>791</v>
      </c>
      <c r="K445" t="s">
        <v>1092</v>
      </c>
      <c r="L445" s="2">
        <v>33425</v>
      </c>
      <c r="N445" t="s">
        <v>1093</v>
      </c>
      <c r="O445" t="s">
        <v>120</v>
      </c>
      <c r="P445">
        <v>1</v>
      </c>
      <c r="Q445">
        <v>1960</v>
      </c>
      <c r="S445" t="s">
        <v>8</v>
      </c>
      <c r="T445" t="s">
        <v>1026</v>
      </c>
      <c r="U445" t="s">
        <v>123</v>
      </c>
      <c r="V445" t="s">
        <v>1155</v>
      </c>
      <c r="W445" t="s">
        <v>1094</v>
      </c>
      <c r="X445" t="s">
        <v>1095</v>
      </c>
      <c r="Y445" t="s">
        <v>826</v>
      </c>
      <c r="AA445">
        <v>116</v>
      </c>
      <c r="AB445" t="s">
        <v>1226</v>
      </c>
    </row>
    <row r="446" spans="1:29" ht="13" customHeight="1">
      <c r="A446">
        <v>2156</v>
      </c>
      <c r="C446" t="s">
        <v>1082</v>
      </c>
      <c r="D446" t="s">
        <v>948</v>
      </c>
      <c r="E446" t="s">
        <v>949</v>
      </c>
      <c r="F446" t="s">
        <v>115</v>
      </c>
      <c r="H446" t="s">
        <v>6</v>
      </c>
      <c r="I446" t="s">
        <v>139</v>
      </c>
      <c r="J446" t="s">
        <v>1083</v>
      </c>
      <c r="K446" t="s">
        <v>145</v>
      </c>
      <c r="L446" s="2">
        <v>36099</v>
      </c>
      <c r="N446" t="s">
        <v>950</v>
      </c>
      <c r="O446" t="s">
        <v>120</v>
      </c>
      <c r="P446">
        <v>1</v>
      </c>
      <c r="Q446">
        <v>1990</v>
      </c>
      <c r="S446" t="s">
        <v>716</v>
      </c>
      <c r="T446" t="s">
        <v>964</v>
      </c>
      <c r="U446" t="s">
        <v>749</v>
      </c>
      <c r="V446" t="s">
        <v>145</v>
      </c>
      <c r="AA446">
        <v>2156</v>
      </c>
      <c r="AB446" t="s">
        <v>965</v>
      </c>
      <c r="AC446" t="s">
        <v>966</v>
      </c>
    </row>
    <row r="447" spans="1:29" ht="13" customHeight="1">
      <c r="A447">
        <v>18</v>
      </c>
      <c r="C447" t="s">
        <v>65</v>
      </c>
      <c r="D447" t="s">
        <v>253</v>
      </c>
      <c r="E447" t="s">
        <v>247</v>
      </c>
      <c r="F447" t="s">
        <v>115</v>
      </c>
      <c r="H447" t="s">
        <v>6</v>
      </c>
      <c r="I447" t="e">
        <f>- spez. Funktionsprüfungs- und Eignungstest</f>
        <v>#NAME?</v>
      </c>
      <c r="J447" t="s">
        <v>66</v>
      </c>
      <c r="K447" t="s">
        <v>67</v>
      </c>
      <c r="L447" s="2">
        <v>33577</v>
      </c>
      <c r="O447" t="s">
        <v>120</v>
      </c>
      <c r="P447">
        <v>1</v>
      </c>
      <c r="Q447" t="s">
        <v>311</v>
      </c>
      <c r="S447" t="s">
        <v>121</v>
      </c>
      <c r="T447" t="s">
        <v>68</v>
      </c>
      <c r="U447" t="s">
        <v>123</v>
      </c>
      <c r="V447" t="s">
        <v>67</v>
      </c>
      <c r="AA447">
        <v>18</v>
      </c>
      <c r="AB447" t="s">
        <v>253</v>
      </c>
    </row>
    <row r="448" spans="1:29" ht="13" customHeight="1">
      <c r="A448">
        <v>624</v>
      </c>
      <c r="C448" t="s">
        <v>972</v>
      </c>
      <c r="D448" t="s">
        <v>973</v>
      </c>
      <c r="E448" t="s">
        <v>949</v>
      </c>
      <c r="F448" t="s">
        <v>115</v>
      </c>
      <c r="H448" t="s">
        <v>6</v>
      </c>
      <c r="I448" t="s">
        <v>139</v>
      </c>
      <c r="J448" t="s">
        <v>974</v>
      </c>
      <c r="K448" t="s">
        <v>145</v>
      </c>
      <c r="L448" s="2">
        <v>33920</v>
      </c>
      <c r="N448" t="s">
        <v>975</v>
      </c>
      <c r="O448" t="s">
        <v>120</v>
      </c>
      <c r="P448">
        <v>1</v>
      </c>
      <c r="Q448">
        <v>1984</v>
      </c>
      <c r="S448" t="s">
        <v>716</v>
      </c>
      <c r="T448" t="s">
        <v>976</v>
      </c>
      <c r="U448" t="s">
        <v>123</v>
      </c>
      <c r="V448" t="s">
        <v>145</v>
      </c>
      <c r="AA448">
        <v>624</v>
      </c>
      <c r="AB448" t="s">
        <v>977</v>
      </c>
      <c r="AC448" t="s">
        <v>978</v>
      </c>
    </row>
    <row r="449" spans="1:29" ht="13" customHeight="1">
      <c r="A449">
        <v>181</v>
      </c>
      <c r="C449" t="s">
        <v>2356</v>
      </c>
      <c r="D449" t="s">
        <v>2357</v>
      </c>
      <c r="E449" t="s">
        <v>620</v>
      </c>
      <c r="F449" t="s">
        <v>115</v>
      </c>
      <c r="H449" t="s">
        <v>6</v>
      </c>
      <c r="I449" t="e">
        <f>- spez. Funktionsprüfungs- und Eignungstest</f>
        <v>#NAME?</v>
      </c>
      <c r="J449" t="s">
        <v>2358</v>
      </c>
      <c r="K449" t="s">
        <v>2359</v>
      </c>
      <c r="L449" s="2">
        <v>33267</v>
      </c>
      <c r="N449" t="s">
        <v>2360</v>
      </c>
      <c r="O449" t="s">
        <v>564</v>
      </c>
      <c r="P449">
        <v>1</v>
      </c>
      <c r="Q449">
        <v>1973</v>
      </c>
      <c r="S449" t="s">
        <v>8</v>
      </c>
      <c r="T449" s="1" t="s">
        <v>2361</v>
      </c>
      <c r="U449" t="s">
        <v>123</v>
      </c>
      <c r="V449" t="s">
        <v>2362</v>
      </c>
      <c r="W449" t="s">
        <v>2363</v>
      </c>
      <c r="X449" t="s">
        <v>2364</v>
      </c>
      <c r="Y449" t="s">
        <v>1900</v>
      </c>
      <c r="AA449">
        <v>181</v>
      </c>
      <c r="AB449" t="s">
        <v>2357</v>
      </c>
    </row>
    <row r="450" spans="1:29" ht="13" customHeight="1">
      <c r="A450">
        <v>4</v>
      </c>
      <c r="C450" t="s">
        <v>252</v>
      </c>
      <c r="D450" t="s">
        <v>253</v>
      </c>
      <c r="E450" t="s">
        <v>247</v>
      </c>
      <c r="F450" t="s">
        <v>254</v>
      </c>
      <c r="H450" t="s">
        <v>6</v>
      </c>
      <c r="I450" t="s">
        <v>168</v>
      </c>
      <c r="J450" t="s">
        <v>169</v>
      </c>
      <c r="K450" t="s">
        <v>170</v>
      </c>
      <c r="L450" s="2">
        <v>33577</v>
      </c>
      <c r="N450" t="s">
        <v>171</v>
      </c>
      <c r="O450" t="s">
        <v>120</v>
      </c>
      <c r="P450">
        <v>1</v>
      </c>
      <c r="Q450" t="s">
        <v>172</v>
      </c>
      <c r="S450" t="s">
        <v>121</v>
      </c>
      <c r="T450" t="s">
        <v>173</v>
      </c>
      <c r="U450" t="s">
        <v>123</v>
      </c>
      <c r="V450" t="s">
        <v>174</v>
      </c>
      <c r="W450" t="s">
        <v>175</v>
      </c>
      <c r="AA450">
        <v>4</v>
      </c>
      <c r="AB450" t="s">
        <v>253</v>
      </c>
    </row>
    <row r="451" spans="1:29" ht="13" customHeight="1">
      <c r="A451">
        <v>83</v>
      </c>
      <c r="C451" t="s">
        <v>728</v>
      </c>
      <c r="D451" t="s">
        <v>729</v>
      </c>
      <c r="E451" t="s">
        <v>398</v>
      </c>
      <c r="F451" t="s">
        <v>115</v>
      </c>
      <c r="H451" t="s">
        <v>730</v>
      </c>
      <c r="I451" t="e">
        <f>- mehrdimensionaler Persönlichkeits-Test</f>
        <v>#NAME?</v>
      </c>
      <c r="J451" t="s">
        <v>76</v>
      </c>
      <c r="K451" t="s">
        <v>593</v>
      </c>
      <c r="L451" s="2">
        <v>36015</v>
      </c>
      <c r="N451" t="s">
        <v>594</v>
      </c>
      <c r="O451" t="s">
        <v>120</v>
      </c>
      <c r="P451">
        <v>1</v>
      </c>
      <c r="Q451">
        <v>1966</v>
      </c>
      <c r="S451" t="s">
        <v>8</v>
      </c>
      <c r="T451" t="s">
        <v>595</v>
      </c>
      <c r="U451" t="s">
        <v>123</v>
      </c>
      <c r="V451" t="s">
        <v>464</v>
      </c>
      <c r="W451" t="s">
        <v>465</v>
      </c>
      <c r="AA451">
        <v>83</v>
      </c>
      <c r="AB451" t="s">
        <v>570</v>
      </c>
    </row>
    <row r="452" spans="1:29" ht="13" customHeight="1">
      <c r="A452">
        <v>375</v>
      </c>
      <c r="C452" t="s">
        <v>2478</v>
      </c>
      <c r="D452" t="s">
        <v>2479</v>
      </c>
      <c r="E452" t="s">
        <v>1058</v>
      </c>
      <c r="F452" t="s">
        <v>2480</v>
      </c>
      <c r="H452" t="s">
        <v>730</v>
      </c>
      <c r="I452" t="e">
        <f>- Interessentest</f>
        <v>#NAME?</v>
      </c>
      <c r="J452" t="s">
        <v>230</v>
      </c>
      <c r="K452" t="s">
        <v>2481</v>
      </c>
      <c r="L452" s="2">
        <v>33920</v>
      </c>
      <c r="O452" t="s">
        <v>120</v>
      </c>
      <c r="P452">
        <v>1</v>
      </c>
      <c r="Q452">
        <v>1947</v>
      </c>
      <c r="S452" t="s">
        <v>8</v>
      </c>
      <c r="T452" t="s">
        <v>1026</v>
      </c>
      <c r="U452" t="s">
        <v>123</v>
      </c>
      <c r="V452" t="s">
        <v>604</v>
      </c>
      <c r="W452" t="s">
        <v>1708</v>
      </c>
      <c r="AA452">
        <v>375</v>
      </c>
      <c r="AB452" t="s">
        <v>2479</v>
      </c>
    </row>
    <row r="453" spans="1:29" ht="13" customHeight="1">
      <c r="A453">
        <v>324</v>
      </c>
      <c r="C453" t="s">
        <v>2112</v>
      </c>
      <c r="D453" t="s">
        <v>2113</v>
      </c>
      <c r="E453" t="s">
        <v>1674</v>
      </c>
      <c r="F453" t="s">
        <v>115</v>
      </c>
      <c r="H453" t="s">
        <v>6</v>
      </c>
      <c r="I453" t="e">
        <f>- Intelligenztest für $K55:$AE55 und Erw.</f>
        <v>#NAME?</v>
      </c>
      <c r="J453" t="s">
        <v>2114</v>
      </c>
      <c r="K453" t="s">
        <v>174</v>
      </c>
      <c r="L453" s="2">
        <v>33215</v>
      </c>
      <c r="O453" t="s">
        <v>120</v>
      </c>
      <c r="P453">
        <v>1</v>
      </c>
      <c r="Q453">
        <v>1964</v>
      </c>
      <c r="S453" t="s">
        <v>8</v>
      </c>
      <c r="T453" t="s">
        <v>2115</v>
      </c>
      <c r="U453" t="s">
        <v>123</v>
      </c>
      <c r="AA453">
        <v>324</v>
      </c>
      <c r="AB453" t="s">
        <v>2113</v>
      </c>
    </row>
    <row r="454" spans="1:29" ht="13" customHeight="1">
      <c r="A454">
        <v>265.10000000000002</v>
      </c>
      <c r="B454">
        <v>1</v>
      </c>
      <c r="C454" t="s">
        <v>1474</v>
      </c>
      <c r="D454" t="s">
        <v>1475</v>
      </c>
      <c r="E454" t="s">
        <v>1662</v>
      </c>
      <c r="F454" t="s">
        <v>14</v>
      </c>
      <c r="H454" t="s">
        <v>730</v>
      </c>
      <c r="I454" t="e">
        <f>- eindimensionaler Persönlichkeits-Test</f>
        <v>#NAME?</v>
      </c>
      <c r="J454" t="s">
        <v>1476</v>
      </c>
      <c r="K454" t="s">
        <v>480</v>
      </c>
      <c r="L454" s="2">
        <v>33192</v>
      </c>
      <c r="O454" t="s">
        <v>120</v>
      </c>
      <c r="P454">
        <v>2</v>
      </c>
      <c r="Q454">
        <v>1966</v>
      </c>
      <c r="S454" t="s">
        <v>8</v>
      </c>
      <c r="T454" t="s">
        <v>1477</v>
      </c>
      <c r="U454" t="s">
        <v>123</v>
      </c>
      <c r="V454" t="s">
        <v>480</v>
      </c>
      <c r="AA454">
        <v>265</v>
      </c>
      <c r="AB454" t="s">
        <v>1475</v>
      </c>
    </row>
    <row r="455" spans="1:29" ht="13" customHeight="1">
      <c r="A455">
        <v>265.2</v>
      </c>
      <c r="B455">
        <v>2</v>
      </c>
      <c r="C455" t="s">
        <v>1474</v>
      </c>
      <c r="D455" t="s">
        <v>1475</v>
      </c>
      <c r="E455" t="s">
        <v>1662</v>
      </c>
      <c r="F455" t="s">
        <v>14</v>
      </c>
      <c r="H455" t="s">
        <v>730</v>
      </c>
      <c r="I455" t="e">
        <f>- eindimensionaler Persönlichkeits-Test</f>
        <v>#NAME?</v>
      </c>
      <c r="J455" t="s">
        <v>1476</v>
      </c>
      <c r="K455" t="s">
        <v>480</v>
      </c>
      <c r="L455" s="2">
        <v>33192</v>
      </c>
      <c r="O455" t="s">
        <v>120</v>
      </c>
      <c r="P455">
        <v>2</v>
      </c>
      <c r="Q455">
        <v>1966</v>
      </c>
      <c r="S455" t="s">
        <v>8</v>
      </c>
      <c r="T455" t="s">
        <v>1477</v>
      </c>
      <c r="U455" t="s">
        <v>123</v>
      </c>
      <c r="V455" t="s">
        <v>480</v>
      </c>
      <c r="AB455" t="s">
        <v>1475</v>
      </c>
    </row>
    <row r="456" spans="1:29" ht="13" customHeight="1">
      <c r="A456">
        <v>304</v>
      </c>
      <c r="C456" t="s">
        <v>1863</v>
      </c>
      <c r="D456" t="s">
        <v>1864</v>
      </c>
      <c r="E456" t="s">
        <v>1738</v>
      </c>
      <c r="F456" t="s">
        <v>115</v>
      </c>
      <c r="H456" t="s">
        <v>730</v>
      </c>
      <c r="I456" t="e">
        <f>- mehrdimensionaler Persönlichkeits-Test</f>
        <v>#NAME?</v>
      </c>
      <c r="J456" t="s">
        <v>791</v>
      </c>
      <c r="K456" t="s">
        <v>1865</v>
      </c>
      <c r="L456" s="2">
        <v>33197</v>
      </c>
      <c r="N456" t="s">
        <v>1866</v>
      </c>
      <c r="O456" t="s">
        <v>120</v>
      </c>
      <c r="P456">
        <v>1</v>
      </c>
      <c r="Q456">
        <v>1968</v>
      </c>
      <c r="S456" t="s">
        <v>8</v>
      </c>
      <c r="T456" t="s">
        <v>1867</v>
      </c>
      <c r="U456" t="s">
        <v>123</v>
      </c>
      <c r="V456" t="s">
        <v>464</v>
      </c>
      <c r="W456" t="s">
        <v>1734</v>
      </c>
      <c r="X456" t="s">
        <v>535</v>
      </c>
      <c r="Y456" t="s">
        <v>1868</v>
      </c>
      <c r="Z456" t="s">
        <v>1869</v>
      </c>
      <c r="AA456">
        <v>304</v>
      </c>
      <c r="AB456" t="s">
        <v>1864</v>
      </c>
    </row>
    <row r="457" spans="1:29" ht="13" customHeight="1">
      <c r="A457">
        <v>66</v>
      </c>
      <c r="C457" t="s">
        <v>359</v>
      </c>
      <c r="D457" t="s">
        <v>360</v>
      </c>
      <c r="E457" t="s">
        <v>361</v>
      </c>
      <c r="F457" t="s">
        <v>115</v>
      </c>
      <c r="H457" t="s">
        <v>6</v>
      </c>
      <c r="I457" t="s">
        <v>139</v>
      </c>
      <c r="J457" t="s">
        <v>277</v>
      </c>
      <c r="K457" t="s">
        <v>362</v>
      </c>
      <c r="L457" s="2">
        <v>33582</v>
      </c>
      <c r="O457" t="s">
        <v>120</v>
      </c>
      <c r="P457">
        <v>1</v>
      </c>
      <c r="Q457">
        <v>1964</v>
      </c>
      <c r="S457" t="s">
        <v>8</v>
      </c>
      <c r="T457" t="s">
        <v>363</v>
      </c>
      <c r="U457" t="s">
        <v>123</v>
      </c>
      <c r="V457" t="s">
        <v>175</v>
      </c>
      <c r="W457" t="s">
        <v>364</v>
      </c>
      <c r="AA457">
        <v>66</v>
      </c>
      <c r="AB457" t="s">
        <v>365</v>
      </c>
      <c r="AC457" t="s">
        <v>366</v>
      </c>
    </row>
    <row r="458" spans="1:29" ht="13" customHeight="1">
      <c r="A458">
        <v>65</v>
      </c>
      <c r="C458" t="s">
        <v>353</v>
      </c>
      <c r="D458" t="s">
        <v>354</v>
      </c>
      <c r="E458" t="s">
        <v>342</v>
      </c>
      <c r="F458" t="s">
        <v>115</v>
      </c>
      <c r="H458" t="s">
        <v>6</v>
      </c>
      <c r="I458" t="s">
        <v>168</v>
      </c>
      <c r="J458" t="s">
        <v>355</v>
      </c>
      <c r="K458" t="s">
        <v>175</v>
      </c>
      <c r="L458" s="2">
        <v>33582</v>
      </c>
      <c r="O458" t="s">
        <v>120</v>
      </c>
      <c r="P458">
        <v>1</v>
      </c>
      <c r="Q458">
        <v>1937</v>
      </c>
      <c r="S458" t="s">
        <v>121</v>
      </c>
      <c r="T458" t="s">
        <v>356</v>
      </c>
      <c r="U458" t="s">
        <v>123</v>
      </c>
      <c r="V458" t="s">
        <v>175</v>
      </c>
      <c r="AA458">
        <v>65</v>
      </c>
      <c r="AB458" t="s">
        <v>357</v>
      </c>
      <c r="AC458" t="s">
        <v>358</v>
      </c>
    </row>
    <row r="459" spans="1:29" ht="13" customHeight="1">
      <c r="A459">
        <v>159.1</v>
      </c>
      <c r="B459">
        <v>1</v>
      </c>
      <c r="C459" t="s">
        <v>1096</v>
      </c>
      <c r="D459" t="s">
        <v>1097</v>
      </c>
      <c r="E459" t="s">
        <v>712</v>
      </c>
      <c r="F459" t="s">
        <v>14</v>
      </c>
      <c r="H459" t="s">
        <v>730</v>
      </c>
      <c r="I459" t="e">
        <f>- eindimensionaler Persönlichkeits-Test</f>
        <v>#NAME?</v>
      </c>
      <c r="J459" t="s">
        <v>879</v>
      </c>
      <c r="K459" t="s">
        <v>1098</v>
      </c>
      <c r="L459" s="2">
        <v>33955</v>
      </c>
      <c r="N459" t="s">
        <v>1099</v>
      </c>
      <c r="O459" t="s">
        <v>564</v>
      </c>
      <c r="P459">
        <v>2</v>
      </c>
      <c r="Q459">
        <v>1985</v>
      </c>
      <c r="S459" t="s">
        <v>716</v>
      </c>
      <c r="T459" t="s">
        <v>1338</v>
      </c>
      <c r="U459" t="s">
        <v>123</v>
      </c>
      <c r="V459" t="s">
        <v>1100</v>
      </c>
      <c r="W459" t="s">
        <v>1315</v>
      </c>
      <c r="AA459">
        <v>159</v>
      </c>
      <c r="AB459" t="s">
        <v>1097</v>
      </c>
    </row>
    <row r="460" spans="1:29" ht="13" customHeight="1">
      <c r="A460">
        <v>418</v>
      </c>
      <c r="C460" t="s">
        <v>2670</v>
      </c>
      <c r="D460" t="s">
        <v>2671</v>
      </c>
      <c r="E460" t="s">
        <v>892</v>
      </c>
      <c r="F460" t="s">
        <v>115</v>
      </c>
      <c r="H460" t="s">
        <v>6</v>
      </c>
      <c r="I460" t="e">
        <f>- Intelligenztest für $K143:$AE143</f>
        <v>#NAME?</v>
      </c>
      <c r="J460" t="s">
        <v>621</v>
      </c>
      <c r="K460" t="s">
        <v>2566</v>
      </c>
      <c r="L460" s="2">
        <v>33920</v>
      </c>
      <c r="N460" t="s">
        <v>2567</v>
      </c>
      <c r="O460" t="s">
        <v>564</v>
      </c>
      <c r="P460">
        <v>1</v>
      </c>
      <c r="Q460">
        <v>1973</v>
      </c>
      <c r="S460" t="s">
        <v>8</v>
      </c>
      <c r="T460" t="s">
        <v>2372</v>
      </c>
      <c r="U460" t="s">
        <v>123</v>
      </c>
      <c r="V460" t="s">
        <v>2568</v>
      </c>
      <c r="W460" t="s">
        <v>2236</v>
      </c>
      <c r="X460" t="s">
        <v>347</v>
      </c>
      <c r="AA460">
        <v>418</v>
      </c>
      <c r="AB460" t="s">
        <v>2671</v>
      </c>
    </row>
    <row r="461" spans="1:29" ht="13" customHeight="1">
      <c r="A461">
        <v>370.1</v>
      </c>
      <c r="B461">
        <v>1</v>
      </c>
      <c r="C461" t="s">
        <v>2197</v>
      </c>
      <c r="D461" t="s">
        <v>2198</v>
      </c>
      <c r="E461" t="s">
        <v>2199</v>
      </c>
      <c r="F461" t="s">
        <v>2200</v>
      </c>
      <c r="H461" t="s">
        <v>6</v>
      </c>
      <c r="I461" t="e">
        <f>- spez. Funktionsprüfungs- und Eignungstest</f>
        <v>#NAME?</v>
      </c>
      <c r="J461" t="s">
        <v>1490</v>
      </c>
      <c r="K461" t="s">
        <v>2201</v>
      </c>
      <c r="L461" s="2">
        <v>33914</v>
      </c>
      <c r="O461" t="s">
        <v>564</v>
      </c>
      <c r="P461">
        <v>2</v>
      </c>
      <c r="Q461">
        <v>1967</v>
      </c>
      <c r="S461" t="s">
        <v>121</v>
      </c>
      <c r="T461" t="s">
        <v>2330</v>
      </c>
      <c r="U461" t="s">
        <v>123</v>
      </c>
      <c r="V461" t="s">
        <v>2140</v>
      </c>
      <c r="W461" t="s">
        <v>2139</v>
      </c>
      <c r="X461" t="s">
        <v>2331</v>
      </c>
      <c r="Y461" t="s">
        <v>2332</v>
      </c>
      <c r="AA461">
        <v>370</v>
      </c>
      <c r="AB461" t="s">
        <v>2198</v>
      </c>
    </row>
    <row r="462" spans="1:29" ht="13" customHeight="1">
      <c r="A462">
        <v>370.2</v>
      </c>
      <c r="B462">
        <v>2</v>
      </c>
      <c r="C462" t="s">
        <v>2197</v>
      </c>
      <c r="D462" t="s">
        <v>2198</v>
      </c>
      <c r="E462" t="s">
        <v>2199</v>
      </c>
      <c r="F462" t="s">
        <v>2200</v>
      </c>
      <c r="H462" t="s">
        <v>6</v>
      </c>
      <c r="I462" t="e">
        <f>- spez. Funktionsprüfungs- und Eignungstest</f>
        <v>#NAME?</v>
      </c>
      <c r="J462" t="s">
        <v>1490</v>
      </c>
      <c r="K462" t="s">
        <v>2201</v>
      </c>
      <c r="L462" s="2">
        <v>33914</v>
      </c>
      <c r="O462" t="s">
        <v>564</v>
      </c>
      <c r="P462">
        <v>2</v>
      </c>
      <c r="Q462">
        <v>1967</v>
      </c>
      <c r="S462" t="s">
        <v>121</v>
      </c>
      <c r="T462" t="s">
        <v>2330</v>
      </c>
      <c r="U462" t="s">
        <v>123</v>
      </c>
      <c r="V462" t="s">
        <v>2140</v>
      </c>
      <c r="W462" t="s">
        <v>2139</v>
      </c>
      <c r="X462" t="s">
        <v>2331</v>
      </c>
      <c r="Y462" t="s">
        <v>2332</v>
      </c>
      <c r="AB462" t="s">
        <v>2198</v>
      </c>
    </row>
    <row r="463" spans="1:29" ht="13" customHeight="1">
      <c r="A463">
        <v>236</v>
      </c>
      <c r="C463" t="s">
        <v>1284</v>
      </c>
      <c r="D463" t="s">
        <v>1285</v>
      </c>
      <c r="E463" t="s">
        <v>1535</v>
      </c>
      <c r="F463" t="s">
        <v>115</v>
      </c>
      <c r="H463" t="s">
        <v>6</v>
      </c>
      <c r="I463" t="e">
        <f>- Entwicklungstest</f>
        <v>#NAME?</v>
      </c>
      <c r="K463" t="s">
        <v>1286</v>
      </c>
      <c r="L463" s="2">
        <v>33171</v>
      </c>
      <c r="O463" t="s">
        <v>120</v>
      </c>
      <c r="P463">
        <v>1</v>
      </c>
      <c r="Q463">
        <v>1958</v>
      </c>
      <c r="S463" t="s">
        <v>8</v>
      </c>
      <c r="T463" t="s">
        <v>1287</v>
      </c>
      <c r="U463" t="s">
        <v>123</v>
      </c>
      <c r="V463" t="s">
        <v>20</v>
      </c>
      <c r="W463" t="s">
        <v>1288</v>
      </c>
      <c r="AA463">
        <v>236</v>
      </c>
      <c r="AB463" t="s">
        <v>1285</v>
      </c>
    </row>
    <row r="464" spans="1:29" ht="13" customHeight="1">
      <c r="A464">
        <v>409</v>
      </c>
      <c r="C464" t="s">
        <v>2634</v>
      </c>
      <c r="D464" t="s">
        <v>2635</v>
      </c>
      <c r="E464" t="s">
        <v>620</v>
      </c>
      <c r="F464" t="s">
        <v>115</v>
      </c>
      <c r="H464" t="s">
        <v>730</v>
      </c>
      <c r="I464" t="e">
        <f>- eindimensionaler Persönlichkeits-Test</f>
        <v>#NAME?</v>
      </c>
      <c r="J464" t="s">
        <v>849</v>
      </c>
      <c r="K464" t="s">
        <v>2636</v>
      </c>
      <c r="L464" s="2">
        <v>33582</v>
      </c>
      <c r="N464" t="s">
        <v>2637</v>
      </c>
      <c r="O464" t="s">
        <v>564</v>
      </c>
      <c r="P464">
        <v>1</v>
      </c>
      <c r="Q464">
        <v>1975</v>
      </c>
      <c r="S464" t="s">
        <v>8</v>
      </c>
      <c r="T464" t="s">
        <v>2638</v>
      </c>
      <c r="U464" t="s">
        <v>123</v>
      </c>
      <c r="V464" t="s">
        <v>480</v>
      </c>
      <c r="W464" t="s">
        <v>2639</v>
      </c>
      <c r="X464" t="s">
        <v>2640</v>
      </c>
      <c r="AA464">
        <v>409</v>
      </c>
      <c r="AB464" t="s">
        <v>2635</v>
      </c>
    </row>
    <row r="465" spans="1:31" ht="13" customHeight="1">
      <c r="A465">
        <v>191</v>
      </c>
      <c r="C465" t="s">
        <v>1265</v>
      </c>
      <c r="D465" t="s">
        <v>1266</v>
      </c>
      <c r="E465" t="s">
        <v>733</v>
      </c>
      <c r="F465" t="s">
        <v>115</v>
      </c>
      <c r="H465" t="s">
        <v>6</v>
      </c>
      <c r="I465" t="e">
        <f>- Intelligenztest für $K55:$AE55 und Erw.</f>
        <v>#NAME?</v>
      </c>
      <c r="J465" t="s">
        <v>1267</v>
      </c>
      <c r="K465" t="s">
        <v>174</v>
      </c>
      <c r="L465" s="2">
        <v>33582</v>
      </c>
      <c r="N465" t="s">
        <v>1268</v>
      </c>
      <c r="O465" t="s">
        <v>564</v>
      </c>
      <c r="P465">
        <v>1</v>
      </c>
      <c r="Q465">
        <v>1980</v>
      </c>
      <c r="S465" t="s">
        <v>8</v>
      </c>
      <c r="T465" t="s">
        <v>1269</v>
      </c>
      <c r="U465" t="s">
        <v>123</v>
      </c>
      <c r="V465" t="s">
        <v>174</v>
      </c>
      <c r="AA465">
        <v>191</v>
      </c>
      <c r="AB465" t="s">
        <v>1270</v>
      </c>
      <c r="AC465" t="s">
        <v>1271</v>
      </c>
      <c r="AD465" t="s">
        <v>1272</v>
      </c>
      <c r="AE465" t="s">
        <v>1273</v>
      </c>
    </row>
    <row r="466" spans="1:31" ht="13" customHeight="1">
      <c r="A466">
        <v>141</v>
      </c>
      <c r="C466" t="s">
        <v>811</v>
      </c>
      <c r="D466" t="s">
        <v>812</v>
      </c>
      <c r="E466" t="s">
        <v>733</v>
      </c>
      <c r="F466" t="s">
        <v>115</v>
      </c>
      <c r="H466" t="s">
        <v>730</v>
      </c>
      <c r="I466" t="e">
        <f>- mehrdimensionaler Persönlichkeits-Test</f>
        <v>#NAME?</v>
      </c>
      <c r="J466" t="s">
        <v>813</v>
      </c>
      <c r="K466" t="s">
        <v>683</v>
      </c>
      <c r="L466" s="2">
        <v>33983</v>
      </c>
      <c r="N466" t="s">
        <v>684</v>
      </c>
      <c r="O466" t="s">
        <v>564</v>
      </c>
      <c r="P466">
        <v>1</v>
      </c>
      <c r="Q466">
        <v>1985</v>
      </c>
      <c r="S466" t="s">
        <v>8</v>
      </c>
      <c r="T466" t="s">
        <v>685</v>
      </c>
      <c r="U466" t="s">
        <v>123</v>
      </c>
      <c r="V466" t="s">
        <v>464</v>
      </c>
      <c r="W466" t="s">
        <v>686</v>
      </c>
      <c r="X466" t="s">
        <v>687</v>
      </c>
      <c r="Y466" t="s">
        <v>688</v>
      </c>
      <c r="Z466" t="s">
        <v>689</v>
      </c>
      <c r="AA466">
        <v>141</v>
      </c>
      <c r="AB466" t="s">
        <v>812</v>
      </c>
    </row>
    <row r="467" spans="1:31" ht="13" customHeight="1">
      <c r="A467">
        <v>196.1</v>
      </c>
      <c r="B467">
        <v>1</v>
      </c>
      <c r="C467" t="s">
        <v>1101</v>
      </c>
      <c r="D467" t="s">
        <v>1102</v>
      </c>
      <c r="E467" t="s">
        <v>1217</v>
      </c>
      <c r="F467" t="s">
        <v>115</v>
      </c>
      <c r="G467">
        <v>1969</v>
      </c>
      <c r="H467" t="s">
        <v>6</v>
      </c>
      <c r="I467" t="s">
        <v>1103</v>
      </c>
      <c r="J467" t="s">
        <v>1104</v>
      </c>
      <c r="K467" t="s">
        <v>1105</v>
      </c>
      <c r="L467" s="2">
        <v>33027</v>
      </c>
      <c r="O467" t="s">
        <v>564</v>
      </c>
      <c r="P467">
        <v>2</v>
      </c>
      <c r="Q467" t="s">
        <v>300</v>
      </c>
      <c r="S467" t="s">
        <v>716</v>
      </c>
      <c r="T467" t="s">
        <v>1106</v>
      </c>
      <c r="U467" t="s">
        <v>123</v>
      </c>
      <c r="V467" t="s">
        <v>175</v>
      </c>
      <c r="W467" t="s">
        <v>1107</v>
      </c>
      <c r="X467" t="s">
        <v>1108</v>
      </c>
      <c r="Y467" t="s">
        <v>20</v>
      </c>
      <c r="AA467">
        <v>196</v>
      </c>
      <c r="AB467" t="s">
        <v>1102</v>
      </c>
    </row>
    <row r="468" spans="1:31" ht="13" customHeight="1">
      <c r="A468">
        <v>196.2</v>
      </c>
      <c r="B468">
        <v>2</v>
      </c>
      <c r="C468" t="s">
        <v>1101</v>
      </c>
      <c r="D468" t="s">
        <v>1102</v>
      </c>
      <c r="E468" t="s">
        <v>1217</v>
      </c>
      <c r="F468" t="s">
        <v>115</v>
      </c>
      <c r="G468">
        <v>1969</v>
      </c>
      <c r="H468" t="s">
        <v>6</v>
      </c>
      <c r="I468" t="s">
        <v>1103</v>
      </c>
      <c r="J468" t="s">
        <v>1104</v>
      </c>
      <c r="K468" t="s">
        <v>1105</v>
      </c>
      <c r="L468" s="2">
        <v>33027</v>
      </c>
      <c r="O468" t="s">
        <v>564</v>
      </c>
      <c r="P468">
        <v>2</v>
      </c>
      <c r="Q468" t="s">
        <v>300</v>
      </c>
      <c r="S468" t="s">
        <v>716</v>
      </c>
      <c r="T468" t="s">
        <v>1106</v>
      </c>
      <c r="U468" t="s">
        <v>123</v>
      </c>
      <c r="V468" t="s">
        <v>175</v>
      </c>
      <c r="W468" t="s">
        <v>1107</v>
      </c>
      <c r="X468" t="s">
        <v>1108</v>
      </c>
      <c r="Y468" t="s">
        <v>20</v>
      </c>
      <c r="AB468" t="s">
        <v>1102</v>
      </c>
    </row>
    <row r="469" spans="1:31" ht="13" customHeight="1">
      <c r="A469">
        <v>197</v>
      </c>
      <c r="C469" t="s">
        <v>1109</v>
      </c>
      <c r="D469" t="s">
        <v>1242</v>
      </c>
      <c r="E469" s="1" t="s">
        <v>1243</v>
      </c>
      <c r="F469" t="s">
        <v>115</v>
      </c>
      <c r="G469">
        <v>1969</v>
      </c>
      <c r="H469" t="s">
        <v>6</v>
      </c>
      <c r="I469" t="s">
        <v>1103</v>
      </c>
      <c r="J469" t="s">
        <v>1244</v>
      </c>
      <c r="K469" t="s">
        <v>1105</v>
      </c>
      <c r="L469" s="2">
        <v>33059</v>
      </c>
      <c r="N469" t="s">
        <v>1245</v>
      </c>
      <c r="O469" t="s">
        <v>564</v>
      </c>
      <c r="P469">
        <v>1</v>
      </c>
      <c r="Q469">
        <v>1965</v>
      </c>
      <c r="R469" t="s">
        <v>1246</v>
      </c>
      <c r="S469" t="s">
        <v>121</v>
      </c>
      <c r="T469" t="s">
        <v>1247</v>
      </c>
      <c r="U469" t="s">
        <v>123</v>
      </c>
      <c r="V469" t="s">
        <v>175</v>
      </c>
      <c r="W469" t="s">
        <v>1107</v>
      </c>
      <c r="X469" t="s">
        <v>1108</v>
      </c>
      <c r="Y469" t="s">
        <v>20</v>
      </c>
      <c r="AA469">
        <v>197</v>
      </c>
      <c r="AB469" t="s">
        <v>1248</v>
      </c>
      <c r="AC469" t="s">
        <v>1249</v>
      </c>
      <c r="AD469" t="s">
        <v>1250</v>
      </c>
    </row>
    <row r="470" spans="1:31" ht="13" customHeight="1">
      <c r="A470">
        <v>198</v>
      </c>
      <c r="C470" t="s">
        <v>1251</v>
      </c>
      <c r="D470" t="s">
        <v>1242</v>
      </c>
      <c r="E470" s="1" t="s">
        <v>1243</v>
      </c>
      <c r="F470" t="s">
        <v>115</v>
      </c>
      <c r="G470">
        <v>1969</v>
      </c>
      <c r="H470" t="s">
        <v>6</v>
      </c>
      <c r="I470" t="s">
        <v>1103</v>
      </c>
      <c r="J470" t="s">
        <v>1252</v>
      </c>
      <c r="K470" t="s">
        <v>1105</v>
      </c>
      <c r="L470" s="2">
        <v>33457</v>
      </c>
      <c r="N470" t="s">
        <v>1253</v>
      </c>
      <c r="O470" t="s">
        <v>564</v>
      </c>
      <c r="P470">
        <v>1</v>
      </c>
      <c r="Q470">
        <v>1965</v>
      </c>
      <c r="R470" t="s">
        <v>1246</v>
      </c>
      <c r="S470" t="s">
        <v>121</v>
      </c>
      <c r="T470" t="s">
        <v>1247</v>
      </c>
      <c r="U470" t="s">
        <v>123</v>
      </c>
      <c r="V470" t="s">
        <v>175</v>
      </c>
      <c r="W470" t="s">
        <v>1107</v>
      </c>
      <c r="X470" t="s">
        <v>1108</v>
      </c>
      <c r="Y470" t="s">
        <v>20</v>
      </c>
      <c r="AA470">
        <v>198</v>
      </c>
      <c r="AB470" t="s">
        <v>1248</v>
      </c>
      <c r="AC470" t="s">
        <v>1249</v>
      </c>
      <c r="AD470" t="s">
        <v>1250</v>
      </c>
    </row>
    <row r="471" spans="1:31" ht="13" customHeight="1">
      <c r="A471">
        <v>415.1</v>
      </c>
      <c r="B471">
        <v>1</v>
      </c>
      <c r="C471" t="s">
        <v>2668</v>
      </c>
      <c r="D471" t="s">
        <v>2669</v>
      </c>
      <c r="E471" t="s">
        <v>2643</v>
      </c>
      <c r="F471" t="s">
        <v>115</v>
      </c>
      <c r="H471" t="s">
        <v>804</v>
      </c>
      <c r="I471" t="e">
        <f>- zeichnerisches Gestaltungsverfahren</f>
        <v>#NAME?</v>
      </c>
      <c r="J471" t="s">
        <v>2644</v>
      </c>
      <c r="K471" t="s">
        <v>2626</v>
      </c>
      <c r="L471" s="2">
        <v>33500</v>
      </c>
      <c r="O471" t="s">
        <v>564</v>
      </c>
      <c r="P471">
        <v>3</v>
      </c>
      <c r="Q471">
        <v>1973</v>
      </c>
      <c r="S471" t="s">
        <v>8</v>
      </c>
      <c r="T471" t="s">
        <v>2646</v>
      </c>
      <c r="U471" t="s">
        <v>123</v>
      </c>
      <c r="V471" t="s">
        <v>1079</v>
      </c>
      <c r="W471" t="s">
        <v>2648</v>
      </c>
      <c r="X471" t="s">
        <v>2627</v>
      </c>
      <c r="AA471">
        <v>415</v>
      </c>
      <c r="AB471" t="s">
        <v>2503</v>
      </c>
      <c r="AC471" t="s">
        <v>2504</v>
      </c>
    </row>
    <row r="472" spans="1:31" ht="13" customHeight="1">
      <c r="A472">
        <v>415.2</v>
      </c>
      <c r="B472">
        <v>2</v>
      </c>
      <c r="C472" t="s">
        <v>2668</v>
      </c>
      <c r="D472" t="s">
        <v>2669</v>
      </c>
      <c r="E472" t="s">
        <v>2643</v>
      </c>
      <c r="F472" t="s">
        <v>115</v>
      </c>
      <c r="H472" t="s">
        <v>804</v>
      </c>
      <c r="I472" t="e">
        <f>- zeichnerisches Gestaltungsverfahren</f>
        <v>#NAME?</v>
      </c>
      <c r="J472" t="s">
        <v>2644</v>
      </c>
      <c r="K472" t="s">
        <v>2626</v>
      </c>
      <c r="L472" s="2">
        <v>33500</v>
      </c>
      <c r="O472" t="s">
        <v>564</v>
      </c>
      <c r="P472">
        <v>3</v>
      </c>
      <c r="Q472">
        <v>1973</v>
      </c>
      <c r="S472" t="s">
        <v>8</v>
      </c>
      <c r="T472" t="s">
        <v>2646</v>
      </c>
      <c r="U472" t="s">
        <v>123</v>
      </c>
      <c r="V472" t="s">
        <v>1079</v>
      </c>
      <c r="W472" t="s">
        <v>2648</v>
      </c>
      <c r="X472" t="s">
        <v>2627</v>
      </c>
      <c r="AB472" t="s">
        <v>2503</v>
      </c>
      <c r="AC472" t="s">
        <v>2504</v>
      </c>
    </row>
    <row r="473" spans="1:31" ht="13" customHeight="1">
      <c r="A473">
        <v>415.3</v>
      </c>
      <c r="B473">
        <v>3</v>
      </c>
      <c r="C473" t="s">
        <v>2668</v>
      </c>
      <c r="D473" t="s">
        <v>2669</v>
      </c>
      <c r="E473" t="s">
        <v>2643</v>
      </c>
      <c r="F473" t="s">
        <v>115</v>
      </c>
      <c r="H473" t="s">
        <v>804</v>
      </c>
      <c r="I473" t="e">
        <f>- zeichnerisches Gestaltungsverfahren</f>
        <v>#NAME?</v>
      </c>
      <c r="J473" t="s">
        <v>2644</v>
      </c>
      <c r="K473" t="s">
        <v>2626</v>
      </c>
      <c r="L473" s="2">
        <v>33500</v>
      </c>
      <c r="O473" t="s">
        <v>564</v>
      </c>
      <c r="P473">
        <v>3</v>
      </c>
      <c r="Q473">
        <v>1973</v>
      </c>
      <c r="S473" t="s">
        <v>8</v>
      </c>
      <c r="T473" t="s">
        <v>2646</v>
      </c>
      <c r="U473" t="s">
        <v>123</v>
      </c>
      <c r="V473" t="s">
        <v>1079</v>
      </c>
      <c r="W473" t="s">
        <v>2648</v>
      </c>
      <c r="X473" t="s">
        <v>2627</v>
      </c>
      <c r="AB473" t="s">
        <v>2503</v>
      </c>
      <c r="AC473" t="s">
        <v>2504</v>
      </c>
    </row>
    <row r="474" spans="1:31" ht="13" customHeight="1">
      <c r="A474">
        <v>44.2</v>
      </c>
      <c r="B474">
        <v>2</v>
      </c>
      <c r="C474" t="s">
        <v>371</v>
      </c>
      <c r="D474" t="s">
        <v>372</v>
      </c>
      <c r="E474" t="s">
        <v>373</v>
      </c>
      <c r="F474" t="s">
        <v>14</v>
      </c>
      <c r="H474" t="s">
        <v>6</v>
      </c>
      <c r="I474" t="e">
        <f>- Entwicklungstest</f>
        <v>#NAME?</v>
      </c>
      <c r="J474" t="s">
        <v>374</v>
      </c>
      <c r="K474" t="s">
        <v>375</v>
      </c>
      <c r="L474" s="2">
        <v>33276</v>
      </c>
      <c r="N474" t="s">
        <v>376</v>
      </c>
      <c r="O474" t="s">
        <v>120</v>
      </c>
      <c r="P474">
        <v>2</v>
      </c>
      <c r="Q474">
        <v>1965</v>
      </c>
      <c r="S474" t="s">
        <v>8</v>
      </c>
      <c r="T474" t="s">
        <v>377</v>
      </c>
      <c r="U474" t="s">
        <v>123</v>
      </c>
      <c r="V474" t="s">
        <v>375</v>
      </c>
      <c r="AB474" t="s">
        <v>372</v>
      </c>
    </row>
    <row r="475" spans="1:31" ht="13" customHeight="1">
      <c r="A475">
        <v>44.1</v>
      </c>
      <c r="B475">
        <v>1</v>
      </c>
      <c r="C475" t="s">
        <v>371</v>
      </c>
      <c r="D475" t="s">
        <v>372</v>
      </c>
      <c r="E475" t="s">
        <v>373</v>
      </c>
      <c r="F475" t="s">
        <v>14</v>
      </c>
      <c r="H475" t="s">
        <v>6</v>
      </c>
      <c r="I475" t="e">
        <f>- Entwicklungstest</f>
        <v>#NAME?</v>
      </c>
      <c r="J475" t="s">
        <v>374</v>
      </c>
      <c r="K475" t="s">
        <v>375</v>
      </c>
      <c r="L475" s="2">
        <v>33276</v>
      </c>
      <c r="N475" t="s">
        <v>376</v>
      </c>
      <c r="O475" t="s">
        <v>120</v>
      </c>
      <c r="P475">
        <v>2</v>
      </c>
      <c r="Q475">
        <v>1965</v>
      </c>
      <c r="S475" t="s">
        <v>8</v>
      </c>
      <c r="T475" t="s">
        <v>377</v>
      </c>
      <c r="U475" t="s">
        <v>123</v>
      </c>
      <c r="V475" t="s">
        <v>375</v>
      </c>
      <c r="AA475">
        <v>44</v>
      </c>
      <c r="AB475" t="s">
        <v>372</v>
      </c>
    </row>
    <row r="476" spans="1:31" ht="13" customHeight="1">
      <c r="A476">
        <v>61</v>
      </c>
      <c r="C476" t="s">
        <v>325</v>
      </c>
      <c r="D476" t="s">
        <v>326</v>
      </c>
      <c r="E476" t="s">
        <v>327</v>
      </c>
      <c r="F476" t="s">
        <v>115</v>
      </c>
      <c r="H476" t="s">
        <v>6</v>
      </c>
      <c r="I476" t="s">
        <v>139</v>
      </c>
      <c r="J476" t="s">
        <v>277</v>
      </c>
      <c r="K476" t="s">
        <v>141</v>
      </c>
      <c r="L476" s="2">
        <v>33582</v>
      </c>
      <c r="O476" t="s">
        <v>120</v>
      </c>
      <c r="P476">
        <v>1</v>
      </c>
      <c r="Q476">
        <v>1959</v>
      </c>
      <c r="S476" t="s">
        <v>8</v>
      </c>
      <c r="T476" t="s">
        <v>328</v>
      </c>
      <c r="U476" t="s">
        <v>123</v>
      </c>
      <c r="V476" t="s">
        <v>175</v>
      </c>
      <c r="W476" t="s">
        <v>145</v>
      </c>
      <c r="AA476">
        <v>61</v>
      </c>
      <c r="AB476" t="s">
        <v>329</v>
      </c>
      <c r="AC476" t="s">
        <v>330</v>
      </c>
    </row>
    <row r="477" spans="1:31" ht="13" customHeight="1">
      <c r="A477">
        <v>356.2</v>
      </c>
      <c r="B477">
        <v>2</v>
      </c>
      <c r="C477" t="s">
        <v>2077</v>
      </c>
      <c r="D477" t="s">
        <v>1796</v>
      </c>
      <c r="E477" t="s">
        <v>620</v>
      </c>
      <c r="F477" t="s">
        <v>115</v>
      </c>
      <c r="H477" t="s">
        <v>804</v>
      </c>
      <c r="I477" t="e">
        <f>- zeichnerisches Gestaltungsverfahren</f>
        <v>#NAME?</v>
      </c>
      <c r="J477" t="s">
        <v>2191</v>
      </c>
      <c r="K477" t="s">
        <v>2192</v>
      </c>
      <c r="L477" s="2">
        <v>33844</v>
      </c>
      <c r="N477" t="s">
        <v>2193</v>
      </c>
      <c r="O477" t="s">
        <v>564</v>
      </c>
      <c r="P477">
        <v>4</v>
      </c>
      <c r="Q477">
        <v>1968</v>
      </c>
      <c r="S477" t="s">
        <v>8</v>
      </c>
      <c r="T477" t="s">
        <v>2194</v>
      </c>
      <c r="U477" t="s">
        <v>123</v>
      </c>
      <c r="V477" t="s">
        <v>464</v>
      </c>
      <c r="W477" t="s">
        <v>2195</v>
      </c>
      <c r="X477" t="s">
        <v>1808</v>
      </c>
      <c r="Y477" t="s">
        <v>1785</v>
      </c>
      <c r="AB477" t="s">
        <v>1796</v>
      </c>
    </row>
    <row r="478" spans="1:31" ht="13" customHeight="1">
      <c r="A478">
        <v>356.3</v>
      </c>
      <c r="B478">
        <v>3</v>
      </c>
      <c r="C478" t="s">
        <v>2077</v>
      </c>
      <c r="D478" t="s">
        <v>1796</v>
      </c>
      <c r="E478" t="s">
        <v>620</v>
      </c>
      <c r="F478" t="s">
        <v>14</v>
      </c>
      <c r="H478" t="s">
        <v>804</v>
      </c>
      <c r="I478" t="e">
        <f>- zeichnerisches Gestaltungsverfahren</f>
        <v>#NAME?</v>
      </c>
      <c r="J478" t="s">
        <v>2191</v>
      </c>
      <c r="K478" t="s">
        <v>2192</v>
      </c>
      <c r="L478" s="2">
        <v>33844</v>
      </c>
      <c r="N478" t="s">
        <v>2193</v>
      </c>
      <c r="O478" t="s">
        <v>564</v>
      </c>
      <c r="P478">
        <v>4</v>
      </c>
      <c r="Q478">
        <v>1976</v>
      </c>
      <c r="S478" t="s">
        <v>8</v>
      </c>
      <c r="T478" t="s">
        <v>2194</v>
      </c>
      <c r="U478" t="s">
        <v>123</v>
      </c>
      <c r="V478" t="s">
        <v>464</v>
      </c>
      <c r="W478" t="s">
        <v>2195</v>
      </c>
      <c r="X478" t="s">
        <v>1808</v>
      </c>
      <c r="Y478" t="s">
        <v>1785</v>
      </c>
      <c r="AB478" t="s">
        <v>1796</v>
      </c>
    </row>
    <row r="479" spans="1:31" ht="13" customHeight="1">
      <c r="A479">
        <v>356.4</v>
      </c>
      <c r="B479">
        <v>4</v>
      </c>
      <c r="C479" t="s">
        <v>2077</v>
      </c>
      <c r="D479" t="s">
        <v>1796</v>
      </c>
      <c r="E479" t="s">
        <v>620</v>
      </c>
      <c r="F479" t="s">
        <v>115</v>
      </c>
      <c r="H479" t="s">
        <v>804</v>
      </c>
      <c r="I479" t="e">
        <f>- zeichnerisches Gestaltungsverfahren</f>
        <v>#NAME?</v>
      </c>
      <c r="J479" t="s">
        <v>2191</v>
      </c>
      <c r="K479" t="s">
        <v>2192</v>
      </c>
      <c r="L479" s="2">
        <v>33844</v>
      </c>
      <c r="N479" t="s">
        <v>2193</v>
      </c>
      <c r="O479" t="s">
        <v>564</v>
      </c>
      <c r="P479">
        <v>4</v>
      </c>
      <c r="Q479">
        <v>1953</v>
      </c>
      <c r="S479" t="s">
        <v>8</v>
      </c>
      <c r="T479" t="s">
        <v>2194</v>
      </c>
      <c r="U479" t="s">
        <v>123</v>
      </c>
      <c r="V479" t="s">
        <v>464</v>
      </c>
      <c r="W479" t="s">
        <v>2195</v>
      </c>
      <c r="X479" t="s">
        <v>1808</v>
      </c>
      <c r="Y479" t="s">
        <v>1785</v>
      </c>
      <c r="AB479" t="s">
        <v>1796</v>
      </c>
    </row>
    <row r="480" spans="1:31" ht="13" customHeight="1">
      <c r="A480">
        <v>356.1</v>
      </c>
      <c r="B480">
        <v>1</v>
      </c>
      <c r="C480" t="s">
        <v>2190</v>
      </c>
      <c r="D480" t="s">
        <v>1796</v>
      </c>
      <c r="E480" t="s">
        <v>620</v>
      </c>
      <c r="H480" t="s">
        <v>804</v>
      </c>
      <c r="I480" t="e">
        <f>- zeichnerisches Gestaltungsverfahren</f>
        <v>#NAME?</v>
      </c>
      <c r="J480" t="s">
        <v>2191</v>
      </c>
      <c r="K480" t="s">
        <v>2192</v>
      </c>
      <c r="L480" s="2">
        <v>33844</v>
      </c>
      <c r="N480" t="s">
        <v>2193</v>
      </c>
      <c r="O480" t="s">
        <v>564</v>
      </c>
      <c r="P480">
        <v>4</v>
      </c>
      <c r="S480" t="s">
        <v>8</v>
      </c>
      <c r="T480" t="s">
        <v>2194</v>
      </c>
      <c r="U480" t="s">
        <v>123</v>
      </c>
      <c r="V480" t="s">
        <v>464</v>
      </c>
      <c r="W480" t="s">
        <v>2195</v>
      </c>
      <c r="X480" t="s">
        <v>1808</v>
      </c>
      <c r="Y480" t="s">
        <v>1785</v>
      </c>
      <c r="AA480">
        <v>356</v>
      </c>
      <c r="AB480" t="s">
        <v>1796</v>
      </c>
    </row>
    <row r="481" spans="1:31" ht="13" customHeight="1">
      <c r="A481">
        <v>357</v>
      </c>
      <c r="C481" t="s">
        <v>2078</v>
      </c>
      <c r="D481" t="s">
        <v>2079</v>
      </c>
      <c r="E481" t="s">
        <v>2080</v>
      </c>
      <c r="F481" t="s">
        <v>115</v>
      </c>
      <c r="H481" t="s">
        <v>804</v>
      </c>
      <c r="I481" t="e">
        <f>- zeichnerisches Gestaltungsverfahren</f>
        <v>#NAME?</v>
      </c>
      <c r="J481" t="s">
        <v>2191</v>
      </c>
      <c r="K481" t="s">
        <v>2192</v>
      </c>
      <c r="L481" s="2">
        <v>33582</v>
      </c>
      <c r="O481" t="s">
        <v>564</v>
      </c>
      <c r="P481">
        <v>1</v>
      </c>
      <c r="Q481">
        <v>1952</v>
      </c>
      <c r="R481" t="s">
        <v>2202</v>
      </c>
      <c r="S481" t="s">
        <v>716</v>
      </c>
      <c r="T481" t="s">
        <v>2194</v>
      </c>
      <c r="U481" t="s">
        <v>123</v>
      </c>
      <c r="V481" t="s">
        <v>464</v>
      </c>
      <c r="W481" t="s">
        <v>2195</v>
      </c>
      <c r="X481" t="s">
        <v>1808</v>
      </c>
      <c r="Y481" t="s">
        <v>1785</v>
      </c>
      <c r="AA481">
        <v>357</v>
      </c>
      <c r="AB481" t="s">
        <v>2203</v>
      </c>
      <c r="AC481" t="s">
        <v>2204</v>
      </c>
    </row>
    <row r="482" spans="1:31" ht="13" customHeight="1">
      <c r="A482">
        <v>364</v>
      </c>
      <c r="C482" t="s">
        <v>2279</v>
      </c>
      <c r="D482" t="s">
        <v>2149</v>
      </c>
      <c r="E482" t="s">
        <v>1088</v>
      </c>
      <c r="F482" t="s">
        <v>1826</v>
      </c>
      <c r="H482" t="s">
        <v>6</v>
      </c>
      <c r="I482" t="s">
        <v>915</v>
      </c>
      <c r="J482" t="s">
        <v>2150</v>
      </c>
      <c r="K482" t="s">
        <v>2151</v>
      </c>
      <c r="L482" s="2">
        <v>33278</v>
      </c>
      <c r="N482" t="s">
        <v>2152</v>
      </c>
      <c r="O482" t="s">
        <v>564</v>
      </c>
      <c r="P482">
        <v>1</v>
      </c>
      <c r="Q482">
        <v>1971</v>
      </c>
      <c r="S482" t="s">
        <v>8</v>
      </c>
      <c r="T482" t="s">
        <v>2410</v>
      </c>
      <c r="U482" t="s">
        <v>123</v>
      </c>
      <c r="V482" t="s">
        <v>1288</v>
      </c>
      <c r="W482" t="s">
        <v>1221</v>
      </c>
      <c r="X482" t="s">
        <v>854</v>
      </c>
      <c r="AA482">
        <v>364</v>
      </c>
      <c r="AB482" t="s">
        <v>2411</v>
      </c>
      <c r="AC482" t="s">
        <v>2412</v>
      </c>
    </row>
    <row r="483" spans="1:31" ht="13" customHeight="1">
      <c r="A483">
        <v>84</v>
      </c>
      <c r="C483" t="s">
        <v>466</v>
      </c>
      <c r="D483" t="s">
        <v>467</v>
      </c>
      <c r="E483" t="s">
        <v>468</v>
      </c>
      <c r="F483" t="s">
        <v>469</v>
      </c>
      <c r="H483" t="s">
        <v>730</v>
      </c>
      <c r="I483" t="e">
        <f>- mehrdimensionaler Persönlichkeits-Test</f>
        <v>#NAME?</v>
      </c>
      <c r="J483" t="s">
        <v>470</v>
      </c>
      <c r="K483" t="s">
        <v>471</v>
      </c>
      <c r="L483" s="2">
        <v>33955</v>
      </c>
      <c r="N483" t="s">
        <v>472</v>
      </c>
      <c r="O483" t="s">
        <v>120</v>
      </c>
      <c r="P483">
        <v>1</v>
      </c>
      <c r="Q483" t="s">
        <v>473</v>
      </c>
      <c r="S483" t="s">
        <v>121</v>
      </c>
      <c r="T483" t="s">
        <v>474</v>
      </c>
      <c r="U483" t="s">
        <v>123</v>
      </c>
      <c r="V483" t="s">
        <v>475</v>
      </c>
      <c r="W483" t="s">
        <v>1</v>
      </c>
      <c r="AA483">
        <v>84</v>
      </c>
      <c r="AB483" t="s">
        <v>467</v>
      </c>
    </row>
    <row r="484" spans="1:31" ht="13" customHeight="1">
      <c r="A484">
        <v>395.1</v>
      </c>
      <c r="B484">
        <v>1</v>
      </c>
      <c r="C484" t="s">
        <v>1054</v>
      </c>
      <c r="D484" t="s">
        <v>1055</v>
      </c>
      <c r="E484" t="s">
        <v>892</v>
      </c>
      <c r="F484" t="s">
        <v>115</v>
      </c>
      <c r="H484" t="s">
        <v>600</v>
      </c>
      <c r="I484" t="e">
        <f>- Einstellungstest</f>
        <v>#NAME?</v>
      </c>
      <c r="J484" t="s">
        <v>791</v>
      </c>
      <c r="K484" t="s">
        <v>1201</v>
      </c>
      <c r="L484" s="2">
        <v>34431</v>
      </c>
      <c r="N484" t="s">
        <v>1202</v>
      </c>
      <c r="O484" t="s">
        <v>564</v>
      </c>
      <c r="P484">
        <v>5</v>
      </c>
      <c r="Q484">
        <v>1972</v>
      </c>
      <c r="R484" t="s">
        <v>1203</v>
      </c>
      <c r="S484" t="s">
        <v>8</v>
      </c>
      <c r="T484" t="s">
        <v>1204</v>
      </c>
      <c r="U484" t="s">
        <v>123</v>
      </c>
      <c r="V484" t="s">
        <v>548</v>
      </c>
      <c r="W484" t="s">
        <v>464</v>
      </c>
      <c r="X484" t="s">
        <v>1205</v>
      </c>
      <c r="Y484" t="s">
        <v>549</v>
      </c>
      <c r="Z484" t="s">
        <v>551</v>
      </c>
      <c r="AA484">
        <v>395</v>
      </c>
      <c r="AB484" t="s">
        <v>1055</v>
      </c>
    </row>
    <row r="485" spans="1:31" ht="13" customHeight="1">
      <c r="A485">
        <v>395.2</v>
      </c>
      <c r="B485">
        <v>2</v>
      </c>
      <c r="C485" t="s">
        <v>1054</v>
      </c>
      <c r="D485" t="s">
        <v>1055</v>
      </c>
      <c r="E485" t="s">
        <v>892</v>
      </c>
      <c r="F485" t="s">
        <v>115</v>
      </c>
      <c r="H485" t="s">
        <v>600</v>
      </c>
      <c r="I485" t="e">
        <f>- Einstellungstest</f>
        <v>#NAME?</v>
      </c>
      <c r="J485" t="s">
        <v>791</v>
      </c>
      <c r="K485" t="s">
        <v>2387</v>
      </c>
      <c r="L485" s="2">
        <v>34431</v>
      </c>
      <c r="N485" t="s">
        <v>1202</v>
      </c>
      <c r="O485" t="s">
        <v>564</v>
      </c>
      <c r="P485">
        <v>5</v>
      </c>
      <c r="Q485">
        <v>1972</v>
      </c>
      <c r="R485" t="s">
        <v>1203</v>
      </c>
      <c r="S485" t="s">
        <v>8</v>
      </c>
      <c r="T485" t="s">
        <v>1204</v>
      </c>
      <c r="U485" t="s">
        <v>123</v>
      </c>
      <c r="V485" t="s">
        <v>548</v>
      </c>
      <c r="W485" t="s">
        <v>464</v>
      </c>
      <c r="X485" t="s">
        <v>1205</v>
      </c>
      <c r="Y485" t="s">
        <v>549</v>
      </c>
      <c r="Z485" t="s">
        <v>551</v>
      </c>
      <c r="AB485" t="s">
        <v>1055</v>
      </c>
    </row>
    <row r="486" spans="1:31" ht="13" customHeight="1">
      <c r="A486">
        <v>395.3</v>
      </c>
      <c r="B486">
        <v>3</v>
      </c>
      <c r="C486" t="s">
        <v>1054</v>
      </c>
      <c r="D486" t="s">
        <v>1055</v>
      </c>
      <c r="E486" t="s">
        <v>892</v>
      </c>
      <c r="F486" t="s">
        <v>115</v>
      </c>
      <c r="H486" t="s">
        <v>600</v>
      </c>
      <c r="I486" t="e">
        <f>- Einstellungstest</f>
        <v>#NAME?</v>
      </c>
      <c r="J486" t="s">
        <v>791</v>
      </c>
      <c r="K486" t="s">
        <v>2557</v>
      </c>
      <c r="L486" s="2">
        <v>34431</v>
      </c>
      <c r="N486" t="s">
        <v>1202</v>
      </c>
      <c r="O486" t="s">
        <v>564</v>
      </c>
      <c r="P486">
        <v>5</v>
      </c>
      <c r="Q486">
        <v>1972</v>
      </c>
      <c r="R486" t="s">
        <v>1203</v>
      </c>
      <c r="S486" t="s">
        <v>8</v>
      </c>
      <c r="T486" t="s">
        <v>2558</v>
      </c>
      <c r="U486" t="s">
        <v>123</v>
      </c>
      <c r="V486" t="s">
        <v>548</v>
      </c>
      <c r="W486" t="s">
        <v>464</v>
      </c>
      <c r="X486" t="s">
        <v>1205</v>
      </c>
      <c r="Y486" t="s">
        <v>549</v>
      </c>
      <c r="Z486" t="s">
        <v>551</v>
      </c>
      <c r="AB486" t="s">
        <v>1055</v>
      </c>
    </row>
    <row r="487" spans="1:31" ht="13" customHeight="1">
      <c r="A487">
        <v>395.4</v>
      </c>
      <c r="B487">
        <v>4</v>
      </c>
      <c r="C487" t="s">
        <v>1054</v>
      </c>
      <c r="D487" t="s">
        <v>1055</v>
      </c>
      <c r="E487" t="s">
        <v>892</v>
      </c>
      <c r="F487" t="s">
        <v>115</v>
      </c>
      <c r="H487" t="s">
        <v>600</v>
      </c>
      <c r="I487" t="e">
        <f>- Einstellungstest</f>
        <v>#NAME?</v>
      </c>
      <c r="J487" t="s">
        <v>791</v>
      </c>
      <c r="K487" t="s">
        <v>2387</v>
      </c>
      <c r="L487" s="2">
        <v>34431</v>
      </c>
      <c r="N487" t="s">
        <v>1202</v>
      </c>
      <c r="O487" t="s">
        <v>564</v>
      </c>
      <c r="P487">
        <v>5</v>
      </c>
      <c r="Q487">
        <v>1972</v>
      </c>
      <c r="R487" t="s">
        <v>1203</v>
      </c>
      <c r="S487" t="s">
        <v>8</v>
      </c>
      <c r="T487" t="s">
        <v>1204</v>
      </c>
      <c r="U487" t="s">
        <v>123</v>
      </c>
      <c r="V487" t="s">
        <v>548</v>
      </c>
      <c r="W487" t="s">
        <v>464</v>
      </c>
      <c r="X487" t="s">
        <v>1205</v>
      </c>
      <c r="Y487" t="s">
        <v>549</v>
      </c>
      <c r="Z487" t="s">
        <v>551</v>
      </c>
      <c r="AB487" t="s">
        <v>1055</v>
      </c>
    </row>
    <row r="488" spans="1:31" ht="13" customHeight="1">
      <c r="A488">
        <v>395.5</v>
      </c>
      <c r="B488">
        <v>5</v>
      </c>
      <c r="C488" t="s">
        <v>1054</v>
      </c>
      <c r="D488" t="s">
        <v>1055</v>
      </c>
      <c r="E488" t="s">
        <v>892</v>
      </c>
      <c r="F488" t="s">
        <v>115</v>
      </c>
      <c r="H488" t="s">
        <v>600</v>
      </c>
      <c r="I488" t="e">
        <f>- Einstellungstest</f>
        <v>#NAME?</v>
      </c>
      <c r="J488" t="s">
        <v>791</v>
      </c>
      <c r="K488" t="s">
        <v>2387</v>
      </c>
      <c r="L488" s="2">
        <v>34431</v>
      </c>
      <c r="N488" t="s">
        <v>1202</v>
      </c>
      <c r="O488" t="s">
        <v>564</v>
      </c>
      <c r="P488">
        <v>5</v>
      </c>
      <c r="Q488">
        <v>1972</v>
      </c>
      <c r="R488" t="s">
        <v>1203</v>
      </c>
      <c r="S488" t="s">
        <v>8</v>
      </c>
      <c r="T488" t="s">
        <v>1204</v>
      </c>
      <c r="U488" t="s">
        <v>123</v>
      </c>
      <c r="V488" t="s">
        <v>548</v>
      </c>
      <c r="W488" t="s">
        <v>464</v>
      </c>
      <c r="X488" t="s">
        <v>1205</v>
      </c>
      <c r="Y488" t="s">
        <v>549</v>
      </c>
      <c r="Z488" t="s">
        <v>551</v>
      </c>
      <c r="AB488" t="s">
        <v>1055</v>
      </c>
    </row>
    <row r="489" spans="1:31" ht="13" customHeight="1">
      <c r="A489">
        <v>285.10000000000002</v>
      </c>
      <c r="B489">
        <v>1</v>
      </c>
      <c r="C489" t="s">
        <v>1736</v>
      </c>
      <c r="D489" t="s">
        <v>1737</v>
      </c>
      <c r="E489" t="s">
        <v>1738</v>
      </c>
      <c r="F489" t="s">
        <v>115</v>
      </c>
      <c r="H489" t="s">
        <v>6</v>
      </c>
      <c r="I489" t="e">
        <f>- spez. Funktionsprüfungs- und Eignungstest</f>
        <v>#NAME?</v>
      </c>
      <c r="J489" t="s">
        <v>791</v>
      </c>
      <c r="K489" t="s">
        <v>1739</v>
      </c>
      <c r="L489" s="2">
        <v>33191</v>
      </c>
      <c r="O489" t="s">
        <v>120</v>
      </c>
      <c r="P489">
        <v>2</v>
      </c>
      <c r="Q489">
        <v>1961</v>
      </c>
      <c r="S489" t="s">
        <v>8</v>
      </c>
      <c r="T489" t="s">
        <v>1740</v>
      </c>
      <c r="U489" t="s">
        <v>123</v>
      </c>
      <c r="V489" t="s">
        <v>1741</v>
      </c>
      <c r="W489" t="s">
        <v>1742</v>
      </c>
      <c r="X489" t="s">
        <v>1743</v>
      </c>
      <c r="AA489">
        <v>285</v>
      </c>
      <c r="AB489" t="s">
        <v>1737</v>
      </c>
    </row>
    <row r="490" spans="1:31" ht="13" customHeight="1">
      <c r="A490">
        <v>285.2</v>
      </c>
      <c r="B490">
        <v>2</v>
      </c>
      <c r="C490" t="s">
        <v>1736</v>
      </c>
      <c r="D490" t="s">
        <v>1737</v>
      </c>
      <c r="E490" t="s">
        <v>1738</v>
      </c>
      <c r="F490" t="s">
        <v>115</v>
      </c>
      <c r="H490" t="s">
        <v>6</v>
      </c>
      <c r="I490" t="e">
        <f>- spez. Funktionsprüfungs- und Eignungstest</f>
        <v>#NAME?</v>
      </c>
      <c r="J490" t="s">
        <v>791</v>
      </c>
      <c r="K490" t="s">
        <v>1739</v>
      </c>
      <c r="L490" s="2">
        <v>33191</v>
      </c>
      <c r="O490" t="s">
        <v>120</v>
      </c>
      <c r="P490">
        <v>2</v>
      </c>
      <c r="Q490">
        <v>1961</v>
      </c>
      <c r="S490" t="s">
        <v>8</v>
      </c>
      <c r="T490" t="s">
        <v>1740</v>
      </c>
      <c r="U490" t="s">
        <v>123</v>
      </c>
      <c r="V490" t="s">
        <v>1741</v>
      </c>
      <c r="W490" t="s">
        <v>1742</v>
      </c>
      <c r="X490" t="s">
        <v>1743</v>
      </c>
      <c r="AB490" t="s">
        <v>1737</v>
      </c>
    </row>
    <row r="491" spans="1:31" ht="13" customHeight="1">
      <c r="A491">
        <v>264.10000000000002</v>
      </c>
      <c r="B491">
        <v>1</v>
      </c>
      <c r="C491" t="s">
        <v>1660</v>
      </c>
      <c r="D491" t="s">
        <v>1661</v>
      </c>
      <c r="E491" t="s">
        <v>1662</v>
      </c>
      <c r="F491" t="s">
        <v>115</v>
      </c>
      <c r="H491" t="s">
        <v>6</v>
      </c>
      <c r="I491" t="s">
        <v>139</v>
      </c>
      <c r="J491" t="s">
        <v>1663</v>
      </c>
      <c r="K491" t="s">
        <v>1664</v>
      </c>
      <c r="L491" s="2">
        <v>33844</v>
      </c>
      <c r="N491" t="s">
        <v>1665</v>
      </c>
      <c r="O491" t="s">
        <v>120</v>
      </c>
      <c r="P491">
        <v>2</v>
      </c>
      <c r="Q491">
        <v>1967</v>
      </c>
      <c r="S491" t="s">
        <v>8</v>
      </c>
      <c r="T491" s="1" t="s">
        <v>1666</v>
      </c>
      <c r="U491" t="s">
        <v>123</v>
      </c>
      <c r="V491" t="s">
        <v>855</v>
      </c>
      <c r="W491" t="s">
        <v>175</v>
      </c>
      <c r="AA491">
        <v>264</v>
      </c>
      <c r="AB491" t="s">
        <v>1667</v>
      </c>
      <c r="AC491" t="s">
        <v>1668</v>
      </c>
      <c r="AD491" t="s">
        <v>1669</v>
      </c>
      <c r="AE491" t="s">
        <v>1670</v>
      </c>
    </row>
    <row r="492" spans="1:31" ht="13" customHeight="1">
      <c r="A492">
        <v>264.2</v>
      </c>
      <c r="B492">
        <v>2</v>
      </c>
      <c r="C492" t="s">
        <v>1660</v>
      </c>
      <c r="D492" t="s">
        <v>1661</v>
      </c>
      <c r="E492" t="s">
        <v>1662</v>
      </c>
      <c r="F492" t="s">
        <v>115</v>
      </c>
      <c r="H492" t="s">
        <v>6</v>
      </c>
      <c r="I492" t="s">
        <v>139</v>
      </c>
      <c r="J492" t="s">
        <v>1663</v>
      </c>
      <c r="K492" t="s">
        <v>1664</v>
      </c>
      <c r="L492" s="2">
        <v>33192</v>
      </c>
      <c r="O492" t="s">
        <v>120</v>
      </c>
      <c r="P492">
        <v>2</v>
      </c>
      <c r="Q492">
        <v>1967</v>
      </c>
      <c r="S492" t="s">
        <v>8</v>
      </c>
      <c r="T492" s="1" t="s">
        <v>1671</v>
      </c>
      <c r="U492" t="s">
        <v>123</v>
      </c>
      <c r="V492" t="s">
        <v>855</v>
      </c>
      <c r="W492" t="s">
        <v>175</v>
      </c>
      <c r="AB492" t="s">
        <v>1667</v>
      </c>
      <c r="AC492" t="s">
        <v>1668</v>
      </c>
      <c r="AD492" t="s">
        <v>1669</v>
      </c>
      <c r="AE492" t="s">
        <v>1670</v>
      </c>
    </row>
    <row r="493" spans="1:31" ht="13" customHeight="1">
      <c r="A493">
        <v>103</v>
      </c>
      <c r="C493" t="s">
        <v>681</v>
      </c>
      <c r="D493" t="s">
        <v>682</v>
      </c>
      <c r="E493" t="s">
        <v>75</v>
      </c>
      <c r="F493" t="s">
        <v>115</v>
      </c>
      <c r="H493" t="s">
        <v>730</v>
      </c>
      <c r="I493" t="e">
        <f>- Einstellungstest</f>
        <v>#NAME?</v>
      </c>
      <c r="J493" t="s">
        <v>791</v>
      </c>
      <c r="K493" t="s">
        <v>540</v>
      </c>
      <c r="L493" s="2">
        <v>33416</v>
      </c>
      <c r="O493" t="s">
        <v>120</v>
      </c>
      <c r="P493">
        <v>1</v>
      </c>
      <c r="Q493">
        <v>1958</v>
      </c>
      <c r="S493" t="s">
        <v>121</v>
      </c>
      <c r="T493" t="s">
        <v>541</v>
      </c>
      <c r="U493" t="s">
        <v>123</v>
      </c>
      <c r="V493" t="s">
        <v>542</v>
      </c>
      <c r="W493" t="s">
        <v>543</v>
      </c>
      <c r="AA493">
        <v>103</v>
      </c>
      <c r="AB493" t="s">
        <v>682</v>
      </c>
    </row>
    <row r="494" spans="1:31" ht="13" customHeight="1">
      <c r="A494">
        <v>32</v>
      </c>
      <c r="C494" t="s">
        <v>301</v>
      </c>
      <c r="D494" t="s">
        <v>302</v>
      </c>
      <c r="E494" t="s">
        <v>394</v>
      </c>
      <c r="F494" t="s">
        <v>115</v>
      </c>
      <c r="H494" t="s">
        <v>6</v>
      </c>
      <c r="I494" t="e">
        <f>- Schultest</f>
        <v>#NAME?</v>
      </c>
      <c r="J494" t="s">
        <v>303</v>
      </c>
      <c r="K494" t="s">
        <v>304</v>
      </c>
      <c r="L494" s="2">
        <v>33844</v>
      </c>
      <c r="O494" t="s">
        <v>120</v>
      </c>
      <c r="P494">
        <v>1</v>
      </c>
      <c r="Q494" t="s">
        <v>305</v>
      </c>
      <c r="S494" t="s">
        <v>121</v>
      </c>
      <c r="T494" t="s">
        <v>306</v>
      </c>
      <c r="U494" t="s">
        <v>123</v>
      </c>
      <c r="V494" t="s">
        <v>175</v>
      </c>
      <c r="W494" t="s">
        <v>441</v>
      </c>
      <c r="AA494">
        <v>32</v>
      </c>
      <c r="AB494" t="s">
        <v>442</v>
      </c>
      <c r="AC494" t="s">
        <v>443</v>
      </c>
    </row>
    <row r="495" spans="1:31" ht="13" customHeight="1">
      <c r="A495">
        <v>140.1</v>
      </c>
      <c r="B495">
        <v>1</v>
      </c>
      <c r="C495" t="s">
        <v>809</v>
      </c>
      <c r="D495" t="s">
        <v>810</v>
      </c>
      <c r="E495" t="s">
        <v>733</v>
      </c>
      <c r="F495" t="s">
        <v>115</v>
      </c>
      <c r="H495" t="s">
        <v>6</v>
      </c>
      <c r="I495" t="e">
        <f>- Intelligenztest für $K55:$AE55 und Erw.</f>
        <v>#NAME?</v>
      </c>
      <c r="J495" t="s">
        <v>76</v>
      </c>
      <c r="K495" t="s">
        <v>672</v>
      </c>
      <c r="L495" s="2">
        <v>34508</v>
      </c>
      <c r="N495" t="s">
        <v>673</v>
      </c>
      <c r="O495" t="s">
        <v>564</v>
      </c>
      <c r="P495">
        <v>2</v>
      </c>
      <c r="Q495">
        <v>1992</v>
      </c>
      <c r="S495" t="s">
        <v>8</v>
      </c>
      <c r="T495" t="s">
        <v>674</v>
      </c>
      <c r="U495" t="s">
        <v>123</v>
      </c>
      <c r="V495" t="s">
        <v>20</v>
      </c>
      <c r="W495" t="s">
        <v>675</v>
      </c>
      <c r="X495" t="s">
        <v>175</v>
      </c>
      <c r="AA495">
        <v>140</v>
      </c>
      <c r="AB495" t="s">
        <v>676</v>
      </c>
      <c r="AC495" t="s">
        <v>947</v>
      </c>
    </row>
    <row r="496" spans="1:31" ht="13" customHeight="1">
      <c r="A496">
        <v>365.1</v>
      </c>
      <c r="B496">
        <v>1</v>
      </c>
      <c r="C496" t="s">
        <v>2413</v>
      </c>
      <c r="D496" t="s">
        <v>2414</v>
      </c>
      <c r="E496" t="s">
        <v>845</v>
      </c>
      <c r="F496" t="s">
        <v>115</v>
      </c>
      <c r="H496" t="s">
        <v>6</v>
      </c>
      <c r="I496" t="e">
        <f>- Intelligenztest für $K143:$AE143 und $K55:$AE55</f>
        <v>#NAME?</v>
      </c>
      <c r="J496" t="s">
        <v>2415</v>
      </c>
      <c r="K496" t="s">
        <v>2416</v>
      </c>
      <c r="L496" s="2">
        <v>33278</v>
      </c>
      <c r="O496" t="s">
        <v>564</v>
      </c>
      <c r="P496">
        <v>3</v>
      </c>
      <c r="Q496">
        <v>1955</v>
      </c>
      <c r="R496" t="s">
        <v>2417</v>
      </c>
      <c r="S496" t="s">
        <v>8</v>
      </c>
      <c r="T496" t="s">
        <v>2418</v>
      </c>
      <c r="U496" t="s">
        <v>123</v>
      </c>
      <c r="V496" t="s">
        <v>280</v>
      </c>
      <c r="W496" t="s">
        <v>2419</v>
      </c>
      <c r="AA496">
        <v>365</v>
      </c>
      <c r="AB496" t="s">
        <v>2414</v>
      </c>
    </row>
    <row r="497" spans="1:29" ht="13" customHeight="1">
      <c r="A497">
        <v>365.2</v>
      </c>
      <c r="B497">
        <v>2</v>
      </c>
      <c r="C497" t="s">
        <v>2413</v>
      </c>
      <c r="D497" t="s">
        <v>2414</v>
      </c>
      <c r="E497" t="s">
        <v>845</v>
      </c>
      <c r="F497" t="s">
        <v>115</v>
      </c>
      <c r="H497" t="s">
        <v>6</v>
      </c>
      <c r="I497" t="e">
        <f>- Intelligenztest für $K143:$AE143 und $K55:$AE55</f>
        <v>#NAME?</v>
      </c>
      <c r="J497" t="s">
        <v>2415</v>
      </c>
      <c r="K497" t="s">
        <v>2416</v>
      </c>
      <c r="L497" s="2">
        <v>33278</v>
      </c>
      <c r="O497" t="s">
        <v>564</v>
      </c>
      <c r="P497">
        <v>3</v>
      </c>
      <c r="Q497">
        <v>1955</v>
      </c>
      <c r="R497" t="s">
        <v>2417</v>
      </c>
      <c r="S497" t="s">
        <v>8</v>
      </c>
      <c r="T497" t="s">
        <v>2418</v>
      </c>
      <c r="U497" t="s">
        <v>123</v>
      </c>
      <c r="V497" t="s">
        <v>280</v>
      </c>
      <c r="W497" t="s">
        <v>2419</v>
      </c>
      <c r="AB497" t="s">
        <v>2414</v>
      </c>
    </row>
    <row r="498" spans="1:29" ht="13" customHeight="1">
      <c r="A498">
        <v>365.3</v>
      </c>
      <c r="B498">
        <v>3</v>
      </c>
      <c r="C498" t="s">
        <v>2413</v>
      </c>
      <c r="D498" t="s">
        <v>2414</v>
      </c>
      <c r="E498" t="s">
        <v>845</v>
      </c>
      <c r="F498" t="s">
        <v>115</v>
      </c>
      <c r="H498" t="s">
        <v>1074</v>
      </c>
      <c r="I498" t="s">
        <v>1074</v>
      </c>
      <c r="J498" t="s">
        <v>2415</v>
      </c>
      <c r="K498" t="s">
        <v>2416</v>
      </c>
      <c r="L498" s="2">
        <v>34123</v>
      </c>
      <c r="O498" t="s">
        <v>564</v>
      </c>
      <c r="P498">
        <v>3</v>
      </c>
      <c r="Q498">
        <v>1955</v>
      </c>
      <c r="R498" t="s">
        <v>2417</v>
      </c>
      <c r="S498" t="s">
        <v>8</v>
      </c>
      <c r="T498" t="s">
        <v>2420</v>
      </c>
      <c r="U498" t="s">
        <v>123</v>
      </c>
      <c r="V498" t="s">
        <v>280</v>
      </c>
      <c r="W498" t="s">
        <v>2419</v>
      </c>
      <c r="AB498" t="s">
        <v>2414</v>
      </c>
    </row>
    <row r="499" spans="1:29" ht="13" customHeight="1">
      <c r="A499">
        <v>260.10000000000002</v>
      </c>
      <c r="B499">
        <v>1</v>
      </c>
      <c r="C499" t="s">
        <v>1549</v>
      </c>
      <c r="D499" t="s">
        <v>1550</v>
      </c>
      <c r="E499" t="s">
        <v>892</v>
      </c>
      <c r="F499" t="s">
        <v>115</v>
      </c>
      <c r="H499" t="s">
        <v>6</v>
      </c>
      <c r="I499" t="s">
        <v>1103</v>
      </c>
      <c r="J499" t="s">
        <v>1551</v>
      </c>
      <c r="K499" t="s">
        <v>1552</v>
      </c>
      <c r="L499" s="2">
        <v>33267</v>
      </c>
      <c r="N499" t="s">
        <v>1553</v>
      </c>
      <c r="O499" t="s">
        <v>564</v>
      </c>
      <c r="P499">
        <v>3</v>
      </c>
      <c r="Q499">
        <v>1967</v>
      </c>
      <c r="R499" t="s">
        <v>1554</v>
      </c>
      <c r="S499" t="s">
        <v>8</v>
      </c>
      <c r="T499" t="s">
        <v>1411</v>
      </c>
      <c r="U499" t="s">
        <v>123</v>
      </c>
      <c r="V499" t="s">
        <v>1107</v>
      </c>
      <c r="W499" t="s">
        <v>1412</v>
      </c>
      <c r="X499" t="s">
        <v>175</v>
      </c>
      <c r="AA499">
        <v>260</v>
      </c>
      <c r="AB499" t="s">
        <v>1413</v>
      </c>
      <c r="AC499" t="s">
        <v>1414</v>
      </c>
    </row>
    <row r="500" spans="1:29" ht="13" customHeight="1">
      <c r="A500">
        <v>260.2</v>
      </c>
      <c r="B500">
        <v>2</v>
      </c>
      <c r="C500" t="s">
        <v>1549</v>
      </c>
      <c r="D500" t="s">
        <v>1550</v>
      </c>
      <c r="E500" t="s">
        <v>892</v>
      </c>
      <c r="F500" t="s">
        <v>267</v>
      </c>
      <c r="H500" t="s">
        <v>6</v>
      </c>
      <c r="I500" t="s">
        <v>1103</v>
      </c>
      <c r="J500" t="s">
        <v>1551</v>
      </c>
      <c r="K500" t="s">
        <v>1552</v>
      </c>
      <c r="L500" s="2">
        <v>33267</v>
      </c>
      <c r="N500" t="s">
        <v>1553</v>
      </c>
      <c r="O500" t="s">
        <v>564</v>
      </c>
      <c r="P500">
        <v>3</v>
      </c>
      <c r="Q500">
        <v>1980</v>
      </c>
      <c r="S500" t="s">
        <v>8</v>
      </c>
      <c r="T500" t="s">
        <v>1411</v>
      </c>
      <c r="U500" t="s">
        <v>123</v>
      </c>
      <c r="V500" t="s">
        <v>1107</v>
      </c>
      <c r="W500" t="s">
        <v>1412</v>
      </c>
      <c r="X500" t="s">
        <v>175</v>
      </c>
      <c r="AB500" t="s">
        <v>1413</v>
      </c>
      <c r="AC500" t="s">
        <v>1414</v>
      </c>
    </row>
    <row r="501" spans="1:29" ht="13" customHeight="1">
      <c r="A501">
        <v>260.3</v>
      </c>
      <c r="B501">
        <v>3</v>
      </c>
      <c r="C501" t="s">
        <v>1549</v>
      </c>
      <c r="D501" t="s">
        <v>1550</v>
      </c>
      <c r="E501" t="s">
        <v>892</v>
      </c>
      <c r="F501" t="s">
        <v>267</v>
      </c>
      <c r="H501" t="s">
        <v>6</v>
      </c>
      <c r="I501" t="s">
        <v>1103</v>
      </c>
      <c r="J501" t="s">
        <v>1551</v>
      </c>
      <c r="K501" t="s">
        <v>1552</v>
      </c>
      <c r="L501" s="2">
        <v>33353</v>
      </c>
      <c r="N501" t="s">
        <v>1553</v>
      </c>
      <c r="O501" t="s">
        <v>564</v>
      </c>
      <c r="P501">
        <v>3</v>
      </c>
      <c r="Q501">
        <v>1980</v>
      </c>
      <c r="S501" t="s">
        <v>8</v>
      </c>
      <c r="T501" t="s">
        <v>1411</v>
      </c>
      <c r="U501" t="s">
        <v>123</v>
      </c>
      <c r="V501" t="s">
        <v>1107</v>
      </c>
      <c r="W501" t="s">
        <v>1412</v>
      </c>
      <c r="X501" t="s">
        <v>175</v>
      </c>
      <c r="AB501" t="s">
        <v>1413</v>
      </c>
      <c r="AC501" t="s">
        <v>1414</v>
      </c>
    </row>
  </sheetData>
  <pageMargins left="0.75" right="0.75" top="1" bottom="1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Schreiber</dc:creator>
  <cp:lastModifiedBy>Carina Negreanu</cp:lastModifiedBy>
  <dcterms:created xsi:type="dcterms:W3CDTF">2003-02-04T10:38:35Z</dcterms:created>
  <dcterms:modified xsi:type="dcterms:W3CDTF">2020-01-27T12:45:04Z</dcterms:modified>
</cp:coreProperties>
</file>