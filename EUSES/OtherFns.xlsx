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heets/sheet1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37762E1-C6EB-436D-AFF6-5F5F05653763}" xr6:coauthVersionLast="45" xr6:coauthVersionMax="45" xr10:uidLastSave="{00000000-0000-0000-0000-000000000000}"/>
  <bookViews>
    <workbookView xWindow="2280" yWindow="2280" windowWidth="28800" windowHeight="15460"/>
  </bookViews>
  <sheets>
    <sheet name="4Cast" sheetId="6" r:id="rId1"/>
    <sheet name="ARMA" sheetId="7" r:id="rId2"/>
    <sheet name="Spline" sheetId="8" r:id="rId3"/>
    <sheet name="Eig" sheetId="9" r:id="rId4"/>
    <sheet name="Chart1" sheetId="10" r:id="rId5"/>
  </sheets>
  <definedNames>
    <definedName name="anext">Eig!#REF!</definedName>
    <definedName name="arma11rss">ARMA!$P$30</definedName>
    <definedName name="arma11vec">ARMA!$P$26:$P$28</definedName>
    <definedName name="athis">Eig!#REF!</definedName>
    <definedName name="ma2rss">ARMA!$I$30</definedName>
    <definedName name="ma2vec">ARMA!$I$26:$I$28</definedName>
    <definedName name="solver_adj" localSheetId="1" hidden="1">ARMA!$I$26:$I$28</definedName>
    <definedName name="solver_drv" localSheetId="1" hidden="1">1</definedName>
    <definedName name="solver_est" localSheetId="1" hidden="1">1</definedName>
    <definedName name="solver_itr" localSheetId="1" hidden="1">100</definedName>
    <definedName name="solver_lin" localSheetId="1" hidden="1">0</definedName>
    <definedName name="solver_num" localSheetId="1" hidden="1">0</definedName>
    <definedName name="solver_nwt" localSheetId="1" hidden="1">1</definedName>
    <definedName name="solver_opt" localSheetId="1" hidden="1">ARMA!$I$30</definedName>
    <definedName name="solver_pre" localSheetId="1" hidden="1">0.000001</definedName>
    <definedName name="solver_scl" localSheetId="1" hidden="1">0</definedName>
    <definedName name="solver_sho" localSheetId="1" hidden="1">0</definedName>
    <definedName name="solver_tim" localSheetId="1" hidden="1">100</definedName>
    <definedName name="solver_tol" localSheetId="1" hidden="1">0.05</definedName>
    <definedName name="solver_typ" localSheetId="1" hidden="1">2</definedName>
    <definedName name="solver_val" localSheetId="1" hidden="1">0</definedName>
  </definedNames>
  <calcPr calcId="0"/>
</workbook>
</file>

<file path=xl/calcChain.xml><?xml version="1.0" encoding="utf-8"?>
<calcChain xmlns="http://schemas.openxmlformats.org/spreadsheetml/2006/main">
  <c r="D11" i="6" l="1"/>
  <c r="D11" i="6" a="1"/>
  <c r="F11" i="6"/>
  <c r="F11" i="6" a="1"/>
  <c r="J11" i="6"/>
  <c r="J11" i="6" a="1"/>
  <c r="K11" i="6"/>
  <c r="K11" i="6" a="1"/>
  <c r="P11" i="6"/>
  <c r="P11" i="6" a="1"/>
  <c r="D12" i="6"/>
  <c r="F12" i="6"/>
  <c r="J12" i="6"/>
  <c r="K12" i="6"/>
  <c r="P12" i="6"/>
  <c r="D13" i="6"/>
  <c r="F13" i="6"/>
  <c r="J13" i="6"/>
  <c r="K13" i="6"/>
  <c r="P13" i="6"/>
  <c r="D14" i="6"/>
  <c r="F14" i="6"/>
  <c r="J14" i="6"/>
  <c r="K14" i="6"/>
  <c r="P14" i="6"/>
  <c r="D15" i="6"/>
  <c r="F15" i="6"/>
  <c r="J15" i="6"/>
  <c r="K15" i="6"/>
  <c r="P15" i="6"/>
  <c r="D16" i="6"/>
  <c r="F16" i="6"/>
  <c r="J16" i="6"/>
  <c r="K16" i="6"/>
  <c r="P16" i="6"/>
  <c r="D17" i="6"/>
  <c r="F17" i="6"/>
  <c r="J17" i="6"/>
  <c r="K17" i="6"/>
  <c r="P17" i="6"/>
  <c r="D18" i="6"/>
  <c r="F18" i="6"/>
  <c r="J18" i="6"/>
  <c r="K18" i="6"/>
  <c r="P18" i="6"/>
  <c r="D19" i="6"/>
  <c r="F19" i="6"/>
  <c r="J19" i="6"/>
  <c r="K19" i="6"/>
  <c r="P19" i="6"/>
  <c r="D20" i="6"/>
  <c r="F20" i="6"/>
  <c r="J20" i="6"/>
  <c r="K20" i="6"/>
  <c r="P20" i="6"/>
  <c r="D21" i="6"/>
  <c r="F21" i="6"/>
  <c r="J21" i="6"/>
  <c r="K21" i="6"/>
  <c r="P21" i="6"/>
  <c r="D22" i="6"/>
  <c r="F22" i="6"/>
  <c r="J22" i="6"/>
  <c r="K22" i="6"/>
  <c r="P22" i="6"/>
  <c r="D23" i="6"/>
  <c r="F23" i="6"/>
  <c r="J23" i="6"/>
  <c r="K23" i="6"/>
  <c r="P23" i="6"/>
  <c r="D24" i="6"/>
  <c r="F24" i="6"/>
  <c r="J24" i="6"/>
  <c r="K24" i="6"/>
  <c r="P24" i="6"/>
  <c r="D25" i="6"/>
  <c r="F25" i="6"/>
  <c r="J25" i="6"/>
  <c r="K25" i="6"/>
  <c r="P25" i="6"/>
  <c r="D26" i="6"/>
  <c r="F26" i="6"/>
  <c r="J26" i="6"/>
  <c r="K26" i="6"/>
  <c r="P26" i="6"/>
  <c r="D27" i="6"/>
  <c r="F27" i="6"/>
  <c r="J27" i="6"/>
  <c r="K27" i="6"/>
  <c r="P27" i="6"/>
  <c r="D28" i="6"/>
  <c r="F28" i="6"/>
  <c r="J28" i="6"/>
  <c r="K28" i="6"/>
  <c r="P28" i="6"/>
  <c r="D29" i="6"/>
  <c r="F29" i="6"/>
  <c r="J29" i="6"/>
  <c r="K29" i="6"/>
  <c r="P29" i="6"/>
  <c r="D30" i="6"/>
  <c r="F30" i="6"/>
  <c r="J30" i="6"/>
  <c r="K30" i="6"/>
  <c r="P30" i="6"/>
  <c r="D31" i="6"/>
  <c r="F31" i="6"/>
  <c r="J31" i="6"/>
  <c r="K31" i="6"/>
  <c r="P31" i="6"/>
  <c r="D32" i="6"/>
  <c r="F32" i="6"/>
  <c r="J32" i="6"/>
  <c r="K32" i="6"/>
  <c r="P32" i="6"/>
  <c r="D33" i="6"/>
  <c r="F33" i="6"/>
  <c r="J33" i="6"/>
  <c r="K33" i="6"/>
  <c r="P33" i="6"/>
  <c r="D34" i="6"/>
  <c r="F34" i="6"/>
  <c r="J34" i="6"/>
  <c r="K34" i="6"/>
  <c r="P34" i="6"/>
  <c r="D35" i="6"/>
  <c r="F35" i="6"/>
  <c r="J35" i="6"/>
  <c r="K35" i="6"/>
  <c r="P35" i="6"/>
  <c r="D42" i="6"/>
  <c r="E42" i="6"/>
  <c r="H42" i="6"/>
  <c r="I42" i="6"/>
  <c r="E43" i="6"/>
  <c r="H43" i="6"/>
  <c r="I43" i="6"/>
  <c r="J43" i="6"/>
  <c r="E44" i="6"/>
  <c r="H44" i="6"/>
  <c r="I44" i="6"/>
  <c r="J44" i="6"/>
  <c r="E45" i="6"/>
  <c r="H45" i="6"/>
  <c r="I45" i="6"/>
  <c r="J45" i="6"/>
  <c r="E46" i="6"/>
  <c r="H46" i="6"/>
  <c r="I46" i="6"/>
  <c r="J46" i="6"/>
  <c r="E47" i="6"/>
  <c r="H47" i="6"/>
  <c r="I47" i="6"/>
  <c r="J47" i="6"/>
  <c r="E48" i="6"/>
  <c r="H48" i="6"/>
  <c r="I48" i="6"/>
  <c r="J48" i="6"/>
  <c r="E49" i="6"/>
  <c r="H49" i="6"/>
  <c r="I49" i="6"/>
  <c r="J49" i="6"/>
  <c r="E50" i="6"/>
  <c r="H50" i="6"/>
  <c r="I50" i="6"/>
  <c r="J50" i="6"/>
  <c r="E51" i="6"/>
  <c r="H51" i="6"/>
  <c r="I51" i="6"/>
  <c r="J51" i="6"/>
  <c r="E52" i="6"/>
  <c r="H52" i="6"/>
  <c r="I52" i="6"/>
  <c r="J52" i="6"/>
  <c r="E53" i="6"/>
  <c r="H53" i="6"/>
  <c r="I53" i="6"/>
  <c r="J53" i="6"/>
  <c r="E54" i="6"/>
  <c r="H54" i="6"/>
  <c r="I54" i="6"/>
  <c r="J54" i="6"/>
  <c r="E55" i="6"/>
  <c r="H55" i="6"/>
  <c r="I55" i="6"/>
  <c r="J55" i="6"/>
  <c r="E56" i="6"/>
  <c r="H56" i="6"/>
  <c r="I56" i="6"/>
  <c r="J56" i="6"/>
  <c r="E57" i="6"/>
  <c r="H57" i="6"/>
  <c r="I57" i="6"/>
  <c r="J57" i="6"/>
  <c r="E58" i="6"/>
  <c r="H58" i="6"/>
  <c r="I58" i="6"/>
  <c r="J58" i="6"/>
  <c r="E59" i="6"/>
  <c r="H59" i="6"/>
  <c r="I59" i="6"/>
  <c r="J59" i="6"/>
  <c r="E60" i="6"/>
  <c r="H60" i="6"/>
  <c r="I60" i="6"/>
  <c r="J60" i="6"/>
  <c r="E61" i="6"/>
  <c r="H61" i="6"/>
  <c r="I61" i="6"/>
  <c r="J61" i="6"/>
  <c r="E62" i="6"/>
  <c r="H62" i="6"/>
  <c r="I62" i="6"/>
  <c r="J62" i="6"/>
  <c r="E63" i="6"/>
  <c r="H63" i="6"/>
  <c r="I63" i="6"/>
  <c r="J63" i="6"/>
  <c r="E64" i="6"/>
  <c r="H64" i="6"/>
  <c r="I64" i="6"/>
  <c r="J64" i="6"/>
  <c r="E65" i="6"/>
  <c r="H65" i="6"/>
  <c r="I65" i="6"/>
  <c r="J65" i="6"/>
  <c r="E66" i="6"/>
  <c r="H66" i="6"/>
  <c r="I66" i="6"/>
  <c r="J66" i="6"/>
  <c r="F67" i="6"/>
  <c r="J67" i="6"/>
  <c r="C7" i="7"/>
  <c r="C7" i="7" a="1"/>
  <c r="D7" i="7"/>
  <c r="F7" i="7"/>
  <c r="G7" i="7"/>
  <c r="M7" i="7"/>
  <c r="N7" i="7"/>
  <c r="C8" i="7"/>
  <c r="C8" i="7" a="1"/>
  <c r="D8" i="7"/>
  <c r="F8" i="7"/>
  <c r="G8" i="7"/>
  <c r="M8" i="7"/>
  <c r="N8" i="7"/>
  <c r="C9" i="7"/>
  <c r="C9" i="7" a="1"/>
  <c r="D9" i="7"/>
  <c r="F9" i="7"/>
  <c r="G9" i="7"/>
  <c r="M9" i="7"/>
  <c r="N9" i="7"/>
  <c r="C10" i="7"/>
  <c r="C10" i="7" a="1"/>
  <c r="D10" i="7"/>
  <c r="F10" i="7"/>
  <c r="G10" i="7"/>
  <c r="M10" i="7"/>
  <c r="N10" i="7"/>
  <c r="C11" i="7"/>
  <c r="C11" i="7" a="1"/>
  <c r="D11" i="7"/>
  <c r="F11" i="7"/>
  <c r="G11" i="7"/>
  <c r="M11" i="7"/>
  <c r="N11" i="7"/>
  <c r="C12" i="7"/>
  <c r="C12" i="7" a="1"/>
  <c r="D12" i="7"/>
  <c r="F12" i="7"/>
  <c r="G12" i="7"/>
  <c r="M12" i="7"/>
  <c r="N12" i="7"/>
  <c r="C13" i="7"/>
  <c r="C13" i="7" a="1"/>
  <c r="D13" i="7"/>
  <c r="F13" i="7"/>
  <c r="G13" i="7"/>
  <c r="M13" i="7"/>
  <c r="N13" i="7"/>
  <c r="C14" i="7"/>
  <c r="C14" i="7" a="1"/>
  <c r="D14" i="7"/>
  <c r="F14" i="7"/>
  <c r="G14" i="7"/>
  <c r="M14" i="7"/>
  <c r="N14" i="7"/>
  <c r="C15" i="7"/>
  <c r="C15" i="7" a="1"/>
  <c r="D15" i="7"/>
  <c r="F15" i="7"/>
  <c r="G15" i="7"/>
  <c r="M15" i="7"/>
  <c r="N15" i="7"/>
  <c r="C16" i="7"/>
  <c r="C16" i="7" a="1"/>
  <c r="D16" i="7"/>
  <c r="F16" i="7"/>
  <c r="G16" i="7"/>
  <c r="M16" i="7"/>
  <c r="N16" i="7"/>
  <c r="C17" i="7"/>
  <c r="C17" i="7" a="1"/>
  <c r="D17" i="7"/>
  <c r="F17" i="7"/>
  <c r="G17" i="7"/>
  <c r="M17" i="7"/>
  <c r="N17" i="7"/>
  <c r="C18" i="7"/>
  <c r="C18" i="7" a="1"/>
  <c r="D18" i="7"/>
  <c r="F18" i="7"/>
  <c r="G18" i="7"/>
  <c r="M18" i="7"/>
  <c r="N18" i="7"/>
  <c r="D26" i="7"/>
  <c r="D26" i="7" a="1"/>
  <c r="G26" i="7"/>
  <c r="G26" i="7" a="1"/>
  <c r="N26" i="7"/>
  <c r="N26" i="7" a="1"/>
  <c r="D27" i="7"/>
  <c r="G27" i="7"/>
  <c r="G27" i="7" a="1"/>
  <c r="N27" i="7"/>
  <c r="N27" i="7" a="1"/>
  <c r="G28" i="7"/>
  <c r="N28" i="7"/>
  <c r="D30" i="7"/>
  <c r="G30" i="7"/>
  <c r="I30" i="7"/>
  <c r="N30" i="7"/>
  <c r="P30" i="7"/>
  <c r="I34" i="7"/>
  <c r="I35" i="7"/>
  <c r="P35" i="7"/>
  <c r="I36" i="7"/>
  <c r="P36" i="7"/>
  <c r="I37" i="7"/>
  <c r="P37" i="7"/>
  <c r="I38" i="7"/>
  <c r="P38" i="7"/>
  <c r="I39" i="7"/>
  <c r="P39" i="7"/>
  <c r="I40" i="7"/>
  <c r="P40" i="7"/>
  <c r="I41" i="7"/>
  <c r="P41" i="7"/>
  <c r="I42" i="7"/>
  <c r="P42" i="7"/>
  <c r="I43" i="7"/>
  <c r="P43" i="7"/>
  <c r="I44" i="7"/>
  <c r="P44" i="7"/>
  <c r="I45" i="7"/>
  <c r="P45" i="7"/>
  <c r="I46" i="7"/>
  <c r="P46" i="7"/>
  <c r="I47" i="7"/>
  <c r="P47" i="7"/>
  <c r="I48" i="7"/>
  <c r="P48" i="7"/>
  <c r="I49" i="7"/>
  <c r="P49" i="7"/>
  <c r="I50" i="7"/>
  <c r="P50" i="7"/>
  <c r="I51" i="7"/>
  <c r="P51" i="7"/>
  <c r="I52" i="7"/>
  <c r="P52" i="7"/>
  <c r="I53" i="7"/>
  <c r="P53" i="7"/>
  <c r="I54" i="7"/>
  <c r="P54" i="7"/>
  <c r="I55" i="7"/>
  <c r="P55" i="7"/>
  <c r="I56" i="7"/>
  <c r="P56" i="7"/>
  <c r="I57" i="7"/>
  <c r="P57" i="7"/>
  <c r="I58" i="7"/>
  <c r="P58" i="7"/>
  <c r="I59" i="7"/>
  <c r="P59" i="7"/>
  <c r="I60" i="7"/>
  <c r="P60" i="7"/>
  <c r="I61" i="7"/>
  <c r="P61" i="7"/>
  <c r="I62" i="7"/>
  <c r="P62" i="7"/>
  <c r="I63" i="7"/>
  <c r="P63" i="7"/>
  <c r="I64" i="7"/>
  <c r="P64" i="7"/>
  <c r="I65" i="7"/>
  <c r="P65" i="7"/>
  <c r="I66" i="7"/>
  <c r="P66" i="7"/>
  <c r="I67" i="7"/>
  <c r="P67" i="7"/>
  <c r="I68" i="7"/>
  <c r="P68" i="7"/>
  <c r="I69" i="7"/>
  <c r="P69" i="7"/>
  <c r="I70" i="7"/>
  <c r="P70" i="7"/>
  <c r="I71" i="7"/>
  <c r="P71" i="7"/>
  <c r="I72" i="7"/>
  <c r="P72" i="7"/>
  <c r="I73" i="7"/>
  <c r="P73" i="7"/>
  <c r="I74" i="7"/>
  <c r="P74" i="7"/>
  <c r="I75" i="7"/>
  <c r="P75" i="7"/>
  <c r="I76" i="7"/>
  <c r="P76" i="7"/>
  <c r="I77" i="7"/>
  <c r="P77" i="7"/>
  <c r="I78" i="7"/>
  <c r="P78" i="7"/>
  <c r="I79" i="7"/>
  <c r="P79" i="7"/>
  <c r="I80" i="7"/>
  <c r="P80" i="7"/>
  <c r="I81" i="7"/>
  <c r="P81" i="7"/>
  <c r="I82" i="7"/>
  <c r="P82" i="7"/>
  <c r="I83" i="7"/>
  <c r="P83" i="7"/>
  <c r="I84" i="7"/>
  <c r="P84" i="7"/>
  <c r="I85" i="7"/>
  <c r="P85" i="7"/>
  <c r="I86" i="7"/>
  <c r="P86" i="7"/>
  <c r="I87" i="7"/>
  <c r="P87" i="7"/>
  <c r="I88" i="7"/>
  <c r="P88" i="7"/>
  <c r="I89" i="7"/>
  <c r="P89" i="7"/>
  <c r="I90" i="7"/>
  <c r="P90" i="7"/>
  <c r="I91" i="7"/>
  <c r="P91" i="7"/>
  <c r="I92" i="7"/>
  <c r="P92" i="7"/>
  <c r="I93" i="7"/>
  <c r="P93" i="7"/>
  <c r="I94" i="7"/>
  <c r="P94" i="7"/>
  <c r="I95" i="7"/>
  <c r="P95" i="7"/>
  <c r="I96" i="7"/>
  <c r="P96" i="7"/>
  <c r="I97" i="7"/>
  <c r="P97" i="7"/>
  <c r="I98" i="7"/>
  <c r="P98" i="7"/>
  <c r="I99" i="7"/>
  <c r="P99" i="7"/>
  <c r="I100" i="7"/>
  <c r="P100" i="7"/>
  <c r="I101" i="7"/>
  <c r="P101" i="7"/>
  <c r="I102" i="7"/>
  <c r="P102" i="7"/>
  <c r="I103" i="7"/>
  <c r="P103" i="7"/>
  <c r="I104" i="7"/>
  <c r="P104" i="7"/>
  <c r="I105" i="7"/>
  <c r="P105" i="7"/>
  <c r="I106" i="7"/>
  <c r="P106" i="7"/>
  <c r="I107" i="7"/>
  <c r="P107" i="7"/>
  <c r="I108" i="7"/>
  <c r="P108" i="7"/>
  <c r="I109" i="7"/>
  <c r="P109" i="7"/>
  <c r="I110" i="7"/>
  <c r="P110" i="7"/>
  <c r="I111" i="7"/>
  <c r="P111" i="7"/>
  <c r="I112" i="7"/>
  <c r="P112" i="7"/>
  <c r="I113" i="7"/>
  <c r="P113" i="7"/>
  <c r="I114" i="7"/>
  <c r="P114" i="7"/>
  <c r="I115" i="7"/>
  <c r="P115" i="7"/>
  <c r="I116" i="7"/>
  <c r="P116" i="7"/>
  <c r="I117" i="7"/>
  <c r="P117" i="7"/>
  <c r="I118" i="7"/>
  <c r="P118" i="7"/>
  <c r="I119" i="7"/>
  <c r="P119" i="7"/>
  <c r="I120" i="7"/>
  <c r="P120" i="7"/>
  <c r="I121" i="7"/>
  <c r="P121" i="7"/>
  <c r="I122" i="7"/>
  <c r="P122" i="7"/>
  <c r="I123" i="7"/>
  <c r="P123" i="7"/>
  <c r="I124" i="7"/>
  <c r="P124" i="7"/>
  <c r="I125" i="7"/>
  <c r="P125" i="7"/>
  <c r="I126" i="7"/>
  <c r="P126" i="7"/>
  <c r="I127" i="7"/>
  <c r="P127" i="7"/>
  <c r="I128" i="7"/>
  <c r="P128" i="7"/>
  <c r="I129" i="7"/>
  <c r="P129" i="7"/>
  <c r="I130" i="7"/>
  <c r="P130" i="7"/>
  <c r="I131" i="7"/>
  <c r="P131" i="7"/>
  <c r="I132" i="7"/>
  <c r="P132" i="7"/>
  <c r="I133" i="7"/>
  <c r="P133" i="7"/>
  <c r="B29" i="9"/>
  <c r="B29" i="9" a="1"/>
  <c r="C29" i="9"/>
  <c r="D29" i="9"/>
  <c r="E29" i="9"/>
  <c r="F29" i="9"/>
  <c r="G29" i="9"/>
  <c r="H29" i="9"/>
  <c r="I29" i="9"/>
  <c r="B31" i="9"/>
  <c r="B31" i="9" a="1"/>
  <c r="C31" i="9"/>
  <c r="D31" i="9"/>
  <c r="E31" i="9"/>
  <c r="F31" i="9"/>
  <c r="G31" i="9"/>
  <c r="H31" i="9"/>
  <c r="I31" i="9"/>
  <c r="B32" i="9"/>
  <c r="C32" i="9"/>
  <c r="D32" i="9"/>
  <c r="E32" i="9"/>
  <c r="F32" i="9"/>
  <c r="G32" i="9"/>
  <c r="H32" i="9"/>
  <c r="I32" i="9"/>
  <c r="B33" i="9"/>
  <c r="C33" i="9"/>
  <c r="D33" i="9"/>
  <c r="E33" i="9"/>
  <c r="F33" i="9"/>
  <c r="G33" i="9"/>
  <c r="H33" i="9"/>
  <c r="I33" i="9"/>
  <c r="B34" i="9"/>
  <c r="C34" i="9"/>
  <c r="D34" i="9"/>
  <c r="E34" i="9"/>
  <c r="F34" i="9"/>
  <c r="G34" i="9"/>
  <c r="H34" i="9"/>
  <c r="I34" i="9"/>
  <c r="B35" i="9"/>
  <c r="C35" i="9"/>
  <c r="D35" i="9"/>
  <c r="E35" i="9"/>
  <c r="F35" i="9"/>
  <c r="G35" i="9"/>
  <c r="H35" i="9"/>
  <c r="I35" i="9"/>
  <c r="B36" i="9"/>
  <c r="C36" i="9"/>
  <c r="D36" i="9"/>
  <c r="E36" i="9"/>
  <c r="F36" i="9"/>
  <c r="G36" i="9"/>
  <c r="H36" i="9"/>
  <c r="I36" i="9"/>
  <c r="B37" i="9"/>
  <c r="C37" i="9"/>
  <c r="D37" i="9"/>
  <c r="E37" i="9"/>
  <c r="F37" i="9"/>
  <c r="G37" i="9"/>
  <c r="H37" i="9"/>
  <c r="I37" i="9"/>
  <c r="B38" i="9"/>
  <c r="C38" i="9"/>
  <c r="D38" i="9"/>
  <c r="E38" i="9"/>
  <c r="F38" i="9"/>
  <c r="G38" i="9"/>
  <c r="H38" i="9"/>
  <c r="I38" i="9"/>
  <c r="E3" i="8"/>
  <c r="E3" i="8" a="1"/>
  <c r="I4" i="8"/>
  <c r="I4" i="8" a="1"/>
  <c r="E9" i="8"/>
  <c r="E9" i="8" a="1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F29" i="8"/>
  <c r="F29" i="8" a="1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C31" i="8"/>
  <c r="F31" i="8"/>
  <c r="F31" i="8" a="1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C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C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C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C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C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C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C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C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C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C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C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C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C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C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C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C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C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C49" i="8"/>
  <c r="C50" i="8"/>
  <c r="C51" i="8"/>
  <c r="F51" i="8"/>
  <c r="F51" i="8" a="1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B132" i="8"/>
  <c r="D132" i="8"/>
  <c r="B133" i="8"/>
  <c r="D133" i="8"/>
  <c r="B134" i="8"/>
  <c r="D134" i="8"/>
  <c r="B135" i="8"/>
  <c r="D135" i="8"/>
  <c r="B136" i="8"/>
  <c r="D136" i="8"/>
  <c r="B137" i="8"/>
  <c r="D137" i="8"/>
  <c r="B138" i="8"/>
  <c r="D138" i="8"/>
  <c r="B139" i="8"/>
  <c r="D139" i="8"/>
  <c r="B140" i="8"/>
  <c r="D140" i="8"/>
  <c r="B141" i="8"/>
  <c r="D141" i="8"/>
  <c r="B142" i="8"/>
  <c r="D142" i="8"/>
  <c r="B143" i="8"/>
  <c r="D143" i="8"/>
  <c r="B144" i="8"/>
  <c r="D144" i="8"/>
  <c r="B145" i="8"/>
  <c r="D145" i="8"/>
  <c r="B146" i="8"/>
  <c r="D146" i="8"/>
  <c r="B147" i="8"/>
  <c r="D147" i="8"/>
  <c r="B148" i="8"/>
  <c r="D148" i="8"/>
  <c r="B149" i="8"/>
  <c r="D149" i="8"/>
  <c r="B150" i="8"/>
  <c r="D150" i="8"/>
  <c r="B151" i="8"/>
  <c r="D151" i="8"/>
</calcChain>
</file>

<file path=xl/sharedStrings.xml><?xml version="1.0" encoding="utf-8"?>
<sst xmlns="http://schemas.openxmlformats.org/spreadsheetml/2006/main" count="89" uniqueCount="59">
  <si>
    <t>OtherFns.XLS</t>
  </si>
  <si>
    <t>MA span</t>
  </si>
  <si>
    <r>
      <t xml:space="preserve">ES </t>
    </r>
    <r>
      <rPr>
        <sz val="10"/>
        <rFont val="Symbol"/>
        <family val="1"/>
        <charset val="2"/>
      </rPr>
      <t>a</t>
    </r>
  </si>
  <si>
    <r>
      <t xml:space="preserve">Holt </t>
    </r>
    <r>
      <rPr>
        <sz val="10"/>
        <rFont val="Symbol"/>
        <family val="1"/>
        <charset val="2"/>
      </rPr>
      <t>a</t>
    </r>
  </si>
  <si>
    <t>S vec 0</t>
  </si>
  <si>
    <r>
      <t xml:space="preserve">Winter </t>
    </r>
    <r>
      <rPr>
        <sz val="10"/>
        <rFont val="Symbol"/>
        <family val="1"/>
        <charset val="2"/>
      </rPr>
      <t>a</t>
    </r>
  </si>
  <si>
    <r>
      <t xml:space="preserve">Holt </t>
    </r>
    <r>
      <rPr>
        <sz val="10"/>
        <rFont val="Symbol"/>
        <family val="1"/>
        <charset val="2"/>
      </rPr>
      <t>b</t>
    </r>
  </si>
  <si>
    <r>
      <t xml:space="preserve">Winter </t>
    </r>
    <r>
      <rPr>
        <sz val="10"/>
        <rFont val="Symbol"/>
        <family val="1"/>
        <charset val="2"/>
      </rPr>
      <t>b</t>
    </r>
  </si>
  <si>
    <t>L 0</t>
  </si>
  <si>
    <r>
      <t xml:space="preserve">Holt </t>
    </r>
    <r>
      <rPr>
        <sz val="10"/>
        <rFont val="Symbol"/>
        <family val="1"/>
        <charset val="2"/>
      </rPr>
      <t>g</t>
    </r>
  </si>
  <si>
    <r>
      <t xml:space="preserve">Winter </t>
    </r>
    <r>
      <rPr>
        <sz val="10"/>
        <rFont val="Symbol"/>
        <family val="1"/>
        <charset val="2"/>
      </rPr>
      <t>g</t>
    </r>
  </si>
  <si>
    <t>T 0</t>
  </si>
  <si>
    <t>Sales</t>
  </si>
  <si>
    <t>MA vec</t>
  </si>
  <si>
    <t>ES vec</t>
  </si>
  <si>
    <t>Holt vec</t>
  </si>
  <si>
    <t>Winter vec</t>
  </si>
  <si>
    <t>ES wts</t>
  </si>
  <si>
    <t>H lvec</t>
  </si>
  <si>
    <t>H tvec</t>
  </si>
  <si>
    <t>AR (1)</t>
  </si>
  <si>
    <t>MA (2)</t>
  </si>
  <si>
    <t>ARMA (1,1)</t>
  </si>
  <si>
    <t>ACF</t>
  </si>
  <si>
    <t>PACF</t>
  </si>
  <si>
    <t>ARMA Estimates</t>
  </si>
  <si>
    <t>Starting Values</t>
  </si>
  <si>
    <t>(Hit Ctrl+Shift+B to run macro)</t>
  </si>
  <si>
    <t>(Hit Ctrl+Shift+C to run macro)</t>
  </si>
  <si>
    <t>p</t>
  </si>
  <si>
    <t>q</t>
  </si>
  <si>
    <t>constant</t>
  </si>
  <si>
    <t>ma2vec</t>
  </si>
  <si>
    <t>arma11vec</t>
  </si>
  <si>
    <t>phi1</t>
  </si>
  <si>
    <t>theta1</t>
  </si>
  <si>
    <t>theta2</t>
  </si>
  <si>
    <t>rss</t>
  </si>
  <si>
    <t>ma2rss</t>
  </si>
  <si>
    <t>arma11rss</t>
  </si>
  <si>
    <t>x*</t>
  </si>
  <si>
    <t>CSpline y</t>
  </si>
  <si>
    <t>i*</t>
  </si>
  <si>
    <t>CBSpline y</t>
  </si>
  <si>
    <t>kvec</t>
  </si>
  <si>
    <t>ykvec</t>
  </si>
  <si>
    <t>zvec</t>
  </si>
  <si>
    <t>IKmat</t>
  </si>
  <si>
    <t>i</t>
  </si>
  <si>
    <t>ki</t>
  </si>
  <si>
    <t>vvec</t>
  </si>
  <si>
    <t>Tmat</t>
  </si>
  <si>
    <t>zvec T</t>
  </si>
  <si>
    <t>Aorig</t>
  </si>
  <si>
    <t>Eigenvalues</t>
  </si>
  <si>
    <t>Eigenvectors</t>
  </si>
  <si>
    <t>Tolerance (atol)</t>
  </si>
  <si>
    <t>Eigenvalues via fn</t>
  </si>
  <si>
    <t>Eigenvectors via fn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</si>
</sst>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2" formatCode="0.0"/>
    <numFmt numFmtId="173" formatCode="0.000"/>
    <numFmt numFmtId="175" formatCode="0.0000"/>
    <numFmt numFmtId="176" formatCode="0.000000"/>
  </numFmts>
  <fonts count="4" x14ac:knownFonts="1">
    <font>
      <sz val="10"/>
      <name val="Times New Roman"/>
    </font>
    <font>
      <b/>
      <sz val="10"/>
      <name val="Times New Roman"/>
    </font>
    <font>
      <sz val="10"/>
      <name val="Times New Roman"/>
      <family val="1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2" fontId="0" fillId="0" borderId="0" xfId="0" applyNumberFormat="1"/>
    <xf numFmtId="2" fontId="1" fillId="0" borderId="0" xfId="0" applyNumberFormat="1" applyFont="1"/>
    <xf numFmtId="0" fontId="0" fillId="0" borderId="0" xfId="0" quotePrefix="1" applyAlignment="1">
      <alignment horizontal="left"/>
    </xf>
    <xf numFmtId="0" fontId="0" fillId="0" borderId="0" xfId="0" quotePrefix="1" applyAlignment="1">
      <alignment horizontal="right"/>
    </xf>
    <xf numFmtId="1" fontId="0" fillId="0" borderId="0" xfId="0" applyNumberFormat="1"/>
    <xf numFmtId="0" fontId="1" fillId="0" borderId="0" xfId="0" applyFont="1" applyAlignment="1">
      <alignment horizontal="left"/>
    </xf>
    <xf numFmtId="175" fontId="0" fillId="0" borderId="0" xfId="0" applyNumberFormat="1"/>
    <xf numFmtId="0" fontId="1" fillId="0" borderId="0" xfId="0" quotePrefix="1" applyFont="1" applyAlignment="1">
      <alignment horizontal="left"/>
    </xf>
    <xf numFmtId="175" fontId="1" fillId="0" borderId="0" xfId="0" applyNumberFormat="1" applyFont="1"/>
    <xf numFmtId="172" fontId="1" fillId="0" borderId="0" xfId="0" applyNumberFormat="1" applyFont="1"/>
    <xf numFmtId="0" fontId="1" fillId="0" borderId="0" xfId="0" applyFont="1" applyAlignment="1">
      <alignment horizontal="right"/>
    </xf>
    <xf numFmtId="176" fontId="0" fillId="0" borderId="0" xfId="0" applyNumberFormat="1"/>
    <xf numFmtId="0" fontId="1" fillId="0" borderId="0" xfId="0" applyFont="1" applyAlignment="1">
      <alignment horizontal="centerContinuous"/>
    </xf>
    <xf numFmtId="11" fontId="0" fillId="0" borderId="0" xfId="0" applyNumberFormat="1"/>
    <xf numFmtId="172" fontId="0" fillId="0" borderId="0" xfId="0" applyNumberFormat="1"/>
    <xf numFmtId="173" fontId="0" fillId="0" borderId="0" xfId="0" applyNumberFormat="1"/>
    <xf numFmtId="173" fontId="1" fillId="0" borderId="0" xfId="0" applyNumberFormat="1" applyFont="1"/>
    <xf numFmtId="173" fontId="2" fillId="0" borderId="0" xfId="0" applyNumberFormat="1" applyFont="1"/>
    <xf numFmtId="0" fontId="2" fillId="0" borderId="0" xfId="0" applyFont="1"/>
    <xf numFmtId="0" fontId="1" fillId="0" borderId="0" xfId="0" quotePrefix="1" applyFont="1" applyAlignment="1"/>
    <xf numFmtId="175" fontId="2" fillId="0" borderId="0" xfId="0" applyNumberFormat="1" applyFont="1"/>
    <xf numFmtId="1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chartsheet" Target="chartsheets/sheet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GB"/>
              <a:t>Natural Cubic Spline</a:t>
            </a:r>
          </a:p>
        </c:rich>
      </c:tx>
      <c:layout>
        <c:manualLayout>
          <c:xMode val="edge"/>
          <c:yMode val="edge"/>
          <c:x val="0.42344827586206896"/>
          <c:y val="2.03619909502262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4.5517241379310347E-2"/>
          <c:y val="0.1425339366515837"/>
          <c:w val="0.92896551724137932"/>
          <c:h val="0.8190045248868778"/>
        </c:manualLayout>
      </c:layout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Spline!$B$31:$B$151</c:f>
              <c:numCache>
                <c:formatCode>0.0</c:formatCode>
                <c:ptCount val="12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0</c:v>
                </c:pt>
                <c:pt idx="102">
                  <c:v>0.8</c:v>
                </c:pt>
                <c:pt idx="103">
                  <c:v>1.9</c:v>
                </c:pt>
                <c:pt idx="104">
                  <c:v>2.1</c:v>
                </c:pt>
                <c:pt idx="105">
                  <c:v>2.4</c:v>
                </c:pt>
                <c:pt idx="106">
                  <c:v>2.6</c:v>
                </c:pt>
                <c:pt idx="107">
                  <c:v>2.9</c:v>
                </c:pt>
                <c:pt idx="108">
                  <c:v>3.3</c:v>
                </c:pt>
                <c:pt idx="109">
                  <c:v>3.5</c:v>
                </c:pt>
                <c:pt idx="110">
                  <c:v>3.8</c:v>
                </c:pt>
                <c:pt idx="111">
                  <c:v>4.5</c:v>
                </c:pt>
                <c:pt idx="112">
                  <c:v>5.9</c:v>
                </c:pt>
                <c:pt idx="113">
                  <c:v>6.5</c:v>
                </c:pt>
                <c:pt idx="114">
                  <c:v>7.1</c:v>
                </c:pt>
                <c:pt idx="115">
                  <c:v>7.3</c:v>
                </c:pt>
                <c:pt idx="116">
                  <c:v>7.5</c:v>
                </c:pt>
                <c:pt idx="117">
                  <c:v>8</c:v>
                </c:pt>
                <c:pt idx="118">
                  <c:v>8.6</c:v>
                </c:pt>
                <c:pt idx="119">
                  <c:v>9.5</c:v>
                </c:pt>
                <c:pt idx="120">
                  <c:v>10</c:v>
                </c:pt>
              </c:numCache>
            </c:numRef>
          </c:xVal>
          <c:yVal>
            <c:numRef>
              <c:f>Spline!$C$31:$C$151</c:f>
              <c:numCache>
                <c:formatCode>0.00</c:formatCode>
                <c:ptCount val="121"/>
                <c:pt idx="0">
                  <c:v>1</c:v>
                </c:pt>
                <c:pt idx="1">
                  <c:v>0.94422184717012958</c:v>
                </c:pt>
                <c:pt idx="2">
                  <c:v>0.88697018508596104</c:v>
                </c:pt>
                <c:pt idx="3">
                  <c:v>0.82677150449319647</c:v>
                </c:pt>
                <c:pt idx="4">
                  <c:v>0.76215229613753777</c:v>
                </c:pt>
                <c:pt idx="5">
                  <c:v>0.69163905076468679</c:v>
                </c:pt>
                <c:pt idx="6">
                  <c:v>0.61375825912034543</c:v>
                </c:pt>
                <c:pt idx="7">
                  <c:v>0.527036411950216</c:v>
                </c:pt>
                <c:pt idx="8">
                  <c:v>0.43</c:v>
                </c:pt>
                <c:pt idx="9">
                  <c:v>0.32192651736150579</c:v>
                </c:pt>
                <c:pt idx="10">
                  <c:v>0.20509747151096616</c:v>
                </c:pt>
                <c:pt idx="11">
                  <c:v>8.2545373270719924E-2</c:v>
                </c:pt>
                <c:pt idx="12">
                  <c:v>-4.269726653689343E-2</c:v>
                </c:pt>
                <c:pt idx="13">
                  <c:v>-0.16759793708953546</c:v>
                </c:pt>
                <c:pt idx="14">
                  <c:v>-0.28912412756486677</c:v>
                </c:pt>
                <c:pt idx="15">
                  <c:v>-0.40424332714054861</c:v>
                </c:pt>
                <c:pt idx="16">
                  <c:v>-0.50992302499424214</c:v>
                </c:pt>
                <c:pt idx="17">
                  <c:v>-0.60313071030360765</c:v>
                </c:pt>
                <c:pt idx="18">
                  <c:v>-0.68083387224630676</c:v>
                </c:pt>
                <c:pt idx="19">
                  <c:v>-0.74</c:v>
                </c:pt>
                <c:pt idx="20">
                  <c:v>-0.77127269403597221</c:v>
                </c:pt>
                <c:pt idx="21">
                  <c:v>-0.74</c:v>
                </c:pt>
                <c:pt idx="22">
                  <c:v>-0.62108936524428282</c:v>
                </c:pt>
                <c:pt idx="23">
                  <c:v>-0.45298139877221816</c:v>
                </c:pt>
                <c:pt idx="24">
                  <c:v>-0.28999999999999998</c:v>
                </c:pt>
                <c:pt idx="25">
                  <c:v>-0.17813000544133878</c:v>
                </c:pt>
                <c:pt idx="26">
                  <c:v>-0.13</c:v>
                </c:pt>
                <c:pt idx="27">
                  <c:v>-0.14764227832938479</c:v>
                </c:pt>
                <c:pt idx="28">
                  <c:v>-0.22406022569138112</c:v>
                </c:pt>
                <c:pt idx="29">
                  <c:v>-0.35</c:v>
                </c:pt>
                <c:pt idx="30">
                  <c:v>-0.51817806346642481</c:v>
                </c:pt>
                <c:pt idx="31">
                  <c:v>-0.72919209549053288</c:v>
                </c:pt>
                <c:pt idx="32">
                  <c:v>-0.98561007976937487</c:v>
                </c:pt>
                <c:pt idx="33">
                  <c:v>-1.29</c:v>
                </c:pt>
                <c:pt idx="34">
                  <c:v>-1.6233088919913605</c:v>
                </c:pt>
                <c:pt idx="35">
                  <c:v>-1.88</c:v>
                </c:pt>
                <c:pt idx="36">
                  <c:v>-1.9655530432160651</c:v>
                </c:pt>
                <c:pt idx="37">
                  <c:v>-1.9159974321165119</c:v>
                </c:pt>
                <c:pt idx="38">
                  <c:v>-1.8</c:v>
                </c:pt>
                <c:pt idx="39">
                  <c:v>-1.6746658863348753</c:v>
                </c:pt>
                <c:pt idx="40">
                  <c:v>-1.5508534552682391</c:v>
                </c:pt>
                <c:pt idx="41">
                  <c:v>-1.4278593771168808</c:v>
                </c:pt>
                <c:pt idx="42">
                  <c:v>-1.3049803221975877</c:v>
                </c:pt>
                <c:pt idx="43">
                  <c:v>-1.1815129608271513</c:v>
                </c:pt>
                <c:pt idx="44">
                  <c:v>-1.0567539633223584</c:v>
                </c:pt>
                <c:pt idx="45">
                  <c:v>-0.93</c:v>
                </c:pt>
                <c:pt idx="46">
                  <c:v>-0.80070003400483647</c:v>
                </c:pt>
                <c:pt idx="47">
                  <c:v>-0.66891219979351657</c:v>
                </c:pt>
                <c:pt idx="48">
                  <c:v>-0.53484692465066441</c:v>
                </c:pt>
                <c:pt idx="49">
                  <c:v>-0.39871463586089995</c:v>
                </c:pt>
                <c:pt idx="50">
                  <c:v>-0.26072576070884745</c:v>
                </c:pt>
                <c:pt idx="51">
                  <c:v>-0.121090726479128</c:v>
                </c:pt>
                <c:pt idx="52">
                  <c:v>1.9980039543637806E-2</c:v>
                </c:pt>
                <c:pt idx="53">
                  <c:v>0.16227611007482523</c:v>
                </c:pt>
                <c:pt idx="54">
                  <c:v>0.30558705782981488</c:v>
                </c:pt>
                <c:pt idx="55">
                  <c:v>0.4497024555239818</c:v>
                </c:pt>
                <c:pt idx="56">
                  <c:v>0.59441187587270583</c:v>
                </c:pt>
                <c:pt idx="57">
                  <c:v>0.73950489159136568</c:v>
                </c:pt>
                <c:pt idx="58">
                  <c:v>0.88477107539533695</c:v>
                </c:pt>
                <c:pt idx="59">
                  <c:v>1.03</c:v>
                </c:pt>
                <c:pt idx="60">
                  <c:v>1.1735978715628432</c:v>
                </c:pt>
                <c:pt idx="61">
                  <c:v>1.3084374300098094</c:v>
                </c:pt>
                <c:pt idx="62">
                  <c:v>1.4260080487089546</c:v>
                </c:pt>
                <c:pt idx="63">
                  <c:v>1.5177991010283309</c:v>
                </c:pt>
                <c:pt idx="64">
                  <c:v>1.575299960335995</c:v>
                </c:pt>
                <c:pt idx="65">
                  <c:v>1.59</c:v>
                </c:pt>
                <c:pt idx="66">
                  <c:v>1.5573108714713726</c:v>
                </c:pt>
                <c:pt idx="67">
                  <c:v>1.4883333385330215</c:v>
                </c:pt>
                <c:pt idx="68">
                  <c:v>1.3980904430508285</c:v>
                </c:pt>
                <c:pt idx="69">
                  <c:v>1.3016052268906728</c:v>
                </c:pt>
                <c:pt idx="70">
                  <c:v>1.2139007319184367</c:v>
                </c:pt>
                <c:pt idx="71">
                  <c:v>1.1499999999999999</c:v>
                </c:pt>
                <c:pt idx="72">
                  <c:v>1.1244633239027371</c:v>
                </c:pt>
                <c:pt idx="73">
                  <c:v>1.1499999999999999</c:v>
                </c:pt>
                <c:pt idx="74">
                  <c:v>1.2259466258319487</c:v>
                </c:pt>
                <c:pt idx="75">
                  <c:v>1.3</c:v>
                </c:pt>
                <c:pt idx="76">
                  <c:v>1.3199917089211481</c:v>
                </c:pt>
                <c:pt idx="77">
                  <c:v>1.2859322892134271</c:v>
                </c:pt>
                <c:pt idx="78">
                  <c:v>1.2108770150451325</c:v>
                </c:pt>
                <c:pt idx="79">
                  <c:v>1.1078811605845578</c:v>
                </c:pt>
                <c:pt idx="80">
                  <c:v>0.99</c:v>
                </c:pt>
                <c:pt idx="81">
                  <c:v>0.86741280300922752</c:v>
                </c:pt>
                <c:pt idx="82">
                  <c:v>0.7387948215279081</c:v>
                </c:pt>
                <c:pt idx="83">
                  <c:v>0.59994530302118121</c:v>
                </c:pt>
                <c:pt idx="84">
                  <c:v>0.44666349495419388</c:v>
                </c:pt>
                <c:pt idx="85">
                  <c:v>0.27474864479208616</c:v>
                </c:pt>
                <c:pt idx="86">
                  <c:v>0.08</c:v>
                </c:pt>
                <c:pt idx="87">
                  <c:v>-0.1388430236033843</c:v>
                </c:pt>
                <c:pt idx="88">
                  <c:v>-0.3712803367852377</c:v>
                </c:pt>
                <c:pt idx="89">
                  <c:v>-0.60387168195918028</c:v>
                </c:pt>
                <c:pt idx="90">
                  <c:v>-0.82317680153884509</c:v>
                </c:pt>
                <c:pt idx="91">
                  <c:v>-1.0157554379378602</c:v>
                </c:pt>
                <c:pt idx="92">
                  <c:v>-1.1681673335698548</c:v>
                </c:pt>
                <c:pt idx="93">
                  <c:v>-1.2669722308484588</c:v>
                </c:pt>
                <c:pt idx="94">
                  <c:v>-1.2987298721872966</c:v>
                </c:pt>
                <c:pt idx="95">
                  <c:v>-1.25</c:v>
                </c:pt>
                <c:pt idx="96">
                  <c:v>-1.112713325335009</c:v>
                </c:pt>
                <c:pt idx="97">
                  <c:v>-0.90028443378001277</c:v>
                </c:pt>
                <c:pt idx="98">
                  <c:v>-0.63149887955750761</c:v>
                </c:pt>
                <c:pt idx="99">
                  <c:v>-0.32514221689000444</c:v>
                </c:pt>
                <c:pt idx="1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E8-49C3-9543-9405C7E8EE0F}"/>
            </c:ext>
          </c:extLst>
        </c:ser>
        <c:ser>
          <c:idx val="1"/>
          <c:order val="1"/>
          <c:spPr>
            <a:ln w="19050">
              <a:noFill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Spline!$B$31:$B$151</c:f>
              <c:numCache>
                <c:formatCode>0.0</c:formatCode>
                <c:ptCount val="12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0</c:v>
                </c:pt>
                <c:pt idx="102">
                  <c:v>0.8</c:v>
                </c:pt>
                <c:pt idx="103">
                  <c:v>1.9</c:v>
                </c:pt>
                <c:pt idx="104">
                  <c:v>2.1</c:v>
                </c:pt>
                <c:pt idx="105">
                  <c:v>2.4</c:v>
                </c:pt>
                <c:pt idx="106">
                  <c:v>2.6</c:v>
                </c:pt>
                <c:pt idx="107">
                  <c:v>2.9</c:v>
                </c:pt>
                <c:pt idx="108">
                  <c:v>3.3</c:v>
                </c:pt>
                <c:pt idx="109">
                  <c:v>3.5</c:v>
                </c:pt>
                <c:pt idx="110">
                  <c:v>3.8</c:v>
                </c:pt>
                <c:pt idx="111">
                  <c:v>4.5</c:v>
                </c:pt>
                <c:pt idx="112">
                  <c:v>5.9</c:v>
                </c:pt>
                <c:pt idx="113">
                  <c:v>6.5</c:v>
                </c:pt>
                <c:pt idx="114">
                  <c:v>7.1</c:v>
                </c:pt>
                <c:pt idx="115">
                  <c:v>7.3</c:v>
                </c:pt>
                <c:pt idx="116">
                  <c:v>7.5</c:v>
                </c:pt>
                <c:pt idx="117">
                  <c:v>8</c:v>
                </c:pt>
                <c:pt idx="118">
                  <c:v>8.6</c:v>
                </c:pt>
                <c:pt idx="119">
                  <c:v>9.5</c:v>
                </c:pt>
                <c:pt idx="120">
                  <c:v>10</c:v>
                </c:pt>
              </c:numCache>
            </c:numRef>
          </c:xVal>
          <c:yVal>
            <c:numRef>
              <c:f>Spline!$D$31:$D$151</c:f>
              <c:numCache>
                <c:formatCode>General</c:formatCode>
                <c:ptCount val="121"/>
                <c:pt idx="101" formatCode="0.00">
                  <c:v>1</c:v>
                </c:pt>
                <c:pt idx="102" formatCode="0.00">
                  <c:v>0.43</c:v>
                </c:pt>
                <c:pt idx="103" formatCode="0.00">
                  <c:v>-0.74</c:v>
                </c:pt>
                <c:pt idx="104" formatCode="0.00">
                  <c:v>-0.74</c:v>
                </c:pt>
                <c:pt idx="105" formatCode="0.00">
                  <c:v>-0.28999999999999998</c:v>
                </c:pt>
                <c:pt idx="106" formatCode="0.00">
                  <c:v>-0.13</c:v>
                </c:pt>
                <c:pt idx="107" formatCode="0.00">
                  <c:v>-0.35</c:v>
                </c:pt>
                <c:pt idx="108" formatCode="0.00">
                  <c:v>-1.29</c:v>
                </c:pt>
                <c:pt idx="109" formatCode="0.00">
                  <c:v>-1.88</c:v>
                </c:pt>
                <c:pt idx="110" formatCode="0.00">
                  <c:v>-1.8</c:v>
                </c:pt>
                <c:pt idx="111" formatCode="0.00">
                  <c:v>-0.93</c:v>
                </c:pt>
                <c:pt idx="112" formatCode="0.00">
                  <c:v>1.03</c:v>
                </c:pt>
                <c:pt idx="113" formatCode="0.00">
                  <c:v>1.59</c:v>
                </c:pt>
                <c:pt idx="114" formatCode="0.00">
                  <c:v>1.1499999999999999</c:v>
                </c:pt>
                <c:pt idx="115" formatCode="0.00">
                  <c:v>1.1499999999999999</c:v>
                </c:pt>
                <c:pt idx="116" formatCode="0.00">
                  <c:v>1.3</c:v>
                </c:pt>
                <c:pt idx="117" formatCode="0.00">
                  <c:v>0.99</c:v>
                </c:pt>
                <c:pt idx="118" formatCode="0.00">
                  <c:v>0.08</c:v>
                </c:pt>
                <c:pt idx="119" formatCode="0.00">
                  <c:v>-1.25</c:v>
                </c:pt>
                <c:pt idx="120" formatCode="0.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1E8-49C3-9543-9405C7E8EE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2032543"/>
        <c:axId val="1"/>
      </c:scatterChart>
      <c:valAx>
        <c:axId val="882032543"/>
        <c:scaling>
          <c:orientation val="minMax"/>
        </c:scaling>
        <c:delete val="0"/>
        <c:axPos val="b"/>
        <c:numFmt formatCode="0.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numFmt formatCode="0.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882032543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98" workbookViewId="0"/>
  </sheetViews>
  <pageMargins left="0.75" right="0.75" top="1" bottom="1" header="0.5" footer="0.5"/>
  <headerFooter alignWithMargins="0">
    <oddHeader>&amp;A</oddHeader>
    <oddFooter>Page &amp;P</oddFooter>
  </headerFooter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07500" cy="5613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FD677C-3F11-4D02-974C-71AFF8B0604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67"/>
  <sheetViews>
    <sheetView tabSelected="1" workbookViewId="0"/>
  </sheetViews>
  <sheetFormatPr defaultRowHeight="13" x14ac:dyDescent="0.3"/>
  <cols>
    <col min="11" max="11" width="11" customWidth="1"/>
    <col min="15" max="15" width="9.296875" customWidth="1"/>
    <col min="16" max="16" width="11" customWidth="1"/>
  </cols>
  <sheetData>
    <row r="1" spans="1:18" x14ac:dyDescent="0.3">
      <c r="A1" s="8" t="s">
        <v>0</v>
      </c>
    </row>
    <row r="3" spans="1:18" x14ac:dyDescent="0.3">
      <c r="C3" t="s">
        <v>1</v>
      </c>
      <c r="D3" s="1">
        <v>6</v>
      </c>
      <c r="E3" s="5" t="s">
        <v>2</v>
      </c>
      <c r="F3" s="4">
        <v>0.1</v>
      </c>
      <c r="H3" s="5" t="s">
        <v>3</v>
      </c>
      <c r="I3" s="4">
        <v>0.3</v>
      </c>
      <c r="L3" t="s">
        <v>4</v>
      </c>
      <c r="N3" s="5" t="s">
        <v>5</v>
      </c>
      <c r="O3" s="4">
        <v>0.5</v>
      </c>
      <c r="R3" t="s">
        <v>4</v>
      </c>
    </row>
    <row r="4" spans="1:18" x14ac:dyDescent="0.3">
      <c r="H4" s="5" t="s">
        <v>6</v>
      </c>
      <c r="I4" s="4">
        <v>0.1</v>
      </c>
      <c r="L4" s="4">
        <v>1</v>
      </c>
      <c r="N4" s="5" t="s">
        <v>7</v>
      </c>
      <c r="O4" s="4">
        <v>0.4</v>
      </c>
      <c r="R4" s="4">
        <v>0.22</v>
      </c>
    </row>
    <row r="5" spans="1:18" x14ac:dyDescent="0.3">
      <c r="E5" s="5" t="s">
        <v>8</v>
      </c>
      <c r="F5" s="4">
        <v>32</v>
      </c>
      <c r="H5" s="5" t="s">
        <v>9</v>
      </c>
      <c r="I5" s="3">
        <v>0</v>
      </c>
      <c r="L5" s="4">
        <v>1</v>
      </c>
      <c r="N5" s="5" t="s">
        <v>10</v>
      </c>
      <c r="O5" s="4">
        <v>0.6</v>
      </c>
      <c r="R5" s="4">
        <v>0.16</v>
      </c>
    </row>
    <row r="6" spans="1:18" x14ac:dyDescent="0.3">
      <c r="F6" s="4"/>
      <c r="H6" s="5" t="s">
        <v>8</v>
      </c>
      <c r="I6" s="4">
        <v>34</v>
      </c>
      <c r="L6" s="4">
        <v>1</v>
      </c>
      <c r="N6" s="5" t="s">
        <v>8</v>
      </c>
      <c r="O6" s="4">
        <v>45.75</v>
      </c>
      <c r="R6" s="4">
        <v>0.5</v>
      </c>
    </row>
    <row r="7" spans="1:18" x14ac:dyDescent="0.3">
      <c r="H7" s="5" t="s">
        <v>11</v>
      </c>
      <c r="I7" s="4">
        <v>2.73</v>
      </c>
      <c r="L7" s="4">
        <v>1</v>
      </c>
      <c r="N7" s="5" t="s">
        <v>11</v>
      </c>
      <c r="O7" s="4">
        <v>1.5</v>
      </c>
      <c r="R7" s="4">
        <v>0.72</v>
      </c>
    </row>
    <row r="8" spans="1:18" x14ac:dyDescent="0.3">
      <c r="H8" s="5"/>
      <c r="I8" s="4"/>
      <c r="L8" s="4">
        <v>1</v>
      </c>
      <c r="N8" s="5"/>
      <c r="R8" s="4">
        <v>1.28</v>
      </c>
    </row>
    <row r="9" spans="1:18" x14ac:dyDescent="0.3">
      <c r="B9" s="2" t="s">
        <v>12</v>
      </c>
      <c r="C9" s="2"/>
      <c r="D9" s="2" t="s">
        <v>13</v>
      </c>
      <c r="F9" s="2" t="s">
        <v>14</v>
      </c>
      <c r="I9" s="2" t="s">
        <v>12</v>
      </c>
      <c r="J9" s="2" t="s">
        <v>15</v>
      </c>
      <c r="K9" s="6" t="s">
        <v>16</v>
      </c>
      <c r="L9" s="4">
        <v>1</v>
      </c>
      <c r="O9" s="2" t="s">
        <v>12</v>
      </c>
      <c r="P9" s="6" t="s">
        <v>16</v>
      </c>
      <c r="R9" s="4">
        <v>1.33</v>
      </c>
    </row>
    <row r="10" spans="1:18" x14ac:dyDescent="0.3">
      <c r="B10" s="2"/>
      <c r="C10" s="2"/>
      <c r="D10" s="2"/>
      <c r="I10" s="2"/>
      <c r="L10" s="4">
        <v>1</v>
      </c>
      <c r="R10" s="4">
        <v>1.97</v>
      </c>
    </row>
    <row r="11" spans="1:18" x14ac:dyDescent="0.3">
      <c r="A11">
        <v>1</v>
      </c>
      <c r="B11">
        <v>30</v>
      </c>
      <c r="D11" s="3" t="str">
        <f t="array" ref="D11:D35">TRANSPOSE(MAvec(B11:B34,D3))</f>
        <v/>
      </c>
      <c r="F11" s="3">
        <f t="array" ref="F11:F35">TRANSPOSE(ESvec(B11:B34,F5,F3))</f>
        <v>32</v>
      </c>
      <c r="H11">
        <v>1</v>
      </c>
      <c r="I11">
        <v>40</v>
      </c>
      <c r="J11" s="3">
        <f t="array" ref="J11:J35">TRANSPOSE(Holtvec(I11:I34,I6,I7,I3,I4))</f>
        <v>36.729999999999997</v>
      </c>
      <c r="K11" s="3">
        <f t="array" ref="K11:K35">TRANSPOSE(Wintervec(I11:I34,I6,I7,L4:L15,I3,I4,I5))</f>
        <v>36.729999999999997</v>
      </c>
      <c r="L11" s="4">
        <v>1</v>
      </c>
      <c r="N11">
        <v>1</v>
      </c>
      <c r="O11" s="7">
        <v>13</v>
      </c>
      <c r="P11" s="3">
        <f t="array" ref="P11:P35">TRANSPOSE(Wintervec(O11:O34,O6,O7,R4:R15,O3,O4,O5))</f>
        <v>10.395</v>
      </c>
      <c r="R11" s="4">
        <v>2.0499999999999998</v>
      </c>
    </row>
    <row r="12" spans="1:18" x14ac:dyDescent="0.3">
      <c r="A12">
        <v>2</v>
      </c>
      <c r="B12">
        <v>32</v>
      </c>
      <c r="D12" s="3" t="str">
        <v/>
      </c>
      <c r="F12" s="3">
        <v>31.8</v>
      </c>
      <c r="H12">
        <v>2</v>
      </c>
      <c r="I12">
        <v>47</v>
      </c>
      <c r="J12" s="3">
        <v>40.539099999999998</v>
      </c>
      <c r="K12" s="3">
        <v>40.539099999999998</v>
      </c>
      <c r="L12" s="4">
        <v>1</v>
      </c>
      <c r="N12">
        <v>2</v>
      </c>
      <c r="O12">
        <v>7</v>
      </c>
      <c r="P12" s="3">
        <v>9.1261818181818182</v>
      </c>
      <c r="R12" s="4">
        <v>1.41</v>
      </c>
    </row>
    <row r="13" spans="1:18" x14ac:dyDescent="0.3">
      <c r="A13">
        <v>3</v>
      </c>
      <c r="B13">
        <v>30</v>
      </c>
      <c r="D13" s="3" t="str">
        <v/>
      </c>
      <c r="F13" s="3">
        <v>31.82</v>
      </c>
      <c r="H13">
        <v>3</v>
      </c>
      <c r="I13">
        <v>50</v>
      </c>
      <c r="J13" s="3">
        <v>45.499296999999991</v>
      </c>
      <c r="K13" s="3">
        <v>45.499296999999991</v>
      </c>
      <c r="L13" s="4">
        <v>1</v>
      </c>
      <c r="N13">
        <v>3</v>
      </c>
      <c r="O13">
        <v>23</v>
      </c>
      <c r="P13" s="3">
        <v>25.802386363636362</v>
      </c>
      <c r="R13" s="4">
        <v>0.88</v>
      </c>
    </row>
    <row r="14" spans="1:18" x14ac:dyDescent="0.3">
      <c r="A14">
        <v>4</v>
      </c>
      <c r="B14">
        <v>39</v>
      </c>
      <c r="D14" s="3" t="str">
        <v/>
      </c>
      <c r="F14" s="3">
        <v>31.638000000000002</v>
      </c>
      <c r="H14">
        <v>4</v>
      </c>
      <c r="I14">
        <v>49</v>
      </c>
      <c r="J14" s="3">
        <v>50.006455989999992</v>
      </c>
      <c r="K14" s="3">
        <v>50.006455989999992</v>
      </c>
      <c r="L14" s="4">
        <v>1</v>
      </c>
      <c r="N14">
        <v>4</v>
      </c>
      <c r="O14">
        <v>32</v>
      </c>
      <c r="P14" s="3">
        <v>35.202158181818177</v>
      </c>
      <c r="R14" s="4">
        <v>0.82</v>
      </c>
    </row>
    <row r="15" spans="1:18" x14ac:dyDescent="0.3">
      <c r="A15">
        <v>5</v>
      </c>
      <c r="B15">
        <v>33</v>
      </c>
      <c r="D15" s="3" t="str">
        <v/>
      </c>
      <c r="F15" s="3">
        <v>32.374200000000002</v>
      </c>
      <c r="H15">
        <v>5</v>
      </c>
      <c r="I15">
        <v>56</v>
      </c>
      <c r="J15" s="3">
        <v>52.831273603299998</v>
      </c>
      <c r="K15" s="3">
        <v>52.831273603299998</v>
      </c>
      <c r="L15" s="4">
        <v>1</v>
      </c>
      <c r="N15">
        <v>5</v>
      </c>
      <c r="O15">
        <v>58</v>
      </c>
      <c r="P15" s="3">
        <v>58.711266585858588</v>
      </c>
      <c r="R15" s="4">
        <v>0.65</v>
      </c>
    </row>
    <row r="16" spans="1:18" x14ac:dyDescent="0.3">
      <c r="A16">
        <v>6</v>
      </c>
      <c r="B16">
        <v>34</v>
      </c>
      <c r="D16" s="3" t="str">
        <v/>
      </c>
      <c r="F16" s="3">
        <v>32.436779999999999</v>
      </c>
      <c r="H16">
        <v>6</v>
      </c>
      <c r="I16">
        <v>53</v>
      </c>
      <c r="J16" s="3">
        <v>57.003707724510988</v>
      </c>
      <c r="K16" s="3">
        <v>57.003707724510988</v>
      </c>
      <c r="N16">
        <v>6</v>
      </c>
      <c r="O16">
        <v>60</v>
      </c>
      <c r="P16" s="3">
        <v>59.423355580555558</v>
      </c>
    </row>
    <row r="17" spans="1:16" x14ac:dyDescent="0.3">
      <c r="A17">
        <v>7</v>
      </c>
      <c r="B17">
        <v>34</v>
      </c>
      <c r="D17" s="3">
        <v>33</v>
      </c>
      <c r="F17" s="3">
        <v>32.593102000000002</v>
      </c>
      <c r="H17">
        <v>7</v>
      </c>
      <c r="I17">
        <v>55</v>
      </c>
      <c r="J17" s="3">
        <v>58.904300377623358</v>
      </c>
      <c r="K17" s="3">
        <v>58.904300377623358</v>
      </c>
      <c r="N17">
        <v>7</v>
      </c>
      <c r="O17">
        <v>90</v>
      </c>
      <c r="P17" s="3">
        <v>86.821028354501593</v>
      </c>
    </row>
    <row r="18" spans="1:16" x14ac:dyDescent="0.3">
      <c r="A18">
        <v>8</v>
      </c>
      <c r="B18">
        <v>38</v>
      </c>
      <c r="D18" s="3">
        <v>33.666666666666664</v>
      </c>
      <c r="F18" s="3">
        <v>32.733791800000006</v>
      </c>
      <c r="H18">
        <v>8</v>
      </c>
      <c r="I18">
        <v>63</v>
      </c>
      <c r="J18" s="3">
        <v>60.717586223473319</v>
      </c>
      <c r="K18" s="3">
        <v>60.717586223473319</v>
      </c>
      <c r="N18">
        <v>8</v>
      </c>
      <c r="O18">
        <v>93</v>
      </c>
      <c r="P18" s="3">
        <v>90.972361053042377</v>
      </c>
    </row>
    <row r="19" spans="1:16" x14ac:dyDescent="0.3">
      <c r="A19">
        <v>9</v>
      </c>
      <c r="B19">
        <v>36</v>
      </c>
      <c r="D19" s="3">
        <v>34.666666666666664</v>
      </c>
      <c r="F19" s="3">
        <v>33.260412620000004</v>
      </c>
      <c r="H19">
        <v>9</v>
      </c>
      <c r="I19">
        <v>68</v>
      </c>
      <c r="J19" s="3">
        <v>64.455358728864084</v>
      </c>
      <c r="K19" s="3">
        <v>64.455358728864084</v>
      </c>
      <c r="N19">
        <v>9</v>
      </c>
      <c r="O19">
        <v>63</v>
      </c>
      <c r="P19" s="3">
        <v>62.840110005398813</v>
      </c>
    </row>
    <row r="20" spans="1:16" x14ac:dyDescent="0.3">
      <c r="A20">
        <v>10</v>
      </c>
      <c r="B20">
        <v>39</v>
      </c>
      <c r="D20" s="3">
        <v>35.666666666666664</v>
      </c>
      <c r="F20" s="3">
        <v>33.534371358000001</v>
      </c>
      <c r="H20">
        <v>10</v>
      </c>
      <c r="I20">
        <v>65</v>
      </c>
      <c r="J20" s="3">
        <v>68.678138720771685</v>
      </c>
      <c r="K20" s="3">
        <v>68.678138720771685</v>
      </c>
      <c r="N20">
        <v>10</v>
      </c>
      <c r="O20">
        <v>39</v>
      </c>
      <c r="P20" s="3">
        <v>39.021820857067581</v>
      </c>
    </row>
    <row r="21" spans="1:16" x14ac:dyDescent="0.3">
      <c r="A21">
        <v>11</v>
      </c>
      <c r="B21">
        <v>30</v>
      </c>
      <c r="D21" s="3">
        <v>35.666666666666664</v>
      </c>
      <c r="F21" s="3">
        <v>34.0809342222</v>
      </c>
      <c r="H21">
        <v>11</v>
      </c>
      <c r="I21">
        <v>72</v>
      </c>
      <c r="J21" s="3">
        <v>70.62374055348387</v>
      </c>
      <c r="K21" s="3">
        <v>70.62374055348387</v>
      </c>
      <c r="N21">
        <v>11</v>
      </c>
      <c r="O21">
        <v>37</v>
      </c>
      <c r="P21" s="3">
        <v>36.116446137553275</v>
      </c>
    </row>
    <row r="22" spans="1:16" x14ac:dyDescent="0.3">
      <c r="A22">
        <v>12</v>
      </c>
      <c r="B22">
        <v>36</v>
      </c>
      <c r="D22" s="3">
        <v>35.166666666666664</v>
      </c>
      <c r="F22" s="3">
        <v>33.672840799980001</v>
      </c>
      <c r="H22">
        <v>12</v>
      </c>
      <c r="I22">
        <v>69</v>
      </c>
      <c r="J22" s="3">
        <v>74.126949619777889</v>
      </c>
      <c r="K22" s="3">
        <v>74.126949619777889</v>
      </c>
      <c r="N22">
        <v>12</v>
      </c>
      <c r="O22">
        <v>29</v>
      </c>
      <c r="P22" s="3">
        <v>28.933168084085512</v>
      </c>
    </row>
    <row r="23" spans="1:16" x14ac:dyDescent="0.3">
      <c r="A23">
        <v>13</v>
      </c>
      <c r="B23">
        <v>38</v>
      </c>
      <c r="D23" s="3">
        <v>35.5</v>
      </c>
      <c r="F23" s="3">
        <v>33.905556719982002</v>
      </c>
      <c r="H23">
        <v>13</v>
      </c>
      <c r="I23">
        <v>79</v>
      </c>
      <c r="J23" s="3">
        <v>75.525387477590357</v>
      </c>
      <c r="K23" s="3">
        <v>75.525387477590357</v>
      </c>
      <c r="N23">
        <v>13</v>
      </c>
      <c r="O23">
        <v>36</v>
      </c>
      <c r="P23" s="3">
        <v>10.447325387638481</v>
      </c>
    </row>
    <row r="24" spans="1:16" x14ac:dyDescent="0.3">
      <c r="A24">
        <v>14</v>
      </c>
      <c r="B24">
        <v>30</v>
      </c>
      <c r="D24" s="3">
        <v>36.166666666666664</v>
      </c>
      <c r="F24" s="3">
        <v>34.315001047983799</v>
      </c>
      <c r="H24">
        <v>14</v>
      </c>
      <c r="I24">
        <v>82</v>
      </c>
      <c r="J24" s="3">
        <v>79.608532353731363</v>
      </c>
      <c r="K24" s="3">
        <v>79.608532353731363</v>
      </c>
      <c r="N24">
        <v>14</v>
      </c>
      <c r="O24">
        <v>21</v>
      </c>
      <c r="P24" s="3">
        <v>17.780749486939261</v>
      </c>
    </row>
    <row r="25" spans="1:16" x14ac:dyDescent="0.3">
      <c r="A25">
        <v>15</v>
      </c>
      <c r="B25">
        <v>35</v>
      </c>
      <c r="D25" s="3">
        <v>34.833333333333329</v>
      </c>
      <c r="F25" s="3">
        <v>33.883500943185425</v>
      </c>
      <c r="H25">
        <v>15</v>
      </c>
      <c r="I25">
        <v>80</v>
      </c>
      <c r="J25" s="3">
        <v>83.438477796418141</v>
      </c>
      <c r="K25" s="3">
        <v>83.438477796418141</v>
      </c>
      <c r="N25">
        <v>15</v>
      </c>
      <c r="O25">
        <v>47</v>
      </c>
      <c r="P25" s="3">
        <v>76.130945984477748</v>
      </c>
    </row>
    <row r="26" spans="1:16" x14ac:dyDescent="0.3">
      <c r="A26">
        <v>16</v>
      </c>
      <c r="B26">
        <v>30</v>
      </c>
      <c r="D26" s="3">
        <v>34.666666666666664</v>
      </c>
      <c r="F26" s="3">
        <v>33.995150848866885</v>
      </c>
      <c r="H26">
        <v>16</v>
      </c>
      <c r="I26">
        <v>85</v>
      </c>
      <c r="J26" s="3">
        <v>85.416285272406341</v>
      </c>
      <c r="K26" s="3">
        <v>85.416285272406341</v>
      </c>
      <c r="N26">
        <v>16</v>
      </c>
      <c r="O26">
        <v>81</v>
      </c>
      <c r="P26" s="3">
        <v>99.003018352358083</v>
      </c>
    </row>
    <row r="27" spans="1:16" x14ac:dyDescent="0.3">
      <c r="A27">
        <v>17</v>
      </c>
      <c r="B27">
        <v>34</v>
      </c>
      <c r="D27" s="3">
        <v>33.166666666666664</v>
      </c>
      <c r="F27" s="3">
        <v>33.595635763980198</v>
      </c>
      <c r="H27">
        <v>17</v>
      </c>
      <c r="I27">
        <v>94</v>
      </c>
      <c r="J27" s="3">
        <v>88.288261947425895</v>
      </c>
      <c r="K27" s="3">
        <v>88.288261947425895</v>
      </c>
      <c r="N27">
        <v>17</v>
      </c>
      <c r="O27">
        <v>112</v>
      </c>
      <c r="P27" s="3">
        <v>175.43230546535958</v>
      </c>
    </row>
    <row r="28" spans="1:16" x14ac:dyDescent="0.3">
      <c r="A28">
        <v>18</v>
      </c>
      <c r="B28">
        <v>40</v>
      </c>
      <c r="D28" s="3">
        <v>33.833333333333329</v>
      </c>
      <c r="F28" s="3">
        <v>33.63607218758218</v>
      </c>
      <c r="H28">
        <v>18</v>
      </c>
      <c r="I28">
        <v>89</v>
      </c>
      <c r="J28" s="3">
        <v>93.169997761516797</v>
      </c>
      <c r="K28" s="3">
        <v>93.169997761516797</v>
      </c>
      <c r="N28">
        <v>18</v>
      </c>
      <c r="O28">
        <v>139</v>
      </c>
      <c r="P28" s="3">
        <v>148.88609674333605</v>
      </c>
    </row>
    <row r="29" spans="1:16" x14ac:dyDescent="0.3">
      <c r="A29">
        <v>19</v>
      </c>
      <c r="B29">
        <v>36</v>
      </c>
      <c r="D29" s="3">
        <v>34.499999999999993</v>
      </c>
      <c r="F29" s="3">
        <v>34.272464968823961</v>
      </c>
      <c r="H29">
        <v>19</v>
      </c>
      <c r="I29">
        <v>96</v>
      </c>
      <c r="J29" s="3">
        <v>94.962112898534926</v>
      </c>
      <c r="K29" s="3">
        <v>94.962112898534926</v>
      </c>
      <c r="N29">
        <v>19</v>
      </c>
      <c r="O29">
        <v>230</v>
      </c>
      <c r="P29" s="3">
        <v>209.80537332602731</v>
      </c>
    </row>
    <row r="30" spans="1:16" x14ac:dyDescent="0.3">
      <c r="A30">
        <v>20</v>
      </c>
      <c r="B30">
        <v>32</v>
      </c>
      <c r="D30" s="3">
        <v>34.166666666666657</v>
      </c>
      <c r="F30" s="3">
        <v>34.445218471941565</v>
      </c>
      <c r="H30">
        <v>20</v>
      </c>
      <c r="I30">
        <v>100</v>
      </c>
      <c r="J30" s="3">
        <v>98.347730107491557</v>
      </c>
      <c r="K30" s="3">
        <v>98.347730107491557</v>
      </c>
      <c r="N30">
        <v>20</v>
      </c>
      <c r="O30">
        <v>201</v>
      </c>
      <c r="P30" s="3">
        <v>226.80798304642119</v>
      </c>
    </row>
    <row r="31" spans="1:16" x14ac:dyDescent="0.3">
      <c r="A31">
        <v>21</v>
      </c>
      <c r="B31">
        <v>40</v>
      </c>
      <c r="D31" s="3">
        <v>34.499999999999993</v>
      </c>
      <c r="F31" s="3">
        <v>34.200696624747408</v>
      </c>
      <c r="H31">
        <v>21</v>
      </c>
      <c r="I31">
        <v>100</v>
      </c>
      <c r="J31" s="3">
        <v>101.96723025053647</v>
      </c>
      <c r="K31" s="3">
        <v>101.96723025053647</v>
      </c>
      <c r="N31">
        <v>21</v>
      </c>
      <c r="O31">
        <v>122</v>
      </c>
      <c r="P31" s="3">
        <v>142.00122848486257</v>
      </c>
    </row>
    <row r="32" spans="1:16" x14ac:dyDescent="0.3">
      <c r="A32">
        <v>22</v>
      </c>
      <c r="B32">
        <v>36</v>
      </c>
      <c r="D32" s="3">
        <v>35.333333333333329</v>
      </c>
      <c r="F32" s="3">
        <v>34.780626962272663</v>
      </c>
      <c r="H32">
        <v>22</v>
      </c>
      <c r="I32">
        <v>105</v>
      </c>
      <c r="J32" s="3">
        <v>104.44186344315182</v>
      </c>
      <c r="K32" s="3">
        <v>104.44186344315182</v>
      </c>
      <c r="N32">
        <v>22</v>
      </c>
      <c r="O32">
        <v>84</v>
      </c>
      <c r="P32" s="3">
        <v>77.151336784003107</v>
      </c>
    </row>
    <row r="33" spans="1:16" x14ac:dyDescent="0.3">
      <c r="A33">
        <v>23</v>
      </c>
      <c r="B33">
        <v>40</v>
      </c>
      <c r="D33" s="3">
        <v>36.333333333333329</v>
      </c>
      <c r="F33" s="3">
        <v>34.902564266045395</v>
      </c>
      <c r="H33">
        <v>23</v>
      </c>
      <c r="I33">
        <v>108</v>
      </c>
      <c r="J33" s="3">
        <v>107.69085077468799</v>
      </c>
      <c r="K33" s="3">
        <v>107.69085077468799</v>
      </c>
      <c r="N33">
        <v>23</v>
      </c>
      <c r="O33">
        <v>74</v>
      </c>
      <c r="P33" s="3">
        <v>72.085170437821191</v>
      </c>
    </row>
    <row r="34" spans="1:16" x14ac:dyDescent="0.3">
      <c r="A34">
        <v>24</v>
      </c>
      <c r="B34">
        <v>34</v>
      </c>
      <c r="D34" s="3">
        <v>37.333333333333329</v>
      </c>
      <c r="F34" s="3">
        <v>35.412307839440857</v>
      </c>
      <c r="H34">
        <v>24</v>
      </c>
      <c r="I34">
        <v>110</v>
      </c>
      <c r="J34" s="3">
        <v>110.87441638352266</v>
      </c>
      <c r="K34" s="3">
        <v>110.87441638352266</v>
      </c>
      <c r="N34">
        <v>24</v>
      </c>
      <c r="O34">
        <v>62</v>
      </c>
      <c r="P34" s="3">
        <v>55.025534274023919</v>
      </c>
    </row>
    <row r="35" spans="1:16" x14ac:dyDescent="0.3">
      <c r="A35">
        <v>25</v>
      </c>
      <c r="D35" s="3">
        <v>36.333333333333329</v>
      </c>
      <c r="F35" s="3">
        <v>35.271077055496775</v>
      </c>
      <c r="H35">
        <v>25</v>
      </c>
      <c r="J35" s="3">
        <v>113.67667981820125</v>
      </c>
      <c r="K35" s="3">
        <v>113.67667981820125</v>
      </c>
      <c r="N35">
        <v>25</v>
      </c>
      <c r="P35" s="3">
        <v>59.46350419318172</v>
      </c>
    </row>
    <row r="40" spans="1:16" x14ac:dyDescent="0.3">
      <c r="D40" s="2" t="s">
        <v>12</v>
      </c>
      <c r="E40" s="2" t="s">
        <v>17</v>
      </c>
      <c r="G40" s="2" t="s">
        <v>12</v>
      </c>
      <c r="H40" t="s">
        <v>18</v>
      </c>
      <c r="I40" t="s">
        <v>19</v>
      </c>
    </row>
    <row r="42" spans="1:16" x14ac:dyDescent="0.3">
      <c r="A42">
        <v>0</v>
      </c>
      <c r="D42" s="24">
        <f>$F$5</f>
        <v>32</v>
      </c>
      <c r="E42" s="11">
        <f>(1-$F$3)^(A$66-A42)</f>
        <v>7.9766443076872598E-2</v>
      </c>
      <c r="H42" s="4">
        <f>$I$6</f>
        <v>34</v>
      </c>
      <c r="I42" s="4">
        <f>$I$7</f>
        <v>2.73</v>
      </c>
    </row>
    <row r="43" spans="1:16" x14ac:dyDescent="0.3">
      <c r="A43">
        <v>1</v>
      </c>
      <c r="D43">
        <v>30</v>
      </c>
      <c r="E43" s="11">
        <f t="shared" ref="E43:E66" si="0">$F$3*(1-$F$3)^(A$66-A43)</f>
        <v>8.8629381196525109E-3</v>
      </c>
      <c r="G43">
        <v>40</v>
      </c>
      <c r="H43" s="4">
        <f t="shared" ref="H43:H44" si="1">$I$3*G43+(1-$I$3)*(H42+I42)</f>
        <v>37.710999999999999</v>
      </c>
      <c r="I43" s="4">
        <f t="shared" ref="I43:I44" si="2">$I$4*(H43-H42)+(1-$I$4)*I42</f>
        <v>2.8280999999999996</v>
      </c>
      <c r="J43" s="4">
        <f t="shared" ref="J43:J67" si="3">H42+I42</f>
        <v>36.729999999999997</v>
      </c>
    </row>
    <row r="44" spans="1:16" x14ac:dyDescent="0.3">
      <c r="A44">
        <v>2</v>
      </c>
      <c r="D44">
        <v>32</v>
      </c>
      <c r="E44" s="9">
        <f t="shared" si="0"/>
        <v>9.8477090218361246E-3</v>
      </c>
      <c r="G44">
        <v>47</v>
      </c>
      <c r="H44" s="3">
        <f t="shared" si="1"/>
        <v>42.477369999999993</v>
      </c>
      <c r="I44" s="3">
        <f t="shared" si="2"/>
        <v>3.0219269999999989</v>
      </c>
      <c r="J44" s="3">
        <f t="shared" si="3"/>
        <v>40.539099999999998</v>
      </c>
    </row>
    <row r="45" spans="1:16" x14ac:dyDescent="0.3">
      <c r="A45">
        <v>3</v>
      </c>
      <c r="D45">
        <v>30</v>
      </c>
      <c r="E45" s="9">
        <f t="shared" si="0"/>
        <v>1.0941898913151248E-2</v>
      </c>
      <c r="G45">
        <v>50</v>
      </c>
      <c r="H45" s="3">
        <f t="shared" ref="H45:H60" si="4">$I$3*G45+(1-$I$3)*(H44+I44)</f>
        <v>46.849507899999992</v>
      </c>
      <c r="I45" s="3">
        <f t="shared" ref="I45:I60" si="5">$I$4*(H45-H44)+(1-$I$4)*I44</f>
        <v>3.1569480899999989</v>
      </c>
      <c r="J45" s="3">
        <f t="shared" si="3"/>
        <v>45.499296999999991</v>
      </c>
    </row>
    <row r="46" spans="1:16" x14ac:dyDescent="0.3">
      <c r="A46">
        <v>4</v>
      </c>
      <c r="D46">
        <v>39</v>
      </c>
      <c r="E46" s="9">
        <f t="shared" si="0"/>
        <v>1.2157665459056942E-2</v>
      </c>
      <c r="G46">
        <v>49</v>
      </c>
      <c r="H46" s="3">
        <f t="shared" si="4"/>
        <v>49.704519192999996</v>
      </c>
      <c r="I46" s="3">
        <f t="shared" si="5"/>
        <v>3.1267544102999993</v>
      </c>
      <c r="J46" s="3">
        <f t="shared" si="3"/>
        <v>50.006455989999992</v>
      </c>
    </row>
    <row r="47" spans="1:16" x14ac:dyDescent="0.3">
      <c r="A47">
        <v>5</v>
      </c>
      <c r="D47">
        <v>33</v>
      </c>
      <c r="E47" s="9">
        <f t="shared" si="0"/>
        <v>1.3508517176729934E-2</v>
      </c>
      <c r="G47">
        <v>56</v>
      </c>
      <c r="H47" s="3">
        <f t="shared" si="4"/>
        <v>53.781891522309991</v>
      </c>
      <c r="I47" s="3">
        <f t="shared" si="5"/>
        <v>3.2218162022009991</v>
      </c>
      <c r="J47" s="3">
        <f t="shared" si="3"/>
        <v>52.831273603299998</v>
      </c>
    </row>
    <row r="48" spans="1:16" x14ac:dyDescent="0.3">
      <c r="A48">
        <v>6</v>
      </c>
      <c r="D48">
        <v>34</v>
      </c>
      <c r="E48" s="9">
        <f t="shared" si="0"/>
        <v>1.5009463529699923E-2</v>
      </c>
      <c r="G48">
        <v>53</v>
      </c>
      <c r="H48" s="3">
        <f t="shared" si="4"/>
        <v>55.802595407157689</v>
      </c>
      <c r="I48" s="3">
        <f t="shared" si="5"/>
        <v>3.101704970465669</v>
      </c>
      <c r="J48" s="3">
        <f t="shared" si="3"/>
        <v>57.003707724510988</v>
      </c>
    </row>
    <row r="49" spans="1:10" x14ac:dyDescent="0.3">
      <c r="A49">
        <v>7</v>
      </c>
      <c r="D49">
        <v>34</v>
      </c>
      <c r="E49" s="9">
        <f t="shared" si="0"/>
        <v>1.6677181699666584E-2</v>
      </c>
      <c r="G49">
        <v>55</v>
      </c>
      <c r="H49" s="3">
        <f t="shared" si="4"/>
        <v>57.73301026433635</v>
      </c>
      <c r="I49" s="3">
        <f t="shared" si="5"/>
        <v>2.984575959136968</v>
      </c>
      <c r="J49" s="3">
        <f t="shared" si="3"/>
        <v>58.904300377623358</v>
      </c>
    </row>
    <row r="50" spans="1:10" x14ac:dyDescent="0.3">
      <c r="A50">
        <v>8</v>
      </c>
      <c r="D50">
        <v>38</v>
      </c>
      <c r="E50" s="9">
        <f t="shared" si="0"/>
        <v>1.8530201888518425E-2</v>
      </c>
      <c r="G50">
        <v>63</v>
      </c>
      <c r="H50" s="3">
        <f t="shared" si="4"/>
        <v>61.402310356431322</v>
      </c>
      <c r="I50" s="3">
        <f t="shared" si="5"/>
        <v>3.0530483724327686</v>
      </c>
      <c r="J50" s="3">
        <f t="shared" si="3"/>
        <v>60.717586223473319</v>
      </c>
    </row>
    <row r="51" spans="1:10" x14ac:dyDescent="0.3">
      <c r="A51">
        <v>9</v>
      </c>
      <c r="D51">
        <v>36</v>
      </c>
      <c r="E51" s="9">
        <f t="shared" si="0"/>
        <v>2.0589113209464913E-2</v>
      </c>
      <c r="G51">
        <v>68</v>
      </c>
      <c r="H51" s="3">
        <f t="shared" si="4"/>
        <v>65.518751110204846</v>
      </c>
      <c r="I51" s="3">
        <f t="shared" si="5"/>
        <v>3.1593876105668439</v>
      </c>
      <c r="J51" s="3">
        <f t="shared" si="3"/>
        <v>64.455358728864084</v>
      </c>
    </row>
    <row r="52" spans="1:10" x14ac:dyDescent="0.3">
      <c r="A52">
        <v>10</v>
      </c>
      <c r="D52">
        <v>39</v>
      </c>
      <c r="E52" s="9">
        <f t="shared" si="0"/>
        <v>2.2876792454961017E-2</v>
      </c>
      <c r="G52">
        <v>65</v>
      </c>
      <c r="H52" s="3">
        <f t="shared" si="4"/>
        <v>67.574697104540178</v>
      </c>
      <c r="I52" s="3">
        <f t="shared" si="5"/>
        <v>3.0490434489436926</v>
      </c>
      <c r="J52" s="3">
        <f t="shared" si="3"/>
        <v>68.678138720771685</v>
      </c>
    </row>
    <row r="53" spans="1:10" x14ac:dyDescent="0.3">
      <c r="A53">
        <v>11</v>
      </c>
      <c r="D53">
        <v>30</v>
      </c>
      <c r="E53" s="9">
        <f t="shared" si="0"/>
        <v>2.541865828329002E-2</v>
      </c>
      <c r="G53">
        <v>72</v>
      </c>
      <c r="H53" s="3">
        <f t="shared" si="4"/>
        <v>71.036618387438708</v>
      </c>
      <c r="I53" s="3">
        <f t="shared" si="5"/>
        <v>3.0903312323391763</v>
      </c>
      <c r="J53" s="3">
        <f t="shared" si="3"/>
        <v>70.62374055348387</v>
      </c>
    </row>
    <row r="54" spans="1:10" x14ac:dyDescent="0.3">
      <c r="A54">
        <v>12</v>
      </c>
      <c r="D54">
        <v>36</v>
      </c>
      <c r="E54" s="9">
        <f t="shared" si="0"/>
        <v>2.8242953648100019E-2</v>
      </c>
      <c r="G54">
        <v>69</v>
      </c>
      <c r="H54" s="3">
        <f t="shared" si="4"/>
        <v>72.588864733844517</v>
      </c>
      <c r="I54" s="3">
        <f t="shared" si="5"/>
        <v>2.9365227437458397</v>
      </c>
      <c r="J54" s="3">
        <f t="shared" si="3"/>
        <v>74.126949619777889</v>
      </c>
    </row>
    <row r="55" spans="1:10" x14ac:dyDescent="0.3">
      <c r="A55">
        <v>13</v>
      </c>
      <c r="D55">
        <v>38</v>
      </c>
      <c r="E55" s="9">
        <f t="shared" si="0"/>
        <v>3.138105960900002E-2</v>
      </c>
      <c r="G55">
        <v>79</v>
      </c>
      <c r="H55" s="3">
        <f t="shared" si="4"/>
        <v>76.567771234313241</v>
      </c>
      <c r="I55" s="3">
        <f t="shared" si="5"/>
        <v>3.0407611194181285</v>
      </c>
      <c r="J55" s="3">
        <f t="shared" si="3"/>
        <v>75.525387477590357</v>
      </c>
    </row>
    <row r="56" spans="1:10" x14ac:dyDescent="0.3">
      <c r="A56">
        <v>14</v>
      </c>
      <c r="D56">
        <v>30</v>
      </c>
      <c r="E56" s="9">
        <f t="shared" si="0"/>
        <v>3.4867844010000017E-2</v>
      </c>
      <c r="G56">
        <v>82</v>
      </c>
      <c r="H56" s="3">
        <f t="shared" si="4"/>
        <v>80.325972647611948</v>
      </c>
      <c r="I56" s="3">
        <f t="shared" si="5"/>
        <v>3.1125051488061866</v>
      </c>
      <c r="J56" s="3">
        <f t="shared" si="3"/>
        <v>79.608532353731363</v>
      </c>
    </row>
    <row r="57" spans="1:10" x14ac:dyDescent="0.3">
      <c r="A57">
        <v>15</v>
      </c>
      <c r="D57">
        <v>35</v>
      </c>
      <c r="E57" s="9">
        <f t="shared" si="0"/>
        <v>3.874204890000002E-2</v>
      </c>
      <c r="G57">
        <v>80</v>
      </c>
      <c r="H57" s="3">
        <f t="shared" si="4"/>
        <v>82.406934457492696</v>
      </c>
      <c r="I57" s="3">
        <f t="shared" si="5"/>
        <v>3.0093508149136428</v>
      </c>
      <c r="J57" s="3">
        <f t="shared" si="3"/>
        <v>83.438477796418141</v>
      </c>
    </row>
    <row r="58" spans="1:10" x14ac:dyDescent="0.3">
      <c r="A58">
        <v>16</v>
      </c>
      <c r="D58">
        <v>30</v>
      </c>
      <c r="E58" s="9">
        <f t="shared" si="0"/>
        <v>4.3046721000000017E-2</v>
      </c>
      <c r="G58">
        <v>85</v>
      </c>
      <c r="H58" s="3">
        <f t="shared" si="4"/>
        <v>85.291399690684443</v>
      </c>
      <c r="I58" s="3">
        <f t="shared" si="5"/>
        <v>2.9968622567414531</v>
      </c>
      <c r="J58" s="3">
        <f t="shared" si="3"/>
        <v>85.416285272406341</v>
      </c>
    </row>
    <row r="59" spans="1:10" x14ac:dyDescent="0.3">
      <c r="A59">
        <v>17</v>
      </c>
      <c r="D59">
        <v>34</v>
      </c>
      <c r="E59" s="9">
        <f t="shared" si="0"/>
        <v>4.7829690000000015E-2</v>
      </c>
      <c r="G59">
        <v>94</v>
      </c>
      <c r="H59" s="3">
        <f t="shared" si="4"/>
        <v>90.001783363198115</v>
      </c>
      <c r="I59" s="3">
        <f t="shared" si="5"/>
        <v>3.1682143983186752</v>
      </c>
      <c r="J59" s="3">
        <f t="shared" si="3"/>
        <v>88.288261947425895</v>
      </c>
    </row>
    <row r="60" spans="1:10" x14ac:dyDescent="0.3">
      <c r="A60">
        <v>18</v>
      </c>
      <c r="D60">
        <v>40</v>
      </c>
      <c r="E60" s="9">
        <f t="shared" si="0"/>
        <v>5.314410000000002E-2</v>
      </c>
      <c r="G60">
        <v>89</v>
      </c>
      <c r="H60" s="3">
        <f t="shared" si="4"/>
        <v>91.918998433061759</v>
      </c>
      <c r="I60" s="3">
        <f t="shared" si="5"/>
        <v>3.0431144654731721</v>
      </c>
      <c r="J60" s="3">
        <f t="shared" si="3"/>
        <v>93.169997761516797</v>
      </c>
    </row>
    <row r="61" spans="1:10" x14ac:dyDescent="0.3">
      <c r="A61">
        <v>19</v>
      </c>
      <c r="D61">
        <v>36</v>
      </c>
      <c r="E61" s="9">
        <f t="shared" si="0"/>
        <v>5.9049000000000018E-2</v>
      </c>
      <c r="G61">
        <v>96</v>
      </c>
      <c r="H61" s="3">
        <f t="shared" ref="H61:H66" si="6">$I$3*G61+(1-$I$3)*(H60+I60)</f>
        <v>95.273479028974435</v>
      </c>
      <c r="I61" s="3">
        <f t="shared" ref="I61:I66" si="7">$I$4*(H61-H60)+(1-$I$4)*I60</f>
        <v>3.0742510785171229</v>
      </c>
      <c r="J61" s="3">
        <f t="shared" si="3"/>
        <v>94.962112898534926</v>
      </c>
    </row>
    <row r="62" spans="1:10" x14ac:dyDescent="0.3">
      <c r="A62">
        <v>20</v>
      </c>
      <c r="D62">
        <v>32</v>
      </c>
      <c r="E62" s="9">
        <f t="shared" si="0"/>
        <v>6.5610000000000016E-2</v>
      </c>
      <c r="G62">
        <v>100</v>
      </c>
      <c r="H62" s="3">
        <f t="shared" si="6"/>
        <v>98.843411075244092</v>
      </c>
      <c r="I62" s="3">
        <f t="shared" si="7"/>
        <v>3.1238191752923763</v>
      </c>
      <c r="J62" s="3">
        <f t="shared" si="3"/>
        <v>98.347730107491557</v>
      </c>
    </row>
    <row r="63" spans="1:10" x14ac:dyDescent="0.3">
      <c r="A63">
        <v>21</v>
      </c>
      <c r="D63">
        <v>40</v>
      </c>
      <c r="E63" s="9">
        <f t="shared" si="0"/>
        <v>7.2900000000000006E-2</v>
      </c>
      <c r="G63">
        <v>100</v>
      </c>
      <c r="H63" s="3">
        <f t="shared" si="6"/>
        <v>101.37706117537553</v>
      </c>
      <c r="I63" s="3">
        <f t="shared" si="7"/>
        <v>3.0648022677762823</v>
      </c>
      <c r="J63" s="3">
        <f t="shared" si="3"/>
        <v>101.96723025053647</v>
      </c>
    </row>
    <row r="64" spans="1:10" x14ac:dyDescent="0.3">
      <c r="A64">
        <v>22</v>
      </c>
      <c r="D64">
        <v>36</v>
      </c>
      <c r="E64" s="9">
        <f t="shared" si="0"/>
        <v>8.1000000000000016E-2</v>
      </c>
      <c r="G64">
        <v>105</v>
      </c>
      <c r="H64" s="3">
        <f t="shared" si="6"/>
        <v>104.60930441020626</v>
      </c>
      <c r="I64" s="3">
        <f t="shared" si="7"/>
        <v>3.0815463644817274</v>
      </c>
      <c r="J64" s="3">
        <f t="shared" si="3"/>
        <v>104.44186344315182</v>
      </c>
    </row>
    <row r="65" spans="1:10" x14ac:dyDescent="0.3">
      <c r="A65">
        <v>23</v>
      </c>
      <c r="D65">
        <v>40</v>
      </c>
      <c r="E65" s="9">
        <f t="shared" si="0"/>
        <v>9.0000000000000011E-2</v>
      </c>
      <c r="G65">
        <v>108</v>
      </c>
      <c r="H65" s="3">
        <f t="shared" si="6"/>
        <v>107.78359554228157</v>
      </c>
      <c r="I65" s="3">
        <f t="shared" si="7"/>
        <v>3.0908208412410856</v>
      </c>
      <c r="J65" s="3">
        <f t="shared" si="3"/>
        <v>107.69085077468799</v>
      </c>
    </row>
    <row r="66" spans="1:10" x14ac:dyDescent="0.3">
      <c r="A66">
        <v>24</v>
      </c>
      <c r="D66">
        <v>34</v>
      </c>
      <c r="E66" s="23">
        <f t="shared" si="0"/>
        <v>0.1</v>
      </c>
      <c r="G66">
        <v>110</v>
      </c>
      <c r="H66" s="3">
        <f t="shared" si="6"/>
        <v>110.61209146846585</v>
      </c>
      <c r="I66" s="3">
        <f t="shared" si="7"/>
        <v>3.0645883497354043</v>
      </c>
      <c r="J66" s="3">
        <f t="shared" si="3"/>
        <v>110.87441638352266</v>
      </c>
    </row>
    <row r="67" spans="1:10" x14ac:dyDescent="0.3">
      <c r="A67">
        <v>25</v>
      </c>
      <c r="F67" s="3">
        <f>SUMPRODUCT(E42:E66,D42:D66)</f>
        <v>35.271077055496789</v>
      </c>
      <c r="J67" s="3">
        <f t="shared" si="3"/>
        <v>113.67667981820125</v>
      </c>
    </row>
  </sheetData>
  <printOptions headings="1" gridLines="1"/>
  <pageMargins left="0.75" right="0.75" top="1" bottom="1" header="0.5" footer="0.5"/>
  <pageSetup paperSize="9" scale="82" orientation="landscape" horizontalDpi="300" verticalDpi="300" r:id="rId1"/>
  <headerFooter alignWithMargins="0">
    <oddHeader>&amp;L&amp;F&amp;C&amp;A</oddHeader>
    <oddFooter>Prepared by Mike Staunton &amp;D&amp;RPage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133"/>
  <sheetViews>
    <sheetView workbookViewId="0"/>
  </sheetViews>
  <sheetFormatPr defaultRowHeight="13" x14ac:dyDescent="0.3"/>
  <cols>
    <col min="9" max="9" width="10.5" customWidth="1"/>
  </cols>
  <sheetData>
    <row r="1" spans="1:18" x14ac:dyDescent="0.3">
      <c r="A1" s="1" t="s">
        <v>0</v>
      </c>
      <c r="B1" s="1"/>
    </row>
    <row r="3" spans="1:18" x14ac:dyDescent="0.3">
      <c r="C3" s="15" t="s">
        <v>20</v>
      </c>
      <c r="D3" s="1"/>
      <c r="E3" s="1"/>
      <c r="F3" s="15" t="s">
        <v>21</v>
      </c>
      <c r="M3" s="22" t="s">
        <v>22</v>
      </c>
    </row>
    <row r="4" spans="1:18" x14ac:dyDescent="0.3">
      <c r="C4" s="1"/>
      <c r="D4" s="1"/>
      <c r="E4" s="1"/>
      <c r="F4" s="1"/>
      <c r="G4" s="1"/>
      <c r="H4" s="1"/>
      <c r="I4" s="1"/>
      <c r="J4" s="1"/>
      <c r="M4" s="10"/>
      <c r="N4" s="1"/>
      <c r="O4" s="1"/>
      <c r="P4" s="1"/>
    </row>
    <row r="5" spans="1:18" x14ac:dyDescent="0.3">
      <c r="C5" s="21" t="s">
        <v>23</v>
      </c>
      <c r="D5" s="21" t="s">
        <v>24</v>
      </c>
      <c r="E5" s="21"/>
      <c r="F5" s="21" t="s">
        <v>23</v>
      </c>
      <c r="G5" s="21" t="s">
        <v>24</v>
      </c>
      <c r="I5" s="21"/>
      <c r="J5" s="21"/>
      <c r="K5" s="21"/>
      <c r="L5" s="21"/>
      <c r="M5" s="21" t="s">
        <v>23</v>
      </c>
      <c r="N5" s="21" t="s">
        <v>24</v>
      </c>
      <c r="P5" s="21"/>
      <c r="Q5" s="21"/>
      <c r="R5" s="21"/>
    </row>
    <row r="6" spans="1:18" x14ac:dyDescent="0.3">
      <c r="C6" s="1"/>
      <c r="D6" s="1"/>
      <c r="E6" s="1"/>
      <c r="F6" s="21"/>
      <c r="G6" s="21"/>
      <c r="I6" s="21"/>
      <c r="J6" s="21"/>
      <c r="K6" s="21"/>
      <c r="L6" s="21"/>
      <c r="M6" s="21"/>
      <c r="N6" s="21"/>
      <c r="P6" s="21"/>
      <c r="Q6" s="21"/>
      <c r="R6" s="21"/>
    </row>
    <row r="7" spans="1:18" x14ac:dyDescent="0.3">
      <c r="A7">
        <v>1</v>
      </c>
      <c r="C7" s="20">
        <f t="array" ref="C7">ACFk($D$34:$D$133,A7)</f>
        <v>0.74585951675829443</v>
      </c>
      <c r="D7" s="20">
        <f>PACFk($D$34:$D$133,A7)</f>
        <v>0.74585951675829443</v>
      </c>
      <c r="E7" s="20"/>
      <c r="F7" s="20">
        <f>ACFk($G$34:$G$133,A7)</f>
        <v>-0.42181429444105084</v>
      </c>
      <c r="G7" s="20">
        <f>PACFk($G$34:$G$133,A7)</f>
        <v>-0.42181429444105084</v>
      </c>
      <c r="M7" s="20">
        <f>ACFk($N$34:$N$133,A7)</f>
        <v>0.62454354496353748</v>
      </c>
      <c r="N7" s="20">
        <f>PACFk($N$34:$N$133,A7)</f>
        <v>0.62454354496353748</v>
      </c>
    </row>
    <row r="8" spans="1:18" x14ac:dyDescent="0.3">
      <c r="A8">
        <v>2</v>
      </c>
      <c r="C8" s="20">
        <f t="array" ref="C8">ACFk($D$34:$D$133,A8)</f>
        <v>0.70651896788212554</v>
      </c>
      <c r="D8" s="20">
        <f t="shared" ref="D8:D18" si="0">PACFk($D$34:$D$133,A8)</f>
        <v>0.3385501965484129</v>
      </c>
      <c r="E8" s="20"/>
      <c r="F8" s="20">
        <f t="shared" ref="F8:F18" si="1">ACFk($G$34:$G$133,A8)</f>
        <v>0.17455967840463479</v>
      </c>
      <c r="G8" s="20">
        <f t="shared" ref="G8:G18" si="2">PACFk($G$34:$G$133,A8)</f>
        <v>-4.0964997208263231E-3</v>
      </c>
      <c r="M8" s="20">
        <f t="shared" ref="M8:M18" si="3">ACFk($N$34:$N$133,A8)</f>
        <v>0.4327407968209866</v>
      </c>
      <c r="N8" s="20">
        <f t="shared" ref="N8:N18" si="4">PACFk($N$34:$N$133,A8)</f>
        <v>6.9983575634160577E-2</v>
      </c>
    </row>
    <row r="9" spans="1:18" x14ac:dyDescent="0.3">
      <c r="A9">
        <v>3</v>
      </c>
      <c r="C9" s="20">
        <f t="array" ref="C9">ACFk($D$34:$D$133,A9)</f>
        <v>0.57686571539175968</v>
      </c>
      <c r="D9" s="20">
        <f t="shared" si="0"/>
        <v>-6.1616413523905338E-2</v>
      </c>
      <c r="E9" s="20"/>
      <c r="F9" s="20">
        <f t="shared" si="1"/>
        <v>-8.66579305180602E-2</v>
      </c>
      <c r="G9" s="20">
        <f t="shared" si="2"/>
        <v>-1.7580847869262273E-2</v>
      </c>
      <c r="M9" s="20">
        <f t="shared" si="3"/>
        <v>0.24747951292741663</v>
      </c>
      <c r="N9" s="20">
        <f t="shared" si="4"/>
        <v>-7.8390271386676286E-2</v>
      </c>
    </row>
    <row r="10" spans="1:18" x14ac:dyDescent="0.3">
      <c r="A10">
        <v>4</v>
      </c>
      <c r="C10" s="20">
        <f t="array" ref="C10">ACFk($D$34:$D$133,A10)</f>
        <v>0.49319482124963532</v>
      </c>
      <c r="D10" s="20">
        <f t="shared" si="0"/>
        <v>-4.6369580672190575E-2</v>
      </c>
      <c r="E10" s="20"/>
      <c r="F10" s="20">
        <f t="shared" si="1"/>
        <v>-7.2939089995467721E-2</v>
      </c>
      <c r="G10" s="20">
        <f t="shared" si="2"/>
        <v>-0.13999623919962678</v>
      </c>
      <c r="M10" s="20">
        <f t="shared" si="3"/>
        <v>0.20886986495860507</v>
      </c>
      <c r="N10" s="20">
        <f t="shared" si="4"/>
        <v>0.10400230033057407</v>
      </c>
    </row>
    <row r="11" spans="1:18" x14ac:dyDescent="0.3">
      <c r="A11">
        <v>5</v>
      </c>
      <c r="C11" s="20">
        <f t="array" ref="C11">ACFk($D$34:$D$133,A11)</f>
        <v>0.44754492057751943</v>
      </c>
      <c r="D11" s="20">
        <f t="shared" si="0"/>
        <v>8.6857667917327089E-2</v>
      </c>
      <c r="E11" s="20"/>
      <c r="F11" s="20">
        <f t="shared" si="1"/>
        <v>5.4347054998325046E-2</v>
      </c>
      <c r="G11" s="20">
        <f t="shared" si="2"/>
        <v>-2.9169925031122704E-2</v>
      </c>
      <c r="M11" s="20">
        <f t="shared" si="3"/>
        <v>0.14956219981784602</v>
      </c>
      <c r="N11" s="20">
        <f t="shared" si="4"/>
        <v>-8.150473668891222E-3</v>
      </c>
    </row>
    <row r="12" spans="1:18" x14ac:dyDescent="0.3">
      <c r="A12">
        <v>6</v>
      </c>
      <c r="C12" s="20">
        <f t="array" ref="C12">ACFk($D$34:$D$133,A12)</f>
        <v>0.37164422297238081</v>
      </c>
      <c r="D12" s="20">
        <f t="shared" si="0"/>
        <v>-2.7195324850176724E-2</v>
      </c>
      <c r="E12" s="20"/>
      <c r="F12" s="20">
        <f t="shared" si="1"/>
        <v>-6.7922438764853058E-2</v>
      </c>
      <c r="G12" s="20">
        <f t="shared" si="2"/>
        <v>-4.7279945035985406E-2</v>
      </c>
      <c r="M12" s="20">
        <f t="shared" si="3"/>
        <v>0.20821544802739672</v>
      </c>
      <c r="N12" s="20">
        <f t="shared" si="4"/>
        <v>0.15095003117307842</v>
      </c>
    </row>
    <row r="13" spans="1:18" x14ac:dyDescent="0.3">
      <c r="A13">
        <v>7</v>
      </c>
      <c r="C13" s="20">
        <f t="array" ref="C13">ACFk($D$34:$D$133,A13)</f>
        <v>0.3351624373326279</v>
      </c>
      <c r="D13" s="20">
        <f t="shared" si="0"/>
        <v>2.599098151978571E-3</v>
      </c>
      <c r="E13" s="20"/>
      <c r="F13" s="20">
        <f t="shared" si="1"/>
        <v>0.18952312451967601</v>
      </c>
      <c r="G13" s="20">
        <f t="shared" si="2"/>
        <v>0.16305141546535079</v>
      </c>
      <c r="M13" s="20">
        <f t="shared" si="3"/>
        <v>0.27030706666660992</v>
      </c>
      <c r="N13" s="20">
        <f t="shared" si="4"/>
        <v>0.14206862033784448</v>
      </c>
    </row>
    <row r="14" spans="1:18" x14ac:dyDescent="0.3">
      <c r="A14">
        <v>8</v>
      </c>
      <c r="C14" s="20">
        <f t="array" ref="C14">ACFk($D$34:$D$133,A14)</f>
        <v>0.19779076306436466</v>
      </c>
      <c r="D14" s="20">
        <f t="shared" si="0"/>
        <v>-0.22382153727108564</v>
      </c>
      <c r="E14" s="20"/>
      <c r="F14" s="20">
        <f t="shared" si="1"/>
        <v>-0.11893668591246774</v>
      </c>
      <c r="G14" s="20">
        <f t="shared" si="2"/>
        <v>1.7920136939730776E-2</v>
      </c>
      <c r="M14" s="20">
        <f t="shared" si="3"/>
        <v>0.21854207515646124</v>
      </c>
      <c r="N14" s="20">
        <f t="shared" si="4"/>
        <v>-8.9664177318953681E-2</v>
      </c>
    </row>
    <row r="15" spans="1:18" x14ac:dyDescent="0.3">
      <c r="A15">
        <v>9</v>
      </c>
      <c r="C15" s="20">
        <f t="array" ref="C15">ACFk($D$34:$D$133,A15)</f>
        <v>0.12468351284571599</v>
      </c>
      <c r="D15" s="20">
        <f t="shared" si="0"/>
        <v>-9.2569867598780192E-2</v>
      </c>
      <c r="E15" s="20"/>
      <c r="F15" s="20">
        <f t="shared" si="1"/>
        <v>-0.13867795140599448</v>
      </c>
      <c r="G15" s="20">
        <f t="shared" si="2"/>
        <v>-0.26400794541594835</v>
      </c>
      <c r="M15" s="20">
        <f t="shared" si="3"/>
        <v>0.22429411798315727</v>
      </c>
      <c r="N15" s="20">
        <f t="shared" si="4"/>
        <v>0.10176986403106514</v>
      </c>
    </row>
    <row r="16" spans="1:18" x14ac:dyDescent="0.3">
      <c r="A16">
        <v>10</v>
      </c>
      <c r="C16" s="20">
        <f t="array" ref="C16">ACFk($D$34:$D$133,A16)</f>
        <v>0.11849474048101137</v>
      </c>
      <c r="D16" s="20">
        <f t="shared" si="0"/>
        <v>0.19954362668673675</v>
      </c>
      <c r="E16" s="20"/>
      <c r="F16" s="20">
        <f t="shared" si="1"/>
        <v>0.1504266262045047</v>
      </c>
      <c r="G16" s="20">
        <f t="shared" si="2"/>
        <v>2.6534378843009972E-2</v>
      </c>
      <c r="M16" s="20">
        <f t="shared" si="3"/>
        <v>0.14908958664959918</v>
      </c>
      <c r="N16" s="20">
        <f t="shared" si="4"/>
        <v>-6.0299125266050892E-2</v>
      </c>
    </row>
    <row r="17" spans="1:17" x14ac:dyDescent="0.3">
      <c r="A17">
        <v>11</v>
      </c>
      <c r="C17" s="20">
        <f t="array" ref="C17">ACFk($D$34:$D$133,A17)</f>
        <v>3.7380722903082399E-2</v>
      </c>
      <c r="D17" s="20">
        <f t="shared" si="0"/>
        <v>-8.3473248185838317E-2</v>
      </c>
      <c r="E17" s="20"/>
      <c r="F17" s="20">
        <f t="shared" si="1"/>
        <v>-0.22230890495989916</v>
      </c>
      <c r="G17" s="20">
        <f t="shared" si="2"/>
        <v>-0.11027577046218173</v>
      </c>
      <c r="M17" s="20">
        <f t="shared" si="3"/>
        <v>0.10370400762662746</v>
      </c>
      <c r="N17" s="20">
        <f t="shared" si="4"/>
        <v>-3.2657707161716031E-2</v>
      </c>
    </row>
    <row r="18" spans="1:17" x14ac:dyDescent="0.3">
      <c r="A18">
        <v>12</v>
      </c>
      <c r="C18" s="20">
        <f t="array" ref="C18">ACFk($D$34:$D$133,A18)</f>
        <v>6.7619077963228733E-2</v>
      </c>
      <c r="D18" s="20">
        <f t="shared" si="0"/>
        <v>5.2983618556308898E-2</v>
      </c>
      <c r="E18" s="20"/>
      <c r="F18" s="20">
        <f t="shared" si="1"/>
        <v>0.16560742506946227</v>
      </c>
      <c r="G18" s="20">
        <f t="shared" si="2"/>
        <v>-2.309427539621477E-2</v>
      </c>
      <c r="M18" s="20">
        <f t="shared" si="3"/>
        <v>5.5342775179700959E-2</v>
      </c>
      <c r="N18" s="20">
        <f t="shared" si="4"/>
        <v>1.3021767630414073E-2</v>
      </c>
    </row>
    <row r="19" spans="1:17" x14ac:dyDescent="0.3">
      <c r="C19" s="1"/>
    </row>
    <row r="20" spans="1:17" x14ac:dyDescent="0.3">
      <c r="C20" s="1" t="s">
        <v>25</v>
      </c>
      <c r="D20" s="1"/>
      <c r="E20" s="1"/>
      <c r="F20" s="1" t="s">
        <v>26</v>
      </c>
      <c r="H20" s="1"/>
      <c r="I20" s="1" t="s">
        <v>25</v>
      </c>
      <c r="J20" s="1"/>
      <c r="M20" s="1" t="s">
        <v>26</v>
      </c>
      <c r="O20" s="1"/>
      <c r="P20" s="1" t="s">
        <v>25</v>
      </c>
    </row>
    <row r="21" spans="1:17" x14ac:dyDescent="0.3">
      <c r="I21" s="10" t="s">
        <v>27</v>
      </c>
      <c r="P21" s="10" t="s">
        <v>28</v>
      </c>
    </row>
    <row r="22" spans="1:17" x14ac:dyDescent="0.3">
      <c r="I22" s="10"/>
      <c r="P22" s="10"/>
    </row>
    <row r="23" spans="1:17" x14ac:dyDescent="0.3">
      <c r="C23" t="s">
        <v>29</v>
      </c>
      <c r="D23">
        <v>1</v>
      </c>
      <c r="F23" t="s">
        <v>29</v>
      </c>
      <c r="G23">
        <v>0</v>
      </c>
      <c r="M23" t="s">
        <v>29</v>
      </c>
      <c r="N23">
        <v>1</v>
      </c>
    </row>
    <row r="24" spans="1:17" x14ac:dyDescent="0.3">
      <c r="C24" t="s">
        <v>30</v>
      </c>
      <c r="D24">
        <v>0</v>
      </c>
      <c r="F24" t="s">
        <v>30</v>
      </c>
      <c r="G24">
        <v>2</v>
      </c>
      <c r="M24" t="s">
        <v>30</v>
      </c>
      <c r="N24">
        <v>1</v>
      </c>
    </row>
    <row r="26" spans="1:17" x14ac:dyDescent="0.3">
      <c r="C26" t="s">
        <v>31</v>
      </c>
      <c r="D26" s="9">
        <f t="array" ref="D26:D27">TRANSPOSE(ARpvec(D34:D133,D23))</f>
        <v>4.9764984789103057E-3</v>
      </c>
      <c r="F26" t="s">
        <v>31</v>
      </c>
      <c r="G26" s="9">
        <f t="array" ref="G26">ARMAcnst0(G34:G133,G23,G24)</f>
        <v>-4.9999999999999936E-4</v>
      </c>
      <c r="I26" s="11">
        <v>-7.3904530089291122E-5</v>
      </c>
      <c r="J26" t="s">
        <v>32</v>
      </c>
      <c r="M26" t="s">
        <v>31</v>
      </c>
      <c r="N26" s="9">
        <f t="array" ref="N26">ARMAcnst0(N34:N133,N23,N24)</f>
        <v>10.434693283988002</v>
      </c>
      <c r="P26" s="11">
        <v>8.9327664087335918</v>
      </c>
      <c r="Q26" s="5" t="s">
        <v>33</v>
      </c>
    </row>
    <row r="27" spans="1:17" x14ac:dyDescent="0.3">
      <c r="C27" s="5" t="s">
        <v>34</v>
      </c>
      <c r="D27" s="9">
        <v>0.74723350298817104</v>
      </c>
      <c r="F27" s="5" t="s">
        <v>35</v>
      </c>
      <c r="G27" s="9">
        <f t="array" ref="G27:G28">TRANSPOSE(MAqvec0(G34:G133,G24))</f>
        <v>-0.4264968635054267</v>
      </c>
      <c r="I27" s="11">
        <v>-0.41219197975673405</v>
      </c>
      <c r="M27" s="5" t="s">
        <v>34</v>
      </c>
      <c r="N27" s="9">
        <f t="array" ref="N27:N28">TRANSPOSE(ARMApqvec0(N34:N133,N23,N24))</f>
        <v>0.69289131288075534</v>
      </c>
      <c r="P27" s="11">
        <v>0.73764584536775546</v>
      </c>
    </row>
    <row r="28" spans="1:17" ht="12.75" customHeight="1" x14ac:dyDescent="0.3">
      <c r="F28" s="5" t="s">
        <v>36</v>
      </c>
      <c r="G28" s="9">
        <v>0.2143208973742472</v>
      </c>
      <c r="I28" s="11">
        <v>9.9091695122128509E-2</v>
      </c>
      <c r="M28" s="5" t="s">
        <v>35</v>
      </c>
      <c r="N28" s="9">
        <v>-0.14926760044819753</v>
      </c>
      <c r="P28" s="11">
        <v>-0.18909038855793259</v>
      </c>
    </row>
    <row r="29" spans="1:17" ht="12.75" customHeight="1" x14ac:dyDescent="0.3">
      <c r="C29" s="5"/>
      <c r="F29" s="5"/>
    </row>
    <row r="30" spans="1:17" x14ac:dyDescent="0.3">
      <c r="C30" t="s">
        <v>37</v>
      </c>
      <c r="D30" s="18">
        <f>ARMArss(D34:D133,D23,D24,D26,D27,0)</f>
        <v>1.1036740007722325</v>
      </c>
      <c r="F30" t="s">
        <v>37</v>
      </c>
      <c r="G30" s="18">
        <f>ARMArss(G34:G133,G23,G24,G26,0,G27:G28)</f>
        <v>1.0672609297656876</v>
      </c>
      <c r="I30" s="18">
        <f>SUMSQ(I34:I133)</f>
        <v>1.0529600430178598</v>
      </c>
      <c r="J30" t="s">
        <v>38</v>
      </c>
      <c r="M30" t="s">
        <v>37</v>
      </c>
      <c r="N30" s="18">
        <f>ARMArss(N34:N133,N23,N24,N26,N27,N28)</f>
        <v>27.047173879574508</v>
      </c>
      <c r="P30" s="18">
        <f>SUMSQ(P34:P133)</f>
        <v>26.945846447650727</v>
      </c>
      <c r="Q30" t="s">
        <v>39</v>
      </c>
    </row>
    <row r="32" spans="1:17" x14ac:dyDescent="0.3">
      <c r="A32">
        <v>-1</v>
      </c>
      <c r="I32" s="18">
        <v>0</v>
      </c>
    </row>
    <row r="33" spans="1:16" x14ac:dyDescent="0.3">
      <c r="A33">
        <v>0</v>
      </c>
      <c r="I33" s="18">
        <v>0</v>
      </c>
    </row>
    <row r="34" spans="1:16" x14ac:dyDescent="0.3">
      <c r="A34">
        <v>1</v>
      </c>
      <c r="D34" s="3">
        <v>-7.0000000000000007E-2</v>
      </c>
      <c r="G34" s="3">
        <v>-7.0000000000000007E-2</v>
      </c>
      <c r="I34" s="19">
        <f t="shared" ref="I34:I65" si="5">G34-($I$26+$I$27*I33+$I$28*I32)</f>
        <v>-6.9926095469910715E-2</v>
      </c>
      <c r="N34" s="3">
        <v>32.82</v>
      </c>
      <c r="P34" s="18">
        <v>0</v>
      </c>
    </row>
    <row r="35" spans="1:16" x14ac:dyDescent="0.3">
      <c r="A35">
        <v>2</v>
      </c>
      <c r="D35" s="3">
        <v>-0.18</v>
      </c>
      <c r="G35" s="3">
        <v>-0.11</v>
      </c>
      <c r="I35" s="20">
        <f t="shared" si="5"/>
        <v>-0.13874907119831159</v>
      </c>
      <c r="N35" s="3">
        <v>32.42</v>
      </c>
      <c r="P35" s="19">
        <f t="shared" ref="P35:P36" si="6">N35-($P$26+$P$27*N34+$P$28*P34)</f>
        <v>-0.72230305370332815</v>
      </c>
    </row>
    <row r="36" spans="1:16" x14ac:dyDescent="0.3">
      <c r="A36">
        <v>3</v>
      </c>
      <c r="D36" s="3">
        <v>-0.1</v>
      </c>
      <c r="G36" s="3">
        <v>0.08</v>
      </c>
      <c r="I36" s="20">
        <f t="shared" si="5"/>
        <v>2.9811745516834437E-2</v>
      </c>
      <c r="N36" s="3">
        <v>32.85</v>
      </c>
      <c r="P36" s="20">
        <f t="shared" si="6"/>
        <v>-0.13382528063757348</v>
      </c>
    </row>
    <row r="37" spans="1:16" x14ac:dyDescent="0.3">
      <c r="A37">
        <v>4</v>
      </c>
      <c r="D37" s="3">
        <v>-0.1</v>
      </c>
      <c r="G37" s="3">
        <v>0</v>
      </c>
      <c r="I37" s="20">
        <f t="shared" si="5"/>
        <v>2.6110947596338814E-2</v>
      </c>
      <c r="N37" s="3">
        <v>32.61</v>
      </c>
      <c r="P37" s="20">
        <f t="shared" ref="P37:P52" si="7">N37-($P$26+$P$27*N36+$P$28*P36)</f>
        <v>-0.57973750337899332</v>
      </c>
    </row>
    <row r="38" spans="1:16" x14ac:dyDescent="0.3">
      <c r="A38">
        <v>5</v>
      </c>
      <c r="D38" s="3">
        <v>0.02</v>
      </c>
      <c r="G38" s="3">
        <v>0.12</v>
      </c>
      <c r="I38" s="20">
        <f t="shared" si="5"/>
        <v>0.12788253131533589</v>
      </c>
      <c r="N38" s="3">
        <v>32.82</v>
      </c>
      <c r="P38" s="20">
        <f t="shared" si="7"/>
        <v>-0.27702021595164439</v>
      </c>
    </row>
    <row r="39" spans="1:16" x14ac:dyDescent="0.3">
      <c r="A39">
        <v>6</v>
      </c>
      <c r="D39" s="3">
        <v>0.05</v>
      </c>
      <c r="G39" s="3">
        <v>0.03</v>
      </c>
      <c r="I39" s="20">
        <f t="shared" si="5"/>
        <v>8.0198680230693847E-2</v>
      </c>
      <c r="N39" s="3">
        <v>34.020000000000003</v>
      </c>
      <c r="P39" s="20">
        <f t="shared" si="7"/>
        <v>0.82531508602397707</v>
      </c>
    </row>
    <row r="40" spans="1:16" x14ac:dyDescent="0.3">
      <c r="A40">
        <v>7</v>
      </c>
      <c r="D40" s="3">
        <v>0.04</v>
      </c>
      <c r="G40" s="3">
        <v>-0.01</v>
      </c>
      <c r="I40" s="20">
        <f t="shared" si="5"/>
        <v>1.0459060503710918E-2</v>
      </c>
      <c r="N40" s="3">
        <v>33.799999999999997</v>
      </c>
      <c r="P40" s="20">
        <f t="shared" si="7"/>
        <v>-7.14189178456337E-2</v>
      </c>
    </row>
    <row r="41" spans="1:16" x14ac:dyDescent="0.3">
      <c r="A41">
        <v>8</v>
      </c>
      <c r="D41" s="3">
        <v>0.01</v>
      </c>
      <c r="G41" s="3">
        <v>-0.03</v>
      </c>
      <c r="I41" s="20">
        <f t="shared" si="5"/>
        <v>-3.3561977785107631E-2</v>
      </c>
      <c r="N41" s="3">
        <v>34.24</v>
      </c>
      <c r="P41" s="20">
        <f t="shared" si="7"/>
        <v>0.36129938691045993</v>
      </c>
    </row>
    <row r="42" spans="1:16" x14ac:dyDescent="0.3">
      <c r="A42">
        <v>9</v>
      </c>
      <c r="D42" s="3">
        <v>0.21</v>
      </c>
      <c r="G42" s="3">
        <v>0.2</v>
      </c>
      <c r="I42" s="20">
        <f t="shared" si="5"/>
        <v>0.18520352042759664</v>
      </c>
      <c r="N42" s="3">
        <v>34.229999999999997</v>
      </c>
      <c r="P42" s="20">
        <f t="shared" si="7"/>
        <v>0.1085580873311045</v>
      </c>
    </row>
    <row r="43" spans="1:16" x14ac:dyDescent="0.3">
      <c r="A43">
        <v>10</v>
      </c>
      <c r="D43" s="3">
        <v>0.12</v>
      </c>
      <c r="G43" s="3">
        <v>-0.09</v>
      </c>
      <c r="I43" s="20">
        <f t="shared" si="5"/>
        <v>-1.0260976456565374E-2</v>
      </c>
      <c r="N43" s="3">
        <v>33.44</v>
      </c>
      <c r="P43" s="20">
        <f t="shared" si="7"/>
        <v>-0.72185640475731816</v>
      </c>
    </row>
    <row r="44" spans="1:16" x14ac:dyDescent="0.3">
      <c r="A44">
        <v>11</v>
      </c>
      <c r="D44" s="3">
        <v>0.01</v>
      </c>
      <c r="G44" s="3">
        <v>-0.11</v>
      </c>
      <c r="I44" s="20">
        <f t="shared" si="5"/>
        <v>-0.13250771845153594</v>
      </c>
      <c r="N44" s="3">
        <v>33.799999999999997</v>
      </c>
      <c r="P44" s="20">
        <f t="shared" si="7"/>
        <v>6.3860414110067154E-2</v>
      </c>
    </row>
    <row r="45" spans="1:16" x14ac:dyDescent="0.3">
      <c r="A45">
        <v>12</v>
      </c>
      <c r="D45" s="3">
        <v>0.14000000000000001</v>
      </c>
      <c r="G45" s="3">
        <v>0.13</v>
      </c>
      <c r="I45" s="20">
        <f t="shared" si="5"/>
        <v>7.6472063279192093E-2</v>
      </c>
      <c r="N45" s="3">
        <v>33.03</v>
      </c>
      <c r="P45" s="20">
        <f t="shared" si="7"/>
        <v>-0.82312059164618034</v>
      </c>
    </row>
    <row r="46" spans="1:16" x14ac:dyDescent="0.3">
      <c r="A46">
        <v>13</v>
      </c>
      <c r="D46" s="3">
        <v>0.02</v>
      </c>
      <c r="G46" s="3">
        <v>-0.12</v>
      </c>
      <c r="I46" s="20">
        <f t="shared" si="5"/>
        <v>-7.5274509872649831E-2</v>
      </c>
      <c r="N46" s="3">
        <v>34.42</v>
      </c>
      <c r="P46" s="20">
        <f t="shared" si="7"/>
        <v>0.96714712626503285</v>
      </c>
    </row>
    <row r="47" spans="1:16" x14ac:dyDescent="0.3">
      <c r="A47">
        <v>14</v>
      </c>
      <c r="D47" s="3">
        <v>-0.06</v>
      </c>
      <c r="G47" s="3">
        <v>-0.08</v>
      </c>
      <c r="I47" s="20">
        <f t="shared" si="5"/>
        <v>-0.1185313910993579</v>
      </c>
      <c r="N47" s="3">
        <v>32.83</v>
      </c>
      <c r="P47" s="20">
        <f t="shared" si="7"/>
        <v>-1.3096581803935905</v>
      </c>
    </row>
    <row r="48" spans="1:16" x14ac:dyDescent="0.3">
      <c r="A48">
        <v>15</v>
      </c>
      <c r="D48" s="3">
        <v>-0.1</v>
      </c>
      <c r="G48" s="3">
        <v>-0.04</v>
      </c>
      <c r="I48" s="20">
        <f t="shared" si="5"/>
        <v>-8.1324705447706508E-2</v>
      </c>
      <c r="N48" s="3">
        <v>34</v>
      </c>
      <c r="P48" s="20">
        <f t="shared" si="7"/>
        <v>0.60267671363429542</v>
      </c>
    </row>
    <row r="49" spans="1:16" x14ac:dyDescent="0.3">
      <c r="A49">
        <v>16</v>
      </c>
      <c r="D49" s="3">
        <v>-7.0000000000000007E-2</v>
      </c>
      <c r="G49" s="3">
        <v>0.03</v>
      </c>
      <c r="I49" s="20">
        <f t="shared" si="5"/>
        <v>8.2979896576852383E-3</v>
      </c>
      <c r="N49" s="3">
        <v>34.020000000000003</v>
      </c>
      <c r="P49" s="20">
        <f t="shared" si="7"/>
        <v>0.12123522271865284</v>
      </c>
    </row>
    <row r="50" spans="1:16" x14ac:dyDescent="0.3">
      <c r="A50">
        <v>17</v>
      </c>
      <c r="D50" s="3">
        <v>-0.19</v>
      </c>
      <c r="G50" s="3">
        <v>-0.12</v>
      </c>
      <c r="I50" s="20">
        <f t="shared" si="5"/>
        <v>-0.10844712776678749</v>
      </c>
      <c r="N50" s="3">
        <v>33.42</v>
      </c>
      <c r="P50" s="20">
        <f t="shared" si="7"/>
        <v>-0.58455365277384885</v>
      </c>
    </row>
    <row r="51" spans="1:16" x14ac:dyDescent="0.3">
      <c r="A51">
        <v>18</v>
      </c>
      <c r="D51" s="3">
        <v>-0.18</v>
      </c>
      <c r="G51" s="3">
        <v>0.01</v>
      </c>
      <c r="I51" s="20">
        <f t="shared" si="5"/>
        <v>-3.5449393624320244E-2</v>
      </c>
      <c r="N51" s="3">
        <v>32.43</v>
      </c>
      <c r="P51" s="20">
        <f t="shared" si="7"/>
        <v>-1.265424038259944</v>
      </c>
    </row>
    <row r="52" spans="1:16" x14ac:dyDescent="0.3">
      <c r="A52">
        <v>19</v>
      </c>
      <c r="D52" s="3">
        <v>-0.16</v>
      </c>
      <c r="G52" s="3">
        <v>0.02</v>
      </c>
      <c r="I52" s="20">
        <f t="shared" si="5"/>
        <v>1.6208158512442006E-2</v>
      </c>
      <c r="N52" s="3">
        <v>33.25</v>
      </c>
      <c r="P52" s="20">
        <f t="shared" si="7"/>
        <v>0.15609930290497687</v>
      </c>
    </row>
    <row r="53" spans="1:16" x14ac:dyDescent="0.3">
      <c r="A53">
        <v>20</v>
      </c>
      <c r="D53" s="3">
        <v>-0.18</v>
      </c>
      <c r="G53" s="3">
        <v>-0.02</v>
      </c>
      <c r="I53" s="20">
        <f t="shared" si="5"/>
        <v>-9.7324820191708097E-3</v>
      </c>
      <c r="N53" s="3">
        <v>33.82</v>
      </c>
      <c r="P53" s="20">
        <f t="shared" ref="P53:P68" si="8">N53-($P$26+$P$27*N52+$P$28*P52)</f>
        <v>0.39002611062846171</v>
      </c>
    </row>
    <row r="54" spans="1:16" x14ac:dyDescent="0.3">
      <c r="A54">
        <v>21</v>
      </c>
      <c r="D54" s="3">
        <v>-0.18</v>
      </c>
      <c r="G54" s="3">
        <v>0</v>
      </c>
      <c r="I54" s="20">
        <f t="shared" si="5"/>
        <v>-5.5438404031455755E-3</v>
      </c>
      <c r="N54" s="3">
        <v>33.020000000000003</v>
      </c>
      <c r="P54" s="20">
        <f t="shared" si="8"/>
        <v>-0.78619871026459975</v>
      </c>
    </row>
    <row r="55" spans="1:16" x14ac:dyDescent="0.3">
      <c r="A55">
        <v>22</v>
      </c>
      <c r="D55" s="3">
        <v>-0.2</v>
      </c>
      <c r="G55" s="3">
        <v>-0.02</v>
      </c>
      <c r="I55" s="20">
        <f t="shared" si="5"/>
        <v>-2.1246813880113381E-2</v>
      </c>
      <c r="N55" s="3">
        <v>33.24</v>
      </c>
      <c r="P55" s="20">
        <f t="shared" si="8"/>
        <v>-0.19849484238455517</v>
      </c>
    </row>
    <row r="56" spans="1:16" x14ac:dyDescent="0.3">
      <c r="A56">
        <v>23</v>
      </c>
      <c r="D56" s="3">
        <v>-0.39</v>
      </c>
      <c r="G56" s="3">
        <v>-0.19</v>
      </c>
      <c r="I56" s="20">
        <f t="shared" si="5"/>
        <v>-0.19813451320364325</v>
      </c>
      <c r="N56" s="3">
        <v>33.25</v>
      </c>
      <c r="P56" s="20">
        <f t="shared" si="8"/>
        <v>-0.23964777563102757</v>
      </c>
    </row>
    <row r="57" spans="1:16" x14ac:dyDescent="0.3">
      <c r="A57">
        <v>24</v>
      </c>
      <c r="D57" s="3">
        <v>-0.39</v>
      </c>
      <c r="G57" s="3">
        <v>0</v>
      </c>
      <c r="I57" s="20">
        <f t="shared" si="5"/>
        <v>-7.9490169922132384E-2</v>
      </c>
      <c r="N57" s="3">
        <v>34.01</v>
      </c>
      <c r="P57" s="20">
        <f t="shared" si="8"/>
        <v>0.50519414177742306</v>
      </c>
    </row>
    <row r="58" spans="1:16" x14ac:dyDescent="0.3">
      <c r="A58">
        <v>25</v>
      </c>
      <c r="D58" s="3">
        <v>-0.28999999999999998</v>
      </c>
      <c r="G58" s="3">
        <v>0.1</v>
      </c>
      <c r="I58" s="20">
        <f t="shared" si="5"/>
        <v>8.6942178794233119E-2</v>
      </c>
      <c r="N58" s="3">
        <v>34.24</v>
      </c>
      <c r="P58" s="20">
        <f t="shared" si="8"/>
        <v>0.3154257468749293</v>
      </c>
    </row>
    <row r="59" spans="1:16" x14ac:dyDescent="0.3">
      <c r="A59">
        <v>26</v>
      </c>
      <c r="D59" s="3">
        <v>-0.08</v>
      </c>
      <c r="G59" s="3">
        <v>0.21</v>
      </c>
      <c r="I59" s="20">
        <f t="shared" si="5"/>
        <v>0.25378758901477833</v>
      </c>
      <c r="N59" s="3">
        <v>34.25</v>
      </c>
      <c r="P59" s="20">
        <f t="shared" si="8"/>
        <v>0.11988382291222166</v>
      </c>
    </row>
    <row r="60" spans="1:16" x14ac:dyDescent="0.3">
      <c r="A60">
        <v>27</v>
      </c>
      <c r="D60" s="3">
        <v>0.04</v>
      </c>
      <c r="G60" s="3">
        <v>0.12</v>
      </c>
      <c r="I60" s="20">
        <f t="shared" si="5"/>
        <v>0.21606786540944739</v>
      </c>
      <c r="N60" s="3">
        <v>33.44</v>
      </c>
      <c r="P60" s="20">
        <f t="shared" si="8"/>
        <v>-0.73446773392293352</v>
      </c>
    </row>
    <row r="61" spans="1:16" x14ac:dyDescent="0.3">
      <c r="A61">
        <v>28</v>
      </c>
      <c r="D61" s="3">
        <v>-0.06</v>
      </c>
      <c r="G61" s="3">
        <v>-0.1</v>
      </c>
      <c r="I61" s="20">
        <f t="shared" si="5"/>
        <v>-3.6012896661411498E-2</v>
      </c>
      <c r="N61" s="3">
        <v>33.64</v>
      </c>
      <c r="P61" s="20">
        <f t="shared" si="8"/>
        <v>-9.852426702208561E-2</v>
      </c>
    </row>
    <row r="62" spans="1:16" x14ac:dyDescent="0.3">
      <c r="A62">
        <v>29</v>
      </c>
      <c r="D62" s="3">
        <v>-0.05</v>
      </c>
      <c r="G62" s="3">
        <v>0.01</v>
      </c>
      <c r="I62" s="20">
        <f t="shared" si="5"/>
        <v>-2.6180853686394646E-2</v>
      </c>
      <c r="N62" s="3">
        <v>32.619999999999997</v>
      </c>
      <c r="P62" s="20">
        <f t="shared" si="8"/>
        <v>-1.1458026388384823</v>
      </c>
    </row>
    <row r="63" spans="1:16" x14ac:dyDescent="0.3">
      <c r="A63">
        <v>30</v>
      </c>
      <c r="D63" s="3">
        <v>-0.08</v>
      </c>
      <c r="G63" s="3">
        <v>-0.03</v>
      </c>
      <c r="I63" s="20">
        <f t="shared" si="5"/>
        <v>-3.7149054406189798E-2</v>
      </c>
      <c r="N63" s="3">
        <v>33.25</v>
      </c>
      <c r="P63" s="20">
        <f t="shared" si="8"/>
        <v>3.8565849181551926E-2</v>
      </c>
    </row>
    <row r="64" spans="1:16" x14ac:dyDescent="0.3">
      <c r="A64">
        <v>31</v>
      </c>
      <c r="D64" s="3">
        <v>0.14000000000000001</v>
      </c>
      <c r="G64" s="3">
        <v>0.22</v>
      </c>
      <c r="I64" s="20">
        <f t="shared" si="5"/>
        <v>0.20735566741984057</v>
      </c>
      <c r="N64" s="3">
        <v>33.65</v>
      </c>
      <c r="P64" s="20">
        <f t="shared" si="8"/>
        <v>0.19780166419533884</v>
      </c>
    </row>
    <row r="65" spans="1:16" x14ac:dyDescent="0.3">
      <c r="A65">
        <v>32</v>
      </c>
      <c r="D65" s="3">
        <v>0.01</v>
      </c>
      <c r="G65" s="3">
        <v>-0.13</v>
      </c>
      <c r="I65" s="20">
        <f t="shared" si="5"/>
        <v>-4.0774589629054184E-2</v>
      </c>
      <c r="N65" s="3">
        <v>33.81</v>
      </c>
      <c r="P65" s="20">
        <f t="shared" si="8"/>
        <v>9.2853288181544258E-2</v>
      </c>
    </row>
    <row r="66" spans="1:16" x14ac:dyDescent="0.3">
      <c r="A66">
        <v>33</v>
      </c>
      <c r="D66" s="3">
        <v>0.13</v>
      </c>
      <c r="G66" s="3">
        <v>0.12</v>
      </c>
      <c r="I66" s="20">
        <f t="shared" ref="I66:I97" si="9">G66-($I$26+$I$27*I65+$I$28*I64)</f>
        <v>8.2719721129308726E-2</v>
      </c>
      <c r="N66" s="3">
        <v>34.21</v>
      </c>
      <c r="P66" s="20">
        <f t="shared" si="8"/>
        <v>0.35498522372373031</v>
      </c>
    </row>
    <row r="67" spans="1:16" x14ac:dyDescent="0.3">
      <c r="A67">
        <v>34</v>
      </c>
      <c r="D67" s="3">
        <v>0.1</v>
      </c>
      <c r="G67" s="3">
        <v>-0.03</v>
      </c>
      <c r="I67" s="20">
        <f t="shared" si="9"/>
        <v>8.2107333515561362E-3</v>
      </c>
      <c r="N67" s="3">
        <v>33.619999999999997</v>
      </c>
      <c r="P67" s="20">
        <f t="shared" si="8"/>
        <v>-0.48050648487826209</v>
      </c>
    </row>
    <row r="68" spans="1:16" x14ac:dyDescent="0.3">
      <c r="A68">
        <v>35</v>
      </c>
      <c r="D68" s="3">
        <v>-0.09</v>
      </c>
      <c r="G68" s="3">
        <v>-0.19</v>
      </c>
      <c r="I68" s="20">
        <f t="shared" si="9"/>
        <v>-0.19473853442121108</v>
      </c>
      <c r="N68" s="3">
        <v>34.03</v>
      </c>
      <c r="P68" s="20">
        <f t="shared" si="8"/>
        <v>0.20672111207223054</v>
      </c>
    </row>
    <row r="69" spans="1:16" x14ac:dyDescent="0.3">
      <c r="A69">
        <v>36</v>
      </c>
      <c r="D69" s="3">
        <v>-0.18</v>
      </c>
      <c r="G69" s="3">
        <v>-0.09</v>
      </c>
      <c r="I69" s="20">
        <f t="shared" si="9"/>
        <v>-0.17100937299391611</v>
      </c>
      <c r="N69" s="3">
        <v>34.44</v>
      </c>
      <c r="P69" s="20">
        <f t="shared" ref="P69:P84" si="10">N69-($P$26+$P$27*N68+$P$28*P68)</f>
        <v>0.44423444880655438</v>
      </c>
    </row>
    <row r="70" spans="1:16" x14ac:dyDescent="0.3">
      <c r="A70">
        <v>37</v>
      </c>
      <c r="D70" s="3">
        <v>-0.08</v>
      </c>
      <c r="G70" s="3">
        <v>0.1</v>
      </c>
      <c r="I70" s="20">
        <f t="shared" si="9"/>
        <v>4.8882184000166029E-2</v>
      </c>
      <c r="N70" s="3">
        <v>34.61</v>
      </c>
      <c r="P70" s="20">
        <f t="shared" si="10"/>
        <v>0.3567111413365609</v>
      </c>
    </row>
    <row r="71" spans="1:16" x14ac:dyDescent="0.3">
      <c r="A71">
        <v>38</v>
      </c>
      <c r="D71" s="3">
        <v>0.03</v>
      </c>
      <c r="G71" s="3">
        <v>0.11</v>
      </c>
      <c r="I71" s="20">
        <f t="shared" si="9"/>
        <v>0.14716835737969017</v>
      </c>
      <c r="N71" s="3">
        <v>34.43</v>
      </c>
      <c r="P71" s="20">
        <f t="shared" si="10"/>
        <v>3.4761531406665824E-2</v>
      </c>
    </row>
    <row r="72" spans="1:16" x14ac:dyDescent="0.3">
      <c r="A72">
        <v>39</v>
      </c>
      <c r="D72" s="3">
        <v>0.03</v>
      </c>
      <c r="G72" s="3">
        <v>0</v>
      </c>
      <c r="I72" s="20">
        <f t="shared" si="9"/>
        <v>5.5891702642122107E-2</v>
      </c>
      <c r="N72" s="3">
        <v>34.64</v>
      </c>
      <c r="P72" s="20">
        <f t="shared" si="10"/>
        <v>0.31666020673514339</v>
      </c>
    </row>
    <row r="73" spans="1:16" x14ac:dyDescent="0.3">
      <c r="A73">
        <v>40</v>
      </c>
      <c r="D73" s="3">
        <v>0.01</v>
      </c>
      <c r="G73" s="3">
        <v>-0.02</v>
      </c>
      <c r="I73" s="20">
        <f t="shared" si="9"/>
        <v>-1.1471145906972423E-2</v>
      </c>
      <c r="N73" s="3">
        <v>34.450000000000003</v>
      </c>
      <c r="P73" s="20">
        <f t="shared" si="10"/>
        <v>2.5058909259747963E-2</v>
      </c>
    </row>
    <row r="74" spans="1:16" x14ac:dyDescent="0.3">
      <c r="A74">
        <v>41</v>
      </c>
      <c r="D74" s="3">
        <v>0.13</v>
      </c>
      <c r="G74" s="3">
        <v>0.12</v>
      </c>
      <c r="I74" s="20">
        <f t="shared" si="9"/>
        <v>0.10980718663054614</v>
      </c>
      <c r="N74" s="3">
        <v>34.44</v>
      </c>
      <c r="P74" s="20">
        <f t="shared" si="10"/>
        <v>0.1000726172359947</v>
      </c>
    </row>
    <row r="75" spans="1:16" x14ac:dyDescent="0.3">
      <c r="A75">
        <v>42</v>
      </c>
      <c r="D75" s="3">
        <v>-7.0000000000000007E-2</v>
      </c>
      <c r="G75" s="3">
        <v>-0.2</v>
      </c>
      <c r="I75" s="20">
        <f t="shared" si="9"/>
        <v>-0.15352775852823355</v>
      </c>
      <c r="N75" s="3">
        <v>35.04</v>
      </c>
      <c r="P75" s="20">
        <f t="shared" si="10"/>
        <v>0.72163344687807296</v>
      </c>
    </row>
    <row r="76" spans="1:16" x14ac:dyDescent="0.3">
      <c r="A76">
        <v>43</v>
      </c>
      <c r="D76" s="3">
        <v>0.05</v>
      </c>
      <c r="G76" s="3">
        <v>0.12</v>
      </c>
      <c r="I76" s="20">
        <f t="shared" si="9"/>
        <v>4.5910013534910143E-2</v>
      </c>
      <c r="N76" s="3">
        <v>33.799999999999997</v>
      </c>
      <c r="P76" s="20">
        <f t="shared" si="10"/>
        <v>-0.8434228815531668</v>
      </c>
    </row>
    <row r="77" spans="1:16" x14ac:dyDescent="0.3">
      <c r="A77">
        <v>44</v>
      </c>
      <c r="D77" s="3">
        <v>-0.05</v>
      </c>
      <c r="G77" s="3">
        <v>-0.1</v>
      </c>
      <c r="I77" s="20">
        <f t="shared" si="9"/>
        <v>-6.5789030259434167E-2</v>
      </c>
      <c r="N77" s="3">
        <v>33.83</v>
      </c>
      <c r="P77" s="20">
        <f t="shared" si="10"/>
        <v>-0.19467914255526608</v>
      </c>
    </row>
    <row r="78" spans="1:16" x14ac:dyDescent="0.3">
      <c r="A78">
        <v>45</v>
      </c>
      <c r="D78" s="3">
        <v>0.02</v>
      </c>
      <c r="G78" s="3">
        <v>7.0000000000000007E-2</v>
      </c>
      <c r="I78" s="20">
        <f t="shared" si="9"/>
        <v>3.8406892836923334E-2</v>
      </c>
      <c r="N78" s="3">
        <v>33.840000000000003</v>
      </c>
      <c r="P78" s="20">
        <f t="shared" si="10"/>
        <v>-8.4137312234652484E-2</v>
      </c>
    </row>
    <row r="79" spans="1:16" x14ac:dyDescent="0.3">
      <c r="A79">
        <v>46</v>
      </c>
      <c r="D79" s="3">
        <v>0.14000000000000001</v>
      </c>
      <c r="G79" s="3">
        <v>0.12</v>
      </c>
      <c r="I79" s="20">
        <f t="shared" si="9"/>
        <v>0.14242406425369378</v>
      </c>
      <c r="N79" s="3">
        <v>34</v>
      </c>
      <c r="P79" s="20">
        <f t="shared" si="10"/>
        <v>8.9388626958893269E-2</v>
      </c>
    </row>
    <row r="80" spans="1:16" x14ac:dyDescent="0.3">
      <c r="A80">
        <v>47</v>
      </c>
      <c r="D80" s="3">
        <v>0.1</v>
      </c>
      <c r="G80" s="3">
        <v>-0.04</v>
      </c>
      <c r="I80" s="20">
        <f t="shared" si="9"/>
        <v>1.4974157424234955E-2</v>
      </c>
      <c r="N80" s="3">
        <v>33</v>
      </c>
      <c r="P80" s="20">
        <f t="shared" si="10"/>
        <v>-0.99582262103295704</v>
      </c>
    </row>
    <row r="81" spans="1:16" x14ac:dyDescent="0.3">
      <c r="A81">
        <v>48</v>
      </c>
      <c r="D81" s="3">
        <v>0.31</v>
      </c>
      <c r="G81" s="3">
        <v>0.21</v>
      </c>
      <c r="I81" s="20">
        <f t="shared" si="9"/>
        <v>0.20213309017089223</v>
      </c>
      <c r="N81" s="3">
        <v>33.42</v>
      </c>
      <c r="P81" s="20">
        <f t="shared" si="10"/>
        <v>-4.3379792215425539E-2</v>
      </c>
    </row>
    <row r="82" spans="1:16" x14ac:dyDescent="0.3">
      <c r="A82">
        <v>49</v>
      </c>
      <c r="D82" s="3">
        <v>0.22</v>
      </c>
      <c r="G82" s="3">
        <v>-0.09</v>
      </c>
      <c r="I82" s="20">
        <f t="shared" si="9"/>
        <v>-8.0922715002172407E-3</v>
      </c>
      <c r="N82" s="3">
        <v>33.630000000000003</v>
      </c>
      <c r="P82" s="20">
        <f t="shared" si="10"/>
        <v>3.6906737310445692E-2</v>
      </c>
    </row>
    <row r="83" spans="1:16" x14ac:dyDescent="0.3">
      <c r="A83">
        <v>50</v>
      </c>
      <c r="D83" s="3">
        <v>0.31</v>
      </c>
      <c r="G83" s="3">
        <v>0.09</v>
      </c>
      <c r="I83" s="20">
        <f t="shared" si="9"/>
        <v>6.6708624574377984E-2</v>
      </c>
      <c r="N83" s="3">
        <v>33.409999999999997</v>
      </c>
      <c r="P83" s="20">
        <f t="shared" si="10"/>
        <v>-0.32281747915277492</v>
      </c>
    </row>
    <row r="84" spans="1:16" x14ac:dyDescent="0.3">
      <c r="A84">
        <v>51</v>
      </c>
      <c r="D84" s="3">
        <v>0.12</v>
      </c>
      <c r="G84" s="3">
        <v>-0.19</v>
      </c>
      <c r="I84" s="20">
        <f t="shared" si="9"/>
        <v>-0.16162745853940411</v>
      </c>
      <c r="N84" s="3">
        <v>33.42</v>
      </c>
      <c r="P84" s="20">
        <f t="shared" si="10"/>
        <v>-0.21855578503659245</v>
      </c>
    </row>
    <row r="85" spans="1:16" x14ac:dyDescent="0.3">
      <c r="A85">
        <v>52</v>
      </c>
      <c r="D85" s="3">
        <v>0.13</v>
      </c>
      <c r="G85" s="3">
        <v>0.01</v>
      </c>
      <c r="I85" s="20">
        <f t="shared" si="9"/>
        <v>-6.3157908276657931E-2</v>
      </c>
      <c r="N85" s="3">
        <v>33.229999999999997</v>
      </c>
      <c r="P85" s="20">
        <f t="shared" ref="P85:P100" si="11">N85-($P$26+$P$27*N84+$P$28*P84)</f>
        <v>-0.39621735923813617</v>
      </c>
    </row>
    <row r="86" spans="1:16" x14ac:dyDescent="0.3">
      <c r="A86">
        <v>53</v>
      </c>
      <c r="D86" s="3">
        <v>0.3</v>
      </c>
      <c r="G86" s="3">
        <v>0.17</v>
      </c>
      <c r="I86" s="20">
        <f t="shared" si="9"/>
        <v>0.16005666012519054</v>
      </c>
      <c r="N86" s="3">
        <v>33.04</v>
      </c>
      <c r="P86" s="20">
        <f t="shared" si="11"/>
        <v>-0.47965874471584868</v>
      </c>
    </row>
    <row r="87" spans="1:16" x14ac:dyDescent="0.3">
      <c r="A87">
        <v>54</v>
      </c>
      <c r="D87" s="3">
        <v>0.31</v>
      </c>
      <c r="G87" s="3">
        <v>0.01</v>
      </c>
      <c r="I87" s="20">
        <f t="shared" si="9"/>
        <v>8.2306400331844234E-2</v>
      </c>
      <c r="N87" s="3">
        <v>34.03</v>
      </c>
      <c r="P87" s="20">
        <f t="shared" si="11"/>
        <v>0.63471600190223398</v>
      </c>
    </row>
    <row r="88" spans="1:16" x14ac:dyDescent="0.3">
      <c r="A88">
        <v>55</v>
      </c>
      <c r="D88" s="3">
        <v>0.32</v>
      </c>
      <c r="G88" s="3">
        <v>0.01</v>
      </c>
      <c r="I88" s="20">
        <f t="shared" si="9"/>
        <v>2.8139656862130956E-2</v>
      </c>
      <c r="N88" s="3">
        <v>33.409999999999997</v>
      </c>
      <c r="P88" s="20">
        <f t="shared" si="11"/>
        <v>-0.504835831174681</v>
      </c>
    </row>
    <row r="89" spans="1:16" x14ac:dyDescent="0.3">
      <c r="A89">
        <v>56</v>
      </c>
      <c r="D89" s="3">
        <v>0.35</v>
      </c>
      <c r="G89" s="3">
        <v>0.03</v>
      </c>
      <c r="I89" s="20">
        <f t="shared" si="9"/>
        <v>3.3516964673483252E-2</v>
      </c>
      <c r="N89" s="3">
        <v>33.4</v>
      </c>
      <c r="P89" s="20">
        <f t="shared" si="11"/>
        <v>-0.27297370594509118</v>
      </c>
    </row>
    <row r="90" spans="1:16" x14ac:dyDescent="0.3">
      <c r="A90">
        <v>57</v>
      </c>
      <c r="D90" s="3">
        <v>0.33</v>
      </c>
      <c r="G90" s="3">
        <v>-0.02</v>
      </c>
      <c r="I90" s="20">
        <f t="shared" si="9"/>
        <v>-8.8990777443347241E-3</v>
      </c>
      <c r="N90" s="3">
        <v>33.83</v>
      </c>
      <c r="P90" s="20">
        <f t="shared" si="11"/>
        <v>0.20824565186011768</v>
      </c>
    </row>
    <row r="91" spans="1:16" x14ac:dyDescent="0.3">
      <c r="A91">
        <v>58</v>
      </c>
      <c r="D91" s="3">
        <v>0.41</v>
      </c>
      <c r="G91" s="3">
        <v>0.08</v>
      </c>
      <c r="I91" s="20">
        <f t="shared" si="9"/>
        <v>7.3084523211798924E-2</v>
      </c>
      <c r="N91" s="3">
        <v>34.81</v>
      </c>
      <c r="P91" s="20">
        <f t="shared" si="11"/>
        <v>0.96205189370097344</v>
      </c>
    </row>
    <row r="92" spans="1:16" x14ac:dyDescent="0.3">
      <c r="A92">
        <v>59</v>
      </c>
      <c r="D92" s="3">
        <v>0.34</v>
      </c>
      <c r="G92" s="3">
        <v>-6.9999999999999951E-2</v>
      </c>
      <c r="I92" s="20">
        <f t="shared" si="9"/>
        <v>-3.8919416458952541E-2</v>
      </c>
      <c r="N92" s="3">
        <v>34.22</v>
      </c>
      <c r="P92" s="20">
        <f t="shared" si="11"/>
        <v>-0.20830351959234861</v>
      </c>
    </row>
    <row r="93" spans="1:16" x14ac:dyDescent="0.3">
      <c r="A93">
        <v>60</v>
      </c>
      <c r="D93" s="3">
        <v>0.5</v>
      </c>
      <c r="G93" s="3">
        <v>0.16</v>
      </c>
      <c r="I93" s="20">
        <f t="shared" si="9"/>
        <v>0.13678956391664712</v>
      </c>
      <c r="N93" s="3">
        <v>34.020000000000003</v>
      </c>
      <c r="P93" s="20">
        <f t="shared" si="11"/>
        <v>-0.19439543067588261</v>
      </c>
    </row>
    <row r="94" spans="1:16" x14ac:dyDescent="0.3">
      <c r="A94">
        <v>61</v>
      </c>
      <c r="D94" s="3">
        <v>0.31</v>
      </c>
      <c r="G94" s="3">
        <v>-0.19</v>
      </c>
      <c r="I94" s="20">
        <f t="shared" si="9"/>
        <v>-0.12968594335896594</v>
      </c>
      <c r="N94" s="3">
        <v>33.61</v>
      </c>
      <c r="P94" s="20">
        <f t="shared" si="11"/>
        <v>-0.45423637566501895</v>
      </c>
    </row>
    <row r="95" spans="1:16" x14ac:dyDescent="0.3">
      <c r="A95">
        <v>62</v>
      </c>
      <c r="D95" s="3">
        <v>0.03</v>
      </c>
      <c r="G95" s="3">
        <v>-0.28000000000000003</v>
      </c>
      <c r="I95" s="20">
        <f t="shared" si="9"/>
        <v>-0.3469363109731799</v>
      </c>
      <c r="N95" s="3">
        <v>34.43</v>
      </c>
      <c r="P95" s="20">
        <f t="shared" si="11"/>
        <v>0.61906499568450357</v>
      </c>
    </row>
    <row r="96" spans="1:16" x14ac:dyDescent="0.3">
      <c r="A96">
        <v>63</v>
      </c>
      <c r="D96" s="3">
        <v>0.23</v>
      </c>
      <c r="G96" s="3">
        <v>0.2</v>
      </c>
      <c r="I96" s="20">
        <f t="shared" si="9"/>
        <v>6.992033962150862E-2</v>
      </c>
      <c r="N96" s="3">
        <v>34.450000000000003</v>
      </c>
      <c r="P96" s="20">
        <f t="shared" si="11"/>
        <v>0.23714637583118758</v>
      </c>
    </row>
    <row r="97" spans="1:16" x14ac:dyDescent="0.3">
      <c r="A97">
        <v>64</v>
      </c>
      <c r="D97" s="3">
        <v>-0.09</v>
      </c>
      <c r="G97" s="3">
        <v>-0.32</v>
      </c>
      <c r="I97" s="20">
        <f t="shared" si="9"/>
        <v>-0.25672698510230757</v>
      </c>
      <c r="N97" s="3">
        <v>34.82</v>
      </c>
      <c r="P97" s="20">
        <f t="shared" si="11"/>
        <v>0.52017631869826175</v>
      </c>
    </row>
    <row r="98" spans="1:16" x14ac:dyDescent="0.3">
      <c r="A98">
        <v>65</v>
      </c>
      <c r="D98" s="3">
        <v>0.04</v>
      </c>
      <c r="G98" s="3">
        <v>0.13</v>
      </c>
      <c r="I98" s="20">
        <f t="shared" ref="I98:I133" si="12">G98-($I$26+$I$27*I97+$I$28*I96)</f>
        <v>1.7324575307181359E-2</v>
      </c>
      <c r="N98" s="3">
        <v>34.44</v>
      </c>
      <c r="P98" s="20">
        <f t="shared" si="11"/>
        <v>-7.9234402217544186E-2</v>
      </c>
    </row>
    <row r="99" spans="1:16" x14ac:dyDescent="0.3">
      <c r="A99">
        <v>66</v>
      </c>
      <c r="D99" s="3">
        <v>0.04</v>
      </c>
      <c r="G99" s="3">
        <v>0</v>
      </c>
      <c r="I99" s="20">
        <f t="shared" si="12"/>
        <v>3.2654467661782094E-2</v>
      </c>
      <c r="N99" s="3">
        <v>33.81</v>
      </c>
      <c r="P99" s="20">
        <f t="shared" si="11"/>
        <v>-0.54227178710155499</v>
      </c>
    </row>
    <row r="100" spans="1:16" x14ac:dyDescent="0.3">
      <c r="A100">
        <v>67</v>
      </c>
      <c r="D100" s="3">
        <v>0.01</v>
      </c>
      <c r="G100" s="3">
        <v>-0.03</v>
      </c>
      <c r="I100" s="20">
        <f t="shared" si="12"/>
        <v>-1.8182907330958065E-2</v>
      </c>
      <c r="N100" s="3">
        <v>33.6</v>
      </c>
      <c r="P100" s="20">
        <f t="shared" si="11"/>
        <v>-0.37511082354443914</v>
      </c>
    </row>
    <row r="101" spans="1:16" x14ac:dyDescent="0.3">
      <c r="A101">
        <v>68</v>
      </c>
      <c r="D101" s="3">
        <v>-0.1</v>
      </c>
      <c r="G101" s="3">
        <v>-0.11</v>
      </c>
      <c r="I101" s="20">
        <f t="shared" si="12"/>
        <v>-0.12065673059430826</v>
      </c>
      <c r="N101" s="3">
        <v>34.03</v>
      </c>
      <c r="P101" s="20">
        <f t="shared" ref="P101:P116" si="13">N101-($P$26+$P$27*N100+$P$28*P100)</f>
        <v>0.24140333553351923</v>
      </c>
    </row>
    <row r="102" spans="1:16" x14ac:dyDescent="0.3">
      <c r="A102">
        <v>69</v>
      </c>
      <c r="D102" s="3">
        <v>-0.1</v>
      </c>
      <c r="G102" s="3">
        <v>0</v>
      </c>
      <c r="I102" s="20">
        <f t="shared" si="12"/>
        <v>-4.7858057014880322E-2</v>
      </c>
      <c r="N102" s="3">
        <v>34.83</v>
      </c>
      <c r="P102" s="20">
        <f t="shared" si="13"/>
        <v>0.84079252391690318</v>
      </c>
    </row>
    <row r="103" spans="1:16" x14ac:dyDescent="0.3">
      <c r="A103">
        <v>70</v>
      </c>
      <c r="D103" s="3">
        <v>-0.09</v>
      </c>
      <c r="G103" s="3">
        <v>0.01</v>
      </c>
      <c r="I103" s="20">
        <f t="shared" si="12"/>
        <v>2.3032772242991082E-3</v>
      </c>
      <c r="N103" s="3">
        <v>34.42</v>
      </c>
      <c r="P103" s="20">
        <f t="shared" si="13"/>
        <v>-4.5985417848456223E-2</v>
      </c>
    </row>
    <row r="104" spans="1:16" x14ac:dyDescent="0.3">
      <c r="A104">
        <v>71</v>
      </c>
      <c r="D104" s="3">
        <v>-7.0000000000000007E-2</v>
      </c>
      <c r="G104" s="3">
        <v>0.02</v>
      </c>
      <c r="I104" s="20">
        <f t="shared" si="12"/>
        <v>2.5765632923957699E-2</v>
      </c>
      <c r="N104" s="3">
        <v>34.44</v>
      </c>
      <c r="P104" s="20">
        <f t="shared" si="13"/>
        <v>0.10876819317930142</v>
      </c>
    </row>
    <row r="105" spans="1:16" x14ac:dyDescent="0.3">
      <c r="A105">
        <v>72</v>
      </c>
      <c r="D105" s="3">
        <v>-7.0000000000000007E-2</v>
      </c>
      <c r="G105" s="3">
        <v>0</v>
      </c>
      <c r="I105" s="20">
        <f t="shared" si="12"/>
        <v>1.0466056130208715E-2</v>
      </c>
      <c r="N105" s="3">
        <v>34.22</v>
      </c>
      <c r="P105" s="20">
        <f t="shared" si="13"/>
        <v>-9.672230328806819E-2</v>
      </c>
    </row>
    <row r="106" spans="1:16" x14ac:dyDescent="0.3">
      <c r="A106">
        <v>73</v>
      </c>
      <c r="D106" s="3">
        <v>0.04</v>
      </c>
      <c r="G106" s="3">
        <v>0.11</v>
      </c>
      <c r="I106" s="20">
        <f t="shared" si="12"/>
        <v>0.11183476868431563</v>
      </c>
      <c r="N106" s="3">
        <v>34.25</v>
      </c>
      <c r="P106" s="20">
        <f t="shared" si="13"/>
        <v>5.6703504870860399E-2</v>
      </c>
    </row>
    <row r="107" spans="1:16" x14ac:dyDescent="0.3">
      <c r="A107">
        <v>74</v>
      </c>
      <c r="D107" s="3">
        <v>0.03</v>
      </c>
      <c r="G107" s="3">
        <v>-0.01</v>
      </c>
      <c r="I107" s="20">
        <f t="shared" si="12"/>
        <v>3.5134199996528025E-2</v>
      </c>
      <c r="N107" s="3">
        <v>34.25</v>
      </c>
      <c r="P107" s="20">
        <f t="shared" si="13"/>
        <v>6.3585475189412932E-2</v>
      </c>
    </row>
    <row r="108" spans="1:16" x14ac:dyDescent="0.3">
      <c r="A108">
        <v>75</v>
      </c>
      <c r="D108" s="3">
        <v>0.03</v>
      </c>
      <c r="G108" s="3">
        <v>0</v>
      </c>
      <c r="I108" s="20">
        <f t="shared" si="12"/>
        <v>3.4740431813072466E-3</v>
      </c>
      <c r="N108" s="3">
        <v>34.85</v>
      </c>
      <c r="P108" s="20">
        <f t="shared" si="13"/>
        <v>0.6648867896309909</v>
      </c>
    </row>
    <row r="109" spans="1:16" x14ac:dyDescent="0.3">
      <c r="A109">
        <v>76</v>
      </c>
      <c r="D109" s="3">
        <v>0.03</v>
      </c>
      <c r="G109" s="3">
        <v>0</v>
      </c>
      <c r="I109" s="20">
        <f t="shared" si="12"/>
        <v>-1.9756301676631359E-3</v>
      </c>
      <c r="N109" s="3">
        <v>34.4</v>
      </c>
      <c r="P109" s="20">
        <f t="shared" si="13"/>
        <v>-0.11400041840151687</v>
      </c>
    </row>
    <row r="110" spans="1:16" x14ac:dyDescent="0.3">
      <c r="A110">
        <v>77</v>
      </c>
      <c r="D110" s="3">
        <v>0.04</v>
      </c>
      <c r="G110" s="3">
        <v>0.01</v>
      </c>
      <c r="I110" s="20">
        <f t="shared" si="12"/>
        <v>8.9153167922498885E-3</v>
      </c>
      <c r="N110" s="3">
        <v>33.85</v>
      </c>
      <c r="P110" s="20">
        <f t="shared" si="13"/>
        <v>-0.47933987279568413</v>
      </c>
    </row>
    <row r="111" spans="1:16" x14ac:dyDescent="0.3">
      <c r="A111">
        <v>78</v>
      </c>
      <c r="D111" s="3">
        <v>0.04</v>
      </c>
      <c r="G111" s="3">
        <v>0</v>
      </c>
      <c r="I111" s="20">
        <f t="shared" si="12"/>
        <v>3.9444951510933836E-3</v>
      </c>
      <c r="N111" s="3">
        <v>33.82</v>
      </c>
      <c r="P111" s="20">
        <f t="shared" si="13"/>
        <v>-0.17271683723036091</v>
      </c>
    </row>
    <row r="112" spans="1:16" x14ac:dyDescent="0.3">
      <c r="A112">
        <v>79</v>
      </c>
      <c r="D112" s="3">
        <v>-0.08</v>
      </c>
      <c r="G112" s="3">
        <v>-0.12</v>
      </c>
      <c r="I112" s="20">
        <f t="shared" si="12"/>
        <v>-0.1191836400579355</v>
      </c>
      <c r="N112" s="3">
        <v>34.03</v>
      </c>
      <c r="P112" s="20">
        <f t="shared" si="13"/>
        <v>0.11739200706653463</v>
      </c>
    </row>
    <row r="113" spans="1:16" x14ac:dyDescent="0.3">
      <c r="A113">
        <v>80</v>
      </c>
      <c r="D113" s="3">
        <v>0.03</v>
      </c>
      <c r="G113" s="3">
        <v>0.11</v>
      </c>
      <c r="I113" s="20">
        <f t="shared" si="12"/>
        <v>6.0556497269072009E-2</v>
      </c>
      <c r="N113" s="3">
        <v>33.43</v>
      </c>
      <c r="P113" s="20">
        <f t="shared" si="13"/>
        <v>-0.58265682636850613</v>
      </c>
    </row>
    <row r="114" spans="1:16" x14ac:dyDescent="0.3">
      <c r="A114">
        <v>81</v>
      </c>
      <c r="D114" s="3">
        <v>-0.17</v>
      </c>
      <c r="G114" s="3">
        <v>-0.2</v>
      </c>
      <c r="I114" s="20">
        <f t="shared" si="12"/>
        <v>-0.16315508404927223</v>
      </c>
      <c r="N114" s="3">
        <v>33.82</v>
      </c>
      <c r="P114" s="20">
        <f t="shared" si="13"/>
        <v>0.11755817492839071</v>
      </c>
    </row>
    <row r="115" spans="1:16" x14ac:dyDescent="0.3">
      <c r="A115">
        <v>82</v>
      </c>
      <c r="D115" s="3">
        <v>0.05</v>
      </c>
      <c r="G115" s="3">
        <v>0.22</v>
      </c>
      <c r="I115" s="20">
        <f t="shared" si="12"/>
        <v>0.14682204146339256</v>
      </c>
      <c r="N115" s="3">
        <v>34.619999999999997</v>
      </c>
      <c r="P115" s="20">
        <f t="shared" si="13"/>
        <v>0.76228022190428391</v>
      </c>
    </row>
    <row r="116" spans="1:16" x14ac:dyDescent="0.3">
      <c r="A116">
        <v>83</v>
      </c>
      <c r="D116" s="3">
        <v>-7.0000000000000007E-2</v>
      </c>
      <c r="G116" s="3">
        <v>-0.12</v>
      </c>
      <c r="I116" s="20">
        <f t="shared" si="12"/>
        <v>-4.3239913680953895E-2</v>
      </c>
      <c r="N116" s="3">
        <v>35.6</v>
      </c>
      <c r="P116" s="20">
        <f t="shared" si="13"/>
        <v>1.2740742879846252</v>
      </c>
    </row>
    <row r="117" spans="1:16" x14ac:dyDescent="0.3">
      <c r="A117">
        <v>84</v>
      </c>
      <c r="D117" s="3">
        <v>0</v>
      </c>
      <c r="G117" s="3">
        <v>7.0000000000000007E-2</v>
      </c>
      <c r="I117" s="20">
        <f t="shared" si="12"/>
        <v>3.7701913935527617E-2</v>
      </c>
      <c r="N117" s="3">
        <v>35.630000000000003</v>
      </c>
      <c r="P117" s="20">
        <f t="shared" ref="P117:P132" si="14">N117-($P$26+$P$27*N116+$P$28*P116)</f>
        <v>0.67795669834099925</v>
      </c>
    </row>
    <row r="118" spans="1:16" x14ac:dyDescent="0.3">
      <c r="A118">
        <v>85</v>
      </c>
      <c r="D118" s="3">
        <v>-7.0000000000000007E-2</v>
      </c>
      <c r="G118" s="3">
        <v>-7.0000000000000007E-2</v>
      </c>
      <c r="I118" s="20">
        <f t="shared" si="12"/>
        <v>-5.0100952580627349E-2</v>
      </c>
      <c r="N118" s="3">
        <v>35.229999999999997</v>
      </c>
      <c r="P118" s="20">
        <f t="shared" si="14"/>
        <v>0.14310721632802625</v>
      </c>
    </row>
    <row r="119" spans="1:16" x14ac:dyDescent="0.3">
      <c r="A119">
        <v>86</v>
      </c>
      <c r="D119" s="3">
        <v>0.02</v>
      </c>
      <c r="G119" s="3">
        <v>0.09</v>
      </c>
      <c r="I119" s="20">
        <f t="shared" si="12"/>
        <v>6.5686747136962209E-2</v>
      </c>
      <c r="N119" s="3">
        <v>35</v>
      </c>
      <c r="P119" s="20">
        <f t="shared" si="14"/>
        <v>0.10703065810130141</v>
      </c>
    </row>
    <row r="120" spans="1:16" x14ac:dyDescent="0.3">
      <c r="A120">
        <v>87</v>
      </c>
      <c r="D120" s="3">
        <v>0.03</v>
      </c>
      <c r="G120" s="3">
        <v>0.01</v>
      </c>
      <c r="I120" s="20">
        <f t="shared" si="12"/>
        <v>4.2114043194701474E-2</v>
      </c>
      <c r="N120" s="3">
        <v>34.03</v>
      </c>
      <c r="P120" s="20">
        <f t="shared" si="14"/>
        <v>-0.70013252787703806</v>
      </c>
    </row>
    <row r="121" spans="1:16" x14ac:dyDescent="0.3">
      <c r="A121">
        <v>88</v>
      </c>
      <c r="D121" s="3">
        <v>-0.05</v>
      </c>
      <c r="G121" s="3">
        <v>-0.08</v>
      </c>
      <c r="I121" s="20">
        <f t="shared" si="12"/>
        <v>-6.9076035750786302E-2</v>
      </c>
      <c r="N121" s="3">
        <v>33.82</v>
      </c>
      <c r="P121" s="20">
        <f t="shared" si="14"/>
        <v>-0.34724285833662805</v>
      </c>
    </row>
    <row r="122" spans="1:16" x14ac:dyDescent="0.3">
      <c r="A122">
        <v>89</v>
      </c>
      <c r="D122" s="3">
        <v>-0.06</v>
      </c>
      <c r="G122" s="3">
        <v>-0.01</v>
      </c>
      <c r="I122" s="20">
        <f t="shared" si="12"/>
        <v>-4.2571835328383767E-2</v>
      </c>
      <c r="N122" s="3">
        <v>34.21</v>
      </c>
      <c r="P122" s="20">
        <f t="shared" si="14"/>
        <v>0.26439081392207697</v>
      </c>
    </row>
    <row r="123" spans="1:16" x14ac:dyDescent="0.3">
      <c r="A123">
        <v>90</v>
      </c>
      <c r="D123" s="3">
        <v>0.01</v>
      </c>
      <c r="G123" s="3">
        <v>7.0000000000000007E-2</v>
      </c>
      <c r="I123" s="20">
        <f t="shared" si="12"/>
        <v>5.937099691906729E-2</v>
      </c>
      <c r="N123" s="3">
        <v>34.409999999999997</v>
      </c>
      <c r="P123" s="20">
        <f t="shared" si="14"/>
        <v>0.29236298297116292</v>
      </c>
    </row>
    <row r="124" spans="1:16" x14ac:dyDescent="0.3">
      <c r="A124">
        <v>91</v>
      </c>
      <c r="D124" s="3">
        <v>-0.06</v>
      </c>
      <c r="G124" s="3">
        <v>-7.0000000000000007E-2</v>
      </c>
      <c r="I124" s="20">
        <f t="shared" si="12"/>
        <v>-4.1235331382559748E-2</v>
      </c>
      <c r="N124" s="3">
        <v>34.81</v>
      </c>
      <c r="P124" s="20">
        <f t="shared" si="14"/>
        <v>0.5501230822119183</v>
      </c>
    </row>
    <row r="125" spans="1:16" x14ac:dyDescent="0.3">
      <c r="A125">
        <v>92</v>
      </c>
      <c r="D125" s="3">
        <v>0.03</v>
      </c>
      <c r="G125" s="3">
        <v>0.09</v>
      </c>
      <c r="I125" s="20">
        <f t="shared" si="12"/>
        <v>6.7193858925785957E-2</v>
      </c>
      <c r="N125" s="3">
        <v>35.020000000000003</v>
      </c>
      <c r="P125" s="20">
        <f t="shared" si="14"/>
        <v>0.51380470138497714</v>
      </c>
    </row>
    <row r="126" spans="1:16" x14ac:dyDescent="0.3">
      <c r="A126">
        <v>93</v>
      </c>
      <c r="D126" s="3">
        <v>-7.0000000000000007E-2</v>
      </c>
      <c r="G126" s="3">
        <v>-0.1</v>
      </c>
      <c r="I126" s="20">
        <f t="shared" si="12"/>
        <v>-6.8143246846175759E-2</v>
      </c>
      <c r="N126" s="3">
        <v>35.81</v>
      </c>
      <c r="P126" s="20">
        <f t="shared" si="14"/>
        <v>1.1420316171153928</v>
      </c>
    </row>
    <row r="127" spans="1:16" x14ac:dyDescent="0.3">
      <c r="A127">
        <v>94</v>
      </c>
      <c r="D127" s="3">
        <v>0.11</v>
      </c>
      <c r="G127" s="3">
        <v>0.18</v>
      </c>
      <c r="I127" s="20">
        <f t="shared" si="12"/>
        <v>0.14532745132275898</v>
      </c>
      <c r="N127" s="3">
        <v>34.03</v>
      </c>
      <c r="P127" s="20">
        <f t="shared" si="14"/>
        <v>-1.1019169291271282</v>
      </c>
    </row>
    <row r="128" spans="1:16" x14ac:dyDescent="0.3">
      <c r="A128">
        <v>95</v>
      </c>
      <c r="D128" s="3">
        <v>-0.08</v>
      </c>
      <c r="G128" s="3">
        <v>-0.19</v>
      </c>
      <c r="I128" s="20">
        <f t="shared" si="12"/>
        <v>-0.12327085575506909</v>
      </c>
      <c r="N128" s="3">
        <v>34.03</v>
      </c>
      <c r="P128" s="20">
        <f t="shared" si="14"/>
        <v>-0.21321642688552345</v>
      </c>
    </row>
    <row r="129" spans="1:16" x14ac:dyDescent="0.3">
      <c r="A129">
        <v>96</v>
      </c>
      <c r="D129" s="3">
        <v>0.03</v>
      </c>
      <c r="G129" s="3">
        <v>0.11</v>
      </c>
      <c r="I129" s="20">
        <f t="shared" si="12"/>
        <v>4.4861902950749766E-2</v>
      </c>
      <c r="N129" s="3">
        <v>34.03</v>
      </c>
      <c r="P129" s="20">
        <f t="shared" si="14"/>
        <v>-4.5171703605028313E-2</v>
      </c>
    </row>
    <row r="130" spans="1:16" x14ac:dyDescent="0.3">
      <c r="A130">
        <v>97</v>
      </c>
      <c r="D130" s="3">
        <v>0.02</v>
      </c>
      <c r="G130" s="3">
        <v>-0.01</v>
      </c>
      <c r="I130" s="20">
        <f t="shared" si="12"/>
        <v>2.0780739178938488E-2</v>
      </c>
      <c r="N130" s="3">
        <v>34.409999999999997</v>
      </c>
      <c r="P130" s="20">
        <f t="shared" si="14"/>
        <v>0.36660393841518868</v>
      </c>
    </row>
    <row r="131" spans="1:16" x14ac:dyDescent="0.3">
      <c r="A131">
        <v>98</v>
      </c>
      <c r="D131" s="3">
        <v>-0.06</v>
      </c>
      <c r="G131" s="3">
        <v>-0.08</v>
      </c>
      <c r="I131" s="20">
        <f t="shared" si="12"/>
        <v>-7.5805883456729936E-2</v>
      </c>
      <c r="N131" s="3">
        <v>34.61</v>
      </c>
      <c r="P131" s="20">
        <f t="shared" si="14"/>
        <v>0.36416133332374301</v>
      </c>
    </row>
    <row r="132" spans="1:16" x14ac:dyDescent="0.3">
      <c r="A132">
        <v>99</v>
      </c>
      <c r="D132" s="3">
        <v>0.04</v>
      </c>
      <c r="G132" s="3">
        <v>0.1</v>
      </c>
      <c r="I132" s="20">
        <f t="shared" si="12"/>
        <v>6.6768128679719679E-2</v>
      </c>
      <c r="N132" s="3">
        <v>34.85</v>
      </c>
      <c r="P132" s="20">
        <f t="shared" si="14"/>
        <v>0.45617029110435681</v>
      </c>
    </row>
    <row r="133" spans="1:16" x14ac:dyDescent="0.3">
      <c r="A133">
        <v>100</v>
      </c>
      <c r="D133" s="3">
        <v>-0.05</v>
      </c>
      <c r="G133" s="3">
        <v>-0.09</v>
      </c>
      <c r="I133" s="20">
        <f t="shared" si="12"/>
        <v>-5.4893074832806789E-2</v>
      </c>
      <c r="N133" s="3">
        <v>34.83</v>
      </c>
      <c r="P133" s="20">
        <f>N133-($P$26+$P$27*N132+$P$28*P132)</f>
        <v>0.27653329779363389</v>
      </c>
    </row>
  </sheetData>
  <printOptions headings="1" gridLines="1"/>
  <pageMargins left="0.75" right="0.75" top="1" bottom="1" header="0.5" footer="0.5"/>
  <pageSetup paperSize="9" scale="83" orientation="landscape" horizontalDpi="300" verticalDpi="300" r:id="rId1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51"/>
  <sheetViews>
    <sheetView workbookViewId="0"/>
  </sheetViews>
  <sheetFormatPr defaultRowHeight="13" x14ac:dyDescent="0.3"/>
  <cols>
    <col min="4" max="4" width="10" customWidth="1"/>
    <col min="5" max="5" width="9.796875" customWidth="1"/>
    <col min="7" max="7" width="9.796875" customWidth="1"/>
    <col min="8" max="8" width="11.5" customWidth="1"/>
    <col min="9" max="9" width="9.796875" customWidth="1"/>
  </cols>
  <sheetData>
    <row r="1" spans="1:9" x14ac:dyDescent="0.3">
      <c r="A1" s="1" t="s">
        <v>0</v>
      </c>
    </row>
    <row r="2" spans="1:9" x14ac:dyDescent="0.3">
      <c r="D2" s="1" t="s">
        <v>40</v>
      </c>
      <c r="E2" s="17">
        <v>2.1</v>
      </c>
      <c r="H2" s="1" t="s">
        <v>40</v>
      </c>
      <c r="I2" s="1">
        <v>500</v>
      </c>
    </row>
    <row r="3" spans="1:9" x14ac:dyDescent="0.3">
      <c r="D3" s="1" t="s">
        <v>41</v>
      </c>
      <c r="E3" s="3">
        <f t="array" ref="E3">CubicSplineValuey(E2,B8:B27,C8:C27)</f>
        <v>-0.74</v>
      </c>
      <c r="H3" s="1" t="s">
        <v>42</v>
      </c>
      <c r="I3" s="1">
        <v>1</v>
      </c>
    </row>
    <row r="4" spans="1:9" x14ac:dyDescent="0.3">
      <c r="H4" s="1" t="s">
        <v>43</v>
      </c>
      <c r="I4" s="16">
        <f t="array" ref="I4">CubicBSplineValuei(I2,I3,H9:I18)</f>
        <v>4.0644210740232684E-6</v>
      </c>
    </row>
    <row r="5" spans="1:9" x14ac:dyDescent="0.3">
      <c r="I5" s="14"/>
    </row>
    <row r="6" spans="1:9" x14ac:dyDescent="0.3">
      <c r="B6" s="13" t="s">
        <v>44</v>
      </c>
      <c r="C6" s="13" t="s">
        <v>45</v>
      </c>
      <c r="E6" s="13" t="s">
        <v>46</v>
      </c>
      <c r="H6" s="15" t="s">
        <v>47</v>
      </c>
      <c r="I6" s="15"/>
    </row>
    <row r="7" spans="1:9" x14ac:dyDescent="0.3">
      <c r="H7" s="13" t="s">
        <v>48</v>
      </c>
      <c r="I7" s="13" t="s">
        <v>49</v>
      </c>
    </row>
    <row r="8" spans="1:9" x14ac:dyDescent="0.3">
      <c r="A8">
        <v>1</v>
      </c>
      <c r="B8" s="12">
        <v>0</v>
      </c>
      <c r="C8" s="4">
        <v>1</v>
      </c>
    </row>
    <row r="9" spans="1:9" x14ac:dyDescent="0.3">
      <c r="A9">
        <v>2</v>
      </c>
      <c r="B9" s="12">
        <v>0.8</v>
      </c>
      <c r="C9" s="4">
        <v>0.43</v>
      </c>
      <c r="E9" s="3">
        <f t="array" ref="E9:E26">TRANSPOSE(CubicSplinezvec(B8:B27,C8:C27))</f>
        <v>-1.1788074034384428</v>
      </c>
      <c r="F9" s="3"/>
      <c r="G9" s="3"/>
      <c r="H9">
        <v>-3</v>
      </c>
      <c r="I9">
        <v>-2700</v>
      </c>
    </row>
    <row r="10" spans="1:9" x14ac:dyDescent="0.3">
      <c r="A10">
        <v>3</v>
      </c>
      <c r="B10" s="12">
        <v>1.9</v>
      </c>
      <c r="C10" s="4">
        <v>-0.74</v>
      </c>
      <c r="E10" s="3">
        <v>2.1569545011344573</v>
      </c>
      <c r="F10" s="3"/>
      <c r="H10">
        <v>-2</v>
      </c>
      <c r="I10">
        <v>-1800</v>
      </c>
    </row>
    <row r="11" spans="1:9" x14ac:dyDescent="0.3">
      <c r="A11">
        <v>4</v>
      </c>
      <c r="B11" s="12">
        <v>2.1</v>
      </c>
      <c r="C11" s="4">
        <v>-0.74</v>
      </c>
      <c r="E11" s="3">
        <v>10.352123113254402</v>
      </c>
      <c r="F11" s="3"/>
      <c r="H11">
        <v>-1</v>
      </c>
      <c r="I11">
        <v>-900</v>
      </c>
    </row>
    <row r="12" spans="1:9" x14ac:dyDescent="0.3">
      <c r="A12">
        <v>5</v>
      </c>
      <c r="B12" s="12">
        <v>2.4</v>
      </c>
      <c r="C12" s="4">
        <v>-0.28999999999999998</v>
      </c>
      <c r="E12" s="3">
        <v>-5.9450467116042951</v>
      </c>
      <c r="F12" s="3"/>
      <c r="H12">
        <v>0</v>
      </c>
      <c r="I12">
        <v>0</v>
      </c>
    </row>
    <row r="13" spans="1:9" x14ac:dyDescent="0.3">
      <c r="A13">
        <v>6</v>
      </c>
      <c r="B13" s="12">
        <v>2.6</v>
      </c>
      <c r="C13" s="4">
        <v>-0.13</v>
      </c>
      <c r="E13" s="3">
        <v>-6.8029511118601631</v>
      </c>
      <c r="F13" s="3"/>
      <c r="H13">
        <v>1</v>
      </c>
      <c r="I13">
        <v>900</v>
      </c>
    </row>
    <row r="14" spans="1:9" x14ac:dyDescent="0.3">
      <c r="A14">
        <v>7</v>
      </c>
      <c r="B14" s="12">
        <v>2.9</v>
      </c>
      <c r="C14" s="4">
        <v>-0.35</v>
      </c>
      <c r="E14" s="3">
        <v>-4.0267984860632495</v>
      </c>
      <c r="F14" s="3"/>
      <c r="H14">
        <v>2</v>
      </c>
      <c r="I14">
        <v>1800</v>
      </c>
    </row>
    <row r="15" spans="1:9" x14ac:dyDescent="0.3">
      <c r="A15">
        <v>8</v>
      </c>
      <c r="B15" s="12">
        <v>3.3</v>
      </c>
      <c r="C15" s="4">
        <v>-1.29</v>
      </c>
      <c r="E15" s="3">
        <v>-5.0539919648835099</v>
      </c>
      <c r="F15" s="3"/>
      <c r="H15">
        <v>3</v>
      </c>
      <c r="I15">
        <v>2700</v>
      </c>
    </row>
    <row r="16" spans="1:9" x14ac:dyDescent="0.3">
      <c r="A16">
        <v>9</v>
      </c>
      <c r="B16" s="12">
        <v>3.5</v>
      </c>
      <c r="C16" s="4">
        <v>-1.88</v>
      </c>
      <c r="E16" s="3">
        <v>20.377548761427661</v>
      </c>
      <c r="F16" s="3"/>
      <c r="H16">
        <v>4</v>
      </c>
      <c r="I16">
        <v>3600</v>
      </c>
    </row>
    <row r="17" spans="1:23" x14ac:dyDescent="0.3">
      <c r="A17">
        <v>10</v>
      </c>
      <c r="B17" s="12">
        <v>3.8</v>
      </c>
      <c r="C17" s="4">
        <v>-1.8</v>
      </c>
      <c r="E17" s="3">
        <v>-0.2225012281699279</v>
      </c>
      <c r="F17" s="3"/>
      <c r="H17">
        <v>5</v>
      </c>
      <c r="I17">
        <v>4500</v>
      </c>
    </row>
    <row r="18" spans="1:23" x14ac:dyDescent="0.3">
      <c r="A18">
        <v>11</v>
      </c>
      <c r="B18" s="12">
        <v>4.5</v>
      </c>
      <c r="C18" s="4">
        <v>-0.93</v>
      </c>
      <c r="E18" s="3">
        <v>0.26982955007773829</v>
      </c>
      <c r="F18" s="3"/>
      <c r="H18">
        <v>6</v>
      </c>
      <c r="I18">
        <v>5400</v>
      </c>
    </row>
    <row r="19" spans="1:23" x14ac:dyDescent="0.3">
      <c r="A19">
        <v>12</v>
      </c>
      <c r="B19" s="12">
        <v>5.9</v>
      </c>
      <c r="C19" s="4">
        <v>1.03</v>
      </c>
      <c r="E19" s="3">
        <v>-2.4768648393149215E-2</v>
      </c>
      <c r="F19" s="3"/>
    </row>
    <row r="20" spans="1:23" x14ac:dyDescent="0.3">
      <c r="A20">
        <v>13</v>
      </c>
      <c r="B20" s="12">
        <v>6.5</v>
      </c>
      <c r="C20" s="4">
        <v>1.59</v>
      </c>
      <c r="E20" s="3">
        <v>-5.1311446275603885</v>
      </c>
      <c r="F20" s="3"/>
    </row>
    <row r="21" spans="1:23" x14ac:dyDescent="0.3">
      <c r="A21">
        <v>14</v>
      </c>
      <c r="B21" s="12">
        <v>7.1</v>
      </c>
      <c r="C21" s="4">
        <v>1.1499999999999999</v>
      </c>
      <c r="E21" s="3">
        <v>3.88268049196801</v>
      </c>
      <c r="F21" s="3"/>
    </row>
    <row r="22" spans="1:23" x14ac:dyDescent="0.3">
      <c r="A22">
        <v>15</v>
      </c>
      <c r="B22" s="12">
        <v>7.3</v>
      </c>
      <c r="C22" s="4">
        <v>1.1499999999999999</v>
      </c>
      <c r="E22" s="3">
        <v>6.3319899469370924</v>
      </c>
      <c r="F22" s="3"/>
    </row>
    <row r="23" spans="1:23" x14ac:dyDescent="0.3">
      <c r="A23">
        <v>16</v>
      </c>
      <c r="B23" s="12">
        <v>7.5</v>
      </c>
      <c r="C23" s="4">
        <v>1.3</v>
      </c>
      <c r="E23" s="3">
        <v>-6.7106402797163973</v>
      </c>
      <c r="F23" s="3"/>
    </row>
    <row r="24" spans="1:23" x14ac:dyDescent="0.3">
      <c r="A24">
        <v>17</v>
      </c>
      <c r="B24" s="12">
        <v>8</v>
      </c>
      <c r="C24" s="4">
        <v>0.99</v>
      </c>
      <c r="E24" s="3">
        <v>-0.18300319556891886</v>
      </c>
      <c r="F24" s="3"/>
    </row>
    <row r="25" spans="1:23" x14ac:dyDescent="0.3">
      <c r="A25">
        <v>18</v>
      </c>
      <c r="B25" s="12">
        <v>8.6</v>
      </c>
      <c r="C25" s="4">
        <v>0.08</v>
      </c>
      <c r="E25" s="3">
        <v>-2.7034547164836433</v>
      </c>
      <c r="F25" s="3"/>
    </row>
    <row r="26" spans="1:23" x14ac:dyDescent="0.3">
      <c r="A26">
        <v>19</v>
      </c>
      <c r="B26" s="12">
        <v>9.5</v>
      </c>
      <c r="C26" s="4">
        <v>-1.25</v>
      </c>
      <c r="E26" s="3">
        <v>9.392777111250691</v>
      </c>
      <c r="F26" s="3"/>
    </row>
    <row r="27" spans="1:23" x14ac:dyDescent="0.3">
      <c r="A27">
        <v>20</v>
      </c>
      <c r="B27" s="12">
        <v>10</v>
      </c>
      <c r="C27" s="4">
        <v>0</v>
      </c>
    </row>
    <row r="29" spans="1:23" x14ac:dyDescent="0.3">
      <c r="E29" s="1" t="s">
        <v>50</v>
      </c>
      <c r="F29" s="3">
        <f t="array" ref="F29:W29">CubicSplinevvec(B8:B27,C8:C27)</f>
        <v>-2.1068181818181824</v>
      </c>
      <c r="G29" s="3">
        <v>6.3818181818181827</v>
      </c>
      <c r="H29" s="3">
        <v>9.0000000000000053</v>
      </c>
      <c r="I29" s="3">
        <v>-4.2000000000000099</v>
      </c>
      <c r="J29" s="3">
        <v>-9.1999999999999957</v>
      </c>
      <c r="K29" s="3">
        <v>-9.6999999999999993</v>
      </c>
      <c r="L29" s="3">
        <v>-3.5999999999999766</v>
      </c>
      <c r="M29" s="3">
        <v>19.299999999999976</v>
      </c>
      <c r="N29" s="3">
        <v>5.8571428571428559</v>
      </c>
      <c r="O29" s="3">
        <v>0.9428571428571435</v>
      </c>
      <c r="P29" s="3">
        <v>-2.799999999999994</v>
      </c>
      <c r="Q29" s="3">
        <v>-10.000000000000009</v>
      </c>
      <c r="R29" s="3">
        <v>4.4000000000000039</v>
      </c>
      <c r="S29" s="3">
        <v>4.5</v>
      </c>
      <c r="T29" s="3">
        <v>-8.2200000000000006</v>
      </c>
      <c r="U29" s="3">
        <v>-5.3800000000000061</v>
      </c>
      <c r="V29" s="3">
        <v>0.23333333333334316</v>
      </c>
      <c r="W29" s="3">
        <v>23.86666666666666</v>
      </c>
    </row>
    <row r="31" spans="1:23" x14ac:dyDescent="0.3">
      <c r="B31" s="17">
        <v>0</v>
      </c>
      <c r="C31" s="3">
        <f t="shared" ref="C31:C32" si="0">CubicSplineValuey(B31,$B$8:$B$27,$C$8:$C$27)</f>
        <v>1</v>
      </c>
      <c r="E31" s="1" t="s">
        <v>51</v>
      </c>
      <c r="F31" s="3">
        <f t="array" ref="F31:W48">CubicSplineTmat(B8:B27)</f>
        <v>3.8</v>
      </c>
      <c r="G31" s="3">
        <v>1.0999999999999999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</row>
    <row r="32" spans="1:23" x14ac:dyDescent="0.3">
      <c r="B32" s="17">
        <v>0.1</v>
      </c>
      <c r="C32" s="3">
        <f t="shared" si="0"/>
        <v>0.94422184717012958</v>
      </c>
      <c r="F32" s="3">
        <v>1.0999999999999999</v>
      </c>
      <c r="G32" s="3">
        <v>2.6</v>
      </c>
      <c r="H32" s="3">
        <v>0.20000000000000018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</row>
    <row r="33" spans="2:23" x14ac:dyDescent="0.3">
      <c r="B33" s="17">
        <v>0.2</v>
      </c>
      <c r="C33" s="3">
        <f t="shared" ref="C33:C48" si="1">CubicSplineValuey(B33,$B$8:$B$27,$C$8:$C$27)</f>
        <v>0.88697018508596104</v>
      </c>
      <c r="F33" s="3">
        <v>0</v>
      </c>
      <c r="G33" s="3">
        <v>0.20000000000000018</v>
      </c>
      <c r="H33" s="3">
        <v>1</v>
      </c>
      <c r="I33" s="3">
        <v>0.29999999999999982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</row>
    <row r="34" spans="2:23" x14ac:dyDescent="0.3">
      <c r="B34" s="17">
        <v>0.3</v>
      </c>
      <c r="C34" s="3">
        <f t="shared" si="1"/>
        <v>0.82677150449319647</v>
      </c>
      <c r="F34" s="3">
        <v>0</v>
      </c>
      <c r="G34" s="3">
        <v>0</v>
      </c>
      <c r="H34" s="3">
        <v>0.29999999999999982</v>
      </c>
      <c r="I34" s="3">
        <v>1</v>
      </c>
      <c r="J34" s="3">
        <v>0.20000000000000018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</row>
    <row r="35" spans="2:23" x14ac:dyDescent="0.3">
      <c r="B35" s="17">
        <v>0.4</v>
      </c>
      <c r="C35" s="3">
        <f t="shared" si="1"/>
        <v>0.76215229613753777</v>
      </c>
      <c r="F35" s="3">
        <v>0</v>
      </c>
      <c r="G35" s="3">
        <v>0</v>
      </c>
      <c r="H35" s="3">
        <v>0</v>
      </c>
      <c r="I35" s="3">
        <v>0.20000000000000018</v>
      </c>
      <c r="J35" s="3">
        <v>1</v>
      </c>
      <c r="K35" s="3">
        <v>0.29999999999999982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</row>
    <row r="36" spans="2:23" x14ac:dyDescent="0.3">
      <c r="B36" s="17">
        <v>0.5</v>
      </c>
      <c r="C36" s="3">
        <f t="shared" si="1"/>
        <v>0.69163905076468679</v>
      </c>
      <c r="F36" s="3">
        <v>0</v>
      </c>
      <c r="G36" s="3">
        <v>0</v>
      </c>
      <c r="H36" s="3">
        <v>0</v>
      </c>
      <c r="I36" s="3">
        <v>0</v>
      </c>
      <c r="J36" s="3">
        <v>0.29999999999999982</v>
      </c>
      <c r="K36" s="3">
        <v>1.3999999999999995</v>
      </c>
      <c r="L36" s="3">
        <v>0.39999999999999991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</row>
    <row r="37" spans="2:23" x14ac:dyDescent="0.3">
      <c r="B37" s="17">
        <v>0.6</v>
      </c>
      <c r="C37" s="3">
        <f t="shared" si="1"/>
        <v>0.61375825912034543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0.39999999999999991</v>
      </c>
      <c r="L37" s="3">
        <v>1.2000000000000002</v>
      </c>
      <c r="M37" s="3">
        <v>0.20000000000000018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</row>
    <row r="38" spans="2:23" x14ac:dyDescent="0.3">
      <c r="B38" s="17">
        <v>0.7</v>
      </c>
      <c r="C38" s="3">
        <f t="shared" si="1"/>
        <v>0.527036411950216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0.20000000000000018</v>
      </c>
      <c r="M38" s="3">
        <v>1</v>
      </c>
      <c r="N38" s="3">
        <v>0.29999999999999982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</row>
    <row r="39" spans="2:23" x14ac:dyDescent="0.3">
      <c r="B39" s="17">
        <v>0.8</v>
      </c>
      <c r="C39" s="3">
        <f t="shared" si="1"/>
        <v>0.43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0.29999999999999982</v>
      </c>
      <c r="N39" s="3">
        <v>2</v>
      </c>
      <c r="O39" s="3">
        <v>0.70000000000000018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</row>
    <row r="40" spans="2:23" x14ac:dyDescent="0.3">
      <c r="B40" s="17">
        <v>0.9</v>
      </c>
      <c r="C40" s="3">
        <f t="shared" si="1"/>
        <v>0.32192651736150579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0.70000000000000018</v>
      </c>
      <c r="O40" s="3">
        <v>4.2000000000000011</v>
      </c>
      <c r="P40" s="3">
        <v>1.4000000000000004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</row>
    <row r="41" spans="2:23" x14ac:dyDescent="0.3">
      <c r="B41" s="17">
        <v>1</v>
      </c>
      <c r="C41" s="3">
        <f t="shared" si="1"/>
        <v>0.20509747151096616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1.4000000000000004</v>
      </c>
      <c r="P41" s="3">
        <v>4</v>
      </c>
      <c r="Q41" s="3">
        <v>0.59999999999999964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</row>
    <row r="42" spans="2:23" x14ac:dyDescent="0.3">
      <c r="B42" s="17">
        <v>1.1000000000000001</v>
      </c>
      <c r="C42" s="3">
        <f t="shared" si="1"/>
        <v>8.2545373270719924E-2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0.59999999999999964</v>
      </c>
      <c r="Q42" s="3">
        <v>2.3999999999999986</v>
      </c>
      <c r="R42" s="3">
        <v>0.59999999999999964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</row>
    <row r="43" spans="2:23" x14ac:dyDescent="0.3">
      <c r="B43" s="17">
        <v>1.2</v>
      </c>
      <c r="C43" s="3">
        <f t="shared" si="1"/>
        <v>-4.269726653689343E-2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0.59999999999999964</v>
      </c>
      <c r="R43" s="3">
        <v>1.5999999999999996</v>
      </c>
      <c r="S43" s="3">
        <v>0.20000000000000018</v>
      </c>
      <c r="T43" s="3">
        <v>0</v>
      </c>
      <c r="U43" s="3">
        <v>0</v>
      </c>
      <c r="V43" s="3">
        <v>0</v>
      </c>
      <c r="W43" s="3">
        <v>0</v>
      </c>
    </row>
    <row r="44" spans="2:23" x14ac:dyDescent="0.3">
      <c r="B44" s="17">
        <v>1.3</v>
      </c>
      <c r="C44" s="3">
        <f t="shared" si="1"/>
        <v>-0.16759793708953546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0.20000000000000018</v>
      </c>
      <c r="S44" s="3">
        <v>0.80000000000000071</v>
      </c>
      <c r="T44" s="3">
        <v>0.20000000000000018</v>
      </c>
      <c r="U44" s="3">
        <v>0</v>
      </c>
      <c r="V44" s="3">
        <v>0</v>
      </c>
      <c r="W44" s="3">
        <v>0</v>
      </c>
    </row>
    <row r="45" spans="2:23" x14ac:dyDescent="0.3">
      <c r="B45" s="17">
        <v>1.4</v>
      </c>
      <c r="C45" s="3">
        <f t="shared" si="1"/>
        <v>-0.28912412756486677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0.20000000000000018</v>
      </c>
      <c r="T45" s="3">
        <v>1.4000000000000004</v>
      </c>
      <c r="U45" s="3">
        <v>0.5</v>
      </c>
      <c r="V45" s="3">
        <v>0</v>
      </c>
      <c r="W45" s="3">
        <v>0</v>
      </c>
    </row>
    <row r="46" spans="2:23" x14ac:dyDescent="0.3">
      <c r="B46" s="17">
        <v>1.5</v>
      </c>
      <c r="C46" s="3">
        <f t="shared" si="1"/>
        <v>-0.40424332714054861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0.5</v>
      </c>
      <c r="U46" s="3">
        <v>2.1999999999999993</v>
      </c>
      <c r="V46" s="3">
        <v>0.59999999999999964</v>
      </c>
      <c r="W46" s="3">
        <v>0</v>
      </c>
    </row>
    <row r="47" spans="2:23" x14ac:dyDescent="0.3">
      <c r="B47" s="17">
        <v>1.6</v>
      </c>
      <c r="C47" s="3">
        <f t="shared" si="1"/>
        <v>-0.50992302499424214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0.59999999999999964</v>
      </c>
      <c r="V47" s="3">
        <v>3</v>
      </c>
      <c r="W47" s="3">
        <v>0.90000000000000036</v>
      </c>
    </row>
    <row r="48" spans="2:23" x14ac:dyDescent="0.3">
      <c r="B48" s="17">
        <v>1.7</v>
      </c>
      <c r="C48" s="3">
        <f t="shared" si="1"/>
        <v>-0.60313071030360765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0.90000000000000036</v>
      </c>
      <c r="W48" s="3">
        <v>2.8000000000000007</v>
      </c>
    </row>
    <row r="49" spans="2:23" x14ac:dyDescent="0.3">
      <c r="B49" s="17">
        <v>1.8</v>
      </c>
      <c r="C49" s="3">
        <f t="shared" ref="C49:C64" si="2">CubicSplineValuey(B49,$B$8:$B$27,$C$8:$C$27)</f>
        <v>-0.68083387224630676</v>
      </c>
    </row>
    <row r="50" spans="2:23" x14ac:dyDescent="0.3">
      <c r="B50" s="17">
        <v>1.9</v>
      </c>
      <c r="C50" s="3">
        <f t="shared" si="2"/>
        <v>-0.74</v>
      </c>
    </row>
    <row r="51" spans="2:23" x14ac:dyDescent="0.3">
      <c r="B51" s="17">
        <v>2</v>
      </c>
      <c r="C51" s="3">
        <f t="shared" si="2"/>
        <v>-0.77127269403597221</v>
      </c>
      <c r="E51" s="1" t="s">
        <v>52</v>
      </c>
      <c r="F51" s="3">
        <f t="array" ref="F51:W51">MMULT(F29:W29,MINVERSE(F31:W48))</f>
        <v>-1.1788074034384428</v>
      </c>
      <c r="G51" s="3">
        <v>2.1569545011344573</v>
      </c>
      <c r="H51" s="3">
        <v>10.352123113254402</v>
      </c>
      <c r="I51" s="3">
        <v>-5.9450467116042951</v>
      </c>
      <c r="J51" s="3">
        <v>-6.8029511118601631</v>
      </c>
      <c r="K51" s="3">
        <v>-4.0267984860632495</v>
      </c>
      <c r="L51" s="3">
        <v>-5.0539919648835099</v>
      </c>
      <c r="M51" s="3">
        <v>20.377548761427661</v>
      </c>
      <c r="N51" s="3">
        <v>-0.2225012281699279</v>
      </c>
      <c r="O51" s="3">
        <v>0.26982955007773829</v>
      </c>
      <c r="P51" s="3">
        <v>-2.4768648393149215E-2</v>
      </c>
      <c r="Q51" s="3">
        <v>-5.1311446275603885</v>
      </c>
      <c r="R51" s="3">
        <v>3.88268049196801</v>
      </c>
      <c r="S51" s="3">
        <v>6.3319899469370924</v>
      </c>
      <c r="T51" s="3">
        <v>-6.7106402797163973</v>
      </c>
      <c r="U51" s="3">
        <v>-0.18300319556891886</v>
      </c>
      <c r="V51" s="3">
        <v>-2.7034547164836433</v>
      </c>
      <c r="W51" s="3">
        <v>9.392777111250691</v>
      </c>
    </row>
    <row r="52" spans="2:23" x14ac:dyDescent="0.3">
      <c r="B52" s="17">
        <v>2.1</v>
      </c>
      <c r="C52" s="3">
        <f t="shared" si="2"/>
        <v>-0.74</v>
      </c>
    </row>
    <row r="53" spans="2:23" x14ac:dyDescent="0.3">
      <c r="B53" s="17">
        <v>2.2000000000000002</v>
      </c>
      <c r="C53" s="3">
        <f t="shared" si="2"/>
        <v>-0.62108936524428282</v>
      </c>
    </row>
    <row r="54" spans="2:23" x14ac:dyDescent="0.3">
      <c r="B54" s="17">
        <v>2.2999999999999998</v>
      </c>
      <c r="C54" s="3">
        <f t="shared" si="2"/>
        <v>-0.45298139877221816</v>
      </c>
    </row>
    <row r="55" spans="2:23" x14ac:dyDescent="0.3">
      <c r="B55" s="17">
        <v>2.4</v>
      </c>
      <c r="C55" s="3">
        <f t="shared" si="2"/>
        <v>-0.28999999999999998</v>
      </c>
    </row>
    <row r="56" spans="2:23" x14ac:dyDescent="0.3">
      <c r="B56" s="17">
        <v>2.5</v>
      </c>
      <c r="C56" s="3">
        <f t="shared" si="2"/>
        <v>-0.17813000544133878</v>
      </c>
    </row>
    <row r="57" spans="2:23" x14ac:dyDescent="0.3">
      <c r="B57" s="17">
        <v>2.6</v>
      </c>
      <c r="C57" s="3">
        <f t="shared" si="2"/>
        <v>-0.13</v>
      </c>
    </row>
    <row r="58" spans="2:23" x14ac:dyDescent="0.3">
      <c r="B58" s="17">
        <v>2.7</v>
      </c>
      <c r="C58" s="3">
        <f t="shared" si="2"/>
        <v>-0.14764227832938479</v>
      </c>
    </row>
    <row r="59" spans="2:23" x14ac:dyDescent="0.3">
      <c r="B59" s="17">
        <v>2.8</v>
      </c>
      <c r="C59" s="3">
        <f t="shared" si="2"/>
        <v>-0.22406022569138112</v>
      </c>
    </row>
    <row r="60" spans="2:23" x14ac:dyDescent="0.3">
      <c r="B60" s="17">
        <v>2.9</v>
      </c>
      <c r="C60" s="3">
        <f t="shared" si="2"/>
        <v>-0.35</v>
      </c>
    </row>
    <row r="61" spans="2:23" x14ac:dyDescent="0.3">
      <c r="B61" s="17">
        <v>3</v>
      </c>
      <c r="C61" s="3">
        <f t="shared" si="2"/>
        <v>-0.51817806346642481</v>
      </c>
    </row>
    <row r="62" spans="2:23" x14ac:dyDescent="0.3">
      <c r="B62" s="17">
        <v>3.1</v>
      </c>
      <c r="C62" s="3">
        <f t="shared" si="2"/>
        <v>-0.72919209549053288</v>
      </c>
    </row>
    <row r="63" spans="2:23" x14ac:dyDescent="0.3">
      <c r="B63" s="17">
        <v>3.2</v>
      </c>
      <c r="C63" s="3">
        <f t="shared" si="2"/>
        <v>-0.98561007976937487</v>
      </c>
    </row>
    <row r="64" spans="2:23" x14ac:dyDescent="0.3">
      <c r="B64" s="17">
        <v>3.3</v>
      </c>
      <c r="C64" s="3">
        <f t="shared" si="2"/>
        <v>-1.29</v>
      </c>
    </row>
    <row r="65" spans="2:3" x14ac:dyDescent="0.3">
      <c r="B65" s="17">
        <v>3.4</v>
      </c>
      <c r="C65" s="3">
        <f t="shared" ref="C65:C80" si="3">CubicSplineValuey(B65,$B$8:$B$27,$C$8:$C$27)</f>
        <v>-1.6233088919913605</v>
      </c>
    </row>
    <row r="66" spans="2:3" x14ac:dyDescent="0.3">
      <c r="B66" s="17">
        <v>3.5</v>
      </c>
      <c r="C66" s="3">
        <f t="shared" si="3"/>
        <v>-1.88</v>
      </c>
    </row>
    <row r="67" spans="2:3" x14ac:dyDescent="0.3">
      <c r="B67" s="17">
        <v>3.6</v>
      </c>
      <c r="C67" s="3">
        <f t="shared" si="3"/>
        <v>-1.9655530432160651</v>
      </c>
    </row>
    <row r="68" spans="2:3" x14ac:dyDescent="0.3">
      <c r="B68" s="17">
        <v>3.7</v>
      </c>
      <c r="C68" s="3">
        <f t="shared" si="3"/>
        <v>-1.9159974321165119</v>
      </c>
    </row>
    <row r="69" spans="2:3" x14ac:dyDescent="0.3">
      <c r="B69" s="17">
        <v>3.8</v>
      </c>
      <c r="C69" s="3">
        <f t="shared" si="3"/>
        <v>-1.8</v>
      </c>
    </row>
    <row r="70" spans="2:3" x14ac:dyDescent="0.3">
      <c r="B70" s="17">
        <v>3.9</v>
      </c>
      <c r="C70" s="3">
        <f t="shared" si="3"/>
        <v>-1.6746658863348753</v>
      </c>
    </row>
    <row r="71" spans="2:3" x14ac:dyDescent="0.3">
      <c r="B71" s="17">
        <v>4</v>
      </c>
      <c r="C71" s="3">
        <f t="shared" si="3"/>
        <v>-1.5508534552682391</v>
      </c>
    </row>
    <row r="72" spans="2:3" x14ac:dyDescent="0.3">
      <c r="B72" s="17">
        <v>4.0999999999999996</v>
      </c>
      <c r="C72" s="3">
        <f t="shared" si="3"/>
        <v>-1.4278593771168808</v>
      </c>
    </row>
    <row r="73" spans="2:3" x14ac:dyDescent="0.3">
      <c r="B73" s="17">
        <v>4.2</v>
      </c>
      <c r="C73" s="3">
        <f t="shared" si="3"/>
        <v>-1.3049803221975877</v>
      </c>
    </row>
    <row r="74" spans="2:3" x14ac:dyDescent="0.3">
      <c r="B74" s="17">
        <v>4.3</v>
      </c>
      <c r="C74" s="3">
        <f t="shared" si="3"/>
        <v>-1.1815129608271513</v>
      </c>
    </row>
    <row r="75" spans="2:3" x14ac:dyDescent="0.3">
      <c r="B75" s="17">
        <v>4.4000000000000004</v>
      </c>
      <c r="C75" s="3">
        <f t="shared" si="3"/>
        <v>-1.0567539633223584</v>
      </c>
    </row>
    <row r="76" spans="2:3" x14ac:dyDescent="0.3">
      <c r="B76" s="17">
        <v>4.5</v>
      </c>
      <c r="C76" s="3">
        <f t="shared" si="3"/>
        <v>-0.93</v>
      </c>
    </row>
    <row r="77" spans="2:3" x14ac:dyDescent="0.3">
      <c r="B77" s="17">
        <v>4.5999999999999996</v>
      </c>
      <c r="C77" s="3">
        <f t="shared" si="3"/>
        <v>-0.80070003400483647</v>
      </c>
    </row>
    <row r="78" spans="2:3" x14ac:dyDescent="0.3">
      <c r="B78" s="17">
        <v>4.7</v>
      </c>
      <c r="C78" s="3">
        <f t="shared" si="3"/>
        <v>-0.66891219979351657</v>
      </c>
    </row>
    <row r="79" spans="2:3" x14ac:dyDescent="0.3">
      <c r="B79" s="17">
        <v>4.8</v>
      </c>
      <c r="C79" s="3">
        <f t="shared" si="3"/>
        <v>-0.53484692465066441</v>
      </c>
    </row>
    <row r="80" spans="2:3" x14ac:dyDescent="0.3">
      <c r="B80" s="17">
        <v>4.9000000000000004</v>
      </c>
      <c r="C80" s="3">
        <f t="shared" si="3"/>
        <v>-0.39871463586089995</v>
      </c>
    </row>
    <row r="81" spans="2:3" x14ac:dyDescent="0.3">
      <c r="B81" s="17">
        <v>5</v>
      </c>
      <c r="C81" s="3">
        <f t="shared" ref="C81:C96" si="4">CubicSplineValuey(B81,$B$8:$B$27,$C$8:$C$27)</f>
        <v>-0.26072576070884745</v>
      </c>
    </row>
    <row r="82" spans="2:3" x14ac:dyDescent="0.3">
      <c r="B82" s="17">
        <v>5.0999999999999996</v>
      </c>
      <c r="C82" s="3">
        <f t="shared" si="4"/>
        <v>-0.121090726479128</v>
      </c>
    </row>
    <row r="83" spans="2:3" x14ac:dyDescent="0.3">
      <c r="B83" s="17">
        <v>5.2</v>
      </c>
      <c r="C83" s="3">
        <f t="shared" si="4"/>
        <v>1.9980039543637806E-2</v>
      </c>
    </row>
    <row r="84" spans="2:3" x14ac:dyDescent="0.3">
      <c r="B84" s="17">
        <v>5.3</v>
      </c>
      <c r="C84" s="3">
        <f t="shared" si="4"/>
        <v>0.16227611007482523</v>
      </c>
    </row>
    <row r="85" spans="2:3" x14ac:dyDescent="0.3">
      <c r="B85" s="17">
        <v>5.4</v>
      </c>
      <c r="C85" s="3">
        <f t="shared" si="4"/>
        <v>0.30558705782981488</v>
      </c>
    </row>
    <row r="86" spans="2:3" x14ac:dyDescent="0.3">
      <c r="B86" s="17">
        <v>5.5</v>
      </c>
      <c r="C86" s="3">
        <f t="shared" si="4"/>
        <v>0.4497024555239818</v>
      </c>
    </row>
    <row r="87" spans="2:3" x14ac:dyDescent="0.3">
      <c r="B87" s="17">
        <v>5.6</v>
      </c>
      <c r="C87" s="3">
        <f t="shared" si="4"/>
        <v>0.59441187587270583</v>
      </c>
    </row>
    <row r="88" spans="2:3" x14ac:dyDescent="0.3">
      <c r="B88" s="17">
        <v>5.7</v>
      </c>
      <c r="C88" s="3">
        <f t="shared" si="4"/>
        <v>0.73950489159136568</v>
      </c>
    </row>
    <row r="89" spans="2:3" x14ac:dyDescent="0.3">
      <c r="B89" s="17">
        <v>5.8</v>
      </c>
      <c r="C89" s="3">
        <f t="shared" si="4"/>
        <v>0.88477107539533695</v>
      </c>
    </row>
    <row r="90" spans="2:3" x14ac:dyDescent="0.3">
      <c r="B90" s="17">
        <v>5.9</v>
      </c>
      <c r="C90" s="3">
        <f t="shared" si="4"/>
        <v>1.03</v>
      </c>
    </row>
    <row r="91" spans="2:3" x14ac:dyDescent="0.3">
      <c r="B91" s="17">
        <v>6</v>
      </c>
      <c r="C91" s="3">
        <f t="shared" si="4"/>
        <v>1.1735978715628432</v>
      </c>
    </row>
    <row r="92" spans="2:3" x14ac:dyDescent="0.3">
      <c r="B92" s="17">
        <v>6.1</v>
      </c>
      <c r="C92" s="3">
        <f t="shared" si="4"/>
        <v>1.3084374300098094</v>
      </c>
    </row>
    <row r="93" spans="2:3" x14ac:dyDescent="0.3">
      <c r="B93" s="17">
        <v>6.2</v>
      </c>
      <c r="C93" s="3">
        <f t="shared" si="4"/>
        <v>1.4260080487089546</v>
      </c>
    </row>
    <row r="94" spans="2:3" x14ac:dyDescent="0.3">
      <c r="B94" s="17">
        <v>6.3</v>
      </c>
      <c r="C94" s="3">
        <f t="shared" si="4"/>
        <v>1.5177991010283309</v>
      </c>
    </row>
    <row r="95" spans="2:3" x14ac:dyDescent="0.3">
      <c r="B95" s="17">
        <v>6.4</v>
      </c>
      <c r="C95" s="3">
        <f t="shared" si="4"/>
        <v>1.575299960335995</v>
      </c>
    </row>
    <row r="96" spans="2:3" x14ac:dyDescent="0.3">
      <c r="B96" s="17">
        <v>6.5</v>
      </c>
      <c r="C96" s="3">
        <f t="shared" si="4"/>
        <v>1.59</v>
      </c>
    </row>
    <row r="97" spans="2:3" x14ac:dyDescent="0.3">
      <c r="B97" s="17">
        <v>6.6</v>
      </c>
      <c r="C97" s="3">
        <f t="shared" ref="C97:C112" si="5">CubicSplineValuey(B97,$B$8:$B$27,$C$8:$C$27)</f>
        <v>1.5573108714713726</v>
      </c>
    </row>
    <row r="98" spans="2:3" x14ac:dyDescent="0.3">
      <c r="B98" s="17">
        <v>6.7</v>
      </c>
      <c r="C98" s="3">
        <f t="shared" si="5"/>
        <v>1.4883333385330215</v>
      </c>
    </row>
    <row r="99" spans="2:3" x14ac:dyDescent="0.3">
      <c r="B99" s="17">
        <v>6.8</v>
      </c>
      <c r="C99" s="3">
        <f t="shared" si="5"/>
        <v>1.3980904430508285</v>
      </c>
    </row>
    <row r="100" spans="2:3" x14ac:dyDescent="0.3">
      <c r="B100" s="17">
        <v>6.9</v>
      </c>
      <c r="C100" s="3">
        <f t="shared" si="5"/>
        <v>1.3016052268906728</v>
      </c>
    </row>
    <row r="101" spans="2:3" x14ac:dyDescent="0.3">
      <c r="B101" s="17">
        <v>7</v>
      </c>
      <c r="C101" s="3">
        <f t="shared" si="5"/>
        <v>1.2139007319184367</v>
      </c>
    </row>
    <row r="102" spans="2:3" x14ac:dyDescent="0.3">
      <c r="B102" s="17">
        <v>7.1</v>
      </c>
      <c r="C102" s="3">
        <f t="shared" si="5"/>
        <v>1.1499999999999999</v>
      </c>
    </row>
    <row r="103" spans="2:3" x14ac:dyDescent="0.3">
      <c r="B103" s="17">
        <v>7.2</v>
      </c>
      <c r="C103" s="3">
        <f t="shared" si="5"/>
        <v>1.1244633239027371</v>
      </c>
    </row>
    <row r="104" spans="2:3" x14ac:dyDescent="0.3">
      <c r="B104" s="17">
        <v>7.3</v>
      </c>
      <c r="C104" s="3">
        <f t="shared" si="5"/>
        <v>1.1499999999999999</v>
      </c>
    </row>
    <row r="105" spans="2:3" x14ac:dyDescent="0.3">
      <c r="B105" s="17">
        <v>7.4</v>
      </c>
      <c r="C105" s="3">
        <f t="shared" si="5"/>
        <v>1.2259466258319487</v>
      </c>
    </row>
    <row r="106" spans="2:3" x14ac:dyDescent="0.3">
      <c r="B106" s="17">
        <v>7.5</v>
      </c>
      <c r="C106" s="3">
        <f t="shared" si="5"/>
        <v>1.3</v>
      </c>
    </row>
    <row r="107" spans="2:3" x14ac:dyDescent="0.3">
      <c r="B107" s="17">
        <v>7.6</v>
      </c>
      <c r="C107" s="3">
        <f t="shared" si="5"/>
        <v>1.3199917089211481</v>
      </c>
    </row>
    <row r="108" spans="2:3" x14ac:dyDescent="0.3">
      <c r="B108" s="17">
        <v>7.7</v>
      </c>
      <c r="C108" s="3">
        <f t="shared" si="5"/>
        <v>1.2859322892134271</v>
      </c>
    </row>
    <row r="109" spans="2:3" x14ac:dyDescent="0.3">
      <c r="B109" s="17">
        <v>7.8</v>
      </c>
      <c r="C109" s="3">
        <f t="shared" si="5"/>
        <v>1.2108770150451325</v>
      </c>
    </row>
    <row r="110" spans="2:3" x14ac:dyDescent="0.3">
      <c r="B110" s="17">
        <v>7.9</v>
      </c>
      <c r="C110" s="3">
        <f t="shared" si="5"/>
        <v>1.1078811605845578</v>
      </c>
    </row>
    <row r="111" spans="2:3" x14ac:dyDescent="0.3">
      <c r="B111" s="17">
        <v>8</v>
      </c>
      <c r="C111" s="3">
        <f t="shared" si="5"/>
        <v>0.99</v>
      </c>
    </row>
    <row r="112" spans="2:3" x14ac:dyDescent="0.3">
      <c r="B112" s="17">
        <v>8.1</v>
      </c>
      <c r="C112" s="3">
        <f t="shared" si="5"/>
        <v>0.86741280300922752</v>
      </c>
    </row>
    <row r="113" spans="2:3" x14ac:dyDescent="0.3">
      <c r="B113" s="17">
        <v>8.1999999999999993</v>
      </c>
      <c r="C113" s="3">
        <f t="shared" ref="C113:C128" si="6">CubicSplineValuey(B113,$B$8:$B$27,$C$8:$C$27)</f>
        <v>0.7387948215279081</v>
      </c>
    </row>
    <row r="114" spans="2:3" x14ac:dyDescent="0.3">
      <c r="B114" s="17">
        <v>8.3000000000000007</v>
      </c>
      <c r="C114" s="3">
        <f t="shared" si="6"/>
        <v>0.59994530302118121</v>
      </c>
    </row>
    <row r="115" spans="2:3" x14ac:dyDescent="0.3">
      <c r="B115" s="17">
        <v>8.4</v>
      </c>
      <c r="C115" s="3">
        <f t="shared" si="6"/>
        <v>0.44666349495419388</v>
      </c>
    </row>
    <row r="116" spans="2:3" x14ac:dyDescent="0.3">
      <c r="B116" s="17">
        <v>8.5</v>
      </c>
      <c r="C116" s="3">
        <f t="shared" si="6"/>
        <v>0.27474864479208616</v>
      </c>
    </row>
    <row r="117" spans="2:3" x14ac:dyDescent="0.3">
      <c r="B117" s="17">
        <v>8.6</v>
      </c>
      <c r="C117" s="3">
        <f t="shared" si="6"/>
        <v>0.08</v>
      </c>
    </row>
    <row r="118" spans="2:3" x14ac:dyDescent="0.3">
      <c r="B118" s="17">
        <v>8.6999999999999993</v>
      </c>
      <c r="C118" s="3">
        <f t="shared" si="6"/>
        <v>-0.1388430236033843</v>
      </c>
    </row>
    <row r="119" spans="2:3" x14ac:dyDescent="0.3">
      <c r="B119" s="17">
        <v>8.8000000000000007</v>
      </c>
      <c r="C119" s="3">
        <f t="shared" si="6"/>
        <v>-0.3712803367852377</v>
      </c>
    </row>
    <row r="120" spans="2:3" x14ac:dyDescent="0.3">
      <c r="B120" s="17">
        <v>8.9</v>
      </c>
      <c r="C120" s="3">
        <f t="shared" si="6"/>
        <v>-0.60387168195918028</v>
      </c>
    </row>
    <row r="121" spans="2:3" x14ac:dyDescent="0.3">
      <c r="B121" s="17">
        <v>9</v>
      </c>
      <c r="C121" s="3">
        <f t="shared" si="6"/>
        <v>-0.82317680153884509</v>
      </c>
    </row>
    <row r="122" spans="2:3" x14ac:dyDescent="0.3">
      <c r="B122" s="17">
        <v>9.1</v>
      </c>
      <c r="C122" s="3">
        <f t="shared" si="6"/>
        <v>-1.0157554379378602</v>
      </c>
    </row>
    <row r="123" spans="2:3" x14ac:dyDescent="0.3">
      <c r="B123" s="17">
        <v>9.1999999999999993</v>
      </c>
      <c r="C123" s="3">
        <f t="shared" si="6"/>
        <v>-1.1681673335698548</v>
      </c>
    </row>
    <row r="124" spans="2:3" x14ac:dyDescent="0.3">
      <c r="B124" s="17">
        <v>9.3000000000000007</v>
      </c>
      <c r="C124" s="3">
        <f t="shared" si="6"/>
        <v>-1.2669722308484588</v>
      </c>
    </row>
    <row r="125" spans="2:3" x14ac:dyDescent="0.3">
      <c r="B125" s="17">
        <v>9.4</v>
      </c>
      <c r="C125" s="3">
        <f t="shared" si="6"/>
        <v>-1.2987298721872966</v>
      </c>
    </row>
    <row r="126" spans="2:3" x14ac:dyDescent="0.3">
      <c r="B126" s="17">
        <v>9.5</v>
      </c>
      <c r="C126" s="3">
        <f t="shared" si="6"/>
        <v>-1.25</v>
      </c>
    </row>
    <row r="127" spans="2:3" x14ac:dyDescent="0.3">
      <c r="B127" s="17">
        <v>9.6</v>
      </c>
      <c r="C127" s="3">
        <f t="shared" si="6"/>
        <v>-1.112713325335009</v>
      </c>
    </row>
    <row r="128" spans="2:3" x14ac:dyDescent="0.3">
      <c r="B128" s="17">
        <v>9.6999999999999993</v>
      </c>
      <c r="C128" s="3">
        <f t="shared" si="6"/>
        <v>-0.90028443378001277</v>
      </c>
    </row>
    <row r="129" spans="2:4" x14ac:dyDescent="0.3">
      <c r="B129" s="17">
        <v>9.8000000000000007</v>
      </c>
      <c r="C129" s="3">
        <f t="shared" ref="C129:C131" si="7">CubicSplineValuey(B129,$B$8:$B$27,$C$8:$C$27)</f>
        <v>-0.63149887955750761</v>
      </c>
    </row>
    <row r="130" spans="2:4" x14ac:dyDescent="0.3">
      <c r="B130" s="17">
        <v>9.9</v>
      </c>
      <c r="C130" s="3">
        <f t="shared" si="7"/>
        <v>-0.32514221689000444</v>
      </c>
    </row>
    <row r="131" spans="2:4" x14ac:dyDescent="0.3">
      <c r="B131" s="17">
        <v>10</v>
      </c>
      <c r="C131" s="3">
        <f t="shared" si="7"/>
        <v>0</v>
      </c>
    </row>
    <row r="132" spans="2:4" x14ac:dyDescent="0.3">
      <c r="B132" s="17">
        <f t="shared" ref="B132:B151" si="8">B8</f>
        <v>0</v>
      </c>
      <c r="D132" s="3">
        <f t="shared" ref="D132:D151" si="9">C8</f>
        <v>1</v>
      </c>
    </row>
    <row r="133" spans="2:4" x14ac:dyDescent="0.3">
      <c r="B133" s="17">
        <f t="shared" si="8"/>
        <v>0.8</v>
      </c>
      <c r="D133" s="3">
        <f t="shared" si="9"/>
        <v>0.43</v>
      </c>
    </row>
    <row r="134" spans="2:4" x14ac:dyDescent="0.3">
      <c r="B134" s="17">
        <f t="shared" si="8"/>
        <v>1.9</v>
      </c>
      <c r="D134" s="3">
        <f t="shared" si="9"/>
        <v>-0.74</v>
      </c>
    </row>
    <row r="135" spans="2:4" x14ac:dyDescent="0.3">
      <c r="B135" s="17">
        <f t="shared" si="8"/>
        <v>2.1</v>
      </c>
      <c r="D135" s="3">
        <f t="shared" si="9"/>
        <v>-0.74</v>
      </c>
    </row>
    <row r="136" spans="2:4" x14ac:dyDescent="0.3">
      <c r="B136" s="17">
        <f t="shared" si="8"/>
        <v>2.4</v>
      </c>
      <c r="D136" s="3">
        <f t="shared" si="9"/>
        <v>-0.28999999999999998</v>
      </c>
    </row>
    <row r="137" spans="2:4" x14ac:dyDescent="0.3">
      <c r="B137" s="17">
        <f t="shared" si="8"/>
        <v>2.6</v>
      </c>
      <c r="D137" s="3">
        <f t="shared" si="9"/>
        <v>-0.13</v>
      </c>
    </row>
    <row r="138" spans="2:4" x14ac:dyDescent="0.3">
      <c r="B138" s="17">
        <f t="shared" si="8"/>
        <v>2.9</v>
      </c>
      <c r="D138" s="3">
        <f t="shared" si="9"/>
        <v>-0.35</v>
      </c>
    </row>
    <row r="139" spans="2:4" x14ac:dyDescent="0.3">
      <c r="B139" s="17">
        <f t="shared" si="8"/>
        <v>3.3</v>
      </c>
      <c r="D139" s="3">
        <f t="shared" si="9"/>
        <v>-1.29</v>
      </c>
    </row>
    <row r="140" spans="2:4" x14ac:dyDescent="0.3">
      <c r="B140" s="17">
        <f t="shared" si="8"/>
        <v>3.5</v>
      </c>
      <c r="D140" s="3">
        <f t="shared" si="9"/>
        <v>-1.88</v>
      </c>
    </row>
    <row r="141" spans="2:4" x14ac:dyDescent="0.3">
      <c r="B141" s="17">
        <f t="shared" si="8"/>
        <v>3.8</v>
      </c>
      <c r="D141" s="3">
        <f t="shared" si="9"/>
        <v>-1.8</v>
      </c>
    </row>
    <row r="142" spans="2:4" x14ac:dyDescent="0.3">
      <c r="B142" s="17">
        <f t="shared" si="8"/>
        <v>4.5</v>
      </c>
      <c r="D142" s="3">
        <f t="shared" si="9"/>
        <v>-0.93</v>
      </c>
    </row>
    <row r="143" spans="2:4" x14ac:dyDescent="0.3">
      <c r="B143" s="17">
        <f t="shared" si="8"/>
        <v>5.9</v>
      </c>
      <c r="D143" s="3">
        <f t="shared" si="9"/>
        <v>1.03</v>
      </c>
    </row>
    <row r="144" spans="2:4" x14ac:dyDescent="0.3">
      <c r="B144" s="17">
        <f t="shared" si="8"/>
        <v>6.5</v>
      </c>
      <c r="D144" s="3">
        <f t="shared" si="9"/>
        <v>1.59</v>
      </c>
    </row>
    <row r="145" spans="2:4" x14ac:dyDescent="0.3">
      <c r="B145" s="17">
        <f t="shared" si="8"/>
        <v>7.1</v>
      </c>
      <c r="D145" s="3">
        <f t="shared" si="9"/>
        <v>1.1499999999999999</v>
      </c>
    </row>
    <row r="146" spans="2:4" x14ac:dyDescent="0.3">
      <c r="B146" s="17">
        <f t="shared" si="8"/>
        <v>7.3</v>
      </c>
      <c r="D146" s="3">
        <f t="shared" si="9"/>
        <v>1.1499999999999999</v>
      </c>
    </row>
    <row r="147" spans="2:4" x14ac:dyDescent="0.3">
      <c r="B147" s="17">
        <f t="shared" si="8"/>
        <v>7.5</v>
      </c>
      <c r="D147" s="3">
        <f t="shared" si="9"/>
        <v>1.3</v>
      </c>
    </row>
    <row r="148" spans="2:4" x14ac:dyDescent="0.3">
      <c r="B148" s="17">
        <f t="shared" si="8"/>
        <v>8</v>
      </c>
      <c r="D148" s="3">
        <f t="shared" si="9"/>
        <v>0.99</v>
      </c>
    </row>
    <row r="149" spans="2:4" x14ac:dyDescent="0.3">
      <c r="B149" s="17">
        <f t="shared" si="8"/>
        <v>8.6</v>
      </c>
      <c r="D149" s="3">
        <f t="shared" si="9"/>
        <v>0.08</v>
      </c>
    </row>
    <row r="150" spans="2:4" x14ac:dyDescent="0.3">
      <c r="B150" s="17">
        <f t="shared" si="8"/>
        <v>9.5</v>
      </c>
      <c r="D150" s="3">
        <f t="shared" si="9"/>
        <v>-1.25</v>
      </c>
    </row>
    <row r="151" spans="2:4" x14ac:dyDescent="0.3">
      <c r="B151" s="17">
        <f t="shared" si="8"/>
        <v>10</v>
      </c>
      <c r="D151" s="3">
        <f t="shared" si="9"/>
        <v>0</v>
      </c>
    </row>
  </sheetData>
  <pageMargins left="0.75" right="0.75" top="1" bottom="1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8"/>
  <sheetViews>
    <sheetView workbookViewId="0"/>
  </sheetViews>
  <sheetFormatPr defaultRowHeight="13" x14ac:dyDescent="0.3"/>
  <cols>
    <col min="1" max="1" width="18.296875" customWidth="1"/>
    <col min="2" max="2" width="9.796875" customWidth="1"/>
    <col min="11" max="11" width="9.796875" customWidth="1"/>
  </cols>
  <sheetData>
    <row r="1" spans="1:9" x14ac:dyDescent="0.3">
      <c r="A1" s="1" t="s">
        <v>0</v>
      </c>
    </row>
    <row r="3" spans="1:9" x14ac:dyDescent="0.3">
      <c r="A3" t="s">
        <v>53</v>
      </c>
      <c r="B3" s="9">
        <v>5.4000000000000003E-3</v>
      </c>
      <c r="C3" s="9">
        <v>3.3999999999999998E-3</v>
      </c>
      <c r="D3" s="9">
        <v>3.5000000000000001E-3</v>
      </c>
      <c r="E3" s="9">
        <v>4.3E-3</v>
      </c>
      <c r="F3" s="9">
        <v>3.5999999999999999E-3</v>
      </c>
      <c r="G3" s="9">
        <v>3.3E-3</v>
      </c>
      <c r="H3" s="9">
        <v>2.2000000000000001E-3</v>
      </c>
      <c r="I3" s="9">
        <v>6.9999999999999999E-4</v>
      </c>
    </row>
    <row r="4" spans="1:9" x14ac:dyDescent="0.3">
      <c r="B4" s="9">
        <v>3.3999999999999998E-3</v>
      </c>
      <c r="C4" s="9">
        <v>6.1000000000000004E-3</v>
      </c>
      <c r="D4" s="9">
        <v>2.8E-3</v>
      </c>
      <c r="E4" s="9">
        <v>4.4000000000000003E-3</v>
      </c>
      <c r="F4" s="9">
        <v>4.1999999999999997E-3</v>
      </c>
      <c r="G4" s="9">
        <v>3.5999999999999999E-3</v>
      </c>
      <c r="H4" s="9">
        <v>2.8E-3</v>
      </c>
      <c r="I4" s="9">
        <v>2.0000000000000001E-4</v>
      </c>
    </row>
    <row r="5" spans="1:9" x14ac:dyDescent="0.3">
      <c r="B5" s="9">
        <v>3.5000000000000001E-3</v>
      </c>
      <c r="C5" s="9">
        <v>2.8E-3</v>
      </c>
      <c r="D5" s="9">
        <v>4.7999999999999996E-3</v>
      </c>
      <c r="E5" s="9">
        <v>3.3999999999999998E-3</v>
      </c>
      <c r="F5" s="9">
        <v>3.0000000000000001E-3</v>
      </c>
      <c r="G5" s="9">
        <v>3.0000000000000001E-3</v>
      </c>
      <c r="H5" s="9">
        <v>1.9E-3</v>
      </c>
      <c r="I5" s="9">
        <v>2.9999999999999997E-4</v>
      </c>
    </row>
    <row r="6" spans="1:9" x14ac:dyDescent="0.3">
      <c r="B6" s="9">
        <v>4.3E-3</v>
      </c>
      <c r="C6" s="9">
        <v>4.4000000000000003E-3</v>
      </c>
      <c r="D6" s="9">
        <v>3.3999999999999998E-3</v>
      </c>
      <c r="E6" s="9">
        <v>6.1999999999999998E-3</v>
      </c>
      <c r="F6" s="9">
        <v>4.4999999999999997E-3</v>
      </c>
      <c r="G6" s="9">
        <v>3.5999999999999999E-3</v>
      </c>
      <c r="H6" s="9">
        <v>2.8999999999999998E-3</v>
      </c>
      <c r="I6" s="9">
        <v>8.0000000000000004E-4</v>
      </c>
    </row>
    <row r="7" spans="1:9" x14ac:dyDescent="0.3">
      <c r="B7" s="9">
        <v>3.5999999999999999E-3</v>
      </c>
      <c r="C7" s="9">
        <v>4.1999999999999997E-3</v>
      </c>
      <c r="D7" s="9">
        <v>3.0000000000000001E-3</v>
      </c>
      <c r="E7" s="9">
        <v>4.4999999999999997E-3</v>
      </c>
      <c r="F7" s="9">
        <v>7.4000000000000003E-3</v>
      </c>
      <c r="G7" s="9">
        <v>4.1999999999999997E-3</v>
      </c>
      <c r="H7" s="9">
        <v>3.0999999999999999E-3</v>
      </c>
      <c r="I7" s="9">
        <v>1.4E-3</v>
      </c>
    </row>
    <row r="8" spans="1:9" x14ac:dyDescent="0.3">
      <c r="B8" s="9">
        <v>3.3E-3</v>
      </c>
      <c r="C8" s="9">
        <v>3.5999999999999999E-3</v>
      </c>
      <c r="D8" s="9">
        <v>3.0000000000000001E-3</v>
      </c>
      <c r="E8" s="9">
        <v>3.5999999999999999E-3</v>
      </c>
      <c r="F8" s="9">
        <v>4.1999999999999997E-3</v>
      </c>
      <c r="G8" s="9">
        <v>7.7999999999999996E-3</v>
      </c>
      <c r="H8" s="9">
        <v>3.0000000000000001E-3</v>
      </c>
      <c r="I8" s="9">
        <v>1.4E-3</v>
      </c>
    </row>
    <row r="9" spans="1:9" x14ac:dyDescent="0.3">
      <c r="B9" s="9">
        <v>2.2000000000000001E-3</v>
      </c>
      <c r="C9" s="9">
        <v>2.8E-3</v>
      </c>
      <c r="D9" s="9">
        <v>1.9E-3</v>
      </c>
      <c r="E9" s="9">
        <v>2.8999999999999998E-3</v>
      </c>
      <c r="F9" s="9">
        <v>3.0999999999999999E-3</v>
      </c>
      <c r="G9" s="9">
        <v>3.0000000000000001E-3</v>
      </c>
      <c r="H9" s="9">
        <v>5.1999999999999998E-3</v>
      </c>
      <c r="I9" s="9">
        <v>1.6999999999999999E-3</v>
      </c>
    </row>
    <row r="10" spans="1:9" x14ac:dyDescent="0.3">
      <c r="B10" s="9">
        <v>6.9999999999999999E-4</v>
      </c>
      <c r="C10" s="9">
        <v>2.0000000000000001E-4</v>
      </c>
      <c r="D10" s="9">
        <v>2.9999999999999997E-4</v>
      </c>
      <c r="E10" s="9">
        <v>8.0000000000000004E-4</v>
      </c>
      <c r="F10" s="9">
        <v>1.4E-3</v>
      </c>
      <c r="G10" s="9">
        <v>1.4E-3</v>
      </c>
      <c r="H10" s="9">
        <v>1.6999999999999999E-3</v>
      </c>
      <c r="I10" s="9">
        <v>4.7999999999999996E-3</v>
      </c>
    </row>
    <row r="13" spans="1:9" x14ac:dyDescent="0.3">
      <c r="A13" t="s">
        <v>54</v>
      </c>
      <c r="B13">
        <v>1</v>
      </c>
      <c r="C13">
        <v>2</v>
      </c>
      <c r="D13">
        <v>3</v>
      </c>
      <c r="E13">
        <v>4</v>
      </c>
      <c r="F13">
        <v>5</v>
      </c>
      <c r="G13">
        <v>6</v>
      </c>
      <c r="H13">
        <v>7</v>
      </c>
      <c r="I13">
        <v>8</v>
      </c>
    </row>
    <row r="14" spans="1:9" x14ac:dyDescent="0.3">
      <c r="B14" s="14">
        <v>1.5986160550283646E-3</v>
      </c>
      <c r="C14" s="14">
        <v>2.1369817281743312E-3</v>
      </c>
      <c r="D14" s="14">
        <v>3.3337070207300752E-3</v>
      </c>
      <c r="E14" s="14">
        <v>1.2490903993118366E-3</v>
      </c>
      <c r="F14" s="14">
        <v>2.7026078943736598E-2</v>
      </c>
      <c r="G14" s="14">
        <v>3.8565050474633888E-3</v>
      </c>
      <c r="H14" s="14">
        <v>2.8682691321245432E-3</v>
      </c>
      <c r="I14" s="14">
        <v>5.6307516734308612E-3</v>
      </c>
    </row>
    <row r="16" spans="1:9" x14ac:dyDescent="0.3">
      <c r="A16" t="s">
        <v>55</v>
      </c>
      <c r="B16" s="14">
        <v>0.38343209680217716</v>
      </c>
      <c r="C16" s="14">
        <v>8.0064139087696856E-2</v>
      </c>
      <c r="D16" s="14">
        <v>0.48108138467053557</v>
      </c>
      <c r="E16" s="14">
        <v>-0.64965513389391982</v>
      </c>
      <c r="F16" s="14">
        <v>0.36112334416279007</v>
      </c>
      <c r="G16" s="14">
        <v>-0.11803267266158568</v>
      </c>
      <c r="H16" s="14">
        <v>-5.5090071978233452E-3</v>
      </c>
      <c r="I16" s="14">
        <v>-0.22069512551827175</v>
      </c>
    </row>
    <row r="17" spans="1:9" x14ac:dyDescent="0.3">
      <c r="B17" s="14">
        <v>-0.49413811084609627</v>
      </c>
      <c r="C17" s="14">
        <v>0.53214794571364599</v>
      </c>
      <c r="D17" s="14">
        <v>-0.41292182758384061</v>
      </c>
      <c r="E17" s="14">
        <v>-0.22147022199614658</v>
      </c>
      <c r="F17" s="14">
        <v>0.38504900043750745</v>
      </c>
      <c r="G17" s="14">
        <v>-9.0786667974698962E-2</v>
      </c>
      <c r="H17" s="14">
        <v>0.19752158037319956</v>
      </c>
      <c r="I17" s="14">
        <v>-0.23994347214083281</v>
      </c>
    </row>
    <row r="18" spans="1:9" x14ac:dyDescent="0.3">
      <c r="B18" s="14">
        <v>-0.59766854264102065</v>
      </c>
      <c r="C18" s="14">
        <v>-0.41796251068585749</v>
      </c>
      <c r="D18" s="14">
        <v>0.51051533834538865</v>
      </c>
      <c r="E18" s="14">
        <v>0.21969153995967208</v>
      </c>
      <c r="F18" s="14">
        <v>0.30918224548021805</v>
      </c>
      <c r="G18" s="14">
        <v>3.8032013184913088E-2</v>
      </c>
      <c r="H18" s="14">
        <v>6.7669155367181558E-2</v>
      </c>
      <c r="I18" s="14">
        <v>-0.23997949880683389</v>
      </c>
    </row>
    <row r="19" spans="1:9" x14ac:dyDescent="0.3">
      <c r="B19" s="14">
        <v>0.40910039666896009</v>
      </c>
      <c r="C19" s="14">
        <v>0.27873181934018776</v>
      </c>
      <c r="D19" s="14">
        <v>8.2266985556334743E-2</v>
      </c>
      <c r="E19" s="14">
        <v>0.68269732780273595</v>
      </c>
      <c r="F19" s="14">
        <v>0.41573185558042935</v>
      </c>
      <c r="G19" s="14">
        <v>-0.26087850031770649</v>
      </c>
      <c r="H19" s="14">
        <v>3.7187829968713199E-2</v>
      </c>
      <c r="I19" s="14">
        <v>-0.1995706332628705</v>
      </c>
    </row>
    <row r="20" spans="1:9" x14ac:dyDescent="0.3">
      <c r="B20" s="14">
        <v>1.1088188923365216E-2</v>
      </c>
      <c r="C20" s="14">
        <v>-0.38854647916810009</v>
      </c>
      <c r="D20" s="14">
        <v>-0.39424722221010383</v>
      </c>
      <c r="E20" s="14">
        <v>-7.7991712995908166E-2</v>
      </c>
      <c r="F20" s="14">
        <v>0.43293702807829426</v>
      </c>
      <c r="G20" s="14">
        <v>-0.19067006163065967</v>
      </c>
      <c r="H20" s="14">
        <v>-0.67665670843158754</v>
      </c>
      <c r="I20" s="14">
        <v>7.5771118027110812E-2</v>
      </c>
    </row>
    <row r="21" spans="1:9" x14ac:dyDescent="0.3">
      <c r="B21" s="14">
        <v>0.10930541746642067</v>
      </c>
      <c r="C21" s="14">
        <v>9.4240140352955637E-2</v>
      </c>
      <c r="D21" s="14">
        <v>-3.9737531359146519E-3</v>
      </c>
      <c r="E21" s="14">
        <v>5.4086884732770339E-2</v>
      </c>
      <c r="F21" s="14">
        <v>0.40861526875905096</v>
      </c>
      <c r="G21" s="14">
        <v>0.85954617972430025</v>
      </c>
      <c r="H21" s="14">
        <v>-7.2982334504826159E-3</v>
      </c>
      <c r="I21" s="14">
        <v>0.26531227391792012</v>
      </c>
    </row>
    <row r="22" spans="1:9" x14ac:dyDescent="0.3">
      <c r="B22" s="14">
        <v>0.14268527260995367</v>
      </c>
      <c r="C22" s="14">
        <v>-0.43259583877117569</v>
      </c>
      <c r="D22" s="14">
        <v>-0.24383396316874598</v>
      </c>
      <c r="E22" s="14">
        <v>-7.3407547148533869E-2</v>
      </c>
      <c r="F22" s="14">
        <v>0.29413187489213771</v>
      </c>
      <c r="G22" s="14">
        <v>-0.20981352523457958</v>
      </c>
      <c r="H22" s="14">
        <v>0.68798258086704689</v>
      </c>
      <c r="I22" s="14">
        <v>0.35185618782357203</v>
      </c>
    </row>
    <row r="23" spans="1:9" x14ac:dyDescent="0.3">
      <c r="B23" s="14">
        <v>-0.22761112427363864</v>
      </c>
      <c r="C23" s="14">
        <v>0.33321986706012668</v>
      </c>
      <c r="D23" s="14">
        <v>0.34023643764435652</v>
      </c>
      <c r="E23" s="14">
        <v>1.2742342049549505E-2</v>
      </c>
      <c r="F23" s="14">
        <v>0.1094810162830125</v>
      </c>
      <c r="G23" s="14">
        <v>-0.29853914365667683</v>
      </c>
      <c r="H23" s="14">
        <v>-0.15412731745939076</v>
      </c>
      <c r="I23" s="14">
        <v>0.77224837475558405</v>
      </c>
    </row>
    <row r="26" spans="1:9" x14ac:dyDescent="0.3">
      <c r="A26" t="s">
        <v>56</v>
      </c>
      <c r="B26" s="16">
        <v>9.9999999999999995E-21</v>
      </c>
    </row>
    <row r="28" spans="1:9" x14ac:dyDescent="0.3">
      <c r="A28" s="1" t="s">
        <v>57</v>
      </c>
      <c r="B28">
        <v>1</v>
      </c>
      <c r="C28">
        <v>2</v>
      </c>
      <c r="D28">
        <v>3</v>
      </c>
      <c r="E28">
        <v>4</v>
      </c>
      <c r="F28">
        <v>5</v>
      </c>
      <c r="G28">
        <v>6</v>
      </c>
      <c r="H28">
        <v>7</v>
      </c>
      <c r="I28">
        <v>8</v>
      </c>
    </row>
    <row r="29" spans="1:9" x14ac:dyDescent="0.3">
      <c r="B29" s="14">
        <f t="array" ref="B29:I29">Eigenvaluesevec(B3:I10,B26)</f>
        <v>1.5986160550283638E-3</v>
      </c>
      <c r="C29" s="14">
        <v>2.136981728174329E-3</v>
      </c>
      <c r="D29" s="14">
        <v>3.3337070207300791E-3</v>
      </c>
      <c r="E29" s="14">
        <v>1.2490903993118343E-3</v>
      </c>
      <c r="F29" s="14">
        <v>2.7026078943736612E-2</v>
      </c>
      <c r="G29" s="14">
        <v>3.8565050474633905E-3</v>
      </c>
      <c r="H29" s="14">
        <v>2.8682691321245419E-3</v>
      </c>
      <c r="I29" s="14">
        <v>5.6307516734308612E-3</v>
      </c>
    </row>
    <row r="31" spans="1:9" x14ac:dyDescent="0.3">
      <c r="A31" s="1" t="s">
        <v>58</v>
      </c>
      <c r="B31" s="14">
        <f t="array" ref="B31:I38">EigenvectorsEmat(B3:I10,B26)</f>
        <v>0.38343209680217877</v>
      </c>
      <c r="C31" s="14">
        <v>8.0064139087697023E-2</v>
      </c>
      <c r="D31" s="14">
        <v>0.48108138467053568</v>
      </c>
      <c r="E31" s="14">
        <v>-0.64965513389391849</v>
      </c>
      <c r="F31" s="14">
        <v>0.36112334416279035</v>
      </c>
      <c r="G31" s="14">
        <v>-0.11803267266158565</v>
      </c>
      <c r="H31" s="14">
        <v>-5.5090071978238196E-3</v>
      </c>
      <c r="I31" s="14">
        <v>-0.22069512551827161</v>
      </c>
    </row>
    <row r="32" spans="1:9" x14ac:dyDescent="0.3">
      <c r="B32" s="14">
        <v>-0.49413811084609566</v>
      </c>
      <c r="C32" s="14">
        <v>0.53214794571364576</v>
      </c>
      <c r="D32" s="14">
        <v>-0.41292182758384055</v>
      </c>
      <c r="E32" s="14">
        <v>-0.2214702219961473</v>
      </c>
      <c r="F32" s="14">
        <v>0.38504900043750745</v>
      </c>
      <c r="G32" s="14">
        <v>-9.0786667974699337E-2</v>
      </c>
      <c r="H32" s="14">
        <v>0.19752158037319986</v>
      </c>
      <c r="I32" s="14">
        <v>-0.23994347214083267</v>
      </c>
    </row>
    <row r="33" spans="2:9" x14ac:dyDescent="0.3">
      <c r="B33" s="14">
        <v>-0.59766854264102109</v>
      </c>
      <c r="C33" s="14">
        <v>-0.41796251068585755</v>
      </c>
      <c r="D33" s="14">
        <v>0.51051533834538876</v>
      </c>
      <c r="E33" s="14">
        <v>0.21969153995967036</v>
      </c>
      <c r="F33" s="14">
        <v>0.30918224548021811</v>
      </c>
      <c r="G33" s="14">
        <v>3.8032013184912922E-2</v>
      </c>
      <c r="H33" s="14">
        <v>6.7669155367181155E-2</v>
      </c>
      <c r="I33" s="14">
        <v>-0.23997949880683372</v>
      </c>
    </row>
    <row r="34" spans="2:9" x14ac:dyDescent="0.3">
      <c r="B34" s="14">
        <v>0.40910039666895809</v>
      </c>
      <c r="C34" s="14">
        <v>0.27873181934018709</v>
      </c>
      <c r="D34" s="14">
        <v>8.226698555633509E-2</v>
      </c>
      <c r="E34" s="14">
        <v>0.68269732780273595</v>
      </c>
      <c r="F34" s="14">
        <v>0.41573185558042952</v>
      </c>
      <c r="G34" s="14">
        <v>-0.26087850031770654</v>
      </c>
      <c r="H34" s="14">
        <v>3.7187829968712817E-2</v>
      </c>
      <c r="I34" s="14">
        <v>-0.19957063326287036</v>
      </c>
    </row>
    <row r="35" spans="2:9" x14ac:dyDescent="0.3">
      <c r="B35" s="14">
        <v>1.1088188923365485E-2</v>
      </c>
      <c r="C35" s="14">
        <v>-0.38854647916809992</v>
      </c>
      <c r="D35" s="14">
        <v>-0.39424722221010511</v>
      </c>
      <c r="E35" s="14">
        <v>-7.7991712995908208E-2</v>
      </c>
      <c r="F35" s="14">
        <v>0.43293702807829437</v>
      </c>
      <c r="G35" s="14">
        <v>-0.19067006163065939</v>
      </c>
      <c r="H35" s="14">
        <v>-0.6766567084315871</v>
      </c>
      <c r="I35" s="14">
        <v>7.5771118027110632E-2</v>
      </c>
    </row>
    <row r="36" spans="2:9" x14ac:dyDescent="0.3">
      <c r="B36" s="14">
        <v>0.10930541746642039</v>
      </c>
      <c r="C36" s="14">
        <v>9.4240140352955609E-2</v>
      </c>
      <c r="D36" s="14">
        <v>-3.9737531359149E-3</v>
      </c>
      <c r="E36" s="14">
        <v>5.4086884732770679E-2</v>
      </c>
      <c r="F36" s="14">
        <v>0.40861526875905108</v>
      </c>
      <c r="G36" s="14">
        <v>0.85954617972430036</v>
      </c>
      <c r="H36" s="14">
        <v>-7.2982334504823098E-3</v>
      </c>
      <c r="I36" s="14">
        <v>0.26531227391792001</v>
      </c>
    </row>
    <row r="37" spans="2:9" x14ac:dyDescent="0.3">
      <c r="B37" s="14">
        <v>0.14268527260995384</v>
      </c>
      <c r="C37" s="14">
        <v>-0.43259583877117508</v>
      </c>
      <c r="D37" s="14">
        <v>-0.2438339631687455</v>
      </c>
      <c r="E37" s="14">
        <v>-7.340754714853355E-2</v>
      </c>
      <c r="F37" s="14">
        <v>0.29413187489213755</v>
      </c>
      <c r="G37" s="14">
        <v>-0.20981352523457975</v>
      </c>
      <c r="H37" s="14">
        <v>0.68798258086704744</v>
      </c>
      <c r="I37" s="14">
        <v>0.35185618782357198</v>
      </c>
    </row>
    <row r="38" spans="2:9" x14ac:dyDescent="0.3">
      <c r="B38" s="14">
        <v>-0.22761112427363855</v>
      </c>
      <c r="C38" s="14">
        <v>0.3332198670601263</v>
      </c>
      <c r="D38" s="14">
        <v>0.34023643764435652</v>
      </c>
      <c r="E38" s="14">
        <v>1.2742342049549011E-2</v>
      </c>
      <c r="F38" s="14">
        <v>0.10948101628301252</v>
      </c>
      <c r="G38" s="14">
        <v>-0.29853914365667672</v>
      </c>
      <c r="H38" s="14">
        <v>-0.15412731745939134</v>
      </c>
      <c r="I38" s="14">
        <v>0.77224837475558428</v>
      </c>
    </row>
  </sheetData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4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4Cast</vt:lpstr>
      <vt:lpstr>ARMA</vt:lpstr>
      <vt:lpstr>Spline</vt:lpstr>
      <vt:lpstr>Eig</vt:lpstr>
      <vt:lpstr>Chart1</vt:lpstr>
      <vt:lpstr>arma11rss</vt:lpstr>
      <vt:lpstr>arma11vec</vt:lpstr>
      <vt:lpstr>ma2rss</vt:lpstr>
      <vt:lpstr>ma2vec</vt:lpstr>
    </vt:vector>
  </TitlesOfParts>
  <Company>London Business School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Models for AMF appendix</dc:title>
  <dc:creator>Mary Jackson and Mike Staunton</dc:creator>
  <cp:lastModifiedBy>Carina Negreanu</cp:lastModifiedBy>
  <cp:lastPrinted>1999-09-23T18:26:10Z</cp:lastPrinted>
  <dcterms:created xsi:type="dcterms:W3CDTF">1997-06-13T13:38:33Z</dcterms:created>
  <dcterms:modified xsi:type="dcterms:W3CDTF">2020-01-27T11:56:55Z</dcterms:modified>
</cp:coreProperties>
</file>