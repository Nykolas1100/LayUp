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0B34EFD-7B22-4876-9E8C-60B05FA7CFC1}" xr6:coauthVersionLast="45" xr6:coauthVersionMax="45" xr10:uidLastSave="{00000000-0000-0000-0000-000000000000}"/>
  <bookViews>
    <workbookView xWindow="1900" yWindow="1900" windowWidth="28800" windowHeight="15460"/>
  </bookViews>
  <sheets>
    <sheet name="INSTRUCTIONS" sheetId="14" r:id="rId1"/>
    <sheet name="Inv CC" sheetId="9" r:id="rId2"/>
    <sheet name="Financials" sheetId="1" r:id="rId3"/>
    <sheet name="Baseline SPM" sheetId="4" r:id="rId4"/>
    <sheet name="SC1 SPM " sheetId="10" r:id="rId5"/>
    <sheet name="SC2 SPM" sheetId="11" r:id="rId6"/>
    <sheet name="SC3 SPM" sheetId="12" r:id="rId7"/>
    <sheet name="SC4 SPM" sheetId="13" r:id="rId8"/>
    <sheet name="Composition Graphs" sheetId="2" r:id="rId9"/>
    <sheet name="Sheet3" sheetId="3" r:id="rId10"/>
  </sheets>
  <definedNames>
    <definedName name="_xlnm.Print_Area" localSheetId="3">'Baseline SPM'!$A$1:$M$47</definedName>
    <definedName name="_xlnm.Print_Area" localSheetId="8">'Composition Graphs'!$A$1:$I$80</definedName>
    <definedName name="_xlnm.Print_Area" localSheetId="2">Financials!$A$1:$O$107</definedName>
    <definedName name="_xlnm.Print_Area" localSheetId="1">'Inv CC'!$A$1:$E$41</definedName>
    <definedName name="_xlnm.Print_Area" localSheetId="4">'SC1 SPM '!$A$1:$M$47</definedName>
    <definedName name="_xlnm.Print_Area" localSheetId="5">'SC2 SPM'!$A$1:$M$47</definedName>
    <definedName name="_xlnm.Print_Area" localSheetId="6">'SC3 SPM'!$A$1:$M$47</definedName>
    <definedName name="_xlnm.Print_Area" localSheetId="7">'SC4 SPM'!$A$1:$M$47</definedName>
    <definedName name="_xlnm.Print_Titles" localSheetId="2">Financials!$9:$10</definedName>
  </definedNames>
  <calcPr calcId="191029"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3" i="4" l="1"/>
  <c r="E16" i="4"/>
  <c r="H17" i="4"/>
  <c r="C19" i="4"/>
  <c r="E18" i="4" s="1"/>
  <c r="H19" i="4"/>
  <c r="K19" i="4"/>
  <c r="C20" i="4"/>
  <c r="C21" i="4"/>
  <c r="K21" i="4"/>
  <c r="K23" i="4"/>
  <c r="C24" i="4"/>
  <c r="E23" i="4" s="1"/>
  <c r="C25" i="4"/>
  <c r="K25" i="4"/>
  <c r="C28" i="4"/>
  <c r="C30" i="4"/>
  <c r="C35" i="4"/>
  <c r="E42" i="4"/>
  <c r="B3" i="2"/>
  <c r="B8" i="2" s="1"/>
  <c r="B4" i="2"/>
  <c r="B5" i="2"/>
  <c r="B6" i="2"/>
  <c r="B7" i="2"/>
  <c r="B24" i="2"/>
  <c r="B31" i="2"/>
  <c r="B32" i="2"/>
  <c r="B12" i="1"/>
  <c r="N12" i="1" s="1"/>
  <c r="E12" i="1"/>
  <c r="B14" i="1"/>
  <c r="E14" i="1"/>
  <c r="H14" i="1"/>
  <c r="K14" i="1"/>
  <c r="B15" i="1"/>
  <c r="K15" i="1" s="1"/>
  <c r="E15" i="1"/>
  <c r="H15" i="1"/>
  <c r="B25" i="1"/>
  <c r="C25" i="1"/>
  <c r="C21" i="1" s="1"/>
  <c r="B26" i="1"/>
  <c r="E26" i="1" s="1"/>
  <c r="C26" i="1"/>
  <c r="H26" i="1"/>
  <c r="B27" i="1"/>
  <c r="B28" i="1"/>
  <c r="B13" i="1" s="1"/>
  <c r="C28" i="1"/>
  <c r="H14" i="4" s="1"/>
  <c r="C31" i="1"/>
  <c r="C36" i="1" s="1"/>
  <c r="C40" i="1" s="1"/>
  <c r="C32" i="1"/>
  <c r="B32" i="1" s="1"/>
  <c r="C34" i="1"/>
  <c r="B34" i="1" s="1"/>
  <c r="C35" i="1"/>
  <c r="C41" i="1"/>
  <c r="B41" i="1" s="1"/>
  <c r="B48" i="1"/>
  <c r="B35" i="1" s="1"/>
  <c r="B53" i="1"/>
  <c r="B52" i="1" s="1"/>
  <c r="C53" i="1"/>
  <c r="C55" i="1" s="1"/>
  <c r="C56" i="1"/>
  <c r="B56" i="1" s="1"/>
  <c r="C57" i="1"/>
  <c r="B61" i="1"/>
  <c r="C61" i="1"/>
  <c r="C34" i="4" s="1"/>
  <c r="H61" i="1"/>
  <c r="K61" i="1"/>
  <c r="B63" i="1"/>
  <c r="C16" i="2" s="1"/>
  <c r="B64" i="1"/>
  <c r="C64" i="1" s="1"/>
  <c r="E64" i="1"/>
  <c r="N64" i="1" s="1"/>
  <c r="B65" i="1"/>
  <c r="H65" i="1" s="1"/>
  <c r="C65" i="1"/>
  <c r="B66" i="1"/>
  <c r="C66" i="1" s="1"/>
  <c r="B67" i="1"/>
  <c r="H67" i="1" s="1"/>
  <c r="C67" i="1"/>
  <c r="B68" i="1"/>
  <c r="C68" i="1" s="1"/>
  <c r="E68" i="1"/>
  <c r="N68" i="1" s="1"/>
  <c r="B70" i="1"/>
  <c r="E70" i="1"/>
  <c r="H70" i="1"/>
  <c r="K70" i="1"/>
  <c r="B72" i="1"/>
  <c r="E72" i="1" s="1"/>
  <c r="H72" i="1"/>
  <c r="B74" i="1"/>
  <c r="E74" i="1" s="1"/>
  <c r="C76" i="1"/>
  <c r="B76" i="1" s="1"/>
  <c r="F76" i="1"/>
  <c r="B78" i="1"/>
  <c r="H78" i="1" s="1"/>
  <c r="E78" i="1"/>
  <c r="N78" i="1"/>
  <c r="B79" i="1"/>
  <c r="E79" i="1" s="1"/>
  <c r="H79" i="1"/>
  <c r="B80" i="1"/>
  <c r="E80" i="1" s="1"/>
  <c r="H80" i="1"/>
  <c r="B81" i="1"/>
  <c r="E81" i="1" s="1"/>
  <c r="K81" i="1"/>
  <c r="C82" i="1"/>
  <c r="B82" i="1" s="1"/>
  <c r="C86" i="1"/>
  <c r="E86" i="1"/>
  <c r="H86" i="1"/>
  <c r="K86" i="1"/>
  <c r="N86" i="1"/>
  <c r="C3" i="9"/>
  <c r="D28" i="9" s="1"/>
  <c r="D9" i="9"/>
  <c r="D14" i="9"/>
  <c r="E19" i="9"/>
  <c r="D23" i="9"/>
  <c r="D27" i="9"/>
  <c r="D29" i="9"/>
  <c r="D32" i="9"/>
  <c r="D33" i="9"/>
  <c r="E66" i="1" s="1"/>
  <c r="D35" i="9"/>
  <c r="N66" i="1" l="1"/>
  <c r="B29" i="2"/>
  <c r="C36" i="4"/>
  <c r="C19" i="1"/>
  <c r="C20" i="1"/>
  <c r="B21" i="1"/>
  <c r="E23" i="9"/>
  <c r="B83" i="1"/>
  <c r="B71" i="1"/>
  <c r="E56" i="1"/>
  <c r="H56" i="1"/>
  <c r="K56" i="1"/>
  <c r="B55" i="1"/>
  <c r="B26" i="2"/>
  <c r="C39" i="4"/>
  <c r="E37" i="4" s="1"/>
  <c r="E52" i="1"/>
  <c r="H52" i="1"/>
  <c r="K52" i="1"/>
  <c r="C14" i="2"/>
  <c r="N52" i="1"/>
  <c r="B51" i="1"/>
  <c r="H35" i="1"/>
  <c r="K35" i="1"/>
  <c r="N35" i="1"/>
  <c r="E35" i="1"/>
  <c r="C17" i="2"/>
  <c r="E16" i="1"/>
  <c r="N16" i="1"/>
  <c r="C20" i="2"/>
  <c r="B84" i="1"/>
  <c r="C84" i="1" s="1"/>
  <c r="E34" i="1"/>
  <c r="H34" i="1"/>
  <c r="K34" i="1"/>
  <c r="N34" i="1"/>
  <c r="E32" i="1"/>
  <c r="H32" i="1"/>
  <c r="K32" i="1"/>
  <c r="N32" i="1"/>
  <c r="C39" i="1"/>
  <c r="B39" i="1" s="1"/>
  <c r="C38" i="1"/>
  <c r="B38" i="1" s="1"/>
  <c r="H15" i="4"/>
  <c r="N80" i="1"/>
  <c r="C37" i="4"/>
  <c r="E13" i="1"/>
  <c r="H13" i="1"/>
  <c r="K13" i="1"/>
  <c r="N13" i="1"/>
  <c r="D26" i="9"/>
  <c r="N70" i="1"/>
  <c r="C48" i="1"/>
  <c r="C46" i="1" s="1"/>
  <c r="B33" i="1"/>
  <c r="B31" i="1"/>
  <c r="N14" i="1"/>
  <c r="K12" i="1"/>
  <c r="E44" i="4"/>
  <c r="C19" i="2"/>
  <c r="H85" i="1"/>
  <c r="K78" i="1"/>
  <c r="N72" i="1"/>
  <c r="K67" i="1"/>
  <c r="K65" i="1"/>
  <c r="K63" i="1"/>
  <c r="N26" i="1"/>
  <c r="E43" i="4"/>
  <c r="H12" i="1"/>
  <c r="D22" i="9"/>
  <c r="E85" i="1" s="1"/>
  <c r="K80" i="1"/>
  <c r="K72" i="1"/>
  <c r="H63" i="1"/>
  <c r="K26" i="1"/>
  <c r="E14" i="4"/>
  <c r="C40" i="4"/>
  <c r="E65" i="1"/>
  <c r="B33" i="2"/>
  <c r="C24" i="1"/>
  <c r="B16" i="1"/>
  <c r="C16" i="1" s="1"/>
  <c r="K17" i="4" s="1"/>
  <c r="K18" i="4" s="1"/>
  <c r="N79" i="1"/>
  <c r="B75" i="1"/>
  <c r="C18" i="2" s="1"/>
  <c r="H21" i="4"/>
  <c r="B95" i="1"/>
  <c r="B99" i="1" s="1"/>
  <c r="K68" i="1"/>
  <c r="K66" i="1"/>
  <c r="K64" i="1"/>
  <c r="N15" i="1"/>
  <c r="N81" i="1"/>
  <c r="K79" i="1"/>
  <c r="N74" i="1"/>
  <c r="D34" i="9"/>
  <c r="E67" i="1" s="1"/>
  <c r="H68" i="1"/>
  <c r="H66" i="1"/>
  <c r="H64" i="1"/>
  <c r="K74" i="1"/>
  <c r="H81" i="1"/>
  <c r="H74" i="1"/>
  <c r="C23" i="1" l="1"/>
  <c r="B24" i="1"/>
  <c r="C22" i="1"/>
  <c r="H38" i="1"/>
  <c r="K38" i="1"/>
  <c r="N38" i="1"/>
  <c r="B40" i="1"/>
  <c r="E38" i="1"/>
  <c r="B57" i="1"/>
  <c r="E55" i="1"/>
  <c r="H55" i="1"/>
  <c r="C12" i="2"/>
  <c r="K55" i="1"/>
  <c r="B90" i="1"/>
  <c r="B98" i="1" s="1"/>
  <c r="B91" i="1" s="1"/>
  <c r="N55" i="1"/>
  <c r="B20" i="1"/>
  <c r="H26" i="4"/>
  <c r="N65" i="1"/>
  <c r="E39" i="1"/>
  <c r="H39" i="1"/>
  <c r="K39" i="1"/>
  <c r="N39" i="1"/>
  <c r="H25" i="4"/>
  <c r="B19" i="1"/>
  <c r="E35" i="4"/>
  <c r="E28" i="4" s="1"/>
  <c r="N85" i="1"/>
  <c r="N56" i="1"/>
  <c r="K16" i="1"/>
  <c r="H33" i="1"/>
  <c r="K33" i="1"/>
  <c r="N33" i="1"/>
  <c r="E33" i="1"/>
  <c r="B46" i="1"/>
  <c r="C44" i="1"/>
  <c r="B44" i="1" s="1"/>
  <c r="D10" i="9"/>
  <c r="D16" i="9" s="1"/>
  <c r="C43" i="1"/>
  <c r="B43" i="1" s="1"/>
  <c r="C45" i="1"/>
  <c r="B45" i="1" s="1"/>
  <c r="C71" i="1"/>
  <c r="E71" i="1"/>
  <c r="H71" i="1"/>
  <c r="K71" i="1"/>
  <c r="E29" i="9"/>
  <c r="E37" i="9" s="1"/>
  <c r="E61" i="1"/>
  <c r="B85" i="1"/>
  <c r="K85" i="1"/>
  <c r="N51" i="1"/>
  <c r="C11" i="2"/>
  <c r="C51" i="1"/>
  <c r="E51" i="1"/>
  <c r="H51" i="1"/>
  <c r="K51" i="1"/>
  <c r="E35" i="9"/>
  <c r="N67" i="1"/>
  <c r="E31" i="1"/>
  <c r="E105" i="1"/>
  <c r="H31" i="1"/>
  <c r="H105" i="1"/>
  <c r="K105" i="1"/>
  <c r="K31" i="1"/>
  <c r="B36" i="1"/>
  <c r="B97" i="1"/>
  <c r="H16" i="1"/>
  <c r="H8" i="4"/>
  <c r="I9" i="4" s="1"/>
  <c r="E75" i="1"/>
  <c r="H75" i="1"/>
  <c r="K75" i="1"/>
  <c r="N75" i="1"/>
  <c r="K90" i="1" l="1"/>
  <c r="K98" i="1" s="1"/>
  <c r="K91" i="1" s="1"/>
  <c r="N71" i="1"/>
  <c r="E90" i="1"/>
  <c r="E98" i="1" s="1"/>
  <c r="E91" i="1" s="1"/>
  <c r="B58" i="1"/>
  <c r="C29" i="4"/>
  <c r="E27" i="4" s="1"/>
  <c r="B30" i="2"/>
  <c r="C60" i="1"/>
  <c r="E19" i="1"/>
  <c r="H19" i="1"/>
  <c r="K19" i="1"/>
  <c r="N19" i="1"/>
  <c r="I75" i="1"/>
  <c r="C25" i="11" s="1"/>
  <c r="N40" i="1"/>
  <c r="B96" i="1"/>
  <c r="E53" i="1"/>
  <c r="F51" i="1" s="1"/>
  <c r="E41" i="10" s="1"/>
  <c r="K40" i="1"/>
  <c r="B23" i="2"/>
  <c r="B25" i="2" s="1"/>
  <c r="B27" i="2" s="1"/>
  <c r="E41" i="4"/>
  <c r="H43" i="1"/>
  <c r="K43" i="1"/>
  <c r="N43" i="1"/>
  <c r="E43" i="1"/>
  <c r="H40" i="1"/>
  <c r="C13" i="2"/>
  <c r="F71" i="1"/>
  <c r="C29" i="10" s="1"/>
  <c r="F75" i="1"/>
  <c r="C25" i="10" s="1"/>
  <c r="K97" i="1"/>
  <c r="K36" i="1"/>
  <c r="N53" i="1"/>
  <c r="E44" i="1"/>
  <c r="H44" i="1"/>
  <c r="K44" i="1"/>
  <c r="N44" i="1"/>
  <c r="E40" i="1"/>
  <c r="B49" i="1"/>
  <c r="K11" i="4"/>
  <c r="K9" i="4" s="1"/>
  <c r="G2" i="4" s="1"/>
  <c r="B100" i="1"/>
  <c r="H28" i="4"/>
  <c r="H22" i="4" s="1"/>
  <c r="B22" i="1"/>
  <c r="O75" i="1"/>
  <c r="C25" i="13" s="1"/>
  <c r="H53" i="1"/>
  <c r="I51" i="1"/>
  <c r="E41" i="11" s="1"/>
  <c r="H45" i="1"/>
  <c r="K45" i="1"/>
  <c r="N45" i="1"/>
  <c r="E45" i="1"/>
  <c r="O65" i="1"/>
  <c r="H36" i="1"/>
  <c r="H97" i="1"/>
  <c r="C85" i="1"/>
  <c r="E11" i="4" s="1"/>
  <c r="B87" i="1"/>
  <c r="O56" i="1"/>
  <c r="C40" i="13" s="1"/>
  <c r="H29" i="4"/>
  <c r="B23" i="1"/>
  <c r="N31" i="1"/>
  <c r="E36" i="1"/>
  <c r="E97" i="1"/>
  <c r="O85" i="1"/>
  <c r="I71" i="1"/>
  <c r="C29" i="11" s="1"/>
  <c r="F61" i="1"/>
  <c r="C34" i="10" s="1"/>
  <c r="N61" i="1"/>
  <c r="O61" i="1" s="1"/>
  <c r="C34" i="13" s="1"/>
  <c r="E63" i="1"/>
  <c r="E20" i="1"/>
  <c r="H20" i="1"/>
  <c r="K20" i="1"/>
  <c r="N20" i="1"/>
  <c r="I55" i="1"/>
  <c r="C39" i="11" s="1"/>
  <c r="H90" i="1"/>
  <c r="H98" i="1" s="1"/>
  <c r="H91" i="1" s="1"/>
  <c r="K53" i="1"/>
  <c r="L71" i="1" s="1"/>
  <c r="C29" i="12" s="1"/>
  <c r="L51" i="1"/>
  <c r="E41" i="12" s="1"/>
  <c r="O55" i="1"/>
  <c r="C39" i="13" s="1"/>
  <c r="E37" i="13" s="1"/>
  <c r="N90" i="1"/>
  <c r="N98" i="1" s="1"/>
  <c r="N91" i="1" s="1"/>
  <c r="N97" i="1" l="1"/>
  <c r="N36" i="1"/>
  <c r="N105" i="1"/>
  <c r="E22" i="1"/>
  <c r="H22" i="1"/>
  <c r="K22" i="1"/>
  <c r="N22" i="1"/>
  <c r="L75" i="1"/>
  <c r="C25" i="12" s="1"/>
  <c r="B16" i="2"/>
  <c r="B18" i="2"/>
  <c r="B17" i="2"/>
  <c r="B20" i="2"/>
  <c r="B19" i="2"/>
  <c r="B14" i="2"/>
  <c r="E21" i="1"/>
  <c r="N21" i="1"/>
  <c r="H41" i="1"/>
  <c r="E23" i="1"/>
  <c r="H23" i="1"/>
  <c r="K23" i="1"/>
  <c r="N23" i="1"/>
  <c r="K21" i="1"/>
  <c r="L85" i="1"/>
  <c r="N46" i="1"/>
  <c r="H21" i="1"/>
  <c r="C33" i="4"/>
  <c r="E32" i="4" s="1"/>
  <c r="E13" i="4" s="1"/>
  <c r="B28" i="2"/>
  <c r="B60" i="1"/>
  <c r="H46" i="1"/>
  <c r="F63" i="1"/>
  <c r="C35" i="10" s="1"/>
  <c r="N63" i="1"/>
  <c r="O63" i="1" s="1"/>
  <c r="C35" i="13" s="1"/>
  <c r="F55" i="1"/>
  <c r="C39" i="10" s="1"/>
  <c r="O53" i="1"/>
  <c r="E44" i="13" s="1"/>
  <c r="N57" i="1"/>
  <c r="N95" i="1"/>
  <c r="N99" i="1" s="1"/>
  <c r="E43" i="13"/>
  <c r="O64" i="1"/>
  <c r="C36" i="13" s="1"/>
  <c r="O78" i="1"/>
  <c r="C19" i="13" s="1"/>
  <c r="E18" i="13" s="1"/>
  <c r="O68" i="1"/>
  <c r="O86" i="1"/>
  <c r="O72" i="1"/>
  <c r="C30" i="13" s="1"/>
  <c r="O80" i="1"/>
  <c r="C21" i="13" s="1"/>
  <c r="O81" i="1"/>
  <c r="E16" i="13" s="1"/>
  <c r="O74" i="1"/>
  <c r="C24" i="13" s="1"/>
  <c r="E23" i="13" s="1"/>
  <c r="O66" i="1"/>
  <c r="O70" i="1"/>
  <c r="C28" i="13" s="1"/>
  <c r="O52" i="1"/>
  <c r="E42" i="13" s="1"/>
  <c r="O79" i="1"/>
  <c r="C20" i="13" s="1"/>
  <c r="K41" i="1"/>
  <c r="O71" i="1"/>
  <c r="C29" i="13" s="1"/>
  <c r="O67" i="1"/>
  <c r="C37" i="13" s="1"/>
  <c r="O51" i="1"/>
  <c r="E41" i="13" s="1"/>
  <c r="E46" i="1"/>
  <c r="E57" i="1"/>
  <c r="F64" i="1"/>
  <c r="C36" i="10" s="1"/>
  <c r="F68" i="1"/>
  <c r="E43" i="10"/>
  <c r="E95" i="1"/>
  <c r="E99" i="1" s="1"/>
  <c r="F70" i="1"/>
  <c r="C28" i="10" s="1"/>
  <c r="F53" i="1"/>
  <c r="E44" i="10" s="1"/>
  <c r="F80" i="1"/>
  <c r="C21" i="10" s="1"/>
  <c r="F66" i="1"/>
  <c r="F79" i="1"/>
  <c r="C20" i="10" s="1"/>
  <c r="F74" i="1"/>
  <c r="C24" i="10" s="1"/>
  <c r="E23" i="10" s="1"/>
  <c r="F78" i="1"/>
  <c r="C19" i="10" s="1"/>
  <c r="E18" i="10" s="1"/>
  <c r="F72" i="1"/>
  <c r="C30" i="10" s="1"/>
  <c r="F86" i="1"/>
  <c r="F81" i="1"/>
  <c r="E16" i="10" s="1"/>
  <c r="F67" i="1"/>
  <c r="F85" i="1"/>
  <c r="F65" i="1"/>
  <c r="F52" i="1"/>
  <c r="E42" i="10" s="1"/>
  <c r="F56" i="1"/>
  <c r="C40" i="10" s="1"/>
  <c r="B93" i="1"/>
  <c r="C87" i="1"/>
  <c r="E9" i="4" s="1"/>
  <c r="G6" i="4" s="1"/>
  <c r="B92" i="1"/>
  <c r="B88" i="1"/>
  <c r="E43" i="12"/>
  <c r="K57" i="1"/>
  <c r="L61" i="1"/>
  <c r="C34" i="12" s="1"/>
  <c r="L86" i="1"/>
  <c r="K95" i="1"/>
  <c r="K99" i="1" s="1"/>
  <c r="K96" i="1" s="1"/>
  <c r="L53" i="1"/>
  <c r="E44" i="12" s="1"/>
  <c r="L81" i="1"/>
  <c r="E16" i="12" s="1"/>
  <c r="L70" i="1"/>
  <c r="C28" i="12" s="1"/>
  <c r="E27" i="12" s="1"/>
  <c r="L67" i="1"/>
  <c r="L66" i="1"/>
  <c r="L74" i="1"/>
  <c r="C24" i="12" s="1"/>
  <c r="E23" i="12" s="1"/>
  <c r="L52" i="1"/>
  <c r="E42" i="12" s="1"/>
  <c r="L79" i="1"/>
  <c r="C20" i="12" s="1"/>
  <c r="L64" i="1"/>
  <c r="C36" i="12" s="1"/>
  <c r="L80" i="1"/>
  <c r="C21" i="12" s="1"/>
  <c r="L56" i="1"/>
  <c r="C40" i="12" s="1"/>
  <c r="L78" i="1"/>
  <c r="C19" i="12" s="1"/>
  <c r="L72" i="1"/>
  <c r="C30" i="12" s="1"/>
  <c r="L63" i="1"/>
  <c r="C35" i="12" s="1"/>
  <c r="L68" i="1"/>
  <c r="L65" i="1"/>
  <c r="K46" i="1"/>
  <c r="L55" i="1"/>
  <c r="C39" i="12" s="1"/>
  <c r="E41" i="1"/>
  <c r="E96" i="1"/>
  <c r="E43" i="11"/>
  <c r="H57" i="1"/>
  <c r="H95" i="1"/>
  <c r="H99" i="1" s="1"/>
  <c r="H96" i="1" s="1"/>
  <c r="I53" i="1"/>
  <c r="E44" i="11" s="1"/>
  <c r="I79" i="1"/>
  <c r="C20" i="11" s="1"/>
  <c r="I61" i="1"/>
  <c r="C34" i="11" s="1"/>
  <c r="I65" i="1"/>
  <c r="I70" i="1"/>
  <c r="C28" i="11" s="1"/>
  <c r="E27" i="11" s="1"/>
  <c r="I72" i="1"/>
  <c r="C30" i="11" s="1"/>
  <c r="I86" i="1"/>
  <c r="I78" i="1"/>
  <c r="C19" i="11" s="1"/>
  <c r="I67" i="1"/>
  <c r="I80" i="1"/>
  <c r="C21" i="11" s="1"/>
  <c r="I66" i="1"/>
  <c r="I56" i="1"/>
  <c r="C40" i="11" s="1"/>
  <c r="E37" i="11" s="1"/>
  <c r="I74" i="1"/>
  <c r="C24" i="11" s="1"/>
  <c r="E23" i="11" s="1"/>
  <c r="I64" i="1"/>
  <c r="C36" i="11" s="1"/>
  <c r="I63" i="1"/>
  <c r="C35" i="11" s="1"/>
  <c r="I81" i="1"/>
  <c r="E16" i="11" s="1"/>
  <c r="I85" i="1"/>
  <c r="I52" i="1"/>
  <c r="E42" i="11" s="1"/>
  <c r="I68" i="1"/>
  <c r="N41" i="1"/>
  <c r="E28" i="11" l="1"/>
  <c r="E35" i="11"/>
  <c r="C37" i="10"/>
  <c r="K11" i="10"/>
  <c r="K11" i="13"/>
  <c r="N27" i="1"/>
  <c r="H76" i="1"/>
  <c r="I57" i="1"/>
  <c r="O57" i="1"/>
  <c r="E35" i="13"/>
  <c r="E28" i="13" s="1"/>
  <c r="E37" i="10"/>
  <c r="E35" i="12"/>
  <c r="E28" i="12" s="1"/>
  <c r="K11" i="12"/>
  <c r="E10" i="4"/>
  <c r="K76" i="1"/>
  <c r="L57" i="1"/>
  <c r="E27" i="13"/>
  <c r="K11" i="11"/>
  <c r="N24" i="1"/>
  <c r="K24" i="1"/>
  <c r="H24" i="1"/>
  <c r="E37" i="12"/>
  <c r="C37" i="12"/>
  <c r="E35" i="10"/>
  <c r="E28" i="10" s="1"/>
  <c r="K27" i="1"/>
  <c r="E27" i="10"/>
  <c r="E18" i="11"/>
  <c r="E24" i="1"/>
  <c r="E18" i="12"/>
  <c r="C15" i="2"/>
  <c r="B15" i="2" s="1"/>
  <c r="E60" i="1"/>
  <c r="F60" i="1" s="1"/>
  <c r="C33" i="10" s="1"/>
  <c r="E32" i="10" s="1"/>
  <c r="H60" i="1"/>
  <c r="K60" i="1"/>
  <c r="L60" i="1" s="1"/>
  <c r="C33" i="12" s="1"/>
  <c r="B77" i="1"/>
  <c r="G3" i="4"/>
  <c r="H6" i="4"/>
  <c r="C37" i="11"/>
  <c r="F57" i="1"/>
  <c r="N96" i="1"/>
  <c r="K28" i="1" l="1"/>
  <c r="L27" i="1" s="1"/>
  <c r="H17" i="12" s="1"/>
  <c r="H3" i="4"/>
  <c r="I3" i="4"/>
  <c r="N28" i="1"/>
  <c r="I76" i="1"/>
  <c r="H77" i="1"/>
  <c r="H82" i="1"/>
  <c r="N60" i="1"/>
  <c r="I60" i="1"/>
  <c r="C33" i="11" s="1"/>
  <c r="E32" i="11" s="1"/>
  <c r="H25" i="1"/>
  <c r="K25" i="1"/>
  <c r="L25" i="1" s="1"/>
  <c r="H21" i="12" s="1"/>
  <c r="L24" i="1"/>
  <c r="K83" i="1"/>
  <c r="L76" i="1"/>
  <c r="K77" i="1"/>
  <c r="K82" i="1"/>
  <c r="E32" i="12"/>
  <c r="N25" i="1"/>
  <c r="O25" i="1" s="1"/>
  <c r="H21" i="13" s="1"/>
  <c r="O24" i="1"/>
  <c r="E25" i="1"/>
  <c r="E27" i="1"/>
  <c r="H27" i="1"/>
  <c r="E76" i="1"/>
  <c r="H84" i="1" l="1"/>
  <c r="I84" i="1" s="1"/>
  <c r="E11" i="11" s="1"/>
  <c r="I82" i="1"/>
  <c r="E14" i="11" s="1"/>
  <c r="H87" i="1"/>
  <c r="E77" i="1"/>
  <c r="E82" i="1"/>
  <c r="E83" i="1" s="1"/>
  <c r="E28" i="1"/>
  <c r="N48" i="1"/>
  <c r="O48" i="1" s="1"/>
  <c r="H13" i="13"/>
  <c r="O28" i="1"/>
  <c r="H14" i="13" s="1"/>
  <c r="H15" i="13" s="1"/>
  <c r="O12" i="1"/>
  <c r="K25" i="13" s="1"/>
  <c r="O34" i="1"/>
  <c r="O14" i="1"/>
  <c r="K19" i="13" s="1"/>
  <c r="O26" i="1"/>
  <c r="H19" i="13" s="1"/>
  <c r="O32" i="1"/>
  <c r="O13" i="1"/>
  <c r="K21" i="13" s="1"/>
  <c r="O16" i="1"/>
  <c r="K17" i="13" s="1"/>
  <c r="O35" i="1"/>
  <c r="O15" i="1"/>
  <c r="K23" i="13" s="1"/>
  <c r="O38" i="1"/>
  <c r="O39" i="1"/>
  <c r="O33" i="1"/>
  <c r="O31" i="1"/>
  <c r="O44" i="1"/>
  <c r="O40" i="1"/>
  <c r="O45" i="1"/>
  <c r="O20" i="1"/>
  <c r="H26" i="13" s="1"/>
  <c r="O43" i="1"/>
  <c r="O19" i="1"/>
  <c r="H25" i="13" s="1"/>
  <c r="H22" i="13" s="1"/>
  <c r="O23" i="1"/>
  <c r="H29" i="13" s="1"/>
  <c r="O41" i="1"/>
  <c r="O22" i="1"/>
  <c r="H28" i="13" s="1"/>
  <c r="N49" i="1"/>
  <c r="O46" i="1"/>
  <c r="O36" i="1"/>
  <c r="O21" i="1"/>
  <c r="H28" i="1"/>
  <c r="H100" i="1" s="1"/>
  <c r="H83" i="1"/>
  <c r="O27" i="1"/>
  <c r="H17" i="13" s="1"/>
  <c r="O60" i="1"/>
  <c r="C33" i="13" s="1"/>
  <c r="E32" i="13" s="1"/>
  <c r="N76" i="1"/>
  <c r="I25" i="1"/>
  <c r="H21" i="11" s="1"/>
  <c r="K48" i="1"/>
  <c r="L48" i="1" s="1"/>
  <c r="L28" i="1"/>
  <c r="H14" i="12" s="1"/>
  <c r="H15" i="12" s="1"/>
  <c r="H13" i="12"/>
  <c r="L15" i="1"/>
  <c r="K23" i="12" s="1"/>
  <c r="L14" i="1"/>
  <c r="K19" i="12" s="1"/>
  <c r="L13" i="1"/>
  <c r="K21" i="12" s="1"/>
  <c r="L35" i="1"/>
  <c r="L34" i="1"/>
  <c r="L32" i="1"/>
  <c r="L12" i="1"/>
  <c r="K25" i="12" s="1"/>
  <c r="L26" i="1"/>
  <c r="H19" i="12" s="1"/>
  <c r="L39" i="1"/>
  <c r="L31" i="1"/>
  <c r="L38" i="1"/>
  <c r="L16" i="1"/>
  <c r="K17" i="12" s="1"/>
  <c r="L33" i="1"/>
  <c r="L19" i="1"/>
  <c r="H25" i="12" s="1"/>
  <c r="H22" i="12" s="1"/>
  <c r="L43" i="1"/>
  <c r="L44" i="1"/>
  <c r="L40" i="1"/>
  <c r="L20" i="1"/>
  <c r="H26" i="12" s="1"/>
  <c r="L45" i="1"/>
  <c r="L36" i="1"/>
  <c r="L21" i="1"/>
  <c r="L22" i="1"/>
  <c r="H28" i="12" s="1"/>
  <c r="L23" i="1"/>
  <c r="H29" i="12" s="1"/>
  <c r="L41" i="1"/>
  <c r="K49" i="1"/>
  <c r="L46" i="1"/>
  <c r="E13" i="12"/>
  <c r="K84" i="1"/>
  <c r="L84" i="1" s="1"/>
  <c r="E11" i="12" s="1"/>
  <c r="L82" i="1"/>
  <c r="E14" i="12" s="1"/>
  <c r="K100" i="1"/>
  <c r="K87" i="1"/>
  <c r="K9" i="13" l="1"/>
  <c r="H8" i="13"/>
  <c r="I9" i="13"/>
  <c r="H13" i="10"/>
  <c r="F28" i="1"/>
  <c r="H14" i="10" s="1"/>
  <c r="F14" i="1"/>
  <c r="K19" i="10" s="1"/>
  <c r="E48" i="1"/>
  <c r="F48" i="1" s="1"/>
  <c r="F15" i="1"/>
  <c r="K23" i="10" s="1"/>
  <c r="F12" i="1"/>
  <c r="K25" i="10" s="1"/>
  <c r="F26" i="1"/>
  <c r="H19" i="10" s="1"/>
  <c r="F16" i="1"/>
  <c r="K17" i="10" s="1"/>
  <c r="F13" i="1"/>
  <c r="K21" i="10" s="1"/>
  <c r="F32" i="1"/>
  <c r="F35" i="1"/>
  <c r="F34" i="1"/>
  <c r="F33" i="1"/>
  <c r="F39" i="1"/>
  <c r="F31" i="1"/>
  <c r="F38" i="1"/>
  <c r="F20" i="1"/>
  <c r="H26" i="10" s="1"/>
  <c r="F36" i="1"/>
  <c r="F40" i="1"/>
  <c r="F44" i="1"/>
  <c r="F45" i="1"/>
  <c r="F19" i="1"/>
  <c r="H25" i="10" s="1"/>
  <c r="F43" i="1"/>
  <c r="F21" i="1"/>
  <c r="F22" i="1"/>
  <c r="H28" i="10" s="1"/>
  <c r="F41" i="1"/>
  <c r="E49" i="1"/>
  <c r="F46" i="1"/>
  <c r="F23" i="1"/>
  <c r="H29" i="10" s="1"/>
  <c r="F24" i="1"/>
  <c r="F27" i="1"/>
  <c r="H17" i="10" s="1"/>
  <c r="F25" i="1"/>
  <c r="H21" i="10" s="1"/>
  <c r="H22" i="10" s="1"/>
  <c r="E84" i="1"/>
  <c r="F84" i="1" s="1"/>
  <c r="E11" i="10" s="1"/>
  <c r="F82" i="1"/>
  <c r="E14" i="10" s="1"/>
  <c r="E100" i="1"/>
  <c r="K9" i="12"/>
  <c r="H8" i="12"/>
  <c r="I9" i="12"/>
  <c r="H93" i="1"/>
  <c r="I87" i="1"/>
  <c r="E9" i="11" s="1"/>
  <c r="H92" i="1"/>
  <c r="H104" i="1"/>
  <c r="H106" i="1" s="1"/>
  <c r="O76" i="1"/>
  <c r="N77" i="1"/>
  <c r="N82" i="1"/>
  <c r="K92" i="1"/>
  <c r="K93" i="1"/>
  <c r="L87" i="1"/>
  <c r="E9" i="12" s="1"/>
  <c r="G6" i="12" s="1"/>
  <c r="K104" i="1"/>
  <c r="K106" i="1" s="1"/>
  <c r="E10" i="11"/>
  <c r="K18" i="12"/>
  <c r="H13" i="11"/>
  <c r="H48" i="1"/>
  <c r="I48" i="1" s="1"/>
  <c r="I15" i="1"/>
  <c r="K23" i="11" s="1"/>
  <c r="I28" i="1"/>
  <c r="H14" i="11" s="1"/>
  <c r="I14" i="1"/>
  <c r="K19" i="11" s="1"/>
  <c r="I26" i="1"/>
  <c r="H19" i="11" s="1"/>
  <c r="I13" i="1"/>
  <c r="K21" i="11" s="1"/>
  <c r="I32" i="1"/>
  <c r="I35" i="1"/>
  <c r="I34" i="1"/>
  <c r="I12" i="1"/>
  <c r="K25" i="11" s="1"/>
  <c r="I31" i="1"/>
  <c r="I16" i="1"/>
  <c r="K17" i="11" s="1"/>
  <c r="I33" i="1"/>
  <c r="I38" i="1"/>
  <c r="I39" i="1"/>
  <c r="I20" i="1"/>
  <c r="H26" i="11" s="1"/>
  <c r="H22" i="11" s="1"/>
  <c r="I45" i="1"/>
  <c r="I43" i="1"/>
  <c r="I36" i="1"/>
  <c r="I44" i="1"/>
  <c r="I40" i="1"/>
  <c r="I19" i="1"/>
  <c r="H25" i="11" s="1"/>
  <c r="I21" i="1"/>
  <c r="H49" i="1"/>
  <c r="I46" i="1"/>
  <c r="I41" i="1"/>
  <c r="I22" i="1"/>
  <c r="H28" i="11" s="1"/>
  <c r="I23" i="1"/>
  <c r="H29" i="11" s="1"/>
  <c r="I24" i="1"/>
  <c r="H88" i="1"/>
  <c r="G2" i="12"/>
  <c r="I27" i="1"/>
  <c r="H17" i="11" s="1"/>
  <c r="K88" i="1"/>
  <c r="K18" i="13"/>
  <c r="E13" i="11"/>
  <c r="E13" i="10" l="1"/>
  <c r="E10" i="12"/>
  <c r="N84" i="1"/>
  <c r="O84" i="1" s="1"/>
  <c r="E11" i="13" s="1"/>
  <c r="N100" i="1"/>
  <c r="O82" i="1"/>
  <c r="E14" i="13" s="1"/>
  <c r="K18" i="10"/>
  <c r="N83" i="1"/>
  <c r="G3" i="12"/>
  <c r="H3" i="12" s="1"/>
  <c r="H6" i="12"/>
  <c r="K18" i="11"/>
  <c r="G6" i="11"/>
  <c r="H15" i="10"/>
  <c r="K9" i="10"/>
  <c r="H8" i="10"/>
  <c r="G2" i="10" s="1"/>
  <c r="H15" i="11"/>
  <c r="K9" i="11"/>
  <c r="H8" i="11"/>
  <c r="G2" i="11" s="1"/>
  <c r="I9" i="11"/>
  <c r="E87" i="1"/>
  <c r="G2" i="13" l="1"/>
  <c r="E13" i="13"/>
  <c r="I9" i="10"/>
  <c r="G3" i="11"/>
  <c r="H3" i="11" s="1"/>
  <c r="H6" i="11"/>
  <c r="E93" i="1"/>
  <c r="F87" i="1"/>
  <c r="E9" i="10" s="1"/>
  <c r="E104" i="1"/>
  <c r="E106" i="1" s="1"/>
  <c r="E92" i="1"/>
  <c r="E88" i="1"/>
  <c r="N87" i="1"/>
  <c r="N104" i="1" l="1"/>
  <c r="N106" i="1" s="1"/>
  <c r="O87" i="1"/>
  <c r="E9" i="13" s="1"/>
  <c r="N92" i="1"/>
  <c r="N93" i="1"/>
  <c r="N88" i="1"/>
  <c r="G6" i="10"/>
  <c r="E10" i="10"/>
  <c r="G3" i="10" l="1"/>
  <c r="H3" i="10" s="1"/>
  <c r="H6" i="10"/>
  <c r="G6" i="13"/>
  <c r="E10" i="13"/>
  <c r="G3" i="13" l="1"/>
  <c r="H3" i="13" s="1"/>
  <c r="H6" i="13"/>
</calcChain>
</file>

<file path=xl/comments1.xml><?xml version="1.0" encoding="utf-8"?>
<comments xmlns="http://schemas.openxmlformats.org/spreadsheetml/2006/main">
  <authors>
    <author>Fisher College of Business</author>
  </authors>
  <commentList>
    <comment ref="C21" authorId="0" shapeId="0">
      <text>
        <r>
          <rPr>
            <b/>
            <sz val="8"/>
            <color indexed="81"/>
            <rFont val="Tahoma"/>
            <family val="2"/>
          </rPr>
          <t>Fisher College of Business:</t>
        </r>
        <r>
          <rPr>
            <sz val="8"/>
            <color indexed="81"/>
            <rFont val="Tahoma"/>
            <family val="2"/>
          </rPr>
          <t xml:space="preserve">
Assumed that 75% of PP&amp;E is related to warehouse/distribution facilities</t>
        </r>
      </text>
    </comment>
    <comment ref="C31" authorId="0" shapeId="0">
      <text>
        <r>
          <rPr>
            <b/>
            <sz val="8"/>
            <color indexed="81"/>
            <rFont val="Tahoma"/>
            <family val="2"/>
          </rPr>
          <t>Fisher College of Business:</t>
        </r>
        <r>
          <rPr>
            <sz val="8"/>
            <color indexed="81"/>
            <rFont val="Tahoma"/>
            <family val="2"/>
          </rPr>
          <t xml:space="preserve">
Assumed 75% of payables are inventory related</t>
        </r>
      </text>
    </comment>
    <comment ref="E31" authorId="0" shapeId="0">
      <text>
        <r>
          <rPr>
            <b/>
            <sz val="8"/>
            <color indexed="81"/>
            <rFont val="Tahoma"/>
            <family val="2"/>
          </rPr>
          <t>Fisher College of Business:</t>
        </r>
        <r>
          <rPr>
            <sz val="8"/>
            <color indexed="81"/>
            <rFont val="Tahoma"/>
            <family val="2"/>
          </rPr>
          <t xml:space="preserve">
Entire inventory decrease assumed to come from drop in AP</t>
        </r>
      </text>
    </comment>
    <comment ref="C34" authorId="0" shapeId="0">
      <text>
        <r>
          <rPr>
            <b/>
            <sz val="8"/>
            <color indexed="81"/>
            <rFont val="Tahoma"/>
            <family val="2"/>
          </rPr>
          <t>Fisher College of Business:</t>
        </r>
        <r>
          <rPr>
            <sz val="8"/>
            <color indexed="81"/>
            <rFont val="Tahoma"/>
            <family val="2"/>
          </rPr>
          <t xml:space="preserve">
NHRAW reported 8.1% of other current liabilities; allocated 25% to accrued expenses, remainder to 'other'</t>
        </r>
      </text>
    </comment>
    <comment ref="C38" authorId="0" shapeId="0">
      <text>
        <r>
          <rPr>
            <b/>
            <sz val="8"/>
            <color indexed="81"/>
            <rFont val="Tahoma"/>
            <family val="2"/>
          </rPr>
          <t>Fisher College of Business:</t>
        </r>
        <r>
          <rPr>
            <sz val="8"/>
            <color indexed="81"/>
            <rFont val="Tahoma"/>
            <family val="2"/>
          </rPr>
          <t xml:space="preserve">
allocated 75% of noncurrent liab to debt, 25% to other liab</t>
        </r>
      </text>
    </comment>
    <comment ref="C43" authorId="0" shapeId="0">
      <text>
        <r>
          <rPr>
            <b/>
            <sz val="8"/>
            <color indexed="81"/>
            <rFont val="Tahoma"/>
            <family val="2"/>
          </rPr>
          <t>Fisher College of Business:</t>
        </r>
        <r>
          <rPr>
            <sz val="8"/>
            <color indexed="81"/>
            <rFont val="Tahoma"/>
            <family val="2"/>
          </rPr>
          <t xml:space="preserve">
Allocated only 1% of book equity to be par value, the remainder is additional paid in captial/surplus</t>
        </r>
      </text>
    </comment>
    <comment ref="C52" authorId="0" shapeId="0">
      <text>
        <r>
          <rPr>
            <b/>
            <sz val="8"/>
            <color indexed="81"/>
            <rFont val="Tahoma"/>
            <family val="2"/>
          </rPr>
          <t>Fisher College of Business:</t>
        </r>
        <r>
          <rPr>
            <sz val="8"/>
            <color indexed="81"/>
            <rFont val="Tahoma"/>
            <family val="2"/>
          </rPr>
          <t xml:space="preserve">
Estimate per Dr. LaLonde</t>
        </r>
      </text>
    </comment>
    <comment ref="C56" authorId="0" shapeId="0">
      <text>
        <r>
          <rPr>
            <b/>
            <sz val="8"/>
            <color indexed="81"/>
            <rFont val="Tahoma"/>
            <family val="2"/>
          </rPr>
          <t>Fisher College of Business:</t>
        </r>
        <r>
          <rPr>
            <sz val="8"/>
            <color indexed="81"/>
            <rFont val="Tahoma"/>
            <family val="2"/>
          </rPr>
          <t xml:space="preserve">
assumed 2% of COGS was inbound freight</t>
        </r>
      </text>
    </comment>
    <comment ref="E63" authorId="0" shapeId="0">
      <text>
        <r>
          <rPr>
            <b/>
            <sz val="8"/>
            <color indexed="81"/>
            <rFont val="Tahoma"/>
            <family val="2"/>
          </rPr>
          <t>Fisher College of Business:</t>
        </r>
        <r>
          <rPr>
            <sz val="8"/>
            <color indexed="81"/>
            <rFont val="Tahoma"/>
            <family val="2"/>
          </rPr>
          <t xml:space="preserve">
assume 10% of space needs are fulfilled by leased/public, etc.</t>
        </r>
      </text>
    </comment>
    <comment ref="B71" authorId="0" shapeId="0">
      <text>
        <r>
          <rPr>
            <b/>
            <sz val="8"/>
            <color indexed="81"/>
            <rFont val="Tahoma"/>
            <family val="2"/>
          </rPr>
          <t>Fisher College of Business:</t>
        </r>
        <r>
          <rPr>
            <sz val="8"/>
            <color indexed="81"/>
            <rFont val="Tahoma"/>
            <family val="2"/>
          </rPr>
          <t xml:space="preserve">
assumed 30%/70% split of freight costs for in-bound/out-bound, respectively</t>
        </r>
      </text>
    </comment>
  </commentList>
</comments>
</file>

<file path=xl/sharedStrings.xml><?xml version="1.0" encoding="utf-8"?>
<sst xmlns="http://schemas.openxmlformats.org/spreadsheetml/2006/main" count="424" uniqueCount="195">
  <si>
    <t>Leverage</t>
  </si>
  <si>
    <t>ROA</t>
  </si>
  <si>
    <t>Total Assets</t>
  </si>
  <si>
    <t>Net Margin</t>
  </si>
  <si>
    <t>Asset T/O</t>
  </si>
  <si>
    <t>Total Equity</t>
  </si>
  <si>
    <t>Pretax Margin</t>
  </si>
  <si>
    <t>Inventory</t>
  </si>
  <si>
    <t>Gross Margin</t>
  </si>
  <si>
    <t>BALANCE SHEET</t>
  </si>
  <si>
    <t>Other Current Assets</t>
  </si>
  <si>
    <t>TOTAL CURRENT ASSETS</t>
  </si>
  <si>
    <t>TOTAL NONCURRENT ASSETS</t>
  </si>
  <si>
    <t>TOTAL ASSETS</t>
  </si>
  <si>
    <t>Accounts Payable</t>
  </si>
  <si>
    <t>TOTAL CURRENT LIABILITIES</t>
  </si>
  <si>
    <t>TOTAL NONCURRENT LIABILITIES</t>
  </si>
  <si>
    <t>TOTAL LIABILITIES</t>
  </si>
  <si>
    <t>Retained Earnings</t>
  </si>
  <si>
    <t>GROSS MARGIN</t>
  </si>
  <si>
    <t>PRETAX INCOME</t>
  </si>
  <si>
    <t>NET INCOME</t>
  </si>
  <si>
    <t>Operating Net Cash Flow</t>
  </si>
  <si>
    <t>Accounts Receivable</t>
  </si>
  <si>
    <t xml:space="preserve">  Warehouse/Distribution Gross</t>
  </si>
  <si>
    <t xml:space="preserve">  Other PP&amp;E Gross</t>
  </si>
  <si>
    <t>Other NonCurrent Assets</t>
  </si>
  <si>
    <t>Cash &amp; Equivlnts, ST Investments</t>
  </si>
  <si>
    <t>Current Debt</t>
  </si>
  <si>
    <t>Accrued Expenses</t>
  </si>
  <si>
    <t>Other Current Liabilities</t>
  </si>
  <si>
    <t>NonCurrent Debt</t>
  </si>
  <si>
    <t>Other NonCurrent Liabilities</t>
  </si>
  <si>
    <t>INCOME STATEMENT</t>
  </si>
  <si>
    <t>Stock - Par</t>
  </si>
  <si>
    <t>Stock - Surplus</t>
  </si>
  <si>
    <t>TOTAL EQUITY</t>
  </si>
  <si>
    <t>TOTAL LIABILITIES &amp; EQUITY</t>
  </si>
  <si>
    <t>Net Sales</t>
  </si>
  <si>
    <t>Cost of Goods Sold</t>
  </si>
  <si>
    <t xml:space="preserve">  Insurance</t>
  </si>
  <si>
    <t xml:space="preserve">    Warehousing/Distribution Facilities</t>
  </si>
  <si>
    <t>Interest Expense/Income</t>
  </si>
  <si>
    <t>Depreciation &amp; Amortization</t>
  </si>
  <si>
    <t xml:space="preserve">  General SG&amp;A (salaries, corporate overhead)</t>
  </si>
  <si>
    <t>Discontinued Ops, Extraordinary Items (net of tax)</t>
  </si>
  <si>
    <t>'AS-IS' ($000)</t>
  </si>
  <si>
    <t>'TO-BE' ($000)</t>
  </si>
  <si>
    <t>Taxes &amp; Discnt'd/Extrord</t>
  </si>
  <si>
    <t xml:space="preserve">  In-bound Freight</t>
  </si>
  <si>
    <t xml:space="preserve">  Out-bound Freight</t>
  </si>
  <si>
    <t xml:space="preserve">  Customer Service Expense</t>
  </si>
  <si>
    <t xml:space="preserve">  Net Income</t>
  </si>
  <si>
    <t xml:space="preserve">  Other Payables</t>
  </si>
  <si>
    <t xml:space="preserve">  Inventory/COGS Payables</t>
  </si>
  <si>
    <t xml:space="preserve">  Accounts Payble Days</t>
  </si>
  <si>
    <t xml:space="preserve">  Inventory Days</t>
  </si>
  <si>
    <t xml:space="preserve">  Accounts Receivable Days</t>
  </si>
  <si>
    <t>Total Current Assets</t>
  </si>
  <si>
    <t>Cash, Equiv &amp; ST Inv</t>
  </si>
  <si>
    <t xml:space="preserve">  Warehouse/Distribution Accum Depreciation</t>
  </si>
  <si>
    <t xml:space="preserve">  Net Warehouse/Distribution PP&amp;E</t>
  </si>
  <si>
    <t xml:space="preserve">  Other PP&amp;E Accum Depreciation</t>
  </si>
  <si>
    <t xml:space="preserve">  Net Other PP&amp;E</t>
  </si>
  <si>
    <t>Total NonCurrent Assets</t>
  </si>
  <si>
    <t>Property, Plant &amp; Equipment (PP&amp;E)</t>
  </si>
  <si>
    <t>Net Total PP&amp;E</t>
  </si>
  <si>
    <t xml:space="preserve">  Other Gross PP&amp;E</t>
  </si>
  <si>
    <t xml:space="preserve"> Other Accum Dep</t>
  </si>
  <si>
    <t>Warehsng/Dist Gross PP&amp;E</t>
  </si>
  <si>
    <t>Warehsng/Dist Accum Dep</t>
  </si>
  <si>
    <t>In-Bound Freight</t>
  </si>
  <si>
    <t>Product Costs</t>
  </si>
  <si>
    <t>Warehouse/Distribution Expenses</t>
  </si>
  <si>
    <t>Sales, General &amp; Administrative Expenses</t>
  </si>
  <si>
    <t>General Warehsng/Dist Exp</t>
  </si>
  <si>
    <t>Warehsng/Dist Insurance</t>
  </si>
  <si>
    <t>Inventory Insurance</t>
  </si>
  <si>
    <t>Depreciation Expense</t>
  </si>
  <si>
    <t xml:space="preserve">  Warehouse/Distribution Depreciation</t>
  </si>
  <si>
    <t>Interest Expense</t>
  </si>
  <si>
    <t>Non-Operating Expense</t>
  </si>
  <si>
    <t>General SG&amp;A</t>
  </si>
  <si>
    <t>Out-bound Freight</t>
  </si>
  <si>
    <t>Customer Service Expense</t>
  </si>
  <si>
    <t xml:space="preserve">  General Corporate Depreciation</t>
  </si>
  <si>
    <t>Genrl Corporate Depreciation</t>
  </si>
  <si>
    <t>Warehsng/Dist Depreciation</t>
  </si>
  <si>
    <t xml:space="preserve">  General Corporate Debt Interest</t>
  </si>
  <si>
    <t xml:space="preserve">  Warehousing/Distribution Facilities Interest</t>
  </si>
  <si>
    <t xml:space="preserve">  Excess Inventory Interest (carrying cost)</t>
  </si>
  <si>
    <t>General Corporate Interest</t>
  </si>
  <si>
    <t>Warehsng/Distrib Interest</t>
  </si>
  <si>
    <t>Excess Inventory Interest</t>
  </si>
  <si>
    <t>Selling, Genrl &amp; Admin Expense</t>
  </si>
  <si>
    <t>Warehousing/Distribtn Expense</t>
  </si>
  <si>
    <t>Gross Sales</t>
  </si>
  <si>
    <t>Returns, Allowances &amp; Discounts</t>
  </si>
  <si>
    <t>Cash-to-Cash Cycle (Days)</t>
  </si>
  <si>
    <t>Net Change</t>
  </si>
  <si>
    <t>Common Size</t>
  </si>
  <si>
    <t>Returns, Allowances, Discounts</t>
  </si>
  <si>
    <t>$</t>
  </si>
  <si>
    <t>PreTax Margin</t>
  </si>
  <si>
    <t>Asset Turnover (Sales/T. Assets)</t>
  </si>
  <si>
    <t>Debt to Equity Ratio</t>
  </si>
  <si>
    <t>OPERATING INCOME</t>
  </si>
  <si>
    <t>Other NonOperating Expense/(Income)</t>
  </si>
  <si>
    <t>Operating Margin</t>
  </si>
  <si>
    <t>Inventory Turns (on COGS)</t>
  </si>
  <si>
    <t>Accounts Receivable Turns (on Sales)</t>
  </si>
  <si>
    <t>ROE (Pre-Tax)</t>
  </si>
  <si>
    <t>ROE (Post-Tax)</t>
  </si>
  <si>
    <t>BASELINE INPUTS:</t>
  </si>
  <si>
    <t>BASELINE</t>
  </si>
  <si>
    <t xml:space="preserve">  Change in Accounts Receivable/One-Time Drop in Inventory</t>
  </si>
  <si>
    <t>SCENARIO 1: INVENTORY DOWN 20%</t>
  </si>
  <si>
    <t xml:space="preserve">SCENARIO 4: SCENARIOS 1-3 COMBINED </t>
  </si>
  <si>
    <t>WHOLESALER STRATEGIC PROFIT MODEL</t>
  </si>
  <si>
    <t>KEY PERFORMANCE METRICS</t>
  </si>
  <si>
    <t>Other Current</t>
  </si>
  <si>
    <t>TYPICAL WHOLESALER</t>
  </si>
  <si>
    <t>INCOME STATEMENT - % of Gross Sales</t>
  </si>
  <si>
    <t>Returns and Allowances</t>
  </si>
  <si>
    <t>Warehousing Expense</t>
  </si>
  <si>
    <t>Insurance &amp; Obsolescence</t>
  </si>
  <si>
    <t>Sales, General &amp; Admin</t>
  </si>
  <si>
    <t>Depreciation</t>
  </si>
  <si>
    <t>Interest &amp; Non-Operating</t>
  </si>
  <si>
    <t>%</t>
  </si>
  <si>
    <t>NonCurrent-Fixed Assets &amp; Other</t>
  </si>
  <si>
    <t>Accounts Receivables</t>
  </si>
  <si>
    <t>Cash &amp; Equivalents</t>
  </si>
  <si>
    <t>Gross Sales (net of COGS)</t>
  </si>
  <si>
    <t>Pretax Income</t>
  </si>
  <si>
    <t xml:space="preserve">  Cost of Debt (short-term)</t>
  </si>
  <si>
    <t>Cost of Capital (pre-tax)</t>
  </si>
  <si>
    <t xml:space="preserve">    Beta of Equity (or proxy)</t>
  </si>
  <si>
    <t xml:space="preserve">    Risk Free Rate (short-term)</t>
  </si>
  <si>
    <t>Equity % of Total Capital</t>
  </si>
  <si>
    <t>Debt % of Total Capital</t>
  </si>
  <si>
    <t xml:space="preserve">    Historical Market Premium (short-term)</t>
  </si>
  <si>
    <t>Personal Property Taxes (ad-valorum)</t>
  </si>
  <si>
    <t>Insurance (fire and theft)</t>
  </si>
  <si>
    <t>Company-Owned Warehouse</t>
  </si>
  <si>
    <t>Plant Warehouse</t>
  </si>
  <si>
    <t>Public Warehouse</t>
  </si>
  <si>
    <t>Rented/Leased Warehouse</t>
  </si>
  <si>
    <t>Storage Costs of Inventory (variable costs)</t>
  </si>
  <si>
    <t>Service Costs of Inventory (variable costs)</t>
  </si>
  <si>
    <t>Damage</t>
  </si>
  <si>
    <t>Shrinkage</t>
  </si>
  <si>
    <t>Risk Costs of Inventory (variable costs)</t>
  </si>
  <si>
    <t>ESTIMATED TOTAL PRE-TAX INVENTORY CARRYING COST</t>
  </si>
  <si>
    <t>Overall Corporate Income Taxes (40%)</t>
  </si>
  <si>
    <t>Return on Assets (After-Tax)</t>
  </si>
  <si>
    <t>Return on Equity (After-Tax)</t>
  </si>
  <si>
    <t>Cost of Capital of Inventory</t>
  </si>
  <si>
    <t xml:space="preserve">    Inventory (service-related inventory CC)</t>
  </si>
  <si>
    <t>Personal Property Taxes (service-related inventory CC)</t>
  </si>
  <si>
    <t xml:space="preserve">  Inventory Obsolescence (risk-related inventory CC)</t>
  </si>
  <si>
    <t>Obsolescence/Write-Down</t>
  </si>
  <si>
    <t xml:space="preserve">  Inventory Damage (risk-related inventory CC)</t>
  </si>
  <si>
    <t xml:space="preserve">  Inventory Shrinkage (risk-related inventory CC)</t>
  </si>
  <si>
    <t xml:space="preserve">  Inventory Relocation (risk-related inventory CC)</t>
  </si>
  <si>
    <t>Relocation/Transfer (to other facility)</t>
  </si>
  <si>
    <t>Weighted Average Cost of Capital (after-tax)</t>
  </si>
  <si>
    <t xml:space="preserve">  Cost of Equity (per CAPM)</t>
  </si>
  <si>
    <t xml:space="preserve">  General Warehousing Expense (cost of operations)</t>
  </si>
  <si>
    <t xml:space="preserve">  Public/Leased Facilities (storage-related inventory CC)</t>
  </si>
  <si>
    <t>SCENARIO 2: WAREHOUSING EXPENSES DOWN 20%</t>
  </si>
  <si>
    <t>SCENARIO 3: TRANSPORTATION  EXPENSES DOWN 20%</t>
  </si>
  <si>
    <t>$ (000)</t>
  </si>
  <si>
    <t>ESTIMATED INVENTORY CARRYING COST (PRE-TAX)</t>
  </si>
  <si>
    <t>Risk-related inventory CC</t>
  </si>
  <si>
    <t>Public/Leased Facilities Exp</t>
  </si>
  <si>
    <t>Total Assets $</t>
  </si>
  <si>
    <t>Net Sales $</t>
  </si>
  <si>
    <t>SIMPLIFIED CHANGE IN CASH FLOWS (changes versus baseline)</t>
  </si>
  <si>
    <t>Return on Equity (Before-Tax)</t>
  </si>
  <si>
    <t xml:space="preserve">STRATEGIC PROFIT MODEL TREE - 'Scenario 1' - 20% Decrease in Inventory </t>
  </si>
  <si>
    <t xml:space="preserve">STRATEGIC PROFIT MODEL TREE - 'Scenario 2' - 20% Decrease in Warehousing Expense </t>
  </si>
  <si>
    <t xml:space="preserve">STRATEGIC PROFIT MODEL TREE - 'Scenario 3' - 20% Decrease in Transportation Expense </t>
  </si>
  <si>
    <t>STRATEGIC PROFIT MODEL TREE - 'Scenario 4' - Combination of Scenarios 1 - 3</t>
  </si>
  <si>
    <t>Method 1-</t>
  </si>
  <si>
    <t>Method 2-</t>
  </si>
  <si>
    <t>OR</t>
  </si>
  <si>
    <t>STRATEGIC PROFIT MODEL FOR HYPOTHETICAL WHOLESALER - Baseline/'As-Is'</t>
  </si>
  <si>
    <t>Overall Corporate Income Tax Rate</t>
  </si>
  <si>
    <t>2. Estimate after-tax Opportunity Cost of Capital via CAPM &amp; WACC</t>
  </si>
  <si>
    <r>
      <t>1 Corporate after-tax Opportunity Cost of Capital/Hurdle Rate</t>
    </r>
    <r>
      <rPr>
        <b/>
        <sz val="10"/>
        <rFont val="Arial"/>
        <family val="2"/>
      </rPr>
      <t/>
    </r>
  </si>
  <si>
    <t>Gross Profit</t>
  </si>
  <si>
    <t>Insurance &amp; Inv Carrying Costs</t>
  </si>
  <si>
    <t>Estimated Average Inventory Balance (from Balance Sheet, otherwise hardinput)</t>
  </si>
  <si>
    <t>Direct Product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</si>
</sst>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70" formatCode="_(&quot;$&quot;* #,##0.00_);_(&quot;$&quot;* \(#,##0.00\);_(&quot;$&quot;* &quot;-&quot;??_);_(@_)"/>
    <numFmt numFmtId="174" formatCode="0.0%"/>
    <numFmt numFmtId="177" formatCode="0.000000"/>
    <numFmt numFmtId="181" formatCode="0.0"/>
    <numFmt numFmtId="182" formatCode="#,##0.0"/>
    <numFmt numFmtId="186" formatCode="0.0000%"/>
    <numFmt numFmtId="205" formatCode="0.000000%"/>
    <numFmt numFmtId="209" formatCode="0.0000000000"/>
    <numFmt numFmtId="217" formatCode="_(&quot;$&quot;* #,##0.0000_);_(&quot;$&quot;* \(#,##0.0000\);_(&quot;$&quot;* &quot;-&quot;??_);_(@_)"/>
  </numFmts>
  <fonts count="18" x14ac:knownFonts="1">
    <font>
      <sz val="10"/>
      <name val="Arial"/>
    </font>
    <font>
      <sz val="10"/>
      <name val="Arial"/>
    </font>
    <font>
      <b/>
      <sz val="20"/>
      <name val="Arial"/>
      <family val="2"/>
    </font>
    <font>
      <b/>
      <sz val="10"/>
      <name val="Arial"/>
      <family val="2"/>
    </font>
    <font>
      <sz val="10"/>
      <color indexed="10"/>
      <name val="Arial"/>
      <family val="2"/>
    </font>
    <font>
      <sz val="10"/>
      <name val="Arial"/>
      <family val="2"/>
    </font>
    <font>
      <b/>
      <sz val="12"/>
      <name val="Arial"/>
      <family val="2"/>
    </font>
    <font>
      <b/>
      <sz val="10"/>
      <color indexed="10"/>
      <name val="Arial"/>
      <family val="2"/>
    </font>
    <font>
      <b/>
      <sz val="16"/>
      <name val="Arial"/>
      <family val="2"/>
    </font>
    <font>
      <i/>
      <sz val="10"/>
      <name val="Arial"/>
      <family val="2"/>
    </font>
    <font>
      <sz val="10"/>
      <color indexed="48"/>
      <name val="Arial"/>
      <family val="2"/>
    </font>
    <font>
      <sz val="10"/>
      <color indexed="57"/>
      <name val="Arial"/>
      <family val="2"/>
    </font>
    <font>
      <sz val="8"/>
      <color indexed="81"/>
      <name val="Tahoma"/>
      <family val="2"/>
    </font>
    <font>
      <b/>
      <sz val="8"/>
      <color indexed="81"/>
      <name val="Tahoma"/>
      <family val="2"/>
    </font>
    <font>
      <b/>
      <sz val="18"/>
      <name val="Arial"/>
      <family val="2"/>
    </font>
    <font>
      <sz val="18"/>
      <name val="Arial"/>
      <family val="2"/>
    </font>
    <font>
      <b/>
      <i/>
      <sz val="20"/>
      <name val="Arial"/>
      <family val="2"/>
    </font>
    <font>
      <b/>
      <i/>
      <sz val="12"/>
      <name val="Arial"/>
      <family val="2"/>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bgColor indexed="50"/>
      </patternFill>
    </fill>
    <fill>
      <patternFill patternType="solid">
        <fgColor indexed="47"/>
        <bgColor indexed="50"/>
      </patternFill>
    </fill>
    <fill>
      <patternFill patternType="solid">
        <fgColor indexed="47"/>
        <bgColor indexed="51"/>
      </patternFill>
    </fill>
    <fill>
      <patternFill patternType="solid">
        <fgColor indexed="26"/>
        <bgColor indexed="26"/>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3">
    <xf numFmtId="0" fontId="0" fillId="0" borderId="0"/>
    <xf numFmtId="170" fontId="1" fillId="0" borderId="0" applyFont="0" applyFill="0" applyBorder="0" applyAlignment="0" applyProtection="0"/>
    <xf numFmtId="9" fontId="1" fillId="0" borderId="0" applyFont="0" applyFill="0" applyBorder="0" applyAlignment="0" applyProtection="0"/>
  </cellStyleXfs>
  <cellXfs count="147">
    <xf numFmtId="0" fontId="0" fillId="0" borderId="0" xfId="0"/>
    <xf numFmtId="0" fontId="2" fillId="0" borderId="0" xfId="0" applyFont="1"/>
    <xf numFmtId="0" fontId="3" fillId="0" borderId="0" xfId="0" applyFont="1" applyAlignment="1">
      <alignment horizontal="right"/>
    </xf>
    <xf numFmtId="0" fontId="0" fillId="0" borderId="0" xfId="0" applyBorder="1"/>
    <xf numFmtId="0" fontId="0" fillId="0" borderId="0" xfId="0" applyAlignment="1">
      <alignment horizontal="right"/>
    </xf>
    <xf numFmtId="205" fontId="0" fillId="0" borderId="0" xfId="0" applyNumberFormat="1"/>
    <xf numFmtId="0" fontId="4" fillId="0" borderId="0" xfId="0" applyFont="1"/>
    <xf numFmtId="0" fontId="5" fillId="0" borderId="0" xfId="0" applyFont="1"/>
    <xf numFmtId="0" fontId="5" fillId="0" borderId="0" xfId="0" applyFont="1" applyBorder="1"/>
    <xf numFmtId="0" fontId="5" fillId="0" borderId="0" xfId="0" applyFont="1" applyFill="1" applyBorder="1"/>
    <xf numFmtId="0" fontId="3" fillId="0" borderId="0" xfId="0" applyFont="1" applyBorder="1"/>
    <xf numFmtId="0" fontId="3" fillId="0" borderId="0" xfId="0" applyFont="1" applyFill="1" applyBorder="1"/>
    <xf numFmtId="0" fontId="3" fillId="0" borderId="0" xfId="0" quotePrefix="1" applyFont="1" applyAlignment="1">
      <alignment horizontal="center" wrapText="1"/>
    </xf>
    <xf numFmtId="0" fontId="4" fillId="0" borderId="0" xfId="0" applyFont="1" applyBorder="1"/>
    <xf numFmtId="0" fontId="4" fillId="0" borderId="0" xfId="0" applyFont="1" applyFill="1" applyBorder="1"/>
    <xf numFmtId="174" fontId="0" fillId="0" borderId="0" xfId="2" applyNumberFormat="1" applyFont="1"/>
    <xf numFmtId="4" fontId="3" fillId="2" borderId="1" xfId="0" applyNumberFormat="1" applyFont="1" applyFill="1" applyBorder="1" applyAlignment="1">
      <alignment horizontal="right"/>
    </xf>
    <xf numFmtId="10" fontId="3" fillId="2" borderId="1" xfId="2" applyNumberFormat="1" applyFont="1" applyFill="1" applyBorder="1" applyAlignment="1">
      <alignment horizontal="center"/>
    </xf>
    <xf numFmtId="2" fontId="3" fillId="2" borderId="1" xfId="0" applyNumberFormat="1" applyFont="1" applyFill="1" applyBorder="1" applyAlignment="1">
      <alignment horizontal="center"/>
    </xf>
    <xf numFmtId="0" fontId="6" fillId="0" borderId="0" xfId="0" applyFont="1" applyAlignment="1">
      <alignment horizontal="right"/>
    </xf>
    <xf numFmtId="10" fontId="6" fillId="2" borderId="1" xfId="2" applyNumberFormat="1" applyFont="1" applyFill="1" applyBorder="1" applyAlignment="1">
      <alignment horizontal="center"/>
    </xf>
    <xf numFmtId="174" fontId="4" fillId="0" borderId="0" xfId="2" applyNumberFormat="1" applyFont="1"/>
    <xf numFmtId="174" fontId="4" fillId="0" borderId="0" xfId="2" applyNumberFormat="1" applyFont="1" applyBorder="1"/>
    <xf numFmtId="174" fontId="4" fillId="0" borderId="0" xfId="0" applyNumberFormat="1" applyFont="1" applyBorder="1"/>
    <xf numFmtId="0" fontId="8" fillId="0" borderId="0" xfId="0" applyFont="1"/>
    <xf numFmtId="0" fontId="8" fillId="0" borderId="0" xfId="0" applyFont="1" applyFill="1" applyBorder="1"/>
    <xf numFmtId="0" fontId="3" fillId="0" borderId="0" xfId="0" applyFont="1" applyAlignment="1">
      <alignment horizontal="center" wrapText="1"/>
    </xf>
    <xf numFmtId="0" fontId="3" fillId="0" borderId="0" xfId="0" applyFont="1"/>
    <xf numFmtId="174" fontId="3" fillId="0" borderId="0" xfId="2" applyNumberFormat="1" applyFont="1"/>
    <xf numFmtId="174" fontId="3" fillId="0" borderId="0" xfId="2" applyNumberFormat="1" applyFont="1" applyBorder="1"/>
    <xf numFmtId="2" fontId="3" fillId="0" borderId="0" xfId="0" applyNumberFormat="1" applyFont="1"/>
    <xf numFmtId="181" fontId="3" fillId="0" borderId="0" xfId="0" applyNumberFormat="1" applyFont="1"/>
    <xf numFmtId="181" fontId="5" fillId="0" borderId="0" xfId="0" applyNumberFormat="1" applyFont="1"/>
    <xf numFmtId="181" fontId="5" fillId="0" borderId="2" xfId="0" applyNumberFormat="1" applyFont="1" applyBorder="1"/>
    <xf numFmtId="0" fontId="9" fillId="0" borderId="0" xfId="0" applyFont="1"/>
    <xf numFmtId="174" fontId="5" fillId="0" borderId="0" xfId="2" applyNumberFormat="1" applyFont="1"/>
    <xf numFmtId="174" fontId="10" fillId="0" borderId="0" xfId="2" applyNumberFormat="1" applyFont="1"/>
    <xf numFmtId="174" fontId="10" fillId="0" borderId="2" xfId="2" applyNumberFormat="1" applyFont="1" applyBorder="1"/>
    <xf numFmtId="174" fontId="5" fillId="0" borderId="2" xfId="2" applyNumberFormat="1" applyFont="1" applyBorder="1"/>
    <xf numFmtId="174" fontId="11" fillId="0" borderId="0" xfId="2" applyNumberFormat="1" applyFont="1"/>
    <xf numFmtId="174" fontId="11" fillId="0" borderId="0" xfId="0" applyNumberFormat="1" applyFont="1"/>
    <xf numFmtId="174" fontId="10" fillId="0" borderId="0" xfId="0" applyNumberFormat="1" applyFont="1" applyBorder="1"/>
    <xf numFmtId="177" fontId="4" fillId="0" borderId="0" xfId="0" applyNumberFormat="1" applyFont="1"/>
    <xf numFmtId="10" fontId="3" fillId="0" borderId="0" xfId="2" applyNumberFormat="1" applyFont="1"/>
    <xf numFmtId="174" fontId="5" fillId="0" borderId="0" xfId="0" applyNumberFormat="1" applyFont="1" applyBorder="1"/>
    <xf numFmtId="174" fontId="5" fillId="0" borderId="0" xfId="0" applyNumberFormat="1" applyFont="1"/>
    <xf numFmtId="0" fontId="3" fillId="0" borderId="0" xfId="0" applyFont="1" applyAlignment="1">
      <alignment horizontal="centerContinuous"/>
    </xf>
    <xf numFmtId="0" fontId="0" fillId="0" borderId="0" xfId="0" applyAlignment="1">
      <alignment horizontal="centerContinuous"/>
    </xf>
    <xf numFmtId="0" fontId="3" fillId="0" borderId="0" xfId="0" applyFont="1" applyAlignment="1">
      <alignment horizontal="centerContinuous" wrapText="1"/>
    </xf>
    <xf numFmtId="0" fontId="5" fillId="0" borderId="0" xfId="0" applyFont="1" applyAlignment="1">
      <alignment horizontal="centerContinuous"/>
    </xf>
    <xf numFmtId="0" fontId="5" fillId="0" borderId="0" xfId="0" applyFont="1" applyAlignment="1">
      <alignment horizontal="center" wrapText="1"/>
    </xf>
    <xf numFmtId="174" fontId="5" fillId="0" borderId="0" xfId="2" applyNumberFormat="1" applyFont="1" applyBorder="1"/>
    <xf numFmtId="0" fontId="14" fillId="0" borderId="0" xfId="0" applyFont="1" applyAlignment="1">
      <alignment horizontal="centerContinuous"/>
    </xf>
    <xf numFmtId="0" fontId="15" fillId="0" borderId="0" xfId="0" applyFont="1" applyAlignment="1">
      <alignment horizontal="centerContinuous"/>
    </xf>
    <xf numFmtId="0" fontId="15" fillId="0" borderId="0" xfId="0" applyFont="1"/>
    <xf numFmtId="0" fontId="3" fillId="2" borderId="3" xfId="0" applyFont="1" applyFill="1" applyBorder="1"/>
    <xf numFmtId="0" fontId="5" fillId="2" borderId="4" xfId="0" applyFont="1" applyFill="1" applyBorder="1"/>
    <xf numFmtId="0" fontId="5" fillId="2" borderId="5" xfId="0" applyFont="1" applyFill="1" applyBorder="1"/>
    <xf numFmtId="0" fontId="5" fillId="2" borderId="6" xfId="0" applyFont="1" applyFill="1" applyBorder="1"/>
    <xf numFmtId="174" fontId="5" fillId="2" borderId="6" xfId="2" applyNumberFormat="1" applyFont="1" applyFill="1" applyBorder="1"/>
    <xf numFmtId="0" fontId="5" fillId="2" borderId="7" xfId="0" applyFont="1" applyFill="1" applyBorder="1"/>
    <xf numFmtId="174" fontId="5" fillId="2" borderId="8" xfId="2" applyNumberFormat="1" applyFont="1" applyFill="1" applyBorder="1"/>
    <xf numFmtId="2" fontId="5" fillId="0" borderId="0" xfId="0" applyNumberFormat="1" applyFont="1"/>
    <xf numFmtId="10" fontId="5" fillId="0" borderId="0" xfId="2" applyNumberFormat="1" applyFont="1"/>
    <xf numFmtId="0" fontId="3" fillId="0" borderId="2" xfId="0" applyFont="1" applyBorder="1" applyAlignment="1">
      <alignment horizontal="center"/>
    </xf>
    <xf numFmtId="10" fontId="3" fillId="0" borderId="0" xfId="0" applyNumberFormat="1" applyFont="1"/>
    <xf numFmtId="181" fontId="0" fillId="2" borderId="0" xfId="0" applyNumberFormat="1" applyFill="1"/>
    <xf numFmtId="10" fontId="0" fillId="2" borderId="0" xfId="2" applyNumberFormat="1" applyFont="1" applyFill="1"/>
    <xf numFmtId="174" fontId="0" fillId="0" borderId="0" xfId="2" applyNumberFormat="1" applyFont="1" applyFill="1"/>
    <xf numFmtId="174" fontId="3" fillId="2" borderId="0" xfId="2" applyNumberFormat="1" applyFont="1" applyFill="1"/>
    <xf numFmtId="10" fontId="3" fillId="0" borderId="2" xfId="2" applyNumberFormat="1" applyFont="1" applyBorder="1"/>
    <xf numFmtId="10" fontId="0" fillId="0" borderId="0" xfId="2" applyNumberFormat="1" applyFont="1" applyFill="1"/>
    <xf numFmtId="0" fontId="0" fillId="0" borderId="0" xfId="0" applyFill="1"/>
    <xf numFmtId="0" fontId="0" fillId="0" borderId="0" xfId="0" applyAlignment="1">
      <alignment horizontal="center"/>
    </xf>
    <xf numFmtId="3" fontId="5" fillId="2" borderId="6" xfId="0" applyNumberFormat="1" applyFont="1" applyFill="1" applyBorder="1"/>
    <xf numFmtId="4" fontId="0" fillId="2" borderId="0" xfId="0" applyNumberFormat="1" applyFill="1"/>
    <xf numFmtId="4" fontId="0" fillId="0" borderId="0" xfId="0" applyNumberFormat="1"/>
    <xf numFmtId="49" fontId="4" fillId="0" borderId="0" xfId="0" applyNumberFormat="1" applyFont="1" applyFill="1" applyBorder="1"/>
    <xf numFmtId="174" fontId="0" fillId="2" borderId="0" xfId="2" applyNumberFormat="1" applyFont="1" applyFill="1"/>
    <xf numFmtId="182" fontId="5" fillId="0" borderId="0" xfId="0" applyNumberFormat="1" applyFont="1"/>
    <xf numFmtId="182" fontId="5" fillId="0" borderId="2" xfId="0" applyNumberFormat="1" applyFont="1" applyBorder="1"/>
    <xf numFmtId="182" fontId="3" fillId="0" borderId="0" xfId="0" applyNumberFormat="1" applyFont="1"/>
    <xf numFmtId="182" fontId="5" fillId="0" borderId="0" xfId="0" applyNumberFormat="1" applyFont="1" applyFill="1" applyBorder="1"/>
    <xf numFmtId="182" fontId="4" fillId="0" borderId="0" xfId="0" applyNumberFormat="1" applyFont="1"/>
    <xf numFmtId="182" fontId="4" fillId="0" borderId="0" xfId="0" applyNumberFormat="1" applyFont="1" applyFill="1"/>
    <xf numFmtId="182" fontId="11" fillId="0" borderId="0" xfId="0" applyNumberFormat="1" applyFont="1" applyBorder="1"/>
    <xf numFmtId="182" fontId="11" fillId="0" borderId="0" xfId="0" applyNumberFormat="1" applyFont="1"/>
    <xf numFmtId="182" fontId="5" fillId="0" borderId="0" xfId="0" applyNumberFormat="1" applyFont="1" applyBorder="1"/>
    <xf numFmtId="182" fontId="4" fillId="0" borderId="0" xfId="0" applyNumberFormat="1" applyFont="1" applyFill="1" applyBorder="1"/>
    <xf numFmtId="182" fontId="4" fillId="0" borderId="0" xfId="0" applyNumberFormat="1" applyFont="1" applyBorder="1"/>
    <xf numFmtId="182" fontId="4" fillId="0" borderId="2" xfId="0" applyNumberFormat="1" applyFont="1" applyBorder="1"/>
    <xf numFmtId="0" fontId="8" fillId="0" borderId="0" xfId="0" applyFont="1" applyAlignment="1">
      <alignment horizontal="centerContinuous"/>
    </xf>
    <xf numFmtId="10" fontId="6" fillId="0" borderId="0" xfId="2" applyNumberFormat="1" applyFont="1" applyFill="1" applyBorder="1" applyAlignment="1">
      <alignment horizontal="center"/>
    </xf>
    <xf numFmtId="0" fontId="0" fillId="3" borderId="0" xfId="0" applyFill="1" applyAlignment="1">
      <alignment horizontal="right"/>
    </xf>
    <xf numFmtId="174" fontId="3" fillId="3" borderId="1" xfId="2" applyNumberFormat="1" applyFont="1" applyFill="1" applyBorder="1" applyAlignment="1">
      <alignment horizontal="right"/>
    </xf>
    <xf numFmtId="10" fontId="0" fillId="3" borderId="0" xfId="0" applyNumberFormat="1" applyFill="1"/>
    <xf numFmtId="0" fontId="0" fillId="3" borderId="0" xfId="0" applyFill="1"/>
    <xf numFmtId="174" fontId="0" fillId="3" borderId="0" xfId="0" applyNumberFormat="1" applyFill="1" applyAlignment="1">
      <alignment horizontal="right"/>
    </xf>
    <xf numFmtId="182" fontId="3" fillId="3" borderId="1" xfId="0" applyNumberFormat="1" applyFont="1" applyFill="1" applyBorder="1" applyAlignment="1">
      <alignment horizontal="right"/>
    </xf>
    <xf numFmtId="10" fontId="3" fillId="3" borderId="1" xfId="2" applyNumberFormat="1" applyFont="1" applyFill="1" applyBorder="1"/>
    <xf numFmtId="209" fontId="0" fillId="3" borderId="0" xfId="0" applyNumberFormat="1" applyFill="1"/>
    <xf numFmtId="0" fontId="3" fillId="3" borderId="0" xfId="0" applyFont="1" applyFill="1" applyAlignment="1">
      <alignment horizontal="right"/>
    </xf>
    <xf numFmtId="0" fontId="9" fillId="3" borderId="0" xfId="0" applyFont="1" applyFill="1" applyAlignment="1">
      <alignment horizontal="centerContinuous"/>
    </xf>
    <xf numFmtId="0" fontId="16" fillId="3" borderId="0" xfId="0" applyFont="1" applyFill="1" applyAlignment="1">
      <alignment horizontal="centerContinuous"/>
    </xf>
    <xf numFmtId="10" fontId="3" fillId="4" borderId="1" xfId="2" applyNumberFormat="1" applyFont="1" applyFill="1" applyBorder="1" applyAlignment="1">
      <alignment horizontal="center"/>
    </xf>
    <xf numFmtId="0" fontId="0" fillId="5" borderId="0" xfId="0" applyFill="1"/>
    <xf numFmtId="0" fontId="3" fillId="5" borderId="0" xfId="0" applyFont="1" applyFill="1" applyAlignment="1">
      <alignment horizontal="right"/>
    </xf>
    <xf numFmtId="0" fontId="0" fillId="5" borderId="0" xfId="0" applyFill="1" applyAlignment="1">
      <alignment horizontal="right"/>
    </xf>
    <xf numFmtId="10" fontId="4" fillId="5" borderId="0" xfId="0" applyNumberFormat="1" applyFont="1" applyFill="1"/>
    <xf numFmtId="174" fontId="0" fillId="5" borderId="0" xfId="0" applyNumberFormat="1" applyFill="1"/>
    <xf numFmtId="10" fontId="3" fillId="5" borderId="1" xfId="2" applyNumberFormat="1" applyFont="1" applyFill="1" applyBorder="1" applyAlignment="1">
      <alignment horizontal="right"/>
    </xf>
    <xf numFmtId="10" fontId="3" fillId="5" borderId="0" xfId="2" applyNumberFormat="1" applyFont="1" applyFill="1" applyBorder="1" applyAlignment="1">
      <alignment horizontal="right"/>
    </xf>
    <xf numFmtId="10" fontId="0" fillId="5" borderId="0" xfId="0" applyNumberFormat="1" applyFill="1"/>
    <xf numFmtId="0" fontId="7" fillId="5" borderId="0" xfId="0" applyFont="1" applyFill="1"/>
    <xf numFmtId="0" fontId="0" fillId="6" borderId="0" xfId="0" applyFill="1" applyAlignment="1">
      <alignment horizontal="right"/>
    </xf>
    <xf numFmtId="0" fontId="0" fillId="6" borderId="0" xfId="0" applyFill="1"/>
    <xf numFmtId="10" fontId="3" fillId="6" borderId="1" xfId="2" applyNumberFormat="1" applyFont="1" applyFill="1" applyBorder="1" applyAlignment="1">
      <alignment horizontal="right"/>
    </xf>
    <xf numFmtId="174" fontId="0" fillId="6" borderId="0" xfId="0" applyNumberFormat="1" applyFill="1"/>
    <xf numFmtId="10" fontId="3" fillId="6" borderId="9" xfId="2" applyNumberFormat="1" applyFont="1" applyFill="1" applyBorder="1"/>
    <xf numFmtId="10" fontId="3" fillId="6" borderId="1" xfId="2" applyNumberFormat="1" applyFont="1" applyFill="1" applyBorder="1"/>
    <xf numFmtId="10" fontId="3" fillId="6" borderId="10" xfId="2" applyNumberFormat="1" applyFont="1" applyFill="1" applyBorder="1"/>
    <xf numFmtId="10" fontId="0" fillId="6" borderId="0" xfId="0" applyNumberFormat="1" applyFill="1"/>
    <xf numFmtId="10" fontId="3" fillId="6" borderId="0" xfId="2" applyNumberFormat="1" applyFont="1" applyFill="1" applyBorder="1"/>
    <xf numFmtId="177" fontId="0" fillId="6" borderId="0" xfId="0" applyNumberFormat="1" applyFill="1"/>
    <xf numFmtId="0" fontId="0" fillId="6" borderId="0" xfId="0" applyFill="1" applyBorder="1" applyAlignment="1">
      <alignment horizontal="right"/>
    </xf>
    <xf numFmtId="182" fontId="3" fillId="6" borderId="1" xfId="0" applyNumberFormat="1" applyFont="1" applyFill="1" applyBorder="1" applyAlignment="1">
      <alignment horizontal="right"/>
    </xf>
    <xf numFmtId="0" fontId="0" fillId="6" borderId="0" xfId="0" applyFill="1" applyAlignment="1">
      <alignment horizontal="centerContinuous"/>
    </xf>
    <xf numFmtId="0" fontId="16" fillId="6" borderId="0" xfId="0" applyFont="1" applyFill="1" applyAlignment="1">
      <alignment horizontal="centerContinuous"/>
    </xf>
    <xf numFmtId="0" fontId="0" fillId="7" borderId="0" xfId="0" applyFill="1"/>
    <xf numFmtId="174" fontId="0" fillId="7" borderId="0" xfId="0" applyNumberFormat="1" applyFill="1"/>
    <xf numFmtId="0" fontId="0" fillId="7" borderId="0" xfId="0" applyFill="1" applyAlignment="1">
      <alignment horizontal="right"/>
    </xf>
    <xf numFmtId="0" fontId="3" fillId="0" borderId="0" xfId="0" quotePrefix="1" applyNumberFormat="1" applyFont="1" applyAlignment="1">
      <alignment horizontal="center"/>
    </xf>
    <xf numFmtId="0" fontId="3" fillId="0" borderId="0" xfId="0" applyFont="1" applyAlignment="1">
      <alignment horizontal="center"/>
    </xf>
    <xf numFmtId="0" fontId="4" fillId="3" borderId="0" xfId="0" applyFont="1" applyFill="1"/>
    <xf numFmtId="217" fontId="11" fillId="0" borderId="0" xfId="1" applyNumberFormat="1" applyFont="1"/>
    <xf numFmtId="182" fontId="5" fillId="0" borderId="2" xfId="0" applyNumberFormat="1" applyFont="1" applyFill="1" applyBorder="1"/>
    <xf numFmtId="182" fontId="10" fillId="0" borderId="0" xfId="0" applyNumberFormat="1" applyFont="1" applyFill="1"/>
    <xf numFmtId="186" fontId="0" fillId="5" borderId="0" xfId="0" applyNumberFormat="1" applyFill="1"/>
    <xf numFmtId="174" fontId="4" fillId="0" borderId="0" xfId="0" applyNumberFormat="1" applyFont="1"/>
    <xf numFmtId="0" fontId="5" fillId="0" borderId="0" xfId="0" applyFont="1" applyAlignment="1">
      <alignment horizontal="center"/>
    </xf>
    <xf numFmtId="10" fontId="3" fillId="0" borderId="0" xfId="0" applyNumberFormat="1" applyFont="1" applyBorder="1"/>
    <xf numFmtId="182" fontId="0" fillId="0" borderId="0" xfId="0" applyNumberFormat="1"/>
    <xf numFmtId="9" fontId="0" fillId="0" borderId="0" xfId="2" applyFont="1"/>
    <xf numFmtId="0" fontId="3" fillId="6" borderId="0" xfId="0" applyFont="1" applyFill="1" applyAlignment="1">
      <alignment horizontal="right"/>
    </xf>
    <xf numFmtId="174" fontId="3" fillId="0" borderId="0" xfId="2" applyNumberFormat="1" applyFont="1" applyFill="1"/>
    <xf numFmtId="4" fontId="0" fillId="0" borderId="0" xfId="0" applyNumberFormat="1" applyFill="1"/>
    <xf numFmtId="0" fontId="17" fillId="0" borderId="0" xfId="0" applyFont="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50" b="1" i="0" u="none" strike="noStrike" baseline="0">
                <a:solidFill>
                  <a:srgbClr val="000000"/>
                </a:solidFill>
                <a:latin typeface="Arial"/>
                <a:ea typeface="Arial"/>
                <a:cs typeface="Arial"/>
              </a:defRPr>
            </a:pPr>
            <a:r>
              <a:rPr lang="en-GB"/>
              <a:t>Asset Composition, Baseline</a:t>
            </a:r>
          </a:p>
        </c:rich>
      </c:tx>
      <c:layout>
        <c:manualLayout>
          <c:xMode val="edge"/>
          <c:yMode val="edge"/>
          <c:x val="0.30627006425104547"/>
          <c:y val="2.8410014072181897E-2"/>
        </c:manualLayout>
      </c:layout>
      <c:overlay val="0"/>
      <c:spPr>
        <a:noFill/>
        <a:ln w="25400">
          <a:noFill/>
        </a:ln>
      </c:spPr>
    </c:title>
    <c:autoTitleDeleted val="0"/>
    <c:plotArea>
      <c:layout>
        <c:manualLayout>
          <c:layoutTarget val="inner"/>
          <c:xMode val="edge"/>
          <c:yMode val="edge"/>
          <c:x val="6.937609190217052E-2"/>
          <c:y val="0.16250528049288046"/>
          <c:w val="0.58377443185972755"/>
          <c:h val="0.78411638839222031"/>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88B3-4960-A760-440AF9626975}"/>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88B3-4960-A760-440AF9626975}"/>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88B3-4960-A760-440AF9626975}"/>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88B3-4960-A760-440AF9626975}"/>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88B3-4960-A760-440AF9626975}"/>
              </c:ext>
            </c:extLst>
          </c:dPt>
          <c:dLbls>
            <c:numFmt formatCode="0%" sourceLinked="0"/>
            <c:spPr>
              <a:noFill/>
              <a:ln w="25400">
                <a:noFill/>
              </a:ln>
            </c:spPr>
            <c:txPr>
              <a:bodyPr wrap="square" lIns="38100" tIns="19050" rIns="38100" bIns="19050" anchor="ctr">
                <a:spAutoFit/>
              </a:bodyPr>
              <a:lstStyle/>
              <a:p>
                <a:pPr>
                  <a:defRPr sz="150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'Composition Graphs'!$A$3:$A$7</c:f>
              <c:strCache>
                <c:ptCount val="5"/>
                <c:pt idx="0">
                  <c:v>Cash &amp; Equivalents</c:v>
                </c:pt>
                <c:pt idx="1">
                  <c:v>Accounts Receivables</c:v>
                </c:pt>
                <c:pt idx="2">
                  <c:v>Inventory</c:v>
                </c:pt>
                <c:pt idx="3">
                  <c:v>Other Current</c:v>
                </c:pt>
                <c:pt idx="4">
                  <c:v>NonCurrent-Fixed Assets &amp; Other</c:v>
                </c:pt>
              </c:strCache>
            </c:strRef>
          </c:cat>
          <c:val>
            <c:numRef>
              <c:f>'Composition Graphs'!$B$3:$B$7</c:f>
              <c:numCache>
                <c:formatCode>0.0%</c:formatCode>
                <c:ptCount val="5"/>
                <c:pt idx="0">
                  <c:v>2.5000000000000001E-2</c:v>
                </c:pt>
                <c:pt idx="1">
                  <c:v>0.35399999999999998</c:v>
                </c:pt>
                <c:pt idx="2">
                  <c:v>0.48499999999999999</c:v>
                </c:pt>
                <c:pt idx="3">
                  <c:v>2.1999999999999999E-2</c:v>
                </c:pt>
                <c:pt idx="4">
                  <c:v>0.114</c:v>
                </c:pt>
              </c:numCache>
            </c:numRef>
          </c:val>
          <c:extLst>
            <c:ext xmlns:c16="http://schemas.microsoft.com/office/drawing/2014/chart" uri="{C3380CC4-5D6E-409C-BE32-E72D297353CC}">
              <c16:uniqueId val="{00000005-88B3-4960-A760-440AF9626975}"/>
            </c:ext>
          </c:extLst>
        </c:ser>
        <c:ser>
          <c:idx val="1"/>
          <c:order val="1"/>
          <c:spPr>
            <a:solidFill>
              <a:srgbClr val="993366"/>
            </a:solidFill>
            <a:ln w="12700">
              <a:solidFill>
                <a:srgbClr val="000000"/>
              </a:solidFill>
              <a:prstDash val="solid"/>
            </a:ln>
          </c:spPr>
          <c:dPt>
            <c:idx val="0"/>
            <c:bubble3D val="0"/>
            <c:spPr>
              <a:solidFill>
                <a:srgbClr val="9999FF"/>
              </a:solidFill>
              <a:ln w="12700">
                <a:solidFill>
                  <a:srgbClr val="000000"/>
                </a:solidFill>
                <a:prstDash val="solid"/>
              </a:ln>
            </c:spPr>
            <c:extLst>
              <c:ext xmlns:c16="http://schemas.microsoft.com/office/drawing/2014/chart" uri="{C3380CC4-5D6E-409C-BE32-E72D297353CC}">
                <c16:uniqueId val="{00000006-88B3-4960-A760-440AF9626975}"/>
              </c:ext>
            </c:extLst>
          </c:dPt>
          <c:dPt>
            <c:idx val="1"/>
            <c:bubble3D val="0"/>
            <c:extLst>
              <c:ext xmlns:c16="http://schemas.microsoft.com/office/drawing/2014/chart" uri="{C3380CC4-5D6E-409C-BE32-E72D297353CC}">
                <c16:uniqueId val="{00000007-88B3-4960-A760-440AF9626975}"/>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8-88B3-4960-A760-440AF9626975}"/>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9-88B3-4960-A760-440AF9626975}"/>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A-88B3-4960-A760-440AF9626975}"/>
              </c:ext>
            </c:extLst>
          </c:dPt>
          <c:dLbls>
            <c:numFmt formatCode="0%" sourceLinked="0"/>
            <c:spPr>
              <a:noFill/>
              <a:ln w="25400">
                <a:noFill/>
              </a:ln>
            </c:spPr>
            <c:txPr>
              <a:bodyPr wrap="square" lIns="38100" tIns="19050" rIns="38100" bIns="19050" anchor="ctr">
                <a:spAutoFit/>
              </a:bodyPr>
              <a:lstStyle/>
              <a:p>
                <a:pPr>
                  <a:defRPr sz="150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'Composition Graphs'!$A$3:$A$7</c:f>
              <c:strCache>
                <c:ptCount val="5"/>
                <c:pt idx="0">
                  <c:v>Cash &amp; Equivalents</c:v>
                </c:pt>
                <c:pt idx="1">
                  <c:v>Accounts Receivables</c:v>
                </c:pt>
                <c:pt idx="2">
                  <c:v>Inventory</c:v>
                </c:pt>
                <c:pt idx="3">
                  <c:v>Other Current</c:v>
                </c:pt>
                <c:pt idx="4">
                  <c:v>NonCurrent-Fixed Assets &amp; Other</c:v>
                </c:pt>
              </c:strCache>
            </c:strRef>
          </c:cat>
          <c:val>
            <c:numRef>
              <c:f>'Composition Graphs'!$C$3:$C$7</c:f>
              <c:numCache>
                <c:formatCode>General</c:formatCode>
                <c:ptCount val="5"/>
              </c:numCache>
            </c:numRef>
          </c:val>
          <c:extLst>
            <c:ext xmlns:c16="http://schemas.microsoft.com/office/drawing/2014/chart" uri="{C3380CC4-5D6E-409C-BE32-E72D297353CC}">
              <c16:uniqueId val="{0000000B-88B3-4960-A760-440AF9626975}"/>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76482911072636772"/>
          <c:y val="0.27500893621872075"/>
          <c:w val="0.22335717392893925"/>
          <c:h val="0.53297186399413243"/>
        </c:manualLayout>
      </c:layout>
      <c:overlay val="0"/>
      <c:spPr>
        <a:solidFill>
          <a:srgbClr val="FFFFFF"/>
        </a:solidFill>
        <a:ln w="3175">
          <a:solidFill>
            <a:srgbClr val="000000"/>
          </a:solidFill>
          <a:prstDash val="solid"/>
        </a:ln>
      </c:spPr>
      <c:txPr>
        <a:bodyPr/>
        <a:lstStyle/>
        <a:p>
          <a:pPr>
            <a:defRPr sz="108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950" b="1" i="0" u="none" strike="noStrike" baseline="0">
                <a:solidFill>
                  <a:srgbClr val="000000"/>
                </a:solidFill>
                <a:latin typeface="Arial"/>
                <a:ea typeface="Arial"/>
                <a:cs typeface="Arial"/>
              </a:defRPr>
            </a:pPr>
            <a:r>
              <a:rPr lang="en-GB"/>
              <a:t>Expense Composition (net of COGS, including Returns &amp; Allowances)</a:t>
            </a:r>
          </a:p>
        </c:rich>
      </c:tx>
      <c:layout>
        <c:manualLayout>
          <c:xMode val="edge"/>
          <c:yMode val="edge"/>
          <c:x val="0.12240901253342047"/>
          <c:y val="2.089619689204418E-2"/>
        </c:manualLayout>
      </c:layout>
      <c:overlay val="0"/>
      <c:spPr>
        <a:noFill/>
        <a:ln w="25400">
          <a:noFill/>
        </a:ln>
      </c:spPr>
    </c:title>
    <c:autoTitleDeleted val="0"/>
    <c:plotArea>
      <c:layout>
        <c:manualLayout>
          <c:layoutTarget val="inner"/>
          <c:xMode val="edge"/>
          <c:yMode val="edge"/>
          <c:x val="0.14746348878295099"/>
          <c:y val="0.16915968912607193"/>
          <c:w val="0.494646945383588"/>
          <c:h val="0.68758438344773953"/>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B3D8-4356-8BA4-EBE9DA4A33B9}"/>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B3D8-4356-8BA4-EBE9DA4A33B9}"/>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B3D8-4356-8BA4-EBE9DA4A33B9}"/>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B3D8-4356-8BA4-EBE9DA4A33B9}"/>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B3D8-4356-8BA4-EBE9DA4A33B9}"/>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5-B3D8-4356-8BA4-EBE9DA4A33B9}"/>
              </c:ext>
            </c:extLst>
          </c:dPt>
          <c:dPt>
            <c:idx val="6"/>
            <c:bubble3D val="0"/>
            <c:spPr>
              <a:solidFill>
                <a:srgbClr val="0066CC"/>
              </a:solidFill>
              <a:ln w="12700">
                <a:solidFill>
                  <a:srgbClr val="000000"/>
                </a:solidFill>
                <a:prstDash val="solid"/>
              </a:ln>
            </c:spPr>
            <c:extLst>
              <c:ext xmlns:c16="http://schemas.microsoft.com/office/drawing/2014/chart" uri="{C3380CC4-5D6E-409C-BE32-E72D297353CC}">
                <c16:uniqueId val="{00000006-B3D8-4356-8BA4-EBE9DA4A33B9}"/>
              </c:ext>
            </c:extLst>
          </c:dPt>
          <c:dLbls>
            <c:numFmt formatCode="0%" sourceLinked="0"/>
            <c:spPr>
              <a:noFill/>
              <a:ln w="25400">
                <a:noFill/>
              </a:ln>
            </c:spPr>
            <c:txPr>
              <a:bodyPr wrap="square" lIns="38100" tIns="19050" rIns="38100" bIns="19050" anchor="ctr">
                <a:spAutoFit/>
              </a:bodyPr>
              <a:lstStyle/>
              <a:p>
                <a:pPr>
                  <a:defRPr sz="1825"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'Composition Graphs'!$A$14:$A$20</c:f>
              <c:strCache>
                <c:ptCount val="7"/>
                <c:pt idx="0">
                  <c:v>Returns and Allowances</c:v>
                </c:pt>
                <c:pt idx="1">
                  <c:v>Warehousing Expense</c:v>
                </c:pt>
                <c:pt idx="2">
                  <c:v>Insurance &amp; Obsolescence</c:v>
                </c:pt>
                <c:pt idx="3">
                  <c:v>Sales, General &amp; Admin</c:v>
                </c:pt>
                <c:pt idx="4">
                  <c:v>Depreciation</c:v>
                </c:pt>
                <c:pt idx="5">
                  <c:v>Interest &amp; Non-Operating</c:v>
                </c:pt>
                <c:pt idx="6">
                  <c:v>Pretax Income</c:v>
                </c:pt>
              </c:strCache>
            </c:strRef>
          </c:cat>
          <c:val>
            <c:numRef>
              <c:f>'Composition Graphs'!$B$14:$B$20</c:f>
              <c:numCache>
                <c:formatCode>0.0%</c:formatCode>
                <c:ptCount val="7"/>
                <c:pt idx="0">
                  <c:v>0.10791366906474818</c:v>
                </c:pt>
                <c:pt idx="1">
                  <c:v>0.36773647748467891</c:v>
                </c:pt>
                <c:pt idx="2">
                  <c:v>2.6245670130562213E-2</c:v>
                </c:pt>
                <c:pt idx="3">
                  <c:v>0.38163069544364503</c:v>
                </c:pt>
                <c:pt idx="4">
                  <c:v>1.4388489208633093E-2</c:v>
                </c:pt>
                <c:pt idx="5">
                  <c:v>3.5971223021582718E-3</c:v>
                </c:pt>
                <c:pt idx="6">
                  <c:v>8.9928057553956817E-2</c:v>
                </c:pt>
              </c:numCache>
            </c:numRef>
          </c:val>
          <c:extLst>
            <c:ext xmlns:c16="http://schemas.microsoft.com/office/drawing/2014/chart" uri="{C3380CC4-5D6E-409C-BE32-E72D297353CC}">
              <c16:uniqueId val="{00000007-B3D8-4356-8BA4-EBE9DA4A33B9}"/>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80389076652065028"/>
          <c:y val="0.27563078757601134"/>
          <c:w val="0.18611896642508377"/>
          <c:h val="0.48061252851701619"/>
        </c:manualLayout>
      </c:layout>
      <c:overlay val="0"/>
      <c:spPr>
        <a:solidFill>
          <a:srgbClr val="FFFFFF"/>
        </a:solidFill>
        <a:ln w="3175">
          <a:solidFill>
            <a:srgbClr val="000000"/>
          </a:solidFill>
          <a:prstDash val="solid"/>
        </a:ln>
      </c:spPr>
      <c:txPr>
        <a:bodyPr/>
        <a:lstStyle/>
        <a:p>
          <a:pPr>
            <a:defRPr sz="108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203200</xdr:colOff>
      <xdr:row>0</xdr:row>
      <xdr:rowOff>139700</xdr:rowOff>
    </xdr:from>
    <xdr:to>
      <xdr:col>13</xdr:col>
      <xdr:colOff>247650</xdr:colOff>
      <xdr:row>21</xdr:row>
      <xdr:rowOff>0</xdr:rowOff>
    </xdr:to>
    <xdr:sp macro="" textlink="">
      <xdr:nvSpPr>
        <xdr:cNvPr id="12290" name="Text Box 2">
          <a:extLst>
            <a:ext uri="{FF2B5EF4-FFF2-40B4-BE49-F238E27FC236}">
              <a16:creationId xmlns:a16="http://schemas.microsoft.com/office/drawing/2014/main" id="{82824DBC-95CB-4121-9EDC-0D3A050C26D6}"/>
            </a:ext>
          </a:extLst>
        </xdr:cNvPr>
        <xdr:cNvSpPr txBox="1">
          <a:spLocks noChangeArrowheads="1"/>
        </xdr:cNvSpPr>
      </xdr:nvSpPr>
      <xdr:spPr bwMode="auto">
        <a:xfrm>
          <a:off x="203200" y="139700"/>
          <a:ext cx="7969250" cy="3194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This model was originally intended to showcase the affects of changes to only the average distributor/wholesaler, but gradually morphed into a management tool.  Accordingly, portions of it are not as 'user-friendly' as they might be.  When making changes, please note the assumptions document also shown on the webpage </a:t>
          </a:r>
          <a:r>
            <a:rPr lang="en-GB" sz="1000" b="1" i="0" u="none" strike="noStrike" baseline="0">
              <a:solidFill>
                <a:srgbClr val="000000"/>
              </a:solidFill>
              <a:latin typeface="Arial"/>
              <a:cs typeface="Arial"/>
            </a:rPr>
            <a:t>and please spend some time understanding the formulas prior to changing/overriding to tailor to your specific business</a:t>
          </a:r>
          <a:r>
            <a:rPr lang="en-GB" sz="1000" b="0" i="0" u="none" strike="noStrike" baseline="0">
              <a:solidFill>
                <a:srgbClr val="000000"/>
              </a:solidFill>
              <a:latin typeface="Arial"/>
              <a:cs typeface="Arial"/>
            </a:rPr>
            <a: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We suggest adjusting/viewing the tabs in the order they are presented.  </a:t>
          </a:r>
        </a:p>
        <a:p>
          <a:pPr algn="l" rtl="0">
            <a:defRPr sz="1000"/>
          </a:pPr>
          <a:r>
            <a:rPr lang="en-GB" sz="1000" b="0" i="0" u="none" strike="noStrike" baseline="0">
              <a:solidFill>
                <a:srgbClr val="000000"/>
              </a:solidFill>
              <a:latin typeface="Arial"/>
              <a:cs typeface="Arial"/>
            </a:rPr>
            <a:t>On the </a:t>
          </a:r>
          <a:r>
            <a:rPr lang="en-GB" sz="1000" b="1" i="0" u="none" strike="noStrike" baseline="0">
              <a:solidFill>
                <a:srgbClr val="000000"/>
              </a:solidFill>
              <a:latin typeface="Arial"/>
              <a:cs typeface="Arial"/>
            </a:rPr>
            <a:t>Inv CC (inventory carrying cost) tab</a:t>
          </a:r>
          <a:r>
            <a:rPr lang="en-GB" sz="1000" b="0" i="0" u="none" strike="noStrike" baseline="0">
              <a:solidFill>
                <a:srgbClr val="000000"/>
              </a:solidFill>
              <a:latin typeface="Arial"/>
              <a:cs typeface="Arial"/>
            </a:rPr>
            <a:t>, items in shaded blocks should be input, all others should be calculated.  For the cost of capital portion, the vast majority of users will probably input the firm hurdle rate and the corporate tax rate (you can ignore beta of equity and cost of debt).  If you wish to utilize method 2, you'll need to enter beta of equity and cost of debt, as well as the corporate tax rate.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a:t>
          </a:r>
          <a:r>
            <a:rPr lang="en-GB" sz="1000" b="1" i="0" u="none" strike="noStrike" baseline="0">
              <a:solidFill>
                <a:srgbClr val="000000"/>
              </a:solidFill>
              <a:latin typeface="Arial"/>
              <a:cs typeface="Arial"/>
            </a:rPr>
            <a:t>Financials tab </a:t>
          </a:r>
          <a:r>
            <a:rPr lang="en-GB" sz="1000" b="0" i="0" u="none" strike="noStrike" baseline="0">
              <a:solidFill>
                <a:srgbClr val="000000"/>
              </a:solidFill>
              <a:latin typeface="Arial"/>
              <a:cs typeface="Arial"/>
            </a:rPr>
            <a:t>is the foundation of the model.  Begin in the top-left corner and input numbers relevant for your business.  These will flow through the model.  In general, the model is color-coded.  Most items in blue are hard-inputs based on the NHRAW report.  Red items indicate those that change in at least 1 of the 4 scenarios.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Please reply with feedback regarding this model and check for occasional updates.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438150</xdr:colOff>
      <xdr:row>8</xdr:row>
      <xdr:rowOff>0</xdr:rowOff>
    </xdr:from>
    <xdr:to>
      <xdr:col>7</xdr:col>
      <xdr:colOff>438150</xdr:colOff>
      <xdr:row>12</xdr:row>
      <xdr:rowOff>0</xdr:rowOff>
    </xdr:to>
    <xdr:sp macro="" textlink="">
      <xdr:nvSpPr>
        <xdr:cNvPr id="1032" name="Line 8">
          <a:extLst>
            <a:ext uri="{FF2B5EF4-FFF2-40B4-BE49-F238E27FC236}">
              <a16:creationId xmlns:a16="http://schemas.microsoft.com/office/drawing/2014/main" id="{EBE35251-4721-466B-B2CC-BCA3C38FFA9A}"/>
            </a:ext>
          </a:extLst>
        </xdr:cNvPr>
        <xdr:cNvSpPr>
          <a:spLocks noChangeShapeType="1"/>
        </xdr:cNvSpPr>
      </xdr:nvSpPr>
      <xdr:spPr bwMode="auto">
        <a:xfrm>
          <a:off x="7842250" y="1708150"/>
          <a:ext cx="0" cy="6794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9</xdr:row>
      <xdr:rowOff>101600</xdr:rowOff>
    </xdr:from>
    <xdr:to>
      <xdr:col>7</xdr:col>
      <xdr:colOff>438150</xdr:colOff>
      <xdr:row>42</xdr:row>
      <xdr:rowOff>88900</xdr:rowOff>
    </xdr:to>
    <xdr:sp macro="" textlink="">
      <xdr:nvSpPr>
        <xdr:cNvPr id="1045" name="Freeform 21">
          <a:extLst>
            <a:ext uri="{FF2B5EF4-FFF2-40B4-BE49-F238E27FC236}">
              <a16:creationId xmlns:a16="http://schemas.microsoft.com/office/drawing/2014/main" id="{1E2F9035-7AA2-44E7-AEEB-052F95E0DE9F}"/>
            </a:ext>
          </a:extLst>
        </xdr:cNvPr>
        <xdr:cNvSpPr>
          <a:spLocks/>
        </xdr:cNvSpPr>
      </xdr:nvSpPr>
      <xdr:spPr bwMode="auto">
        <a:xfrm>
          <a:off x="5003800" y="1981200"/>
          <a:ext cx="2838450" cy="5619750"/>
        </a:xfrm>
        <a:custGeom>
          <a:avLst/>
          <a:gdLst>
            <a:gd name="T0" fmla="*/ 0 w 377"/>
            <a:gd name="T1" fmla="*/ 198 h 198"/>
            <a:gd name="T2" fmla="*/ 73 w 377"/>
            <a:gd name="T3" fmla="*/ 198 h 198"/>
            <a:gd name="T4" fmla="*/ 73 w 377"/>
            <a:gd name="T5" fmla="*/ 0 h 198"/>
            <a:gd name="T6" fmla="*/ 377 w 377"/>
            <a:gd name="T7" fmla="*/ 0 h 198"/>
            <a:gd name="T8" fmla="*/ 377 w 377"/>
            <a:gd name="T9" fmla="*/ 9 h 198"/>
          </a:gdLst>
          <a:ahLst/>
          <a:cxnLst>
            <a:cxn ang="0">
              <a:pos x="T0" y="T1"/>
            </a:cxn>
            <a:cxn ang="0">
              <a:pos x="T2" y="T3"/>
            </a:cxn>
            <a:cxn ang="0">
              <a:pos x="T4" y="T5"/>
            </a:cxn>
            <a:cxn ang="0">
              <a:pos x="T6" y="T7"/>
            </a:cxn>
            <a:cxn ang="0">
              <a:pos x="T8" y="T9"/>
            </a:cxn>
          </a:cxnLst>
          <a:rect l="0" t="0" r="r" b="b"/>
          <a:pathLst>
            <a:path w="377" h="198">
              <a:moveTo>
                <a:pt x="0" y="198"/>
              </a:moveTo>
              <a:lnTo>
                <a:pt x="73" y="198"/>
              </a:lnTo>
              <a:lnTo>
                <a:pt x="73" y="0"/>
              </a:lnTo>
              <a:lnTo>
                <a:pt x="377" y="0"/>
              </a:lnTo>
              <a:lnTo>
                <a:pt x="377" y="9"/>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342900</xdr:colOff>
      <xdr:row>32</xdr:row>
      <xdr:rowOff>0</xdr:rowOff>
    </xdr:from>
    <xdr:to>
      <xdr:col>4</xdr:col>
      <xdr:colOff>342900</xdr:colOff>
      <xdr:row>32</xdr:row>
      <xdr:rowOff>0</xdr:rowOff>
    </xdr:to>
    <xdr:sp macro="" textlink="">
      <xdr:nvSpPr>
        <xdr:cNvPr id="1062" name="Line 38">
          <a:extLst>
            <a:ext uri="{FF2B5EF4-FFF2-40B4-BE49-F238E27FC236}">
              <a16:creationId xmlns:a16="http://schemas.microsoft.com/office/drawing/2014/main" id="{B8DEACD9-2F55-4C44-A207-6CFC7AF6EC1D}"/>
            </a:ext>
          </a:extLst>
        </xdr:cNvPr>
        <xdr:cNvSpPr>
          <a:spLocks noChangeShapeType="1"/>
        </xdr:cNvSpPr>
      </xdr:nvSpPr>
      <xdr:spPr bwMode="auto">
        <a:xfrm>
          <a:off x="4737100" y="58039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107950</xdr:colOff>
      <xdr:row>32</xdr:row>
      <xdr:rowOff>0</xdr:rowOff>
    </xdr:from>
    <xdr:to>
      <xdr:col>4</xdr:col>
      <xdr:colOff>342900</xdr:colOff>
      <xdr:row>32</xdr:row>
      <xdr:rowOff>127000</xdr:rowOff>
    </xdr:to>
    <xdr:grpSp>
      <xdr:nvGrpSpPr>
        <xdr:cNvPr id="1100" name="Group 76">
          <a:extLst>
            <a:ext uri="{FF2B5EF4-FFF2-40B4-BE49-F238E27FC236}">
              <a16:creationId xmlns:a16="http://schemas.microsoft.com/office/drawing/2014/main" id="{E5767797-8F3A-4A38-BA6D-86EF10116D6D}"/>
            </a:ext>
          </a:extLst>
        </xdr:cNvPr>
        <xdr:cNvGrpSpPr>
          <a:grpSpLocks/>
        </xdr:cNvGrpSpPr>
      </xdr:nvGrpSpPr>
      <xdr:grpSpPr bwMode="auto">
        <a:xfrm>
          <a:off x="2635250" y="5803900"/>
          <a:ext cx="2101850" cy="127000"/>
          <a:chOff x="264" y="559"/>
          <a:chExt cx="215" cy="15"/>
        </a:xfrm>
      </xdr:grpSpPr>
      <xdr:sp macro="" textlink="">
        <xdr:nvSpPr>
          <xdr:cNvPr id="1065" name="Line 41">
            <a:extLst>
              <a:ext uri="{FF2B5EF4-FFF2-40B4-BE49-F238E27FC236}">
                <a16:creationId xmlns:a16="http://schemas.microsoft.com/office/drawing/2014/main" id="{4053F47F-3B97-4935-B598-B9B74EB69585}"/>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66" name="Line 42">
            <a:extLst>
              <a:ext uri="{FF2B5EF4-FFF2-40B4-BE49-F238E27FC236}">
                <a16:creationId xmlns:a16="http://schemas.microsoft.com/office/drawing/2014/main" id="{200688B9-6E29-4180-BE9D-A4AB3CEB2BA8}"/>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39</xdr:row>
      <xdr:rowOff>101600</xdr:rowOff>
    </xdr:from>
    <xdr:to>
      <xdr:col>3</xdr:col>
      <xdr:colOff>0</xdr:colOff>
      <xdr:row>39</xdr:row>
      <xdr:rowOff>101600</xdr:rowOff>
    </xdr:to>
    <xdr:sp macro="" textlink="">
      <xdr:nvSpPr>
        <xdr:cNvPr id="1085" name="Line 61">
          <a:extLst>
            <a:ext uri="{FF2B5EF4-FFF2-40B4-BE49-F238E27FC236}">
              <a16:creationId xmlns:a16="http://schemas.microsoft.com/office/drawing/2014/main" id="{8224694E-5FB2-4D58-9794-764014AB513C}"/>
            </a:ext>
          </a:extLst>
        </xdr:cNvPr>
        <xdr:cNvSpPr>
          <a:spLocks noChangeShapeType="1"/>
        </xdr:cNvSpPr>
      </xdr:nvSpPr>
      <xdr:spPr bwMode="auto">
        <a:xfrm>
          <a:off x="2527300" y="70993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508000</xdr:colOff>
      <xdr:row>32</xdr:row>
      <xdr:rowOff>69850</xdr:rowOff>
    </xdr:from>
    <xdr:to>
      <xdr:col>3</xdr:col>
      <xdr:colOff>120650</xdr:colOff>
      <xdr:row>36</xdr:row>
      <xdr:rowOff>88900</xdr:rowOff>
    </xdr:to>
    <xdr:grpSp>
      <xdr:nvGrpSpPr>
        <xdr:cNvPr id="1090" name="Group 66">
          <a:extLst>
            <a:ext uri="{FF2B5EF4-FFF2-40B4-BE49-F238E27FC236}">
              <a16:creationId xmlns:a16="http://schemas.microsoft.com/office/drawing/2014/main" id="{72B2B06A-1715-4917-BB5D-6EE6DEFE9358}"/>
            </a:ext>
          </a:extLst>
        </xdr:cNvPr>
        <xdr:cNvGrpSpPr>
          <a:grpSpLocks/>
        </xdr:cNvGrpSpPr>
      </xdr:nvGrpSpPr>
      <xdr:grpSpPr bwMode="auto">
        <a:xfrm>
          <a:off x="2514600" y="5873750"/>
          <a:ext cx="133350" cy="704850"/>
          <a:chOff x="252" y="568"/>
          <a:chExt cx="13" cy="56"/>
        </a:xfrm>
      </xdr:grpSpPr>
      <xdr:sp macro="" textlink="">
        <xdr:nvSpPr>
          <xdr:cNvPr id="1079" name="Line 55">
            <a:extLst>
              <a:ext uri="{FF2B5EF4-FFF2-40B4-BE49-F238E27FC236}">
                <a16:creationId xmlns:a16="http://schemas.microsoft.com/office/drawing/2014/main" id="{4BA17D4C-4F1A-4B41-9741-573599FDCF15}"/>
              </a:ext>
            </a:extLst>
          </xdr:cNvPr>
          <xdr:cNvSpPr>
            <a:spLocks noChangeShapeType="1"/>
          </xdr:cNvSpPr>
        </xdr:nvSpPr>
        <xdr:spPr bwMode="auto">
          <a:xfrm flipV="1">
            <a:off x="253" y="56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0" name="Line 56">
            <a:extLst>
              <a:ext uri="{FF2B5EF4-FFF2-40B4-BE49-F238E27FC236}">
                <a16:creationId xmlns:a16="http://schemas.microsoft.com/office/drawing/2014/main" id="{F0C92C40-4BC2-429A-A4DD-438468F829A5}"/>
              </a:ext>
            </a:extLst>
          </xdr:cNvPr>
          <xdr:cNvSpPr>
            <a:spLocks noChangeShapeType="1"/>
          </xdr:cNvSpPr>
        </xdr:nvSpPr>
        <xdr:spPr bwMode="auto">
          <a:xfrm flipV="1">
            <a:off x="253" y="58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1" name="Line 57">
            <a:extLst>
              <a:ext uri="{FF2B5EF4-FFF2-40B4-BE49-F238E27FC236}">
                <a16:creationId xmlns:a16="http://schemas.microsoft.com/office/drawing/2014/main" id="{40D2CFC7-67D6-4046-A230-C3ADB85E0D66}"/>
              </a:ext>
            </a:extLst>
          </xdr:cNvPr>
          <xdr:cNvSpPr>
            <a:spLocks noChangeShapeType="1"/>
          </xdr:cNvSpPr>
        </xdr:nvSpPr>
        <xdr:spPr bwMode="auto">
          <a:xfrm>
            <a:off x="252" y="60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2" name="Line 58">
            <a:extLst>
              <a:ext uri="{FF2B5EF4-FFF2-40B4-BE49-F238E27FC236}">
                <a16:creationId xmlns:a16="http://schemas.microsoft.com/office/drawing/2014/main" id="{803E2982-A07E-4E58-A8F0-65D3ACE862BC}"/>
              </a:ext>
            </a:extLst>
          </xdr:cNvPr>
          <xdr:cNvSpPr>
            <a:spLocks noChangeShapeType="1"/>
          </xdr:cNvSpPr>
        </xdr:nvSpPr>
        <xdr:spPr bwMode="auto">
          <a:xfrm flipH="1">
            <a:off x="264" y="568"/>
            <a:ext cx="1" cy="56"/>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9" name="Line 65">
            <a:extLst>
              <a:ext uri="{FF2B5EF4-FFF2-40B4-BE49-F238E27FC236}">
                <a16:creationId xmlns:a16="http://schemas.microsoft.com/office/drawing/2014/main" id="{FB5CE86B-3D96-48A4-93C1-8438A22CDF50}"/>
              </a:ext>
            </a:extLst>
          </xdr:cNvPr>
          <xdr:cNvSpPr>
            <a:spLocks noChangeShapeType="1"/>
          </xdr:cNvSpPr>
        </xdr:nvSpPr>
        <xdr:spPr bwMode="auto">
          <a:xfrm flipV="1">
            <a:off x="252" y="623"/>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37</xdr:row>
      <xdr:rowOff>6350</xdr:rowOff>
    </xdr:from>
    <xdr:to>
      <xdr:col>4</xdr:col>
      <xdr:colOff>336550</xdr:colOff>
      <xdr:row>39</xdr:row>
      <xdr:rowOff>88900</xdr:rowOff>
    </xdr:to>
    <xdr:grpSp>
      <xdr:nvGrpSpPr>
        <xdr:cNvPr id="1188" name="Group 164">
          <a:extLst>
            <a:ext uri="{FF2B5EF4-FFF2-40B4-BE49-F238E27FC236}">
              <a16:creationId xmlns:a16="http://schemas.microsoft.com/office/drawing/2014/main" id="{00F8BB4F-DB18-445E-8320-748F8F26875C}"/>
            </a:ext>
          </a:extLst>
        </xdr:cNvPr>
        <xdr:cNvGrpSpPr>
          <a:grpSpLocks/>
        </xdr:cNvGrpSpPr>
      </xdr:nvGrpSpPr>
      <xdr:grpSpPr bwMode="auto">
        <a:xfrm>
          <a:off x="2527300" y="6667500"/>
          <a:ext cx="2203450" cy="419100"/>
          <a:chOff x="253" y="667"/>
          <a:chExt cx="222" cy="44"/>
        </a:xfrm>
      </xdr:grpSpPr>
      <xdr:grpSp>
        <xdr:nvGrpSpPr>
          <xdr:cNvPr id="1109" name="Group 85">
            <a:extLst>
              <a:ext uri="{FF2B5EF4-FFF2-40B4-BE49-F238E27FC236}">
                <a16:creationId xmlns:a16="http://schemas.microsoft.com/office/drawing/2014/main" id="{B14E29EC-B235-41F9-A0A6-78F0B0141B75}"/>
              </a:ext>
            </a:extLst>
          </xdr:cNvPr>
          <xdr:cNvGrpSpPr>
            <a:grpSpLocks/>
          </xdr:cNvGrpSpPr>
        </xdr:nvGrpSpPr>
        <xdr:grpSpPr bwMode="auto">
          <a:xfrm>
            <a:off x="253" y="693"/>
            <a:ext cx="13" cy="18"/>
            <a:chOff x="301" y="720"/>
            <a:chExt cx="13" cy="18"/>
          </a:xfrm>
        </xdr:grpSpPr>
        <xdr:sp macro="" textlink="">
          <xdr:nvSpPr>
            <xdr:cNvPr id="1084" name="Line 60">
              <a:extLst>
                <a:ext uri="{FF2B5EF4-FFF2-40B4-BE49-F238E27FC236}">
                  <a16:creationId xmlns:a16="http://schemas.microsoft.com/office/drawing/2014/main" id="{7D2D49BC-D50D-4B07-9533-2423536A2107}"/>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6" name="Line 62">
              <a:extLst>
                <a:ext uri="{FF2B5EF4-FFF2-40B4-BE49-F238E27FC236}">
                  <a16:creationId xmlns:a16="http://schemas.microsoft.com/office/drawing/2014/main" id="{EE6D567B-C0DE-4ABC-81A2-8D92AA06AE80}"/>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7" name="Line 63">
              <a:extLst>
                <a:ext uri="{FF2B5EF4-FFF2-40B4-BE49-F238E27FC236}">
                  <a16:creationId xmlns:a16="http://schemas.microsoft.com/office/drawing/2014/main" id="{32BA690D-B51E-48C1-9F46-D75D301C1641}"/>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096" name="Line 72">
            <a:extLst>
              <a:ext uri="{FF2B5EF4-FFF2-40B4-BE49-F238E27FC236}">
                <a16:creationId xmlns:a16="http://schemas.microsoft.com/office/drawing/2014/main" id="{BD86835C-160F-417C-8CAE-3BD220AA12C4}"/>
              </a:ext>
            </a:extLst>
          </xdr:cNvPr>
          <xdr:cNvSpPr>
            <a:spLocks noChangeShapeType="1"/>
          </xdr:cNvSpPr>
        </xdr:nvSpPr>
        <xdr:spPr bwMode="auto">
          <a:xfrm>
            <a:off x="475" y="667"/>
            <a:ext cx="0" cy="33"/>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97" name="Line 73">
            <a:extLst>
              <a:ext uri="{FF2B5EF4-FFF2-40B4-BE49-F238E27FC236}">
                <a16:creationId xmlns:a16="http://schemas.microsoft.com/office/drawing/2014/main" id="{091212A5-DAF4-46D3-B1A4-D5FB7569981B}"/>
              </a:ext>
            </a:extLst>
          </xdr:cNvPr>
          <xdr:cNvSpPr>
            <a:spLocks noChangeShapeType="1"/>
          </xdr:cNvSpPr>
        </xdr:nvSpPr>
        <xdr:spPr bwMode="auto">
          <a:xfrm flipH="1">
            <a:off x="264" y="700"/>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5</xdr:col>
      <xdr:colOff>0</xdr:colOff>
      <xdr:row>34</xdr:row>
      <xdr:rowOff>101600</xdr:rowOff>
    </xdr:from>
    <xdr:to>
      <xdr:col>5</xdr:col>
      <xdr:colOff>241300</xdr:colOff>
      <xdr:row>41</xdr:row>
      <xdr:rowOff>101600</xdr:rowOff>
    </xdr:to>
    <xdr:sp macro="" textlink="">
      <xdr:nvSpPr>
        <xdr:cNvPr id="1102" name="Freeform 78">
          <a:extLst>
            <a:ext uri="{FF2B5EF4-FFF2-40B4-BE49-F238E27FC236}">
              <a16:creationId xmlns:a16="http://schemas.microsoft.com/office/drawing/2014/main" id="{85766CEB-B3D8-417C-B16F-1E44ABD120B2}"/>
            </a:ext>
          </a:extLst>
        </xdr:cNvPr>
        <xdr:cNvSpPr>
          <a:spLocks/>
        </xdr:cNvSpPr>
      </xdr:nvSpPr>
      <xdr:spPr bwMode="auto">
        <a:xfrm>
          <a:off x="5003800" y="6248400"/>
          <a:ext cx="241300" cy="1193800"/>
        </a:xfrm>
        <a:custGeom>
          <a:avLst/>
          <a:gdLst>
            <a:gd name="T0" fmla="*/ 1 w 26"/>
            <a:gd name="T1" fmla="*/ 62 h 62"/>
            <a:gd name="T2" fmla="*/ 26 w 26"/>
            <a:gd name="T3" fmla="*/ 62 h 62"/>
            <a:gd name="T4" fmla="*/ 26 w 26"/>
            <a:gd name="T5" fmla="*/ 0 h 62"/>
            <a:gd name="T6" fmla="*/ 0 w 26"/>
            <a:gd name="T7" fmla="*/ 0 h 62"/>
          </a:gdLst>
          <a:ahLst/>
          <a:cxnLst>
            <a:cxn ang="0">
              <a:pos x="T0" y="T1"/>
            </a:cxn>
            <a:cxn ang="0">
              <a:pos x="T2" y="T3"/>
            </a:cxn>
            <a:cxn ang="0">
              <a:pos x="T4" y="T5"/>
            </a:cxn>
            <a:cxn ang="0">
              <a:pos x="T6" y="T7"/>
            </a:cxn>
          </a:cxnLst>
          <a:rect l="0" t="0" r="r" b="b"/>
          <a:pathLst>
            <a:path w="26" h="62">
              <a:moveTo>
                <a:pt x="1" y="62"/>
              </a:moveTo>
              <a:lnTo>
                <a:pt x="26" y="62"/>
              </a:lnTo>
              <a:lnTo>
                <a:pt x="26"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36</xdr:row>
      <xdr:rowOff>76200</xdr:rowOff>
    </xdr:from>
    <xdr:to>
      <xdr:col>5</xdr:col>
      <xdr:colOff>222250</xdr:colOff>
      <xdr:row>36</xdr:row>
      <xdr:rowOff>76200</xdr:rowOff>
    </xdr:to>
    <xdr:sp macro="" textlink="">
      <xdr:nvSpPr>
        <xdr:cNvPr id="1103" name="Line 79">
          <a:extLst>
            <a:ext uri="{FF2B5EF4-FFF2-40B4-BE49-F238E27FC236}">
              <a16:creationId xmlns:a16="http://schemas.microsoft.com/office/drawing/2014/main" id="{554AE230-4B76-473E-A7D6-036DD99C19E8}"/>
            </a:ext>
          </a:extLst>
        </xdr:cNvPr>
        <xdr:cNvSpPr>
          <a:spLocks noChangeShapeType="1"/>
        </xdr:cNvSpPr>
      </xdr:nvSpPr>
      <xdr:spPr bwMode="auto">
        <a:xfrm flipV="1">
          <a:off x="5003800" y="65659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27</xdr:row>
      <xdr:rowOff>6350</xdr:rowOff>
    </xdr:from>
    <xdr:to>
      <xdr:col>4</xdr:col>
      <xdr:colOff>381000</xdr:colOff>
      <xdr:row>29</xdr:row>
      <xdr:rowOff>76200</xdr:rowOff>
    </xdr:to>
    <xdr:grpSp>
      <xdr:nvGrpSpPr>
        <xdr:cNvPr id="1168" name="Group 144">
          <a:extLst>
            <a:ext uri="{FF2B5EF4-FFF2-40B4-BE49-F238E27FC236}">
              <a16:creationId xmlns:a16="http://schemas.microsoft.com/office/drawing/2014/main" id="{AB4FF385-99D6-433D-851B-9529F4A45D3A}"/>
            </a:ext>
          </a:extLst>
        </xdr:cNvPr>
        <xdr:cNvGrpSpPr>
          <a:grpSpLocks/>
        </xdr:cNvGrpSpPr>
      </xdr:nvGrpSpPr>
      <xdr:grpSpPr bwMode="auto">
        <a:xfrm>
          <a:off x="2527300" y="4959350"/>
          <a:ext cx="2247900" cy="412750"/>
          <a:chOff x="253" y="472"/>
          <a:chExt cx="227" cy="43"/>
        </a:xfrm>
      </xdr:grpSpPr>
      <xdr:grpSp>
        <xdr:nvGrpSpPr>
          <xdr:cNvPr id="1077" name="Group 53">
            <a:extLst>
              <a:ext uri="{FF2B5EF4-FFF2-40B4-BE49-F238E27FC236}">
                <a16:creationId xmlns:a16="http://schemas.microsoft.com/office/drawing/2014/main" id="{E104304E-18C0-480D-81B7-458290E8F272}"/>
              </a:ext>
            </a:extLst>
          </xdr:cNvPr>
          <xdr:cNvGrpSpPr>
            <a:grpSpLocks/>
          </xdr:cNvGrpSpPr>
        </xdr:nvGrpSpPr>
        <xdr:grpSpPr bwMode="auto">
          <a:xfrm>
            <a:off x="253" y="478"/>
            <a:ext cx="13" cy="37"/>
            <a:chOff x="268" y="478"/>
            <a:chExt cx="13" cy="37"/>
          </a:xfrm>
        </xdr:grpSpPr>
        <xdr:sp macro="" textlink="">
          <xdr:nvSpPr>
            <xdr:cNvPr id="1068" name="Line 44">
              <a:extLst>
                <a:ext uri="{FF2B5EF4-FFF2-40B4-BE49-F238E27FC236}">
                  <a16:creationId xmlns:a16="http://schemas.microsoft.com/office/drawing/2014/main" id="{A678E29D-71B3-40AB-93FB-AC94DC469998}"/>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3" name="Line 49">
              <a:extLst>
                <a:ext uri="{FF2B5EF4-FFF2-40B4-BE49-F238E27FC236}">
                  <a16:creationId xmlns:a16="http://schemas.microsoft.com/office/drawing/2014/main" id="{670E2CA4-563E-400F-BBD3-8429E15C5FFC}"/>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5" name="Line 51">
              <a:extLst>
                <a:ext uri="{FF2B5EF4-FFF2-40B4-BE49-F238E27FC236}">
                  <a16:creationId xmlns:a16="http://schemas.microsoft.com/office/drawing/2014/main" id="{079EFB7A-E8CA-4557-965D-F606A6F97013}"/>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6" name="Line 52">
              <a:extLst>
                <a:ext uri="{FF2B5EF4-FFF2-40B4-BE49-F238E27FC236}">
                  <a16:creationId xmlns:a16="http://schemas.microsoft.com/office/drawing/2014/main" id="{0E105672-2D17-486F-8948-7FB1B438FC36}"/>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04" name="Group 80">
            <a:extLst>
              <a:ext uri="{FF2B5EF4-FFF2-40B4-BE49-F238E27FC236}">
                <a16:creationId xmlns:a16="http://schemas.microsoft.com/office/drawing/2014/main" id="{01FE840B-CB73-42E1-A659-0BD392455FD5}"/>
              </a:ext>
            </a:extLst>
          </xdr:cNvPr>
          <xdr:cNvGrpSpPr>
            <a:grpSpLocks/>
          </xdr:cNvGrpSpPr>
        </xdr:nvGrpSpPr>
        <xdr:grpSpPr bwMode="auto">
          <a:xfrm>
            <a:off x="265" y="472"/>
            <a:ext cx="215" cy="15"/>
            <a:chOff x="264" y="559"/>
            <a:chExt cx="215" cy="15"/>
          </a:xfrm>
        </xdr:grpSpPr>
        <xdr:sp macro="" textlink="">
          <xdr:nvSpPr>
            <xdr:cNvPr id="1105" name="Line 81">
              <a:extLst>
                <a:ext uri="{FF2B5EF4-FFF2-40B4-BE49-F238E27FC236}">
                  <a16:creationId xmlns:a16="http://schemas.microsoft.com/office/drawing/2014/main" id="{4C9B99EC-5282-4A05-88B4-BA0921DD3E91}"/>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06" name="Line 82">
              <a:extLst>
                <a:ext uri="{FF2B5EF4-FFF2-40B4-BE49-F238E27FC236}">
                  <a16:creationId xmlns:a16="http://schemas.microsoft.com/office/drawing/2014/main" id="{E89263F9-863E-4DB1-B2F3-F3E4B6B5E956}"/>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7</xdr:col>
      <xdr:colOff>736600</xdr:colOff>
      <xdr:row>24</xdr:row>
      <xdr:rowOff>69850</xdr:rowOff>
    </xdr:from>
    <xdr:to>
      <xdr:col>8</xdr:col>
      <xdr:colOff>146050</xdr:colOff>
      <xdr:row>25</xdr:row>
      <xdr:rowOff>69850</xdr:rowOff>
    </xdr:to>
    <xdr:grpSp>
      <xdr:nvGrpSpPr>
        <xdr:cNvPr id="1118" name="Group 94">
          <a:extLst>
            <a:ext uri="{FF2B5EF4-FFF2-40B4-BE49-F238E27FC236}">
              <a16:creationId xmlns:a16="http://schemas.microsoft.com/office/drawing/2014/main" id="{ED5547C4-36C3-4271-B74A-F466C52F963B}"/>
            </a:ext>
          </a:extLst>
        </xdr:cNvPr>
        <xdr:cNvGrpSpPr>
          <a:grpSpLocks/>
        </xdr:cNvGrpSpPr>
      </xdr:nvGrpSpPr>
      <xdr:grpSpPr bwMode="auto">
        <a:xfrm>
          <a:off x="8140700" y="4508500"/>
          <a:ext cx="158750" cy="171450"/>
          <a:chOff x="301" y="720"/>
          <a:chExt cx="13" cy="18"/>
        </a:xfrm>
      </xdr:grpSpPr>
      <xdr:sp macro="" textlink="">
        <xdr:nvSpPr>
          <xdr:cNvPr id="1119" name="Line 95">
            <a:extLst>
              <a:ext uri="{FF2B5EF4-FFF2-40B4-BE49-F238E27FC236}">
                <a16:creationId xmlns:a16="http://schemas.microsoft.com/office/drawing/2014/main" id="{E86E6534-E3AB-4F66-868B-1457E79CFB20}"/>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0" name="Line 96">
            <a:extLst>
              <a:ext uri="{FF2B5EF4-FFF2-40B4-BE49-F238E27FC236}">
                <a16:creationId xmlns:a16="http://schemas.microsoft.com/office/drawing/2014/main" id="{5A9E4EAE-B6FB-4D28-9D6C-E431BB3EF7B5}"/>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1" name="Line 97">
            <a:extLst>
              <a:ext uri="{FF2B5EF4-FFF2-40B4-BE49-F238E27FC236}">
                <a16:creationId xmlns:a16="http://schemas.microsoft.com/office/drawing/2014/main" id="{1372BDE1-B42F-470E-B99D-DA13A63ACAD1}"/>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0</xdr:colOff>
      <xdr:row>27</xdr:row>
      <xdr:rowOff>69850</xdr:rowOff>
    </xdr:from>
    <xdr:to>
      <xdr:col>8</xdr:col>
      <xdr:colOff>158750</xdr:colOff>
      <xdr:row>28</xdr:row>
      <xdr:rowOff>69850</xdr:rowOff>
    </xdr:to>
    <xdr:grpSp>
      <xdr:nvGrpSpPr>
        <xdr:cNvPr id="1122" name="Group 98">
          <a:extLst>
            <a:ext uri="{FF2B5EF4-FFF2-40B4-BE49-F238E27FC236}">
              <a16:creationId xmlns:a16="http://schemas.microsoft.com/office/drawing/2014/main" id="{45401737-ACED-4DA8-9ABB-D4E99E12235A}"/>
            </a:ext>
          </a:extLst>
        </xdr:cNvPr>
        <xdr:cNvGrpSpPr>
          <a:grpSpLocks/>
        </xdr:cNvGrpSpPr>
      </xdr:nvGrpSpPr>
      <xdr:grpSpPr bwMode="auto">
        <a:xfrm>
          <a:off x="8153400" y="5022850"/>
          <a:ext cx="158750" cy="171450"/>
          <a:chOff x="301" y="720"/>
          <a:chExt cx="13" cy="18"/>
        </a:xfrm>
      </xdr:grpSpPr>
      <xdr:sp macro="" textlink="">
        <xdr:nvSpPr>
          <xdr:cNvPr id="1123" name="Line 99">
            <a:extLst>
              <a:ext uri="{FF2B5EF4-FFF2-40B4-BE49-F238E27FC236}">
                <a16:creationId xmlns:a16="http://schemas.microsoft.com/office/drawing/2014/main" id="{BCAD97CE-C57F-4DD7-BC86-2D6914166E6A}"/>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4" name="Line 100">
            <a:extLst>
              <a:ext uri="{FF2B5EF4-FFF2-40B4-BE49-F238E27FC236}">
                <a16:creationId xmlns:a16="http://schemas.microsoft.com/office/drawing/2014/main" id="{F1867FBC-0715-467C-9E49-52578BD6F23B}"/>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5" name="Line 101">
            <a:extLst>
              <a:ext uri="{FF2B5EF4-FFF2-40B4-BE49-F238E27FC236}">
                <a16:creationId xmlns:a16="http://schemas.microsoft.com/office/drawing/2014/main" id="{AADA70FD-B8B4-4F97-BB4B-052B29F04AFA}"/>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508000</xdr:colOff>
      <xdr:row>23</xdr:row>
      <xdr:rowOff>0</xdr:rowOff>
    </xdr:from>
    <xdr:to>
      <xdr:col>4</xdr:col>
      <xdr:colOff>361950</xdr:colOff>
      <xdr:row>24</xdr:row>
      <xdr:rowOff>95250</xdr:rowOff>
    </xdr:to>
    <xdr:grpSp>
      <xdr:nvGrpSpPr>
        <xdr:cNvPr id="1128" name="Group 104">
          <a:extLst>
            <a:ext uri="{FF2B5EF4-FFF2-40B4-BE49-F238E27FC236}">
              <a16:creationId xmlns:a16="http://schemas.microsoft.com/office/drawing/2014/main" id="{3857E918-5D32-404B-B2C4-C34EE3F146FC}"/>
            </a:ext>
          </a:extLst>
        </xdr:cNvPr>
        <xdr:cNvGrpSpPr>
          <a:grpSpLocks/>
        </xdr:cNvGrpSpPr>
      </xdr:nvGrpSpPr>
      <xdr:grpSpPr bwMode="auto">
        <a:xfrm>
          <a:off x="2514600" y="4267200"/>
          <a:ext cx="2241550" cy="266700"/>
          <a:chOff x="252" y="652"/>
          <a:chExt cx="223" cy="28"/>
        </a:xfrm>
      </xdr:grpSpPr>
      <xdr:grpSp>
        <xdr:nvGrpSpPr>
          <xdr:cNvPr id="1129" name="Group 105">
            <a:extLst>
              <a:ext uri="{FF2B5EF4-FFF2-40B4-BE49-F238E27FC236}">
                <a16:creationId xmlns:a16="http://schemas.microsoft.com/office/drawing/2014/main" id="{031AB0A7-A7BA-44B8-84EE-F99F7E5E1731}"/>
              </a:ext>
            </a:extLst>
          </xdr:cNvPr>
          <xdr:cNvGrpSpPr>
            <a:grpSpLocks/>
          </xdr:cNvGrpSpPr>
        </xdr:nvGrpSpPr>
        <xdr:grpSpPr bwMode="auto">
          <a:xfrm>
            <a:off x="252" y="662"/>
            <a:ext cx="13" cy="18"/>
            <a:chOff x="301" y="720"/>
            <a:chExt cx="13" cy="18"/>
          </a:xfrm>
        </xdr:grpSpPr>
        <xdr:sp macro="" textlink="">
          <xdr:nvSpPr>
            <xdr:cNvPr id="1130" name="Line 106">
              <a:extLst>
                <a:ext uri="{FF2B5EF4-FFF2-40B4-BE49-F238E27FC236}">
                  <a16:creationId xmlns:a16="http://schemas.microsoft.com/office/drawing/2014/main" id="{8661326D-421F-4C1E-942F-424306AD5629}"/>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1" name="Line 107">
              <a:extLst>
                <a:ext uri="{FF2B5EF4-FFF2-40B4-BE49-F238E27FC236}">
                  <a16:creationId xmlns:a16="http://schemas.microsoft.com/office/drawing/2014/main" id="{D6B1F066-43E5-45E6-BF0C-A7CB7993A5AF}"/>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2" name="Line 108">
              <a:extLst>
                <a:ext uri="{FF2B5EF4-FFF2-40B4-BE49-F238E27FC236}">
                  <a16:creationId xmlns:a16="http://schemas.microsoft.com/office/drawing/2014/main" id="{11D3B41D-8072-402F-8658-60D6104055D3}"/>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133" name="Line 109">
            <a:extLst>
              <a:ext uri="{FF2B5EF4-FFF2-40B4-BE49-F238E27FC236}">
                <a16:creationId xmlns:a16="http://schemas.microsoft.com/office/drawing/2014/main" id="{C02CA6B1-49FE-44FF-B7ED-0CA383122570}"/>
              </a:ext>
            </a:extLst>
          </xdr:cNvPr>
          <xdr:cNvSpPr>
            <a:spLocks noChangeShapeType="1"/>
          </xdr:cNvSpPr>
        </xdr:nvSpPr>
        <xdr:spPr bwMode="auto">
          <a:xfrm>
            <a:off x="475" y="652"/>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4" name="Line 110">
            <a:extLst>
              <a:ext uri="{FF2B5EF4-FFF2-40B4-BE49-F238E27FC236}">
                <a16:creationId xmlns:a16="http://schemas.microsoft.com/office/drawing/2014/main" id="{341BDE99-8FE9-46C1-BBC0-26718E9CCEE9}"/>
              </a:ext>
            </a:extLst>
          </xdr:cNvPr>
          <xdr:cNvSpPr>
            <a:spLocks noChangeShapeType="1"/>
          </xdr:cNvSpPr>
        </xdr:nvSpPr>
        <xdr:spPr bwMode="auto">
          <a:xfrm flipH="1">
            <a:off x="264" y="666"/>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146050</xdr:colOff>
      <xdr:row>27</xdr:row>
      <xdr:rowOff>114300</xdr:rowOff>
    </xdr:from>
    <xdr:to>
      <xdr:col>8</xdr:col>
      <xdr:colOff>254000</xdr:colOff>
      <xdr:row>27</xdr:row>
      <xdr:rowOff>114300</xdr:rowOff>
    </xdr:to>
    <xdr:sp macro="" textlink="">
      <xdr:nvSpPr>
        <xdr:cNvPr id="1146" name="Line 122">
          <a:extLst>
            <a:ext uri="{FF2B5EF4-FFF2-40B4-BE49-F238E27FC236}">
              <a16:creationId xmlns:a16="http://schemas.microsoft.com/office/drawing/2014/main" id="{CA11452B-C3F1-482B-A8AB-4EDD3128D1D3}"/>
            </a:ext>
          </a:extLst>
        </xdr:cNvPr>
        <xdr:cNvSpPr>
          <a:spLocks noChangeShapeType="1"/>
        </xdr:cNvSpPr>
      </xdr:nvSpPr>
      <xdr:spPr bwMode="auto">
        <a:xfrm>
          <a:off x="8299450" y="50673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139700</xdr:colOff>
      <xdr:row>24</xdr:row>
      <xdr:rowOff>133350</xdr:rowOff>
    </xdr:from>
    <xdr:to>
      <xdr:col>8</xdr:col>
      <xdr:colOff>247650</xdr:colOff>
      <xdr:row>24</xdr:row>
      <xdr:rowOff>133350</xdr:rowOff>
    </xdr:to>
    <xdr:sp macro="" textlink="">
      <xdr:nvSpPr>
        <xdr:cNvPr id="1147" name="Line 123">
          <a:extLst>
            <a:ext uri="{FF2B5EF4-FFF2-40B4-BE49-F238E27FC236}">
              <a16:creationId xmlns:a16="http://schemas.microsoft.com/office/drawing/2014/main" id="{F5C1E325-6EC9-4C8D-9B67-9C8058B4D1CA}"/>
            </a:ext>
          </a:extLst>
        </xdr:cNvPr>
        <xdr:cNvSpPr>
          <a:spLocks noChangeShapeType="1"/>
        </xdr:cNvSpPr>
      </xdr:nvSpPr>
      <xdr:spPr bwMode="auto">
        <a:xfrm>
          <a:off x="8293100" y="45720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18</xdr:row>
      <xdr:rowOff>76200</xdr:rowOff>
    </xdr:from>
    <xdr:to>
      <xdr:col>8</xdr:col>
      <xdr:colOff>247650</xdr:colOff>
      <xdr:row>18</xdr:row>
      <xdr:rowOff>76200</xdr:rowOff>
    </xdr:to>
    <xdr:sp macro="" textlink="">
      <xdr:nvSpPr>
        <xdr:cNvPr id="1150" name="Line 126">
          <a:extLst>
            <a:ext uri="{FF2B5EF4-FFF2-40B4-BE49-F238E27FC236}">
              <a16:creationId xmlns:a16="http://schemas.microsoft.com/office/drawing/2014/main" id="{7F5E7954-1711-48F9-8D31-65D09F880AC2}"/>
            </a:ext>
          </a:extLst>
        </xdr:cNvPr>
        <xdr:cNvSpPr>
          <a:spLocks noChangeShapeType="1"/>
        </xdr:cNvSpPr>
      </xdr:nvSpPr>
      <xdr:spPr bwMode="auto">
        <a:xfrm>
          <a:off x="8153400" y="34861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12700</xdr:colOff>
      <xdr:row>16</xdr:row>
      <xdr:rowOff>57150</xdr:rowOff>
    </xdr:from>
    <xdr:to>
      <xdr:col>8</xdr:col>
      <xdr:colOff>254000</xdr:colOff>
      <xdr:row>16</xdr:row>
      <xdr:rowOff>57150</xdr:rowOff>
    </xdr:to>
    <xdr:sp macro="" textlink="">
      <xdr:nvSpPr>
        <xdr:cNvPr id="1151" name="Line 127">
          <a:extLst>
            <a:ext uri="{FF2B5EF4-FFF2-40B4-BE49-F238E27FC236}">
              <a16:creationId xmlns:a16="http://schemas.microsoft.com/office/drawing/2014/main" id="{5386CC6C-567F-420E-943D-65C9E49B1576}"/>
            </a:ext>
          </a:extLst>
        </xdr:cNvPr>
        <xdr:cNvSpPr>
          <a:spLocks noChangeShapeType="1"/>
        </xdr:cNvSpPr>
      </xdr:nvSpPr>
      <xdr:spPr bwMode="auto">
        <a:xfrm>
          <a:off x="8166100" y="31242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247650</xdr:colOff>
      <xdr:row>14</xdr:row>
      <xdr:rowOff>127000</xdr:rowOff>
    </xdr:from>
    <xdr:to>
      <xdr:col>11</xdr:col>
      <xdr:colOff>114300</xdr:colOff>
      <xdr:row>16</xdr:row>
      <xdr:rowOff>69850</xdr:rowOff>
    </xdr:to>
    <xdr:sp macro="" textlink="">
      <xdr:nvSpPr>
        <xdr:cNvPr id="1157" name="Freeform 133">
          <a:extLst>
            <a:ext uri="{FF2B5EF4-FFF2-40B4-BE49-F238E27FC236}">
              <a16:creationId xmlns:a16="http://schemas.microsoft.com/office/drawing/2014/main" id="{A1AA53CB-BBE4-45BF-B592-F2EE457887C8}"/>
            </a:ext>
          </a:extLst>
        </xdr:cNvPr>
        <xdr:cNvSpPr>
          <a:spLocks/>
        </xdr:cNvSpPr>
      </xdr:nvSpPr>
      <xdr:spPr bwMode="auto">
        <a:xfrm>
          <a:off x="8401050" y="2857500"/>
          <a:ext cx="2330450" cy="279400"/>
        </a:xfrm>
        <a:custGeom>
          <a:avLst/>
          <a:gdLst>
            <a:gd name="T0" fmla="*/ 0 w 239"/>
            <a:gd name="T1" fmla="*/ 28 h 28"/>
            <a:gd name="T2" fmla="*/ 0 w 239"/>
            <a:gd name="T3" fmla="*/ 0 h 28"/>
            <a:gd name="T4" fmla="*/ 239 w 239"/>
            <a:gd name="T5" fmla="*/ 0 h 28"/>
            <a:gd name="T6" fmla="*/ 239 w 239"/>
            <a:gd name="T7" fmla="*/ 26 h 28"/>
          </a:gdLst>
          <a:ahLst/>
          <a:cxnLst>
            <a:cxn ang="0">
              <a:pos x="T0" y="T1"/>
            </a:cxn>
            <a:cxn ang="0">
              <a:pos x="T2" y="T3"/>
            </a:cxn>
            <a:cxn ang="0">
              <a:pos x="T4" y="T5"/>
            </a:cxn>
            <a:cxn ang="0">
              <a:pos x="T6" y="T7"/>
            </a:cxn>
          </a:cxnLst>
          <a:rect l="0" t="0" r="r" b="b"/>
          <a:pathLst>
            <a:path w="239" h="28">
              <a:moveTo>
                <a:pt x="0" y="28"/>
              </a:moveTo>
              <a:lnTo>
                <a:pt x="0" y="0"/>
              </a:lnTo>
              <a:lnTo>
                <a:pt x="239" y="0"/>
              </a:lnTo>
              <a:lnTo>
                <a:pt x="239" y="26"/>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0</xdr:colOff>
      <xdr:row>20</xdr:row>
      <xdr:rowOff>114300</xdr:rowOff>
    </xdr:from>
    <xdr:to>
      <xdr:col>8</xdr:col>
      <xdr:colOff>247650</xdr:colOff>
      <xdr:row>27</xdr:row>
      <xdr:rowOff>101600</xdr:rowOff>
    </xdr:to>
    <xdr:sp macro="" textlink="">
      <xdr:nvSpPr>
        <xdr:cNvPr id="1159" name="Freeform 135">
          <a:extLst>
            <a:ext uri="{FF2B5EF4-FFF2-40B4-BE49-F238E27FC236}">
              <a16:creationId xmlns:a16="http://schemas.microsoft.com/office/drawing/2014/main" id="{B8F1243C-4786-4389-B9EE-07AD4B71663A}"/>
            </a:ext>
          </a:extLst>
        </xdr:cNvPr>
        <xdr:cNvSpPr>
          <a:spLocks/>
        </xdr:cNvSpPr>
      </xdr:nvSpPr>
      <xdr:spPr bwMode="auto">
        <a:xfrm>
          <a:off x="8153400" y="3867150"/>
          <a:ext cx="247650" cy="1187450"/>
        </a:xfrm>
        <a:custGeom>
          <a:avLst/>
          <a:gdLst>
            <a:gd name="T0" fmla="*/ 25 w 25"/>
            <a:gd name="T1" fmla="*/ 197 h 197"/>
            <a:gd name="T2" fmla="*/ 25 w 25"/>
            <a:gd name="T3" fmla="*/ 0 h 197"/>
            <a:gd name="T4" fmla="*/ 0 w 25"/>
            <a:gd name="T5" fmla="*/ 0 h 197"/>
          </a:gdLst>
          <a:ahLst/>
          <a:cxnLst>
            <a:cxn ang="0">
              <a:pos x="T0" y="T1"/>
            </a:cxn>
            <a:cxn ang="0">
              <a:pos x="T2" y="T3"/>
            </a:cxn>
            <a:cxn ang="0">
              <a:pos x="T4" y="T5"/>
            </a:cxn>
          </a:cxnLst>
          <a:rect l="0" t="0" r="r" b="b"/>
          <a:pathLst>
            <a:path w="25" h="197">
              <a:moveTo>
                <a:pt x="25" y="197"/>
              </a:moveTo>
              <a:lnTo>
                <a:pt x="25"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12700</xdr:colOff>
      <xdr:row>16</xdr:row>
      <xdr:rowOff>114300</xdr:rowOff>
    </xdr:from>
    <xdr:to>
      <xdr:col>11</xdr:col>
      <xdr:colOff>114300</xdr:colOff>
      <xdr:row>24</xdr:row>
      <xdr:rowOff>76200</xdr:rowOff>
    </xdr:to>
    <xdr:sp macro="" textlink="">
      <xdr:nvSpPr>
        <xdr:cNvPr id="1161" name="Freeform 137">
          <a:extLst>
            <a:ext uri="{FF2B5EF4-FFF2-40B4-BE49-F238E27FC236}">
              <a16:creationId xmlns:a16="http://schemas.microsoft.com/office/drawing/2014/main" id="{6AD467BD-4B8C-444A-9019-719F5F64F2CC}"/>
            </a:ext>
          </a:extLst>
        </xdr:cNvPr>
        <xdr:cNvSpPr>
          <a:spLocks/>
        </xdr:cNvSpPr>
      </xdr:nvSpPr>
      <xdr:spPr bwMode="auto">
        <a:xfrm>
          <a:off x="10629900" y="3181350"/>
          <a:ext cx="101600" cy="1333500"/>
        </a:xfrm>
        <a:custGeom>
          <a:avLst/>
          <a:gdLst>
            <a:gd name="T0" fmla="*/ 0 w 11"/>
            <a:gd name="T1" fmla="*/ 140 h 140"/>
            <a:gd name="T2" fmla="*/ 11 w 11"/>
            <a:gd name="T3" fmla="*/ 140 h 140"/>
            <a:gd name="T4" fmla="*/ 11 w 11"/>
            <a:gd name="T5" fmla="*/ 0 h 140"/>
            <a:gd name="T6" fmla="*/ 0 w 11"/>
            <a:gd name="T7" fmla="*/ 0 h 140"/>
          </a:gdLst>
          <a:ahLst/>
          <a:cxnLst>
            <a:cxn ang="0">
              <a:pos x="T0" y="T1"/>
            </a:cxn>
            <a:cxn ang="0">
              <a:pos x="T2" y="T3"/>
            </a:cxn>
            <a:cxn ang="0">
              <a:pos x="T4" y="T5"/>
            </a:cxn>
            <a:cxn ang="0">
              <a:pos x="T6" y="T7"/>
            </a:cxn>
          </a:cxnLst>
          <a:rect l="0" t="0" r="r" b="b"/>
          <a:pathLst>
            <a:path w="11" h="140">
              <a:moveTo>
                <a:pt x="0" y="140"/>
              </a:moveTo>
              <a:lnTo>
                <a:pt x="11" y="140"/>
              </a:lnTo>
              <a:lnTo>
                <a:pt x="11"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0</xdr:colOff>
      <xdr:row>22</xdr:row>
      <xdr:rowOff>88900</xdr:rowOff>
    </xdr:from>
    <xdr:to>
      <xdr:col>11</xdr:col>
      <xdr:colOff>114300</xdr:colOff>
      <xdr:row>22</xdr:row>
      <xdr:rowOff>88900</xdr:rowOff>
    </xdr:to>
    <xdr:sp macro="" textlink="">
      <xdr:nvSpPr>
        <xdr:cNvPr id="1163" name="Line 139">
          <a:extLst>
            <a:ext uri="{FF2B5EF4-FFF2-40B4-BE49-F238E27FC236}">
              <a16:creationId xmlns:a16="http://schemas.microsoft.com/office/drawing/2014/main" id="{828FF4D9-4550-4C48-9A5F-A669D4DD6A8A}"/>
            </a:ext>
          </a:extLst>
        </xdr:cNvPr>
        <xdr:cNvSpPr>
          <a:spLocks noChangeShapeType="1"/>
        </xdr:cNvSpPr>
      </xdr:nvSpPr>
      <xdr:spPr bwMode="auto">
        <a:xfrm>
          <a:off x="10617200" y="41846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20</xdr:row>
      <xdr:rowOff>76200</xdr:rowOff>
    </xdr:from>
    <xdr:to>
      <xdr:col>11</xdr:col>
      <xdr:colOff>114300</xdr:colOff>
      <xdr:row>20</xdr:row>
      <xdr:rowOff>76200</xdr:rowOff>
    </xdr:to>
    <xdr:sp macro="" textlink="">
      <xdr:nvSpPr>
        <xdr:cNvPr id="1164" name="Line 140">
          <a:extLst>
            <a:ext uri="{FF2B5EF4-FFF2-40B4-BE49-F238E27FC236}">
              <a16:creationId xmlns:a16="http://schemas.microsoft.com/office/drawing/2014/main" id="{339C68AD-3A63-4566-BBEE-AF5FF24C2DFC}"/>
            </a:ext>
          </a:extLst>
        </xdr:cNvPr>
        <xdr:cNvSpPr>
          <a:spLocks noChangeShapeType="1"/>
        </xdr:cNvSpPr>
      </xdr:nvSpPr>
      <xdr:spPr bwMode="auto">
        <a:xfrm>
          <a:off x="10617200" y="38290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18</xdr:row>
      <xdr:rowOff>76200</xdr:rowOff>
    </xdr:from>
    <xdr:to>
      <xdr:col>11</xdr:col>
      <xdr:colOff>114300</xdr:colOff>
      <xdr:row>18</xdr:row>
      <xdr:rowOff>76200</xdr:rowOff>
    </xdr:to>
    <xdr:sp macro="" textlink="">
      <xdr:nvSpPr>
        <xdr:cNvPr id="1165" name="Line 141">
          <a:extLst>
            <a:ext uri="{FF2B5EF4-FFF2-40B4-BE49-F238E27FC236}">
              <a16:creationId xmlns:a16="http://schemas.microsoft.com/office/drawing/2014/main" id="{A18E72B0-1DFB-4A4C-AB13-DE8B29659B8D}"/>
            </a:ext>
          </a:extLst>
        </xdr:cNvPr>
        <xdr:cNvSpPr>
          <a:spLocks noChangeShapeType="1"/>
        </xdr:cNvSpPr>
      </xdr:nvSpPr>
      <xdr:spPr bwMode="auto">
        <a:xfrm>
          <a:off x="10617200" y="3486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16</xdr:row>
      <xdr:rowOff>38100</xdr:rowOff>
    </xdr:from>
    <xdr:to>
      <xdr:col>11</xdr:col>
      <xdr:colOff>114300</xdr:colOff>
      <xdr:row>16</xdr:row>
      <xdr:rowOff>38100</xdr:rowOff>
    </xdr:to>
    <xdr:sp macro="" textlink="">
      <xdr:nvSpPr>
        <xdr:cNvPr id="1167" name="Line 143">
          <a:extLst>
            <a:ext uri="{FF2B5EF4-FFF2-40B4-BE49-F238E27FC236}">
              <a16:creationId xmlns:a16="http://schemas.microsoft.com/office/drawing/2014/main" id="{FCB92531-06DE-4C67-9CDB-B72300D5A3B2}"/>
            </a:ext>
          </a:extLst>
        </xdr:cNvPr>
        <xdr:cNvSpPr>
          <a:spLocks noChangeShapeType="1"/>
        </xdr:cNvSpPr>
      </xdr:nvSpPr>
      <xdr:spPr bwMode="auto">
        <a:xfrm flipH="1">
          <a:off x="10617200" y="3105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18</xdr:row>
      <xdr:rowOff>6350</xdr:rowOff>
    </xdr:from>
    <xdr:to>
      <xdr:col>4</xdr:col>
      <xdr:colOff>381000</xdr:colOff>
      <xdr:row>20</xdr:row>
      <xdr:rowOff>76200</xdr:rowOff>
    </xdr:to>
    <xdr:grpSp>
      <xdr:nvGrpSpPr>
        <xdr:cNvPr id="1169" name="Group 145">
          <a:extLst>
            <a:ext uri="{FF2B5EF4-FFF2-40B4-BE49-F238E27FC236}">
              <a16:creationId xmlns:a16="http://schemas.microsoft.com/office/drawing/2014/main" id="{C769BDFF-9F61-43E1-91D2-897EEADDADC2}"/>
            </a:ext>
          </a:extLst>
        </xdr:cNvPr>
        <xdr:cNvGrpSpPr>
          <a:grpSpLocks/>
        </xdr:cNvGrpSpPr>
      </xdr:nvGrpSpPr>
      <xdr:grpSpPr bwMode="auto">
        <a:xfrm>
          <a:off x="2527300" y="3416300"/>
          <a:ext cx="2247900" cy="412750"/>
          <a:chOff x="253" y="472"/>
          <a:chExt cx="227" cy="43"/>
        </a:xfrm>
      </xdr:grpSpPr>
      <xdr:grpSp>
        <xdr:nvGrpSpPr>
          <xdr:cNvPr id="1170" name="Group 146">
            <a:extLst>
              <a:ext uri="{FF2B5EF4-FFF2-40B4-BE49-F238E27FC236}">
                <a16:creationId xmlns:a16="http://schemas.microsoft.com/office/drawing/2014/main" id="{40DD247E-1635-4CCD-B161-61B16A08B253}"/>
              </a:ext>
            </a:extLst>
          </xdr:cNvPr>
          <xdr:cNvGrpSpPr>
            <a:grpSpLocks/>
          </xdr:cNvGrpSpPr>
        </xdr:nvGrpSpPr>
        <xdr:grpSpPr bwMode="auto">
          <a:xfrm>
            <a:off x="253" y="478"/>
            <a:ext cx="13" cy="37"/>
            <a:chOff x="268" y="478"/>
            <a:chExt cx="13" cy="37"/>
          </a:xfrm>
        </xdr:grpSpPr>
        <xdr:sp macro="" textlink="">
          <xdr:nvSpPr>
            <xdr:cNvPr id="1171" name="Line 147">
              <a:extLst>
                <a:ext uri="{FF2B5EF4-FFF2-40B4-BE49-F238E27FC236}">
                  <a16:creationId xmlns:a16="http://schemas.microsoft.com/office/drawing/2014/main" id="{CF5BC6CC-ECC6-441A-921C-F962CED42F35}"/>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2" name="Line 148">
              <a:extLst>
                <a:ext uri="{FF2B5EF4-FFF2-40B4-BE49-F238E27FC236}">
                  <a16:creationId xmlns:a16="http://schemas.microsoft.com/office/drawing/2014/main" id="{3D2ADDFD-29BA-4298-BACC-7192ECD8987C}"/>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3" name="Line 149">
              <a:extLst>
                <a:ext uri="{FF2B5EF4-FFF2-40B4-BE49-F238E27FC236}">
                  <a16:creationId xmlns:a16="http://schemas.microsoft.com/office/drawing/2014/main" id="{98B8E717-43BA-4F10-B086-A075BFDE40AA}"/>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4" name="Line 150">
              <a:extLst>
                <a:ext uri="{FF2B5EF4-FFF2-40B4-BE49-F238E27FC236}">
                  <a16:creationId xmlns:a16="http://schemas.microsoft.com/office/drawing/2014/main" id="{E8C4D809-BE4F-4F2A-B3AD-AEE50F094C40}"/>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75" name="Group 151">
            <a:extLst>
              <a:ext uri="{FF2B5EF4-FFF2-40B4-BE49-F238E27FC236}">
                <a16:creationId xmlns:a16="http://schemas.microsoft.com/office/drawing/2014/main" id="{BCD9BC07-7FD4-49D0-9C27-259D693FDF52}"/>
              </a:ext>
            </a:extLst>
          </xdr:cNvPr>
          <xdr:cNvGrpSpPr>
            <a:grpSpLocks/>
          </xdr:cNvGrpSpPr>
        </xdr:nvGrpSpPr>
        <xdr:grpSpPr bwMode="auto">
          <a:xfrm>
            <a:off x="265" y="472"/>
            <a:ext cx="215" cy="15"/>
            <a:chOff x="264" y="559"/>
            <a:chExt cx="215" cy="15"/>
          </a:xfrm>
        </xdr:grpSpPr>
        <xdr:sp macro="" textlink="">
          <xdr:nvSpPr>
            <xdr:cNvPr id="1176" name="Line 152">
              <a:extLst>
                <a:ext uri="{FF2B5EF4-FFF2-40B4-BE49-F238E27FC236}">
                  <a16:creationId xmlns:a16="http://schemas.microsoft.com/office/drawing/2014/main" id="{245D3CC4-6990-4C32-B726-1A19AA8D8AB5}"/>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77" name="Line 153">
              <a:extLst>
                <a:ext uri="{FF2B5EF4-FFF2-40B4-BE49-F238E27FC236}">
                  <a16:creationId xmlns:a16="http://schemas.microsoft.com/office/drawing/2014/main" id="{C671DB24-AA8E-486A-9E95-A839AFFBB5E4}"/>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0</xdr:colOff>
      <xdr:row>13</xdr:row>
      <xdr:rowOff>101600</xdr:rowOff>
    </xdr:from>
    <xdr:to>
      <xdr:col>5</xdr:col>
      <xdr:colOff>241300</xdr:colOff>
      <xdr:row>34</xdr:row>
      <xdr:rowOff>44450</xdr:rowOff>
    </xdr:to>
    <xdr:sp macro="" textlink="">
      <xdr:nvSpPr>
        <xdr:cNvPr id="1180" name="Freeform 156">
          <a:extLst>
            <a:ext uri="{FF2B5EF4-FFF2-40B4-BE49-F238E27FC236}">
              <a16:creationId xmlns:a16="http://schemas.microsoft.com/office/drawing/2014/main" id="{81A60A77-7FAB-4FB2-9D11-0B243937360B}"/>
            </a:ext>
          </a:extLst>
        </xdr:cNvPr>
        <xdr:cNvSpPr>
          <a:spLocks/>
        </xdr:cNvSpPr>
      </xdr:nvSpPr>
      <xdr:spPr bwMode="auto">
        <a:xfrm>
          <a:off x="5003800" y="2660650"/>
          <a:ext cx="241300" cy="3530600"/>
        </a:xfrm>
        <a:custGeom>
          <a:avLst/>
          <a:gdLst>
            <a:gd name="T0" fmla="*/ 1 w 23"/>
            <a:gd name="T1" fmla="*/ 372 h 372"/>
            <a:gd name="T2" fmla="*/ 23 w 23"/>
            <a:gd name="T3" fmla="*/ 372 h 372"/>
            <a:gd name="T4" fmla="*/ 23 w 23"/>
            <a:gd name="T5" fmla="*/ 0 h 372"/>
            <a:gd name="T6" fmla="*/ 0 w 23"/>
            <a:gd name="T7" fmla="*/ 0 h 372"/>
          </a:gdLst>
          <a:ahLst/>
          <a:cxnLst>
            <a:cxn ang="0">
              <a:pos x="T0" y="T1"/>
            </a:cxn>
            <a:cxn ang="0">
              <a:pos x="T2" y="T3"/>
            </a:cxn>
            <a:cxn ang="0">
              <a:pos x="T4" y="T5"/>
            </a:cxn>
            <a:cxn ang="0">
              <a:pos x="T6" y="T7"/>
            </a:cxn>
          </a:cxnLst>
          <a:rect l="0" t="0" r="r" b="b"/>
          <a:pathLst>
            <a:path w="23" h="372">
              <a:moveTo>
                <a:pt x="1" y="372"/>
              </a:moveTo>
              <a:lnTo>
                <a:pt x="23" y="372"/>
              </a:lnTo>
              <a:lnTo>
                <a:pt x="23"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31</xdr:row>
      <xdr:rowOff>76200</xdr:rowOff>
    </xdr:from>
    <xdr:to>
      <xdr:col>5</xdr:col>
      <xdr:colOff>247650</xdr:colOff>
      <xdr:row>31</xdr:row>
      <xdr:rowOff>76200</xdr:rowOff>
    </xdr:to>
    <xdr:sp macro="" textlink="">
      <xdr:nvSpPr>
        <xdr:cNvPr id="1182" name="Line 158">
          <a:extLst>
            <a:ext uri="{FF2B5EF4-FFF2-40B4-BE49-F238E27FC236}">
              <a16:creationId xmlns:a16="http://schemas.microsoft.com/office/drawing/2014/main" id="{BAF47253-8E58-4952-9757-95A076919086}"/>
            </a:ext>
          </a:extLst>
        </xdr:cNvPr>
        <xdr:cNvSpPr>
          <a:spLocks noChangeShapeType="1"/>
        </xdr:cNvSpPr>
      </xdr:nvSpPr>
      <xdr:spPr bwMode="auto">
        <a:xfrm>
          <a:off x="5003800" y="57086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26</xdr:row>
      <xdr:rowOff>88900</xdr:rowOff>
    </xdr:from>
    <xdr:to>
      <xdr:col>5</xdr:col>
      <xdr:colOff>247650</xdr:colOff>
      <xdr:row>26</xdr:row>
      <xdr:rowOff>88900</xdr:rowOff>
    </xdr:to>
    <xdr:sp macro="" textlink="">
      <xdr:nvSpPr>
        <xdr:cNvPr id="1183" name="Line 159">
          <a:extLst>
            <a:ext uri="{FF2B5EF4-FFF2-40B4-BE49-F238E27FC236}">
              <a16:creationId xmlns:a16="http://schemas.microsoft.com/office/drawing/2014/main" id="{E7F60838-31D9-4858-8F71-2551D79841D4}"/>
            </a:ext>
          </a:extLst>
        </xdr:cNvPr>
        <xdr:cNvSpPr>
          <a:spLocks noChangeShapeType="1"/>
        </xdr:cNvSpPr>
      </xdr:nvSpPr>
      <xdr:spPr bwMode="auto">
        <a:xfrm>
          <a:off x="5003800" y="48704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22</xdr:row>
      <xdr:rowOff>76200</xdr:rowOff>
    </xdr:from>
    <xdr:to>
      <xdr:col>5</xdr:col>
      <xdr:colOff>247650</xdr:colOff>
      <xdr:row>22</xdr:row>
      <xdr:rowOff>76200</xdr:rowOff>
    </xdr:to>
    <xdr:sp macro="" textlink="">
      <xdr:nvSpPr>
        <xdr:cNvPr id="1184" name="Line 160">
          <a:extLst>
            <a:ext uri="{FF2B5EF4-FFF2-40B4-BE49-F238E27FC236}">
              <a16:creationId xmlns:a16="http://schemas.microsoft.com/office/drawing/2014/main" id="{89BE53CA-B2C5-4021-8497-E2775B75E15A}"/>
            </a:ext>
          </a:extLst>
        </xdr:cNvPr>
        <xdr:cNvSpPr>
          <a:spLocks noChangeShapeType="1"/>
        </xdr:cNvSpPr>
      </xdr:nvSpPr>
      <xdr:spPr bwMode="auto">
        <a:xfrm>
          <a:off x="5003800" y="41719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17</xdr:row>
      <xdr:rowOff>88900</xdr:rowOff>
    </xdr:from>
    <xdr:to>
      <xdr:col>5</xdr:col>
      <xdr:colOff>222250</xdr:colOff>
      <xdr:row>17</xdr:row>
      <xdr:rowOff>88900</xdr:rowOff>
    </xdr:to>
    <xdr:sp macro="" textlink="">
      <xdr:nvSpPr>
        <xdr:cNvPr id="1185" name="Line 161">
          <a:extLst>
            <a:ext uri="{FF2B5EF4-FFF2-40B4-BE49-F238E27FC236}">
              <a16:creationId xmlns:a16="http://schemas.microsoft.com/office/drawing/2014/main" id="{6414EA71-88B2-491B-97AF-182B07332551}"/>
            </a:ext>
          </a:extLst>
        </xdr:cNvPr>
        <xdr:cNvSpPr>
          <a:spLocks noChangeShapeType="1"/>
        </xdr:cNvSpPr>
      </xdr:nvSpPr>
      <xdr:spPr bwMode="auto">
        <a:xfrm>
          <a:off x="5003800" y="33274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xdr:row>
      <xdr:rowOff>88900</xdr:rowOff>
    </xdr:from>
    <xdr:to>
      <xdr:col>5</xdr:col>
      <xdr:colOff>241300</xdr:colOff>
      <xdr:row>15</xdr:row>
      <xdr:rowOff>88900</xdr:rowOff>
    </xdr:to>
    <xdr:sp macro="" textlink="">
      <xdr:nvSpPr>
        <xdr:cNvPr id="1186" name="Line 162">
          <a:extLst>
            <a:ext uri="{FF2B5EF4-FFF2-40B4-BE49-F238E27FC236}">
              <a16:creationId xmlns:a16="http://schemas.microsoft.com/office/drawing/2014/main" id="{B53C9A63-35B2-40F9-ADE0-D8DD3503B385}"/>
            </a:ext>
          </a:extLst>
        </xdr:cNvPr>
        <xdr:cNvSpPr>
          <a:spLocks noChangeShapeType="1"/>
        </xdr:cNvSpPr>
      </xdr:nvSpPr>
      <xdr:spPr bwMode="auto">
        <a:xfrm>
          <a:off x="5003800" y="29845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16</xdr:row>
      <xdr:rowOff>114300</xdr:rowOff>
    </xdr:from>
    <xdr:to>
      <xdr:col>8</xdr:col>
      <xdr:colOff>241300</xdr:colOff>
      <xdr:row>20</xdr:row>
      <xdr:rowOff>57150</xdr:rowOff>
    </xdr:to>
    <xdr:sp macro="" textlink="">
      <xdr:nvSpPr>
        <xdr:cNvPr id="1187" name="Freeform 163">
          <a:extLst>
            <a:ext uri="{FF2B5EF4-FFF2-40B4-BE49-F238E27FC236}">
              <a16:creationId xmlns:a16="http://schemas.microsoft.com/office/drawing/2014/main" id="{CA481032-2D04-4952-807D-11EF15C33331}"/>
            </a:ext>
          </a:extLst>
        </xdr:cNvPr>
        <xdr:cNvSpPr>
          <a:spLocks/>
        </xdr:cNvSpPr>
      </xdr:nvSpPr>
      <xdr:spPr bwMode="auto">
        <a:xfrm>
          <a:off x="8153400" y="3181350"/>
          <a:ext cx="241300" cy="628650"/>
        </a:xfrm>
        <a:custGeom>
          <a:avLst/>
          <a:gdLst>
            <a:gd name="T0" fmla="*/ 0 w 24"/>
            <a:gd name="T1" fmla="*/ 66 h 66"/>
            <a:gd name="T2" fmla="*/ 24 w 24"/>
            <a:gd name="T3" fmla="*/ 66 h 66"/>
            <a:gd name="T4" fmla="*/ 24 w 24"/>
            <a:gd name="T5" fmla="*/ 0 h 66"/>
            <a:gd name="T6" fmla="*/ 0 w 24"/>
            <a:gd name="T7" fmla="*/ 0 h 66"/>
          </a:gdLst>
          <a:ahLst/>
          <a:cxnLst>
            <a:cxn ang="0">
              <a:pos x="T0" y="T1"/>
            </a:cxn>
            <a:cxn ang="0">
              <a:pos x="T2" y="T3"/>
            </a:cxn>
            <a:cxn ang="0">
              <a:pos x="T4" y="T5"/>
            </a:cxn>
            <a:cxn ang="0">
              <a:pos x="T6" y="T7"/>
            </a:cxn>
          </a:cxnLst>
          <a:rect l="0" t="0" r="r" b="b"/>
          <a:pathLst>
            <a:path w="24" h="66">
              <a:moveTo>
                <a:pt x="0" y="66"/>
              </a:moveTo>
              <a:lnTo>
                <a:pt x="24" y="66"/>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304800</xdr:colOff>
      <xdr:row>6</xdr:row>
      <xdr:rowOff>82550</xdr:rowOff>
    </xdr:from>
    <xdr:to>
      <xdr:col>7</xdr:col>
      <xdr:colOff>419100</xdr:colOff>
      <xdr:row>7</xdr:row>
      <xdr:rowOff>152400</xdr:rowOff>
    </xdr:to>
    <xdr:sp macro="" textlink="">
      <xdr:nvSpPr>
        <xdr:cNvPr id="1195" name="Freeform 171">
          <a:extLst>
            <a:ext uri="{FF2B5EF4-FFF2-40B4-BE49-F238E27FC236}">
              <a16:creationId xmlns:a16="http://schemas.microsoft.com/office/drawing/2014/main" id="{27B0D730-89AE-4449-B079-7EE7F8DD9FD4}"/>
            </a:ext>
          </a:extLst>
        </xdr:cNvPr>
        <xdr:cNvSpPr>
          <a:spLocks/>
        </xdr:cNvSpPr>
      </xdr:nvSpPr>
      <xdr:spPr bwMode="auto">
        <a:xfrm>
          <a:off x="4699000" y="1454150"/>
          <a:ext cx="3124200" cy="234950"/>
        </a:xfrm>
        <a:custGeom>
          <a:avLst/>
          <a:gdLst>
            <a:gd name="T0" fmla="*/ 0 w 314"/>
            <a:gd name="T1" fmla="*/ 25 h 25"/>
            <a:gd name="T2" fmla="*/ 0 w 314"/>
            <a:gd name="T3" fmla="*/ 0 h 25"/>
            <a:gd name="T4" fmla="*/ 314 w 314"/>
            <a:gd name="T5" fmla="*/ 0 h 25"/>
            <a:gd name="T6" fmla="*/ 314 w 314"/>
            <a:gd name="T7" fmla="*/ 7 h 25"/>
          </a:gdLst>
          <a:ahLst/>
          <a:cxnLst>
            <a:cxn ang="0">
              <a:pos x="T0" y="T1"/>
            </a:cxn>
            <a:cxn ang="0">
              <a:pos x="T2" y="T3"/>
            </a:cxn>
            <a:cxn ang="0">
              <a:pos x="T4" y="T5"/>
            </a:cxn>
            <a:cxn ang="0">
              <a:pos x="T6" y="T7"/>
            </a:cxn>
          </a:cxnLst>
          <a:rect l="0" t="0" r="r" b="b"/>
          <a:pathLst>
            <a:path w="314" h="25">
              <a:moveTo>
                <a:pt x="0" y="25"/>
              </a:moveTo>
              <a:lnTo>
                <a:pt x="0" y="0"/>
              </a:lnTo>
              <a:lnTo>
                <a:pt x="314" y="0"/>
              </a:lnTo>
              <a:lnTo>
                <a:pt x="314" y="7"/>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6</xdr:row>
      <xdr:rowOff>0</xdr:rowOff>
    </xdr:from>
    <xdr:to>
      <xdr:col>6</xdr:col>
      <xdr:colOff>812800</xdr:colOff>
      <xdr:row>6</xdr:row>
      <xdr:rowOff>76200</xdr:rowOff>
    </xdr:to>
    <xdr:sp macro="" textlink="">
      <xdr:nvSpPr>
        <xdr:cNvPr id="1197" name="Line 173">
          <a:extLst>
            <a:ext uri="{FF2B5EF4-FFF2-40B4-BE49-F238E27FC236}">
              <a16:creationId xmlns:a16="http://schemas.microsoft.com/office/drawing/2014/main" id="{496D1D88-54B2-4047-8417-1CE001D13A3E}"/>
            </a:ext>
          </a:extLst>
        </xdr:cNvPr>
        <xdr:cNvSpPr>
          <a:spLocks noChangeShapeType="1"/>
        </xdr:cNvSpPr>
      </xdr:nvSpPr>
      <xdr:spPr bwMode="auto">
        <a:xfrm>
          <a:off x="6597650" y="1371600"/>
          <a:ext cx="0" cy="762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800100</xdr:colOff>
      <xdr:row>3</xdr:row>
      <xdr:rowOff>0</xdr:rowOff>
    </xdr:from>
    <xdr:to>
      <xdr:col>6</xdr:col>
      <xdr:colOff>812800</xdr:colOff>
      <xdr:row>4</xdr:row>
      <xdr:rowOff>44450</xdr:rowOff>
    </xdr:to>
    <xdr:sp macro="" textlink="">
      <xdr:nvSpPr>
        <xdr:cNvPr id="1192" name="Line 168">
          <a:extLst>
            <a:ext uri="{FF2B5EF4-FFF2-40B4-BE49-F238E27FC236}">
              <a16:creationId xmlns:a16="http://schemas.microsoft.com/office/drawing/2014/main" id="{F71D9100-3232-4AFA-982E-347227E20DD9}"/>
            </a:ext>
          </a:extLst>
        </xdr:cNvPr>
        <xdr:cNvSpPr>
          <a:spLocks noChangeShapeType="1"/>
        </xdr:cNvSpPr>
      </xdr:nvSpPr>
      <xdr:spPr bwMode="auto">
        <a:xfrm flipH="1" flipV="1">
          <a:off x="6584950" y="806450"/>
          <a:ext cx="12700" cy="2349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8</xdr:row>
      <xdr:rowOff>88900</xdr:rowOff>
    </xdr:from>
    <xdr:to>
      <xdr:col>11</xdr:col>
      <xdr:colOff>152400</xdr:colOff>
      <xdr:row>12</xdr:row>
      <xdr:rowOff>101600</xdr:rowOff>
    </xdr:to>
    <xdr:grpSp>
      <xdr:nvGrpSpPr>
        <xdr:cNvPr id="1200" name="Group 176">
          <a:extLst>
            <a:ext uri="{FF2B5EF4-FFF2-40B4-BE49-F238E27FC236}">
              <a16:creationId xmlns:a16="http://schemas.microsoft.com/office/drawing/2014/main" id="{419186C1-EE7B-4659-9231-864713D82590}"/>
            </a:ext>
          </a:extLst>
        </xdr:cNvPr>
        <xdr:cNvGrpSpPr>
          <a:grpSpLocks/>
        </xdr:cNvGrpSpPr>
      </xdr:nvGrpSpPr>
      <xdr:grpSpPr bwMode="auto">
        <a:xfrm>
          <a:off x="8153400" y="1797050"/>
          <a:ext cx="2616200" cy="692150"/>
          <a:chOff x="819" y="201"/>
          <a:chExt cx="266" cy="74"/>
        </a:xfrm>
      </xdr:grpSpPr>
      <xdr:sp macro="" textlink="">
        <xdr:nvSpPr>
          <xdr:cNvPr id="1190" name="Freeform 166">
            <a:extLst>
              <a:ext uri="{FF2B5EF4-FFF2-40B4-BE49-F238E27FC236}">
                <a16:creationId xmlns:a16="http://schemas.microsoft.com/office/drawing/2014/main" id="{CECE32AA-F960-4778-B5AA-5C417FCEB7D1}"/>
              </a:ext>
            </a:extLst>
          </xdr:cNvPr>
          <xdr:cNvSpPr>
            <a:spLocks/>
          </xdr:cNvSpPr>
        </xdr:nvSpPr>
        <xdr:spPr bwMode="auto">
          <a:xfrm>
            <a:off x="819" y="201"/>
            <a:ext cx="266" cy="74"/>
          </a:xfrm>
          <a:custGeom>
            <a:avLst/>
            <a:gdLst>
              <a:gd name="T0" fmla="*/ 0 w 207"/>
              <a:gd name="T1" fmla="*/ 126 h 126"/>
              <a:gd name="T2" fmla="*/ 207 w 207"/>
              <a:gd name="T3" fmla="*/ 126 h 126"/>
              <a:gd name="T4" fmla="*/ 207 w 207"/>
              <a:gd name="T5" fmla="*/ 0 h 126"/>
              <a:gd name="T6" fmla="*/ 195 w 207"/>
              <a:gd name="T7" fmla="*/ 0 h 126"/>
            </a:gdLst>
            <a:ahLst/>
            <a:cxnLst>
              <a:cxn ang="0">
                <a:pos x="T0" y="T1"/>
              </a:cxn>
              <a:cxn ang="0">
                <a:pos x="T2" y="T3"/>
              </a:cxn>
              <a:cxn ang="0">
                <a:pos x="T4" y="T5"/>
              </a:cxn>
              <a:cxn ang="0">
                <a:pos x="T6" y="T7"/>
              </a:cxn>
            </a:cxnLst>
            <a:rect l="0" t="0" r="r" b="b"/>
            <a:pathLst>
              <a:path w="207" h="126">
                <a:moveTo>
                  <a:pt x="0" y="126"/>
                </a:moveTo>
                <a:lnTo>
                  <a:pt x="207" y="126"/>
                </a:lnTo>
                <a:lnTo>
                  <a:pt x="207" y="0"/>
                </a:lnTo>
                <a:lnTo>
                  <a:pt x="195"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1199" name="Line 175">
            <a:extLst>
              <a:ext uri="{FF2B5EF4-FFF2-40B4-BE49-F238E27FC236}">
                <a16:creationId xmlns:a16="http://schemas.microsoft.com/office/drawing/2014/main" id="{91298EE7-6DB7-4008-AE4F-826BB935E3DA}"/>
              </a:ext>
            </a:extLst>
          </xdr:cNvPr>
          <xdr:cNvSpPr>
            <a:spLocks noChangeShapeType="1"/>
          </xdr:cNvSpPr>
        </xdr:nvSpPr>
        <xdr:spPr bwMode="auto">
          <a:xfrm>
            <a:off x="1069" y="239"/>
            <a:ext cx="16"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590550</xdr:colOff>
      <xdr:row>8</xdr:row>
      <xdr:rowOff>76200</xdr:rowOff>
    </xdr:from>
    <xdr:to>
      <xdr:col>5</xdr:col>
      <xdr:colOff>241300</xdr:colOff>
      <xdr:row>13</xdr:row>
      <xdr:rowOff>44450</xdr:rowOff>
    </xdr:to>
    <xdr:sp macro="" textlink="">
      <xdr:nvSpPr>
        <xdr:cNvPr id="1202" name="Freeform 178">
          <a:extLst>
            <a:ext uri="{FF2B5EF4-FFF2-40B4-BE49-F238E27FC236}">
              <a16:creationId xmlns:a16="http://schemas.microsoft.com/office/drawing/2014/main" id="{83297F97-9732-475C-949F-D5A5807B7A70}"/>
            </a:ext>
          </a:extLst>
        </xdr:cNvPr>
        <xdr:cNvSpPr>
          <a:spLocks/>
        </xdr:cNvSpPr>
      </xdr:nvSpPr>
      <xdr:spPr bwMode="auto">
        <a:xfrm>
          <a:off x="4984750" y="1784350"/>
          <a:ext cx="260350" cy="819150"/>
        </a:xfrm>
        <a:custGeom>
          <a:avLst/>
          <a:gdLst>
            <a:gd name="T0" fmla="*/ 2 w 24"/>
            <a:gd name="T1" fmla="*/ 88 h 88"/>
            <a:gd name="T2" fmla="*/ 24 w 24"/>
            <a:gd name="T3" fmla="*/ 88 h 88"/>
            <a:gd name="T4" fmla="*/ 24 w 24"/>
            <a:gd name="T5" fmla="*/ 0 h 88"/>
            <a:gd name="T6" fmla="*/ 0 w 24"/>
            <a:gd name="T7" fmla="*/ 0 h 88"/>
          </a:gdLst>
          <a:ahLst/>
          <a:cxnLst>
            <a:cxn ang="0">
              <a:pos x="T0" y="T1"/>
            </a:cxn>
            <a:cxn ang="0">
              <a:pos x="T2" y="T3"/>
            </a:cxn>
            <a:cxn ang="0">
              <a:pos x="T4" y="T5"/>
            </a:cxn>
            <a:cxn ang="0">
              <a:pos x="T6" y="T7"/>
            </a:cxn>
          </a:cxnLst>
          <a:rect l="0" t="0" r="r" b="b"/>
          <a:pathLst>
            <a:path w="24" h="88">
              <a:moveTo>
                <a:pt x="2" y="88"/>
              </a:moveTo>
              <a:lnTo>
                <a:pt x="24" y="88"/>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10</xdr:row>
      <xdr:rowOff>88900</xdr:rowOff>
    </xdr:from>
    <xdr:to>
      <xdr:col>5</xdr:col>
      <xdr:colOff>222250</xdr:colOff>
      <xdr:row>10</xdr:row>
      <xdr:rowOff>88900</xdr:rowOff>
    </xdr:to>
    <xdr:sp macro="" textlink="">
      <xdr:nvSpPr>
        <xdr:cNvPr id="1203" name="Line 179">
          <a:extLst>
            <a:ext uri="{FF2B5EF4-FFF2-40B4-BE49-F238E27FC236}">
              <a16:creationId xmlns:a16="http://schemas.microsoft.com/office/drawing/2014/main" id="{EEE99FCA-556C-4565-AEEF-11293C7179AE}"/>
            </a:ext>
          </a:extLst>
        </xdr:cNvPr>
        <xdr:cNvSpPr>
          <a:spLocks noChangeShapeType="1"/>
        </xdr:cNvSpPr>
      </xdr:nvSpPr>
      <xdr:spPr bwMode="auto">
        <a:xfrm>
          <a:off x="5003800" y="21336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13</xdr:row>
      <xdr:rowOff>69850</xdr:rowOff>
    </xdr:from>
    <xdr:to>
      <xdr:col>8</xdr:col>
      <xdr:colOff>247650</xdr:colOff>
      <xdr:row>14</xdr:row>
      <xdr:rowOff>127000</xdr:rowOff>
    </xdr:to>
    <xdr:sp macro="" textlink="">
      <xdr:nvSpPr>
        <xdr:cNvPr id="1205" name="Freeform 181">
          <a:extLst>
            <a:ext uri="{FF2B5EF4-FFF2-40B4-BE49-F238E27FC236}">
              <a16:creationId xmlns:a16="http://schemas.microsoft.com/office/drawing/2014/main" id="{897CB528-CFF9-4FBB-88A7-CF1A13F10A75}"/>
            </a:ext>
          </a:extLst>
        </xdr:cNvPr>
        <xdr:cNvSpPr>
          <a:spLocks/>
        </xdr:cNvSpPr>
      </xdr:nvSpPr>
      <xdr:spPr bwMode="auto">
        <a:xfrm>
          <a:off x="8153400" y="2628900"/>
          <a:ext cx="247650" cy="228600"/>
        </a:xfrm>
        <a:custGeom>
          <a:avLst/>
          <a:gdLst>
            <a:gd name="T0" fmla="*/ 24 w 24"/>
            <a:gd name="T1" fmla="*/ 23 h 23"/>
            <a:gd name="T2" fmla="*/ 24 w 24"/>
            <a:gd name="T3" fmla="*/ 0 h 23"/>
            <a:gd name="T4" fmla="*/ 0 w 24"/>
            <a:gd name="T5" fmla="*/ 0 h 23"/>
          </a:gdLst>
          <a:ahLst/>
          <a:cxnLst>
            <a:cxn ang="0">
              <a:pos x="T0" y="T1"/>
            </a:cxn>
            <a:cxn ang="0">
              <a:pos x="T2" y="T3"/>
            </a:cxn>
            <a:cxn ang="0">
              <a:pos x="T4" y="T5"/>
            </a:cxn>
          </a:cxnLst>
          <a:rect l="0" t="0" r="r" b="b"/>
          <a:pathLst>
            <a:path w="24" h="23">
              <a:moveTo>
                <a:pt x="24" y="23"/>
              </a:move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4</xdr:row>
      <xdr:rowOff>44450</xdr:rowOff>
    </xdr:from>
    <xdr:to>
      <xdr:col>10</xdr:col>
      <xdr:colOff>317500</xdr:colOff>
      <xdr:row>7</xdr:row>
      <xdr:rowOff>152400</xdr:rowOff>
    </xdr:to>
    <xdr:sp macro="" textlink="">
      <xdr:nvSpPr>
        <xdr:cNvPr id="1207" name="Freeform 183">
          <a:extLst>
            <a:ext uri="{FF2B5EF4-FFF2-40B4-BE49-F238E27FC236}">
              <a16:creationId xmlns:a16="http://schemas.microsoft.com/office/drawing/2014/main" id="{98926DA3-8B4E-4823-A550-11E130ED5024}"/>
            </a:ext>
          </a:extLst>
        </xdr:cNvPr>
        <xdr:cNvSpPr>
          <a:spLocks/>
        </xdr:cNvSpPr>
      </xdr:nvSpPr>
      <xdr:spPr bwMode="auto">
        <a:xfrm>
          <a:off x="6597650" y="1041400"/>
          <a:ext cx="3727450" cy="647700"/>
        </a:xfrm>
        <a:custGeom>
          <a:avLst/>
          <a:gdLst>
            <a:gd name="T0" fmla="*/ 375 w 375"/>
            <a:gd name="T1" fmla="*/ 69 h 69"/>
            <a:gd name="T2" fmla="*/ 375 w 375"/>
            <a:gd name="T3" fmla="*/ 0 h 69"/>
            <a:gd name="T4" fmla="*/ 0 w 375"/>
            <a:gd name="T5" fmla="*/ 0 h 69"/>
            <a:gd name="T6" fmla="*/ 0 w 375"/>
            <a:gd name="T7" fmla="*/ 13 h 69"/>
          </a:gdLst>
          <a:ahLst/>
          <a:cxnLst>
            <a:cxn ang="0">
              <a:pos x="T0" y="T1"/>
            </a:cxn>
            <a:cxn ang="0">
              <a:pos x="T2" y="T3"/>
            </a:cxn>
            <a:cxn ang="0">
              <a:pos x="T4" y="T5"/>
            </a:cxn>
            <a:cxn ang="0">
              <a:pos x="T6" y="T7"/>
            </a:cxn>
          </a:cxnLst>
          <a:rect l="0" t="0" r="r" b="b"/>
          <a:pathLst>
            <a:path w="375" h="69">
              <a:moveTo>
                <a:pt x="375" y="69"/>
              </a:moveTo>
              <a:lnTo>
                <a:pt x="375" y="0"/>
              </a:lnTo>
              <a:lnTo>
                <a:pt x="0" y="0"/>
              </a:lnTo>
              <a:lnTo>
                <a:pt x="0" y="13"/>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438150</xdr:colOff>
      <xdr:row>8</xdr:row>
      <xdr:rowOff>0</xdr:rowOff>
    </xdr:from>
    <xdr:to>
      <xdr:col>7</xdr:col>
      <xdr:colOff>438150</xdr:colOff>
      <xdr:row>12</xdr:row>
      <xdr:rowOff>0</xdr:rowOff>
    </xdr:to>
    <xdr:sp macro="" textlink="">
      <xdr:nvSpPr>
        <xdr:cNvPr id="8193" name="Line 1">
          <a:extLst>
            <a:ext uri="{FF2B5EF4-FFF2-40B4-BE49-F238E27FC236}">
              <a16:creationId xmlns:a16="http://schemas.microsoft.com/office/drawing/2014/main" id="{6D591C4E-480A-4210-B877-7E12F599F3C8}"/>
            </a:ext>
          </a:extLst>
        </xdr:cNvPr>
        <xdr:cNvSpPr>
          <a:spLocks noChangeShapeType="1"/>
        </xdr:cNvSpPr>
      </xdr:nvSpPr>
      <xdr:spPr bwMode="auto">
        <a:xfrm>
          <a:off x="7842250" y="1708150"/>
          <a:ext cx="0" cy="6794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9</xdr:row>
      <xdr:rowOff>101600</xdr:rowOff>
    </xdr:from>
    <xdr:to>
      <xdr:col>7</xdr:col>
      <xdr:colOff>438150</xdr:colOff>
      <xdr:row>42</xdr:row>
      <xdr:rowOff>88900</xdr:rowOff>
    </xdr:to>
    <xdr:sp macro="" textlink="">
      <xdr:nvSpPr>
        <xdr:cNvPr id="8194" name="Freeform 2">
          <a:extLst>
            <a:ext uri="{FF2B5EF4-FFF2-40B4-BE49-F238E27FC236}">
              <a16:creationId xmlns:a16="http://schemas.microsoft.com/office/drawing/2014/main" id="{A08E806D-39CC-4CD9-8FB6-6E8F2AD9066B}"/>
            </a:ext>
          </a:extLst>
        </xdr:cNvPr>
        <xdr:cNvSpPr>
          <a:spLocks/>
        </xdr:cNvSpPr>
      </xdr:nvSpPr>
      <xdr:spPr bwMode="auto">
        <a:xfrm>
          <a:off x="5003800" y="1981200"/>
          <a:ext cx="2838450" cy="5619750"/>
        </a:xfrm>
        <a:custGeom>
          <a:avLst/>
          <a:gdLst>
            <a:gd name="T0" fmla="*/ 0 w 377"/>
            <a:gd name="T1" fmla="*/ 198 h 198"/>
            <a:gd name="T2" fmla="*/ 73 w 377"/>
            <a:gd name="T3" fmla="*/ 198 h 198"/>
            <a:gd name="T4" fmla="*/ 73 w 377"/>
            <a:gd name="T5" fmla="*/ 0 h 198"/>
            <a:gd name="T6" fmla="*/ 377 w 377"/>
            <a:gd name="T7" fmla="*/ 0 h 198"/>
            <a:gd name="T8" fmla="*/ 377 w 377"/>
            <a:gd name="T9" fmla="*/ 9 h 198"/>
          </a:gdLst>
          <a:ahLst/>
          <a:cxnLst>
            <a:cxn ang="0">
              <a:pos x="T0" y="T1"/>
            </a:cxn>
            <a:cxn ang="0">
              <a:pos x="T2" y="T3"/>
            </a:cxn>
            <a:cxn ang="0">
              <a:pos x="T4" y="T5"/>
            </a:cxn>
            <a:cxn ang="0">
              <a:pos x="T6" y="T7"/>
            </a:cxn>
            <a:cxn ang="0">
              <a:pos x="T8" y="T9"/>
            </a:cxn>
          </a:cxnLst>
          <a:rect l="0" t="0" r="r" b="b"/>
          <a:pathLst>
            <a:path w="377" h="198">
              <a:moveTo>
                <a:pt x="0" y="198"/>
              </a:moveTo>
              <a:lnTo>
                <a:pt x="73" y="198"/>
              </a:lnTo>
              <a:lnTo>
                <a:pt x="73" y="0"/>
              </a:lnTo>
              <a:lnTo>
                <a:pt x="377" y="0"/>
              </a:lnTo>
              <a:lnTo>
                <a:pt x="377" y="9"/>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342900</xdr:colOff>
      <xdr:row>32</xdr:row>
      <xdr:rowOff>0</xdr:rowOff>
    </xdr:from>
    <xdr:to>
      <xdr:col>4</xdr:col>
      <xdr:colOff>342900</xdr:colOff>
      <xdr:row>32</xdr:row>
      <xdr:rowOff>0</xdr:rowOff>
    </xdr:to>
    <xdr:sp macro="" textlink="">
      <xdr:nvSpPr>
        <xdr:cNvPr id="8195" name="Line 3">
          <a:extLst>
            <a:ext uri="{FF2B5EF4-FFF2-40B4-BE49-F238E27FC236}">
              <a16:creationId xmlns:a16="http://schemas.microsoft.com/office/drawing/2014/main" id="{D6ADA214-55B4-4239-A59D-A8B5D3DC3E3A}"/>
            </a:ext>
          </a:extLst>
        </xdr:cNvPr>
        <xdr:cNvSpPr>
          <a:spLocks noChangeShapeType="1"/>
        </xdr:cNvSpPr>
      </xdr:nvSpPr>
      <xdr:spPr bwMode="auto">
        <a:xfrm>
          <a:off x="4737100" y="58039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107950</xdr:colOff>
      <xdr:row>32</xdr:row>
      <xdr:rowOff>0</xdr:rowOff>
    </xdr:from>
    <xdr:to>
      <xdr:col>4</xdr:col>
      <xdr:colOff>342900</xdr:colOff>
      <xdr:row>32</xdr:row>
      <xdr:rowOff>127000</xdr:rowOff>
    </xdr:to>
    <xdr:grpSp>
      <xdr:nvGrpSpPr>
        <xdr:cNvPr id="8196" name="Group 4">
          <a:extLst>
            <a:ext uri="{FF2B5EF4-FFF2-40B4-BE49-F238E27FC236}">
              <a16:creationId xmlns:a16="http://schemas.microsoft.com/office/drawing/2014/main" id="{D6DAB7DB-62A4-4647-BDEB-C032AA6DCD47}"/>
            </a:ext>
          </a:extLst>
        </xdr:cNvPr>
        <xdr:cNvGrpSpPr>
          <a:grpSpLocks/>
        </xdr:cNvGrpSpPr>
      </xdr:nvGrpSpPr>
      <xdr:grpSpPr bwMode="auto">
        <a:xfrm>
          <a:off x="2635250" y="5803900"/>
          <a:ext cx="2101850" cy="127000"/>
          <a:chOff x="264" y="559"/>
          <a:chExt cx="215" cy="15"/>
        </a:xfrm>
      </xdr:grpSpPr>
      <xdr:sp macro="" textlink="">
        <xdr:nvSpPr>
          <xdr:cNvPr id="8197" name="Line 5">
            <a:extLst>
              <a:ext uri="{FF2B5EF4-FFF2-40B4-BE49-F238E27FC236}">
                <a16:creationId xmlns:a16="http://schemas.microsoft.com/office/drawing/2014/main" id="{2AC5FFC3-99CB-43F0-ADFF-E768BAAAF31B}"/>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198" name="Line 6">
            <a:extLst>
              <a:ext uri="{FF2B5EF4-FFF2-40B4-BE49-F238E27FC236}">
                <a16:creationId xmlns:a16="http://schemas.microsoft.com/office/drawing/2014/main" id="{6983DA90-6007-45C2-88C2-EEB80D6976C7}"/>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39</xdr:row>
      <xdr:rowOff>101600</xdr:rowOff>
    </xdr:from>
    <xdr:to>
      <xdr:col>3</xdr:col>
      <xdr:colOff>0</xdr:colOff>
      <xdr:row>39</xdr:row>
      <xdr:rowOff>101600</xdr:rowOff>
    </xdr:to>
    <xdr:sp macro="" textlink="">
      <xdr:nvSpPr>
        <xdr:cNvPr id="8199" name="Line 7">
          <a:extLst>
            <a:ext uri="{FF2B5EF4-FFF2-40B4-BE49-F238E27FC236}">
              <a16:creationId xmlns:a16="http://schemas.microsoft.com/office/drawing/2014/main" id="{F4D14336-9638-41B5-B9B3-09D2B36508A0}"/>
            </a:ext>
          </a:extLst>
        </xdr:cNvPr>
        <xdr:cNvSpPr>
          <a:spLocks noChangeShapeType="1"/>
        </xdr:cNvSpPr>
      </xdr:nvSpPr>
      <xdr:spPr bwMode="auto">
        <a:xfrm>
          <a:off x="2527300" y="70993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508000</xdr:colOff>
      <xdr:row>32</xdr:row>
      <xdr:rowOff>69850</xdr:rowOff>
    </xdr:from>
    <xdr:to>
      <xdr:col>3</xdr:col>
      <xdr:colOff>120650</xdr:colOff>
      <xdr:row>36</xdr:row>
      <xdr:rowOff>88900</xdr:rowOff>
    </xdr:to>
    <xdr:grpSp>
      <xdr:nvGrpSpPr>
        <xdr:cNvPr id="8200" name="Group 8">
          <a:extLst>
            <a:ext uri="{FF2B5EF4-FFF2-40B4-BE49-F238E27FC236}">
              <a16:creationId xmlns:a16="http://schemas.microsoft.com/office/drawing/2014/main" id="{8562D3FC-123A-4A7A-A7B1-EC1782A513C4}"/>
            </a:ext>
          </a:extLst>
        </xdr:cNvPr>
        <xdr:cNvGrpSpPr>
          <a:grpSpLocks/>
        </xdr:cNvGrpSpPr>
      </xdr:nvGrpSpPr>
      <xdr:grpSpPr bwMode="auto">
        <a:xfrm>
          <a:off x="2514600" y="5873750"/>
          <a:ext cx="133350" cy="704850"/>
          <a:chOff x="252" y="568"/>
          <a:chExt cx="13" cy="56"/>
        </a:xfrm>
      </xdr:grpSpPr>
      <xdr:sp macro="" textlink="">
        <xdr:nvSpPr>
          <xdr:cNvPr id="8201" name="Line 9">
            <a:extLst>
              <a:ext uri="{FF2B5EF4-FFF2-40B4-BE49-F238E27FC236}">
                <a16:creationId xmlns:a16="http://schemas.microsoft.com/office/drawing/2014/main" id="{EDD59917-3DF9-4D93-A130-6401F5588F27}"/>
              </a:ext>
            </a:extLst>
          </xdr:cNvPr>
          <xdr:cNvSpPr>
            <a:spLocks noChangeShapeType="1"/>
          </xdr:cNvSpPr>
        </xdr:nvSpPr>
        <xdr:spPr bwMode="auto">
          <a:xfrm flipV="1">
            <a:off x="253" y="56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02" name="Line 10">
            <a:extLst>
              <a:ext uri="{FF2B5EF4-FFF2-40B4-BE49-F238E27FC236}">
                <a16:creationId xmlns:a16="http://schemas.microsoft.com/office/drawing/2014/main" id="{3044094C-7315-4F61-BF13-1EF5E88C6EE5}"/>
              </a:ext>
            </a:extLst>
          </xdr:cNvPr>
          <xdr:cNvSpPr>
            <a:spLocks noChangeShapeType="1"/>
          </xdr:cNvSpPr>
        </xdr:nvSpPr>
        <xdr:spPr bwMode="auto">
          <a:xfrm flipV="1">
            <a:off x="253" y="58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03" name="Line 11">
            <a:extLst>
              <a:ext uri="{FF2B5EF4-FFF2-40B4-BE49-F238E27FC236}">
                <a16:creationId xmlns:a16="http://schemas.microsoft.com/office/drawing/2014/main" id="{95216F21-5C81-4EF0-8A32-43EE6BD47955}"/>
              </a:ext>
            </a:extLst>
          </xdr:cNvPr>
          <xdr:cNvSpPr>
            <a:spLocks noChangeShapeType="1"/>
          </xdr:cNvSpPr>
        </xdr:nvSpPr>
        <xdr:spPr bwMode="auto">
          <a:xfrm>
            <a:off x="252" y="60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04" name="Line 12">
            <a:extLst>
              <a:ext uri="{FF2B5EF4-FFF2-40B4-BE49-F238E27FC236}">
                <a16:creationId xmlns:a16="http://schemas.microsoft.com/office/drawing/2014/main" id="{D2BECB89-0CE8-430C-AA23-3658DF06ADF3}"/>
              </a:ext>
            </a:extLst>
          </xdr:cNvPr>
          <xdr:cNvSpPr>
            <a:spLocks noChangeShapeType="1"/>
          </xdr:cNvSpPr>
        </xdr:nvSpPr>
        <xdr:spPr bwMode="auto">
          <a:xfrm flipH="1">
            <a:off x="264" y="568"/>
            <a:ext cx="1" cy="56"/>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05" name="Line 13">
            <a:extLst>
              <a:ext uri="{FF2B5EF4-FFF2-40B4-BE49-F238E27FC236}">
                <a16:creationId xmlns:a16="http://schemas.microsoft.com/office/drawing/2014/main" id="{868B8A03-9A10-4EA6-A276-43FEADBCA413}"/>
              </a:ext>
            </a:extLst>
          </xdr:cNvPr>
          <xdr:cNvSpPr>
            <a:spLocks noChangeShapeType="1"/>
          </xdr:cNvSpPr>
        </xdr:nvSpPr>
        <xdr:spPr bwMode="auto">
          <a:xfrm flipV="1">
            <a:off x="252" y="623"/>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37</xdr:row>
      <xdr:rowOff>6350</xdr:rowOff>
    </xdr:from>
    <xdr:to>
      <xdr:col>4</xdr:col>
      <xdr:colOff>336550</xdr:colOff>
      <xdr:row>39</xdr:row>
      <xdr:rowOff>88900</xdr:rowOff>
    </xdr:to>
    <xdr:grpSp>
      <xdr:nvGrpSpPr>
        <xdr:cNvPr id="8206" name="Group 14">
          <a:extLst>
            <a:ext uri="{FF2B5EF4-FFF2-40B4-BE49-F238E27FC236}">
              <a16:creationId xmlns:a16="http://schemas.microsoft.com/office/drawing/2014/main" id="{0B8D7B3F-E88B-4D62-B478-6D59179A15C3}"/>
            </a:ext>
          </a:extLst>
        </xdr:cNvPr>
        <xdr:cNvGrpSpPr>
          <a:grpSpLocks/>
        </xdr:cNvGrpSpPr>
      </xdr:nvGrpSpPr>
      <xdr:grpSpPr bwMode="auto">
        <a:xfrm>
          <a:off x="2527300" y="6667500"/>
          <a:ext cx="2203450" cy="419100"/>
          <a:chOff x="253" y="667"/>
          <a:chExt cx="222" cy="44"/>
        </a:xfrm>
      </xdr:grpSpPr>
      <xdr:grpSp>
        <xdr:nvGrpSpPr>
          <xdr:cNvPr id="8207" name="Group 15">
            <a:extLst>
              <a:ext uri="{FF2B5EF4-FFF2-40B4-BE49-F238E27FC236}">
                <a16:creationId xmlns:a16="http://schemas.microsoft.com/office/drawing/2014/main" id="{65CB922C-C1F6-44DE-B4FF-B50D41600F01}"/>
              </a:ext>
            </a:extLst>
          </xdr:cNvPr>
          <xdr:cNvGrpSpPr>
            <a:grpSpLocks/>
          </xdr:cNvGrpSpPr>
        </xdr:nvGrpSpPr>
        <xdr:grpSpPr bwMode="auto">
          <a:xfrm>
            <a:off x="253" y="693"/>
            <a:ext cx="13" cy="18"/>
            <a:chOff x="301" y="720"/>
            <a:chExt cx="13" cy="18"/>
          </a:xfrm>
        </xdr:grpSpPr>
        <xdr:sp macro="" textlink="">
          <xdr:nvSpPr>
            <xdr:cNvPr id="8208" name="Line 16">
              <a:extLst>
                <a:ext uri="{FF2B5EF4-FFF2-40B4-BE49-F238E27FC236}">
                  <a16:creationId xmlns:a16="http://schemas.microsoft.com/office/drawing/2014/main" id="{5494A9AE-750D-4208-B236-5C837A3B5925}"/>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09" name="Line 17">
              <a:extLst>
                <a:ext uri="{FF2B5EF4-FFF2-40B4-BE49-F238E27FC236}">
                  <a16:creationId xmlns:a16="http://schemas.microsoft.com/office/drawing/2014/main" id="{39AD7566-E37C-4219-B482-164334BA39C6}"/>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10" name="Line 18">
              <a:extLst>
                <a:ext uri="{FF2B5EF4-FFF2-40B4-BE49-F238E27FC236}">
                  <a16:creationId xmlns:a16="http://schemas.microsoft.com/office/drawing/2014/main" id="{2E625D6D-7FB8-4D56-BFAB-1F3EE85F6737}"/>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8211" name="Line 19">
            <a:extLst>
              <a:ext uri="{FF2B5EF4-FFF2-40B4-BE49-F238E27FC236}">
                <a16:creationId xmlns:a16="http://schemas.microsoft.com/office/drawing/2014/main" id="{687EB930-7817-4307-920B-D286CAF4B10B}"/>
              </a:ext>
            </a:extLst>
          </xdr:cNvPr>
          <xdr:cNvSpPr>
            <a:spLocks noChangeShapeType="1"/>
          </xdr:cNvSpPr>
        </xdr:nvSpPr>
        <xdr:spPr bwMode="auto">
          <a:xfrm>
            <a:off x="475" y="667"/>
            <a:ext cx="0" cy="33"/>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12" name="Line 20">
            <a:extLst>
              <a:ext uri="{FF2B5EF4-FFF2-40B4-BE49-F238E27FC236}">
                <a16:creationId xmlns:a16="http://schemas.microsoft.com/office/drawing/2014/main" id="{14A8E73B-B469-419C-A67D-C7460D8DD8F5}"/>
              </a:ext>
            </a:extLst>
          </xdr:cNvPr>
          <xdr:cNvSpPr>
            <a:spLocks noChangeShapeType="1"/>
          </xdr:cNvSpPr>
        </xdr:nvSpPr>
        <xdr:spPr bwMode="auto">
          <a:xfrm flipH="1">
            <a:off x="264" y="700"/>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5</xdr:col>
      <xdr:colOff>0</xdr:colOff>
      <xdr:row>34</xdr:row>
      <xdr:rowOff>101600</xdr:rowOff>
    </xdr:from>
    <xdr:to>
      <xdr:col>5</xdr:col>
      <xdr:colOff>241300</xdr:colOff>
      <xdr:row>41</xdr:row>
      <xdr:rowOff>101600</xdr:rowOff>
    </xdr:to>
    <xdr:sp macro="" textlink="">
      <xdr:nvSpPr>
        <xdr:cNvPr id="8213" name="Freeform 21">
          <a:extLst>
            <a:ext uri="{FF2B5EF4-FFF2-40B4-BE49-F238E27FC236}">
              <a16:creationId xmlns:a16="http://schemas.microsoft.com/office/drawing/2014/main" id="{AD6D3D16-813E-4747-8129-DE1364A8EABE}"/>
            </a:ext>
          </a:extLst>
        </xdr:cNvPr>
        <xdr:cNvSpPr>
          <a:spLocks/>
        </xdr:cNvSpPr>
      </xdr:nvSpPr>
      <xdr:spPr bwMode="auto">
        <a:xfrm>
          <a:off x="5003800" y="6248400"/>
          <a:ext cx="241300" cy="1193800"/>
        </a:xfrm>
        <a:custGeom>
          <a:avLst/>
          <a:gdLst>
            <a:gd name="T0" fmla="*/ 1 w 26"/>
            <a:gd name="T1" fmla="*/ 62 h 62"/>
            <a:gd name="T2" fmla="*/ 26 w 26"/>
            <a:gd name="T3" fmla="*/ 62 h 62"/>
            <a:gd name="T4" fmla="*/ 26 w 26"/>
            <a:gd name="T5" fmla="*/ 0 h 62"/>
            <a:gd name="T6" fmla="*/ 0 w 26"/>
            <a:gd name="T7" fmla="*/ 0 h 62"/>
          </a:gdLst>
          <a:ahLst/>
          <a:cxnLst>
            <a:cxn ang="0">
              <a:pos x="T0" y="T1"/>
            </a:cxn>
            <a:cxn ang="0">
              <a:pos x="T2" y="T3"/>
            </a:cxn>
            <a:cxn ang="0">
              <a:pos x="T4" y="T5"/>
            </a:cxn>
            <a:cxn ang="0">
              <a:pos x="T6" y="T7"/>
            </a:cxn>
          </a:cxnLst>
          <a:rect l="0" t="0" r="r" b="b"/>
          <a:pathLst>
            <a:path w="26" h="62">
              <a:moveTo>
                <a:pt x="1" y="62"/>
              </a:moveTo>
              <a:lnTo>
                <a:pt x="26" y="62"/>
              </a:lnTo>
              <a:lnTo>
                <a:pt x="26"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36</xdr:row>
      <xdr:rowOff>76200</xdr:rowOff>
    </xdr:from>
    <xdr:to>
      <xdr:col>5</xdr:col>
      <xdr:colOff>222250</xdr:colOff>
      <xdr:row>36</xdr:row>
      <xdr:rowOff>76200</xdr:rowOff>
    </xdr:to>
    <xdr:sp macro="" textlink="">
      <xdr:nvSpPr>
        <xdr:cNvPr id="8214" name="Line 22">
          <a:extLst>
            <a:ext uri="{FF2B5EF4-FFF2-40B4-BE49-F238E27FC236}">
              <a16:creationId xmlns:a16="http://schemas.microsoft.com/office/drawing/2014/main" id="{F0BE1955-EA24-46ED-80EE-DEC47920EF8C}"/>
            </a:ext>
          </a:extLst>
        </xdr:cNvPr>
        <xdr:cNvSpPr>
          <a:spLocks noChangeShapeType="1"/>
        </xdr:cNvSpPr>
      </xdr:nvSpPr>
      <xdr:spPr bwMode="auto">
        <a:xfrm flipV="1">
          <a:off x="5003800" y="65659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27</xdr:row>
      <xdr:rowOff>6350</xdr:rowOff>
    </xdr:from>
    <xdr:to>
      <xdr:col>4</xdr:col>
      <xdr:colOff>381000</xdr:colOff>
      <xdr:row>29</xdr:row>
      <xdr:rowOff>76200</xdr:rowOff>
    </xdr:to>
    <xdr:grpSp>
      <xdr:nvGrpSpPr>
        <xdr:cNvPr id="8215" name="Group 23">
          <a:extLst>
            <a:ext uri="{FF2B5EF4-FFF2-40B4-BE49-F238E27FC236}">
              <a16:creationId xmlns:a16="http://schemas.microsoft.com/office/drawing/2014/main" id="{D1FAC00B-87A6-4CEB-8E8B-BB0A3645DD74}"/>
            </a:ext>
          </a:extLst>
        </xdr:cNvPr>
        <xdr:cNvGrpSpPr>
          <a:grpSpLocks/>
        </xdr:cNvGrpSpPr>
      </xdr:nvGrpSpPr>
      <xdr:grpSpPr bwMode="auto">
        <a:xfrm>
          <a:off x="2527300" y="4959350"/>
          <a:ext cx="2247900" cy="412750"/>
          <a:chOff x="253" y="472"/>
          <a:chExt cx="227" cy="43"/>
        </a:xfrm>
      </xdr:grpSpPr>
      <xdr:grpSp>
        <xdr:nvGrpSpPr>
          <xdr:cNvPr id="8216" name="Group 24">
            <a:extLst>
              <a:ext uri="{FF2B5EF4-FFF2-40B4-BE49-F238E27FC236}">
                <a16:creationId xmlns:a16="http://schemas.microsoft.com/office/drawing/2014/main" id="{5657BFC8-73CD-49BB-9418-10B09EE50DDB}"/>
              </a:ext>
            </a:extLst>
          </xdr:cNvPr>
          <xdr:cNvGrpSpPr>
            <a:grpSpLocks/>
          </xdr:cNvGrpSpPr>
        </xdr:nvGrpSpPr>
        <xdr:grpSpPr bwMode="auto">
          <a:xfrm>
            <a:off x="253" y="478"/>
            <a:ext cx="13" cy="37"/>
            <a:chOff x="268" y="478"/>
            <a:chExt cx="13" cy="37"/>
          </a:xfrm>
        </xdr:grpSpPr>
        <xdr:sp macro="" textlink="">
          <xdr:nvSpPr>
            <xdr:cNvPr id="8217" name="Line 25">
              <a:extLst>
                <a:ext uri="{FF2B5EF4-FFF2-40B4-BE49-F238E27FC236}">
                  <a16:creationId xmlns:a16="http://schemas.microsoft.com/office/drawing/2014/main" id="{DA8DD620-2B7A-473B-B928-30613862B1DC}"/>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18" name="Line 26">
              <a:extLst>
                <a:ext uri="{FF2B5EF4-FFF2-40B4-BE49-F238E27FC236}">
                  <a16:creationId xmlns:a16="http://schemas.microsoft.com/office/drawing/2014/main" id="{398FAA35-30A4-4D01-8F4D-C26E761B1B9D}"/>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19" name="Line 27">
              <a:extLst>
                <a:ext uri="{FF2B5EF4-FFF2-40B4-BE49-F238E27FC236}">
                  <a16:creationId xmlns:a16="http://schemas.microsoft.com/office/drawing/2014/main" id="{F3600A90-6232-426C-A27A-E714638F97DA}"/>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20" name="Line 28">
              <a:extLst>
                <a:ext uri="{FF2B5EF4-FFF2-40B4-BE49-F238E27FC236}">
                  <a16:creationId xmlns:a16="http://schemas.microsoft.com/office/drawing/2014/main" id="{B8F819AC-0D8C-4BA9-8565-FC1F034173B6}"/>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21" name="Group 29">
            <a:extLst>
              <a:ext uri="{FF2B5EF4-FFF2-40B4-BE49-F238E27FC236}">
                <a16:creationId xmlns:a16="http://schemas.microsoft.com/office/drawing/2014/main" id="{827DECDE-D4E4-42A9-9269-95C95ADE5EFD}"/>
              </a:ext>
            </a:extLst>
          </xdr:cNvPr>
          <xdr:cNvGrpSpPr>
            <a:grpSpLocks/>
          </xdr:cNvGrpSpPr>
        </xdr:nvGrpSpPr>
        <xdr:grpSpPr bwMode="auto">
          <a:xfrm>
            <a:off x="265" y="472"/>
            <a:ext cx="215" cy="15"/>
            <a:chOff x="264" y="559"/>
            <a:chExt cx="215" cy="15"/>
          </a:xfrm>
        </xdr:grpSpPr>
        <xdr:sp macro="" textlink="">
          <xdr:nvSpPr>
            <xdr:cNvPr id="8222" name="Line 30">
              <a:extLst>
                <a:ext uri="{FF2B5EF4-FFF2-40B4-BE49-F238E27FC236}">
                  <a16:creationId xmlns:a16="http://schemas.microsoft.com/office/drawing/2014/main" id="{ACE4A81F-8015-4567-87C7-05FD29CC1AB7}"/>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23" name="Line 31">
              <a:extLst>
                <a:ext uri="{FF2B5EF4-FFF2-40B4-BE49-F238E27FC236}">
                  <a16:creationId xmlns:a16="http://schemas.microsoft.com/office/drawing/2014/main" id="{B2C8D7BD-C8C9-44AF-B226-5223470BD01D}"/>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7</xdr:col>
      <xdr:colOff>736600</xdr:colOff>
      <xdr:row>24</xdr:row>
      <xdr:rowOff>69850</xdr:rowOff>
    </xdr:from>
    <xdr:to>
      <xdr:col>8</xdr:col>
      <xdr:colOff>146050</xdr:colOff>
      <xdr:row>25</xdr:row>
      <xdr:rowOff>69850</xdr:rowOff>
    </xdr:to>
    <xdr:grpSp>
      <xdr:nvGrpSpPr>
        <xdr:cNvPr id="8224" name="Group 32">
          <a:extLst>
            <a:ext uri="{FF2B5EF4-FFF2-40B4-BE49-F238E27FC236}">
              <a16:creationId xmlns:a16="http://schemas.microsoft.com/office/drawing/2014/main" id="{FB0B6BE8-59C3-4DF8-AE70-0A7DD88F1D15}"/>
            </a:ext>
          </a:extLst>
        </xdr:cNvPr>
        <xdr:cNvGrpSpPr>
          <a:grpSpLocks/>
        </xdr:cNvGrpSpPr>
      </xdr:nvGrpSpPr>
      <xdr:grpSpPr bwMode="auto">
        <a:xfrm>
          <a:off x="8140700" y="4508500"/>
          <a:ext cx="158750" cy="171450"/>
          <a:chOff x="301" y="720"/>
          <a:chExt cx="13" cy="18"/>
        </a:xfrm>
      </xdr:grpSpPr>
      <xdr:sp macro="" textlink="">
        <xdr:nvSpPr>
          <xdr:cNvPr id="8225" name="Line 33">
            <a:extLst>
              <a:ext uri="{FF2B5EF4-FFF2-40B4-BE49-F238E27FC236}">
                <a16:creationId xmlns:a16="http://schemas.microsoft.com/office/drawing/2014/main" id="{1EC50CBE-870E-4D28-8938-D16B942C7B2D}"/>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26" name="Line 34">
            <a:extLst>
              <a:ext uri="{FF2B5EF4-FFF2-40B4-BE49-F238E27FC236}">
                <a16:creationId xmlns:a16="http://schemas.microsoft.com/office/drawing/2014/main" id="{651D8889-124A-4B7B-AA54-F20FBD54E8C5}"/>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27" name="Line 35">
            <a:extLst>
              <a:ext uri="{FF2B5EF4-FFF2-40B4-BE49-F238E27FC236}">
                <a16:creationId xmlns:a16="http://schemas.microsoft.com/office/drawing/2014/main" id="{B1E82362-A975-4501-A49C-94850AEDBDB3}"/>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0</xdr:colOff>
      <xdr:row>27</xdr:row>
      <xdr:rowOff>69850</xdr:rowOff>
    </xdr:from>
    <xdr:to>
      <xdr:col>8</xdr:col>
      <xdr:colOff>158750</xdr:colOff>
      <xdr:row>28</xdr:row>
      <xdr:rowOff>69850</xdr:rowOff>
    </xdr:to>
    <xdr:grpSp>
      <xdr:nvGrpSpPr>
        <xdr:cNvPr id="8228" name="Group 36">
          <a:extLst>
            <a:ext uri="{FF2B5EF4-FFF2-40B4-BE49-F238E27FC236}">
              <a16:creationId xmlns:a16="http://schemas.microsoft.com/office/drawing/2014/main" id="{98EF82D2-DDAA-4644-9822-06440F10C405}"/>
            </a:ext>
          </a:extLst>
        </xdr:cNvPr>
        <xdr:cNvGrpSpPr>
          <a:grpSpLocks/>
        </xdr:cNvGrpSpPr>
      </xdr:nvGrpSpPr>
      <xdr:grpSpPr bwMode="auto">
        <a:xfrm>
          <a:off x="8153400" y="5022850"/>
          <a:ext cx="158750" cy="171450"/>
          <a:chOff x="301" y="720"/>
          <a:chExt cx="13" cy="18"/>
        </a:xfrm>
      </xdr:grpSpPr>
      <xdr:sp macro="" textlink="">
        <xdr:nvSpPr>
          <xdr:cNvPr id="8229" name="Line 37">
            <a:extLst>
              <a:ext uri="{FF2B5EF4-FFF2-40B4-BE49-F238E27FC236}">
                <a16:creationId xmlns:a16="http://schemas.microsoft.com/office/drawing/2014/main" id="{D6D55517-5057-4A19-AD29-5293CBECFD3C}"/>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30" name="Line 38">
            <a:extLst>
              <a:ext uri="{FF2B5EF4-FFF2-40B4-BE49-F238E27FC236}">
                <a16:creationId xmlns:a16="http://schemas.microsoft.com/office/drawing/2014/main" id="{14A56CD4-1C79-4B9F-89DC-0EF8C6D63DF1}"/>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31" name="Line 39">
            <a:extLst>
              <a:ext uri="{FF2B5EF4-FFF2-40B4-BE49-F238E27FC236}">
                <a16:creationId xmlns:a16="http://schemas.microsoft.com/office/drawing/2014/main" id="{8D03D2E7-C06F-4A9B-AF79-F57641EFE708}"/>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508000</xdr:colOff>
      <xdr:row>23</xdr:row>
      <xdr:rowOff>0</xdr:rowOff>
    </xdr:from>
    <xdr:to>
      <xdr:col>4</xdr:col>
      <xdr:colOff>361950</xdr:colOff>
      <xdr:row>24</xdr:row>
      <xdr:rowOff>95250</xdr:rowOff>
    </xdr:to>
    <xdr:grpSp>
      <xdr:nvGrpSpPr>
        <xdr:cNvPr id="8232" name="Group 40">
          <a:extLst>
            <a:ext uri="{FF2B5EF4-FFF2-40B4-BE49-F238E27FC236}">
              <a16:creationId xmlns:a16="http://schemas.microsoft.com/office/drawing/2014/main" id="{3BE4D11C-8462-46C9-B0D7-693D497246A6}"/>
            </a:ext>
          </a:extLst>
        </xdr:cNvPr>
        <xdr:cNvGrpSpPr>
          <a:grpSpLocks/>
        </xdr:cNvGrpSpPr>
      </xdr:nvGrpSpPr>
      <xdr:grpSpPr bwMode="auto">
        <a:xfrm>
          <a:off x="2514600" y="4267200"/>
          <a:ext cx="2241550" cy="266700"/>
          <a:chOff x="252" y="652"/>
          <a:chExt cx="223" cy="28"/>
        </a:xfrm>
      </xdr:grpSpPr>
      <xdr:grpSp>
        <xdr:nvGrpSpPr>
          <xdr:cNvPr id="8233" name="Group 41">
            <a:extLst>
              <a:ext uri="{FF2B5EF4-FFF2-40B4-BE49-F238E27FC236}">
                <a16:creationId xmlns:a16="http://schemas.microsoft.com/office/drawing/2014/main" id="{C601733F-42C5-4886-8F8A-3FF4D34C7CE5}"/>
              </a:ext>
            </a:extLst>
          </xdr:cNvPr>
          <xdr:cNvGrpSpPr>
            <a:grpSpLocks/>
          </xdr:cNvGrpSpPr>
        </xdr:nvGrpSpPr>
        <xdr:grpSpPr bwMode="auto">
          <a:xfrm>
            <a:off x="252" y="662"/>
            <a:ext cx="13" cy="18"/>
            <a:chOff x="301" y="720"/>
            <a:chExt cx="13" cy="18"/>
          </a:xfrm>
        </xdr:grpSpPr>
        <xdr:sp macro="" textlink="">
          <xdr:nvSpPr>
            <xdr:cNvPr id="8234" name="Line 42">
              <a:extLst>
                <a:ext uri="{FF2B5EF4-FFF2-40B4-BE49-F238E27FC236}">
                  <a16:creationId xmlns:a16="http://schemas.microsoft.com/office/drawing/2014/main" id="{E99A8662-4582-434C-9DB1-84303406CD1C}"/>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35" name="Line 43">
              <a:extLst>
                <a:ext uri="{FF2B5EF4-FFF2-40B4-BE49-F238E27FC236}">
                  <a16:creationId xmlns:a16="http://schemas.microsoft.com/office/drawing/2014/main" id="{A9F3CDE9-633B-4A31-84F3-A261860A8F07}"/>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36" name="Line 44">
              <a:extLst>
                <a:ext uri="{FF2B5EF4-FFF2-40B4-BE49-F238E27FC236}">
                  <a16:creationId xmlns:a16="http://schemas.microsoft.com/office/drawing/2014/main" id="{C043B498-A24B-4D5A-A773-EBE299B47379}"/>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8237" name="Line 45">
            <a:extLst>
              <a:ext uri="{FF2B5EF4-FFF2-40B4-BE49-F238E27FC236}">
                <a16:creationId xmlns:a16="http://schemas.microsoft.com/office/drawing/2014/main" id="{193AC9AA-5671-40B4-AEB3-8984DAC6CC03}"/>
              </a:ext>
            </a:extLst>
          </xdr:cNvPr>
          <xdr:cNvSpPr>
            <a:spLocks noChangeShapeType="1"/>
          </xdr:cNvSpPr>
        </xdr:nvSpPr>
        <xdr:spPr bwMode="auto">
          <a:xfrm>
            <a:off x="475" y="652"/>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38" name="Line 46">
            <a:extLst>
              <a:ext uri="{FF2B5EF4-FFF2-40B4-BE49-F238E27FC236}">
                <a16:creationId xmlns:a16="http://schemas.microsoft.com/office/drawing/2014/main" id="{2CD0AB30-3C45-4F2C-BB9E-27E49FACAF2A}"/>
              </a:ext>
            </a:extLst>
          </xdr:cNvPr>
          <xdr:cNvSpPr>
            <a:spLocks noChangeShapeType="1"/>
          </xdr:cNvSpPr>
        </xdr:nvSpPr>
        <xdr:spPr bwMode="auto">
          <a:xfrm flipH="1">
            <a:off x="264" y="666"/>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146050</xdr:colOff>
      <xdr:row>27</xdr:row>
      <xdr:rowOff>114300</xdr:rowOff>
    </xdr:from>
    <xdr:to>
      <xdr:col>8</xdr:col>
      <xdr:colOff>254000</xdr:colOff>
      <xdr:row>27</xdr:row>
      <xdr:rowOff>114300</xdr:rowOff>
    </xdr:to>
    <xdr:sp macro="" textlink="">
      <xdr:nvSpPr>
        <xdr:cNvPr id="8239" name="Line 47">
          <a:extLst>
            <a:ext uri="{FF2B5EF4-FFF2-40B4-BE49-F238E27FC236}">
              <a16:creationId xmlns:a16="http://schemas.microsoft.com/office/drawing/2014/main" id="{AD55E70A-ED4F-48AC-ABA9-A3C531F2BBF7}"/>
            </a:ext>
          </a:extLst>
        </xdr:cNvPr>
        <xdr:cNvSpPr>
          <a:spLocks noChangeShapeType="1"/>
        </xdr:cNvSpPr>
      </xdr:nvSpPr>
      <xdr:spPr bwMode="auto">
        <a:xfrm>
          <a:off x="8299450" y="50673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139700</xdr:colOff>
      <xdr:row>24</xdr:row>
      <xdr:rowOff>133350</xdr:rowOff>
    </xdr:from>
    <xdr:to>
      <xdr:col>8</xdr:col>
      <xdr:colOff>247650</xdr:colOff>
      <xdr:row>24</xdr:row>
      <xdr:rowOff>133350</xdr:rowOff>
    </xdr:to>
    <xdr:sp macro="" textlink="">
      <xdr:nvSpPr>
        <xdr:cNvPr id="8240" name="Line 48">
          <a:extLst>
            <a:ext uri="{FF2B5EF4-FFF2-40B4-BE49-F238E27FC236}">
              <a16:creationId xmlns:a16="http://schemas.microsoft.com/office/drawing/2014/main" id="{432D2B8D-BE1F-46A9-88CF-79D124ED9643}"/>
            </a:ext>
          </a:extLst>
        </xdr:cNvPr>
        <xdr:cNvSpPr>
          <a:spLocks noChangeShapeType="1"/>
        </xdr:cNvSpPr>
      </xdr:nvSpPr>
      <xdr:spPr bwMode="auto">
        <a:xfrm>
          <a:off x="8293100" y="45720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18</xdr:row>
      <xdr:rowOff>76200</xdr:rowOff>
    </xdr:from>
    <xdr:to>
      <xdr:col>8</xdr:col>
      <xdr:colOff>247650</xdr:colOff>
      <xdr:row>18</xdr:row>
      <xdr:rowOff>76200</xdr:rowOff>
    </xdr:to>
    <xdr:sp macro="" textlink="">
      <xdr:nvSpPr>
        <xdr:cNvPr id="8241" name="Line 49">
          <a:extLst>
            <a:ext uri="{FF2B5EF4-FFF2-40B4-BE49-F238E27FC236}">
              <a16:creationId xmlns:a16="http://schemas.microsoft.com/office/drawing/2014/main" id="{94AAA41B-16EE-404D-9FEB-EEABBBAB64D8}"/>
            </a:ext>
          </a:extLst>
        </xdr:cNvPr>
        <xdr:cNvSpPr>
          <a:spLocks noChangeShapeType="1"/>
        </xdr:cNvSpPr>
      </xdr:nvSpPr>
      <xdr:spPr bwMode="auto">
        <a:xfrm>
          <a:off x="8153400" y="34861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12700</xdr:colOff>
      <xdr:row>16</xdr:row>
      <xdr:rowOff>57150</xdr:rowOff>
    </xdr:from>
    <xdr:to>
      <xdr:col>8</xdr:col>
      <xdr:colOff>254000</xdr:colOff>
      <xdr:row>16</xdr:row>
      <xdr:rowOff>57150</xdr:rowOff>
    </xdr:to>
    <xdr:sp macro="" textlink="">
      <xdr:nvSpPr>
        <xdr:cNvPr id="8242" name="Line 50">
          <a:extLst>
            <a:ext uri="{FF2B5EF4-FFF2-40B4-BE49-F238E27FC236}">
              <a16:creationId xmlns:a16="http://schemas.microsoft.com/office/drawing/2014/main" id="{8532C9B5-D265-4D5E-98A3-EBDA96175A9F}"/>
            </a:ext>
          </a:extLst>
        </xdr:cNvPr>
        <xdr:cNvSpPr>
          <a:spLocks noChangeShapeType="1"/>
        </xdr:cNvSpPr>
      </xdr:nvSpPr>
      <xdr:spPr bwMode="auto">
        <a:xfrm>
          <a:off x="8166100" y="31242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247650</xdr:colOff>
      <xdr:row>14</xdr:row>
      <xdr:rowOff>127000</xdr:rowOff>
    </xdr:from>
    <xdr:to>
      <xdr:col>11</xdr:col>
      <xdr:colOff>114300</xdr:colOff>
      <xdr:row>16</xdr:row>
      <xdr:rowOff>69850</xdr:rowOff>
    </xdr:to>
    <xdr:sp macro="" textlink="">
      <xdr:nvSpPr>
        <xdr:cNvPr id="8243" name="Freeform 51">
          <a:extLst>
            <a:ext uri="{FF2B5EF4-FFF2-40B4-BE49-F238E27FC236}">
              <a16:creationId xmlns:a16="http://schemas.microsoft.com/office/drawing/2014/main" id="{68B7AF6C-9DDA-4F0C-B2EF-A9042A96CAE9}"/>
            </a:ext>
          </a:extLst>
        </xdr:cNvPr>
        <xdr:cNvSpPr>
          <a:spLocks/>
        </xdr:cNvSpPr>
      </xdr:nvSpPr>
      <xdr:spPr bwMode="auto">
        <a:xfrm>
          <a:off x="8401050" y="2857500"/>
          <a:ext cx="2330450" cy="279400"/>
        </a:xfrm>
        <a:custGeom>
          <a:avLst/>
          <a:gdLst>
            <a:gd name="T0" fmla="*/ 0 w 239"/>
            <a:gd name="T1" fmla="*/ 28 h 28"/>
            <a:gd name="T2" fmla="*/ 0 w 239"/>
            <a:gd name="T3" fmla="*/ 0 h 28"/>
            <a:gd name="T4" fmla="*/ 239 w 239"/>
            <a:gd name="T5" fmla="*/ 0 h 28"/>
            <a:gd name="T6" fmla="*/ 239 w 239"/>
            <a:gd name="T7" fmla="*/ 26 h 28"/>
          </a:gdLst>
          <a:ahLst/>
          <a:cxnLst>
            <a:cxn ang="0">
              <a:pos x="T0" y="T1"/>
            </a:cxn>
            <a:cxn ang="0">
              <a:pos x="T2" y="T3"/>
            </a:cxn>
            <a:cxn ang="0">
              <a:pos x="T4" y="T5"/>
            </a:cxn>
            <a:cxn ang="0">
              <a:pos x="T6" y="T7"/>
            </a:cxn>
          </a:cxnLst>
          <a:rect l="0" t="0" r="r" b="b"/>
          <a:pathLst>
            <a:path w="239" h="28">
              <a:moveTo>
                <a:pt x="0" y="28"/>
              </a:moveTo>
              <a:lnTo>
                <a:pt x="0" y="0"/>
              </a:lnTo>
              <a:lnTo>
                <a:pt x="239" y="0"/>
              </a:lnTo>
              <a:lnTo>
                <a:pt x="239" y="26"/>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0</xdr:colOff>
      <xdr:row>20</xdr:row>
      <xdr:rowOff>114300</xdr:rowOff>
    </xdr:from>
    <xdr:to>
      <xdr:col>8</xdr:col>
      <xdr:colOff>247650</xdr:colOff>
      <xdr:row>27</xdr:row>
      <xdr:rowOff>101600</xdr:rowOff>
    </xdr:to>
    <xdr:sp macro="" textlink="">
      <xdr:nvSpPr>
        <xdr:cNvPr id="8244" name="Freeform 52">
          <a:extLst>
            <a:ext uri="{FF2B5EF4-FFF2-40B4-BE49-F238E27FC236}">
              <a16:creationId xmlns:a16="http://schemas.microsoft.com/office/drawing/2014/main" id="{322CB428-81BC-4E32-B77F-24B04CBC0F80}"/>
            </a:ext>
          </a:extLst>
        </xdr:cNvPr>
        <xdr:cNvSpPr>
          <a:spLocks/>
        </xdr:cNvSpPr>
      </xdr:nvSpPr>
      <xdr:spPr bwMode="auto">
        <a:xfrm>
          <a:off x="8153400" y="3867150"/>
          <a:ext cx="247650" cy="1187450"/>
        </a:xfrm>
        <a:custGeom>
          <a:avLst/>
          <a:gdLst>
            <a:gd name="T0" fmla="*/ 25 w 25"/>
            <a:gd name="T1" fmla="*/ 197 h 197"/>
            <a:gd name="T2" fmla="*/ 25 w 25"/>
            <a:gd name="T3" fmla="*/ 0 h 197"/>
            <a:gd name="T4" fmla="*/ 0 w 25"/>
            <a:gd name="T5" fmla="*/ 0 h 197"/>
          </a:gdLst>
          <a:ahLst/>
          <a:cxnLst>
            <a:cxn ang="0">
              <a:pos x="T0" y="T1"/>
            </a:cxn>
            <a:cxn ang="0">
              <a:pos x="T2" y="T3"/>
            </a:cxn>
            <a:cxn ang="0">
              <a:pos x="T4" y="T5"/>
            </a:cxn>
          </a:cxnLst>
          <a:rect l="0" t="0" r="r" b="b"/>
          <a:pathLst>
            <a:path w="25" h="197">
              <a:moveTo>
                <a:pt x="25" y="197"/>
              </a:moveTo>
              <a:lnTo>
                <a:pt x="25"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12700</xdr:colOff>
      <xdr:row>16</xdr:row>
      <xdr:rowOff>114300</xdr:rowOff>
    </xdr:from>
    <xdr:to>
      <xdr:col>11</xdr:col>
      <xdr:colOff>114300</xdr:colOff>
      <xdr:row>24</xdr:row>
      <xdr:rowOff>76200</xdr:rowOff>
    </xdr:to>
    <xdr:sp macro="" textlink="">
      <xdr:nvSpPr>
        <xdr:cNvPr id="8245" name="Freeform 53">
          <a:extLst>
            <a:ext uri="{FF2B5EF4-FFF2-40B4-BE49-F238E27FC236}">
              <a16:creationId xmlns:a16="http://schemas.microsoft.com/office/drawing/2014/main" id="{71A02B59-F4F1-483D-967D-9FC1C92B6A52}"/>
            </a:ext>
          </a:extLst>
        </xdr:cNvPr>
        <xdr:cNvSpPr>
          <a:spLocks/>
        </xdr:cNvSpPr>
      </xdr:nvSpPr>
      <xdr:spPr bwMode="auto">
        <a:xfrm>
          <a:off x="10629900" y="3181350"/>
          <a:ext cx="101600" cy="1333500"/>
        </a:xfrm>
        <a:custGeom>
          <a:avLst/>
          <a:gdLst>
            <a:gd name="T0" fmla="*/ 0 w 11"/>
            <a:gd name="T1" fmla="*/ 140 h 140"/>
            <a:gd name="T2" fmla="*/ 11 w 11"/>
            <a:gd name="T3" fmla="*/ 140 h 140"/>
            <a:gd name="T4" fmla="*/ 11 w 11"/>
            <a:gd name="T5" fmla="*/ 0 h 140"/>
            <a:gd name="T6" fmla="*/ 0 w 11"/>
            <a:gd name="T7" fmla="*/ 0 h 140"/>
          </a:gdLst>
          <a:ahLst/>
          <a:cxnLst>
            <a:cxn ang="0">
              <a:pos x="T0" y="T1"/>
            </a:cxn>
            <a:cxn ang="0">
              <a:pos x="T2" y="T3"/>
            </a:cxn>
            <a:cxn ang="0">
              <a:pos x="T4" y="T5"/>
            </a:cxn>
            <a:cxn ang="0">
              <a:pos x="T6" y="T7"/>
            </a:cxn>
          </a:cxnLst>
          <a:rect l="0" t="0" r="r" b="b"/>
          <a:pathLst>
            <a:path w="11" h="140">
              <a:moveTo>
                <a:pt x="0" y="140"/>
              </a:moveTo>
              <a:lnTo>
                <a:pt x="11" y="140"/>
              </a:lnTo>
              <a:lnTo>
                <a:pt x="11"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0</xdr:colOff>
      <xdr:row>22</xdr:row>
      <xdr:rowOff>88900</xdr:rowOff>
    </xdr:from>
    <xdr:to>
      <xdr:col>11</xdr:col>
      <xdr:colOff>114300</xdr:colOff>
      <xdr:row>22</xdr:row>
      <xdr:rowOff>88900</xdr:rowOff>
    </xdr:to>
    <xdr:sp macro="" textlink="">
      <xdr:nvSpPr>
        <xdr:cNvPr id="8246" name="Line 54">
          <a:extLst>
            <a:ext uri="{FF2B5EF4-FFF2-40B4-BE49-F238E27FC236}">
              <a16:creationId xmlns:a16="http://schemas.microsoft.com/office/drawing/2014/main" id="{10DBF213-5089-4C4E-92A7-E3584BD9C1FD}"/>
            </a:ext>
          </a:extLst>
        </xdr:cNvPr>
        <xdr:cNvSpPr>
          <a:spLocks noChangeShapeType="1"/>
        </xdr:cNvSpPr>
      </xdr:nvSpPr>
      <xdr:spPr bwMode="auto">
        <a:xfrm>
          <a:off x="10617200" y="41846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20</xdr:row>
      <xdr:rowOff>76200</xdr:rowOff>
    </xdr:from>
    <xdr:to>
      <xdr:col>11</xdr:col>
      <xdr:colOff>114300</xdr:colOff>
      <xdr:row>20</xdr:row>
      <xdr:rowOff>76200</xdr:rowOff>
    </xdr:to>
    <xdr:sp macro="" textlink="">
      <xdr:nvSpPr>
        <xdr:cNvPr id="8247" name="Line 55">
          <a:extLst>
            <a:ext uri="{FF2B5EF4-FFF2-40B4-BE49-F238E27FC236}">
              <a16:creationId xmlns:a16="http://schemas.microsoft.com/office/drawing/2014/main" id="{09F562DD-C370-4C0A-8A08-C24CE59FB606}"/>
            </a:ext>
          </a:extLst>
        </xdr:cNvPr>
        <xdr:cNvSpPr>
          <a:spLocks noChangeShapeType="1"/>
        </xdr:cNvSpPr>
      </xdr:nvSpPr>
      <xdr:spPr bwMode="auto">
        <a:xfrm>
          <a:off x="10617200" y="38290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18</xdr:row>
      <xdr:rowOff>76200</xdr:rowOff>
    </xdr:from>
    <xdr:to>
      <xdr:col>11</xdr:col>
      <xdr:colOff>114300</xdr:colOff>
      <xdr:row>18</xdr:row>
      <xdr:rowOff>76200</xdr:rowOff>
    </xdr:to>
    <xdr:sp macro="" textlink="">
      <xdr:nvSpPr>
        <xdr:cNvPr id="8248" name="Line 56">
          <a:extLst>
            <a:ext uri="{FF2B5EF4-FFF2-40B4-BE49-F238E27FC236}">
              <a16:creationId xmlns:a16="http://schemas.microsoft.com/office/drawing/2014/main" id="{CE7CD276-2339-47D9-BF6C-05116E510503}"/>
            </a:ext>
          </a:extLst>
        </xdr:cNvPr>
        <xdr:cNvSpPr>
          <a:spLocks noChangeShapeType="1"/>
        </xdr:cNvSpPr>
      </xdr:nvSpPr>
      <xdr:spPr bwMode="auto">
        <a:xfrm>
          <a:off x="10617200" y="3486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16</xdr:row>
      <xdr:rowOff>38100</xdr:rowOff>
    </xdr:from>
    <xdr:to>
      <xdr:col>11</xdr:col>
      <xdr:colOff>114300</xdr:colOff>
      <xdr:row>16</xdr:row>
      <xdr:rowOff>38100</xdr:rowOff>
    </xdr:to>
    <xdr:sp macro="" textlink="">
      <xdr:nvSpPr>
        <xdr:cNvPr id="8249" name="Line 57">
          <a:extLst>
            <a:ext uri="{FF2B5EF4-FFF2-40B4-BE49-F238E27FC236}">
              <a16:creationId xmlns:a16="http://schemas.microsoft.com/office/drawing/2014/main" id="{8C9CB75B-47E0-436C-8264-65D9FC2382F6}"/>
            </a:ext>
          </a:extLst>
        </xdr:cNvPr>
        <xdr:cNvSpPr>
          <a:spLocks noChangeShapeType="1"/>
        </xdr:cNvSpPr>
      </xdr:nvSpPr>
      <xdr:spPr bwMode="auto">
        <a:xfrm flipH="1">
          <a:off x="10617200" y="3105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18</xdr:row>
      <xdr:rowOff>6350</xdr:rowOff>
    </xdr:from>
    <xdr:to>
      <xdr:col>4</xdr:col>
      <xdr:colOff>381000</xdr:colOff>
      <xdr:row>20</xdr:row>
      <xdr:rowOff>76200</xdr:rowOff>
    </xdr:to>
    <xdr:grpSp>
      <xdr:nvGrpSpPr>
        <xdr:cNvPr id="8250" name="Group 58">
          <a:extLst>
            <a:ext uri="{FF2B5EF4-FFF2-40B4-BE49-F238E27FC236}">
              <a16:creationId xmlns:a16="http://schemas.microsoft.com/office/drawing/2014/main" id="{146E1002-E15E-45C2-A04B-CA538EEEC379}"/>
            </a:ext>
          </a:extLst>
        </xdr:cNvPr>
        <xdr:cNvGrpSpPr>
          <a:grpSpLocks/>
        </xdr:cNvGrpSpPr>
      </xdr:nvGrpSpPr>
      <xdr:grpSpPr bwMode="auto">
        <a:xfrm>
          <a:off x="2527300" y="3416300"/>
          <a:ext cx="2247900" cy="412750"/>
          <a:chOff x="253" y="472"/>
          <a:chExt cx="227" cy="43"/>
        </a:xfrm>
      </xdr:grpSpPr>
      <xdr:grpSp>
        <xdr:nvGrpSpPr>
          <xdr:cNvPr id="8251" name="Group 59">
            <a:extLst>
              <a:ext uri="{FF2B5EF4-FFF2-40B4-BE49-F238E27FC236}">
                <a16:creationId xmlns:a16="http://schemas.microsoft.com/office/drawing/2014/main" id="{77D8C828-D952-4A97-B638-4BC59CFCC339}"/>
              </a:ext>
            </a:extLst>
          </xdr:cNvPr>
          <xdr:cNvGrpSpPr>
            <a:grpSpLocks/>
          </xdr:cNvGrpSpPr>
        </xdr:nvGrpSpPr>
        <xdr:grpSpPr bwMode="auto">
          <a:xfrm>
            <a:off x="253" y="478"/>
            <a:ext cx="13" cy="37"/>
            <a:chOff x="268" y="478"/>
            <a:chExt cx="13" cy="37"/>
          </a:xfrm>
        </xdr:grpSpPr>
        <xdr:sp macro="" textlink="">
          <xdr:nvSpPr>
            <xdr:cNvPr id="8252" name="Line 60">
              <a:extLst>
                <a:ext uri="{FF2B5EF4-FFF2-40B4-BE49-F238E27FC236}">
                  <a16:creationId xmlns:a16="http://schemas.microsoft.com/office/drawing/2014/main" id="{7C774293-15FF-4012-BE8E-20F4DDBFAB2F}"/>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53" name="Line 61">
              <a:extLst>
                <a:ext uri="{FF2B5EF4-FFF2-40B4-BE49-F238E27FC236}">
                  <a16:creationId xmlns:a16="http://schemas.microsoft.com/office/drawing/2014/main" id="{E88D79CF-4100-418A-B134-06EA10C82961}"/>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54" name="Line 62">
              <a:extLst>
                <a:ext uri="{FF2B5EF4-FFF2-40B4-BE49-F238E27FC236}">
                  <a16:creationId xmlns:a16="http://schemas.microsoft.com/office/drawing/2014/main" id="{E909BB1D-6B6C-4F85-9BC4-70742D8996F0}"/>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55" name="Line 63">
              <a:extLst>
                <a:ext uri="{FF2B5EF4-FFF2-40B4-BE49-F238E27FC236}">
                  <a16:creationId xmlns:a16="http://schemas.microsoft.com/office/drawing/2014/main" id="{22026472-1F82-4F6E-B464-1A51A57EB416}"/>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8256" name="Group 64">
            <a:extLst>
              <a:ext uri="{FF2B5EF4-FFF2-40B4-BE49-F238E27FC236}">
                <a16:creationId xmlns:a16="http://schemas.microsoft.com/office/drawing/2014/main" id="{958D81BE-34D7-4211-949D-8F7F4FA499DD}"/>
              </a:ext>
            </a:extLst>
          </xdr:cNvPr>
          <xdr:cNvGrpSpPr>
            <a:grpSpLocks/>
          </xdr:cNvGrpSpPr>
        </xdr:nvGrpSpPr>
        <xdr:grpSpPr bwMode="auto">
          <a:xfrm>
            <a:off x="265" y="472"/>
            <a:ext cx="215" cy="15"/>
            <a:chOff x="264" y="559"/>
            <a:chExt cx="215" cy="15"/>
          </a:xfrm>
        </xdr:grpSpPr>
        <xdr:sp macro="" textlink="">
          <xdr:nvSpPr>
            <xdr:cNvPr id="8257" name="Line 65">
              <a:extLst>
                <a:ext uri="{FF2B5EF4-FFF2-40B4-BE49-F238E27FC236}">
                  <a16:creationId xmlns:a16="http://schemas.microsoft.com/office/drawing/2014/main" id="{53EB29C3-CD82-4904-A6EA-1723AE195382}"/>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58" name="Line 66">
              <a:extLst>
                <a:ext uri="{FF2B5EF4-FFF2-40B4-BE49-F238E27FC236}">
                  <a16:creationId xmlns:a16="http://schemas.microsoft.com/office/drawing/2014/main" id="{C2B6C1F7-A626-494F-877B-3F2150B2C846}"/>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0</xdr:colOff>
      <xdr:row>13</xdr:row>
      <xdr:rowOff>101600</xdr:rowOff>
    </xdr:from>
    <xdr:to>
      <xdr:col>5</xdr:col>
      <xdr:colOff>241300</xdr:colOff>
      <xdr:row>34</xdr:row>
      <xdr:rowOff>44450</xdr:rowOff>
    </xdr:to>
    <xdr:sp macro="" textlink="">
      <xdr:nvSpPr>
        <xdr:cNvPr id="8259" name="Freeform 67">
          <a:extLst>
            <a:ext uri="{FF2B5EF4-FFF2-40B4-BE49-F238E27FC236}">
              <a16:creationId xmlns:a16="http://schemas.microsoft.com/office/drawing/2014/main" id="{D42E7917-12FD-476A-BE2C-2929293399E9}"/>
            </a:ext>
          </a:extLst>
        </xdr:cNvPr>
        <xdr:cNvSpPr>
          <a:spLocks/>
        </xdr:cNvSpPr>
      </xdr:nvSpPr>
      <xdr:spPr bwMode="auto">
        <a:xfrm>
          <a:off x="5003800" y="2660650"/>
          <a:ext cx="241300" cy="3530600"/>
        </a:xfrm>
        <a:custGeom>
          <a:avLst/>
          <a:gdLst>
            <a:gd name="T0" fmla="*/ 1 w 23"/>
            <a:gd name="T1" fmla="*/ 372 h 372"/>
            <a:gd name="T2" fmla="*/ 23 w 23"/>
            <a:gd name="T3" fmla="*/ 372 h 372"/>
            <a:gd name="T4" fmla="*/ 23 w 23"/>
            <a:gd name="T5" fmla="*/ 0 h 372"/>
            <a:gd name="T6" fmla="*/ 0 w 23"/>
            <a:gd name="T7" fmla="*/ 0 h 372"/>
          </a:gdLst>
          <a:ahLst/>
          <a:cxnLst>
            <a:cxn ang="0">
              <a:pos x="T0" y="T1"/>
            </a:cxn>
            <a:cxn ang="0">
              <a:pos x="T2" y="T3"/>
            </a:cxn>
            <a:cxn ang="0">
              <a:pos x="T4" y="T5"/>
            </a:cxn>
            <a:cxn ang="0">
              <a:pos x="T6" y="T7"/>
            </a:cxn>
          </a:cxnLst>
          <a:rect l="0" t="0" r="r" b="b"/>
          <a:pathLst>
            <a:path w="23" h="372">
              <a:moveTo>
                <a:pt x="1" y="372"/>
              </a:moveTo>
              <a:lnTo>
                <a:pt x="23" y="372"/>
              </a:lnTo>
              <a:lnTo>
                <a:pt x="23"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31</xdr:row>
      <xdr:rowOff>76200</xdr:rowOff>
    </xdr:from>
    <xdr:to>
      <xdr:col>5</xdr:col>
      <xdr:colOff>247650</xdr:colOff>
      <xdr:row>31</xdr:row>
      <xdr:rowOff>76200</xdr:rowOff>
    </xdr:to>
    <xdr:sp macro="" textlink="">
      <xdr:nvSpPr>
        <xdr:cNvPr id="8260" name="Line 68">
          <a:extLst>
            <a:ext uri="{FF2B5EF4-FFF2-40B4-BE49-F238E27FC236}">
              <a16:creationId xmlns:a16="http://schemas.microsoft.com/office/drawing/2014/main" id="{689ECB96-ACAC-4CAE-A364-95004278B1BE}"/>
            </a:ext>
          </a:extLst>
        </xdr:cNvPr>
        <xdr:cNvSpPr>
          <a:spLocks noChangeShapeType="1"/>
        </xdr:cNvSpPr>
      </xdr:nvSpPr>
      <xdr:spPr bwMode="auto">
        <a:xfrm>
          <a:off x="5003800" y="57086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26</xdr:row>
      <xdr:rowOff>88900</xdr:rowOff>
    </xdr:from>
    <xdr:to>
      <xdr:col>5</xdr:col>
      <xdr:colOff>247650</xdr:colOff>
      <xdr:row>26</xdr:row>
      <xdr:rowOff>88900</xdr:rowOff>
    </xdr:to>
    <xdr:sp macro="" textlink="">
      <xdr:nvSpPr>
        <xdr:cNvPr id="8261" name="Line 69">
          <a:extLst>
            <a:ext uri="{FF2B5EF4-FFF2-40B4-BE49-F238E27FC236}">
              <a16:creationId xmlns:a16="http://schemas.microsoft.com/office/drawing/2014/main" id="{C7396981-D78D-48C1-A939-8E301B9D9120}"/>
            </a:ext>
          </a:extLst>
        </xdr:cNvPr>
        <xdr:cNvSpPr>
          <a:spLocks noChangeShapeType="1"/>
        </xdr:cNvSpPr>
      </xdr:nvSpPr>
      <xdr:spPr bwMode="auto">
        <a:xfrm>
          <a:off x="5003800" y="48704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22</xdr:row>
      <xdr:rowOff>76200</xdr:rowOff>
    </xdr:from>
    <xdr:to>
      <xdr:col>5</xdr:col>
      <xdr:colOff>247650</xdr:colOff>
      <xdr:row>22</xdr:row>
      <xdr:rowOff>76200</xdr:rowOff>
    </xdr:to>
    <xdr:sp macro="" textlink="">
      <xdr:nvSpPr>
        <xdr:cNvPr id="8262" name="Line 70">
          <a:extLst>
            <a:ext uri="{FF2B5EF4-FFF2-40B4-BE49-F238E27FC236}">
              <a16:creationId xmlns:a16="http://schemas.microsoft.com/office/drawing/2014/main" id="{268CB19D-7C90-4423-840D-DA071EB9E0F4}"/>
            </a:ext>
          </a:extLst>
        </xdr:cNvPr>
        <xdr:cNvSpPr>
          <a:spLocks noChangeShapeType="1"/>
        </xdr:cNvSpPr>
      </xdr:nvSpPr>
      <xdr:spPr bwMode="auto">
        <a:xfrm>
          <a:off x="5003800" y="41719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17</xdr:row>
      <xdr:rowOff>88900</xdr:rowOff>
    </xdr:from>
    <xdr:to>
      <xdr:col>5</xdr:col>
      <xdr:colOff>222250</xdr:colOff>
      <xdr:row>17</xdr:row>
      <xdr:rowOff>88900</xdr:rowOff>
    </xdr:to>
    <xdr:sp macro="" textlink="">
      <xdr:nvSpPr>
        <xdr:cNvPr id="8263" name="Line 71">
          <a:extLst>
            <a:ext uri="{FF2B5EF4-FFF2-40B4-BE49-F238E27FC236}">
              <a16:creationId xmlns:a16="http://schemas.microsoft.com/office/drawing/2014/main" id="{A85634F8-FFC5-450F-8E89-29671034FE83}"/>
            </a:ext>
          </a:extLst>
        </xdr:cNvPr>
        <xdr:cNvSpPr>
          <a:spLocks noChangeShapeType="1"/>
        </xdr:cNvSpPr>
      </xdr:nvSpPr>
      <xdr:spPr bwMode="auto">
        <a:xfrm>
          <a:off x="5003800" y="33274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xdr:row>
      <xdr:rowOff>88900</xdr:rowOff>
    </xdr:from>
    <xdr:to>
      <xdr:col>5</xdr:col>
      <xdr:colOff>241300</xdr:colOff>
      <xdr:row>15</xdr:row>
      <xdr:rowOff>88900</xdr:rowOff>
    </xdr:to>
    <xdr:sp macro="" textlink="">
      <xdr:nvSpPr>
        <xdr:cNvPr id="8264" name="Line 72">
          <a:extLst>
            <a:ext uri="{FF2B5EF4-FFF2-40B4-BE49-F238E27FC236}">
              <a16:creationId xmlns:a16="http://schemas.microsoft.com/office/drawing/2014/main" id="{02E18643-441C-46F5-90F2-E5E832272763}"/>
            </a:ext>
          </a:extLst>
        </xdr:cNvPr>
        <xdr:cNvSpPr>
          <a:spLocks noChangeShapeType="1"/>
        </xdr:cNvSpPr>
      </xdr:nvSpPr>
      <xdr:spPr bwMode="auto">
        <a:xfrm>
          <a:off x="5003800" y="29845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16</xdr:row>
      <xdr:rowOff>114300</xdr:rowOff>
    </xdr:from>
    <xdr:to>
      <xdr:col>8</xdr:col>
      <xdr:colOff>241300</xdr:colOff>
      <xdr:row>20</xdr:row>
      <xdr:rowOff>57150</xdr:rowOff>
    </xdr:to>
    <xdr:sp macro="" textlink="">
      <xdr:nvSpPr>
        <xdr:cNvPr id="8265" name="Freeform 73">
          <a:extLst>
            <a:ext uri="{FF2B5EF4-FFF2-40B4-BE49-F238E27FC236}">
              <a16:creationId xmlns:a16="http://schemas.microsoft.com/office/drawing/2014/main" id="{CE9A4103-6F82-4E3A-91AE-3535DDFEC2CC}"/>
            </a:ext>
          </a:extLst>
        </xdr:cNvPr>
        <xdr:cNvSpPr>
          <a:spLocks/>
        </xdr:cNvSpPr>
      </xdr:nvSpPr>
      <xdr:spPr bwMode="auto">
        <a:xfrm>
          <a:off x="8153400" y="3181350"/>
          <a:ext cx="241300" cy="628650"/>
        </a:xfrm>
        <a:custGeom>
          <a:avLst/>
          <a:gdLst>
            <a:gd name="T0" fmla="*/ 0 w 24"/>
            <a:gd name="T1" fmla="*/ 66 h 66"/>
            <a:gd name="T2" fmla="*/ 24 w 24"/>
            <a:gd name="T3" fmla="*/ 66 h 66"/>
            <a:gd name="T4" fmla="*/ 24 w 24"/>
            <a:gd name="T5" fmla="*/ 0 h 66"/>
            <a:gd name="T6" fmla="*/ 0 w 24"/>
            <a:gd name="T7" fmla="*/ 0 h 66"/>
          </a:gdLst>
          <a:ahLst/>
          <a:cxnLst>
            <a:cxn ang="0">
              <a:pos x="T0" y="T1"/>
            </a:cxn>
            <a:cxn ang="0">
              <a:pos x="T2" y="T3"/>
            </a:cxn>
            <a:cxn ang="0">
              <a:pos x="T4" y="T5"/>
            </a:cxn>
            <a:cxn ang="0">
              <a:pos x="T6" y="T7"/>
            </a:cxn>
          </a:cxnLst>
          <a:rect l="0" t="0" r="r" b="b"/>
          <a:pathLst>
            <a:path w="24" h="66">
              <a:moveTo>
                <a:pt x="0" y="66"/>
              </a:moveTo>
              <a:lnTo>
                <a:pt x="24" y="66"/>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304800</xdr:colOff>
      <xdr:row>6</xdr:row>
      <xdr:rowOff>82550</xdr:rowOff>
    </xdr:from>
    <xdr:to>
      <xdr:col>7</xdr:col>
      <xdr:colOff>419100</xdr:colOff>
      <xdr:row>7</xdr:row>
      <xdr:rowOff>152400</xdr:rowOff>
    </xdr:to>
    <xdr:sp macro="" textlink="">
      <xdr:nvSpPr>
        <xdr:cNvPr id="8266" name="Freeform 74">
          <a:extLst>
            <a:ext uri="{FF2B5EF4-FFF2-40B4-BE49-F238E27FC236}">
              <a16:creationId xmlns:a16="http://schemas.microsoft.com/office/drawing/2014/main" id="{10D69A65-2FEF-4C78-9586-B74FCA36072D}"/>
            </a:ext>
          </a:extLst>
        </xdr:cNvPr>
        <xdr:cNvSpPr>
          <a:spLocks/>
        </xdr:cNvSpPr>
      </xdr:nvSpPr>
      <xdr:spPr bwMode="auto">
        <a:xfrm>
          <a:off x="4699000" y="1454150"/>
          <a:ext cx="3124200" cy="234950"/>
        </a:xfrm>
        <a:custGeom>
          <a:avLst/>
          <a:gdLst>
            <a:gd name="T0" fmla="*/ 0 w 314"/>
            <a:gd name="T1" fmla="*/ 25 h 25"/>
            <a:gd name="T2" fmla="*/ 0 w 314"/>
            <a:gd name="T3" fmla="*/ 0 h 25"/>
            <a:gd name="T4" fmla="*/ 314 w 314"/>
            <a:gd name="T5" fmla="*/ 0 h 25"/>
            <a:gd name="T6" fmla="*/ 314 w 314"/>
            <a:gd name="T7" fmla="*/ 7 h 25"/>
          </a:gdLst>
          <a:ahLst/>
          <a:cxnLst>
            <a:cxn ang="0">
              <a:pos x="T0" y="T1"/>
            </a:cxn>
            <a:cxn ang="0">
              <a:pos x="T2" y="T3"/>
            </a:cxn>
            <a:cxn ang="0">
              <a:pos x="T4" y="T5"/>
            </a:cxn>
            <a:cxn ang="0">
              <a:pos x="T6" y="T7"/>
            </a:cxn>
          </a:cxnLst>
          <a:rect l="0" t="0" r="r" b="b"/>
          <a:pathLst>
            <a:path w="314" h="25">
              <a:moveTo>
                <a:pt x="0" y="25"/>
              </a:moveTo>
              <a:lnTo>
                <a:pt x="0" y="0"/>
              </a:lnTo>
              <a:lnTo>
                <a:pt x="314" y="0"/>
              </a:lnTo>
              <a:lnTo>
                <a:pt x="314" y="7"/>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6</xdr:row>
      <xdr:rowOff>0</xdr:rowOff>
    </xdr:from>
    <xdr:to>
      <xdr:col>6</xdr:col>
      <xdr:colOff>812800</xdr:colOff>
      <xdr:row>6</xdr:row>
      <xdr:rowOff>76200</xdr:rowOff>
    </xdr:to>
    <xdr:sp macro="" textlink="">
      <xdr:nvSpPr>
        <xdr:cNvPr id="8267" name="Line 75">
          <a:extLst>
            <a:ext uri="{FF2B5EF4-FFF2-40B4-BE49-F238E27FC236}">
              <a16:creationId xmlns:a16="http://schemas.microsoft.com/office/drawing/2014/main" id="{A3231CA2-0E22-4167-9518-9C50066B5AA6}"/>
            </a:ext>
          </a:extLst>
        </xdr:cNvPr>
        <xdr:cNvSpPr>
          <a:spLocks noChangeShapeType="1"/>
        </xdr:cNvSpPr>
      </xdr:nvSpPr>
      <xdr:spPr bwMode="auto">
        <a:xfrm>
          <a:off x="6597650" y="1371600"/>
          <a:ext cx="0" cy="762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800100</xdr:colOff>
      <xdr:row>3</xdr:row>
      <xdr:rowOff>0</xdr:rowOff>
    </xdr:from>
    <xdr:to>
      <xdr:col>6</xdr:col>
      <xdr:colOff>812800</xdr:colOff>
      <xdr:row>4</xdr:row>
      <xdr:rowOff>44450</xdr:rowOff>
    </xdr:to>
    <xdr:sp macro="" textlink="">
      <xdr:nvSpPr>
        <xdr:cNvPr id="8268" name="Line 76">
          <a:extLst>
            <a:ext uri="{FF2B5EF4-FFF2-40B4-BE49-F238E27FC236}">
              <a16:creationId xmlns:a16="http://schemas.microsoft.com/office/drawing/2014/main" id="{BC81C6F9-5297-4F5D-B99C-D70AC84FF954}"/>
            </a:ext>
          </a:extLst>
        </xdr:cNvPr>
        <xdr:cNvSpPr>
          <a:spLocks noChangeShapeType="1"/>
        </xdr:cNvSpPr>
      </xdr:nvSpPr>
      <xdr:spPr bwMode="auto">
        <a:xfrm flipH="1" flipV="1">
          <a:off x="6584950" y="806450"/>
          <a:ext cx="12700" cy="2349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8</xdr:row>
      <xdr:rowOff>88900</xdr:rowOff>
    </xdr:from>
    <xdr:to>
      <xdr:col>11</xdr:col>
      <xdr:colOff>152400</xdr:colOff>
      <xdr:row>12</xdr:row>
      <xdr:rowOff>101600</xdr:rowOff>
    </xdr:to>
    <xdr:grpSp>
      <xdr:nvGrpSpPr>
        <xdr:cNvPr id="8269" name="Group 77">
          <a:extLst>
            <a:ext uri="{FF2B5EF4-FFF2-40B4-BE49-F238E27FC236}">
              <a16:creationId xmlns:a16="http://schemas.microsoft.com/office/drawing/2014/main" id="{61D52727-EB6C-4D0C-959F-BF36CFDCDA0D}"/>
            </a:ext>
          </a:extLst>
        </xdr:cNvPr>
        <xdr:cNvGrpSpPr>
          <a:grpSpLocks/>
        </xdr:cNvGrpSpPr>
      </xdr:nvGrpSpPr>
      <xdr:grpSpPr bwMode="auto">
        <a:xfrm>
          <a:off x="8153400" y="1797050"/>
          <a:ext cx="2616200" cy="692150"/>
          <a:chOff x="819" y="201"/>
          <a:chExt cx="266" cy="74"/>
        </a:xfrm>
      </xdr:grpSpPr>
      <xdr:sp macro="" textlink="">
        <xdr:nvSpPr>
          <xdr:cNvPr id="8270" name="Freeform 78">
            <a:extLst>
              <a:ext uri="{FF2B5EF4-FFF2-40B4-BE49-F238E27FC236}">
                <a16:creationId xmlns:a16="http://schemas.microsoft.com/office/drawing/2014/main" id="{CBE32B5D-264A-4A25-94FF-31E71752388B}"/>
              </a:ext>
            </a:extLst>
          </xdr:cNvPr>
          <xdr:cNvSpPr>
            <a:spLocks/>
          </xdr:cNvSpPr>
        </xdr:nvSpPr>
        <xdr:spPr bwMode="auto">
          <a:xfrm>
            <a:off x="819" y="201"/>
            <a:ext cx="266" cy="74"/>
          </a:xfrm>
          <a:custGeom>
            <a:avLst/>
            <a:gdLst>
              <a:gd name="T0" fmla="*/ 0 w 207"/>
              <a:gd name="T1" fmla="*/ 126 h 126"/>
              <a:gd name="T2" fmla="*/ 207 w 207"/>
              <a:gd name="T3" fmla="*/ 126 h 126"/>
              <a:gd name="T4" fmla="*/ 207 w 207"/>
              <a:gd name="T5" fmla="*/ 0 h 126"/>
              <a:gd name="T6" fmla="*/ 195 w 207"/>
              <a:gd name="T7" fmla="*/ 0 h 126"/>
            </a:gdLst>
            <a:ahLst/>
            <a:cxnLst>
              <a:cxn ang="0">
                <a:pos x="T0" y="T1"/>
              </a:cxn>
              <a:cxn ang="0">
                <a:pos x="T2" y="T3"/>
              </a:cxn>
              <a:cxn ang="0">
                <a:pos x="T4" y="T5"/>
              </a:cxn>
              <a:cxn ang="0">
                <a:pos x="T6" y="T7"/>
              </a:cxn>
            </a:cxnLst>
            <a:rect l="0" t="0" r="r" b="b"/>
            <a:pathLst>
              <a:path w="207" h="126">
                <a:moveTo>
                  <a:pt x="0" y="126"/>
                </a:moveTo>
                <a:lnTo>
                  <a:pt x="207" y="126"/>
                </a:lnTo>
                <a:lnTo>
                  <a:pt x="207" y="0"/>
                </a:lnTo>
                <a:lnTo>
                  <a:pt x="195"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8271" name="Line 79">
            <a:extLst>
              <a:ext uri="{FF2B5EF4-FFF2-40B4-BE49-F238E27FC236}">
                <a16:creationId xmlns:a16="http://schemas.microsoft.com/office/drawing/2014/main" id="{18DC7028-36DC-4594-BBF5-CD7D410B2144}"/>
              </a:ext>
            </a:extLst>
          </xdr:cNvPr>
          <xdr:cNvSpPr>
            <a:spLocks noChangeShapeType="1"/>
          </xdr:cNvSpPr>
        </xdr:nvSpPr>
        <xdr:spPr bwMode="auto">
          <a:xfrm>
            <a:off x="1069" y="239"/>
            <a:ext cx="16"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590550</xdr:colOff>
      <xdr:row>8</xdr:row>
      <xdr:rowOff>76200</xdr:rowOff>
    </xdr:from>
    <xdr:to>
      <xdr:col>5</xdr:col>
      <xdr:colOff>241300</xdr:colOff>
      <xdr:row>13</xdr:row>
      <xdr:rowOff>44450</xdr:rowOff>
    </xdr:to>
    <xdr:sp macro="" textlink="">
      <xdr:nvSpPr>
        <xdr:cNvPr id="8272" name="Freeform 80">
          <a:extLst>
            <a:ext uri="{FF2B5EF4-FFF2-40B4-BE49-F238E27FC236}">
              <a16:creationId xmlns:a16="http://schemas.microsoft.com/office/drawing/2014/main" id="{FE9D1274-E4BF-4F35-B20B-88F2DAD730F4}"/>
            </a:ext>
          </a:extLst>
        </xdr:cNvPr>
        <xdr:cNvSpPr>
          <a:spLocks/>
        </xdr:cNvSpPr>
      </xdr:nvSpPr>
      <xdr:spPr bwMode="auto">
        <a:xfrm>
          <a:off x="4984750" y="1784350"/>
          <a:ext cx="260350" cy="819150"/>
        </a:xfrm>
        <a:custGeom>
          <a:avLst/>
          <a:gdLst>
            <a:gd name="T0" fmla="*/ 2 w 24"/>
            <a:gd name="T1" fmla="*/ 88 h 88"/>
            <a:gd name="T2" fmla="*/ 24 w 24"/>
            <a:gd name="T3" fmla="*/ 88 h 88"/>
            <a:gd name="T4" fmla="*/ 24 w 24"/>
            <a:gd name="T5" fmla="*/ 0 h 88"/>
            <a:gd name="T6" fmla="*/ 0 w 24"/>
            <a:gd name="T7" fmla="*/ 0 h 88"/>
          </a:gdLst>
          <a:ahLst/>
          <a:cxnLst>
            <a:cxn ang="0">
              <a:pos x="T0" y="T1"/>
            </a:cxn>
            <a:cxn ang="0">
              <a:pos x="T2" y="T3"/>
            </a:cxn>
            <a:cxn ang="0">
              <a:pos x="T4" y="T5"/>
            </a:cxn>
            <a:cxn ang="0">
              <a:pos x="T6" y="T7"/>
            </a:cxn>
          </a:cxnLst>
          <a:rect l="0" t="0" r="r" b="b"/>
          <a:pathLst>
            <a:path w="24" h="88">
              <a:moveTo>
                <a:pt x="2" y="88"/>
              </a:moveTo>
              <a:lnTo>
                <a:pt x="24" y="88"/>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10</xdr:row>
      <xdr:rowOff>88900</xdr:rowOff>
    </xdr:from>
    <xdr:to>
      <xdr:col>5</xdr:col>
      <xdr:colOff>222250</xdr:colOff>
      <xdr:row>10</xdr:row>
      <xdr:rowOff>88900</xdr:rowOff>
    </xdr:to>
    <xdr:sp macro="" textlink="">
      <xdr:nvSpPr>
        <xdr:cNvPr id="8273" name="Line 81">
          <a:extLst>
            <a:ext uri="{FF2B5EF4-FFF2-40B4-BE49-F238E27FC236}">
              <a16:creationId xmlns:a16="http://schemas.microsoft.com/office/drawing/2014/main" id="{A1570A47-C6D8-419B-8AFF-90D02B7468D2}"/>
            </a:ext>
          </a:extLst>
        </xdr:cNvPr>
        <xdr:cNvSpPr>
          <a:spLocks noChangeShapeType="1"/>
        </xdr:cNvSpPr>
      </xdr:nvSpPr>
      <xdr:spPr bwMode="auto">
        <a:xfrm>
          <a:off x="5003800" y="21336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13</xdr:row>
      <xdr:rowOff>69850</xdr:rowOff>
    </xdr:from>
    <xdr:to>
      <xdr:col>8</xdr:col>
      <xdr:colOff>247650</xdr:colOff>
      <xdr:row>14</xdr:row>
      <xdr:rowOff>127000</xdr:rowOff>
    </xdr:to>
    <xdr:sp macro="" textlink="">
      <xdr:nvSpPr>
        <xdr:cNvPr id="8274" name="Freeform 82">
          <a:extLst>
            <a:ext uri="{FF2B5EF4-FFF2-40B4-BE49-F238E27FC236}">
              <a16:creationId xmlns:a16="http://schemas.microsoft.com/office/drawing/2014/main" id="{E3F7B717-49C8-4411-89E7-965B716AAD33}"/>
            </a:ext>
          </a:extLst>
        </xdr:cNvPr>
        <xdr:cNvSpPr>
          <a:spLocks/>
        </xdr:cNvSpPr>
      </xdr:nvSpPr>
      <xdr:spPr bwMode="auto">
        <a:xfrm>
          <a:off x="8153400" y="2628900"/>
          <a:ext cx="247650" cy="228600"/>
        </a:xfrm>
        <a:custGeom>
          <a:avLst/>
          <a:gdLst>
            <a:gd name="T0" fmla="*/ 24 w 24"/>
            <a:gd name="T1" fmla="*/ 23 h 23"/>
            <a:gd name="T2" fmla="*/ 24 w 24"/>
            <a:gd name="T3" fmla="*/ 0 h 23"/>
            <a:gd name="T4" fmla="*/ 0 w 24"/>
            <a:gd name="T5" fmla="*/ 0 h 23"/>
          </a:gdLst>
          <a:ahLst/>
          <a:cxnLst>
            <a:cxn ang="0">
              <a:pos x="T0" y="T1"/>
            </a:cxn>
            <a:cxn ang="0">
              <a:pos x="T2" y="T3"/>
            </a:cxn>
            <a:cxn ang="0">
              <a:pos x="T4" y="T5"/>
            </a:cxn>
          </a:cxnLst>
          <a:rect l="0" t="0" r="r" b="b"/>
          <a:pathLst>
            <a:path w="24" h="23">
              <a:moveTo>
                <a:pt x="24" y="23"/>
              </a:move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4</xdr:row>
      <xdr:rowOff>44450</xdr:rowOff>
    </xdr:from>
    <xdr:to>
      <xdr:col>10</xdr:col>
      <xdr:colOff>317500</xdr:colOff>
      <xdr:row>7</xdr:row>
      <xdr:rowOff>152400</xdr:rowOff>
    </xdr:to>
    <xdr:sp macro="" textlink="">
      <xdr:nvSpPr>
        <xdr:cNvPr id="8275" name="Freeform 83">
          <a:extLst>
            <a:ext uri="{FF2B5EF4-FFF2-40B4-BE49-F238E27FC236}">
              <a16:creationId xmlns:a16="http://schemas.microsoft.com/office/drawing/2014/main" id="{1A44AB8B-6D4A-4337-A108-BDAFC0A6E3B9}"/>
            </a:ext>
          </a:extLst>
        </xdr:cNvPr>
        <xdr:cNvSpPr>
          <a:spLocks/>
        </xdr:cNvSpPr>
      </xdr:nvSpPr>
      <xdr:spPr bwMode="auto">
        <a:xfrm>
          <a:off x="6597650" y="1041400"/>
          <a:ext cx="3727450" cy="647700"/>
        </a:xfrm>
        <a:custGeom>
          <a:avLst/>
          <a:gdLst>
            <a:gd name="T0" fmla="*/ 375 w 375"/>
            <a:gd name="T1" fmla="*/ 69 h 69"/>
            <a:gd name="T2" fmla="*/ 375 w 375"/>
            <a:gd name="T3" fmla="*/ 0 h 69"/>
            <a:gd name="T4" fmla="*/ 0 w 375"/>
            <a:gd name="T5" fmla="*/ 0 h 69"/>
            <a:gd name="T6" fmla="*/ 0 w 375"/>
            <a:gd name="T7" fmla="*/ 13 h 69"/>
          </a:gdLst>
          <a:ahLst/>
          <a:cxnLst>
            <a:cxn ang="0">
              <a:pos x="T0" y="T1"/>
            </a:cxn>
            <a:cxn ang="0">
              <a:pos x="T2" y="T3"/>
            </a:cxn>
            <a:cxn ang="0">
              <a:pos x="T4" y="T5"/>
            </a:cxn>
            <a:cxn ang="0">
              <a:pos x="T6" y="T7"/>
            </a:cxn>
          </a:cxnLst>
          <a:rect l="0" t="0" r="r" b="b"/>
          <a:pathLst>
            <a:path w="375" h="69">
              <a:moveTo>
                <a:pt x="375" y="69"/>
              </a:moveTo>
              <a:lnTo>
                <a:pt x="375" y="0"/>
              </a:lnTo>
              <a:lnTo>
                <a:pt x="0" y="0"/>
              </a:lnTo>
              <a:lnTo>
                <a:pt x="0" y="13"/>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438150</xdr:colOff>
      <xdr:row>8</xdr:row>
      <xdr:rowOff>0</xdr:rowOff>
    </xdr:from>
    <xdr:to>
      <xdr:col>7</xdr:col>
      <xdr:colOff>438150</xdr:colOff>
      <xdr:row>12</xdr:row>
      <xdr:rowOff>0</xdr:rowOff>
    </xdr:to>
    <xdr:sp macro="" textlink="">
      <xdr:nvSpPr>
        <xdr:cNvPr id="9217" name="Line 1">
          <a:extLst>
            <a:ext uri="{FF2B5EF4-FFF2-40B4-BE49-F238E27FC236}">
              <a16:creationId xmlns:a16="http://schemas.microsoft.com/office/drawing/2014/main" id="{2830514E-4313-477F-9C1F-0B1DAB5ABC00}"/>
            </a:ext>
          </a:extLst>
        </xdr:cNvPr>
        <xdr:cNvSpPr>
          <a:spLocks noChangeShapeType="1"/>
        </xdr:cNvSpPr>
      </xdr:nvSpPr>
      <xdr:spPr bwMode="auto">
        <a:xfrm>
          <a:off x="7842250" y="1708150"/>
          <a:ext cx="0" cy="6794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9</xdr:row>
      <xdr:rowOff>101600</xdr:rowOff>
    </xdr:from>
    <xdr:to>
      <xdr:col>7</xdr:col>
      <xdr:colOff>438150</xdr:colOff>
      <xdr:row>42</xdr:row>
      <xdr:rowOff>88900</xdr:rowOff>
    </xdr:to>
    <xdr:sp macro="" textlink="">
      <xdr:nvSpPr>
        <xdr:cNvPr id="9218" name="Freeform 2">
          <a:extLst>
            <a:ext uri="{FF2B5EF4-FFF2-40B4-BE49-F238E27FC236}">
              <a16:creationId xmlns:a16="http://schemas.microsoft.com/office/drawing/2014/main" id="{D8EB78C4-9893-473C-B00B-D0D720DBAA0D}"/>
            </a:ext>
          </a:extLst>
        </xdr:cNvPr>
        <xdr:cNvSpPr>
          <a:spLocks/>
        </xdr:cNvSpPr>
      </xdr:nvSpPr>
      <xdr:spPr bwMode="auto">
        <a:xfrm>
          <a:off x="5003800" y="1981200"/>
          <a:ext cx="2838450" cy="5619750"/>
        </a:xfrm>
        <a:custGeom>
          <a:avLst/>
          <a:gdLst>
            <a:gd name="T0" fmla="*/ 0 w 377"/>
            <a:gd name="T1" fmla="*/ 198 h 198"/>
            <a:gd name="T2" fmla="*/ 73 w 377"/>
            <a:gd name="T3" fmla="*/ 198 h 198"/>
            <a:gd name="T4" fmla="*/ 73 w 377"/>
            <a:gd name="T5" fmla="*/ 0 h 198"/>
            <a:gd name="T6" fmla="*/ 377 w 377"/>
            <a:gd name="T7" fmla="*/ 0 h 198"/>
            <a:gd name="T8" fmla="*/ 377 w 377"/>
            <a:gd name="T9" fmla="*/ 9 h 198"/>
          </a:gdLst>
          <a:ahLst/>
          <a:cxnLst>
            <a:cxn ang="0">
              <a:pos x="T0" y="T1"/>
            </a:cxn>
            <a:cxn ang="0">
              <a:pos x="T2" y="T3"/>
            </a:cxn>
            <a:cxn ang="0">
              <a:pos x="T4" y="T5"/>
            </a:cxn>
            <a:cxn ang="0">
              <a:pos x="T6" y="T7"/>
            </a:cxn>
            <a:cxn ang="0">
              <a:pos x="T8" y="T9"/>
            </a:cxn>
          </a:cxnLst>
          <a:rect l="0" t="0" r="r" b="b"/>
          <a:pathLst>
            <a:path w="377" h="198">
              <a:moveTo>
                <a:pt x="0" y="198"/>
              </a:moveTo>
              <a:lnTo>
                <a:pt x="73" y="198"/>
              </a:lnTo>
              <a:lnTo>
                <a:pt x="73" y="0"/>
              </a:lnTo>
              <a:lnTo>
                <a:pt x="377" y="0"/>
              </a:lnTo>
              <a:lnTo>
                <a:pt x="377" y="9"/>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342900</xdr:colOff>
      <xdr:row>32</xdr:row>
      <xdr:rowOff>0</xdr:rowOff>
    </xdr:from>
    <xdr:to>
      <xdr:col>4</xdr:col>
      <xdr:colOff>342900</xdr:colOff>
      <xdr:row>32</xdr:row>
      <xdr:rowOff>0</xdr:rowOff>
    </xdr:to>
    <xdr:sp macro="" textlink="">
      <xdr:nvSpPr>
        <xdr:cNvPr id="9219" name="Line 3">
          <a:extLst>
            <a:ext uri="{FF2B5EF4-FFF2-40B4-BE49-F238E27FC236}">
              <a16:creationId xmlns:a16="http://schemas.microsoft.com/office/drawing/2014/main" id="{337C910A-1C8C-4980-B8CB-BEB631A748C4}"/>
            </a:ext>
          </a:extLst>
        </xdr:cNvPr>
        <xdr:cNvSpPr>
          <a:spLocks noChangeShapeType="1"/>
        </xdr:cNvSpPr>
      </xdr:nvSpPr>
      <xdr:spPr bwMode="auto">
        <a:xfrm>
          <a:off x="4737100" y="58039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107950</xdr:colOff>
      <xdr:row>32</xdr:row>
      <xdr:rowOff>0</xdr:rowOff>
    </xdr:from>
    <xdr:to>
      <xdr:col>4</xdr:col>
      <xdr:colOff>342900</xdr:colOff>
      <xdr:row>32</xdr:row>
      <xdr:rowOff>127000</xdr:rowOff>
    </xdr:to>
    <xdr:grpSp>
      <xdr:nvGrpSpPr>
        <xdr:cNvPr id="9220" name="Group 4">
          <a:extLst>
            <a:ext uri="{FF2B5EF4-FFF2-40B4-BE49-F238E27FC236}">
              <a16:creationId xmlns:a16="http://schemas.microsoft.com/office/drawing/2014/main" id="{D7354608-64B0-4F44-81AC-8DA089A456C6}"/>
            </a:ext>
          </a:extLst>
        </xdr:cNvPr>
        <xdr:cNvGrpSpPr>
          <a:grpSpLocks/>
        </xdr:cNvGrpSpPr>
      </xdr:nvGrpSpPr>
      <xdr:grpSpPr bwMode="auto">
        <a:xfrm>
          <a:off x="2635250" y="5803900"/>
          <a:ext cx="2101850" cy="127000"/>
          <a:chOff x="264" y="559"/>
          <a:chExt cx="215" cy="15"/>
        </a:xfrm>
      </xdr:grpSpPr>
      <xdr:sp macro="" textlink="">
        <xdr:nvSpPr>
          <xdr:cNvPr id="9221" name="Line 5">
            <a:extLst>
              <a:ext uri="{FF2B5EF4-FFF2-40B4-BE49-F238E27FC236}">
                <a16:creationId xmlns:a16="http://schemas.microsoft.com/office/drawing/2014/main" id="{335706CF-77F3-446F-BACD-9AAB305FAC94}"/>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22" name="Line 6">
            <a:extLst>
              <a:ext uri="{FF2B5EF4-FFF2-40B4-BE49-F238E27FC236}">
                <a16:creationId xmlns:a16="http://schemas.microsoft.com/office/drawing/2014/main" id="{2D1B48B6-FD02-46AD-A5DD-B1F5A7020127}"/>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39</xdr:row>
      <xdr:rowOff>101600</xdr:rowOff>
    </xdr:from>
    <xdr:to>
      <xdr:col>3</xdr:col>
      <xdr:colOff>0</xdr:colOff>
      <xdr:row>39</xdr:row>
      <xdr:rowOff>101600</xdr:rowOff>
    </xdr:to>
    <xdr:sp macro="" textlink="">
      <xdr:nvSpPr>
        <xdr:cNvPr id="9223" name="Line 7">
          <a:extLst>
            <a:ext uri="{FF2B5EF4-FFF2-40B4-BE49-F238E27FC236}">
              <a16:creationId xmlns:a16="http://schemas.microsoft.com/office/drawing/2014/main" id="{5DDDFABD-9992-45A7-8198-4966183E8EE2}"/>
            </a:ext>
          </a:extLst>
        </xdr:cNvPr>
        <xdr:cNvSpPr>
          <a:spLocks noChangeShapeType="1"/>
        </xdr:cNvSpPr>
      </xdr:nvSpPr>
      <xdr:spPr bwMode="auto">
        <a:xfrm>
          <a:off x="2527300" y="70993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508000</xdr:colOff>
      <xdr:row>32</xdr:row>
      <xdr:rowOff>69850</xdr:rowOff>
    </xdr:from>
    <xdr:to>
      <xdr:col>3</xdr:col>
      <xdr:colOff>120650</xdr:colOff>
      <xdr:row>36</xdr:row>
      <xdr:rowOff>88900</xdr:rowOff>
    </xdr:to>
    <xdr:grpSp>
      <xdr:nvGrpSpPr>
        <xdr:cNvPr id="9224" name="Group 8">
          <a:extLst>
            <a:ext uri="{FF2B5EF4-FFF2-40B4-BE49-F238E27FC236}">
              <a16:creationId xmlns:a16="http://schemas.microsoft.com/office/drawing/2014/main" id="{528DBD19-41E7-4650-9353-72EE12F89BFC}"/>
            </a:ext>
          </a:extLst>
        </xdr:cNvPr>
        <xdr:cNvGrpSpPr>
          <a:grpSpLocks/>
        </xdr:cNvGrpSpPr>
      </xdr:nvGrpSpPr>
      <xdr:grpSpPr bwMode="auto">
        <a:xfrm>
          <a:off x="2514600" y="5873750"/>
          <a:ext cx="133350" cy="704850"/>
          <a:chOff x="252" y="568"/>
          <a:chExt cx="13" cy="56"/>
        </a:xfrm>
      </xdr:grpSpPr>
      <xdr:sp macro="" textlink="">
        <xdr:nvSpPr>
          <xdr:cNvPr id="9225" name="Line 9">
            <a:extLst>
              <a:ext uri="{FF2B5EF4-FFF2-40B4-BE49-F238E27FC236}">
                <a16:creationId xmlns:a16="http://schemas.microsoft.com/office/drawing/2014/main" id="{74D6593C-2A7C-481E-AC9E-A21442693155}"/>
              </a:ext>
            </a:extLst>
          </xdr:cNvPr>
          <xdr:cNvSpPr>
            <a:spLocks noChangeShapeType="1"/>
          </xdr:cNvSpPr>
        </xdr:nvSpPr>
        <xdr:spPr bwMode="auto">
          <a:xfrm flipV="1">
            <a:off x="253" y="56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26" name="Line 10">
            <a:extLst>
              <a:ext uri="{FF2B5EF4-FFF2-40B4-BE49-F238E27FC236}">
                <a16:creationId xmlns:a16="http://schemas.microsoft.com/office/drawing/2014/main" id="{C0E321E6-119C-42CC-B982-97BA3E227058}"/>
              </a:ext>
            </a:extLst>
          </xdr:cNvPr>
          <xdr:cNvSpPr>
            <a:spLocks noChangeShapeType="1"/>
          </xdr:cNvSpPr>
        </xdr:nvSpPr>
        <xdr:spPr bwMode="auto">
          <a:xfrm flipV="1">
            <a:off x="253" y="58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27" name="Line 11">
            <a:extLst>
              <a:ext uri="{FF2B5EF4-FFF2-40B4-BE49-F238E27FC236}">
                <a16:creationId xmlns:a16="http://schemas.microsoft.com/office/drawing/2014/main" id="{0A5245D5-6168-49DA-B024-D49D08F07783}"/>
              </a:ext>
            </a:extLst>
          </xdr:cNvPr>
          <xdr:cNvSpPr>
            <a:spLocks noChangeShapeType="1"/>
          </xdr:cNvSpPr>
        </xdr:nvSpPr>
        <xdr:spPr bwMode="auto">
          <a:xfrm>
            <a:off x="252" y="60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28" name="Line 12">
            <a:extLst>
              <a:ext uri="{FF2B5EF4-FFF2-40B4-BE49-F238E27FC236}">
                <a16:creationId xmlns:a16="http://schemas.microsoft.com/office/drawing/2014/main" id="{F6220BD2-55E0-498F-8D7E-A7AFE3A0E7A6}"/>
              </a:ext>
            </a:extLst>
          </xdr:cNvPr>
          <xdr:cNvSpPr>
            <a:spLocks noChangeShapeType="1"/>
          </xdr:cNvSpPr>
        </xdr:nvSpPr>
        <xdr:spPr bwMode="auto">
          <a:xfrm flipH="1">
            <a:off x="264" y="568"/>
            <a:ext cx="1" cy="56"/>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29" name="Line 13">
            <a:extLst>
              <a:ext uri="{FF2B5EF4-FFF2-40B4-BE49-F238E27FC236}">
                <a16:creationId xmlns:a16="http://schemas.microsoft.com/office/drawing/2014/main" id="{CF972605-8868-4A25-BFD6-B74C3BF14E2D}"/>
              </a:ext>
            </a:extLst>
          </xdr:cNvPr>
          <xdr:cNvSpPr>
            <a:spLocks noChangeShapeType="1"/>
          </xdr:cNvSpPr>
        </xdr:nvSpPr>
        <xdr:spPr bwMode="auto">
          <a:xfrm flipV="1">
            <a:off x="252" y="623"/>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37</xdr:row>
      <xdr:rowOff>6350</xdr:rowOff>
    </xdr:from>
    <xdr:to>
      <xdr:col>4</xdr:col>
      <xdr:colOff>336550</xdr:colOff>
      <xdr:row>39</xdr:row>
      <xdr:rowOff>88900</xdr:rowOff>
    </xdr:to>
    <xdr:grpSp>
      <xdr:nvGrpSpPr>
        <xdr:cNvPr id="9230" name="Group 14">
          <a:extLst>
            <a:ext uri="{FF2B5EF4-FFF2-40B4-BE49-F238E27FC236}">
              <a16:creationId xmlns:a16="http://schemas.microsoft.com/office/drawing/2014/main" id="{492EB0CB-8F43-4E97-8C20-2FE21F493125}"/>
            </a:ext>
          </a:extLst>
        </xdr:cNvPr>
        <xdr:cNvGrpSpPr>
          <a:grpSpLocks/>
        </xdr:cNvGrpSpPr>
      </xdr:nvGrpSpPr>
      <xdr:grpSpPr bwMode="auto">
        <a:xfrm>
          <a:off x="2527300" y="6667500"/>
          <a:ext cx="2203450" cy="419100"/>
          <a:chOff x="253" y="667"/>
          <a:chExt cx="222" cy="44"/>
        </a:xfrm>
      </xdr:grpSpPr>
      <xdr:grpSp>
        <xdr:nvGrpSpPr>
          <xdr:cNvPr id="9231" name="Group 15">
            <a:extLst>
              <a:ext uri="{FF2B5EF4-FFF2-40B4-BE49-F238E27FC236}">
                <a16:creationId xmlns:a16="http://schemas.microsoft.com/office/drawing/2014/main" id="{77615FBB-5F30-4514-B352-E6324196EF65}"/>
              </a:ext>
            </a:extLst>
          </xdr:cNvPr>
          <xdr:cNvGrpSpPr>
            <a:grpSpLocks/>
          </xdr:cNvGrpSpPr>
        </xdr:nvGrpSpPr>
        <xdr:grpSpPr bwMode="auto">
          <a:xfrm>
            <a:off x="253" y="693"/>
            <a:ext cx="13" cy="18"/>
            <a:chOff x="301" y="720"/>
            <a:chExt cx="13" cy="18"/>
          </a:xfrm>
        </xdr:grpSpPr>
        <xdr:sp macro="" textlink="">
          <xdr:nvSpPr>
            <xdr:cNvPr id="9232" name="Line 16">
              <a:extLst>
                <a:ext uri="{FF2B5EF4-FFF2-40B4-BE49-F238E27FC236}">
                  <a16:creationId xmlns:a16="http://schemas.microsoft.com/office/drawing/2014/main" id="{30380E34-32C2-4619-BFCD-11E9860E8938}"/>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33" name="Line 17">
              <a:extLst>
                <a:ext uri="{FF2B5EF4-FFF2-40B4-BE49-F238E27FC236}">
                  <a16:creationId xmlns:a16="http://schemas.microsoft.com/office/drawing/2014/main" id="{A5B33E75-BC91-4ABF-A82D-F8FBA7EB3AFE}"/>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34" name="Line 18">
              <a:extLst>
                <a:ext uri="{FF2B5EF4-FFF2-40B4-BE49-F238E27FC236}">
                  <a16:creationId xmlns:a16="http://schemas.microsoft.com/office/drawing/2014/main" id="{A11E0B24-76CF-4F16-9389-486FC6D40F40}"/>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9235" name="Line 19">
            <a:extLst>
              <a:ext uri="{FF2B5EF4-FFF2-40B4-BE49-F238E27FC236}">
                <a16:creationId xmlns:a16="http://schemas.microsoft.com/office/drawing/2014/main" id="{88323EB5-3EE4-4503-A2BA-BCF8C07861B1}"/>
              </a:ext>
            </a:extLst>
          </xdr:cNvPr>
          <xdr:cNvSpPr>
            <a:spLocks noChangeShapeType="1"/>
          </xdr:cNvSpPr>
        </xdr:nvSpPr>
        <xdr:spPr bwMode="auto">
          <a:xfrm>
            <a:off x="475" y="667"/>
            <a:ext cx="0" cy="33"/>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36" name="Line 20">
            <a:extLst>
              <a:ext uri="{FF2B5EF4-FFF2-40B4-BE49-F238E27FC236}">
                <a16:creationId xmlns:a16="http://schemas.microsoft.com/office/drawing/2014/main" id="{A3C7ECFF-7BBD-463D-BBAA-38AF1BFB7EAB}"/>
              </a:ext>
            </a:extLst>
          </xdr:cNvPr>
          <xdr:cNvSpPr>
            <a:spLocks noChangeShapeType="1"/>
          </xdr:cNvSpPr>
        </xdr:nvSpPr>
        <xdr:spPr bwMode="auto">
          <a:xfrm flipH="1">
            <a:off x="264" y="700"/>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5</xdr:col>
      <xdr:colOff>0</xdr:colOff>
      <xdr:row>34</xdr:row>
      <xdr:rowOff>101600</xdr:rowOff>
    </xdr:from>
    <xdr:to>
      <xdr:col>5</xdr:col>
      <xdr:colOff>241300</xdr:colOff>
      <xdr:row>41</xdr:row>
      <xdr:rowOff>101600</xdr:rowOff>
    </xdr:to>
    <xdr:sp macro="" textlink="">
      <xdr:nvSpPr>
        <xdr:cNvPr id="9237" name="Freeform 21">
          <a:extLst>
            <a:ext uri="{FF2B5EF4-FFF2-40B4-BE49-F238E27FC236}">
              <a16:creationId xmlns:a16="http://schemas.microsoft.com/office/drawing/2014/main" id="{0D6EC30D-9B02-4A9B-A531-785CE73E9B87}"/>
            </a:ext>
          </a:extLst>
        </xdr:cNvPr>
        <xdr:cNvSpPr>
          <a:spLocks/>
        </xdr:cNvSpPr>
      </xdr:nvSpPr>
      <xdr:spPr bwMode="auto">
        <a:xfrm>
          <a:off x="5003800" y="6248400"/>
          <a:ext cx="241300" cy="1193800"/>
        </a:xfrm>
        <a:custGeom>
          <a:avLst/>
          <a:gdLst>
            <a:gd name="T0" fmla="*/ 1 w 26"/>
            <a:gd name="T1" fmla="*/ 62 h 62"/>
            <a:gd name="T2" fmla="*/ 26 w 26"/>
            <a:gd name="T3" fmla="*/ 62 h 62"/>
            <a:gd name="T4" fmla="*/ 26 w 26"/>
            <a:gd name="T5" fmla="*/ 0 h 62"/>
            <a:gd name="T6" fmla="*/ 0 w 26"/>
            <a:gd name="T7" fmla="*/ 0 h 62"/>
          </a:gdLst>
          <a:ahLst/>
          <a:cxnLst>
            <a:cxn ang="0">
              <a:pos x="T0" y="T1"/>
            </a:cxn>
            <a:cxn ang="0">
              <a:pos x="T2" y="T3"/>
            </a:cxn>
            <a:cxn ang="0">
              <a:pos x="T4" y="T5"/>
            </a:cxn>
            <a:cxn ang="0">
              <a:pos x="T6" y="T7"/>
            </a:cxn>
          </a:cxnLst>
          <a:rect l="0" t="0" r="r" b="b"/>
          <a:pathLst>
            <a:path w="26" h="62">
              <a:moveTo>
                <a:pt x="1" y="62"/>
              </a:moveTo>
              <a:lnTo>
                <a:pt x="26" y="62"/>
              </a:lnTo>
              <a:lnTo>
                <a:pt x="26"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36</xdr:row>
      <xdr:rowOff>76200</xdr:rowOff>
    </xdr:from>
    <xdr:to>
      <xdr:col>5</xdr:col>
      <xdr:colOff>222250</xdr:colOff>
      <xdr:row>36</xdr:row>
      <xdr:rowOff>76200</xdr:rowOff>
    </xdr:to>
    <xdr:sp macro="" textlink="">
      <xdr:nvSpPr>
        <xdr:cNvPr id="9238" name="Line 22">
          <a:extLst>
            <a:ext uri="{FF2B5EF4-FFF2-40B4-BE49-F238E27FC236}">
              <a16:creationId xmlns:a16="http://schemas.microsoft.com/office/drawing/2014/main" id="{023EC521-4872-4A98-ABA5-173D38FFE894}"/>
            </a:ext>
          </a:extLst>
        </xdr:cNvPr>
        <xdr:cNvSpPr>
          <a:spLocks noChangeShapeType="1"/>
        </xdr:cNvSpPr>
      </xdr:nvSpPr>
      <xdr:spPr bwMode="auto">
        <a:xfrm flipV="1">
          <a:off x="5003800" y="65659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27</xdr:row>
      <xdr:rowOff>6350</xdr:rowOff>
    </xdr:from>
    <xdr:to>
      <xdr:col>4</xdr:col>
      <xdr:colOff>381000</xdr:colOff>
      <xdr:row>29</xdr:row>
      <xdr:rowOff>76200</xdr:rowOff>
    </xdr:to>
    <xdr:grpSp>
      <xdr:nvGrpSpPr>
        <xdr:cNvPr id="9239" name="Group 23">
          <a:extLst>
            <a:ext uri="{FF2B5EF4-FFF2-40B4-BE49-F238E27FC236}">
              <a16:creationId xmlns:a16="http://schemas.microsoft.com/office/drawing/2014/main" id="{2DABC2D6-1C85-4A8B-AA42-8EB47D325050}"/>
            </a:ext>
          </a:extLst>
        </xdr:cNvPr>
        <xdr:cNvGrpSpPr>
          <a:grpSpLocks/>
        </xdr:cNvGrpSpPr>
      </xdr:nvGrpSpPr>
      <xdr:grpSpPr bwMode="auto">
        <a:xfrm>
          <a:off x="2527300" y="4959350"/>
          <a:ext cx="2247900" cy="412750"/>
          <a:chOff x="253" y="472"/>
          <a:chExt cx="227" cy="43"/>
        </a:xfrm>
      </xdr:grpSpPr>
      <xdr:grpSp>
        <xdr:nvGrpSpPr>
          <xdr:cNvPr id="9240" name="Group 24">
            <a:extLst>
              <a:ext uri="{FF2B5EF4-FFF2-40B4-BE49-F238E27FC236}">
                <a16:creationId xmlns:a16="http://schemas.microsoft.com/office/drawing/2014/main" id="{51FB5826-39AD-4AEC-A2EA-3A11E69484CE}"/>
              </a:ext>
            </a:extLst>
          </xdr:cNvPr>
          <xdr:cNvGrpSpPr>
            <a:grpSpLocks/>
          </xdr:cNvGrpSpPr>
        </xdr:nvGrpSpPr>
        <xdr:grpSpPr bwMode="auto">
          <a:xfrm>
            <a:off x="253" y="478"/>
            <a:ext cx="13" cy="37"/>
            <a:chOff x="268" y="478"/>
            <a:chExt cx="13" cy="37"/>
          </a:xfrm>
        </xdr:grpSpPr>
        <xdr:sp macro="" textlink="">
          <xdr:nvSpPr>
            <xdr:cNvPr id="9241" name="Line 25">
              <a:extLst>
                <a:ext uri="{FF2B5EF4-FFF2-40B4-BE49-F238E27FC236}">
                  <a16:creationId xmlns:a16="http://schemas.microsoft.com/office/drawing/2014/main" id="{721F6401-0FC6-4090-BB4E-47134B9606D2}"/>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42" name="Line 26">
              <a:extLst>
                <a:ext uri="{FF2B5EF4-FFF2-40B4-BE49-F238E27FC236}">
                  <a16:creationId xmlns:a16="http://schemas.microsoft.com/office/drawing/2014/main" id="{34B91B73-1F2D-4A7E-AA17-8757122269C2}"/>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43" name="Line 27">
              <a:extLst>
                <a:ext uri="{FF2B5EF4-FFF2-40B4-BE49-F238E27FC236}">
                  <a16:creationId xmlns:a16="http://schemas.microsoft.com/office/drawing/2014/main" id="{74C4F842-9C48-49D1-AB95-398E36E96EB3}"/>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44" name="Line 28">
              <a:extLst>
                <a:ext uri="{FF2B5EF4-FFF2-40B4-BE49-F238E27FC236}">
                  <a16:creationId xmlns:a16="http://schemas.microsoft.com/office/drawing/2014/main" id="{7B5BF26F-937B-44D2-A28A-BB031E86C63D}"/>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245" name="Group 29">
            <a:extLst>
              <a:ext uri="{FF2B5EF4-FFF2-40B4-BE49-F238E27FC236}">
                <a16:creationId xmlns:a16="http://schemas.microsoft.com/office/drawing/2014/main" id="{1B3E64F2-4405-4F6E-8B51-0B161FB26089}"/>
              </a:ext>
            </a:extLst>
          </xdr:cNvPr>
          <xdr:cNvGrpSpPr>
            <a:grpSpLocks/>
          </xdr:cNvGrpSpPr>
        </xdr:nvGrpSpPr>
        <xdr:grpSpPr bwMode="auto">
          <a:xfrm>
            <a:off x="265" y="472"/>
            <a:ext cx="215" cy="15"/>
            <a:chOff x="264" y="559"/>
            <a:chExt cx="215" cy="15"/>
          </a:xfrm>
        </xdr:grpSpPr>
        <xdr:sp macro="" textlink="">
          <xdr:nvSpPr>
            <xdr:cNvPr id="9246" name="Line 30">
              <a:extLst>
                <a:ext uri="{FF2B5EF4-FFF2-40B4-BE49-F238E27FC236}">
                  <a16:creationId xmlns:a16="http://schemas.microsoft.com/office/drawing/2014/main" id="{C36CA91D-E0D8-4814-8957-333877517425}"/>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47" name="Line 31">
              <a:extLst>
                <a:ext uri="{FF2B5EF4-FFF2-40B4-BE49-F238E27FC236}">
                  <a16:creationId xmlns:a16="http://schemas.microsoft.com/office/drawing/2014/main" id="{33346E26-ACF0-44FC-BC61-37FB53D9A0FE}"/>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7</xdr:col>
      <xdr:colOff>736600</xdr:colOff>
      <xdr:row>24</xdr:row>
      <xdr:rowOff>69850</xdr:rowOff>
    </xdr:from>
    <xdr:to>
      <xdr:col>8</xdr:col>
      <xdr:colOff>146050</xdr:colOff>
      <xdr:row>25</xdr:row>
      <xdr:rowOff>69850</xdr:rowOff>
    </xdr:to>
    <xdr:grpSp>
      <xdr:nvGrpSpPr>
        <xdr:cNvPr id="9248" name="Group 32">
          <a:extLst>
            <a:ext uri="{FF2B5EF4-FFF2-40B4-BE49-F238E27FC236}">
              <a16:creationId xmlns:a16="http://schemas.microsoft.com/office/drawing/2014/main" id="{0EFD6167-3026-4853-A594-E3471BB4369B}"/>
            </a:ext>
          </a:extLst>
        </xdr:cNvPr>
        <xdr:cNvGrpSpPr>
          <a:grpSpLocks/>
        </xdr:cNvGrpSpPr>
      </xdr:nvGrpSpPr>
      <xdr:grpSpPr bwMode="auto">
        <a:xfrm>
          <a:off x="8140700" y="4508500"/>
          <a:ext cx="158750" cy="171450"/>
          <a:chOff x="301" y="720"/>
          <a:chExt cx="13" cy="18"/>
        </a:xfrm>
      </xdr:grpSpPr>
      <xdr:sp macro="" textlink="">
        <xdr:nvSpPr>
          <xdr:cNvPr id="9249" name="Line 33">
            <a:extLst>
              <a:ext uri="{FF2B5EF4-FFF2-40B4-BE49-F238E27FC236}">
                <a16:creationId xmlns:a16="http://schemas.microsoft.com/office/drawing/2014/main" id="{3A55A7EF-C16B-44CA-97F7-EDE0850C4BF1}"/>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50" name="Line 34">
            <a:extLst>
              <a:ext uri="{FF2B5EF4-FFF2-40B4-BE49-F238E27FC236}">
                <a16:creationId xmlns:a16="http://schemas.microsoft.com/office/drawing/2014/main" id="{60CB5257-5AC9-4F85-BAE1-457E0738D5C4}"/>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51" name="Line 35">
            <a:extLst>
              <a:ext uri="{FF2B5EF4-FFF2-40B4-BE49-F238E27FC236}">
                <a16:creationId xmlns:a16="http://schemas.microsoft.com/office/drawing/2014/main" id="{A24520F5-0E79-43BD-A64B-CDF36EC07332}"/>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0</xdr:colOff>
      <xdr:row>27</xdr:row>
      <xdr:rowOff>69850</xdr:rowOff>
    </xdr:from>
    <xdr:to>
      <xdr:col>8</xdr:col>
      <xdr:colOff>158750</xdr:colOff>
      <xdr:row>28</xdr:row>
      <xdr:rowOff>69850</xdr:rowOff>
    </xdr:to>
    <xdr:grpSp>
      <xdr:nvGrpSpPr>
        <xdr:cNvPr id="9252" name="Group 36">
          <a:extLst>
            <a:ext uri="{FF2B5EF4-FFF2-40B4-BE49-F238E27FC236}">
              <a16:creationId xmlns:a16="http://schemas.microsoft.com/office/drawing/2014/main" id="{7E02AD4B-ABA0-438D-918C-314A55B8D0D3}"/>
            </a:ext>
          </a:extLst>
        </xdr:cNvPr>
        <xdr:cNvGrpSpPr>
          <a:grpSpLocks/>
        </xdr:cNvGrpSpPr>
      </xdr:nvGrpSpPr>
      <xdr:grpSpPr bwMode="auto">
        <a:xfrm>
          <a:off x="8153400" y="5022850"/>
          <a:ext cx="158750" cy="171450"/>
          <a:chOff x="301" y="720"/>
          <a:chExt cx="13" cy="18"/>
        </a:xfrm>
      </xdr:grpSpPr>
      <xdr:sp macro="" textlink="">
        <xdr:nvSpPr>
          <xdr:cNvPr id="9253" name="Line 37">
            <a:extLst>
              <a:ext uri="{FF2B5EF4-FFF2-40B4-BE49-F238E27FC236}">
                <a16:creationId xmlns:a16="http://schemas.microsoft.com/office/drawing/2014/main" id="{73FBF0A7-4AF6-48AF-B9F1-BD3E81113CDD}"/>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54" name="Line 38">
            <a:extLst>
              <a:ext uri="{FF2B5EF4-FFF2-40B4-BE49-F238E27FC236}">
                <a16:creationId xmlns:a16="http://schemas.microsoft.com/office/drawing/2014/main" id="{8CE4D2A9-9BDE-421B-B093-606C66E8E41D}"/>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55" name="Line 39">
            <a:extLst>
              <a:ext uri="{FF2B5EF4-FFF2-40B4-BE49-F238E27FC236}">
                <a16:creationId xmlns:a16="http://schemas.microsoft.com/office/drawing/2014/main" id="{6712F2AA-D2D6-4940-90C1-B4B768AD5CEB}"/>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508000</xdr:colOff>
      <xdr:row>23</xdr:row>
      <xdr:rowOff>0</xdr:rowOff>
    </xdr:from>
    <xdr:to>
      <xdr:col>4</xdr:col>
      <xdr:colOff>361950</xdr:colOff>
      <xdr:row>24</xdr:row>
      <xdr:rowOff>95250</xdr:rowOff>
    </xdr:to>
    <xdr:grpSp>
      <xdr:nvGrpSpPr>
        <xdr:cNvPr id="9256" name="Group 40">
          <a:extLst>
            <a:ext uri="{FF2B5EF4-FFF2-40B4-BE49-F238E27FC236}">
              <a16:creationId xmlns:a16="http://schemas.microsoft.com/office/drawing/2014/main" id="{E0BFC0EE-0A37-4C28-8F74-D635881EDE7F}"/>
            </a:ext>
          </a:extLst>
        </xdr:cNvPr>
        <xdr:cNvGrpSpPr>
          <a:grpSpLocks/>
        </xdr:cNvGrpSpPr>
      </xdr:nvGrpSpPr>
      <xdr:grpSpPr bwMode="auto">
        <a:xfrm>
          <a:off x="2514600" y="4267200"/>
          <a:ext cx="2241550" cy="266700"/>
          <a:chOff x="252" y="652"/>
          <a:chExt cx="223" cy="28"/>
        </a:xfrm>
      </xdr:grpSpPr>
      <xdr:grpSp>
        <xdr:nvGrpSpPr>
          <xdr:cNvPr id="9257" name="Group 41">
            <a:extLst>
              <a:ext uri="{FF2B5EF4-FFF2-40B4-BE49-F238E27FC236}">
                <a16:creationId xmlns:a16="http://schemas.microsoft.com/office/drawing/2014/main" id="{9604643D-CEE8-4277-92CE-D591DA2DEE34}"/>
              </a:ext>
            </a:extLst>
          </xdr:cNvPr>
          <xdr:cNvGrpSpPr>
            <a:grpSpLocks/>
          </xdr:cNvGrpSpPr>
        </xdr:nvGrpSpPr>
        <xdr:grpSpPr bwMode="auto">
          <a:xfrm>
            <a:off x="252" y="662"/>
            <a:ext cx="13" cy="18"/>
            <a:chOff x="301" y="720"/>
            <a:chExt cx="13" cy="18"/>
          </a:xfrm>
        </xdr:grpSpPr>
        <xdr:sp macro="" textlink="">
          <xdr:nvSpPr>
            <xdr:cNvPr id="9258" name="Line 42">
              <a:extLst>
                <a:ext uri="{FF2B5EF4-FFF2-40B4-BE49-F238E27FC236}">
                  <a16:creationId xmlns:a16="http://schemas.microsoft.com/office/drawing/2014/main" id="{672639F4-DD61-4E5E-93B5-9D88A7B3D41F}"/>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59" name="Line 43">
              <a:extLst>
                <a:ext uri="{FF2B5EF4-FFF2-40B4-BE49-F238E27FC236}">
                  <a16:creationId xmlns:a16="http://schemas.microsoft.com/office/drawing/2014/main" id="{F93610EE-699F-48ED-A31A-B04FEDBD7166}"/>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60" name="Line 44">
              <a:extLst>
                <a:ext uri="{FF2B5EF4-FFF2-40B4-BE49-F238E27FC236}">
                  <a16:creationId xmlns:a16="http://schemas.microsoft.com/office/drawing/2014/main" id="{BB765A83-E34F-482E-BF5C-4317F6E64761}"/>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9261" name="Line 45">
            <a:extLst>
              <a:ext uri="{FF2B5EF4-FFF2-40B4-BE49-F238E27FC236}">
                <a16:creationId xmlns:a16="http://schemas.microsoft.com/office/drawing/2014/main" id="{6912719C-0E50-40DF-856C-369F75EF81CD}"/>
              </a:ext>
            </a:extLst>
          </xdr:cNvPr>
          <xdr:cNvSpPr>
            <a:spLocks noChangeShapeType="1"/>
          </xdr:cNvSpPr>
        </xdr:nvSpPr>
        <xdr:spPr bwMode="auto">
          <a:xfrm>
            <a:off x="475" y="652"/>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62" name="Line 46">
            <a:extLst>
              <a:ext uri="{FF2B5EF4-FFF2-40B4-BE49-F238E27FC236}">
                <a16:creationId xmlns:a16="http://schemas.microsoft.com/office/drawing/2014/main" id="{0AB7D779-F934-4B5B-AB74-2074969D2A8E}"/>
              </a:ext>
            </a:extLst>
          </xdr:cNvPr>
          <xdr:cNvSpPr>
            <a:spLocks noChangeShapeType="1"/>
          </xdr:cNvSpPr>
        </xdr:nvSpPr>
        <xdr:spPr bwMode="auto">
          <a:xfrm flipH="1">
            <a:off x="264" y="666"/>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146050</xdr:colOff>
      <xdr:row>27</xdr:row>
      <xdr:rowOff>114300</xdr:rowOff>
    </xdr:from>
    <xdr:to>
      <xdr:col>8</xdr:col>
      <xdr:colOff>254000</xdr:colOff>
      <xdr:row>27</xdr:row>
      <xdr:rowOff>114300</xdr:rowOff>
    </xdr:to>
    <xdr:sp macro="" textlink="">
      <xdr:nvSpPr>
        <xdr:cNvPr id="9263" name="Line 47">
          <a:extLst>
            <a:ext uri="{FF2B5EF4-FFF2-40B4-BE49-F238E27FC236}">
              <a16:creationId xmlns:a16="http://schemas.microsoft.com/office/drawing/2014/main" id="{EDEC22C5-F6BE-4BB6-A001-78D8FFF49A48}"/>
            </a:ext>
          </a:extLst>
        </xdr:cNvPr>
        <xdr:cNvSpPr>
          <a:spLocks noChangeShapeType="1"/>
        </xdr:cNvSpPr>
      </xdr:nvSpPr>
      <xdr:spPr bwMode="auto">
        <a:xfrm>
          <a:off x="8299450" y="50673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139700</xdr:colOff>
      <xdr:row>24</xdr:row>
      <xdr:rowOff>133350</xdr:rowOff>
    </xdr:from>
    <xdr:to>
      <xdr:col>8</xdr:col>
      <xdr:colOff>247650</xdr:colOff>
      <xdr:row>24</xdr:row>
      <xdr:rowOff>133350</xdr:rowOff>
    </xdr:to>
    <xdr:sp macro="" textlink="">
      <xdr:nvSpPr>
        <xdr:cNvPr id="9264" name="Line 48">
          <a:extLst>
            <a:ext uri="{FF2B5EF4-FFF2-40B4-BE49-F238E27FC236}">
              <a16:creationId xmlns:a16="http://schemas.microsoft.com/office/drawing/2014/main" id="{A3535DA0-E8D6-4FE2-81F4-66CCABBB2AC6}"/>
            </a:ext>
          </a:extLst>
        </xdr:cNvPr>
        <xdr:cNvSpPr>
          <a:spLocks noChangeShapeType="1"/>
        </xdr:cNvSpPr>
      </xdr:nvSpPr>
      <xdr:spPr bwMode="auto">
        <a:xfrm>
          <a:off x="8293100" y="45720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18</xdr:row>
      <xdr:rowOff>76200</xdr:rowOff>
    </xdr:from>
    <xdr:to>
      <xdr:col>8</xdr:col>
      <xdr:colOff>247650</xdr:colOff>
      <xdr:row>18</xdr:row>
      <xdr:rowOff>76200</xdr:rowOff>
    </xdr:to>
    <xdr:sp macro="" textlink="">
      <xdr:nvSpPr>
        <xdr:cNvPr id="9265" name="Line 49">
          <a:extLst>
            <a:ext uri="{FF2B5EF4-FFF2-40B4-BE49-F238E27FC236}">
              <a16:creationId xmlns:a16="http://schemas.microsoft.com/office/drawing/2014/main" id="{F33A19FC-7292-428A-A6D1-830C518FF0EC}"/>
            </a:ext>
          </a:extLst>
        </xdr:cNvPr>
        <xdr:cNvSpPr>
          <a:spLocks noChangeShapeType="1"/>
        </xdr:cNvSpPr>
      </xdr:nvSpPr>
      <xdr:spPr bwMode="auto">
        <a:xfrm>
          <a:off x="8153400" y="34861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12700</xdr:colOff>
      <xdr:row>16</xdr:row>
      <xdr:rowOff>57150</xdr:rowOff>
    </xdr:from>
    <xdr:to>
      <xdr:col>8</xdr:col>
      <xdr:colOff>254000</xdr:colOff>
      <xdr:row>16</xdr:row>
      <xdr:rowOff>57150</xdr:rowOff>
    </xdr:to>
    <xdr:sp macro="" textlink="">
      <xdr:nvSpPr>
        <xdr:cNvPr id="9266" name="Line 50">
          <a:extLst>
            <a:ext uri="{FF2B5EF4-FFF2-40B4-BE49-F238E27FC236}">
              <a16:creationId xmlns:a16="http://schemas.microsoft.com/office/drawing/2014/main" id="{79C0B97C-83DE-4570-B12D-F98B93AF7347}"/>
            </a:ext>
          </a:extLst>
        </xdr:cNvPr>
        <xdr:cNvSpPr>
          <a:spLocks noChangeShapeType="1"/>
        </xdr:cNvSpPr>
      </xdr:nvSpPr>
      <xdr:spPr bwMode="auto">
        <a:xfrm>
          <a:off x="8166100" y="31242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247650</xdr:colOff>
      <xdr:row>14</xdr:row>
      <xdr:rowOff>127000</xdr:rowOff>
    </xdr:from>
    <xdr:to>
      <xdr:col>11</xdr:col>
      <xdr:colOff>114300</xdr:colOff>
      <xdr:row>16</xdr:row>
      <xdr:rowOff>69850</xdr:rowOff>
    </xdr:to>
    <xdr:sp macro="" textlink="">
      <xdr:nvSpPr>
        <xdr:cNvPr id="9267" name="Freeform 51">
          <a:extLst>
            <a:ext uri="{FF2B5EF4-FFF2-40B4-BE49-F238E27FC236}">
              <a16:creationId xmlns:a16="http://schemas.microsoft.com/office/drawing/2014/main" id="{0B7E64E3-B626-461D-BE12-41446BB36AA8}"/>
            </a:ext>
          </a:extLst>
        </xdr:cNvPr>
        <xdr:cNvSpPr>
          <a:spLocks/>
        </xdr:cNvSpPr>
      </xdr:nvSpPr>
      <xdr:spPr bwMode="auto">
        <a:xfrm>
          <a:off x="8401050" y="2857500"/>
          <a:ext cx="2330450" cy="279400"/>
        </a:xfrm>
        <a:custGeom>
          <a:avLst/>
          <a:gdLst>
            <a:gd name="T0" fmla="*/ 0 w 239"/>
            <a:gd name="T1" fmla="*/ 28 h 28"/>
            <a:gd name="T2" fmla="*/ 0 w 239"/>
            <a:gd name="T3" fmla="*/ 0 h 28"/>
            <a:gd name="T4" fmla="*/ 239 w 239"/>
            <a:gd name="T5" fmla="*/ 0 h 28"/>
            <a:gd name="T6" fmla="*/ 239 w 239"/>
            <a:gd name="T7" fmla="*/ 26 h 28"/>
          </a:gdLst>
          <a:ahLst/>
          <a:cxnLst>
            <a:cxn ang="0">
              <a:pos x="T0" y="T1"/>
            </a:cxn>
            <a:cxn ang="0">
              <a:pos x="T2" y="T3"/>
            </a:cxn>
            <a:cxn ang="0">
              <a:pos x="T4" y="T5"/>
            </a:cxn>
            <a:cxn ang="0">
              <a:pos x="T6" y="T7"/>
            </a:cxn>
          </a:cxnLst>
          <a:rect l="0" t="0" r="r" b="b"/>
          <a:pathLst>
            <a:path w="239" h="28">
              <a:moveTo>
                <a:pt x="0" y="28"/>
              </a:moveTo>
              <a:lnTo>
                <a:pt x="0" y="0"/>
              </a:lnTo>
              <a:lnTo>
                <a:pt x="239" y="0"/>
              </a:lnTo>
              <a:lnTo>
                <a:pt x="239" y="26"/>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0</xdr:colOff>
      <xdr:row>20</xdr:row>
      <xdr:rowOff>114300</xdr:rowOff>
    </xdr:from>
    <xdr:to>
      <xdr:col>8</xdr:col>
      <xdr:colOff>247650</xdr:colOff>
      <xdr:row>27</xdr:row>
      <xdr:rowOff>101600</xdr:rowOff>
    </xdr:to>
    <xdr:sp macro="" textlink="">
      <xdr:nvSpPr>
        <xdr:cNvPr id="9268" name="Freeform 52">
          <a:extLst>
            <a:ext uri="{FF2B5EF4-FFF2-40B4-BE49-F238E27FC236}">
              <a16:creationId xmlns:a16="http://schemas.microsoft.com/office/drawing/2014/main" id="{CAD3883C-8A83-414F-B45D-CADB192C1A97}"/>
            </a:ext>
          </a:extLst>
        </xdr:cNvPr>
        <xdr:cNvSpPr>
          <a:spLocks/>
        </xdr:cNvSpPr>
      </xdr:nvSpPr>
      <xdr:spPr bwMode="auto">
        <a:xfrm>
          <a:off x="8153400" y="3867150"/>
          <a:ext cx="247650" cy="1187450"/>
        </a:xfrm>
        <a:custGeom>
          <a:avLst/>
          <a:gdLst>
            <a:gd name="T0" fmla="*/ 25 w 25"/>
            <a:gd name="T1" fmla="*/ 197 h 197"/>
            <a:gd name="T2" fmla="*/ 25 w 25"/>
            <a:gd name="T3" fmla="*/ 0 h 197"/>
            <a:gd name="T4" fmla="*/ 0 w 25"/>
            <a:gd name="T5" fmla="*/ 0 h 197"/>
          </a:gdLst>
          <a:ahLst/>
          <a:cxnLst>
            <a:cxn ang="0">
              <a:pos x="T0" y="T1"/>
            </a:cxn>
            <a:cxn ang="0">
              <a:pos x="T2" y="T3"/>
            </a:cxn>
            <a:cxn ang="0">
              <a:pos x="T4" y="T5"/>
            </a:cxn>
          </a:cxnLst>
          <a:rect l="0" t="0" r="r" b="b"/>
          <a:pathLst>
            <a:path w="25" h="197">
              <a:moveTo>
                <a:pt x="25" y="197"/>
              </a:moveTo>
              <a:lnTo>
                <a:pt x="25"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12700</xdr:colOff>
      <xdr:row>16</xdr:row>
      <xdr:rowOff>114300</xdr:rowOff>
    </xdr:from>
    <xdr:to>
      <xdr:col>11</xdr:col>
      <xdr:colOff>114300</xdr:colOff>
      <xdr:row>24</xdr:row>
      <xdr:rowOff>76200</xdr:rowOff>
    </xdr:to>
    <xdr:sp macro="" textlink="">
      <xdr:nvSpPr>
        <xdr:cNvPr id="9269" name="Freeform 53">
          <a:extLst>
            <a:ext uri="{FF2B5EF4-FFF2-40B4-BE49-F238E27FC236}">
              <a16:creationId xmlns:a16="http://schemas.microsoft.com/office/drawing/2014/main" id="{AEFBA39A-0725-4D5F-A657-E3F54C4675B3}"/>
            </a:ext>
          </a:extLst>
        </xdr:cNvPr>
        <xdr:cNvSpPr>
          <a:spLocks/>
        </xdr:cNvSpPr>
      </xdr:nvSpPr>
      <xdr:spPr bwMode="auto">
        <a:xfrm>
          <a:off x="10629900" y="3181350"/>
          <a:ext cx="101600" cy="1333500"/>
        </a:xfrm>
        <a:custGeom>
          <a:avLst/>
          <a:gdLst>
            <a:gd name="T0" fmla="*/ 0 w 11"/>
            <a:gd name="T1" fmla="*/ 140 h 140"/>
            <a:gd name="T2" fmla="*/ 11 w 11"/>
            <a:gd name="T3" fmla="*/ 140 h 140"/>
            <a:gd name="T4" fmla="*/ 11 w 11"/>
            <a:gd name="T5" fmla="*/ 0 h 140"/>
            <a:gd name="T6" fmla="*/ 0 w 11"/>
            <a:gd name="T7" fmla="*/ 0 h 140"/>
          </a:gdLst>
          <a:ahLst/>
          <a:cxnLst>
            <a:cxn ang="0">
              <a:pos x="T0" y="T1"/>
            </a:cxn>
            <a:cxn ang="0">
              <a:pos x="T2" y="T3"/>
            </a:cxn>
            <a:cxn ang="0">
              <a:pos x="T4" y="T5"/>
            </a:cxn>
            <a:cxn ang="0">
              <a:pos x="T6" y="T7"/>
            </a:cxn>
          </a:cxnLst>
          <a:rect l="0" t="0" r="r" b="b"/>
          <a:pathLst>
            <a:path w="11" h="140">
              <a:moveTo>
                <a:pt x="0" y="140"/>
              </a:moveTo>
              <a:lnTo>
                <a:pt x="11" y="140"/>
              </a:lnTo>
              <a:lnTo>
                <a:pt x="11"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0</xdr:colOff>
      <xdr:row>22</xdr:row>
      <xdr:rowOff>88900</xdr:rowOff>
    </xdr:from>
    <xdr:to>
      <xdr:col>11</xdr:col>
      <xdr:colOff>114300</xdr:colOff>
      <xdr:row>22</xdr:row>
      <xdr:rowOff>88900</xdr:rowOff>
    </xdr:to>
    <xdr:sp macro="" textlink="">
      <xdr:nvSpPr>
        <xdr:cNvPr id="9270" name="Line 54">
          <a:extLst>
            <a:ext uri="{FF2B5EF4-FFF2-40B4-BE49-F238E27FC236}">
              <a16:creationId xmlns:a16="http://schemas.microsoft.com/office/drawing/2014/main" id="{A9AB3E04-BBB1-4A70-8140-D8C3C296A405}"/>
            </a:ext>
          </a:extLst>
        </xdr:cNvPr>
        <xdr:cNvSpPr>
          <a:spLocks noChangeShapeType="1"/>
        </xdr:cNvSpPr>
      </xdr:nvSpPr>
      <xdr:spPr bwMode="auto">
        <a:xfrm>
          <a:off x="10617200" y="41846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20</xdr:row>
      <xdr:rowOff>76200</xdr:rowOff>
    </xdr:from>
    <xdr:to>
      <xdr:col>11</xdr:col>
      <xdr:colOff>114300</xdr:colOff>
      <xdr:row>20</xdr:row>
      <xdr:rowOff>76200</xdr:rowOff>
    </xdr:to>
    <xdr:sp macro="" textlink="">
      <xdr:nvSpPr>
        <xdr:cNvPr id="9271" name="Line 55">
          <a:extLst>
            <a:ext uri="{FF2B5EF4-FFF2-40B4-BE49-F238E27FC236}">
              <a16:creationId xmlns:a16="http://schemas.microsoft.com/office/drawing/2014/main" id="{4B17F06D-0CDB-4E41-BCF3-517F3EAE9E1D}"/>
            </a:ext>
          </a:extLst>
        </xdr:cNvPr>
        <xdr:cNvSpPr>
          <a:spLocks noChangeShapeType="1"/>
        </xdr:cNvSpPr>
      </xdr:nvSpPr>
      <xdr:spPr bwMode="auto">
        <a:xfrm>
          <a:off x="10617200" y="38290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18</xdr:row>
      <xdr:rowOff>76200</xdr:rowOff>
    </xdr:from>
    <xdr:to>
      <xdr:col>11</xdr:col>
      <xdr:colOff>114300</xdr:colOff>
      <xdr:row>18</xdr:row>
      <xdr:rowOff>76200</xdr:rowOff>
    </xdr:to>
    <xdr:sp macro="" textlink="">
      <xdr:nvSpPr>
        <xdr:cNvPr id="9272" name="Line 56">
          <a:extLst>
            <a:ext uri="{FF2B5EF4-FFF2-40B4-BE49-F238E27FC236}">
              <a16:creationId xmlns:a16="http://schemas.microsoft.com/office/drawing/2014/main" id="{608E8036-C287-4132-A840-6CBF6D27D72D}"/>
            </a:ext>
          </a:extLst>
        </xdr:cNvPr>
        <xdr:cNvSpPr>
          <a:spLocks noChangeShapeType="1"/>
        </xdr:cNvSpPr>
      </xdr:nvSpPr>
      <xdr:spPr bwMode="auto">
        <a:xfrm>
          <a:off x="10617200" y="3486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16</xdr:row>
      <xdr:rowOff>38100</xdr:rowOff>
    </xdr:from>
    <xdr:to>
      <xdr:col>11</xdr:col>
      <xdr:colOff>114300</xdr:colOff>
      <xdr:row>16</xdr:row>
      <xdr:rowOff>38100</xdr:rowOff>
    </xdr:to>
    <xdr:sp macro="" textlink="">
      <xdr:nvSpPr>
        <xdr:cNvPr id="9273" name="Line 57">
          <a:extLst>
            <a:ext uri="{FF2B5EF4-FFF2-40B4-BE49-F238E27FC236}">
              <a16:creationId xmlns:a16="http://schemas.microsoft.com/office/drawing/2014/main" id="{92EE94F5-ADA1-4224-9699-71975102DB86}"/>
            </a:ext>
          </a:extLst>
        </xdr:cNvPr>
        <xdr:cNvSpPr>
          <a:spLocks noChangeShapeType="1"/>
        </xdr:cNvSpPr>
      </xdr:nvSpPr>
      <xdr:spPr bwMode="auto">
        <a:xfrm flipH="1">
          <a:off x="10617200" y="3105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18</xdr:row>
      <xdr:rowOff>6350</xdr:rowOff>
    </xdr:from>
    <xdr:to>
      <xdr:col>4</xdr:col>
      <xdr:colOff>381000</xdr:colOff>
      <xdr:row>20</xdr:row>
      <xdr:rowOff>76200</xdr:rowOff>
    </xdr:to>
    <xdr:grpSp>
      <xdr:nvGrpSpPr>
        <xdr:cNvPr id="9274" name="Group 58">
          <a:extLst>
            <a:ext uri="{FF2B5EF4-FFF2-40B4-BE49-F238E27FC236}">
              <a16:creationId xmlns:a16="http://schemas.microsoft.com/office/drawing/2014/main" id="{340FC237-0838-464C-839A-120C4D92D78A}"/>
            </a:ext>
          </a:extLst>
        </xdr:cNvPr>
        <xdr:cNvGrpSpPr>
          <a:grpSpLocks/>
        </xdr:cNvGrpSpPr>
      </xdr:nvGrpSpPr>
      <xdr:grpSpPr bwMode="auto">
        <a:xfrm>
          <a:off x="2527300" y="3416300"/>
          <a:ext cx="2247900" cy="412750"/>
          <a:chOff x="253" y="472"/>
          <a:chExt cx="227" cy="43"/>
        </a:xfrm>
      </xdr:grpSpPr>
      <xdr:grpSp>
        <xdr:nvGrpSpPr>
          <xdr:cNvPr id="9275" name="Group 59">
            <a:extLst>
              <a:ext uri="{FF2B5EF4-FFF2-40B4-BE49-F238E27FC236}">
                <a16:creationId xmlns:a16="http://schemas.microsoft.com/office/drawing/2014/main" id="{CABD0687-97BD-4CE8-956A-61C202A5EE1D}"/>
              </a:ext>
            </a:extLst>
          </xdr:cNvPr>
          <xdr:cNvGrpSpPr>
            <a:grpSpLocks/>
          </xdr:cNvGrpSpPr>
        </xdr:nvGrpSpPr>
        <xdr:grpSpPr bwMode="auto">
          <a:xfrm>
            <a:off x="253" y="478"/>
            <a:ext cx="13" cy="37"/>
            <a:chOff x="268" y="478"/>
            <a:chExt cx="13" cy="37"/>
          </a:xfrm>
        </xdr:grpSpPr>
        <xdr:sp macro="" textlink="">
          <xdr:nvSpPr>
            <xdr:cNvPr id="9276" name="Line 60">
              <a:extLst>
                <a:ext uri="{FF2B5EF4-FFF2-40B4-BE49-F238E27FC236}">
                  <a16:creationId xmlns:a16="http://schemas.microsoft.com/office/drawing/2014/main" id="{74076361-05B2-431A-BC18-8B48BEAA1CB8}"/>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77" name="Line 61">
              <a:extLst>
                <a:ext uri="{FF2B5EF4-FFF2-40B4-BE49-F238E27FC236}">
                  <a16:creationId xmlns:a16="http://schemas.microsoft.com/office/drawing/2014/main" id="{34B72BBA-0898-41EA-BB38-086A16224753}"/>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78" name="Line 62">
              <a:extLst>
                <a:ext uri="{FF2B5EF4-FFF2-40B4-BE49-F238E27FC236}">
                  <a16:creationId xmlns:a16="http://schemas.microsoft.com/office/drawing/2014/main" id="{1121497A-F804-4D46-B8E0-4A3072AF8DD2}"/>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79" name="Line 63">
              <a:extLst>
                <a:ext uri="{FF2B5EF4-FFF2-40B4-BE49-F238E27FC236}">
                  <a16:creationId xmlns:a16="http://schemas.microsoft.com/office/drawing/2014/main" id="{8E6DC58C-71C7-4BD9-83DC-83958C7BB323}"/>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9280" name="Group 64">
            <a:extLst>
              <a:ext uri="{FF2B5EF4-FFF2-40B4-BE49-F238E27FC236}">
                <a16:creationId xmlns:a16="http://schemas.microsoft.com/office/drawing/2014/main" id="{737A4090-B330-4B23-9C70-15B280483272}"/>
              </a:ext>
            </a:extLst>
          </xdr:cNvPr>
          <xdr:cNvGrpSpPr>
            <a:grpSpLocks/>
          </xdr:cNvGrpSpPr>
        </xdr:nvGrpSpPr>
        <xdr:grpSpPr bwMode="auto">
          <a:xfrm>
            <a:off x="265" y="472"/>
            <a:ext cx="215" cy="15"/>
            <a:chOff x="264" y="559"/>
            <a:chExt cx="215" cy="15"/>
          </a:xfrm>
        </xdr:grpSpPr>
        <xdr:sp macro="" textlink="">
          <xdr:nvSpPr>
            <xdr:cNvPr id="9281" name="Line 65">
              <a:extLst>
                <a:ext uri="{FF2B5EF4-FFF2-40B4-BE49-F238E27FC236}">
                  <a16:creationId xmlns:a16="http://schemas.microsoft.com/office/drawing/2014/main" id="{E9DBFAAA-8DFA-4ABB-A378-C6D7552915B5}"/>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282" name="Line 66">
              <a:extLst>
                <a:ext uri="{FF2B5EF4-FFF2-40B4-BE49-F238E27FC236}">
                  <a16:creationId xmlns:a16="http://schemas.microsoft.com/office/drawing/2014/main" id="{57E1F533-648E-4962-827E-A1B7F31E8BD6}"/>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0</xdr:colOff>
      <xdr:row>13</xdr:row>
      <xdr:rowOff>101600</xdr:rowOff>
    </xdr:from>
    <xdr:to>
      <xdr:col>5</xdr:col>
      <xdr:colOff>241300</xdr:colOff>
      <xdr:row>34</xdr:row>
      <xdr:rowOff>44450</xdr:rowOff>
    </xdr:to>
    <xdr:sp macro="" textlink="">
      <xdr:nvSpPr>
        <xdr:cNvPr id="9283" name="Freeform 67">
          <a:extLst>
            <a:ext uri="{FF2B5EF4-FFF2-40B4-BE49-F238E27FC236}">
              <a16:creationId xmlns:a16="http://schemas.microsoft.com/office/drawing/2014/main" id="{005B8F29-9A15-40D0-8DB1-2ED23B49162B}"/>
            </a:ext>
          </a:extLst>
        </xdr:cNvPr>
        <xdr:cNvSpPr>
          <a:spLocks/>
        </xdr:cNvSpPr>
      </xdr:nvSpPr>
      <xdr:spPr bwMode="auto">
        <a:xfrm>
          <a:off x="5003800" y="2660650"/>
          <a:ext cx="241300" cy="3530600"/>
        </a:xfrm>
        <a:custGeom>
          <a:avLst/>
          <a:gdLst>
            <a:gd name="T0" fmla="*/ 1 w 23"/>
            <a:gd name="T1" fmla="*/ 372 h 372"/>
            <a:gd name="T2" fmla="*/ 23 w 23"/>
            <a:gd name="T3" fmla="*/ 372 h 372"/>
            <a:gd name="T4" fmla="*/ 23 w 23"/>
            <a:gd name="T5" fmla="*/ 0 h 372"/>
            <a:gd name="T6" fmla="*/ 0 w 23"/>
            <a:gd name="T7" fmla="*/ 0 h 372"/>
          </a:gdLst>
          <a:ahLst/>
          <a:cxnLst>
            <a:cxn ang="0">
              <a:pos x="T0" y="T1"/>
            </a:cxn>
            <a:cxn ang="0">
              <a:pos x="T2" y="T3"/>
            </a:cxn>
            <a:cxn ang="0">
              <a:pos x="T4" y="T5"/>
            </a:cxn>
            <a:cxn ang="0">
              <a:pos x="T6" y="T7"/>
            </a:cxn>
          </a:cxnLst>
          <a:rect l="0" t="0" r="r" b="b"/>
          <a:pathLst>
            <a:path w="23" h="372">
              <a:moveTo>
                <a:pt x="1" y="372"/>
              </a:moveTo>
              <a:lnTo>
                <a:pt x="23" y="372"/>
              </a:lnTo>
              <a:lnTo>
                <a:pt x="23"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31</xdr:row>
      <xdr:rowOff>76200</xdr:rowOff>
    </xdr:from>
    <xdr:to>
      <xdr:col>5</xdr:col>
      <xdr:colOff>247650</xdr:colOff>
      <xdr:row>31</xdr:row>
      <xdr:rowOff>76200</xdr:rowOff>
    </xdr:to>
    <xdr:sp macro="" textlink="">
      <xdr:nvSpPr>
        <xdr:cNvPr id="9284" name="Line 68">
          <a:extLst>
            <a:ext uri="{FF2B5EF4-FFF2-40B4-BE49-F238E27FC236}">
              <a16:creationId xmlns:a16="http://schemas.microsoft.com/office/drawing/2014/main" id="{441F4A0B-9015-4C76-851F-0F3447079EA8}"/>
            </a:ext>
          </a:extLst>
        </xdr:cNvPr>
        <xdr:cNvSpPr>
          <a:spLocks noChangeShapeType="1"/>
        </xdr:cNvSpPr>
      </xdr:nvSpPr>
      <xdr:spPr bwMode="auto">
        <a:xfrm>
          <a:off x="5003800" y="57086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26</xdr:row>
      <xdr:rowOff>88900</xdr:rowOff>
    </xdr:from>
    <xdr:to>
      <xdr:col>5</xdr:col>
      <xdr:colOff>247650</xdr:colOff>
      <xdr:row>26</xdr:row>
      <xdr:rowOff>88900</xdr:rowOff>
    </xdr:to>
    <xdr:sp macro="" textlink="">
      <xdr:nvSpPr>
        <xdr:cNvPr id="9285" name="Line 69">
          <a:extLst>
            <a:ext uri="{FF2B5EF4-FFF2-40B4-BE49-F238E27FC236}">
              <a16:creationId xmlns:a16="http://schemas.microsoft.com/office/drawing/2014/main" id="{7A042F8A-1DA3-4D4B-ABFB-C66E0858D741}"/>
            </a:ext>
          </a:extLst>
        </xdr:cNvPr>
        <xdr:cNvSpPr>
          <a:spLocks noChangeShapeType="1"/>
        </xdr:cNvSpPr>
      </xdr:nvSpPr>
      <xdr:spPr bwMode="auto">
        <a:xfrm>
          <a:off x="5003800" y="48704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22</xdr:row>
      <xdr:rowOff>76200</xdr:rowOff>
    </xdr:from>
    <xdr:to>
      <xdr:col>5</xdr:col>
      <xdr:colOff>247650</xdr:colOff>
      <xdr:row>22</xdr:row>
      <xdr:rowOff>76200</xdr:rowOff>
    </xdr:to>
    <xdr:sp macro="" textlink="">
      <xdr:nvSpPr>
        <xdr:cNvPr id="9286" name="Line 70">
          <a:extLst>
            <a:ext uri="{FF2B5EF4-FFF2-40B4-BE49-F238E27FC236}">
              <a16:creationId xmlns:a16="http://schemas.microsoft.com/office/drawing/2014/main" id="{5DC6E478-F1EF-4D04-81C9-6E893E07AB50}"/>
            </a:ext>
          </a:extLst>
        </xdr:cNvPr>
        <xdr:cNvSpPr>
          <a:spLocks noChangeShapeType="1"/>
        </xdr:cNvSpPr>
      </xdr:nvSpPr>
      <xdr:spPr bwMode="auto">
        <a:xfrm>
          <a:off x="5003800" y="41719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17</xdr:row>
      <xdr:rowOff>88900</xdr:rowOff>
    </xdr:from>
    <xdr:to>
      <xdr:col>5</xdr:col>
      <xdr:colOff>222250</xdr:colOff>
      <xdr:row>17</xdr:row>
      <xdr:rowOff>88900</xdr:rowOff>
    </xdr:to>
    <xdr:sp macro="" textlink="">
      <xdr:nvSpPr>
        <xdr:cNvPr id="9287" name="Line 71">
          <a:extLst>
            <a:ext uri="{FF2B5EF4-FFF2-40B4-BE49-F238E27FC236}">
              <a16:creationId xmlns:a16="http://schemas.microsoft.com/office/drawing/2014/main" id="{6DE2AD35-B6FD-4986-97D6-15AD3E327F93}"/>
            </a:ext>
          </a:extLst>
        </xdr:cNvPr>
        <xdr:cNvSpPr>
          <a:spLocks noChangeShapeType="1"/>
        </xdr:cNvSpPr>
      </xdr:nvSpPr>
      <xdr:spPr bwMode="auto">
        <a:xfrm>
          <a:off x="5003800" y="33274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xdr:row>
      <xdr:rowOff>88900</xdr:rowOff>
    </xdr:from>
    <xdr:to>
      <xdr:col>5</xdr:col>
      <xdr:colOff>241300</xdr:colOff>
      <xdr:row>15</xdr:row>
      <xdr:rowOff>88900</xdr:rowOff>
    </xdr:to>
    <xdr:sp macro="" textlink="">
      <xdr:nvSpPr>
        <xdr:cNvPr id="9288" name="Line 72">
          <a:extLst>
            <a:ext uri="{FF2B5EF4-FFF2-40B4-BE49-F238E27FC236}">
              <a16:creationId xmlns:a16="http://schemas.microsoft.com/office/drawing/2014/main" id="{A007A513-334B-4044-B9B6-A09D09A44C48}"/>
            </a:ext>
          </a:extLst>
        </xdr:cNvPr>
        <xdr:cNvSpPr>
          <a:spLocks noChangeShapeType="1"/>
        </xdr:cNvSpPr>
      </xdr:nvSpPr>
      <xdr:spPr bwMode="auto">
        <a:xfrm>
          <a:off x="5003800" y="29845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16</xdr:row>
      <xdr:rowOff>114300</xdr:rowOff>
    </xdr:from>
    <xdr:to>
      <xdr:col>8</xdr:col>
      <xdr:colOff>241300</xdr:colOff>
      <xdr:row>20</xdr:row>
      <xdr:rowOff>57150</xdr:rowOff>
    </xdr:to>
    <xdr:sp macro="" textlink="">
      <xdr:nvSpPr>
        <xdr:cNvPr id="9289" name="Freeform 73">
          <a:extLst>
            <a:ext uri="{FF2B5EF4-FFF2-40B4-BE49-F238E27FC236}">
              <a16:creationId xmlns:a16="http://schemas.microsoft.com/office/drawing/2014/main" id="{290E13A5-DD89-41FF-A36B-1EDFFA52DF96}"/>
            </a:ext>
          </a:extLst>
        </xdr:cNvPr>
        <xdr:cNvSpPr>
          <a:spLocks/>
        </xdr:cNvSpPr>
      </xdr:nvSpPr>
      <xdr:spPr bwMode="auto">
        <a:xfrm>
          <a:off x="8153400" y="3181350"/>
          <a:ext cx="241300" cy="628650"/>
        </a:xfrm>
        <a:custGeom>
          <a:avLst/>
          <a:gdLst>
            <a:gd name="T0" fmla="*/ 0 w 24"/>
            <a:gd name="T1" fmla="*/ 66 h 66"/>
            <a:gd name="T2" fmla="*/ 24 w 24"/>
            <a:gd name="T3" fmla="*/ 66 h 66"/>
            <a:gd name="T4" fmla="*/ 24 w 24"/>
            <a:gd name="T5" fmla="*/ 0 h 66"/>
            <a:gd name="T6" fmla="*/ 0 w 24"/>
            <a:gd name="T7" fmla="*/ 0 h 66"/>
          </a:gdLst>
          <a:ahLst/>
          <a:cxnLst>
            <a:cxn ang="0">
              <a:pos x="T0" y="T1"/>
            </a:cxn>
            <a:cxn ang="0">
              <a:pos x="T2" y="T3"/>
            </a:cxn>
            <a:cxn ang="0">
              <a:pos x="T4" y="T5"/>
            </a:cxn>
            <a:cxn ang="0">
              <a:pos x="T6" y="T7"/>
            </a:cxn>
          </a:cxnLst>
          <a:rect l="0" t="0" r="r" b="b"/>
          <a:pathLst>
            <a:path w="24" h="66">
              <a:moveTo>
                <a:pt x="0" y="66"/>
              </a:moveTo>
              <a:lnTo>
                <a:pt x="24" y="66"/>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304800</xdr:colOff>
      <xdr:row>6</xdr:row>
      <xdr:rowOff>82550</xdr:rowOff>
    </xdr:from>
    <xdr:to>
      <xdr:col>7</xdr:col>
      <xdr:colOff>419100</xdr:colOff>
      <xdr:row>7</xdr:row>
      <xdr:rowOff>152400</xdr:rowOff>
    </xdr:to>
    <xdr:sp macro="" textlink="">
      <xdr:nvSpPr>
        <xdr:cNvPr id="9290" name="Freeform 74">
          <a:extLst>
            <a:ext uri="{FF2B5EF4-FFF2-40B4-BE49-F238E27FC236}">
              <a16:creationId xmlns:a16="http://schemas.microsoft.com/office/drawing/2014/main" id="{E0DADE8A-F93B-4AD0-AF3D-DE3DDFF71453}"/>
            </a:ext>
          </a:extLst>
        </xdr:cNvPr>
        <xdr:cNvSpPr>
          <a:spLocks/>
        </xdr:cNvSpPr>
      </xdr:nvSpPr>
      <xdr:spPr bwMode="auto">
        <a:xfrm>
          <a:off x="4699000" y="1454150"/>
          <a:ext cx="3124200" cy="234950"/>
        </a:xfrm>
        <a:custGeom>
          <a:avLst/>
          <a:gdLst>
            <a:gd name="T0" fmla="*/ 0 w 314"/>
            <a:gd name="T1" fmla="*/ 25 h 25"/>
            <a:gd name="T2" fmla="*/ 0 w 314"/>
            <a:gd name="T3" fmla="*/ 0 h 25"/>
            <a:gd name="T4" fmla="*/ 314 w 314"/>
            <a:gd name="T5" fmla="*/ 0 h 25"/>
            <a:gd name="T6" fmla="*/ 314 w 314"/>
            <a:gd name="T7" fmla="*/ 7 h 25"/>
          </a:gdLst>
          <a:ahLst/>
          <a:cxnLst>
            <a:cxn ang="0">
              <a:pos x="T0" y="T1"/>
            </a:cxn>
            <a:cxn ang="0">
              <a:pos x="T2" y="T3"/>
            </a:cxn>
            <a:cxn ang="0">
              <a:pos x="T4" y="T5"/>
            </a:cxn>
            <a:cxn ang="0">
              <a:pos x="T6" y="T7"/>
            </a:cxn>
          </a:cxnLst>
          <a:rect l="0" t="0" r="r" b="b"/>
          <a:pathLst>
            <a:path w="314" h="25">
              <a:moveTo>
                <a:pt x="0" y="25"/>
              </a:moveTo>
              <a:lnTo>
                <a:pt x="0" y="0"/>
              </a:lnTo>
              <a:lnTo>
                <a:pt x="314" y="0"/>
              </a:lnTo>
              <a:lnTo>
                <a:pt x="314" y="7"/>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6</xdr:row>
      <xdr:rowOff>0</xdr:rowOff>
    </xdr:from>
    <xdr:to>
      <xdr:col>6</xdr:col>
      <xdr:colOff>812800</xdr:colOff>
      <xdr:row>6</xdr:row>
      <xdr:rowOff>76200</xdr:rowOff>
    </xdr:to>
    <xdr:sp macro="" textlink="">
      <xdr:nvSpPr>
        <xdr:cNvPr id="9291" name="Line 75">
          <a:extLst>
            <a:ext uri="{FF2B5EF4-FFF2-40B4-BE49-F238E27FC236}">
              <a16:creationId xmlns:a16="http://schemas.microsoft.com/office/drawing/2014/main" id="{E3E43992-2099-43A1-87AC-5C4982C52D7F}"/>
            </a:ext>
          </a:extLst>
        </xdr:cNvPr>
        <xdr:cNvSpPr>
          <a:spLocks noChangeShapeType="1"/>
        </xdr:cNvSpPr>
      </xdr:nvSpPr>
      <xdr:spPr bwMode="auto">
        <a:xfrm>
          <a:off x="6597650" y="1371600"/>
          <a:ext cx="0" cy="762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800100</xdr:colOff>
      <xdr:row>3</xdr:row>
      <xdr:rowOff>0</xdr:rowOff>
    </xdr:from>
    <xdr:to>
      <xdr:col>6</xdr:col>
      <xdr:colOff>812800</xdr:colOff>
      <xdr:row>4</xdr:row>
      <xdr:rowOff>44450</xdr:rowOff>
    </xdr:to>
    <xdr:sp macro="" textlink="">
      <xdr:nvSpPr>
        <xdr:cNvPr id="9292" name="Line 76">
          <a:extLst>
            <a:ext uri="{FF2B5EF4-FFF2-40B4-BE49-F238E27FC236}">
              <a16:creationId xmlns:a16="http://schemas.microsoft.com/office/drawing/2014/main" id="{2F447965-E2AA-4396-91A3-FE65EE52018A}"/>
            </a:ext>
          </a:extLst>
        </xdr:cNvPr>
        <xdr:cNvSpPr>
          <a:spLocks noChangeShapeType="1"/>
        </xdr:cNvSpPr>
      </xdr:nvSpPr>
      <xdr:spPr bwMode="auto">
        <a:xfrm flipH="1" flipV="1">
          <a:off x="6584950" y="806450"/>
          <a:ext cx="12700" cy="2349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8</xdr:row>
      <xdr:rowOff>88900</xdr:rowOff>
    </xdr:from>
    <xdr:to>
      <xdr:col>11</xdr:col>
      <xdr:colOff>152400</xdr:colOff>
      <xdr:row>12</xdr:row>
      <xdr:rowOff>101600</xdr:rowOff>
    </xdr:to>
    <xdr:grpSp>
      <xdr:nvGrpSpPr>
        <xdr:cNvPr id="9293" name="Group 77">
          <a:extLst>
            <a:ext uri="{FF2B5EF4-FFF2-40B4-BE49-F238E27FC236}">
              <a16:creationId xmlns:a16="http://schemas.microsoft.com/office/drawing/2014/main" id="{FD14AF91-D3A7-43D8-8A6A-8B47CC975035}"/>
            </a:ext>
          </a:extLst>
        </xdr:cNvPr>
        <xdr:cNvGrpSpPr>
          <a:grpSpLocks/>
        </xdr:cNvGrpSpPr>
      </xdr:nvGrpSpPr>
      <xdr:grpSpPr bwMode="auto">
        <a:xfrm>
          <a:off x="8153400" y="1797050"/>
          <a:ext cx="2616200" cy="692150"/>
          <a:chOff x="819" y="201"/>
          <a:chExt cx="266" cy="74"/>
        </a:xfrm>
      </xdr:grpSpPr>
      <xdr:sp macro="" textlink="">
        <xdr:nvSpPr>
          <xdr:cNvPr id="9294" name="Freeform 78">
            <a:extLst>
              <a:ext uri="{FF2B5EF4-FFF2-40B4-BE49-F238E27FC236}">
                <a16:creationId xmlns:a16="http://schemas.microsoft.com/office/drawing/2014/main" id="{36F588D8-6E49-40BD-8829-BCE246C905F1}"/>
              </a:ext>
            </a:extLst>
          </xdr:cNvPr>
          <xdr:cNvSpPr>
            <a:spLocks/>
          </xdr:cNvSpPr>
        </xdr:nvSpPr>
        <xdr:spPr bwMode="auto">
          <a:xfrm>
            <a:off x="819" y="201"/>
            <a:ext cx="266" cy="74"/>
          </a:xfrm>
          <a:custGeom>
            <a:avLst/>
            <a:gdLst>
              <a:gd name="T0" fmla="*/ 0 w 207"/>
              <a:gd name="T1" fmla="*/ 126 h 126"/>
              <a:gd name="T2" fmla="*/ 207 w 207"/>
              <a:gd name="T3" fmla="*/ 126 h 126"/>
              <a:gd name="T4" fmla="*/ 207 w 207"/>
              <a:gd name="T5" fmla="*/ 0 h 126"/>
              <a:gd name="T6" fmla="*/ 195 w 207"/>
              <a:gd name="T7" fmla="*/ 0 h 126"/>
            </a:gdLst>
            <a:ahLst/>
            <a:cxnLst>
              <a:cxn ang="0">
                <a:pos x="T0" y="T1"/>
              </a:cxn>
              <a:cxn ang="0">
                <a:pos x="T2" y="T3"/>
              </a:cxn>
              <a:cxn ang="0">
                <a:pos x="T4" y="T5"/>
              </a:cxn>
              <a:cxn ang="0">
                <a:pos x="T6" y="T7"/>
              </a:cxn>
            </a:cxnLst>
            <a:rect l="0" t="0" r="r" b="b"/>
            <a:pathLst>
              <a:path w="207" h="126">
                <a:moveTo>
                  <a:pt x="0" y="126"/>
                </a:moveTo>
                <a:lnTo>
                  <a:pt x="207" y="126"/>
                </a:lnTo>
                <a:lnTo>
                  <a:pt x="207" y="0"/>
                </a:lnTo>
                <a:lnTo>
                  <a:pt x="195"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9295" name="Line 79">
            <a:extLst>
              <a:ext uri="{FF2B5EF4-FFF2-40B4-BE49-F238E27FC236}">
                <a16:creationId xmlns:a16="http://schemas.microsoft.com/office/drawing/2014/main" id="{90423839-122B-48D9-9C52-5C55F423A3C8}"/>
              </a:ext>
            </a:extLst>
          </xdr:cNvPr>
          <xdr:cNvSpPr>
            <a:spLocks noChangeShapeType="1"/>
          </xdr:cNvSpPr>
        </xdr:nvSpPr>
        <xdr:spPr bwMode="auto">
          <a:xfrm>
            <a:off x="1069" y="239"/>
            <a:ext cx="16"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590550</xdr:colOff>
      <xdr:row>8</xdr:row>
      <xdr:rowOff>76200</xdr:rowOff>
    </xdr:from>
    <xdr:to>
      <xdr:col>5</xdr:col>
      <xdr:colOff>241300</xdr:colOff>
      <xdr:row>13</xdr:row>
      <xdr:rowOff>44450</xdr:rowOff>
    </xdr:to>
    <xdr:sp macro="" textlink="">
      <xdr:nvSpPr>
        <xdr:cNvPr id="9296" name="Freeform 80">
          <a:extLst>
            <a:ext uri="{FF2B5EF4-FFF2-40B4-BE49-F238E27FC236}">
              <a16:creationId xmlns:a16="http://schemas.microsoft.com/office/drawing/2014/main" id="{B8FEC313-2A6C-4001-A613-307BE82C8843}"/>
            </a:ext>
          </a:extLst>
        </xdr:cNvPr>
        <xdr:cNvSpPr>
          <a:spLocks/>
        </xdr:cNvSpPr>
      </xdr:nvSpPr>
      <xdr:spPr bwMode="auto">
        <a:xfrm>
          <a:off x="4984750" y="1784350"/>
          <a:ext cx="260350" cy="819150"/>
        </a:xfrm>
        <a:custGeom>
          <a:avLst/>
          <a:gdLst>
            <a:gd name="T0" fmla="*/ 2 w 24"/>
            <a:gd name="T1" fmla="*/ 88 h 88"/>
            <a:gd name="T2" fmla="*/ 24 w 24"/>
            <a:gd name="T3" fmla="*/ 88 h 88"/>
            <a:gd name="T4" fmla="*/ 24 w 24"/>
            <a:gd name="T5" fmla="*/ 0 h 88"/>
            <a:gd name="T6" fmla="*/ 0 w 24"/>
            <a:gd name="T7" fmla="*/ 0 h 88"/>
          </a:gdLst>
          <a:ahLst/>
          <a:cxnLst>
            <a:cxn ang="0">
              <a:pos x="T0" y="T1"/>
            </a:cxn>
            <a:cxn ang="0">
              <a:pos x="T2" y="T3"/>
            </a:cxn>
            <a:cxn ang="0">
              <a:pos x="T4" y="T5"/>
            </a:cxn>
            <a:cxn ang="0">
              <a:pos x="T6" y="T7"/>
            </a:cxn>
          </a:cxnLst>
          <a:rect l="0" t="0" r="r" b="b"/>
          <a:pathLst>
            <a:path w="24" h="88">
              <a:moveTo>
                <a:pt x="2" y="88"/>
              </a:moveTo>
              <a:lnTo>
                <a:pt x="24" y="88"/>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10</xdr:row>
      <xdr:rowOff>88900</xdr:rowOff>
    </xdr:from>
    <xdr:to>
      <xdr:col>5</xdr:col>
      <xdr:colOff>222250</xdr:colOff>
      <xdr:row>10</xdr:row>
      <xdr:rowOff>88900</xdr:rowOff>
    </xdr:to>
    <xdr:sp macro="" textlink="">
      <xdr:nvSpPr>
        <xdr:cNvPr id="9297" name="Line 81">
          <a:extLst>
            <a:ext uri="{FF2B5EF4-FFF2-40B4-BE49-F238E27FC236}">
              <a16:creationId xmlns:a16="http://schemas.microsoft.com/office/drawing/2014/main" id="{107AEC76-EEA1-4737-9406-39F0DFA71C4B}"/>
            </a:ext>
          </a:extLst>
        </xdr:cNvPr>
        <xdr:cNvSpPr>
          <a:spLocks noChangeShapeType="1"/>
        </xdr:cNvSpPr>
      </xdr:nvSpPr>
      <xdr:spPr bwMode="auto">
        <a:xfrm>
          <a:off x="5003800" y="21336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13</xdr:row>
      <xdr:rowOff>69850</xdr:rowOff>
    </xdr:from>
    <xdr:to>
      <xdr:col>8</xdr:col>
      <xdr:colOff>247650</xdr:colOff>
      <xdr:row>14</xdr:row>
      <xdr:rowOff>127000</xdr:rowOff>
    </xdr:to>
    <xdr:sp macro="" textlink="">
      <xdr:nvSpPr>
        <xdr:cNvPr id="9298" name="Freeform 82">
          <a:extLst>
            <a:ext uri="{FF2B5EF4-FFF2-40B4-BE49-F238E27FC236}">
              <a16:creationId xmlns:a16="http://schemas.microsoft.com/office/drawing/2014/main" id="{769FF83B-E1B2-40D2-B0C9-92C1970D27F8}"/>
            </a:ext>
          </a:extLst>
        </xdr:cNvPr>
        <xdr:cNvSpPr>
          <a:spLocks/>
        </xdr:cNvSpPr>
      </xdr:nvSpPr>
      <xdr:spPr bwMode="auto">
        <a:xfrm>
          <a:off x="8153400" y="2628900"/>
          <a:ext cx="247650" cy="228600"/>
        </a:xfrm>
        <a:custGeom>
          <a:avLst/>
          <a:gdLst>
            <a:gd name="T0" fmla="*/ 24 w 24"/>
            <a:gd name="T1" fmla="*/ 23 h 23"/>
            <a:gd name="T2" fmla="*/ 24 w 24"/>
            <a:gd name="T3" fmla="*/ 0 h 23"/>
            <a:gd name="T4" fmla="*/ 0 w 24"/>
            <a:gd name="T5" fmla="*/ 0 h 23"/>
          </a:gdLst>
          <a:ahLst/>
          <a:cxnLst>
            <a:cxn ang="0">
              <a:pos x="T0" y="T1"/>
            </a:cxn>
            <a:cxn ang="0">
              <a:pos x="T2" y="T3"/>
            </a:cxn>
            <a:cxn ang="0">
              <a:pos x="T4" y="T5"/>
            </a:cxn>
          </a:cxnLst>
          <a:rect l="0" t="0" r="r" b="b"/>
          <a:pathLst>
            <a:path w="24" h="23">
              <a:moveTo>
                <a:pt x="24" y="23"/>
              </a:move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4</xdr:row>
      <xdr:rowOff>44450</xdr:rowOff>
    </xdr:from>
    <xdr:to>
      <xdr:col>10</xdr:col>
      <xdr:colOff>317500</xdr:colOff>
      <xdr:row>7</xdr:row>
      <xdr:rowOff>152400</xdr:rowOff>
    </xdr:to>
    <xdr:sp macro="" textlink="">
      <xdr:nvSpPr>
        <xdr:cNvPr id="9299" name="Freeform 83">
          <a:extLst>
            <a:ext uri="{FF2B5EF4-FFF2-40B4-BE49-F238E27FC236}">
              <a16:creationId xmlns:a16="http://schemas.microsoft.com/office/drawing/2014/main" id="{38802246-2778-451C-9385-168D9480B86C}"/>
            </a:ext>
          </a:extLst>
        </xdr:cNvPr>
        <xdr:cNvSpPr>
          <a:spLocks/>
        </xdr:cNvSpPr>
      </xdr:nvSpPr>
      <xdr:spPr bwMode="auto">
        <a:xfrm>
          <a:off x="6597650" y="1041400"/>
          <a:ext cx="3727450" cy="647700"/>
        </a:xfrm>
        <a:custGeom>
          <a:avLst/>
          <a:gdLst>
            <a:gd name="T0" fmla="*/ 375 w 375"/>
            <a:gd name="T1" fmla="*/ 69 h 69"/>
            <a:gd name="T2" fmla="*/ 375 w 375"/>
            <a:gd name="T3" fmla="*/ 0 h 69"/>
            <a:gd name="T4" fmla="*/ 0 w 375"/>
            <a:gd name="T5" fmla="*/ 0 h 69"/>
            <a:gd name="T6" fmla="*/ 0 w 375"/>
            <a:gd name="T7" fmla="*/ 13 h 69"/>
          </a:gdLst>
          <a:ahLst/>
          <a:cxnLst>
            <a:cxn ang="0">
              <a:pos x="T0" y="T1"/>
            </a:cxn>
            <a:cxn ang="0">
              <a:pos x="T2" y="T3"/>
            </a:cxn>
            <a:cxn ang="0">
              <a:pos x="T4" y="T5"/>
            </a:cxn>
            <a:cxn ang="0">
              <a:pos x="T6" y="T7"/>
            </a:cxn>
          </a:cxnLst>
          <a:rect l="0" t="0" r="r" b="b"/>
          <a:pathLst>
            <a:path w="375" h="69">
              <a:moveTo>
                <a:pt x="375" y="69"/>
              </a:moveTo>
              <a:lnTo>
                <a:pt x="375" y="0"/>
              </a:lnTo>
              <a:lnTo>
                <a:pt x="0" y="0"/>
              </a:lnTo>
              <a:lnTo>
                <a:pt x="0" y="13"/>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438150</xdr:colOff>
      <xdr:row>8</xdr:row>
      <xdr:rowOff>0</xdr:rowOff>
    </xdr:from>
    <xdr:to>
      <xdr:col>7</xdr:col>
      <xdr:colOff>438150</xdr:colOff>
      <xdr:row>12</xdr:row>
      <xdr:rowOff>0</xdr:rowOff>
    </xdr:to>
    <xdr:sp macro="" textlink="">
      <xdr:nvSpPr>
        <xdr:cNvPr id="10241" name="Line 1">
          <a:extLst>
            <a:ext uri="{FF2B5EF4-FFF2-40B4-BE49-F238E27FC236}">
              <a16:creationId xmlns:a16="http://schemas.microsoft.com/office/drawing/2014/main" id="{34914BE2-ABFA-439C-82A2-FC73174DF5AC}"/>
            </a:ext>
          </a:extLst>
        </xdr:cNvPr>
        <xdr:cNvSpPr>
          <a:spLocks noChangeShapeType="1"/>
        </xdr:cNvSpPr>
      </xdr:nvSpPr>
      <xdr:spPr bwMode="auto">
        <a:xfrm>
          <a:off x="7842250" y="1708150"/>
          <a:ext cx="0" cy="6794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9</xdr:row>
      <xdr:rowOff>101600</xdr:rowOff>
    </xdr:from>
    <xdr:to>
      <xdr:col>7</xdr:col>
      <xdr:colOff>438150</xdr:colOff>
      <xdr:row>42</xdr:row>
      <xdr:rowOff>88900</xdr:rowOff>
    </xdr:to>
    <xdr:sp macro="" textlink="">
      <xdr:nvSpPr>
        <xdr:cNvPr id="10242" name="Freeform 2">
          <a:extLst>
            <a:ext uri="{FF2B5EF4-FFF2-40B4-BE49-F238E27FC236}">
              <a16:creationId xmlns:a16="http://schemas.microsoft.com/office/drawing/2014/main" id="{C0946F23-009F-4468-B4D8-FE06641C0942}"/>
            </a:ext>
          </a:extLst>
        </xdr:cNvPr>
        <xdr:cNvSpPr>
          <a:spLocks/>
        </xdr:cNvSpPr>
      </xdr:nvSpPr>
      <xdr:spPr bwMode="auto">
        <a:xfrm>
          <a:off x="5003800" y="1981200"/>
          <a:ext cx="2838450" cy="5619750"/>
        </a:xfrm>
        <a:custGeom>
          <a:avLst/>
          <a:gdLst>
            <a:gd name="T0" fmla="*/ 0 w 377"/>
            <a:gd name="T1" fmla="*/ 198 h 198"/>
            <a:gd name="T2" fmla="*/ 73 w 377"/>
            <a:gd name="T3" fmla="*/ 198 h 198"/>
            <a:gd name="T4" fmla="*/ 73 w 377"/>
            <a:gd name="T5" fmla="*/ 0 h 198"/>
            <a:gd name="T6" fmla="*/ 377 w 377"/>
            <a:gd name="T7" fmla="*/ 0 h 198"/>
            <a:gd name="T8" fmla="*/ 377 w 377"/>
            <a:gd name="T9" fmla="*/ 9 h 198"/>
          </a:gdLst>
          <a:ahLst/>
          <a:cxnLst>
            <a:cxn ang="0">
              <a:pos x="T0" y="T1"/>
            </a:cxn>
            <a:cxn ang="0">
              <a:pos x="T2" y="T3"/>
            </a:cxn>
            <a:cxn ang="0">
              <a:pos x="T4" y="T5"/>
            </a:cxn>
            <a:cxn ang="0">
              <a:pos x="T6" y="T7"/>
            </a:cxn>
            <a:cxn ang="0">
              <a:pos x="T8" y="T9"/>
            </a:cxn>
          </a:cxnLst>
          <a:rect l="0" t="0" r="r" b="b"/>
          <a:pathLst>
            <a:path w="377" h="198">
              <a:moveTo>
                <a:pt x="0" y="198"/>
              </a:moveTo>
              <a:lnTo>
                <a:pt x="73" y="198"/>
              </a:lnTo>
              <a:lnTo>
                <a:pt x="73" y="0"/>
              </a:lnTo>
              <a:lnTo>
                <a:pt x="377" y="0"/>
              </a:lnTo>
              <a:lnTo>
                <a:pt x="377" y="9"/>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342900</xdr:colOff>
      <xdr:row>32</xdr:row>
      <xdr:rowOff>0</xdr:rowOff>
    </xdr:from>
    <xdr:to>
      <xdr:col>4</xdr:col>
      <xdr:colOff>342900</xdr:colOff>
      <xdr:row>32</xdr:row>
      <xdr:rowOff>0</xdr:rowOff>
    </xdr:to>
    <xdr:sp macro="" textlink="">
      <xdr:nvSpPr>
        <xdr:cNvPr id="10243" name="Line 3">
          <a:extLst>
            <a:ext uri="{FF2B5EF4-FFF2-40B4-BE49-F238E27FC236}">
              <a16:creationId xmlns:a16="http://schemas.microsoft.com/office/drawing/2014/main" id="{245E8CDD-77AF-447D-BE99-EBAC1C26521C}"/>
            </a:ext>
          </a:extLst>
        </xdr:cNvPr>
        <xdr:cNvSpPr>
          <a:spLocks noChangeShapeType="1"/>
        </xdr:cNvSpPr>
      </xdr:nvSpPr>
      <xdr:spPr bwMode="auto">
        <a:xfrm>
          <a:off x="4737100" y="58039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107950</xdr:colOff>
      <xdr:row>32</xdr:row>
      <xdr:rowOff>0</xdr:rowOff>
    </xdr:from>
    <xdr:to>
      <xdr:col>4</xdr:col>
      <xdr:colOff>342900</xdr:colOff>
      <xdr:row>32</xdr:row>
      <xdr:rowOff>127000</xdr:rowOff>
    </xdr:to>
    <xdr:grpSp>
      <xdr:nvGrpSpPr>
        <xdr:cNvPr id="10244" name="Group 4">
          <a:extLst>
            <a:ext uri="{FF2B5EF4-FFF2-40B4-BE49-F238E27FC236}">
              <a16:creationId xmlns:a16="http://schemas.microsoft.com/office/drawing/2014/main" id="{1086C08A-591D-45E6-8C4F-0D17EA153D4B}"/>
            </a:ext>
          </a:extLst>
        </xdr:cNvPr>
        <xdr:cNvGrpSpPr>
          <a:grpSpLocks/>
        </xdr:cNvGrpSpPr>
      </xdr:nvGrpSpPr>
      <xdr:grpSpPr bwMode="auto">
        <a:xfrm>
          <a:off x="2635250" y="5803900"/>
          <a:ext cx="2101850" cy="127000"/>
          <a:chOff x="264" y="559"/>
          <a:chExt cx="215" cy="15"/>
        </a:xfrm>
      </xdr:grpSpPr>
      <xdr:sp macro="" textlink="">
        <xdr:nvSpPr>
          <xdr:cNvPr id="10245" name="Line 5">
            <a:extLst>
              <a:ext uri="{FF2B5EF4-FFF2-40B4-BE49-F238E27FC236}">
                <a16:creationId xmlns:a16="http://schemas.microsoft.com/office/drawing/2014/main" id="{4A6A4158-2797-440C-8503-A1D0ED89E3F6}"/>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46" name="Line 6">
            <a:extLst>
              <a:ext uri="{FF2B5EF4-FFF2-40B4-BE49-F238E27FC236}">
                <a16:creationId xmlns:a16="http://schemas.microsoft.com/office/drawing/2014/main" id="{3438CF78-41E2-4F67-87F8-36B6FA1A3ACD}"/>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39</xdr:row>
      <xdr:rowOff>101600</xdr:rowOff>
    </xdr:from>
    <xdr:to>
      <xdr:col>3</xdr:col>
      <xdr:colOff>0</xdr:colOff>
      <xdr:row>39</xdr:row>
      <xdr:rowOff>101600</xdr:rowOff>
    </xdr:to>
    <xdr:sp macro="" textlink="">
      <xdr:nvSpPr>
        <xdr:cNvPr id="10247" name="Line 7">
          <a:extLst>
            <a:ext uri="{FF2B5EF4-FFF2-40B4-BE49-F238E27FC236}">
              <a16:creationId xmlns:a16="http://schemas.microsoft.com/office/drawing/2014/main" id="{13AE3D78-67A8-4E7B-A77E-D48CDEB90730}"/>
            </a:ext>
          </a:extLst>
        </xdr:cNvPr>
        <xdr:cNvSpPr>
          <a:spLocks noChangeShapeType="1"/>
        </xdr:cNvSpPr>
      </xdr:nvSpPr>
      <xdr:spPr bwMode="auto">
        <a:xfrm>
          <a:off x="2527300" y="70993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508000</xdr:colOff>
      <xdr:row>32</xdr:row>
      <xdr:rowOff>69850</xdr:rowOff>
    </xdr:from>
    <xdr:to>
      <xdr:col>3</xdr:col>
      <xdr:colOff>120650</xdr:colOff>
      <xdr:row>36</xdr:row>
      <xdr:rowOff>88900</xdr:rowOff>
    </xdr:to>
    <xdr:grpSp>
      <xdr:nvGrpSpPr>
        <xdr:cNvPr id="10248" name="Group 8">
          <a:extLst>
            <a:ext uri="{FF2B5EF4-FFF2-40B4-BE49-F238E27FC236}">
              <a16:creationId xmlns:a16="http://schemas.microsoft.com/office/drawing/2014/main" id="{28CD0585-B890-4BD0-9B7B-56DAFEA72338}"/>
            </a:ext>
          </a:extLst>
        </xdr:cNvPr>
        <xdr:cNvGrpSpPr>
          <a:grpSpLocks/>
        </xdr:cNvGrpSpPr>
      </xdr:nvGrpSpPr>
      <xdr:grpSpPr bwMode="auto">
        <a:xfrm>
          <a:off x="2514600" y="5873750"/>
          <a:ext cx="133350" cy="704850"/>
          <a:chOff x="252" y="568"/>
          <a:chExt cx="13" cy="56"/>
        </a:xfrm>
      </xdr:grpSpPr>
      <xdr:sp macro="" textlink="">
        <xdr:nvSpPr>
          <xdr:cNvPr id="10249" name="Line 9">
            <a:extLst>
              <a:ext uri="{FF2B5EF4-FFF2-40B4-BE49-F238E27FC236}">
                <a16:creationId xmlns:a16="http://schemas.microsoft.com/office/drawing/2014/main" id="{BF8ECF32-322C-4A9F-B3E3-6E2B4BC31303}"/>
              </a:ext>
            </a:extLst>
          </xdr:cNvPr>
          <xdr:cNvSpPr>
            <a:spLocks noChangeShapeType="1"/>
          </xdr:cNvSpPr>
        </xdr:nvSpPr>
        <xdr:spPr bwMode="auto">
          <a:xfrm flipV="1">
            <a:off x="253" y="56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50" name="Line 10">
            <a:extLst>
              <a:ext uri="{FF2B5EF4-FFF2-40B4-BE49-F238E27FC236}">
                <a16:creationId xmlns:a16="http://schemas.microsoft.com/office/drawing/2014/main" id="{308CFA7A-B4AC-4D33-B47D-924FE001E306}"/>
              </a:ext>
            </a:extLst>
          </xdr:cNvPr>
          <xdr:cNvSpPr>
            <a:spLocks noChangeShapeType="1"/>
          </xdr:cNvSpPr>
        </xdr:nvSpPr>
        <xdr:spPr bwMode="auto">
          <a:xfrm flipV="1">
            <a:off x="253" y="58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51" name="Line 11">
            <a:extLst>
              <a:ext uri="{FF2B5EF4-FFF2-40B4-BE49-F238E27FC236}">
                <a16:creationId xmlns:a16="http://schemas.microsoft.com/office/drawing/2014/main" id="{00E92426-71C2-4FDF-A50D-09D13EA45189}"/>
              </a:ext>
            </a:extLst>
          </xdr:cNvPr>
          <xdr:cNvSpPr>
            <a:spLocks noChangeShapeType="1"/>
          </xdr:cNvSpPr>
        </xdr:nvSpPr>
        <xdr:spPr bwMode="auto">
          <a:xfrm>
            <a:off x="252" y="60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52" name="Line 12">
            <a:extLst>
              <a:ext uri="{FF2B5EF4-FFF2-40B4-BE49-F238E27FC236}">
                <a16:creationId xmlns:a16="http://schemas.microsoft.com/office/drawing/2014/main" id="{51A95A56-8D4B-4359-9147-EC2714A67DD8}"/>
              </a:ext>
            </a:extLst>
          </xdr:cNvPr>
          <xdr:cNvSpPr>
            <a:spLocks noChangeShapeType="1"/>
          </xdr:cNvSpPr>
        </xdr:nvSpPr>
        <xdr:spPr bwMode="auto">
          <a:xfrm flipH="1">
            <a:off x="264" y="568"/>
            <a:ext cx="1" cy="56"/>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53" name="Line 13">
            <a:extLst>
              <a:ext uri="{FF2B5EF4-FFF2-40B4-BE49-F238E27FC236}">
                <a16:creationId xmlns:a16="http://schemas.microsoft.com/office/drawing/2014/main" id="{B6E77C7D-6D5C-4904-865B-D9B2C4E7A776}"/>
              </a:ext>
            </a:extLst>
          </xdr:cNvPr>
          <xdr:cNvSpPr>
            <a:spLocks noChangeShapeType="1"/>
          </xdr:cNvSpPr>
        </xdr:nvSpPr>
        <xdr:spPr bwMode="auto">
          <a:xfrm flipV="1">
            <a:off x="252" y="623"/>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37</xdr:row>
      <xdr:rowOff>6350</xdr:rowOff>
    </xdr:from>
    <xdr:to>
      <xdr:col>4</xdr:col>
      <xdr:colOff>336550</xdr:colOff>
      <xdr:row>39</xdr:row>
      <xdr:rowOff>88900</xdr:rowOff>
    </xdr:to>
    <xdr:grpSp>
      <xdr:nvGrpSpPr>
        <xdr:cNvPr id="10254" name="Group 14">
          <a:extLst>
            <a:ext uri="{FF2B5EF4-FFF2-40B4-BE49-F238E27FC236}">
              <a16:creationId xmlns:a16="http://schemas.microsoft.com/office/drawing/2014/main" id="{BE93B891-4465-471B-8E3C-0B39A9F268FC}"/>
            </a:ext>
          </a:extLst>
        </xdr:cNvPr>
        <xdr:cNvGrpSpPr>
          <a:grpSpLocks/>
        </xdr:cNvGrpSpPr>
      </xdr:nvGrpSpPr>
      <xdr:grpSpPr bwMode="auto">
        <a:xfrm>
          <a:off x="2527300" y="6667500"/>
          <a:ext cx="2203450" cy="419100"/>
          <a:chOff x="253" y="667"/>
          <a:chExt cx="222" cy="44"/>
        </a:xfrm>
      </xdr:grpSpPr>
      <xdr:grpSp>
        <xdr:nvGrpSpPr>
          <xdr:cNvPr id="10255" name="Group 15">
            <a:extLst>
              <a:ext uri="{FF2B5EF4-FFF2-40B4-BE49-F238E27FC236}">
                <a16:creationId xmlns:a16="http://schemas.microsoft.com/office/drawing/2014/main" id="{4CD8C455-444E-40E2-AA11-512F05995868}"/>
              </a:ext>
            </a:extLst>
          </xdr:cNvPr>
          <xdr:cNvGrpSpPr>
            <a:grpSpLocks/>
          </xdr:cNvGrpSpPr>
        </xdr:nvGrpSpPr>
        <xdr:grpSpPr bwMode="auto">
          <a:xfrm>
            <a:off x="253" y="693"/>
            <a:ext cx="13" cy="18"/>
            <a:chOff x="301" y="720"/>
            <a:chExt cx="13" cy="18"/>
          </a:xfrm>
        </xdr:grpSpPr>
        <xdr:sp macro="" textlink="">
          <xdr:nvSpPr>
            <xdr:cNvPr id="10256" name="Line 16">
              <a:extLst>
                <a:ext uri="{FF2B5EF4-FFF2-40B4-BE49-F238E27FC236}">
                  <a16:creationId xmlns:a16="http://schemas.microsoft.com/office/drawing/2014/main" id="{837B0C77-0775-4212-BDD0-964E8FC1E9AF}"/>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57" name="Line 17">
              <a:extLst>
                <a:ext uri="{FF2B5EF4-FFF2-40B4-BE49-F238E27FC236}">
                  <a16:creationId xmlns:a16="http://schemas.microsoft.com/office/drawing/2014/main" id="{A40E1EC3-B1F8-47BF-BE44-70AA327AB135}"/>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58" name="Line 18">
              <a:extLst>
                <a:ext uri="{FF2B5EF4-FFF2-40B4-BE49-F238E27FC236}">
                  <a16:creationId xmlns:a16="http://schemas.microsoft.com/office/drawing/2014/main" id="{59851AC8-F40E-4E8F-9EDD-9BC3D20F07D2}"/>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0259" name="Line 19">
            <a:extLst>
              <a:ext uri="{FF2B5EF4-FFF2-40B4-BE49-F238E27FC236}">
                <a16:creationId xmlns:a16="http://schemas.microsoft.com/office/drawing/2014/main" id="{41DC3700-8689-4543-A07B-AB4A4092FDA0}"/>
              </a:ext>
            </a:extLst>
          </xdr:cNvPr>
          <xdr:cNvSpPr>
            <a:spLocks noChangeShapeType="1"/>
          </xdr:cNvSpPr>
        </xdr:nvSpPr>
        <xdr:spPr bwMode="auto">
          <a:xfrm>
            <a:off x="475" y="667"/>
            <a:ext cx="0" cy="33"/>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60" name="Line 20">
            <a:extLst>
              <a:ext uri="{FF2B5EF4-FFF2-40B4-BE49-F238E27FC236}">
                <a16:creationId xmlns:a16="http://schemas.microsoft.com/office/drawing/2014/main" id="{890B8F93-6CBA-4981-95D8-BC7A6F2406BA}"/>
              </a:ext>
            </a:extLst>
          </xdr:cNvPr>
          <xdr:cNvSpPr>
            <a:spLocks noChangeShapeType="1"/>
          </xdr:cNvSpPr>
        </xdr:nvSpPr>
        <xdr:spPr bwMode="auto">
          <a:xfrm flipH="1">
            <a:off x="264" y="700"/>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5</xdr:col>
      <xdr:colOff>0</xdr:colOff>
      <xdr:row>34</xdr:row>
      <xdr:rowOff>101600</xdr:rowOff>
    </xdr:from>
    <xdr:to>
      <xdr:col>5</xdr:col>
      <xdr:colOff>241300</xdr:colOff>
      <xdr:row>41</xdr:row>
      <xdr:rowOff>101600</xdr:rowOff>
    </xdr:to>
    <xdr:sp macro="" textlink="">
      <xdr:nvSpPr>
        <xdr:cNvPr id="10261" name="Freeform 21">
          <a:extLst>
            <a:ext uri="{FF2B5EF4-FFF2-40B4-BE49-F238E27FC236}">
              <a16:creationId xmlns:a16="http://schemas.microsoft.com/office/drawing/2014/main" id="{BCE5E256-3457-42BA-B967-E004725BD08E}"/>
            </a:ext>
          </a:extLst>
        </xdr:cNvPr>
        <xdr:cNvSpPr>
          <a:spLocks/>
        </xdr:cNvSpPr>
      </xdr:nvSpPr>
      <xdr:spPr bwMode="auto">
        <a:xfrm>
          <a:off x="5003800" y="6248400"/>
          <a:ext cx="241300" cy="1193800"/>
        </a:xfrm>
        <a:custGeom>
          <a:avLst/>
          <a:gdLst>
            <a:gd name="T0" fmla="*/ 1 w 26"/>
            <a:gd name="T1" fmla="*/ 62 h 62"/>
            <a:gd name="T2" fmla="*/ 26 w 26"/>
            <a:gd name="T3" fmla="*/ 62 h 62"/>
            <a:gd name="T4" fmla="*/ 26 w 26"/>
            <a:gd name="T5" fmla="*/ 0 h 62"/>
            <a:gd name="T6" fmla="*/ 0 w 26"/>
            <a:gd name="T7" fmla="*/ 0 h 62"/>
          </a:gdLst>
          <a:ahLst/>
          <a:cxnLst>
            <a:cxn ang="0">
              <a:pos x="T0" y="T1"/>
            </a:cxn>
            <a:cxn ang="0">
              <a:pos x="T2" y="T3"/>
            </a:cxn>
            <a:cxn ang="0">
              <a:pos x="T4" y="T5"/>
            </a:cxn>
            <a:cxn ang="0">
              <a:pos x="T6" y="T7"/>
            </a:cxn>
          </a:cxnLst>
          <a:rect l="0" t="0" r="r" b="b"/>
          <a:pathLst>
            <a:path w="26" h="62">
              <a:moveTo>
                <a:pt x="1" y="62"/>
              </a:moveTo>
              <a:lnTo>
                <a:pt x="26" y="62"/>
              </a:lnTo>
              <a:lnTo>
                <a:pt x="26"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36</xdr:row>
      <xdr:rowOff>76200</xdr:rowOff>
    </xdr:from>
    <xdr:to>
      <xdr:col>5</xdr:col>
      <xdr:colOff>222250</xdr:colOff>
      <xdr:row>36</xdr:row>
      <xdr:rowOff>76200</xdr:rowOff>
    </xdr:to>
    <xdr:sp macro="" textlink="">
      <xdr:nvSpPr>
        <xdr:cNvPr id="10262" name="Line 22">
          <a:extLst>
            <a:ext uri="{FF2B5EF4-FFF2-40B4-BE49-F238E27FC236}">
              <a16:creationId xmlns:a16="http://schemas.microsoft.com/office/drawing/2014/main" id="{239905B9-9F7A-4CE6-AB2C-777511524399}"/>
            </a:ext>
          </a:extLst>
        </xdr:cNvPr>
        <xdr:cNvSpPr>
          <a:spLocks noChangeShapeType="1"/>
        </xdr:cNvSpPr>
      </xdr:nvSpPr>
      <xdr:spPr bwMode="auto">
        <a:xfrm flipV="1">
          <a:off x="5003800" y="65659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27</xdr:row>
      <xdr:rowOff>6350</xdr:rowOff>
    </xdr:from>
    <xdr:to>
      <xdr:col>4</xdr:col>
      <xdr:colOff>381000</xdr:colOff>
      <xdr:row>29</xdr:row>
      <xdr:rowOff>76200</xdr:rowOff>
    </xdr:to>
    <xdr:grpSp>
      <xdr:nvGrpSpPr>
        <xdr:cNvPr id="10263" name="Group 23">
          <a:extLst>
            <a:ext uri="{FF2B5EF4-FFF2-40B4-BE49-F238E27FC236}">
              <a16:creationId xmlns:a16="http://schemas.microsoft.com/office/drawing/2014/main" id="{AA1834FC-4A31-4D31-989B-3654411B9284}"/>
            </a:ext>
          </a:extLst>
        </xdr:cNvPr>
        <xdr:cNvGrpSpPr>
          <a:grpSpLocks/>
        </xdr:cNvGrpSpPr>
      </xdr:nvGrpSpPr>
      <xdr:grpSpPr bwMode="auto">
        <a:xfrm>
          <a:off x="2527300" y="4959350"/>
          <a:ext cx="2247900" cy="412750"/>
          <a:chOff x="253" y="472"/>
          <a:chExt cx="227" cy="43"/>
        </a:xfrm>
      </xdr:grpSpPr>
      <xdr:grpSp>
        <xdr:nvGrpSpPr>
          <xdr:cNvPr id="10264" name="Group 24">
            <a:extLst>
              <a:ext uri="{FF2B5EF4-FFF2-40B4-BE49-F238E27FC236}">
                <a16:creationId xmlns:a16="http://schemas.microsoft.com/office/drawing/2014/main" id="{5666D68E-F524-4445-8FF1-C8721A61E42E}"/>
              </a:ext>
            </a:extLst>
          </xdr:cNvPr>
          <xdr:cNvGrpSpPr>
            <a:grpSpLocks/>
          </xdr:cNvGrpSpPr>
        </xdr:nvGrpSpPr>
        <xdr:grpSpPr bwMode="auto">
          <a:xfrm>
            <a:off x="253" y="478"/>
            <a:ext cx="13" cy="37"/>
            <a:chOff x="268" y="478"/>
            <a:chExt cx="13" cy="37"/>
          </a:xfrm>
        </xdr:grpSpPr>
        <xdr:sp macro="" textlink="">
          <xdr:nvSpPr>
            <xdr:cNvPr id="10265" name="Line 25">
              <a:extLst>
                <a:ext uri="{FF2B5EF4-FFF2-40B4-BE49-F238E27FC236}">
                  <a16:creationId xmlns:a16="http://schemas.microsoft.com/office/drawing/2014/main" id="{47EE0E82-6A94-4BB4-BC01-AF1B560E788E}"/>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66" name="Line 26">
              <a:extLst>
                <a:ext uri="{FF2B5EF4-FFF2-40B4-BE49-F238E27FC236}">
                  <a16:creationId xmlns:a16="http://schemas.microsoft.com/office/drawing/2014/main" id="{A60C5F4C-B1CF-49F7-A5AF-8D5F61AEDA74}"/>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67" name="Line 27">
              <a:extLst>
                <a:ext uri="{FF2B5EF4-FFF2-40B4-BE49-F238E27FC236}">
                  <a16:creationId xmlns:a16="http://schemas.microsoft.com/office/drawing/2014/main" id="{661C625D-AEA9-4EE4-BFA6-077317060A23}"/>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68" name="Line 28">
              <a:extLst>
                <a:ext uri="{FF2B5EF4-FFF2-40B4-BE49-F238E27FC236}">
                  <a16:creationId xmlns:a16="http://schemas.microsoft.com/office/drawing/2014/main" id="{5F2709D6-C9B4-4E50-8EEA-CFCAAD0652BD}"/>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269" name="Group 29">
            <a:extLst>
              <a:ext uri="{FF2B5EF4-FFF2-40B4-BE49-F238E27FC236}">
                <a16:creationId xmlns:a16="http://schemas.microsoft.com/office/drawing/2014/main" id="{4B48EC38-3E87-4181-9C9B-20C743DD989E}"/>
              </a:ext>
            </a:extLst>
          </xdr:cNvPr>
          <xdr:cNvGrpSpPr>
            <a:grpSpLocks/>
          </xdr:cNvGrpSpPr>
        </xdr:nvGrpSpPr>
        <xdr:grpSpPr bwMode="auto">
          <a:xfrm>
            <a:off x="265" y="472"/>
            <a:ext cx="215" cy="15"/>
            <a:chOff x="264" y="559"/>
            <a:chExt cx="215" cy="15"/>
          </a:xfrm>
        </xdr:grpSpPr>
        <xdr:sp macro="" textlink="">
          <xdr:nvSpPr>
            <xdr:cNvPr id="10270" name="Line 30">
              <a:extLst>
                <a:ext uri="{FF2B5EF4-FFF2-40B4-BE49-F238E27FC236}">
                  <a16:creationId xmlns:a16="http://schemas.microsoft.com/office/drawing/2014/main" id="{85C43FF1-2FF0-406C-929F-5C6303FF2D9F}"/>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71" name="Line 31">
              <a:extLst>
                <a:ext uri="{FF2B5EF4-FFF2-40B4-BE49-F238E27FC236}">
                  <a16:creationId xmlns:a16="http://schemas.microsoft.com/office/drawing/2014/main" id="{FFA57E45-E908-44C8-ABBA-E9D96E43DB7A}"/>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7</xdr:col>
      <xdr:colOff>736600</xdr:colOff>
      <xdr:row>24</xdr:row>
      <xdr:rowOff>69850</xdr:rowOff>
    </xdr:from>
    <xdr:to>
      <xdr:col>8</xdr:col>
      <xdr:colOff>146050</xdr:colOff>
      <xdr:row>25</xdr:row>
      <xdr:rowOff>69850</xdr:rowOff>
    </xdr:to>
    <xdr:grpSp>
      <xdr:nvGrpSpPr>
        <xdr:cNvPr id="10272" name="Group 32">
          <a:extLst>
            <a:ext uri="{FF2B5EF4-FFF2-40B4-BE49-F238E27FC236}">
              <a16:creationId xmlns:a16="http://schemas.microsoft.com/office/drawing/2014/main" id="{5FD85278-4ECE-421B-AD9E-AA92E83EDE07}"/>
            </a:ext>
          </a:extLst>
        </xdr:cNvPr>
        <xdr:cNvGrpSpPr>
          <a:grpSpLocks/>
        </xdr:cNvGrpSpPr>
      </xdr:nvGrpSpPr>
      <xdr:grpSpPr bwMode="auto">
        <a:xfrm>
          <a:off x="8140700" y="4508500"/>
          <a:ext cx="158750" cy="171450"/>
          <a:chOff x="301" y="720"/>
          <a:chExt cx="13" cy="18"/>
        </a:xfrm>
      </xdr:grpSpPr>
      <xdr:sp macro="" textlink="">
        <xdr:nvSpPr>
          <xdr:cNvPr id="10273" name="Line 33">
            <a:extLst>
              <a:ext uri="{FF2B5EF4-FFF2-40B4-BE49-F238E27FC236}">
                <a16:creationId xmlns:a16="http://schemas.microsoft.com/office/drawing/2014/main" id="{10A7D25D-8EE0-4BE8-829E-1C9B6808C82F}"/>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74" name="Line 34">
            <a:extLst>
              <a:ext uri="{FF2B5EF4-FFF2-40B4-BE49-F238E27FC236}">
                <a16:creationId xmlns:a16="http://schemas.microsoft.com/office/drawing/2014/main" id="{944DBDD6-438A-4B32-A71D-EFC3A50B3E42}"/>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75" name="Line 35">
            <a:extLst>
              <a:ext uri="{FF2B5EF4-FFF2-40B4-BE49-F238E27FC236}">
                <a16:creationId xmlns:a16="http://schemas.microsoft.com/office/drawing/2014/main" id="{FDA66376-09DE-4923-BBD6-648F81DF2146}"/>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0</xdr:colOff>
      <xdr:row>27</xdr:row>
      <xdr:rowOff>69850</xdr:rowOff>
    </xdr:from>
    <xdr:to>
      <xdr:col>8</xdr:col>
      <xdr:colOff>158750</xdr:colOff>
      <xdr:row>28</xdr:row>
      <xdr:rowOff>69850</xdr:rowOff>
    </xdr:to>
    <xdr:grpSp>
      <xdr:nvGrpSpPr>
        <xdr:cNvPr id="10276" name="Group 36">
          <a:extLst>
            <a:ext uri="{FF2B5EF4-FFF2-40B4-BE49-F238E27FC236}">
              <a16:creationId xmlns:a16="http://schemas.microsoft.com/office/drawing/2014/main" id="{05004A39-0AAE-4B89-AD1B-4A10EFF8EAEF}"/>
            </a:ext>
          </a:extLst>
        </xdr:cNvPr>
        <xdr:cNvGrpSpPr>
          <a:grpSpLocks/>
        </xdr:cNvGrpSpPr>
      </xdr:nvGrpSpPr>
      <xdr:grpSpPr bwMode="auto">
        <a:xfrm>
          <a:off x="8153400" y="5022850"/>
          <a:ext cx="158750" cy="171450"/>
          <a:chOff x="301" y="720"/>
          <a:chExt cx="13" cy="18"/>
        </a:xfrm>
      </xdr:grpSpPr>
      <xdr:sp macro="" textlink="">
        <xdr:nvSpPr>
          <xdr:cNvPr id="10277" name="Line 37">
            <a:extLst>
              <a:ext uri="{FF2B5EF4-FFF2-40B4-BE49-F238E27FC236}">
                <a16:creationId xmlns:a16="http://schemas.microsoft.com/office/drawing/2014/main" id="{0AE4C2F8-986A-4570-9735-73283C145493}"/>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78" name="Line 38">
            <a:extLst>
              <a:ext uri="{FF2B5EF4-FFF2-40B4-BE49-F238E27FC236}">
                <a16:creationId xmlns:a16="http://schemas.microsoft.com/office/drawing/2014/main" id="{6A3138A7-BDC3-45BB-9F07-D56E7D3BBB9F}"/>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79" name="Line 39">
            <a:extLst>
              <a:ext uri="{FF2B5EF4-FFF2-40B4-BE49-F238E27FC236}">
                <a16:creationId xmlns:a16="http://schemas.microsoft.com/office/drawing/2014/main" id="{80FFED55-78E0-4A62-92EB-F0CD7E63A5BE}"/>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508000</xdr:colOff>
      <xdr:row>23</xdr:row>
      <xdr:rowOff>0</xdr:rowOff>
    </xdr:from>
    <xdr:to>
      <xdr:col>4</xdr:col>
      <xdr:colOff>361950</xdr:colOff>
      <xdr:row>24</xdr:row>
      <xdr:rowOff>95250</xdr:rowOff>
    </xdr:to>
    <xdr:grpSp>
      <xdr:nvGrpSpPr>
        <xdr:cNvPr id="10280" name="Group 40">
          <a:extLst>
            <a:ext uri="{FF2B5EF4-FFF2-40B4-BE49-F238E27FC236}">
              <a16:creationId xmlns:a16="http://schemas.microsoft.com/office/drawing/2014/main" id="{5BF565A6-1414-47BB-80C1-CCE727F3F76D}"/>
            </a:ext>
          </a:extLst>
        </xdr:cNvPr>
        <xdr:cNvGrpSpPr>
          <a:grpSpLocks/>
        </xdr:cNvGrpSpPr>
      </xdr:nvGrpSpPr>
      <xdr:grpSpPr bwMode="auto">
        <a:xfrm>
          <a:off x="2514600" y="4267200"/>
          <a:ext cx="2241550" cy="266700"/>
          <a:chOff x="252" y="652"/>
          <a:chExt cx="223" cy="28"/>
        </a:xfrm>
      </xdr:grpSpPr>
      <xdr:grpSp>
        <xdr:nvGrpSpPr>
          <xdr:cNvPr id="10281" name="Group 41">
            <a:extLst>
              <a:ext uri="{FF2B5EF4-FFF2-40B4-BE49-F238E27FC236}">
                <a16:creationId xmlns:a16="http://schemas.microsoft.com/office/drawing/2014/main" id="{2E1290C2-2D01-4CBF-A385-CA7F5F0C0D8F}"/>
              </a:ext>
            </a:extLst>
          </xdr:cNvPr>
          <xdr:cNvGrpSpPr>
            <a:grpSpLocks/>
          </xdr:cNvGrpSpPr>
        </xdr:nvGrpSpPr>
        <xdr:grpSpPr bwMode="auto">
          <a:xfrm>
            <a:off x="252" y="662"/>
            <a:ext cx="13" cy="18"/>
            <a:chOff x="301" y="720"/>
            <a:chExt cx="13" cy="18"/>
          </a:xfrm>
        </xdr:grpSpPr>
        <xdr:sp macro="" textlink="">
          <xdr:nvSpPr>
            <xdr:cNvPr id="10282" name="Line 42">
              <a:extLst>
                <a:ext uri="{FF2B5EF4-FFF2-40B4-BE49-F238E27FC236}">
                  <a16:creationId xmlns:a16="http://schemas.microsoft.com/office/drawing/2014/main" id="{7B312908-ED20-48C3-93B1-8895C01623AE}"/>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83" name="Line 43">
              <a:extLst>
                <a:ext uri="{FF2B5EF4-FFF2-40B4-BE49-F238E27FC236}">
                  <a16:creationId xmlns:a16="http://schemas.microsoft.com/office/drawing/2014/main" id="{D39219EA-5E11-4105-9674-42157F00A8D1}"/>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84" name="Line 44">
              <a:extLst>
                <a:ext uri="{FF2B5EF4-FFF2-40B4-BE49-F238E27FC236}">
                  <a16:creationId xmlns:a16="http://schemas.microsoft.com/office/drawing/2014/main" id="{9EB3402E-23B1-44DF-B7D8-5D8E1335FFC7}"/>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0285" name="Line 45">
            <a:extLst>
              <a:ext uri="{FF2B5EF4-FFF2-40B4-BE49-F238E27FC236}">
                <a16:creationId xmlns:a16="http://schemas.microsoft.com/office/drawing/2014/main" id="{686B6022-E72A-47E0-A57C-2CF5AD84D8CD}"/>
              </a:ext>
            </a:extLst>
          </xdr:cNvPr>
          <xdr:cNvSpPr>
            <a:spLocks noChangeShapeType="1"/>
          </xdr:cNvSpPr>
        </xdr:nvSpPr>
        <xdr:spPr bwMode="auto">
          <a:xfrm>
            <a:off x="475" y="652"/>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86" name="Line 46">
            <a:extLst>
              <a:ext uri="{FF2B5EF4-FFF2-40B4-BE49-F238E27FC236}">
                <a16:creationId xmlns:a16="http://schemas.microsoft.com/office/drawing/2014/main" id="{12990E8E-46CE-4E8A-BC3D-F66AA4C3784F}"/>
              </a:ext>
            </a:extLst>
          </xdr:cNvPr>
          <xdr:cNvSpPr>
            <a:spLocks noChangeShapeType="1"/>
          </xdr:cNvSpPr>
        </xdr:nvSpPr>
        <xdr:spPr bwMode="auto">
          <a:xfrm flipH="1">
            <a:off x="264" y="666"/>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146050</xdr:colOff>
      <xdr:row>27</xdr:row>
      <xdr:rowOff>114300</xdr:rowOff>
    </xdr:from>
    <xdr:to>
      <xdr:col>8</xdr:col>
      <xdr:colOff>254000</xdr:colOff>
      <xdr:row>27</xdr:row>
      <xdr:rowOff>114300</xdr:rowOff>
    </xdr:to>
    <xdr:sp macro="" textlink="">
      <xdr:nvSpPr>
        <xdr:cNvPr id="10287" name="Line 47">
          <a:extLst>
            <a:ext uri="{FF2B5EF4-FFF2-40B4-BE49-F238E27FC236}">
              <a16:creationId xmlns:a16="http://schemas.microsoft.com/office/drawing/2014/main" id="{F50CC11C-079C-4419-B838-3F494BF334B9}"/>
            </a:ext>
          </a:extLst>
        </xdr:cNvPr>
        <xdr:cNvSpPr>
          <a:spLocks noChangeShapeType="1"/>
        </xdr:cNvSpPr>
      </xdr:nvSpPr>
      <xdr:spPr bwMode="auto">
        <a:xfrm>
          <a:off x="8299450" y="50673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139700</xdr:colOff>
      <xdr:row>24</xdr:row>
      <xdr:rowOff>133350</xdr:rowOff>
    </xdr:from>
    <xdr:to>
      <xdr:col>8</xdr:col>
      <xdr:colOff>247650</xdr:colOff>
      <xdr:row>24</xdr:row>
      <xdr:rowOff>133350</xdr:rowOff>
    </xdr:to>
    <xdr:sp macro="" textlink="">
      <xdr:nvSpPr>
        <xdr:cNvPr id="10288" name="Line 48">
          <a:extLst>
            <a:ext uri="{FF2B5EF4-FFF2-40B4-BE49-F238E27FC236}">
              <a16:creationId xmlns:a16="http://schemas.microsoft.com/office/drawing/2014/main" id="{C1850104-20D0-43A2-9A2D-797122B3E9B4}"/>
            </a:ext>
          </a:extLst>
        </xdr:cNvPr>
        <xdr:cNvSpPr>
          <a:spLocks noChangeShapeType="1"/>
        </xdr:cNvSpPr>
      </xdr:nvSpPr>
      <xdr:spPr bwMode="auto">
        <a:xfrm>
          <a:off x="8293100" y="45720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18</xdr:row>
      <xdr:rowOff>76200</xdr:rowOff>
    </xdr:from>
    <xdr:to>
      <xdr:col>8</xdr:col>
      <xdr:colOff>247650</xdr:colOff>
      <xdr:row>18</xdr:row>
      <xdr:rowOff>76200</xdr:rowOff>
    </xdr:to>
    <xdr:sp macro="" textlink="">
      <xdr:nvSpPr>
        <xdr:cNvPr id="10289" name="Line 49">
          <a:extLst>
            <a:ext uri="{FF2B5EF4-FFF2-40B4-BE49-F238E27FC236}">
              <a16:creationId xmlns:a16="http://schemas.microsoft.com/office/drawing/2014/main" id="{F2F7A132-430A-4196-8D27-1D0BFF07CC1C}"/>
            </a:ext>
          </a:extLst>
        </xdr:cNvPr>
        <xdr:cNvSpPr>
          <a:spLocks noChangeShapeType="1"/>
        </xdr:cNvSpPr>
      </xdr:nvSpPr>
      <xdr:spPr bwMode="auto">
        <a:xfrm>
          <a:off x="8153400" y="34861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12700</xdr:colOff>
      <xdr:row>16</xdr:row>
      <xdr:rowOff>57150</xdr:rowOff>
    </xdr:from>
    <xdr:to>
      <xdr:col>8</xdr:col>
      <xdr:colOff>254000</xdr:colOff>
      <xdr:row>16</xdr:row>
      <xdr:rowOff>57150</xdr:rowOff>
    </xdr:to>
    <xdr:sp macro="" textlink="">
      <xdr:nvSpPr>
        <xdr:cNvPr id="10290" name="Line 50">
          <a:extLst>
            <a:ext uri="{FF2B5EF4-FFF2-40B4-BE49-F238E27FC236}">
              <a16:creationId xmlns:a16="http://schemas.microsoft.com/office/drawing/2014/main" id="{9D002810-ACD5-4811-9E83-80E70B50D6B2}"/>
            </a:ext>
          </a:extLst>
        </xdr:cNvPr>
        <xdr:cNvSpPr>
          <a:spLocks noChangeShapeType="1"/>
        </xdr:cNvSpPr>
      </xdr:nvSpPr>
      <xdr:spPr bwMode="auto">
        <a:xfrm>
          <a:off x="8166100" y="31242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247650</xdr:colOff>
      <xdr:row>14</xdr:row>
      <xdr:rowOff>127000</xdr:rowOff>
    </xdr:from>
    <xdr:to>
      <xdr:col>11</xdr:col>
      <xdr:colOff>114300</xdr:colOff>
      <xdr:row>16</xdr:row>
      <xdr:rowOff>69850</xdr:rowOff>
    </xdr:to>
    <xdr:sp macro="" textlink="">
      <xdr:nvSpPr>
        <xdr:cNvPr id="10291" name="Freeform 51">
          <a:extLst>
            <a:ext uri="{FF2B5EF4-FFF2-40B4-BE49-F238E27FC236}">
              <a16:creationId xmlns:a16="http://schemas.microsoft.com/office/drawing/2014/main" id="{206204A8-1508-4A59-9BF0-8C578300F887}"/>
            </a:ext>
          </a:extLst>
        </xdr:cNvPr>
        <xdr:cNvSpPr>
          <a:spLocks/>
        </xdr:cNvSpPr>
      </xdr:nvSpPr>
      <xdr:spPr bwMode="auto">
        <a:xfrm>
          <a:off x="8401050" y="2857500"/>
          <a:ext cx="2330450" cy="279400"/>
        </a:xfrm>
        <a:custGeom>
          <a:avLst/>
          <a:gdLst>
            <a:gd name="T0" fmla="*/ 0 w 239"/>
            <a:gd name="T1" fmla="*/ 28 h 28"/>
            <a:gd name="T2" fmla="*/ 0 w 239"/>
            <a:gd name="T3" fmla="*/ 0 h 28"/>
            <a:gd name="T4" fmla="*/ 239 w 239"/>
            <a:gd name="T5" fmla="*/ 0 h 28"/>
            <a:gd name="T6" fmla="*/ 239 w 239"/>
            <a:gd name="T7" fmla="*/ 26 h 28"/>
          </a:gdLst>
          <a:ahLst/>
          <a:cxnLst>
            <a:cxn ang="0">
              <a:pos x="T0" y="T1"/>
            </a:cxn>
            <a:cxn ang="0">
              <a:pos x="T2" y="T3"/>
            </a:cxn>
            <a:cxn ang="0">
              <a:pos x="T4" y="T5"/>
            </a:cxn>
            <a:cxn ang="0">
              <a:pos x="T6" y="T7"/>
            </a:cxn>
          </a:cxnLst>
          <a:rect l="0" t="0" r="r" b="b"/>
          <a:pathLst>
            <a:path w="239" h="28">
              <a:moveTo>
                <a:pt x="0" y="28"/>
              </a:moveTo>
              <a:lnTo>
                <a:pt x="0" y="0"/>
              </a:lnTo>
              <a:lnTo>
                <a:pt x="239" y="0"/>
              </a:lnTo>
              <a:lnTo>
                <a:pt x="239" y="26"/>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0</xdr:colOff>
      <xdr:row>20</xdr:row>
      <xdr:rowOff>114300</xdr:rowOff>
    </xdr:from>
    <xdr:to>
      <xdr:col>8</xdr:col>
      <xdr:colOff>247650</xdr:colOff>
      <xdr:row>27</xdr:row>
      <xdr:rowOff>101600</xdr:rowOff>
    </xdr:to>
    <xdr:sp macro="" textlink="">
      <xdr:nvSpPr>
        <xdr:cNvPr id="10292" name="Freeform 52">
          <a:extLst>
            <a:ext uri="{FF2B5EF4-FFF2-40B4-BE49-F238E27FC236}">
              <a16:creationId xmlns:a16="http://schemas.microsoft.com/office/drawing/2014/main" id="{A0C57600-43E4-4362-BDA7-D9694AD8B99F}"/>
            </a:ext>
          </a:extLst>
        </xdr:cNvPr>
        <xdr:cNvSpPr>
          <a:spLocks/>
        </xdr:cNvSpPr>
      </xdr:nvSpPr>
      <xdr:spPr bwMode="auto">
        <a:xfrm>
          <a:off x="8153400" y="3867150"/>
          <a:ext cx="247650" cy="1187450"/>
        </a:xfrm>
        <a:custGeom>
          <a:avLst/>
          <a:gdLst>
            <a:gd name="T0" fmla="*/ 25 w 25"/>
            <a:gd name="T1" fmla="*/ 197 h 197"/>
            <a:gd name="T2" fmla="*/ 25 w 25"/>
            <a:gd name="T3" fmla="*/ 0 h 197"/>
            <a:gd name="T4" fmla="*/ 0 w 25"/>
            <a:gd name="T5" fmla="*/ 0 h 197"/>
          </a:gdLst>
          <a:ahLst/>
          <a:cxnLst>
            <a:cxn ang="0">
              <a:pos x="T0" y="T1"/>
            </a:cxn>
            <a:cxn ang="0">
              <a:pos x="T2" y="T3"/>
            </a:cxn>
            <a:cxn ang="0">
              <a:pos x="T4" y="T5"/>
            </a:cxn>
          </a:cxnLst>
          <a:rect l="0" t="0" r="r" b="b"/>
          <a:pathLst>
            <a:path w="25" h="197">
              <a:moveTo>
                <a:pt x="25" y="197"/>
              </a:moveTo>
              <a:lnTo>
                <a:pt x="25"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12700</xdr:colOff>
      <xdr:row>16</xdr:row>
      <xdr:rowOff>114300</xdr:rowOff>
    </xdr:from>
    <xdr:to>
      <xdr:col>11</xdr:col>
      <xdr:colOff>114300</xdr:colOff>
      <xdr:row>24</xdr:row>
      <xdr:rowOff>76200</xdr:rowOff>
    </xdr:to>
    <xdr:sp macro="" textlink="">
      <xdr:nvSpPr>
        <xdr:cNvPr id="10293" name="Freeform 53">
          <a:extLst>
            <a:ext uri="{FF2B5EF4-FFF2-40B4-BE49-F238E27FC236}">
              <a16:creationId xmlns:a16="http://schemas.microsoft.com/office/drawing/2014/main" id="{0C8F2B9C-3437-4BD0-B815-4777FD3904D8}"/>
            </a:ext>
          </a:extLst>
        </xdr:cNvPr>
        <xdr:cNvSpPr>
          <a:spLocks/>
        </xdr:cNvSpPr>
      </xdr:nvSpPr>
      <xdr:spPr bwMode="auto">
        <a:xfrm>
          <a:off x="10629900" y="3181350"/>
          <a:ext cx="101600" cy="1333500"/>
        </a:xfrm>
        <a:custGeom>
          <a:avLst/>
          <a:gdLst>
            <a:gd name="T0" fmla="*/ 0 w 11"/>
            <a:gd name="T1" fmla="*/ 140 h 140"/>
            <a:gd name="T2" fmla="*/ 11 w 11"/>
            <a:gd name="T3" fmla="*/ 140 h 140"/>
            <a:gd name="T4" fmla="*/ 11 w 11"/>
            <a:gd name="T5" fmla="*/ 0 h 140"/>
            <a:gd name="T6" fmla="*/ 0 w 11"/>
            <a:gd name="T7" fmla="*/ 0 h 140"/>
          </a:gdLst>
          <a:ahLst/>
          <a:cxnLst>
            <a:cxn ang="0">
              <a:pos x="T0" y="T1"/>
            </a:cxn>
            <a:cxn ang="0">
              <a:pos x="T2" y="T3"/>
            </a:cxn>
            <a:cxn ang="0">
              <a:pos x="T4" y="T5"/>
            </a:cxn>
            <a:cxn ang="0">
              <a:pos x="T6" y="T7"/>
            </a:cxn>
          </a:cxnLst>
          <a:rect l="0" t="0" r="r" b="b"/>
          <a:pathLst>
            <a:path w="11" h="140">
              <a:moveTo>
                <a:pt x="0" y="140"/>
              </a:moveTo>
              <a:lnTo>
                <a:pt x="11" y="140"/>
              </a:lnTo>
              <a:lnTo>
                <a:pt x="11"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0</xdr:colOff>
      <xdr:row>22</xdr:row>
      <xdr:rowOff>88900</xdr:rowOff>
    </xdr:from>
    <xdr:to>
      <xdr:col>11</xdr:col>
      <xdr:colOff>114300</xdr:colOff>
      <xdr:row>22</xdr:row>
      <xdr:rowOff>88900</xdr:rowOff>
    </xdr:to>
    <xdr:sp macro="" textlink="">
      <xdr:nvSpPr>
        <xdr:cNvPr id="10294" name="Line 54">
          <a:extLst>
            <a:ext uri="{FF2B5EF4-FFF2-40B4-BE49-F238E27FC236}">
              <a16:creationId xmlns:a16="http://schemas.microsoft.com/office/drawing/2014/main" id="{5C2D6E8B-EB38-40D5-83E7-A2817472344D}"/>
            </a:ext>
          </a:extLst>
        </xdr:cNvPr>
        <xdr:cNvSpPr>
          <a:spLocks noChangeShapeType="1"/>
        </xdr:cNvSpPr>
      </xdr:nvSpPr>
      <xdr:spPr bwMode="auto">
        <a:xfrm>
          <a:off x="10617200" y="41846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20</xdr:row>
      <xdr:rowOff>76200</xdr:rowOff>
    </xdr:from>
    <xdr:to>
      <xdr:col>11</xdr:col>
      <xdr:colOff>114300</xdr:colOff>
      <xdr:row>20</xdr:row>
      <xdr:rowOff>76200</xdr:rowOff>
    </xdr:to>
    <xdr:sp macro="" textlink="">
      <xdr:nvSpPr>
        <xdr:cNvPr id="10295" name="Line 55">
          <a:extLst>
            <a:ext uri="{FF2B5EF4-FFF2-40B4-BE49-F238E27FC236}">
              <a16:creationId xmlns:a16="http://schemas.microsoft.com/office/drawing/2014/main" id="{423241BA-EF29-4889-9B57-E2F035B1C651}"/>
            </a:ext>
          </a:extLst>
        </xdr:cNvPr>
        <xdr:cNvSpPr>
          <a:spLocks noChangeShapeType="1"/>
        </xdr:cNvSpPr>
      </xdr:nvSpPr>
      <xdr:spPr bwMode="auto">
        <a:xfrm>
          <a:off x="10617200" y="38290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18</xdr:row>
      <xdr:rowOff>76200</xdr:rowOff>
    </xdr:from>
    <xdr:to>
      <xdr:col>11</xdr:col>
      <xdr:colOff>114300</xdr:colOff>
      <xdr:row>18</xdr:row>
      <xdr:rowOff>76200</xdr:rowOff>
    </xdr:to>
    <xdr:sp macro="" textlink="">
      <xdr:nvSpPr>
        <xdr:cNvPr id="10296" name="Line 56">
          <a:extLst>
            <a:ext uri="{FF2B5EF4-FFF2-40B4-BE49-F238E27FC236}">
              <a16:creationId xmlns:a16="http://schemas.microsoft.com/office/drawing/2014/main" id="{79FE10E5-085F-4FF6-9D37-F3F15111DCC4}"/>
            </a:ext>
          </a:extLst>
        </xdr:cNvPr>
        <xdr:cNvSpPr>
          <a:spLocks noChangeShapeType="1"/>
        </xdr:cNvSpPr>
      </xdr:nvSpPr>
      <xdr:spPr bwMode="auto">
        <a:xfrm>
          <a:off x="10617200" y="3486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16</xdr:row>
      <xdr:rowOff>38100</xdr:rowOff>
    </xdr:from>
    <xdr:to>
      <xdr:col>11</xdr:col>
      <xdr:colOff>114300</xdr:colOff>
      <xdr:row>16</xdr:row>
      <xdr:rowOff>38100</xdr:rowOff>
    </xdr:to>
    <xdr:sp macro="" textlink="">
      <xdr:nvSpPr>
        <xdr:cNvPr id="10297" name="Line 57">
          <a:extLst>
            <a:ext uri="{FF2B5EF4-FFF2-40B4-BE49-F238E27FC236}">
              <a16:creationId xmlns:a16="http://schemas.microsoft.com/office/drawing/2014/main" id="{AABFF9AE-B36B-44A8-A278-4DBA9B651136}"/>
            </a:ext>
          </a:extLst>
        </xdr:cNvPr>
        <xdr:cNvSpPr>
          <a:spLocks noChangeShapeType="1"/>
        </xdr:cNvSpPr>
      </xdr:nvSpPr>
      <xdr:spPr bwMode="auto">
        <a:xfrm flipH="1">
          <a:off x="10617200" y="3105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18</xdr:row>
      <xdr:rowOff>6350</xdr:rowOff>
    </xdr:from>
    <xdr:to>
      <xdr:col>4</xdr:col>
      <xdr:colOff>381000</xdr:colOff>
      <xdr:row>20</xdr:row>
      <xdr:rowOff>76200</xdr:rowOff>
    </xdr:to>
    <xdr:grpSp>
      <xdr:nvGrpSpPr>
        <xdr:cNvPr id="10298" name="Group 58">
          <a:extLst>
            <a:ext uri="{FF2B5EF4-FFF2-40B4-BE49-F238E27FC236}">
              <a16:creationId xmlns:a16="http://schemas.microsoft.com/office/drawing/2014/main" id="{01066974-0EBB-455B-B305-222B81F92EEB}"/>
            </a:ext>
          </a:extLst>
        </xdr:cNvPr>
        <xdr:cNvGrpSpPr>
          <a:grpSpLocks/>
        </xdr:cNvGrpSpPr>
      </xdr:nvGrpSpPr>
      <xdr:grpSpPr bwMode="auto">
        <a:xfrm>
          <a:off x="2527300" y="3416300"/>
          <a:ext cx="2247900" cy="412750"/>
          <a:chOff x="253" y="472"/>
          <a:chExt cx="227" cy="43"/>
        </a:xfrm>
      </xdr:grpSpPr>
      <xdr:grpSp>
        <xdr:nvGrpSpPr>
          <xdr:cNvPr id="10299" name="Group 59">
            <a:extLst>
              <a:ext uri="{FF2B5EF4-FFF2-40B4-BE49-F238E27FC236}">
                <a16:creationId xmlns:a16="http://schemas.microsoft.com/office/drawing/2014/main" id="{95682EDB-B17C-4842-A76A-A09C4237E2FB}"/>
              </a:ext>
            </a:extLst>
          </xdr:cNvPr>
          <xdr:cNvGrpSpPr>
            <a:grpSpLocks/>
          </xdr:cNvGrpSpPr>
        </xdr:nvGrpSpPr>
        <xdr:grpSpPr bwMode="auto">
          <a:xfrm>
            <a:off x="253" y="478"/>
            <a:ext cx="13" cy="37"/>
            <a:chOff x="268" y="478"/>
            <a:chExt cx="13" cy="37"/>
          </a:xfrm>
        </xdr:grpSpPr>
        <xdr:sp macro="" textlink="">
          <xdr:nvSpPr>
            <xdr:cNvPr id="10300" name="Line 60">
              <a:extLst>
                <a:ext uri="{FF2B5EF4-FFF2-40B4-BE49-F238E27FC236}">
                  <a16:creationId xmlns:a16="http://schemas.microsoft.com/office/drawing/2014/main" id="{BF4B2F5A-E738-48A2-9EE0-70B16CAD35B4}"/>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01" name="Line 61">
              <a:extLst>
                <a:ext uri="{FF2B5EF4-FFF2-40B4-BE49-F238E27FC236}">
                  <a16:creationId xmlns:a16="http://schemas.microsoft.com/office/drawing/2014/main" id="{5B734E08-DC7B-4489-BAB7-2867FD79E8FB}"/>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02" name="Line 62">
              <a:extLst>
                <a:ext uri="{FF2B5EF4-FFF2-40B4-BE49-F238E27FC236}">
                  <a16:creationId xmlns:a16="http://schemas.microsoft.com/office/drawing/2014/main" id="{67FD0490-18B1-4C3F-9DA0-D4F3B6A2187A}"/>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03" name="Line 63">
              <a:extLst>
                <a:ext uri="{FF2B5EF4-FFF2-40B4-BE49-F238E27FC236}">
                  <a16:creationId xmlns:a16="http://schemas.microsoft.com/office/drawing/2014/main" id="{1AE98710-4539-4985-8F69-5AD568ACB016}"/>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0304" name="Group 64">
            <a:extLst>
              <a:ext uri="{FF2B5EF4-FFF2-40B4-BE49-F238E27FC236}">
                <a16:creationId xmlns:a16="http://schemas.microsoft.com/office/drawing/2014/main" id="{00520DBB-0C61-4813-AF17-8E3A406395E0}"/>
              </a:ext>
            </a:extLst>
          </xdr:cNvPr>
          <xdr:cNvGrpSpPr>
            <a:grpSpLocks/>
          </xdr:cNvGrpSpPr>
        </xdr:nvGrpSpPr>
        <xdr:grpSpPr bwMode="auto">
          <a:xfrm>
            <a:off x="265" y="472"/>
            <a:ext cx="215" cy="15"/>
            <a:chOff x="264" y="559"/>
            <a:chExt cx="215" cy="15"/>
          </a:xfrm>
        </xdr:grpSpPr>
        <xdr:sp macro="" textlink="">
          <xdr:nvSpPr>
            <xdr:cNvPr id="10305" name="Line 65">
              <a:extLst>
                <a:ext uri="{FF2B5EF4-FFF2-40B4-BE49-F238E27FC236}">
                  <a16:creationId xmlns:a16="http://schemas.microsoft.com/office/drawing/2014/main" id="{4E2987F9-28CC-4E69-A6FD-49008182256F}"/>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306" name="Line 66">
              <a:extLst>
                <a:ext uri="{FF2B5EF4-FFF2-40B4-BE49-F238E27FC236}">
                  <a16:creationId xmlns:a16="http://schemas.microsoft.com/office/drawing/2014/main" id="{47EA372A-9E16-412F-9286-CC764D4CE2EA}"/>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0</xdr:colOff>
      <xdr:row>13</xdr:row>
      <xdr:rowOff>101600</xdr:rowOff>
    </xdr:from>
    <xdr:to>
      <xdr:col>5</xdr:col>
      <xdr:colOff>241300</xdr:colOff>
      <xdr:row>34</xdr:row>
      <xdr:rowOff>44450</xdr:rowOff>
    </xdr:to>
    <xdr:sp macro="" textlink="">
      <xdr:nvSpPr>
        <xdr:cNvPr id="10307" name="Freeform 67">
          <a:extLst>
            <a:ext uri="{FF2B5EF4-FFF2-40B4-BE49-F238E27FC236}">
              <a16:creationId xmlns:a16="http://schemas.microsoft.com/office/drawing/2014/main" id="{0344BE64-358F-482E-AAFD-B1A2A9656DAC}"/>
            </a:ext>
          </a:extLst>
        </xdr:cNvPr>
        <xdr:cNvSpPr>
          <a:spLocks/>
        </xdr:cNvSpPr>
      </xdr:nvSpPr>
      <xdr:spPr bwMode="auto">
        <a:xfrm>
          <a:off x="5003800" y="2660650"/>
          <a:ext cx="241300" cy="3530600"/>
        </a:xfrm>
        <a:custGeom>
          <a:avLst/>
          <a:gdLst>
            <a:gd name="T0" fmla="*/ 1 w 23"/>
            <a:gd name="T1" fmla="*/ 372 h 372"/>
            <a:gd name="T2" fmla="*/ 23 w 23"/>
            <a:gd name="T3" fmla="*/ 372 h 372"/>
            <a:gd name="T4" fmla="*/ 23 w 23"/>
            <a:gd name="T5" fmla="*/ 0 h 372"/>
            <a:gd name="T6" fmla="*/ 0 w 23"/>
            <a:gd name="T7" fmla="*/ 0 h 372"/>
          </a:gdLst>
          <a:ahLst/>
          <a:cxnLst>
            <a:cxn ang="0">
              <a:pos x="T0" y="T1"/>
            </a:cxn>
            <a:cxn ang="0">
              <a:pos x="T2" y="T3"/>
            </a:cxn>
            <a:cxn ang="0">
              <a:pos x="T4" y="T5"/>
            </a:cxn>
            <a:cxn ang="0">
              <a:pos x="T6" y="T7"/>
            </a:cxn>
          </a:cxnLst>
          <a:rect l="0" t="0" r="r" b="b"/>
          <a:pathLst>
            <a:path w="23" h="372">
              <a:moveTo>
                <a:pt x="1" y="372"/>
              </a:moveTo>
              <a:lnTo>
                <a:pt x="23" y="372"/>
              </a:lnTo>
              <a:lnTo>
                <a:pt x="23"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31</xdr:row>
      <xdr:rowOff>76200</xdr:rowOff>
    </xdr:from>
    <xdr:to>
      <xdr:col>5</xdr:col>
      <xdr:colOff>247650</xdr:colOff>
      <xdr:row>31</xdr:row>
      <xdr:rowOff>76200</xdr:rowOff>
    </xdr:to>
    <xdr:sp macro="" textlink="">
      <xdr:nvSpPr>
        <xdr:cNvPr id="10308" name="Line 68">
          <a:extLst>
            <a:ext uri="{FF2B5EF4-FFF2-40B4-BE49-F238E27FC236}">
              <a16:creationId xmlns:a16="http://schemas.microsoft.com/office/drawing/2014/main" id="{B8236EEA-4F1E-4164-B672-2B21A61337E7}"/>
            </a:ext>
          </a:extLst>
        </xdr:cNvPr>
        <xdr:cNvSpPr>
          <a:spLocks noChangeShapeType="1"/>
        </xdr:cNvSpPr>
      </xdr:nvSpPr>
      <xdr:spPr bwMode="auto">
        <a:xfrm>
          <a:off x="5003800" y="57086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26</xdr:row>
      <xdr:rowOff>88900</xdr:rowOff>
    </xdr:from>
    <xdr:to>
      <xdr:col>5</xdr:col>
      <xdr:colOff>247650</xdr:colOff>
      <xdr:row>26</xdr:row>
      <xdr:rowOff>88900</xdr:rowOff>
    </xdr:to>
    <xdr:sp macro="" textlink="">
      <xdr:nvSpPr>
        <xdr:cNvPr id="10309" name="Line 69">
          <a:extLst>
            <a:ext uri="{FF2B5EF4-FFF2-40B4-BE49-F238E27FC236}">
              <a16:creationId xmlns:a16="http://schemas.microsoft.com/office/drawing/2014/main" id="{79533E7B-E964-4297-949D-675EDB921128}"/>
            </a:ext>
          </a:extLst>
        </xdr:cNvPr>
        <xdr:cNvSpPr>
          <a:spLocks noChangeShapeType="1"/>
        </xdr:cNvSpPr>
      </xdr:nvSpPr>
      <xdr:spPr bwMode="auto">
        <a:xfrm>
          <a:off x="5003800" y="48704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22</xdr:row>
      <xdr:rowOff>76200</xdr:rowOff>
    </xdr:from>
    <xdr:to>
      <xdr:col>5</xdr:col>
      <xdr:colOff>247650</xdr:colOff>
      <xdr:row>22</xdr:row>
      <xdr:rowOff>76200</xdr:rowOff>
    </xdr:to>
    <xdr:sp macro="" textlink="">
      <xdr:nvSpPr>
        <xdr:cNvPr id="10310" name="Line 70">
          <a:extLst>
            <a:ext uri="{FF2B5EF4-FFF2-40B4-BE49-F238E27FC236}">
              <a16:creationId xmlns:a16="http://schemas.microsoft.com/office/drawing/2014/main" id="{2AF5F835-84BA-42E4-99F3-2CBB617B6BCD}"/>
            </a:ext>
          </a:extLst>
        </xdr:cNvPr>
        <xdr:cNvSpPr>
          <a:spLocks noChangeShapeType="1"/>
        </xdr:cNvSpPr>
      </xdr:nvSpPr>
      <xdr:spPr bwMode="auto">
        <a:xfrm>
          <a:off x="5003800" y="41719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17</xdr:row>
      <xdr:rowOff>88900</xdr:rowOff>
    </xdr:from>
    <xdr:to>
      <xdr:col>5</xdr:col>
      <xdr:colOff>222250</xdr:colOff>
      <xdr:row>17</xdr:row>
      <xdr:rowOff>88900</xdr:rowOff>
    </xdr:to>
    <xdr:sp macro="" textlink="">
      <xdr:nvSpPr>
        <xdr:cNvPr id="10311" name="Line 71">
          <a:extLst>
            <a:ext uri="{FF2B5EF4-FFF2-40B4-BE49-F238E27FC236}">
              <a16:creationId xmlns:a16="http://schemas.microsoft.com/office/drawing/2014/main" id="{23F62AA4-9E95-42E5-9D7C-6BD75AA995BA}"/>
            </a:ext>
          </a:extLst>
        </xdr:cNvPr>
        <xdr:cNvSpPr>
          <a:spLocks noChangeShapeType="1"/>
        </xdr:cNvSpPr>
      </xdr:nvSpPr>
      <xdr:spPr bwMode="auto">
        <a:xfrm>
          <a:off x="5003800" y="33274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xdr:row>
      <xdr:rowOff>88900</xdr:rowOff>
    </xdr:from>
    <xdr:to>
      <xdr:col>5</xdr:col>
      <xdr:colOff>241300</xdr:colOff>
      <xdr:row>15</xdr:row>
      <xdr:rowOff>88900</xdr:rowOff>
    </xdr:to>
    <xdr:sp macro="" textlink="">
      <xdr:nvSpPr>
        <xdr:cNvPr id="10312" name="Line 72">
          <a:extLst>
            <a:ext uri="{FF2B5EF4-FFF2-40B4-BE49-F238E27FC236}">
              <a16:creationId xmlns:a16="http://schemas.microsoft.com/office/drawing/2014/main" id="{FBFA536A-B86E-43CD-AAFF-3AF7483600A8}"/>
            </a:ext>
          </a:extLst>
        </xdr:cNvPr>
        <xdr:cNvSpPr>
          <a:spLocks noChangeShapeType="1"/>
        </xdr:cNvSpPr>
      </xdr:nvSpPr>
      <xdr:spPr bwMode="auto">
        <a:xfrm>
          <a:off x="5003800" y="29845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16</xdr:row>
      <xdr:rowOff>114300</xdr:rowOff>
    </xdr:from>
    <xdr:to>
      <xdr:col>8</xdr:col>
      <xdr:colOff>241300</xdr:colOff>
      <xdr:row>20</xdr:row>
      <xdr:rowOff>57150</xdr:rowOff>
    </xdr:to>
    <xdr:sp macro="" textlink="">
      <xdr:nvSpPr>
        <xdr:cNvPr id="10313" name="Freeform 73">
          <a:extLst>
            <a:ext uri="{FF2B5EF4-FFF2-40B4-BE49-F238E27FC236}">
              <a16:creationId xmlns:a16="http://schemas.microsoft.com/office/drawing/2014/main" id="{66001B66-E3C7-4927-910F-4B41A9E1B6A9}"/>
            </a:ext>
          </a:extLst>
        </xdr:cNvPr>
        <xdr:cNvSpPr>
          <a:spLocks/>
        </xdr:cNvSpPr>
      </xdr:nvSpPr>
      <xdr:spPr bwMode="auto">
        <a:xfrm>
          <a:off x="8153400" y="3181350"/>
          <a:ext cx="241300" cy="628650"/>
        </a:xfrm>
        <a:custGeom>
          <a:avLst/>
          <a:gdLst>
            <a:gd name="T0" fmla="*/ 0 w 24"/>
            <a:gd name="T1" fmla="*/ 66 h 66"/>
            <a:gd name="T2" fmla="*/ 24 w 24"/>
            <a:gd name="T3" fmla="*/ 66 h 66"/>
            <a:gd name="T4" fmla="*/ 24 w 24"/>
            <a:gd name="T5" fmla="*/ 0 h 66"/>
            <a:gd name="T6" fmla="*/ 0 w 24"/>
            <a:gd name="T7" fmla="*/ 0 h 66"/>
          </a:gdLst>
          <a:ahLst/>
          <a:cxnLst>
            <a:cxn ang="0">
              <a:pos x="T0" y="T1"/>
            </a:cxn>
            <a:cxn ang="0">
              <a:pos x="T2" y="T3"/>
            </a:cxn>
            <a:cxn ang="0">
              <a:pos x="T4" y="T5"/>
            </a:cxn>
            <a:cxn ang="0">
              <a:pos x="T6" y="T7"/>
            </a:cxn>
          </a:cxnLst>
          <a:rect l="0" t="0" r="r" b="b"/>
          <a:pathLst>
            <a:path w="24" h="66">
              <a:moveTo>
                <a:pt x="0" y="66"/>
              </a:moveTo>
              <a:lnTo>
                <a:pt x="24" y="66"/>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304800</xdr:colOff>
      <xdr:row>6</xdr:row>
      <xdr:rowOff>82550</xdr:rowOff>
    </xdr:from>
    <xdr:to>
      <xdr:col>7</xdr:col>
      <xdr:colOff>419100</xdr:colOff>
      <xdr:row>7</xdr:row>
      <xdr:rowOff>152400</xdr:rowOff>
    </xdr:to>
    <xdr:sp macro="" textlink="">
      <xdr:nvSpPr>
        <xdr:cNvPr id="10314" name="Freeform 74">
          <a:extLst>
            <a:ext uri="{FF2B5EF4-FFF2-40B4-BE49-F238E27FC236}">
              <a16:creationId xmlns:a16="http://schemas.microsoft.com/office/drawing/2014/main" id="{E6A65427-1AF7-4635-99EE-75178FAB4B82}"/>
            </a:ext>
          </a:extLst>
        </xdr:cNvPr>
        <xdr:cNvSpPr>
          <a:spLocks/>
        </xdr:cNvSpPr>
      </xdr:nvSpPr>
      <xdr:spPr bwMode="auto">
        <a:xfrm>
          <a:off x="4699000" y="1454150"/>
          <a:ext cx="3124200" cy="234950"/>
        </a:xfrm>
        <a:custGeom>
          <a:avLst/>
          <a:gdLst>
            <a:gd name="T0" fmla="*/ 0 w 314"/>
            <a:gd name="T1" fmla="*/ 25 h 25"/>
            <a:gd name="T2" fmla="*/ 0 w 314"/>
            <a:gd name="T3" fmla="*/ 0 h 25"/>
            <a:gd name="T4" fmla="*/ 314 w 314"/>
            <a:gd name="T5" fmla="*/ 0 h 25"/>
            <a:gd name="T6" fmla="*/ 314 w 314"/>
            <a:gd name="T7" fmla="*/ 7 h 25"/>
          </a:gdLst>
          <a:ahLst/>
          <a:cxnLst>
            <a:cxn ang="0">
              <a:pos x="T0" y="T1"/>
            </a:cxn>
            <a:cxn ang="0">
              <a:pos x="T2" y="T3"/>
            </a:cxn>
            <a:cxn ang="0">
              <a:pos x="T4" y="T5"/>
            </a:cxn>
            <a:cxn ang="0">
              <a:pos x="T6" y="T7"/>
            </a:cxn>
          </a:cxnLst>
          <a:rect l="0" t="0" r="r" b="b"/>
          <a:pathLst>
            <a:path w="314" h="25">
              <a:moveTo>
                <a:pt x="0" y="25"/>
              </a:moveTo>
              <a:lnTo>
                <a:pt x="0" y="0"/>
              </a:lnTo>
              <a:lnTo>
                <a:pt x="314" y="0"/>
              </a:lnTo>
              <a:lnTo>
                <a:pt x="314" y="7"/>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6</xdr:row>
      <xdr:rowOff>0</xdr:rowOff>
    </xdr:from>
    <xdr:to>
      <xdr:col>6</xdr:col>
      <xdr:colOff>812800</xdr:colOff>
      <xdr:row>6</xdr:row>
      <xdr:rowOff>76200</xdr:rowOff>
    </xdr:to>
    <xdr:sp macro="" textlink="">
      <xdr:nvSpPr>
        <xdr:cNvPr id="10315" name="Line 75">
          <a:extLst>
            <a:ext uri="{FF2B5EF4-FFF2-40B4-BE49-F238E27FC236}">
              <a16:creationId xmlns:a16="http://schemas.microsoft.com/office/drawing/2014/main" id="{CAC6F9DB-C1BB-44CB-88E9-7033D85D28F0}"/>
            </a:ext>
          </a:extLst>
        </xdr:cNvPr>
        <xdr:cNvSpPr>
          <a:spLocks noChangeShapeType="1"/>
        </xdr:cNvSpPr>
      </xdr:nvSpPr>
      <xdr:spPr bwMode="auto">
        <a:xfrm>
          <a:off x="6597650" y="1371600"/>
          <a:ext cx="0" cy="762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800100</xdr:colOff>
      <xdr:row>3</xdr:row>
      <xdr:rowOff>0</xdr:rowOff>
    </xdr:from>
    <xdr:to>
      <xdr:col>6</xdr:col>
      <xdr:colOff>812800</xdr:colOff>
      <xdr:row>4</xdr:row>
      <xdr:rowOff>44450</xdr:rowOff>
    </xdr:to>
    <xdr:sp macro="" textlink="">
      <xdr:nvSpPr>
        <xdr:cNvPr id="10316" name="Line 76">
          <a:extLst>
            <a:ext uri="{FF2B5EF4-FFF2-40B4-BE49-F238E27FC236}">
              <a16:creationId xmlns:a16="http://schemas.microsoft.com/office/drawing/2014/main" id="{E6B3BE51-3643-441E-B8C7-2AEED103C3B0}"/>
            </a:ext>
          </a:extLst>
        </xdr:cNvPr>
        <xdr:cNvSpPr>
          <a:spLocks noChangeShapeType="1"/>
        </xdr:cNvSpPr>
      </xdr:nvSpPr>
      <xdr:spPr bwMode="auto">
        <a:xfrm flipH="1" flipV="1">
          <a:off x="6584950" y="806450"/>
          <a:ext cx="12700" cy="2349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8</xdr:row>
      <xdr:rowOff>88900</xdr:rowOff>
    </xdr:from>
    <xdr:to>
      <xdr:col>11</xdr:col>
      <xdr:colOff>152400</xdr:colOff>
      <xdr:row>12</xdr:row>
      <xdr:rowOff>101600</xdr:rowOff>
    </xdr:to>
    <xdr:grpSp>
      <xdr:nvGrpSpPr>
        <xdr:cNvPr id="10317" name="Group 77">
          <a:extLst>
            <a:ext uri="{FF2B5EF4-FFF2-40B4-BE49-F238E27FC236}">
              <a16:creationId xmlns:a16="http://schemas.microsoft.com/office/drawing/2014/main" id="{779414DA-258A-41F8-897F-CDAB39245633}"/>
            </a:ext>
          </a:extLst>
        </xdr:cNvPr>
        <xdr:cNvGrpSpPr>
          <a:grpSpLocks/>
        </xdr:cNvGrpSpPr>
      </xdr:nvGrpSpPr>
      <xdr:grpSpPr bwMode="auto">
        <a:xfrm>
          <a:off x="8153400" y="1797050"/>
          <a:ext cx="2616200" cy="692150"/>
          <a:chOff x="819" y="201"/>
          <a:chExt cx="266" cy="74"/>
        </a:xfrm>
      </xdr:grpSpPr>
      <xdr:sp macro="" textlink="">
        <xdr:nvSpPr>
          <xdr:cNvPr id="10318" name="Freeform 78">
            <a:extLst>
              <a:ext uri="{FF2B5EF4-FFF2-40B4-BE49-F238E27FC236}">
                <a16:creationId xmlns:a16="http://schemas.microsoft.com/office/drawing/2014/main" id="{524015C4-4163-4622-A1C9-202CC2715625}"/>
              </a:ext>
            </a:extLst>
          </xdr:cNvPr>
          <xdr:cNvSpPr>
            <a:spLocks/>
          </xdr:cNvSpPr>
        </xdr:nvSpPr>
        <xdr:spPr bwMode="auto">
          <a:xfrm>
            <a:off x="819" y="201"/>
            <a:ext cx="266" cy="74"/>
          </a:xfrm>
          <a:custGeom>
            <a:avLst/>
            <a:gdLst>
              <a:gd name="T0" fmla="*/ 0 w 207"/>
              <a:gd name="T1" fmla="*/ 126 h 126"/>
              <a:gd name="T2" fmla="*/ 207 w 207"/>
              <a:gd name="T3" fmla="*/ 126 h 126"/>
              <a:gd name="T4" fmla="*/ 207 w 207"/>
              <a:gd name="T5" fmla="*/ 0 h 126"/>
              <a:gd name="T6" fmla="*/ 195 w 207"/>
              <a:gd name="T7" fmla="*/ 0 h 126"/>
            </a:gdLst>
            <a:ahLst/>
            <a:cxnLst>
              <a:cxn ang="0">
                <a:pos x="T0" y="T1"/>
              </a:cxn>
              <a:cxn ang="0">
                <a:pos x="T2" y="T3"/>
              </a:cxn>
              <a:cxn ang="0">
                <a:pos x="T4" y="T5"/>
              </a:cxn>
              <a:cxn ang="0">
                <a:pos x="T6" y="T7"/>
              </a:cxn>
            </a:cxnLst>
            <a:rect l="0" t="0" r="r" b="b"/>
            <a:pathLst>
              <a:path w="207" h="126">
                <a:moveTo>
                  <a:pt x="0" y="126"/>
                </a:moveTo>
                <a:lnTo>
                  <a:pt x="207" y="126"/>
                </a:lnTo>
                <a:lnTo>
                  <a:pt x="207" y="0"/>
                </a:lnTo>
                <a:lnTo>
                  <a:pt x="195"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10319" name="Line 79">
            <a:extLst>
              <a:ext uri="{FF2B5EF4-FFF2-40B4-BE49-F238E27FC236}">
                <a16:creationId xmlns:a16="http://schemas.microsoft.com/office/drawing/2014/main" id="{80B250C2-F89C-44A2-9C54-8C6E1D220858}"/>
              </a:ext>
            </a:extLst>
          </xdr:cNvPr>
          <xdr:cNvSpPr>
            <a:spLocks noChangeShapeType="1"/>
          </xdr:cNvSpPr>
        </xdr:nvSpPr>
        <xdr:spPr bwMode="auto">
          <a:xfrm>
            <a:off x="1069" y="239"/>
            <a:ext cx="16"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590550</xdr:colOff>
      <xdr:row>8</xdr:row>
      <xdr:rowOff>76200</xdr:rowOff>
    </xdr:from>
    <xdr:to>
      <xdr:col>5</xdr:col>
      <xdr:colOff>241300</xdr:colOff>
      <xdr:row>13</xdr:row>
      <xdr:rowOff>44450</xdr:rowOff>
    </xdr:to>
    <xdr:sp macro="" textlink="">
      <xdr:nvSpPr>
        <xdr:cNvPr id="10320" name="Freeform 80">
          <a:extLst>
            <a:ext uri="{FF2B5EF4-FFF2-40B4-BE49-F238E27FC236}">
              <a16:creationId xmlns:a16="http://schemas.microsoft.com/office/drawing/2014/main" id="{71D14684-584F-4564-AF27-2B877E2EE659}"/>
            </a:ext>
          </a:extLst>
        </xdr:cNvPr>
        <xdr:cNvSpPr>
          <a:spLocks/>
        </xdr:cNvSpPr>
      </xdr:nvSpPr>
      <xdr:spPr bwMode="auto">
        <a:xfrm>
          <a:off x="4984750" y="1784350"/>
          <a:ext cx="260350" cy="819150"/>
        </a:xfrm>
        <a:custGeom>
          <a:avLst/>
          <a:gdLst>
            <a:gd name="T0" fmla="*/ 2 w 24"/>
            <a:gd name="T1" fmla="*/ 88 h 88"/>
            <a:gd name="T2" fmla="*/ 24 w 24"/>
            <a:gd name="T3" fmla="*/ 88 h 88"/>
            <a:gd name="T4" fmla="*/ 24 w 24"/>
            <a:gd name="T5" fmla="*/ 0 h 88"/>
            <a:gd name="T6" fmla="*/ 0 w 24"/>
            <a:gd name="T7" fmla="*/ 0 h 88"/>
          </a:gdLst>
          <a:ahLst/>
          <a:cxnLst>
            <a:cxn ang="0">
              <a:pos x="T0" y="T1"/>
            </a:cxn>
            <a:cxn ang="0">
              <a:pos x="T2" y="T3"/>
            </a:cxn>
            <a:cxn ang="0">
              <a:pos x="T4" y="T5"/>
            </a:cxn>
            <a:cxn ang="0">
              <a:pos x="T6" y="T7"/>
            </a:cxn>
          </a:cxnLst>
          <a:rect l="0" t="0" r="r" b="b"/>
          <a:pathLst>
            <a:path w="24" h="88">
              <a:moveTo>
                <a:pt x="2" y="88"/>
              </a:moveTo>
              <a:lnTo>
                <a:pt x="24" y="88"/>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10</xdr:row>
      <xdr:rowOff>88900</xdr:rowOff>
    </xdr:from>
    <xdr:to>
      <xdr:col>5</xdr:col>
      <xdr:colOff>222250</xdr:colOff>
      <xdr:row>10</xdr:row>
      <xdr:rowOff>88900</xdr:rowOff>
    </xdr:to>
    <xdr:sp macro="" textlink="">
      <xdr:nvSpPr>
        <xdr:cNvPr id="10321" name="Line 81">
          <a:extLst>
            <a:ext uri="{FF2B5EF4-FFF2-40B4-BE49-F238E27FC236}">
              <a16:creationId xmlns:a16="http://schemas.microsoft.com/office/drawing/2014/main" id="{20F13E14-E9FD-4081-A97C-F867CFFB3EDF}"/>
            </a:ext>
          </a:extLst>
        </xdr:cNvPr>
        <xdr:cNvSpPr>
          <a:spLocks noChangeShapeType="1"/>
        </xdr:cNvSpPr>
      </xdr:nvSpPr>
      <xdr:spPr bwMode="auto">
        <a:xfrm>
          <a:off x="5003800" y="21336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13</xdr:row>
      <xdr:rowOff>69850</xdr:rowOff>
    </xdr:from>
    <xdr:to>
      <xdr:col>8</xdr:col>
      <xdr:colOff>247650</xdr:colOff>
      <xdr:row>14</xdr:row>
      <xdr:rowOff>127000</xdr:rowOff>
    </xdr:to>
    <xdr:sp macro="" textlink="">
      <xdr:nvSpPr>
        <xdr:cNvPr id="10322" name="Freeform 82">
          <a:extLst>
            <a:ext uri="{FF2B5EF4-FFF2-40B4-BE49-F238E27FC236}">
              <a16:creationId xmlns:a16="http://schemas.microsoft.com/office/drawing/2014/main" id="{FC1EC028-9823-4407-AD9B-1316003939BB}"/>
            </a:ext>
          </a:extLst>
        </xdr:cNvPr>
        <xdr:cNvSpPr>
          <a:spLocks/>
        </xdr:cNvSpPr>
      </xdr:nvSpPr>
      <xdr:spPr bwMode="auto">
        <a:xfrm>
          <a:off x="8153400" y="2628900"/>
          <a:ext cx="247650" cy="228600"/>
        </a:xfrm>
        <a:custGeom>
          <a:avLst/>
          <a:gdLst>
            <a:gd name="T0" fmla="*/ 24 w 24"/>
            <a:gd name="T1" fmla="*/ 23 h 23"/>
            <a:gd name="T2" fmla="*/ 24 w 24"/>
            <a:gd name="T3" fmla="*/ 0 h 23"/>
            <a:gd name="T4" fmla="*/ 0 w 24"/>
            <a:gd name="T5" fmla="*/ 0 h 23"/>
          </a:gdLst>
          <a:ahLst/>
          <a:cxnLst>
            <a:cxn ang="0">
              <a:pos x="T0" y="T1"/>
            </a:cxn>
            <a:cxn ang="0">
              <a:pos x="T2" y="T3"/>
            </a:cxn>
            <a:cxn ang="0">
              <a:pos x="T4" y="T5"/>
            </a:cxn>
          </a:cxnLst>
          <a:rect l="0" t="0" r="r" b="b"/>
          <a:pathLst>
            <a:path w="24" h="23">
              <a:moveTo>
                <a:pt x="24" y="23"/>
              </a:move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4</xdr:row>
      <xdr:rowOff>44450</xdr:rowOff>
    </xdr:from>
    <xdr:to>
      <xdr:col>10</xdr:col>
      <xdr:colOff>317500</xdr:colOff>
      <xdr:row>7</xdr:row>
      <xdr:rowOff>152400</xdr:rowOff>
    </xdr:to>
    <xdr:sp macro="" textlink="">
      <xdr:nvSpPr>
        <xdr:cNvPr id="10323" name="Freeform 83">
          <a:extLst>
            <a:ext uri="{FF2B5EF4-FFF2-40B4-BE49-F238E27FC236}">
              <a16:creationId xmlns:a16="http://schemas.microsoft.com/office/drawing/2014/main" id="{073C9FF7-82E1-4294-AF7D-7181941D08A3}"/>
            </a:ext>
          </a:extLst>
        </xdr:cNvPr>
        <xdr:cNvSpPr>
          <a:spLocks/>
        </xdr:cNvSpPr>
      </xdr:nvSpPr>
      <xdr:spPr bwMode="auto">
        <a:xfrm>
          <a:off x="6597650" y="1041400"/>
          <a:ext cx="3727450" cy="647700"/>
        </a:xfrm>
        <a:custGeom>
          <a:avLst/>
          <a:gdLst>
            <a:gd name="T0" fmla="*/ 375 w 375"/>
            <a:gd name="T1" fmla="*/ 69 h 69"/>
            <a:gd name="T2" fmla="*/ 375 w 375"/>
            <a:gd name="T3" fmla="*/ 0 h 69"/>
            <a:gd name="T4" fmla="*/ 0 w 375"/>
            <a:gd name="T5" fmla="*/ 0 h 69"/>
            <a:gd name="T6" fmla="*/ 0 w 375"/>
            <a:gd name="T7" fmla="*/ 13 h 69"/>
          </a:gdLst>
          <a:ahLst/>
          <a:cxnLst>
            <a:cxn ang="0">
              <a:pos x="T0" y="T1"/>
            </a:cxn>
            <a:cxn ang="0">
              <a:pos x="T2" y="T3"/>
            </a:cxn>
            <a:cxn ang="0">
              <a:pos x="T4" y="T5"/>
            </a:cxn>
            <a:cxn ang="0">
              <a:pos x="T6" y="T7"/>
            </a:cxn>
          </a:cxnLst>
          <a:rect l="0" t="0" r="r" b="b"/>
          <a:pathLst>
            <a:path w="375" h="69">
              <a:moveTo>
                <a:pt x="375" y="69"/>
              </a:moveTo>
              <a:lnTo>
                <a:pt x="375" y="0"/>
              </a:lnTo>
              <a:lnTo>
                <a:pt x="0" y="0"/>
              </a:lnTo>
              <a:lnTo>
                <a:pt x="0" y="13"/>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438150</xdr:colOff>
      <xdr:row>8</xdr:row>
      <xdr:rowOff>0</xdr:rowOff>
    </xdr:from>
    <xdr:to>
      <xdr:col>7</xdr:col>
      <xdr:colOff>438150</xdr:colOff>
      <xdr:row>12</xdr:row>
      <xdr:rowOff>0</xdr:rowOff>
    </xdr:to>
    <xdr:sp macro="" textlink="">
      <xdr:nvSpPr>
        <xdr:cNvPr id="11265" name="Line 1">
          <a:extLst>
            <a:ext uri="{FF2B5EF4-FFF2-40B4-BE49-F238E27FC236}">
              <a16:creationId xmlns:a16="http://schemas.microsoft.com/office/drawing/2014/main" id="{D2B475DC-33CF-48F1-B5AC-6C0C23F7A52C}"/>
            </a:ext>
          </a:extLst>
        </xdr:cNvPr>
        <xdr:cNvSpPr>
          <a:spLocks noChangeShapeType="1"/>
        </xdr:cNvSpPr>
      </xdr:nvSpPr>
      <xdr:spPr bwMode="auto">
        <a:xfrm>
          <a:off x="7842250" y="1708150"/>
          <a:ext cx="0" cy="6794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9</xdr:row>
      <xdr:rowOff>101600</xdr:rowOff>
    </xdr:from>
    <xdr:to>
      <xdr:col>7</xdr:col>
      <xdr:colOff>438150</xdr:colOff>
      <xdr:row>42</xdr:row>
      <xdr:rowOff>88900</xdr:rowOff>
    </xdr:to>
    <xdr:sp macro="" textlink="">
      <xdr:nvSpPr>
        <xdr:cNvPr id="11266" name="Freeform 2">
          <a:extLst>
            <a:ext uri="{FF2B5EF4-FFF2-40B4-BE49-F238E27FC236}">
              <a16:creationId xmlns:a16="http://schemas.microsoft.com/office/drawing/2014/main" id="{23289822-1957-40E4-9736-9411D650A185}"/>
            </a:ext>
          </a:extLst>
        </xdr:cNvPr>
        <xdr:cNvSpPr>
          <a:spLocks/>
        </xdr:cNvSpPr>
      </xdr:nvSpPr>
      <xdr:spPr bwMode="auto">
        <a:xfrm>
          <a:off x="5003800" y="1981200"/>
          <a:ext cx="2838450" cy="5619750"/>
        </a:xfrm>
        <a:custGeom>
          <a:avLst/>
          <a:gdLst>
            <a:gd name="T0" fmla="*/ 0 w 377"/>
            <a:gd name="T1" fmla="*/ 198 h 198"/>
            <a:gd name="T2" fmla="*/ 73 w 377"/>
            <a:gd name="T3" fmla="*/ 198 h 198"/>
            <a:gd name="T4" fmla="*/ 73 w 377"/>
            <a:gd name="T5" fmla="*/ 0 h 198"/>
            <a:gd name="T6" fmla="*/ 377 w 377"/>
            <a:gd name="T7" fmla="*/ 0 h 198"/>
            <a:gd name="T8" fmla="*/ 377 w 377"/>
            <a:gd name="T9" fmla="*/ 9 h 198"/>
          </a:gdLst>
          <a:ahLst/>
          <a:cxnLst>
            <a:cxn ang="0">
              <a:pos x="T0" y="T1"/>
            </a:cxn>
            <a:cxn ang="0">
              <a:pos x="T2" y="T3"/>
            </a:cxn>
            <a:cxn ang="0">
              <a:pos x="T4" y="T5"/>
            </a:cxn>
            <a:cxn ang="0">
              <a:pos x="T6" y="T7"/>
            </a:cxn>
            <a:cxn ang="0">
              <a:pos x="T8" y="T9"/>
            </a:cxn>
          </a:cxnLst>
          <a:rect l="0" t="0" r="r" b="b"/>
          <a:pathLst>
            <a:path w="377" h="198">
              <a:moveTo>
                <a:pt x="0" y="198"/>
              </a:moveTo>
              <a:lnTo>
                <a:pt x="73" y="198"/>
              </a:lnTo>
              <a:lnTo>
                <a:pt x="73" y="0"/>
              </a:lnTo>
              <a:lnTo>
                <a:pt x="377" y="0"/>
              </a:lnTo>
              <a:lnTo>
                <a:pt x="377" y="9"/>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342900</xdr:colOff>
      <xdr:row>32</xdr:row>
      <xdr:rowOff>0</xdr:rowOff>
    </xdr:from>
    <xdr:to>
      <xdr:col>4</xdr:col>
      <xdr:colOff>342900</xdr:colOff>
      <xdr:row>32</xdr:row>
      <xdr:rowOff>0</xdr:rowOff>
    </xdr:to>
    <xdr:sp macro="" textlink="">
      <xdr:nvSpPr>
        <xdr:cNvPr id="11267" name="Line 3">
          <a:extLst>
            <a:ext uri="{FF2B5EF4-FFF2-40B4-BE49-F238E27FC236}">
              <a16:creationId xmlns:a16="http://schemas.microsoft.com/office/drawing/2014/main" id="{21613B3A-6E32-4220-857C-FE1E17BF2537}"/>
            </a:ext>
          </a:extLst>
        </xdr:cNvPr>
        <xdr:cNvSpPr>
          <a:spLocks noChangeShapeType="1"/>
        </xdr:cNvSpPr>
      </xdr:nvSpPr>
      <xdr:spPr bwMode="auto">
        <a:xfrm>
          <a:off x="4737100" y="58039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107950</xdr:colOff>
      <xdr:row>32</xdr:row>
      <xdr:rowOff>0</xdr:rowOff>
    </xdr:from>
    <xdr:to>
      <xdr:col>4</xdr:col>
      <xdr:colOff>342900</xdr:colOff>
      <xdr:row>32</xdr:row>
      <xdr:rowOff>127000</xdr:rowOff>
    </xdr:to>
    <xdr:grpSp>
      <xdr:nvGrpSpPr>
        <xdr:cNvPr id="11268" name="Group 4">
          <a:extLst>
            <a:ext uri="{FF2B5EF4-FFF2-40B4-BE49-F238E27FC236}">
              <a16:creationId xmlns:a16="http://schemas.microsoft.com/office/drawing/2014/main" id="{0541F34F-1D2F-46DE-96FF-723EBFBE9DF5}"/>
            </a:ext>
          </a:extLst>
        </xdr:cNvPr>
        <xdr:cNvGrpSpPr>
          <a:grpSpLocks/>
        </xdr:cNvGrpSpPr>
      </xdr:nvGrpSpPr>
      <xdr:grpSpPr bwMode="auto">
        <a:xfrm>
          <a:off x="2635250" y="5803900"/>
          <a:ext cx="2101850" cy="127000"/>
          <a:chOff x="264" y="559"/>
          <a:chExt cx="215" cy="15"/>
        </a:xfrm>
      </xdr:grpSpPr>
      <xdr:sp macro="" textlink="">
        <xdr:nvSpPr>
          <xdr:cNvPr id="11269" name="Line 5">
            <a:extLst>
              <a:ext uri="{FF2B5EF4-FFF2-40B4-BE49-F238E27FC236}">
                <a16:creationId xmlns:a16="http://schemas.microsoft.com/office/drawing/2014/main" id="{96BB1A62-6C46-4783-AC88-1906F6A03DF7}"/>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70" name="Line 6">
            <a:extLst>
              <a:ext uri="{FF2B5EF4-FFF2-40B4-BE49-F238E27FC236}">
                <a16:creationId xmlns:a16="http://schemas.microsoft.com/office/drawing/2014/main" id="{322D3494-8EC3-4510-A889-5A327926DD64}"/>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39</xdr:row>
      <xdr:rowOff>101600</xdr:rowOff>
    </xdr:from>
    <xdr:to>
      <xdr:col>3</xdr:col>
      <xdr:colOff>0</xdr:colOff>
      <xdr:row>39</xdr:row>
      <xdr:rowOff>101600</xdr:rowOff>
    </xdr:to>
    <xdr:sp macro="" textlink="">
      <xdr:nvSpPr>
        <xdr:cNvPr id="11271" name="Line 7">
          <a:extLst>
            <a:ext uri="{FF2B5EF4-FFF2-40B4-BE49-F238E27FC236}">
              <a16:creationId xmlns:a16="http://schemas.microsoft.com/office/drawing/2014/main" id="{BF76CAB1-D12E-4770-BBB3-1C3D087CC82C}"/>
            </a:ext>
          </a:extLst>
        </xdr:cNvPr>
        <xdr:cNvSpPr>
          <a:spLocks noChangeShapeType="1"/>
        </xdr:cNvSpPr>
      </xdr:nvSpPr>
      <xdr:spPr bwMode="auto">
        <a:xfrm>
          <a:off x="2527300" y="70993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508000</xdr:colOff>
      <xdr:row>32</xdr:row>
      <xdr:rowOff>69850</xdr:rowOff>
    </xdr:from>
    <xdr:to>
      <xdr:col>3</xdr:col>
      <xdr:colOff>120650</xdr:colOff>
      <xdr:row>36</xdr:row>
      <xdr:rowOff>88900</xdr:rowOff>
    </xdr:to>
    <xdr:grpSp>
      <xdr:nvGrpSpPr>
        <xdr:cNvPr id="11272" name="Group 8">
          <a:extLst>
            <a:ext uri="{FF2B5EF4-FFF2-40B4-BE49-F238E27FC236}">
              <a16:creationId xmlns:a16="http://schemas.microsoft.com/office/drawing/2014/main" id="{321198EB-B7A6-4265-99D0-267FB33B66D6}"/>
            </a:ext>
          </a:extLst>
        </xdr:cNvPr>
        <xdr:cNvGrpSpPr>
          <a:grpSpLocks/>
        </xdr:cNvGrpSpPr>
      </xdr:nvGrpSpPr>
      <xdr:grpSpPr bwMode="auto">
        <a:xfrm>
          <a:off x="2514600" y="5873750"/>
          <a:ext cx="133350" cy="704850"/>
          <a:chOff x="252" y="568"/>
          <a:chExt cx="13" cy="56"/>
        </a:xfrm>
      </xdr:grpSpPr>
      <xdr:sp macro="" textlink="">
        <xdr:nvSpPr>
          <xdr:cNvPr id="11273" name="Line 9">
            <a:extLst>
              <a:ext uri="{FF2B5EF4-FFF2-40B4-BE49-F238E27FC236}">
                <a16:creationId xmlns:a16="http://schemas.microsoft.com/office/drawing/2014/main" id="{6CE851B7-EA79-47D8-8E25-A24D916371A8}"/>
              </a:ext>
            </a:extLst>
          </xdr:cNvPr>
          <xdr:cNvSpPr>
            <a:spLocks noChangeShapeType="1"/>
          </xdr:cNvSpPr>
        </xdr:nvSpPr>
        <xdr:spPr bwMode="auto">
          <a:xfrm flipV="1">
            <a:off x="253" y="56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74" name="Line 10">
            <a:extLst>
              <a:ext uri="{FF2B5EF4-FFF2-40B4-BE49-F238E27FC236}">
                <a16:creationId xmlns:a16="http://schemas.microsoft.com/office/drawing/2014/main" id="{8045EC4B-8560-44CD-BC36-2FAC548C5CC9}"/>
              </a:ext>
            </a:extLst>
          </xdr:cNvPr>
          <xdr:cNvSpPr>
            <a:spLocks noChangeShapeType="1"/>
          </xdr:cNvSpPr>
        </xdr:nvSpPr>
        <xdr:spPr bwMode="auto">
          <a:xfrm flipV="1">
            <a:off x="253" y="58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75" name="Line 11">
            <a:extLst>
              <a:ext uri="{FF2B5EF4-FFF2-40B4-BE49-F238E27FC236}">
                <a16:creationId xmlns:a16="http://schemas.microsoft.com/office/drawing/2014/main" id="{5506D2F7-FAD1-4F98-AF6F-BB3DF4DF3735}"/>
              </a:ext>
            </a:extLst>
          </xdr:cNvPr>
          <xdr:cNvSpPr>
            <a:spLocks noChangeShapeType="1"/>
          </xdr:cNvSpPr>
        </xdr:nvSpPr>
        <xdr:spPr bwMode="auto">
          <a:xfrm>
            <a:off x="252" y="60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76" name="Line 12">
            <a:extLst>
              <a:ext uri="{FF2B5EF4-FFF2-40B4-BE49-F238E27FC236}">
                <a16:creationId xmlns:a16="http://schemas.microsoft.com/office/drawing/2014/main" id="{47C66E77-E345-443B-AE2B-8CCA2A5CE37A}"/>
              </a:ext>
            </a:extLst>
          </xdr:cNvPr>
          <xdr:cNvSpPr>
            <a:spLocks noChangeShapeType="1"/>
          </xdr:cNvSpPr>
        </xdr:nvSpPr>
        <xdr:spPr bwMode="auto">
          <a:xfrm flipH="1">
            <a:off x="264" y="568"/>
            <a:ext cx="1" cy="56"/>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77" name="Line 13">
            <a:extLst>
              <a:ext uri="{FF2B5EF4-FFF2-40B4-BE49-F238E27FC236}">
                <a16:creationId xmlns:a16="http://schemas.microsoft.com/office/drawing/2014/main" id="{6D8E5858-DB12-4C2F-BD53-C4C3DC412EEA}"/>
              </a:ext>
            </a:extLst>
          </xdr:cNvPr>
          <xdr:cNvSpPr>
            <a:spLocks noChangeShapeType="1"/>
          </xdr:cNvSpPr>
        </xdr:nvSpPr>
        <xdr:spPr bwMode="auto">
          <a:xfrm flipV="1">
            <a:off x="252" y="623"/>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0</xdr:colOff>
      <xdr:row>37</xdr:row>
      <xdr:rowOff>6350</xdr:rowOff>
    </xdr:from>
    <xdr:to>
      <xdr:col>4</xdr:col>
      <xdr:colOff>336550</xdr:colOff>
      <xdr:row>39</xdr:row>
      <xdr:rowOff>88900</xdr:rowOff>
    </xdr:to>
    <xdr:grpSp>
      <xdr:nvGrpSpPr>
        <xdr:cNvPr id="11278" name="Group 14">
          <a:extLst>
            <a:ext uri="{FF2B5EF4-FFF2-40B4-BE49-F238E27FC236}">
              <a16:creationId xmlns:a16="http://schemas.microsoft.com/office/drawing/2014/main" id="{72E358AD-AE19-4CBC-AEAE-E2621F082D69}"/>
            </a:ext>
          </a:extLst>
        </xdr:cNvPr>
        <xdr:cNvGrpSpPr>
          <a:grpSpLocks/>
        </xdr:cNvGrpSpPr>
      </xdr:nvGrpSpPr>
      <xdr:grpSpPr bwMode="auto">
        <a:xfrm>
          <a:off x="2527300" y="6667500"/>
          <a:ext cx="2203450" cy="419100"/>
          <a:chOff x="253" y="667"/>
          <a:chExt cx="222" cy="44"/>
        </a:xfrm>
      </xdr:grpSpPr>
      <xdr:grpSp>
        <xdr:nvGrpSpPr>
          <xdr:cNvPr id="11279" name="Group 15">
            <a:extLst>
              <a:ext uri="{FF2B5EF4-FFF2-40B4-BE49-F238E27FC236}">
                <a16:creationId xmlns:a16="http://schemas.microsoft.com/office/drawing/2014/main" id="{218DCCD7-887D-4392-B71A-1173E3593769}"/>
              </a:ext>
            </a:extLst>
          </xdr:cNvPr>
          <xdr:cNvGrpSpPr>
            <a:grpSpLocks/>
          </xdr:cNvGrpSpPr>
        </xdr:nvGrpSpPr>
        <xdr:grpSpPr bwMode="auto">
          <a:xfrm>
            <a:off x="253" y="693"/>
            <a:ext cx="13" cy="18"/>
            <a:chOff x="301" y="720"/>
            <a:chExt cx="13" cy="18"/>
          </a:xfrm>
        </xdr:grpSpPr>
        <xdr:sp macro="" textlink="">
          <xdr:nvSpPr>
            <xdr:cNvPr id="11280" name="Line 16">
              <a:extLst>
                <a:ext uri="{FF2B5EF4-FFF2-40B4-BE49-F238E27FC236}">
                  <a16:creationId xmlns:a16="http://schemas.microsoft.com/office/drawing/2014/main" id="{ACBD9743-AC6F-40F9-8833-3C00FD4599DC}"/>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81" name="Line 17">
              <a:extLst>
                <a:ext uri="{FF2B5EF4-FFF2-40B4-BE49-F238E27FC236}">
                  <a16:creationId xmlns:a16="http://schemas.microsoft.com/office/drawing/2014/main" id="{54F0544E-37FD-4772-B875-8C2D6F36E57C}"/>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82" name="Line 18">
              <a:extLst>
                <a:ext uri="{FF2B5EF4-FFF2-40B4-BE49-F238E27FC236}">
                  <a16:creationId xmlns:a16="http://schemas.microsoft.com/office/drawing/2014/main" id="{E016FF97-6E6E-417E-BA43-384FCCC7AA82}"/>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1283" name="Line 19">
            <a:extLst>
              <a:ext uri="{FF2B5EF4-FFF2-40B4-BE49-F238E27FC236}">
                <a16:creationId xmlns:a16="http://schemas.microsoft.com/office/drawing/2014/main" id="{7BA69B1E-051B-4FFB-A7CF-ED5143AD2437}"/>
              </a:ext>
            </a:extLst>
          </xdr:cNvPr>
          <xdr:cNvSpPr>
            <a:spLocks noChangeShapeType="1"/>
          </xdr:cNvSpPr>
        </xdr:nvSpPr>
        <xdr:spPr bwMode="auto">
          <a:xfrm>
            <a:off x="475" y="667"/>
            <a:ext cx="0" cy="33"/>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84" name="Line 20">
            <a:extLst>
              <a:ext uri="{FF2B5EF4-FFF2-40B4-BE49-F238E27FC236}">
                <a16:creationId xmlns:a16="http://schemas.microsoft.com/office/drawing/2014/main" id="{E93BD86D-52F2-4E64-8B28-2BFC9AE8696C}"/>
              </a:ext>
            </a:extLst>
          </xdr:cNvPr>
          <xdr:cNvSpPr>
            <a:spLocks noChangeShapeType="1"/>
          </xdr:cNvSpPr>
        </xdr:nvSpPr>
        <xdr:spPr bwMode="auto">
          <a:xfrm flipH="1">
            <a:off x="264" y="700"/>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5</xdr:col>
      <xdr:colOff>0</xdr:colOff>
      <xdr:row>34</xdr:row>
      <xdr:rowOff>101600</xdr:rowOff>
    </xdr:from>
    <xdr:to>
      <xdr:col>5</xdr:col>
      <xdr:colOff>241300</xdr:colOff>
      <xdr:row>41</xdr:row>
      <xdr:rowOff>101600</xdr:rowOff>
    </xdr:to>
    <xdr:sp macro="" textlink="">
      <xdr:nvSpPr>
        <xdr:cNvPr id="11285" name="Freeform 21">
          <a:extLst>
            <a:ext uri="{FF2B5EF4-FFF2-40B4-BE49-F238E27FC236}">
              <a16:creationId xmlns:a16="http://schemas.microsoft.com/office/drawing/2014/main" id="{64AD74F3-D9D6-4408-A9B8-2136C3517504}"/>
            </a:ext>
          </a:extLst>
        </xdr:cNvPr>
        <xdr:cNvSpPr>
          <a:spLocks/>
        </xdr:cNvSpPr>
      </xdr:nvSpPr>
      <xdr:spPr bwMode="auto">
        <a:xfrm>
          <a:off x="5003800" y="6248400"/>
          <a:ext cx="241300" cy="1193800"/>
        </a:xfrm>
        <a:custGeom>
          <a:avLst/>
          <a:gdLst>
            <a:gd name="T0" fmla="*/ 1 w 26"/>
            <a:gd name="T1" fmla="*/ 62 h 62"/>
            <a:gd name="T2" fmla="*/ 26 w 26"/>
            <a:gd name="T3" fmla="*/ 62 h 62"/>
            <a:gd name="T4" fmla="*/ 26 w 26"/>
            <a:gd name="T5" fmla="*/ 0 h 62"/>
            <a:gd name="T6" fmla="*/ 0 w 26"/>
            <a:gd name="T7" fmla="*/ 0 h 62"/>
          </a:gdLst>
          <a:ahLst/>
          <a:cxnLst>
            <a:cxn ang="0">
              <a:pos x="T0" y="T1"/>
            </a:cxn>
            <a:cxn ang="0">
              <a:pos x="T2" y="T3"/>
            </a:cxn>
            <a:cxn ang="0">
              <a:pos x="T4" y="T5"/>
            </a:cxn>
            <a:cxn ang="0">
              <a:pos x="T6" y="T7"/>
            </a:cxn>
          </a:cxnLst>
          <a:rect l="0" t="0" r="r" b="b"/>
          <a:pathLst>
            <a:path w="26" h="62">
              <a:moveTo>
                <a:pt x="1" y="62"/>
              </a:moveTo>
              <a:lnTo>
                <a:pt x="26" y="62"/>
              </a:lnTo>
              <a:lnTo>
                <a:pt x="26"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36</xdr:row>
      <xdr:rowOff>76200</xdr:rowOff>
    </xdr:from>
    <xdr:to>
      <xdr:col>5</xdr:col>
      <xdr:colOff>222250</xdr:colOff>
      <xdr:row>36</xdr:row>
      <xdr:rowOff>76200</xdr:rowOff>
    </xdr:to>
    <xdr:sp macro="" textlink="">
      <xdr:nvSpPr>
        <xdr:cNvPr id="11286" name="Line 22">
          <a:extLst>
            <a:ext uri="{FF2B5EF4-FFF2-40B4-BE49-F238E27FC236}">
              <a16:creationId xmlns:a16="http://schemas.microsoft.com/office/drawing/2014/main" id="{795AF159-C847-4D34-9B43-E168E62E6A0A}"/>
            </a:ext>
          </a:extLst>
        </xdr:cNvPr>
        <xdr:cNvSpPr>
          <a:spLocks noChangeShapeType="1"/>
        </xdr:cNvSpPr>
      </xdr:nvSpPr>
      <xdr:spPr bwMode="auto">
        <a:xfrm flipV="1">
          <a:off x="5003800" y="65659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27</xdr:row>
      <xdr:rowOff>6350</xdr:rowOff>
    </xdr:from>
    <xdr:to>
      <xdr:col>4</xdr:col>
      <xdr:colOff>381000</xdr:colOff>
      <xdr:row>29</xdr:row>
      <xdr:rowOff>76200</xdr:rowOff>
    </xdr:to>
    <xdr:grpSp>
      <xdr:nvGrpSpPr>
        <xdr:cNvPr id="11287" name="Group 23">
          <a:extLst>
            <a:ext uri="{FF2B5EF4-FFF2-40B4-BE49-F238E27FC236}">
              <a16:creationId xmlns:a16="http://schemas.microsoft.com/office/drawing/2014/main" id="{711F1C62-AC9B-468C-872F-37C2565DB8BF}"/>
            </a:ext>
          </a:extLst>
        </xdr:cNvPr>
        <xdr:cNvGrpSpPr>
          <a:grpSpLocks/>
        </xdr:cNvGrpSpPr>
      </xdr:nvGrpSpPr>
      <xdr:grpSpPr bwMode="auto">
        <a:xfrm>
          <a:off x="2527300" y="4959350"/>
          <a:ext cx="2247900" cy="412750"/>
          <a:chOff x="253" y="472"/>
          <a:chExt cx="227" cy="43"/>
        </a:xfrm>
      </xdr:grpSpPr>
      <xdr:grpSp>
        <xdr:nvGrpSpPr>
          <xdr:cNvPr id="11288" name="Group 24">
            <a:extLst>
              <a:ext uri="{FF2B5EF4-FFF2-40B4-BE49-F238E27FC236}">
                <a16:creationId xmlns:a16="http://schemas.microsoft.com/office/drawing/2014/main" id="{E71814BE-ACEA-416E-BD6A-AF222F866C15}"/>
              </a:ext>
            </a:extLst>
          </xdr:cNvPr>
          <xdr:cNvGrpSpPr>
            <a:grpSpLocks/>
          </xdr:cNvGrpSpPr>
        </xdr:nvGrpSpPr>
        <xdr:grpSpPr bwMode="auto">
          <a:xfrm>
            <a:off x="253" y="478"/>
            <a:ext cx="13" cy="37"/>
            <a:chOff x="268" y="478"/>
            <a:chExt cx="13" cy="37"/>
          </a:xfrm>
        </xdr:grpSpPr>
        <xdr:sp macro="" textlink="">
          <xdr:nvSpPr>
            <xdr:cNvPr id="11289" name="Line 25">
              <a:extLst>
                <a:ext uri="{FF2B5EF4-FFF2-40B4-BE49-F238E27FC236}">
                  <a16:creationId xmlns:a16="http://schemas.microsoft.com/office/drawing/2014/main" id="{6CCB001E-FFAF-4B4E-AA8B-F5DB4C620FC9}"/>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90" name="Line 26">
              <a:extLst>
                <a:ext uri="{FF2B5EF4-FFF2-40B4-BE49-F238E27FC236}">
                  <a16:creationId xmlns:a16="http://schemas.microsoft.com/office/drawing/2014/main" id="{B6E2FF41-0781-4CED-9F27-BE0C8BDF4876}"/>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91" name="Line 27">
              <a:extLst>
                <a:ext uri="{FF2B5EF4-FFF2-40B4-BE49-F238E27FC236}">
                  <a16:creationId xmlns:a16="http://schemas.microsoft.com/office/drawing/2014/main" id="{5D24F13D-FFAD-4AAF-ABAB-B5B09C384406}"/>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92" name="Line 28">
              <a:extLst>
                <a:ext uri="{FF2B5EF4-FFF2-40B4-BE49-F238E27FC236}">
                  <a16:creationId xmlns:a16="http://schemas.microsoft.com/office/drawing/2014/main" id="{BEF3710D-B4DE-423A-8A72-5ECD69DB8D75}"/>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293" name="Group 29">
            <a:extLst>
              <a:ext uri="{FF2B5EF4-FFF2-40B4-BE49-F238E27FC236}">
                <a16:creationId xmlns:a16="http://schemas.microsoft.com/office/drawing/2014/main" id="{E54F2B24-DD1C-40DF-97AE-C8B0000DDF55}"/>
              </a:ext>
            </a:extLst>
          </xdr:cNvPr>
          <xdr:cNvGrpSpPr>
            <a:grpSpLocks/>
          </xdr:cNvGrpSpPr>
        </xdr:nvGrpSpPr>
        <xdr:grpSpPr bwMode="auto">
          <a:xfrm>
            <a:off x="265" y="472"/>
            <a:ext cx="215" cy="15"/>
            <a:chOff x="264" y="559"/>
            <a:chExt cx="215" cy="15"/>
          </a:xfrm>
        </xdr:grpSpPr>
        <xdr:sp macro="" textlink="">
          <xdr:nvSpPr>
            <xdr:cNvPr id="11294" name="Line 30">
              <a:extLst>
                <a:ext uri="{FF2B5EF4-FFF2-40B4-BE49-F238E27FC236}">
                  <a16:creationId xmlns:a16="http://schemas.microsoft.com/office/drawing/2014/main" id="{170F4004-9504-434F-B536-94205A8B0FAE}"/>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95" name="Line 31">
              <a:extLst>
                <a:ext uri="{FF2B5EF4-FFF2-40B4-BE49-F238E27FC236}">
                  <a16:creationId xmlns:a16="http://schemas.microsoft.com/office/drawing/2014/main" id="{FF1DD972-E855-42E0-9A63-8D45985FA085}"/>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7</xdr:col>
      <xdr:colOff>736600</xdr:colOff>
      <xdr:row>24</xdr:row>
      <xdr:rowOff>69850</xdr:rowOff>
    </xdr:from>
    <xdr:to>
      <xdr:col>8</xdr:col>
      <xdr:colOff>146050</xdr:colOff>
      <xdr:row>25</xdr:row>
      <xdr:rowOff>69850</xdr:rowOff>
    </xdr:to>
    <xdr:grpSp>
      <xdr:nvGrpSpPr>
        <xdr:cNvPr id="11296" name="Group 32">
          <a:extLst>
            <a:ext uri="{FF2B5EF4-FFF2-40B4-BE49-F238E27FC236}">
              <a16:creationId xmlns:a16="http://schemas.microsoft.com/office/drawing/2014/main" id="{E6E3728F-ACEE-4D44-808D-4452AE2BB0A9}"/>
            </a:ext>
          </a:extLst>
        </xdr:cNvPr>
        <xdr:cNvGrpSpPr>
          <a:grpSpLocks/>
        </xdr:cNvGrpSpPr>
      </xdr:nvGrpSpPr>
      <xdr:grpSpPr bwMode="auto">
        <a:xfrm>
          <a:off x="8140700" y="4508500"/>
          <a:ext cx="158750" cy="171450"/>
          <a:chOff x="301" y="720"/>
          <a:chExt cx="13" cy="18"/>
        </a:xfrm>
      </xdr:grpSpPr>
      <xdr:sp macro="" textlink="">
        <xdr:nvSpPr>
          <xdr:cNvPr id="11297" name="Line 33">
            <a:extLst>
              <a:ext uri="{FF2B5EF4-FFF2-40B4-BE49-F238E27FC236}">
                <a16:creationId xmlns:a16="http://schemas.microsoft.com/office/drawing/2014/main" id="{A7908F27-C7D8-4858-B885-53D07BDEFAB3}"/>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98" name="Line 34">
            <a:extLst>
              <a:ext uri="{FF2B5EF4-FFF2-40B4-BE49-F238E27FC236}">
                <a16:creationId xmlns:a16="http://schemas.microsoft.com/office/drawing/2014/main" id="{BFFE5D60-D28A-41B3-A1CA-D6087D3E266C}"/>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299" name="Line 35">
            <a:extLst>
              <a:ext uri="{FF2B5EF4-FFF2-40B4-BE49-F238E27FC236}">
                <a16:creationId xmlns:a16="http://schemas.microsoft.com/office/drawing/2014/main" id="{2CF13E16-47BA-4BD4-8003-B6F7C4C9216D}"/>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0</xdr:colOff>
      <xdr:row>27</xdr:row>
      <xdr:rowOff>69850</xdr:rowOff>
    </xdr:from>
    <xdr:to>
      <xdr:col>8</xdr:col>
      <xdr:colOff>158750</xdr:colOff>
      <xdr:row>28</xdr:row>
      <xdr:rowOff>69850</xdr:rowOff>
    </xdr:to>
    <xdr:grpSp>
      <xdr:nvGrpSpPr>
        <xdr:cNvPr id="11300" name="Group 36">
          <a:extLst>
            <a:ext uri="{FF2B5EF4-FFF2-40B4-BE49-F238E27FC236}">
              <a16:creationId xmlns:a16="http://schemas.microsoft.com/office/drawing/2014/main" id="{6D3ED49E-BE07-4CD2-874B-DD309F85B024}"/>
            </a:ext>
          </a:extLst>
        </xdr:cNvPr>
        <xdr:cNvGrpSpPr>
          <a:grpSpLocks/>
        </xdr:cNvGrpSpPr>
      </xdr:nvGrpSpPr>
      <xdr:grpSpPr bwMode="auto">
        <a:xfrm>
          <a:off x="8153400" y="5022850"/>
          <a:ext cx="158750" cy="171450"/>
          <a:chOff x="301" y="720"/>
          <a:chExt cx="13" cy="18"/>
        </a:xfrm>
      </xdr:grpSpPr>
      <xdr:sp macro="" textlink="">
        <xdr:nvSpPr>
          <xdr:cNvPr id="11301" name="Line 37">
            <a:extLst>
              <a:ext uri="{FF2B5EF4-FFF2-40B4-BE49-F238E27FC236}">
                <a16:creationId xmlns:a16="http://schemas.microsoft.com/office/drawing/2014/main" id="{0C5B6E7E-E805-49A8-884D-538FC1E4AC16}"/>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02" name="Line 38">
            <a:extLst>
              <a:ext uri="{FF2B5EF4-FFF2-40B4-BE49-F238E27FC236}">
                <a16:creationId xmlns:a16="http://schemas.microsoft.com/office/drawing/2014/main" id="{37B0AE9E-162D-41CB-82DA-E552F789B992}"/>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03" name="Line 39">
            <a:extLst>
              <a:ext uri="{FF2B5EF4-FFF2-40B4-BE49-F238E27FC236}">
                <a16:creationId xmlns:a16="http://schemas.microsoft.com/office/drawing/2014/main" id="{A923B712-F7B2-4373-B0F3-954CC7430685}"/>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508000</xdr:colOff>
      <xdr:row>23</xdr:row>
      <xdr:rowOff>0</xdr:rowOff>
    </xdr:from>
    <xdr:to>
      <xdr:col>4</xdr:col>
      <xdr:colOff>361950</xdr:colOff>
      <xdr:row>24</xdr:row>
      <xdr:rowOff>95250</xdr:rowOff>
    </xdr:to>
    <xdr:grpSp>
      <xdr:nvGrpSpPr>
        <xdr:cNvPr id="11304" name="Group 40">
          <a:extLst>
            <a:ext uri="{FF2B5EF4-FFF2-40B4-BE49-F238E27FC236}">
              <a16:creationId xmlns:a16="http://schemas.microsoft.com/office/drawing/2014/main" id="{A7979BA2-5B02-4389-A489-764DF65E1535}"/>
            </a:ext>
          </a:extLst>
        </xdr:cNvPr>
        <xdr:cNvGrpSpPr>
          <a:grpSpLocks/>
        </xdr:cNvGrpSpPr>
      </xdr:nvGrpSpPr>
      <xdr:grpSpPr bwMode="auto">
        <a:xfrm>
          <a:off x="2514600" y="4267200"/>
          <a:ext cx="2241550" cy="266700"/>
          <a:chOff x="252" y="652"/>
          <a:chExt cx="223" cy="28"/>
        </a:xfrm>
      </xdr:grpSpPr>
      <xdr:grpSp>
        <xdr:nvGrpSpPr>
          <xdr:cNvPr id="11305" name="Group 41">
            <a:extLst>
              <a:ext uri="{FF2B5EF4-FFF2-40B4-BE49-F238E27FC236}">
                <a16:creationId xmlns:a16="http://schemas.microsoft.com/office/drawing/2014/main" id="{7956D633-C4E5-4490-9BC3-200105B77388}"/>
              </a:ext>
            </a:extLst>
          </xdr:cNvPr>
          <xdr:cNvGrpSpPr>
            <a:grpSpLocks/>
          </xdr:cNvGrpSpPr>
        </xdr:nvGrpSpPr>
        <xdr:grpSpPr bwMode="auto">
          <a:xfrm>
            <a:off x="252" y="662"/>
            <a:ext cx="13" cy="18"/>
            <a:chOff x="301" y="720"/>
            <a:chExt cx="13" cy="18"/>
          </a:xfrm>
        </xdr:grpSpPr>
        <xdr:sp macro="" textlink="">
          <xdr:nvSpPr>
            <xdr:cNvPr id="11306" name="Line 42">
              <a:extLst>
                <a:ext uri="{FF2B5EF4-FFF2-40B4-BE49-F238E27FC236}">
                  <a16:creationId xmlns:a16="http://schemas.microsoft.com/office/drawing/2014/main" id="{6676B07F-4D48-4369-BF78-785D550C1D7C}"/>
                </a:ext>
              </a:extLst>
            </xdr:cNvPr>
            <xdr:cNvSpPr>
              <a:spLocks noChangeShapeType="1"/>
            </xdr:cNvSpPr>
          </xdr:nvSpPr>
          <xdr:spPr bwMode="auto">
            <a:xfrm flipV="1">
              <a:off x="301" y="720"/>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07" name="Line 43">
              <a:extLst>
                <a:ext uri="{FF2B5EF4-FFF2-40B4-BE49-F238E27FC236}">
                  <a16:creationId xmlns:a16="http://schemas.microsoft.com/office/drawing/2014/main" id="{83B52139-3179-4703-869F-6F8B0CB458BE}"/>
                </a:ext>
              </a:extLst>
            </xdr:cNvPr>
            <xdr:cNvSpPr>
              <a:spLocks noChangeShapeType="1"/>
            </xdr:cNvSpPr>
          </xdr:nvSpPr>
          <xdr:spPr bwMode="auto">
            <a:xfrm flipV="1">
              <a:off x="302" y="738"/>
              <a:ext cx="12"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08" name="Line 44">
              <a:extLst>
                <a:ext uri="{FF2B5EF4-FFF2-40B4-BE49-F238E27FC236}">
                  <a16:creationId xmlns:a16="http://schemas.microsoft.com/office/drawing/2014/main" id="{9CC1FB0D-E2CA-4CFB-825D-99FAEFCCCC29}"/>
                </a:ext>
              </a:extLst>
            </xdr:cNvPr>
            <xdr:cNvSpPr>
              <a:spLocks noChangeShapeType="1"/>
            </xdr:cNvSpPr>
          </xdr:nvSpPr>
          <xdr:spPr bwMode="auto">
            <a:xfrm>
              <a:off x="313" y="720"/>
              <a:ext cx="0" cy="1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sp macro="" textlink="">
        <xdr:nvSpPr>
          <xdr:cNvPr id="11309" name="Line 45">
            <a:extLst>
              <a:ext uri="{FF2B5EF4-FFF2-40B4-BE49-F238E27FC236}">
                <a16:creationId xmlns:a16="http://schemas.microsoft.com/office/drawing/2014/main" id="{86CB6E83-0131-45E1-8FBE-8CA192C40A2A}"/>
              </a:ext>
            </a:extLst>
          </xdr:cNvPr>
          <xdr:cNvSpPr>
            <a:spLocks noChangeShapeType="1"/>
          </xdr:cNvSpPr>
        </xdr:nvSpPr>
        <xdr:spPr bwMode="auto">
          <a:xfrm>
            <a:off x="475" y="652"/>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10" name="Line 46">
            <a:extLst>
              <a:ext uri="{FF2B5EF4-FFF2-40B4-BE49-F238E27FC236}">
                <a16:creationId xmlns:a16="http://schemas.microsoft.com/office/drawing/2014/main" id="{9AD9F720-6AF8-4664-9714-95B45D81F027}"/>
              </a:ext>
            </a:extLst>
          </xdr:cNvPr>
          <xdr:cNvSpPr>
            <a:spLocks noChangeShapeType="1"/>
          </xdr:cNvSpPr>
        </xdr:nvSpPr>
        <xdr:spPr bwMode="auto">
          <a:xfrm flipH="1">
            <a:off x="264" y="666"/>
            <a:ext cx="211"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8</xdr:col>
      <xdr:colOff>146050</xdr:colOff>
      <xdr:row>27</xdr:row>
      <xdr:rowOff>114300</xdr:rowOff>
    </xdr:from>
    <xdr:to>
      <xdr:col>8</xdr:col>
      <xdr:colOff>254000</xdr:colOff>
      <xdr:row>27</xdr:row>
      <xdr:rowOff>114300</xdr:rowOff>
    </xdr:to>
    <xdr:sp macro="" textlink="">
      <xdr:nvSpPr>
        <xdr:cNvPr id="11311" name="Line 47">
          <a:extLst>
            <a:ext uri="{FF2B5EF4-FFF2-40B4-BE49-F238E27FC236}">
              <a16:creationId xmlns:a16="http://schemas.microsoft.com/office/drawing/2014/main" id="{6B2B19A2-11C6-4447-88FA-2D2C196A06F4}"/>
            </a:ext>
          </a:extLst>
        </xdr:cNvPr>
        <xdr:cNvSpPr>
          <a:spLocks noChangeShapeType="1"/>
        </xdr:cNvSpPr>
      </xdr:nvSpPr>
      <xdr:spPr bwMode="auto">
        <a:xfrm>
          <a:off x="8299450" y="50673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139700</xdr:colOff>
      <xdr:row>24</xdr:row>
      <xdr:rowOff>133350</xdr:rowOff>
    </xdr:from>
    <xdr:to>
      <xdr:col>8</xdr:col>
      <xdr:colOff>247650</xdr:colOff>
      <xdr:row>24</xdr:row>
      <xdr:rowOff>133350</xdr:rowOff>
    </xdr:to>
    <xdr:sp macro="" textlink="">
      <xdr:nvSpPr>
        <xdr:cNvPr id="11312" name="Line 48">
          <a:extLst>
            <a:ext uri="{FF2B5EF4-FFF2-40B4-BE49-F238E27FC236}">
              <a16:creationId xmlns:a16="http://schemas.microsoft.com/office/drawing/2014/main" id="{13193A95-B06A-40A7-B7E8-CA97BB2AAB60}"/>
            </a:ext>
          </a:extLst>
        </xdr:cNvPr>
        <xdr:cNvSpPr>
          <a:spLocks noChangeShapeType="1"/>
        </xdr:cNvSpPr>
      </xdr:nvSpPr>
      <xdr:spPr bwMode="auto">
        <a:xfrm>
          <a:off x="8293100" y="4572000"/>
          <a:ext cx="107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18</xdr:row>
      <xdr:rowOff>76200</xdr:rowOff>
    </xdr:from>
    <xdr:to>
      <xdr:col>8</xdr:col>
      <xdr:colOff>247650</xdr:colOff>
      <xdr:row>18</xdr:row>
      <xdr:rowOff>76200</xdr:rowOff>
    </xdr:to>
    <xdr:sp macro="" textlink="">
      <xdr:nvSpPr>
        <xdr:cNvPr id="11313" name="Line 49">
          <a:extLst>
            <a:ext uri="{FF2B5EF4-FFF2-40B4-BE49-F238E27FC236}">
              <a16:creationId xmlns:a16="http://schemas.microsoft.com/office/drawing/2014/main" id="{29E29105-5ADB-4782-A959-5EE94D005FC5}"/>
            </a:ext>
          </a:extLst>
        </xdr:cNvPr>
        <xdr:cNvSpPr>
          <a:spLocks noChangeShapeType="1"/>
        </xdr:cNvSpPr>
      </xdr:nvSpPr>
      <xdr:spPr bwMode="auto">
        <a:xfrm>
          <a:off x="8153400" y="34861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12700</xdr:colOff>
      <xdr:row>16</xdr:row>
      <xdr:rowOff>57150</xdr:rowOff>
    </xdr:from>
    <xdr:to>
      <xdr:col>8</xdr:col>
      <xdr:colOff>254000</xdr:colOff>
      <xdr:row>16</xdr:row>
      <xdr:rowOff>57150</xdr:rowOff>
    </xdr:to>
    <xdr:sp macro="" textlink="">
      <xdr:nvSpPr>
        <xdr:cNvPr id="11314" name="Line 50">
          <a:extLst>
            <a:ext uri="{FF2B5EF4-FFF2-40B4-BE49-F238E27FC236}">
              <a16:creationId xmlns:a16="http://schemas.microsoft.com/office/drawing/2014/main" id="{5BD77D13-430F-4826-9289-E5A9630A9CBF}"/>
            </a:ext>
          </a:extLst>
        </xdr:cNvPr>
        <xdr:cNvSpPr>
          <a:spLocks noChangeShapeType="1"/>
        </xdr:cNvSpPr>
      </xdr:nvSpPr>
      <xdr:spPr bwMode="auto">
        <a:xfrm>
          <a:off x="8166100" y="31242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247650</xdr:colOff>
      <xdr:row>14</xdr:row>
      <xdr:rowOff>127000</xdr:rowOff>
    </xdr:from>
    <xdr:to>
      <xdr:col>11</xdr:col>
      <xdr:colOff>114300</xdr:colOff>
      <xdr:row>16</xdr:row>
      <xdr:rowOff>69850</xdr:rowOff>
    </xdr:to>
    <xdr:sp macro="" textlink="">
      <xdr:nvSpPr>
        <xdr:cNvPr id="11315" name="Freeform 51">
          <a:extLst>
            <a:ext uri="{FF2B5EF4-FFF2-40B4-BE49-F238E27FC236}">
              <a16:creationId xmlns:a16="http://schemas.microsoft.com/office/drawing/2014/main" id="{D31F474C-98CE-47CB-B4A2-A3DDD6FCEDB1}"/>
            </a:ext>
          </a:extLst>
        </xdr:cNvPr>
        <xdr:cNvSpPr>
          <a:spLocks/>
        </xdr:cNvSpPr>
      </xdr:nvSpPr>
      <xdr:spPr bwMode="auto">
        <a:xfrm>
          <a:off x="8401050" y="2857500"/>
          <a:ext cx="2330450" cy="279400"/>
        </a:xfrm>
        <a:custGeom>
          <a:avLst/>
          <a:gdLst>
            <a:gd name="T0" fmla="*/ 0 w 239"/>
            <a:gd name="T1" fmla="*/ 28 h 28"/>
            <a:gd name="T2" fmla="*/ 0 w 239"/>
            <a:gd name="T3" fmla="*/ 0 h 28"/>
            <a:gd name="T4" fmla="*/ 239 w 239"/>
            <a:gd name="T5" fmla="*/ 0 h 28"/>
            <a:gd name="T6" fmla="*/ 239 w 239"/>
            <a:gd name="T7" fmla="*/ 26 h 28"/>
          </a:gdLst>
          <a:ahLst/>
          <a:cxnLst>
            <a:cxn ang="0">
              <a:pos x="T0" y="T1"/>
            </a:cxn>
            <a:cxn ang="0">
              <a:pos x="T2" y="T3"/>
            </a:cxn>
            <a:cxn ang="0">
              <a:pos x="T4" y="T5"/>
            </a:cxn>
            <a:cxn ang="0">
              <a:pos x="T6" y="T7"/>
            </a:cxn>
          </a:cxnLst>
          <a:rect l="0" t="0" r="r" b="b"/>
          <a:pathLst>
            <a:path w="239" h="28">
              <a:moveTo>
                <a:pt x="0" y="28"/>
              </a:moveTo>
              <a:lnTo>
                <a:pt x="0" y="0"/>
              </a:lnTo>
              <a:lnTo>
                <a:pt x="239" y="0"/>
              </a:lnTo>
              <a:lnTo>
                <a:pt x="239" y="26"/>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0</xdr:colOff>
      <xdr:row>20</xdr:row>
      <xdr:rowOff>114300</xdr:rowOff>
    </xdr:from>
    <xdr:to>
      <xdr:col>8</xdr:col>
      <xdr:colOff>247650</xdr:colOff>
      <xdr:row>27</xdr:row>
      <xdr:rowOff>101600</xdr:rowOff>
    </xdr:to>
    <xdr:sp macro="" textlink="">
      <xdr:nvSpPr>
        <xdr:cNvPr id="11316" name="Freeform 52">
          <a:extLst>
            <a:ext uri="{FF2B5EF4-FFF2-40B4-BE49-F238E27FC236}">
              <a16:creationId xmlns:a16="http://schemas.microsoft.com/office/drawing/2014/main" id="{2A9285A2-89B3-468C-BD1F-0EC748B29626}"/>
            </a:ext>
          </a:extLst>
        </xdr:cNvPr>
        <xdr:cNvSpPr>
          <a:spLocks/>
        </xdr:cNvSpPr>
      </xdr:nvSpPr>
      <xdr:spPr bwMode="auto">
        <a:xfrm>
          <a:off x="8153400" y="3867150"/>
          <a:ext cx="247650" cy="1187450"/>
        </a:xfrm>
        <a:custGeom>
          <a:avLst/>
          <a:gdLst>
            <a:gd name="T0" fmla="*/ 25 w 25"/>
            <a:gd name="T1" fmla="*/ 197 h 197"/>
            <a:gd name="T2" fmla="*/ 25 w 25"/>
            <a:gd name="T3" fmla="*/ 0 h 197"/>
            <a:gd name="T4" fmla="*/ 0 w 25"/>
            <a:gd name="T5" fmla="*/ 0 h 197"/>
          </a:gdLst>
          <a:ahLst/>
          <a:cxnLst>
            <a:cxn ang="0">
              <a:pos x="T0" y="T1"/>
            </a:cxn>
            <a:cxn ang="0">
              <a:pos x="T2" y="T3"/>
            </a:cxn>
            <a:cxn ang="0">
              <a:pos x="T4" y="T5"/>
            </a:cxn>
          </a:cxnLst>
          <a:rect l="0" t="0" r="r" b="b"/>
          <a:pathLst>
            <a:path w="25" h="197">
              <a:moveTo>
                <a:pt x="25" y="197"/>
              </a:moveTo>
              <a:lnTo>
                <a:pt x="25"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12700</xdr:colOff>
      <xdr:row>16</xdr:row>
      <xdr:rowOff>114300</xdr:rowOff>
    </xdr:from>
    <xdr:to>
      <xdr:col>11</xdr:col>
      <xdr:colOff>114300</xdr:colOff>
      <xdr:row>24</xdr:row>
      <xdr:rowOff>76200</xdr:rowOff>
    </xdr:to>
    <xdr:sp macro="" textlink="">
      <xdr:nvSpPr>
        <xdr:cNvPr id="11317" name="Freeform 53">
          <a:extLst>
            <a:ext uri="{FF2B5EF4-FFF2-40B4-BE49-F238E27FC236}">
              <a16:creationId xmlns:a16="http://schemas.microsoft.com/office/drawing/2014/main" id="{97508B9D-DED8-41DC-9602-997F36252D8C}"/>
            </a:ext>
          </a:extLst>
        </xdr:cNvPr>
        <xdr:cNvSpPr>
          <a:spLocks/>
        </xdr:cNvSpPr>
      </xdr:nvSpPr>
      <xdr:spPr bwMode="auto">
        <a:xfrm>
          <a:off x="10629900" y="3181350"/>
          <a:ext cx="101600" cy="1333500"/>
        </a:xfrm>
        <a:custGeom>
          <a:avLst/>
          <a:gdLst>
            <a:gd name="T0" fmla="*/ 0 w 11"/>
            <a:gd name="T1" fmla="*/ 140 h 140"/>
            <a:gd name="T2" fmla="*/ 11 w 11"/>
            <a:gd name="T3" fmla="*/ 140 h 140"/>
            <a:gd name="T4" fmla="*/ 11 w 11"/>
            <a:gd name="T5" fmla="*/ 0 h 140"/>
            <a:gd name="T6" fmla="*/ 0 w 11"/>
            <a:gd name="T7" fmla="*/ 0 h 140"/>
          </a:gdLst>
          <a:ahLst/>
          <a:cxnLst>
            <a:cxn ang="0">
              <a:pos x="T0" y="T1"/>
            </a:cxn>
            <a:cxn ang="0">
              <a:pos x="T2" y="T3"/>
            </a:cxn>
            <a:cxn ang="0">
              <a:pos x="T4" y="T5"/>
            </a:cxn>
            <a:cxn ang="0">
              <a:pos x="T6" y="T7"/>
            </a:cxn>
          </a:cxnLst>
          <a:rect l="0" t="0" r="r" b="b"/>
          <a:pathLst>
            <a:path w="11" h="140">
              <a:moveTo>
                <a:pt x="0" y="140"/>
              </a:moveTo>
              <a:lnTo>
                <a:pt x="11" y="140"/>
              </a:lnTo>
              <a:lnTo>
                <a:pt x="11"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0</xdr:colOff>
      <xdr:row>22</xdr:row>
      <xdr:rowOff>88900</xdr:rowOff>
    </xdr:from>
    <xdr:to>
      <xdr:col>11</xdr:col>
      <xdr:colOff>114300</xdr:colOff>
      <xdr:row>22</xdr:row>
      <xdr:rowOff>88900</xdr:rowOff>
    </xdr:to>
    <xdr:sp macro="" textlink="">
      <xdr:nvSpPr>
        <xdr:cNvPr id="11318" name="Line 54">
          <a:extLst>
            <a:ext uri="{FF2B5EF4-FFF2-40B4-BE49-F238E27FC236}">
              <a16:creationId xmlns:a16="http://schemas.microsoft.com/office/drawing/2014/main" id="{BD2D9C92-627A-48DD-A189-33044DDF39A0}"/>
            </a:ext>
          </a:extLst>
        </xdr:cNvPr>
        <xdr:cNvSpPr>
          <a:spLocks noChangeShapeType="1"/>
        </xdr:cNvSpPr>
      </xdr:nvSpPr>
      <xdr:spPr bwMode="auto">
        <a:xfrm>
          <a:off x="10617200" y="41846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20</xdr:row>
      <xdr:rowOff>76200</xdr:rowOff>
    </xdr:from>
    <xdr:to>
      <xdr:col>11</xdr:col>
      <xdr:colOff>114300</xdr:colOff>
      <xdr:row>20</xdr:row>
      <xdr:rowOff>76200</xdr:rowOff>
    </xdr:to>
    <xdr:sp macro="" textlink="">
      <xdr:nvSpPr>
        <xdr:cNvPr id="11319" name="Line 55">
          <a:extLst>
            <a:ext uri="{FF2B5EF4-FFF2-40B4-BE49-F238E27FC236}">
              <a16:creationId xmlns:a16="http://schemas.microsoft.com/office/drawing/2014/main" id="{5F38F653-2321-4EF6-9050-068F18E23AB6}"/>
            </a:ext>
          </a:extLst>
        </xdr:cNvPr>
        <xdr:cNvSpPr>
          <a:spLocks noChangeShapeType="1"/>
        </xdr:cNvSpPr>
      </xdr:nvSpPr>
      <xdr:spPr bwMode="auto">
        <a:xfrm>
          <a:off x="10617200" y="38290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18</xdr:row>
      <xdr:rowOff>76200</xdr:rowOff>
    </xdr:from>
    <xdr:to>
      <xdr:col>11</xdr:col>
      <xdr:colOff>114300</xdr:colOff>
      <xdr:row>18</xdr:row>
      <xdr:rowOff>76200</xdr:rowOff>
    </xdr:to>
    <xdr:sp macro="" textlink="">
      <xdr:nvSpPr>
        <xdr:cNvPr id="11320" name="Line 56">
          <a:extLst>
            <a:ext uri="{FF2B5EF4-FFF2-40B4-BE49-F238E27FC236}">
              <a16:creationId xmlns:a16="http://schemas.microsoft.com/office/drawing/2014/main" id="{898ABE7A-F905-4E6F-A38B-46EA9EDEEF66}"/>
            </a:ext>
          </a:extLst>
        </xdr:cNvPr>
        <xdr:cNvSpPr>
          <a:spLocks noChangeShapeType="1"/>
        </xdr:cNvSpPr>
      </xdr:nvSpPr>
      <xdr:spPr bwMode="auto">
        <a:xfrm>
          <a:off x="10617200" y="3486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16</xdr:row>
      <xdr:rowOff>38100</xdr:rowOff>
    </xdr:from>
    <xdr:to>
      <xdr:col>11</xdr:col>
      <xdr:colOff>114300</xdr:colOff>
      <xdr:row>16</xdr:row>
      <xdr:rowOff>38100</xdr:rowOff>
    </xdr:to>
    <xdr:sp macro="" textlink="">
      <xdr:nvSpPr>
        <xdr:cNvPr id="11321" name="Line 57">
          <a:extLst>
            <a:ext uri="{FF2B5EF4-FFF2-40B4-BE49-F238E27FC236}">
              <a16:creationId xmlns:a16="http://schemas.microsoft.com/office/drawing/2014/main" id="{1C96F6C3-3D13-4600-8331-AC284015FDA6}"/>
            </a:ext>
          </a:extLst>
        </xdr:cNvPr>
        <xdr:cNvSpPr>
          <a:spLocks noChangeShapeType="1"/>
        </xdr:cNvSpPr>
      </xdr:nvSpPr>
      <xdr:spPr bwMode="auto">
        <a:xfrm flipH="1">
          <a:off x="10617200" y="3105150"/>
          <a:ext cx="114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18</xdr:row>
      <xdr:rowOff>6350</xdr:rowOff>
    </xdr:from>
    <xdr:to>
      <xdr:col>4</xdr:col>
      <xdr:colOff>381000</xdr:colOff>
      <xdr:row>20</xdr:row>
      <xdr:rowOff>76200</xdr:rowOff>
    </xdr:to>
    <xdr:grpSp>
      <xdr:nvGrpSpPr>
        <xdr:cNvPr id="11322" name="Group 58">
          <a:extLst>
            <a:ext uri="{FF2B5EF4-FFF2-40B4-BE49-F238E27FC236}">
              <a16:creationId xmlns:a16="http://schemas.microsoft.com/office/drawing/2014/main" id="{CC7471F4-1C8A-4F50-8E27-E1272E7C6B1C}"/>
            </a:ext>
          </a:extLst>
        </xdr:cNvPr>
        <xdr:cNvGrpSpPr>
          <a:grpSpLocks/>
        </xdr:cNvGrpSpPr>
      </xdr:nvGrpSpPr>
      <xdr:grpSpPr bwMode="auto">
        <a:xfrm>
          <a:off x="2527300" y="3416300"/>
          <a:ext cx="2247900" cy="412750"/>
          <a:chOff x="253" y="472"/>
          <a:chExt cx="227" cy="43"/>
        </a:xfrm>
      </xdr:grpSpPr>
      <xdr:grpSp>
        <xdr:nvGrpSpPr>
          <xdr:cNvPr id="11323" name="Group 59">
            <a:extLst>
              <a:ext uri="{FF2B5EF4-FFF2-40B4-BE49-F238E27FC236}">
                <a16:creationId xmlns:a16="http://schemas.microsoft.com/office/drawing/2014/main" id="{892276AC-3E30-48A9-974E-6A3841F6482B}"/>
              </a:ext>
            </a:extLst>
          </xdr:cNvPr>
          <xdr:cNvGrpSpPr>
            <a:grpSpLocks/>
          </xdr:cNvGrpSpPr>
        </xdr:nvGrpSpPr>
        <xdr:grpSpPr bwMode="auto">
          <a:xfrm>
            <a:off x="253" y="478"/>
            <a:ext cx="13" cy="37"/>
            <a:chOff x="268" y="478"/>
            <a:chExt cx="13" cy="37"/>
          </a:xfrm>
        </xdr:grpSpPr>
        <xdr:sp macro="" textlink="">
          <xdr:nvSpPr>
            <xdr:cNvPr id="11324" name="Line 60">
              <a:extLst>
                <a:ext uri="{FF2B5EF4-FFF2-40B4-BE49-F238E27FC236}">
                  <a16:creationId xmlns:a16="http://schemas.microsoft.com/office/drawing/2014/main" id="{EE718580-5825-4584-A2DA-CE5AA8DCA091}"/>
                </a:ext>
              </a:extLst>
            </xdr:cNvPr>
            <xdr:cNvSpPr>
              <a:spLocks noChangeShapeType="1"/>
            </xdr:cNvSpPr>
          </xdr:nvSpPr>
          <xdr:spPr bwMode="auto">
            <a:xfrm flipV="1">
              <a:off x="269" y="479"/>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25" name="Line 61">
              <a:extLst>
                <a:ext uri="{FF2B5EF4-FFF2-40B4-BE49-F238E27FC236}">
                  <a16:creationId xmlns:a16="http://schemas.microsoft.com/office/drawing/2014/main" id="{E6F123E4-B5AF-49CD-9140-5A992FF6C2FA}"/>
                </a:ext>
              </a:extLst>
            </xdr:cNvPr>
            <xdr:cNvSpPr>
              <a:spLocks noChangeShapeType="1"/>
            </xdr:cNvSpPr>
          </xdr:nvSpPr>
          <xdr:spPr bwMode="auto">
            <a:xfrm flipV="1">
              <a:off x="269" y="497"/>
              <a:ext cx="1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26" name="Line 62">
              <a:extLst>
                <a:ext uri="{FF2B5EF4-FFF2-40B4-BE49-F238E27FC236}">
                  <a16:creationId xmlns:a16="http://schemas.microsoft.com/office/drawing/2014/main" id="{5584FB03-1CF0-4A26-BB30-ABFAB8995483}"/>
                </a:ext>
              </a:extLst>
            </xdr:cNvPr>
            <xdr:cNvSpPr>
              <a:spLocks noChangeShapeType="1"/>
            </xdr:cNvSpPr>
          </xdr:nvSpPr>
          <xdr:spPr bwMode="auto">
            <a:xfrm>
              <a:off x="268" y="515"/>
              <a:ext cx="13"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27" name="Line 63">
              <a:extLst>
                <a:ext uri="{FF2B5EF4-FFF2-40B4-BE49-F238E27FC236}">
                  <a16:creationId xmlns:a16="http://schemas.microsoft.com/office/drawing/2014/main" id="{33A64960-507D-4AA5-9EE2-9665A0C805A1}"/>
                </a:ext>
              </a:extLst>
            </xdr:cNvPr>
            <xdr:cNvSpPr>
              <a:spLocks noChangeShapeType="1"/>
            </xdr:cNvSpPr>
          </xdr:nvSpPr>
          <xdr:spPr bwMode="auto">
            <a:xfrm>
              <a:off x="281" y="478"/>
              <a:ext cx="0" cy="3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nvGrpSpPr>
          <xdr:cNvPr id="11328" name="Group 64">
            <a:extLst>
              <a:ext uri="{FF2B5EF4-FFF2-40B4-BE49-F238E27FC236}">
                <a16:creationId xmlns:a16="http://schemas.microsoft.com/office/drawing/2014/main" id="{BEA80526-33DB-437C-BA95-E4B9C24E2924}"/>
              </a:ext>
            </a:extLst>
          </xdr:cNvPr>
          <xdr:cNvGrpSpPr>
            <a:grpSpLocks/>
          </xdr:cNvGrpSpPr>
        </xdr:nvGrpSpPr>
        <xdr:grpSpPr bwMode="auto">
          <a:xfrm>
            <a:off x="265" y="472"/>
            <a:ext cx="215" cy="15"/>
            <a:chOff x="264" y="559"/>
            <a:chExt cx="215" cy="15"/>
          </a:xfrm>
        </xdr:grpSpPr>
        <xdr:sp macro="" textlink="">
          <xdr:nvSpPr>
            <xdr:cNvPr id="11329" name="Line 65">
              <a:extLst>
                <a:ext uri="{FF2B5EF4-FFF2-40B4-BE49-F238E27FC236}">
                  <a16:creationId xmlns:a16="http://schemas.microsoft.com/office/drawing/2014/main" id="{F7DD3ABE-CA9F-4BFC-AC8B-AB342AE32E58}"/>
                </a:ext>
              </a:extLst>
            </xdr:cNvPr>
            <xdr:cNvSpPr>
              <a:spLocks noChangeShapeType="1"/>
            </xdr:cNvSpPr>
          </xdr:nvSpPr>
          <xdr:spPr bwMode="auto">
            <a:xfrm>
              <a:off x="478" y="559"/>
              <a:ext cx="0" cy="1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1330" name="Line 66">
              <a:extLst>
                <a:ext uri="{FF2B5EF4-FFF2-40B4-BE49-F238E27FC236}">
                  <a16:creationId xmlns:a16="http://schemas.microsoft.com/office/drawing/2014/main" id="{33EA39BB-7A2F-46C2-88DC-51393148E695}"/>
                </a:ext>
              </a:extLst>
            </xdr:cNvPr>
            <xdr:cNvSpPr>
              <a:spLocks noChangeShapeType="1"/>
            </xdr:cNvSpPr>
          </xdr:nvSpPr>
          <xdr:spPr bwMode="auto">
            <a:xfrm flipH="1" flipV="1">
              <a:off x="264" y="572"/>
              <a:ext cx="215"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grpSp>
    <xdr:clientData/>
  </xdr:twoCellAnchor>
  <xdr:twoCellAnchor>
    <xdr:from>
      <xdr:col>5</xdr:col>
      <xdr:colOff>0</xdr:colOff>
      <xdr:row>13</xdr:row>
      <xdr:rowOff>101600</xdr:rowOff>
    </xdr:from>
    <xdr:to>
      <xdr:col>5</xdr:col>
      <xdr:colOff>241300</xdr:colOff>
      <xdr:row>34</xdr:row>
      <xdr:rowOff>44450</xdr:rowOff>
    </xdr:to>
    <xdr:sp macro="" textlink="">
      <xdr:nvSpPr>
        <xdr:cNvPr id="11331" name="Freeform 67">
          <a:extLst>
            <a:ext uri="{FF2B5EF4-FFF2-40B4-BE49-F238E27FC236}">
              <a16:creationId xmlns:a16="http://schemas.microsoft.com/office/drawing/2014/main" id="{7B7E0636-D747-491A-94BC-4493E9DD6AB7}"/>
            </a:ext>
          </a:extLst>
        </xdr:cNvPr>
        <xdr:cNvSpPr>
          <a:spLocks/>
        </xdr:cNvSpPr>
      </xdr:nvSpPr>
      <xdr:spPr bwMode="auto">
        <a:xfrm>
          <a:off x="5003800" y="2660650"/>
          <a:ext cx="241300" cy="3530600"/>
        </a:xfrm>
        <a:custGeom>
          <a:avLst/>
          <a:gdLst>
            <a:gd name="T0" fmla="*/ 1 w 23"/>
            <a:gd name="T1" fmla="*/ 372 h 372"/>
            <a:gd name="T2" fmla="*/ 23 w 23"/>
            <a:gd name="T3" fmla="*/ 372 h 372"/>
            <a:gd name="T4" fmla="*/ 23 w 23"/>
            <a:gd name="T5" fmla="*/ 0 h 372"/>
            <a:gd name="T6" fmla="*/ 0 w 23"/>
            <a:gd name="T7" fmla="*/ 0 h 372"/>
          </a:gdLst>
          <a:ahLst/>
          <a:cxnLst>
            <a:cxn ang="0">
              <a:pos x="T0" y="T1"/>
            </a:cxn>
            <a:cxn ang="0">
              <a:pos x="T2" y="T3"/>
            </a:cxn>
            <a:cxn ang="0">
              <a:pos x="T4" y="T5"/>
            </a:cxn>
            <a:cxn ang="0">
              <a:pos x="T6" y="T7"/>
            </a:cxn>
          </a:cxnLst>
          <a:rect l="0" t="0" r="r" b="b"/>
          <a:pathLst>
            <a:path w="23" h="372">
              <a:moveTo>
                <a:pt x="1" y="372"/>
              </a:moveTo>
              <a:lnTo>
                <a:pt x="23" y="372"/>
              </a:lnTo>
              <a:lnTo>
                <a:pt x="23"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31</xdr:row>
      <xdr:rowOff>76200</xdr:rowOff>
    </xdr:from>
    <xdr:to>
      <xdr:col>5</xdr:col>
      <xdr:colOff>247650</xdr:colOff>
      <xdr:row>31</xdr:row>
      <xdr:rowOff>76200</xdr:rowOff>
    </xdr:to>
    <xdr:sp macro="" textlink="">
      <xdr:nvSpPr>
        <xdr:cNvPr id="11332" name="Line 68">
          <a:extLst>
            <a:ext uri="{FF2B5EF4-FFF2-40B4-BE49-F238E27FC236}">
              <a16:creationId xmlns:a16="http://schemas.microsoft.com/office/drawing/2014/main" id="{DB53468E-505D-4760-8D72-A3DFF4E6E5B6}"/>
            </a:ext>
          </a:extLst>
        </xdr:cNvPr>
        <xdr:cNvSpPr>
          <a:spLocks noChangeShapeType="1"/>
        </xdr:cNvSpPr>
      </xdr:nvSpPr>
      <xdr:spPr bwMode="auto">
        <a:xfrm>
          <a:off x="5003800" y="57086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26</xdr:row>
      <xdr:rowOff>88900</xdr:rowOff>
    </xdr:from>
    <xdr:to>
      <xdr:col>5</xdr:col>
      <xdr:colOff>247650</xdr:colOff>
      <xdr:row>26</xdr:row>
      <xdr:rowOff>88900</xdr:rowOff>
    </xdr:to>
    <xdr:sp macro="" textlink="">
      <xdr:nvSpPr>
        <xdr:cNvPr id="11333" name="Line 69">
          <a:extLst>
            <a:ext uri="{FF2B5EF4-FFF2-40B4-BE49-F238E27FC236}">
              <a16:creationId xmlns:a16="http://schemas.microsoft.com/office/drawing/2014/main" id="{4DD0B184-49C3-4BD3-91E0-638B2DAFC7B0}"/>
            </a:ext>
          </a:extLst>
        </xdr:cNvPr>
        <xdr:cNvSpPr>
          <a:spLocks noChangeShapeType="1"/>
        </xdr:cNvSpPr>
      </xdr:nvSpPr>
      <xdr:spPr bwMode="auto">
        <a:xfrm>
          <a:off x="5003800" y="48704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22</xdr:row>
      <xdr:rowOff>76200</xdr:rowOff>
    </xdr:from>
    <xdr:to>
      <xdr:col>5</xdr:col>
      <xdr:colOff>247650</xdr:colOff>
      <xdr:row>22</xdr:row>
      <xdr:rowOff>76200</xdr:rowOff>
    </xdr:to>
    <xdr:sp macro="" textlink="">
      <xdr:nvSpPr>
        <xdr:cNvPr id="11334" name="Line 70">
          <a:extLst>
            <a:ext uri="{FF2B5EF4-FFF2-40B4-BE49-F238E27FC236}">
              <a16:creationId xmlns:a16="http://schemas.microsoft.com/office/drawing/2014/main" id="{EEA2E784-104C-4CAB-9268-0E7328C7EE84}"/>
            </a:ext>
          </a:extLst>
        </xdr:cNvPr>
        <xdr:cNvSpPr>
          <a:spLocks noChangeShapeType="1"/>
        </xdr:cNvSpPr>
      </xdr:nvSpPr>
      <xdr:spPr bwMode="auto">
        <a:xfrm>
          <a:off x="5003800" y="4171950"/>
          <a:ext cx="2476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17</xdr:row>
      <xdr:rowOff>88900</xdr:rowOff>
    </xdr:from>
    <xdr:to>
      <xdr:col>5</xdr:col>
      <xdr:colOff>222250</xdr:colOff>
      <xdr:row>17</xdr:row>
      <xdr:rowOff>88900</xdr:rowOff>
    </xdr:to>
    <xdr:sp macro="" textlink="">
      <xdr:nvSpPr>
        <xdr:cNvPr id="11335" name="Line 71">
          <a:extLst>
            <a:ext uri="{FF2B5EF4-FFF2-40B4-BE49-F238E27FC236}">
              <a16:creationId xmlns:a16="http://schemas.microsoft.com/office/drawing/2014/main" id="{2A821AF3-DDF3-43D8-9F4C-159F19190DEB}"/>
            </a:ext>
          </a:extLst>
        </xdr:cNvPr>
        <xdr:cNvSpPr>
          <a:spLocks noChangeShapeType="1"/>
        </xdr:cNvSpPr>
      </xdr:nvSpPr>
      <xdr:spPr bwMode="auto">
        <a:xfrm>
          <a:off x="5003800" y="33274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15</xdr:row>
      <xdr:rowOff>88900</xdr:rowOff>
    </xdr:from>
    <xdr:to>
      <xdr:col>5</xdr:col>
      <xdr:colOff>241300</xdr:colOff>
      <xdr:row>15</xdr:row>
      <xdr:rowOff>88900</xdr:rowOff>
    </xdr:to>
    <xdr:sp macro="" textlink="">
      <xdr:nvSpPr>
        <xdr:cNvPr id="11336" name="Line 72">
          <a:extLst>
            <a:ext uri="{FF2B5EF4-FFF2-40B4-BE49-F238E27FC236}">
              <a16:creationId xmlns:a16="http://schemas.microsoft.com/office/drawing/2014/main" id="{4878D336-B684-4B6E-8467-EA2D32201693}"/>
            </a:ext>
          </a:extLst>
        </xdr:cNvPr>
        <xdr:cNvSpPr>
          <a:spLocks noChangeShapeType="1"/>
        </xdr:cNvSpPr>
      </xdr:nvSpPr>
      <xdr:spPr bwMode="auto">
        <a:xfrm>
          <a:off x="5003800" y="2984500"/>
          <a:ext cx="2413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16</xdr:row>
      <xdr:rowOff>114300</xdr:rowOff>
    </xdr:from>
    <xdr:to>
      <xdr:col>8</xdr:col>
      <xdr:colOff>241300</xdr:colOff>
      <xdr:row>20</xdr:row>
      <xdr:rowOff>57150</xdr:rowOff>
    </xdr:to>
    <xdr:sp macro="" textlink="">
      <xdr:nvSpPr>
        <xdr:cNvPr id="11337" name="Freeform 73">
          <a:extLst>
            <a:ext uri="{FF2B5EF4-FFF2-40B4-BE49-F238E27FC236}">
              <a16:creationId xmlns:a16="http://schemas.microsoft.com/office/drawing/2014/main" id="{E1B0DA52-B03B-488B-BF0C-1C2F39D9A2B9}"/>
            </a:ext>
          </a:extLst>
        </xdr:cNvPr>
        <xdr:cNvSpPr>
          <a:spLocks/>
        </xdr:cNvSpPr>
      </xdr:nvSpPr>
      <xdr:spPr bwMode="auto">
        <a:xfrm>
          <a:off x="8153400" y="3181350"/>
          <a:ext cx="241300" cy="628650"/>
        </a:xfrm>
        <a:custGeom>
          <a:avLst/>
          <a:gdLst>
            <a:gd name="T0" fmla="*/ 0 w 24"/>
            <a:gd name="T1" fmla="*/ 66 h 66"/>
            <a:gd name="T2" fmla="*/ 24 w 24"/>
            <a:gd name="T3" fmla="*/ 66 h 66"/>
            <a:gd name="T4" fmla="*/ 24 w 24"/>
            <a:gd name="T5" fmla="*/ 0 h 66"/>
            <a:gd name="T6" fmla="*/ 0 w 24"/>
            <a:gd name="T7" fmla="*/ 0 h 66"/>
          </a:gdLst>
          <a:ahLst/>
          <a:cxnLst>
            <a:cxn ang="0">
              <a:pos x="T0" y="T1"/>
            </a:cxn>
            <a:cxn ang="0">
              <a:pos x="T2" y="T3"/>
            </a:cxn>
            <a:cxn ang="0">
              <a:pos x="T4" y="T5"/>
            </a:cxn>
            <a:cxn ang="0">
              <a:pos x="T6" y="T7"/>
            </a:cxn>
          </a:cxnLst>
          <a:rect l="0" t="0" r="r" b="b"/>
          <a:pathLst>
            <a:path w="24" h="66">
              <a:moveTo>
                <a:pt x="0" y="66"/>
              </a:moveTo>
              <a:lnTo>
                <a:pt x="24" y="66"/>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304800</xdr:colOff>
      <xdr:row>6</xdr:row>
      <xdr:rowOff>82550</xdr:rowOff>
    </xdr:from>
    <xdr:to>
      <xdr:col>7</xdr:col>
      <xdr:colOff>419100</xdr:colOff>
      <xdr:row>7</xdr:row>
      <xdr:rowOff>152400</xdr:rowOff>
    </xdr:to>
    <xdr:sp macro="" textlink="">
      <xdr:nvSpPr>
        <xdr:cNvPr id="11338" name="Freeform 74">
          <a:extLst>
            <a:ext uri="{FF2B5EF4-FFF2-40B4-BE49-F238E27FC236}">
              <a16:creationId xmlns:a16="http://schemas.microsoft.com/office/drawing/2014/main" id="{EF53464E-CD5D-4C00-AB8A-1B92F606859C}"/>
            </a:ext>
          </a:extLst>
        </xdr:cNvPr>
        <xdr:cNvSpPr>
          <a:spLocks/>
        </xdr:cNvSpPr>
      </xdr:nvSpPr>
      <xdr:spPr bwMode="auto">
        <a:xfrm>
          <a:off x="4699000" y="1454150"/>
          <a:ext cx="3124200" cy="234950"/>
        </a:xfrm>
        <a:custGeom>
          <a:avLst/>
          <a:gdLst>
            <a:gd name="T0" fmla="*/ 0 w 314"/>
            <a:gd name="T1" fmla="*/ 25 h 25"/>
            <a:gd name="T2" fmla="*/ 0 w 314"/>
            <a:gd name="T3" fmla="*/ 0 h 25"/>
            <a:gd name="T4" fmla="*/ 314 w 314"/>
            <a:gd name="T5" fmla="*/ 0 h 25"/>
            <a:gd name="T6" fmla="*/ 314 w 314"/>
            <a:gd name="T7" fmla="*/ 7 h 25"/>
          </a:gdLst>
          <a:ahLst/>
          <a:cxnLst>
            <a:cxn ang="0">
              <a:pos x="T0" y="T1"/>
            </a:cxn>
            <a:cxn ang="0">
              <a:pos x="T2" y="T3"/>
            </a:cxn>
            <a:cxn ang="0">
              <a:pos x="T4" y="T5"/>
            </a:cxn>
            <a:cxn ang="0">
              <a:pos x="T6" y="T7"/>
            </a:cxn>
          </a:cxnLst>
          <a:rect l="0" t="0" r="r" b="b"/>
          <a:pathLst>
            <a:path w="314" h="25">
              <a:moveTo>
                <a:pt x="0" y="25"/>
              </a:moveTo>
              <a:lnTo>
                <a:pt x="0" y="0"/>
              </a:lnTo>
              <a:lnTo>
                <a:pt x="314" y="0"/>
              </a:lnTo>
              <a:lnTo>
                <a:pt x="314" y="7"/>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6</xdr:row>
      <xdr:rowOff>0</xdr:rowOff>
    </xdr:from>
    <xdr:to>
      <xdr:col>6</xdr:col>
      <xdr:colOff>812800</xdr:colOff>
      <xdr:row>6</xdr:row>
      <xdr:rowOff>76200</xdr:rowOff>
    </xdr:to>
    <xdr:sp macro="" textlink="">
      <xdr:nvSpPr>
        <xdr:cNvPr id="11339" name="Line 75">
          <a:extLst>
            <a:ext uri="{FF2B5EF4-FFF2-40B4-BE49-F238E27FC236}">
              <a16:creationId xmlns:a16="http://schemas.microsoft.com/office/drawing/2014/main" id="{9166C803-2D17-4199-8931-64BF8754C72D}"/>
            </a:ext>
          </a:extLst>
        </xdr:cNvPr>
        <xdr:cNvSpPr>
          <a:spLocks noChangeShapeType="1"/>
        </xdr:cNvSpPr>
      </xdr:nvSpPr>
      <xdr:spPr bwMode="auto">
        <a:xfrm>
          <a:off x="6597650" y="1371600"/>
          <a:ext cx="0" cy="7620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800100</xdr:colOff>
      <xdr:row>3</xdr:row>
      <xdr:rowOff>0</xdr:rowOff>
    </xdr:from>
    <xdr:to>
      <xdr:col>6</xdr:col>
      <xdr:colOff>812800</xdr:colOff>
      <xdr:row>4</xdr:row>
      <xdr:rowOff>44450</xdr:rowOff>
    </xdr:to>
    <xdr:sp macro="" textlink="">
      <xdr:nvSpPr>
        <xdr:cNvPr id="11340" name="Line 76">
          <a:extLst>
            <a:ext uri="{FF2B5EF4-FFF2-40B4-BE49-F238E27FC236}">
              <a16:creationId xmlns:a16="http://schemas.microsoft.com/office/drawing/2014/main" id="{C48E6F82-8893-4D17-988C-E235CDF96EFF}"/>
            </a:ext>
          </a:extLst>
        </xdr:cNvPr>
        <xdr:cNvSpPr>
          <a:spLocks noChangeShapeType="1"/>
        </xdr:cNvSpPr>
      </xdr:nvSpPr>
      <xdr:spPr bwMode="auto">
        <a:xfrm flipH="1" flipV="1">
          <a:off x="6584950" y="806450"/>
          <a:ext cx="12700" cy="2349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8</xdr:row>
      <xdr:rowOff>88900</xdr:rowOff>
    </xdr:from>
    <xdr:to>
      <xdr:col>11</xdr:col>
      <xdr:colOff>152400</xdr:colOff>
      <xdr:row>12</xdr:row>
      <xdr:rowOff>101600</xdr:rowOff>
    </xdr:to>
    <xdr:grpSp>
      <xdr:nvGrpSpPr>
        <xdr:cNvPr id="11341" name="Group 77">
          <a:extLst>
            <a:ext uri="{FF2B5EF4-FFF2-40B4-BE49-F238E27FC236}">
              <a16:creationId xmlns:a16="http://schemas.microsoft.com/office/drawing/2014/main" id="{EEEBC084-2778-4378-BBEC-1C1A9394AAFE}"/>
            </a:ext>
          </a:extLst>
        </xdr:cNvPr>
        <xdr:cNvGrpSpPr>
          <a:grpSpLocks/>
        </xdr:cNvGrpSpPr>
      </xdr:nvGrpSpPr>
      <xdr:grpSpPr bwMode="auto">
        <a:xfrm>
          <a:off x="8153400" y="1797050"/>
          <a:ext cx="2616200" cy="692150"/>
          <a:chOff x="819" y="201"/>
          <a:chExt cx="266" cy="74"/>
        </a:xfrm>
      </xdr:grpSpPr>
      <xdr:sp macro="" textlink="">
        <xdr:nvSpPr>
          <xdr:cNvPr id="11342" name="Freeform 78">
            <a:extLst>
              <a:ext uri="{FF2B5EF4-FFF2-40B4-BE49-F238E27FC236}">
                <a16:creationId xmlns:a16="http://schemas.microsoft.com/office/drawing/2014/main" id="{97399C60-A867-4602-A44F-42344E987568}"/>
              </a:ext>
            </a:extLst>
          </xdr:cNvPr>
          <xdr:cNvSpPr>
            <a:spLocks/>
          </xdr:cNvSpPr>
        </xdr:nvSpPr>
        <xdr:spPr bwMode="auto">
          <a:xfrm>
            <a:off x="819" y="201"/>
            <a:ext cx="266" cy="74"/>
          </a:xfrm>
          <a:custGeom>
            <a:avLst/>
            <a:gdLst>
              <a:gd name="T0" fmla="*/ 0 w 207"/>
              <a:gd name="T1" fmla="*/ 126 h 126"/>
              <a:gd name="T2" fmla="*/ 207 w 207"/>
              <a:gd name="T3" fmla="*/ 126 h 126"/>
              <a:gd name="T4" fmla="*/ 207 w 207"/>
              <a:gd name="T5" fmla="*/ 0 h 126"/>
              <a:gd name="T6" fmla="*/ 195 w 207"/>
              <a:gd name="T7" fmla="*/ 0 h 126"/>
            </a:gdLst>
            <a:ahLst/>
            <a:cxnLst>
              <a:cxn ang="0">
                <a:pos x="T0" y="T1"/>
              </a:cxn>
              <a:cxn ang="0">
                <a:pos x="T2" y="T3"/>
              </a:cxn>
              <a:cxn ang="0">
                <a:pos x="T4" y="T5"/>
              </a:cxn>
              <a:cxn ang="0">
                <a:pos x="T6" y="T7"/>
              </a:cxn>
            </a:cxnLst>
            <a:rect l="0" t="0" r="r" b="b"/>
            <a:pathLst>
              <a:path w="207" h="126">
                <a:moveTo>
                  <a:pt x="0" y="126"/>
                </a:moveTo>
                <a:lnTo>
                  <a:pt x="207" y="126"/>
                </a:lnTo>
                <a:lnTo>
                  <a:pt x="207" y="0"/>
                </a:lnTo>
                <a:lnTo>
                  <a:pt x="195"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11343" name="Line 79">
            <a:extLst>
              <a:ext uri="{FF2B5EF4-FFF2-40B4-BE49-F238E27FC236}">
                <a16:creationId xmlns:a16="http://schemas.microsoft.com/office/drawing/2014/main" id="{F5CBD9A6-0DC1-462A-A977-4EE5042485D7}"/>
              </a:ext>
            </a:extLst>
          </xdr:cNvPr>
          <xdr:cNvSpPr>
            <a:spLocks noChangeShapeType="1"/>
          </xdr:cNvSpPr>
        </xdr:nvSpPr>
        <xdr:spPr bwMode="auto">
          <a:xfrm>
            <a:off x="1069" y="239"/>
            <a:ext cx="16"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4</xdr:col>
      <xdr:colOff>590550</xdr:colOff>
      <xdr:row>8</xdr:row>
      <xdr:rowOff>76200</xdr:rowOff>
    </xdr:from>
    <xdr:to>
      <xdr:col>5</xdr:col>
      <xdr:colOff>241300</xdr:colOff>
      <xdr:row>13</xdr:row>
      <xdr:rowOff>44450</xdr:rowOff>
    </xdr:to>
    <xdr:sp macro="" textlink="">
      <xdr:nvSpPr>
        <xdr:cNvPr id="11344" name="Freeform 80">
          <a:extLst>
            <a:ext uri="{FF2B5EF4-FFF2-40B4-BE49-F238E27FC236}">
              <a16:creationId xmlns:a16="http://schemas.microsoft.com/office/drawing/2014/main" id="{B5094FBD-76CA-4A0B-A295-65B24C91EE21}"/>
            </a:ext>
          </a:extLst>
        </xdr:cNvPr>
        <xdr:cNvSpPr>
          <a:spLocks/>
        </xdr:cNvSpPr>
      </xdr:nvSpPr>
      <xdr:spPr bwMode="auto">
        <a:xfrm>
          <a:off x="4984750" y="1784350"/>
          <a:ext cx="260350" cy="819150"/>
        </a:xfrm>
        <a:custGeom>
          <a:avLst/>
          <a:gdLst>
            <a:gd name="T0" fmla="*/ 2 w 24"/>
            <a:gd name="T1" fmla="*/ 88 h 88"/>
            <a:gd name="T2" fmla="*/ 24 w 24"/>
            <a:gd name="T3" fmla="*/ 88 h 88"/>
            <a:gd name="T4" fmla="*/ 24 w 24"/>
            <a:gd name="T5" fmla="*/ 0 h 88"/>
            <a:gd name="T6" fmla="*/ 0 w 24"/>
            <a:gd name="T7" fmla="*/ 0 h 88"/>
          </a:gdLst>
          <a:ahLst/>
          <a:cxnLst>
            <a:cxn ang="0">
              <a:pos x="T0" y="T1"/>
            </a:cxn>
            <a:cxn ang="0">
              <a:pos x="T2" y="T3"/>
            </a:cxn>
            <a:cxn ang="0">
              <a:pos x="T4" y="T5"/>
            </a:cxn>
            <a:cxn ang="0">
              <a:pos x="T6" y="T7"/>
            </a:cxn>
          </a:cxnLst>
          <a:rect l="0" t="0" r="r" b="b"/>
          <a:pathLst>
            <a:path w="24" h="88">
              <a:moveTo>
                <a:pt x="2" y="88"/>
              </a:moveTo>
              <a:lnTo>
                <a:pt x="24" y="88"/>
              </a:ln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0</xdr:colOff>
      <xdr:row>10</xdr:row>
      <xdr:rowOff>88900</xdr:rowOff>
    </xdr:from>
    <xdr:to>
      <xdr:col>5</xdr:col>
      <xdr:colOff>222250</xdr:colOff>
      <xdr:row>10</xdr:row>
      <xdr:rowOff>88900</xdr:rowOff>
    </xdr:to>
    <xdr:sp macro="" textlink="">
      <xdr:nvSpPr>
        <xdr:cNvPr id="11345" name="Line 81">
          <a:extLst>
            <a:ext uri="{FF2B5EF4-FFF2-40B4-BE49-F238E27FC236}">
              <a16:creationId xmlns:a16="http://schemas.microsoft.com/office/drawing/2014/main" id="{B2ABDD99-03B1-4B34-A155-99EAB2E0A07E}"/>
            </a:ext>
          </a:extLst>
        </xdr:cNvPr>
        <xdr:cNvSpPr>
          <a:spLocks noChangeShapeType="1"/>
        </xdr:cNvSpPr>
      </xdr:nvSpPr>
      <xdr:spPr bwMode="auto">
        <a:xfrm>
          <a:off x="5003800" y="2133600"/>
          <a:ext cx="2222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13</xdr:row>
      <xdr:rowOff>69850</xdr:rowOff>
    </xdr:from>
    <xdr:to>
      <xdr:col>8</xdr:col>
      <xdr:colOff>247650</xdr:colOff>
      <xdr:row>14</xdr:row>
      <xdr:rowOff>127000</xdr:rowOff>
    </xdr:to>
    <xdr:sp macro="" textlink="">
      <xdr:nvSpPr>
        <xdr:cNvPr id="11346" name="Freeform 82">
          <a:extLst>
            <a:ext uri="{FF2B5EF4-FFF2-40B4-BE49-F238E27FC236}">
              <a16:creationId xmlns:a16="http://schemas.microsoft.com/office/drawing/2014/main" id="{58515FD1-A8D7-474D-8624-43CD26F9EDE7}"/>
            </a:ext>
          </a:extLst>
        </xdr:cNvPr>
        <xdr:cNvSpPr>
          <a:spLocks/>
        </xdr:cNvSpPr>
      </xdr:nvSpPr>
      <xdr:spPr bwMode="auto">
        <a:xfrm>
          <a:off x="8153400" y="2628900"/>
          <a:ext cx="247650" cy="228600"/>
        </a:xfrm>
        <a:custGeom>
          <a:avLst/>
          <a:gdLst>
            <a:gd name="T0" fmla="*/ 24 w 24"/>
            <a:gd name="T1" fmla="*/ 23 h 23"/>
            <a:gd name="T2" fmla="*/ 24 w 24"/>
            <a:gd name="T3" fmla="*/ 0 h 23"/>
            <a:gd name="T4" fmla="*/ 0 w 24"/>
            <a:gd name="T5" fmla="*/ 0 h 23"/>
          </a:gdLst>
          <a:ahLst/>
          <a:cxnLst>
            <a:cxn ang="0">
              <a:pos x="T0" y="T1"/>
            </a:cxn>
            <a:cxn ang="0">
              <a:pos x="T2" y="T3"/>
            </a:cxn>
            <a:cxn ang="0">
              <a:pos x="T4" y="T5"/>
            </a:cxn>
          </a:cxnLst>
          <a:rect l="0" t="0" r="r" b="b"/>
          <a:pathLst>
            <a:path w="24" h="23">
              <a:moveTo>
                <a:pt x="24" y="23"/>
              </a:moveTo>
              <a:lnTo>
                <a:pt x="24" y="0"/>
              </a:lnTo>
              <a:lnTo>
                <a:pt x="0" y="0"/>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812800</xdr:colOff>
      <xdr:row>4</xdr:row>
      <xdr:rowOff>44450</xdr:rowOff>
    </xdr:from>
    <xdr:to>
      <xdr:col>10</xdr:col>
      <xdr:colOff>317500</xdr:colOff>
      <xdr:row>7</xdr:row>
      <xdr:rowOff>152400</xdr:rowOff>
    </xdr:to>
    <xdr:sp macro="" textlink="">
      <xdr:nvSpPr>
        <xdr:cNvPr id="11347" name="Freeform 83">
          <a:extLst>
            <a:ext uri="{FF2B5EF4-FFF2-40B4-BE49-F238E27FC236}">
              <a16:creationId xmlns:a16="http://schemas.microsoft.com/office/drawing/2014/main" id="{3AD4F2A6-C374-40CC-8D66-3A4BA9C6ECB3}"/>
            </a:ext>
          </a:extLst>
        </xdr:cNvPr>
        <xdr:cNvSpPr>
          <a:spLocks/>
        </xdr:cNvSpPr>
      </xdr:nvSpPr>
      <xdr:spPr bwMode="auto">
        <a:xfrm>
          <a:off x="6597650" y="1041400"/>
          <a:ext cx="3727450" cy="647700"/>
        </a:xfrm>
        <a:custGeom>
          <a:avLst/>
          <a:gdLst>
            <a:gd name="T0" fmla="*/ 375 w 375"/>
            <a:gd name="T1" fmla="*/ 69 h 69"/>
            <a:gd name="T2" fmla="*/ 375 w 375"/>
            <a:gd name="T3" fmla="*/ 0 h 69"/>
            <a:gd name="T4" fmla="*/ 0 w 375"/>
            <a:gd name="T5" fmla="*/ 0 h 69"/>
            <a:gd name="T6" fmla="*/ 0 w 375"/>
            <a:gd name="T7" fmla="*/ 13 h 69"/>
          </a:gdLst>
          <a:ahLst/>
          <a:cxnLst>
            <a:cxn ang="0">
              <a:pos x="T0" y="T1"/>
            </a:cxn>
            <a:cxn ang="0">
              <a:pos x="T2" y="T3"/>
            </a:cxn>
            <a:cxn ang="0">
              <a:pos x="T4" y="T5"/>
            </a:cxn>
            <a:cxn ang="0">
              <a:pos x="T6" y="T7"/>
            </a:cxn>
          </a:cxnLst>
          <a:rect l="0" t="0" r="r" b="b"/>
          <a:pathLst>
            <a:path w="375" h="69">
              <a:moveTo>
                <a:pt x="375" y="69"/>
              </a:moveTo>
              <a:lnTo>
                <a:pt x="375" y="0"/>
              </a:lnTo>
              <a:lnTo>
                <a:pt x="0" y="0"/>
              </a:lnTo>
              <a:lnTo>
                <a:pt x="0" y="13"/>
              </a:lnTo>
            </a:path>
          </a:pathLst>
        </a:custGeom>
        <a:noFill/>
        <a:ln w="19050" cmpd="sng">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127000</xdr:colOff>
      <xdr:row>4</xdr:row>
      <xdr:rowOff>0</xdr:rowOff>
    </xdr:from>
    <xdr:to>
      <xdr:col>8</xdr:col>
      <xdr:colOff>1187450</xdr:colOff>
      <xdr:row>39</xdr:row>
      <xdr:rowOff>0</xdr:rowOff>
    </xdr:to>
    <xdr:graphicFrame macro="">
      <xdr:nvGraphicFramePr>
        <xdr:cNvPr id="7169" name="Chart 1">
          <a:extLst>
            <a:ext uri="{FF2B5EF4-FFF2-40B4-BE49-F238E27FC236}">
              <a16:creationId xmlns:a16="http://schemas.microsoft.com/office/drawing/2014/main" id="{BA864112-8723-41E0-B34D-4C45F407A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222250</xdr:colOff>
      <xdr:row>39</xdr:row>
      <xdr:rowOff>101600</xdr:rowOff>
    </xdr:from>
    <xdr:to>
      <xdr:col>7</xdr:col>
      <xdr:colOff>749300</xdr:colOff>
      <xdr:row>79</xdr:row>
      <xdr:rowOff>133350</xdr:rowOff>
    </xdr:to>
    <xdr:graphicFrame macro="">
      <xdr:nvGraphicFramePr>
        <xdr:cNvPr id="7170" name="Chart 2">
          <a:extLst>
            <a:ext uri="{FF2B5EF4-FFF2-40B4-BE49-F238E27FC236}">
              <a16:creationId xmlns:a16="http://schemas.microsoft.com/office/drawing/2014/main" id="{4DDDE3EA-D292-44A1-83DC-BD6CE2F66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C32" sqref="C32"/>
    </sheetView>
  </sheetViews>
  <sheetFormatPr defaultRowHeight="12.5" x14ac:dyDescent="0.25"/>
  <sheetData/>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9"/>
  <sheetViews>
    <sheetView zoomScale="85" workbookViewId="0">
      <selection activeCell="B19" sqref="B19"/>
    </sheetView>
  </sheetViews>
  <sheetFormatPr defaultRowHeight="12.5" x14ac:dyDescent="0.25"/>
  <cols>
    <col min="1" max="1" width="11.7265625" customWidth="1"/>
    <col min="2" max="2" width="81.7265625" customWidth="1"/>
    <col min="3" max="3" width="9.26953125" customWidth="1"/>
  </cols>
  <sheetData>
    <row r="1" spans="1:5" ht="20" x14ac:dyDescent="0.4">
      <c r="A1" s="91" t="s">
        <v>173</v>
      </c>
      <c r="B1" s="47"/>
      <c r="C1" s="47"/>
      <c r="D1" s="47"/>
      <c r="E1" s="47"/>
    </row>
    <row r="2" spans="1:5" ht="13" x14ac:dyDescent="0.3">
      <c r="C2" s="131" t="s">
        <v>172</v>
      </c>
      <c r="D2" s="132" t="s">
        <v>129</v>
      </c>
    </row>
    <row r="3" spans="1:5" ht="13" x14ac:dyDescent="0.3">
      <c r="A3" s="27"/>
      <c r="B3" t="s">
        <v>193</v>
      </c>
      <c r="C3" s="145">
        <f>Financials!B14</f>
        <v>485</v>
      </c>
      <c r="D3" s="6"/>
    </row>
    <row r="4" spans="1:5" ht="13" x14ac:dyDescent="0.3">
      <c r="A4" s="27"/>
    </row>
    <row r="5" spans="1:5" ht="13" x14ac:dyDescent="0.3">
      <c r="A5" s="27" t="s">
        <v>157</v>
      </c>
    </row>
    <row r="6" spans="1:5" ht="13" x14ac:dyDescent="0.3">
      <c r="A6" s="139" t="s">
        <v>184</v>
      </c>
      <c r="B6" s="27" t="s">
        <v>190</v>
      </c>
      <c r="D6" s="69">
        <v>0.15</v>
      </c>
    </row>
    <row r="7" spans="1:5" ht="15.5" x14ac:dyDescent="0.35">
      <c r="A7" s="146" t="s">
        <v>186</v>
      </c>
      <c r="B7" s="27"/>
    </row>
    <row r="8" spans="1:5" ht="13" x14ac:dyDescent="0.3">
      <c r="A8" s="139" t="s">
        <v>185</v>
      </c>
      <c r="B8" s="27" t="s">
        <v>189</v>
      </c>
    </row>
    <row r="9" spans="1:5" x14ac:dyDescent="0.25">
      <c r="B9" t="s">
        <v>140</v>
      </c>
      <c r="D9" s="68">
        <f>Financials!C41</f>
        <v>0.52380952380952384</v>
      </c>
    </row>
    <row r="10" spans="1:5" x14ac:dyDescent="0.25">
      <c r="B10" t="s">
        <v>139</v>
      </c>
      <c r="D10" s="68">
        <f>Financials!C46</f>
        <v>0.47619047619047616</v>
      </c>
    </row>
    <row r="11" spans="1:5" x14ac:dyDescent="0.25">
      <c r="B11" t="s">
        <v>137</v>
      </c>
      <c r="C11" s="66">
        <v>1.2</v>
      </c>
    </row>
    <row r="12" spans="1:5" x14ac:dyDescent="0.25">
      <c r="B12" t="s">
        <v>138</v>
      </c>
      <c r="C12" s="68">
        <v>0.06</v>
      </c>
    </row>
    <row r="13" spans="1:5" ht="13" x14ac:dyDescent="0.3">
      <c r="B13" t="s">
        <v>141</v>
      </c>
      <c r="C13" s="144">
        <v>0.08</v>
      </c>
    </row>
    <row r="14" spans="1:5" x14ac:dyDescent="0.25">
      <c r="B14" t="s">
        <v>167</v>
      </c>
      <c r="D14" s="15">
        <f>C12+(C11*C13)</f>
        <v>0.156</v>
      </c>
    </row>
    <row r="15" spans="1:5" x14ac:dyDescent="0.25">
      <c r="B15" t="s">
        <v>135</v>
      </c>
      <c r="D15" s="67">
        <v>7.0000000000000007E-2</v>
      </c>
    </row>
    <row r="16" spans="1:5" ht="13" x14ac:dyDescent="0.3">
      <c r="B16" s="27" t="s">
        <v>166</v>
      </c>
      <c r="D16" s="140">
        <f>(D9*D15*(1-D18))+(D10*D14)</f>
        <v>9.6285714285714294E-2</v>
      </c>
    </row>
    <row r="17" spans="1:5" ht="13" x14ac:dyDescent="0.3">
      <c r="B17" s="27"/>
      <c r="D17" s="140"/>
    </row>
    <row r="18" spans="1:5" x14ac:dyDescent="0.25">
      <c r="B18" t="s">
        <v>188</v>
      </c>
      <c r="D18" s="78">
        <v>0.4</v>
      </c>
    </row>
    <row r="19" spans="1:5" ht="13" x14ac:dyDescent="0.3">
      <c r="B19" s="27" t="s">
        <v>136</v>
      </c>
      <c r="E19" s="65">
        <f>IF(D6&gt;0,D6/(1-D18),D16/(1-D18))</f>
        <v>0.25</v>
      </c>
    </row>
    <row r="21" spans="1:5" ht="13" x14ac:dyDescent="0.3">
      <c r="A21" s="27" t="s">
        <v>149</v>
      </c>
      <c r="C21" s="73"/>
      <c r="D21" s="73"/>
    </row>
    <row r="22" spans="1:5" x14ac:dyDescent="0.25">
      <c r="B22" t="s">
        <v>142</v>
      </c>
      <c r="C22" s="75">
        <v>4.8499999999999996</v>
      </c>
      <c r="D22" s="71">
        <f>C22/$C$3</f>
        <v>9.9999999999999985E-3</v>
      </c>
    </row>
    <row r="23" spans="1:5" ht="13" x14ac:dyDescent="0.3">
      <c r="B23" t="s">
        <v>143</v>
      </c>
      <c r="C23" s="75">
        <v>8.1</v>
      </c>
      <c r="D23" s="71">
        <f>C23/$C$3</f>
        <v>1.670103092783505E-2</v>
      </c>
      <c r="E23" s="43">
        <f>D23+D22</f>
        <v>2.6701030927835049E-2</v>
      </c>
    </row>
    <row r="24" spans="1:5" x14ac:dyDescent="0.25">
      <c r="C24" s="76"/>
      <c r="D24" s="72"/>
    </row>
    <row r="25" spans="1:5" ht="13" x14ac:dyDescent="0.3">
      <c r="A25" s="27" t="s">
        <v>148</v>
      </c>
      <c r="C25" s="76"/>
      <c r="D25" s="72"/>
    </row>
    <row r="26" spans="1:5" x14ac:dyDescent="0.25">
      <c r="B26" t="s">
        <v>145</v>
      </c>
      <c r="C26" s="75">
        <v>0</v>
      </c>
      <c r="D26" s="71">
        <f>C26/$C$3</f>
        <v>0</v>
      </c>
    </row>
    <row r="27" spans="1:5" x14ac:dyDescent="0.25">
      <c r="B27" t="s">
        <v>146</v>
      </c>
      <c r="C27" s="75">
        <v>2.4249999999999998</v>
      </c>
      <c r="D27" s="71">
        <f>C27/$C$3</f>
        <v>4.9999999999999992E-3</v>
      </c>
    </row>
    <row r="28" spans="1:5" x14ac:dyDescent="0.25">
      <c r="B28" t="s">
        <v>147</v>
      </c>
      <c r="C28" s="75">
        <v>0</v>
      </c>
      <c r="D28" s="71">
        <f>C28/$C$3</f>
        <v>0</v>
      </c>
    </row>
    <row r="29" spans="1:5" ht="13" x14ac:dyDescent="0.3">
      <c r="B29" t="s">
        <v>144</v>
      </c>
      <c r="C29" s="75">
        <v>0</v>
      </c>
      <c r="D29" s="71">
        <f>C29/$C$3</f>
        <v>0</v>
      </c>
      <c r="E29" s="43">
        <f>SUM(D26:D29)</f>
        <v>4.9999999999999992E-3</v>
      </c>
    </row>
    <row r="30" spans="1:5" x14ac:dyDescent="0.25">
      <c r="C30" s="76"/>
      <c r="D30" s="72"/>
    </row>
    <row r="31" spans="1:5" ht="13" x14ac:dyDescent="0.3">
      <c r="A31" s="27" t="s">
        <v>152</v>
      </c>
      <c r="C31" s="76"/>
      <c r="D31" s="72"/>
    </row>
    <row r="32" spans="1:5" x14ac:dyDescent="0.25">
      <c r="B32" t="s">
        <v>161</v>
      </c>
      <c r="C32" s="75">
        <v>3.5</v>
      </c>
      <c r="D32" s="71">
        <f>C32/$C$3</f>
        <v>7.2164948453608251E-3</v>
      </c>
    </row>
    <row r="33" spans="1:5" x14ac:dyDescent="0.25">
      <c r="B33" t="s">
        <v>150</v>
      </c>
      <c r="C33" s="75">
        <v>2</v>
      </c>
      <c r="D33" s="71">
        <f>C33/$C$3</f>
        <v>4.1237113402061857E-3</v>
      </c>
    </row>
    <row r="34" spans="1:5" x14ac:dyDescent="0.25">
      <c r="B34" t="s">
        <v>151</v>
      </c>
      <c r="C34" s="75">
        <v>2</v>
      </c>
      <c r="D34" s="71">
        <f>C34/$C$3</f>
        <v>4.1237113402061857E-3</v>
      </c>
    </row>
    <row r="35" spans="1:5" ht="13" x14ac:dyDescent="0.3">
      <c r="B35" t="s">
        <v>165</v>
      </c>
      <c r="C35" s="75">
        <v>0</v>
      </c>
      <c r="D35" s="71">
        <f>C35/$C$3</f>
        <v>0</v>
      </c>
      <c r="E35" s="70">
        <f>SUM(D32:D35)</f>
        <v>1.5463917525773196E-2</v>
      </c>
    </row>
    <row r="37" spans="1:5" ht="13" x14ac:dyDescent="0.3">
      <c r="A37" s="27" t="s">
        <v>153</v>
      </c>
      <c r="E37" s="65">
        <f>E19+E23+E29+E35</f>
        <v>0.29716494845360825</v>
      </c>
    </row>
    <row r="39" spans="1:5" x14ac:dyDescent="0.25">
      <c r="A39" s="6"/>
    </row>
  </sheetData>
  <phoneticPr fontId="0" type="noConversion"/>
  <pageMargins left="0.25" right="0.25" top="1" bottom="1" header="0.5" footer="0.5"/>
  <pageSetup scale="85" orientation="portrait" r:id="rId1"/>
  <headerFooter alignWithMargins="0">
    <oddFooter>&amp;LSCMRG/The Ohio State University, 2002 and &amp;"Arial,Italic"S&amp;" &amp;,Italic"trategic Logistics Management&amp;"Arial,Regular" by D. Lambert and J. Stock</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107"/>
  <sheetViews>
    <sheetView zoomScale="85" zoomScaleNormal="85" workbookViewId="0">
      <pane xSplit="1" topLeftCell="B1" activePane="topRight" state="frozen"/>
      <selection activeCell="B27" sqref="B27"/>
      <selection pane="topRight" activeCell="C6" sqref="C6"/>
    </sheetView>
  </sheetViews>
  <sheetFormatPr defaultColWidth="11.453125" defaultRowHeight="12.5" x14ac:dyDescent="0.25"/>
  <cols>
    <col min="1" max="1" width="48.81640625" style="7" customWidth="1"/>
    <col min="2" max="3" width="15.7265625" style="7" customWidth="1"/>
    <col min="4" max="4" width="2.7265625" style="7" customWidth="1"/>
    <col min="5" max="6" width="15.7265625" style="7" customWidth="1"/>
    <col min="7" max="7" width="2.7265625" style="7" customWidth="1"/>
    <col min="8" max="9" width="15.7265625" style="7" customWidth="1"/>
    <col min="10" max="10" width="2.7265625" style="7" customWidth="1"/>
    <col min="11" max="12" width="15.7265625" style="7" customWidth="1"/>
    <col min="13" max="13" width="2.7265625" style="7" customWidth="1"/>
    <col min="14" max="15" width="15.7265625" style="7" customWidth="1"/>
    <col min="16" max="16384" width="11.453125" style="7"/>
  </cols>
  <sheetData>
    <row r="1" spans="1:15" s="54" customFormat="1" ht="26.25" customHeight="1" x14ac:dyDescent="0.5">
      <c r="A1" s="52" t="s">
        <v>118</v>
      </c>
      <c r="B1" s="53"/>
      <c r="C1" s="53"/>
      <c r="D1" s="53"/>
      <c r="E1" s="53"/>
      <c r="F1" s="53"/>
      <c r="G1" s="53"/>
      <c r="H1" s="53"/>
      <c r="I1" s="53"/>
      <c r="J1" s="53"/>
      <c r="K1" s="53"/>
      <c r="L1" s="53"/>
      <c r="M1" s="53"/>
      <c r="N1" s="53"/>
      <c r="O1" s="53"/>
    </row>
    <row r="2" spans="1:15" ht="13" x14ac:dyDescent="0.3">
      <c r="A2" s="55" t="s">
        <v>113</v>
      </c>
      <c r="B2" s="57"/>
    </row>
    <row r="3" spans="1:15" x14ac:dyDescent="0.25">
      <c r="A3" s="56" t="s">
        <v>2</v>
      </c>
      <c r="B3" s="74">
        <v>1000</v>
      </c>
    </row>
    <row r="4" spans="1:15" x14ac:dyDescent="0.25">
      <c r="A4" s="56" t="s">
        <v>104</v>
      </c>
      <c r="B4" s="58">
        <v>2.7</v>
      </c>
    </row>
    <row r="5" spans="1:15" x14ac:dyDescent="0.25">
      <c r="A5" s="56" t="s">
        <v>105</v>
      </c>
      <c r="B5" s="58">
        <v>1.1000000000000001</v>
      </c>
    </row>
    <row r="6" spans="1:15" x14ac:dyDescent="0.25">
      <c r="A6" s="56" t="s">
        <v>8</v>
      </c>
      <c r="B6" s="59">
        <v>0.248</v>
      </c>
    </row>
    <row r="7" spans="1:15" x14ac:dyDescent="0.25">
      <c r="A7" s="56" t="s">
        <v>108</v>
      </c>
      <c r="B7" s="59">
        <v>2.5999999999999999E-2</v>
      </c>
    </row>
    <row r="8" spans="1:15" s="34" customFormat="1" ht="13" x14ac:dyDescent="0.3">
      <c r="A8" s="60" t="s">
        <v>103</v>
      </c>
      <c r="B8" s="61">
        <v>2.5000000000000001E-2</v>
      </c>
    </row>
    <row r="9" spans="1:15" ht="35.25" customHeight="1" x14ac:dyDescent="0.3">
      <c r="B9" s="46" t="s">
        <v>114</v>
      </c>
      <c r="C9" s="49"/>
      <c r="E9" s="48" t="s">
        <v>116</v>
      </c>
      <c r="F9" s="49"/>
      <c r="H9" s="48" t="s">
        <v>170</v>
      </c>
      <c r="I9" s="49"/>
      <c r="K9" s="48" t="s">
        <v>171</v>
      </c>
      <c r="L9" s="49"/>
      <c r="N9" s="48" t="s">
        <v>117</v>
      </c>
      <c r="O9" s="49"/>
    </row>
    <row r="10" spans="1:15" ht="13" x14ac:dyDescent="0.3">
      <c r="B10" s="12" t="s">
        <v>46</v>
      </c>
      <c r="C10" s="26" t="s">
        <v>100</v>
      </c>
      <c r="D10" s="12"/>
      <c r="E10" s="12" t="s">
        <v>47</v>
      </c>
      <c r="F10" s="26" t="s">
        <v>100</v>
      </c>
      <c r="G10" s="50"/>
      <c r="H10" s="12" t="s">
        <v>47</v>
      </c>
      <c r="I10" s="26" t="s">
        <v>100</v>
      </c>
      <c r="K10" s="12" t="s">
        <v>47</v>
      </c>
      <c r="L10" s="26" t="s">
        <v>100</v>
      </c>
      <c r="N10" s="12" t="s">
        <v>47</v>
      </c>
      <c r="O10" s="26" t="s">
        <v>100</v>
      </c>
    </row>
    <row r="11" spans="1:15" ht="20" x14ac:dyDescent="0.4">
      <c r="A11" s="24" t="s">
        <v>9</v>
      </c>
    </row>
    <row r="12" spans="1:15" x14ac:dyDescent="0.25">
      <c r="A12" s="7" t="s">
        <v>27</v>
      </c>
      <c r="B12" s="79">
        <f>C12*$B$28</f>
        <v>25</v>
      </c>
      <c r="C12" s="36">
        <v>2.5000000000000001E-2</v>
      </c>
      <c r="D12" s="35"/>
      <c r="E12" s="79">
        <f>B12</f>
        <v>25</v>
      </c>
      <c r="F12" s="35">
        <f>E12/E$28</f>
        <v>2.768549280177187E-2</v>
      </c>
      <c r="H12" s="79">
        <f>B12</f>
        <v>25</v>
      </c>
      <c r="I12" s="35">
        <f>H12/H$28</f>
        <v>2.5000000000000001E-2</v>
      </c>
      <c r="K12" s="79">
        <f>B12</f>
        <v>25</v>
      </c>
      <c r="L12" s="35">
        <f>K12/K$28</f>
        <v>2.5000000000000001E-2</v>
      </c>
      <c r="N12" s="79">
        <f>B12</f>
        <v>25</v>
      </c>
      <c r="O12" s="35">
        <f>N12/N$28</f>
        <v>2.768549280177187E-2</v>
      </c>
    </row>
    <row r="13" spans="1:15" x14ac:dyDescent="0.25">
      <c r="A13" s="7" t="s">
        <v>23</v>
      </c>
      <c r="B13" s="79">
        <f>C13*$B$28</f>
        <v>354</v>
      </c>
      <c r="C13" s="36">
        <v>0.35399999999999998</v>
      </c>
      <c r="D13" s="35"/>
      <c r="E13" s="79">
        <f>B13</f>
        <v>354</v>
      </c>
      <c r="F13" s="35">
        <f>E13/E$28</f>
        <v>0.39202657807308972</v>
      </c>
      <c r="H13" s="79">
        <f>B13</f>
        <v>354</v>
      </c>
      <c r="I13" s="35">
        <f>H13/H$28</f>
        <v>0.35399999999999998</v>
      </c>
      <c r="K13" s="79">
        <f>B13</f>
        <v>354</v>
      </c>
      <c r="L13" s="35">
        <f>K13/K$28</f>
        <v>0.35399999999999998</v>
      </c>
      <c r="N13" s="79">
        <f>B13</f>
        <v>354</v>
      </c>
      <c r="O13" s="35">
        <f>N13/N$28</f>
        <v>0.39202657807308972</v>
      </c>
    </row>
    <row r="14" spans="1:15" x14ac:dyDescent="0.25">
      <c r="A14" s="13" t="s">
        <v>7</v>
      </c>
      <c r="B14" s="79">
        <f>C14*$B$28</f>
        <v>485</v>
      </c>
      <c r="C14" s="36">
        <v>0.48499999999999999</v>
      </c>
      <c r="D14" s="35"/>
      <c r="E14" s="83">
        <f>B14*0.8</f>
        <v>388</v>
      </c>
      <c r="F14" s="35">
        <f>E14/E$28</f>
        <v>0.42967884828349945</v>
      </c>
      <c r="H14" s="79">
        <f>B14</f>
        <v>485</v>
      </c>
      <c r="I14" s="35">
        <f>H14/H$28</f>
        <v>0.48499999999999999</v>
      </c>
      <c r="K14" s="79">
        <f>B14</f>
        <v>485</v>
      </c>
      <c r="L14" s="35">
        <f>K14/K$28</f>
        <v>0.48499999999999999</v>
      </c>
      <c r="N14" s="83">
        <f>E14</f>
        <v>388</v>
      </c>
      <c r="O14" s="35">
        <f>N14/N$28</f>
        <v>0.42967884828349945</v>
      </c>
    </row>
    <row r="15" spans="1:15" x14ac:dyDescent="0.25">
      <c r="A15" s="8" t="s">
        <v>10</v>
      </c>
      <c r="B15" s="80">
        <f>C15*$B$28</f>
        <v>22</v>
      </c>
      <c r="C15" s="37">
        <v>2.1999999999999999E-2</v>
      </c>
      <c r="D15" s="35"/>
      <c r="E15" s="80">
        <f>B15</f>
        <v>22</v>
      </c>
      <c r="F15" s="38">
        <f>E15/E$28</f>
        <v>2.4363233665559248E-2</v>
      </c>
      <c r="H15" s="80">
        <f>B15</f>
        <v>22</v>
      </c>
      <c r="I15" s="38">
        <f>H15/H$28</f>
        <v>2.1999999999999999E-2</v>
      </c>
      <c r="K15" s="80">
        <f>B15</f>
        <v>22</v>
      </c>
      <c r="L15" s="38">
        <f>K15/K$28</f>
        <v>2.1999999999999999E-2</v>
      </c>
      <c r="N15" s="80">
        <f>B15</f>
        <v>22</v>
      </c>
      <c r="O15" s="38">
        <f>N15/N$28</f>
        <v>2.4363233665559248E-2</v>
      </c>
    </row>
    <row r="16" spans="1:15" x14ac:dyDescent="0.25">
      <c r="A16" s="8" t="s">
        <v>11</v>
      </c>
      <c r="B16" s="79">
        <f>SUM(B12:B15)</f>
        <v>886</v>
      </c>
      <c r="C16" s="35">
        <f>B16/$B$28</f>
        <v>0.88600000000000001</v>
      </c>
      <c r="D16" s="35"/>
      <c r="E16" s="79">
        <f>SUM(E12:E15)</f>
        <v>789</v>
      </c>
      <c r="F16" s="35">
        <f>E16/E$28</f>
        <v>0.87375415282392022</v>
      </c>
      <c r="H16" s="79">
        <f>SUM(H12:H15)</f>
        <v>886</v>
      </c>
      <c r="I16" s="35">
        <f>H16/H$28</f>
        <v>0.88600000000000001</v>
      </c>
      <c r="K16" s="79">
        <f>SUM(K12:K15)</f>
        <v>886</v>
      </c>
      <c r="L16" s="35">
        <f>K16/K$28</f>
        <v>0.88600000000000001</v>
      </c>
      <c r="N16" s="79">
        <f>SUM(N12:N15)</f>
        <v>789</v>
      </c>
      <c r="O16" s="35">
        <f>N16/N$28</f>
        <v>0.87375415282392022</v>
      </c>
    </row>
    <row r="17" spans="1:15" x14ac:dyDescent="0.25">
      <c r="A17" s="8"/>
      <c r="B17" s="79"/>
      <c r="C17" s="35"/>
      <c r="D17" s="35"/>
      <c r="E17" s="79"/>
      <c r="F17" s="35"/>
      <c r="H17" s="79"/>
      <c r="I17" s="35"/>
      <c r="K17" s="79"/>
      <c r="L17" s="35"/>
      <c r="N17" s="79"/>
      <c r="O17" s="35"/>
    </row>
    <row r="18" spans="1:15" x14ac:dyDescent="0.25">
      <c r="A18" s="8" t="s">
        <v>65</v>
      </c>
      <c r="B18" s="79"/>
      <c r="C18" s="35"/>
      <c r="D18" s="35"/>
      <c r="E18" s="79"/>
      <c r="F18" s="35"/>
      <c r="H18" s="79"/>
      <c r="I18" s="35"/>
      <c r="K18" s="79"/>
      <c r="L18" s="35"/>
      <c r="N18" s="79"/>
      <c r="O18" s="35"/>
    </row>
    <row r="19" spans="1:15" s="6" customFormat="1" x14ac:dyDescent="0.25">
      <c r="A19" s="8" t="s">
        <v>24</v>
      </c>
      <c r="B19" s="79">
        <f t="shared" ref="B19:B27" si="0">C19*$B$28</f>
        <v>128.25</v>
      </c>
      <c r="C19" s="35">
        <f>2*C21</f>
        <v>0.12825</v>
      </c>
      <c r="D19" s="21"/>
      <c r="E19" s="79">
        <f>B19</f>
        <v>128.25</v>
      </c>
      <c r="F19" s="35">
        <f t="shared" ref="F19:F28" si="1">E19/E$28</f>
        <v>0.14202657807308969</v>
      </c>
      <c r="H19" s="79">
        <f>B19</f>
        <v>128.25</v>
      </c>
      <c r="I19" s="35">
        <f t="shared" ref="I19:I28" si="2">H19/H$28</f>
        <v>0.12825</v>
      </c>
      <c r="K19" s="79">
        <f>B19</f>
        <v>128.25</v>
      </c>
      <c r="L19" s="35">
        <f t="shared" ref="L19:L28" si="3">K19/K$28</f>
        <v>0.12825</v>
      </c>
      <c r="N19" s="79">
        <f>B19</f>
        <v>128.25</v>
      </c>
      <c r="O19" s="35">
        <f t="shared" ref="O19:O28" si="4">N19/N$28</f>
        <v>0.14202657807308969</v>
      </c>
    </row>
    <row r="20" spans="1:15" s="6" customFormat="1" x14ac:dyDescent="0.25">
      <c r="A20" s="8" t="s">
        <v>60</v>
      </c>
      <c r="B20" s="80">
        <f t="shared" si="0"/>
        <v>-64.125</v>
      </c>
      <c r="C20" s="38">
        <f>-C21</f>
        <v>-6.4125000000000001E-2</v>
      </c>
      <c r="D20" s="21"/>
      <c r="E20" s="80">
        <f>B20</f>
        <v>-64.125</v>
      </c>
      <c r="F20" s="38">
        <f t="shared" si="1"/>
        <v>-7.1013289036544844E-2</v>
      </c>
      <c r="H20" s="80">
        <f>B20</f>
        <v>-64.125</v>
      </c>
      <c r="I20" s="38">
        <f t="shared" si="2"/>
        <v>-6.4125000000000001E-2</v>
      </c>
      <c r="K20" s="80">
        <f>B20</f>
        <v>-64.125</v>
      </c>
      <c r="L20" s="38">
        <f t="shared" si="3"/>
        <v>-6.4125000000000001E-2</v>
      </c>
      <c r="N20" s="80">
        <f>B20</f>
        <v>-64.125</v>
      </c>
      <c r="O20" s="38">
        <f t="shared" si="4"/>
        <v>-7.1013289036544844E-2</v>
      </c>
    </row>
    <row r="21" spans="1:15" s="6" customFormat="1" x14ac:dyDescent="0.25">
      <c r="A21" s="8" t="s">
        <v>61</v>
      </c>
      <c r="B21" s="79">
        <f t="shared" si="0"/>
        <v>64.125</v>
      </c>
      <c r="C21" s="36">
        <f>0.75*$C$25</f>
        <v>6.4125000000000001E-2</v>
      </c>
      <c r="D21" s="21"/>
      <c r="E21" s="79">
        <f>SUM(E19:E20)</f>
        <v>64.125</v>
      </c>
      <c r="F21" s="35">
        <f t="shared" si="1"/>
        <v>7.1013289036544844E-2</v>
      </c>
      <c r="H21" s="79">
        <f>SUM(H19:H20)</f>
        <v>64.125</v>
      </c>
      <c r="I21" s="35">
        <f t="shared" si="2"/>
        <v>6.4125000000000001E-2</v>
      </c>
      <c r="K21" s="79">
        <f>SUM(K19:K20)</f>
        <v>64.125</v>
      </c>
      <c r="L21" s="35">
        <f t="shared" si="3"/>
        <v>6.4125000000000001E-2</v>
      </c>
      <c r="N21" s="79">
        <f>SUM(N19:N20)</f>
        <v>64.125</v>
      </c>
      <c r="O21" s="35">
        <f t="shared" si="4"/>
        <v>7.1013289036544844E-2</v>
      </c>
    </row>
    <row r="22" spans="1:15" x14ac:dyDescent="0.25">
      <c r="A22" s="8" t="s">
        <v>25</v>
      </c>
      <c r="B22" s="79">
        <f t="shared" si="0"/>
        <v>42.75</v>
      </c>
      <c r="C22" s="35">
        <f>2*C24</f>
        <v>4.2750000000000003E-2</v>
      </c>
      <c r="D22" s="35"/>
      <c r="E22" s="79">
        <f>B22</f>
        <v>42.75</v>
      </c>
      <c r="F22" s="35">
        <f t="shared" si="1"/>
        <v>4.7342192691029898E-2</v>
      </c>
      <c r="H22" s="79">
        <f>B22</f>
        <v>42.75</v>
      </c>
      <c r="I22" s="35">
        <f t="shared" si="2"/>
        <v>4.2750000000000003E-2</v>
      </c>
      <c r="K22" s="79">
        <f>B22</f>
        <v>42.75</v>
      </c>
      <c r="L22" s="35">
        <f t="shared" si="3"/>
        <v>4.2750000000000003E-2</v>
      </c>
      <c r="N22" s="79">
        <f>B22</f>
        <v>42.75</v>
      </c>
      <c r="O22" s="35">
        <f t="shared" si="4"/>
        <v>4.7342192691029898E-2</v>
      </c>
    </row>
    <row r="23" spans="1:15" x14ac:dyDescent="0.25">
      <c r="A23" s="8" t="s">
        <v>62</v>
      </c>
      <c r="B23" s="80">
        <f t="shared" si="0"/>
        <v>-21.375</v>
      </c>
      <c r="C23" s="38">
        <f>-C24</f>
        <v>-2.1375000000000002E-2</v>
      </c>
      <c r="D23" s="35"/>
      <c r="E23" s="80">
        <f>B23</f>
        <v>-21.375</v>
      </c>
      <c r="F23" s="38">
        <f t="shared" si="1"/>
        <v>-2.3671096345514949E-2</v>
      </c>
      <c r="H23" s="80">
        <f>B23</f>
        <v>-21.375</v>
      </c>
      <c r="I23" s="38">
        <f t="shared" si="2"/>
        <v>-2.1375000000000002E-2</v>
      </c>
      <c r="K23" s="80">
        <f>B23</f>
        <v>-21.375</v>
      </c>
      <c r="L23" s="38">
        <f t="shared" si="3"/>
        <v>-2.1375000000000002E-2</v>
      </c>
      <c r="N23" s="80">
        <f>B23</f>
        <v>-21.375</v>
      </c>
      <c r="O23" s="38">
        <f t="shared" si="4"/>
        <v>-2.3671096345514949E-2</v>
      </c>
    </row>
    <row r="24" spans="1:15" x14ac:dyDescent="0.25">
      <c r="A24" s="9" t="s">
        <v>63</v>
      </c>
      <c r="B24" s="79">
        <f t="shared" si="0"/>
        <v>21.375</v>
      </c>
      <c r="C24" s="36">
        <f>0.25*$C$25</f>
        <v>2.1375000000000002E-2</v>
      </c>
      <c r="D24" s="35"/>
      <c r="E24" s="79">
        <f>SUM(E22:E23)</f>
        <v>21.375</v>
      </c>
      <c r="F24" s="35">
        <f t="shared" si="1"/>
        <v>2.3671096345514949E-2</v>
      </c>
      <c r="H24" s="79">
        <f>SUM(H22:H23)</f>
        <v>21.375</v>
      </c>
      <c r="I24" s="35">
        <f t="shared" si="2"/>
        <v>2.1375000000000002E-2</v>
      </c>
      <c r="K24" s="79">
        <f>SUM(K22:K23)</f>
        <v>21.375</v>
      </c>
      <c r="L24" s="35">
        <f t="shared" si="3"/>
        <v>2.1375000000000002E-2</v>
      </c>
      <c r="N24" s="79">
        <f>SUM(N22:N23)</f>
        <v>21.375</v>
      </c>
      <c r="O24" s="35">
        <f t="shared" si="4"/>
        <v>2.3671096345514949E-2</v>
      </c>
    </row>
    <row r="25" spans="1:15" x14ac:dyDescent="0.25">
      <c r="A25" s="9" t="s">
        <v>66</v>
      </c>
      <c r="B25" s="79">
        <f t="shared" si="0"/>
        <v>85.5</v>
      </c>
      <c r="C25" s="35">
        <f>0.75*$C$27</f>
        <v>8.5500000000000007E-2</v>
      </c>
      <c r="D25" s="35"/>
      <c r="E25" s="79">
        <f>E24+E21</f>
        <v>85.5</v>
      </c>
      <c r="F25" s="35">
        <f t="shared" si="1"/>
        <v>9.4684385382059796E-2</v>
      </c>
      <c r="H25" s="79">
        <f>H24+H21</f>
        <v>85.5</v>
      </c>
      <c r="I25" s="35">
        <f t="shared" si="2"/>
        <v>8.5500000000000007E-2</v>
      </c>
      <c r="K25" s="79">
        <f>K24+K21</f>
        <v>85.5</v>
      </c>
      <c r="L25" s="35">
        <f t="shared" si="3"/>
        <v>8.5500000000000007E-2</v>
      </c>
      <c r="N25" s="79">
        <f>N24+N21</f>
        <v>85.5</v>
      </c>
      <c r="O25" s="35">
        <f t="shared" si="4"/>
        <v>9.4684385382059796E-2</v>
      </c>
    </row>
    <row r="26" spans="1:15" x14ac:dyDescent="0.25">
      <c r="A26" s="8" t="s">
        <v>26</v>
      </c>
      <c r="B26" s="80">
        <f t="shared" si="0"/>
        <v>28.5</v>
      </c>
      <c r="C26" s="38">
        <f>0.25*$C$27</f>
        <v>2.8500000000000001E-2</v>
      </c>
      <c r="D26" s="35"/>
      <c r="E26" s="80">
        <f>B26</f>
        <v>28.5</v>
      </c>
      <c r="F26" s="38">
        <f t="shared" si="1"/>
        <v>3.1561461794019932E-2</v>
      </c>
      <c r="H26" s="80">
        <f>B26</f>
        <v>28.5</v>
      </c>
      <c r="I26" s="38">
        <f t="shared" si="2"/>
        <v>2.8500000000000001E-2</v>
      </c>
      <c r="K26" s="80">
        <f>B26</f>
        <v>28.5</v>
      </c>
      <c r="L26" s="38">
        <f t="shared" si="3"/>
        <v>2.8500000000000001E-2</v>
      </c>
      <c r="N26" s="80">
        <f>B26</f>
        <v>28.5</v>
      </c>
      <c r="O26" s="38">
        <f t="shared" si="4"/>
        <v>3.1561461794019932E-2</v>
      </c>
    </row>
    <row r="27" spans="1:15" x14ac:dyDescent="0.25">
      <c r="A27" s="8" t="s">
        <v>12</v>
      </c>
      <c r="B27" s="79">
        <f t="shared" si="0"/>
        <v>114</v>
      </c>
      <c r="C27" s="36">
        <v>0.114</v>
      </c>
      <c r="D27" s="35"/>
      <c r="E27" s="79">
        <f>E26+E21+E24</f>
        <v>114</v>
      </c>
      <c r="F27" s="35">
        <f t="shared" si="1"/>
        <v>0.12624584717607973</v>
      </c>
      <c r="H27" s="79">
        <f>H26+H21+H24</f>
        <v>114</v>
      </c>
      <c r="I27" s="35">
        <f t="shared" si="2"/>
        <v>0.114</v>
      </c>
      <c r="K27" s="79">
        <f>K26+K21+K24</f>
        <v>114</v>
      </c>
      <c r="L27" s="35">
        <f t="shared" si="3"/>
        <v>0.114</v>
      </c>
      <c r="N27" s="79">
        <f>N26+N21+N24</f>
        <v>114</v>
      </c>
      <c r="O27" s="35">
        <f t="shared" si="4"/>
        <v>0.12624584717607973</v>
      </c>
    </row>
    <row r="28" spans="1:15" s="27" customFormat="1" ht="13" x14ac:dyDescent="0.3">
      <c r="A28" s="10" t="s">
        <v>13</v>
      </c>
      <c r="B28" s="81">
        <f>B3</f>
        <v>1000</v>
      </c>
      <c r="C28" s="28">
        <f>B28/$B$28</f>
        <v>1</v>
      </c>
      <c r="D28" s="28"/>
      <c r="E28" s="81">
        <f>E27+E16</f>
        <v>903</v>
      </c>
      <c r="F28" s="28">
        <f t="shared" si="1"/>
        <v>1</v>
      </c>
      <c r="H28" s="81">
        <f>H27+H16</f>
        <v>1000</v>
      </c>
      <c r="I28" s="28">
        <f t="shared" si="2"/>
        <v>1</v>
      </c>
      <c r="K28" s="81">
        <f>K27+K16</f>
        <v>1000</v>
      </c>
      <c r="L28" s="28">
        <f t="shared" si="3"/>
        <v>1</v>
      </c>
      <c r="N28" s="81">
        <f>N27+N16</f>
        <v>903</v>
      </c>
      <c r="O28" s="28">
        <f t="shared" si="4"/>
        <v>1</v>
      </c>
    </row>
    <row r="29" spans="1:15" x14ac:dyDescent="0.25">
      <c r="A29" s="8"/>
      <c r="B29" s="79"/>
      <c r="C29" s="35"/>
      <c r="D29" s="35"/>
      <c r="E29" s="79"/>
      <c r="F29" s="35"/>
      <c r="H29" s="79"/>
      <c r="I29" s="35"/>
      <c r="K29" s="79"/>
      <c r="L29" s="35"/>
      <c r="N29" s="79"/>
      <c r="O29" s="35"/>
    </row>
    <row r="30" spans="1:15" x14ac:dyDescent="0.25">
      <c r="A30" s="8" t="s">
        <v>14</v>
      </c>
      <c r="B30" s="79"/>
      <c r="C30" s="35"/>
      <c r="D30" s="35"/>
      <c r="E30" s="79"/>
      <c r="F30" s="35"/>
      <c r="H30" s="79"/>
      <c r="I30" s="35"/>
      <c r="K30" s="79"/>
      <c r="L30" s="35"/>
      <c r="N30" s="79"/>
      <c r="O30" s="35"/>
    </row>
    <row r="31" spans="1:15" s="6" customFormat="1" x14ac:dyDescent="0.25">
      <c r="A31" s="14" t="s">
        <v>54</v>
      </c>
      <c r="B31" s="79">
        <f>C31*$B$48</f>
        <v>194.25</v>
      </c>
      <c r="C31" s="36">
        <f>0.75*0.259</f>
        <v>0.19425000000000001</v>
      </c>
      <c r="D31" s="21"/>
      <c r="E31" s="83">
        <f>(B31-(B14-E14))</f>
        <v>97.25</v>
      </c>
      <c r="F31" s="35">
        <f t="shared" ref="F31:F36" si="5">E31/E$28</f>
        <v>0.10769656699889259</v>
      </c>
      <c r="H31" s="79">
        <f>B31</f>
        <v>194.25</v>
      </c>
      <c r="I31" s="35">
        <f t="shared" ref="I31:I36" si="6">H31/H$28</f>
        <v>0.19425000000000001</v>
      </c>
      <c r="K31" s="79">
        <f>B31</f>
        <v>194.25</v>
      </c>
      <c r="L31" s="35">
        <f t="shared" ref="L31:L36" si="7">K31/K$28</f>
        <v>0.19425000000000001</v>
      </c>
      <c r="N31" s="83">
        <f>E31</f>
        <v>97.25</v>
      </c>
      <c r="O31" s="35">
        <f t="shared" ref="O31:O36" si="8">N31/N$28</f>
        <v>0.10769656699889259</v>
      </c>
    </row>
    <row r="32" spans="1:15" x14ac:dyDescent="0.25">
      <c r="A32" s="9" t="s">
        <v>53</v>
      </c>
      <c r="B32" s="79">
        <f>C32*$B$48</f>
        <v>64.75</v>
      </c>
      <c r="C32" s="36">
        <f>0.25*0.259</f>
        <v>6.4750000000000002E-2</v>
      </c>
      <c r="D32" s="35"/>
      <c r="E32" s="79">
        <f>B32</f>
        <v>64.75</v>
      </c>
      <c r="F32" s="35">
        <f t="shared" si="5"/>
        <v>7.170542635658915E-2</v>
      </c>
      <c r="H32" s="79">
        <f>B32</f>
        <v>64.75</v>
      </c>
      <c r="I32" s="35">
        <f t="shared" si="6"/>
        <v>6.4750000000000002E-2</v>
      </c>
      <c r="K32" s="79">
        <f>B32</f>
        <v>64.75</v>
      </c>
      <c r="L32" s="35">
        <f t="shared" si="7"/>
        <v>6.4750000000000002E-2</v>
      </c>
      <c r="N32" s="79">
        <f>B32</f>
        <v>64.75</v>
      </c>
      <c r="O32" s="35">
        <f t="shared" si="8"/>
        <v>7.170542635658915E-2</v>
      </c>
    </row>
    <row r="33" spans="1:15" x14ac:dyDescent="0.25">
      <c r="A33" s="8" t="s">
        <v>28</v>
      </c>
      <c r="B33" s="79">
        <f>C33*$B$48</f>
        <v>107</v>
      </c>
      <c r="C33" s="36">
        <v>0.107</v>
      </c>
      <c r="D33" s="35"/>
      <c r="E33" s="79">
        <f>B33</f>
        <v>107</v>
      </c>
      <c r="F33" s="35">
        <f t="shared" si="5"/>
        <v>0.1184939091915836</v>
      </c>
      <c r="H33" s="79">
        <f>B33</f>
        <v>107</v>
      </c>
      <c r="I33" s="35">
        <f t="shared" si="6"/>
        <v>0.107</v>
      </c>
      <c r="K33" s="79">
        <f>B33</f>
        <v>107</v>
      </c>
      <c r="L33" s="35">
        <f t="shared" si="7"/>
        <v>0.107</v>
      </c>
      <c r="N33" s="79">
        <f>B33</f>
        <v>107</v>
      </c>
      <c r="O33" s="35">
        <f t="shared" si="8"/>
        <v>0.1184939091915836</v>
      </c>
    </row>
    <row r="34" spans="1:15" x14ac:dyDescent="0.25">
      <c r="A34" s="8" t="s">
        <v>29</v>
      </c>
      <c r="B34" s="79">
        <f>C34*$B$48</f>
        <v>20.25</v>
      </c>
      <c r="C34" s="36">
        <f>0.25*0.081</f>
        <v>2.0250000000000001E-2</v>
      </c>
      <c r="D34" s="35"/>
      <c r="E34" s="79">
        <f>B34</f>
        <v>20.25</v>
      </c>
      <c r="F34" s="35">
        <f t="shared" si="5"/>
        <v>2.2425249169435217E-2</v>
      </c>
      <c r="H34" s="79">
        <f>B34</f>
        <v>20.25</v>
      </c>
      <c r="I34" s="35">
        <f t="shared" si="6"/>
        <v>2.0250000000000001E-2</v>
      </c>
      <c r="K34" s="79">
        <f>B34</f>
        <v>20.25</v>
      </c>
      <c r="L34" s="35">
        <f t="shared" si="7"/>
        <v>2.0250000000000001E-2</v>
      </c>
      <c r="N34" s="79">
        <f>B34</f>
        <v>20.25</v>
      </c>
      <c r="O34" s="35">
        <f t="shared" si="8"/>
        <v>2.2425249169435217E-2</v>
      </c>
    </row>
    <row r="35" spans="1:15" x14ac:dyDescent="0.25">
      <c r="A35" s="8" t="s">
        <v>30</v>
      </c>
      <c r="B35" s="80">
        <f>C35*$B$48</f>
        <v>60.75</v>
      </c>
      <c r="C35" s="37">
        <f>0.75*0.081</f>
        <v>6.0749999999999998E-2</v>
      </c>
      <c r="D35" s="35"/>
      <c r="E35" s="80">
        <f>B35</f>
        <v>60.75</v>
      </c>
      <c r="F35" s="38">
        <f t="shared" si="5"/>
        <v>6.7275747508305644E-2</v>
      </c>
      <c r="H35" s="80">
        <f>B35</f>
        <v>60.75</v>
      </c>
      <c r="I35" s="38">
        <f t="shared" si="6"/>
        <v>6.0749999999999998E-2</v>
      </c>
      <c r="K35" s="80">
        <f>B35</f>
        <v>60.75</v>
      </c>
      <c r="L35" s="38">
        <f t="shared" si="7"/>
        <v>6.0749999999999998E-2</v>
      </c>
      <c r="N35" s="80">
        <f>B35</f>
        <v>60.75</v>
      </c>
      <c r="O35" s="38">
        <f t="shared" si="8"/>
        <v>6.7275747508305644E-2</v>
      </c>
    </row>
    <row r="36" spans="1:15" x14ac:dyDescent="0.25">
      <c r="A36" s="8" t="s">
        <v>15</v>
      </c>
      <c r="B36" s="79">
        <f>SUM(B31:B35)</f>
        <v>447</v>
      </c>
      <c r="C36" s="35">
        <f>SUM(C31:C35)</f>
        <v>0.44699999999999995</v>
      </c>
      <c r="D36" s="35"/>
      <c r="E36" s="79">
        <f>SUM(E31:E35)</f>
        <v>350</v>
      </c>
      <c r="F36" s="35">
        <f t="shared" si="5"/>
        <v>0.38759689922480622</v>
      </c>
      <c r="H36" s="79">
        <f>SUM(H31:H35)</f>
        <v>447</v>
      </c>
      <c r="I36" s="35">
        <f t="shared" si="6"/>
        <v>0.44700000000000001</v>
      </c>
      <c r="K36" s="79">
        <f>SUM(K31:K35)</f>
        <v>447</v>
      </c>
      <c r="L36" s="35">
        <f t="shared" si="7"/>
        <v>0.44700000000000001</v>
      </c>
      <c r="N36" s="79">
        <f>SUM(N31:N35)</f>
        <v>350</v>
      </c>
      <c r="O36" s="35">
        <f t="shared" si="8"/>
        <v>0.38759689922480622</v>
      </c>
    </row>
    <row r="37" spans="1:15" x14ac:dyDescent="0.25">
      <c r="A37" s="8"/>
      <c r="B37" s="79"/>
      <c r="C37" s="35"/>
      <c r="D37" s="35"/>
      <c r="E37" s="79"/>
      <c r="F37" s="35"/>
      <c r="H37" s="79"/>
      <c r="I37" s="35"/>
      <c r="K37" s="79"/>
      <c r="L37" s="35"/>
      <c r="N37" s="79"/>
      <c r="O37" s="35"/>
    </row>
    <row r="38" spans="1:15" x14ac:dyDescent="0.25">
      <c r="A38" s="9" t="s">
        <v>31</v>
      </c>
      <c r="B38" s="79">
        <f>C38*$B$48</f>
        <v>57.607142857142911</v>
      </c>
      <c r="C38" s="36">
        <f>0.75*$C$40</f>
        <v>5.7607142857142912E-2</v>
      </c>
      <c r="D38" s="35"/>
      <c r="E38" s="79">
        <f>B38</f>
        <v>57.607142857142911</v>
      </c>
      <c r="F38" s="35">
        <f>E38/E$28</f>
        <v>6.3795285556082965E-2</v>
      </c>
      <c r="H38" s="79">
        <f>B38</f>
        <v>57.607142857142911</v>
      </c>
      <c r="I38" s="35">
        <f>H38/H$28</f>
        <v>5.7607142857142912E-2</v>
      </c>
      <c r="K38" s="79">
        <f>B38</f>
        <v>57.607142857142911</v>
      </c>
      <c r="L38" s="35">
        <f>K38/K$28</f>
        <v>5.7607142857142912E-2</v>
      </c>
      <c r="N38" s="79">
        <f>B38</f>
        <v>57.607142857142911</v>
      </c>
      <c r="O38" s="35">
        <f>N38/N$28</f>
        <v>6.3795285556082965E-2</v>
      </c>
    </row>
    <row r="39" spans="1:15" x14ac:dyDescent="0.25">
      <c r="A39" s="9" t="s">
        <v>32</v>
      </c>
      <c r="B39" s="80">
        <f>C39*$B$48</f>
        <v>19.20238095238097</v>
      </c>
      <c r="C39" s="37">
        <f>0.25*$C$40</f>
        <v>1.9202380952380971E-2</v>
      </c>
      <c r="D39" s="35"/>
      <c r="E39" s="80">
        <f>B39</f>
        <v>19.20238095238097</v>
      </c>
      <c r="F39" s="38">
        <f>E39/E$28</f>
        <v>2.1265095185360985E-2</v>
      </c>
      <c r="H39" s="80">
        <f>B39</f>
        <v>19.20238095238097</v>
      </c>
      <c r="I39" s="38">
        <f>H39/H$28</f>
        <v>1.9202380952380971E-2</v>
      </c>
      <c r="K39" s="80">
        <f>B39</f>
        <v>19.20238095238097</v>
      </c>
      <c r="L39" s="38">
        <f>K39/K$28</f>
        <v>1.9202380952380971E-2</v>
      </c>
      <c r="N39" s="80">
        <f>B39</f>
        <v>19.20238095238097</v>
      </c>
      <c r="O39" s="38">
        <f>N39/N$28</f>
        <v>2.1265095185360985E-2</v>
      </c>
    </row>
    <row r="40" spans="1:15" x14ac:dyDescent="0.25">
      <c r="A40" s="8" t="s">
        <v>16</v>
      </c>
      <c r="B40" s="79">
        <f>SUM(B38:B39)</f>
        <v>76.809523809523881</v>
      </c>
      <c r="C40" s="35">
        <f>(C41-C36)</f>
        <v>7.6809523809523883E-2</v>
      </c>
      <c r="D40" s="35"/>
      <c r="E40" s="79">
        <f>SUM(E38:E39)</f>
        <v>76.809523809523881</v>
      </c>
      <c r="F40" s="35">
        <f>E40/E$28</f>
        <v>8.5060380741443939E-2</v>
      </c>
      <c r="H40" s="79">
        <f>SUM(H38:H39)</f>
        <v>76.809523809523881</v>
      </c>
      <c r="I40" s="35">
        <f>H40/H$28</f>
        <v>7.6809523809523883E-2</v>
      </c>
      <c r="K40" s="79">
        <f>SUM(K38:K39)</f>
        <v>76.809523809523881</v>
      </c>
      <c r="L40" s="35">
        <f>K40/K$28</f>
        <v>7.6809523809523883E-2</v>
      </c>
      <c r="N40" s="79">
        <f>SUM(N38:N39)</f>
        <v>76.809523809523881</v>
      </c>
      <c r="O40" s="35">
        <f>N40/N$28</f>
        <v>8.5060380741443939E-2</v>
      </c>
    </row>
    <row r="41" spans="1:15" s="27" customFormat="1" ht="13" x14ac:dyDescent="0.3">
      <c r="A41" s="11" t="s">
        <v>17</v>
      </c>
      <c r="B41" s="81">
        <f>C41*$B$48</f>
        <v>523.80952380952385</v>
      </c>
      <c r="C41" s="28">
        <f>(B5/(1+B5))</f>
        <v>0.52380952380952384</v>
      </c>
      <c r="D41" s="28"/>
      <c r="E41" s="81">
        <f>E40+E36</f>
        <v>426.80952380952385</v>
      </c>
      <c r="F41" s="28">
        <f>E41/E$28</f>
        <v>0.47265727996625012</v>
      </c>
      <c r="H41" s="81">
        <f>H40+H36</f>
        <v>523.80952380952385</v>
      </c>
      <c r="I41" s="28">
        <f>H41/H$28</f>
        <v>0.52380952380952384</v>
      </c>
      <c r="K41" s="81">
        <f>K40+K36</f>
        <v>523.80952380952385</v>
      </c>
      <c r="L41" s="28">
        <f>K41/K$28</f>
        <v>0.52380952380952384</v>
      </c>
      <c r="N41" s="81">
        <f>N40+N36</f>
        <v>426.80952380952385</v>
      </c>
      <c r="O41" s="28">
        <f>N41/N$28</f>
        <v>0.47265727996625012</v>
      </c>
    </row>
    <row r="42" spans="1:15" x14ac:dyDescent="0.25">
      <c r="B42" s="79"/>
      <c r="C42" s="35"/>
      <c r="D42" s="35"/>
      <c r="E42" s="79"/>
      <c r="F42" s="35"/>
      <c r="H42" s="79"/>
      <c r="I42" s="35"/>
      <c r="K42" s="79"/>
      <c r="L42" s="35"/>
      <c r="N42" s="79"/>
      <c r="O42" s="35"/>
    </row>
    <row r="43" spans="1:15" x14ac:dyDescent="0.25">
      <c r="A43" s="8" t="s">
        <v>34</v>
      </c>
      <c r="B43" s="79">
        <f>C43*$B$48</f>
        <v>4.7619047619047619</v>
      </c>
      <c r="C43" s="36">
        <f>0.01*$C$46</f>
        <v>4.7619047619047615E-3</v>
      </c>
      <c r="D43" s="35"/>
      <c r="E43" s="79">
        <f>B43</f>
        <v>4.7619047619047619</v>
      </c>
      <c r="F43" s="35">
        <f>E43/E$28</f>
        <v>5.273427200337499E-3</v>
      </c>
      <c r="H43" s="79">
        <f>B43</f>
        <v>4.7619047619047619</v>
      </c>
      <c r="I43" s="35">
        <f>H43/H$28</f>
        <v>4.7619047619047615E-3</v>
      </c>
      <c r="K43" s="79">
        <f>B43</f>
        <v>4.7619047619047619</v>
      </c>
      <c r="L43" s="35">
        <f>K43/K$28</f>
        <v>4.7619047619047615E-3</v>
      </c>
      <c r="N43" s="79">
        <f>B43</f>
        <v>4.7619047619047619</v>
      </c>
      <c r="O43" s="35">
        <f>N43/N$28</f>
        <v>5.273427200337499E-3</v>
      </c>
    </row>
    <row r="44" spans="1:15" x14ac:dyDescent="0.25">
      <c r="A44" s="9" t="s">
        <v>35</v>
      </c>
      <c r="B44" s="79">
        <f>C44*$B$48</f>
        <v>95.238095238095227</v>
      </c>
      <c r="C44" s="36">
        <f>0.2*$C$46</f>
        <v>9.5238095238095233E-2</v>
      </c>
      <c r="D44" s="35"/>
      <c r="E44" s="79">
        <f>B44</f>
        <v>95.238095238095227</v>
      </c>
      <c r="F44" s="35">
        <f>E44/E$28</f>
        <v>0.10546854400674997</v>
      </c>
      <c r="H44" s="79">
        <f>B44</f>
        <v>95.238095238095227</v>
      </c>
      <c r="I44" s="35">
        <f>H44/H$28</f>
        <v>9.5238095238095233E-2</v>
      </c>
      <c r="K44" s="79">
        <f>B44</f>
        <v>95.238095238095227</v>
      </c>
      <c r="L44" s="35">
        <f>K44/K$28</f>
        <v>9.5238095238095233E-2</v>
      </c>
      <c r="N44" s="79">
        <f>B44</f>
        <v>95.238095238095227</v>
      </c>
      <c r="O44" s="35">
        <f>N44/N$28</f>
        <v>0.10546854400674997</v>
      </c>
    </row>
    <row r="45" spans="1:15" x14ac:dyDescent="0.25">
      <c r="A45" s="9" t="s">
        <v>18</v>
      </c>
      <c r="B45" s="80">
        <f>C45*$B$48</f>
        <v>376.1904761904762</v>
      </c>
      <c r="C45" s="37">
        <f>0.79*$C$46</f>
        <v>0.37619047619047619</v>
      </c>
      <c r="D45" s="35"/>
      <c r="E45" s="80">
        <f>B45</f>
        <v>376.1904761904762</v>
      </c>
      <c r="F45" s="38">
        <f>E45/E$28</f>
        <v>0.41660074882666248</v>
      </c>
      <c r="H45" s="80">
        <f>B45</f>
        <v>376.1904761904762</v>
      </c>
      <c r="I45" s="38">
        <f>H45/H$28</f>
        <v>0.37619047619047619</v>
      </c>
      <c r="K45" s="80">
        <f>B45</f>
        <v>376.1904761904762</v>
      </c>
      <c r="L45" s="38">
        <f>K45/K$28</f>
        <v>0.37619047619047619</v>
      </c>
      <c r="N45" s="80">
        <f>B45</f>
        <v>376.1904761904762</v>
      </c>
      <c r="O45" s="38">
        <f>N45/N$28</f>
        <v>0.41660074882666248</v>
      </c>
    </row>
    <row r="46" spans="1:15" s="27" customFormat="1" ht="13" x14ac:dyDescent="0.3">
      <c r="A46" s="10" t="s">
        <v>36</v>
      </c>
      <c r="B46" s="81">
        <f>C46*$B$48</f>
        <v>476.19047619047615</v>
      </c>
      <c r="C46" s="28">
        <f>C48-C41</f>
        <v>0.47619047619047616</v>
      </c>
      <c r="D46" s="28"/>
      <c r="E46" s="81">
        <f>SUM(E43:E45)</f>
        <v>476.1904761904762</v>
      </c>
      <c r="F46" s="28">
        <f>E46/E$28</f>
        <v>0.52734272003374993</v>
      </c>
      <c r="H46" s="81">
        <f>SUM(H43:H45)</f>
        <v>476.1904761904762</v>
      </c>
      <c r="I46" s="28">
        <f>H46/H$28</f>
        <v>0.47619047619047622</v>
      </c>
      <c r="K46" s="81">
        <f>SUM(K43:K45)</f>
        <v>476.1904761904762</v>
      </c>
      <c r="L46" s="28">
        <f>K46/K$28</f>
        <v>0.47619047619047622</v>
      </c>
      <c r="N46" s="81">
        <f>SUM(N43:N45)</f>
        <v>476.1904761904762</v>
      </c>
      <c r="O46" s="28">
        <f>N46/N$28</f>
        <v>0.52734272003374993</v>
      </c>
    </row>
    <row r="47" spans="1:15" x14ac:dyDescent="0.25">
      <c r="A47" s="8"/>
      <c r="B47" s="82"/>
      <c r="C47" s="35"/>
      <c r="D47" s="35"/>
      <c r="E47" s="79"/>
      <c r="F47" s="35"/>
      <c r="H47" s="79"/>
      <c r="I47" s="35"/>
      <c r="K47" s="79"/>
      <c r="L47" s="35"/>
      <c r="N47" s="79"/>
      <c r="O47" s="35"/>
    </row>
    <row r="48" spans="1:15" s="27" customFormat="1" ht="13" x14ac:dyDescent="0.3">
      <c r="A48" s="11" t="s">
        <v>37</v>
      </c>
      <c r="B48" s="81">
        <f>B28</f>
        <v>1000</v>
      </c>
      <c r="C48" s="28">
        <f>B48/$B$28</f>
        <v>1</v>
      </c>
      <c r="D48" s="28"/>
      <c r="E48" s="81">
        <f>E28</f>
        <v>903</v>
      </c>
      <c r="F48" s="28">
        <f>E48/E$28</f>
        <v>1</v>
      </c>
      <c r="H48" s="81">
        <f>H28</f>
        <v>1000</v>
      </c>
      <c r="I48" s="28">
        <f>H48/H$28</f>
        <v>1</v>
      </c>
      <c r="K48" s="81">
        <f>K28</f>
        <v>1000</v>
      </c>
      <c r="L48" s="28">
        <f>K48/K$28</f>
        <v>1</v>
      </c>
      <c r="N48" s="81">
        <f>N28</f>
        <v>903</v>
      </c>
      <c r="O48" s="28">
        <f>N48/N$28</f>
        <v>1</v>
      </c>
    </row>
    <row r="49" spans="1:15" x14ac:dyDescent="0.25">
      <c r="A49" s="8"/>
      <c r="B49" s="83" t="str">
        <f>IF(B46+B41&lt;&gt;B28,"ERROR","")</f>
        <v/>
      </c>
      <c r="E49" s="83" t="str">
        <f>IF(E46+E41&lt;&gt;E28,"ERROR","")</f>
        <v/>
      </c>
      <c r="H49" s="83" t="str">
        <f>IF(H46+H41&lt;&gt;H28,"ERROR","")</f>
        <v/>
      </c>
      <c r="K49" s="83" t="str">
        <f>IF(K46+K41&lt;&gt;K28,"ERROR","")</f>
        <v/>
      </c>
      <c r="N49" s="83" t="str">
        <f>IF(N46+N41&lt;&gt;N28,"ERROR","")</f>
        <v/>
      </c>
    </row>
    <row r="50" spans="1:15" ht="20" x14ac:dyDescent="0.4">
      <c r="A50" s="25" t="s">
        <v>33</v>
      </c>
      <c r="B50" s="79"/>
      <c r="E50" s="79"/>
      <c r="H50" s="79"/>
      <c r="K50" s="79"/>
      <c r="N50" s="79"/>
    </row>
    <row r="51" spans="1:15" x14ac:dyDescent="0.25">
      <c r="A51" s="7" t="s">
        <v>96</v>
      </c>
      <c r="B51" s="79">
        <f>B53+B52</f>
        <v>2781</v>
      </c>
      <c r="C51" s="35">
        <f>B51/B53</f>
        <v>1.03</v>
      </c>
      <c r="D51" s="51"/>
      <c r="E51" s="79">
        <f>B51</f>
        <v>2781</v>
      </c>
      <c r="F51" s="35">
        <f>E51/$E$53</f>
        <v>1.03</v>
      </c>
      <c r="H51" s="79">
        <f>B51</f>
        <v>2781</v>
      </c>
      <c r="I51" s="35">
        <f>H51/H$53</f>
        <v>1.03</v>
      </c>
      <c r="K51" s="79">
        <f>B51</f>
        <v>2781</v>
      </c>
      <c r="L51" s="35">
        <f>K51/K$53</f>
        <v>1.03</v>
      </c>
      <c r="N51" s="79">
        <f>B51</f>
        <v>2781</v>
      </c>
      <c r="O51" s="35">
        <f>N51/N$53</f>
        <v>1.03</v>
      </c>
    </row>
    <row r="52" spans="1:15" x14ac:dyDescent="0.25">
      <c r="A52" s="7" t="s">
        <v>97</v>
      </c>
      <c r="B52" s="80">
        <f>C52*B53</f>
        <v>81</v>
      </c>
      <c r="C52" s="37">
        <v>0.03</v>
      </c>
      <c r="D52" s="51"/>
      <c r="E52" s="80">
        <f>B52</f>
        <v>81</v>
      </c>
      <c r="F52" s="38">
        <f>E52/$E$53</f>
        <v>0.03</v>
      </c>
      <c r="H52" s="80">
        <f>B52</f>
        <v>81</v>
      </c>
      <c r="I52" s="38">
        <f>H52/H$53</f>
        <v>0.03</v>
      </c>
      <c r="K52" s="80">
        <f>B52</f>
        <v>81</v>
      </c>
      <c r="L52" s="38">
        <f>K52/K$53</f>
        <v>0.03</v>
      </c>
      <c r="N52" s="80">
        <f>B52</f>
        <v>81</v>
      </c>
      <c r="O52" s="38">
        <f>N52/N$53</f>
        <v>0.03</v>
      </c>
    </row>
    <row r="53" spans="1:15" s="27" customFormat="1" ht="13" x14ac:dyDescent="0.3">
      <c r="A53" s="10" t="s">
        <v>38</v>
      </c>
      <c r="B53" s="81">
        <f>B28*B4</f>
        <v>2700</v>
      </c>
      <c r="C53" s="28">
        <f>B53/$B$53</f>
        <v>1</v>
      </c>
      <c r="D53" s="29"/>
      <c r="E53" s="81">
        <f>E51-E52</f>
        <v>2700</v>
      </c>
      <c r="F53" s="28">
        <f>E53/$E$53</f>
        <v>1</v>
      </c>
      <c r="H53" s="81">
        <f>H51-H52</f>
        <v>2700</v>
      </c>
      <c r="I53" s="28">
        <f>H53/H$53</f>
        <v>1</v>
      </c>
      <c r="K53" s="81">
        <f>K51-K52</f>
        <v>2700</v>
      </c>
      <c r="L53" s="28">
        <f>K53/K$53</f>
        <v>1</v>
      </c>
      <c r="N53" s="81">
        <f>N51-N52</f>
        <v>2700</v>
      </c>
      <c r="O53" s="28">
        <f>N53/N$53</f>
        <v>1</v>
      </c>
    </row>
    <row r="54" spans="1:15" x14ac:dyDescent="0.25">
      <c r="A54" s="8" t="s">
        <v>39</v>
      </c>
      <c r="B54" s="79"/>
      <c r="C54" s="45"/>
      <c r="D54" s="44"/>
      <c r="E54" s="79"/>
      <c r="F54" s="45"/>
      <c r="H54" s="79"/>
      <c r="I54" s="45"/>
      <c r="K54" s="79"/>
      <c r="L54" s="45"/>
      <c r="N54" s="79"/>
      <c r="O54" s="45"/>
    </row>
    <row r="55" spans="1:15" x14ac:dyDescent="0.25">
      <c r="A55" s="9" t="s">
        <v>194</v>
      </c>
      <c r="B55" s="79">
        <f>C55*$B$53</f>
        <v>1989.7919999999999</v>
      </c>
      <c r="C55" s="36">
        <f>(0.98*($C$53-$C$57))</f>
        <v>0.73695999999999995</v>
      </c>
      <c r="D55" s="51"/>
      <c r="E55" s="79">
        <f>B55</f>
        <v>1989.7919999999999</v>
      </c>
      <c r="F55" s="35">
        <f>E55/$E$53</f>
        <v>0.73695999999999995</v>
      </c>
      <c r="H55" s="79">
        <f>B55</f>
        <v>1989.7919999999999</v>
      </c>
      <c r="I55" s="35">
        <f>H55/H$53</f>
        <v>0.73695999999999995</v>
      </c>
      <c r="K55" s="79">
        <f>B55</f>
        <v>1989.7919999999999</v>
      </c>
      <c r="L55" s="35">
        <f>K55/K$53</f>
        <v>0.73695999999999995</v>
      </c>
      <c r="N55" s="79">
        <f>B55</f>
        <v>1989.7919999999999</v>
      </c>
      <c r="O55" s="35">
        <f>N55/N$53</f>
        <v>0.73695999999999995</v>
      </c>
    </row>
    <row r="56" spans="1:15" s="6" customFormat="1" x14ac:dyDescent="0.25">
      <c r="A56" s="14" t="s">
        <v>49</v>
      </c>
      <c r="B56" s="135">
        <f>C56*$B$53</f>
        <v>40.607999999999997</v>
      </c>
      <c r="C56" s="37">
        <f>(0.02*($C$53-$C$57))</f>
        <v>1.504E-2</v>
      </c>
      <c r="D56" s="22"/>
      <c r="E56" s="80">
        <f>B56</f>
        <v>40.607999999999997</v>
      </c>
      <c r="F56" s="38">
        <f>E56/$E$53</f>
        <v>1.504E-2</v>
      </c>
      <c r="H56" s="80">
        <f>B56</f>
        <v>40.607999999999997</v>
      </c>
      <c r="I56" s="38">
        <f>H56/H$53</f>
        <v>1.504E-2</v>
      </c>
      <c r="K56" s="90">
        <f>B56*0.8</f>
        <v>32.486399999999996</v>
      </c>
      <c r="L56" s="38">
        <f>K56/K$53</f>
        <v>1.2031999999999999E-2</v>
      </c>
      <c r="N56" s="90">
        <f>K56</f>
        <v>32.486399999999996</v>
      </c>
      <c r="O56" s="38">
        <f>N56/N$53</f>
        <v>1.2031999999999999E-2</v>
      </c>
    </row>
    <row r="57" spans="1:15" s="27" customFormat="1" ht="13" x14ac:dyDescent="0.3">
      <c r="A57" s="11" t="s">
        <v>19</v>
      </c>
      <c r="B57" s="81">
        <f>B53-SUM(B55:B56)</f>
        <v>669.60000000000014</v>
      </c>
      <c r="C57" s="28">
        <f>B6</f>
        <v>0.248</v>
      </c>
      <c r="D57" s="29"/>
      <c r="E57" s="81">
        <f>E53-SUM(E55:E56)</f>
        <v>669.60000000000014</v>
      </c>
      <c r="F57" s="28">
        <f>E57/$E$53</f>
        <v>0.24800000000000005</v>
      </c>
      <c r="H57" s="81">
        <f>H53-SUM(H55:H56)</f>
        <v>669.60000000000014</v>
      </c>
      <c r="I57" s="28">
        <f>H57/H$53</f>
        <v>0.24800000000000005</v>
      </c>
      <c r="K57" s="81">
        <f>K53-SUM(K55:K56)</f>
        <v>677.72160000000008</v>
      </c>
      <c r="L57" s="28">
        <f>K57/K$53</f>
        <v>0.25100800000000001</v>
      </c>
      <c r="N57" s="81">
        <f>N53-SUM(N55:N56)</f>
        <v>677.72160000000008</v>
      </c>
      <c r="O57" s="28">
        <f>N57/N$53</f>
        <v>0.25100800000000001</v>
      </c>
    </row>
    <row r="58" spans="1:15" x14ac:dyDescent="0.25">
      <c r="B58" s="84" t="str">
        <f>IF(B57/B53&lt;&gt;C57,"ERROR","")</f>
        <v/>
      </c>
      <c r="D58" s="8"/>
      <c r="E58" s="79"/>
      <c r="H58" s="79"/>
      <c r="K58" s="79"/>
      <c r="N58" s="79"/>
    </row>
    <row r="59" spans="1:15" ht="13" x14ac:dyDescent="0.3">
      <c r="A59" s="27" t="s">
        <v>73</v>
      </c>
      <c r="B59" s="79"/>
      <c r="D59" s="8"/>
      <c r="E59" s="79"/>
      <c r="H59" s="79"/>
      <c r="K59" s="79"/>
      <c r="N59" s="79"/>
    </row>
    <row r="60" spans="1:15" s="6" customFormat="1" x14ac:dyDescent="0.25">
      <c r="A60" s="77" t="s">
        <v>168</v>
      </c>
      <c r="B60" s="79">
        <f>C60*$B$53</f>
        <v>276.02300000000002</v>
      </c>
      <c r="C60" s="35">
        <f>C57-C76-SUM(C61:C75)</f>
        <v>0.10223074074074075</v>
      </c>
      <c r="D60" s="22"/>
      <c r="E60" s="87">
        <f>B60</f>
        <v>276.02300000000002</v>
      </c>
      <c r="F60" s="35">
        <f>E60/$E$53</f>
        <v>0.10223074074074075</v>
      </c>
      <c r="H60" s="88">
        <f>B60*0.8</f>
        <v>220.81840000000003</v>
      </c>
      <c r="I60" s="35">
        <f>H60/H$53</f>
        <v>8.1784592592592603E-2</v>
      </c>
      <c r="K60" s="82">
        <f>B60</f>
        <v>276.02300000000002</v>
      </c>
      <c r="L60" s="35">
        <f>K60/K$53</f>
        <v>0.10223074074074075</v>
      </c>
      <c r="N60" s="88">
        <f>H60</f>
        <v>220.81840000000003</v>
      </c>
      <c r="O60" s="35">
        <f>N60/N$53</f>
        <v>8.1784592592592603E-2</v>
      </c>
    </row>
    <row r="61" spans="1:15" s="6" customFormat="1" x14ac:dyDescent="0.25">
      <c r="A61" s="77" t="s">
        <v>169</v>
      </c>
      <c r="B61" s="79">
        <f>SUM('Inv CC'!C26:C29)</f>
        <v>2.4249999999999998</v>
      </c>
      <c r="C61" s="35">
        <f>B61/$B$53</f>
        <v>8.9814814814814813E-4</v>
      </c>
      <c r="D61" s="22"/>
      <c r="E61" s="89">
        <f>E14*SUM('Inv CC'!D26:D29)</f>
        <v>1.9399999999999997</v>
      </c>
      <c r="F61" s="35">
        <f>E61/$E$53</f>
        <v>7.185185185185184E-4</v>
      </c>
      <c r="H61" s="87">
        <f>B61</f>
        <v>2.4249999999999998</v>
      </c>
      <c r="I61" s="35">
        <f>H61/H$53</f>
        <v>8.9814814814814813E-4</v>
      </c>
      <c r="K61" s="82">
        <f>B61</f>
        <v>2.4249999999999998</v>
      </c>
      <c r="L61" s="35">
        <f>K61/K$53</f>
        <v>8.9814814814814813E-4</v>
      </c>
      <c r="N61" s="88">
        <f>E61</f>
        <v>1.9399999999999997</v>
      </c>
      <c r="O61" s="35">
        <f>N61/N$53</f>
        <v>7.185185185185184E-4</v>
      </c>
    </row>
    <row r="62" spans="1:15" s="6" customFormat="1" x14ac:dyDescent="0.25">
      <c r="A62" s="14" t="s">
        <v>40</v>
      </c>
      <c r="B62" s="85"/>
      <c r="C62" s="41"/>
      <c r="D62" s="23"/>
      <c r="E62" s="87"/>
      <c r="F62" s="44"/>
      <c r="H62" s="87"/>
      <c r="I62" s="44"/>
      <c r="K62" s="87"/>
      <c r="L62" s="44"/>
      <c r="N62" s="89"/>
      <c r="O62" s="44"/>
    </row>
    <row r="63" spans="1:15" s="6" customFormat="1" x14ac:dyDescent="0.25">
      <c r="A63" s="14" t="s">
        <v>41</v>
      </c>
      <c r="B63" s="79">
        <f>C63*$B$53</f>
        <v>8.1</v>
      </c>
      <c r="C63" s="36">
        <v>3.0000000000000001E-3</v>
      </c>
      <c r="D63" s="22"/>
      <c r="E63" s="89">
        <f>B63-(0.1*(E61/B61))</f>
        <v>8.02</v>
      </c>
      <c r="F63" s="35">
        <f t="shared" ref="F63:F68" si="9">E63/$E$53</f>
        <v>2.9703703703703702E-3</v>
      </c>
      <c r="H63" s="87">
        <f t="shared" ref="H63:H68" si="10">B63</f>
        <v>8.1</v>
      </c>
      <c r="I63" s="35">
        <f t="shared" ref="I63:I68" si="11">H63/H$53</f>
        <v>3.0000000000000001E-3</v>
      </c>
      <c r="K63" s="82">
        <f t="shared" ref="K63:K68" si="12">B63</f>
        <v>8.1</v>
      </c>
      <c r="L63" s="35">
        <f t="shared" ref="L63:L68" si="13">K63/K$53</f>
        <v>3.0000000000000001E-3</v>
      </c>
      <c r="N63" s="88">
        <f t="shared" ref="N63:N68" si="14">E63</f>
        <v>8.02</v>
      </c>
      <c r="O63" s="35">
        <f t="shared" ref="O63:O68" si="15">N63/N$53</f>
        <v>2.9703703703703702E-3</v>
      </c>
    </row>
    <row r="64" spans="1:15" s="6" customFormat="1" x14ac:dyDescent="0.25">
      <c r="A64" s="14" t="s">
        <v>158</v>
      </c>
      <c r="B64" s="79">
        <f>'Inv CC'!C23</f>
        <v>8.1</v>
      </c>
      <c r="C64" s="35">
        <f>B64/$B$53</f>
        <v>3.0000000000000001E-3</v>
      </c>
      <c r="D64" s="22"/>
      <c r="E64" s="89">
        <f>$E$14*'Inv CC'!D23</f>
        <v>6.4799999999999995</v>
      </c>
      <c r="F64" s="35">
        <f t="shared" si="9"/>
        <v>2.3999999999999998E-3</v>
      </c>
      <c r="H64" s="87">
        <f t="shared" si="10"/>
        <v>8.1</v>
      </c>
      <c r="I64" s="35">
        <f t="shared" si="11"/>
        <v>3.0000000000000001E-3</v>
      </c>
      <c r="K64" s="82">
        <f t="shared" si="12"/>
        <v>8.1</v>
      </c>
      <c r="L64" s="35">
        <f t="shared" si="13"/>
        <v>3.0000000000000001E-3</v>
      </c>
      <c r="N64" s="88">
        <f t="shared" si="14"/>
        <v>6.4799999999999995</v>
      </c>
      <c r="O64" s="35">
        <f t="shared" si="15"/>
        <v>2.3999999999999998E-3</v>
      </c>
    </row>
    <row r="65" spans="1:15" s="6" customFormat="1" x14ac:dyDescent="0.25">
      <c r="A65" s="14" t="s">
        <v>160</v>
      </c>
      <c r="B65" s="79">
        <f>'Inv CC'!C32</f>
        <v>3.5</v>
      </c>
      <c r="C65" s="35">
        <f>B65/$B$53</f>
        <v>1.2962962962962963E-3</v>
      </c>
      <c r="D65" s="22"/>
      <c r="E65" s="89">
        <f>$E$14*'Inv CC'!D32</f>
        <v>2.8000000000000003</v>
      </c>
      <c r="F65" s="35">
        <f t="shared" si="9"/>
        <v>1.0370370370370371E-3</v>
      </c>
      <c r="H65" s="87">
        <f t="shared" si="10"/>
        <v>3.5</v>
      </c>
      <c r="I65" s="35">
        <f t="shared" si="11"/>
        <v>1.2962962962962963E-3</v>
      </c>
      <c r="K65" s="82">
        <f t="shared" si="12"/>
        <v>3.5</v>
      </c>
      <c r="L65" s="35">
        <f t="shared" si="13"/>
        <v>1.2962962962962963E-3</v>
      </c>
      <c r="N65" s="88">
        <f t="shared" si="14"/>
        <v>2.8000000000000003</v>
      </c>
      <c r="O65" s="35">
        <f t="shared" si="15"/>
        <v>1.0370370370370371E-3</v>
      </c>
    </row>
    <row r="66" spans="1:15" s="6" customFormat="1" x14ac:dyDescent="0.25">
      <c r="A66" s="14" t="s">
        <v>162</v>
      </c>
      <c r="B66" s="79">
        <f>'Inv CC'!C33</f>
        <v>2</v>
      </c>
      <c r="C66" s="35">
        <f>B66/$B$53</f>
        <v>7.407407407407407E-4</v>
      </c>
      <c r="D66" s="22"/>
      <c r="E66" s="89">
        <f>$E$14*'Inv CC'!D33</f>
        <v>1.6</v>
      </c>
      <c r="F66" s="35">
        <f t="shared" si="9"/>
        <v>5.9259259259259258E-4</v>
      </c>
      <c r="H66" s="87">
        <f t="shared" si="10"/>
        <v>2</v>
      </c>
      <c r="I66" s="35">
        <f t="shared" si="11"/>
        <v>7.407407407407407E-4</v>
      </c>
      <c r="K66" s="82">
        <f t="shared" si="12"/>
        <v>2</v>
      </c>
      <c r="L66" s="35">
        <f t="shared" si="13"/>
        <v>7.407407407407407E-4</v>
      </c>
      <c r="N66" s="88">
        <f t="shared" si="14"/>
        <v>1.6</v>
      </c>
      <c r="O66" s="35">
        <f t="shared" si="15"/>
        <v>5.9259259259259258E-4</v>
      </c>
    </row>
    <row r="67" spans="1:15" s="6" customFormat="1" x14ac:dyDescent="0.25">
      <c r="A67" s="14" t="s">
        <v>163</v>
      </c>
      <c r="B67" s="79">
        <f>'Inv CC'!C34</f>
        <v>2</v>
      </c>
      <c r="C67" s="35">
        <f>B67/$B$53</f>
        <v>7.407407407407407E-4</v>
      </c>
      <c r="D67" s="22"/>
      <c r="E67" s="89">
        <f>$E$14*'Inv CC'!D34</f>
        <v>1.6</v>
      </c>
      <c r="F67" s="35">
        <f t="shared" si="9"/>
        <v>5.9259259259259258E-4</v>
      </c>
      <c r="H67" s="87">
        <f t="shared" si="10"/>
        <v>2</v>
      </c>
      <c r="I67" s="35">
        <f t="shared" si="11"/>
        <v>7.407407407407407E-4</v>
      </c>
      <c r="K67" s="82">
        <f t="shared" si="12"/>
        <v>2</v>
      </c>
      <c r="L67" s="35">
        <f t="shared" si="13"/>
        <v>7.407407407407407E-4</v>
      </c>
      <c r="N67" s="88">
        <f t="shared" si="14"/>
        <v>1.6</v>
      </c>
      <c r="O67" s="35">
        <f t="shared" si="15"/>
        <v>5.9259259259259258E-4</v>
      </c>
    </row>
    <row r="68" spans="1:15" s="6" customFormat="1" x14ac:dyDescent="0.25">
      <c r="A68" s="14" t="s">
        <v>164</v>
      </c>
      <c r="B68" s="79">
        <f>'Inv CC'!C35</f>
        <v>0</v>
      </c>
      <c r="C68" s="35">
        <f>B68/$B$53</f>
        <v>0</v>
      </c>
      <c r="D68" s="22"/>
      <c r="E68" s="87">
        <f>$E$14*'Inv CC'!D35</f>
        <v>0</v>
      </c>
      <c r="F68" s="35">
        <f t="shared" si="9"/>
        <v>0</v>
      </c>
      <c r="H68" s="87">
        <f t="shared" si="10"/>
        <v>0</v>
      </c>
      <c r="I68" s="35">
        <f t="shared" si="11"/>
        <v>0</v>
      </c>
      <c r="K68" s="82">
        <f t="shared" si="12"/>
        <v>0</v>
      </c>
      <c r="L68" s="35">
        <f t="shared" si="13"/>
        <v>0</v>
      </c>
      <c r="N68" s="82">
        <f t="shared" si="14"/>
        <v>0</v>
      </c>
      <c r="O68" s="35">
        <f t="shared" si="15"/>
        <v>0</v>
      </c>
    </row>
    <row r="69" spans="1:15" ht="13" x14ac:dyDescent="0.3">
      <c r="A69" s="11" t="s">
        <v>74</v>
      </c>
      <c r="B69" s="86"/>
      <c r="C69" s="40"/>
      <c r="D69" s="44"/>
      <c r="E69" s="79"/>
      <c r="F69" s="45"/>
      <c r="H69" s="79"/>
      <c r="I69" s="45"/>
      <c r="K69" s="79"/>
      <c r="L69" s="45"/>
      <c r="N69" s="79"/>
      <c r="O69" s="45"/>
    </row>
    <row r="70" spans="1:15" x14ac:dyDescent="0.25">
      <c r="A70" s="9" t="s">
        <v>44</v>
      </c>
      <c r="B70" s="79">
        <f>C70*$B$53</f>
        <v>178.20000000000002</v>
      </c>
      <c r="C70" s="36">
        <v>6.6000000000000003E-2</v>
      </c>
      <c r="D70" s="51"/>
      <c r="E70" s="87">
        <f>B70</f>
        <v>178.20000000000002</v>
      </c>
      <c r="F70" s="35">
        <f t="shared" ref="F70:F75" si="16">E70/$E$53</f>
        <v>6.6000000000000003E-2</v>
      </c>
      <c r="H70" s="87">
        <f>B70</f>
        <v>178.20000000000002</v>
      </c>
      <c r="I70" s="35">
        <f t="shared" ref="I70:I76" si="17">H70/H$53</f>
        <v>6.6000000000000003E-2</v>
      </c>
      <c r="K70" s="87">
        <f>B70</f>
        <v>178.20000000000002</v>
      </c>
      <c r="L70" s="35">
        <f t="shared" ref="L70:L76" si="18">K70/K$53</f>
        <v>6.6000000000000003E-2</v>
      </c>
      <c r="N70" s="87">
        <f>B70</f>
        <v>178.20000000000002</v>
      </c>
      <c r="O70" s="35">
        <f t="shared" ref="O70:O76" si="19">N70/N$53</f>
        <v>6.6000000000000003E-2</v>
      </c>
    </row>
    <row r="71" spans="1:15" s="6" customFormat="1" x14ac:dyDescent="0.25">
      <c r="A71" s="13" t="s">
        <v>50</v>
      </c>
      <c r="B71" s="136">
        <f>(B56/0.3)*0.7</f>
        <v>94.751999999999981</v>
      </c>
      <c r="C71" s="35">
        <f>B71/$B$53</f>
        <v>3.5093333333333324E-2</v>
      </c>
      <c r="D71" s="22"/>
      <c r="E71" s="87">
        <f>B71</f>
        <v>94.751999999999981</v>
      </c>
      <c r="F71" s="35">
        <f t="shared" si="16"/>
        <v>3.5093333333333324E-2</v>
      </c>
      <c r="H71" s="87">
        <f>B71</f>
        <v>94.751999999999981</v>
      </c>
      <c r="I71" s="35">
        <f t="shared" si="17"/>
        <v>3.5093333333333324E-2</v>
      </c>
      <c r="K71" s="88">
        <f>B71*0.8</f>
        <v>75.801599999999993</v>
      </c>
      <c r="L71" s="35">
        <f t="shared" si="18"/>
        <v>2.8074666666666664E-2</v>
      </c>
      <c r="N71" s="88">
        <f>K71</f>
        <v>75.801599999999993</v>
      </c>
      <c r="O71" s="35">
        <f t="shared" si="19"/>
        <v>2.8074666666666664E-2</v>
      </c>
    </row>
    <row r="72" spans="1:15" s="6" customFormat="1" x14ac:dyDescent="0.25">
      <c r="A72" s="13" t="s">
        <v>51</v>
      </c>
      <c r="B72" s="79">
        <f>C72*$B$53</f>
        <v>13.5</v>
      </c>
      <c r="C72" s="36">
        <v>5.0000000000000001E-3</v>
      </c>
      <c r="D72" s="22"/>
      <c r="E72" s="87">
        <f>B72</f>
        <v>13.5</v>
      </c>
      <c r="F72" s="35">
        <f t="shared" si="16"/>
        <v>5.0000000000000001E-3</v>
      </c>
      <c r="H72" s="89">
        <f>B72*0.8</f>
        <v>10.8</v>
      </c>
      <c r="I72" s="35">
        <f t="shared" si="17"/>
        <v>4.0000000000000001E-3</v>
      </c>
      <c r="K72" s="82">
        <f>B72</f>
        <v>13.5</v>
      </c>
      <c r="L72" s="35">
        <f t="shared" si="18"/>
        <v>5.0000000000000001E-3</v>
      </c>
      <c r="N72" s="88">
        <f>H72</f>
        <v>10.8</v>
      </c>
      <c r="O72" s="35">
        <f t="shared" si="19"/>
        <v>4.0000000000000001E-3</v>
      </c>
    </row>
    <row r="73" spans="1:15" ht="13" x14ac:dyDescent="0.3">
      <c r="A73" s="10" t="s">
        <v>43</v>
      </c>
      <c r="B73" s="86"/>
      <c r="C73" s="39"/>
      <c r="D73" s="51"/>
      <c r="E73" s="79"/>
      <c r="F73" s="35"/>
      <c r="H73" s="79"/>
      <c r="I73" s="35"/>
      <c r="K73" s="79"/>
      <c r="L73" s="35"/>
      <c r="N73" s="79"/>
      <c r="O73" s="35"/>
    </row>
    <row r="74" spans="1:15" x14ac:dyDescent="0.25">
      <c r="A74" s="9" t="s">
        <v>85</v>
      </c>
      <c r="B74" s="79">
        <f>C74*$B$53</f>
        <v>5.4</v>
      </c>
      <c r="C74" s="36">
        <v>2E-3</v>
      </c>
      <c r="D74" s="51"/>
      <c r="E74" s="87">
        <f>B74</f>
        <v>5.4</v>
      </c>
      <c r="F74" s="35">
        <f t="shared" si="16"/>
        <v>2E-3</v>
      </c>
      <c r="H74" s="87">
        <f>B74</f>
        <v>5.4</v>
      </c>
      <c r="I74" s="35">
        <f t="shared" si="17"/>
        <v>2E-3</v>
      </c>
      <c r="K74" s="87">
        <f>B74</f>
        <v>5.4</v>
      </c>
      <c r="L74" s="35">
        <f t="shared" si="18"/>
        <v>2E-3</v>
      </c>
      <c r="N74" s="87">
        <f>B74</f>
        <v>5.4</v>
      </c>
      <c r="O74" s="35">
        <f t="shared" si="19"/>
        <v>2E-3</v>
      </c>
    </row>
    <row r="75" spans="1:15" s="6" customFormat="1" x14ac:dyDescent="0.25">
      <c r="A75" s="9" t="s">
        <v>79</v>
      </c>
      <c r="B75" s="80">
        <f>C75*$B$53</f>
        <v>5.4</v>
      </c>
      <c r="C75" s="37">
        <v>2E-3</v>
      </c>
      <c r="D75" s="22"/>
      <c r="E75" s="80">
        <f>B75</f>
        <v>5.4</v>
      </c>
      <c r="F75" s="38">
        <f t="shared" si="16"/>
        <v>2E-3</v>
      </c>
      <c r="H75" s="80">
        <f>B75</f>
        <v>5.4</v>
      </c>
      <c r="I75" s="38">
        <f t="shared" si="17"/>
        <v>2E-3</v>
      </c>
      <c r="K75" s="80">
        <f>B75</f>
        <v>5.4</v>
      </c>
      <c r="L75" s="38">
        <f t="shared" si="18"/>
        <v>2E-3</v>
      </c>
      <c r="N75" s="80">
        <f>B75</f>
        <v>5.4</v>
      </c>
      <c r="O75" s="38">
        <f t="shared" si="19"/>
        <v>2E-3</v>
      </c>
    </row>
    <row r="76" spans="1:15" s="6" customFormat="1" ht="13" x14ac:dyDescent="0.3">
      <c r="A76" s="11" t="s">
        <v>106</v>
      </c>
      <c r="B76" s="81">
        <f>C76*$B$53</f>
        <v>70.2</v>
      </c>
      <c r="C76" s="28">
        <f>B7</f>
        <v>2.5999999999999999E-2</v>
      </c>
      <c r="D76" s="29"/>
      <c r="E76" s="81">
        <f>E57-SUM(E60:E75)</f>
        <v>73.885000000000105</v>
      </c>
      <c r="F76" s="28">
        <f>C76</f>
        <v>2.5999999999999999E-2</v>
      </c>
      <c r="H76" s="81">
        <f>H57-SUM(H60:H75)</f>
        <v>128.10460000000023</v>
      </c>
      <c r="I76" s="28">
        <f t="shared" si="17"/>
        <v>4.7446148148148237E-2</v>
      </c>
      <c r="K76" s="81">
        <f>K57-SUM(K60:K75)</f>
        <v>97.272000000000048</v>
      </c>
      <c r="L76" s="28">
        <f t="shared" si="18"/>
        <v>3.6026666666666686E-2</v>
      </c>
      <c r="N76" s="81">
        <f>N57-SUM(N60:N75)</f>
        <v>158.86160000000007</v>
      </c>
      <c r="O76" s="28">
        <f t="shared" si="19"/>
        <v>5.8837629629629656E-2</v>
      </c>
    </row>
    <row r="77" spans="1:15" ht="13" x14ac:dyDescent="0.3">
      <c r="A77" s="10" t="s">
        <v>42</v>
      </c>
      <c r="B77" s="83" t="str">
        <f>IF(ABS(B76-(B57-SUM(B60:B75)))&gt;0.0001,"ERROR","")</f>
        <v/>
      </c>
      <c r="C77" s="134"/>
      <c r="D77" s="44"/>
      <c r="E77" s="83" t="str">
        <f>IF(ABS(E76-(E57-SUM(E60:E75)))&gt;0.0001,"ERROR","")</f>
        <v/>
      </c>
      <c r="F77" s="45"/>
      <c r="H77" s="83" t="str">
        <f>IF(ABS(H76-(H57-SUM(H60:H75)))&gt;0.0001,"ERROR","")</f>
        <v/>
      </c>
      <c r="I77" s="45"/>
      <c r="K77" s="83" t="str">
        <f>IF(ABS(K76-(K57-SUM(K60:K75)))&gt;0.0001,"ERROR","")</f>
        <v/>
      </c>
      <c r="L77" s="45"/>
      <c r="N77" s="83" t="str">
        <f>IF(ABS(N76-(N57-SUM(N60:N75)))&gt;0.0001,"ERROR","")</f>
        <v/>
      </c>
      <c r="O77" s="45"/>
    </row>
    <row r="78" spans="1:15" x14ac:dyDescent="0.25">
      <c r="A78" s="9" t="s">
        <v>88</v>
      </c>
      <c r="B78" s="87">
        <f>C78*$B$53</f>
        <v>5.4</v>
      </c>
      <c r="C78" s="36">
        <v>2E-3</v>
      </c>
      <c r="D78" s="51"/>
      <c r="E78" s="79">
        <f>B78</f>
        <v>5.4</v>
      </c>
      <c r="F78" s="35">
        <f>E78/$E$53</f>
        <v>2E-3</v>
      </c>
      <c r="H78" s="79">
        <f>B78</f>
        <v>5.4</v>
      </c>
      <c r="I78" s="35">
        <f>H78/H$53</f>
        <v>2E-3</v>
      </c>
      <c r="K78" s="79">
        <f>B78</f>
        <v>5.4</v>
      </c>
      <c r="L78" s="35">
        <f>K78/K$53</f>
        <v>2E-3</v>
      </c>
      <c r="N78" s="79">
        <f>B78</f>
        <v>5.4</v>
      </c>
      <c r="O78" s="35">
        <f>N78/N$53</f>
        <v>2E-3</v>
      </c>
    </row>
    <row r="79" spans="1:15" s="6" customFormat="1" x14ac:dyDescent="0.25">
      <c r="A79" s="9" t="s">
        <v>89</v>
      </c>
      <c r="B79" s="87">
        <f>C79*$B$53</f>
        <v>8.1</v>
      </c>
      <c r="C79" s="36">
        <v>3.0000000000000001E-3</v>
      </c>
      <c r="D79" s="22"/>
      <c r="E79" s="79">
        <f>B79</f>
        <v>8.1</v>
      </c>
      <c r="F79" s="35">
        <f>E79/$E$53</f>
        <v>3.0000000000000001E-3</v>
      </c>
      <c r="H79" s="79">
        <f>B79</f>
        <v>8.1</v>
      </c>
      <c r="I79" s="35">
        <f>H79/H$53</f>
        <v>3.0000000000000001E-3</v>
      </c>
      <c r="K79" s="79">
        <f>B79</f>
        <v>8.1</v>
      </c>
      <c r="L79" s="35">
        <f>K79/K$53</f>
        <v>3.0000000000000001E-3</v>
      </c>
      <c r="N79" s="79">
        <f>B79</f>
        <v>8.1</v>
      </c>
      <c r="O79" s="35">
        <f>N79/N$53</f>
        <v>3.0000000000000001E-3</v>
      </c>
    </row>
    <row r="80" spans="1:15" s="6" customFormat="1" x14ac:dyDescent="0.25">
      <c r="A80" s="14" t="s">
        <v>90</v>
      </c>
      <c r="B80" s="87">
        <f>C80*$B$53</f>
        <v>5.4</v>
      </c>
      <c r="C80" s="36">
        <v>2E-3</v>
      </c>
      <c r="D80" s="22"/>
      <c r="E80" s="84">
        <f>B80*0.8</f>
        <v>4.32</v>
      </c>
      <c r="F80" s="35">
        <f>E80/$E$53</f>
        <v>1.6000000000000001E-3</v>
      </c>
      <c r="H80" s="79">
        <f>B80</f>
        <v>5.4</v>
      </c>
      <c r="I80" s="35">
        <f>H80/H$53</f>
        <v>2E-3</v>
      </c>
      <c r="K80" s="79">
        <f>B80</f>
        <v>5.4</v>
      </c>
      <c r="L80" s="35">
        <f>K80/K$53</f>
        <v>2E-3</v>
      </c>
      <c r="N80" s="83">
        <f>E80</f>
        <v>4.32</v>
      </c>
      <c r="O80" s="35">
        <f>N80/N$53</f>
        <v>1.6000000000000001E-3</v>
      </c>
    </row>
    <row r="81" spans="1:15" ht="13" x14ac:dyDescent="0.3">
      <c r="A81" s="10" t="s">
        <v>107</v>
      </c>
      <c r="B81" s="80">
        <f>C81*$B$53</f>
        <v>-16.2</v>
      </c>
      <c r="C81" s="37">
        <v>-6.0000000000000001E-3</v>
      </c>
      <c r="D81" s="51"/>
      <c r="E81" s="80">
        <f>B81</f>
        <v>-16.2</v>
      </c>
      <c r="F81" s="38">
        <f>E81/$E$53</f>
        <v>-6.0000000000000001E-3</v>
      </c>
      <c r="H81" s="80">
        <f>B81</f>
        <v>-16.2</v>
      </c>
      <c r="I81" s="38">
        <f>H81/H$53</f>
        <v>-6.0000000000000001E-3</v>
      </c>
      <c r="K81" s="80">
        <f>B81</f>
        <v>-16.2</v>
      </c>
      <c r="L81" s="38">
        <f>K81/K$53</f>
        <v>-6.0000000000000001E-3</v>
      </c>
      <c r="N81" s="80">
        <f>B81</f>
        <v>-16.2</v>
      </c>
      <c r="O81" s="38">
        <f>N81/N$53</f>
        <v>-6.0000000000000001E-3</v>
      </c>
    </row>
    <row r="82" spans="1:15" s="27" customFormat="1" ht="13" x14ac:dyDescent="0.3">
      <c r="A82" s="10" t="s">
        <v>20</v>
      </c>
      <c r="B82" s="81">
        <f>C82*B53</f>
        <v>67.5</v>
      </c>
      <c r="C82" s="28">
        <f>B8</f>
        <v>2.5000000000000001E-2</v>
      </c>
      <c r="D82" s="29"/>
      <c r="E82" s="81">
        <f>E76-SUM(E78:E81)</f>
        <v>72.2650000000001</v>
      </c>
      <c r="F82" s="28">
        <f>E82/$E$53</f>
        <v>2.6764814814814852E-2</v>
      </c>
      <c r="H82" s="81">
        <f>H76-SUM(H78:H81)</f>
        <v>125.40460000000023</v>
      </c>
      <c r="I82" s="28">
        <f>H82/H$53</f>
        <v>4.6446148148148236E-2</v>
      </c>
      <c r="K82" s="81">
        <f>K76-SUM(K78:K81)</f>
        <v>94.572000000000045</v>
      </c>
      <c r="L82" s="28">
        <f>K82/K$53</f>
        <v>3.5026666666666685E-2</v>
      </c>
      <c r="N82" s="81">
        <f>N76-SUM(N78:N81)</f>
        <v>157.24160000000006</v>
      </c>
      <c r="O82" s="28">
        <f>N82/N$53</f>
        <v>5.8237629629629653E-2</v>
      </c>
    </row>
    <row r="83" spans="1:15" ht="13" x14ac:dyDescent="0.3">
      <c r="A83" s="10"/>
      <c r="B83" s="88" t="str">
        <f>IF(B76-SUM(B78:B81)&lt;&gt;B82,"ERROR","")</f>
        <v/>
      </c>
      <c r="C83" s="138"/>
      <c r="D83" s="23"/>
      <c r="E83" s="88" t="str">
        <f>IF(E76-SUM(E78:E81)&lt;&gt;E82,"ERROR","")</f>
        <v/>
      </c>
      <c r="F83" s="138"/>
      <c r="G83" s="6"/>
      <c r="H83" s="88" t="str">
        <f>IF(H76-SUM(H78:H81)&lt;&gt;H82,"ERROR","")</f>
        <v/>
      </c>
      <c r="I83" s="138"/>
      <c r="J83" s="6"/>
      <c r="K83" s="88" t="str">
        <f>IF(K76-SUM(K78:K81)&lt;&gt;K82,"ERROR","")</f>
        <v/>
      </c>
      <c r="L83" s="138"/>
      <c r="M83" s="6"/>
      <c r="N83" s="88" t="str">
        <f>IF(N76-SUM(N78:N81)&lt;&gt;N82,"ERROR","")</f>
        <v/>
      </c>
      <c r="O83" s="138"/>
    </row>
    <row r="84" spans="1:15" x14ac:dyDescent="0.25">
      <c r="A84" s="9" t="s">
        <v>154</v>
      </c>
      <c r="B84" s="79">
        <f>B82*'Inv CC'!$D$18</f>
        <v>27</v>
      </c>
      <c r="C84" s="35">
        <f>B84/$B$53</f>
        <v>0.01</v>
      </c>
      <c r="D84" s="51"/>
      <c r="E84" s="79">
        <f>E82*'Inv CC'!$D$18</f>
        <v>28.906000000000041</v>
      </c>
      <c r="F84" s="35">
        <f>E84/$E$53</f>
        <v>1.0705925925925942E-2</v>
      </c>
      <c r="H84" s="79">
        <f>H82*'Inv CC'!$D$18</f>
        <v>50.161840000000097</v>
      </c>
      <c r="I84" s="35">
        <f>H84/H$53</f>
        <v>1.8578459259259297E-2</v>
      </c>
      <c r="K84" s="79">
        <f>K82*'Inv CC'!$D$18</f>
        <v>37.828800000000022</v>
      </c>
      <c r="L84" s="35">
        <f>K84/K$53</f>
        <v>1.4010666666666675E-2</v>
      </c>
      <c r="N84" s="79">
        <f>N82*'Inv CC'!$D$18</f>
        <v>62.896640000000026</v>
      </c>
      <c r="O84" s="35">
        <f>N84/N$53</f>
        <v>2.3295051851851861E-2</v>
      </c>
    </row>
    <row r="85" spans="1:15" x14ac:dyDescent="0.25">
      <c r="A85" s="14" t="s">
        <v>159</v>
      </c>
      <c r="B85" s="79">
        <f>(B14*'Inv CC'!$D$22)</f>
        <v>4.8499999999999996</v>
      </c>
      <c r="C85" s="35">
        <f>B85/$B$53</f>
        <v>1.7962962962962963E-3</v>
      </c>
      <c r="D85" s="51"/>
      <c r="E85" s="83">
        <f>(E14*'Inv CC'!$D$22)</f>
        <v>3.8799999999999994</v>
      </c>
      <c r="F85" s="35">
        <f>E85/$E$53</f>
        <v>1.4370370370370368E-3</v>
      </c>
      <c r="H85" s="79">
        <f>(H14*'Inv CC'!$D$22)</f>
        <v>4.8499999999999996</v>
      </c>
      <c r="I85" s="35">
        <f>H85/H$53</f>
        <v>1.7962962962962963E-3</v>
      </c>
      <c r="K85" s="79">
        <f>(K14*'Inv CC'!$D$22)</f>
        <v>4.8499999999999996</v>
      </c>
      <c r="L85" s="35">
        <f>K85/K$53</f>
        <v>1.7962962962962963E-3</v>
      </c>
      <c r="N85" s="83">
        <f>(N14*'Inv CC'!$D$22)</f>
        <v>3.8799999999999994</v>
      </c>
      <c r="O85" s="35">
        <f>N85/N$53</f>
        <v>1.4370370370370368E-3</v>
      </c>
    </row>
    <row r="86" spans="1:15" x14ac:dyDescent="0.25">
      <c r="A86" s="9" t="s">
        <v>45</v>
      </c>
      <c r="B86" s="80">
        <v>0</v>
      </c>
      <c r="C86" s="38">
        <f>B86/$B$53</f>
        <v>0</v>
      </c>
      <c r="D86" s="51"/>
      <c r="E86" s="80">
        <f>B86</f>
        <v>0</v>
      </c>
      <c r="F86" s="38">
        <f>E86/$E$53</f>
        <v>0</v>
      </c>
      <c r="H86" s="80">
        <f>B86</f>
        <v>0</v>
      </c>
      <c r="I86" s="38">
        <f>H86/H$53</f>
        <v>0</v>
      </c>
      <c r="K86" s="80">
        <f>B86</f>
        <v>0</v>
      </c>
      <c r="L86" s="38">
        <f>K86/K$53</f>
        <v>0</v>
      </c>
      <c r="N86" s="80">
        <f>B86</f>
        <v>0</v>
      </c>
      <c r="O86" s="38">
        <f>N86/N$53</f>
        <v>0</v>
      </c>
    </row>
    <row r="87" spans="1:15" s="27" customFormat="1" ht="13" x14ac:dyDescent="0.3">
      <c r="A87" s="11" t="s">
        <v>21</v>
      </c>
      <c r="B87" s="81">
        <f>B82-SUM(B84:B86)</f>
        <v>35.65</v>
      </c>
      <c r="C87" s="28">
        <f>B87/$B$53</f>
        <v>1.3203703703703704E-2</v>
      </c>
      <c r="D87" s="29"/>
      <c r="E87" s="81">
        <f>E82-SUM(E84:E86)</f>
        <v>39.479000000000056</v>
      </c>
      <c r="F87" s="28">
        <f>E87/$E$53</f>
        <v>1.4621851851851872E-2</v>
      </c>
      <c r="H87" s="81">
        <f>H82-SUM(H84:H86)</f>
        <v>70.392760000000123</v>
      </c>
      <c r="I87" s="28">
        <f>H87/H$53</f>
        <v>2.6071392592592637E-2</v>
      </c>
      <c r="K87" s="81">
        <f>K82-SUM(K84:K86)</f>
        <v>51.893200000000022</v>
      </c>
      <c r="L87" s="28">
        <f>K87/K$53</f>
        <v>1.9219703703703711E-2</v>
      </c>
      <c r="N87" s="81">
        <f>N82-SUM(N84:N86)</f>
        <v>90.464960000000033</v>
      </c>
      <c r="O87" s="28">
        <f>N87/N$53</f>
        <v>3.3505540740740754E-2</v>
      </c>
    </row>
    <row r="88" spans="1:15" x14ac:dyDescent="0.25">
      <c r="A88" s="8"/>
      <c r="B88" s="42" t="str">
        <f>IF(B82-SUM(B84:B86)&lt;&gt;B87,"ERROR","")</f>
        <v/>
      </c>
      <c r="E88" s="42" t="str">
        <f>IF(E82-SUM(E84:E86)&lt;&gt;E87,"ERROR","")</f>
        <v/>
      </c>
      <c r="H88" s="42" t="str">
        <f>IF(H82-SUM(H84:H86)&lt;&gt;H87,"ERROR","")</f>
        <v/>
      </c>
      <c r="K88" s="42" t="str">
        <f>IF(K82-SUM(K84:K86)&lt;&gt;K87,"ERROR","")</f>
        <v/>
      </c>
      <c r="N88" s="42" t="str">
        <f>IF(N82-SUM(N84:N86)&lt;&gt;N87,"ERROR","")</f>
        <v/>
      </c>
    </row>
    <row r="89" spans="1:15" ht="20" x14ac:dyDescent="0.4">
      <c r="A89" s="25" t="s">
        <v>119</v>
      </c>
      <c r="B89" s="32"/>
    </row>
    <row r="90" spans="1:15" x14ac:dyDescent="0.25">
      <c r="A90" s="9" t="s">
        <v>109</v>
      </c>
      <c r="B90" s="62">
        <f>(B55+B56)/B14</f>
        <v>4.1863917525773191</v>
      </c>
      <c r="C90" s="62"/>
      <c r="D90" s="62"/>
      <c r="E90" s="62">
        <f>(E55+E56)/E14</f>
        <v>5.2329896907216495</v>
      </c>
      <c r="F90" s="62"/>
      <c r="G90" s="62"/>
      <c r="H90" s="62">
        <f>(H55+H56)/H14</f>
        <v>4.1863917525773191</v>
      </c>
      <c r="I90" s="62"/>
      <c r="J90" s="62"/>
      <c r="K90" s="62">
        <f>(K55+K56)/K14</f>
        <v>4.1696461855670099</v>
      </c>
      <c r="L90" s="62"/>
      <c r="M90" s="62"/>
      <c r="N90" s="62">
        <f>(N55+N56)/N14</f>
        <v>5.2120577319587627</v>
      </c>
    </row>
    <row r="91" spans="1:15" x14ac:dyDescent="0.25">
      <c r="A91" s="7" t="s">
        <v>56</v>
      </c>
      <c r="B91" s="62">
        <f>B98</f>
        <v>87.187253743104819</v>
      </c>
      <c r="C91" s="62"/>
      <c r="D91" s="62"/>
      <c r="E91" s="62">
        <f>E98</f>
        <v>69.749802994483844</v>
      </c>
      <c r="F91" s="62"/>
      <c r="G91" s="62"/>
      <c r="H91" s="62">
        <f>H98</f>
        <v>87.187253743104819</v>
      </c>
      <c r="I91" s="62"/>
      <c r="J91" s="62"/>
      <c r="K91" s="62">
        <f>K98</f>
        <v>87.537403356530945</v>
      </c>
      <c r="L91" s="62"/>
      <c r="M91" s="62"/>
      <c r="N91" s="62">
        <f>N98</f>
        <v>70.029922685224747</v>
      </c>
    </row>
    <row r="92" spans="1:15" x14ac:dyDescent="0.25">
      <c r="A92" s="7" t="s">
        <v>155</v>
      </c>
      <c r="B92" s="63">
        <f>B87/B28</f>
        <v>3.5650000000000001E-2</v>
      </c>
      <c r="C92" s="62"/>
      <c r="D92" s="62"/>
      <c r="E92" s="63">
        <f>E87/E28</f>
        <v>4.3719822812846129E-2</v>
      </c>
      <c r="F92" s="62"/>
      <c r="G92" s="62"/>
      <c r="H92" s="63">
        <f>H87/H28</f>
        <v>7.0392760000000124E-2</v>
      </c>
      <c r="I92" s="62"/>
      <c r="J92" s="62"/>
      <c r="K92" s="63">
        <f>K87/K28</f>
        <v>5.1893200000000021E-2</v>
      </c>
      <c r="L92" s="62"/>
      <c r="M92" s="62"/>
      <c r="N92" s="63">
        <f>N87/N28</f>
        <v>0.10018267995570325</v>
      </c>
    </row>
    <row r="93" spans="1:15" x14ac:dyDescent="0.25">
      <c r="A93" s="9" t="s">
        <v>156</v>
      </c>
      <c r="B93" s="63">
        <f>B87/B46</f>
        <v>7.4865000000000001E-2</v>
      </c>
      <c r="E93" s="63">
        <f>E87/E46</f>
        <v>8.2905900000000116E-2</v>
      </c>
      <c r="H93" s="63">
        <f>H87/H46</f>
        <v>0.14782479600000026</v>
      </c>
      <c r="K93" s="63">
        <f>K87/K46</f>
        <v>0.10897572000000004</v>
      </c>
      <c r="N93" s="63">
        <f>N87/N46</f>
        <v>0.18997641600000006</v>
      </c>
    </row>
    <row r="94" spans="1:15" s="27" customFormat="1" ht="13" hidden="1" x14ac:dyDescent="0.3">
      <c r="A94" s="11"/>
      <c r="B94" s="43"/>
      <c r="E94" s="43"/>
      <c r="H94" s="43"/>
      <c r="K94" s="43"/>
      <c r="N94" s="43"/>
    </row>
    <row r="95" spans="1:15" s="27" customFormat="1" ht="13" hidden="1" x14ac:dyDescent="0.3">
      <c r="A95" s="11" t="s">
        <v>110</v>
      </c>
      <c r="B95" s="30">
        <f>B53/B13</f>
        <v>7.6271186440677967</v>
      </c>
      <c r="E95" s="30">
        <f>E53/E13</f>
        <v>7.6271186440677967</v>
      </c>
      <c r="H95" s="30">
        <f>H53/H13</f>
        <v>7.6271186440677967</v>
      </c>
      <c r="K95" s="30">
        <f>K53/K13</f>
        <v>7.6271186440677967</v>
      </c>
      <c r="N95" s="30">
        <f>N53/N13</f>
        <v>7.6271186440677967</v>
      </c>
    </row>
    <row r="96" spans="1:15" s="27" customFormat="1" ht="13" hidden="1" x14ac:dyDescent="0.3">
      <c r="A96" s="10" t="s">
        <v>98</v>
      </c>
      <c r="B96" s="31">
        <f>SUM(B97:B99)</f>
        <v>100.12296591804571</v>
      </c>
      <c r="E96" s="31">
        <f>SUM(E97:E99)</f>
        <v>100.12296591804571</v>
      </c>
      <c r="H96" s="31">
        <f>SUM(H97:H99)</f>
        <v>100.12296591804571</v>
      </c>
      <c r="K96" s="31">
        <f>SUM(K97:K99)</f>
        <v>100.33287519660993</v>
      </c>
      <c r="N96" s="31">
        <f>SUM(N97:N99)</f>
        <v>100.33287519660992</v>
      </c>
    </row>
    <row r="97" spans="1:14" hidden="1" x14ac:dyDescent="0.25">
      <c r="A97" s="8" t="s">
        <v>55</v>
      </c>
      <c r="B97" s="32">
        <f>-365/(SUM(B55:B56)/B31)</f>
        <v>-34.919843380614658</v>
      </c>
      <c r="E97" s="32">
        <f>-365/(SUM(E55:E56)/E31)</f>
        <v>-17.482392631993697</v>
      </c>
      <c r="H97" s="32">
        <f>-365/(SUM(H55:H56)/H31)</f>
        <v>-34.919843380614658</v>
      </c>
      <c r="K97" s="32">
        <f>-365/(SUM(K55:K56)/K31)</f>
        <v>-35.060083715476566</v>
      </c>
      <c r="N97" s="32">
        <f>-365/(SUM(N55:N56)/N31)</f>
        <v>-17.552603044170379</v>
      </c>
    </row>
    <row r="98" spans="1:14" hidden="1" x14ac:dyDescent="0.25">
      <c r="A98" s="9" t="s">
        <v>56</v>
      </c>
      <c r="B98" s="32">
        <f>365/B90</f>
        <v>87.187253743104819</v>
      </c>
      <c r="E98" s="32">
        <f>365/E90</f>
        <v>69.749802994483844</v>
      </c>
      <c r="H98" s="32">
        <f>365/H90</f>
        <v>87.187253743104819</v>
      </c>
      <c r="K98" s="32">
        <f>365/K90</f>
        <v>87.537403356530945</v>
      </c>
      <c r="N98" s="32">
        <f>365/N90</f>
        <v>70.029922685224747</v>
      </c>
    </row>
    <row r="99" spans="1:14" hidden="1" x14ac:dyDescent="0.25">
      <c r="A99" s="9" t="s">
        <v>57</v>
      </c>
      <c r="B99" s="32">
        <f>365/B95</f>
        <v>47.855555555555554</v>
      </c>
      <c r="E99" s="32">
        <f>365/E95</f>
        <v>47.855555555555554</v>
      </c>
      <c r="H99" s="32">
        <f>365/H95</f>
        <v>47.855555555555554</v>
      </c>
      <c r="K99" s="32">
        <f>365/K95</f>
        <v>47.855555555555554</v>
      </c>
      <c r="N99" s="32">
        <f>365/N95</f>
        <v>47.855555555555554</v>
      </c>
    </row>
    <row r="100" spans="1:14" x14ac:dyDescent="0.25">
      <c r="A100" s="9" t="s">
        <v>179</v>
      </c>
      <c r="B100" s="63">
        <f>(B82/B53)*(B53/B28)*(B28/B46)</f>
        <v>0.14175000000000001</v>
      </c>
      <c r="E100" s="63">
        <f>(E82/E53)*(E53/E28)*(E28/E46)</f>
        <v>0.15175650000000021</v>
      </c>
      <c r="H100" s="63">
        <f>(H82/H53)*(H53/H28)*(H28/H46)</f>
        <v>0.26334966000000054</v>
      </c>
      <c r="K100" s="63">
        <f>(K82/K53)*(K53/K28)*(K28/K46)</f>
        <v>0.19860120000000014</v>
      </c>
      <c r="N100" s="63">
        <f>(N82/N53)*(N53/N28)*(N28/N46)</f>
        <v>0.33020736000000012</v>
      </c>
    </row>
    <row r="101" spans="1:14" x14ac:dyDescent="0.25">
      <c r="A101" s="9"/>
      <c r="B101" s="32"/>
      <c r="E101" s="32"/>
      <c r="H101" s="32"/>
      <c r="K101" s="32"/>
      <c r="N101" s="32"/>
    </row>
    <row r="102" spans="1:14" ht="20" x14ac:dyDescent="0.4">
      <c r="A102" s="25" t="s">
        <v>178</v>
      </c>
    </row>
    <row r="103" spans="1:14" x14ac:dyDescent="0.25">
      <c r="A103" s="8" t="s">
        <v>22</v>
      </c>
    </row>
    <row r="104" spans="1:14" x14ac:dyDescent="0.25">
      <c r="A104" s="8" t="s">
        <v>52</v>
      </c>
      <c r="E104" s="32">
        <f>E87-$B87</f>
        <v>3.8290000000000575</v>
      </c>
      <c r="H104" s="32">
        <f>H87-$B87</f>
        <v>34.742760000000125</v>
      </c>
      <c r="K104" s="32">
        <f>K87-$B87</f>
        <v>16.243200000000023</v>
      </c>
      <c r="N104" s="32">
        <f>N87-$B87</f>
        <v>54.814960000000035</v>
      </c>
    </row>
    <row r="105" spans="1:14" x14ac:dyDescent="0.25">
      <c r="A105" s="9" t="s">
        <v>115</v>
      </c>
      <c r="E105" s="33">
        <f>(SUM($B31:$B32)-SUM(E31:E32))</f>
        <v>97</v>
      </c>
      <c r="H105" s="33">
        <f>(SUM($B31:$B32)-SUM(H31:H32))</f>
        <v>0</v>
      </c>
      <c r="K105" s="33">
        <f>(SUM($B31:$B32)-SUM(K31:K32))</f>
        <v>0</v>
      </c>
      <c r="N105" s="33">
        <f>(SUM($B31:$B32)-SUM(N31:N32))</f>
        <v>97</v>
      </c>
    </row>
    <row r="106" spans="1:14" s="27" customFormat="1" ht="13" x14ac:dyDescent="0.3">
      <c r="A106" s="11" t="s">
        <v>99</v>
      </c>
      <c r="E106" s="31">
        <f>SUM(E104:E105)</f>
        <v>100.82900000000006</v>
      </c>
      <c r="H106" s="31">
        <f>SUM(H104:H105)</f>
        <v>34.742760000000125</v>
      </c>
      <c r="K106" s="31">
        <f>SUM(K104:K105)</f>
        <v>16.243200000000023</v>
      </c>
      <c r="N106" s="31">
        <f>SUM(N104:N105)</f>
        <v>151.81496000000004</v>
      </c>
    </row>
    <row r="107" spans="1:14" x14ac:dyDescent="0.25">
      <c r="N107" s="32"/>
    </row>
  </sheetData>
  <phoneticPr fontId="0" type="noConversion"/>
  <pageMargins left="0.5" right="0.5" top="0.5" bottom="0.5" header="0.5" footer="0.5"/>
  <pageSetup scale="60" fitToHeight="0" orientation="landscape" r:id="rId1"/>
  <headerFooter alignWithMargins="0">
    <oddFooter>&amp;LSource: SCMRG/The Ohio State University, 2002</oddFooter>
  </headerFooter>
  <rowBreaks count="1" manualBreakCount="1">
    <brk id="48" max="14"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7"/>
  <sheetViews>
    <sheetView zoomScale="85" workbookViewId="0">
      <selection activeCell="B27" sqref="B27"/>
    </sheetView>
  </sheetViews>
  <sheetFormatPr defaultRowHeight="12.5" x14ac:dyDescent="0.25"/>
  <cols>
    <col min="1" max="1" width="4.54296875" customWidth="1"/>
    <col min="2" max="2" width="24.1796875" customWidth="1"/>
    <col min="3" max="3" width="7.453125" customWidth="1"/>
    <col min="4" max="4" width="26.7265625" customWidth="1"/>
    <col min="6" max="6" width="11.1796875" customWidth="1"/>
    <col min="7" max="7" width="23.1796875" customWidth="1"/>
    <col min="8" max="8" width="10.7265625" customWidth="1"/>
    <col min="9" max="9" width="7.81640625" customWidth="1"/>
    <col min="10" max="10" width="18.7265625" customWidth="1"/>
  </cols>
  <sheetData>
    <row r="1" spans="1:12" ht="25.5" thickBot="1" x14ac:dyDescent="0.55000000000000004">
      <c r="A1" s="1" t="s">
        <v>187</v>
      </c>
    </row>
    <row r="2" spans="1:12" ht="20.25" customHeight="1" thickBot="1" x14ac:dyDescent="0.55000000000000004">
      <c r="A2" s="1"/>
      <c r="F2" s="19" t="s">
        <v>111</v>
      </c>
      <c r="G2" s="20">
        <f>E14*H8*K9</f>
        <v>0.14175000000000001</v>
      </c>
    </row>
    <row r="3" spans="1:12" ht="18" customHeight="1" thickBot="1" x14ac:dyDescent="0.4">
      <c r="F3" s="19" t="s">
        <v>112</v>
      </c>
      <c r="G3" s="20">
        <f>G6*K9</f>
        <v>7.4865000000000001E-2</v>
      </c>
      <c r="H3" s="6" t="str">
        <f>IF(G3&lt;&gt;Financials!B87/Financials!B46,"ERROR","")</f>
        <v/>
      </c>
      <c r="I3" s="6" t="str">
        <f>IF(G3&lt;&gt;(Financials!B87/Financials!B46),"ERROR","")</f>
        <v/>
      </c>
    </row>
    <row r="4" spans="1:12" ht="15" customHeight="1" x14ac:dyDescent="0.35">
      <c r="F4" s="19"/>
      <c r="G4" s="92"/>
      <c r="I4" s="6"/>
    </row>
    <row r="5" spans="1:12" ht="13" thickBot="1" x14ac:dyDescent="0.3">
      <c r="I5" s="6"/>
    </row>
    <row r="6" spans="1:12" ht="16.5" customHeight="1" thickBot="1" x14ac:dyDescent="0.35">
      <c r="B6" s="3"/>
      <c r="F6" s="2" t="s">
        <v>1</v>
      </c>
      <c r="G6" s="17">
        <f>E9*H8</f>
        <v>3.5650000000000001E-2</v>
      </c>
      <c r="H6" s="6" t="str">
        <f>IF(G6&lt;&gt;(Financials!B87/Financials!B28),"ERROR","")</f>
        <v/>
      </c>
    </row>
    <row r="7" spans="1:12" ht="13" thickBot="1" x14ac:dyDescent="0.3">
      <c r="L7" s="72"/>
    </row>
    <row r="8" spans="1:12" ht="13.5" thickBot="1" x14ac:dyDescent="0.35">
      <c r="E8" s="5"/>
      <c r="G8" s="2" t="s">
        <v>4</v>
      </c>
      <c r="H8" s="18">
        <f>E43/H13</f>
        <v>2.7</v>
      </c>
      <c r="L8" s="72"/>
    </row>
    <row r="9" spans="1:12" ht="13.5" thickBot="1" x14ac:dyDescent="0.35">
      <c r="B9" s="114"/>
      <c r="C9" s="114"/>
      <c r="D9" s="106" t="s">
        <v>3</v>
      </c>
      <c r="E9" s="104">
        <f>Financials!C87</f>
        <v>1.3203703703703704E-2</v>
      </c>
      <c r="F9" s="106"/>
      <c r="G9" s="128"/>
      <c r="H9" s="128"/>
      <c r="I9" s="129" t="str">
        <f>IF((E43/H13)&lt;&gt;H8,"ERROR","")</f>
        <v/>
      </c>
      <c r="J9" s="101" t="s">
        <v>0</v>
      </c>
      <c r="K9" s="16">
        <f>H13/K11</f>
        <v>2.1</v>
      </c>
      <c r="L9" s="128"/>
    </row>
    <row r="10" spans="1:12" ht="13" thickBot="1" x14ac:dyDescent="0.3">
      <c r="B10" s="114"/>
      <c r="C10" s="114"/>
      <c r="D10" s="107"/>
      <c r="E10" s="108" t="str">
        <f>IF(E14-E11&lt;&gt;E9,"ERROR","")</f>
        <v/>
      </c>
      <c r="F10" s="109"/>
      <c r="G10" s="130"/>
      <c r="H10" s="128"/>
      <c r="I10" s="128"/>
      <c r="J10" s="93"/>
      <c r="K10" s="93"/>
      <c r="L10" s="128"/>
    </row>
    <row r="11" spans="1:12" ht="13.5" thickBot="1" x14ac:dyDescent="0.35">
      <c r="B11" s="114"/>
      <c r="C11" s="114"/>
      <c r="D11" s="107" t="s">
        <v>48</v>
      </c>
      <c r="E11" s="110">
        <f>SUM(Financials!C84:C86)</f>
        <v>1.1796296296296296E-2</v>
      </c>
      <c r="F11" s="105"/>
      <c r="G11" s="130"/>
      <c r="H11" s="128"/>
      <c r="I11" s="128"/>
      <c r="J11" s="93" t="s">
        <v>5</v>
      </c>
      <c r="K11" s="98">
        <f>Financials!B46</f>
        <v>476.19047619047615</v>
      </c>
      <c r="L11" s="128"/>
    </row>
    <row r="12" spans="1:12" ht="13.5" thickBot="1" x14ac:dyDescent="0.35">
      <c r="A12" s="4"/>
      <c r="B12" s="114"/>
      <c r="C12" s="114"/>
      <c r="D12" s="107"/>
      <c r="E12" s="111"/>
      <c r="F12" s="105"/>
      <c r="G12" s="130"/>
      <c r="H12" s="128"/>
      <c r="I12" s="128"/>
      <c r="J12" s="96"/>
      <c r="K12" s="96"/>
      <c r="L12" s="128"/>
    </row>
    <row r="13" spans="1:12" ht="13.5" thickBot="1" x14ac:dyDescent="0.35">
      <c r="B13" s="114"/>
      <c r="C13" s="143"/>
      <c r="D13" s="112"/>
      <c r="E13" s="113" t="str">
        <f>IF(ABS(E44-E37-E32-E27-E23-E18-E16-E14)&gt;0.0001,"ERROR","")</f>
        <v/>
      </c>
      <c r="F13" s="105"/>
      <c r="G13" s="93" t="s">
        <v>176</v>
      </c>
      <c r="H13" s="98">
        <f>Financials!B28</f>
        <v>1000</v>
      </c>
      <c r="I13" s="95"/>
      <c r="J13" s="95"/>
      <c r="K13" s="96"/>
      <c r="L13" s="128"/>
    </row>
    <row r="14" spans="1:12" ht="13.5" thickBot="1" x14ac:dyDescent="0.35">
      <c r="B14" s="114"/>
      <c r="C14" s="114"/>
      <c r="D14" s="107" t="s">
        <v>6</v>
      </c>
      <c r="E14" s="110">
        <f>Financials!C82</f>
        <v>2.5000000000000001E-2</v>
      </c>
      <c r="F14" s="109"/>
      <c r="G14" s="97"/>
      <c r="H14" s="94">
        <f>Financials!C28</f>
        <v>1</v>
      </c>
      <c r="I14" s="95"/>
      <c r="J14" s="96"/>
      <c r="K14" s="96"/>
      <c r="L14" s="128"/>
    </row>
    <row r="15" spans="1:12" ht="13" thickBot="1" x14ac:dyDescent="0.3">
      <c r="B15" s="114"/>
      <c r="C15" s="114"/>
      <c r="D15" s="107"/>
      <c r="E15" s="112"/>
      <c r="F15" s="109"/>
      <c r="G15" s="96"/>
      <c r="H15" s="133" t="str">
        <f>IF(H14&lt;&gt;(H17+K17),"ERROR","")</f>
        <v/>
      </c>
      <c r="I15" s="96"/>
      <c r="J15" s="96"/>
      <c r="K15" s="96"/>
      <c r="L15" s="128"/>
    </row>
    <row r="16" spans="1:12" ht="13.5" thickBot="1" x14ac:dyDescent="0.35">
      <c r="B16" s="114"/>
      <c r="C16" s="114"/>
      <c r="D16" s="107" t="s">
        <v>81</v>
      </c>
      <c r="E16" s="110">
        <f>Financials!C81</f>
        <v>-6.0000000000000001E-3</v>
      </c>
      <c r="F16" s="105"/>
      <c r="G16" s="93"/>
      <c r="H16" s="96"/>
      <c r="I16" s="96"/>
      <c r="J16" s="96"/>
      <c r="K16" s="96"/>
      <c r="L16" s="128"/>
    </row>
    <row r="17" spans="2:12" ht="13.5" thickBot="1" x14ac:dyDescent="0.35">
      <c r="B17" s="114"/>
      <c r="C17" s="114"/>
      <c r="D17" s="107"/>
      <c r="E17" s="105"/>
      <c r="F17" s="105"/>
      <c r="G17" s="93" t="s">
        <v>64</v>
      </c>
      <c r="H17" s="99">
        <f>Financials!C27</f>
        <v>0.114</v>
      </c>
      <c r="I17" s="96"/>
      <c r="J17" s="93" t="s">
        <v>58</v>
      </c>
      <c r="K17" s="99">
        <f>Financials!C16</f>
        <v>0.88600000000000001</v>
      </c>
      <c r="L17" s="129"/>
    </row>
    <row r="18" spans="2:12" ht="13.5" thickBot="1" x14ac:dyDescent="0.35">
      <c r="B18" s="114"/>
      <c r="C18" s="115"/>
      <c r="D18" s="114" t="s">
        <v>80</v>
      </c>
      <c r="E18" s="116">
        <f>SUM(C19:C21)</f>
        <v>7.0000000000000001E-3</v>
      </c>
      <c r="F18" s="117"/>
      <c r="G18" s="93"/>
      <c r="H18" s="96"/>
      <c r="I18" s="96"/>
      <c r="J18" s="93"/>
      <c r="K18" s="133" t="str">
        <f>IF(K17&lt;&gt;(K19+K21+K23+K25),"ERROR","")</f>
        <v/>
      </c>
      <c r="L18" s="128"/>
    </row>
    <row r="19" spans="2:12" ht="13.5" thickBot="1" x14ac:dyDescent="0.35">
      <c r="B19" s="114" t="s">
        <v>91</v>
      </c>
      <c r="C19" s="118">
        <f>Financials!C78</f>
        <v>2E-3</v>
      </c>
      <c r="D19" s="114"/>
      <c r="E19" s="115"/>
      <c r="F19" s="115"/>
      <c r="G19" s="93" t="s">
        <v>26</v>
      </c>
      <c r="H19" s="99">
        <f>Financials!C26</f>
        <v>2.8500000000000001E-2</v>
      </c>
      <c r="I19" s="96"/>
      <c r="J19" s="93" t="s">
        <v>7</v>
      </c>
      <c r="K19" s="99">
        <f>Financials!C14</f>
        <v>0.48499999999999999</v>
      </c>
      <c r="L19" s="128"/>
    </row>
    <row r="20" spans="2:12" ht="13.5" thickBot="1" x14ac:dyDescent="0.35">
      <c r="B20" s="114" t="s">
        <v>92</v>
      </c>
      <c r="C20" s="119">
        <f>Financials!C79</f>
        <v>3.0000000000000001E-3</v>
      </c>
      <c r="D20" s="114"/>
      <c r="E20" s="115"/>
      <c r="F20" s="115"/>
      <c r="G20" s="93"/>
      <c r="H20" s="96"/>
      <c r="I20" s="96"/>
      <c r="J20" s="96"/>
      <c r="K20" s="96"/>
      <c r="L20" s="128"/>
    </row>
    <row r="21" spans="2:12" ht="13.5" thickBot="1" x14ac:dyDescent="0.35">
      <c r="B21" s="114" t="s">
        <v>93</v>
      </c>
      <c r="C21" s="120">
        <f>Financials!C80</f>
        <v>2E-3</v>
      </c>
      <c r="D21" s="114"/>
      <c r="E21" s="121"/>
      <c r="F21" s="115"/>
      <c r="G21" s="93" t="s">
        <v>66</v>
      </c>
      <c r="H21" s="99">
        <f>Financials!C25</f>
        <v>8.5500000000000007E-2</v>
      </c>
      <c r="I21" s="96"/>
      <c r="J21" s="93" t="s">
        <v>23</v>
      </c>
      <c r="K21" s="99">
        <f>Financials!C13</f>
        <v>0.35399999999999998</v>
      </c>
      <c r="L21" s="128"/>
    </row>
    <row r="22" spans="2:12" ht="13.5" thickBot="1" x14ac:dyDescent="0.35">
      <c r="B22" s="114"/>
      <c r="C22" s="122"/>
      <c r="D22" s="115"/>
      <c r="E22" s="115"/>
      <c r="F22" s="115"/>
      <c r="G22" s="93"/>
      <c r="H22" s="133" t="str">
        <f>IF(H21&lt;&gt;(H25+H26+H28+H29),"ERROR","")</f>
        <v/>
      </c>
      <c r="I22" s="96"/>
      <c r="J22" s="93"/>
      <c r="K22" s="96"/>
      <c r="L22" s="128"/>
    </row>
    <row r="23" spans="2:12" ht="13.5" thickBot="1" x14ac:dyDescent="0.35">
      <c r="B23" s="114"/>
      <c r="C23" s="122"/>
      <c r="D23" s="114" t="s">
        <v>78</v>
      </c>
      <c r="E23" s="116">
        <f>SUM(C24:C25)</f>
        <v>4.0000000000000001E-3</v>
      </c>
      <c r="F23" s="115"/>
      <c r="G23" s="96"/>
      <c r="H23" s="96"/>
      <c r="I23" s="96"/>
      <c r="J23" s="93" t="s">
        <v>10</v>
      </c>
      <c r="K23" s="99">
        <f>Financials!C15</f>
        <v>2.1999999999999999E-2</v>
      </c>
      <c r="L23" s="128"/>
    </row>
    <row r="24" spans="2:12" ht="13.5" thickBot="1" x14ac:dyDescent="0.35">
      <c r="B24" s="114" t="s">
        <v>86</v>
      </c>
      <c r="C24" s="119">
        <f>Financials!C74</f>
        <v>2E-3</v>
      </c>
      <c r="D24" s="114"/>
      <c r="E24" s="115"/>
      <c r="F24" s="115"/>
      <c r="G24" s="93"/>
      <c r="H24" s="96"/>
      <c r="I24" s="96"/>
      <c r="J24" s="93"/>
      <c r="K24" s="96"/>
      <c r="L24" s="128"/>
    </row>
    <row r="25" spans="2:12" ht="13.5" thickBot="1" x14ac:dyDescent="0.35">
      <c r="B25" s="114" t="s">
        <v>87</v>
      </c>
      <c r="C25" s="120">
        <f>Financials!C75</f>
        <v>2E-3</v>
      </c>
      <c r="D25" s="114"/>
      <c r="E25" s="115"/>
      <c r="F25" s="115"/>
      <c r="G25" s="93" t="s">
        <v>69</v>
      </c>
      <c r="H25" s="99">
        <f>Financials!C19</f>
        <v>0.12825</v>
      </c>
      <c r="I25" s="96"/>
      <c r="J25" s="93" t="s">
        <v>59</v>
      </c>
      <c r="K25" s="99">
        <f>Financials!C12</f>
        <v>2.5000000000000001E-2</v>
      </c>
      <c r="L25" s="128"/>
    </row>
    <row r="26" spans="2:12" ht="13.5" thickBot="1" x14ac:dyDescent="0.35">
      <c r="B26" s="114"/>
      <c r="C26" s="122"/>
      <c r="D26" s="115"/>
      <c r="E26" s="115"/>
      <c r="F26" s="115"/>
      <c r="G26" s="93" t="s">
        <v>70</v>
      </c>
      <c r="H26" s="99">
        <f>Financials!C20</f>
        <v>-6.4125000000000001E-2</v>
      </c>
      <c r="I26" s="96"/>
      <c r="J26" s="96"/>
      <c r="K26" s="96"/>
      <c r="L26" s="128"/>
    </row>
    <row r="27" spans="2:12" ht="13.5" thickBot="1" x14ac:dyDescent="0.35">
      <c r="B27" s="114"/>
      <c r="C27" s="122"/>
      <c r="D27" s="114" t="s">
        <v>94</v>
      </c>
      <c r="E27" s="116">
        <f>SUM(C28:C30)</f>
        <v>0.10609333333333333</v>
      </c>
      <c r="F27" s="115"/>
      <c r="G27" s="93"/>
      <c r="H27" s="100"/>
      <c r="I27" s="96"/>
      <c r="J27" s="96"/>
      <c r="K27" s="96"/>
      <c r="L27" s="128"/>
    </row>
    <row r="28" spans="2:12" ht="13.5" thickBot="1" x14ac:dyDescent="0.35">
      <c r="B28" s="114" t="s">
        <v>82</v>
      </c>
      <c r="C28" s="118">
        <f>Financials!C70</f>
        <v>6.6000000000000003E-2</v>
      </c>
      <c r="D28" s="114"/>
      <c r="E28" s="115" t="str">
        <f>IF((E44-E37)&lt;&gt;E35,"ERROR","")</f>
        <v/>
      </c>
      <c r="F28" s="115"/>
      <c r="G28" s="93" t="s">
        <v>67</v>
      </c>
      <c r="H28" s="99">
        <f>Financials!C22</f>
        <v>4.2750000000000003E-2</v>
      </c>
      <c r="I28" s="96"/>
      <c r="J28" s="96"/>
      <c r="K28" s="96"/>
      <c r="L28" s="128"/>
    </row>
    <row r="29" spans="2:12" ht="13.5" thickBot="1" x14ac:dyDescent="0.35">
      <c r="B29" s="114" t="s">
        <v>83</v>
      </c>
      <c r="C29" s="119">
        <f>Financials!C71</f>
        <v>3.5093333333333324E-2</v>
      </c>
      <c r="D29" s="114"/>
      <c r="E29" s="115"/>
      <c r="F29" s="115"/>
      <c r="G29" s="93" t="s">
        <v>68</v>
      </c>
      <c r="H29" s="99">
        <f>Financials!C23</f>
        <v>-2.1375000000000002E-2</v>
      </c>
      <c r="I29" s="96"/>
      <c r="J29" s="96"/>
      <c r="K29" s="96"/>
      <c r="L29" s="128"/>
    </row>
    <row r="30" spans="2:12" ht="13.5" thickBot="1" x14ac:dyDescent="0.35">
      <c r="B30" s="114" t="s">
        <v>84</v>
      </c>
      <c r="C30" s="120">
        <f>Financials!C72</f>
        <v>5.0000000000000001E-3</v>
      </c>
      <c r="D30" s="115"/>
      <c r="E30" s="115"/>
      <c r="F30" s="115"/>
      <c r="G30" s="93"/>
      <c r="H30" s="100"/>
      <c r="I30" s="96"/>
      <c r="J30" s="96"/>
      <c r="K30" s="96"/>
      <c r="L30" s="128"/>
    </row>
    <row r="31" spans="2:12" ht="13" thickBot="1" x14ac:dyDescent="0.3">
      <c r="B31" s="114"/>
      <c r="C31" s="115"/>
      <c r="D31" s="115"/>
      <c r="E31" s="115"/>
      <c r="F31" s="123"/>
      <c r="G31" s="96"/>
      <c r="H31" s="96"/>
      <c r="I31" s="96"/>
      <c r="J31" s="96"/>
      <c r="K31" s="96"/>
      <c r="L31" s="128"/>
    </row>
    <row r="32" spans="2:12" ht="13.5" thickBot="1" x14ac:dyDescent="0.35">
      <c r="B32" s="114"/>
      <c r="C32" s="115"/>
      <c r="D32" s="114" t="s">
        <v>95</v>
      </c>
      <c r="E32" s="116">
        <f>SUM(C33:C37)</f>
        <v>0.11190666666666668</v>
      </c>
      <c r="F32" s="123"/>
      <c r="G32" s="96"/>
      <c r="H32" s="96"/>
      <c r="I32" s="96"/>
      <c r="J32" s="96"/>
      <c r="K32" s="96"/>
      <c r="L32" s="128"/>
    </row>
    <row r="33" spans="2:12" ht="13.5" thickBot="1" x14ac:dyDescent="0.35">
      <c r="B33" s="114" t="s">
        <v>75</v>
      </c>
      <c r="C33" s="118">
        <f>Financials!C60</f>
        <v>0.10223074074074075</v>
      </c>
      <c r="D33" s="114"/>
      <c r="E33" s="115"/>
      <c r="F33" s="115"/>
      <c r="G33" s="96"/>
      <c r="H33" s="96"/>
      <c r="I33" s="96"/>
      <c r="J33" s="96"/>
      <c r="K33" s="96"/>
      <c r="L33" s="128"/>
    </row>
    <row r="34" spans="2:12" ht="13.5" thickBot="1" x14ac:dyDescent="0.35">
      <c r="B34" s="124" t="s">
        <v>175</v>
      </c>
      <c r="C34" s="118">
        <f>Financials!C61</f>
        <v>8.9814814814814813E-4</v>
      </c>
      <c r="D34" s="114"/>
      <c r="E34" s="121"/>
      <c r="F34" s="115"/>
      <c r="G34" s="96"/>
      <c r="H34" s="95"/>
      <c r="I34" s="96"/>
      <c r="J34" s="96"/>
      <c r="K34" s="96"/>
      <c r="L34" s="128"/>
    </row>
    <row r="35" spans="2:12" ht="13.5" thickBot="1" x14ac:dyDescent="0.35">
      <c r="B35" s="114" t="s">
        <v>76</v>
      </c>
      <c r="C35" s="119">
        <f>Financials!C63</f>
        <v>3.0000000000000001E-3</v>
      </c>
      <c r="D35" s="114" t="s">
        <v>8</v>
      </c>
      <c r="E35" s="116">
        <f>E44-E37</f>
        <v>0.248</v>
      </c>
      <c r="F35" s="115"/>
      <c r="G35" s="96"/>
      <c r="H35" s="96"/>
      <c r="I35" s="96"/>
      <c r="J35" s="96"/>
      <c r="K35" s="96"/>
      <c r="L35" s="128"/>
    </row>
    <row r="36" spans="2:12" ht="13.5" thickBot="1" x14ac:dyDescent="0.35">
      <c r="B36" s="114" t="s">
        <v>77</v>
      </c>
      <c r="C36" s="120">
        <f>Financials!C64</f>
        <v>3.0000000000000001E-3</v>
      </c>
      <c r="D36" s="114"/>
      <c r="E36" s="117"/>
      <c r="F36" s="115"/>
      <c r="G36" s="96"/>
      <c r="H36" s="96"/>
      <c r="I36" s="96"/>
      <c r="J36" s="96"/>
      <c r="K36" s="96"/>
      <c r="L36" s="128"/>
    </row>
    <row r="37" spans="2:12" ht="13.5" thickBot="1" x14ac:dyDescent="0.35">
      <c r="B37" s="114" t="s">
        <v>174</v>
      </c>
      <c r="C37" s="119">
        <f>SUM(Financials!C65:C68)</f>
        <v>2.7777777777777775E-3</v>
      </c>
      <c r="D37" s="114" t="s">
        <v>39</v>
      </c>
      <c r="E37" s="116">
        <f>SUM(C39:C40)</f>
        <v>0.752</v>
      </c>
      <c r="F37" s="115"/>
      <c r="G37" s="96"/>
      <c r="H37" s="96"/>
      <c r="I37" s="96"/>
      <c r="J37" s="96"/>
      <c r="K37" s="96"/>
      <c r="L37" s="128"/>
    </row>
    <row r="38" spans="2:12" ht="13" thickBot="1" x14ac:dyDescent="0.3">
      <c r="B38" s="115"/>
      <c r="C38" s="115"/>
      <c r="D38" s="114"/>
      <c r="E38" s="115"/>
      <c r="F38" s="115"/>
      <c r="G38" s="96"/>
      <c r="H38" s="96"/>
      <c r="I38" s="96"/>
      <c r="J38" s="96"/>
      <c r="K38" s="96"/>
      <c r="L38" s="128"/>
    </row>
    <row r="39" spans="2:12" ht="13.5" thickBot="1" x14ac:dyDescent="0.35">
      <c r="B39" s="114" t="s">
        <v>72</v>
      </c>
      <c r="C39" s="119">
        <f>Financials!C55</f>
        <v>0.73695999999999995</v>
      </c>
      <c r="D39" s="114"/>
      <c r="E39" s="115"/>
      <c r="F39" s="115"/>
      <c r="G39" s="96"/>
      <c r="H39" s="96"/>
      <c r="I39" s="96"/>
      <c r="J39" s="96"/>
      <c r="K39" s="96"/>
      <c r="L39" s="128"/>
    </row>
    <row r="40" spans="2:12" ht="13.5" thickBot="1" x14ac:dyDescent="0.35">
      <c r="B40" s="114" t="s">
        <v>71</v>
      </c>
      <c r="C40" s="120">
        <f>Financials!C56</f>
        <v>1.504E-2</v>
      </c>
      <c r="D40" s="115"/>
      <c r="E40" s="115"/>
      <c r="F40" s="115"/>
      <c r="G40" s="96"/>
      <c r="H40" s="96"/>
      <c r="I40" s="96"/>
      <c r="J40" s="96"/>
      <c r="K40" s="96"/>
      <c r="L40" s="128"/>
    </row>
    <row r="41" spans="2:12" ht="13.5" thickBot="1" x14ac:dyDescent="0.35">
      <c r="B41" s="114"/>
      <c r="C41" s="115"/>
      <c r="D41" s="114" t="s">
        <v>96</v>
      </c>
      <c r="E41" s="116">
        <f>Financials!C51</f>
        <v>1.03</v>
      </c>
      <c r="F41" s="115"/>
      <c r="G41" s="96"/>
      <c r="H41" s="96"/>
      <c r="I41" s="96"/>
      <c r="J41" s="96"/>
      <c r="K41" s="96"/>
      <c r="L41" s="128"/>
    </row>
    <row r="42" spans="2:12" ht="13.5" thickBot="1" x14ac:dyDescent="0.35">
      <c r="B42" s="114"/>
      <c r="C42" s="115"/>
      <c r="D42" s="114" t="s">
        <v>101</v>
      </c>
      <c r="E42" s="116">
        <f>Financials!C52</f>
        <v>0.03</v>
      </c>
      <c r="F42" s="115"/>
      <c r="G42" s="96"/>
      <c r="H42" s="96"/>
      <c r="I42" s="96"/>
      <c r="J42" s="96"/>
      <c r="K42" s="96"/>
      <c r="L42" s="128"/>
    </row>
    <row r="43" spans="2:12" ht="13.5" thickBot="1" x14ac:dyDescent="0.35">
      <c r="B43" s="115"/>
      <c r="C43" s="115"/>
      <c r="D43" s="114" t="s">
        <v>177</v>
      </c>
      <c r="E43" s="125">
        <f>Financials!B53</f>
        <v>2700</v>
      </c>
      <c r="F43" s="115"/>
      <c r="G43" s="96"/>
      <c r="H43" s="96"/>
      <c r="I43" s="96"/>
      <c r="J43" s="96"/>
      <c r="K43" s="96"/>
      <c r="L43" s="128"/>
    </row>
    <row r="44" spans="2:12" ht="13.5" thickBot="1" x14ac:dyDescent="0.35">
      <c r="B44" s="115"/>
      <c r="C44" s="115"/>
      <c r="D44" s="114"/>
      <c r="E44" s="116">
        <f>Financials!C53</f>
        <v>1</v>
      </c>
      <c r="F44" s="115"/>
      <c r="G44" s="96"/>
      <c r="H44" s="96"/>
      <c r="I44" s="96"/>
      <c r="J44" s="96"/>
      <c r="K44" s="96"/>
      <c r="L44" s="128"/>
    </row>
    <row r="45" spans="2:12" x14ac:dyDescent="0.25">
      <c r="B45" s="115"/>
      <c r="C45" s="115"/>
      <c r="D45" s="115"/>
      <c r="E45" s="115"/>
      <c r="F45" s="115"/>
      <c r="G45" s="96"/>
      <c r="H45" s="96"/>
      <c r="I45" s="96"/>
      <c r="J45" s="96"/>
      <c r="K45" s="96"/>
      <c r="L45" s="128"/>
    </row>
    <row r="46" spans="2:12" x14ac:dyDescent="0.25">
      <c r="B46" s="115"/>
      <c r="C46" s="115"/>
      <c r="D46" s="115"/>
      <c r="E46" s="115"/>
      <c r="F46" s="115"/>
      <c r="G46" s="96"/>
      <c r="H46" s="96"/>
      <c r="I46" s="96"/>
      <c r="J46" s="96"/>
      <c r="K46" s="96"/>
      <c r="L46" s="128"/>
    </row>
    <row r="47" spans="2:12" ht="25" x14ac:dyDescent="0.5">
      <c r="B47" s="127" t="s">
        <v>33</v>
      </c>
      <c r="C47" s="126"/>
      <c r="D47" s="126"/>
      <c r="E47" s="126"/>
      <c r="F47" s="126"/>
      <c r="G47" s="103" t="s">
        <v>9</v>
      </c>
      <c r="H47" s="102"/>
      <c r="I47" s="102"/>
      <c r="J47" s="102"/>
      <c r="K47" s="102"/>
      <c r="L47" s="128"/>
    </row>
  </sheetData>
  <phoneticPr fontId="0" type="noConversion"/>
  <pageMargins left="0.5" right="0.5" top="0.5" bottom="0.5" header="0.5" footer="0.5"/>
  <pageSetup scale="76" orientation="landscape" r:id="rId1"/>
  <headerFooter alignWithMargins="0">
    <oddFooter>&amp;LSCMRG/The Ohio State University, 2002</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7"/>
  <sheetViews>
    <sheetView zoomScale="85" workbookViewId="0">
      <selection activeCell="B27" sqref="B27"/>
    </sheetView>
  </sheetViews>
  <sheetFormatPr defaultRowHeight="12.5" x14ac:dyDescent="0.25"/>
  <cols>
    <col min="1" max="1" width="4.54296875" customWidth="1"/>
    <col min="2" max="2" width="24.1796875" customWidth="1"/>
    <col min="3" max="3" width="7.453125" customWidth="1"/>
    <col min="4" max="4" width="26.7265625" customWidth="1"/>
    <col min="6" max="6" width="11.1796875" customWidth="1"/>
    <col min="7" max="7" width="23.1796875" customWidth="1"/>
    <col min="8" max="8" width="10.7265625" customWidth="1"/>
    <col min="9" max="9" width="7.81640625" customWidth="1"/>
    <col min="10" max="10" width="18.7265625" customWidth="1"/>
  </cols>
  <sheetData>
    <row r="1" spans="1:12" ht="25.5" thickBot="1" x14ac:dyDescent="0.55000000000000004">
      <c r="A1" s="1" t="s">
        <v>180</v>
      </c>
    </row>
    <row r="2" spans="1:12" ht="20.25" customHeight="1" thickBot="1" x14ac:dyDescent="0.55000000000000004">
      <c r="A2" s="1"/>
      <c r="F2" s="19" t="s">
        <v>111</v>
      </c>
      <c r="G2" s="20">
        <f>E14*H8*K9</f>
        <v>0.15175650000000021</v>
      </c>
    </row>
    <row r="3" spans="1:12" ht="18" customHeight="1" thickBot="1" x14ac:dyDescent="0.4">
      <c r="F3" s="19" t="s">
        <v>112</v>
      </c>
      <c r="G3" s="20">
        <f>G6*K9</f>
        <v>8.2905900000000116E-2</v>
      </c>
      <c r="H3" s="6" t="str">
        <f>IF(G3&lt;&gt;Financials!E87/Financials!E46,"ERROR","")</f>
        <v/>
      </c>
      <c r="I3" s="6"/>
    </row>
    <row r="4" spans="1:12" ht="15" customHeight="1" x14ac:dyDescent="0.35">
      <c r="F4" s="19"/>
      <c r="G4" s="92"/>
      <c r="I4" s="6"/>
    </row>
    <row r="5" spans="1:12" ht="13" thickBot="1" x14ac:dyDescent="0.3">
      <c r="I5" s="6"/>
    </row>
    <row r="6" spans="1:12" ht="16.5" customHeight="1" thickBot="1" x14ac:dyDescent="0.35">
      <c r="B6" s="3"/>
      <c r="F6" s="2" t="s">
        <v>1</v>
      </c>
      <c r="G6" s="17">
        <f>E9*H8</f>
        <v>4.3719822812846129E-2</v>
      </c>
      <c r="H6" s="6" t="str">
        <f>IF(G6&lt;&gt;(Financials!E87/Financials!E28),"ERROR","")</f>
        <v/>
      </c>
    </row>
    <row r="7" spans="1:12" ht="13" thickBot="1" x14ac:dyDescent="0.3">
      <c r="L7" s="72"/>
    </row>
    <row r="8" spans="1:12" ht="13.5" thickBot="1" x14ac:dyDescent="0.35">
      <c r="E8" s="5"/>
      <c r="G8" s="2" t="s">
        <v>4</v>
      </c>
      <c r="H8" s="18">
        <f>E43/H13</f>
        <v>2.9900332225913622</v>
      </c>
      <c r="L8" s="72"/>
    </row>
    <row r="9" spans="1:12" ht="13.5" thickBot="1" x14ac:dyDescent="0.35">
      <c r="B9" s="114"/>
      <c r="C9" s="114"/>
      <c r="D9" s="106" t="s">
        <v>3</v>
      </c>
      <c r="E9" s="104">
        <f>Financials!F87</f>
        <v>1.4621851851851872E-2</v>
      </c>
      <c r="F9" s="106"/>
      <c r="G9" s="128"/>
      <c r="H9" s="128"/>
      <c r="I9" s="129" t="str">
        <f>IF((E43/H13)&lt;&gt;H8,"ERROR","")</f>
        <v/>
      </c>
      <c r="J9" s="101" t="s">
        <v>0</v>
      </c>
      <c r="K9" s="16">
        <f>H13/K11</f>
        <v>1.8962999999999999</v>
      </c>
      <c r="L9" s="128"/>
    </row>
    <row r="10" spans="1:12" ht="13" thickBot="1" x14ac:dyDescent="0.3">
      <c r="B10" s="114"/>
      <c r="C10" s="114"/>
      <c r="D10" s="107"/>
      <c r="E10" s="108" t="str">
        <f>IF(E14-E11&lt;&gt;E9,"ERROR","")</f>
        <v/>
      </c>
      <c r="F10" s="109"/>
      <c r="G10" s="130"/>
      <c r="H10" s="128"/>
      <c r="I10" s="128"/>
      <c r="J10" s="93"/>
      <c r="K10" s="93"/>
      <c r="L10" s="128"/>
    </row>
    <row r="11" spans="1:12" ht="13.5" thickBot="1" x14ac:dyDescent="0.35">
      <c r="B11" s="114"/>
      <c r="C11" s="114"/>
      <c r="D11" s="107" t="s">
        <v>48</v>
      </c>
      <c r="E11" s="110">
        <f>SUM(Financials!F84:F86)</f>
        <v>1.2142962962962979E-2</v>
      </c>
      <c r="F11" s="105"/>
      <c r="G11" s="130"/>
      <c r="H11" s="128"/>
      <c r="I11" s="128"/>
      <c r="J11" s="93" t="s">
        <v>5</v>
      </c>
      <c r="K11" s="98">
        <f>Financials!E46</f>
        <v>476.1904761904762</v>
      </c>
      <c r="L11" s="128"/>
    </row>
    <row r="12" spans="1:12" ht="13.5" thickBot="1" x14ac:dyDescent="0.35">
      <c r="A12" s="4"/>
      <c r="B12" s="114"/>
      <c r="C12" s="114"/>
      <c r="D12" s="107"/>
      <c r="E12" s="111"/>
      <c r="F12" s="105"/>
      <c r="G12" s="130"/>
      <c r="H12" s="128"/>
      <c r="I12" s="128"/>
      <c r="J12" s="96"/>
      <c r="K12" s="96"/>
      <c r="L12" s="128"/>
    </row>
    <row r="13" spans="1:12" ht="13.5" thickBot="1" x14ac:dyDescent="0.35">
      <c r="B13" s="114"/>
      <c r="C13" s="143"/>
      <c r="D13" s="137"/>
      <c r="E13" s="113" t="str">
        <f>IF(ABS(E44-E37-E32-E27-E23-E18-E16-E14)&gt;0.0001,"ERROR","")</f>
        <v/>
      </c>
      <c r="F13" s="105"/>
      <c r="G13" s="93" t="s">
        <v>176</v>
      </c>
      <c r="H13" s="98">
        <f>Financials!E28</f>
        <v>903</v>
      </c>
      <c r="I13" s="95"/>
      <c r="J13" s="95"/>
      <c r="K13" s="96"/>
      <c r="L13" s="128"/>
    </row>
    <row r="14" spans="1:12" ht="13.5" thickBot="1" x14ac:dyDescent="0.35">
      <c r="B14" s="114"/>
      <c r="C14" s="114"/>
      <c r="D14" s="107" t="s">
        <v>6</v>
      </c>
      <c r="E14" s="110">
        <f>Financials!F82</f>
        <v>2.6764814814814852E-2</v>
      </c>
      <c r="F14" s="109"/>
      <c r="G14" s="97"/>
      <c r="H14" s="94">
        <f>Financials!F28</f>
        <v>1</v>
      </c>
      <c r="I14" s="95"/>
      <c r="J14" s="96"/>
      <c r="K14" s="96"/>
      <c r="L14" s="128"/>
    </row>
    <row r="15" spans="1:12" ht="13" thickBot="1" x14ac:dyDescent="0.3">
      <c r="B15" s="114"/>
      <c r="C15" s="114"/>
      <c r="D15" s="107"/>
      <c r="E15" s="112"/>
      <c r="F15" s="109"/>
      <c r="G15" s="96"/>
      <c r="H15" s="133" t="str">
        <f>IF(H14&lt;&gt;(H17+K17),"ERROR","")</f>
        <v/>
      </c>
      <c r="I15" s="96"/>
      <c r="J15" s="96"/>
      <c r="K15" s="96"/>
      <c r="L15" s="128"/>
    </row>
    <row r="16" spans="1:12" ht="13.5" thickBot="1" x14ac:dyDescent="0.35">
      <c r="B16" s="114"/>
      <c r="C16" s="114"/>
      <c r="D16" s="107" t="s">
        <v>81</v>
      </c>
      <c r="E16" s="110">
        <f>Financials!F81</f>
        <v>-6.0000000000000001E-3</v>
      </c>
      <c r="F16" s="105"/>
      <c r="G16" s="93"/>
      <c r="H16" s="96"/>
      <c r="I16" s="96"/>
      <c r="J16" s="96"/>
      <c r="K16" s="96"/>
      <c r="L16" s="128"/>
    </row>
    <row r="17" spans="2:12" ht="13.5" thickBot="1" x14ac:dyDescent="0.35">
      <c r="B17" s="114"/>
      <c r="C17" s="114"/>
      <c r="D17" s="107"/>
      <c r="E17" s="105"/>
      <c r="F17" s="105"/>
      <c r="G17" s="93" t="s">
        <v>64</v>
      </c>
      <c r="H17" s="99">
        <f>Financials!F27</f>
        <v>0.12624584717607973</v>
      </c>
      <c r="I17" s="96"/>
      <c r="J17" s="93" t="s">
        <v>58</v>
      </c>
      <c r="K17" s="99">
        <f>Financials!F16</f>
        <v>0.87375415282392022</v>
      </c>
      <c r="L17" s="129"/>
    </row>
    <row r="18" spans="2:12" ht="13.5" thickBot="1" x14ac:dyDescent="0.35">
      <c r="B18" s="114"/>
      <c r="C18" s="115"/>
      <c r="D18" s="114" t="s">
        <v>80</v>
      </c>
      <c r="E18" s="116">
        <f>SUM(C19:C21)</f>
        <v>6.6E-3</v>
      </c>
      <c r="F18" s="117"/>
      <c r="G18" s="93"/>
      <c r="H18" s="96"/>
      <c r="I18" s="96"/>
      <c r="J18" s="93"/>
      <c r="K18" s="133" t="str">
        <f>IF(K17&lt;&gt;(K19+K21+K23+K25),"ERROR","")</f>
        <v/>
      </c>
      <c r="L18" s="128"/>
    </row>
    <row r="19" spans="2:12" ht="13.5" thickBot="1" x14ac:dyDescent="0.35">
      <c r="B19" s="114" t="s">
        <v>91</v>
      </c>
      <c r="C19" s="118">
        <f>Financials!F78</f>
        <v>2E-3</v>
      </c>
      <c r="D19" s="114"/>
      <c r="E19" s="115"/>
      <c r="F19" s="115"/>
      <c r="G19" s="93" t="s">
        <v>26</v>
      </c>
      <c r="H19" s="99">
        <f>Financials!F26</f>
        <v>3.1561461794019932E-2</v>
      </c>
      <c r="I19" s="96"/>
      <c r="J19" s="93" t="s">
        <v>7</v>
      </c>
      <c r="K19" s="99">
        <f>Financials!F14</f>
        <v>0.42967884828349945</v>
      </c>
      <c r="L19" s="128"/>
    </row>
    <row r="20" spans="2:12" ht="13.5" thickBot="1" x14ac:dyDescent="0.35">
      <c r="B20" s="114" t="s">
        <v>92</v>
      </c>
      <c r="C20" s="119">
        <f>Financials!F79</f>
        <v>3.0000000000000001E-3</v>
      </c>
      <c r="D20" s="114"/>
      <c r="E20" s="115"/>
      <c r="F20" s="115"/>
      <c r="G20" s="93"/>
      <c r="H20" s="96"/>
      <c r="I20" s="96"/>
      <c r="J20" s="96"/>
      <c r="K20" s="96"/>
      <c r="L20" s="128"/>
    </row>
    <row r="21" spans="2:12" ht="13.5" thickBot="1" x14ac:dyDescent="0.35">
      <c r="B21" s="114" t="s">
        <v>93</v>
      </c>
      <c r="C21" s="120">
        <f>Financials!F80</f>
        <v>1.6000000000000001E-3</v>
      </c>
      <c r="D21" s="114"/>
      <c r="E21" s="121"/>
      <c r="F21" s="115"/>
      <c r="G21" s="93" t="s">
        <v>66</v>
      </c>
      <c r="H21" s="99">
        <f>Financials!F25</f>
        <v>9.4684385382059796E-2</v>
      </c>
      <c r="I21" s="96"/>
      <c r="J21" s="93" t="s">
        <v>23</v>
      </c>
      <c r="K21" s="99">
        <f>Financials!F13</f>
        <v>0.39202657807308972</v>
      </c>
      <c r="L21" s="128"/>
    </row>
    <row r="22" spans="2:12" ht="13.5" thickBot="1" x14ac:dyDescent="0.35">
      <c r="B22" s="114"/>
      <c r="C22" s="122"/>
      <c r="D22" s="115"/>
      <c r="E22" s="115"/>
      <c r="F22" s="115"/>
      <c r="G22" s="93"/>
      <c r="H22" s="133" t="str">
        <f>IF(H21&lt;&gt;(H25+H26+H28+H29),"ERROR","")</f>
        <v/>
      </c>
      <c r="I22" s="96"/>
      <c r="J22" s="93"/>
      <c r="K22" s="96"/>
      <c r="L22" s="128"/>
    </row>
    <row r="23" spans="2:12" ht="13.5" thickBot="1" x14ac:dyDescent="0.35">
      <c r="B23" s="114"/>
      <c r="C23" s="122"/>
      <c r="D23" s="114" t="s">
        <v>78</v>
      </c>
      <c r="E23" s="116">
        <f>SUM(C24:C25)</f>
        <v>4.0000000000000001E-3</v>
      </c>
      <c r="F23" s="115"/>
      <c r="G23" s="96"/>
      <c r="H23" s="96"/>
      <c r="I23" s="96"/>
      <c r="J23" s="93" t="s">
        <v>10</v>
      </c>
      <c r="K23" s="99">
        <f>Financials!F15</f>
        <v>2.4363233665559248E-2</v>
      </c>
      <c r="L23" s="128"/>
    </row>
    <row r="24" spans="2:12" ht="13.5" thickBot="1" x14ac:dyDescent="0.35">
      <c r="B24" s="114" t="s">
        <v>86</v>
      </c>
      <c r="C24" s="119">
        <f>Financials!F74</f>
        <v>2E-3</v>
      </c>
      <c r="D24" s="114"/>
      <c r="E24" s="115"/>
      <c r="F24" s="115"/>
      <c r="G24" s="93"/>
      <c r="H24" s="96"/>
      <c r="I24" s="96"/>
      <c r="J24" s="93"/>
      <c r="K24" s="96"/>
      <c r="L24" s="128"/>
    </row>
    <row r="25" spans="2:12" ht="13.5" thickBot="1" x14ac:dyDescent="0.35">
      <c r="B25" s="114" t="s">
        <v>87</v>
      </c>
      <c r="C25" s="120">
        <f>Financials!F75</f>
        <v>2E-3</v>
      </c>
      <c r="D25" s="114"/>
      <c r="E25" s="115"/>
      <c r="F25" s="115"/>
      <c r="G25" s="93" t="s">
        <v>69</v>
      </c>
      <c r="H25" s="99">
        <f>Financials!F19</f>
        <v>0.14202657807308969</v>
      </c>
      <c r="I25" s="96"/>
      <c r="J25" s="93" t="s">
        <v>59</v>
      </c>
      <c r="K25" s="99">
        <f>Financials!F12</f>
        <v>2.768549280177187E-2</v>
      </c>
      <c r="L25" s="128"/>
    </row>
    <row r="26" spans="2:12" ht="13.5" thickBot="1" x14ac:dyDescent="0.35">
      <c r="B26" s="114"/>
      <c r="C26" s="122"/>
      <c r="D26" s="115"/>
      <c r="E26" s="115"/>
      <c r="F26" s="115"/>
      <c r="G26" s="93" t="s">
        <v>70</v>
      </c>
      <c r="H26" s="99">
        <f>Financials!F20</f>
        <v>-7.1013289036544844E-2</v>
      </c>
      <c r="I26" s="96"/>
      <c r="J26" s="96"/>
      <c r="K26" s="96"/>
      <c r="L26" s="128"/>
    </row>
    <row r="27" spans="2:12" ht="13.5" thickBot="1" x14ac:dyDescent="0.35">
      <c r="B27" s="114"/>
      <c r="C27" s="122"/>
      <c r="D27" s="114" t="s">
        <v>94</v>
      </c>
      <c r="E27" s="116">
        <f>SUM(C28:C30)</f>
        <v>0.10609333333333333</v>
      </c>
      <c r="F27" s="115"/>
      <c r="G27" s="93"/>
      <c r="H27" s="100"/>
      <c r="I27" s="96"/>
      <c r="J27" s="96"/>
      <c r="K27" s="96"/>
      <c r="L27" s="128"/>
    </row>
    <row r="28" spans="2:12" ht="13.5" thickBot="1" x14ac:dyDescent="0.35">
      <c r="B28" s="114" t="s">
        <v>82</v>
      </c>
      <c r="C28" s="118">
        <f>Financials!F70</f>
        <v>6.6000000000000003E-2</v>
      </c>
      <c r="D28" s="114"/>
      <c r="E28" s="115" t="str">
        <f>IF((E44-E37)&lt;&gt;E35,"ERROR","")</f>
        <v/>
      </c>
      <c r="F28" s="115"/>
      <c r="G28" s="93" t="s">
        <v>67</v>
      </c>
      <c r="H28" s="99">
        <f>Financials!F22</f>
        <v>4.7342192691029898E-2</v>
      </c>
      <c r="I28" s="96"/>
      <c r="J28" s="96"/>
      <c r="K28" s="96"/>
      <c r="L28" s="128"/>
    </row>
    <row r="29" spans="2:12" ht="13.5" thickBot="1" x14ac:dyDescent="0.35">
      <c r="B29" s="114" t="s">
        <v>83</v>
      </c>
      <c r="C29" s="119">
        <f>Financials!F71</f>
        <v>3.5093333333333324E-2</v>
      </c>
      <c r="D29" s="114"/>
      <c r="E29" s="115"/>
      <c r="F29" s="115"/>
      <c r="G29" s="93" t="s">
        <v>68</v>
      </c>
      <c r="H29" s="99">
        <f>Financials!F23</f>
        <v>-2.3671096345514949E-2</v>
      </c>
      <c r="I29" s="96"/>
      <c r="J29" s="96"/>
      <c r="K29" s="96"/>
      <c r="L29" s="128"/>
    </row>
    <row r="30" spans="2:12" ht="13.5" thickBot="1" x14ac:dyDescent="0.35">
      <c r="B30" s="114" t="s">
        <v>84</v>
      </c>
      <c r="C30" s="120">
        <f>Financials!F72</f>
        <v>5.0000000000000001E-3</v>
      </c>
      <c r="D30" s="115"/>
      <c r="E30" s="115"/>
      <c r="F30" s="115"/>
      <c r="G30" s="93"/>
      <c r="H30" s="100"/>
      <c r="I30" s="96"/>
      <c r="J30" s="96"/>
      <c r="K30" s="96"/>
      <c r="L30" s="128"/>
    </row>
    <row r="31" spans="2:12" ht="13" thickBot="1" x14ac:dyDescent="0.3">
      <c r="B31" s="114"/>
      <c r="C31" s="115"/>
      <c r="D31" s="115"/>
      <c r="E31" s="115"/>
      <c r="F31" s="123"/>
      <c r="G31" s="96"/>
      <c r="H31" s="96"/>
      <c r="I31" s="96"/>
      <c r="J31" s="96"/>
      <c r="K31" s="96"/>
      <c r="L31" s="128"/>
    </row>
    <row r="32" spans="2:12" ht="13.5" thickBot="1" x14ac:dyDescent="0.35">
      <c r="B32" s="114"/>
      <c r="C32" s="115"/>
      <c r="D32" s="114" t="s">
        <v>95</v>
      </c>
      <c r="E32" s="116">
        <f>SUM(C33:C37)</f>
        <v>0.11054185185185186</v>
      </c>
      <c r="F32" s="123"/>
      <c r="G32" s="96"/>
      <c r="H32" s="96"/>
      <c r="I32" s="96"/>
      <c r="J32" s="96"/>
      <c r="K32" s="96"/>
      <c r="L32" s="128"/>
    </row>
    <row r="33" spans="2:12" ht="13.5" thickBot="1" x14ac:dyDescent="0.35">
      <c r="B33" s="114" t="s">
        <v>75</v>
      </c>
      <c r="C33" s="118">
        <f>Financials!F60</f>
        <v>0.10223074074074075</v>
      </c>
      <c r="D33" s="114"/>
      <c r="E33" s="115"/>
      <c r="F33" s="115"/>
      <c r="G33" s="96"/>
      <c r="H33" s="96"/>
      <c r="I33" s="96"/>
      <c r="J33" s="96"/>
      <c r="K33" s="96"/>
      <c r="L33" s="128"/>
    </row>
    <row r="34" spans="2:12" ht="13.5" thickBot="1" x14ac:dyDescent="0.35">
      <c r="B34" s="124" t="s">
        <v>175</v>
      </c>
      <c r="C34" s="118">
        <f>Financials!F61</f>
        <v>7.185185185185184E-4</v>
      </c>
      <c r="D34" s="114"/>
      <c r="E34" s="121"/>
      <c r="F34" s="115"/>
      <c r="G34" s="96"/>
      <c r="H34" s="95"/>
      <c r="I34" s="96"/>
      <c r="J34" s="96"/>
      <c r="K34" s="96"/>
      <c r="L34" s="128"/>
    </row>
    <row r="35" spans="2:12" ht="13.5" thickBot="1" x14ac:dyDescent="0.35">
      <c r="B35" s="114" t="s">
        <v>76</v>
      </c>
      <c r="C35" s="119">
        <f>Financials!F63</f>
        <v>2.9703703703703702E-3</v>
      </c>
      <c r="D35" s="114" t="s">
        <v>8</v>
      </c>
      <c r="E35" s="116">
        <f>E44-E37</f>
        <v>0.248</v>
      </c>
      <c r="F35" s="115"/>
      <c r="G35" s="96"/>
      <c r="H35" s="96"/>
      <c r="I35" s="96"/>
      <c r="J35" s="96"/>
      <c r="K35" s="96"/>
      <c r="L35" s="128"/>
    </row>
    <row r="36" spans="2:12" ht="13.5" thickBot="1" x14ac:dyDescent="0.35">
      <c r="B36" s="114" t="s">
        <v>77</v>
      </c>
      <c r="C36" s="120">
        <f>Financials!F64</f>
        <v>2.3999999999999998E-3</v>
      </c>
      <c r="D36" s="114"/>
      <c r="E36" s="117"/>
      <c r="F36" s="115"/>
      <c r="G36" s="96"/>
      <c r="H36" s="96"/>
      <c r="I36" s="96"/>
      <c r="J36" s="96"/>
      <c r="K36" s="96"/>
      <c r="L36" s="128"/>
    </row>
    <row r="37" spans="2:12" ht="13.5" thickBot="1" x14ac:dyDescent="0.35">
      <c r="B37" s="114" t="s">
        <v>174</v>
      </c>
      <c r="C37" s="119">
        <f>SUM(Financials!F65:F68)</f>
        <v>2.2222222222222222E-3</v>
      </c>
      <c r="D37" s="114" t="s">
        <v>39</v>
      </c>
      <c r="E37" s="116">
        <f>SUM(C39:C40)</f>
        <v>0.752</v>
      </c>
      <c r="F37" s="115"/>
      <c r="G37" s="96"/>
      <c r="H37" s="96"/>
      <c r="I37" s="96"/>
      <c r="J37" s="96"/>
      <c r="K37" s="96"/>
      <c r="L37" s="128"/>
    </row>
    <row r="38" spans="2:12" ht="13" thickBot="1" x14ac:dyDescent="0.3">
      <c r="B38" s="115"/>
      <c r="C38" s="115"/>
      <c r="D38" s="114"/>
      <c r="E38" s="115"/>
      <c r="F38" s="115"/>
      <c r="G38" s="96"/>
      <c r="H38" s="96"/>
      <c r="I38" s="96"/>
      <c r="J38" s="96"/>
      <c r="K38" s="96"/>
      <c r="L38" s="128"/>
    </row>
    <row r="39" spans="2:12" ht="13.5" thickBot="1" x14ac:dyDescent="0.35">
      <c r="B39" s="114" t="s">
        <v>72</v>
      </c>
      <c r="C39" s="119">
        <f>Financials!F55</f>
        <v>0.73695999999999995</v>
      </c>
      <c r="D39" s="114"/>
      <c r="E39" s="115"/>
      <c r="F39" s="115"/>
      <c r="G39" s="96"/>
      <c r="H39" s="96"/>
      <c r="I39" s="96"/>
      <c r="J39" s="96"/>
      <c r="K39" s="96"/>
      <c r="L39" s="128"/>
    </row>
    <row r="40" spans="2:12" ht="13.5" thickBot="1" x14ac:dyDescent="0.35">
      <c r="B40" s="114" t="s">
        <v>71</v>
      </c>
      <c r="C40" s="120">
        <f>Financials!F56</f>
        <v>1.504E-2</v>
      </c>
      <c r="D40" s="115"/>
      <c r="E40" s="115"/>
      <c r="F40" s="115"/>
      <c r="G40" s="96"/>
      <c r="H40" s="96"/>
      <c r="I40" s="96"/>
      <c r="J40" s="96"/>
      <c r="K40" s="96"/>
      <c r="L40" s="128"/>
    </row>
    <row r="41" spans="2:12" ht="13.5" thickBot="1" x14ac:dyDescent="0.35">
      <c r="B41" s="114"/>
      <c r="C41" s="115"/>
      <c r="D41" s="114" t="s">
        <v>96</v>
      </c>
      <c r="E41" s="116">
        <f>Financials!F51</f>
        <v>1.03</v>
      </c>
      <c r="F41" s="115"/>
      <c r="G41" s="96"/>
      <c r="H41" s="96"/>
      <c r="I41" s="96"/>
      <c r="J41" s="96"/>
      <c r="K41" s="96"/>
      <c r="L41" s="128"/>
    </row>
    <row r="42" spans="2:12" ht="13.5" thickBot="1" x14ac:dyDescent="0.35">
      <c r="B42" s="114"/>
      <c r="C42" s="115"/>
      <c r="D42" s="114" t="s">
        <v>101</v>
      </c>
      <c r="E42" s="116">
        <f>Financials!F52</f>
        <v>0.03</v>
      </c>
      <c r="F42" s="115"/>
      <c r="G42" s="96"/>
      <c r="H42" s="96"/>
      <c r="I42" s="96"/>
      <c r="J42" s="96"/>
      <c r="K42" s="96"/>
      <c r="L42" s="128"/>
    </row>
    <row r="43" spans="2:12" ht="13.5" thickBot="1" x14ac:dyDescent="0.35">
      <c r="B43" s="115"/>
      <c r="C43" s="115"/>
      <c r="D43" s="114" t="s">
        <v>177</v>
      </c>
      <c r="E43" s="125">
        <f>Financials!E53</f>
        <v>2700</v>
      </c>
      <c r="F43" s="115"/>
      <c r="G43" s="96"/>
      <c r="H43" s="96"/>
      <c r="I43" s="96"/>
      <c r="J43" s="96"/>
      <c r="K43" s="96"/>
      <c r="L43" s="128"/>
    </row>
    <row r="44" spans="2:12" ht="13.5" thickBot="1" x14ac:dyDescent="0.35">
      <c r="B44" s="115"/>
      <c r="C44" s="115"/>
      <c r="D44" s="114"/>
      <c r="E44" s="116">
        <f>Financials!F53</f>
        <v>1</v>
      </c>
      <c r="F44" s="115"/>
      <c r="G44" s="96"/>
      <c r="H44" s="96"/>
      <c r="I44" s="96"/>
      <c r="J44" s="96"/>
      <c r="K44" s="96"/>
      <c r="L44" s="128"/>
    </row>
    <row r="45" spans="2:12" x14ac:dyDescent="0.25">
      <c r="B45" s="115"/>
      <c r="C45" s="115"/>
      <c r="D45" s="115"/>
      <c r="E45" s="115"/>
      <c r="F45" s="115"/>
      <c r="G45" s="96"/>
      <c r="H45" s="96"/>
      <c r="I45" s="96"/>
      <c r="J45" s="96"/>
      <c r="K45" s="96"/>
      <c r="L45" s="128"/>
    </row>
    <row r="46" spans="2:12" x14ac:dyDescent="0.25">
      <c r="B46" s="115"/>
      <c r="C46" s="115"/>
      <c r="D46" s="115"/>
      <c r="E46" s="115"/>
      <c r="F46" s="115"/>
      <c r="G46" s="96"/>
      <c r="H46" s="96"/>
      <c r="I46" s="96"/>
      <c r="J46" s="96"/>
      <c r="K46" s="96"/>
      <c r="L46" s="128"/>
    </row>
    <row r="47" spans="2:12" ht="25" x14ac:dyDescent="0.5">
      <c r="B47" s="127" t="s">
        <v>33</v>
      </c>
      <c r="C47" s="126"/>
      <c r="D47" s="126"/>
      <c r="E47" s="126"/>
      <c r="F47" s="126"/>
      <c r="G47" s="103" t="s">
        <v>9</v>
      </c>
      <c r="H47" s="102"/>
      <c r="I47" s="102"/>
      <c r="J47" s="102"/>
      <c r="K47" s="102"/>
      <c r="L47" s="128"/>
    </row>
  </sheetData>
  <phoneticPr fontId="0" type="noConversion"/>
  <pageMargins left="0.5" right="0.5" top="0.5" bottom="0.5" header="0.5" footer="0.5"/>
  <pageSetup scale="76" orientation="landscape" r:id="rId1"/>
  <headerFooter alignWithMargins="0">
    <oddFooter>&amp;LSCMRG/The Ohio State University, 2002</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7"/>
  <sheetViews>
    <sheetView zoomScale="85" workbookViewId="0">
      <selection activeCell="B27" sqref="B27"/>
    </sheetView>
  </sheetViews>
  <sheetFormatPr defaultRowHeight="12.5" x14ac:dyDescent="0.25"/>
  <cols>
    <col min="1" max="1" width="4.54296875" customWidth="1"/>
    <col min="2" max="2" width="24.1796875" customWidth="1"/>
    <col min="3" max="3" width="7.453125" customWidth="1"/>
    <col min="4" max="4" width="26.7265625" customWidth="1"/>
    <col min="6" max="6" width="11.1796875" customWidth="1"/>
    <col min="7" max="7" width="23.1796875" customWidth="1"/>
    <col min="8" max="8" width="10.7265625" customWidth="1"/>
    <col min="9" max="9" width="7.81640625" customWidth="1"/>
    <col min="10" max="10" width="18.7265625" customWidth="1"/>
  </cols>
  <sheetData>
    <row r="1" spans="1:12" ht="25.5" thickBot="1" x14ac:dyDescent="0.55000000000000004">
      <c r="A1" s="1" t="s">
        <v>181</v>
      </c>
    </row>
    <row r="2" spans="1:12" ht="20.25" customHeight="1" thickBot="1" x14ac:dyDescent="0.55000000000000004">
      <c r="A2" s="1"/>
      <c r="F2" s="19" t="s">
        <v>111</v>
      </c>
      <c r="G2" s="20">
        <f>E14*H8*K9</f>
        <v>0.26334966000000054</v>
      </c>
    </row>
    <row r="3" spans="1:12" ht="18" customHeight="1" thickBot="1" x14ac:dyDescent="0.4">
      <c r="F3" s="19" t="s">
        <v>112</v>
      </c>
      <c r="G3" s="20">
        <f>G6*K9</f>
        <v>0.14782479600000026</v>
      </c>
      <c r="H3" s="6" t="str">
        <f>IF(G3&lt;&gt;Financials!H87/Financials!H46,"ERROR","")</f>
        <v/>
      </c>
      <c r="I3" s="6"/>
    </row>
    <row r="4" spans="1:12" ht="15" customHeight="1" x14ac:dyDescent="0.35">
      <c r="F4" s="19"/>
      <c r="G4" s="92"/>
      <c r="I4" s="6"/>
    </row>
    <row r="5" spans="1:12" ht="13" thickBot="1" x14ac:dyDescent="0.3">
      <c r="I5" s="6"/>
    </row>
    <row r="6" spans="1:12" ht="16.5" customHeight="1" thickBot="1" x14ac:dyDescent="0.35">
      <c r="B6" s="3"/>
      <c r="F6" s="2" t="s">
        <v>1</v>
      </c>
      <c r="G6" s="17">
        <f>E9*H8</f>
        <v>7.0392760000000124E-2</v>
      </c>
      <c r="H6" s="6" t="str">
        <f>IF(G6&lt;&gt;(Financials!H87/Financials!H28),"ERROR","")</f>
        <v/>
      </c>
    </row>
    <row r="7" spans="1:12" ht="13" thickBot="1" x14ac:dyDescent="0.3">
      <c r="L7" s="72"/>
    </row>
    <row r="8" spans="1:12" ht="13.5" thickBot="1" x14ac:dyDescent="0.35">
      <c r="E8" s="5"/>
      <c r="G8" s="2" t="s">
        <v>4</v>
      </c>
      <c r="H8" s="18">
        <f>E43/H13</f>
        <v>2.7</v>
      </c>
      <c r="L8" s="72"/>
    </row>
    <row r="9" spans="1:12" ht="13.5" thickBot="1" x14ac:dyDescent="0.35">
      <c r="B9" s="114"/>
      <c r="C9" s="114"/>
      <c r="D9" s="106" t="s">
        <v>3</v>
      </c>
      <c r="E9" s="104">
        <f>Financials!I87</f>
        <v>2.6071392592592637E-2</v>
      </c>
      <c r="F9" s="106"/>
      <c r="G9" s="128"/>
      <c r="H9" s="128"/>
      <c r="I9" s="129" t="str">
        <f>IF((E43/H13)&lt;&gt;H8,"ERROR","")</f>
        <v/>
      </c>
      <c r="J9" s="101" t="s">
        <v>0</v>
      </c>
      <c r="K9" s="16">
        <f>H13/K11</f>
        <v>2.1</v>
      </c>
      <c r="L9" s="128"/>
    </row>
    <row r="10" spans="1:12" ht="13" thickBot="1" x14ac:dyDescent="0.3">
      <c r="B10" s="114"/>
      <c r="C10" s="114"/>
      <c r="D10" s="107"/>
      <c r="E10" s="108" t="str">
        <f>IF(E14-E11&lt;&gt;E9,"ERROR","")</f>
        <v/>
      </c>
      <c r="F10" s="109"/>
      <c r="G10" s="130"/>
      <c r="H10" s="128"/>
      <c r="I10" s="128"/>
      <c r="J10" s="93"/>
      <c r="K10" s="93"/>
      <c r="L10" s="128"/>
    </row>
    <row r="11" spans="1:12" ht="13.5" thickBot="1" x14ac:dyDescent="0.35">
      <c r="B11" s="114"/>
      <c r="C11" s="114"/>
      <c r="D11" s="107" t="s">
        <v>48</v>
      </c>
      <c r="E11" s="110">
        <f>SUM(Financials!I84:I86)</f>
        <v>2.0374755555555592E-2</v>
      </c>
      <c r="F11" s="105"/>
      <c r="G11" s="130"/>
      <c r="H11" s="128"/>
      <c r="I11" s="128"/>
      <c r="J11" s="93" t="s">
        <v>5</v>
      </c>
      <c r="K11" s="98">
        <f>Financials!H46</f>
        <v>476.1904761904762</v>
      </c>
      <c r="L11" s="128"/>
    </row>
    <row r="12" spans="1:12" ht="13.5" thickBot="1" x14ac:dyDescent="0.35">
      <c r="A12" s="4"/>
      <c r="B12" s="114"/>
      <c r="C12" s="114"/>
      <c r="D12" s="107"/>
      <c r="E12" s="111"/>
      <c r="F12" s="105"/>
      <c r="G12" s="130"/>
      <c r="H12" s="128"/>
      <c r="I12" s="128"/>
      <c r="J12" s="96"/>
      <c r="K12" s="96"/>
      <c r="L12" s="128"/>
    </row>
    <row r="13" spans="1:12" ht="13.5" thickBot="1" x14ac:dyDescent="0.35">
      <c r="B13" s="114"/>
      <c r="C13" s="143"/>
      <c r="D13" s="137"/>
      <c r="E13" s="113" t="str">
        <f>IF(ABS(E44-E37-E32-E27-E23-E18-E16-E14)&gt;0.0001,"ERROR","")</f>
        <v/>
      </c>
      <c r="F13" s="105"/>
      <c r="G13" s="93" t="s">
        <v>176</v>
      </c>
      <c r="H13" s="98">
        <f>Financials!H28</f>
        <v>1000</v>
      </c>
      <c r="I13" s="95"/>
      <c r="J13" s="95"/>
      <c r="K13" s="96"/>
      <c r="L13" s="128"/>
    </row>
    <row r="14" spans="1:12" ht="13.5" thickBot="1" x14ac:dyDescent="0.35">
      <c r="B14" s="114"/>
      <c r="C14" s="114"/>
      <c r="D14" s="107" t="s">
        <v>6</v>
      </c>
      <c r="E14" s="110">
        <f>Financials!I82</f>
        <v>4.6446148148148236E-2</v>
      </c>
      <c r="F14" s="109"/>
      <c r="G14" s="97"/>
      <c r="H14" s="94">
        <f>Financials!I28</f>
        <v>1</v>
      </c>
      <c r="I14" s="95"/>
      <c r="J14" s="96"/>
      <c r="K14" s="96"/>
      <c r="L14" s="128"/>
    </row>
    <row r="15" spans="1:12" ht="13" thickBot="1" x14ac:dyDescent="0.3">
      <c r="B15" s="114"/>
      <c r="C15" s="114"/>
      <c r="D15" s="107"/>
      <c r="E15" s="112"/>
      <c r="F15" s="109"/>
      <c r="G15" s="96"/>
      <c r="H15" s="133" t="str">
        <f>IF(H14&lt;&gt;(H17+K17),"ERROR","")</f>
        <v/>
      </c>
      <c r="I15" s="96"/>
      <c r="J15" s="96"/>
      <c r="K15" s="96"/>
      <c r="L15" s="128"/>
    </row>
    <row r="16" spans="1:12" ht="13.5" thickBot="1" x14ac:dyDescent="0.35">
      <c r="B16" s="114"/>
      <c r="C16" s="114"/>
      <c r="D16" s="107" t="s">
        <v>81</v>
      </c>
      <c r="E16" s="110">
        <f>Financials!I81</f>
        <v>-6.0000000000000001E-3</v>
      </c>
      <c r="F16" s="105"/>
      <c r="G16" s="93"/>
      <c r="H16" s="96"/>
      <c r="I16" s="96"/>
      <c r="J16" s="96"/>
      <c r="K16" s="96"/>
      <c r="L16" s="128"/>
    </row>
    <row r="17" spans="2:12" ht="13.5" thickBot="1" x14ac:dyDescent="0.35">
      <c r="B17" s="114"/>
      <c r="C17" s="114"/>
      <c r="D17" s="107"/>
      <c r="E17" s="105"/>
      <c r="F17" s="105"/>
      <c r="G17" s="93" t="s">
        <v>64</v>
      </c>
      <c r="H17" s="99">
        <f>Financials!I27</f>
        <v>0.114</v>
      </c>
      <c r="I17" s="96"/>
      <c r="J17" s="93" t="s">
        <v>58</v>
      </c>
      <c r="K17" s="99">
        <f>Financials!I16</f>
        <v>0.88600000000000001</v>
      </c>
      <c r="L17" s="129"/>
    </row>
    <row r="18" spans="2:12" ht="13.5" thickBot="1" x14ac:dyDescent="0.35">
      <c r="B18" s="114"/>
      <c r="C18" s="115"/>
      <c r="D18" s="114" t="s">
        <v>80</v>
      </c>
      <c r="E18" s="116">
        <f>SUM(C19:C21)</f>
        <v>7.0000000000000001E-3</v>
      </c>
      <c r="F18" s="117"/>
      <c r="G18" s="93"/>
      <c r="H18" s="96"/>
      <c r="I18" s="96"/>
      <c r="J18" s="93"/>
      <c r="K18" s="133" t="str">
        <f>IF(K17&lt;&gt;(K19+K21+K23+K25),"ERROR","")</f>
        <v/>
      </c>
      <c r="L18" s="128"/>
    </row>
    <row r="19" spans="2:12" ht="13.5" thickBot="1" x14ac:dyDescent="0.35">
      <c r="B19" s="114" t="s">
        <v>91</v>
      </c>
      <c r="C19" s="118">
        <f>Financials!I78</f>
        <v>2E-3</v>
      </c>
      <c r="D19" s="114"/>
      <c r="E19" s="115"/>
      <c r="F19" s="115"/>
      <c r="G19" s="93" t="s">
        <v>26</v>
      </c>
      <c r="H19" s="99">
        <f>Financials!I26</f>
        <v>2.8500000000000001E-2</v>
      </c>
      <c r="I19" s="96"/>
      <c r="J19" s="93" t="s">
        <v>7</v>
      </c>
      <c r="K19" s="99">
        <f>Financials!I14</f>
        <v>0.48499999999999999</v>
      </c>
      <c r="L19" s="128"/>
    </row>
    <row r="20" spans="2:12" ht="13.5" thickBot="1" x14ac:dyDescent="0.35">
      <c r="B20" s="114" t="s">
        <v>92</v>
      </c>
      <c r="C20" s="119">
        <f>Financials!I79</f>
        <v>3.0000000000000001E-3</v>
      </c>
      <c r="D20" s="114"/>
      <c r="E20" s="115"/>
      <c r="F20" s="115"/>
      <c r="G20" s="93"/>
      <c r="H20" s="96"/>
      <c r="I20" s="96"/>
      <c r="J20" s="96"/>
      <c r="K20" s="96"/>
      <c r="L20" s="128"/>
    </row>
    <row r="21" spans="2:12" ht="13.5" thickBot="1" x14ac:dyDescent="0.35">
      <c r="B21" s="114" t="s">
        <v>93</v>
      </c>
      <c r="C21" s="120">
        <f>Financials!I80</f>
        <v>2E-3</v>
      </c>
      <c r="D21" s="114"/>
      <c r="E21" s="121"/>
      <c r="F21" s="115"/>
      <c r="G21" s="93" t="s">
        <v>66</v>
      </c>
      <c r="H21" s="99">
        <f>Financials!I25</f>
        <v>8.5500000000000007E-2</v>
      </c>
      <c r="I21" s="96"/>
      <c r="J21" s="93" t="s">
        <v>23</v>
      </c>
      <c r="K21" s="99">
        <f>Financials!I13</f>
        <v>0.35399999999999998</v>
      </c>
      <c r="L21" s="128"/>
    </row>
    <row r="22" spans="2:12" ht="13.5" thickBot="1" x14ac:dyDescent="0.35">
      <c r="B22" s="114"/>
      <c r="C22" s="122"/>
      <c r="D22" s="115"/>
      <c r="E22" s="115"/>
      <c r="F22" s="115"/>
      <c r="G22" s="93"/>
      <c r="H22" s="133" t="str">
        <f>IF(H21&lt;&gt;(H25+H26+H28+H29),"ERROR","")</f>
        <v/>
      </c>
      <c r="I22" s="96"/>
      <c r="J22" s="93"/>
      <c r="K22" s="96"/>
      <c r="L22" s="128"/>
    </row>
    <row r="23" spans="2:12" ht="13.5" thickBot="1" x14ac:dyDescent="0.35">
      <c r="B23" s="114"/>
      <c r="C23" s="122"/>
      <c r="D23" s="114" t="s">
        <v>78</v>
      </c>
      <c r="E23" s="116">
        <f>SUM(C24:C25)</f>
        <v>4.0000000000000001E-3</v>
      </c>
      <c r="F23" s="115"/>
      <c r="G23" s="96"/>
      <c r="H23" s="96"/>
      <c r="I23" s="96"/>
      <c r="J23" s="93" t="s">
        <v>10</v>
      </c>
      <c r="K23" s="99">
        <f>Financials!I15</f>
        <v>2.1999999999999999E-2</v>
      </c>
      <c r="L23" s="128"/>
    </row>
    <row r="24" spans="2:12" ht="13.5" thickBot="1" x14ac:dyDescent="0.35">
      <c r="B24" s="114" t="s">
        <v>86</v>
      </c>
      <c r="C24" s="119">
        <f>Financials!I74</f>
        <v>2E-3</v>
      </c>
      <c r="D24" s="114"/>
      <c r="E24" s="115"/>
      <c r="F24" s="115"/>
      <c r="G24" s="93"/>
      <c r="H24" s="96"/>
      <c r="I24" s="96"/>
      <c r="J24" s="93"/>
      <c r="K24" s="96"/>
      <c r="L24" s="128"/>
    </row>
    <row r="25" spans="2:12" ht="13.5" thickBot="1" x14ac:dyDescent="0.35">
      <c r="B25" s="114" t="s">
        <v>87</v>
      </c>
      <c r="C25" s="120">
        <f>Financials!I75</f>
        <v>2E-3</v>
      </c>
      <c r="D25" s="114"/>
      <c r="E25" s="115"/>
      <c r="F25" s="115"/>
      <c r="G25" s="93" t="s">
        <v>69</v>
      </c>
      <c r="H25" s="99">
        <f>Financials!I19</f>
        <v>0.12825</v>
      </c>
      <c r="I25" s="96"/>
      <c r="J25" s="93" t="s">
        <v>59</v>
      </c>
      <c r="K25" s="99">
        <f>Financials!I12</f>
        <v>2.5000000000000001E-2</v>
      </c>
      <c r="L25" s="128"/>
    </row>
    <row r="26" spans="2:12" ht="13.5" thickBot="1" x14ac:dyDescent="0.35">
      <c r="B26" s="114"/>
      <c r="C26" s="122"/>
      <c r="D26" s="115"/>
      <c r="E26" s="115"/>
      <c r="F26" s="115"/>
      <c r="G26" s="93" t="s">
        <v>70</v>
      </c>
      <c r="H26" s="99">
        <f>Financials!I20</f>
        <v>-6.4125000000000001E-2</v>
      </c>
      <c r="I26" s="96"/>
      <c r="J26" s="96"/>
      <c r="K26" s="96"/>
      <c r="L26" s="128"/>
    </row>
    <row r="27" spans="2:12" ht="13.5" thickBot="1" x14ac:dyDescent="0.35">
      <c r="B27" s="114"/>
      <c r="C27" s="122"/>
      <c r="D27" s="114" t="s">
        <v>94</v>
      </c>
      <c r="E27" s="116">
        <f>SUM(C28:C30)</f>
        <v>0.10509333333333333</v>
      </c>
      <c r="F27" s="115"/>
      <c r="G27" s="93"/>
      <c r="H27" s="100"/>
      <c r="I27" s="96"/>
      <c r="J27" s="96"/>
      <c r="K27" s="96"/>
      <c r="L27" s="128"/>
    </row>
    <row r="28" spans="2:12" ht="13.5" thickBot="1" x14ac:dyDescent="0.35">
      <c r="B28" s="114" t="s">
        <v>82</v>
      </c>
      <c r="C28" s="118">
        <f>Financials!I70</f>
        <v>6.6000000000000003E-2</v>
      </c>
      <c r="D28" s="114"/>
      <c r="E28" s="115" t="str">
        <f>IF((E44-E37)&lt;&gt;E35,"ERROR","")</f>
        <v/>
      </c>
      <c r="F28" s="115"/>
      <c r="G28" s="93" t="s">
        <v>67</v>
      </c>
      <c r="H28" s="99">
        <f>Financials!I22</f>
        <v>4.2750000000000003E-2</v>
      </c>
      <c r="I28" s="96"/>
      <c r="J28" s="96"/>
      <c r="K28" s="96"/>
      <c r="L28" s="128"/>
    </row>
    <row r="29" spans="2:12" ht="13.5" thickBot="1" x14ac:dyDescent="0.35">
      <c r="B29" s="114" t="s">
        <v>83</v>
      </c>
      <c r="C29" s="119">
        <f>Financials!I71</f>
        <v>3.5093333333333324E-2</v>
      </c>
      <c r="D29" s="114"/>
      <c r="E29" s="115"/>
      <c r="F29" s="115"/>
      <c r="G29" s="93" t="s">
        <v>68</v>
      </c>
      <c r="H29" s="99">
        <f>Financials!I23</f>
        <v>-2.1375000000000002E-2</v>
      </c>
      <c r="I29" s="96"/>
      <c r="J29" s="96"/>
      <c r="K29" s="96"/>
      <c r="L29" s="128"/>
    </row>
    <row r="30" spans="2:12" ht="13.5" thickBot="1" x14ac:dyDescent="0.35">
      <c r="B30" s="114" t="s">
        <v>84</v>
      </c>
      <c r="C30" s="120">
        <f>Financials!I72</f>
        <v>4.0000000000000001E-3</v>
      </c>
      <c r="D30" s="115"/>
      <c r="E30" s="115"/>
      <c r="F30" s="115"/>
      <c r="G30" s="93"/>
      <c r="H30" s="100"/>
      <c r="I30" s="96"/>
      <c r="J30" s="96"/>
      <c r="K30" s="96"/>
      <c r="L30" s="128"/>
    </row>
    <row r="31" spans="2:12" ht="13" thickBot="1" x14ac:dyDescent="0.3">
      <c r="B31" s="114"/>
      <c r="C31" s="115"/>
      <c r="D31" s="115"/>
      <c r="E31" s="115"/>
      <c r="F31" s="123"/>
      <c r="G31" s="96"/>
      <c r="H31" s="96"/>
      <c r="I31" s="96"/>
      <c r="J31" s="96"/>
      <c r="K31" s="96"/>
      <c r="L31" s="128"/>
    </row>
    <row r="32" spans="2:12" ht="13.5" thickBot="1" x14ac:dyDescent="0.35">
      <c r="B32" s="114"/>
      <c r="C32" s="115"/>
      <c r="D32" s="114" t="s">
        <v>95</v>
      </c>
      <c r="E32" s="116">
        <f>SUM(C33:C37)</f>
        <v>9.1460518518518538E-2</v>
      </c>
      <c r="F32" s="123"/>
      <c r="G32" s="96"/>
      <c r="H32" s="96"/>
      <c r="I32" s="96"/>
      <c r="J32" s="96"/>
      <c r="K32" s="96"/>
      <c r="L32" s="128"/>
    </row>
    <row r="33" spans="2:12" ht="13.5" thickBot="1" x14ac:dyDescent="0.35">
      <c r="B33" s="114" t="s">
        <v>75</v>
      </c>
      <c r="C33" s="118">
        <f>Financials!I60</f>
        <v>8.1784592592592603E-2</v>
      </c>
      <c r="D33" s="114"/>
      <c r="E33" s="115"/>
      <c r="F33" s="115"/>
      <c r="G33" s="96"/>
      <c r="H33" s="96"/>
      <c r="I33" s="96"/>
      <c r="J33" s="96"/>
      <c r="K33" s="96"/>
      <c r="L33" s="128"/>
    </row>
    <row r="34" spans="2:12" ht="13.5" thickBot="1" x14ac:dyDescent="0.35">
      <c r="B34" s="124" t="s">
        <v>175</v>
      </c>
      <c r="C34" s="118">
        <f>Financials!I61</f>
        <v>8.9814814814814813E-4</v>
      </c>
      <c r="D34" s="114"/>
      <c r="E34" s="121"/>
      <c r="F34" s="115"/>
      <c r="G34" s="96"/>
      <c r="H34" s="95"/>
      <c r="I34" s="96"/>
      <c r="J34" s="96"/>
      <c r="K34" s="96"/>
      <c r="L34" s="128"/>
    </row>
    <row r="35" spans="2:12" ht="13.5" thickBot="1" x14ac:dyDescent="0.35">
      <c r="B35" s="114" t="s">
        <v>76</v>
      </c>
      <c r="C35" s="119">
        <f>Financials!I63</f>
        <v>3.0000000000000001E-3</v>
      </c>
      <c r="D35" s="114" t="s">
        <v>8</v>
      </c>
      <c r="E35" s="116">
        <f>E44-E37</f>
        <v>0.248</v>
      </c>
      <c r="F35" s="115"/>
      <c r="G35" s="96"/>
      <c r="H35" s="96"/>
      <c r="I35" s="96"/>
      <c r="J35" s="96"/>
      <c r="K35" s="96"/>
      <c r="L35" s="128"/>
    </row>
    <row r="36" spans="2:12" ht="13.5" thickBot="1" x14ac:dyDescent="0.35">
      <c r="B36" s="114" t="s">
        <v>77</v>
      </c>
      <c r="C36" s="120">
        <f>Financials!I64</f>
        <v>3.0000000000000001E-3</v>
      </c>
      <c r="D36" s="114"/>
      <c r="E36" s="117"/>
      <c r="F36" s="115"/>
      <c r="G36" s="96"/>
      <c r="H36" s="96"/>
      <c r="I36" s="96"/>
      <c r="J36" s="96"/>
      <c r="K36" s="96"/>
      <c r="L36" s="128"/>
    </row>
    <row r="37" spans="2:12" ht="13.5" thickBot="1" x14ac:dyDescent="0.35">
      <c r="B37" s="114" t="s">
        <v>174</v>
      </c>
      <c r="C37" s="119">
        <f>SUM(Financials!I65:I68)</f>
        <v>2.7777777777777775E-3</v>
      </c>
      <c r="D37" s="114" t="s">
        <v>39</v>
      </c>
      <c r="E37" s="116">
        <f>SUM(C39:C40)</f>
        <v>0.752</v>
      </c>
      <c r="F37" s="115"/>
      <c r="G37" s="96"/>
      <c r="H37" s="96"/>
      <c r="I37" s="96"/>
      <c r="J37" s="96"/>
      <c r="K37" s="96"/>
      <c r="L37" s="128"/>
    </row>
    <row r="38" spans="2:12" ht="13" thickBot="1" x14ac:dyDescent="0.3">
      <c r="B38" s="115"/>
      <c r="C38" s="115"/>
      <c r="D38" s="114"/>
      <c r="E38" s="115"/>
      <c r="F38" s="115"/>
      <c r="G38" s="96"/>
      <c r="H38" s="96"/>
      <c r="I38" s="96"/>
      <c r="J38" s="96"/>
      <c r="K38" s="96"/>
      <c r="L38" s="128"/>
    </row>
    <row r="39" spans="2:12" ht="13.5" thickBot="1" x14ac:dyDescent="0.35">
      <c r="B39" s="114" t="s">
        <v>72</v>
      </c>
      <c r="C39" s="119">
        <f>Financials!I55</f>
        <v>0.73695999999999995</v>
      </c>
      <c r="D39" s="114"/>
      <c r="E39" s="115"/>
      <c r="F39" s="115"/>
      <c r="G39" s="96"/>
      <c r="H39" s="96"/>
      <c r="I39" s="96"/>
      <c r="J39" s="96"/>
      <c r="K39" s="96"/>
      <c r="L39" s="128"/>
    </row>
    <row r="40" spans="2:12" ht="13.5" thickBot="1" x14ac:dyDescent="0.35">
      <c r="B40" s="114" t="s">
        <v>71</v>
      </c>
      <c r="C40" s="120">
        <f>Financials!I56</f>
        <v>1.504E-2</v>
      </c>
      <c r="D40" s="115"/>
      <c r="E40" s="115"/>
      <c r="F40" s="115"/>
      <c r="G40" s="96"/>
      <c r="H40" s="96"/>
      <c r="I40" s="96"/>
      <c r="J40" s="96"/>
      <c r="K40" s="96"/>
      <c r="L40" s="128"/>
    </row>
    <row r="41" spans="2:12" ht="13.5" thickBot="1" x14ac:dyDescent="0.35">
      <c r="B41" s="114"/>
      <c r="C41" s="115"/>
      <c r="D41" s="114" t="s">
        <v>96</v>
      </c>
      <c r="E41" s="116">
        <f>Financials!I51</f>
        <v>1.03</v>
      </c>
      <c r="F41" s="115"/>
      <c r="G41" s="96"/>
      <c r="H41" s="96"/>
      <c r="I41" s="96"/>
      <c r="J41" s="96"/>
      <c r="K41" s="96"/>
      <c r="L41" s="128"/>
    </row>
    <row r="42" spans="2:12" ht="13.5" thickBot="1" x14ac:dyDescent="0.35">
      <c r="B42" s="114"/>
      <c r="C42" s="115"/>
      <c r="D42" s="114" t="s">
        <v>101</v>
      </c>
      <c r="E42" s="116">
        <f>Financials!I52</f>
        <v>0.03</v>
      </c>
      <c r="F42" s="115"/>
      <c r="G42" s="96"/>
      <c r="H42" s="96"/>
      <c r="I42" s="96"/>
      <c r="J42" s="96"/>
      <c r="K42" s="96"/>
      <c r="L42" s="128"/>
    </row>
    <row r="43" spans="2:12" ht="13.5" thickBot="1" x14ac:dyDescent="0.35">
      <c r="B43" s="115"/>
      <c r="C43" s="115"/>
      <c r="D43" s="114" t="s">
        <v>177</v>
      </c>
      <c r="E43" s="125">
        <f>Financials!H53</f>
        <v>2700</v>
      </c>
      <c r="F43" s="115"/>
      <c r="G43" s="96"/>
      <c r="H43" s="96"/>
      <c r="I43" s="96"/>
      <c r="J43" s="96"/>
      <c r="K43" s="96"/>
      <c r="L43" s="128"/>
    </row>
    <row r="44" spans="2:12" ht="13.5" thickBot="1" x14ac:dyDescent="0.35">
      <c r="B44" s="115"/>
      <c r="C44" s="115"/>
      <c r="D44" s="114"/>
      <c r="E44" s="116">
        <f>Financials!I53</f>
        <v>1</v>
      </c>
      <c r="F44" s="115"/>
      <c r="G44" s="96"/>
      <c r="H44" s="96"/>
      <c r="I44" s="96"/>
      <c r="J44" s="96"/>
      <c r="K44" s="96"/>
      <c r="L44" s="128"/>
    </row>
    <row r="45" spans="2:12" x14ac:dyDescent="0.25">
      <c r="B45" s="115"/>
      <c r="C45" s="115"/>
      <c r="D45" s="115"/>
      <c r="E45" s="115"/>
      <c r="F45" s="115"/>
      <c r="G45" s="96"/>
      <c r="H45" s="96"/>
      <c r="I45" s="96"/>
      <c r="J45" s="96"/>
      <c r="K45" s="96"/>
      <c r="L45" s="128"/>
    </row>
    <row r="46" spans="2:12" x14ac:dyDescent="0.25">
      <c r="B46" s="115"/>
      <c r="C46" s="115"/>
      <c r="D46" s="115"/>
      <c r="E46" s="115"/>
      <c r="F46" s="115"/>
      <c r="G46" s="96"/>
      <c r="H46" s="96"/>
      <c r="I46" s="96"/>
      <c r="J46" s="96"/>
      <c r="K46" s="96"/>
      <c r="L46" s="128"/>
    </row>
    <row r="47" spans="2:12" ht="25" x14ac:dyDescent="0.5">
      <c r="B47" s="127" t="s">
        <v>33</v>
      </c>
      <c r="C47" s="126"/>
      <c r="D47" s="126"/>
      <c r="E47" s="126"/>
      <c r="F47" s="126"/>
      <c r="G47" s="103" t="s">
        <v>9</v>
      </c>
      <c r="H47" s="102"/>
      <c r="I47" s="102"/>
      <c r="J47" s="102"/>
      <c r="K47" s="102"/>
      <c r="L47" s="128"/>
    </row>
  </sheetData>
  <phoneticPr fontId="0" type="noConversion"/>
  <pageMargins left="0.5" right="0.5" top="0.5" bottom="0.5" header="0.5" footer="0.5"/>
  <pageSetup scale="76" orientation="landscape" r:id="rId1"/>
  <headerFooter alignWithMargins="0">
    <oddFooter>&amp;LSCMRG/The Ohio State University, 2002</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7"/>
  <sheetViews>
    <sheetView zoomScale="85" workbookViewId="0">
      <selection activeCell="B27" sqref="B27"/>
    </sheetView>
  </sheetViews>
  <sheetFormatPr defaultRowHeight="12.5" x14ac:dyDescent="0.25"/>
  <cols>
    <col min="1" max="1" width="4.54296875" customWidth="1"/>
    <col min="2" max="2" width="24.1796875" customWidth="1"/>
    <col min="3" max="3" width="7.453125" customWidth="1"/>
    <col min="4" max="4" width="26.7265625" customWidth="1"/>
    <col min="6" max="6" width="11.1796875" customWidth="1"/>
    <col min="7" max="7" width="23.1796875" customWidth="1"/>
    <col min="8" max="8" width="10.7265625" customWidth="1"/>
    <col min="9" max="9" width="7.81640625" customWidth="1"/>
    <col min="10" max="10" width="18.7265625" customWidth="1"/>
  </cols>
  <sheetData>
    <row r="1" spans="1:12" ht="25.5" thickBot="1" x14ac:dyDescent="0.55000000000000004">
      <c r="A1" s="1" t="s">
        <v>182</v>
      </c>
    </row>
    <row r="2" spans="1:12" ht="20.25" customHeight="1" thickBot="1" x14ac:dyDescent="0.55000000000000004">
      <c r="A2" s="1"/>
      <c r="F2" s="19" t="s">
        <v>111</v>
      </c>
      <c r="G2" s="20">
        <f>E14*H8*K9</f>
        <v>0.19860120000000014</v>
      </c>
    </row>
    <row r="3" spans="1:12" ht="18" customHeight="1" thickBot="1" x14ac:dyDescent="0.4">
      <c r="F3" s="19" t="s">
        <v>112</v>
      </c>
      <c r="G3" s="20">
        <f>G6*K9</f>
        <v>0.10897572000000005</v>
      </c>
      <c r="H3" s="6" t="str">
        <f>IF(G3&lt;&gt;Financials!K87/Financials!K46,"ERROR","")</f>
        <v/>
      </c>
      <c r="I3" s="6"/>
    </row>
    <row r="4" spans="1:12" ht="15" customHeight="1" x14ac:dyDescent="0.35">
      <c r="F4" s="19"/>
      <c r="G4" s="92"/>
      <c r="I4" s="6"/>
    </row>
    <row r="5" spans="1:12" ht="13" thickBot="1" x14ac:dyDescent="0.3">
      <c r="I5" s="6"/>
    </row>
    <row r="6" spans="1:12" ht="16.5" customHeight="1" thickBot="1" x14ac:dyDescent="0.35">
      <c r="B6" s="3"/>
      <c r="F6" s="2" t="s">
        <v>1</v>
      </c>
      <c r="G6" s="17">
        <f>E9*H8</f>
        <v>5.1893200000000021E-2</v>
      </c>
      <c r="H6" s="6" t="str">
        <f>IF(G6&lt;&gt;(Financials!K87/Financials!K28),"ERROR","")</f>
        <v/>
      </c>
    </row>
    <row r="7" spans="1:12" ht="13" thickBot="1" x14ac:dyDescent="0.3">
      <c r="L7" s="72"/>
    </row>
    <row r="8" spans="1:12" ht="13.5" thickBot="1" x14ac:dyDescent="0.35">
      <c r="E8" s="5"/>
      <c r="G8" s="2" t="s">
        <v>4</v>
      </c>
      <c r="H8" s="18">
        <f>E43/H13</f>
        <v>2.7</v>
      </c>
      <c r="L8" s="72"/>
    </row>
    <row r="9" spans="1:12" ht="13.5" thickBot="1" x14ac:dyDescent="0.35">
      <c r="B9" s="114"/>
      <c r="C9" s="114"/>
      <c r="D9" s="106" t="s">
        <v>3</v>
      </c>
      <c r="E9" s="104">
        <f>Financials!L87</f>
        <v>1.9219703703703711E-2</v>
      </c>
      <c r="F9" s="106"/>
      <c r="G9" s="128"/>
      <c r="H9" s="128"/>
      <c r="I9" s="129" t="str">
        <f>IF((E43/H13)&lt;&gt;H8,"ERROR","")</f>
        <v/>
      </c>
      <c r="J9" s="101" t="s">
        <v>0</v>
      </c>
      <c r="K9" s="16">
        <f>H13/K11</f>
        <v>2.1</v>
      </c>
      <c r="L9" s="128"/>
    </row>
    <row r="10" spans="1:12" ht="13" thickBot="1" x14ac:dyDescent="0.3">
      <c r="B10" s="114"/>
      <c r="C10" s="114"/>
      <c r="D10" s="107"/>
      <c r="E10" s="108" t="str">
        <f>IF(E14-E11&lt;&gt;E9,"ERROR","")</f>
        <v/>
      </c>
      <c r="F10" s="109"/>
      <c r="G10" s="130"/>
      <c r="H10" s="128"/>
      <c r="I10" s="128"/>
      <c r="J10" s="93"/>
      <c r="K10" s="93"/>
      <c r="L10" s="128"/>
    </row>
    <row r="11" spans="1:12" ht="13.5" thickBot="1" x14ac:dyDescent="0.35">
      <c r="B11" s="114"/>
      <c r="C11" s="114"/>
      <c r="D11" s="107" t="s">
        <v>48</v>
      </c>
      <c r="E11" s="110">
        <f>SUM(Financials!L84:L86)</f>
        <v>1.5806962962962971E-2</v>
      </c>
      <c r="F11" s="105"/>
      <c r="G11" s="130"/>
      <c r="H11" s="128"/>
      <c r="I11" s="128"/>
      <c r="J11" s="93" t="s">
        <v>5</v>
      </c>
      <c r="K11" s="98">
        <f>Financials!K46</f>
        <v>476.1904761904762</v>
      </c>
      <c r="L11" s="128"/>
    </row>
    <row r="12" spans="1:12" ht="13.5" thickBot="1" x14ac:dyDescent="0.35">
      <c r="A12" s="4"/>
      <c r="B12" s="114"/>
      <c r="C12" s="114"/>
      <c r="D12" s="107"/>
      <c r="E12" s="111"/>
      <c r="F12" s="105"/>
      <c r="G12" s="130"/>
      <c r="H12" s="128"/>
      <c r="I12" s="128"/>
      <c r="J12" s="96"/>
      <c r="K12" s="96"/>
      <c r="L12" s="128"/>
    </row>
    <row r="13" spans="1:12" ht="13.5" thickBot="1" x14ac:dyDescent="0.35">
      <c r="B13" s="114"/>
      <c r="C13" s="143"/>
      <c r="D13" s="137"/>
      <c r="E13" s="113" t="str">
        <f>IF(ABS(E44-E37-E32-E27-E23-E18-E16-E14)&gt;0.0001,"ERROR","")</f>
        <v/>
      </c>
      <c r="F13" s="105"/>
      <c r="G13" s="93" t="s">
        <v>176</v>
      </c>
      <c r="H13" s="98">
        <f>Financials!K28</f>
        <v>1000</v>
      </c>
      <c r="I13" s="95"/>
      <c r="J13" s="95"/>
      <c r="K13" s="96"/>
      <c r="L13" s="128"/>
    </row>
    <row r="14" spans="1:12" ht="13.5" thickBot="1" x14ac:dyDescent="0.35">
      <c r="B14" s="114"/>
      <c r="C14" s="114"/>
      <c r="D14" s="107" t="s">
        <v>6</v>
      </c>
      <c r="E14" s="110">
        <f>Financials!L82</f>
        <v>3.5026666666666685E-2</v>
      </c>
      <c r="F14" s="109"/>
      <c r="G14" s="97"/>
      <c r="H14" s="94">
        <f>Financials!L28</f>
        <v>1</v>
      </c>
      <c r="I14" s="95"/>
      <c r="J14" s="96"/>
      <c r="K14" s="96"/>
      <c r="L14" s="128"/>
    </row>
    <row r="15" spans="1:12" ht="13" thickBot="1" x14ac:dyDescent="0.3">
      <c r="B15" s="114"/>
      <c r="C15" s="114"/>
      <c r="D15" s="107"/>
      <c r="E15" s="112"/>
      <c r="F15" s="109"/>
      <c r="G15" s="96"/>
      <c r="H15" s="133" t="str">
        <f>IF(H14&lt;&gt;(H17+K17),"ERROR","")</f>
        <v/>
      </c>
      <c r="I15" s="96"/>
      <c r="J15" s="96"/>
      <c r="K15" s="96"/>
      <c r="L15" s="128"/>
    </row>
    <row r="16" spans="1:12" ht="13.5" thickBot="1" x14ac:dyDescent="0.35">
      <c r="B16" s="114"/>
      <c r="C16" s="114"/>
      <c r="D16" s="107" t="s">
        <v>81</v>
      </c>
      <c r="E16" s="110">
        <f>Financials!L81</f>
        <v>-6.0000000000000001E-3</v>
      </c>
      <c r="F16" s="105"/>
      <c r="G16" s="93"/>
      <c r="H16" s="96"/>
      <c r="I16" s="96"/>
      <c r="J16" s="96"/>
      <c r="K16" s="96"/>
      <c r="L16" s="128"/>
    </row>
    <row r="17" spans="2:12" ht="13.5" thickBot="1" x14ac:dyDescent="0.35">
      <c r="B17" s="114"/>
      <c r="C17" s="114"/>
      <c r="D17" s="107"/>
      <c r="E17" s="105"/>
      <c r="F17" s="105"/>
      <c r="G17" s="93" t="s">
        <v>64</v>
      </c>
      <c r="H17" s="99">
        <f>Financials!L27</f>
        <v>0.114</v>
      </c>
      <c r="I17" s="96"/>
      <c r="J17" s="93" t="s">
        <v>58</v>
      </c>
      <c r="K17" s="99">
        <f>Financials!L16</f>
        <v>0.88600000000000001</v>
      </c>
      <c r="L17" s="129"/>
    </row>
    <row r="18" spans="2:12" ht="13.5" thickBot="1" x14ac:dyDescent="0.35">
      <c r="B18" s="114"/>
      <c r="C18" s="115"/>
      <c r="D18" s="114" t="s">
        <v>80</v>
      </c>
      <c r="E18" s="116">
        <f>SUM(C19:C21)</f>
        <v>7.0000000000000001E-3</v>
      </c>
      <c r="F18" s="117"/>
      <c r="G18" s="93"/>
      <c r="H18" s="96"/>
      <c r="I18" s="96"/>
      <c r="J18" s="93"/>
      <c r="K18" s="133" t="str">
        <f>IF(K17&lt;&gt;(K19+K21+K23+K25),"ERROR","")</f>
        <v/>
      </c>
      <c r="L18" s="128"/>
    </row>
    <row r="19" spans="2:12" ht="13.5" thickBot="1" x14ac:dyDescent="0.35">
      <c r="B19" s="114" t="s">
        <v>91</v>
      </c>
      <c r="C19" s="118">
        <f>Financials!L78</f>
        <v>2E-3</v>
      </c>
      <c r="D19" s="114"/>
      <c r="E19" s="115"/>
      <c r="F19" s="115"/>
      <c r="G19" s="93" t="s">
        <v>26</v>
      </c>
      <c r="H19" s="99">
        <f>Financials!L26</f>
        <v>2.8500000000000001E-2</v>
      </c>
      <c r="I19" s="96"/>
      <c r="J19" s="93" t="s">
        <v>7</v>
      </c>
      <c r="K19" s="99">
        <f>Financials!L14</f>
        <v>0.48499999999999999</v>
      </c>
      <c r="L19" s="128"/>
    </row>
    <row r="20" spans="2:12" ht="13.5" thickBot="1" x14ac:dyDescent="0.35">
      <c r="B20" s="114" t="s">
        <v>92</v>
      </c>
      <c r="C20" s="119">
        <f>Financials!L79</f>
        <v>3.0000000000000001E-3</v>
      </c>
      <c r="D20" s="114"/>
      <c r="E20" s="115"/>
      <c r="F20" s="115"/>
      <c r="G20" s="93"/>
      <c r="H20" s="96"/>
      <c r="I20" s="96"/>
      <c r="J20" s="96"/>
      <c r="K20" s="96"/>
      <c r="L20" s="128"/>
    </row>
    <row r="21" spans="2:12" ht="13.5" thickBot="1" x14ac:dyDescent="0.35">
      <c r="B21" s="114" t="s">
        <v>93</v>
      </c>
      <c r="C21" s="120">
        <f>Financials!L80</f>
        <v>2E-3</v>
      </c>
      <c r="D21" s="114"/>
      <c r="E21" s="121"/>
      <c r="F21" s="115"/>
      <c r="G21" s="93" t="s">
        <v>66</v>
      </c>
      <c r="H21" s="99">
        <f>Financials!L25</f>
        <v>8.5500000000000007E-2</v>
      </c>
      <c r="I21" s="96"/>
      <c r="J21" s="93" t="s">
        <v>23</v>
      </c>
      <c r="K21" s="99">
        <f>Financials!L13</f>
        <v>0.35399999999999998</v>
      </c>
      <c r="L21" s="128"/>
    </row>
    <row r="22" spans="2:12" ht="13.5" thickBot="1" x14ac:dyDescent="0.35">
      <c r="B22" s="114"/>
      <c r="C22" s="122"/>
      <c r="D22" s="115"/>
      <c r="E22" s="115"/>
      <c r="F22" s="115"/>
      <c r="G22" s="93"/>
      <c r="H22" s="133" t="str">
        <f>IF(H21&lt;&gt;(H25+H26+H28+H29),"ERROR","")</f>
        <v/>
      </c>
      <c r="I22" s="96"/>
      <c r="J22" s="93"/>
      <c r="K22" s="96"/>
      <c r="L22" s="128"/>
    </row>
    <row r="23" spans="2:12" ht="13.5" thickBot="1" x14ac:dyDescent="0.35">
      <c r="B23" s="114"/>
      <c r="C23" s="122"/>
      <c r="D23" s="114" t="s">
        <v>78</v>
      </c>
      <c r="E23" s="116">
        <f>SUM(C24:C25)</f>
        <v>4.0000000000000001E-3</v>
      </c>
      <c r="F23" s="115"/>
      <c r="G23" s="96"/>
      <c r="H23" s="96"/>
      <c r="I23" s="96"/>
      <c r="J23" s="93" t="s">
        <v>10</v>
      </c>
      <c r="K23" s="99">
        <f>Financials!L15</f>
        <v>2.1999999999999999E-2</v>
      </c>
      <c r="L23" s="128"/>
    </row>
    <row r="24" spans="2:12" ht="13.5" thickBot="1" x14ac:dyDescent="0.35">
      <c r="B24" s="114" t="s">
        <v>86</v>
      </c>
      <c r="C24" s="119">
        <f>Financials!L74</f>
        <v>2E-3</v>
      </c>
      <c r="D24" s="114"/>
      <c r="E24" s="115"/>
      <c r="F24" s="115"/>
      <c r="G24" s="93"/>
      <c r="H24" s="96"/>
      <c r="I24" s="96"/>
      <c r="J24" s="93"/>
      <c r="K24" s="96"/>
      <c r="L24" s="128"/>
    </row>
    <row r="25" spans="2:12" ht="13.5" thickBot="1" x14ac:dyDescent="0.35">
      <c r="B25" s="114" t="s">
        <v>87</v>
      </c>
      <c r="C25" s="120">
        <f>Financials!L75</f>
        <v>2E-3</v>
      </c>
      <c r="D25" s="114"/>
      <c r="E25" s="115"/>
      <c r="F25" s="115"/>
      <c r="G25" s="93" t="s">
        <v>69</v>
      </c>
      <c r="H25" s="99">
        <f>Financials!L19</f>
        <v>0.12825</v>
      </c>
      <c r="I25" s="96"/>
      <c r="J25" s="93" t="s">
        <v>59</v>
      </c>
      <c r="K25" s="99">
        <f>Financials!L12</f>
        <v>2.5000000000000001E-2</v>
      </c>
      <c r="L25" s="128"/>
    </row>
    <row r="26" spans="2:12" ht="13.5" thickBot="1" x14ac:dyDescent="0.35">
      <c r="B26" s="114"/>
      <c r="C26" s="122"/>
      <c r="D26" s="115"/>
      <c r="E26" s="115"/>
      <c r="F26" s="115"/>
      <c r="G26" s="93" t="s">
        <v>70</v>
      </c>
      <c r="H26" s="99">
        <f>Financials!L20</f>
        <v>-6.4125000000000001E-2</v>
      </c>
      <c r="I26" s="96"/>
      <c r="J26" s="96"/>
      <c r="K26" s="96"/>
      <c r="L26" s="128"/>
    </row>
    <row r="27" spans="2:12" ht="13.5" thickBot="1" x14ac:dyDescent="0.35">
      <c r="B27" s="114"/>
      <c r="C27" s="122"/>
      <c r="D27" s="114" t="s">
        <v>94</v>
      </c>
      <c r="E27" s="116">
        <f>SUM(C28:C30)</f>
        <v>9.9074666666666672E-2</v>
      </c>
      <c r="F27" s="115"/>
      <c r="G27" s="93"/>
      <c r="H27" s="100"/>
      <c r="I27" s="96"/>
      <c r="J27" s="96"/>
      <c r="K27" s="96"/>
      <c r="L27" s="128"/>
    </row>
    <row r="28" spans="2:12" ht="13.5" thickBot="1" x14ac:dyDescent="0.35">
      <c r="B28" s="114" t="s">
        <v>82</v>
      </c>
      <c r="C28" s="118">
        <f>Financials!L70</f>
        <v>6.6000000000000003E-2</v>
      </c>
      <c r="D28" s="114"/>
      <c r="E28" s="115" t="str">
        <f>IF((E44-E37)&lt;&gt;E35,"ERROR","")</f>
        <v/>
      </c>
      <c r="F28" s="115"/>
      <c r="G28" s="93" t="s">
        <v>67</v>
      </c>
      <c r="H28" s="99">
        <f>Financials!L22</f>
        <v>4.2750000000000003E-2</v>
      </c>
      <c r="I28" s="96"/>
      <c r="J28" s="96"/>
      <c r="K28" s="96"/>
      <c r="L28" s="128"/>
    </row>
    <row r="29" spans="2:12" ht="13.5" thickBot="1" x14ac:dyDescent="0.35">
      <c r="B29" s="114" t="s">
        <v>83</v>
      </c>
      <c r="C29" s="119">
        <f>Financials!L71</f>
        <v>2.8074666666666664E-2</v>
      </c>
      <c r="D29" s="114"/>
      <c r="E29" s="115"/>
      <c r="F29" s="115"/>
      <c r="G29" s="93" t="s">
        <v>68</v>
      </c>
      <c r="H29" s="99">
        <f>Financials!L23</f>
        <v>-2.1375000000000002E-2</v>
      </c>
      <c r="I29" s="96"/>
      <c r="J29" s="96"/>
      <c r="K29" s="96"/>
      <c r="L29" s="128"/>
    </row>
    <row r="30" spans="2:12" ht="13.5" thickBot="1" x14ac:dyDescent="0.35">
      <c r="B30" s="114" t="s">
        <v>84</v>
      </c>
      <c r="C30" s="120">
        <f>Financials!L72</f>
        <v>5.0000000000000001E-3</v>
      </c>
      <c r="D30" s="115"/>
      <c r="E30" s="115"/>
      <c r="F30" s="115"/>
      <c r="G30" s="93"/>
      <c r="H30" s="100"/>
      <c r="I30" s="96"/>
      <c r="J30" s="96"/>
      <c r="K30" s="96"/>
      <c r="L30" s="128"/>
    </row>
    <row r="31" spans="2:12" ht="13" thickBot="1" x14ac:dyDescent="0.3">
      <c r="B31" s="114"/>
      <c r="C31" s="115"/>
      <c r="D31" s="115"/>
      <c r="E31" s="115"/>
      <c r="F31" s="123"/>
      <c r="G31" s="96"/>
      <c r="H31" s="96"/>
      <c r="I31" s="96"/>
      <c r="J31" s="96"/>
      <c r="K31" s="96"/>
      <c r="L31" s="128"/>
    </row>
    <row r="32" spans="2:12" ht="13.5" thickBot="1" x14ac:dyDescent="0.35">
      <c r="B32" s="114"/>
      <c r="C32" s="115"/>
      <c r="D32" s="114" t="s">
        <v>95</v>
      </c>
      <c r="E32" s="116">
        <f>SUM(C33:C37)</f>
        <v>0.11190666666666668</v>
      </c>
      <c r="F32" s="123"/>
      <c r="G32" s="96"/>
      <c r="H32" s="96"/>
      <c r="I32" s="96"/>
      <c r="J32" s="96"/>
      <c r="K32" s="96"/>
      <c r="L32" s="128"/>
    </row>
    <row r="33" spans="2:12" ht="13.5" thickBot="1" x14ac:dyDescent="0.35">
      <c r="B33" s="114" t="s">
        <v>75</v>
      </c>
      <c r="C33" s="118">
        <f>Financials!L60</f>
        <v>0.10223074074074075</v>
      </c>
      <c r="D33" s="114"/>
      <c r="E33" s="115"/>
      <c r="F33" s="115"/>
      <c r="G33" s="96"/>
      <c r="H33" s="96"/>
      <c r="I33" s="96"/>
      <c r="J33" s="96"/>
      <c r="K33" s="96"/>
      <c r="L33" s="128"/>
    </row>
    <row r="34" spans="2:12" ht="13.5" thickBot="1" x14ac:dyDescent="0.35">
      <c r="B34" s="124" t="s">
        <v>175</v>
      </c>
      <c r="C34" s="118">
        <f>Financials!L61</f>
        <v>8.9814814814814813E-4</v>
      </c>
      <c r="D34" s="114"/>
      <c r="E34" s="121"/>
      <c r="F34" s="115"/>
      <c r="G34" s="96"/>
      <c r="H34" s="95"/>
      <c r="I34" s="96"/>
      <c r="J34" s="96"/>
      <c r="K34" s="96"/>
      <c r="L34" s="128"/>
    </row>
    <row r="35" spans="2:12" ht="13.5" thickBot="1" x14ac:dyDescent="0.35">
      <c r="B35" s="114" t="s">
        <v>76</v>
      </c>
      <c r="C35" s="119">
        <f>Financials!L63</f>
        <v>3.0000000000000001E-3</v>
      </c>
      <c r="D35" s="114" t="s">
        <v>8</v>
      </c>
      <c r="E35" s="116">
        <f>E44-E37</f>
        <v>0.25100800000000001</v>
      </c>
      <c r="F35" s="115"/>
      <c r="G35" s="96"/>
      <c r="H35" s="96"/>
      <c r="I35" s="96"/>
      <c r="J35" s="96"/>
      <c r="K35" s="96"/>
      <c r="L35" s="128"/>
    </row>
    <row r="36" spans="2:12" ht="13.5" thickBot="1" x14ac:dyDescent="0.35">
      <c r="B36" s="114" t="s">
        <v>77</v>
      </c>
      <c r="C36" s="120">
        <f>Financials!L64</f>
        <v>3.0000000000000001E-3</v>
      </c>
      <c r="D36" s="114"/>
      <c r="E36" s="117"/>
      <c r="F36" s="115"/>
      <c r="G36" s="96"/>
      <c r="H36" s="96"/>
      <c r="I36" s="96"/>
      <c r="J36" s="96"/>
      <c r="K36" s="96"/>
      <c r="L36" s="128"/>
    </row>
    <row r="37" spans="2:12" ht="13.5" thickBot="1" x14ac:dyDescent="0.35">
      <c r="B37" s="114" t="s">
        <v>174</v>
      </c>
      <c r="C37" s="119">
        <f>SUM(Financials!L65:L68)</f>
        <v>2.7777777777777775E-3</v>
      </c>
      <c r="D37" s="114" t="s">
        <v>39</v>
      </c>
      <c r="E37" s="116">
        <f>SUM(C39:C40)</f>
        <v>0.74899199999999999</v>
      </c>
      <c r="F37" s="115"/>
      <c r="G37" s="96"/>
      <c r="H37" s="96"/>
      <c r="I37" s="96"/>
      <c r="J37" s="96"/>
      <c r="K37" s="96"/>
      <c r="L37" s="128"/>
    </row>
    <row r="38" spans="2:12" ht="13" thickBot="1" x14ac:dyDescent="0.3">
      <c r="B38" s="115"/>
      <c r="C38" s="115"/>
      <c r="D38" s="114"/>
      <c r="E38" s="115"/>
      <c r="F38" s="115"/>
      <c r="G38" s="96"/>
      <c r="H38" s="96"/>
      <c r="I38" s="96"/>
      <c r="J38" s="96"/>
      <c r="K38" s="96"/>
      <c r="L38" s="128"/>
    </row>
    <row r="39" spans="2:12" ht="13.5" thickBot="1" x14ac:dyDescent="0.35">
      <c r="B39" s="114" t="s">
        <v>72</v>
      </c>
      <c r="C39" s="119">
        <f>Financials!L55</f>
        <v>0.73695999999999995</v>
      </c>
      <c r="D39" s="114"/>
      <c r="E39" s="115"/>
      <c r="F39" s="115"/>
      <c r="G39" s="96"/>
      <c r="H39" s="96"/>
      <c r="I39" s="96"/>
      <c r="J39" s="96"/>
      <c r="K39" s="96"/>
      <c r="L39" s="128"/>
    </row>
    <row r="40" spans="2:12" ht="13.5" thickBot="1" x14ac:dyDescent="0.35">
      <c r="B40" s="114" t="s">
        <v>71</v>
      </c>
      <c r="C40" s="120">
        <f>Financials!L56</f>
        <v>1.2031999999999999E-2</v>
      </c>
      <c r="D40" s="115"/>
      <c r="E40" s="115"/>
      <c r="F40" s="115"/>
      <c r="G40" s="96"/>
      <c r="H40" s="96"/>
      <c r="I40" s="96"/>
      <c r="J40" s="96"/>
      <c r="K40" s="96"/>
      <c r="L40" s="128"/>
    </row>
    <row r="41" spans="2:12" ht="13.5" thickBot="1" x14ac:dyDescent="0.35">
      <c r="B41" s="114"/>
      <c r="C41" s="115"/>
      <c r="D41" s="114" t="s">
        <v>96</v>
      </c>
      <c r="E41" s="116">
        <f>Financials!L51</f>
        <v>1.03</v>
      </c>
      <c r="F41" s="115"/>
      <c r="G41" s="96"/>
      <c r="H41" s="96"/>
      <c r="I41" s="96"/>
      <c r="J41" s="96"/>
      <c r="K41" s="96"/>
      <c r="L41" s="128"/>
    </row>
    <row r="42" spans="2:12" ht="13.5" thickBot="1" x14ac:dyDescent="0.35">
      <c r="B42" s="114"/>
      <c r="C42" s="115"/>
      <c r="D42" s="114" t="s">
        <v>101</v>
      </c>
      <c r="E42" s="116">
        <f>Financials!L52</f>
        <v>0.03</v>
      </c>
      <c r="F42" s="115"/>
      <c r="G42" s="96"/>
      <c r="H42" s="96"/>
      <c r="I42" s="96"/>
      <c r="J42" s="96"/>
      <c r="K42" s="96"/>
      <c r="L42" s="128"/>
    </row>
    <row r="43" spans="2:12" ht="13.5" thickBot="1" x14ac:dyDescent="0.35">
      <c r="B43" s="115"/>
      <c r="C43" s="115"/>
      <c r="D43" s="114" t="s">
        <v>177</v>
      </c>
      <c r="E43" s="125">
        <f>Financials!K53</f>
        <v>2700</v>
      </c>
      <c r="F43" s="115"/>
      <c r="G43" s="96"/>
      <c r="H43" s="96"/>
      <c r="I43" s="96"/>
      <c r="J43" s="96"/>
      <c r="K43" s="96"/>
      <c r="L43" s="128"/>
    </row>
    <row r="44" spans="2:12" ht="13.5" thickBot="1" x14ac:dyDescent="0.35">
      <c r="B44" s="115"/>
      <c r="C44" s="115"/>
      <c r="D44" s="114"/>
      <c r="E44" s="116">
        <f>Financials!L53</f>
        <v>1</v>
      </c>
      <c r="F44" s="115"/>
      <c r="G44" s="96"/>
      <c r="H44" s="96"/>
      <c r="I44" s="96"/>
      <c r="J44" s="96"/>
      <c r="K44" s="96"/>
      <c r="L44" s="128"/>
    </row>
    <row r="45" spans="2:12" x14ac:dyDescent="0.25">
      <c r="B45" s="115"/>
      <c r="C45" s="115"/>
      <c r="D45" s="115"/>
      <c r="E45" s="115"/>
      <c r="F45" s="115"/>
      <c r="G45" s="96"/>
      <c r="H45" s="96"/>
      <c r="I45" s="96"/>
      <c r="J45" s="96"/>
      <c r="K45" s="96"/>
      <c r="L45" s="128"/>
    </row>
    <row r="46" spans="2:12" x14ac:dyDescent="0.25">
      <c r="B46" s="115"/>
      <c r="C46" s="115"/>
      <c r="D46" s="115"/>
      <c r="E46" s="115"/>
      <c r="F46" s="115"/>
      <c r="G46" s="96"/>
      <c r="H46" s="96"/>
      <c r="I46" s="96"/>
      <c r="J46" s="96"/>
      <c r="K46" s="96"/>
      <c r="L46" s="128"/>
    </row>
    <row r="47" spans="2:12" ht="25" x14ac:dyDescent="0.5">
      <c r="B47" s="127" t="s">
        <v>33</v>
      </c>
      <c r="C47" s="126"/>
      <c r="D47" s="126"/>
      <c r="E47" s="126"/>
      <c r="F47" s="126"/>
      <c r="G47" s="103" t="s">
        <v>9</v>
      </c>
      <c r="H47" s="102"/>
      <c r="I47" s="102"/>
      <c r="J47" s="102"/>
      <c r="K47" s="102"/>
      <c r="L47" s="128"/>
    </row>
  </sheetData>
  <phoneticPr fontId="0" type="noConversion"/>
  <pageMargins left="0.5" right="0.5" top="0.5" bottom="0.5" header="0.5" footer="0.5"/>
  <pageSetup scale="76" orientation="landscape" r:id="rId1"/>
  <headerFooter alignWithMargins="0">
    <oddFooter>&amp;LSCMRG/The Ohio State University, 2002</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7"/>
  <sheetViews>
    <sheetView zoomScale="85" workbookViewId="0">
      <selection activeCell="B27" sqref="B27"/>
    </sheetView>
  </sheetViews>
  <sheetFormatPr defaultRowHeight="12.5" x14ac:dyDescent="0.25"/>
  <cols>
    <col min="1" max="1" width="4.54296875" customWidth="1"/>
    <col min="2" max="2" width="24.1796875" customWidth="1"/>
    <col min="3" max="3" width="7.453125" customWidth="1"/>
    <col min="4" max="4" width="26.7265625" customWidth="1"/>
    <col min="6" max="6" width="11.1796875" customWidth="1"/>
    <col min="7" max="7" width="23.1796875" customWidth="1"/>
    <col min="8" max="8" width="10.7265625" customWidth="1"/>
    <col min="9" max="9" width="7.81640625" customWidth="1"/>
    <col min="10" max="10" width="18.7265625" customWidth="1"/>
  </cols>
  <sheetData>
    <row r="1" spans="1:12" ht="25.5" thickBot="1" x14ac:dyDescent="0.55000000000000004">
      <c r="A1" s="1" t="s">
        <v>183</v>
      </c>
    </row>
    <row r="2" spans="1:12" ht="20.25" customHeight="1" thickBot="1" x14ac:dyDescent="0.55000000000000004">
      <c r="A2" s="1"/>
      <c r="F2" s="19" t="s">
        <v>111</v>
      </c>
      <c r="G2" s="20">
        <f>E14*H8*K9</f>
        <v>0.33020736000000012</v>
      </c>
    </row>
    <row r="3" spans="1:12" ht="18" customHeight="1" thickBot="1" x14ac:dyDescent="0.4">
      <c r="F3" s="19" t="s">
        <v>112</v>
      </c>
      <c r="G3" s="20">
        <f>G6*K9</f>
        <v>0.18997641600000006</v>
      </c>
      <c r="H3" s="6" t="str">
        <f>IF(G3&lt;&gt;Financials!N87/Financials!N46,"ERROR","")</f>
        <v/>
      </c>
      <c r="I3" s="6"/>
    </row>
    <row r="4" spans="1:12" ht="15" customHeight="1" x14ac:dyDescent="0.35">
      <c r="F4" s="19"/>
      <c r="G4" s="92"/>
      <c r="I4" s="6"/>
    </row>
    <row r="5" spans="1:12" ht="13" thickBot="1" x14ac:dyDescent="0.3">
      <c r="I5" s="6"/>
    </row>
    <row r="6" spans="1:12" ht="16.5" customHeight="1" thickBot="1" x14ac:dyDescent="0.35">
      <c r="B6" s="3"/>
      <c r="F6" s="2" t="s">
        <v>1</v>
      </c>
      <c r="G6" s="17">
        <f>E9*H8</f>
        <v>0.10018267995570325</v>
      </c>
      <c r="H6" s="6" t="str">
        <f>IF(G6&lt;&gt;(Financials!N87/Financials!N28),"ERROR","")</f>
        <v/>
      </c>
    </row>
    <row r="7" spans="1:12" ht="13" thickBot="1" x14ac:dyDescent="0.3">
      <c r="L7" s="72"/>
    </row>
    <row r="8" spans="1:12" ht="13.5" thickBot="1" x14ac:dyDescent="0.35">
      <c r="E8" s="5"/>
      <c r="G8" s="2" t="s">
        <v>4</v>
      </c>
      <c r="H8" s="18">
        <f>E43/H13</f>
        <v>2.9900332225913622</v>
      </c>
      <c r="L8" s="72"/>
    </row>
    <row r="9" spans="1:12" ht="13.5" thickBot="1" x14ac:dyDescent="0.35">
      <c r="B9" s="114"/>
      <c r="C9" s="114"/>
      <c r="D9" s="106" t="s">
        <v>3</v>
      </c>
      <c r="E9" s="104">
        <f>Financials!O87</f>
        <v>3.3505540740740754E-2</v>
      </c>
      <c r="F9" s="106"/>
      <c r="G9" s="128"/>
      <c r="H9" s="128"/>
      <c r="I9" s="129" t="str">
        <f>IF((E43/H13)&lt;&gt;H8,"ERROR","")</f>
        <v/>
      </c>
      <c r="J9" s="101" t="s">
        <v>0</v>
      </c>
      <c r="K9" s="16">
        <f>H13/K11</f>
        <v>1.8962999999999999</v>
      </c>
      <c r="L9" s="128"/>
    </row>
    <row r="10" spans="1:12" ht="13" thickBot="1" x14ac:dyDescent="0.3">
      <c r="B10" s="114"/>
      <c r="C10" s="114"/>
      <c r="D10" s="107"/>
      <c r="E10" s="108" t="str">
        <f>IF(E14-E11&lt;&gt;E9,"ERROR","")</f>
        <v/>
      </c>
      <c r="F10" s="109"/>
      <c r="G10" s="130"/>
      <c r="H10" s="128"/>
      <c r="I10" s="128"/>
      <c r="J10" s="93"/>
      <c r="K10" s="93"/>
      <c r="L10" s="128"/>
    </row>
    <row r="11" spans="1:12" ht="13.5" thickBot="1" x14ac:dyDescent="0.35">
      <c r="B11" s="114"/>
      <c r="C11" s="114"/>
      <c r="D11" s="107" t="s">
        <v>48</v>
      </c>
      <c r="E11" s="110">
        <f>SUM(Financials!O84:O86)</f>
        <v>2.4732088888888896E-2</v>
      </c>
      <c r="F11" s="105"/>
      <c r="G11" s="130"/>
      <c r="H11" s="128"/>
      <c r="I11" s="128"/>
      <c r="J11" s="93" t="s">
        <v>5</v>
      </c>
      <c r="K11" s="98">
        <f>Financials!N46</f>
        <v>476.1904761904762</v>
      </c>
      <c r="L11" s="128"/>
    </row>
    <row r="12" spans="1:12" ht="13.5" thickBot="1" x14ac:dyDescent="0.35">
      <c r="A12" s="4"/>
      <c r="B12" s="114"/>
      <c r="C12" s="114"/>
      <c r="D12" s="107"/>
      <c r="E12" s="111"/>
      <c r="F12" s="105"/>
      <c r="G12" s="130"/>
      <c r="H12" s="128"/>
      <c r="I12" s="128"/>
      <c r="J12" s="96"/>
      <c r="K12" s="96"/>
      <c r="L12" s="128"/>
    </row>
    <row r="13" spans="1:12" ht="13.5" thickBot="1" x14ac:dyDescent="0.35">
      <c r="B13" s="114"/>
      <c r="C13" s="143"/>
      <c r="D13" s="137"/>
      <c r="E13" s="113" t="str">
        <f>IF(ABS(E44-E37-E32-E27-E23-E18-E16-E14)&gt;0.0001,"ERROR","")</f>
        <v/>
      </c>
      <c r="F13" s="105"/>
      <c r="G13" s="93" t="s">
        <v>176</v>
      </c>
      <c r="H13" s="98">
        <f>Financials!N28</f>
        <v>903</v>
      </c>
      <c r="I13" s="95"/>
      <c r="J13" s="95"/>
      <c r="K13" s="96"/>
      <c r="L13" s="128"/>
    </row>
    <row r="14" spans="1:12" ht="13.5" thickBot="1" x14ac:dyDescent="0.35">
      <c r="B14" s="114"/>
      <c r="C14" s="114"/>
      <c r="D14" s="107" t="s">
        <v>6</v>
      </c>
      <c r="E14" s="110">
        <f>Financials!O82</f>
        <v>5.8237629629629653E-2</v>
      </c>
      <c r="F14" s="109"/>
      <c r="G14" s="97"/>
      <c r="H14" s="94">
        <f>Financials!O28</f>
        <v>1</v>
      </c>
      <c r="I14" s="95"/>
      <c r="J14" s="96"/>
      <c r="K14" s="96"/>
      <c r="L14" s="128"/>
    </row>
    <row r="15" spans="1:12" ht="13" thickBot="1" x14ac:dyDescent="0.3">
      <c r="B15" s="114"/>
      <c r="C15" s="114"/>
      <c r="D15" s="107"/>
      <c r="E15" s="112"/>
      <c r="F15" s="109"/>
      <c r="G15" s="96"/>
      <c r="H15" s="133" t="str">
        <f>IF(H14&lt;&gt;(H17+K17),"ERROR","")</f>
        <v/>
      </c>
      <c r="I15" s="96"/>
      <c r="J15" s="96"/>
      <c r="K15" s="96"/>
      <c r="L15" s="128"/>
    </row>
    <row r="16" spans="1:12" ht="13.5" thickBot="1" x14ac:dyDescent="0.35">
      <c r="B16" s="114"/>
      <c r="C16" s="114"/>
      <c r="D16" s="107" t="s">
        <v>81</v>
      </c>
      <c r="E16" s="110">
        <f>Financials!O81</f>
        <v>-6.0000000000000001E-3</v>
      </c>
      <c r="F16" s="105"/>
      <c r="G16" s="93"/>
      <c r="H16" s="96"/>
      <c r="I16" s="96"/>
      <c r="J16" s="96"/>
      <c r="K16" s="96"/>
      <c r="L16" s="128"/>
    </row>
    <row r="17" spans="2:12" ht="13.5" thickBot="1" x14ac:dyDescent="0.35">
      <c r="B17" s="114"/>
      <c r="C17" s="114"/>
      <c r="D17" s="107"/>
      <c r="E17" s="105"/>
      <c r="F17" s="105"/>
      <c r="G17" s="93" t="s">
        <v>64</v>
      </c>
      <c r="H17" s="99">
        <f>Financials!O27</f>
        <v>0.12624584717607973</v>
      </c>
      <c r="I17" s="96"/>
      <c r="J17" s="93" t="s">
        <v>58</v>
      </c>
      <c r="K17" s="99">
        <f>Financials!O16</f>
        <v>0.87375415282392022</v>
      </c>
      <c r="L17" s="129"/>
    </row>
    <row r="18" spans="2:12" ht="13.5" thickBot="1" x14ac:dyDescent="0.35">
      <c r="B18" s="114"/>
      <c r="C18" s="115"/>
      <c r="D18" s="114" t="s">
        <v>80</v>
      </c>
      <c r="E18" s="116">
        <f>SUM(C19:C21)</f>
        <v>6.6E-3</v>
      </c>
      <c r="F18" s="117"/>
      <c r="G18" s="93"/>
      <c r="H18" s="96"/>
      <c r="I18" s="96"/>
      <c r="J18" s="93"/>
      <c r="K18" s="133" t="str">
        <f>IF(K17&lt;&gt;(K19+K21+K23+K25),"ERROR","")</f>
        <v/>
      </c>
      <c r="L18" s="128"/>
    </row>
    <row r="19" spans="2:12" ht="13.5" thickBot="1" x14ac:dyDescent="0.35">
      <c r="B19" s="114" t="s">
        <v>91</v>
      </c>
      <c r="C19" s="118">
        <f>Financials!O78</f>
        <v>2E-3</v>
      </c>
      <c r="D19" s="114"/>
      <c r="E19" s="115"/>
      <c r="F19" s="115"/>
      <c r="G19" s="93" t="s">
        <v>26</v>
      </c>
      <c r="H19" s="99">
        <f>Financials!O26</f>
        <v>3.1561461794019932E-2</v>
      </c>
      <c r="I19" s="96"/>
      <c r="J19" s="93" t="s">
        <v>7</v>
      </c>
      <c r="K19" s="99">
        <f>Financials!O14</f>
        <v>0.42967884828349945</v>
      </c>
      <c r="L19" s="128"/>
    </row>
    <row r="20" spans="2:12" ht="13.5" thickBot="1" x14ac:dyDescent="0.35">
      <c r="B20" s="114" t="s">
        <v>92</v>
      </c>
      <c r="C20" s="119">
        <f>Financials!O79</f>
        <v>3.0000000000000001E-3</v>
      </c>
      <c r="D20" s="114"/>
      <c r="E20" s="115"/>
      <c r="F20" s="115"/>
      <c r="G20" s="93"/>
      <c r="H20" s="96"/>
      <c r="I20" s="96"/>
      <c r="J20" s="96"/>
      <c r="K20" s="96"/>
      <c r="L20" s="128"/>
    </row>
    <row r="21" spans="2:12" ht="13.5" thickBot="1" x14ac:dyDescent="0.35">
      <c r="B21" s="114" t="s">
        <v>93</v>
      </c>
      <c r="C21" s="120">
        <f>Financials!O80</f>
        <v>1.6000000000000001E-3</v>
      </c>
      <c r="D21" s="114"/>
      <c r="E21" s="121"/>
      <c r="F21" s="115"/>
      <c r="G21" s="93" t="s">
        <v>66</v>
      </c>
      <c r="H21" s="99">
        <f>Financials!O25</f>
        <v>9.4684385382059796E-2</v>
      </c>
      <c r="I21" s="96"/>
      <c r="J21" s="93" t="s">
        <v>23</v>
      </c>
      <c r="K21" s="99">
        <f>Financials!O13</f>
        <v>0.39202657807308972</v>
      </c>
      <c r="L21" s="128"/>
    </row>
    <row r="22" spans="2:12" ht="13.5" thickBot="1" x14ac:dyDescent="0.35">
      <c r="B22" s="114"/>
      <c r="C22" s="122"/>
      <c r="D22" s="115"/>
      <c r="E22" s="115"/>
      <c r="F22" s="115"/>
      <c r="G22" s="93"/>
      <c r="H22" s="133" t="str">
        <f>IF(H21&lt;&gt;(H25+H26+H28+H29),"ERROR","")</f>
        <v/>
      </c>
      <c r="I22" s="96"/>
      <c r="J22" s="93"/>
      <c r="K22" s="96"/>
      <c r="L22" s="128"/>
    </row>
    <row r="23" spans="2:12" ht="13.5" thickBot="1" x14ac:dyDescent="0.35">
      <c r="B23" s="114"/>
      <c r="C23" s="122"/>
      <c r="D23" s="114" t="s">
        <v>78</v>
      </c>
      <c r="E23" s="116">
        <f>SUM(C24:C25)</f>
        <v>4.0000000000000001E-3</v>
      </c>
      <c r="F23" s="115"/>
      <c r="G23" s="96"/>
      <c r="H23" s="96"/>
      <c r="I23" s="96"/>
      <c r="J23" s="93" t="s">
        <v>10</v>
      </c>
      <c r="K23" s="99">
        <f>Financials!O15</f>
        <v>2.4363233665559248E-2</v>
      </c>
      <c r="L23" s="128"/>
    </row>
    <row r="24" spans="2:12" ht="13.5" thickBot="1" x14ac:dyDescent="0.35">
      <c r="B24" s="114" t="s">
        <v>86</v>
      </c>
      <c r="C24" s="119">
        <f>Financials!O74</f>
        <v>2E-3</v>
      </c>
      <c r="D24" s="114"/>
      <c r="E24" s="115"/>
      <c r="F24" s="115"/>
      <c r="G24" s="93"/>
      <c r="H24" s="96"/>
      <c r="I24" s="96"/>
      <c r="J24" s="93"/>
      <c r="K24" s="96"/>
      <c r="L24" s="128"/>
    </row>
    <row r="25" spans="2:12" ht="13.5" thickBot="1" x14ac:dyDescent="0.35">
      <c r="B25" s="114" t="s">
        <v>87</v>
      </c>
      <c r="C25" s="120">
        <f>Financials!O75</f>
        <v>2E-3</v>
      </c>
      <c r="D25" s="114"/>
      <c r="E25" s="115"/>
      <c r="F25" s="115"/>
      <c r="G25" s="93" t="s">
        <v>69</v>
      </c>
      <c r="H25" s="99">
        <f>Financials!O19</f>
        <v>0.14202657807308969</v>
      </c>
      <c r="I25" s="96"/>
      <c r="J25" s="93" t="s">
        <v>59</v>
      </c>
      <c r="K25" s="99">
        <f>Financials!O12</f>
        <v>2.768549280177187E-2</v>
      </c>
      <c r="L25" s="128"/>
    </row>
    <row r="26" spans="2:12" ht="13.5" thickBot="1" x14ac:dyDescent="0.35">
      <c r="B26" s="114"/>
      <c r="C26" s="122"/>
      <c r="D26" s="115"/>
      <c r="E26" s="115"/>
      <c r="F26" s="115"/>
      <c r="G26" s="93" t="s">
        <v>70</v>
      </c>
      <c r="H26" s="99">
        <f>Financials!O20</f>
        <v>-7.1013289036544844E-2</v>
      </c>
      <c r="I26" s="96"/>
      <c r="J26" s="96"/>
      <c r="K26" s="96"/>
      <c r="L26" s="128"/>
    </row>
    <row r="27" spans="2:12" ht="13.5" thickBot="1" x14ac:dyDescent="0.35">
      <c r="B27" s="114"/>
      <c r="C27" s="122"/>
      <c r="D27" s="114" t="s">
        <v>94</v>
      </c>
      <c r="E27" s="116">
        <f>SUM(C28:C30)</f>
        <v>9.8074666666666671E-2</v>
      </c>
      <c r="F27" s="115"/>
      <c r="G27" s="93"/>
      <c r="H27" s="100"/>
      <c r="I27" s="96"/>
      <c r="J27" s="96"/>
      <c r="K27" s="96"/>
      <c r="L27" s="128"/>
    </row>
    <row r="28" spans="2:12" ht="13.5" thickBot="1" x14ac:dyDescent="0.35">
      <c r="B28" s="114" t="s">
        <v>82</v>
      </c>
      <c r="C28" s="118">
        <f>Financials!O70</f>
        <v>6.6000000000000003E-2</v>
      </c>
      <c r="D28" s="114"/>
      <c r="E28" s="115" t="str">
        <f>IF((E44-E37)&lt;&gt;E35,"ERROR","")</f>
        <v/>
      </c>
      <c r="F28" s="115"/>
      <c r="G28" s="93" t="s">
        <v>67</v>
      </c>
      <c r="H28" s="99">
        <f>Financials!O22</f>
        <v>4.7342192691029898E-2</v>
      </c>
      <c r="I28" s="96"/>
      <c r="J28" s="96"/>
      <c r="K28" s="96"/>
      <c r="L28" s="128"/>
    </row>
    <row r="29" spans="2:12" ht="13.5" thickBot="1" x14ac:dyDescent="0.35">
      <c r="B29" s="114" t="s">
        <v>83</v>
      </c>
      <c r="C29" s="119">
        <f>Financials!O71</f>
        <v>2.8074666666666664E-2</v>
      </c>
      <c r="D29" s="114"/>
      <c r="E29" s="115"/>
      <c r="F29" s="115"/>
      <c r="G29" s="93" t="s">
        <v>68</v>
      </c>
      <c r="H29" s="99">
        <f>Financials!O23</f>
        <v>-2.3671096345514949E-2</v>
      </c>
      <c r="I29" s="96"/>
      <c r="J29" s="96"/>
      <c r="K29" s="96"/>
      <c r="L29" s="128"/>
    </row>
    <row r="30" spans="2:12" ht="13.5" thickBot="1" x14ac:dyDescent="0.35">
      <c r="B30" s="114" t="s">
        <v>84</v>
      </c>
      <c r="C30" s="120">
        <f>Financials!O72</f>
        <v>4.0000000000000001E-3</v>
      </c>
      <c r="D30" s="115"/>
      <c r="E30" s="115"/>
      <c r="F30" s="115"/>
      <c r="G30" s="93"/>
      <c r="H30" s="100"/>
      <c r="I30" s="96"/>
      <c r="J30" s="96"/>
      <c r="K30" s="96"/>
      <c r="L30" s="128"/>
    </row>
    <row r="31" spans="2:12" ht="13" thickBot="1" x14ac:dyDescent="0.3">
      <c r="B31" s="114"/>
      <c r="C31" s="115"/>
      <c r="D31" s="115"/>
      <c r="E31" s="115"/>
      <c r="F31" s="123"/>
      <c r="G31" s="96"/>
      <c r="H31" s="96"/>
      <c r="I31" s="96"/>
      <c r="J31" s="96"/>
      <c r="K31" s="96"/>
      <c r="L31" s="128"/>
    </row>
    <row r="32" spans="2:12" ht="13.5" thickBot="1" x14ac:dyDescent="0.35">
      <c r="B32" s="114"/>
      <c r="C32" s="115"/>
      <c r="D32" s="114" t="s">
        <v>95</v>
      </c>
      <c r="E32" s="116">
        <f>SUM(C33:C37)</f>
        <v>9.009570370370372E-2</v>
      </c>
      <c r="F32" s="123"/>
      <c r="G32" s="96"/>
      <c r="H32" s="96"/>
      <c r="I32" s="96"/>
      <c r="J32" s="96"/>
      <c r="K32" s="96"/>
      <c r="L32" s="128"/>
    </row>
    <row r="33" spans="2:12" ht="13.5" thickBot="1" x14ac:dyDescent="0.35">
      <c r="B33" s="114" t="s">
        <v>75</v>
      </c>
      <c r="C33" s="118">
        <f>Financials!O60</f>
        <v>8.1784592592592603E-2</v>
      </c>
      <c r="D33" s="114"/>
      <c r="E33" s="115"/>
      <c r="F33" s="115"/>
      <c r="G33" s="96"/>
      <c r="H33" s="96"/>
      <c r="I33" s="96"/>
      <c r="J33" s="96"/>
      <c r="K33" s="96"/>
      <c r="L33" s="128"/>
    </row>
    <row r="34" spans="2:12" ht="13.5" thickBot="1" x14ac:dyDescent="0.35">
      <c r="B34" s="124" t="s">
        <v>175</v>
      </c>
      <c r="C34" s="118">
        <f>Financials!O61</f>
        <v>7.185185185185184E-4</v>
      </c>
      <c r="D34" s="114"/>
      <c r="E34" s="121"/>
      <c r="F34" s="115"/>
      <c r="G34" s="96"/>
      <c r="H34" s="95"/>
      <c r="I34" s="96"/>
      <c r="J34" s="96"/>
      <c r="K34" s="96"/>
      <c r="L34" s="128"/>
    </row>
    <row r="35" spans="2:12" ht="13.5" thickBot="1" x14ac:dyDescent="0.35">
      <c r="B35" s="114" t="s">
        <v>76</v>
      </c>
      <c r="C35" s="119">
        <f>Financials!O63</f>
        <v>2.9703703703703702E-3</v>
      </c>
      <c r="D35" s="114" t="s">
        <v>8</v>
      </c>
      <c r="E35" s="116">
        <f>E44-E37</f>
        <v>0.25100800000000001</v>
      </c>
      <c r="F35" s="115"/>
      <c r="G35" s="96"/>
      <c r="H35" s="96"/>
      <c r="I35" s="96"/>
      <c r="J35" s="96"/>
      <c r="K35" s="96"/>
      <c r="L35" s="128"/>
    </row>
    <row r="36" spans="2:12" ht="13.5" thickBot="1" x14ac:dyDescent="0.35">
      <c r="B36" s="114" t="s">
        <v>77</v>
      </c>
      <c r="C36" s="120">
        <f>Financials!O64</f>
        <v>2.3999999999999998E-3</v>
      </c>
      <c r="D36" s="114"/>
      <c r="E36" s="117"/>
      <c r="F36" s="115"/>
      <c r="G36" s="96"/>
      <c r="H36" s="96"/>
      <c r="I36" s="96"/>
      <c r="J36" s="96"/>
      <c r="K36" s="96"/>
      <c r="L36" s="128"/>
    </row>
    <row r="37" spans="2:12" ht="13.5" thickBot="1" x14ac:dyDescent="0.35">
      <c r="B37" s="114" t="s">
        <v>174</v>
      </c>
      <c r="C37" s="119">
        <f>SUM(Financials!O65:O68)</f>
        <v>2.2222222222222222E-3</v>
      </c>
      <c r="D37" s="114" t="s">
        <v>39</v>
      </c>
      <c r="E37" s="116">
        <f>SUM(C39:C40)</f>
        <v>0.74899199999999999</v>
      </c>
      <c r="F37" s="115"/>
      <c r="G37" s="96"/>
      <c r="H37" s="96"/>
      <c r="I37" s="96"/>
      <c r="J37" s="96"/>
      <c r="K37" s="96"/>
      <c r="L37" s="128"/>
    </row>
    <row r="38" spans="2:12" ht="13" thickBot="1" x14ac:dyDescent="0.3">
      <c r="B38" s="115"/>
      <c r="C38" s="115"/>
      <c r="D38" s="114"/>
      <c r="E38" s="115"/>
      <c r="F38" s="115"/>
      <c r="G38" s="96"/>
      <c r="H38" s="96"/>
      <c r="I38" s="96"/>
      <c r="J38" s="96"/>
      <c r="K38" s="96"/>
      <c r="L38" s="128"/>
    </row>
    <row r="39" spans="2:12" ht="13.5" thickBot="1" x14ac:dyDescent="0.35">
      <c r="B39" s="114" t="s">
        <v>72</v>
      </c>
      <c r="C39" s="119">
        <f>Financials!O55</f>
        <v>0.73695999999999995</v>
      </c>
      <c r="D39" s="114"/>
      <c r="E39" s="115"/>
      <c r="F39" s="115"/>
      <c r="G39" s="96"/>
      <c r="H39" s="96"/>
      <c r="I39" s="96"/>
      <c r="J39" s="96"/>
      <c r="K39" s="96"/>
      <c r="L39" s="128"/>
    </row>
    <row r="40" spans="2:12" ht="13.5" thickBot="1" x14ac:dyDescent="0.35">
      <c r="B40" s="114" t="s">
        <v>71</v>
      </c>
      <c r="C40" s="120">
        <f>Financials!O56</f>
        <v>1.2031999999999999E-2</v>
      </c>
      <c r="D40" s="115"/>
      <c r="E40" s="115"/>
      <c r="F40" s="115"/>
      <c r="G40" s="96"/>
      <c r="H40" s="96"/>
      <c r="I40" s="96"/>
      <c r="J40" s="96"/>
      <c r="K40" s="96"/>
      <c r="L40" s="128"/>
    </row>
    <row r="41" spans="2:12" ht="13.5" thickBot="1" x14ac:dyDescent="0.35">
      <c r="B41" s="114"/>
      <c r="C41" s="115"/>
      <c r="D41" s="114" t="s">
        <v>96</v>
      </c>
      <c r="E41" s="116">
        <f>Financials!O51</f>
        <v>1.03</v>
      </c>
      <c r="F41" s="115"/>
      <c r="G41" s="96"/>
      <c r="H41" s="96"/>
      <c r="I41" s="96"/>
      <c r="J41" s="96"/>
      <c r="K41" s="96"/>
      <c r="L41" s="128"/>
    </row>
    <row r="42" spans="2:12" ht="13.5" thickBot="1" x14ac:dyDescent="0.35">
      <c r="B42" s="114"/>
      <c r="C42" s="115"/>
      <c r="D42" s="114" t="s">
        <v>101</v>
      </c>
      <c r="E42" s="116">
        <f>Financials!O52</f>
        <v>0.03</v>
      </c>
      <c r="F42" s="115"/>
      <c r="G42" s="96"/>
      <c r="H42" s="96"/>
      <c r="I42" s="96"/>
      <c r="J42" s="96"/>
      <c r="K42" s="96"/>
      <c r="L42" s="128"/>
    </row>
    <row r="43" spans="2:12" ht="13.5" thickBot="1" x14ac:dyDescent="0.35">
      <c r="B43" s="115"/>
      <c r="C43" s="115"/>
      <c r="D43" s="114" t="s">
        <v>177</v>
      </c>
      <c r="E43" s="125">
        <f>Financials!N53</f>
        <v>2700</v>
      </c>
      <c r="F43" s="115"/>
      <c r="G43" s="96"/>
      <c r="H43" s="96"/>
      <c r="I43" s="96"/>
      <c r="J43" s="96"/>
      <c r="K43" s="96"/>
      <c r="L43" s="128"/>
    </row>
    <row r="44" spans="2:12" ht="13.5" thickBot="1" x14ac:dyDescent="0.35">
      <c r="B44" s="115"/>
      <c r="C44" s="115"/>
      <c r="D44" s="114"/>
      <c r="E44" s="116">
        <f>Financials!O53</f>
        <v>1</v>
      </c>
      <c r="F44" s="115"/>
      <c r="G44" s="96"/>
      <c r="H44" s="96"/>
      <c r="I44" s="96"/>
      <c r="J44" s="96"/>
      <c r="K44" s="96"/>
      <c r="L44" s="128"/>
    </row>
    <row r="45" spans="2:12" x14ac:dyDescent="0.25">
      <c r="B45" s="115"/>
      <c r="C45" s="115"/>
      <c r="D45" s="115"/>
      <c r="E45" s="115"/>
      <c r="F45" s="115"/>
      <c r="G45" s="96"/>
      <c r="H45" s="96"/>
      <c r="I45" s="96"/>
      <c r="J45" s="96"/>
      <c r="K45" s="96"/>
      <c r="L45" s="128"/>
    </row>
    <row r="46" spans="2:12" x14ac:dyDescent="0.25">
      <c r="B46" s="115"/>
      <c r="C46" s="115"/>
      <c r="D46" s="115"/>
      <c r="E46" s="115"/>
      <c r="F46" s="115"/>
      <c r="G46" s="96"/>
      <c r="H46" s="96"/>
      <c r="I46" s="96"/>
      <c r="J46" s="96"/>
      <c r="K46" s="96"/>
      <c r="L46" s="128"/>
    </row>
    <row r="47" spans="2:12" ht="25" x14ac:dyDescent="0.5">
      <c r="B47" s="127" t="s">
        <v>33</v>
      </c>
      <c r="C47" s="126"/>
      <c r="D47" s="126"/>
      <c r="E47" s="126"/>
      <c r="F47" s="126"/>
      <c r="G47" s="103" t="s">
        <v>9</v>
      </c>
      <c r="H47" s="102"/>
      <c r="I47" s="102"/>
      <c r="J47" s="102"/>
      <c r="K47" s="102"/>
      <c r="L47" s="128"/>
    </row>
  </sheetData>
  <phoneticPr fontId="0" type="noConversion"/>
  <pageMargins left="0.5" right="0.5" top="0.5" bottom="0.5" header="0.5" footer="0.5"/>
  <pageSetup scale="76" orientation="landscape" r:id="rId1"/>
  <headerFooter alignWithMargins="0">
    <oddFooter>&amp;LSCMRG/The Ohio State University, 2002</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4"/>
  <sheetViews>
    <sheetView zoomScale="85" workbookViewId="0">
      <selection activeCell="B26" sqref="B26"/>
    </sheetView>
  </sheetViews>
  <sheetFormatPr defaultColWidth="18.453125" defaultRowHeight="12.5" x14ac:dyDescent="0.25"/>
  <cols>
    <col min="1" max="1" width="28.1796875" customWidth="1"/>
    <col min="2" max="2" width="8.453125" bestFit="1" customWidth="1"/>
    <col min="3" max="3" width="9" customWidth="1"/>
  </cols>
  <sheetData>
    <row r="1" spans="1:3" ht="13" x14ac:dyDescent="0.3">
      <c r="B1" s="46" t="s">
        <v>121</v>
      </c>
      <c r="C1" s="47"/>
    </row>
    <row r="2" spans="1:3" ht="13" x14ac:dyDescent="0.3">
      <c r="A2" s="27" t="s">
        <v>9</v>
      </c>
      <c r="B2" s="64" t="s">
        <v>129</v>
      </c>
      <c r="C2" s="64" t="s">
        <v>102</v>
      </c>
    </row>
    <row r="3" spans="1:3" x14ac:dyDescent="0.25">
      <c r="A3" s="7" t="s">
        <v>132</v>
      </c>
      <c r="B3" s="15">
        <f>Financials!C12</f>
        <v>2.5000000000000001E-2</v>
      </c>
    </row>
    <row r="4" spans="1:3" x14ac:dyDescent="0.25">
      <c r="A4" s="7" t="s">
        <v>131</v>
      </c>
      <c r="B4" s="15">
        <f>Financials!C13</f>
        <v>0.35399999999999998</v>
      </c>
    </row>
    <row r="5" spans="1:3" x14ac:dyDescent="0.25">
      <c r="A5" s="8" t="s">
        <v>7</v>
      </c>
      <c r="B5" s="15">
        <f>Financials!C14</f>
        <v>0.48499999999999999</v>
      </c>
    </row>
    <row r="6" spans="1:3" x14ac:dyDescent="0.25">
      <c r="A6" s="8" t="s">
        <v>120</v>
      </c>
      <c r="B6" s="15">
        <f>Financials!C15</f>
        <v>2.1999999999999999E-2</v>
      </c>
    </row>
    <row r="7" spans="1:3" x14ac:dyDescent="0.25">
      <c r="A7" s="9" t="s">
        <v>130</v>
      </c>
      <c r="B7" s="15">
        <f>SUM(Financials!C25:C26)</f>
        <v>0.114</v>
      </c>
    </row>
    <row r="8" spans="1:3" x14ac:dyDescent="0.25">
      <c r="A8" s="9" t="s">
        <v>13</v>
      </c>
      <c r="B8" s="15">
        <f>SUM(B3:B7)</f>
        <v>1</v>
      </c>
    </row>
    <row r="10" spans="1:3" ht="13" x14ac:dyDescent="0.3">
      <c r="A10" s="27" t="s">
        <v>122</v>
      </c>
    </row>
    <row r="11" spans="1:3" ht="13" x14ac:dyDescent="0.3">
      <c r="A11" s="27" t="s">
        <v>96</v>
      </c>
      <c r="C11" s="141">
        <f>Financials!B51</f>
        <v>2781</v>
      </c>
    </row>
    <row r="12" spans="1:3" x14ac:dyDescent="0.25">
      <c r="A12" t="s">
        <v>39</v>
      </c>
      <c r="B12" s="15"/>
      <c r="C12" s="141">
        <f>SUM(Financials!B55:B56)</f>
        <v>2030.3999999999999</v>
      </c>
    </row>
    <row r="13" spans="1:3" ht="13" x14ac:dyDescent="0.3">
      <c r="A13" t="s">
        <v>133</v>
      </c>
      <c r="B13" s="15"/>
      <c r="C13" s="81">
        <f>C11-C12</f>
        <v>750.60000000000014</v>
      </c>
    </row>
    <row r="14" spans="1:3" x14ac:dyDescent="0.25">
      <c r="A14" t="s">
        <v>123</v>
      </c>
      <c r="B14" s="15">
        <f>C14/$C$13</f>
        <v>0.10791366906474818</v>
      </c>
      <c r="C14" s="141">
        <f>Financials!B52</f>
        <v>81</v>
      </c>
    </row>
    <row r="15" spans="1:3" x14ac:dyDescent="0.25">
      <c r="A15" t="s">
        <v>124</v>
      </c>
      <c r="B15" s="15">
        <f t="shared" ref="B15:B20" si="0">C15/$C$13</f>
        <v>0.36773647748467891</v>
      </c>
      <c r="C15" s="141">
        <f>Financials!B60</f>
        <v>276.02300000000002</v>
      </c>
    </row>
    <row r="16" spans="1:3" x14ac:dyDescent="0.25">
      <c r="A16" t="s">
        <v>125</v>
      </c>
      <c r="B16" s="15">
        <f t="shared" si="0"/>
        <v>2.6245670130562213E-2</v>
      </c>
      <c r="C16" s="141">
        <f>SUM(Financials!B63:B65)</f>
        <v>19.7</v>
      </c>
    </row>
    <row r="17" spans="1:3" x14ac:dyDescent="0.25">
      <c r="A17" t="s">
        <v>126</v>
      </c>
      <c r="B17" s="15">
        <f t="shared" si="0"/>
        <v>0.38163069544364503</v>
      </c>
      <c r="C17" s="141">
        <f>SUM(Financials!B70:B72)</f>
        <v>286.452</v>
      </c>
    </row>
    <row r="18" spans="1:3" x14ac:dyDescent="0.25">
      <c r="A18" t="s">
        <v>127</v>
      </c>
      <c r="B18" s="15">
        <f t="shared" si="0"/>
        <v>1.4388489208633093E-2</v>
      </c>
      <c r="C18" s="141">
        <f>SUM(Financials!B74:B75)</f>
        <v>10.8</v>
      </c>
    </row>
    <row r="19" spans="1:3" x14ac:dyDescent="0.25">
      <c r="A19" t="s">
        <v>128</v>
      </c>
      <c r="B19" s="15">
        <f t="shared" si="0"/>
        <v>3.5971223021582718E-3</v>
      </c>
      <c r="C19" s="141">
        <f>SUM(Financials!B78:B81)</f>
        <v>2.6999999999999993</v>
      </c>
    </row>
    <row r="20" spans="1:3" x14ac:dyDescent="0.25">
      <c r="A20" t="s">
        <v>134</v>
      </c>
      <c r="B20" s="15">
        <f t="shared" si="0"/>
        <v>8.9928057553956817E-2</v>
      </c>
      <c r="C20" s="141">
        <f>Financials!B82</f>
        <v>67.5</v>
      </c>
    </row>
    <row r="23" spans="1:3" ht="13" x14ac:dyDescent="0.3">
      <c r="A23" s="27" t="s">
        <v>96</v>
      </c>
      <c r="B23" s="15">
        <f>Financials!C51</f>
        <v>1.03</v>
      </c>
    </row>
    <row r="24" spans="1:3" x14ac:dyDescent="0.25">
      <c r="A24" t="s">
        <v>123</v>
      </c>
      <c r="B24" s="15">
        <f>Financials!C52</f>
        <v>0.03</v>
      </c>
    </row>
    <row r="25" spans="1:3" ht="13" x14ac:dyDescent="0.3">
      <c r="A25" t="s">
        <v>38</v>
      </c>
      <c r="B25" s="28">
        <f>B23-B24</f>
        <v>1</v>
      </c>
    </row>
    <row r="26" spans="1:3" x14ac:dyDescent="0.25">
      <c r="A26" t="s">
        <v>39</v>
      </c>
      <c r="B26" s="15">
        <f>SUM(Financials!C55:C56)</f>
        <v>0.752</v>
      </c>
    </row>
    <row r="27" spans="1:3" x14ac:dyDescent="0.25">
      <c r="A27" t="s">
        <v>191</v>
      </c>
      <c r="B27" s="15">
        <f>B25-B26</f>
        <v>0.248</v>
      </c>
    </row>
    <row r="28" spans="1:3" x14ac:dyDescent="0.25">
      <c r="A28" t="s">
        <v>124</v>
      </c>
      <c r="B28" s="15">
        <f>SUM(Financials!C60:C61)</f>
        <v>0.10312888888888889</v>
      </c>
    </row>
    <row r="29" spans="1:3" x14ac:dyDescent="0.25">
      <c r="A29" t="s">
        <v>192</v>
      </c>
      <c r="B29" s="15">
        <f>SUM(Financials!C63:C68)</f>
        <v>8.7777777777777784E-3</v>
      </c>
    </row>
    <row r="30" spans="1:3" x14ac:dyDescent="0.25">
      <c r="A30" t="s">
        <v>126</v>
      </c>
      <c r="B30" s="15">
        <f>SUM(Financials!C70:C72)</f>
        <v>0.10609333333333333</v>
      </c>
    </row>
    <row r="31" spans="1:3" x14ac:dyDescent="0.25">
      <c r="A31" t="s">
        <v>127</v>
      </c>
      <c r="B31" s="15">
        <f>SUM(Financials!C74:C75)</f>
        <v>4.0000000000000001E-3</v>
      </c>
    </row>
    <row r="32" spans="1:3" x14ac:dyDescent="0.25">
      <c r="A32" t="s">
        <v>128</v>
      </c>
      <c r="B32" s="15">
        <f>SUM(Financials!C78:C81)</f>
        <v>1E-3</v>
      </c>
    </row>
    <row r="33" spans="1:2" x14ac:dyDescent="0.25">
      <c r="A33" t="s">
        <v>134</v>
      </c>
      <c r="B33" s="15">
        <f>Financials!C82</f>
        <v>2.5000000000000001E-2</v>
      </c>
    </row>
    <row r="34" spans="1:2" x14ac:dyDescent="0.25">
      <c r="B34" s="142"/>
    </row>
  </sheetData>
  <phoneticPr fontId="0" type="noConversion"/>
  <pageMargins left="0.25" right="0.25" top="0.25" bottom="0.25" header="0.5" footer="0.5"/>
  <pageSetup scale="66"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INSTRUCTIONS</vt:lpstr>
      <vt:lpstr>Inv CC</vt:lpstr>
      <vt:lpstr>Financials</vt:lpstr>
      <vt:lpstr>Baseline SPM</vt:lpstr>
      <vt:lpstr>SC1 SPM </vt:lpstr>
      <vt:lpstr>SC2 SPM</vt:lpstr>
      <vt:lpstr>SC3 SPM</vt:lpstr>
      <vt:lpstr>SC4 SPM</vt:lpstr>
      <vt:lpstr>Composition Graphs</vt:lpstr>
      <vt:lpstr>Sheet3</vt:lpstr>
      <vt:lpstr>'Baseline SPM'!Print_Area</vt:lpstr>
      <vt:lpstr>'Composition Graphs'!Print_Area</vt:lpstr>
      <vt:lpstr>Financials!Print_Area</vt:lpstr>
      <vt:lpstr>'Inv CC'!Print_Area</vt:lpstr>
      <vt:lpstr>'SC1 SPM '!Print_Area</vt:lpstr>
      <vt:lpstr>'SC2 SPM'!Print_Area</vt:lpstr>
      <vt:lpstr>'SC3 SPM'!Print_Area</vt:lpstr>
      <vt:lpstr>'SC4 SPM'!Print_Area</vt:lpstr>
      <vt:lpstr>Financials!Print_Titles</vt:lpstr>
    </vt:vector>
  </TitlesOfParts>
  <Company>The Ohio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Fisher College of Business</dc:creator>
  <cp:lastModifiedBy>Carina Negreanu</cp:lastModifiedBy>
  <cp:lastPrinted>2002-06-12T16:43:26Z</cp:lastPrinted>
  <dcterms:created xsi:type="dcterms:W3CDTF">2002-05-08T15:41:09Z</dcterms:created>
  <dcterms:modified xsi:type="dcterms:W3CDTF">2020-01-27T10:41:17Z</dcterms:modified>
</cp:coreProperties>
</file>