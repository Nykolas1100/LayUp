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74737C-BD3B-4CC5-A207-F6D1A27B1C99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1" l="1"/>
  <c r="G10" i="1"/>
  <c r="I10" i="1"/>
  <c r="K10" i="1" s="1"/>
  <c r="L10" i="1" s="1"/>
  <c r="J10" i="1"/>
  <c r="M10" i="1"/>
  <c r="N10" i="1" s="1"/>
  <c r="A11" i="1"/>
  <c r="G11" i="1"/>
  <c r="K11" i="1" s="1"/>
  <c r="L11" i="1" s="1"/>
  <c r="I11" i="1"/>
  <c r="J11" i="1"/>
  <c r="A12" i="1"/>
  <c r="G12" i="1"/>
  <c r="K12" i="1" s="1"/>
  <c r="L12" i="1" s="1"/>
  <c r="I12" i="1"/>
  <c r="J12" i="1"/>
  <c r="A13" i="1"/>
  <c r="G13" i="1"/>
  <c r="I13" i="1"/>
  <c r="J13" i="1"/>
  <c r="K13" i="1"/>
  <c r="L13" i="1"/>
  <c r="M13" i="1"/>
  <c r="N13" i="1" s="1"/>
  <c r="A14" i="1"/>
  <c r="G14" i="1"/>
  <c r="K14" i="1" s="1"/>
  <c r="L14" i="1" s="1"/>
  <c r="I14" i="1"/>
  <c r="J14" i="1"/>
  <c r="A15" i="1"/>
  <c r="G15" i="1"/>
  <c r="I15" i="1"/>
  <c r="K15" i="1" s="1"/>
  <c r="L15" i="1" s="1"/>
  <c r="J15" i="1"/>
  <c r="M15" i="1"/>
  <c r="N15" i="1" s="1"/>
  <c r="A16" i="1"/>
  <c r="G16" i="1"/>
  <c r="M16" i="1" s="1"/>
  <c r="N16" i="1" s="1"/>
  <c r="I16" i="1"/>
  <c r="J16" i="1"/>
  <c r="K16" i="1"/>
  <c r="L16" i="1"/>
  <c r="A17" i="1"/>
  <c r="G17" i="1"/>
  <c r="K17" i="1" s="1"/>
  <c r="L17" i="1" s="1"/>
  <c r="I17" i="1"/>
  <c r="J17" i="1"/>
  <c r="A18" i="1"/>
  <c r="G18" i="1"/>
  <c r="I18" i="1"/>
  <c r="J18" i="1"/>
  <c r="K18" i="1"/>
  <c r="L18" i="1"/>
  <c r="M18" i="1"/>
  <c r="N18" i="1" s="1"/>
  <c r="A19" i="1"/>
  <c r="G19" i="1"/>
  <c r="K19" i="1" s="1"/>
  <c r="L19" i="1" s="1"/>
  <c r="I19" i="1"/>
  <c r="J19" i="1"/>
  <c r="A20" i="1"/>
  <c r="G20" i="1"/>
  <c r="I20" i="1"/>
  <c r="K20" i="1" s="1"/>
  <c r="L20" i="1" s="1"/>
  <c r="J20" i="1"/>
  <c r="M20" i="1"/>
  <c r="N20" i="1" s="1"/>
  <c r="A21" i="1"/>
  <c r="G21" i="1"/>
  <c r="M21" i="1" s="1"/>
  <c r="N21" i="1" s="1"/>
  <c r="I21" i="1"/>
  <c r="J21" i="1"/>
  <c r="K21" i="1"/>
  <c r="L21" i="1"/>
  <c r="A22" i="1"/>
  <c r="G22" i="1"/>
  <c r="K22" i="1" s="1"/>
  <c r="L22" i="1" s="1"/>
  <c r="I22" i="1"/>
  <c r="J22" i="1"/>
  <c r="A23" i="1"/>
  <c r="G23" i="1"/>
  <c r="I23" i="1"/>
  <c r="J23" i="1"/>
  <c r="K23" i="1"/>
  <c r="L23" i="1"/>
  <c r="M23" i="1"/>
  <c r="N23" i="1" s="1"/>
  <c r="A24" i="1"/>
  <c r="G24" i="1"/>
  <c r="K24" i="1" s="1"/>
  <c r="L24" i="1" s="1"/>
  <c r="I24" i="1"/>
  <c r="J24" i="1"/>
  <c r="A25" i="1"/>
  <c r="G25" i="1"/>
  <c r="I25" i="1"/>
  <c r="K25" i="1" s="1"/>
  <c r="L25" i="1" s="1"/>
  <c r="J25" i="1"/>
  <c r="M25" i="1"/>
  <c r="N25" i="1" s="1"/>
  <c r="A26" i="1"/>
  <c r="G26" i="1"/>
  <c r="M26" i="1" s="1"/>
  <c r="N26" i="1" s="1"/>
  <c r="I26" i="1"/>
  <c r="J26" i="1"/>
  <c r="K26" i="1"/>
  <c r="L26" i="1"/>
  <c r="A27" i="1"/>
  <c r="G27" i="1"/>
  <c r="K27" i="1" s="1"/>
  <c r="L27" i="1" s="1"/>
  <c r="I27" i="1"/>
  <c r="J27" i="1"/>
  <c r="A28" i="1"/>
  <c r="G28" i="1"/>
  <c r="I28" i="1"/>
  <c r="J28" i="1"/>
  <c r="K28" i="1"/>
  <c r="L28" i="1"/>
  <c r="M28" i="1"/>
  <c r="N28" i="1" s="1"/>
  <c r="A29" i="1"/>
  <c r="G29" i="1"/>
  <c r="K29" i="1" s="1"/>
  <c r="L29" i="1" s="1"/>
  <c r="I29" i="1"/>
  <c r="J29" i="1"/>
  <c r="A30" i="1"/>
  <c r="G30" i="1"/>
  <c r="I30" i="1"/>
  <c r="K30" i="1" s="1"/>
  <c r="L30" i="1" s="1"/>
  <c r="J30" i="1"/>
  <c r="M30" i="1"/>
  <c r="N30" i="1" s="1"/>
  <c r="A31" i="1"/>
  <c r="G31" i="1"/>
  <c r="M31" i="1" s="1"/>
  <c r="N31" i="1" s="1"/>
  <c r="I31" i="1"/>
  <c r="J31" i="1"/>
  <c r="K31" i="1"/>
  <c r="L31" i="1"/>
  <c r="A32" i="1"/>
  <c r="G32" i="1"/>
  <c r="K32" i="1" s="1"/>
  <c r="L32" i="1" s="1"/>
  <c r="I32" i="1"/>
  <c r="J32" i="1"/>
  <c r="A33" i="1"/>
  <c r="G33" i="1"/>
  <c r="I33" i="1"/>
  <c r="J33" i="1"/>
  <c r="K33" i="1"/>
  <c r="L33" i="1"/>
  <c r="M33" i="1"/>
  <c r="N33" i="1" s="1"/>
  <c r="A34" i="1"/>
  <c r="G34" i="1"/>
  <c r="K34" i="1" s="1"/>
  <c r="L34" i="1" s="1"/>
  <c r="I34" i="1"/>
  <c r="J34" i="1"/>
  <c r="A35" i="1"/>
  <c r="G35" i="1"/>
  <c r="I35" i="1"/>
  <c r="K35" i="1" s="1"/>
  <c r="L35" i="1" s="1"/>
  <c r="J35" i="1"/>
  <c r="M35" i="1"/>
  <c r="N35" i="1" s="1"/>
  <c r="A36" i="1"/>
  <c r="G36" i="1"/>
  <c r="M36" i="1" s="1"/>
  <c r="N36" i="1" s="1"/>
  <c r="I36" i="1"/>
  <c r="J36" i="1"/>
  <c r="K36" i="1"/>
  <c r="L36" i="1"/>
  <c r="A37" i="1"/>
  <c r="G37" i="1"/>
  <c r="K37" i="1" s="1"/>
  <c r="L37" i="1" s="1"/>
  <c r="I37" i="1"/>
  <c r="J37" i="1"/>
  <c r="A38" i="1"/>
  <c r="G38" i="1"/>
  <c r="I38" i="1"/>
  <c r="J38" i="1"/>
  <c r="K38" i="1"/>
  <c r="L38" i="1"/>
  <c r="M38" i="1"/>
  <c r="N38" i="1" s="1"/>
  <c r="A39" i="1"/>
  <c r="G39" i="1"/>
  <c r="K39" i="1" s="1"/>
  <c r="L39" i="1" s="1"/>
  <c r="I39" i="1"/>
  <c r="J39" i="1"/>
  <c r="A40" i="1"/>
  <c r="G40" i="1"/>
  <c r="I40" i="1"/>
  <c r="K40" i="1" s="1"/>
  <c r="L40" i="1" s="1"/>
  <c r="J40" i="1"/>
  <c r="M40" i="1"/>
  <c r="N40" i="1" s="1"/>
  <c r="A41" i="1"/>
  <c r="G41" i="1"/>
  <c r="M41" i="1" s="1"/>
  <c r="N41" i="1" s="1"/>
  <c r="I41" i="1"/>
  <c r="J41" i="1"/>
  <c r="K41" i="1"/>
  <c r="L41" i="1"/>
  <c r="A42" i="1"/>
  <c r="G42" i="1"/>
  <c r="K42" i="1" s="1"/>
  <c r="L42" i="1" s="1"/>
  <c r="I42" i="1"/>
  <c r="J42" i="1"/>
  <c r="A43" i="1"/>
  <c r="G43" i="1"/>
  <c r="I43" i="1"/>
  <c r="J43" i="1"/>
  <c r="K43" i="1"/>
  <c r="L43" i="1"/>
  <c r="M43" i="1"/>
  <c r="N43" i="1" s="1"/>
  <c r="A44" i="1"/>
  <c r="G44" i="1"/>
  <c r="K44" i="1" s="1"/>
  <c r="L44" i="1" s="1"/>
  <c r="I44" i="1"/>
  <c r="J44" i="1"/>
  <c r="A45" i="1"/>
  <c r="G45" i="1"/>
  <c r="I45" i="1"/>
  <c r="K45" i="1" s="1"/>
  <c r="L45" i="1" s="1"/>
  <c r="J45" i="1"/>
  <c r="M45" i="1"/>
  <c r="N45" i="1" s="1"/>
  <c r="A46" i="1"/>
  <c r="G46" i="1"/>
  <c r="M46" i="1" s="1"/>
  <c r="N46" i="1" s="1"/>
  <c r="I46" i="1"/>
  <c r="J46" i="1"/>
  <c r="K46" i="1"/>
  <c r="L46" i="1"/>
  <c r="A47" i="1"/>
  <c r="G47" i="1"/>
  <c r="K47" i="1" s="1"/>
  <c r="L47" i="1" s="1"/>
  <c r="I47" i="1"/>
  <c r="J47" i="1"/>
  <c r="A48" i="1"/>
  <c r="G48" i="1"/>
  <c r="I48" i="1"/>
  <c r="J48" i="1"/>
  <c r="K48" i="1"/>
  <c r="L48" i="1"/>
  <c r="M48" i="1"/>
  <c r="N48" i="1" s="1"/>
  <c r="A49" i="1"/>
  <c r="G49" i="1"/>
  <c r="K49" i="1" s="1"/>
  <c r="L49" i="1" s="1"/>
  <c r="I49" i="1"/>
  <c r="J49" i="1"/>
  <c r="A50" i="1"/>
  <c r="G50" i="1"/>
  <c r="I50" i="1"/>
  <c r="K50" i="1" s="1"/>
  <c r="L50" i="1" s="1"/>
  <c r="J50" i="1"/>
  <c r="M50" i="1"/>
  <c r="N50" i="1" s="1"/>
  <c r="A51" i="1"/>
  <c r="G51" i="1"/>
  <c r="M51" i="1" s="1"/>
  <c r="N51" i="1" s="1"/>
  <c r="I51" i="1"/>
  <c r="J51" i="1"/>
  <c r="K51" i="1"/>
  <c r="L51" i="1"/>
  <c r="A52" i="1"/>
  <c r="G52" i="1"/>
  <c r="K52" i="1" s="1"/>
  <c r="L52" i="1" s="1"/>
  <c r="I52" i="1"/>
  <c r="J52" i="1"/>
  <c r="A53" i="1"/>
  <c r="G53" i="1"/>
  <c r="I53" i="1"/>
  <c r="J53" i="1"/>
  <c r="K53" i="1"/>
  <c r="L53" i="1"/>
  <c r="M53" i="1"/>
  <c r="N53" i="1" s="1"/>
  <c r="A54" i="1"/>
  <c r="G54" i="1"/>
  <c r="M54" i="1" s="1"/>
  <c r="N54" i="1" s="1"/>
  <c r="I54" i="1"/>
  <c r="J54" i="1"/>
  <c r="A55" i="1"/>
  <c r="A56" i="1"/>
  <c r="A57" i="1"/>
  <c r="E57" i="1"/>
  <c r="A58" i="1"/>
  <c r="P58" i="1"/>
  <c r="Q58" i="1"/>
  <c r="R58" i="1"/>
  <c r="T58" i="1"/>
  <c r="A59" i="1"/>
  <c r="P59" i="1"/>
  <c r="Q59" i="1"/>
  <c r="R59" i="1"/>
  <c r="T59" i="1"/>
  <c r="A60" i="1"/>
  <c r="P60" i="1"/>
  <c r="Q60" i="1"/>
  <c r="R60" i="1"/>
  <c r="T60" i="1"/>
  <c r="A61" i="1"/>
  <c r="P61" i="1"/>
  <c r="Q61" i="1"/>
  <c r="R61" i="1"/>
  <c r="T61" i="1"/>
  <c r="A62" i="1"/>
  <c r="P64" i="1"/>
  <c r="P65" i="1"/>
  <c r="Q65" i="1"/>
  <c r="T66" i="1"/>
  <c r="P69" i="1"/>
  <c r="P62" i="1" s="1"/>
  <c r="Q69" i="1"/>
  <c r="Q62" i="1" s="1"/>
  <c r="R69" i="1"/>
  <c r="R62" i="1" s="1"/>
  <c r="T69" i="1"/>
  <c r="P70" i="1"/>
  <c r="Q70" i="1"/>
  <c r="Q63" i="1" s="1"/>
  <c r="R70" i="1"/>
  <c r="R63" i="1" s="1"/>
  <c r="T70" i="1"/>
  <c r="T63" i="1" s="1"/>
  <c r="P71" i="1"/>
  <c r="P63" i="1" s="1"/>
  <c r="Q71" i="1"/>
  <c r="Q64" i="1" s="1"/>
  <c r="R71" i="1"/>
  <c r="T71" i="1"/>
  <c r="T64" i="1" s="1"/>
  <c r="P72" i="1"/>
  <c r="Q72" i="1"/>
  <c r="R72" i="1"/>
  <c r="R64" i="1" s="1"/>
  <c r="T72" i="1"/>
  <c r="T65" i="1" s="1"/>
  <c r="P73" i="1"/>
  <c r="P66" i="1" s="1"/>
  <c r="Q73" i="1"/>
  <c r="Q66" i="1" s="1"/>
  <c r="R73" i="1"/>
  <c r="R66" i="1" s="1"/>
  <c r="T73" i="1"/>
  <c r="M49" i="1" l="1"/>
  <c r="N49" i="1" s="1"/>
  <c r="M44" i="1"/>
  <c r="N44" i="1" s="1"/>
  <c r="M39" i="1"/>
  <c r="N39" i="1" s="1"/>
  <c r="M34" i="1"/>
  <c r="N34" i="1" s="1"/>
  <c r="M29" i="1"/>
  <c r="N29" i="1" s="1"/>
  <c r="M24" i="1"/>
  <c r="N24" i="1" s="1"/>
  <c r="M19" i="1"/>
  <c r="N19" i="1" s="1"/>
  <c r="M14" i="1"/>
  <c r="N14" i="1" s="1"/>
  <c r="R65" i="1"/>
  <c r="K54" i="1"/>
  <c r="L54" i="1" s="1"/>
  <c r="M11" i="1"/>
  <c r="N11" i="1" s="1"/>
  <c r="T62" i="1"/>
  <c r="M52" i="1"/>
  <c r="N52" i="1" s="1"/>
  <c r="M32" i="1"/>
  <c r="N32" i="1" s="1"/>
  <c r="M27" i="1"/>
  <c r="N27" i="1" s="1"/>
  <c r="M22" i="1"/>
  <c r="N22" i="1" s="1"/>
  <c r="M17" i="1"/>
  <c r="N17" i="1" s="1"/>
  <c r="M12" i="1"/>
  <c r="N12" i="1" s="1"/>
  <c r="M47" i="1"/>
  <c r="N47" i="1" s="1"/>
  <c r="M42" i="1"/>
  <c r="N42" i="1" s="1"/>
  <c r="M37" i="1"/>
  <c r="N37" i="1" s="1"/>
</calcChain>
</file>

<file path=xl/sharedStrings.xml><?xml version="1.0" encoding="utf-8"?>
<sst xmlns="http://schemas.openxmlformats.org/spreadsheetml/2006/main" count="85" uniqueCount="70">
  <si>
    <t xml:space="preserve">MAT 117 SLN </t>
  </si>
  <si>
    <t>Weights &gt;&gt;&gt;</t>
  </si>
  <si>
    <t>Test</t>
  </si>
  <si>
    <t>Hw &amp; Proj</t>
  </si>
  <si>
    <t>Final</t>
  </si>
  <si>
    <t>Class time and day</t>
  </si>
  <si>
    <t>Grades &gt;&gt;&gt;</t>
  </si>
  <si>
    <t>A</t>
  </si>
  <si>
    <t>B</t>
  </si>
  <si>
    <t>C</t>
  </si>
  <si>
    <t>D</t>
  </si>
  <si>
    <t>Instructor: Your name</t>
  </si>
  <si>
    <t>Fall, 2000</t>
  </si>
  <si>
    <t>Hw</t>
  </si>
  <si>
    <t>Current Average</t>
  </si>
  <si>
    <t xml:space="preserve">Curr </t>
  </si>
  <si>
    <t>Final Course</t>
  </si>
  <si>
    <t>Tests</t>
  </si>
  <si>
    <t>Homework</t>
  </si>
  <si>
    <t>Pct</t>
  </si>
  <si>
    <t>Without Final</t>
  </si>
  <si>
    <t>Gr</t>
  </si>
  <si>
    <t>Average</t>
  </si>
  <si>
    <t>T1</t>
  </si>
  <si>
    <t>T2</t>
  </si>
  <si>
    <t>T3</t>
  </si>
  <si>
    <t>Exam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</si>
  <si>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</si>
  <si>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</si>
  <si>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</si>
  <si>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</si>
  <si>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</si>
  <si>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</si>
  <si>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</si>
  <si>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</si>
  <si>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</si>
  <si>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</si>
  <si>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</si>
  <si>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</si>
  <si>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</si>
  <si>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</si>
  <si>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</si>
  <si>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</si>
  <si>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</si>
  <si>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</si>
  <si>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</si>
  <si>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</si>
  <si>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</si>
  <si>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</si>
  <si>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</si>
  <si>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HW24</t>
  </si>
  <si>
    <t>HW25</t>
  </si>
  <si>
    <t>HW26</t>
  </si>
  <si>
    <t>HW27</t>
  </si>
  <si>
    <t>HW28</t>
  </si>
  <si>
    <t>HW29</t>
  </si>
  <si>
    <t>HW30</t>
  </si>
  <si>
    <t>HW31</t>
  </si>
  <si>
    <t>Possible Points  &gt;&gt;&gt;&gt;&gt;&gt;&gt;&gt;&gt;&gt;&gt;&gt;&gt;</t>
  </si>
  <si>
    <t>Last 4 ID</t>
  </si>
  <si>
    <t>Affiliate ID</t>
  </si>
  <si>
    <t>ASU ID</t>
  </si>
  <si>
    <t>Last Name</t>
  </si>
  <si>
    <t>First Name</t>
  </si>
  <si>
    <t>Mean</t>
  </si>
  <si>
    <t>Medium</t>
  </si>
  <si>
    <t>Sum</t>
  </si>
  <si>
    <t>Count</t>
  </si>
  <si>
    <t>E</t>
  </si>
  <si>
    <t>Cutoffs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</si>
</sst>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3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2" fillId="0" borderId="0" xfId="0" applyFont="1" applyFill="1" applyAlignment="1"/>
    <xf numFmtId="0" fontId="1" fillId="0" borderId="0" xfId="0" applyFont="1" applyFill="1" applyAlignment="1">
      <alignment horizontal="center"/>
    </xf>
    <xf numFmtId="16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0" fontId="1" fillId="0" borderId="0" xfId="0" applyFont="1" applyFill="1" applyAlignment="1">
      <alignment horizontal="centerContinuous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  <xf numFmtId="172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/>
    <xf numFmtId="0" fontId="2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5"/>
  <sheetViews>
    <sheetView tabSelected="1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0" sqref="G10"/>
    </sheetView>
  </sheetViews>
  <sheetFormatPr defaultColWidth="8.81640625" defaultRowHeight="13" x14ac:dyDescent="0.3"/>
  <cols>
    <col min="1" max="1" width="8" style="18" customWidth="1"/>
    <col min="2" max="3" width="10" style="16" customWidth="1"/>
    <col min="4" max="4" width="1.81640625" style="16" customWidth="1"/>
    <col min="5" max="5" width="15.81640625" style="14" customWidth="1"/>
    <col min="6" max="6" width="10.54296875" style="17" customWidth="1"/>
    <col min="7" max="10" width="4.7265625" style="13" customWidth="1"/>
    <col min="11" max="11" width="14.453125" style="13" bestFit="1" customWidth="1"/>
    <col min="12" max="12" width="4.7265625" style="13" customWidth="1"/>
    <col min="13" max="13" width="11.1796875" style="13" bestFit="1" customWidth="1"/>
    <col min="14" max="14" width="3.7265625" style="13" customWidth="1"/>
    <col min="15" max="15" width="1.7265625" style="13" customWidth="1"/>
    <col min="16" max="18" width="4.7265625" style="13" customWidth="1"/>
    <col min="19" max="19" width="1.7265625" style="13" customWidth="1"/>
    <col min="20" max="20" width="4.7265625" style="13" customWidth="1"/>
    <col min="21" max="21" width="1.1796875" style="13" customWidth="1"/>
    <col min="22" max="25" width="5.453125" style="13" customWidth="1"/>
    <col min="26" max="55" width="4.81640625" style="13" customWidth="1"/>
    <col min="56" max="56" width="9.26953125" style="13" bestFit="1" customWidth="1"/>
    <col min="57" max="58" width="8.7265625" style="13" bestFit="1" customWidth="1"/>
    <col min="59" max="59" width="7.7265625" style="14" bestFit="1" customWidth="1"/>
    <col min="60" max="60" width="2.1796875" style="14" customWidth="1"/>
    <col min="61" max="61" width="2" style="14" customWidth="1"/>
    <col min="62" max="62" width="8.81640625" style="14" customWidth="1"/>
    <col min="63" max="66" width="4.1796875" style="14" customWidth="1"/>
    <col min="67" max="69" width="3.26953125" style="14" customWidth="1"/>
    <col min="70" max="82" width="4.1796875" style="14" customWidth="1"/>
    <col min="83" max="91" width="5" style="14" customWidth="1"/>
    <col min="92" max="16384" width="8.81640625" style="14"/>
  </cols>
  <sheetData>
    <row r="1" spans="1:93" s="4" customFormat="1" x14ac:dyDescent="0.3">
      <c r="A1" s="1" t="s">
        <v>0</v>
      </c>
      <c r="B1" s="1"/>
      <c r="C1" s="1"/>
      <c r="D1" s="1"/>
      <c r="E1" s="2"/>
      <c r="F1" s="3" t="s">
        <v>1</v>
      </c>
      <c r="G1" s="4" t="s">
        <v>2</v>
      </c>
      <c r="I1" s="4" t="s">
        <v>3</v>
      </c>
      <c r="J1" s="4" t="s">
        <v>4</v>
      </c>
    </row>
    <row r="2" spans="1:93" s="4" customFormat="1" x14ac:dyDescent="0.3">
      <c r="E2" s="5"/>
      <c r="F2" s="3"/>
      <c r="G2" s="6">
        <v>0.5</v>
      </c>
      <c r="H2" s="6"/>
      <c r="I2" s="6">
        <v>0.25</v>
      </c>
      <c r="J2" s="6">
        <v>0.25</v>
      </c>
      <c r="K2" s="6"/>
      <c r="L2" s="6"/>
      <c r="N2" s="6"/>
      <c r="O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93" s="4" customFormat="1" x14ac:dyDescent="0.3">
      <c r="A3" s="4" t="s">
        <v>5</v>
      </c>
      <c r="E3" s="2"/>
      <c r="F3" s="3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/>
      <c r="L3" s="6"/>
      <c r="N3" s="6"/>
      <c r="O3" s="6"/>
      <c r="S3" s="6"/>
      <c r="T3" s="6"/>
      <c r="U3" s="6"/>
      <c r="V3" s="6">
        <v>1.1000000000000001</v>
      </c>
      <c r="W3" s="6">
        <v>1.2</v>
      </c>
      <c r="X3" s="6">
        <v>1.3</v>
      </c>
      <c r="Y3" s="6">
        <v>1.4</v>
      </c>
      <c r="Z3" s="6">
        <v>1.5</v>
      </c>
      <c r="AA3" s="6">
        <v>1.6</v>
      </c>
      <c r="AB3" s="4">
        <v>1.7</v>
      </c>
      <c r="AC3" s="4">
        <v>2.1</v>
      </c>
      <c r="AD3" s="6">
        <v>2.2000000000000002</v>
      </c>
      <c r="AE3" s="6">
        <v>2.2999999999999998</v>
      </c>
      <c r="AF3" s="6">
        <v>2.4</v>
      </c>
      <c r="AG3" s="6">
        <v>2.5</v>
      </c>
      <c r="AH3" s="6">
        <v>3.1</v>
      </c>
      <c r="AI3" s="6">
        <v>3.2</v>
      </c>
      <c r="AJ3" s="6">
        <v>3.3</v>
      </c>
      <c r="AK3" s="6">
        <v>3.4</v>
      </c>
      <c r="AL3" s="6">
        <v>3.5</v>
      </c>
      <c r="AM3" s="4">
        <v>4.0999999999999996</v>
      </c>
      <c r="AN3" s="4">
        <v>4.2</v>
      </c>
      <c r="AO3" s="6">
        <v>4.3</v>
      </c>
      <c r="AP3" s="6">
        <v>4.4000000000000004</v>
      </c>
      <c r="AQ3" s="6">
        <v>4.5</v>
      </c>
      <c r="AR3" s="6">
        <v>4.5999999999999996</v>
      </c>
      <c r="AS3" s="4">
        <v>4.7</v>
      </c>
      <c r="AT3" s="6">
        <v>5.0999999999999996</v>
      </c>
      <c r="AU3" s="6">
        <v>5.2</v>
      </c>
      <c r="AV3" s="6">
        <v>5.3</v>
      </c>
      <c r="AW3" s="4">
        <v>5.4</v>
      </c>
      <c r="AX3" s="6">
        <v>5.5</v>
      </c>
      <c r="AY3" s="6">
        <v>6.1</v>
      </c>
      <c r="AZ3" s="6">
        <v>6.2</v>
      </c>
      <c r="BE3" s="6"/>
      <c r="BF3" s="6"/>
    </row>
    <row r="4" spans="1:93" s="4" customFormat="1" x14ac:dyDescent="0.3">
      <c r="A4" s="1" t="s">
        <v>11</v>
      </c>
      <c r="B4" s="1"/>
      <c r="C4" s="1"/>
      <c r="D4" s="1"/>
      <c r="E4" s="2"/>
      <c r="F4" s="3"/>
      <c r="G4" s="6">
        <v>90</v>
      </c>
      <c r="H4" s="6">
        <v>80</v>
      </c>
      <c r="I4" s="6">
        <v>70</v>
      </c>
      <c r="J4" s="6">
        <v>60</v>
      </c>
      <c r="K4" s="6"/>
      <c r="L4" s="6"/>
      <c r="N4" s="6"/>
      <c r="O4" s="6"/>
      <c r="P4" s="6"/>
      <c r="S4" s="6"/>
      <c r="T4" s="6"/>
      <c r="U4" s="6"/>
      <c r="V4" s="6"/>
      <c r="W4" s="6"/>
      <c r="X4" s="6"/>
      <c r="Y4" s="7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93" s="4" customFormat="1" x14ac:dyDescent="0.3">
      <c r="A5" s="1" t="s">
        <v>12</v>
      </c>
      <c r="B5" s="1"/>
      <c r="C5" s="1"/>
      <c r="D5" s="1"/>
      <c r="E5" s="2"/>
      <c r="F5" s="3"/>
      <c r="G5" s="6"/>
      <c r="H5" s="6"/>
      <c r="I5" s="6"/>
      <c r="J5" s="6"/>
      <c r="K5" s="6"/>
      <c r="L5" s="6"/>
      <c r="N5" s="6"/>
      <c r="O5" s="6"/>
      <c r="P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93" s="4" customFormat="1" x14ac:dyDescent="0.3">
      <c r="B6" s="8"/>
      <c r="C6" s="8"/>
      <c r="D6" s="8"/>
      <c r="F6" s="3"/>
      <c r="G6" s="6" t="s">
        <v>2</v>
      </c>
      <c r="H6" s="6"/>
      <c r="I6" s="6" t="s">
        <v>13</v>
      </c>
      <c r="J6" s="6" t="s">
        <v>4</v>
      </c>
      <c r="K6" s="6" t="s">
        <v>14</v>
      </c>
      <c r="L6" s="6" t="s">
        <v>15</v>
      </c>
      <c r="M6" s="6" t="s">
        <v>16</v>
      </c>
      <c r="N6" s="6"/>
      <c r="O6" s="6"/>
      <c r="P6" s="9" t="s">
        <v>17</v>
      </c>
      <c r="Q6" s="9"/>
      <c r="R6" s="9"/>
      <c r="S6" s="6"/>
      <c r="T6" s="6" t="s">
        <v>4</v>
      </c>
      <c r="U6" s="6"/>
      <c r="V6" s="19" t="s">
        <v>18</v>
      </c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9"/>
      <c r="BB6" s="9"/>
      <c r="BC6" s="9"/>
      <c r="BD6" s="9"/>
      <c r="BE6" s="9"/>
      <c r="BF6" s="9"/>
    </row>
    <row r="7" spans="1:93" s="4" customFormat="1" x14ac:dyDescent="0.3">
      <c r="A7" s="10"/>
      <c r="B7" s="8"/>
      <c r="C7" s="8"/>
      <c r="D7" s="8"/>
      <c r="F7" s="3"/>
      <c r="G7" s="6" t="s">
        <v>19</v>
      </c>
      <c r="H7" s="6"/>
      <c r="I7" s="6" t="s">
        <v>19</v>
      </c>
      <c r="J7" s="6" t="s">
        <v>19</v>
      </c>
      <c r="K7" s="6" t="s">
        <v>20</v>
      </c>
      <c r="L7" s="6" t="s">
        <v>21</v>
      </c>
      <c r="M7" s="6" t="s">
        <v>22</v>
      </c>
      <c r="N7" s="6" t="s">
        <v>21</v>
      </c>
      <c r="O7" s="6"/>
      <c r="P7" s="6" t="s">
        <v>23</v>
      </c>
      <c r="Q7" s="6" t="s">
        <v>24</v>
      </c>
      <c r="R7" s="6" t="s">
        <v>25</v>
      </c>
      <c r="S7" s="6"/>
      <c r="T7" s="6" t="s">
        <v>26</v>
      </c>
      <c r="U7" s="6"/>
      <c r="V7" s="6" t="s">
        <v>27</v>
      </c>
      <c r="W7" s="6" t="s">
        <v>28</v>
      </c>
      <c r="X7" s="6" t="s">
        <v>29</v>
      </c>
      <c r="Y7" s="6" t="s">
        <v>30</v>
      </c>
      <c r="Z7" s="6" t="s">
        <v>31</v>
      </c>
      <c r="AA7" s="6" t="s">
        <v>32</v>
      </c>
      <c r="AB7" s="6" t="s">
        <v>33</v>
      </c>
      <c r="AC7" s="6" t="s">
        <v>34</v>
      </c>
      <c r="AD7" s="6" t="s">
        <v>35</v>
      </c>
      <c r="AE7" s="6" t="s">
        <v>36</v>
      </c>
      <c r="AF7" s="6" t="s">
        <v>37</v>
      </c>
      <c r="AG7" s="6" t="s">
        <v>38</v>
      </c>
      <c r="AH7" s="6" t="s">
        <v>39</v>
      </c>
      <c r="AI7" s="6" t="s">
        <v>40</v>
      </c>
      <c r="AJ7" s="6" t="s">
        <v>41</v>
      </c>
      <c r="AK7" s="6" t="s">
        <v>42</v>
      </c>
      <c r="AL7" s="6" t="s">
        <v>43</v>
      </c>
      <c r="AM7" s="6" t="s">
        <v>44</v>
      </c>
      <c r="AN7" s="6" t="s">
        <v>45</v>
      </c>
      <c r="AO7" s="6" t="s">
        <v>46</v>
      </c>
      <c r="AP7" s="6" t="s">
        <v>47</v>
      </c>
      <c r="AQ7" s="6" t="s">
        <v>48</v>
      </c>
      <c r="AR7" s="6" t="s">
        <v>49</v>
      </c>
      <c r="AS7" s="6" t="s">
        <v>50</v>
      </c>
      <c r="AT7" s="6" t="s">
        <v>51</v>
      </c>
      <c r="AU7" s="6" t="s">
        <v>52</v>
      </c>
      <c r="AV7" s="6" t="s">
        <v>53</v>
      </c>
      <c r="AW7" s="6" t="s">
        <v>54</v>
      </c>
      <c r="AX7" s="6" t="s">
        <v>55</v>
      </c>
      <c r="AY7" s="6" t="s">
        <v>56</v>
      </c>
      <c r="AZ7" s="6" t="s">
        <v>57</v>
      </c>
      <c r="BA7" s="6"/>
      <c r="BB7" s="6"/>
      <c r="BC7" s="6"/>
      <c r="BD7" s="6"/>
      <c r="BE7" s="6"/>
      <c r="BF7" s="6"/>
    </row>
    <row r="8" spans="1:93" s="4" customFormat="1" x14ac:dyDescent="0.3">
      <c r="A8" s="10"/>
      <c r="B8" s="8"/>
      <c r="C8" s="8"/>
      <c r="D8" s="8"/>
      <c r="E8" s="4" t="s">
        <v>58</v>
      </c>
      <c r="F8" s="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1"/>
      <c r="AB8" s="11"/>
      <c r="AC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6"/>
      <c r="BE8" s="11"/>
      <c r="BF8" s="11"/>
    </row>
    <row r="9" spans="1:93" s="4" customFormat="1" x14ac:dyDescent="0.3">
      <c r="A9" s="10" t="s">
        <v>59</v>
      </c>
      <c r="B9" s="8" t="s">
        <v>60</v>
      </c>
      <c r="C9" s="8" t="s">
        <v>61</v>
      </c>
      <c r="D9" s="8"/>
      <c r="E9" s="4" t="s">
        <v>62</v>
      </c>
      <c r="F9" s="3" t="s">
        <v>63</v>
      </c>
      <c r="V9" s="11"/>
      <c r="W9" s="11"/>
      <c r="X9" s="11"/>
      <c r="Y9" s="11"/>
      <c r="AA9" s="11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</row>
    <row r="10" spans="1:93" x14ac:dyDescent="0.3">
      <c r="A10" s="13" t="str">
        <f t="shared" ref="A10:A60" si="0">RIGHT(B10,4)</f>
        <v/>
      </c>
      <c r="B10"/>
      <c r="C10"/>
      <c r="D10" s="14"/>
      <c r="E10"/>
      <c r="F10"/>
      <c r="G10" s="13" t="e">
        <f t="shared" ref="G10:G54" si="1">ROUND(100*SUM(P10:R10)/SUM($P$8:$R$8),0)</f>
        <v>#DIV/0!</v>
      </c>
      <c r="I10" s="13" t="e">
        <f>ROUND(100*SUM(V10:AZ10)/SUM($V$8:$AZ$8),0)</f>
        <v>#DIV/0!</v>
      </c>
      <c r="J10" s="13" t="e">
        <f t="shared" ref="J10:J53" si="2">ROUND(100*SUM(T10)/SUM($T$8),0)</f>
        <v>#DIV/0!</v>
      </c>
      <c r="K10" s="13" t="e">
        <f t="shared" ref="K10:K53" si="3">ROUND((G10*$G$2+I10*$I$2)*(10/7.5),0)</f>
        <v>#DIV/0!</v>
      </c>
      <c r="L10" s="13" t="e">
        <f t="shared" ref="L10:L54" si="4">IF(K10&gt;=$G$4,"A",IF(AND(K10&gt;=$H$4,K10&lt;$G$4), "B",IF(AND(K10&gt;=$I$4,K10&lt;$H$4),"C",IF(AND(K10&gt;=$J$4,K10&lt;$I$4),"D", IF(K10&lt;$J$4, "E")))))</f>
        <v>#DIV/0!</v>
      </c>
      <c r="M10" s="13" t="e">
        <f t="shared" ref="M10:M53" si="5">ROUND((G10*$G$2+I10*$I$2+J10*$J$2),0)</f>
        <v>#DIV/0!</v>
      </c>
      <c r="N10" s="13" t="e">
        <f t="shared" ref="N10:N54" si="6">IF(M10&gt;=$G$4,"A",IF(AND(M10&gt;=$H$4,M10&lt;$G$4), "B",IF(AND(M10&gt;=$I$4,M10&lt;$H$4),"C",IF(AND(M10&gt;=$J$4,M10&lt;$I$4),"D", IF(M10&lt;$J$4, "E")))))</f>
        <v>#DIV/0!</v>
      </c>
      <c r="V10" s="15"/>
      <c r="W10" s="15"/>
      <c r="X10" s="15"/>
      <c r="Y10" s="15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E10" s="14"/>
      <c r="BF10" s="14"/>
      <c r="CO10" s="13"/>
    </row>
    <row r="11" spans="1:93" x14ac:dyDescent="0.3">
      <c r="A11" s="13" t="str">
        <f t="shared" si="0"/>
        <v/>
      </c>
      <c r="B11"/>
      <c r="C11"/>
      <c r="D11" s="14"/>
      <c r="E11"/>
      <c r="F11"/>
      <c r="G11" s="13" t="e">
        <f t="shared" si="1"/>
        <v>#DIV/0!</v>
      </c>
      <c r="I11" s="13" t="e">
        <f t="shared" ref="I11:I53" si="7">ROUND(100*SUM(V11:BG11)/SUM($V$8:$BG$8),0)</f>
        <v>#DIV/0!</v>
      </c>
      <c r="J11" s="13" t="e">
        <f t="shared" si="2"/>
        <v>#DIV/0!</v>
      </c>
      <c r="K11" s="13" t="e">
        <f t="shared" si="3"/>
        <v>#DIV/0!</v>
      </c>
      <c r="L11" s="13" t="e">
        <f t="shared" si="4"/>
        <v>#DIV/0!</v>
      </c>
      <c r="M11" s="13" t="e">
        <f t="shared" si="5"/>
        <v>#DIV/0!</v>
      </c>
      <c r="N11" s="13" t="e">
        <f t="shared" si="6"/>
        <v>#DIV/0!</v>
      </c>
      <c r="V11" s="15"/>
      <c r="W11" s="15"/>
      <c r="X11" s="15"/>
      <c r="Y11" s="15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E11" s="14"/>
      <c r="BF11" s="14"/>
      <c r="CO11" s="13"/>
    </row>
    <row r="12" spans="1:93" x14ac:dyDescent="0.3">
      <c r="A12" s="13" t="str">
        <f t="shared" si="0"/>
        <v/>
      </c>
      <c r="B12"/>
      <c r="C12"/>
      <c r="D12" s="14"/>
      <c r="E12"/>
      <c r="F12"/>
      <c r="G12" s="13" t="e">
        <f t="shared" si="1"/>
        <v>#DIV/0!</v>
      </c>
      <c r="I12" s="13" t="e">
        <f t="shared" si="7"/>
        <v>#DIV/0!</v>
      </c>
      <c r="J12" s="13" t="e">
        <f t="shared" si="2"/>
        <v>#DIV/0!</v>
      </c>
      <c r="K12" s="13" t="e">
        <f t="shared" si="3"/>
        <v>#DIV/0!</v>
      </c>
      <c r="L12" s="13" t="e">
        <f t="shared" si="4"/>
        <v>#DIV/0!</v>
      </c>
      <c r="M12" s="13" t="e">
        <f t="shared" si="5"/>
        <v>#DIV/0!</v>
      </c>
      <c r="N12" s="13" t="e">
        <f t="shared" si="6"/>
        <v>#DIV/0!</v>
      </c>
      <c r="V12" s="15"/>
      <c r="W12" s="15"/>
      <c r="X12" s="15"/>
      <c r="Y12" s="15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E12" s="14"/>
      <c r="BF12" s="14"/>
      <c r="CO12" s="13"/>
    </row>
    <row r="13" spans="1:93" x14ac:dyDescent="0.3">
      <c r="A13" s="13" t="str">
        <f t="shared" si="0"/>
        <v/>
      </c>
      <c r="B13"/>
      <c r="C13"/>
      <c r="D13" s="14"/>
      <c r="E13"/>
      <c r="F13"/>
      <c r="G13" s="13" t="e">
        <f t="shared" si="1"/>
        <v>#DIV/0!</v>
      </c>
      <c r="I13" s="13" t="e">
        <f t="shared" si="7"/>
        <v>#DIV/0!</v>
      </c>
      <c r="J13" s="13" t="e">
        <f t="shared" si="2"/>
        <v>#DIV/0!</v>
      </c>
      <c r="K13" s="13" t="e">
        <f t="shared" si="3"/>
        <v>#DIV/0!</v>
      </c>
      <c r="L13" s="13" t="e">
        <f t="shared" si="4"/>
        <v>#DIV/0!</v>
      </c>
      <c r="M13" s="13" t="e">
        <f t="shared" si="5"/>
        <v>#DIV/0!</v>
      </c>
      <c r="N13" s="13" t="e">
        <f t="shared" si="6"/>
        <v>#DIV/0!</v>
      </c>
      <c r="V13" s="15"/>
      <c r="W13" s="15"/>
      <c r="X13" s="15"/>
      <c r="Y13" s="15"/>
      <c r="AA13" s="14"/>
      <c r="AB13" s="14"/>
      <c r="AC13" s="14"/>
      <c r="AD13" s="14"/>
      <c r="AE13" s="14"/>
      <c r="AF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E13" s="14"/>
      <c r="BF13" s="14"/>
      <c r="CO13" s="13"/>
    </row>
    <row r="14" spans="1:93" x14ac:dyDescent="0.3">
      <c r="A14" s="13" t="str">
        <f t="shared" si="0"/>
        <v/>
      </c>
      <c r="B14"/>
      <c r="C14"/>
      <c r="D14" s="14"/>
      <c r="E14"/>
      <c r="F14"/>
      <c r="G14" s="13" t="e">
        <f t="shared" si="1"/>
        <v>#DIV/0!</v>
      </c>
      <c r="I14" s="13" t="e">
        <f t="shared" si="7"/>
        <v>#DIV/0!</v>
      </c>
      <c r="J14" s="13" t="e">
        <f t="shared" si="2"/>
        <v>#DIV/0!</v>
      </c>
      <c r="K14" s="13" t="e">
        <f t="shared" si="3"/>
        <v>#DIV/0!</v>
      </c>
      <c r="L14" s="13" t="e">
        <f t="shared" si="4"/>
        <v>#DIV/0!</v>
      </c>
      <c r="M14" s="13" t="e">
        <f t="shared" si="5"/>
        <v>#DIV/0!</v>
      </c>
      <c r="N14" s="13" t="e">
        <f t="shared" si="6"/>
        <v>#DIV/0!</v>
      </c>
      <c r="V14" s="15"/>
      <c r="W14" s="15"/>
      <c r="X14" s="15"/>
      <c r="Y14" s="15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E14" s="14"/>
      <c r="BF14" s="14"/>
      <c r="CO14" s="13"/>
    </row>
    <row r="15" spans="1:93" x14ac:dyDescent="0.3">
      <c r="A15" s="13" t="str">
        <f t="shared" si="0"/>
        <v/>
      </c>
      <c r="B15"/>
      <c r="C15"/>
      <c r="D15" s="14"/>
      <c r="E15"/>
      <c r="F15"/>
      <c r="G15" s="13" t="e">
        <f t="shared" si="1"/>
        <v>#DIV/0!</v>
      </c>
      <c r="I15" s="13" t="e">
        <f t="shared" si="7"/>
        <v>#DIV/0!</v>
      </c>
      <c r="J15" s="13" t="e">
        <f t="shared" si="2"/>
        <v>#DIV/0!</v>
      </c>
      <c r="K15" s="13" t="e">
        <f t="shared" si="3"/>
        <v>#DIV/0!</v>
      </c>
      <c r="L15" s="13" t="e">
        <f t="shared" si="4"/>
        <v>#DIV/0!</v>
      </c>
      <c r="M15" s="13" t="e">
        <f t="shared" si="5"/>
        <v>#DIV/0!</v>
      </c>
      <c r="N15" s="13" t="e">
        <f t="shared" si="6"/>
        <v>#DIV/0!</v>
      </c>
      <c r="V15" s="15"/>
      <c r="W15" s="15"/>
      <c r="X15" s="15"/>
      <c r="Y15" s="15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E15" s="14"/>
      <c r="BF15" s="14"/>
      <c r="CO15" s="13"/>
    </row>
    <row r="16" spans="1:93" x14ac:dyDescent="0.3">
      <c r="A16" s="13" t="str">
        <f t="shared" si="0"/>
        <v/>
      </c>
      <c r="B16"/>
      <c r="C16"/>
      <c r="D16" s="14"/>
      <c r="E16"/>
      <c r="F16"/>
      <c r="G16" s="13" t="e">
        <f t="shared" si="1"/>
        <v>#DIV/0!</v>
      </c>
      <c r="I16" s="13" t="e">
        <f t="shared" si="7"/>
        <v>#DIV/0!</v>
      </c>
      <c r="J16" s="13" t="e">
        <f t="shared" si="2"/>
        <v>#DIV/0!</v>
      </c>
      <c r="K16" s="13" t="e">
        <f t="shared" si="3"/>
        <v>#DIV/0!</v>
      </c>
      <c r="L16" s="13" t="e">
        <f t="shared" si="4"/>
        <v>#DIV/0!</v>
      </c>
      <c r="M16" s="13" t="e">
        <f t="shared" si="5"/>
        <v>#DIV/0!</v>
      </c>
      <c r="N16" s="13" t="e">
        <f t="shared" si="6"/>
        <v>#DIV/0!</v>
      </c>
      <c r="V16" s="15"/>
      <c r="W16" s="15"/>
      <c r="X16" s="15"/>
      <c r="Y16" s="15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E16" s="14"/>
      <c r="BF16" s="14"/>
      <c r="CO16" s="13"/>
    </row>
    <row r="17" spans="1:93" x14ac:dyDescent="0.3">
      <c r="A17" s="13" t="str">
        <f t="shared" si="0"/>
        <v/>
      </c>
      <c r="B17"/>
      <c r="C17"/>
      <c r="D17" s="14"/>
      <c r="E17"/>
      <c r="F17"/>
      <c r="G17" s="13" t="e">
        <f t="shared" si="1"/>
        <v>#DIV/0!</v>
      </c>
      <c r="I17" s="13" t="e">
        <f t="shared" si="7"/>
        <v>#DIV/0!</v>
      </c>
      <c r="J17" s="13" t="e">
        <f t="shared" si="2"/>
        <v>#DIV/0!</v>
      </c>
      <c r="K17" s="13" t="e">
        <f t="shared" si="3"/>
        <v>#DIV/0!</v>
      </c>
      <c r="L17" s="13" t="e">
        <f t="shared" si="4"/>
        <v>#DIV/0!</v>
      </c>
      <c r="M17" s="13" t="e">
        <f t="shared" si="5"/>
        <v>#DIV/0!</v>
      </c>
      <c r="N17" s="13" t="e">
        <f t="shared" si="6"/>
        <v>#DIV/0!</v>
      </c>
      <c r="V17" s="15"/>
      <c r="W17" s="15"/>
      <c r="X17" s="15"/>
      <c r="Y17" s="15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E17" s="14"/>
      <c r="BF17" s="14"/>
      <c r="CO17" s="13"/>
    </row>
    <row r="18" spans="1:93" x14ac:dyDescent="0.3">
      <c r="A18" s="13" t="str">
        <f t="shared" si="0"/>
        <v/>
      </c>
      <c r="B18"/>
      <c r="C18"/>
      <c r="D18" s="14"/>
      <c r="E18"/>
      <c r="F18"/>
      <c r="G18" s="13" t="e">
        <f t="shared" si="1"/>
        <v>#DIV/0!</v>
      </c>
      <c r="I18" s="13" t="e">
        <f t="shared" si="7"/>
        <v>#DIV/0!</v>
      </c>
      <c r="J18" s="13" t="e">
        <f t="shared" si="2"/>
        <v>#DIV/0!</v>
      </c>
      <c r="K18" s="13" t="e">
        <f t="shared" si="3"/>
        <v>#DIV/0!</v>
      </c>
      <c r="L18" s="13" t="e">
        <f t="shared" si="4"/>
        <v>#DIV/0!</v>
      </c>
      <c r="M18" s="13" t="e">
        <f t="shared" si="5"/>
        <v>#DIV/0!</v>
      </c>
      <c r="N18" s="13" t="e">
        <f t="shared" si="6"/>
        <v>#DIV/0!</v>
      </c>
      <c r="V18" s="15"/>
      <c r="W18" s="15"/>
      <c r="X18" s="15"/>
      <c r="Y18" s="15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E18" s="14"/>
      <c r="BF18" s="14"/>
      <c r="CO18" s="13"/>
    </row>
    <row r="19" spans="1:93" x14ac:dyDescent="0.3">
      <c r="A19" s="13" t="str">
        <f t="shared" si="0"/>
        <v/>
      </c>
      <c r="B19"/>
      <c r="C19"/>
      <c r="D19" s="14"/>
      <c r="E19"/>
      <c r="F19"/>
      <c r="G19" s="13" t="e">
        <f t="shared" si="1"/>
        <v>#DIV/0!</v>
      </c>
      <c r="I19" s="13" t="e">
        <f t="shared" si="7"/>
        <v>#DIV/0!</v>
      </c>
      <c r="J19" s="13" t="e">
        <f t="shared" si="2"/>
        <v>#DIV/0!</v>
      </c>
      <c r="K19" s="13" t="e">
        <f t="shared" si="3"/>
        <v>#DIV/0!</v>
      </c>
      <c r="L19" s="13" t="e">
        <f t="shared" si="4"/>
        <v>#DIV/0!</v>
      </c>
      <c r="M19" s="13" t="e">
        <f t="shared" si="5"/>
        <v>#DIV/0!</v>
      </c>
      <c r="N19" s="13" t="e">
        <f t="shared" si="6"/>
        <v>#DIV/0!</v>
      </c>
      <c r="V19" s="15"/>
      <c r="W19" s="15"/>
      <c r="X19" s="15"/>
      <c r="Y19" s="15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E19" s="14"/>
      <c r="BF19" s="14"/>
      <c r="CO19" s="13"/>
    </row>
    <row r="20" spans="1:93" x14ac:dyDescent="0.3">
      <c r="A20" s="13" t="str">
        <f t="shared" si="0"/>
        <v/>
      </c>
      <c r="B20"/>
      <c r="C20"/>
      <c r="D20" s="14"/>
      <c r="E20"/>
      <c r="F20"/>
      <c r="G20" s="13" t="e">
        <f t="shared" si="1"/>
        <v>#DIV/0!</v>
      </c>
      <c r="I20" s="13" t="e">
        <f t="shared" si="7"/>
        <v>#DIV/0!</v>
      </c>
      <c r="J20" s="13" t="e">
        <f t="shared" si="2"/>
        <v>#DIV/0!</v>
      </c>
      <c r="K20" s="13" t="e">
        <f t="shared" si="3"/>
        <v>#DIV/0!</v>
      </c>
      <c r="L20" s="13" t="e">
        <f t="shared" si="4"/>
        <v>#DIV/0!</v>
      </c>
      <c r="M20" s="13" t="e">
        <f t="shared" si="5"/>
        <v>#DIV/0!</v>
      </c>
      <c r="N20" s="13" t="e">
        <f t="shared" si="6"/>
        <v>#DIV/0!</v>
      </c>
      <c r="V20" s="15"/>
      <c r="W20" s="15"/>
      <c r="X20" s="15"/>
      <c r="Y20" s="15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E20" s="14"/>
      <c r="BF20" s="14"/>
      <c r="CO20" s="13"/>
    </row>
    <row r="21" spans="1:93" x14ac:dyDescent="0.3">
      <c r="A21" s="13" t="str">
        <f t="shared" si="0"/>
        <v/>
      </c>
      <c r="B21"/>
      <c r="C21"/>
      <c r="D21" s="14"/>
      <c r="E21"/>
      <c r="F21"/>
      <c r="G21" s="13" t="e">
        <f t="shared" si="1"/>
        <v>#DIV/0!</v>
      </c>
      <c r="I21" s="13" t="e">
        <f t="shared" si="7"/>
        <v>#DIV/0!</v>
      </c>
      <c r="J21" s="13" t="e">
        <f t="shared" si="2"/>
        <v>#DIV/0!</v>
      </c>
      <c r="K21" s="13" t="e">
        <f t="shared" si="3"/>
        <v>#DIV/0!</v>
      </c>
      <c r="L21" s="13" t="e">
        <f t="shared" si="4"/>
        <v>#DIV/0!</v>
      </c>
      <c r="M21" s="13" t="e">
        <f t="shared" si="5"/>
        <v>#DIV/0!</v>
      </c>
      <c r="N21" s="13" t="e">
        <f t="shared" si="6"/>
        <v>#DIV/0!</v>
      </c>
      <c r="V21" s="15"/>
      <c r="W21" s="15"/>
      <c r="X21" s="15"/>
      <c r="Y21" s="15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E21" s="14"/>
      <c r="BF21" s="14"/>
      <c r="CO21" s="13"/>
    </row>
    <row r="22" spans="1:93" x14ac:dyDescent="0.3">
      <c r="A22" s="13" t="str">
        <f t="shared" si="0"/>
        <v/>
      </c>
      <c r="B22" s="14"/>
      <c r="C22" s="14"/>
      <c r="D22" s="14"/>
      <c r="F22" s="14"/>
      <c r="G22" s="13" t="e">
        <f t="shared" si="1"/>
        <v>#DIV/0!</v>
      </c>
      <c r="I22" s="13" t="e">
        <f t="shared" si="7"/>
        <v>#DIV/0!</v>
      </c>
      <c r="J22" s="13" t="e">
        <f t="shared" si="2"/>
        <v>#DIV/0!</v>
      </c>
      <c r="K22" s="13" t="e">
        <f t="shared" si="3"/>
        <v>#DIV/0!</v>
      </c>
      <c r="L22" s="13" t="e">
        <f t="shared" si="4"/>
        <v>#DIV/0!</v>
      </c>
      <c r="M22" s="13" t="e">
        <f t="shared" si="5"/>
        <v>#DIV/0!</v>
      </c>
      <c r="N22" s="13" t="e">
        <f t="shared" si="6"/>
        <v>#DIV/0!</v>
      </c>
      <c r="V22" s="15"/>
      <c r="W22" s="15"/>
      <c r="X22" s="15"/>
      <c r="Y22" s="15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E22" s="14"/>
      <c r="BF22" s="14"/>
      <c r="CO22" s="13"/>
    </row>
    <row r="23" spans="1:93" x14ac:dyDescent="0.3">
      <c r="A23" s="13" t="str">
        <f t="shared" si="0"/>
        <v/>
      </c>
      <c r="B23" s="14"/>
      <c r="C23" s="14"/>
      <c r="D23" s="14"/>
      <c r="F23" s="14"/>
      <c r="G23" s="13" t="e">
        <f t="shared" si="1"/>
        <v>#DIV/0!</v>
      </c>
      <c r="I23" s="13" t="e">
        <f t="shared" si="7"/>
        <v>#DIV/0!</v>
      </c>
      <c r="J23" s="13" t="e">
        <f t="shared" si="2"/>
        <v>#DIV/0!</v>
      </c>
      <c r="K23" s="13" t="e">
        <f t="shared" si="3"/>
        <v>#DIV/0!</v>
      </c>
      <c r="L23" s="13" t="e">
        <f t="shared" si="4"/>
        <v>#DIV/0!</v>
      </c>
      <c r="M23" s="13" t="e">
        <f t="shared" si="5"/>
        <v>#DIV/0!</v>
      </c>
      <c r="N23" s="13" t="e">
        <f t="shared" si="6"/>
        <v>#DIV/0!</v>
      </c>
      <c r="V23" s="15"/>
      <c r="W23" s="15"/>
      <c r="X23" s="15"/>
      <c r="Y23" s="15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E23" s="14"/>
      <c r="BF23" s="14"/>
      <c r="CO23" s="13"/>
    </row>
    <row r="24" spans="1:93" x14ac:dyDescent="0.3">
      <c r="A24" s="13" t="str">
        <f t="shared" si="0"/>
        <v/>
      </c>
      <c r="B24" s="14"/>
      <c r="C24" s="14"/>
      <c r="D24" s="14"/>
      <c r="F24" s="14"/>
      <c r="G24" s="13" t="e">
        <f t="shared" si="1"/>
        <v>#DIV/0!</v>
      </c>
      <c r="I24" s="13" t="e">
        <f t="shared" si="7"/>
        <v>#DIV/0!</v>
      </c>
      <c r="J24" s="13" t="e">
        <f t="shared" si="2"/>
        <v>#DIV/0!</v>
      </c>
      <c r="K24" s="13" t="e">
        <f t="shared" si="3"/>
        <v>#DIV/0!</v>
      </c>
      <c r="L24" s="13" t="e">
        <f t="shared" si="4"/>
        <v>#DIV/0!</v>
      </c>
      <c r="M24" s="13" t="e">
        <f t="shared" si="5"/>
        <v>#DIV/0!</v>
      </c>
      <c r="N24" s="13" t="e">
        <f t="shared" si="6"/>
        <v>#DIV/0!</v>
      </c>
      <c r="V24" s="15"/>
      <c r="W24" s="15"/>
      <c r="X24" s="15"/>
      <c r="Y24" s="15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E24" s="14"/>
      <c r="BF24" s="14"/>
      <c r="CO24" s="13"/>
    </row>
    <row r="25" spans="1:93" x14ac:dyDescent="0.3">
      <c r="A25" s="13" t="str">
        <f t="shared" si="0"/>
        <v/>
      </c>
      <c r="B25" s="14"/>
      <c r="C25" s="14"/>
      <c r="D25" s="14"/>
      <c r="F25" s="14"/>
      <c r="G25" s="13" t="e">
        <f t="shared" si="1"/>
        <v>#DIV/0!</v>
      </c>
      <c r="I25" s="13" t="e">
        <f t="shared" si="7"/>
        <v>#DIV/0!</v>
      </c>
      <c r="J25" s="13" t="e">
        <f t="shared" si="2"/>
        <v>#DIV/0!</v>
      </c>
      <c r="K25" s="13" t="e">
        <f t="shared" si="3"/>
        <v>#DIV/0!</v>
      </c>
      <c r="L25" s="13" t="e">
        <f t="shared" si="4"/>
        <v>#DIV/0!</v>
      </c>
      <c r="M25" s="13" t="e">
        <f t="shared" si="5"/>
        <v>#DIV/0!</v>
      </c>
      <c r="N25" s="13" t="e">
        <f t="shared" si="6"/>
        <v>#DIV/0!</v>
      </c>
      <c r="V25" s="15"/>
      <c r="W25" s="15"/>
      <c r="X25" s="15"/>
      <c r="Y25" s="15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E25" s="14"/>
      <c r="BF25" s="14"/>
      <c r="CO25" s="13"/>
    </row>
    <row r="26" spans="1:93" x14ac:dyDescent="0.3">
      <c r="A26" s="13" t="str">
        <f t="shared" si="0"/>
        <v/>
      </c>
      <c r="B26" s="14"/>
      <c r="C26" s="14"/>
      <c r="D26" s="14"/>
      <c r="F26" s="14"/>
      <c r="G26" s="13" t="e">
        <f t="shared" si="1"/>
        <v>#DIV/0!</v>
      </c>
      <c r="I26" s="13" t="e">
        <f t="shared" si="7"/>
        <v>#DIV/0!</v>
      </c>
      <c r="J26" s="13" t="e">
        <f t="shared" si="2"/>
        <v>#DIV/0!</v>
      </c>
      <c r="K26" s="13" t="e">
        <f t="shared" si="3"/>
        <v>#DIV/0!</v>
      </c>
      <c r="L26" s="13" t="e">
        <f t="shared" si="4"/>
        <v>#DIV/0!</v>
      </c>
      <c r="M26" s="13" t="e">
        <f t="shared" si="5"/>
        <v>#DIV/0!</v>
      </c>
      <c r="N26" s="13" t="e">
        <f t="shared" si="6"/>
        <v>#DIV/0!</v>
      </c>
      <c r="V26" s="15"/>
      <c r="W26" s="15"/>
      <c r="X26" s="15"/>
      <c r="Y26" s="15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E26" s="14"/>
      <c r="BF26" s="14"/>
      <c r="CO26" s="13"/>
    </row>
    <row r="27" spans="1:93" x14ac:dyDescent="0.3">
      <c r="A27" s="13" t="str">
        <f t="shared" si="0"/>
        <v/>
      </c>
      <c r="B27" s="14"/>
      <c r="C27" s="14"/>
      <c r="D27" s="14"/>
      <c r="F27" s="14"/>
      <c r="G27" s="13" t="e">
        <f t="shared" si="1"/>
        <v>#DIV/0!</v>
      </c>
      <c r="I27" s="13" t="e">
        <f t="shared" si="7"/>
        <v>#DIV/0!</v>
      </c>
      <c r="J27" s="13" t="e">
        <f t="shared" si="2"/>
        <v>#DIV/0!</v>
      </c>
      <c r="K27" s="13" t="e">
        <f t="shared" si="3"/>
        <v>#DIV/0!</v>
      </c>
      <c r="L27" s="13" t="e">
        <f t="shared" si="4"/>
        <v>#DIV/0!</v>
      </c>
      <c r="M27" s="13" t="e">
        <f t="shared" si="5"/>
        <v>#DIV/0!</v>
      </c>
      <c r="N27" s="13" t="e">
        <f t="shared" si="6"/>
        <v>#DIV/0!</v>
      </c>
      <c r="V27" s="15"/>
      <c r="W27" s="15"/>
      <c r="X27" s="15"/>
      <c r="Y27" s="15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E27" s="14"/>
      <c r="BF27" s="14"/>
      <c r="CO27" s="13"/>
    </row>
    <row r="28" spans="1:93" x14ac:dyDescent="0.3">
      <c r="A28" s="13" t="str">
        <f t="shared" si="0"/>
        <v/>
      </c>
      <c r="B28" s="14"/>
      <c r="C28" s="14"/>
      <c r="D28" s="14"/>
      <c r="F28" s="14"/>
      <c r="G28" s="13" t="e">
        <f t="shared" si="1"/>
        <v>#DIV/0!</v>
      </c>
      <c r="I28" s="13" t="e">
        <f t="shared" si="7"/>
        <v>#DIV/0!</v>
      </c>
      <c r="J28" s="13" t="e">
        <f t="shared" si="2"/>
        <v>#DIV/0!</v>
      </c>
      <c r="K28" s="13" t="e">
        <f t="shared" si="3"/>
        <v>#DIV/0!</v>
      </c>
      <c r="L28" s="13" t="e">
        <f t="shared" si="4"/>
        <v>#DIV/0!</v>
      </c>
      <c r="M28" s="13" t="e">
        <f t="shared" si="5"/>
        <v>#DIV/0!</v>
      </c>
      <c r="N28" s="13" t="e">
        <f t="shared" si="6"/>
        <v>#DIV/0!</v>
      </c>
      <c r="V28" s="15"/>
      <c r="W28" s="15"/>
      <c r="X28" s="15"/>
      <c r="Y28" s="15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E28" s="14"/>
      <c r="BF28" s="14"/>
      <c r="CO28" s="13"/>
    </row>
    <row r="29" spans="1:93" x14ac:dyDescent="0.3">
      <c r="A29" s="13" t="str">
        <f t="shared" si="0"/>
        <v/>
      </c>
      <c r="B29" s="14"/>
      <c r="C29" s="14"/>
      <c r="D29" s="14"/>
      <c r="F29" s="14"/>
      <c r="G29" s="13" t="e">
        <f t="shared" si="1"/>
        <v>#DIV/0!</v>
      </c>
      <c r="I29" s="13" t="e">
        <f t="shared" si="7"/>
        <v>#DIV/0!</v>
      </c>
      <c r="J29" s="13" t="e">
        <f t="shared" si="2"/>
        <v>#DIV/0!</v>
      </c>
      <c r="K29" s="13" t="e">
        <f t="shared" si="3"/>
        <v>#DIV/0!</v>
      </c>
      <c r="L29" s="13" t="e">
        <f t="shared" si="4"/>
        <v>#DIV/0!</v>
      </c>
      <c r="M29" s="13" t="e">
        <f t="shared" si="5"/>
        <v>#DIV/0!</v>
      </c>
      <c r="N29" s="13" t="e">
        <f t="shared" si="6"/>
        <v>#DIV/0!</v>
      </c>
      <c r="V29" s="15"/>
      <c r="W29" s="15"/>
      <c r="X29" s="15"/>
      <c r="Y29" s="15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E29" s="14"/>
      <c r="BF29" s="14"/>
      <c r="CO29" s="13"/>
    </row>
    <row r="30" spans="1:93" x14ac:dyDescent="0.3">
      <c r="A30" s="13" t="str">
        <f t="shared" si="0"/>
        <v/>
      </c>
      <c r="B30" s="14"/>
      <c r="C30" s="14"/>
      <c r="D30" s="14"/>
      <c r="F30" s="14"/>
      <c r="G30" s="13" t="e">
        <f t="shared" si="1"/>
        <v>#DIV/0!</v>
      </c>
      <c r="I30" s="13" t="e">
        <f t="shared" si="7"/>
        <v>#DIV/0!</v>
      </c>
      <c r="J30" s="13" t="e">
        <f t="shared" si="2"/>
        <v>#DIV/0!</v>
      </c>
      <c r="K30" s="13" t="e">
        <f t="shared" si="3"/>
        <v>#DIV/0!</v>
      </c>
      <c r="L30" s="13" t="e">
        <f t="shared" si="4"/>
        <v>#DIV/0!</v>
      </c>
      <c r="M30" s="13" t="e">
        <f t="shared" si="5"/>
        <v>#DIV/0!</v>
      </c>
      <c r="N30" s="13" t="e">
        <f t="shared" si="6"/>
        <v>#DIV/0!</v>
      </c>
      <c r="V30" s="15"/>
      <c r="W30" s="15"/>
      <c r="X30" s="15"/>
      <c r="Y30" s="15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E30" s="14"/>
      <c r="BF30" s="14"/>
      <c r="CO30" s="13"/>
    </row>
    <row r="31" spans="1:93" x14ac:dyDescent="0.3">
      <c r="A31" s="13" t="str">
        <f t="shared" si="0"/>
        <v/>
      </c>
      <c r="B31" s="14"/>
      <c r="C31" s="14"/>
      <c r="D31" s="14"/>
      <c r="F31" s="14"/>
      <c r="G31" s="13" t="e">
        <f t="shared" si="1"/>
        <v>#DIV/0!</v>
      </c>
      <c r="I31" s="13" t="e">
        <f t="shared" si="7"/>
        <v>#DIV/0!</v>
      </c>
      <c r="J31" s="13" t="e">
        <f t="shared" si="2"/>
        <v>#DIV/0!</v>
      </c>
      <c r="K31" s="13" t="e">
        <f t="shared" si="3"/>
        <v>#DIV/0!</v>
      </c>
      <c r="L31" s="13" t="e">
        <f t="shared" si="4"/>
        <v>#DIV/0!</v>
      </c>
      <c r="M31" s="13" t="e">
        <f t="shared" si="5"/>
        <v>#DIV/0!</v>
      </c>
      <c r="N31" s="13" t="e">
        <f t="shared" si="6"/>
        <v>#DIV/0!</v>
      </c>
      <c r="V31" s="15"/>
      <c r="W31" s="15"/>
      <c r="X31" s="15"/>
      <c r="Y31" s="15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E31" s="14"/>
      <c r="BF31" s="14"/>
      <c r="CO31" s="13"/>
    </row>
    <row r="32" spans="1:93" x14ac:dyDescent="0.3">
      <c r="A32" s="13" t="str">
        <f t="shared" si="0"/>
        <v/>
      </c>
      <c r="B32" s="14"/>
      <c r="C32" s="14"/>
      <c r="D32" s="14"/>
      <c r="F32" s="14"/>
      <c r="G32" s="13" t="e">
        <f t="shared" si="1"/>
        <v>#DIV/0!</v>
      </c>
      <c r="I32" s="13" t="e">
        <f t="shared" si="7"/>
        <v>#DIV/0!</v>
      </c>
      <c r="J32" s="13" t="e">
        <f t="shared" si="2"/>
        <v>#DIV/0!</v>
      </c>
      <c r="K32" s="13" t="e">
        <f t="shared" si="3"/>
        <v>#DIV/0!</v>
      </c>
      <c r="L32" s="13" t="e">
        <f t="shared" si="4"/>
        <v>#DIV/0!</v>
      </c>
      <c r="M32" s="13" t="e">
        <f t="shared" si="5"/>
        <v>#DIV/0!</v>
      </c>
      <c r="N32" s="13" t="e">
        <f t="shared" si="6"/>
        <v>#DIV/0!</v>
      </c>
      <c r="V32" s="15"/>
      <c r="W32" s="15"/>
      <c r="X32" s="15"/>
      <c r="Y32" s="15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E32" s="14"/>
      <c r="BF32" s="14"/>
      <c r="CO32" s="13"/>
    </row>
    <row r="33" spans="1:93" x14ac:dyDescent="0.3">
      <c r="A33" s="13" t="str">
        <f t="shared" si="0"/>
        <v/>
      </c>
      <c r="B33" s="14"/>
      <c r="C33" s="14"/>
      <c r="D33" s="14"/>
      <c r="F33" s="14"/>
      <c r="G33" s="13" t="e">
        <f t="shared" si="1"/>
        <v>#DIV/0!</v>
      </c>
      <c r="I33" s="13" t="e">
        <f t="shared" si="7"/>
        <v>#DIV/0!</v>
      </c>
      <c r="J33" s="13" t="e">
        <f t="shared" si="2"/>
        <v>#DIV/0!</v>
      </c>
      <c r="K33" s="13" t="e">
        <f t="shared" si="3"/>
        <v>#DIV/0!</v>
      </c>
      <c r="L33" s="13" t="e">
        <f t="shared" si="4"/>
        <v>#DIV/0!</v>
      </c>
      <c r="M33" s="13" t="e">
        <f t="shared" si="5"/>
        <v>#DIV/0!</v>
      </c>
      <c r="N33" s="13" t="e">
        <f t="shared" si="6"/>
        <v>#DIV/0!</v>
      </c>
      <c r="V33" s="15"/>
      <c r="W33" s="15"/>
      <c r="X33" s="15"/>
      <c r="Y33" s="15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E33" s="14"/>
      <c r="BF33" s="14"/>
      <c r="CO33" s="13"/>
    </row>
    <row r="34" spans="1:93" x14ac:dyDescent="0.3">
      <c r="A34" s="13" t="str">
        <f t="shared" si="0"/>
        <v/>
      </c>
      <c r="B34" s="14"/>
      <c r="C34" s="14"/>
      <c r="D34" s="14"/>
      <c r="F34" s="14"/>
      <c r="G34" s="13" t="e">
        <f t="shared" si="1"/>
        <v>#DIV/0!</v>
      </c>
      <c r="I34" s="13" t="e">
        <f t="shared" si="7"/>
        <v>#DIV/0!</v>
      </c>
      <c r="J34" s="13" t="e">
        <f t="shared" si="2"/>
        <v>#DIV/0!</v>
      </c>
      <c r="K34" s="13" t="e">
        <f t="shared" si="3"/>
        <v>#DIV/0!</v>
      </c>
      <c r="L34" s="13" t="e">
        <f t="shared" si="4"/>
        <v>#DIV/0!</v>
      </c>
      <c r="M34" s="13" t="e">
        <f t="shared" si="5"/>
        <v>#DIV/0!</v>
      </c>
      <c r="N34" s="13" t="e">
        <f t="shared" si="6"/>
        <v>#DIV/0!</v>
      </c>
      <c r="V34" s="15"/>
      <c r="W34" s="15"/>
      <c r="X34" s="15"/>
      <c r="Y34" s="15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E34" s="14"/>
      <c r="BF34" s="14"/>
      <c r="CO34" s="13"/>
    </row>
    <row r="35" spans="1:93" x14ac:dyDescent="0.3">
      <c r="A35" s="13" t="str">
        <f t="shared" si="0"/>
        <v/>
      </c>
      <c r="B35" s="14"/>
      <c r="C35" s="14"/>
      <c r="D35" s="14"/>
      <c r="F35" s="14"/>
      <c r="G35" s="13" t="e">
        <f t="shared" si="1"/>
        <v>#DIV/0!</v>
      </c>
      <c r="I35" s="13" t="e">
        <f t="shared" si="7"/>
        <v>#DIV/0!</v>
      </c>
      <c r="J35" s="13" t="e">
        <f t="shared" si="2"/>
        <v>#DIV/0!</v>
      </c>
      <c r="K35" s="13" t="e">
        <f t="shared" si="3"/>
        <v>#DIV/0!</v>
      </c>
      <c r="L35" s="13" t="e">
        <f t="shared" si="4"/>
        <v>#DIV/0!</v>
      </c>
      <c r="M35" s="13" t="e">
        <f t="shared" si="5"/>
        <v>#DIV/0!</v>
      </c>
      <c r="N35" s="13" t="e">
        <f t="shared" si="6"/>
        <v>#DIV/0!</v>
      </c>
      <c r="V35" s="15"/>
      <c r="W35" s="15"/>
      <c r="X35" s="15"/>
      <c r="Y35" s="15"/>
      <c r="AA35" s="14"/>
      <c r="AB35" s="14"/>
      <c r="AC35" s="14"/>
      <c r="AD35" s="14"/>
      <c r="AE35" s="14"/>
      <c r="AF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E35" s="14"/>
      <c r="BF35" s="14"/>
      <c r="CO35" s="13"/>
    </row>
    <row r="36" spans="1:93" x14ac:dyDescent="0.3">
      <c r="A36" s="13" t="str">
        <f t="shared" si="0"/>
        <v/>
      </c>
      <c r="B36" s="14"/>
      <c r="C36" s="14"/>
      <c r="D36" s="14"/>
      <c r="F36" s="14"/>
      <c r="G36" s="13" t="e">
        <f t="shared" si="1"/>
        <v>#DIV/0!</v>
      </c>
      <c r="I36" s="13" t="e">
        <f t="shared" si="7"/>
        <v>#DIV/0!</v>
      </c>
      <c r="J36" s="13" t="e">
        <f t="shared" si="2"/>
        <v>#DIV/0!</v>
      </c>
      <c r="K36" s="13" t="e">
        <f t="shared" si="3"/>
        <v>#DIV/0!</v>
      </c>
      <c r="L36" s="13" t="e">
        <f t="shared" si="4"/>
        <v>#DIV/0!</v>
      </c>
      <c r="M36" s="13" t="e">
        <f t="shared" si="5"/>
        <v>#DIV/0!</v>
      </c>
      <c r="N36" s="13" t="e">
        <f t="shared" si="6"/>
        <v>#DIV/0!</v>
      </c>
      <c r="V36" s="15"/>
      <c r="W36" s="15"/>
      <c r="X36" s="15"/>
      <c r="Y36" s="15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E36" s="14"/>
      <c r="BF36" s="14"/>
      <c r="CO36" s="13"/>
    </row>
    <row r="37" spans="1:93" x14ac:dyDescent="0.3">
      <c r="A37" s="13" t="str">
        <f t="shared" si="0"/>
        <v/>
      </c>
      <c r="B37" s="14"/>
      <c r="C37" s="14"/>
      <c r="D37" s="14"/>
      <c r="F37" s="14"/>
      <c r="G37" s="13" t="e">
        <f t="shared" si="1"/>
        <v>#DIV/0!</v>
      </c>
      <c r="I37" s="13" t="e">
        <f t="shared" si="7"/>
        <v>#DIV/0!</v>
      </c>
      <c r="J37" s="13" t="e">
        <f t="shared" si="2"/>
        <v>#DIV/0!</v>
      </c>
      <c r="K37" s="13" t="e">
        <f t="shared" si="3"/>
        <v>#DIV/0!</v>
      </c>
      <c r="L37" s="13" t="e">
        <f t="shared" si="4"/>
        <v>#DIV/0!</v>
      </c>
      <c r="M37" s="13" t="e">
        <f t="shared" si="5"/>
        <v>#DIV/0!</v>
      </c>
      <c r="N37" s="13" t="e">
        <f t="shared" si="6"/>
        <v>#DIV/0!</v>
      </c>
      <c r="V37" s="15"/>
      <c r="W37" s="15"/>
      <c r="X37" s="15"/>
      <c r="Y37" s="15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E37" s="14"/>
      <c r="BF37" s="14"/>
      <c r="CO37" s="13"/>
    </row>
    <row r="38" spans="1:93" x14ac:dyDescent="0.3">
      <c r="A38" s="13" t="str">
        <f t="shared" si="0"/>
        <v/>
      </c>
      <c r="B38" s="14"/>
      <c r="C38" s="14"/>
      <c r="D38" s="14"/>
      <c r="F38" s="14"/>
      <c r="G38" s="13" t="e">
        <f t="shared" si="1"/>
        <v>#DIV/0!</v>
      </c>
      <c r="I38" s="13" t="e">
        <f t="shared" si="7"/>
        <v>#DIV/0!</v>
      </c>
      <c r="J38" s="13" t="e">
        <f t="shared" si="2"/>
        <v>#DIV/0!</v>
      </c>
      <c r="K38" s="13" t="e">
        <f t="shared" si="3"/>
        <v>#DIV/0!</v>
      </c>
      <c r="L38" s="13" t="e">
        <f t="shared" si="4"/>
        <v>#DIV/0!</v>
      </c>
      <c r="M38" s="13" t="e">
        <f t="shared" si="5"/>
        <v>#DIV/0!</v>
      </c>
      <c r="N38" s="13" t="e">
        <f t="shared" si="6"/>
        <v>#DIV/0!</v>
      </c>
      <c r="V38" s="15"/>
      <c r="W38" s="15"/>
      <c r="X38" s="15"/>
      <c r="Y38" s="15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E38" s="14"/>
      <c r="BF38" s="14"/>
      <c r="CO38" s="13"/>
    </row>
    <row r="39" spans="1:93" x14ac:dyDescent="0.3">
      <c r="A39" s="13" t="str">
        <f t="shared" si="0"/>
        <v/>
      </c>
      <c r="B39" s="14"/>
      <c r="C39" s="14"/>
      <c r="D39" s="14"/>
      <c r="F39" s="14"/>
      <c r="G39" s="13" t="e">
        <f t="shared" si="1"/>
        <v>#DIV/0!</v>
      </c>
      <c r="I39" s="13" t="e">
        <f t="shared" si="7"/>
        <v>#DIV/0!</v>
      </c>
      <c r="J39" s="13" t="e">
        <f t="shared" si="2"/>
        <v>#DIV/0!</v>
      </c>
      <c r="K39" s="13" t="e">
        <f t="shared" si="3"/>
        <v>#DIV/0!</v>
      </c>
      <c r="L39" s="13" t="e">
        <f t="shared" si="4"/>
        <v>#DIV/0!</v>
      </c>
      <c r="M39" s="13" t="e">
        <f t="shared" si="5"/>
        <v>#DIV/0!</v>
      </c>
      <c r="N39" s="13" t="e">
        <f t="shared" si="6"/>
        <v>#DIV/0!</v>
      </c>
      <c r="V39" s="15"/>
      <c r="W39" s="15"/>
      <c r="X39" s="15"/>
      <c r="Y39" s="15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E39" s="14"/>
      <c r="BF39" s="14"/>
      <c r="CO39" s="13"/>
    </row>
    <row r="40" spans="1:93" ht="12.75" customHeight="1" x14ac:dyDescent="0.3">
      <c r="A40" s="13" t="str">
        <f t="shared" si="0"/>
        <v/>
      </c>
      <c r="B40" s="14"/>
      <c r="C40" s="14"/>
      <c r="D40" s="14"/>
      <c r="F40" s="14"/>
      <c r="G40" s="13" t="e">
        <f t="shared" si="1"/>
        <v>#DIV/0!</v>
      </c>
      <c r="I40" s="13" t="e">
        <f t="shared" si="7"/>
        <v>#DIV/0!</v>
      </c>
      <c r="J40" s="13" t="e">
        <f t="shared" si="2"/>
        <v>#DIV/0!</v>
      </c>
      <c r="K40" s="13" t="e">
        <f t="shared" si="3"/>
        <v>#DIV/0!</v>
      </c>
      <c r="L40" s="13" t="e">
        <f t="shared" si="4"/>
        <v>#DIV/0!</v>
      </c>
      <c r="M40" s="13" t="e">
        <f t="shared" si="5"/>
        <v>#DIV/0!</v>
      </c>
      <c r="N40" s="13" t="e">
        <f t="shared" si="6"/>
        <v>#DIV/0!</v>
      </c>
      <c r="V40" s="15"/>
      <c r="W40" s="15"/>
      <c r="X40" s="15"/>
      <c r="Y40" s="15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E40" s="14"/>
      <c r="BF40" s="14"/>
      <c r="CO40" s="13"/>
    </row>
    <row r="41" spans="1:93" x14ac:dyDescent="0.3">
      <c r="A41" s="13" t="str">
        <f t="shared" si="0"/>
        <v/>
      </c>
      <c r="B41" s="14"/>
      <c r="C41" s="14"/>
      <c r="D41" s="14"/>
      <c r="F41" s="14"/>
      <c r="G41" s="13" t="e">
        <f t="shared" si="1"/>
        <v>#DIV/0!</v>
      </c>
      <c r="I41" s="13" t="e">
        <f t="shared" si="7"/>
        <v>#DIV/0!</v>
      </c>
      <c r="J41" s="13" t="e">
        <f t="shared" si="2"/>
        <v>#DIV/0!</v>
      </c>
      <c r="K41" s="13" t="e">
        <f t="shared" si="3"/>
        <v>#DIV/0!</v>
      </c>
      <c r="L41" s="13" t="e">
        <f t="shared" si="4"/>
        <v>#DIV/0!</v>
      </c>
      <c r="M41" s="13" t="e">
        <f t="shared" si="5"/>
        <v>#DIV/0!</v>
      </c>
      <c r="N41" s="13" t="e">
        <f t="shared" si="6"/>
        <v>#DIV/0!</v>
      </c>
      <c r="V41" s="15"/>
      <c r="W41" s="15"/>
      <c r="X41" s="15"/>
      <c r="Y41" s="15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E41" s="14"/>
      <c r="BF41" s="14"/>
      <c r="CO41" s="13"/>
    </row>
    <row r="42" spans="1:93" x14ac:dyDescent="0.3">
      <c r="A42" s="13" t="str">
        <f t="shared" si="0"/>
        <v/>
      </c>
      <c r="B42" s="14"/>
      <c r="C42" s="14"/>
      <c r="D42" s="14"/>
      <c r="F42" s="14"/>
      <c r="G42" s="13" t="e">
        <f t="shared" si="1"/>
        <v>#DIV/0!</v>
      </c>
      <c r="I42" s="13" t="e">
        <f t="shared" si="7"/>
        <v>#DIV/0!</v>
      </c>
      <c r="J42" s="13" t="e">
        <f t="shared" si="2"/>
        <v>#DIV/0!</v>
      </c>
      <c r="K42" s="13" t="e">
        <f t="shared" si="3"/>
        <v>#DIV/0!</v>
      </c>
      <c r="L42" s="13" t="e">
        <f t="shared" si="4"/>
        <v>#DIV/0!</v>
      </c>
      <c r="M42" s="13" t="e">
        <f t="shared" si="5"/>
        <v>#DIV/0!</v>
      </c>
      <c r="N42" s="13" t="e">
        <f t="shared" si="6"/>
        <v>#DIV/0!</v>
      </c>
      <c r="V42" s="15"/>
      <c r="W42" s="15"/>
      <c r="X42" s="15"/>
      <c r="Y42" s="15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E42" s="14"/>
      <c r="BF42" s="14"/>
      <c r="CO42" s="13"/>
    </row>
    <row r="43" spans="1:93" x14ac:dyDescent="0.3">
      <c r="A43" s="13" t="str">
        <f t="shared" si="0"/>
        <v/>
      </c>
      <c r="B43" s="14"/>
      <c r="C43" s="14"/>
      <c r="D43" s="14"/>
      <c r="F43" s="14"/>
      <c r="G43" s="13" t="e">
        <f t="shared" si="1"/>
        <v>#DIV/0!</v>
      </c>
      <c r="I43" s="13" t="e">
        <f t="shared" si="7"/>
        <v>#DIV/0!</v>
      </c>
      <c r="J43" s="13" t="e">
        <f t="shared" si="2"/>
        <v>#DIV/0!</v>
      </c>
      <c r="K43" s="13" t="e">
        <f t="shared" si="3"/>
        <v>#DIV/0!</v>
      </c>
      <c r="L43" s="13" t="e">
        <f t="shared" si="4"/>
        <v>#DIV/0!</v>
      </c>
      <c r="M43" s="13" t="e">
        <f t="shared" si="5"/>
        <v>#DIV/0!</v>
      </c>
      <c r="N43" s="13" t="e">
        <f t="shared" si="6"/>
        <v>#DIV/0!</v>
      </c>
      <c r="V43" s="15"/>
      <c r="W43" s="15"/>
      <c r="X43" s="15"/>
      <c r="Y43" s="15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E43" s="14"/>
      <c r="BF43" s="14"/>
      <c r="CO43" s="13"/>
    </row>
    <row r="44" spans="1:93" x14ac:dyDescent="0.3">
      <c r="A44" s="13" t="str">
        <f t="shared" si="0"/>
        <v/>
      </c>
      <c r="B44" s="14"/>
      <c r="C44" s="14"/>
      <c r="D44" s="14"/>
      <c r="F44" s="14"/>
      <c r="G44" s="13" t="e">
        <f t="shared" si="1"/>
        <v>#DIV/0!</v>
      </c>
      <c r="I44" s="13" t="e">
        <f t="shared" si="7"/>
        <v>#DIV/0!</v>
      </c>
      <c r="J44" s="13" t="e">
        <f t="shared" si="2"/>
        <v>#DIV/0!</v>
      </c>
      <c r="K44" s="13" t="e">
        <f t="shared" si="3"/>
        <v>#DIV/0!</v>
      </c>
      <c r="L44" s="13" t="e">
        <f t="shared" si="4"/>
        <v>#DIV/0!</v>
      </c>
      <c r="M44" s="13" t="e">
        <f t="shared" si="5"/>
        <v>#DIV/0!</v>
      </c>
      <c r="N44" s="13" t="e">
        <f t="shared" si="6"/>
        <v>#DIV/0!</v>
      </c>
      <c r="V44" s="15"/>
      <c r="W44" s="15"/>
      <c r="X44" s="15"/>
      <c r="Y44" s="15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E44" s="14"/>
      <c r="BF44" s="14"/>
      <c r="CO44" s="13"/>
    </row>
    <row r="45" spans="1:93" x14ac:dyDescent="0.3">
      <c r="A45" s="13" t="str">
        <f t="shared" si="0"/>
        <v/>
      </c>
      <c r="B45" s="14"/>
      <c r="C45" s="14"/>
      <c r="D45" s="14"/>
      <c r="F45" s="14"/>
      <c r="G45" s="13" t="e">
        <f t="shared" si="1"/>
        <v>#DIV/0!</v>
      </c>
      <c r="I45" s="13" t="e">
        <f t="shared" si="7"/>
        <v>#DIV/0!</v>
      </c>
      <c r="J45" s="13" t="e">
        <f t="shared" si="2"/>
        <v>#DIV/0!</v>
      </c>
      <c r="K45" s="13" t="e">
        <f t="shared" si="3"/>
        <v>#DIV/0!</v>
      </c>
      <c r="L45" s="13" t="e">
        <f t="shared" si="4"/>
        <v>#DIV/0!</v>
      </c>
      <c r="M45" s="13" t="e">
        <f t="shared" si="5"/>
        <v>#DIV/0!</v>
      </c>
      <c r="N45" s="13" t="e">
        <f t="shared" si="6"/>
        <v>#DIV/0!</v>
      </c>
      <c r="V45" s="15"/>
      <c r="W45" s="15"/>
      <c r="X45" s="15"/>
      <c r="Y45" s="15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E45" s="14"/>
      <c r="BF45" s="14"/>
      <c r="CO45" s="13"/>
    </row>
    <row r="46" spans="1:93" x14ac:dyDescent="0.3">
      <c r="A46" s="13" t="str">
        <f t="shared" si="0"/>
        <v/>
      </c>
      <c r="B46" s="14"/>
      <c r="C46" s="14"/>
      <c r="D46" s="14"/>
      <c r="F46" s="14"/>
      <c r="G46" s="13" t="e">
        <f t="shared" si="1"/>
        <v>#DIV/0!</v>
      </c>
      <c r="I46" s="13" t="e">
        <f t="shared" si="7"/>
        <v>#DIV/0!</v>
      </c>
      <c r="J46" s="13" t="e">
        <f t="shared" si="2"/>
        <v>#DIV/0!</v>
      </c>
      <c r="K46" s="13" t="e">
        <f t="shared" si="3"/>
        <v>#DIV/0!</v>
      </c>
      <c r="L46" s="13" t="e">
        <f t="shared" si="4"/>
        <v>#DIV/0!</v>
      </c>
      <c r="M46" s="13" t="e">
        <f t="shared" si="5"/>
        <v>#DIV/0!</v>
      </c>
      <c r="N46" s="13" t="e">
        <f t="shared" si="6"/>
        <v>#DIV/0!</v>
      </c>
      <c r="V46" s="15"/>
      <c r="W46" s="15"/>
      <c r="X46" s="15"/>
      <c r="Y46" s="15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E46" s="14"/>
      <c r="BF46" s="14"/>
      <c r="CO46" s="13"/>
    </row>
    <row r="47" spans="1:93" x14ac:dyDescent="0.3">
      <c r="A47" s="13" t="str">
        <f t="shared" si="0"/>
        <v/>
      </c>
      <c r="B47" s="14"/>
      <c r="C47" s="14"/>
      <c r="D47" s="14"/>
      <c r="F47" s="14"/>
      <c r="G47" s="13" t="e">
        <f t="shared" si="1"/>
        <v>#DIV/0!</v>
      </c>
      <c r="I47" s="13" t="e">
        <f t="shared" si="7"/>
        <v>#DIV/0!</v>
      </c>
      <c r="J47" s="13" t="e">
        <f t="shared" si="2"/>
        <v>#DIV/0!</v>
      </c>
      <c r="K47" s="13" t="e">
        <f t="shared" si="3"/>
        <v>#DIV/0!</v>
      </c>
      <c r="L47" s="13" t="e">
        <f t="shared" si="4"/>
        <v>#DIV/0!</v>
      </c>
      <c r="M47" s="13" t="e">
        <f t="shared" si="5"/>
        <v>#DIV/0!</v>
      </c>
      <c r="N47" s="13" t="e">
        <f t="shared" si="6"/>
        <v>#DIV/0!</v>
      </c>
      <c r="V47" s="15"/>
      <c r="W47" s="15"/>
      <c r="X47" s="15"/>
      <c r="Y47" s="15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E47" s="14"/>
      <c r="BF47" s="14"/>
      <c r="CO47" s="13"/>
    </row>
    <row r="48" spans="1:93" x14ac:dyDescent="0.3">
      <c r="A48" s="13" t="str">
        <f t="shared" si="0"/>
        <v/>
      </c>
      <c r="B48" s="14"/>
      <c r="C48" s="14"/>
      <c r="D48" s="14"/>
      <c r="F48" s="14"/>
      <c r="G48" s="13" t="e">
        <f t="shared" si="1"/>
        <v>#DIV/0!</v>
      </c>
      <c r="I48" s="13" t="e">
        <f t="shared" si="7"/>
        <v>#DIV/0!</v>
      </c>
      <c r="J48" s="13" t="e">
        <f t="shared" si="2"/>
        <v>#DIV/0!</v>
      </c>
      <c r="K48" s="13" t="e">
        <f t="shared" si="3"/>
        <v>#DIV/0!</v>
      </c>
      <c r="L48" s="13" t="e">
        <f t="shared" si="4"/>
        <v>#DIV/0!</v>
      </c>
      <c r="M48" s="13" t="e">
        <f t="shared" si="5"/>
        <v>#DIV/0!</v>
      </c>
      <c r="N48" s="13" t="e">
        <f t="shared" si="6"/>
        <v>#DIV/0!</v>
      </c>
      <c r="V48" s="15"/>
      <c r="W48" s="15"/>
      <c r="X48" s="15"/>
      <c r="Y48" s="15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E48" s="14"/>
      <c r="BF48" s="14"/>
      <c r="CO48" s="13"/>
    </row>
    <row r="49" spans="1:93" x14ac:dyDescent="0.3">
      <c r="A49" s="13" t="str">
        <f t="shared" si="0"/>
        <v/>
      </c>
      <c r="B49" s="14"/>
      <c r="C49" s="14"/>
      <c r="D49" s="14"/>
      <c r="F49" s="14"/>
      <c r="G49" s="13" t="e">
        <f t="shared" si="1"/>
        <v>#DIV/0!</v>
      </c>
      <c r="I49" s="13" t="e">
        <f t="shared" si="7"/>
        <v>#DIV/0!</v>
      </c>
      <c r="J49" s="13" t="e">
        <f t="shared" si="2"/>
        <v>#DIV/0!</v>
      </c>
      <c r="K49" s="13" t="e">
        <f t="shared" si="3"/>
        <v>#DIV/0!</v>
      </c>
      <c r="L49" s="13" t="e">
        <f t="shared" si="4"/>
        <v>#DIV/0!</v>
      </c>
      <c r="M49" s="13" t="e">
        <f t="shared" si="5"/>
        <v>#DIV/0!</v>
      </c>
      <c r="N49" s="13" t="e">
        <f t="shared" si="6"/>
        <v>#DIV/0!</v>
      </c>
      <c r="V49" s="15"/>
      <c r="W49" s="15"/>
      <c r="X49" s="15"/>
      <c r="Y49" s="15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E49" s="14"/>
      <c r="BF49" s="14"/>
      <c r="CO49" s="13"/>
    </row>
    <row r="50" spans="1:93" x14ac:dyDescent="0.3">
      <c r="A50" s="13" t="str">
        <f t="shared" si="0"/>
        <v/>
      </c>
      <c r="B50" s="14"/>
      <c r="C50" s="14"/>
      <c r="D50" s="14"/>
      <c r="F50" s="14"/>
      <c r="G50" s="13" t="e">
        <f t="shared" si="1"/>
        <v>#DIV/0!</v>
      </c>
      <c r="I50" s="13" t="e">
        <f t="shared" si="7"/>
        <v>#DIV/0!</v>
      </c>
      <c r="J50" s="13" t="e">
        <f t="shared" si="2"/>
        <v>#DIV/0!</v>
      </c>
      <c r="K50" s="13" t="e">
        <f t="shared" si="3"/>
        <v>#DIV/0!</v>
      </c>
      <c r="L50" s="13" t="e">
        <f t="shared" si="4"/>
        <v>#DIV/0!</v>
      </c>
      <c r="M50" s="13" t="e">
        <f t="shared" si="5"/>
        <v>#DIV/0!</v>
      </c>
      <c r="N50" s="13" t="e">
        <f t="shared" si="6"/>
        <v>#DIV/0!</v>
      </c>
      <c r="V50" s="15"/>
      <c r="W50" s="15"/>
      <c r="X50" s="15"/>
      <c r="Y50" s="15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E50" s="14"/>
      <c r="BF50" s="14"/>
      <c r="CO50" s="13"/>
    </row>
    <row r="51" spans="1:93" x14ac:dyDescent="0.3">
      <c r="A51" s="13" t="str">
        <f t="shared" si="0"/>
        <v/>
      </c>
      <c r="B51" s="14"/>
      <c r="C51" s="14"/>
      <c r="D51" s="14"/>
      <c r="F51" s="14"/>
      <c r="G51" s="13" t="e">
        <f t="shared" si="1"/>
        <v>#DIV/0!</v>
      </c>
      <c r="I51" s="13" t="e">
        <f t="shared" si="7"/>
        <v>#DIV/0!</v>
      </c>
      <c r="J51" s="13" t="e">
        <f t="shared" si="2"/>
        <v>#DIV/0!</v>
      </c>
      <c r="K51" s="13" t="e">
        <f t="shared" si="3"/>
        <v>#DIV/0!</v>
      </c>
      <c r="L51" s="13" t="e">
        <f t="shared" si="4"/>
        <v>#DIV/0!</v>
      </c>
      <c r="M51" s="13" t="e">
        <f t="shared" si="5"/>
        <v>#DIV/0!</v>
      </c>
      <c r="N51" s="13" t="e">
        <f t="shared" si="6"/>
        <v>#DIV/0!</v>
      </c>
      <c r="V51" s="15"/>
      <c r="W51" s="15"/>
      <c r="X51" s="15"/>
      <c r="Y51" s="15"/>
      <c r="AA51" s="14"/>
      <c r="AB51" s="14"/>
      <c r="AC51" s="14"/>
      <c r="AD51" s="14"/>
      <c r="AE51" s="14"/>
      <c r="AF51" s="14"/>
      <c r="AG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E51" s="14"/>
      <c r="BF51" s="14"/>
      <c r="CO51" s="13"/>
    </row>
    <row r="52" spans="1:93" x14ac:dyDescent="0.3">
      <c r="A52" s="13" t="str">
        <f t="shared" si="0"/>
        <v/>
      </c>
      <c r="B52" s="14"/>
      <c r="C52" s="14"/>
      <c r="D52" s="14"/>
      <c r="F52" s="14"/>
      <c r="G52" s="13" t="e">
        <f t="shared" si="1"/>
        <v>#DIV/0!</v>
      </c>
      <c r="I52" s="13" t="e">
        <f t="shared" si="7"/>
        <v>#DIV/0!</v>
      </c>
      <c r="J52" s="13" t="e">
        <f t="shared" si="2"/>
        <v>#DIV/0!</v>
      </c>
      <c r="K52" s="13" t="e">
        <f t="shared" si="3"/>
        <v>#DIV/0!</v>
      </c>
      <c r="L52" s="13" t="e">
        <f t="shared" si="4"/>
        <v>#DIV/0!</v>
      </c>
      <c r="M52" s="13" t="e">
        <f t="shared" si="5"/>
        <v>#DIV/0!</v>
      </c>
      <c r="N52" s="13" t="e">
        <f t="shared" si="6"/>
        <v>#DIV/0!</v>
      </c>
      <c r="V52" s="15"/>
      <c r="W52" s="15"/>
      <c r="X52" s="15"/>
      <c r="Y52" s="15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E52" s="14"/>
      <c r="BF52" s="14"/>
      <c r="CO52" s="13"/>
    </row>
    <row r="53" spans="1:93" x14ac:dyDescent="0.3">
      <c r="A53" s="13" t="str">
        <f t="shared" si="0"/>
        <v/>
      </c>
      <c r="B53" s="14"/>
      <c r="C53" s="14"/>
      <c r="D53" s="14"/>
      <c r="F53" s="14"/>
      <c r="G53" s="13" t="e">
        <f t="shared" si="1"/>
        <v>#DIV/0!</v>
      </c>
      <c r="I53" s="13" t="e">
        <f t="shared" si="7"/>
        <v>#DIV/0!</v>
      </c>
      <c r="J53" s="13" t="e">
        <f t="shared" si="2"/>
        <v>#DIV/0!</v>
      </c>
      <c r="K53" s="13" t="e">
        <f t="shared" si="3"/>
        <v>#DIV/0!</v>
      </c>
      <c r="L53" s="13" t="e">
        <f t="shared" si="4"/>
        <v>#DIV/0!</v>
      </c>
      <c r="M53" s="13" t="e">
        <f t="shared" si="5"/>
        <v>#DIV/0!</v>
      </c>
      <c r="N53" s="13" t="e">
        <f t="shared" si="6"/>
        <v>#DIV/0!</v>
      </c>
      <c r="V53" s="15"/>
      <c r="W53" s="15"/>
      <c r="X53" s="15"/>
      <c r="Y53" s="15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E53" s="14"/>
      <c r="BF53" s="14"/>
      <c r="CO53" s="13"/>
    </row>
    <row r="54" spans="1:93" x14ac:dyDescent="0.3">
      <c r="A54" s="13" t="str">
        <f t="shared" si="0"/>
        <v/>
      </c>
      <c r="B54" s="14"/>
      <c r="C54" s="14"/>
      <c r="D54" s="14"/>
      <c r="F54" s="14"/>
      <c r="G54" s="13" t="e">
        <f t="shared" si="1"/>
        <v>#DIV/0!</v>
      </c>
      <c r="I54" s="13" t="e">
        <f>ROUND(100*SUM(V54:BG54)/SUM($V$8:$BG$8),0)</f>
        <v>#DIV/0!</v>
      </c>
      <c r="J54" s="13" t="e">
        <f>ROUND(100*SUM(T54)/SUM($T$8),0)</f>
        <v>#DIV/0!</v>
      </c>
      <c r="K54" s="13" t="e">
        <f>ROUND((G54*$G$2+I54*$I$2)*(10/7.5),0)</f>
        <v>#DIV/0!</v>
      </c>
      <c r="L54" s="13" t="e">
        <f t="shared" si="4"/>
        <v>#DIV/0!</v>
      </c>
      <c r="M54" s="13" t="e">
        <f>ROUND((G54*$G$2+I54*$I$2+J54*$J$2),0)</f>
        <v>#DIV/0!</v>
      </c>
      <c r="N54" s="13" t="e">
        <f t="shared" si="6"/>
        <v>#DIV/0!</v>
      </c>
      <c r="V54" s="15"/>
      <c r="W54" s="15"/>
      <c r="X54" s="15"/>
      <c r="Y54" s="15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E54" s="14"/>
      <c r="BF54" s="14"/>
      <c r="CO54" s="13"/>
    </row>
    <row r="55" spans="1:93" x14ac:dyDescent="0.3">
      <c r="A55" s="13" t="str">
        <f t="shared" si="0"/>
        <v/>
      </c>
      <c r="B55" s="14"/>
      <c r="C55" s="14"/>
      <c r="D55" s="14"/>
      <c r="F55" s="14"/>
      <c r="V55" s="15"/>
      <c r="W55" s="15"/>
      <c r="X55" s="15"/>
      <c r="Y55" s="15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E55" s="14"/>
      <c r="BF55" s="14"/>
    </row>
    <row r="56" spans="1:93" x14ac:dyDescent="0.3">
      <c r="A56" s="13" t="str">
        <f t="shared" si="0"/>
        <v/>
      </c>
      <c r="B56" s="14"/>
      <c r="C56" s="14"/>
      <c r="D56" s="14"/>
      <c r="F56" s="14"/>
      <c r="V56" s="15"/>
      <c r="W56" s="15"/>
      <c r="X56" s="15"/>
      <c r="Y56" s="15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E56" s="14"/>
      <c r="BF56" s="14"/>
    </row>
    <row r="57" spans="1:93" x14ac:dyDescent="0.3">
      <c r="A57" s="13" t="str">
        <f t="shared" si="0"/>
        <v/>
      </c>
      <c r="B57" s="14"/>
      <c r="C57" s="14"/>
      <c r="D57" s="14"/>
      <c r="E57" s="14">
        <f>COUNT(D10:D57)</f>
        <v>0</v>
      </c>
      <c r="F57" s="14"/>
      <c r="V57" s="15"/>
      <c r="W57" s="15"/>
      <c r="X57" s="15"/>
      <c r="Y57" s="15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E57" s="14"/>
      <c r="BF57" s="14"/>
    </row>
    <row r="58" spans="1:93" x14ac:dyDescent="0.3">
      <c r="A58" s="13" t="str">
        <f t="shared" si="0"/>
        <v/>
      </c>
      <c r="B58" s="14"/>
      <c r="C58" s="14"/>
      <c r="D58" s="14"/>
      <c r="F58" s="16" t="s">
        <v>64</v>
      </c>
      <c r="P58" s="13" t="e">
        <f>AVERAGE(P10:P54)</f>
        <v>#DIV/0!</v>
      </c>
      <c r="Q58" s="13" t="e">
        <f>AVERAGE(Q10:Q57)</f>
        <v>#DIV/0!</v>
      </c>
      <c r="R58" s="13" t="e">
        <f>AVERAGE(R10:R57)</f>
        <v>#DIV/0!</v>
      </c>
      <c r="T58" s="13" t="e">
        <f>AVERAGE(T10:T57)</f>
        <v>#DIV/0!</v>
      </c>
      <c r="V58" s="15"/>
      <c r="W58" s="15"/>
      <c r="X58" s="15"/>
      <c r="Y58" s="15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E58" s="14"/>
      <c r="BF58" s="14"/>
    </row>
    <row r="59" spans="1:93" x14ac:dyDescent="0.3">
      <c r="A59" s="13" t="str">
        <f t="shared" si="0"/>
        <v/>
      </c>
      <c r="B59" s="14"/>
      <c r="C59" s="14"/>
      <c r="D59" s="14"/>
      <c r="F59" s="16" t="s">
        <v>65</v>
      </c>
      <c r="P59" s="13" t="e">
        <f>MEDIAN(P10:P54)</f>
        <v>#NUM!</v>
      </c>
      <c r="Q59" s="13" t="e">
        <f>MEDIAN(Q10:Q57)</f>
        <v>#NUM!</v>
      </c>
      <c r="R59" s="13" t="e">
        <f>MEDIAN(R10:R57)</f>
        <v>#NUM!</v>
      </c>
      <c r="T59" s="13" t="e">
        <f>MEDIAN(T10:T57)</f>
        <v>#NUM!</v>
      </c>
      <c r="V59" s="15"/>
      <c r="W59" s="15"/>
      <c r="X59" s="15"/>
      <c r="Y59" s="15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E59" s="14"/>
      <c r="BF59" s="14"/>
    </row>
    <row r="60" spans="1:93" x14ac:dyDescent="0.3">
      <c r="A60" s="13" t="str">
        <f t="shared" si="0"/>
        <v/>
      </c>
      <c r="B60" s="14"/>
      <c r="C60" s="14"/>
      <c r="D60" s="14"/>
      <c r="F60" s="16" t="s">
        <v>66</v>
      </c>
      <c r="P60" s="13">
        <f>SUM(P10:P54)</f>
        <v>0</v>
      </c>
      <c r="Q60" s="13">
        <f>SUM(Q10:Q57)</f>
        <v>0</v>
      </c>
      <c r="R60" s="13">
        <f>SUM(R10:R57)</f>
        <v>0</v>
      </c>
      <c r="T60" s="13">
        <f>SUM(T10:T57)</f>
        <v>0</v>
      </c>
      <c r="V60" s="15"/>
      <c r="W60" s="15"/>
      <c r="X60" s="15"/>
      <c r="Y60" s="15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E60" s="14"/>
      <c r="BF60" s="14"/>
    </row>
    <row r="61" spans="1:93" x14ac:dyDescent="0.3">
      <c r="A61" s="13" t="str">
        <f>RIGHT(B61,4)</f>
        <v/>
      </c>
      <c r="B61" s="14"/>
      <c r="C61" s="14"/>
      <c r="D61" s="14"/>
      <c r="F61" s="16" t="s">
        <v>67</v>
      </c>
      <c r="P61" s="13">
        <f>COUNT(P10:P54)</f>
        <v>0</v>
      </c>
      <c r="Q61" s="13">
        <f>COUNT(Q10:Q57)</f>
        <v>0</v>
      </c>
      <c r="R61" s="13">
        <f>COUNT(R10:R57)</f>
        <v>0</v>
      </c>
      <c r="T61" s="13">
        <f>COUNT(T10:T57)</f>
        <v>0</v>
      </c>
      <c r="AA61" s="15"/>
    </row>
    <row r="62" spans="1:93" x14ac:dyDescent="0.3">
      <c r="A62" s="13" t="str">
        <f>RIGHT(B62,4)</f>
        <v/>
      </c>
      <c r="B62" s="14"/>
      <c r="C62" s="14"/>
      <c r="D62" s="14"/>
      <c r="F62" s="16" t="s">
        <v>7</v>
      </c>
      <c r="P62" s="13">
        <f>FREQUENCY(P10:P57,P69:P70)</f>
        <v>0</v>
      </c>
      <c r="Q62" s="13">
        <f>FREQUENCY(Q10:Q57,Q69:Q70)</f>
        <v>0</v>
      </c>
      <c r="R62" s="13">
        <f>FREQUENCY(R10:R57,R69:R70)</f>
        <v>0</v>
      </c>
      <c r="T62" s="13">
        <f>FREQUENCY(T10:T57,T69:T70)</f>
        <v>0</v>
      </c>
      <c r="AA62" s="15"/>
    </row>
    <row r="63" spans="1:93" x14ac:dyDescent="0.3">
      <c r="A63" s="13"/>
      <c r="E63" s="16"/>
      <c r="F63" s="16" t="s">
        <v>8</v>
      </c>
      <c r="P63" s="13">
        <f>FREQUENCY(P10:P57,P70:P71)</f>
        <v>0</v>
      </c>
      <c r="Q63" s="13">
        <f>FREQUENCY(Q10:Q57,Q70:Q71)</f>
        <v>0</v>
      </c>
      <c r="R63" s="13">
        <f>FREQUENCY(R10:R57,R70:R71)</f>
        <v>0</v>
      </c>
      <c r="T63" s="13">
        <f>FREQUENCY(T10:T57,T70:T71)</f>
        <v>0</v>
      </c>
      <c r="AA63" s="15"/>
    </row>
    <row r="64" spans="1:93" x14ac:dyDescent="0.3">
      <c r="A64" s="13"/>
      <c r="E64" s="16"/>
      <c r="F64" s="16" t="s">
        <v>9</v>
      </c>
      <c r="P64" s="13">
        <f>FREQUENCY(P10:P57,P71:P72)</f>
        <v>0</v>
      </c>
      <c r="Q64" s="13">
        <f>FREQUENCY(Q10:Q57,Q71:Q72)</f>
        <v>0</v>
      </c>
      <c r="R64" s="13">
        <f>FREQUENCY(R10:R57,R71:R72)</f>
        <v>0</v>
      </c>
      <c r="T64" s="13">
        <f>FREQUENCY(T10:T57,T71:T72)</f>
        <v>0</v>
      </c>
      <c r="AA64" s="15"/>
    </row>
    <row r="65" spans="1:27" x14ac:dyDescent="0.3">
      <c r="A65" s="13"/>
      <c r="E65" s="16"/>
      <c r="F65" s="16" t="s">
        <v>10</v>
      </c>
      <c r="P65" s="13">
        <f>FREQUENCY(P10:P57,P72:P73)</f>
        <v>0</v>
      </c>
      <c r="Q65" s="13">
        <f>FREQUENCY(Q10:Q57,Q72:Q73)</f>
        <v>0</v>
      </c>
      <c r="R65" s="13">
        <f>FREQUENCY(R10:R57,R72:R73)</f>
        <v>0</v>
      </c>
      <c r="T65" s="13">
        <f>FREQUENCY(T10:T57,T72:T73)</f>
        <v>0</v>
      </c>
      <c r="AA65" s="15"/>
    </row>
    <row r="66" spans="1:27" x14ac:dyDescent="0.3">
      <c r="A66" s="13"/>
      <c r="E66" s="16"/>
      <c r="F66" s="16" t="s">
        <v>68</v>
      </c>
      <c r="P66" s="13">
        <f>FREQUENCY(P10:P57,P73:P74)</f>
        <v>0</v>
      </c>
      <c r="Q66" s="13">
        <f>FREQUENCY(Q10:Q57,Q73:Q74)</f>
        <v>0</v>
      </c>
      <c r="R66" s="13">
        <f>FREQUENCY(R10:R57,R73:R74)</f>
        <v>0</v>
      </c>
      <c r="T66" s="13">
        <f>FREQUENCY(T10:T57,T73:T74)</f>
        <v>0</v>
      </c>
      <c r="AA66" s="15"/>
    </row>
    <row r="67" spans="1:27" x14ac:dyDescent="0.3">
      <c r="A67" s="13"/>
      <c r="E67" s="16"/>
      <c r="F67" s="16"/>
      <c r="AA67" s="15"/>
    </row>
    <row r="68" spans="1:27" x14ac:dyDescent="0.3">
      <c r="A68" s="13"/>
      <c r="E68" s="16"/>
      <c r="F68" s="16" t="s">
        <v>69</v>
      </c>
      <c r="AA68" s="15"/>
    </row>
    <row r="69" spans="1:27" x14ac:dyDescent="0.3">
      <c r="A69" s="13"/>
      <c r="E69" s="16"/>
      <c r="F69" s="16" t="s">
        <v>7</v>
      </c>
      <c r="P69" s="13">
        <f>1*P$8</f>
        <v>0</v>
      </c>
      <c r="Q69" s="13">
        <f>1*Q$8</f>
        <v>0</v>
      </c>
      <c r="R69" s="13">
        <f>1*R$8</f>
        <v>0</v>
      </c>
      <c r="T69" s="13">
        <f>1*T$8</f>
        <v>0</v>
      </c>
      <c r="AA69" s="15"/>
    </row>
    <row r="70" spans="1:27" x14ac:dyDescent="0.3">
      <c r="A70" s="13"/>
      <c r="E70" s="16"/>
      <c r="F70" s="16" t="s">
        <v>8</v>
      </c>
      <c r="P70" s="13">
        <f>0.899*P$8</f>
        <v>0</v>
      </c>
      <c r="Q70" s="13">
        <f>0.899*Q$8</f>
        <v>0</v>
      </c>
      <c r="R70" s="13">
        <f>0.899*R$8</f>
        <v>0</v>
      </c>
      <c r="T70" s="13">
        <f>0.899*T$8</f>
        <v>0</v>
      </c>
      <c r="AA70" s="15"/>
    </row>
    <row r="71" spans="1:27" x14ac:dyDescent="0.3">
      <c r="A71" s="13"/>
      <c r="B71" s="13"/>
      <c r="C71" s="13"/>
      <c r="D71" s="13"/>
      <c r="E71" s="16"/>
      <c r="F71" s="16" t="s">
        <v>9</v>
      </c>
      <c r="P71" s="13">
        <f>0.799*P$8</f>
        <v>0</v>
      </c>
      <c r="Q71" s="13">
        <f>0.799*Q$8</f>
        <v>0</v>
      </c>
      <c r="R71" s="13">
        <f>0.799*R$8</f>
        <v>0</v>
      </c>
      <c r="T71" s="13">
        <f>0.799*T$8</f>
        <v>0</v>
      </c>
      <c r="AA71" s="15"/>
    </row>
    <row r="72" spans="1:27" x14ac:dyDescent="0.3">
      <c r="A72" s="13"/>
      <c r="E72" s="16"/>
      <c r="F72" s="16" t="s">
        <v>10</v>
      </c>
      <c r="P72" s="13">
        <f>0.699*P$8</f>
        <v>0</v>
      </c>
      <c r="Q72" s="13">
        <f>0.699*Q$8</f>
        <v>0</v>
      </c>
      <c r="R72" s="13">
        <f>0.699*R$8</f>
        <v>0</v>
      </c>
      <c r="T72" s="13">
        <f>0.699*T$8</f>
        <v>0</v>
      </c>
      <c r="AA72" s="15"/>
    </row>
    <row r="73" spans="1:27" x14ac:dyDescent="0.3">
      <c r="A73" s="13"/>
      <c r="E73" s="16"/>
      <c r="F73" s="16" t="s">
        <v>68</v>
      </c>
      <c r="P73" s="13">
        <f>0.599*P$8</f>
        <v>0</v>
      </c>
      <c r="Q73" s="13">
        <f>0.599*Q$8</f>
        <v>0</v>
      </c>
      <c r="R73" s="13">
        <f>0.599*R$8</f>
        <v>0</v>
      </c>
      <c r="T73" s="13">
        <f>0.599*T$8</f>
        <v>0</v>
      </c>
      <c r="AA73" s="15"/>
    </row>
    <row r="74" spans="1:27" x14ac:dyDescent="0.3">
      <c r="A74" s="13"/>
      <c r="E74" s="16"/>
      <c r="P74" s="13">
        <v>0</v>
      </c>
      <c r="Q74" s="13">
        <v>0</v>
      </c>
      <c r="R74" s="13">
        <v>0</v>
      </c>
      <c r="T74" s="13">
        <v>0</v>
      </c>
    </row>
    <row r="75" spans="1:27" x14ac:dyDescent="0.3">
      <c r="A75" s="13"/>
      <c r="E75" s="16"/>
    </row>
    <row r="76" spans="1:27" x14ac:dyDescent="0.3">
      <c r="A76" s="13"/>
      <c r="E76" s="16"/>
    </row>
    <row r="77" spans="1:27" x14ac:dyDescent="0.3">
      <c r="A77" s="13"/>
      <c r="E77" s="16"/>
    </row>
    <row r="78" spans="1:27" x14ac:dyDescent="0.3">
      <c r="A78" s="13"/>
      <c r="E78" s="16"/>
    </row>
    <row r="79" spans="1:27" x14ac:dyDescent="0.3">
      <c r="E79" s="16"/>
    </row>
    <row r="80" spans="1:27" x14ac:dyDescent="0.3">
      <c r="E80" s="16"/>
    </row>
    <row r="81" spans="5:6" x14ac:dyDescent="0.3">
      <c r="E81" s="16"/>
    </row>
    <row r="82" spans="5:6" x14ac:dyDescent="0.3">
      <c r="E82" s="16"/>
    </row>
    <row r="83" spans="5:6" x14ac:dyDescent="0.3">
      <c r="E83" s="16"/>
    </row>
    <row r="84" spans="5:6" x14ac:dyDescent="0.3">
      <c r="E84" s="16"/>
      <c r="F84" s="16"/>
    </row>
    <row r="85" spans="5:6" x14ac:dyDescent="0.3">
      <c r="E85" s="16"/>
      <c r="F85" s="16"/>
    </row>
    <row r="86" spans="5:6" x14ac:dyDescent="0.3">
      <c r="E86" s="16"/>
      <c r="F86" s="16"/>
    </row>
    <row r="87" spans="5:6" x14ac:dyDescent="0.3">
      <c r="E87" s="16"/>
      <c r="F87" s="16"/>
    </row>
    <row r="88" spans="5:6" x14ac:dyDescent="0.3">
      <c r="E88" s="16"/>
      <c r="F88" s="16"/>
    </row>
    <row r="89" spans="5:6" x14ac:dyDescent="0.3">
      <c r="E89" s="16"/>
      <c r="F89" s="16"/>
    </row>
    <row r="90" spans="5:6" x14ac:dyDescent="0.3">
      <c r="E90" s="16"/>
      <c r="F90" s="16"/>
    </row>
    <row r="91" spans="5:6" x14ac:dyDescent="0.3">
      <c r="E91" s="16"/>
      <c r="F91" s="16"/>
    </row>
    <row r="92" spans="5:6" x14ac:dyDescent="0.3">
      <c r="E92" s="16"/>
      <c r="F92" s="16"/>
    </row>
    <row r="93" spans="5:6" x14ac:dyDescent="0.3">
      <c r="E93" s="16"/>
      <c r="F93" s="16"/>
    </row>
    <row r="94" spans="5:6" x14ac:dyDescent="0.3">
      <c r="E94" s="16"/>
      <c r="F94" s="16"/>
    </row>
    <row r="95" spans="5:6" x14ac:dyDescent="0.3">
      <c r="E95" s="16"/>
      <c r="F95" s="16"/>
    </row>
  </sheetData>
  <mergeCells count="1">
    <mergeCell ref="V6:AZ6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Jones</dc:creator>
  <cp:lastModifiedBy>Carina Negreanu</cp:lastModifiedBy>
  <dcterms:created xsi:type="dcterms:W3CDTF">2001-07-27T02:37:55Z</dcterms:created>
  <dcterms:modified xsi:type="dcterms:W3CDTF">2020-01-27T11:39:15Z</dcterms:modified>
</cp:coreProperties>
</file>