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A96B28E-0774-45CB-9BA2-0D92AAA2674E}" xr6:coauthVersionLast="45" xr6:coauthVersionMax="45" xr10:uidLastSave="{00000000-0000-0000-0000-000000000000}"/>
  <bookViews>
    <workbookView xWindow="3420" yWindow="3420" windowWidth="28800" windowHeight="15460"/>
  </bookViews>
  <sheets>
    <sheet name="grades" sheetId="1" r:id="rId1"/>
    <sheet name="teams" sheetId="2" r:id="rId2"/>
    <sheet name="midterm solu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1" l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3" i="1"/>
  <c r="F45" i="1"/>
  <c r="Q45" i="1"/>
  <c r="F46" i="1"/>
  <c r="F47" i="1"/>
  <c r="F48" i="1"/>
  <c r="F49" i="1"/>
  <c r="F50" i="1"/>
  <c r="F51" i="1"/>
  <c r="Y3" i="3"/>
  <c r="J17" i="3"/>
  <c r="K17" i="3"/>
  <c r="L17" i="3"/>
  <c r="J18" i="3"/>
  <c r="K18" i="3"/>
  <c r="L18" i="3"/>
  <c r="J19" i="3"/>
  <c r="K19" i="3"/>
  <c r="L19" i="3"/>
  <c r="J20" i="3"/>
  <c r="K20" i="3"/>
  <c r="L20" i="3"/>
  <c r="J21" i="3"/>
  <c r="K21" i="3"/>
  <c r="L21" i="3"/>
  <c r="J22" i="3"/>
  <c r="K22" i="3"/>
  <c r="L22" i="3"/>
  <c r="J23" i="3"/>
  <c r="K23" i="3"/>
  <c r="L23" i="3"/>
  <c r="J24" i="3"/>
  <c r="K24" i="3"/>
  <c r="L24" i="3"/>
  <c r="J30" i="3"/>
  <c r="J38" i="3" s="1"/>
  <c r="K30" i="3"/>
  <c r="K38" i="3" s="1"/>
  <c r="L30" i="3"/>
  <c r="L38" i="3" s="1"/>
  <c r="J31" i="3"/>
  <c r="K31" i="3"/>
  <c r="L31" i="3"/>
  <c r="J34" i="3"/>
  <c r="K34" i="3"/>
  <c r="L34" i="3"/>
  <c r="J35" i="3"/>
  <c r="K35" i="3"/>
  <c r="L35" i="3"/>
  <c r="J40" i="3"/>
  <c r="K40" i="3"/>
  <c r="L40" i="3"/>
  <c r="J70" i="3"/>
</calcChain>
</file>

<file path=xl/sharedStrings.xml><?xml version="1.0" encoding="utf-8"?>
<sst xmlns="http://schemas.openxmlformats.org/spreadsheetml/2006/main" count="454" uniqueCount="293">
  <si>
    <t>Last 6 Digits of Stud ID</t>
  </si>
  <si>
    <t>82-3742</t>
  </si>
  <si>
    <t>66-7313</t>
  </si>
  <si>
    <t>68-6572</t>
  </si>
  <si>
    <t>61-4323</t>
  </si>
  <si>
    <t>63-1120</t>
  </si>
  <si>
    <t>98-7426</t>
  </si>
  <si>
    <t>70-2779</t>
  </si>
  <si>
    <t>49-4805</t>
  </si>
  <si>
    <t>60-3970</t>
  </si>
  <si>
    <t>98-5418</t>
  </si>
  <si>
    <t>13-0824</t>
  </si>
  <si>
    <t>23-9790</t>
  </si>
  <si>
    <t>51-3763</t>
  </si>
  <si>
    <t>45-8942</t>
  </si>
  <si>
    <t>96-4361</t>
  </si>
  <si>
    <t>49-6046</t>
  </si>
  <si>
    <t>53-8540</t>
  </si>
  <si>
    <t>98-4022</t>
  </si>
  <si>
    <t>66-8130</t>
  </si>
  <si>
    <t>00-1112</t>
  </si>
  <si>
    <t>19-7987</t>
  </si>
  <si>
    <t>19-8876</t>
  </si>
  <si>
    <t>27-5694</t>
  </si>
  <si>
    <t>47-8248</t>
  </si>
  <si>
    <t>19-3585</t>
  </si>
  <si>
    <t>15-2339</t>
  </si>
  <si>
    <t>55-5382</t>
  </si>
  <si>
    <t>21-2435</t>
  </si>
  <si>
    <t>68-5157</t>
  </si>
  <si>
    <t>62-7543</t>
  </si>
  <si>
    <t>08-4851</t>
  </si>
  <si>
    <t>06-4787</t>
  </si>
  <si>
    <t>06-4767</t>
  </si>
  <si>
    <t>11-4590</t>
  </si>
  <si>
    <t>04-8393</t>
  </si>
  <si>
    <t>Team Number</t>
  </si>
  <si>
    <t>Team Members</t>
  </si>
  <si>
    <t>Temi Abereoje + Fred Hjankou Nganou</t>
  </si>
  <si>
    <t>Arshia Burney + Rabiya Jilani</t>
  </si>
  <si>
    <t>35-6741</t>
  </si>
  <si>
    <t>78-3636</t>
  </si>
  <si>
    <t>49-0563</t>
  </si>
  <si>
    <t>90-7231</t>
  </si>
  <si>
    <t>Gigi Ambileapathi + Niwat Tonggarwee</t>
  </si>
  <si>
    <t>Darius Bailey + Chris Kirkland</t>
  </si>
  <si>
    <t>Mariya Barabanova + Andrea Ransmeier</t>
  </si>
  <si>
    <t>Justin Bell + Mark Bradley</t>
  </si>
  <si>
    <t>Tim Brennan + Daryl Wong</t>
  </si>
  <si>
    <t>Ali Butt + Gilbert Maalouf</t>
  </si>
  <si>
    <t>Jamahl Cochran + Onnie Onwuemene</t>
  </si>
  <si>
    <t>Kevin Conroy + Rafi Khan</t>
  </si>
  <si>
    <t>Ed Gordon + Cesar Pudomo</t>
  </si>
  <si>
    <t>Andrew Hennessy + Joe Kamara</t>
  </si>
  <si>
    <t>Su Kang + Harold Manning</t>
  </si>
  <si>
    <t>Aidan Smith + Lester Solomon</t>
  </si>
  <si>
    <t>Alexei Ivanov + Liz Reda</t>
  </si>
  <si>
    <t>Drew Hurley + Claudia Peralta</t>
  </si>
  <si>
    <t>Anjana Desai + Usman Fazili</t>
  </si>
  <si>
    <t>Project 2</t>
  </si>
  <si>
    <t>Reason</t>
  </si>
  <si>
    <t>uniform distribution (1,3) has numbers &gt; 3, bins badly defined for uniform graph</t>
  </si>
  <si>
    <t>no graph for uniform</t>
  </si>
  <si>
    <t>uniform distribution and graph missing</t>
  </si>
  <si>
    <t>sample size &lt; 30 and &gt; 30 missing for uniform</t>
  </si>
  <si>
    <t>sample size &gt; 30 missing for normal, uniform distribution and graph missing</t>
  </si>
  <si>
    <t>sample size &gt; 30 missing for uniform</t>
  </si>
  <si>
    <t>sample size &gt; 30 and population curves missing for normal, uniform distribution and graph missing</t>
  </si>
  <si>
    <t>population curves wrong in normal and uniform</t>
  </si>
  <si>
    <t>population curve missing for normal, uniform distribution and graph missing</t>
  </si>
  <si>
    <t>35-1503</t>
  </si>
  <si>
    <t xml:space="preserve">graph for normal wrong, graph for uniform missing.  </t>
  </si>
  <si>
    <t>27-5976</t>
  </si>
  <si>
    <t>Project 1</t>
  </si>
  <si>
    <t>histogram wrong</t>
  </si>
  <si>
    <t>no summary</t>
  </si>
  <si>
    <t>did not submit</t>
  </si>
  <si>
    <t>no histogram</t>
  </si>
  <si>
    <t>histogram wrong, no summary</t>
  </si>
  <si>
    <t>insufficient summary</t>
  </si>
  <si>
    <t>bins defined badly</t>
  </si>
  <si>
    <t>no histogram, insufficient summary</t>
  </si>
  <si>
    <t>bins defined badly, insufficient summary</t>
  </si>
  <si>
    <t>Midterm</t>
  </si>
  <si>
    <t>wrong graph for normal, uniform distribution and graph missing, no summary, late</t>
  </si>
  <si>
    <t>04-3258</t>
  </si>
  <si>
    <t>graph for uniform wrong</t>
  </si>
  <si>
    <t>uniform distribution and graph missing, no summary</t>
  </si>
  <si>
    <t>no graph for normal, uniform distribution and graph missing, no summary</t>
  </si>
  <si>
    <t>sample size &lt; 30 missing for normal, uniform distribution and graph missing</t>
  </si>
  <si>
    <t>min</t>
  </si>
  <si>
    <t>max</t>
  </si>
  <si>
    <t>mean</t>
  </si>
  <si>
    <t>stdev</t>
  </si>
  <si>
    <t>1st quartile</t>
  </si>
  <si>
    <t>3rd quartile</t>
  </si>
  <si>
    <t>2nd quartile</t>
  </si>
  <si>
    <t>Midterm Letter Grade</t>
  </si>
  <si>
    <t>A+</t>
  </si>
  <si>
    <t xml:space="preserve">A </t>
  </si>
  <si>
    <t>A</t>
  </si>
  <si>
    <t>B+</t>
  </si>
  <si>
    <t>B</t>
  </si>
  <si>
    <t>B-</t>
  </si>
  <si>
    <t>C+</t>
  </si>
  <si>
    <t>C</t>
  </si>
  <si>
    <t>C-</t>
  </si>
  <si>
    <t>D</t>
  </si>
  <si>
    <t xml:space="preserve">B </t>
  </si>
  <si>
    <t xml:space="preserve">C </t>
  </si>
  <si>
    <t>E</t>
  </si>
  <si>
    <t>Year</t>
  </si>
  <si>
    <t>School Name (State)</t>
  </si>
  <si>
    <t>Overall Score</t>
  </si>
  <si>
    <t>Academic Reputation Score (4.0=Highest)</t>
  </si>
  <si>
    <t>Acceptance Rate</t>
  </si>
  <si>
    <t>1996 Graduation Rate</t>
  </si>
  <si>
    <t>YEAR</t>
  </si>
  <si>
    <t>NAME</t>
  </si>
  <si>
    <t>GROUP</t>
  </si>
  <si>
    <t>SCORE</t>
  </si>
  <si>
    <t>REPUTATION</t>
  </si>
  <si>
    <t>ACCEPT_RATE</t>
  </si>
  <si>
    <t>GRADUATE_RATE</t>
  </si>
  <si>
    <t>Answers</t>
  </si>
  <si>
    <t>Points</t>
  </si>
  <si>
    <t>Harvard University (MA)</t>
  </si>
  <si>
    <t>=randbetween(1,12)</t>
  </si>
  <si>
    <t>=ROUND(RAND()*11+0.5,0)</t>
  </si>
  <si>
    <t>Princeton University (NJ)</t>
  </si>
  <si>
    <t>=randbetween(1,11)</t>
  </si>
  <si>
    <t>Duke University (NC)</t>
  </si>
  <si>
    <t>Yale University (CT)</t>
  </si>
  <si>
    <t>normal distibution</t>
  </si>
  <si>
    <t>Stanford University (CA)</t>
  </si>
  <si>
    <t>mean = (4+10)/2 = 7</t>
  </si>
  <si>
    <t>Massachusetts Institue of Technology (MA)</t>
  </si>
  <si>
    <t>stdev = sqrt(3)/20=0.0866</t>
  </si>
  <si>
    <t>Dartmouth College (NH)</t>
  </si>
  <si>
    <t>University of Pennsylvania (PA)</t>
  </si>
  <si>
    <t>Brown University (RI)</t>
  </si>
  <si>
    <t>a</t>
  </si>
  <si>
    <t>Highest Score</t>
  </si>
  <si>
    <t>Harvard, Princeton</t>
  </si>
  <si>
    <t>California Institute of Technology (CA)</t>
  </si>
  <si>
    <t>b</t>
  </si>
  <si>
    <t>Best Reputation</t>
  </si>
  <si>
    <t>Princeton, Stanford</t>
  </si>
  <si>
    <t>Columbia University (NY)</t>
  </si>
  <si>
    <t>c</t>
  </si>
  <si>
    <t>Most Selective Admissions</t>
  </si>
  <si>
    <t>Emory University (GA)</t>
  </si>
  <si>
    <t>d</t>
  </si>
  <si>
    <t>Worst Graduation Rate</t>
  </si>
  <si>
    <t>Georgia Institute of Technology, University of Southern California</t>
  </si>
  <si>
    <t>Northwestern University (IL)</t>
  </si>
  <si>
    <t>Cornell University (NY)</t>
  </si>
  <si>
    <t>ACCEPT RATE</t>
  </si>
  <si>
    <t>GRAD RATE</t>
  </si>
  <si>
    <t>total = 12</t>
  </si>
  <si>
    <t>Johns Hopkins University (MD)</t>
  </si>
  <si>
    <t>MEAN</t>
  </si>
  <si>
    <t>(0.5 each)</t>
  </si>
  <si>
    <t>University of Chicago (IL)</t>
  </si>
  <si>
    <t>STDEV</t>
  </si>
  <si>
    <t>Rice University (TX)</t>
  </si>
  <si>
    <t>MIN</t>
  </si>
  <si>
    <t>Washington University (MO)</t>
  </si>
  <si>
    <t>Q1</t>
  </si>
  <si>
    <t>University of Notre Dame (IN)</t>
  </si>
  <si>
    <t>MEDIAN</t>
  </si>
  <si>
    <t>Vanderbilt University (TN)</t>
  </si>
  <si>
    <t>Q3</t>
  </si>
  <si>
    <t>Georgetown University (DC)</t>
  </si>
  <si>
    <t>MAX</t>
  </si>
  <si>
    <t>University of Virginia (VA)</t>
  </si>
  <si>
    <t>SKEWNESS</t>
  </si>
  <si>
    <t>Camegie Mellon University (PA)</t>
  </si>
  <si>
    <t>skewed to the left - thinner right tail</t>
  </si>
  <si>
    <t>skewed to the right - thinner left tail</t>
  </si>
  <si>
    <t>Tufts University (MA)</t>
  </si>
  <si>
    <t>University of California-Berkeley (CA)</t>
  </si>
  <si>
    <t>total = 24</t>
  </si>
  <si>
    <t>University of Michigan-Ann Arbor (MI)</t>
  </si>
  <si>
    <t>(1 each)</t>
  </si>
  <si>
    <t>University of North Carolina-Chapel Hill (NC)</t>
  </si>
  <si>
    <t>GROUP 1</t>
  </si>
  <si>
    <t>Brandeis University (MA)</t>
  </si>
  <si>
    <t>University of California-Los Angeles (CA)</t>
  </si>
  <si>
    <t>Wake Forest University (NC)</t>
  </si>
  <si>
    <t>University of Rochester (NY)</t>
  </si>
  <si>
    <t>GROUP 2</t>
  </si>
  <si>
    <t>College of William and Mary (VA)</t>
  </si>
  <si>
    <t>University of California-San Diego (CA)</t>
  </si>
  <si>
    <t>Lehigh University (PA)</t>
  </si>
  <si>
    <t>New York University (NY)</t>
  </si>
  <si>
    <t>Null: GROUP 1 MEAN = GROUP 2 MEAN Alternate: GROUP 1 MEAN NOT = GROUP 2 MEAN</t>
  </si>
  <si>
    <t>Tulane University (LA)</t>
  </si>
  <si>
    <t>T-STATISTIC</t>
  </si>
  <si>
    <t>Case Western Reserve University (OH)</t>
  </si>
  <si>
    <t>ONE OR TWO TAILS?</t>
  </si>
  <si>
    <t>Two</t>
  </si>
  <si>
    <t>Boston College (MA)</t>
  </si>
  <si>
    <t>T-CRITICAL = TINV(0.5,MIN(N1,N2)-1)</t>
  </si>
  <si>
    <t>University of Wisconsin-Madison (WI)</t>
  </si>
  <si>
    <t>ACCEPT NULL?</t>
  </si>
  <si>
    <t>Reject Null</t>
  </si>
  <si>
    <t>Syracuse University (NY)</t>
  </si>
  <si>
    <t>Georgia Institute of Technology (GA)</t>
  </si>
  <si>
    <t>SUMMARY OUTPUT</t>
  </si>
  <si>
    <t>total = 30</t>
  </si>
  <si>
    <t>University of California-Davis (CA)</t>
  </si>
  <si>
    <t>University of California-Irvine (CA)</t>
  </si>
  <si>
    <t>Regression Statistics</t>
  </si>
  <si>
    <t>University of Southern California (CA)</t>
  </si>
  <si>
    <t>Multiple R</t>
  </si>
  <si>
    <t>Pennsylvania State University (PA)</t>
  </si>
  <si>
    <t>R Square</t>
  </si>
  <si>
    <t>University of Illinois-Urbana Champaign (IL)</t>
  </si>
  <si>
    <t>Adjusted R Square</t>
  </si>
  <si>
    <t>University of California-Santa Barbara (CA)</t>
  </si>
  <si>
    <t>Standard Error</t>
  </si>
  <si>
    <t>Rensselaer Polytechnic Institute (NY)</t>
  </si>
  <si>
    <t>Observations</t>
  </si>
  <si>
    <t>Worcester Polytechnic Institute (MA)</t>
  </si>
  <si>
    <t>Yeshiva University (NY)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</si>
  <si>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</si>
  <si>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</si>
  <si>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</si>
  <si>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</si>
  <si>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</si>
  <si>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</si>
  <si>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</si>
  <si>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</si>
  <si>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</si>
  <si>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</si>
  <si>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</si>
  <si>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</si>
  <si>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</si>
  <si>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</si>
  <si>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</si>
  <si>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</si>
  <si>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CONSTANT - ALPHA</t>
  </si>
  <si>
    <t>Intercept</t>
  </si>
  <si>
    <t>REPUTATION - BETA</t>
  </si>
  <si>
    <t>X Variable 1</t>
  </si>
  <si>
    <t>ACCEPT RATE - GAMMA</t>
  </si>
  <si>
    <t>X Variable 2</t>
  </si>
  <si>
    <t>R-Square = 0.6267</t>
  </si>
  <si>
    <t>See Output</t>
  </si>
  <si>
    <t>Reputation does not have a significant positive impact on graduation rate</t>
  </si>
  <si>
    <t>t-stat &lt; t-critical, p-value &gt; 0.05</t>
  </si>
  <si>
    <t>e</t>
  </si>
  <si>
    <t>Acceptance rate does have a significant negative impact on graduation rate</t>
  </si>
  <si>
    <t>f</t>
  </si>
  <si>
    <t>t-stat &gt; t-critical, p-value &lt; 0.05</t>
  </si>
  <si>
    <t>g</t>
  </si>
  <si>
    <t>Project 3</t>
  </si>
  <si>
    <t>Project 4</t>
  </si>
  <si>
    <t>did not turn in</t>
  </si>
  <si>
    <t>task 6 missing</t>
  </si>
  <si>
    <t>wrong t-test in task 2</t>
  </si>
  <si>
    <t>wrong t-test in task 3</t>
  </si>
  <si>
    <t>only 1 series in graph</t>
  </si>
  <si>
    <t>wrong t-test in task 2, missing task 5</t>
  </si>
  <si>
    <t>no t-tests in tasks 1 and 2, missing task 6</t>
  </si>
  <si>
    <t>wrong t-test in task 2, no t-tests in task 4, wrong t-tests in task 5, task 6 missing</t>
  </si>
  <si>
    <t>wrong t-test in task 2, no t-tests in tasks 4 and 5, missing task 6</t>
  </si>
  <si>
    <t>dropped</t>
  </si>
  <si>
    <t>Warren Amon + Shefali Gupta</t>
  </si>
  <si>
    <t>Victor Ao + Yang Wu</t>
  </si>
  <si>
    <t>Connie Hui + Jason Zhang</t>
  </si>
  <si>
    <t>=ROUND(RAND()*12+0.5,0)</t>
  </si>
  <si>
    <t>Project 5</t>
  </si>
  <si>
    <t>incomplete</t>
  </si>
  <si>
    <t>Final</t>
  </si>
  <si>
    <t>miss</t>
  </si>
  <si>
    <t>team partner dropped, do not count</t>
  </si>
  <si>
    <t>misuse merge command</t>
  </si>
  <si>
    <t>Project 6</t>
  </si>
  <si>
    <t>Team</t>
  </si>
  <si>
    <t>miss clear summary</t>
  </si>
  <si>
    <t>misread the results, reaching wrong conclusion</t>
  </si>
  <si>
    <t>h0 should be reversed</t>
  </si>
  <si>
    <t>h0 and conclusion are written in a confusing way</t>
  </si>
  <si>
    <t>summary could be better with more detailed economic reasoning</t>
  </si>
  <si>
    <t>partner dropped</t>
  </si>
  <si>
    <t>Overall</t>
  </si>
  <si>
    <t>missing</t>
  </si>
  <si>
    <t>Overall Grade</t>
  </si>
  <si>
    <t>A-</t>
  </si>
  <si>
    <t>Above</t>
  </si>
  <si>
    <t>short of team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</si>
</sst>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000"/>
  </numFmts>
  <fonts count="5" x14ac:knownFonts="1">
    <font>
      <sz val="10"/>
      <name val="Arial"/>
    </font>
    <font>
      <u/>
      <sz val="10"/>
      <color indexed="12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1" fillId="0" borderId="0" xfId="1" applyAlignment="1" applyProtection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176" fontId="2" fillId="0" borderId="0" xfId="0" applyNumberFormat="1" applyFont="1" applyBorder="1" applyAlignment="1">
      <alignment horizontal="center" vertical="center" wrapText="1"/>
    </xf>
    <xf numFmtId="9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176" fontId="3" fillId="0" borderId="0" xfId="0" applyNumberFormat="1" applyFont="1" applyBorder="1" applyAlignment="1">
      <alignment horizontal="center" vertical="center" wrapText="1"/>
    </xf>
    <xf numFmtId="9" fontId="3" fillId="0" borderId="0" xfId="0" applyNumberFormat="1" applyFont="1" applyBorder="1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49" fontId="2" fillId="0" borderId="0" xfId="0" applyNumberFormat="1" applyFont="1" applyBorder="1"/>
    <xf numFmtId="49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wrapText="1"/>
    </xf>
    <xf numFmtId="2" fontId="2" fillId="0" borderId="0" xfId="0" applyNumberFormat="1" applyFont="1" applyBorder="1" applyAlignment="1">
      <alignment horizontal="center"/>
    </xf>
    <xf numFmtId="9" fontId="2" fillId="0" borderId="0" xfId="0" applyNumberFormat="1" applyFont="1" applyBorder="1" applyAlignment="1">
      <alignment horizontal="center"/>
    </xf>
    <xf numFmtId="10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wrapText="1"/>
    </xf>
    <xf numFmtId="177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 wrapText="1"/>
    </xf>
    <xf numFmtId="0" fontId="4" fillId="0" borderId="1" xfId="0" applyFont="1" applyFill="1" applyBorder="1" applyAlignment="1">
      <alignment horizontal="centerContinuous"/>
    </xf>
    <xf numFmtId="0" fontId="0" fillId="0" borderId="0" xfId="0" applyFill="1" applyBorder="1" applyAlignment="1"/>
    <xf numFmtId="0" fontId="0" fillId="0" borderId="2" xfId="0" applyFill="1" applyBorder="1" applyAlignment="1"/>
    <xf numFmtId="9" fontId="0" fillId="0" borderId="0" xfId="0" applyNumberFormat="1"/>
    <xf numFmtId="0" fontId="4" fillId="0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2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2"/>
  <sheetViews>
    <sheetView tabSelected="1" zoomScaleNormal="100" workbookViewId="0">
      <selection activeCell="A5" sqref="A5"/>
    </sheetView>
  </sheetViews>
  <sheetFormatPr defaultColWidth="16.26953125" defaultRowHeight="12.5" x14ac:dyDescent="0.25"/>
  <cols>
    <col min="1" max="3" width="16.26953125" customWidth="1"/>
    <col min="4" max="4" width="16.26953125" style="3" customWidth="1"/>
    <col min="5" max="5" width="16.26953125" customWidth="1"/>
    <col min="6" max="6" width="16.26953125" style="3" customWidth="1"/>
    <col min="7" max="11" width="16.26953125" customWidth="1"/>
    <col min="12" max="12" width="16.26953125" style="3" customWidth="1"/>
    <col min="13" max="13" width="16.26953125" customWidth="1"/>
    <col min="14" max="14" width="16.26953125" style="40" customWidth="1"/>
    <col min="15" max="15" width="16.26953125" customWidth="1"/>
    <col min="16" max="16" width="16.26953125" style="41" customWidth="1"/>
    <col min="17" max="17" width="16.26953125" style="3" customWidth="1"/>
    <col min="18" max="18" width="16.26953125" customWidth="1"/>
    <col min="19" max="19" width="16.26953125" style="42" customWidth="1"/>
  </cols>
  <sheetData>
    <row r="1" spans="1:19" x14ac:dyDescent="0.25">
      <c r="A1" s="2" t="s">
        <v>0</v>
      </c>
      <c r="B1" s="3" t="s">
        <v>73</v>
      </c>
      <c r="C1" s="3" t="s">
        <v>60</v>
      </c>
      <c r="D1" s="3" t="s">
        <v>59</v>
      </c>
      <c r="E1" t="s">
        <v>60</v>
      </c>
      <c r="F1" s="3" t="s">
        <v>83</v>
      </c>
      <c r="G1" t="s">
        <v>97</v>
      </c>
      <c r="H1" s="3" t="s">
        <v>257</v>
      </c>
      <c r="I1" s="4" t="s">
        <v>60</v>
      </c>
      <c r="J1" s="3" t="s">
        <v>258</v>
      </c>
      <c r="K1" s="4" t="s">
        <v>60</v>
      </c>
      <c r="L1" s="3" t="s">
        <v>273</v>
      </c>
      <c r="M1" t="s">
        <v>60</v>
      </c>
      <c r="N1" s="40" t="s">
        <v>279</v>
      </c>
      <c r="O1" t="s">
        <v>60</v>
      </c>
      <c r="P1" s="41" t="s">
        <v>280</v>
      </c>
      <c r="Q1" s="3" t="s">
        <v>275</v>
      </c>
      <c r="R1" t="s">
        <v>287</v>
      </c>
      <c r="S1" s="42" t="s">
        <v>289</v>
      </c>
    </row>
    <row r="2" spans="1:19" x14ac:dyDescent="0.25">
      <c r="A2" s="2" t="s">
        <v>1</v>
      </c>
      <c r="B2" s="3">
        <v>5</v>
      </c>
      <c r="C2" s="4"/>
      <c r="D2" s="3">
        <v>5</v>
      </c>
      <c r="F2" s="3">
        <f>85.5+5</f>
        <v>90.5</v>
      </c>
      <c r="G2" t="s">
        <v>98</v>
      </c>
      <c r="H2" s="3">
        <v>5</v>
      </c>
      <c r="J2" s="3">
        <v>5</v>
      </c>
      <c r="L2" s="3">
        <v>5</v>
      </c>
      <c r="N2" s="40">
        <v>14</v>
      </c>
      <c r="O2" t="s">
        <v>282</v>
      </c>
      <c r="P2" s="41">
        <v>10</v>
      </c>
      <c r="Q2" s="3">
        <v>61</v>
      </c>
      <c r="R2">
        <f>B2+D2+F2*20/100+H2+J2+L2+N2+P2+Q2*30/100</f>
        <v>85.399999999999991</v>
      </c>
      <c r="S2" s="42" t="s">
        <v>100</v>
      </c>
    </row>
    <row r="3" spans="1:19" x14ac:dyDescent="0.25">
      <c r="A3" s="2" t="s">
        <v>35</v>
      </c>
      <c r="B3" s="3">
        <v>4</v>
      </c>
      <c r="C3" s="4" t="s">
        <v>74</v>
      </c>
      <c r="D3" s="3">
        <v>3</v>
      </c>
      <c r="E3" t="s">
        <v>71</v>
      </c>
      <c r="F3" s="3">
        <v>26.5</v>
      </c>
      <c r="G3" t="s">
        <v>107</v>
      </c>
      <c r="H3" s="3">
        <v>5</v>
      </c>
      <c r="J3" s="3">
        <v>5</v>
      </c>
      <c r="L3" s="3">
        <v>3</v>
      </c>
      <c r="M3" t="s">
        <v>274</v>
      </c>
      <c r="N3" s="40">
        <v>15</v>
      </c>
      <c r="P3" s="41">
        <v>10</v>
      </c>
      <c r="Q3" s="3">
        <v>60</v>
      </c>
      <c r="R3">
        <f t="shared" ref="R3:R43" si="0">B3+D3+F3*20/100+H3+J3+L3+N3+P3+Q3*30/100</f>
        <v>68.3</v>
      </c>
      <c r="S3" s="42" t="s">
        <v>103</v>
      </c>
    </row>
    <row r="4" spans="1:19" x14ac:dyDescent="0.25">
      <c r="A4" s="2" t="s">
        <v>9</v>
      </c>
      <c r="B4" s="3">
        <v>5</v>
      </c>
      <c r="C4" s="4"/>
      <c r="D4" s="3">
        <v>5</v>
      </c>
      <c r="F4" s="3">
        <v>95</v>
      </c>
      <c r="G4" t="s">
        <v>98</v>
      </c>
      <c r="H4" s="3" t="s">
        <v>276</v>
      </c>
      <c r="I4" t="s">
        <v>277</v>
      </c>
      <c r="J4" s="3">
        <v>5</v>
      </c>
      <c r="L4" s="3">
        <v>5</v>
      </c>
      <c r="N4" s="40">
        <v>15</v>
      </c>
      <c r="P4" s="41" t="s">
        <v>286</v>
      </c>
      <c r="Q4" s="3">
        <v>66</v>
      </c>
      <c r="R4">
        <f>(B4+D4+F4*20/100+J4+L4+N4+Q4*30/100)*100/85</f>
        <v>86.82352941176471</v>
      </c>
      <c r="S4" s="42" t="s">
        <v>100</v>
      </c>
    </row>
    <row r="5" spans="1:19" x14ac:dyDescent="0.25">
      <c r="A5" s="2" t="s">
        <v>85</v>
      </c>
      <c r="B5" s="3">
        <v>4</v>
      </c>
      <c r="C5" s="4" t="s">
        <v>74</v>
      </c>
      <c r="D5" s="3">
        <v>4</v>
      </c>
      <c r="E5" t="s">
        <v>86</v>
      </c>
      <c r="F5" s="3">
        <v>41</v>
      </c>
      <c r="G5" t="s">
        <v>105</v>
      </c>
      <c r="H5" s="3">
        <v>4</v>
      </c>
      <c r="I5" t="s">
        <v>260</v>
      </c>
      <c r="J5" s="3">
        <v>5</v>
      </c>
      <c r="L5" s="3">
        <v>5</v>
      </c>
      <c r="N5" s="40">
        <v>11</v>
      </c>
      <c r="O5" t="s">
        <v>75</v>
      </c>
      <c r="P5" s="41">
        <v>10</v>
      </c>
      <c r="Q5" s="3">
        <v>15</v>
      </c>
      <c r="R5">
        <f t="shared" si="0"/>
        <v>55.7</v>
      </c>
      <c r="S5" s="42" t="s">
        <v>105</v>
      </c>
    </row>
    <row r="6" spans="1:19" x14ac:dyDescent="0.25">
      <c r="A6" s="2" t="s">
        <v>24</v>
      </c>
      <c r="B6" s="3">
        <v>5</v>
      </c>
      <c r="C6" s="4"/>
      <c r="D6" s="3">
        <v>4</v>
      </c>
      <c r="E6" t="s">
        <v>62</v>
      </c>
      <c r="F6" s="3">
        <v>48.5</v>
      </c>
      <c r="G6" t="s">
        <v>104</v>
      </c>
      <c r="H6" s="3">
        <v>4</v>
      </c>
      <c r="I6" t="s">
        <v>260</v>
      </c>
      <c r="J6" s="3">
        <v>5</v>
      </c>
      <c r="L6" s="3">
        <v>3</v>
      </c>
      <c r="M6" t="s">
        <v>274</v>
      </c>
      <c r="N6" s="40">
        <v>15</v>
      </c>
      <c r="P6" s="41">
        <v>10</v>
      </c>
      <c r="Q6" s="3">
        <v>61</v>
      </c>
      <c r="R6">
        <f t="shared" si="0"/>
        <v>74</v>
      </c>
      <c r="S6" s="42" t="s">
        <v>102</v>
      </c>
    </row>
    <row r="7" spans="1:19" x14ac:dyDescent="0.25">
      <c r="A7" s="2" t="s">
        <v>20</v>
      </c>
      <c r="B7" s="3">
        <v>4</v>
      </c>
      <c r="C7" s="4" t="s">
        <v>75</v>
      </c>
      <c r="D7" s="3">
        <v>4</v>
      </c>
      <c r="E7" t="s">
        <v>62</v>
      </c>
      <c r="F7" s="3">
        <v>53.5</v>
      </c>
      <c r="G7" t="s">
        <v>103</v>
      </c>
      <c r="H7" s="3">
        <v>5</v>
      </c>
      <c r="J7" s="3">
        <v>5</v>
      </c>
      <c r="L7" s="3">
        <v>5</v>
      </c>
      <c r="N7" s="40">
        <v>15</v>
      </c>
      <c r="P7" s="41">
        <v>10</v>
      </c>
      <c r="Q7" s="3">
        <v>46</v>
      </c>
      <c r="R7">
        <f t="shared" si="0"/>
        <v>72.5</v>
      </c>
      <c r="S7" s="42" t="s">
        <v>102</v>
      </c>
    </row>
    <row r="8" spans="1:19" x14ac:dyDescent="0.25">
      <c r="A8" s="2" t="s">
        <v>18</v>
      </c>
      <c r="B8" s="3">
        <v>0</v>
      </c>
      <c r="C8" s="4" t="s">
        <v>76</v>
      </c>
      <c r="D8" s="3">
        <v>3</v>
      </c>
      <c r="E8" t="s">
        <v>63</v>
      </c>
      <c r="F8" s="3">
        <v>35.5</v>
      </c>
      <c r="G8" t="s">
        <v>106</v>
      </c>
      <c r="H8" s="3">
        <v>4.5</v>
      </c>
      <c r="I8" t="s">
        <v>261</v>
      </c>
      <c r="J8" s="3">
        <v>5</v>
      </c>
      <c r="L8" s="3">
        <v>3</v>
      </c>
      <c r="M8" t="s">
        <v>274</v>
      </c>
      <c r="N8" s="40">
        <v>15</v>
      </c>
      <c r="P8" s="41">
        <v>10</v>
      </c>
      <c r="Q8" s="3">
        <v>68</v>
      </c>
      <c r="R8">
        <f t="shared" si="0"/>
        <v>68</v>
      </c>
      <c r="S8" s="42" t="s">
        <v>103</v>
      </c>
    </row>
    <row r="9" spans="1:19" x14ac:dyDescent="0.25">
      <c r="A9" s="2" t="s">
        <v>3</v>
      </c>
      <c r="B9" s="3">
        <v>5</v>
      </c>
      <c r="C9" s="4"/>
      <c r="D9" s="3">
        <v>5</v>
      </c>
      <c r="F9" s="3">
        <v>76</v>
      </c>
      <c r="G9" t="s">
        <v>101</v>
      </c>
      <c r="H9" s="3">
        <v>4.5</v>
      </c>
      <c r="I9" t="s">
        <v>262</v>
      </c>
      <c r="J9" s="3">
        <v>5</v>
      </c>
      <c r="L9" s="3">
        <v>3</v>
      </c>
      <c r="M9" t="s">
        <v>274</v>
      </c>
      <c r="N9" s="40">
        <v>15</v>
      </c>
      <c r="P9" s="41">
        <v>10</v>
      </c>
      <c r="Q9" s="3">
        <v>33</v>
      </c>
      <c r="R9">
        <f t="shared" si="0"/>
        <v>72.600000000000009</v>
      </c>
      <c r="S9" s="42" t="s">
        <v>102</v>
      </c>
    </row>
    <row r="10" spans="1:19" x14ac:dyDescent="0.25">
      <c r="A10" s="2" t="s">
        <v>30</v>
      </c>
      <c r="B10" s="3">
        <v>4</v>
      </c>
      <c r="C10" s="4" t="s">
        <v>77</v>
      </c>
      <c r="D10" s="3">
        <v>4</v>
      </c>
      <c r="E10" t="s">
        <v>64</v>
      </c>
      <c r="F10" s="3">
        <v>70</v>
      </c>
      <c r="G10" t="s">
        <v>101</v>
      </c>
      <c r="H10" s="3">
        <v>5</v>
      </c>
      <c r="J10" s="3">
        <v>5</v>
      </c>
      <c r="L10" s="3">
        <v>5</v>
      </c>
      <c r="N10" s="40">
        <v>12</v>
      </c>
      <c r="O10" t="s">
        <v>281</v>
      </c>
      <c r="P10" s="41">
        <v>10</v>
      </c>
      <c r="Q10" s="3">
        <v>55</v>
      </c>
      <c r="R10">
        <f t="shared" si="0"/>
        <v>75.5</v>
      </c>
      <c r="S10" s="42" t="s">
        <v>101</v>
      </c>
    </row>
    <row r="11" spans="1:19" x14ac:dyDescent="0.25">
      <c r="A11" s="2" t="s">
        <v>2</v>
      </c>
      <c r="B11" s="3">
        <v>4</v>
      </c>
      <c r="C11" s="4" t="s">
        <v>74</v>
      </c>
      <c r="D11" s="3">
        <v>4</v>
      </c>
      <c r="E11" t="s">
        <v>64</v>
      </c>
      <c r="F11" s="3">
        <v>84</v>
      </c>
      <c r="G11" t="s">
        <v>100</v>
      </c>
      <c r="H11" s="3">
        <v>5</v>
      </c>
      <c r="J11" s="3">
        <v>5</v>
      </c>
      <c r="L11" s="3">
        <v>5</v>
      </c>
      <c r="N11" s="40">
        <v>15</v>
      </c>
      <c r="P11" s="41">
        <v>10</v>
      </c>
      <c r="Q11" s="3">
        <v>69</v>
      </c>
      <c r="R11">
        <f t="shared" si="0"/>
        <v>85.5</v>
      </c>
      <c r="S11" s="42" t="s">
        <v>100</v>
      </c>
    </row>
    <row r="12" spans="1:19" x14ac:dyDescent="0.25">
      <c r="A12" s="2" t="s">
        <v>5</v>
      </c>
      <c r="B12" s="3">
        <v>5</v>
      </c>
      <c r="C12" s="4"/>
      <c r="D12" s="3">
        <v>5</v>
      </c>
      <c r="F12" s="3">
        <v>68</v>
      </c>
      <c r="G12" t="s">
        <v>102</v>
      </c>
      <c r="H12" s="3">
        <v>4.5</v>
      </c>
      <c r="I12" t="s">
        <v>263</v>
      </c>
      <c r="J12" s="3">
        <v>5</v>
      </c>
      <c r="L12" s="3">
        <v>5</v>
      </c>
      <c r="N12" s="40">
        <v>14</v>
      </c>
      <c r="O12" t="s">
        <v>284</v>
      </c>
      <c r="P12" s="41">
        <v>10</v>
      </c>
      <c r="Q12" s="3">
        <v>72</v>
      </c>
      <c r="R12">
        <f t="shared" si="0"/>
        <v>83.7</v>
      </c>
      <c r="S12" s="42" t="s">
        <v>290</v>
      </c>
    </row>
    <row r="13" spans="1:19" x14ac:dyDescent="0.25">
      <c r="A13" s="2" t="s">
        <v>41</v>
      </c>
      <c r="B13" s="3">
        <v>3</v>
      </c>
      <c r="C13" s="4" t="s">
        <v>78</v>
      </c>
      <c r="D13" s="3">
        <v>3</v>
      </c>
      <c r="E13" t="s">
        <v>89</v>
      </c>
      <c r="H13" s="3">
        <v>0</v>
      </c>
      <c r="I13" t="s">
        <v>259</v>
      </c>
      <c r="J13" s="3">
        <v>5</v>
      </c>
      <c r="L13" s="3">
        <v>4</v>
      </c>
      <c r="M13" t="s">
        <v>278</v>
      </c>
      <c r="N13" s="40">
        <v>15</v>
      </c>
      <c r="P13" s="41">
        <v>10</v>
      </c>
      <c r="Q13" s="3">
        <v>44</v>
      </c>
      <c r="R13">
        <f>(B13+D13+H13+J13+L13+N13+P13+Q13*30/100)*100/80</f>
        <v>66.5</v>
      </c>
      <c r="S13" s="42" t="s">
        <v>103</v>
      </c>
    </row>
    <row r="14" spans="1:19" x14ac:dyDescent="0.25">
      <c r="A14" s="2" t="s">
        <v>21</v>
      </c>
      <c r="B14" s="3">
        <v>5</v>
      </c>
      <c r="C14" s="4"/>
      <c r="D14" s="3">
        <v>4</v>
      </c>
      <c r="E14" t="s">
        <v>64</v>
      </c>
      <c r="F14" s="3">
        <v>98</v>
      </c>
      <c r="G14" t="s">
        <v>98</v>
      </c>
      <c r="H14" s="3">
        <v>5</v>
      </c>
      <c r="J14" s="3">
        <v>5</v>
      </c>
      <c r="L14" s="3">
        <v>5</v>
      </c>
      <c r="N14" s="40">
        <v>15</v>
      </c>
      <c r="P14" s="41">
        <v>10</v>
      </c>
      <c r="Q14" s="3">
        <v>87</v>
      </c>
      <c r="R14">
        <f t="shared" si="0"/>
        <v>94.699999999999989</v>
      </c>
      <c r="S14" s="42" t="s">
        <v>98</v>
      </c>
    </row>
    <row r="15" spans="1:19" x14ac:dyDescent="0.25">
      <c r="A15" s="2" t="s">
        <v>31</v>
      </c>
      <c r="B15" s="3">
        <v>5</v>
      </c>
      <c r="C15" s="4"/>
      <c r="D15" s="3">
        <v>4</v>
      </c>
      <c r="E15" t="s">
        <v>68</v>
      </c>
      <c r="F15" s="3">
        <v>52.5</v>
      </c>
      <c r="G15" t="s">
        <v>103</v>
      </c>
      <c r="H15" s="3">
        <v>5</v>
      </c>
      <c r="J15" s="3">
        <v>5</v>
      </c>
      <c r="L15" s="3">
        <v>5</v>
      </c>
      <c r="N15" s="40">
        <v>15</v>
      </c>
      <c r="P15" s="41">
        <v>10</v>
      </c>
      <c r="Q15" s="3">
        <v>41</v>
      </c>
      <c r="R15">
        <f t="shared" si="0"/>
        <v>71.8</v>
      </c>
      <c r="S15" s="42" t="s">
        <v>108</v>
      </c>
    </row>
    <row r="16" spans="1:19" hidden="1" x14ac:dyDescent="0.25">
      <c r="A16" s="2" t="s">
        <v>33</v>
      </c>
      <c r="B16" s="3">
        <v>0</v>
      </c>
      <c r="C16" s="4" t="s">
        <v>76</v>
      </c>
      <c r="H16" s="3">
        <v>0</v>
      </c>
      <c r="I16" t="s">
        <v>259</v>
      </c>
      <c r="J16" s="3">
        <v>0</v>
      </c>
      <c r="K16" t="s">
        <v>76</v>
      </c>
      <c r="R16">
        <f t="shared" si="0"/>
        <v>0</v>
      </c>
    </row>
    <row r="17" spans="1:19" x14ac:dyDescent="0.25">
      <c r="A17" s="2" t="s">
        <v>29</v>
      </c>
      <c r="B17" s="3">
        <v>0</v>
      </c>
      <c r="C17" s="4" t="s">
        <v>76</v>
      </c>
      <c r="F17" s="3">
        <v>58</v>
      </c>
      <c r="G17" t="s">
        <v>103</v>
      </c>
      <c r="H17" s="3">
        <v>5</v>
      </c>
      <c r="J17" s="3">
        <v>5</v>
      </c>
      <c r="L17" s="3">
        <v>5</v>
      </c>
      <c r="N17" s="40">
        <v>15</v>
      </c>
      <c r="P17" s="41">
        <v>10</v>
      </c>
      <c r="Q17" s="3">
        <v>31</v>
      </c>
      <c r="R17">
        <f t="shared" si="0"/>
        <v>60.900000000000006</v>
      </c>
      <c r="S17" s="42" t="s">
        <v>104</v>
      </c>
    </row>
    <row r="18" spans="1:19" x14ac:dyDescent="0.25">
      <c r="A18" s="2" t="s">
        <v>14</v>
      </c>
      <c r="B18" s="3">
        <v>5</v>
      </c>
      <c r="C18" s="4"/>
      <c r="D18" s="3">
        <v>3</v>
      </c>
      <c r="E18" t="s">
        <v>65</v>
      </c>
      <c r="F18" s="3">
        <v>55</v>
      </c>
      <c r="G18" t="s">
        <v>103</v>
      </c>
      <c r="H18" s="3">
        <v>3.5</v>
      </c>
      <c r="I18" t="s">
        <v>264</v>
      </c>
      <c r="J18" s="3">
        <v>5</v>
      </c>
      <c r="L18" s="3">
        <v>5</v>
      </c>
      <c r="N18" s="40">
        <v>14</v>
      </c>
      <c r="O18" t="s">
        <v>285</v>
      </c>
      <c r="P18" s="41">
        <v>9</v>
      </c>
      <c r="Q18" s="3">
        <v>57</v>
      </c>
      <c r="R18">
        <f t="shared" si="0"/>
        <v>72.599999999999994</v>
      </c>
      <c r="S18" s="42" t="s">
        <v>102</v>
      </c>
    </row>
    <row r="19" spans="1:19" x14ac:dyDescent="0.25">
      <c r="A19" s="2" t="s">
        <v>70</v>
      </c>
      <c r="B19" s="3">
        <v>5</v>
      </c>
      <c r="C19" s="4"/>
      <c r="D19" s="3">
        <v>5</v>
      </c>
      <c r="H19" s="3" t="s">
        <v>268</v>
      </c>
      <c r="J19" s="3"/>
      <c r="L19" s="3" t="s">
        <v>268</v>
      </c>
      <c r="N19" s="40" t="s">
        <v>268</v>
      </c>
      <c r="Q19" s="3" t="s">
        <v>268</v>
      </c>
      <c r="R19" t="s">
        <v>268</v>
      </c>
      <c r="S19" s="42" t="s">
        <v>268</v>
      </c>
    </row>
    <row r="20" spans="1:19" x14ac:dyDescent="0.25">
      <c r="A20" s="2" t="s">
        <v>32</v>
      </c>
      <c r="B20" s="3">
        <v>5</v>
      </c>
      <c r="C20" s="4"/>
      <c r="D20" s="3">
        <v>5</v>
      </c>
      <c r="F20" s="3">
        <v>76</v>
      </c>
      <c r="G20" t="s">
        <v>101</v>
      </c>
      <c r="H20" s="3">
        <v>5</v>
      </c>
      <c r="J20" s="3">
        <v>5</v>
      </c>
      <c r="L20" s="3">
        <v>5</v>
      </c>
      <c r="N20" s="40">
        <v>15</v>
      </c>
      <c r="P20" s="41">
        <v>10</v>
      </c>
      <c r="Q20" s="3">
        <v>37</v>
      </c>
      <c r="R20">
        <f t="shared" si="0"/>
        <v>76.3</v>
      </c>
      <c r="S20" s="42" t="s">
        <v>101</v>
      </c>
    </row>
    <row r="21" spans="1:19" x14ac:dyDescent="0.25">
      <c r="A21" s="2" t="s">
        <v>4</v>
      </c>
      <c r="B21" s="3">
        <v>5</v>
      </c>
      <c r="C21" s="4"/>
      <c r="D21" s="3">
        <v>3</v>
      </c>
      <c r="E21" t="s">
        <v>63</v>
      </c>
      <c r="F21" s="3">
        <v>26.5</v>
      </c>
      <c r="G21" t="s">
        <v>107</v>
      </c>
      <c r="H21" s="3">
        <v>3</v>
      </c>
      <c r="I21" t="s">
        <v>265</v>
      </c>
      <c r="J21" s="3">
        <v>0</v>
      </c>
      <c r="K21" t="s">
        <v>76</v>
      </c>
      <c r="L21" s="3">
        <v>5</v>
      </c>
      <c r="N21" s="40">
        <v>15</v>
      </c>
      <c r="P21" s="41">
        <v>6</v>
      </c>
      <c r="Q21" s="3">
        <v>38</v>
      </c>
      <c r="R21">
        <f t="shared" si="0"/>
        <v>53.699999999999996</v>
      </c>
      <c r="S21" s="42" t="s">
        <v>106</v>
      </c>
    </row>
    <row r="22" spans="1:19" x14ac:dyDescent="0.25">
      <c r="A22" s="2" t="s">
        <v>72</v>
      </c>
      <c r="B22" s="3">
        <v>5</v>
      </c>
      <c r="C22" s="4"/>
      <c r="D22" s="3">
        <v>5</v>
      </c>
      <c r="F22" s="3">
        <v>48</v>
      </c>
      <c r="G22" t="s">
        <v>104</v>
      </c>
      <c r="H22" s="3">
        <v>3.5</v>
      </c>
      <c r="I22" t="s">
        <v>266</v>
      </c>
      <c r="J22" s="3">
        <v>5</v>
      </c>
      <c r="L22" s="3">
        <v>4</v>
      </c>
      <c r="M22" t="s">
        <v>274</v>
      </c>
      <c r="N22" s="40">
        <v>14</v>
      </c>
      <c r="O22" t="s">
        <v>283</v>
      </c>
      <c r="P22" s="41">
        <v>4</v>
      </c>
      <c r="Q22" s="3">
        <v>31</v>
      </c>
      <c r="R22">
        <f t="shared" si="0"/>
        <v>59.400000000000006</v>
      </c>
      <c r="S22" s="42" t="s">
        <v>105</v>
      </c>
    </row>
    <row r="23" spans="1:19" x14ac:dyDescent="0.25">
      <c r="A23" s="2" t="s">
        <v>13</v>
      </c>
      <c r="B23" s="3">
        <v>4</v>
      </c>
      <c r="C23" s="4" t="s">
        <v>74</v>
      </c>
      <c r="D23" s="3">
        <v>5</v>
      </c>
      <c r="F23" s="3">
        <v>65</v>
      </c>
      <c r="G23" t="s">
        <v>102</v>
      </c>
      <c r="H23" s="3">
        <v>5</v>
      </c>
      <c r="J23" s="3">
        <v>5</v>
      </c>
      <c r="L23" s="3">
        <v>5</v>
      </c>
      <c r="N23" s="40">
        <v>15</v>
      </c>
      <c r="P23" s="41">
        <v>10</v>
      </c>
      <c r="Q23" s="3">
        <v>88</v>
      </c>
      <c r="R23">
        <f t="shared" si="0"/>
        <v>88.4</v>
      </c>
      <c r="S23" s="42" t="s">
        <v>100</v>
      </c>
    </row>
    <row r="24" spans="1:19" x14ac:dyDescent="0.25">
      <c r="A24" s="2" t="s">
        <v>25</v>
      </c>
      <c r="B24" s="3">
        <v>5</v>
      </c>
      <c r="C24" s="4"/>
      <c r="D24" s="3">
        <v>5</v>
      </c>
      <c r="F24" s="3">
        <v>88</v>
      </c>
      <c r="G24" t="s">
        <v>99</v>
      </c>
      <c r="H24" s="3">
        <v>5</v>
      </c>
      <c r="J24" s="3">
        <v>5</v>
      </c>
      <c r="L24" s="3">
        <v>5</v>
      </c>
      <c r="N24" s="40">
        <v>15</v>
      </c>
      <c r="P24" s="41">
        <v>10</v>
      </c>
      <c r="Q24" s="3">
        <v>47</v>
      </c>
      <c r="R24">
        <f t="shared" si="0"/>
        <v>81.699999999999989</v>
      </c>
      <c r="S24" s="42" t="s">
        <v>290</v>
      </c>
    </row>
    <row r="25" spans="1:19" x14ac:dyDescent="0.25">
      <c r="A25" s="2" t="s">
        <v>8</v>
      </c>
      <c r="B25" s="3">
        <v>4</v>
      </c>
      <c r="C25" s="4" t="s">
        <v>79</v>
      </c>
      <c r="D25" s="3">
        <v>1</v>
      </c>
      <c r="E25" t="s">
        <v>84</v>
      </c>
      <c r="F25" s="3">
        <v>13</v>
      </c>
      <c r="G25" t="s">
        <v>110</v>
      </c>
      <c r="H25" s="3">
        <v>5</v>
      </c>
      <c r="J25" s="3">
        <v>5</v>
      </c>
      <c r="L25" s="3">
        <v>5</v>
      </c>
      <c r="N25" s="40">
        <v>15</v>
      </c>
      <c r="P25" s="41">
        <v>4</v>
      </c>
      <c r="Q25" s="3">
        <v>48</v>
      </c>
      <c r="R25">
        <f t="shared" si="0"/>
        <v>56</v>
      </c>
      <c r="S25" s="42" t="s">
        <v>109</v>
      </c>
    </row>
    <row r="26" spans="1:19" x14ac:dyDescent="0.25">
      <c r="A26" s="2" t="s">
        <v>10</v>
      </c>
      <c r="B26" s="3">
        <v>4</v>
      </c>
      <c r="C26" s="4" t="s">
        <v>80</v>
      </c>
      <c r="D26" s="3">
        <v>4</v>
      </c>
      <c r="E26" t="s">
        <v>66</v>
      </c>
      <c r="F26" s="3">
        <v>77</v>
      </c>
      <c r="G26" t="s">
        <v>101</v>
      </c>
      <c r="H26" s="3">
        <v>3</v>
      </c>
      <c r="I26" t="s">
        <v>267</v>
      </c>
      <c r="J26" s="3">
        <v>5</v>
      </c>
      <c r="L26" s="3">
        <v>5</v>
      </c>
      <c r="N26" s="40">
        <v>15</v>
      </c>
      <c r="P26" s="41">
        <v>10</v>
      </c>
      <c r="Q26" s="3">
        <v>54</v>
      </c>
      <c r="R26">
        <f t="shared" si="0"/>
        <v>77.599999999999994</v>
      </c>
      <c r="S26" s="42" t="s">
        <v>101</v>
      </c>
    </row>
    <row r="27" spans="1:19" x14ac:dyDescent="0.25">
      <c r="A27" s="2" t="s">
        <v>34</v>
      </c>
      <c r="B27" s="3">
        <v>5</v>
      </c>
      <c r="C27" s="4"/>
      <c r="D27" s="3">
        <v>3</v>
      </c>
      <c r="E27" t="s">
        <v>63</v>
      </c>
      <c r="F27" s="3">
        <v>83.5</v>
      </c>
      <c r="G27" t="s">
        <v>100</v>
      </c>
      <c r="H27" s="3">
        <v>5</v>
      </c>
      <c r="J27" s="3">
        <v>5</v>
      </c>
      <c r="L27" s="3">
        <v>5</v>
      </c>
      <c r="N27" s="40">
        <v>15</v>
      </c>
      <c r="P27" s="41">
        <v>10</v>
      </c>
      <c r="Q27" s="3">
        <v>57</v>
      </c>
      <c r="R27">
        <f t="shared" si="0"/>
        <v>81.800000000000011</v>
      </c>
      <c r="S27" s="42" t="s">
        <v>290</v>
      </c>
    </row>
    <row r="28" spans="1:19" hidden="1" x14ac:dyDescent="0.25">
      <c r="A28" s="2" t="s">
        <v>7</v>
      </c>
      <c r="B28" s="3">
        <v>0</v>
      </c>
      <c r="C28" s="4" t="s">
        <v>76</v>
      </c>
      <c r="H28" s="3">
        <v>0</v>
      </c>
      <c r="I28" t="s">
        <v>259</v>
      </c>
      <c r="J28" s="3">
        <v>0</v>
      </c>
      <c r="K28" t="s">
        <v>76</v>
      </c>
      <c r="R28">
        <f t="shared" si="0"/>
        <v>0</v>
      </c>
    </row>
    <row r="29" spans="1:19" x14ac:dyDescent="0.25">
      <c r="A29" s="2" t="s">
        <v>11</v>
      </c>
      <c r="B29" s="3">
        <v>5</v>
      </c>
      <c r="C29" s="4"/>
      <c r="D29" s="3">
        <v>3</v>
      </c>
      <c r="E29" t="s">
        <v>61</v>
      </c>
      <c r="F29" s="3">
        <v>65.5</v>
      </c>
      <c r="G29" t="s">
        <v>102</v>
      </c>
      <c r="H29" s="3">
        <v>4</v>
      </c>
      <c r="I29" t="s">
        <v>260</v>
      </c>
      <c r="J29" s="3">
        <v>5</v>
      </c>
      <c r="L29" s="3">
        <v>3</v>
      </c>
      <c r="M29" t="s">
        <v>274</v>
      </c>
      <c r="N29" s="40">
        <v>15</v>
      </c>
      <c r="P29" s="41">
        <v>10</v>
      </c>
      <c r="Q29" s="3">
        <v>57</v>
      </c>
      <c r="R29">
        <f t="shared" si="0"/>
        <v>75.2</v>
      </c>
      <c r="S29" s="42" t="s">
        <v>101</v>
      </c>
    </row>
    <row r="30" spans="1:19" x14ac:dyDescent="0.25">
      <c r="A30" s="2" t="s">
        <v>28</v>
      </c>
      <c r="B30" s="3">
        <v>4</v>
      </c>
      <c r="C30" s="4" t="s">
        <v>80</v>
      </c>
      <c r="D30" s="3">
        <v>3</v>
      </c>
      <c r="E30" t="s">
        <v>67</v>
      </c>
      <c r="F30" s="3">
        <v>38</v>
      </c>
      <c r="G30" t="s">
        <v>106</v>
      </c>
      <c r="H30" s="3">
        <v>4.5</v>
      </c>
      <c r="I30" t="s">
        <v>263</v>
      </c>
      <c r="J30" s="3">
        <v>5</v>
      </c>
      <c r="L30" s="3">
        <v>5</v>
      </c>
      <c r="N30" s="40">
        <v>14</v>
      </c>
      <c r="O30" t="s">
        <v>284</v>
      </c>
      <c r="P30" s="41">
        <v>10</v>
      </c>
      <c r="Q30" s="3">
        <v>44</v>
      </c>
      <c r="R30">
        <f t="shared" si="0"/>
        <v>66.3</v>
      </c>
      <c r="S30" s="42" t="s">
        <v>103</v>
      </c>
    </row>
    <row r="31" spans="1:19" x14ac:dyDescent="0.25">
      <c r="A31" s="2" t="s">
        <v>17</v>
      </c>
      <c r="B31" s="3">
        <v>3</v>
      </c>
      <c r="C31" s="4" t="s">
        <v>81</v>
      </c>
      <c r="D31" s="3">
        <v>3</v>
      </c>
      <c r="E31" t="s">
        <v>63</v>
      </c>
      <c r="F31" s="3">
        <v>62</v>
      </c>
      <c r="G31" t="s">
        <v>102</v>
      </c>
      <c r="H31" s="3">
        <v>3</v>
      </c>
      <c r="I31" t="s">
        <v>267</v>
      </c>
      <c r="J31" s="3">
        <v>5</v>
      </c>
      <c r="L31" s="3">
        <v>5</v>
      </c>
      <c r="N31" s="40">
        <v>15</v>
      </c>
      <c r="P31" s="41">
        <v>10</v>
      </c>
      <c r="Q31" s="3">
        <v>52</v>
      </c>
      <c r="R31">
        <f t="shared" si="0"/>
        <v>72</v>
      </c>
      <c r="S31" s="42" t="s">
        <v>102</v>
      </c>
    </row>
    <row r="32" spans="1:19" x14ac:dyDescent="0.25">
      <c r="A32" s="2" t="s">
        <v>27</v>
      </c>
      <c r="B32" s="3">
        <v>5</v>
      </c>
      <c r="C32" s="4"/>
      <c r="D32" s="3">
        <v>5</v>
      </c>
      <c r="F32" s="3">
        <v>97.5</v>
      </c>
      <c r="G32" t="s">
        <v>98</v>
      </c>
      <c r="H32" s="3">
        <v>5</v>
      </c>
      <c r="J32" s="3">
        <v>5</v>
      </c>
      <c r="L32" s="3">
        <v>5</v>
      </c>
      <c r="N32" s="40">
        <v>14</v>
      </c>
      <c r="O32" t="s">
        <v>282</v>
      </c>
      <c r="P32" s="41">
        <v>10</v>
      </c>
      <c r="Q32" s="3">
        <v>48</v>
      </c>
      <c r="R32">
        <f t="shared" si="0"/>
        <v>82.9</v>
      </c>
      <c r="S32" s="42" t="s">
        <v>290</v>
      </c>
    </row>
    <row r="33" spans="1:20" x14ac:dyDescent="0.25">
      <c r="A33" s="2" t="s">
        <v>23</v>
      </c>
      <c r="B33" s="3">
        <v>4</v>
      </c>
      <c r="C33" s="4" t="s">
        <v>74</v>
      </c>
      <c r="D33" s="3">
        <v>1</v>
      </c>
      <c r="E33" t="s">
        <v>88</v>
      </c>
      <c r="H33" s="3">
        <v>0</v>
      </c>
      <c r="I33" t="s">
        <v>259</v>
      </c>
      <c r="J33" s="3">
        <v>5</v>
      </c>
      <c r="L33" s="3">
        <v>4</v>
      </c>
      <c r="M33" t="s">
        <v>278</v>
      </c>
      <c r="N33" s="40">
        <v>15</v>
      </c>
      <c r="P33" s="41">
        <v>10</v>
      </c>
      <c r="Q33" s="3">
        <v>69</v>
      </c>
      <c r="R33">
        <f>(B33+D33+H33+J33+L33+N33+P33+Q33*30/100)*100/80</f>
        <v>74.625</v>
      </c>
      <c r="S33" s="42" t="s">
        <v>102</v>
      </c>
    </row>
    <row r="34" spans="1:20" x14ac:dyDescent="0.25">
      <c r="A34" s="2" t="s">
        <v>42</v>
      </c>
      <c r="B34" s="3">
        <v>5</v>
      </c>
      <c r="C34" s="4"/>
      <c r="F34" s="3">
        <v>55.5</v>
      </c>
      <c r="G34" t="s">
        <v>103</v>
      </c>
      <c r="H34" s="3">
        <v>3.5</v>
      </c>
      <c r="I34" t="s">
        <v>266</v>
      </c>
      <c r="J34" s="3">
        <v>5</v>
      </c>
      <c r="L34" s="3">
        <v>4</v>
      </c>
      <c r="M34" t="s">
        <v>274</v>
      </c>
      <c r="N34" s="40">
        <v>14</v>
      </c>
      <c r="O34" t="s">
        <v>283</v>
      </c>
      <c r="P34" s="41">
        <v>10</v>
      </c>
      <c r="Q34" s="3">
        <v>33</v>
      </c>
      <c r="R34">
        <f t="shared" si="0"/>
        <v>62.5</v>
      </c>
      <c r="S34" s="42" t="s">
        <v>104</v>
      </c>
    </row>
    <row r="35" spans="1:20" x14ac:dyDescent="0.25">
      <c r="A35" s="2" t="s">
        <v>22</v>
      </c>
      <c r="B35" s="3">
        <v>3</v>
      </c>
      <c r="C35" s="4" t="s">
        <v>82</v>
      </c>
      <c r="D35" s="3">
        <v>2</v>
      </c>
      <c r="E35" t="s">
        <v>87</v>
      </c>
      <c r="F35" s="3">
        <v>57.5</v>
      </c>
      <c r="G35" t="s">
        <v>103</v>
      </c>
      <c r="H35" s="3">
        <v>3.5</v>
      </c>
      <c r="I35" t="s">
        <v>264</v>
      </c>
      <c r="J35" s="3">
        <v>5</v>
      </c>
      <c r="L35" s="3">
        <v>5</v>
      </c>
      <c r="N35" s="40">
        <v>14</v>
      </c>
      <c r="O35" t="s">
        <v>285</v>
      </c>
      <c r="P35" s="41">
        <v>10</v>
      </c>
      <c r="Q35" s="3">
        <v>66</v>
      </c>
      <c r="R35">
        <f t="shared" si="0"/>
        <v>73.8</v>
      </c>
      <c r="S35" s="42" t="s">
        <v>102</v>
      </c>
    </row>
    <row r="36" spans="1:20" x14ac:dyDescent="0.25">
      <c r="A36" s="2" t="s">
        <v>6</v>
      </c>
      <c r="B36" s="3">
        <v>5</v>
      </c>
      <c r="C36" s="4"/>
      <c r="D36" s="3">
        <v>3</v>
      </c>
      <c r="E36" t="s">
        <v>69</v>
      </c>
      <c r="F36" s="3">
        <v>45</v>
      </c>
      <c r="G36" t="s">
        <v>104</v>
      </c>
      <c r="H36" s="3">
        <v>5</v>
      </c>
      <c r="J36" s="3">
        <v>5</v>
      </c>
      <c r="L36" s="3">
        <v>5</v>
      </c>
      <c r="N36" s="40">
        <v>15</v>
      </c>
      <c r="P36" s="41">
        <v>9</v>
      </c>
      <c r="Q36" s="3">
        <v>12</v>
      </c>
      <c r="R36">
        <f t="shared" si="0"/>
        <v>59.6</v>
      </c>
      <c r="S36" s="42" t="s">
        <v>105</v>
      </c>
    </row>
    <row r="37" spans="1:20" x14ac:dyDescent="0.25">
      <c r="A37" s="2" t="s">
        <v>19</v>
      </c>
      <c r="B37" s="3">
        <v>5</v>
      </c>
      <c r="C37" s="4"/>
      <c r="D37" s="3">
        <v>3</v>
      </c>
      <c r="E37" t="s">
        <v>63</v>
      </c>
      <c r="F37" s="3">
        <v>56</v>
      </c>
      <c r="G37" t="s">
        <v>103</v>
      </c>
      <c r="H37" s="3">
        <v>5</v>
      </c>
      <c r="J37" s="3">
        <v>5</v>
      </c>
      <c r="L37" s="3">
        <v>5</v>
      </c>
      <c r="N37" s="40">
        <v>15</v>
      </c>
      <c r="P37" s="41">
        <v>10</v>
      </c>
      <c r="Q37" s="3">
        <v>76</v>
      </c>
      <c r="R37">
        <f t="shared" si="0"/>
        <v>82</v>
      </c>
      <c r="S37" s="42" t="s">
        <v>290</v>
      </c>
    </row>
    <row r="38" spans="1:20" x14ac:dyDescent="0.25">
      <c r="A38" s="2" t="s">
        <v>12</v>
      </c>
      <c r="B38" s="3">
        <v>5</v>
      </c>
      <c r="C38" s="4"/>
      <c r="D38" s="3">
        <v>5</v>
      </c>
      <c r="F38" s="3">
        <v>94.5</v>
      </c>
      <c r="G38" t="s">
        <v>98</v>
      </c>
      <c r="H38" s="3">
        <v>5</v>
      </c>
      <c r="J38" s="3">
        <v>5</v>
      </c>
      <c r="L38" s="3">
        <v>5</v>
      </c>
      <c r="N38" s="40">
        <v>15</v>
      </c>
      <c r="P38" s="41">
        <v>10</v>
      </c>
      <c r="Q38" s="3">
        <v>66</v>
      </c>
      <c r="R38">
        <f t="shared" si="0"/>
        <v>88.7</v>
      </c>
      <c r="S38" s="42" t="s">
        <v>99</v>
      </c>
    </row>
    <row r="39" spans="1:20" x14ac:dyDescent="0.25">
      <c r="A39" s="2" t="s">
        <v>15</v>
      </c>
      <c r="B39" s="3">
        <v>5</v>
      </c>
      <c r="C39" s="4"/>
      <c r="D39" s="3">
        <v>2</v>
      </c>
      <c r="E39" t="s">
        <v>87</v>
      </c>
      <c r="F39" s="3">
        <v>42</v>
      </c>
      <c r="G39" t="s">
        <v>105</v>
      </c>
      <c r="H39" s="3">
        <v>5</v>
      </c>
      <c r="J39" s="3">
        <v>5</v>
      </c>
      <c r="L39" s="3">
        <v>5</v>
      </c>
      <c r="N39" s="40">
        <v>15</v>
      </c>
      <c r="P39" s="41">
        <v>10</v>
      </c>
      <c r="Q39" s="3">
        <v>35</v>
      </c>
      <c r="R39">
        <f t="shared" si="0"/>
        <v>65.900000000000006</v>
      </c>
      <c r="S39" s="42" t="s">
        <v>103</v>
      </c>
    </row>
    <row r="40" spans="1:20" x14ac:dyDescent="0.25">
      <c r="A40" s="2" t="s">
        <v>26</v>
      </c>
      <c r="B40" s="3">
        <v>4</v>
      </c>
      <c r="C40" s="4" t="s">
        <v>77</v>
      </c>
      <c r="D40" s="3">
        <v>0</v>
      </c>
      <c r="F40" s="3">
        <v>55</v>
      </c>
      <c r="G40" t="s">
        <v>103</v>
      </c>
      <c r="H40">
        <v>5</v>
      </c>
      <c r="J40" s="3">
        <v>5</v>
      </c>
      <c r="L40" s="3">
        <v>3</v>
      </c>
      <c r="M40" t="s">
        <v>274</v>
      </c>
      <c r="N40" s="40">
        <v>15</v>
      </c>
      <c r="P40" s="41">
        <v>10</v>
      </c>
      <c r="Q40" s="3">
        <v>39</v>
      </c>
      <c r="R40">
        <f t="shared" si="0"/>
        <v>64.7</v>
      </c>
      <c r="S40" s="42" t="s">
        <v>104</v>
      </c>
    </row>
    <row r="41" spans="1:20" x14ac:dyDescent="0.25">
      <c r="A41" s="2" t="s">
        <v>43</v>
      </c>
      <c r="B41" s="3">
        <v>4</v>
      </c>
      <c r="C41" s="4" t="s">
        <v>74</v>
      </c>
      <c r="D41" s="3">
        <v>5</v>
      </c>
      <c r="F41" s="3">
        <v>71.5</v>
      </c>
      <c r="G41" t="s">
        <v>101</v>
      </c>
      <c r="H41" s="3">
        <v>5</v>
      </c>
      <c r="J41" s="3">
        <v>5</v>
      </c>
      <c r="L41" s="3">
        <v>5</v>
      </c>
      <c r="N41" s="40">
        <v>12</v>
      </c>
      <c r="O41" t="s">
        <v>281</v>
      </c>
      <c r="P41" s="41">
        <v>10</v>
      </c>
      <c r="Q41" s="3">
        <v>38</v>
      </c>
      <c r="R41">
        <f t="shared" si="0"/>
        <v>71.7</v>
      </c>
      <c r="S41" s="42" t="s">
        <v>108</v>
      </c>
    </row>
    <row r="42" spans="1:20" x14ac:dyDescent="0.25">
      <c r="A42" s="2" t="s">
        <v>16</v>
      </c>
      <c r="B42" s="3">
        <v>4</v>
      </c>
      <c r="C42" s="4" t="s">
        <v>74</v>
      </c>
      <c r="D42" s="3">
        <v>3</v>
      </c>
      <c r="E42" t="s">
        <v>69</v>
      </c>
      <c r="F42" s="3">
        <v>51</v>
      </c>
      <c r="G42" t="s">
        <v>103</v>
      </c>
      <c r="H42" s="3">
        <v>4</v>
      </c>
      <c r="I42" t="s">
        <v>260</v>
      </c>
      <c r="J42" s="3">
        <v>5</v>
      </c>
      <c r="L42" s="3">
        <v>5</v>
      </c>
      <c r="N42" s="40">
        <v>11</v>
      </c>
      <c r="O42" t="s">
        <v>75</v>
      </c>
      <c r="P42" s="41" t="s">
        <v>288</v>
      </c>
      <c r="Q42" s="3">
        <v>28</v>
      </c>
      <c r="R42" t="s">
        <v>292</v>
      </c>
    </row>
    <row r="43" spans="1:20" x14ac:dyDescent="0.25">
      <c r="A43" s="2" t="s">
        <v>40</v>
      </c>
      <c r="B43" s="3">
        <v>4</v>
      </c>
      <c r="C43" s="4" t="s">
        <v>77</v>
      </c>
      <c r="F43" s="3">
        <v>54</v>
      </c>
      <c r="G43" t="s">
        <v>103</v>
      </c>
      <c r="H43" s="3">
        <v>3</v>
      </c>
      <c r="I43" t="s">
        <v>265</v>
      </c>
      <c r="J43" s="3">
        <v>0</v>
      </c>
      <c r="K43" t="s">
        <v>76</v>
      </c>
      <c r="L43" s="3">
        <v>5</v>
      </c>
      <c r="N43" s="40">
        <v>15</v>
      </c>
      <c r="P43" s="41">
        <v>10</v>
      </c>
      <c r="Q43" s="3">
        <v>53</v>
      </c>
      <c r="R43">
        <f t="shared" si="0"/>
        <v>63.699999999999996</v>
      </c>
      <c r="S43" s="42" t="s">
        <v>104</v>
      </c>
    </row>
    <row r="45" spans="1:20" x14ac:dyDescent="0.25">
      <c r="F45" s="3">
        <f>MIN(F2:F43)</f>
        <v>13</v>
      </c>
      <c r="G45" t="s">
        <v>90</v>
      </c>
      <c r="Q45" s="3">
        <f>AVERAGE(Q2:Q43)</f>
        <v>50.820512820512818</v>
      </c>
    </row>
    <row r="46" spans="1:20" x14ac:dyDescent="0.25">
      <c r="F46" s="3">
        <f>MAX(F2:F43)</f>
        <v>98</v>
      </c>
      <c r="G46" t="s">
        <v>91</v>
      </c>
      <c r="T46" t="s">
        <v>291</v>
      </c>
    </row>
    <row r="47" spans="1:20" x14ac:dyDescent="0.25">
      <c r="F47" s="5">
        <f>AVERAGE(F2:F43)</f>
        <v>61.45945945945946</v>
      </c>
      <c r="G47" t="s">
        <v>92</v>
      </c>
      <c r="S47" s="42" t="s">
        <v>98</v>
      </c>
      <c r="T47">
        <v>90</v>
      </c>
    </row>
    <row r="48" spans="1:20" x14ac:dyDescent="0.25">
      <c r="F48" s="5">
        <f>STDEV(F2:F43)</f>
        <v>21.22739921604806</v>
      </c>
      <c r="G48" t="s">
        <v>93</v>
      </c>
      <c r="S48" s="42" t="s">
        <v>99</v>
      </c>
      <c r="T48">
        <v>85</v>
      </c>
    </row>
    <row r="49" spans="6:20" x14ac:dyDescent="0.25">
      <c r="F49" s="3">
        <f>QUARTILE(F2:F43,1)</f>
        <v>48.5</v>
      </c>
      <c r="G49" t="s">
        <v>94</v>
      </c>
      <c r="S49" s="42" t="s">
        <v>290</v>
      </c>
      <c r="T49">
        <v>80</v>
      </c>
    </row>
    <row r="50" spans="6:20" x14ac:dyDescent="0.25">
      <c r="F50" s="3">
        <f>QUARTILE(F2:F43,2)</f>
        <v>57.5</v>
      </c>
      <c r="G50" t="s">
        <v>96</v>
      </c>
      <c r="S50" s="42" t="s">
        <v>101</v>
      </c>
      <c r="T50">
        <v>75</v>
      </c>
    </row>
    <row r="51" spans="6:20" x14ac:dyDescent="0.25">
      <c r="F51" s="3">
        <f>QUARTILE(F2:F43,3)</f>
        <v>76</v>
      </c>
      <c r="G51" t="s">
        <v>95</v>
      </c>
      <c r="S51" s="42" t="s">
        <v>108</v>
      </c>
      <c r="T51">
        <v>70</v>
      </c>
    </row>
    <row r="52" spans="6:20" x14ac:dyDescent="0.25">
      <c r="S52" s="42" t="s">
        <v>103</v>
      </c>
      <c r="T52">
        <v>65</v>
      </c>
    </row>
    <row r="53" spans="6:20" x14ac:dyDescent="0.25">
      <c r="F53" s="3">
        <v>90</v>
      </c>
      <c r="G53" t="s">
        <v>98</v>
      </c>
      <c r="S53" s="42" t="s">
        <v>104</v>
      </c>
      <c r="T53">
        <v>60</v>
      </c>
    </row>
    <row r="54" spans="6:20" x14ac:dyDescent="0.25">
      <c r="F54" s="3">
        <v>80</v>
      </c>
      <c r="G54" t="s">
        <v>99</v>
      </c>
      <c r="S54" s="42" t="s">
        <v>109</v>
      </c>
      <c r="T54">
        <v>55</v>
      </c>
    </row>
    <row r="55" spans="6:20" x14ac:dyDescent="0.25">
      <c r="F55" s="3">
        <v>70</v>
      </c>
      <c r="G55" t="s">
        <v>101</v>
      </c>
      <c r="S55" s="42" t="s">
        <v>106</v>
      </c>
      <c r="T55">
        <v>50</v>
      </c>
    </row>
    <row r="56" spans="6:20" x14ac:dyDescent="0.25">
      <c r="F56" s="3">
        <v>60</v>
      </c>
      <c r="G56" t="s">
        <v>108</v>
      </c>
    </row>
    <row r="57" spans="6:20" x14ac:dyDescent="0.25">
      <c r="F57" s="3">
        <v>50</v>
      </c>
      <c r="G57" t="s">
        <v>103</v>
      </c>
    </row>
    <row r="58" spans="6:20" x14ac:dyDescent="0.25">
      <c r="F58" s="3">
        <v>45</v>
      </c>
      <c r="G58" t="s">
        <v>104</v>
      </c>
    </row>
    <row r="59" spans="6:20" x14ac:dyDescent="0.25">
      <c r="F59" s="3">
        <v>40</v>
      </c>
      <c r="G59" t="s">
        <v>109</v>
      </c>
    </row>
    <row r="60" spans="6:20" x14ac:dyDescent="0.25">
      <c r="F60" s="3">
        <v>30</v>
      </c>
      <c r="G60" t="s">
        <v>106</v>
      </c>
    </row>
    <row r="61" spans="6:20" x14ac:dyDescent="0.25">
      <c r="F61" s="3">
        <v>20</v>
      </c>
      <c r="G61" t="s">
        <v>107</v>
      </c>
    </row>
    <row r="62" spans="6:20" x14ac:dyDescent="0.25">
      <c r="F62" s="3">
        <v>10</v>
      </c>
      <c r="G62" t="s">
        <v>110</v>
      </c>
    </row>
  </sheetData>
  <phoneticPr fontId="0" type="noConversion"/>
  <pageMargins left="0.75" right="0.75" top="1" bottom="1" header="0.5" footer="0.5"/>
  <pageSetup scale="58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selection activeCell="B12" sqref="B12"/>
    </sheetView>
  </sheetViews>
  <sheetFormatPr defaultRowHeight="12.5" x14ac:dyDescent="0.25"/>
  <cols>
    <col min="1" max="1" width="12.54296875" style="3" bestFit="1" customWidth="1"/>
    <col min="2" max="2" width="41.7265625" customWidth="1"/>
    <col min="4" max="4" width="10.1796875" bestFit="1" customWidth="1"/>
    <col min="5" max="5" width="11.7265625" bestFit="1" customWidth="1"/>
    <col min="6" max="11" width="0" hidden="1" customWidth="1"/>
  </cols>
  <sheetData>
    <row r="1" spans="1:7" x14ac:dyDescent="0.25">
      <c r="A1" s="3" t="s">
        <v>36</v>
      </c>
      <c r="B1" s="3" t="s">
        <v>37</v>
      </c>
    </row>
    <row r="2" spans="1:7" x14ac:dyDescent="0.25">
      <c r="G2" s="1"/>
    </row>
    <row r="3" spans="1:7" x14ac:dyDescent="0.25">
      <c r="A3" s="3">
        <v>1</v>
      </c>
      <c r="B3" t="s">
        <v>38</v>
      </c>
      <c r="G3" s="1"/>
    </row>
    <row r="4" spans="1:7" x14ac:dyDescent="0.25">
      <c r="A4" s="3">
        <v>2</v>
      </c>
      <c r="B4" t="s">
        <v>39</v>
      </c>
      <c r="G4" s="1"/>
    </row>
    <row r="5" spans="1:7" x14ac:dyDescent="0.25">
      <c r="A5" s="3">
        <v>3</v>
      </c>
      <c r="B5" t="s">
        <v>46</v>
      </c>
      <c r="G5" s="1"/>
    </row>
    <row r="6" spans="1:7" x14ac:dyDescent="0.25">
      <c r="A6" s="3">
        <v>4</v>
      </c>
      <c r="B6" t="s">
        <v>269</v>
      </c>
      <c r="G6" s="1"/>
    </row>
    <row r="7" spans="1:7" x14ac:dyDescent="0.25">
      <c r="A7" s="3">
        <v>5</v>
      </c>
      <c r="B7" t="s">
        <v>45</v>
      </c>
      <c r="G7" s="1"/>
    </row>
    <row r="8" spans="1:7" x14ac:dyDescent="0.25">
      <c r="A8" s="3">
        <v>6</v>
      </c>
      <c r="B8" t="s">
        <v>56</v>
      </c>
      <c r="G8" s="1"/>
    </row>
    <row r="9" spans="1:7" x14ac:dyDescent="0.25">
      <c r="A9" s="3">
        <v>7</v>
      </c>
      <c r="B9" t="s">
        <v>51</v>
      </c>
      <c r="G9" s="1"/>
    </row>
    <row r="10" spans="1:7" x14ac:dyDescent="0.25">
      <c r="A10" s="3">
        <v>8</v>
      </c>
      <c r="B10" t="s">
        <v>52</v>
      </c>
      <c r="G10" s="1"/>
    </row>
    <row r="11" spans="1:7" x14ac:dyDescent="0.25">
      <c r="A11" s="3">
        <v>9</v>
      </c>
      <c r="B11" t="s">
        <v>57</v>
      </c>
      <c r="G11" s="1"/>
    </row>
    <row r="12" spans="1:7" x14ac:dyDescent="0.25">
      <c r="A12" s="3">
        <v>10</v>
      </c>
      <c r="B12" t="s">
        <v>49</v>
      </c>
    </row>
    <row r="13" spans="1:7" x14ac:dyDescent="0.25">
      <c r="A13" s="3">
        <v>11</v>
      </c>
      <c r="B13" t="s">
        <v>48</v>
      </c>
      <c r="G13" s="1"/>
    </row>
    <row r="14" spans="1:7" x14ac:dyDescent="0.25">
      <c r="A14" s="3">
        <v>12</v>
      </c>
      <c r="B14" t="s">
        <v>47</v>
      </c>
    </row>
    <row r="15" spans="1:7" x14ac:dyDescent="0.25">
      <c r="A15" s="3">
        <v>13</v>
      </c>
      <c r="B15" t="s">
        <v>58</v>
      </c>
      <c r="G15" s="1"/>
    </row>
    <row r="16" spans="1:7" x14ac:dyDescent="0.25">
      <c r="A16" s="3">
        <v>14</v>
      </c>
      <c r="B16" t="s">
        <v>53</v>
      </c>
      <c r="G16" s="1"/>
    </row>
    <row r="17" spans="1:7" x14ac:dyDescent="0.25">
      <c r="A17" s="3">
        <v>15</v>
      </c>
      <c r="B17" t="s">
        <v>54</v>
      </c>
      <c r="G17" s="1"/>
    </row>
    <row r="18" spans="1:7" x14ac:dyDescent="0.25">
      <c r="A18" s="3">
        <v>16</v>
      </c>
      <c r="B18" t="s">
        <v>55</v>
      </c>
      <c r="G18" s="1"/>
    </row>
    <row r="19" spans="1:7" x14ac:dyDescent="0.25">
      <c r="A19" s="3">
        <v>17</v>
      </c>
      <c r="B19" t="s">
        <v>44</v>
      </c>
      <c r="G19" s="1"/>
    </row>
    <row r="20" spans="1:7" x14ac:dyDescent="0.25">
      <c r="A20" s="3">
        <v>18</v>
      </c>
      <c r="B20" t="s">
        <v>50</v>
      </c>
    </row>
    <row r="21" spans="1:7" x14ac:dyDescent="0.25">
      <c r="A21" s="3">
        <v>19</v>
      </c>
      <c r="B21" t="s">
        <v>270</v>
      </c>
      <c r="G21" s="1"/>
    </row>
    <row r="22" spans="1:7" x14ac:dyDescent="0.25">
      <c r="A22" s="3">
        <v>20</v>
      </c>
      <c r="B22" t="s">
        <v>271</v>
      </c>
      <c r="G22" s="1"/>
    </row>
    <row r="23" spans="1:7" x14ac:dyDescent="0.25">
      <c r="G23" s="1"/>
    </row>
    <row r="24" spans="1:7" x14ac:dyDescent="0.25">
      <c r="G24" s="1"/>
    </row>
    <row r="25" spans="1:7" x14ac:dyDescent="0.25">
      <c r="G25" s="1"/>
    </row>
    <row r="26" spans="1:7" x14ac:dyDescent="0.25">
      <c r="G26" s="1"/>
    </row>
    <row r="27" spans="1:7" x14ac:dyDescent="0.25">
      <c r="G27" s="1"/>
    </row>
    <row r="28" spans="1:7" x14ac:dyDescent="0.25">
      <c r="G28" s="1"/>
    </row>
    <row r="29" spans="1:7" x14ac:dyDescent="0.25">
      <c r="G29" s="1"/>
    </row>
    <row r="30" spans="1:7" x14ac:dyDescent="0.25">
      <c r="G30" s="1"/>
    </row>
    <row r="31" spans="1:7" x14ac:dyDescent="0.25">
      <c r="G31" s="1"/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0"/>
  <sheetViews>
    <sheetView workbookViewId="0"/>
  </sheetViews>
  <sheetFormatPr defaultRowHeight="12.5" x14ac:dyDescent="0.25"/>
  <cols>
    <col min="2" max="2" width="37" customWidth="1"/>
    <col min="3" max="3" width="12.7265625" style="3" customWidth="1"/>
    <col min="5" max="5" width="12.54296875" customWidth="1"/>
    <col min="6" max="6" width="16.26953125" style="35" customWidth="1"/>
    <col min="7" max="7" width="17.54296875" style="35" customWidth="1"/>
    <col min="8" max="8" width="2.26953125" customWidth="1"/>
    <col min="9" max="9" width="39.54296875" style="24" customWidth="1"/>
    <col min="10" max="10" width="26.81640625" style="38" customWidth="1"/>
    <col min="11" max="11" width="27.7265625" style="37" customWidth="1"/>
    <col min="12" max="12" width="12.1796875" style="24" customWidth="1"/>
    <col min="13" max="13" width="9.1796875" style="38" customWidth="1"/>
    <col min="14" max="14" width="9.7265625" style="38" customWidth="1"/>
  </cols>
  <sheetData>
    <row r="1" spans="1:25" s="6" customFormat="1" ht="50" x14ac:dyDescent="0.25">
      <c r="A1" s="6" t="s">
        <v>111</v>
      </c>
      <c r="B1" s="7" t="s">
        <v>112</v>
      </c>
      <c r="D1" s="8" t="s">
        <v>113</v>
      </c>
      <c r="E1" s="6" t="s">
        <v>114</v>
      </c>
      <c r="F1" s="9" t="s">
        <v>115</v>
      </c>
      <c r="G1" s="9" t="s">
        <v>116</v>
      </c>
      <c r="K1" s="10"/>
    </row>
    <row r="2" spans="1:25" s="11" customFormat="1" ht="13" x14ac:dyDescent="0.25">
      <c r="A2" s="11" t="s">
        <v>117</v>
      </c>
      <c r="B2" s="12" t="s">
        <v>118</v>
      </c>
      <c r="C2" s="11" t="s">
        <v>119</v>
      </c>
      <c r="D2" s="13" t="s">
        <v>120</v>
      </c>
      <c r="E2" s="11" t="s">
        <v>121</v>
      </c>
      <c r="F2" s="14" t="s">
        <v>122</v>
      </c>
      <c r="G2" s="14" t="s">
        <v>123</v>
      </c>
      <c r="I2" s="6" t="s">
        <v>124</v>
      </c>
      <c r="J2" s="6"/>
      <c r="K2" s="10"/>
      <c r="L2" s="6"/>
      <c r="M2" s="6"/>
      <c r="N2" s="6" t="s">
        <v>125</v>
      </c>
    </row>
    <row r="3" spans="1:25" s="16" customFormat="1" x14ac:dyDescent="0.25">
      <c r="A3" s="3">
        <v>1997</v>
      </c>
      <c r="B3" t="s">
        <v>126</v>
      </c>
      <c r="C3" s="3">
        <v>1</v>
      </c>
      <c r="D3" s="3">
        <v>100</v>
      </c>
      <c r="E3" s="3">
        <v>3.9</v>
      </c>
      <c r="F3" s="15">
        <v>0.11</v>
      </c>
      <c r="G3" s="15">
        <v>0.97</v>
      </c>
      <c r="I3" s="17">
        <v>1</v>
      </c>
      <c r="J3" s="18" t="s">
        <v>127</v>
      </c>
      <c r="K3" s="19" t="s">
        <v>272</v>
      </c>
      <c r="L3" s="17"/>
      <c r="N3" s="17">
        <v>7.5</v>
      </c>
      <c r="Y3" s="16">
        <f>3/20</f>
        <v>0.15</v>
      </c>
    </row>
    <row r="4" spans="1:25" s="16" customFormat="1" x14ac:dyDescent="0.25">
      <c r="A4" s="3">
        <v>1997</v>
      </c>
      <c r="B4" t="s">
        <v>129</v>
      </c>
      <c r="C4" s="3">
        <v>1</v>
      </c>
      <c r="D4" s="3">
        <v>100</v>
      </c>
      <c r="E4" s="3">
        <v>4</v>
      </c>
      <c r="F4" s="15">
        <v>0.12</v>
      </c>
      <c r="G4" s="15">
        <v>0.94</v>
      </c>
      <c r="I4" s="17"/>
      <c r="J4" s="18" t="s">
        <v>130</v>
      </c>
      <c r="K4" s="19" t="s">
        <v>128</v>
      </c>
      <c r="L4" s="17"/>
      <c r="N4" s="17">
        <v>7.5</v>
      </c>
    </row>
    <row r="5" spans="1:25" s="16" customFormat="1" x14ac:dyDescent="0.25">
      <c r="A5" s="3">
        <v>1997</v>
      </c>
      <c r="B5" t="s">
        <v>131</v>
      </c>
      <c r="C5" s="3">
        <v>1</v>
      </c>
      <c r="D5" s="3">
        <v>99</v>
      </c>
      <c r="E5" s="3">
        <v>3.8</v>
      </c>
      <c r="F5" s="15">
        <v>0.31</v>
      </c>
      <c r="G5" s="15">
        <v>0.93</v>
      </c>
      <c r="I5" s="17"/>
      <c r="K5" s="20"/>
      <c r="L5" s="17"/>
      <c r="N5" s="17"/>
    </row>
    <row r="6" spans="1:25" s="16" customFormat="1" x14ac:dyDescent="0.25">
      <c r="A6" s="3">
        <v>1997</v>
      </c>
      <c r="B6" t="s">
        <v>132</v>
      </c>
      <c r="C6" s="3">
        <v>1</v>
      </c>
      <c r="D6" s="3">
        <v>99</v>
      </c>
      <c r="E6" s="3">
        <v>3.9</v>
      </c>
      <c r="F6" s="15">
        <v>0.18</v>
      </c>
      <c r="G6" s="15">
        <v>0.93</v>
      </c>
      <c r="I6" s="21">
        <v>2</v>
      </c>
      <c r="J6" s="22" t="s">
        <v>133</v>
      </c>
      <c r="K6" s="23"/>
      <c r="L6" s="17"/>
      <c r="N6" s="17">
        <v>5</v>
      </c>
    </row>
    <row r="7" spans="1:25" s="16" customFormat="1" x14ac:dyDescent="0.25">
      <c r="A7" s="3">
        <v>1997</v>
      </c>
      <c r="B7" t="s">
        <v>134</v>
      </c>
      <c r="C7" s="3">
        <v>1</v>
      </c>
      <c r="D7" s="3">
        <v>98</v>
      </c>
      <c r="E7" s="3">
        <v>4</v>
      </c>
      <c r="F7" s="15">
        <v>0.16</v>
      </c>
      <c r="G7" s="15">
        <v>0.94</v>
      </c>
      <c r="I7" s="17"/>
      <c r="J7" s="16" t="s">
        <v>135</v>
      </c>
      <c r="K7" s="20"/>
      <c r="L7" s="21"/>
      <c r="N7" s="21">
        <v>5</v>
      </c>
    </row>
    <row r="8" spans="1:25" s="16" customFormat="1" x14ac:dyDescent="0.25">
      <c r="A8" s="3">
        <v>1997</v>
      </c>
      <c r="B8" t="s">
        <v>136</v>
      </c>
      <c r="C8" s="3">
        <v>1</v>
      </c>
      <c r="D8" s="3">
        <v>97</v>
      </c>
      <c r="E8" s="3">
        <v>3.9</v>
      </c>
      <c r="F8" s="15">
        <v>0.24</v>
      </c>
      <c r="G8" s="15">
        <v>0.89</v>
      </c>
      <c r="I8" s="17"/>
      <c r="J8" s="22" t="s">
        <v>137</v>
      </c>
      <c r="K8" s="20"/>
      <c r="L8" s="21"/>
      <c r="N8" s="21">
        <v>5</v>
      </c>
    </row>
    <row r="9" spans="1:25" s="16" customFormat="1" x14ac:dyDescent="0.25">
      <c r="A9" s="3">
        <v>1997</v>
      </c>
      <c r="B9" t="s">
        <v>138</v>
      </c>
      <c r="C9" s="3">
        <v>1</v>
      </c>
      <c r="D9" s="3">
        <v>96</v>
      </c>
      <c r="E9" s="3">
        <v>3.7</v>
      </c>
      <c r="F9" s="15">
        <v>0.2</v>
      </c>
      <c r="G9" s="15">
        <v>0.93</v>
      </c>
      <c r="I9" s="17"/>
      <c r="K9" s="20"/>
      <c r="L9" s="17"/>
      <c r="N9" s="17"/>
    </row>
    <row r="10" spans="1:25" s="16" customFormat="1" x14ac:dyDescent="0.25">
      <c r="A10" s="3">
        <v>1997</v>
      </c>
      <c r="B10" t="s">
        <v>139</v>
      </c>
      <c r="C10" s="3">
        <v>1</v>
      </c>
      <c r="D10" s="3">
        <v>96</v>
      </c>
      <c r="E10" s="3">
        <v>3.7</v>
      </c>
      <c r="F10" s="15">
        <v>0.3</v>
      </c>
      <c r="G10" s="15">
        <v>0.88</v>
      </c>
      <c r="I10" s="6">
        <v>3.1</v>
      </c>
      <c r="J10" s="6"/>
      <c r="K10" s="6"/>
      <c r="L10" s="24"/>
      <c r="N10" s="24"/>
    </row>
    <row r="11" spans="1:25" s="16" customFormat="1" x14ac:dyDescent="0.25">
      <c r="A11" s="3">
        <v>1997</v>
      </c>
      <c r="B11" t="s">
        <v>140</v>
      </c>
      <c r="C11" s="3">
        <v>1</v>
      </c>
      <c r="D11" s="3">
        <v>95</v>
      </c>
      <c r="E11" s="3">
        <v>3.7</v>
      </c>
      <c r="F11" s="15">
        <v>0.19</v>
      </c>
      <c r="G11" s="15">
        <v>0.91</v>
      </c>
      <c r="I11" s="17" t="s">
        <v>141</v>
      </c>
      <c r="J11" s="16" t="s">
        <v>142</v>
      </c>
      <c r="K11" s="16" t="s">
        <v>143</v>
      </c>
      <c r="L11" s="24"/>
      <c r="N11" s="24">
        <v>1</v>
      </c>
    </row>
    <row r="12" spans="1:25" s="16" customFormat="1" x14ac:dyDescent="0.25">
      <c r="A12" s="3">
        <v>1997</v>
      </c>
      <c r="B12" t="s">
        <v>144</v>
      </c>
      <c r="C12" s="3">
        <v>1</v>
      </c>
      <c r="D12" s="3">
        <v>95</v>
      </c>
      <c r="E12" s="3">
        <v>3.8</v>
      </c>
      <c r="F12" s="15">
        <v>0.26</v>
      </c>
      <c r="G12" s="15">
        <v>0.82</v>
      </c>
      <c r="I12" s="17" t="s">
        <v>145</v>
      </c>
      <c r="J12" s="16" t="s">
        <v>146</v>
      </c>
      <c r="K12" s="16" t="s">
        <v>147</v>
      </c>
      <c r="L12" s="24"/>
      <c r="N12" s="24">
        <v>1</v>
      </c>
    </row>
    <row r="13" spans="1:25" s="16" customFormat="1" x14ac:dyDescent="0.25">
      <c r="A13" s="3">
        <v>1997</v>
      </c>
      <c r="B13" t="s">
        <v>148</v>
      </c>
      <c r="C13" s="3">
        <v>1</v>
      </c>
      <c r="D13" s="3">
        <v>95</v>
      </c>
      <c r="E13" s="3">
        <v>3.8</v>
      </c>
      <c r="F13" s="15">
        <v>0.21</v>
      </c>
      <c r="G13" s="15">
        <v>0.87</v>
      </c>
      <c r="I13" s="17" t="s">
        <v>149</v>
      </c>
      <c r="J13" s="16" t="s">
        <v>150</v>
      </c>
      <c r="K13" s="16" t="s">
        <v>143</v>
      </c>
      <c r="L13" s="24"/>
      <c r="N13" s="24">
        <v>1</v>
      </c>
    </row>
    <row r="14" spans="1:25" s="16" customFormat="1" ht="25" x14ac:dyDescent="0.25">
      <c r="A14" s="3">
        <v>1997</v>
      </c>
      <c r="B14" t="s">
        <v>151</v>
      </c>
      <c r="C14" s="3">
        <v>1</v>
      </c>
      <c r="D14" s="3">
        <v>95</v>
      </c>
      <c r="E14" s="3">
        <v>3.2</v>
      </c>
      <c r="F14" s="15">
        <v>0.44</v>
      </c>
      <c r="G14" s="15">
        <v>0.93</v>
      </c>
      <c r="I14" s="21" t="s">
        <v>152</v>
      </c>
      <c r="J14" s="22" t="s">
        <v>153</v>
      </c>
      <c r="K14" s="25" t="s">
        <v>154</v>
      </c>
      <c r="L14" s="24"/>
      <c r="N14" s="24">
        <v>1</v>
      </c>
    </row>
    <row r="15" spans="1:25" s="16" customFormat="1" x14ac:dyDescent="0.25">
      <c r="A15" s="3">
        <v>1997</v>
      </c>
      <c r="B15" t="s">
        <v>155</v>
      </c>
      <c r="C15" s="3">
        <v>1</v>
      </c>
      <c r="D15" s="3">
        <v>95</v>
      </c>
      <c r="E15" s="3">
        <v>3.6</v>
      </c>
      <c r="F15" s="15">
        <v>0.32</v>
      </c>
      <c r="G15" s="15">
        <v>0.91</v>
      </c>
      <c r="I15" s="17"/>
      <c r="K15" s="20"/>
      <c r="L15" s="17"/>
    </row>
    <row r="16" spans="1:25" s="16" customFormat="1" x14ac:dyDescent="0.25">
      <c r="A16" s="3">
        <v>1997</v>
      </c>
      <c r="B16" t="s">
        <v>156</v>
      </c>
      <c r="C16" s="3">
        <v>1</v>
      </c>
      <c r="D16" s="3">
        <v>94</v>
      </c>
      <c r="E16" s="3">
        <v>3.8</v>
      </c>
      <c r="F16" s="15">
        <v>0.33</v>
      </c>
      <c r="G16" s="15">
        <v>0.89</v>
      </c>
      <c r="I16" s="17">
        <v>3.2</v>
      </c>
      <c r="J16" s="21" t="s">
        <v>121</v>
      </c>
      <c r="K16" s="17" t="s">
        <v>157</v>
      </c>
      <c r="L16" s="17" t="s">
        <v>158</v>
      </c>
      <c r="N16" s="21" t="s">
        <v>159</v>
      </c>
    </row>
    <row r="17" spans="1:14" s="16" customFormat="1" x14ac:dyDescent="0.25">
      <c r="A17" s="3">
        <v>1997</v>
      </c>
      <c r="B17" t="s">
        <v>160</v>
      </c>
      <c r="C17" s="3">
        <v>1</v>
      </c>
      <c r="D17" s="3">
        <v>94</v>
      </c>
      <c r="E17" s="3">
        <v>3.8</v>
      </c>
      <c r="F17" s="15">
        <v>0.4</v>
      </c>
      <c r="G17" s="15">
        <v>0.88</v>
      </c>
      <c r="I17" s="17" t="s">
        <v>161</v>
      </c>
      <c r="J17" s="26">
        <f>AVERAGE(E3:E52)</f>
        <v>3.3220000000000005</v>
      </c>
      <c r="K17" s="27">
        <f>AVERAGE(F3:F52)</f>
        <v>0.46419999999999989</v>
      </c>
      <c r="L17" s="28">
        <f>AVERAGE(G3:G52)</f>
        <v>0.82540000000000036</v>
      </c>
      <c r="N17" s="16" t="s">
        <v>162</v>
      </c>
    </row>
    <row r="18" spans="1:14" s="16" customFormat="1" x14ac:dyDescent="0.25">
      <c r="A18" s="3">
        <v>1997</v>
      </c>
      <c r="B18" t="s">
        <v>163</v>
      </c>
      <c r="C18" s="3">
        <v>1</v>
      </c>
      <c r="D18" s="3">
        <v>94</v>
      </c>
      <c r="E18" s="3">
        <v>3.8</v>
      </c>
      <c r="F18" s="15">
        <v>0.57999999999999996</v>
      </c>
      <c r="G18" s="15">
        <v>0.81</v>
      </c>
      <c r="I18" s="17" t="s">
        <v>164</v>
      </c>
      <c r="J18" s="26">
        <f>STDEV(E3:E52)</f>
        <v>0.46698774183098279</v>
      </c>
      <c r="K18" s="26">
        <f>STDEV(F3:F52)</f>
        <v>0.20944133658231814</v>
      </c>
      <c r="L18" s="26">
        <f>STDEV(G3:G52)</f>
        <v>8.5980776209281948E-2</v>
      </c>
    </row>
    <row r="19" spans="1:14" s="16" customFormat="1" x14ac:dyDescent="0.25">
      <c r="A19" s="3">
        <v>1997</v>
      </c>
      <c r="B19" t="s">
        <v>165</v>
      </c>
      <c r="C19" s="3">
        <v>1</v>
      </c>
      <c r="D19" s="3">
        <v>93</v>
      </c>
      <c r="E19" s="3">
        <v>3.5</v>
      </c>
      <c r="F19" s="15">
        <v>0.24</v>
      </c>
      <c r="G19" s="15">
        <v>0.9</v>
      </c>
      <c r="I19" s="17" t="s">
        <v>166</v>
      </c>
      <c r="J19" s="26">
        <f>MIN(E3:E52)</f>
        <v>2.1</v>
      </c>
      <c r="K19" s="27">
        <f>MIN(F3:F52)</f>
        <v>0.11</v>
      </c>
      <c r="L19" s="27">
        <f>MIN(G3:G52)</f>
        <v>0.67</v>
      </c>
    </row>
    <row r="20" spans="1:14" s="16" customFormat="1" x14ac:dyDescent="0.25">
      <c r="A20" s="3">
        <v>1997</v>
      </c>
      <c r="B20" t="s">
        <v>167</v>
      </c>
      <c r="C20" s="3">
        <v>1</v>
      </c>
      <c r="D20" s="3">
        <v>93</v>
      </c>
      <c r="E20" s="3">
        <v>3.3</v>
      </c>
      <c r="F20" s="15">
        <v>0.51</v>
      </c>
      <c r="G20" s="15">
        <v>0.86</v>
      </c>
      <c r="I20" s="17" t="s">
        <v>168</v>
      </c>
      <c r="J20" s="26">
        <f>QUARTILE(E3:E52,1)</f>
        <v>3</v>
      </c>
      <c r="K20" s="27">
        <f>QUARTILE(F3:F52,1)</f>
        <v>0.3125</v>
      </c>
      <c r="L20" s="27">
        <f>QUARTILE(G3:G52,1)</f>
        <v>0.76249999999999996</v>
      </c>
    </row>
    <row r="21" spans="1:14" s="16" customFormat="1" x14ac:dyDescent="0.25">
      <c r="A21" s="3">
        <v>1997</v>
      </c>
      <c r="B21" t="s">
        <v>169</v>
      </c>
      <c r="C21" s="3">
        <v>1</v>
      </c>
      <c r="D21" s="3">
        <v>91</v>
      </c>
      <c r="E21" s="3">
        <v>3.1</v>
      </c>
      <c r="F21" s="15">
        <v>0.4</v>
      </c>
      <c r="G21" s="15">
        <v>0.93</v>
      </c>
      <c r="I21" s="17" t="s">
        <v>170</v>
      </c>
      <c r="J21" s="26">
        <f>MEDIAN(E3:E52)</f>
        <v>3.3499999999999996</v>
      </c>
      <c r="K21" s="27">
        <f>MEDIAN(F3:F52)</f>
        <v>0.44</v>
      </c>
      <c r="L21" s="28">
        <f>MEDIAN(G3:G52)</f>
        <v>0.83</v>
      </c>
    </row>
    <row r="22" spans="1:14" s="16" customFormat="1" x14ac:dyDescent="0.25">
      <c r="A22" s="3">
        <v>1997</v>
      </c>
      <c r="B22" t="s">
        <v>171</v>
      </c>
      <c r="C22" s="3">
        <v>1</v>
      </c>
      <c r="D22" s="3">
        <v>91</v>
      </c>
      <c r="E22" s="3">
        <v>3.4</v>
      </c>
      <c r="F22" s="15">
        <v>0.6</v>
      </c>
      <c r="G22" s="15">
        <v>0.82</v>
      </c>
      <c r="I22" s="17" t="s">
        <v>172</v>
      </c>
      <c r="J22" s="26">
        <f>QUARTILE(E3:E52,3)</f>
        <v>3.7749999999999999</v>
      </c>
      <c r="K22" s="27">
        <f>QUARTILE(F3:F52,3)</f>
        <v>0.63749999999999996</v>
      </c>
      <c r="L22" s="27">
        <f>QUARTILE(G3:G52,3)</f>
        <v>0.9</v>
      </c>
    </row>
    <row r="23" spans="1:14" s="16" customFormat="1" x14ac:dyDescent="0.25">
      <c r="A23" s="3">
        <v>1997</v>
      </c>
      <c r="B23" t="s">
        <v>173</v>
      </c>
      <c r="C23" s="3">
        <v>1</v>
      </c>
      <c r="D23" s="3">
        <v>90</v>
      </c>
      <c r="E23" s="3">
        <v>3.2</v>
      </c>
      <c r="F23" s="15">
        <v>0.23</v>
      </c>
      <c r="G23" s="15">
        <v>0.9</v>
      </c>
      <c r="I23" s="17" t="s">
        <v>174</v>
      </c>
      <c r="J23" s="26">
        <f>MAX(E3:E52)</f>
        <v>4</v>
      </c>
      <c r="K23" s="27">
        <f>MAX(F3:F52)</f>
        <v>0.82</v>
      </c>
      <c r="L23" s="27">
        <f>MAX(G3:G52)</f>
        <v>0.97</v>
      </c>
    </row>
    <row r="24" spans="1:14" s="16" customFormat="1" x14ac:dyDescent="0.25">
      <c r="A24" s="3">
        <v>1997</v>
      </c>
      <c r="B24" t="s">
        <v>175</v>
      </c>
      <c r="C24" s="3">
        <v>1</v>
      </c>
      <c r="D24" s="3">
        <v>90</v>
      </c>
      <c r="E24" s="3">
        <v>3.6</v>
      </c>
      <c r="F24" s="15">
        <v>0.33</v>
      </c>
      <c r="G24" s="15">
        <v>0.91</v>
      </c>
      <c r="I24" s="17" t="s">
        <v>176</v>
      </c>
      <c r="J24" s="26">
        <f>SKEW(E3:E52)</f>
        <v>-0.44938540267131355</v>
      </c>
      <c r="K24" s="26">
        <f>SKEW(F3:F52)</f>
        <v>0.19209257486166131</v>
      </c>
      <c r="L24" s="26">
        <f>SKEW(G3:G52)</f>
        <v>-0.24679565369916767</v>
      </c>
    </row>
    <row r="25" spans="1:14" s="16" customFormat="1" ht="50" x14ac:dyDescent="0.25">
      <c r="A25" s="3">
        <v>1997</v>
      </c>
      <c r="B25" t="s">
        <v>177</v>
      </c>
      <c r="C25" s="3">
        <v>1</v>
      </c>
      <c r="D25" s="3">
        <v>88</v>
      </c>
      <c r="E25" s="3">
        <v>3.5</v>
      </c>
      <c r="F25" s="15">
        <v>0.47</v>
      </c>
      <c r="G25" s="15">
        <v>0.73</v>
      </c>
      <c r="I25" s="17"/>
      <c r="J25" s="29" t="s">
        <v>178</v>
      </c>
      <c r="K25" s="29" t="s">
        <v>179</v>
      </c>
      <c r="L25" s="29" t="s">
        <v>178</v>
      </c>
    </row>
    <row r="26" spans="1:14" s="16" customFormat="1" x14ac:dyDescent="0.25">
      <c r="A26" s="3">
        <v>1997</v>
      </c>
      <c r="B26" t="s">
        <v>180</v>
      </c>
      <c r="C26" s="3">
        <v>1</v>
      </c>
      <c r="D26" s="3">
        <v>88</v>
      </c>
      <c r="E26" s="3">
        <v>3</v>
      </c>
      <c r="F26" s="15">
        <v>0.32</v>
      </c>
      <c r="G26" s="15">
        <v>0.88</v>
      </c>
      <c r="I26" s="17"/>
      <c r="K26" s="20"/>
      <c r="L26" s="17"/>
    </row>
    <row r="27" spans="1:14" s="16" customFormat="1" x14ac:dyDescent="0.25">
      <c r="A27" s="3">
        <v>1997</v>
      </c>
      <c r="B27" t="s">
        <v>181</v>
      </c>
      <c r="C27" s="3">
        <v>1</v>
      </c>
      <c r="D27" s="3">
        <v>88</v>
      </c>
      <c r="E27" s="3">
        <v>3.9</v>
      </c>
      <c r="F27" s="15">
        <v>0.36</v>
      </c>
      <c r="G27" s="15">
        <v>0.8</v>
      </c>
      <c r="I27" s="17">
        <v>3.3</v>
      </c>
      <c r="J27" s="21" t="s">
        <v>121</v>
      </c>
      <c r="K27" s="17" t="s">
        <v>157</v>
      </c>
      <c r="L27" s="17" t="s">
        <v>158</v>
      </c>
      <c r="N27" s="21" t="s">
        <v>182</v>
      </c>
    </row>
    <row r="28" spans="1:14" s="16" customFormat="1" x14ac:dyDescent="0.25">
      <c r="A28" s="3">
        <v>1997</v>
      </c>
      <c r="B28" t="s">
        <v>183</v>
      </c>
      <c r="C28" s="3">
        <v>2</v>
      </c>
      <c r="D28" s="3">
        <v>88</v>
      </c>
      <c r="E28" s="3">
        <v>3.8</v>
      </c>
      <c r="F28" s="15">
        <v>0.68</v>
      </c>
      <c r="G28" s="15">
        <v>0.84</v>
      </c>
      <c r="I28" s="17"/>
      <c r="K28" s="20"/>
      <c r="L28" s="17"/>
      <c r="N28" s="16" t="s">
        <v>184</v>
      </c>
    </row>
    <row r="29" spans="1:14" s="16" customFormat="1" x14ac:dyDescent="0.25">
      <c r="A29" s="3">
        <v>1997</v>
      </c>
      <c r="B29" t="s">
        <v>185</v>
      </c>
      <c r="C29" s="3">
        <v>2</v>
      </c>
      <c r="D29" s="3">
        <v>87</v>
      </c>
      <c r="E29" s="3">
        <v>3.5</v>
      </c>
      <c r="F29" s="15">
        <v>0.37</v>
      </c>
      <c r="G29" s="15">
        <v>0.82</v>
      </c>
      <c r="I29" s="17" t="s">
        <v>186</v>
      </c>
      <c r="K29" s="20"/>
      <c r="L29" s="17"/>
    </row>
    <row r="30" spans="1:14" s="16" customFormat="1" x14ac:dyDescent="0.25">
      <c r="A30" s="3">
        <v>1997</v>
      </c>
      <c r="B30" t="s">
        <v>187</v>
      </c>
      <c r="C30" s="3">
        <v>2</v>
      </c>
      <c r="D30" s="3">
        <v>85</v>
      </c>
      <c r="E30" s="3">
        <v>3</v>
      </c>
      <c r="F30" s="15">
        <v>0.53</v>
      </c>
      <c r="G30" s="15">
        <v>0.81</v>
      </c>
      <c r="I30" s="17" t="s">
        <v>161</v>
      </c>
      <c r="J30" s="26">
        <f>AVERAGE(E3:E27)</f>
        <v>3.6359999999999997</v>
      </c>
      <c r="K30" s="27">
        <f>AVERAGE(F3:F27)</f>
        <v>0.31240000000000001</v>
      </c>
      <c r="L30" s="27">
        <f>AVERAGE(G3:G27)</f>
        <v>0.88639999999999997</v>
      </c>
    </row>
    <row r="31" spans="1:14" s="16" customFormat="1" x14ac:dyDescent="0.25">
      <c r="A31" s="3">
        <v>1997</v>
      </c>
      <c r="B31" t="s">
        <v>188</v>
      </c>
      <c r="C31" s="3">
        <v>2</v>
      </c>
      <c r="D31" s="3">
        <v>85</v>
      </c>
      <c r="E31" s="3">
        <v>3.6</v>
      </c>
      <c r="F31" s="15">
        <v>0.39</v>
      </c>
      <c r="G31" s="15">
        <v>0.77</v>
      </c>
      <c r="I31" s="17" t="s">
        <v>164</v>
      </c>
      <c r="J31" s="30">
        <f>STDEV(E3:E27)</f>
        <v>0.28850187752133144</v>
      </c>
      <c r="K31" s="30">
        <f>STDEV(F3:F27)</f>
        <v>0.13383073887065958</v>
      </c>
      <c r="L31" s="30">
        <f>STDEV(G3:G27)</f>
        <v>5.4763126280372276E-2</v>
      </c>
    </row>
    <row r="32" spans="1:14" s="16" customFormat="1" x14ac:dyDescent="0.25">
      <c r="A32" s="3">
        <v>1997</v>
      </c>
      <c r="B32" t="s">
        <v>189</v>
      </c>
      <c r="C32" s="3">
        <v>2</v>
      </c>
      <c r="D32" s="3">
        <v>85</v>
      </c>
      <c r="E32" s="3">
        <v>2.7</v>
      </c>
      <c r="F32" s="15">
        <v>0.42</v>
      </c>
      <c r="G32" s="15">
        <v>0.85</v>
      </c>
      <c r="I32" s="17"/>
      <c r="J32" s="26"/>
      <c r="K32" s="17"/>
      <c r="L32" s="17"/>
    </row>
    <row r="33" spans="1:18" s="16" customFormat="1" x14ac:dyDescent="0.25">
      <c r="A33" s="3">
        <v>1997</v>
      </c>
      <c r="B33" t="s">
        <v>190</v>
      </c>
      <c r="C33" s="3">
        <v>2</v>
      </c>
      <c r="D33" s="3">
        <v>84</v>
      </c>
      <c r="E33" s="3">
        <v>2.8</v>
      </c>
      <c r="F33" s="15">
        <v>0.52</v>
      </c>
      <c r="G33" s="15">
        <v>0.77</v>
      </c>
      <c r="I33" s="17" t="s">
        <v>191</v>
      </c>
      <c r="J33" s="26"/>
      <c r="K33" s="17"/>
      <c r="L33" s="17"/>
    </row>
    <row r="34" spans="1:18" s="16" customFormat="1" x14ac:dyDescent="0.25">
      <c r="A34" s="3">
        <v>1997</v>
      </c>
      <c r="B34" t="s">
        <v>192</v>
      </c>
      <c r="C34" s="3">
        <v>2</v>
      </c>
      <c r="D34" s="3">
        <v>82</v>
      </c>
      <c r="E34" s="3">
        <v>3.1</v>
      </c>
      <c r="F34" s="15">
        <v>0.48</v>
      </c>
      <c r="G34" s="15">
        <v>0.91</v>
      </c>
      <c r="I34" s="17" t="s">
        <v>161</v>
      </c>
      <c r="J34" s="26">
        <f>AVERAGE(E28:E52)</f>
        <v>3.0079999999999996</v>
      </c>
      <c r="K34" s="27">
        <f>AVERAGE(F28:F52)</f>
        <v>0.6160000000000001</v>
      </c>
      <c r="L34" s="27">
        <f>AVERAGE(G28:G52)</f>
        <v>0.76439999999999986</v>
      </c>
    </row>
    <row r="35" spans="1:18" s="16" customFormat="1" x14ac:dyDescent="0.25">
      <c r="A35" s="3">
        <v>1997</v>
      </c>
      <c r="B35" t="s">
        <v>193</v>
      </c>
      <c r="C35" s="3">
        <v>2</v>
      </c>
      <c r="D35" s="3">
        <v>81</v>
      </c>
      <c r="E35" s="3">
        <v>3</v>
      </c>
      <c r="F35" s="15">
        <v>0.5</v>
      </c>
      <c r="G35" s="15">
        <v>0.77</v>
      </c>
      <c r="I35" s="17" t="s">
        <v>164</v>
      </c>
      <c r="J35" s="30">
        <f>STDEV(E28:E52)</f>
        <v>0.39572717874819174</v>
      </c>
      <c r="K35" s="30">
        <f>STDEV(F28:F52)</f>
        <v>0.15375846860146153</v>
      </c>
      <c r="L35" s="30">
        <f>STDEV(G28:G52)</f>
        <v>6.5896383309961212E-2</v>
      </c>
    </row>
    <row r="36" spans="1:18" s="16" customFormat="1" x14ac:dyDescent="0.25">
      <c r="A36" s="3">
        <v>1997</v>
      </c>
      <c r="B36" t="s">
        <v>194</v>
      </c>
      <c r="C36" s="3">
        <v>2</v>
      </c>
      <c r="D36" s="3">
        <v>80</v>
      </c>
      <c r="E36" s="3">
        <v>2.6</v>
      </c>
      <c r="F36" s="15">
        <v>0.54</v>
      </c>
      <c r="G36" s="15">
        <v>0.85</v>
      </c>
      <c r="I36" s="17"/>
      <c r="J36" s="17"/>
      <c r="K36" s="17"/>
      <c r="L36" s="17"/>
    </row>
    <row r="37" spans="1:18" s="16" customFormat="1" ht="37.5" x14ac:dyDescent="0.25">
      <c r="A37" s="3">
        <v>1997</v>
      </c>
      <c r="B37" t="s">
        <v>195</v>
      </c>
      <c r="C37" s="3">
        <v>2</v>
      </c>
      <c r="D37" s="3">
        <v>80</v>
      </c>
      <c r="E37" s="3">
        <v>3</v>
      </c>
      <c r="F37" s="15">
        <v>0.44</v>
      </c>
      <c r="G37" s="15">
        <v>0.7</v>
      </c>
      <c r="I37" s="31" t="s">
        <v>196</v>
      </c>
      <c r="J37" s="17"/>
      <c r="K37" s="17"/>
      <c r="L37" s="17"/>
    </row>
    <row r="38" spans="1:18" s="16" customFormat="1" x14ac:dyDescent="0.25">
      <c r="A38" s="3">
        <v>1997</v>
      </c>
      <c r="B38" t="s">
        <v>197</v>
      </c>
      <c r="C38" s="3">
        <v>2</v>
      </c>
      <c r="D38" s="3">
        <v>80</v>
      </c>
      <c r="E38" s="3">
        <v>2.9</v>
      </c>
      <c r="F38" s="15">
        <v>0.76</v>
      </c>
      <c r="G38" s="15">
        <v>0.72</v>
      </c>
      <c r="I38" s="20" t="s">
        <v>198</v>
      </c>
      <c r="J38" s="30">
        <f>(J30-J34)/SQRT(((J31^2)/25)+((J35^2)/25))</f>
        <v>6.4117248402734486</v>
      </c>
      <c r="K38" s="30">
        <f>(K30-K34)/SQRT(((K31^2)/25)+((K35^2)/25))</f>
        <v>-7.4468749901481708</v>
      </c>
      <c r="L38" s="30">
        <f>(L30-L34)/SQRT(((L31^2)/25)+((L35^2)/25))</f>
        <v>7.1193830977109567</v>
      </c>
    </row>
    <row r="39" spans="1:18" s="16" customFormat="1" x14ac:dyDescent="0.25">
      <c r="A39" s="3">
        <v>1997</v>
      </c>
      <c r="B39" t="s">
        <v>199</v>
      </c>
      <c r="C39" s="3">
        <v>2</v>
      </c>
      <c r="D39" s="3">
        <v>79</v>
      </c>
      <c r="E39" s="3">
        <v>2.9</v>
      </c>
      <c r="F39" s="15">
        <v>0.79</v>
      </c>
      <c r="G39" s="15">
        <v>0.73</v>
      </c>
      <c r="I39" s="20" t="s">
        <v>200</v>
      </c>
      <c r="J39" s="17" t="s">
        <v>201</v>
      </c>
      <c r="K39" s="17" t="s">
        <v>201</v>
      </c>
      <c r="L39" s="17" t="s">
        <v>201</v>
      </c>
    </row>
    <row r="40" spans="1:18" s="16" customFormat="1" x14ac:dyDescent="0.25">
      <c r="A40" s="3">
        <v>1997</v>
      </c>
      <c r="B40" t="s">
        <v>202</v>
      </c>
      <c r="C40" s="3">
        <v>2</v>
      </c>
      <c r="D40" s="3">
        <v>78</v>
      </c>
      <c r="E40" s="3">
        <v>2.8</v>
      </c>
      <c r="F40" s="15">
        <v>0.41</v>
      </c>
      <c r="G40" s="15">
        <v>0.86</v>
      </c>
      <c r="I40" s="20" t="s">
        <v>203</v>
      </c>
      <c r="J40" s="30">
        <f>TINV(0.05,24)</f>
        <v>2.0638985616280254</v>
      </c>
      <c r="K40" s="30">
        <f>TINV(0.05,24)</f>
        <v>2.0638985616280254</v>
      </c>
      <c r="L40" s="30">
        <f>TINV(0.05,24)</f>
        <v>2.0638985616280254</v>
      </c>
    </row>
    <row r="41" spans="1:18" s="16" customFormat="1" x14ac:dyDescent="0.25">
      <c r="A41" s="3">
        <v>1997</v>
      </c>
      <c r="B41" t="s">
        <v>204</v>
      </c>
      <c r="C41" s="3">
        <v>2</v>
      </c>
      <c r="D41" s="3">
        <v>78</v>
      </c>
      <c r="E41" s="3">
        <v>3.6</v>
      </c>
      <c r="F41" s="15">
        <v>0.78</v>
      </c>
      <c r="G41" s="15">
        <v>0.72</v>
      </c>
      <c r="I41" s="20" t="s">
        <v>205</v>
      </c>
      <c r="J41" s="17" t="s">
        <v>206</v>
      </c>
      <c r="K41" s="17" t="s">
        <v>206</v>
      </c>
      <c r="L41" s="17" t="s">
        <v>206</v>
      </c>
    </row>
    <row r="42" spans="1:18" s="16" customFormat="1" x14ac:dyDescent="0.25">
      <c r="A42" s="3">
        <v>1997</v>
      </c>
      <c r="B42" t="s">
        <v>207</v>
      </c>
      <c r="C42" s="3">
        <v>2</v>
      </c>
      <c r="D42" s="3">
        <v>76</v>
      </c>
      <c r="E42" s="3">
        <v>2.8</v>
      </c>
      <c r="F42" s="15">
        <v>0.65</v>
      </c>
      <c r="G42" s="15">
        <v>0.7</v>
      </c>
      <c r="I42" s="17"/>
      <c r="J42" s="17"/>
      <c r="K42" s="17"/>
      <c r="L42" s="17"/>
    </row>
    <row r="43" spans="1:18" s="16" customFormat="1" x14ac:dyDescent="0.25">
      <c r="A43" s="3">
        <v>1997</v>
      </c>
      <c r="B43" t="s">
        <v>208</v>
      </c>
      <c r="C43" s="3">
        <v>2</v>
      </c>
      <c r="D43" s="3">
        <v>75</v>
      </c>
      <c r="E43" s="3">
        <v>3.2</v>
      </c>
      <c r="F43" s="15">
        <v>0.56000000000000005</v>
      </c>
      <c r="G43" s="15">
        <v>0.67</v>
      </c>
      <c r="I43" s="17">
        <v>3.4</v>
      </c>
      <c r="J43" t="s">
        <v>209</v>
      </c>
      <c r="K43"/>
      <c r="L43"/>
      <c r="M43" t="s">
        <v>210</v>
      </c>
      <c r="N43"/>
      <c r="O43"/>
      <c r="P43"/>
      <c r="Q43"/>
      <c r="R43"/>
    </row>
    <row r="44" spans="1:18" s="16" customFormat="1" ht="13" thickBot="1" x14ac:dyDescent="0.3">
      <c r="A44" s="3">
        <v>1997</v>
      </c>
      <c r="B44" t="s">
        <v>211</v>
      </c>
      <c r="C44" s="3">
        <v>2</v>
      </c>
      <c r="D44" s="3">
        <v>75</v>
      </c>
      <c r="E44" s="3">
        <v>3.1</v>
      </c>
      <c r="F44" s="15">
        <v>0.73</v>
      </c>
      <c r="G44" s="15">
        <v>0.76</v>
      </c>
      <c r="I44" s="17"/>
      <c r="J44"/>
      <c r="K44"/>
      <c r="L44"/>
      <c r="M44"/>
      <c r="N44"/>
      <c r="O44"/>
      <c r="P44"/>
      <c r="Q44"/>
      <c r="R44"/>
    </row>
    <row r="45" spans="1:18" s="16" customFormat="1" ht="13" x14ac:dyDescent="0.3">
      <c r="A45" s="3">
        <v>1997</v>
      </c>
      <c r="B45" t="s">
        <v>212</v>
      </c>
      <c r="C45" s="3">
        <v>2</v>
      </c>
      <c r="D45" s="3">
        <v>75</v>
      </c>
      <c r="E45" s="3">
        <v>2.9</v>
      </c>
      <c r="F45" s="15">
        <v>0.71</v>
      </c>
      <c r="G45" s="15">
        <v>0.72</v>
      </c>
      <c r="I45" s="17"/>
      <c r="J45" s="32" t="s">
        <v>213</v>
      </c>
      <c r="K45" s="32"/>
      <c r="L45"/>
      <c r="M45"/>
      <c r="N45"/>
      <c r="O45"/>
      <c r="P45"/>
      <c r="Q45"/>
      <c r="R45"/>
    </row>
    <row r="46" spans="1:18" s="16" customFormat="1" x14ac:dyDescent="0.25">
      <c r="A46" s="3">
        <v>1997</v>
      </c>
      <c r="B46" t="s">
        <v>214</v>
      </c>
      <c r="C46" s="3">
        <v>2</v>
      </c>
      <c r="D46" s="3">
        <v>75</v>
      </c>
      <c r="E46" s="3">
        <v>3</v>
      </c>
      <c r="F46" s="15">
        <v>0.72</v>
      </c>
      <c r="G46" s="15">
        <v>0.67</v>
      </c>
      <c r="I46" s="17"/>
      <c r="J46" s="33" t="s">
        <v>215</v>
      </c>
      <c r="K46" s="33">
        <v>0.79164781551347552</v>
      </c>
      <c r="L46"/>
      <c r="M46"/>
      <c r="N46"/>
      <c r="O46"/>
      <c r="P46"/>
      <c r="Q46"/>
      <c r="R46"/>
    </row>
    <row r="47" spans="1:18" s="16" customFormat="1" x14ac:dyDescent="0.25">
      <c r="A47" s="3">
        <v>1997</v>
      </c>
      <c r="B47" t="s">
        <v>216</v>
      </c>
      <c r="C47" s="3">
        <v>2</v>
      </c>
      <c r="D47" s="3">
        <v>74</v>
      </c>
      <c r="E47" s="3">
        <v>3.3</v>
      </c>
      <c r="F47" s="15">
        <v>0.49</v>
      </c>
      <c r="G47" s="15">
        <v>0.78</v>
      </c>
      <c r="I47" s="17"/>
      <c r="J47" s="33" t="s">
        <v>217</v>
      </c>
      <c r="K47" s="33">
        <v>0.6267062638072578</v>
      </c>
      <c r="L47"/>
      <c r="M47"/>
      <c r="N47"/>
      <c r="O47"/>
      <c r="P47"/>
      <c r="Q47"/>
      <c r="R47"/>
    </row>
    <row r="48" spans="1:18" s="16" customFormat="1" x14ac:dyDescent="0.25">
      <c r="A48" s="3">
        <v>1997</v>
      </c>
      <c r="B48" t="s">
        <v>218</v>
      </c>
      <c r="C48" s="3">
        <v>2</v>
      </c>
      <c r="D48" s="3">
        <v>74</v>
      </c>
      <c r="E48" s="3">
        <v>3.5</v>
      </c>
      <c r="F48" s="15">
        <v>0.7</v>
      </c>
      <c r="G48" s="15">
        <v>0.78</v>
      </c>
      <c r="I48" s="17"/>
      <c r="J48" s="33" t="s">
        <v>219</v>
      </c>
      <c r="K48" s="33">
        <v>0.61082142396926875</v>
      </c>
      <c r="L48"/>
      <c r="M48"/>
      <c r="N48"/>
      <c r="O48"/>
      <c r="P48"/>
      <c r="Q48"/>
      <c r="R48"/>
    </row>
    <row r="49" spans="1:18" s="16" customFormat="1" x14ac:dyDescent="0.25">
      <c r="A49" s="3">
        <v>1997</v>
      </c>
      <c r="B49" t="s">
        <v>220</v>
      </c>
      <c r="C49" s="3">
        <v>2</v>
      </c>
      <c r="D49" s="3">
        <v>72</v>
      </c>
      <c r="E49" s="3">
        <v>2.8</v>
      </c>
      <c r="F49" s="15">
        <v>0.78</v>
      </c>
      <c r="G49" s="15">
        <v>0.7</v>
      </c>
      <c r="I49" s="17"/>
      <c r="J49" s="33" t="s">
        <v>221</v>
      </c>
      <c r="K49" s="33">
        <v>5.3638401134787864E-2</v>
      </c>
      <c r="L49"/>
      <c r="M49"/>
      <c r="N49"/>
      <c r="O49"/>
      <c r="P49"/>
      <c r="Q49"/>
      <c r="R49"/>
    </row>
    <row r="50" spans="1:18" s="16" customFormat="1" ht="13" thickBot="1" x14ac:dyDescent="0.3">
      <c r="A50" s="3">
        <v>1997</v>
      </c>
      <c r="B50" t="s">
        <v>222</v>
      </c>
      <c r="C50" s="3">
        <v>2</v>
      </c>
      <c r="D50" s="3">
        <v>71</v>
      </c>
      <c r="E50" s="3">
        <v>2.9</v>
      </c>
      <c r="F50" s="15">
        <v>0.82</v>
      </c>
      <c r="G50" s="15">
        <v>0.7</v>
      </c>
      <c r="I50" s="17"/>
      <c r="J50" s="34" t="s">
        <v>223</v>
      </c>
      <c r="K50" s="34">
        <v>50</v>
      </c>
      <c r="L50"/>
      <c r="M50"/>
      <c r="N50"/>
      <c r="O50"/>
      <c r="P50"/>
      <c r="Q50"/>
      <c r="R50"/>
    </row>
    <row r="51" spans="1:18" s="16" customFormat="1" x14ac:dyDescent="0.25">
      <c r="A51" s="3">
        <v>1997</v>
      </c>
      <c r="B51" t="s">
        <v>224</v>
      </c>
      <c r="C51" s="3">
        <v>2</v>
      </c>
      <c r="D51" s="3">
        <v>71</v>
      </c>
      <c r="E51" s="3">
        <v>2.1</v>
      </c>
      <c r="F51" s="15">
        <v>0.82</v>
      </c>
      <c r="G51" s="15">
        <v>0.81</v>
      </c>
      <c r="I51" s="17"/>
      <c r="J51"/>
      <c r="K51"/>
      <c r="L51"/>
      <c r="M51"/>
      <c r="N51"/>
      <c r="O51"/>
      <c r="P51"/>
      <c r="Q51"/>
      <c r="R51"/>
    </row>
    <row r="52" spans="1:18" s="16" customFormat="1" ht="13" thickBot="1" x14ac:dyDescent="0.3">
      <c r="A52" s="3">
        <v>1997</v>
      </c>
      <c r="B52" t="s">
        <v>225</v>
      </c>
      <c r="C52" s="3">
        <v>2</v>
      </c>
      <c r="D52" s="3">
        <v>71</v>
      </c>
      <c r="E52" s="3">
        <v>2.2999999999999998</v>
      </c>
      <c r="F52" s="15">
        <v>0.81</v>
      </c>
      <c r="G52" s="15">
        <v>0.7</v>
      </c>
      <c r="I52" s="17"/>
      <c r="J52" t="s">
        <v>226</v>
      </c>
      <c r="K52"/>
      <c r="L52"/>
      <c r="M52"/>
      <c r="N52"/>
      <c r="O52"/>
      <c r="P52"/>
      <c r="Q52"/>
      <c r="R52"/>
    </row>
    <row r="53" spans="1:18" ht="13" x14ac:dyDescent="0.3">
      <c r="J53" s="36"/>
      <c r="K53" s="36" t="s">
        <v>227</v>
      </c>
      <c r="L53" s="36" t="s">
        <v>228</v>
      </c>
      <c r="M53" s="36" t="s">
        <v>229</v>
      </c>
      <c r="N53" s="36" t="s">
        <v>230</v>
      </c>
      <c r="O53" s="36" t="s">
        <v>231</v>
      </c>
    </row>
    <row r="54" spans="1:18" x14ac:dyDescent="0.25">
      <c r="J54" s="33" t="s">
        <v>232</v>
      </c>
      <c r="K54" s="33">
        <v>2</v>
      </c>
      <c r="L54" s="33">
        <v>0.22701933041406872</v>
      </c>
      <c r="M54" s="33">
        <v>0.11350966520703436</v>
      </c>
      <c r="N54" s="33">
        <v>39.4531056151081</v>
      </c>
      <c r="O54" s="33">
        <v>8.7738763793782564E-11</v>
      </c>
    </row>
    <row r="55" spans="1:18" ht="13" x14ac:dyDescent="0.25">
      <c r="F55" s="11"/>
      <c r="G55" s="11"/>
      <c r="H55" s="11"/>
      <c r="J55" s="33" t="s">
        <v>233</v>
      </c>
      <c r="K55" s="33">
        <v>47</v>
      </c>
      <c r="L55" s="33">
        <v>0.13522266958593135</v>
      </c>
      <c r="M55" s="33">
        <v>2.8770780762964118E-3</v>
      </c>
      <c r="N55" s="33"/>
      <c r="O55" s="33"/>
    </row>
    <row r="56" spans="1:18" ht="13" thickBot="1" x14ac:dyDescent="0.3">
      <c r="F56" s="16"/>
      <c r="G56" s="16"/>
      <c r="H56" s="16"/>
      <c r="J56" s="34" t="s">
        <v>234</v>
      </c>
      <c r="K56" s="34">
        <v>49</v>
      </c>
      <c r="L56" s="34">
        <v>0.36224200000000006</v>
      </c>
      <c r="M56" s="34"/>
      <c r="N56" s="34"/>
      <c r="O56" s="34"/>
    </row>
    <row r="57" spans="1:18" ht="13" thickBot="1" x14ac:dyDescent="0.3">
      <c r="F57" s="16"/>
      <c r="G57" s="16"/>
      <c r="H57" s="16"/>
      <c r="J57"/>
      <c r="K57"/>
      <c r="L57"/>
      <c r="M57"/>
      <c r="N57"/>
    </row>
    <row r="58" spans="1:18" ht="13" x14ac:dyDescent="0.3">
      <c r="F58" s="16"/>
      <c r="G58" s="16"/>
      <c r="H58" s="16"/>
      <c r="J58" s="36"/>
      <c r="K58" s="36" t="s">
        <v>235</v>
      </c>
      <c r="L58" s="36" t="s">
        <v>221</v>
      </c>
      <c r="M58" s="36" t="s">
        <v>236</v>
      </c>
      <c r="N58" s="36" t="s">
        <v>237</v>
      </c>
      <c r="O58" s="36" t="s">
        <v>238</v>
      </c>
      <c r="P58" s="36" t="s">
        <v>239</v>
      </c>
      <c r="Q58" s="36" t="s">
        <v>240</v>
      </c>
      <c r="R58" s="36" t="s">
        <v>241</v>
      </c>
    </row>
    <row r="59" spans="1:18" x14ac:dyDescent="0.25">
      <c r="F59" s="22"/>
      <c r="G59" s="22"/>
      <c r="H59" s="22"/>
      <c r="I59" s="37" t="s">
        <v>242</v>
      </c>
      <c r="J59" s="33" t="s">
        <v>243</v>
      </c>
      <c r="K59" s="33">
        <v>0.97975107549383544</v>
      </c>
      <c r="L59" s="33">
        <v>9.0170643674811743E-2</v>
      </c>
      <c r="M59" s="33">
        <v>10.865521588458163</v>
      </c>
      <c r="N59" s="33">
        <v>2.0541496873207364E-14</v>
      </c>
      <c r="O59" s="33">
        <v>0.79835130961135958</v>
      </c>
      <c r="P59" s="33">
        <v>1.1611508413763114</v>
      </c>
      <c r="Q59" s="33">
        <v>0.79835130961135958</v>
      </c>
      <c r="R59" s="33">
        <v>1.1611508413763114</v>
      </c>
    </row>
    <row r="60" spans="1:18" x14ac:dyDescent="0.25">
      <c r="I60" s="37" t="s">
        <v>244</v>
      </c>
      <c r="J60" s="33" t="s">
        <v>245</v>
      </c>
      <c r="K60" s="33">
        <v>-8.7051377715817598E-4</v>
      </c>
      <c r="L60" s="33">
        <v>2.1995814121370867E-2</v>
      </c>
      <c r="M60" s="33">
        <v>-3.9576338132099202E-2</v>
      </c>
      <c r="N60" s="33">
        <v>0.96859852876773178</v>
      </c>
      <c r="O60" s="33">
        <v>-4.5120342428716396E-2</v>
      </c>
      <c r="P60" s="33">
        <v>4.3379314874400048E-2</v>
      </c>
      <c r="Q60" s="33">
        <v>-4.5120342428716396E-2</v>
      </c>
      <c r="R60" s="33">
        <v>4.3379314874400048E-2</v>
      </c>
    </row>
    <row r="61" spans="1:18" ht="13" thickBot="1" x14ac:dyDescent="0.3">
      <c r="I61" s="37" t="s">
        <v>246</v>
      </c>
      <c r="J61" s="34" t="s">
        <v>247</v>
      </c>
      <c r="K61" s="34">
        <v>-0.32628011358491066</v>
      </c>
      <c r="L61" s="34">
        <v>4.90436880029929E-2</v>
      </c>
      <c r="M61" s="34">
        <v>-6.6528462044901548</v>
      </c>
      <c r="N61" s="34">
        <v>2.7505222409920932E-8</v>
      </c>
      <c r="O61" s="34">
        <v>-0.42494319459651103</v>
      </c>
      <c r="P61" s="34">
        <v>-0.22761703257331029</v>
      </c>
      <c r="Q61" s="34">
        <v>-0.42494319459651103</v>
      </c>
      <c r="R61" s="34">
        <v>-0.22761703257331029</v>
      </c>
    </row>
    <row r="62" spans="1:18" x14ac:dyDescent="0.25">
      <c r="J62"/>
      <c r="K62"/>
      <c r="L62"/>
      <c r="M62"/>
      <c r="N62"/>
    </row>
    <row r="63" spans="1:18" x14ac:dyDescent="0.25">
      <c r="J63"/>
      <c r="K63" s="3" t="s">
        <v>125</v>
      </c>
      <c r="L63"/>
      <c r="M63"/>
      <c r="N63"/>
    </row>
    <row r="64" spans="1:18" x14ac:dyDescent="0.25">
      <c r="I64" s="24" t="s">
        <v>141</v>
      </c>
      <c r="J64" t="s">
        <v>248</v>
      </c>
      <c r="K64" s="3">
        <v>2</v>
      </c>
      <c r="L64"/>
      <c r="M64"/>
      <c r="N64"/>
    </row>
    <row r="65" spans="9:11" x14ac:dyDescent="0.25">
      <c r="I65" s="24" t="s">
        <v>145</v>
      </c>
      <c r="J65" s="38" t="s">
        <v>249</v>
      </c>
      <c r="K65" s="24">
        <v>12</v>
      </c>
    </row>
    <row r="66" spans="9:11" ht="37.5" x14ac:dyDescent="0.25">
      <c r="I66" s="24" t="s">
        <v>149</v>
      </c>
      <c r="J66" s="39" t="s">
        <v>250</v>
      </c>
      <c r="K66" s="24">
        <v>2</v>
      </c>
    </row>
    <row r="67" spans="9:11" x14ac:dyDescent="0.25">
      <c r="I67" s="24" t="s">
        <v>152</v>
      </c>
      <c r="J67" s="38" t="s">
        <v>251</v>
      </c>
      <c r="K67" s="24">
        <v>4</v>
      </c>
    </row>
    <row r="68" spans="9:11" ht="37.5" x14ac:dyDescent="0.25">
      <c r="I68" s="24" t="s">
        <v>252</v>
      </c>
      <c r="J68" s="39" t="s">
        <v>253</v>
      </c>
      <c r="K68" s="37">
        <v>2</v>
      </c>
    </row>
    <row r="69" spans="9:11" x14ac:dyDescent="0.25">
      <c r="I69" s="24" t="s">
        <v>254</v>
      </c>
      <c r="J69" s="38" t="s">
        <v>255</v>
      </c>
      <c r="K69" s="37">
        <v>4</v>
      </c>
    </row>
    <row r="70" spans="9:11" x14ac:dyDescent="0.25">
      <c r="I70" s="24" t="s">
        <v>256</v>
      </c>
      <c r="J70" s="39">
        <f xml:space="preserve"> 0.9797 + (-0.0008*3.7) + (-0.3262*0.15)</f>
        <v>0.92781000000000002</v>
      </c>
      <c r="K70" s="37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grades</vt:lpstr>
      <vt:lpstr>teams</vt:lpstr>
      <vt:lpstr>midterm solution</vt:lpstr>
    </vt:vector>
  </TitlesOfParts>
  <Company>UMCP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Economics Dept</dc:creator>
  <cp:lastModifiedBy>Carina Negreanu</cp:lastModifiedBy>
  <cp:lastPrinted>2003-10-15T17:09:16Z</cp:lastPrinted>
  <dcterms:created xsi:type="dcterms:W3CDTF">2003-09-03T21:17:54Z</dcterms:created>
  <dcterms:modified xsi:type="dcterms:W3CDTF">2020-01-27T11:30:28Z</dcterms:modified>
</cp:coreProperties>
</file>