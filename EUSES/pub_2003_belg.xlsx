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drawings/drawing6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D0ED1D-7408-478E-9444-8BEBDB8402D3}" xr6:coauthVersionLast="45" xr6:coauthVersionMax="45" xr10:uidLastSave="{00000000-0000-0000-0000-000000000000}"/>
  <bookViews>
    <workbookView xWindow="4560" yWindow="4560" windowWidth="28800" windowHeight="15460" tabRatio="759" firstSheet="3" activeTab="11"/>
  </bookViews>
  <sheets>
    <sheet name="2001" sheetId="15" r:id="rId1"/>
    <sheet name="2000" sheetId="14" r:id="rId2"/>
    <sheet name="1999" sheetId="13" r:id="rId3"/>
    <sheet name="1998" sheetId="12" r:id="rId4"/>
    <sheet name="1997" sheetId="11" r:id="rId5"/>
    <sheet name="2001 Grossed" sheetId="16" r:id="rId6"/>
    <sheet name="Gross" sheetId="18" r:id="rId7"/>
    <sheet name="Scatter" sheetId="5" r:id="rId8"/>
    <sheet name="Histogram" sheetId="8" r:id="rId9"/>
    <sheet name="Ranking" sheetId="17" r:id="rId10"/>
    <sheet name="Selection" sheetId="2" r:id="rId11"/>
    <sheet name="Welcome" sheetId="7" r:id="rId12"/>
    <sheet name="Dialogbox" sheetId="10" r:id="rId13"/>
    <sheet name="Help" sheetId="9" r:id="rId14"/>
    <sheet name="Menus" sheetId="3" r:id="rId15"/>
  </sheets>
  <definedNames>
    <definedName name="Belg">Dialogbox!$B$30</definedName>
    <definedName name="Change_names">'2001 Grossed'!$B$2</definedName>
    <definedName name="Country_Name">Help!$B$113</definedName>
    <definedName name="DATA_TYPES">Help!$B$56</definedName>
    <definedName name="Example">Help!$D$95:$D$131</definedName>
    <definedName name="Help">Help!$A$1</definedName>
    <definedName name="_xlnm.Print_Area" localSheetId="12">Dialogbox!$A$1:$R$35</definedName>
    <definedName name="_xlnm.Print_Area" localSheetId="13">Help!$B$3:$B$92</definedName>
    <definedName name="Structure">Help!$J$1</definedName>
  </definedNames>
  <calcPr calcId="191029" iterate="1"/>
  <pivotCaches>
    <pivotCache cacheId="14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1" l="1"/>
  <c r="AT2" i="11"/>
  <c r="AU2" i="11"/>
  <c r="AV2" i="11"/>
  <c r="AW2" i="11"/>
  <c r="AX2" i="11"/>
  <c r="AY2" i="11"/>
  <c r="AZ2" i="11"/>
  <c r="BA2" i="11"/>
  <c r="D3" i="11"/>
  <c r="AT3" i="11"/>
  <c r="AU3" i="11"/>
  <c r="AV3" i="11"/>
  <c r="AW3" i="11"/>
  <c r="AX3" i="11"/>
  <c r="AY3" i="11"/>
  <c r="AZ3" i="11"/>
  <c r="BA3" i="11"/>
  <c r="D4" i="11"/>
  <c r="AT4" i="11"/>
  <c r="AU4" i="11"/>
  <c r="AV4" i="11"/>
  <c r="D5" i="11"/>
  <c r="AT5" i="11"/>
  <c r="AU5" i="11"/>
  <c r="AV5" i="11"/>
  <c r="AW5" i="11"/>
  <c r="AX5" i="11"/>
  <c r="AY5" i="11"/>
  <c r="AZ5" i="11"/>
  <c r="BA5" i="11"/>
  <c r="D6" i="11"/>
  <c r="AW6" i="11" s="1"/>
  <c r="AT6" i="11"/>
  <c r="AU6" i="11"/>
  <c r="AV6" i="11"/>
  <c r="D7" i="11"/>
  <c r="AT7" i="11"/>
  <c r="AU7" i="11"/>
  <c r="AV7" i="11"/>
  <c r="AW7" i="11"/>
  <c r="AX7" i="11"/>
  <c r="AY7" i="11"/>
  <c r="AZ7" i="11"/>
  <c r="BA7" i="11"/>
  <c r="D8" i="11"/>
  <c r="AY8" i="11" s="1"/>
  <c r="AT8" i="11"/>
  <c r="AU8" i="11"/>
  <c r="AV8" i="11"/>
  <c r="AW8" i="11"/>
  <c r="AX8" i="11"/>
  <c r="D9" i="11"/>
  <c r="AT9" i="11"/>
  <c r="AU9" i="11"/>
  <c r="AV9" i="11"/>
  <c r="AW9" i="11"/>
  <c r="AX9" i="11"/>
  <c r="AY9" i="11"/>
  <c r="AZ9" i="11"/>
  <c r="BA9" i="11"/>
  <c r="D10" i="11"/>
  <c r="BA10" i="11" s="1"/>
  <c r="AT10" i="11"/>
  <c r="AU10" i="11"/>
  <c r="AV10" i="11"/>
  <c r="AW10" i="11"/>
  <c r="AX10" i="11"/>
  <c r="AY10" i="11"/>
  <c r="AZ10" i="11"/>
  <c r="D11" i="11"/>
  <c r="AT11" i="11"/>
  <c r="AU11" i="11"/>
  <c r="AV11" i="11"/>
  <c r="AW11" i="11"/>
  <c r="AX11" i="11"/>
  <c r="AY11" i="11"/>
  <c r="AZ11" i="11"/>
  <c r="BA11" i="11"/>
  <c r="D12" i="11"/>
  <c r="AT12" i="11"/>
  <c r="AU12" i="11"/>
  <c r="AV12" i="11"/>
  <c r="AW12" i="11"/>
  <c r="AX12" i="11"/>
  <c r="AY12" i="11"/>
  <c r="AZ12" i="11"/>
  <c r="BA12" i="11"/>
  <c r="D15" i="11"/>
  <c r="AT15" i="11"/>
  <c r="AU15" i="11"/>
  <c r="AV15" i="11"/>
  <c r="D16" i="11"/>
  <c r="AT16" i="11"/>
  <c r="AU16" i="11"/>
  <c r="AV16" i="11"/>
  <c r="AW16" i="11"/>
  <c r="AX16" i="11"/>
  <c r="AY16" i="11"/>
  <c r="AZ16" i="11"/>
  <c r="BA16" i="11"/>
  <c r="D17" i="11"/>
  <c r="AW17" i="11" s="1"/>
  <c r="AT17" i="11"/>
  <c r="AU17" i="11"/>
  <c r="AV17" i="11"/>
  <c r="D18" i="11"/>
  <c r="AT18" i="11"/>
  <c r="AU18" i="11"/>
  <c r="AV18" i="11"/>
  <c r="AW18" i="11"/>
  <c r="AX18" i="11"/>
  <c r="AY18" i="11"/>
  <c r="AZ18" i="11"/>
  <c r="BA18" i="11"/>
  <c r="D19" i="11"/>
  <c r="AX19" i="11" s="1"/>
  <c r="AT19" i="11"/>
  <c r="AU19" i="11"/>
  <c r="AV19" i="11"/>
  <c r="AW19" i="11"/>
  <c r="D20" i="11"/>
  <c r="AT20" i="11"/>
  <c r="AU20" i="11"/>
  <c r="AV20" i="11"/>
  <c r="AW20" i="11"/>
  <c r="AX20" i="11"/>
  <c r="AY20" i="11"/>
  <c r="AZ20" i="11"/>
  <c r="BA20" i="11"/>
  <c r="D21" i="11"/>
  <c r="AZ21" i="11" s="1"/>
  <c r="AT21" i="11"/>
  <c r="AU21" i="11"/>
  <c r="AV21" i="11"/>
  <c r="AW21" i="11"/>
  <c r="AX21" i="11"/>
  <c r="AY21" i="11"/>
  <c r="D22" i="11"/>
  <c r="AW22" i="11" s="1"/>
  <c r="AT22" i="11"/>
  <c r="AU22" i="11"/>
  <c r="AV22" i="11"/>
  <c r="AX22" i="11"/>
  <c r="AY22" i="11"/>
  <c r="AZ22" i="11"/>
  <c r="BA22" i="11"/>
  <c r="D23" i="11"/>
  <c r="AT23" i="11"/>
  <c r="AU23" i="11"/>
  <c r="AV23" i="11"/>
  <c r="AW23" i="11"/>
  <c r="AX23" i="11"/>
  <c r="AY23" i="11"/>
  <c r="AZ23" i="11"/>
  <c r="BA23" i="11"/>
  <c r="D24" i="11"/>
  <c r="AT24" i="11"/>
  <c r="AU24" i="11"/>
  <c r="AV24" i="11"/>
  <c r="AW24" i="11"/>
  <c r="AX24" i="11"/>
  <c r="AY24" i="11"/>
  <c r="AZ24" i="11"/>
  <c r="BA24" i="11"/>
  <c r="D25" i="11"/>
  <c r="AT25" i="11"/>
  <c r="AU25" i="11"/>
  <c r="AV25" i="11"/>
  <c r="AW25" i="11"/>
  <c r="AX25" i="11"/>
  <c r="AY25" i="11"/>
  <c r="AZ25" i="11"/>
  <c r="BA25" i="11"/>
  <c r="D26" i="11"/>
  <c r="AT26" i="11"/>
  <c r="AU26" i="11"/>
  <c r="AV26" i="11"/>
  <c r="D27" i="11"/>
  <c r="AT27" i="11"/>
  <c r="AU27" i="11"/>
  <c r="AV27" i="11"/>
  <c r="AW27" i="11"/>
  <c r="AX27" i="11"/>
  <c r="AY27" i="11"/>
  <c r="AZ27" i="11"/>
  <c r="BA27" i="11"/>
  <c r="D28" i="11"/>
  <c r="AW28" i="11" s="1"/>
  <c r="AT28" i="11"/>
  <c r="AU28" i="11"/>
  <c r="AV28" i="11"/>
  <c r="D29" i="11"/>
  <c r="AT29" i="11"/>
  <c r="AU29" i="11"/>
  <c r="AV29" i="11"/>
  <c r="AW29" i="11"/>
  <c r="AX29" i="11"/>
  <c r="AY29" i="11"/>
  <c r="AZ29" i="11"/>
  <c r="BA29" i="11"/>
  <c r="D30" i="11"/>
  <c r="AY30" i="11" s="1"/>
  <c r="AT30" i="11"/>
  <c r="AU30" i="11"/>
  <c r="AV30" i="11"/>
  <c r="AW30" i="11"/>
  <c r="AX30" i="11"/>
  <c r="D31" i="11"/>
  <c r="AT31" i="11"/>
  <c r="AU31" i="11"/>
  <c r="AV31" i="11"/>
  <c r="AW31" i="11"/>
  <c r="AX31" i="11"/>
  <c r="AY31" i="11"/>
  <c r="AZ31" i="11"/>
  <c r="BA31" i="11"/>
  <c r="D32" i="11"/>
  <c r="BA32" i="11" s="1"/>
  <c r="AT32" i="11"/>
  <c r="AU32" i="11"/>
  <c r="AV32" i="11"/>
  <c r="AX32" i="11"/>
  <c r="AY32" i="11"/>
  <c r="AZ32" i="11"/>
  <c r="D33" i="11"/>
  <c r="AT33" i="11"/>
  <c r="AU33" i="11"/>
  <c r="AV33" i="11"/>
  <c r="AW33" i="11"/>
  <c r="AX33" i="11"/>
  <c r="AY33" i="11"/>
  <c r="AZ33" i="11"/>
  <c r="BA33" i="11"/>
  <c r="D34" i="11"/>
  <c r="AT34" i="11"/>
  <c r="AU34" i="11"/>
  <c r="AV34" i="11"/>
  <c r="AW34" i="11"/>
  <c r="AX34" i="11"/>
  <c r="AY34" i="11"/>
  <c r="AZ34" i="11"/>
  <c r="BA34" i="11"/>
  <c r="D35" i="11"/>
  <c r="AT35" i="11"/>
  <c r="AU35" i="11"/>
  <c r="AV35" i="11"/>
  <c r="D36" i="11"/>
  <c r="AT36" i="11"/>
  <c r="AU36" i="11"/>
  <c r="AV36" i="11"/>
  <c r="AW36" i="11"/>
  <c r="AX36" i="11"/>
  <c r="AY36" i="11"/>
  <c r="AZ36" i="11"/>
  <c r="BA36" i="11"/>
  <c r="D37" i="11"/>
  <c r="AW37" i="11" s="1"/>
  <c r="AT37" i="11"/>
  <c r="AU37" i="11"/>
  <c r="AV37" i="11"/>
  <c r="D38" i="11"/>
  <c r="AT38" i="11"/>
  <c r="AU38" i="11"/>
  <c r="AV38" i="11"/>
  <c r="AW38" i="11"/>
  <c r="AX38" i="11"/>
  <c r="AY38" i="11"/>
  <c r="AZ38" i="11"/>
  <c r="BA38" i="11"/>
  <c r="D39" i="11"/>
  <c r="AX39" i="11" s="1"/>
  <c r="AT39" i="11"/>
  <c r="AU39" i="11"/>
  <c r="AV39" i="11"/>
  <c r="AW39" i="11"/>
  <c r="D40" i="11"/>
  <c r="AT40" i="11"/>
  <c r="AU40" i="11"/>
  <c r="AV40" i="11"/>
  <c r="AW40" i="11"/>
  <c r="AX40" i="11"/>
  <c r="AY40" i="11"/>
  <c r="AZ40" i="11"/>
  <c r="BA40" i="11"/>
  <c r="D41" i="11"/>
  <c r="AZ41" i="11" s="1"/>
  <c r="AT41" i="11"/>
  <c r="AU41" i="11"/>
  <c r="AV41" i="11"/>
  <c r="AW41" i="11"/>
  <c r="AX41" i="11"/>
  <c r="AY41" i="11"/>
  <c r="D42" i="11"/>
  <c r="AW42" i="11" s="1"/>
  <c r="AT42" i="11"/>
  <c r="AU42" i="11"/>
  <c r="AV42" i="11"/>
  <c r="AX42" i="11"/>
  <c r="AY42" i="11"/>
  <c r="AZ42" i="11"/>
  <c r="BA42" i="11"/>
  <c r="D43" i="11"/>
  <c r="AT43" i="11"/>
  <c r="AU43" i="11"/>
  <c r="AV43" i="11"/>
  <c r="AW43" i="11"/>
  <c r="AX43" i="11"/>
  <c r="AY43" i="11"/>
  <c r="AZ43" i="11"/>
  <c r="BA43" i="11"/>
  <c r="D44" i="11"/>
  <c r="AT44" i="11"/>
  <c r="AU44" i="11"/>
  <c r="AV44" i="11"/>
  <c r="AW44" i="11"/>
  <c r="AX44" i="11"/>
  <c r="AY44" i="11"/>
  <c r="AZ44" i="11"/>
  <c r="BA44" i="11"/>
  <c r="D45" i="11"/>
  <c r="AT45" i="11"/>
  <c r="AU45" i="11"/>
  <c r="AV45" i="11"/>
  <c r="AW45" i="11"/>
  <c r="AX45" i="11"/>
  <c r="AY45" i="11"/>
  <c r="AZ45" i="11"/>
  <c r="BA45" i="11"/>
  <c r="D46" i="11"/>
  <c r="AT46" i="11"/>
  <c r="AU46" i="11"/>
  <c r="AV46" i="11"/>
  <c r="D47" i="11"/>
  <c r="AT47" i="11"/>
  <c r="AU47" i="11"/>
  <c r="AV47" i="11"/>
  <c r="AW47" i="11"/>
  <c r="AX47" i="11"/>
  <c r="AY47" i="11"/>
  <c r="AZ47" i="11"/>
  <c r="BA47" i="11"/>
  <c r="D48" i="11"/>
  <c r="AW48" i="11" s="1"/>
  <c r="AT48" i="11"/>
  <c r="AU48" i="11"/>
  <c r="AV48" i="11"/>
  <c r="D49" i="11"/>
  <c r="AT49" i="11"/>
  <c r="AU49" i="11"/>
  <c r="AV49" i="11"/>
  <c r="AW49" i="11"/>
  <c r="AX49" i="11"/>
  <c r="AY49" i="11"/>
  <c r="AZ49" i="11"/>
  <c r="BA49" i="11"/>
  <c r="D50" i="11"/>
  <c r="AY50" i="11" s="1"/>
  <c r="AT50" i="11"/>
  <c r="AU50" i="11"/>
  <c r="AV50" i="11"/>
  <c r="AW50" i="11"/>
  <c r="AX50" i="11"/>
  <c r="D51" i="11"/>
  <c r="AT51" i="11"/>
  <c r="AU51" i="11"/>
  <c r="AV51" i="11"/>
  <c r="AW51" i="11"/>
  <c r="AX51" i="11"/>
  <c r="AY51" i="11"/>
  <c r="AZ51" i="11"/>
  <c r="BA51" i="11"/>
  <c r="D52" i="11"/>
  <c r="BA52" i="11" s="1"/>
  <c r="AT52" i="11"/>
  <c r="AU52" i="11"/>
  <c r="AV52" i="11"/>
  <c r="AX52" i="11"/>
  <c r="AY52" i="11"/>
  <c r="AZ52" i="11"/>
  <c r="D2" i="12"/>
  <c r="AX2" i="12" s="1"/>
  <c r="AT2" i="12"/>
  <c r="AU2" i="12"/>
  <c r="AV2" i="12"/>
  <c r="AW2" i="12"/>
  <c r="AY2" i="12"/>
  <c r="AZ2" i="12"/>
  <c r="BA2" i="12"/>
  <c r="D3" i="12"/>
  <c r="AT3" i="12"/>
  <c r="AU3" i="12"/>
  <c r="AV3" i="12"/>
  <c r="AW3" i="12"/>
  <c r="AX3" i="12"/>
  <c r="AY3" i="12"/>
  <c r="AZ3" i="12"/>
  <c r="BA3" i="12"/>
  <c r="D4" i="12"/>
  <c r="AT4" i="12"/>
  <c r="AU4" i="12"/>
  <c r="AV4" i="12"/>
  <c r="D5" i="12"/>
  <c r="AT5" i="12"/>
  <c r="AU5" i="12"/>
  <c r="AV5" i="12"/>
  <c r="AW5" i="12"/>
  <c r="AX5" i="12"/>
  <c r="AY5" i="12"/>
  <c r="AZ5" i="12"/>
  <c r="BA5" i="12"/>
  <c r="D6" i="12"/>
  <c r="AW6" i="12" s="1"/>
  <c r="AT6" i="12"/>
  <c r="AU6" i="12"/>
  <c r="AV6" i="12"/>
  <c r="D7" i="12"/>
  <c r="AT7" i="12"/>
  <c r="AU7" i="12"/>
  <c r="AV7" i="12"/>
  <c r="AW7" i="12"/>
  <c r="AX7" i="12"/>
  <c r="AY7" i="12"/>
  <c r="AZ7" i="12"/>
  <c r="BA7" i="12"/>
  <c r="D8" i="12"/>
  <c r="AX8" i="12" s="1"/>
  <c r="AT8" i="12"/>
  <c r="AU8" i="12"/>
  <c r="AV8" i="12"/>
  <c r="AW8" i="12"/>
  <c r="D9" i="12"/>
  <c r="AT9" i="12"/>
  <c r="AU9" i="12"/>
  <c r="AV9" i="12"/>
  <c r="AW9" i="12"/>
  <c r="AX9" i="12"/>
  <c r="AY9" i="12"/>
  <c r="AZ9" i="12"/>
  <c r="BA9" i="12"/>
  <c r="D10" i="12"/>
  <c r="AZ10" i="12" s="1"/>
  <c r="AT10" i="12"/>
  <c r="AU10" i="12"/>
  <c r="AV10" i="12"/>
  <c r="AW10" i="12"/>
  <c r="AX10" i="12"/>
  <c r="AY10" i="12"/>
  <c r="D11" i="12"/>
  <c r="AW11" i="12" s="1"/>
  <c r="AT11" i="12"/>
  <c r="AU11" i="12"/>
  <c r="AV11" i="12"/>
  <c r="AX11" i="12"/>
  <c r="AY11" i="12"/>
  <c r="AZ11" i="12"/>
  <c r="BA11" i="12"/>
  <c r="D12" i="12"/>
  <c r="AT12" i="12"/>
  <c r="AU12" i="12"/>
  <c r="AV12" i="12"/>
  <c r="AW12" i="12"/>
  <c r="AX12" i="12"/>
  <c r="AY12" i="12"/>
  <c r="AZ12" i="12"/>
  <c r="BA12" i="12"/>
  <c r="D15" i="12"/>
  <c r="AT15" i="12"/>
  <c r="AU15" i="12"/>
  <c r="AV15" i="12"/>
  <c r="AW15" i="12"/>
  <c r="AX15" i="12"/>
  <c r="AY15" i="12"/>
  <c r="AZ15" i="12"/>
  <c r="BA15" i="12"/>
  <c r="D16" i="12"/>
  <c r="AT16" i="12"/>
  <c r="AU16" i="12"/>
  <c r="AV16" i="12"/>
  <c r="AW16" i="12"/>
  <c r="AX16" i="12"/>
  <c r="AY16" i="12"/>
  <c r="AZ16" i="12"/>
  <c r="BA16" i="12"/>
  <c r="D17" i="12"/>
  <c r="AT17" i="12"/>
  <c r="AU17" i="12"/>
  <c r="AV17" i="12"/>
  <c r="D18" i="12"/>
  <c r="AT18" i="12"/>
  <c r="AU18" i="12"/>
  <c r="AV18" i="12"/>
  <c r="AW18" i="12"/>
  <c r="AX18" i="12"/>
  <c r="AY18" i="12"/>
  <c r="AZ18" i="12"/>
  <c r="BA18" i="12"/>
  <c r="D19" i="12"/>
  <c r="AW19" i="12" s="1"/>
  <c r="AT19" i="12"/>
  <c r="AU19" i="12"/>
  <c r="AV19" i="12"/>
  <c r="D20" i="12"/>
  <c r="AX20" i="12" s="1"/>
  <c r="AT20" i="12"/>
  <c r="AU20" i="12"/>
  <c r="AV20" i="12"/>
  <c r="AW20" i="12"/>
  <c r="AY20" i="12"/>
  <c r="AZ20" i="12"/>
  <c r="BA20" i="12"/>
  <c r="D21" i="12"/>
  <c r="AY21" i="12" s="1"/>
  <c r="AT21" i="12"/>
  <c r="AU21" i="12"/>
  <c r="AV21" i="12"/>
  <c r="AW21" i="12"/>
  <c r="AX21" i="12"/>
  <c r="D22" i="12"/>
  <c r="AZ22" i="12" s="1"/>
  <c r="AT22" i="12"/>
  <c r="AU22" i="12"/>
  <c r="AV22" i="12"/>
  <c r="AW22" i="12"/>
  <c r="AX22" i="12"/>
  <c r="AY22" i="12"/>
  <c r="BA22" i="12"/>
  <c r="D23" i="12"/>
  <c r="BA23" i="12" s="1"/>
  <c r="AT23" i="12"/>
  <c r="AU23" i="12"/>
  <c r="AV23" i="12"/>
  <c r="AX23" i="12"/>
  <c r="AY23" i="12"/>
  <c r="AZ23" i="12"/>
  <c r="D24" i="12"/>
  <c r="AX24" i="12" s="1"/>
  <c r="AT24" i="12"/>
  <c r="AU24" i="12"/>
  <c r="AV24" i="12"/>
  <c r="AW24" i="12"/>
  <c r="AY24" i="12"/>
  <c r="AZ24" i="12"/>
  <c r="BA24" i="12"/>
  <c r="D25" i="12"/>
  <c r="AT25" i="12"/>
  <c r="AU25" i="12"/>
  <c r="AV25" i="12"/>
  <c r="AW25" i="12"/>
  <c r="AX25" i="12"/>
  <c r="AY25" i="12"/>
  <c r="AZ25" i="12"/>
  <c r="BA25" i="12"/>
  <c r="D26" i="12"/>
  <c r="AT26" i="12"/>
  <c r="AU26" i="12"/>
  <c r="AV26" i="12"/>
  <c r="D27" i="12"/>
  <c r="AT27" i="12"/>
  <c r="AU27" i="12"/>
  <c r="AV27" i="12"/>
  <c r="AW27" i="12"/>
  <c r="AX27" i="12"/>
  <c r="AY27" i="12"/>
  <c r="AZ27" i="12"/>
  <c r="BA27" i="12"/>
  <c r="D28" i="12"/>
  <c r="AW28" i="12" s="1"/>
  <c r="AT28" i="12"/>
  <c r="AU28" i="12"/>
  <c r="AV28" i="12"/>
  <c r="D29" i="12"/>
  <c r="AT29" i="12"/>
  <c r="AU29" i="12"/>
  <c r="AV29" i="12"/>
  <c r="AW29" i="12"/>
  <c r="AX29" i="12"/>
  <c r="AY29" i="12"/>
  <c r="AZ29" i="12"/>
  <c r="BA29" i="12"/>
  <c r="D30" i="12"/>
  <c r="AX30" i="12" s="1"/>
  <c r="AT30" i="12"/>
  <c r="AU30" i="12"/>
  <c r="AV30" i="12"/>
  <c r="AW30" i="12"/>
  <c r="D31" i="12"/>
  <c r="AT31" i="12"/>
  <c r="AU31" i="12"/>
  <c r="AV31" i="12"/>
  <c r="AW31" i="12"/>
  <c r="AX31" i="12"/>
  <c r="AY31" i="12"/>
  <c r="AZ31" i="12"/>
  <c r="BA31" i="12"/>
  <c r="D32" i="12"/>
  <c r="AZ32" i="12" s="1"/>
  <c r="AT32" i="12"/>
  <c r="AU32" i="12"/>
  <c r="AV32" i="12"/>
  <c r="AW32" i="12"/>
  <c r="AX32" i="12"/>
  <c r="AY32" i="12"/>
  <c r="D33" i="12"/>
  <c r="AW33" i="12" s="1"/>
  <c r="AT33" i="12"/>
  <c r="AU33" i="12"/>
  <c r="AV33" i="12"/>
  <c r="AX33" i="12"/>
  <c r="AY33" i="12"/>
  <c r="AZ33" i="12"/>
  <c r="BA33" i="12"/>
  <c r="D34" i="12"/>
  <c r="AT34" i="12"/>
  <c r="AU34" i="12"/>
  <c r="AV34" i="12"/>
  <c r="AW34" i="12"/>
  <c r="AX34" i="12"/>
  <c r="AY34" i="12"/>
  <c r="AZ34" i="12"/>
  <c r="BA34" i="12"/>
  <c r="D35" i="12"/>
  <c r="AT35" i="12"/>
  <c r="AU35" i="12"/>
  <c r="AV35" i="12"/>
  <c r="AW35" i="12"/>
  <c r="AX35" i="12"/>
  <c r="AY35" i="12"/>
  <c r="AZ35" i="12"/>
  <c r="BA35" i="12"/>
  <c r="D36" i="12"/>
  <c r="AT36" i="12"/>
  <c r="AU36" i="12"/>
  <c r="AV36" i="12"/>
  <c r="AW36" i="12"/>
  <c r="AX36" i="12"/>
  <c r="AY36" i="12"/>
  <c r="AZ36" i="12"/>
  <c r="BA36" i="12"/>
  <c r="D37" i="12"/>
  <c r="AT37" i="12"/>
  <c r="AU37" i="12"/>
  <c r="AV37" i="12"/>
  <c r="D38" i="12"/>
  <c r="AT38" i="12"/>
  <c r="AU38" i="12"/>
  <c r="AV38" i="12"/>
  <c r="AW38" i="12"/>
  <c r="AX38" i="12"/>
  <c r="AY38" i="12"/>
  <c r="AZ38" i="12"/>
  <c r="BA38" i="12"/>
  <c r="D39" i="12"/>
  <c r="AW39" i="12" s="1"/>
  <c r="AT39" i="12"/>
  <c r="AU39" i="12"/>
  <c r="AV39" i="12"/>
  <c r="D40" i="12"/>
  <c r="AW40" i="12" s="1"/>
  <c r="AT40" i="12"/>
  <c r="AU40" i="12"/>
  <c r="AV40" i="12"/>
  <c r="AY40" i="12"/>
  <c r="AZ40" i="12"/>
  <c r="BA40" i="12"/>
  <c r="D41" i="12"/>
  <c r="AY41" i="12" s="1"/>
  <c r="AT41" i="12"/>
  <c r="AU41" i="12"/>
  <c r="AV41" i="12"/>
  <c r="AW41" i="12"/>
  <c r="AX41" i="12"/>
  <c r="D42" i="12"/>
  <c r="AW42" i="12" s="1"/>
  <c r="AT42" i="12"/>
  <c r="AU42" i="12"/>
  <c r="AV42" i="12"/>
  <c r="AX42" i="12"/>
  <c r="AY42" i="12"/>
  <c r="BA42" i="12"/>
  <c r="D43" i="12"/>
  <c r="BA43" i="12" s="1"/>
  <c r="AT43" i="12"/>
  <c r="AU43" i="12"/>
  <c r="AV43" i="12"/>
  <c r="AX43" i="12"/>
  <c r="AY43" i="12"/>
  <c r="AZ43" i="12"/>
  <c r="D44" i="12"/>
  <c r="AX44" i="12" s="1"/>
  <c r="AT44" i="12"/>
  <c r="AU44" i="12"/>
  <c r="AV44" i="12"/>
  <c r="AW44" i="12"/>
  <c r="AY44" i="12"/>
  <c r="AZ44" i="12"/>
  <c r="BA44" i="12"/>
  <c r="D45" i="12"/>
  <c r="AT45" i="12"/>
  <c r="AU45" i="12"/>
  <c r="AV45" i="12"/>
  <c r="AW45" i="12"/>
  <c r="AX45" i="12"/>
  <c r="AY45" i="12"/>
  <c r="AZ45" i="12"/>
  <c r="BA45" i="12"/>
  <c r="D46" i="12"/>
  <c r="AT46" i="12"/>
  <c r="AU46" i="12"/>
  <c r="AV46" i="12"/>
  <c r="D47" i="12"/>
  <c r="AT47" i="12"/>
  <c r="AU47" i="12"/>
  <c r="AV47" i="12"/>
  <c r="AW47" i="12"/>
  <c r="AX47" i="12"/>
  <c r="AY47" i="12"/>
  <c r="AZ47" i="12"/>
  <c r="BA47" i="12"/>
  <c r="D48" i="12"/>
  <c r="AW48" i="12" s="1"/>
  <c r="AT48" i="12"/>
  <c r="AU48" i="12"/>
  <c r="AV48" i="12"/>
  <c r="D49" i="12"/>
  <c r="AT49" i="12"/>
  <c r="AU49" i="12"/>
  <c r="AV49" i="12"/>
  <c r="AW49" i="12"/>
  <c r="AX49" i="12"/>
  <c r="AY49" i="12"/>
  <c r="AZ49" i="12"/>
  <c r="BA49" i="12"/>
  <c r="D50" i="12"/>
  <c r="AX50" i="12" s="1"/>
  <c r="AT50" i="12"/>
  <c r="AU50" i="12"/>
  <c r="AV50" i="12"/>
  <c r="AW50" i="12"/>
  <c r="D51" i="12"/>
  <c r="AT51" i="12"/>
  <c r="AU51" i="12"/>
  <c r="AV51" i="12"/>
  <c r="AW51" i="12"/>
  <c r="AX51" i="12"/>
  <c r="AY51" i="12"/>
  <c r="AZ51" i="12"/>
  <c r="BA51" i="12"/>
  <c r="D52" i="12"/>
  <c r="AZ52" i="12" s="1"/>
  <c r="AT52" i="12"/>
  <c r="AU52" i="12"/>
  <c r="AV52" i="12"/>
  <c r="AW52" i="12"/>
  <c r="AX52" i="12"/>
  <c r="AY52" i="12"/>
  <c r="D2" i="13"/>
  <c r="AW2" i="13" s="1"/>
  <c r="AT2" i="13"/>
  <c r="AU2" i="13"/>
  <c r="AV2" i="13"/>
  <c r="AX2" i="13"/>
  <c r="AY2" i="13"/>
  <c r="AZ2" i="13"/>
  <c r="BA2" i="13"/>
  <c r="D3" i="13"/>
  <c r="AT3" i="13"/>
  <c r="AU3" i="13"/>
  <c r="AV3" i="13"/>
  <c r="AW3" i="13"/>
  <c r="AX3" i="13"/>
  <c r="AY3" i="13"/>
  <c r="AZ3" i="13"/>
  <c r="BA3" i="13"/>
  <c r="D4" i="13"/>
  <c r="AT4" i="13"/>
  <c r="AU4" i="13"/>
  <c r="AV4" i="13"/>
  <c r="AW4" i="13"/>
  <c r="AX4" i="13"/>
  <c r="AY4" i="13"/>
  <c r="AZ4" i="13"/>
  <c r="BA4" i="13"/>
  <c r="D5" i="13"/>
  <c r="AT5" i="13"/>
  <c r="AU5" i="13"/>
  <c r="AV5" i="13"/>
  <c r="AW5" i="13"/>
  <c r="AX5" i="13"/>
  <c r="AY5" i="13"/>
  <c r="AZ5" i="13"/>
  <c r="BA5" i="13"/>
  <c r="D6" i="13"/>
  <c r="AT6" i="13"/>
  <c r="AU6" i="13"/>
  <c r="AV6" i="13"/>
  <c r="D7" i="13"/>
  <c r="AT7" i="13"/>
  <c r="AU7" i="13"/>
  <c r="AV7" i="13"/>
  <c r="AW7" i="13"/>
  <c r="AX7" i="13"/>
  <c r="AY7" i="13"/>
  <c r="AZ7" i="13"/>
  <c r="BA7" i="13"/>
  <c r="D8" i="13"/>
  <c r="AW8" i="13" s="1"/>
  <c r="AT8" i="13"/>
  <c r="AU8" i="13"/>
  <c r="AV8" i="13"/>
  <c r="D9" i="13"/>
  <c r="AW9" i="13" s="1"/>
  <c r="AT9" i="13"/>
  <c r="AU9" i="13"/>
  <c r="AV9" i="13"/>
  <c r="AY9" i="13"/>
  <c r="AZ9" i="13"/>
  <c r="BA9" i="13"/>
  <c r="D10" i="13"/>
  <c r="AY10" i="13" s="1"/>
  <c r="AT10" i="13"/>
  <c r="AU10" i="13"/>
  <c r="AV10" i="13"/>
  <c r="AW10" i="13"/>
  <c r="AX10" i="13"/>
  <c r="D11" i="13"/>
  <c r="AW11" i="13" s="1"/>
  <c r="AT11" i="13"/>
  <c r="AU11" i="13"/>
  <c r="AV11" i="13"/>
  <c r="AX11" i="13"/>
  <c r="AY11" i="13"/>
  <c r="BA11" i="13"/>
  <c r="D12" i="13"/>
  <c r="BA12" i="13" s="1"/>
  <c r="AT12" i="13"/>
  <c r="AU12" i="13"/>
  <c r="AV12" i="13"/>
  <c r="AX12" i="13"/>
  <c r="AY12" i="13"/>
  <c r="AZ12" i="13"/>
  <c r="D15" i="13"/>
  <c r="AX15" i="13" s="1"/>
  <c r="AT15" i="13"/>
  <c r="AU15" i="13"/>
  <c r="AV15" i="13"/>
  <c r="AW15" i="13"/>
  <c r="AY15" i="13"/>
  <c r="AZ15" i="13"/>
  <c r="BA15" i="13"/>
  <c r="D16" i="13"/>
  <c r="AT16" i="13"/>
  <c r="AU16" i="13"/>
  <c r="AV16" i="13"/>
  <c r="AW16" i="13"/>
  <c r="AX16" i="13"/>
  <c r="AY16" i="13"/>
  <c r="AZ16" i="13"/>
  <c r="BA16" i="13"/>
  <c r="D17" i="13"/>
  <c r="AT17" i="13"/>
  <c r="AU17" i="13"/>
  <c r="AV17" i="13"/>
  <c r="D18" i="13"/>
  <c r="AX18" i="13" s="1"/>
  <c r="AT18" i="13"/>
  <c r="AU18" i="13"/>
  <c r="AV18" i="13"/>
  <c r="AW18" i="13"/>
  <c r="AY18" i="13"/>
  <c r="AZ18" i="13"/>
  <c r="D19" i="13"/>
  <c r="AW19" i="13" s="1"/>
  <c r="AT19" i="13"/>
  <c r="AU19" i="13"/>
  <c r="AV19" i="13"/>
  <c r="D20" i="13"/>
  <c r="AT20" i="13"/>
  <c r="AU20" i="13"/>
  <c r="AV20" i="13"/>
  <c r="AW20" i="13"/>
  <c r="AX20" i="13"/>
  <c r="AY20" i="13"/>
  <c r="AZ20" i="13"/>
  <c r="BA20" i="13"/>
  <c r="D21" i="13"/>
  <c r="AX21" i="13" s="1"/>
  <c r="AT21" i="13"/>
  <c r="AU21" i="13"/>
  <c r="AV21" i="13"/>
  <c r="AW21" i="13"/>
  <c r="D22" i="13"/>
  <c r="AT22" i="13"/>
  <c r="AU22" i="13"/>
  <c r="AV22" i="13"/>
  <c r="AW22" i="13"/>
  <c r="AX22" i="13"/>
  <c r="AY22" i="13"/>
  <c r="AZ22" i="13"/>
  <c r="BA22" i="13"/>
  <c r="D23" i="13"/>
  <c r="AZ23" i="13" s="1"/>
  <c r="AT23" i="13"/>
  <c r="AU23" i="13"/>
  <c r="AV23" i="13"/>
  <c r="AW23" i="13"/>
  <c r="AX23" i="13"/>
  <c r="AY23" i="13"/>
  <c r="D24" i="13"/>
  <c r="AW24" i="13" s="1"/>
  <c r="AT24" i="13"/>
  <c r="AU24" i="13"/>
  <c r="AV24" i="13"/>
  <c r="AX24" i="13"/>
  <c r="AY24" i="13"/>
  <c r="AZ24" i="13"/>
  <c r="BA24" i="13"/>
  <c r="D25" i="13"/>
  <c r="AT25" i="13"/>
  <c r="AU25" i="13"/>
  <c r="AV25" i="13"/>
  <c r="AW25" i="13"/>
  <c r="AX25" i="13"/>
  <c r="AY25" i="13"/>
  <c r="AZ25" i="13"/>
  <c r="BA25" i="13"/>
  <c r="D26" i="13"/>
  <c r="AT26" i="13"/>
  <c r="AU26" i="13"/>
  <c r="AV26" i="13"/>
  <c r="AW26" i="13"/>
  <c r="AX26" i="13"/>
  <c r="AY26" i="13"/>
  <c r="AZ26" i="13"/>
  <c r="BA26" i="13"/>
  <c r="D27" i="13"/>
  <c r="AT27" i="13"/>
  <c r="AU27" i="13"/>
  <c r="AV27" i="13"/>
  <c r="AW27" i="13"/>
  <c r="AX27" i="13"/>
  <c r="AY27" i="13"/>
  <c r="AZ27" i="13"/>
  <c r="BA27" i="13"/>
  <c r="D28" i="13"/>
  <c r="AT28" i="13"/>
  <c r="AU28" i="13"/>
  <c r="AV28" i="13"/>
  <c r="D29" i="13"/>
  <c r="AT29" i="13"/>
  <c r="AU29" i="13"/>
  <c r="AV29" i="13"/>
  <c r="AW29" i="13"/>
  <c r="AX29" i="13"/>
  <c r="AY29" i="13"/>
  <c r="AZ29" i="13"/>
  <c r="BA29" i="13"/>
  <c r="D30" i="13"/>
  <c r="AW30" i="13" s="1"/>
  <c r="AT30" i="13"/>
  <c r="AU30" i="13"/>
  <c r="AV30" i="13"/>
  <c r="D31" i="13"/>
  <c r="AW31" i="13" s="1"/>
  <c r="AT31" i="13"/>
  <c r="AU31" i="13"/>
  <c r="AV31" i="13"/>
  <c r="AY31" i="13"/>
  <c r="AZ31" i="13"/>
  <c r="BA31" i="13"/>
  <c r="D32" i="13"/>
  <c r="AY32" i="13" s="1"/>
  <c r="AT32" i="13"/>
  <c r="AU32" i="13"/>
  <c r="AV32" i="13"/>
  <c r="AW32" i="13"/>
  <c r="AX32" i="13"/>
  <c r="D33" i="13"/>
  <c r="AW33" i="13" s="1"/>
  <c r="AT33" i="13"/>
  <c r="AU33" i="13"/>
  <c r="AV33" i="13"/>
  <c r="AX33" i="13"/>
  <c r="AY33" i="13"/>
  <c r="BA33" i="13"/>
  <c r="D34" i="13"/>
  <c r="BA34" i="13" s="1"/>
  <c r="AT34" i="13"/>
  <c r="AU34" i="13"/>
  <c r="AV34" i="13"/>
  <c r="AX34" i="13"/>
  <c r="AY34" i="13"/>
  <c r="AZ34" i="13"/>
  <c r="D35" i="13"/>
  <c r="AX35" i="13" s="1"/>
  <c r="AT35" i="13"/>
  <c r="AU35" i="13"/>
  <c r="AV35" i="13"/>
  <c r="AW35" i="13"/>
  <c r="AY35" i="13"/>
  <c r="AZ35" i="13"/>
  <c r="BA35" i="13"/>
  <c r="D36" i="13"/>
  <c r="AT36" i="13"/>
  <c r="AU36" i="13"/>
  <c r="AV36" i="13"/>
  <c r="AW36" i="13"/>
  <c r="AX36" i="13"/>
  <c r="AY36" i="13"/>
  <c r="AZ36" i="13"/>
  <c r="BA36" i="13"/>
  <c r="D37" i="13"/>
  <c r="AT37" i="13"/>
  <c r="AU37" i="13"/>
  <c r="AV37" i="13"/>
  <c r="D38" i="13"/>
  <c r="AX38" i="13" s="1"/>
  <c r="AT38" i="13"/>
  <c r="AU38" i="13"/>
  <c r="AV38" i="13"/>
  <c r="AW38" i="13"/>
  <c r="AY38" i="13"/>
  <c r="AZ38" i="13"/>
  <c r="D39" i="13"/>
  <c r="AW39" i="13" s="1"/>
  <c r="AT39" i="13"/>
  <c r="AU39" i="13"/>
  <c r="AV39" i="13"/>
  <c r="D40" i="13"/>
  <c r="AT40" i="13"/>
  <c r="AU40" i="13"/>
  <c r="AV40" i="13"/>
  <c r="AW40" i="13"/>
  <c r="AX40" i="13"/>
  <c r="AY40" i="13"/>
  <c r="AZ40" i="13"/>
  <c r="BA40" i="13"/>
  <c r="D41" i="13"/>
  <c r="AX41" i="13" s="1"/>
  <c r="AT41" i="13"/>
  <c r="AU41" i="13"/>
  <c r="AV41" i="13"/>
  <c r="AW41" i="13"/>
  <c r="D42" i="13"/>
  <c r="AT42" i="13"/>
  <c r="AU42" i="13"/>
  <c r="AV42" i="13"/>
  <c r="AW42" i="13"/>
  <c r="AX42" i="13"/>
  <c r="AY42" i="13"/>
  <c r="AZ42" i="13"/>
  <c r="BA42" i="13"/>
  <c r="D43" i="13"/>
  <c r="AZ43" i="13" s="1"/>
  <c r="AT43" i="13"/>
  <c r="AU43" i="13"/>
  <c r="AV43" i="13"/>
  <c r="AW43" i="13"/>
  <c r="AX43" i="13"/>
  <c r="AY43" i="13"/>
  <c r="D44" i="13"/>
  <c r="AW44" i="13" s="1"/>
  <c r="AT44" i="13"/>
  <c r="AU44" i="13"/>
  <c r="AV44" i="13"/>
  <c r="AX44" i="13"/>
  <c r="AY44" i="13"/>
  <c r="AZ44" i="13"/>
  <c r="BA44" i="13"/>
  <c r="D45" i="13"/>
  <c r="AT45" i="13"/>
  <c r="AU45" i="13"/>
  <c r="AV45" i="13"/>
  <c r="AW45" i="13"/>
  <c r="AX45" i="13"/>
  <c r="AY45" i="13"/>
  <c r="AZ45" i="13"/>
  <c r="BA45" i="13"/>
  <c r="D46" i="13"/>
  <c r="AY46" i="13" s="1"/>
  <c r="AT46" i="13"/>
  <c r="AU46" i="13"/>
  <c r="AV46" i="13"/>
  <c r="AW46" i="13"/>
  <c r="AX46" i="13"/>
  <c r="AZ46" i="13"/>
  <c r="BA46" i="13"/>
  <c r="D47" i="13"/>
  <c r="AT47" i="13"/>
  <c r="AU47" i="13"/>
  <c r="AV47" i="13"/>
  <c r="AW47" i="13"/>
  <c r="AX47" i="13"/>
  <c r="AY47" i="13"/>
  <c r="AZ47" i="13"/>
  <c r="BA47" i="13"/>
  <c r="D48" i="13"/>
  <c r="AT48" i="13"/>
  <c r="AU48" i="13"/>
  <c r="AV48" i="13"/>
  <c r="D49" i="13"/>
  <c r="AT49" i="13"/>
  <c r="AU49" i="13"/>
  <c r="AV49" i="13"/>
  <c r="AW49" i="13"/>
  <c r="AX49" i="13"/>
  <c r="AY49" i="13"/>
  <c r="AZ49" i="13"/>
  <c r="BA49" i="13"/>
  <c r="D50" i="13"/>
  <c r="AW50" i="13" s="1"/>
  <c r="AT50" i="13"/>
  <c r="AU50" i="13"/>
  <c r="AV50" i="13"/>
  <c r="D51" i="13"/>
  <c r="AW51" i="13" s="1"/>
  <c r="AT51" i="13"/>
  <c r="AU51" i="13"/>
  <c r="AV51" i="13"/>
  <c r="AZ51" i="13"/>
  <c r="BA51" i="13"/>
  <c r="D52" i="13"/>
  <c r="AT52" i="13"/>
  <c r="AU52" i="13"/>
  <c r="AV52" i="13"/>
  <c r="AW52" i="13"/>
  <c r="AX52" i="13"/>
  <c r="D2" i="14"/>
  <c r="AW2" i="14" s="1"/>
  <c r="AT2" i="14"/>
  <c r="AU2" i="14"/>
  <c r="AV2" i="14"/>
  <c r="AX2" i="14"/>
  <c r="BA2" i="14"/>
  <c r="D3" i="14"/>
  <c r="BA3" i="14" s="1"/>
  <c r="AT3" i="14"/>
  <c r="AU3" i="14"/>
  <c r="AV3" i="14"/>
  <c r="AX3" i="14"/>
  <c r="AY3" i="14"/>
  <c r="AZ3" i="14"/>
  <c r="D4" i="14"/>
  <c r="AX4" i="14" s="1"/>
  <c r="AT4" i="14"/>
  <c r="AU4" i="14"/>
  <c r="AV4" i="14"/>
  <c r="AW4" i="14"/>
  <c r="AY4" i="14"/>
  <c r="AZ4" i="14"/>
  <c r="BA4" i="14"/>
  <c r="D5" i="14"/>
  <c r="AT5" i="14"/>
  <c r="AU5" i="14"/>
  <c r="AV5" i="14"/>
  <c r="AW5" i="14"/>
  <c r="AX5" i="14"/>
  <c r="AY5" i="14"/>
  <c r="AZ5" i="14"/>
  <c r="BA5" i="14"/>
  <c r="D6" i="14"/>
  <c r="AT6" i="14"/>
  <c r="AU6" i="14"/>
  <c r="AV6" i="14"/>
  <c r="D7" i="14"/>
  <c r="AX7" i="14" s="1"/>
  <c r="AT7" i="14"/>
  <c r="AU7" i="14"/>
  <c r="AV7" i="14"/>
  <c r="AW7" i="14"/>
  <c r="AY7" i="14"/>
  <c r="AZ7" i="14"/>
  <c r="D8" i="14"/>
  <c r="AW8" i="14" s="1"/>
  <c r="AT8" i="14"/>
  <c r="AU8" i="14"/>
  <c r="AV8" i="14"/>
  <c r="D9" i="14"/>
  <c r="AT9" i="14"/>
  <c r="AU9" i="14"/>
  <c r="AV9" i="14"/>
  <c r="AW9" i="14"/>
  <c r="AX9" i="14"/>
  <c r="AY9" i="14"/>
  <c r="AZ9" i="14"/>
  <c r="BA9" i="14"/>
  <c r="D10" i="14"/>
  <c r="AT10" i="14"/>
  <c r="AU10" i="14"/>
  <c r="AV10" i="14"/>
  <c r="AW10" i="14"/>
  <c r="D11" i="14"/>
  <c r="AT11" i="14"/>
  <c r="AU11" i="14"/>
  <c r="AV11" i="14"/>
  <c r="AW11" i="14"/>
  <c r="AX11" i="14"/>
  <c r="AY11" i="14"/>
  <c r="AZ11" i="14"/>
  <c r="BA11" i="14"/>
  <c r="D12" i="14"/>
  <c r="AZ12" i="14" s="1"/>
  <c r="AT12" i="14"/>
  <c r="AU12" i="14"/>
  <c r="AV12" i="14"/>
  <c r="AW12" i="14"/>
  <c r="AX12" i="14"/>
  <c r="AY12" i="14"/>
  <c r="D13" i="14"/>
  <c r="AZ13" i="14" s="1"/>
  <c r="AV13" i="14"/>
  <c r="AW13" i="14"/>
  <c r="AY13" i="14"/>
  <c r="D14" i="14"/>
  <c r="AZ14" i="14" s="1"/>
  <c r="AW14" i="14"/>
  <c r="AY14" i="14"/>
  <c r="D15" i="14"/>
  <c r="AT15" i="14"/>
  <c r="AU15" i="14"/>
  <c r="AV15" i="14"/>
  <c r="AW15" i="14"/>
  <c r="AX15" i="14"/>
  <c r="AY15" i="14"/>
  <c r="AZ15" i="14"/>
  <c r="BA15" i="14"/>
  <c r="D16" i="14"/>
  <c r="AT16" i="14"/>
  <c r="AU16" i="14"/>
  <c r="AV16" i="14"/>
  <c r="AW16" i="14"/>
  <c r="AX16" i="14"/>
  <c r="AY16" i="14"/>
  <c r="AZ16" i="14"/>
  <c r="BA16" i="14"/>
  <c r="D17" i="14"/>
  <c r="AT17" i="14"/>
  <c r="AU17" i="14"/>
  <c r="AV17" i="14"/>
  <c r="AW17" i="14"/>
  <c r="AX17" i="14"/>
  <c r="AY17" i="14"/>
  <c r="AZ17" i="14"/>
  <c r="BA17" i="14"/>
  <c r="D18" i="14"/>
  <c r="AT18" i="14"/>
  <c r="AU18" i="14"/>
  <c r="AV18" i="14"/>
  <c r="D19" i="14"/>
  <c r="AT19" i="14"/>
  <c r="AU19" i="14"/>
  <c r="AV19" i="14"/>
  <c r="AW19" i="14"/>
  <c r="AX19" i="14"/>
  <c r="AY19" i="14"/>
  <c r="AZ19" i="14"/>
  <c r="BA19" i="14"/>
  <c r="D20" i="14"/>
  <c r="AW20" i="14" s="1"/>
  <c r="AT20" i="14"/>
  <c r="AU20" i="14"/>
  <c r="AV20" i="14"/>
  <c r="D21" i="14"/>
  <c r="AW21" i="14" s="1"/>
  <c r="AT21" i="14"/>
  <c r="AU21" i="14"/>
  <c r="AV21" i="14"/>
  <c r="AZ21" i="14"/>
  <c r="D22" i="14"/>
  <c r="AT22" i="14"/>
  <c r="AU22" i="14"/>
  <c r="AV22" i="14"/>
  <c r="AW22" i="14"/>
  <c r="AX22" i="14"/>
  <c r="D23" i="14"/>
  <c r="AW23" i="14" s="1"/>
  <c r="AT23" i="14"/>
  <c r="AU23" i="14"/>
  <c r="AV23" i="14"/>
  <c r="AX23" i="14"/>
  <c r="BA23" i="14"/>
  <c r="D24" i="14"/>
  <c r="BA24" i="14" s="1"/>
  <c r="AT24" i="14"/>
  <c r="AU24" i="14"/>
  <c r="AV24" i="14"/>
  <c r="AY24" i="14"/>
  <c r="AZ24" i="14"/>
  <c r="D25" i="14"/>
  <c r="AX25" i="14" s="1"/>
  <c r="AT25" i="14"/>
  <c r="AU25" i="14"/>
  <c r="AV25" i="14"/>
  <c r="AW25" i="14"/>
  <c r="AY25" i="14"/>
  <c r="AZ25" i="14"/>
  <c r="BA25" i="14"/>
  <c r="D26" i="14"/>
  <c r="AT26" i="14"/>
  <c r="AU26" i="14"/>
  <c r="AV26" i="14"/>
  <c r="AW26" i="14"/>
  <c r="AX26" i="14"/>
  <c r="AY26" i="14"/>
  <c r="AZ26" i="14"/>
  <c r="BA26" i="14"/>
  <c r="D27" i="14"/>
  <c r="AT27" i="14"/>
  <c r="AU27" i="14"/>
  <c r="AV27" i="14"/>
  <c r="D28" i="14"/>
  <c r="AX28" i="14" s="1"/>
  <c r="AT28" i="14"/>
  <c r="AU28" i="14"/>
  <c r="AV28" i="14"/>
  <c r="AW28" i="14"/>
  <c r="AY28" i="14"/>
  <c r="AZ28" i="14"/>
  <c r="D29" i="14"/>
  <c r="AW29" i="14" s="1"/>
  <c r="AT29" i="14"/>
  <c r="AU29" i="14"/>
  <c r="AV29" i="14"/>
  <c r="D30" i="14"/>
  <c r="AT30" i="14"/>
  <c r="AU30" i="14"/>
  <c r="AV30" i="14"/>
  <c r="AW30" i="14"/>
  <c r="AX30" i="14"/>
  <c r="AY30" i="14"/>
  <c r="AZ30" i="14"/>
  <c r="BA30" i="14"/>
  <c r="D31" i="14"/>
  <c r="AT31" i="14"/>
  <c r="AU31" i="14"/>
  <c r="AV31" i="14"/>
  <c r="AW31" i="14"/>
  <c r="D32" i="14"/>
  <c r="AT32" i="14"/>
  <c r="AU32" i="14"/>
  <c r="AV32" i="14"/>
  <c r="AW32" i="14"/>
  <c r="AX32" i="14"/>
  <c r="AY32" i="14"/>
  <c r="AZ32" i="14"/>
  <c r="BA32" i="14"/>
  <c r="D33" i="14"/>
  <c r="AZ33" i="14" s="1"/>
  <c r="AT33" i="14"/>
  <c r="AU33" i="14"/>
  <c r="AV33" i="14"/>
  <c r="AW33" i="14"/>
  <c r="AX33" i="14"/>
  <c r="AY33" i="14"/>
  <c r="D34" i="14"/>
  <c r="AW34" i="14" s="1"/>
  <c r="AT34" i="14"/>
  <c r="AU34" i="14"/>
  <c r="AV34" i="14"/>
  <c r="AX34" i="14"/>
  <c r="AY34" i="14"/>
  <c r="AZ34" i="14"/>
  <c r="BA34" i="14"/>
  <c r="D35" i="14"/>
  <c r="AT35" i="14"/>
  <c r="AU35" i="14"/>
  <c r="AV35" i="14"/>
  <c r="AW35" i="14"/>
  <c r="AX35" i="14"/>
  <c r="AY35" i="14"/>
  <c r="AZ35" i="14"/>
  <c r="BA35" i="14"/>
  <c r="D36" i="14"/>
  <c r="AT36" i="14"/>
  <c r="AU36" i="14"/>
  <c r="AV36" i="14"/>
  <c r="AW36" i="14"/>
  <c r="AX36" i="14"/>
  <c r="AY36" i="14"/>
  <c r="AZ36" i="14"/>
  <c r="BA36" i="14"/>
  <c r="D37" i="14"/>
  <c r="AT37" i="14"/>
  <c r="AU37" i="14"/>
  <c r="AV37" i="14"/>
  <c r="AW37" i="14"/>
  <c r="AX37" i="14"/>
  <c r="AY37" i="14"/>
  <c r="AZ37" i="14"/>
  <c r="BA37" i="14"/>
  <c r="D38" i="14"/>
  <c r="AT38" i="14"/>
  <c r="AU38" i="14"/>
  <c r="AV38" i="14"/>
  <c r="D39" i="14"/>
  <c r="AT39" i="14"/>
  <c r="AU39" i="14"/>
  <c r="AV39" i="14"/>
  <c r="AW39" i="14"/>
  <c r="AX39" i="14"/>
  <c r="AY39" i="14"/>
  <c r="AZ39" i="14"/>
  <c r="BA39" i="14"/>
  <c r="D40" i="14"/>
  <c r="AW40" i="14" s="1"/>
  <c r="AT40" i="14"/>
  <c r="AU40" i="14"/>
  <c r="AV40" i="14"/>
  <c r="D41" i="14"/>
  <c r="AW41" i="14" s="1"/>
  <c r="AT41" i="14"/>
  <c r="AU41" i="14"/>
  <c r="AV41" i="14"/>
  <c r="AZ41" i="14"/>
  <c r="D42" i="14"/>
  <c r="AW42" i="14" s="1"/>
  <c r="AT42" i="14"/>
  <c r="AU42" i="14"/>
  <c r="AV42" i="14"/>
  <c r="AX42" i="14"/>
  <c r="D43" i="14"/>
  <c r="AW43" i="14" s="1"/>
  <c r="AT43" i="14"/>
  <c r="AU43" i="14"/>
  <c r="AV43" i="14"/>
  <c r="AX43" i="14"/>
  <c r="BA43" i="14"/>
  <c r="D44" i="14"/>
  <c r="BA44" i="14" s="1"/>
  <c r="AT44" i="14"/>
  <c r="AU44" i="14"/>
  <c r="AV44" i="14"/>
  <c r="AY44" i="14"/>
  <c r="AZ44" i="14"/>
  <c r="D45" i="14"/>
  <c r="AX45" i="14" s="1"/>
  <c r="AT45" i="14"/>
  <c r="AU45" i="14"/>
  <c r="AV45" i="14"/>
  <c r="AW45" i="14"/>
  <c r="AY45" i="14"/>
  <c r="AZ45" i="14"/>
  <c r="BA45" i="14"/>
  <c r="D46" i="14"/>
  <c r="AT46" i="14"/>
  <c r="AU46" i="14"/>
  <c r="AV46" i="14"/>
  <c r="AW46" i="14"/>
  <c r="AX46" i="14"/>
  <c r="AY46" i="14"/>
  <c r="AZ46" i="14"/>
  <c r="BA46" i="14"/>
  <c r="D47" i="14"/>
  <c r="AT47" i="14"/>
  <c r="AU47" i="14"/>
  <c r="AV47" i="14"/>
  <c r="D48" i="14"/>
  <c r="AX48" i="14" s="1"/>
  <c r="AT48" i="14"/>
  <c r="AU48" i="14"/>
  <c r="AV48" i="14"/>
  <c r="AW48" i="14"/>
  <c r="AY48" i="14"/>
  <c r="AZ48" i="14"/>
  <c r="D49" i="14"/>
  <c r="AT49" i="14"/>
  <c r="AU49" i="14"/>
  <c r="AV49" i="14"/>
  <c r="D50" i="14"/>
  <c r="AT50" i="14"/>
  <c r="AU50" i="14"/>
  <c r="AV50" i="14"/>
  <c r="AW50" i="14"/>
  <c r="AX50" i="14"/>
  <c r="AY50" i="14"/>
  <c r="AZ50" i="14"/>
  <c r="BA50" i="14"/>
  <c r="D51" i="14"/>
  <c r="AW51" i="14" s="1"/>
  <c r="AT51" i="14"/>
  <c r="AU51" i="14"/>
  <c r="AV51" i="14"/>
  <c r="D52" i="14"/>
  <c r="AT52" i="14"/>
  <c r="AU52" i="14"/>
  <c r="AV52" i="14"/>
  <c r="AW52" i="14"/>
  <c r="AX52" i="14"/>
  <c r="AY52" i="14"/>
  <c r="AZ52" i="14"/>
  <c r="BA52" i="14"/>
  <c r="D2" i="15"/>
  <c r="AZ2" i="15" s="1"/>
  <c r="AT2" i="15"/>
  <c r="AU2" i="15"/>
  <c r="AV2" i="15"/>
  <c r="AW2" i="15"/>
  <c r="AX2" i="15"/>
  <c r="AY2" i="15"/>
  <c r="D3" i="15"/>
  <c r="AW3" i="15" s="1"/>
  <c r="AT3" i="15"/>
  <c r="AU3" i="15"/>
  <c r="AV3" i="15"/>
  <c r="AX3" i="15"/>
  <c r="AY3" i="15"/>
  <c r="AZ3" i="15"/>
  <c r="BA3" i="15"/>
  <c r="D4" i="15"/>
  <c r="AX4" i="15" s="1"/>
  <c r="AT4" i="15"/>
  <c r="AU4" i="15"/>
  <c r="AV4" i="15"/>
  <c r="AW4" i="15"/>
  <c r="AY4" i="15"/>
  <c r="AZ4" i="15"/>
  <c r="BA4" i="15"/>
  <c r="D5" i="15"/>
  <c r="AT5" i="15"/>
  <c r="AU5" i="15"/>
  <c r="AV5" i="15"/>
  <c r="AW5" i="15"/>
  <c r="AX5" i="15"/>
  <c r="AY5" i="15"/>
  <c r="AZ5" i="15"/>
  <c r="BA5" i="15"/>
  <c r="D6" i="15"/>
  <c r="AT6" i="15"/>
  <c r="AU6" i="15"/>
  <c r="AV6" i="15"/>
  <c r="AW6" i="15"/>
  <c r="AX6" i="15"/>
  <c r="AY6" i="15"/>
  <c r="AZ6" i="15"/>
  <c r="BA6" i="15"/>
  <c r="D7" i="15"/>
  <c r="AT7" i="15"/>
  <c r="AU7" i="15"/>
  <c r="AV7" i="15"/>
  <c r="D8" i="15"/>
  <c r="AT8" i="15"/>
  <c r="AU8" i="15"/>
  <c r="AV8" i="15"/>
  <c r="AW8" i="15"/>
  <c r="AX8" i="15"/>
  <c r="AY8" i="15"/>
  <c r="AZ8" i="15"/>
  <c r="BA8" i="15"/>
  <c r="D9" i="15"/>
  <c r="AW9" i="15" s="1"/>
  <c r="AT9" i="15"/>
  <c r="AU9" i="15"/>
  <c r="AV9" i="15"/>
  <c r="AZ9" i="15"/>
  <c r="D10" i="15"/>
  <c r="AW10" i="15" s="1"/>
  <c r="AT10" i="15"/>
  <c r="AU10" i="15"/>
  <c r="AV10" i="15"/>
  <c r="AZ10" i="15"/>
  <c r="D11" i="15"/>
  <c r="AT11" i="15"/>
  <c r="AU11" i="15"/>
  <c r="AV11" i="15"/>
  <c r="AW11" i="15"/>
  <c r="AX11" i="15"/>
  <c r="D12" i="15"/>
  <c r="AW12" i="15" s="1"/>
  <c r="AT12" i="15"/>
  <c r="AU12" i="15"/>
  <c r="AV12" i="15"/>
  <c r="AX12" i="15"/>
  <c r="D13" i="15"/>
  <c r="AT13" i="15"/>
  <c r="AU13" i="15"/>
  <c r="AV13" i="15"/>
  <c r="D14" i="15"/>
  <c r="AX14" i="15" s="1"/>
  <c r="AT14" i="15"/>
  <c r="AU14" i="15"/>
  <c r="AV14" i="15"/>
  <c r="AW14" i="15"/>
  <c r="AY14" i="15"/>
  <c r="AZ14" i="15"/>
  <c r="BA14" i="15"/>
  <c r="D15" i="15"/>
  <c r="AT15" i="15"/>
  <c r="AU15" i="15"/>
  <c r="AV15" i="15"/>
  <c r="AW15" i="15"/>
  <c r="AX15" i="15"/>
  <c r="AY15" i="15"/>
  <c r="AZ15" i="15"/>
  <c r="BA15" i="15"/>
  <c r="D16" i="15"/>
  <c r="AT16" i="15"/>
  <c r="AU16" i="15"/>
  <c r="AV16" i="15"/>
  <c r="D17" i="15"/>
  <c r="AY17" i="15" s="1"/>
  <c r="AT17" i="15"/>
  <c r="AU17" i="15"/>
  <c r="AV17" i="15"/>
  <c r="AW17" i="15"/>
  <c r="D18" i="15"/>
  <c r="AT18" i="15"/>
  <c r="AU18" i="15"/>
  <c r="AV18" i="15"/>
  <c r="D19" i="15"/>
  <c r="AT19" i="15"/>
  <c r="AU19" i="15"/>
  <c r="AV19" i="15"/>
  <c r="AW19" i="15"/>
  <c r="AX19" i="15"/>
  <c r="AY19" i="15"/>
  <c r="AZ19" i="15"/>
  <c r="BA19" i="15"/>
  <c r="D20" i="15"/>
  <c r="AT20" i="15"/>
  <c r="AU20" i="15"/>
  <c r="AV20" i="15"/>
  <c r="AW20" i="15"/>
  <c r="D21" i="15"/>
  <c r="AY21" i="15" s="1"/>
  <c r="AT21" i="15"/>
  <c r="AU21" i="15"/>
  <c r="AV21" i="15"/>
  <c r="AW21" i="15"/>
  <c r="AX21" i="15"/>
  <c r="AZ21" i="15"/>
  <c r="BA21" i="15"/>
  <c r="D22" i="15"/>
  <c r="AZ22" i="15" s="1"/>
  <c r="AT22" i="15"/>
  <c r="AU22" i="15"/>
  <c r="AV22" i="15"/>
  <c r="AW22" i="15"/>
  <c r="AX22" i="15"/>
  <c r="AY22" i="15"/>
  <c r="D23" i="15"/>
  <c r="AW23" i="15" s="1"/>
  <c r="AT23" i="15"/>
  <c r="AU23" i="15"/>
  <c r="AV23" i="15"/>
  <c r="AX23" i="15"/>
  <c r="AY23" i="15"/>
  <c r="AZ23" i="15"/>
  <c r="BA23" i="15"/>
  <c r="D24" i="15"/>
  <c r="AX24" i="15" s="1"/>
  <c r="AT24" i="15"/>
  <c r="AU24" i="15"/>
  <c r="AV24" i="15"/>
  <c r="AW24" i="15"/>
  <c r="AY24" i="15"/>
  <c r="AZ24" i="15"/>
  <c r="BA24" i="15"/>
  <c r="D25" i="15"/>
  <c r="AT25" i="15"/>
  <c r="AU25" i="15"/>
  <c r="AV25" i="15"/>
  <c r="AW25" i="15"/>
  <c r="AX25" i="15"/>
  <c r="AY25" i="15"/>
  <c r="AZ25" i="15"/>
  <c r="BA25" i="15"/>
  <c r="D26" i="15"/>
  <c r="AT26" i="15"/>
  <c r="AU26" i="15"/>
  <c r="AV26" i="15"/>
  <c r="AW26" i="15"/>
  <c r="AX26" i="15"/>
  <c r="AY26" i="15"/>
  <c r="AZ26" i="15"/>
  <c r="BA26" i="15"/>
  <c r="D27" i="15"/>
  <c r="AT27" i="15"/>
  <c r="AU27" i="15"/>
  <c r="AV27" i="15"/>
  <c r="D28" i="15"/>
  <c r="AT28" i="15"/>
  <c r="AU28" i="15"/>
  <c r="AV28" i="15"/>
  <c r="AW28" i="15"/>
  <c r="AX28" i="15"/>
  <c r="AY28" i="15"/>
  <c r="AZ28" i="15"/>
  <c r="BA28" i="15"/>
  <c r="D29" i="15"/>
  <c r="AW29" i="15" s="1"/>
  <c r="AT29" i="15"/>
  <c r="AU29" i="15"/>
  <c r="AV29" i="15"/>
  <c r="AZ29" i="15"/>
  <c r="D30" i="15"/>
  <c r="AT30" i="15"/>
  <c r="AU30" i="15"/>
  <c r="AV30" i="15"/>
  <c r="D31" i="15"/>
  <c r="AW31" i="15" s="1"/>
  <c r="AT31" i="15"/>
  <c r="AU31" i="15"/>
  <c r="AV31" i="15"/>
  <c r="AX31" i="15"/>
  <c r="D32" i="15"/>
  <c r="AX32" i="15" s="1"/>
  <c r="AT32" i="15"/>
  <c r="AU32" i="15"/>
  <c r="AV32" i="15"/>
  <c r="D33" i="15"/>
  <c r="AT33" i="15"/>
  <c r="AU33" i="15"/>
  <c r="AV33" i="15"/>
  <c r="AZ33" i="15"/>
  <c r="D34" i="15"/>
  <c r="AX34" i="15" s="1"/>
  <c r="AT34" i="15"/>
  <c r="AU34" i="15"/>
  <c r="AV34" i="15"/>
  <c r="AW34" i="15"/>
  <c r="AY34" i="15"/>
  <c r="AZ34" i="15"/>
  <c r="BA34" i="15"/>
  <c r="D35" i="15"/>
  <c r="AT35" i="15"/>
  <c r="AU35" i="15"/>
  <c r="AV35" i="15"/>
  <c r="AW35" i="15"/>
  <c r="AX35" i="15"/>
  <c r="AY35" i="15"/>
  <c r="AZ35" i="15"/>
  <c r="BA35" i="15"/>
  <c r="D36" i="15"/>
  <c r="AT36" i="15"/>
  <c r="AU36" i="15"/>
  <c r="AV36" i="15"/>
  <c r="D37" i="15"/>
  <c r="AT37" i="15"/>
  <c r="AU37" i="15"/>
  <c r="AV37" i="15"/>
  <c r="AW37" i="15"/>
  <c r="AY37" i="15"/>
  <c r="AZ37" i="15"/>
  <c r="D38" i="15"/>
  <c r="AT38" i="15"/>
  <c r="AU38" i="15"/>
  <c r="AV38" i="15"/>
  <c r="AY38" i="15"/>
  <c r="BA38" i="15"/>
  <c r="D39" i="15"/>
  <c r="AT39" i="15"/>
  <c r="AU39" i="15"/>
  <c r="AV39" i="15"/>
  <c r="AW39" i="15"/>
  <c r="AX39" i="15"/>
  <c r="AY39" i="15"/>
  <c r="AZ39" i="15"/>
  <c r="BA39" i="15"/>
  <c r="D40" i="15"/>
  <c r="AT40" i="15"/>
  <c r="AU40" i="15"/>
  <c r="AV40" i="15"/>
  <c r="AW40" i="15"/>
  <c r="BA40" i="15"/>
  <c r="D41" i="15"/>
  <c r="AY41" i="15" s="1"/>
  <c r="AT41" i="15"/>
  <c r="AU41" i="15"/>
  <c r="AV41" i="15"/>
  <c r="AW41" i="15"/>
  <c r="AX41" i="15"/>
  <c r="AZ41" i="15"/>
  <c r="BA41" i="15"/>
  <c r="D42" i="15"/>
  <c r="AZ42" i="15" s="1"/>
  <c r="AT42" i="15"/>
  <c r="AU42" i="15"/>
  <c r="AV42" i="15"/>
  <c r="AW42" i="15"/>
  <c r="AX42" i="15"/>
  <c r="AY42" i="15"/>
  <c r="D43" i="15"/>
  <c r="AW43" i="15" s="1"/>
  <c r="AT43" i="15"/>
  <c r="AU43" i="15"/>
  <c r="AV43" i="15"/>
  <c r="AX43" i="15"/>
  <c r="AY43" i="15"/>
  <c r="AZ43" i="15"/>
  <c r="D44" i="15"/>
  <c r="AT44" i="15"/>
  <c r="AU44" i="15"/>
  <c r="AV44" i="15"/>
  <c r="D45" i="15"/>
  <c r="AY45" i="15" s="1"/>
  <c r="AT45" i="15"/>
  <c r="AU45" i="15"/>
  <c r="AV45" i="15"/>
  <c r="AW45" i="15"/>
  <c r="AX45" i="15"/>
  <c r="AZ45" i="15"/>
  <c r="BA45" i="15"/>
  <c r="D46" i="15"/>
  <c r="AT46" i="15"/>
  <c r="AU46" i="15"/>
  <c r="AV46" i="15"/>
  <c r="AW46" i="15"/>
  <c r="AX46" i="15"/>
  <c r="AY46" i="15"/>
  <c r="AZ46" i="15"/>
  <c r="BA46" i="15"/>
  <c r="D47" i="15"/>
  <c r="AT47" i="15"/>
  <c r="AU47" i="15"/>
  <c r="AV47" i="15"/>
  <c r="D48" i="15"/>
  <c r="AT48" i="15"/>
  <c r="AU48" i="15"/>
  <c r="AV48" i="15"/>
  <c r="AW48" i="15"/>
  <c r="AX48" i="15"/>
  <c r="AY48" i="15"/>
  <c r="AZ48" i="15"/>
  <c r="BA48" i="15"/>
  <c r="D49" i="15"/>
  <c r="AT49" i="15"/>
  <c r="AU49" i="15"/>
  <c r="AV49" i="15"/>
  <c r="AZ49" i="15"/>
  <c r="D50" i="15"/>
  <c r="AT50" i="15"/>
  <c r="AU50" i="15"/>
  <c r="AV50" i="15"/>
  <c r="D51" i="15"/>
  <c r="AT51" i="15"/>
  <c r="AU51" i="15"/>
  <c r="AV51" i="15"/>
  <c r="AW51" i="15"/>
  <c r="AX51" i="15"/>
  <c r="D52" i="15"/>
  <c r="BA52" i="15" s="1"/>
  <c r="AT52" i="15"/>
  <c r="AU52" i="15"/>
  <c r="AV52" i="15"/>
  <c r="AX52" i="15"/>
  <c r="D2" i="16"/>
  <c r="BA2" i="16" s="1"/>
  <c r="AT2" i="16"/>
  <c r="AU2" i="16"/>
  <c r="AV2" i="16"/>
  <c r="D3" i="16"/>
  <c r="AX3" i="16" s="1"/>
  <c r="AT3" i="16"/>
  <c r="AU3" i="16"/>
  <c r="AV3" i="16"/>
  <c r="AW3" i="16"/>
  <c r="AY3" i="16"/>
  <c r="AZ3" i="16"/>
  <c r="BA3" i="16"/>
  <c r="D4" i="16"/>
  <c r="AT4" i="16"/>
  <c r="AU4" i="16"/>
  <c r="AV4" i="16"/>
  <c r="AW4" i="16"/>
  <c r="AX4" i="16"/>
  <c r="AY4" i="16"/>
  <c r="AZ4" i="16"/>
  <c r="BA4" i="16"/>
  <c r="D5" i="16"/>
  <c r="AT5" i="16"/>
  <c r="AU5" i="16"/>
  <c r="AV5" i="16"/>
  <c r="AW5" i="16"/>
  <c r="AY5" i="16"/>
  <c r="D6" i="16"/>
  <c r="AT6" i="16"/>
  <c r="AU6" i="16"/>
  <c r="AV6" i="16"/>
  <c r="AW6" i="16"/>
  <c r="AX6" i="16"/>
  <c r="AY6" i="16"/>
  <c r="AZ6" i="16"/>
  <c r="BA6" i="16"/>
  <c r="D7" i="16"/>
  <c r="AT7" i="16"/>
  <c r="AU7" i="16"/>
  <c r="AV7" i="16"/>
  <c r="D8" i="16"/>
  <c r="AT8" i="16"/>
  <c r="AU8" i="16"/>
  <c r="AV8" i="16"/>
  <c r="AW8" i="16"/>
  <c r="AX8" i="16"/>
  <c r="AY8" i="16"/>
  <c r="AZ8" i="16"/>
  <c r="BA8" i="16"/>
  <c r="D9" i="16"/>
  <c r="AT9" i="16"/>
  <c r="AU9" i="16"/>
  <c r="AV9" i="16"/>
  <c r="BA9" i="16"/>
  <c r="D10" i="16"/>
  <c r="AY10" i="16" s="1"/>
  <c r="AT10" i="16"/>
  <c r="AU10" i="16"/>
  <c r="AV10" i="16"/>
  <c r="AW10" i="16"/>
  <c r="AX10" i="16"/>
  <c r="AZ10" i="16"/>
  <c r="BA10" i="16"/>
  <c r="D11" i="16"/>
  <c r="AW11" i="16" s="1"/>
  <c r="AT11" i="16"/>
  <c r="AU11" i="16"/>
  <c r="AV11" i="16"/>
  <c r="AX11" i="16"/>
  <c r="AY11" i="16"/>
  <c r="D12" i="16"/>
  <c r="AW12" i="16" s="1"/>
  <c r="AT12" i="16"/>
  <c r="AU12" i="16"/>
  <c r="AV12" i="16"/>
  <c r="AX12" i="16"/>
  <c r="AY12" i="16"/>
  <c r="AZ12" i="16"/>
  <c r="D13" i="16"/>
  <c r="W13" i="16"/>
  <c r="X13" i="16"/>
  <c r="AT13" i="16"/>
  <c r="AU13" i="16"/>
  <c r="AV13" i="16"/>
  <c r="AW13" i="16"/>
  <c r="AX13" i="16"/>
  <c r="AY13" i="16"/>
  <c r="D14" i="16"/>
  <c r="AY14" i="16" s="1"/>
  <c r="W14" i="16"/>
  <c r="X14" i="16"/>
  <c r="AT14" i="16"/>
  <c r="AU14" i="16"/>
  <c r="AV14" i="16"/>
  <c r="AW14" i="16"/>
  <c r="AX14" i="16"/>
  <c r="AZ14" i="16"/>
  <c r="BA14" i="16"/>
  <c r="D15" i="16"/>
  <c r="AT15" i="16"/>
  <c r="AU15" i="16"/>
  <c r="AV15" i="16"/>
  <c r="AW15" i="16"/>
  <c r="AX15" i="16"/>
  <c r="AY15" i="16"/>
  <c r="D16" i="16"/>
  <c r="AW16" i="16" s="1"/>
  <c r="AT16" i="16"/>
  <c r="AU16" i="16"/>
  <c r="AV16" i="16"/>
  <c r="AX16" i="16"/>
  <c r="AY16" i="16"/>
  <c r="AZ16" i="16"/>
  <c r="D17" i="16"/>
  <c r="AY17" i="16" s="1"/>
  <c r="AT17" i="16"/>
  <c r="AU17" i="16"/>
  <c r="AV17" i="16"/>
  <c r="AW17" i="16"/>
  <c r="AX17" i="16"/>
  <c r="D18" i="16"/>
  <c r="AT18" i="16"/>
  <c r="AU18" i="16"/>
  <c r="AV18" i="16"/>
  <c r="AW18" i="16"/>
  <c r="AX18" i="16"/>
  <c r="AY18" i="16"/>
  <c r="AZ18" i="16"/>
  <c r="BA18" i="16"/>
  <c r="D19" i="16"/>
  <c r="AT19" i="16"/>
  <c r="AU19" i="16"/>
  <c r="AV19" i="16"/>
  <c r="AW19" i="16"/>
  <c r="AX19" i="16"/>
  <c r="AY19" i="16"/>
  <c r="AZ19" i="16"/>
  <c r="BA19" i="16"/>
  <c r="D20" i="16"/>
  <c r="AT20" i="16"/>
  <c r="AU20" i="16"/>
  <c r="AV20" i="16"/>
  <c r="AX20" i="16"/>
  <c r="AZ20" i="16"/>
  <c r="D21" i="16"/>
  <c r="AT21" i="16"/>
  <c r="AU21" i="16"/>
  <c r="AV21" i="16"/>
  <c r="AW21" i="16"/>
  <c r="AX21" i="16"/>
  <c r="AY21" i="16"/>
  <c r="AZ21" i="16"/>
  <c r="BA21" i="16"/>
  <c r="D22" i="16"/>
  <c r="AT22" i="16"/>
  <c r="AU22" i="16"/>
  <c r="AV22" i="16"/>
  <c r="D23" i="16"/>
  <c r="AX23" i="16" s="1"/>
  <c r="AT23" i="16"/>
  <c r="AU23" i="16"/>
  <c r="AV23" i="16"/>
  <c r="AW23" i="16"/>
  <c r="AY23" i="16"/>
  <c r="AZ23" i="16"/>
  <c r="BA23" i="16"/>
  <c r="D24" i="16"/>
  <c r="AT24" i="16"/>
  <c r="AU24" i="16"/>
  <c r="AV24" i="16"/>
  <c r="AW24" i="16"/>
  <c r="AX24" i="16"/>
  <c r="D25" i="16"/>
  <c r="AT25" i="16"/>
  <c r="AU25" i="16"/>
  <c r="AV25" i="16"/>
  <c r="AX25" i="16"/>
  <c r="D26" i="16"/>
  <c r="BA26" i="16" s="1"/>
  <c r="AT26" i="16"/>
  <c r="AU26" i="16"/>
  <c r="AV26" i="16"/>
  <c r="AX26" i="16"/>
  <c r="AY26" i="16"/>
  <c r="AZ26" i="16"/>
  <c r="D27" i="16"/>
  <c r="AX27" i="16" s="1"/>
  <c r="AT27" i="16"/>
  <c r="AU27" i="16"/>
  <c r="AV27" i="16"/>
  <c r="AW27" i="16"/>
  <c r="AY27" i="16"/>
  <c r="AZ27" i="16"/>
  <c r="BA27" i="16"/>
  <c r="D28" i="16"/>
  <c r="AT28" i="16"/>
  <c r="AU28" i="16"/>
  <c r="AV28" i="16"/>
  <c r="AW28" i="16"/>
  <c r="AX28" i="16"/>
  <c r="AY28" i="16"/>
  <c r="AZ28" i="16"/>
  <c r="BA28" i="16"/>
  <c r="D29" i="16"/>
  <c r="AW29" i="16" s="1"/>
  <c r="AT29" i="16"/>
  <c r="AU29" i="16"/>
  <c r="AV29" i="16"/>
  <c r="AY29" i="16"/>
  <c r="D30" i="16"/>
  <c r="AX30" i="16" s="1"/>
  <c r="AT30" i="16"/>
  <c r="AU30" i="16"/>
  <c r="AV30" i="16"/>
  <c r="AY30" i="16"/>
  <c r="D31" i="16"/>
  <c r="AY31" i="16" s="1"/>
  <c r="AT31" i="16"/>
  <c r="AU31" i="16"/>
  <c r="AV31" i="16"/>
  <c r="BA31" i="16"/>
  <c r="D32" i="16"/>
  <c r="AT32" i="16"/>
  <c r="AU32" i="16"/>
  <c r="AV32" i="16"/>
  <c r="AW32" i="16"/>
  <c r="AX32" i="16"/>
  <c r="AY32" i="16"/>
  <c r="AZ32" i="16"/>
  <c r="BA32" i="16"/>
  <c r="D33" i="16"/>
  <c r="AT33" i="16"/>
  <c r="AU33" i="16"/>
  <c r="AV33" i="16"/>
  <c r="D34" i="16"/>
  <c r="AY34" i="16" s="1"/>
  <c r="AT34" i="16"/>
  <c r="AU34" i="16"/>
  <c r="AV34" i="16"/>
  <c r="AW34" i="16"/>
  <c r="AX34" i="16"/>
  <c r="AZ34" i="16"/>
  <c r="BA34" i="16"/>
  <c r="D35" i="16"/>
  <c r="AW35" i="16" s="1"/>
  <c r="AT35" i="16"/>
  <c r="AU35" i="16"/>
  <c r="AV35" i="16"/>
  <c r="AX35" i="16"/>
  <c r="AY35" i="16"/>
  <c r="D36" i="16"/>
  <c r="AW36" i="16" s="1"/>
  <c r="AT36" i="16"/>
  <c r="AU36" i="16"/>
  <c r="AV36" i="16"/>
  <c r="AX36" i="16"/>
  <c r="AY36" i="16"/>
  <c r="AZ36" i="16"/>
  <c r="D37" i="16"/>
  <c r="AT37" i="16"/>
  <c r="AU37" i="16"/>
  <c r="AV37" i="16"/>
  <c r="AW37" i="16"/>
  <c r="AX37" i="16"/>
  <c r="AY37" i="16"/>
  <c r="AZ37" i="16"/>
  <c r="BA37" i="16"/>
  <c r="D38" i="16"/>
  <c r="AT38" i="16"/>
  <c r="AU38" i="16"/>
  <c r="AV38" i="16"/>
  <c r="AW38" i="16"/>
  <c r="AX38" i="16"/>
  <c r="AY38" i="16"/>
  <c r="AZ38" i="16"/>
  <c r="BA38" i="16"/>
  <c r="D39" i="16"/>
  <c r="AZ39" i="16" s="1"/>
  <c r="AT39" i="16"/>
  <c r="AU39" i="16"/>
  <c r="AV39" i="16"/>
  <c r="AW39" i="16"/>
  <c r="AX39" i="16"/>
  <c r="AY39" i="16"/>
  <c r="BA39" i="16"/>
  <c r="D40" i="16"/>
  <c r="AX40" i="16" s="1"/>
  <c r="AT40" i="16"/>
  <c r="AU40" i="16"/>
  <c r="AV40" i="16"/>
  <c r="D41" i="16"/>
  <c r="AT41" i="16"/>
  <c r="AU41" i="16"/>
  <c r="AV41" i="16"/>
  <c r="AW41" i="16"/>
  <c r="AX41" i="16"/>
  <c r="AY41" i="16"/>
  <c r="AZ41" i="16"/>
  <c r="BA41" i="16"/>
  <c r="D42" i="16"/>
  <c r="AZ42" i="16" s="1"/>
  <c r="AT42" i="16"/>
  <c r="AU42" i="16"/>
  <c r="AV42" i="16"/>
  <c r="D43" i="16"/>
  <c r="AX43" i="16" s="1"/>
  <c r="AT43" i="16"/>
  <c r="AU43" i="16"/>
  <c r="AV43" i="16"/>
  <c r="AZ43" i="16"/>
  <c r="BA43" i="16"/>
  <c r="D44" i="16"/>
  <c r="AT44" i="16"/>
  <c r="AU44" i="16"/>
  <c r="AV44" i="16"/>
  <c r="AW44" i="16"/>
  <c r="AX44" i="16"/>
  <c r="D45" i="16"/>
  <c r="AZ45" i="16" s="1"/>
  <c r="AT45" i="16"/>
  <c r="AU45" i="16"/>
  <c r="AV45" i="16"/>
  <c r="AW45" i="16"/>
  <c r="AX45" i="16"/>
  <c r="AY45" i="16"/>
  <c r="BA45" i="16"/>
  <c r="D46" i="16"/>
  <c r="BA46" i="16" s="1"/>
  <c r="AT46" i="16"/>
  <c r="AU46" i="16"/>
  <c r="AV46" i="16"/>
  <c r="AW46" i="16"/>
  <c r="AX46" i="16"/>
  <c r="D47" i="16"/>
  <c r="AX47" i="16" s="1"/>
  <c r="AT47" i="16"/>
  <c r="AU47" i="16"/>
  <c r="AV47" i="16"/>
  <c r="AW47" i="16"/>
  <c r="AY47" i="16"/>
  <c r="AZ47" i="16"/>
  <c r="BA47" i="16"/>
  <c r="D48" i="16"/>
  <c r="AT48" i="16"/>
  <c r="AU48" i="16"/>
  <c r="AV48" i="16"/>
  <c r="AW48" i="16"/>
  <c r="AX48" i="16"/>
  <c r="AY48" i="16"/>
  <c r="AZ48" i="16"/>
  <c r="BA48" i="16"/>
  <c r="D49" i="16"/>
  <c r="AT49" i="16"/>
  <c r="AU49" i="16"/>
  <c r="AV49" i="16"/>
  <c r="D50" i="16"/>
  <c r="AT50" i="16"/>
  <c r="AU50" i="16"/>
  <c r="AV50" i="16"/>
  <c r="AW50" i="16"/>
  <c r="AX50" i="16"/>
  <c r="AY50" i="16"/>
  <c r="AZ50" i="16"/>
  <c r="BA50" i="16"/>
  <c r="D51" i="16"/>
  <c r="AT51" i="16"/>
  <c r="AU51" i="16"/>
  <c r="AV51" i="16"/>
  <c r="AY51" i="16"/>
  <c r="D52" i="16"/>
  <c r="AT52" i="16"/>
  <c r="AU52" i="16"/>
  <c r="AV52" i="16"/>
  <c r="AW52" i="16"/>
  <c r="AX52" i="16"/>
  <c r="AY52" i="16"/>
  <c r="AZ52" i="16"/>
  <c r="BA52" i="16"/>
  <c r="AT2" i="18"/>
  <c r="AU2" i="18"/>
  <c r="AV2" i="18"/>
  <c r="AW2" i="18"/>
  <c r="AX2" i="18"/>
  <c r="AY2" i="18"/>
  <c r="AZ2" i="18"/>
  <c r="BA2" i="18"/>
  <c r="AT3" i="18"/>
  <c r="AU3" i="18"/>
  <c r="AV3" i="18"/>
  <c r="AW3" i="18"/>
  <c r="AX3" i="18"/>
  <c r="AY3" i="18"/>
  <c r="AZ3" i="18"/>
  <c r="BA3" i="18"/>
  <c r="AT4" i="18"/>
  <c r="AU4" i="18"/>
  <c r="AV4" i="18"/>
  <c r="AW4" i="18"/>
  <c r="AX4" i="18"/>
  <c r="AY4" i="18"/>
  <c r="AZ4" i="18"/>
  <c r="BA4" i="18"/>
  <c r="AT5" i="18"/>
  <c r="AU5" i="18"/>
  <c r="AV5" i="18"/>
  <c r="AW5" i="18"/>
  <c r="AX5" i="18"/>
  <c r="AY5" i="18"/>
  <c r="AZ5" i="18"/>
  <c r="BA5" i="18"/>
  <c r="AT6" i="18"/>
  <c r="AU6" i="18"/>
  <c r="AV6" i="18"/>
  <c r="AW6" i="18"/>
  <c r="AX6" i="18"/>
  <c r="AY6" i="18"/>
  <c r="AZ6" i="18"/>
  <c r="BA6" i="18"/>
  <c r="AT7" i="18"/>
  <c r="AU7" i="18"/>
  <c r="AV7" i="18"/>
  <c r="AW7" i="18"/>
  <c r="AX7" i="18"/>
  <c r="AY7" i="18"/>
  <c r="AZ7" i="18"/>
  <c r="BA7" i="18"/>
  <c r="AT8" i="18"/>
  <c r="AU8" i="18"/>
  <c r="AV8" i="18"/>
  <c r="AW8" i="18"/>
  <c r="AX8" i="18"/>
  <c r="AY8" i="18"/>
  <c r="AZ8" i="18"/>
  <c r="BA8" i="18"/>
  <c r="AT9" i="18"/>
  <c r="AU9" i="18"/>
  <c r="AV9" i="18"/>
  <c r="AW9" i="18"/>
  <c r="AX9" i="18"/>
  <c r="AY9" i="18"/>
  <c r="AZ9" i="18"/>
  <c r="BA9" i="18"/>
  <c r="AT10" i="18"/>
  <c r="AU10" i="18"/>
  <c r="AV10" i="18"/>
  <c r="AW10" i="18"/>
  <c r="AX10" i="18"/>
  <c r="AY10" i="18"/>
  <c r="AZ10" i="18"/>
  <c r="BA10" i="18"/>
  <c r="AT11" i="18"/>
  <c r="AU11" i="18"/>
  <c r="AV11" i="18"/>
  <c r="AW11" i="18"/>
  <c r="AX11" i="18"/>
  <c r="AY11" i="18"/>
  <c r="AZ11" i="18"/>
  <c r="BA11" i="18"/>
  <c r="AT12" i="18"/>
  <c r="AU12" i="18"/>
  <c r="AV12" i="18"/>
  <c r="AW12" i="18"/>
  <c r="AX12" i="18"/>
  <c r="AY12" i="18"/>
  <c r="AZ12" i="18"/>
  <c r="BA12" i="18"/>
  <c r="AT13" i="18"/>
  <c r="AU13" i="18"/>
  <c r="AV13" i="18"/>
  <c r="AW13" i="18"/>
  <c r="AX13" i="18"/>
  <c r="AY13" i="18"/>
  <c r="AZ13" i="18"/>
  <c r="BA13" i="18"/>
  <c r="AT14" i="18"/>
  <c r="AU14" i="18"/>
  <c r="AV14" i="18"/>
  <c r="AW14" i="18"/>
  <c r="AX14" i="18"/>
  <c r="AY14" i="18"/>
  <c r="AZ14" i="18"/>
  <c r="BA14" i="18"/>
  <c r="AT15" i="18"/>
  <c r="AU15" i="18"/>
  <c r="AV15" i="18"/>
  <c r="AW15" i="18"/>
  <c r="AX15" i="18"/>
  <c r="AY15" i="18"/>
  <c r="AZ15" i="18"/>
  <c r="BA15" i="18"/>
  <c r="AT16" i="18"/>
  <c r="AU16" i="18"/>
  <c r="AW16" i="18"/>
  <c r="AX16" i="18"/>
  <c r="AY16" i="18"/>
  <c r="BA16" i="18"/>
  <c r="AT17" i="18"/>
  <c r="AU17" i="18"/>
  <c r="AV17" i="18"/>
  <c r="AW17" i="18"/>
  <c r="AX17" i="18"/>
  <c r="AY17" i="18"/>
  <c r="AZ17" i="18"/>
  <c r="BA17" i="18"/>
  <c r="AT18" i="18"/>
  <c r="AU18" i="18"/>
  <c r="AV18" i="18"/>
  <c r="AW18" i="18"/>
  <c r="AX18" i="18"/>
  <c r="AY18" i="18"/>
  <c r="AZ18" i="18"/>
  <c r="BA18" i="18"/>
  <c r="AT19" i="18"/>
  <c r="AU19" i="18"/>
  <c r="AV19" i="18"/>
  <c r="AW19" i="18"/>
  <c r="AX19" i="18"/>
  <c r="AY19" i="18"/>
  <c r="AZ19" i="18"/>
  <c r="BA19" i="18"/>
  <c r="AT20" i="18"/>
  <c r="AU20" i="18"/>
  <c r="AV20" i="18"/>
  <c r="AW20" i="18"/>
  <c r="AX20" i="18"/>
  <c r="AY20" i="18"/>
  <c r="AZ20" i="18"/>
  <c r="BA20" i="18"/>
  <c r="AT21" i="18"/>
  <c r="AU21" i="18"/>
  <c r="AV21" i="18"/>
  <c r="AW21" i="18"/>
  <c r="AX21" i="18"/>
  <c r="AY21" i="18"/>
  <c r="AZ21" i="18"/>
  <c r="BA21" i="18"/>
  <c r="AT22" i="18"/>
  <c r="AU22" i="18"/>
  <c r="AV22" i="18"/>
  <c r="AW22" i="18"/>
  <c r="AX22" i="18"/>
  <c r="AY22" i="18"/>
  <c r="AZ22" i="18"/>
  <c r="BA22" i="18"/>
  <c r="AT23" i="18"/>
  <c r="AU23" i="18"/>
  <c r="AV23" i="18"/>
  <c r="AW23" i="18"/>
  <c r="AX23" i="18"/>
  <c r="AY23" i="18"/>
  <c r="AZ23" i="18"/>
  <c r="BA23" i="18"/>
  <c r="AT24" i="18"/>
  <c r="AU24" i="18"/>
  <c r="AV24" i="18"/>
  <c r="AW24" i="18"/>
  <c r="AX24" i="18"/>
  <c r="AY24" i="18"/>
  <c r="AZ24" i="18"/>
  <c r="BA24" i="18"/>
  <c r="AT25" i="18"/>
  <c r="AU25" i="18"/>
  <c r="AV25" i="18"/>
  <c r="AW25" i="18"/>
  <c r="AX25" i="18"/>
  <c r="AY25" i="18"/>
  <c r="AZ25" i="18"/>
  <c r="BA25" i="18"/>
  <c r="AT26" i="18"/>
  <c r="AU26" i="18"/>
  <c r="AV26" i="18"/>
  <c r="AW26" i="18"/>
  <c r="AX26" i="18"/>
  <c r="AY26" i="18"/>
  <c r="AZ26" i="18"/>
  <c r="BA26" i="18"/>
  <c r="AT27" i="18"/>
  <c r="AU27" i="18"/>
  <c r="AV27" i="18"/>
  <c r="AW27" i="18"/>
  <c r="AX27" i="18"/>
  <c r="AY27" i="18"/>
  <c r="AZ27" i="18"/>
  <c r="BA27" i="18"/>
  <c r="AT28" i="18"/>
  <c r="AU28" i="18"/>
  <c r="AV28" i="18"/>
  <c r="AW28" i="18"/>
  <c r="AX28" i="18"/>
  <c r="AY28" i="18"/>
  <c r="AZ28" i="18"/>
  <c r="BA28" i="18"/>
  <c r="AT29" i="18"/>
  <c r="AU29" i="18"/>
  <c r="AV29" i="18"/>
  <c r="AW29" i="18"/>
  <c r="AX29" i="18"/>
  <c r="AY29" i="18"/>
  <c r="AZ29" i="18"/>
  <c r="BA29" i="18"/>
  <c r="AT30" i="18"/>
  <c r="AU30" i="18"/>
  <c r="AV30" i="18"/>
  <c r="AW30" i="18"/>
  <c r="AX30" i="18"/>
  <c r="AY30" i="18"/>
  <c r="AZ30" i="18"/>
  <c r="BA30" i="18"/>
  <c r="AT31" i="18"/>
  <c r="AU31" i="18"/>
  <c r="AV31" i="18"/>
  <c r="AW31" i="18"/>
  <c r="AX31" i="18"/>
  <c r="AY31" i="18"/>
  <c r="AZ31" i="18"/>
  <c r="BA31" i="18"/>
  <c r="AT32" i="18"/>
  <c r="AU32" i="18"/>
  <c r="AV32" i="18"/>
  <c r="AW32" i="18"/>
  <c r="AX32" i="18"/>
  <c r="AY32" i="18"/>
  <c r="AZ32" i="18"/>
  <c r="BA32" i="18"/>
  <c r="AT33" i="18"/>
  <c r="AU33" i="18"/>
  <c r="AV33" i="18"/>
  <c r="AW33" i="18"/>
  <c r="AX33" i="18"/>
  <c r="AY33" i="18"/>
  <c r="AZ33" i="18"/>
  <c r="BA33" i="18"/>
  <c r="AT34" i="18"/>
  <c r="AU34" i="18"/>
  <c r="AV34" i="18"/>
  <c r="AW34" i="18"/>
  <c r="AX34" i="18"/>
  <c r="AY34" i="18"/>
  <c r="AZ34" i="18"/>
  <c r="BA34" i="18"/>
  <c r="AT35" i="18"/>
  <c r="AU35" i="18"/>
  <c r="AV35" i="18"/>
  <c r="AW35" i="18"/>
  <c r="AX35" i="18"/>
  <c r="AY35" i="18"/>
  <c r="AZ35" i="18"/>
  <c r="BA35" i="18"/>
  <c r="AT36" i="18"/>
  <c r="AU36" i="18"/>
  <c r="AV36" i="18"/>
  <c r="AW36" i="18"/>
  <c r="AX36" i="18"/>
  <c r="AY36" i="18"/>
  <c r="AZ36" i="18"/>
  <c r="BA36" i="18"/>
  <c r="AT37" i="18"/>
  <c r="AU37" i="18"/>
  <c r="AV37" i="18"/>
  <c r="AW37" i="18"/>
  <c r="AX37" i="18"/>
  <c r="AY37" i="18"/>
  <c r="AZ37" i="18"/>
  <c r="BA37" i="18"/>
  <c r="AT38" i="18"/>
  <c r="AU38" i="18"/>
  <c r="AV38" i="18"/>
  <c r="AW38" i="18"/>
  <c r="AX38" i="18"/>
  <c r="AY38" i="18"/>
  <c r="AZ38" i="18"/>
  <c r="BA38" i="18"/>
  <c r="AT39" i="18"/>
  <c r="AU39" i="18"/>
  <c r="AV39" i="18"/>
  <c r="AW39" i="18"/>
  <c r="AX39" i="18"/>
  <c r="AY39" i="18"/>
  <c r="AZ39" i="18"/>
  <c r="BA39" i="18"/>
  <c r="AT40" i="18"/>
  <c r="AU40" i="18"/>
  <c r="AV40" i="18"/>
  <c r="AW40" i="18"/>
  <c r="AX40" i="18"/>
  <c r="AY40" i="18"/>
  <c r="AZ40" i="18"/>
  <c r="BA40" i="18"/>
  <c r="AU41" i="18"/>
  <c r="AV41" i="18"/>
  <c r="AW41" i="18"/>
  <c r="AX41" i="18"/>
  <c r="AY41" i="18"/>
  <c r="AZ41" i="18"/>
  <c r="BA41" i="18"/>
  <c r="AU42" i="18"/>
  <c r="AV42" i="18"/>
  <c r="AW42" i="18"/>
  <c r="AX42" i="18"/>
  <c r="AY42" i="18"/>
  <c r="AZ42" i="18"/>
  <c r="BA42" i="18"/>
  <c r="AU43" i="18"/>
  <c r="AV43" i="18"/>
  <c r="AW43" i="18"/>
  <c r="AX43" i="18"/>
  <c r="AY43" i="18"/>
  <c r="AZ43" i="18"/>
  <c r="BA43" i="18"/>
  <c r="AU44" i="18"/>
  <c r="AV44" i="18"/>
  <c r="AW44" i="18"/>
  <c r="AX44" i="18"/>
  <c r="AY44" i="18"/>
  <c r="AZ44" i="18"/>
  <c r="BA44" i="18"/>
  <c r="AU45" i="18"/>
  <c r="AV45" i="18"/>
  <c r="AW45" i="18"/>
  <c r="AX45" i="18"/>
  <c r="AY45" i="18"/>
  <c r="AZ45" i="18"/>
  <c r="BA45" i="18"/>
  <c r="K5" i="3"/>
  <c r="K6" i="3"/>
  <c r="K7" i="3"/>
  <c r="K10" i="3"/>
  <c r="K11" i="3"/>
  <c r="A3" i="17"/>
  <c r="A4" i="17"/>
  <c r="A5" i="17" s="1"/>
  <c r="A6" i="17"/>
  <c r="A7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G1" i="2"/>
  <c r="H1" i="2"/>
  <c r="I1" i="2"/>
  <c r="C90" i="3"/>
  <c r="D103" i="3"/>
  <c r="C110" i="3"/>
  <c r="D123" i="3"/>
  <c r="C130" i="3"/>
  <c r="D143" i="3"/>
  <c r="C150" i="3"/>
  <c r="D163" i="3"/>
  <c r="C170" i="3"/>
  <c r="D183" i="3"/>
  <c r="C190" i="3"/>
  <c r="D203" i="3"/>
  <c r="C210" i="3"/>
  <c r="D223" i="3"/>
  <c r="C230" i="3"/>
  <c r="D243" i="3"/>
  <c r="C250" i="3"/>
  <c r="C258" i="3"/>
  <c r="C268" i="3"/>
  <c r="C278" i="3"/>
  <c r="C288" i="3"/>
  <c r="C298" i="3"/>
  <c r="C308" i="3"/>
  <c r="C318" i="3"/>
  <c r="C328" i="3"/>
  <c r="C338" i="3"/>
  <c r="C348" i="3"/>
  <c r="C358" i="3"/>
  <c r="C368" i="3"/>
  <c r="C378" i="3"/>
  <c r="C388" i="3"/>
  <c r="C398" i="3"/>
  <c r="C408" i="3"/>
  <c r="C418" i="3"/>
  <c r="C428" i="3"/>
  <c r="C438" i="3"/>
  <c r="C448" i="3"/>
  <c r="C458" i="3"/>
  <c r="C468" i="3"/>
  <c r="C478" i="3"/>
  <c r="C488" i="3"/>
  <c r="C498" i="3"/>
  <c r="C4" i="2"/>
  <c r="C9" i="2"/>
  <c r="C14" i="2"/>
  <c r="C19" i="2"/>
  <c r="C24" i="2"/>
  <c r="C29" i="2"/>
  <c r="C34" i="2"/>
  <c r="D25" i="3"/>
  <c r="D33" i="3"/>
  <c r="C41" i="3"/>
  <c r="C49" i="3"/>
  <c r="D56" i="3"/>
  <c r="D70" i="3"/>
  <c r="C77" i="3"/>
  <c r="D90" i="3"/>
  <c r="C97" i="3"/>
  <c r="D110" i="3"/>
  <c r="C117" i="3"/>
  <c r="D130" i="3"/>
  <c r="C137" i="3"/>
  <c r="D150" i="3"/>
  <c r="C157" i="3"/>
  <c r="D170" i="3"/>
  <c r="C177" i="3"/>
  <c r="D190" i="3"/>
  <c r="C197" i="3"/>
  <c r="D210" i="3"/>
  <c r="C217" i="3"/>
  <c r="D230" i="3"/>
  <c r="C237" i="3"/>
  <c r="D250" i="3"/>
  <c r="D258" i="3"/>
  <c r="D268" i="3"/>
  <c r="D278" i="3"/>
  <c r="D288" i="3"/>
  <c r="D298" i="3"/>
  <c r="D308" i="3"/>
  <c r="D318" i="3"/>
  <c r="D328" i="3"/>
  <c r="D338" i="3"/>
  <c r="D348" i="3"/>
  <c r="D358" i="3"/>
  <c r="D368" i="3"/>
  <c r="D378" i="3"/>
  <c r="D388" i="3"/>
  <c r="D398" i="3"/>
  <c r="D408" i="3"/>
  <c r="D418" i="3"/>
  <c r="D428" i="3"/>
  <c r="D438" i="3"/>
  <c r="D448" i="3"/>
  <c r="D458" i="3"/>
  <c r="D468" i="3"/>
  <c r="D478" i="3"/>
  <c r="D488" i="3"/>
  <c r="D498" i="3"/>
  <c r="M5" i="2"/>
  <c r="D4" i="3"/>
  <c r="C18" i="3"/>
  <c r="D49" i="3"/>
  <c r="C64" i="3"/>
  <c r="D77" i="3"/>
  <c r="C84" i="3"/>
  <c r="D97" i="3"/>
  <c r="C104" i="3"/>
  <c r="D117" i="3"/>
  <c r="C124" i="3"/>
  <c r="D137" i="3"/>
  <c r="C5" i="3"/>
  <c r="C11" i="3"/>
  <c r="D18" i="3"/>
  <c r="D26" i="3"/>
  <c r="C34" i="3"/>
  <c r="C42" i="3"/>
  <c r="C57" i="3"/>
  <c r="D64" i="3"/>
  <c r="C71" i="3"/>
  <c r="D84" i="3"/>
  <c r="C91" i="3"/>
  <c r="D104" i="3"/>
  <c r="C111" i="3"/>
  <c r="D124" i="3"/>
  <c r="C131" i="3"/>
  <c r="D5" i="3"/>
  <c r="D11" i="3"/>
  <c r="C19" i="3"/>
  <c r="C27" i="3"/>
  <c r="C35" i="3"/>
  <c r="C43" i="3"/>
  <c r="D50" i="3"/>
  <c r="C65" i="3"/>
  <c r="D78" i="3"/>
  <c r="C85" i="3"/>
  <c r="D98" i="3"/>
  <c r="C105" i="3"/>
  <c r="D118" i="3"/>
  <c r="C125" i="3"/>
  <c r="D138" i="3"/>
  <c r="C145" i="3"/>
  <c r="D158" i="3"/>
  <c r="C165" i="3"/>
  <c r="D178" i="3"/>
  <c r="C185" i="3"/>
  <c r="D198" i="3"/>
  <c r="C205" i="3"/>
  <c r="D218" i="3"/>
  <c r="C225" i="3"/>
  <c r="D238" i="3"/>
  <c r="C245" i="3"/>
  <c r="D260" i="3"/>
  <c r="D270" i="3"/>
  <c r="D280" i="3"/>
  <c r="D290" i="3"/>
  <c r="D300" i="3"/>
  <c r="D310" i="3"/>
  <c r="D320" i="3"/>
  <c r="D330" i="3"/>
  <c r="D340" i="3"/>
  <c r="D350" i="3"/>
  <c r="D27" i="3"/>
  <c r="D35" i="3"/>
  <c r="D43" i="3"/>
  <c r="C58" i="3"/>
  <c r="D65" i="3"/>
  <c r="C72" i="3"/>
  <c r="D85" i="3"/>
  <c r="C92" i="3"/>
  <c r="D105" i="3"/>
  <c r="C112" i="3"/>
  <c r="D125" i="3"/>
  <c r="C132" i="3"/>
  <c r="D145" i="3"/>
  <c r="C152" i="3"/>
  <c r="D165" i="3"/>
  <c r="C172" i="3"/>
  <c r="D185" i="3"/>
  <c r="C192" i="3"/>
  <c r="D205" i="3"/>
  <c r="C212" i="3"/>
  <c r="D225" i="3"/>
  <c r="C232" i="3"/>
  <c r="D245" i="3"/>
  <c r="C252" i="3"/>
  <c r="C261" i="3"/>
  <c r="C271" i="3"/>
  <c r="C281" i="3"/>
  <c r="C291" i="3"/>
  <c r="C301" i="3"/>
  <c r="C311" i="3"/>
  <c r="C321" i="3"/>
  <c r="C331" i="3"/>
  <c r="C341" i="3"/>
  <c r="C351" i="3"/>
  <c r="C361" i="3"/>
  <c r="C371" i="3"/>
  <c r="C381" i="3"/>
  <c r="C391" i="3"/>
  <c r="C401" i="3"/>
  <c r="C411" i="3"/>
  <c r="C421" i="3"/>
  <c r="C431" i="3"/>
  <c r="C441" i="3"/>
  <c r="C451" i="3"/>
  <c r="C461" i="3"/>
  <c r="C471" i="3"/>
  <c r="C481" i="3"/>
  <c r="C491" i="3"/>
  <c r="C501" i="3"/>
  <c r="N2" i="2"/>
  <c r="N7" i="2"/>
  <c r="N12" i="2"/>
  <c r="N17" i="2"/>
  <c r="N22" i="2"/>
  <c r="N27" i="2"/>
  <c r="C6" i="3"/>
  <c r="C12" i="3"/>
  <c r="C20" i="3"/>
  <c r="C51" i="3"/>
  <c r="D58" i="3"/>
  <c r="D72" i="3"/>
  <c r="C79" i="3"/>
  <c r="D92" i="3"/>
  <c r="C99" i="3"/>
  <c r="D112" i="3"/>
  <c r="C119" i="3"/>
  <c r="D132" i="3"/>
  <c r="C13" i="3"/>
  <c r="D44" i="3"/>
  <c r="C59" i="3"/>
  <c r="D66" i="3"/>
  <c r="C73" i="3"/>
  <c r="D86" i="3"/>
  <c r="C93" i="3"/>
  <c r="D106" i="3"/>
  <c r="C113" i="3"/>
  <c r="D126" i="3"/>
  <c r="C133" i="3"/>
  <c r="D146" i="3"/>
  <c r="C153" i="3"/>
  <c r="D166" i="3"/>
  <c r="C173" i="3"/>
  <c r="D186" i="3"/>
  <c r="C193" i="3"/>
  <c r="D206" i="3"/>
  <c r="C213" i="3"/>
  <c r="D226" i="3"/>
  <c r="D13" i="3"/>
  <c r="C21" i="3"/>
  <c r="C29" i="3"/>
  <c r="C37" i="3"/>
  <c r="C52" i="3"/>
  <c r="D73" i="3"/>
  <c r="C80" i="3"/>
  <c r="D93" i="3"/>
  <c r="C100" i="3"/>
  <c r="D113" i="3"/>
  <c r="C120" i="3"/>
  <c r="D133" i="3"/>
  <c r="C140" i="3"/>
  <c r="D153" i="3"/>
  <c r="C160" i="3"/>
  <c r="D173" i="3"/>
  <c r="C180" i="3"/>
  <c r="D193" i="3"/>
  <c r="C200" i="3"/>
  <c r="D213" i="3"/>
  <c r="C220" i="3"/>
  <c r="D233" i="3"/>
  <c r="C240" i="3"/>
  <c r="D253" i="3"/>
  <c r="C263" i="3"/>
  <c r="C273" i="3"/>
  <c r="C283" i="3"/>
  <c r="C293" i="3"/>
  <c r="C303" i="3"/>
  <c r="C313" i="3"/>
  <c r="C323" i="3"/>
  <c r="C333" i="3"/>
  <c r="C343" i="3"/>
  <c r="C353" i="3"/>
  <c r="C363" i="3"/>
  <c r="C373" i="3"/>
  <c r="C383" i="3"/>
  <c r="C393" i="3"/>
  <c r="C403" i="3"/>
  <c r="C413" i="3"/>
  <c r="C423" i="3"/>
  <c r="C433" i="3"/>
  <c r="C443" i="3"/>
  <c r="C453" i="3"/>
  <c r="C463" i="3"/>
  <c r="C473" i="3"/>
  <c r="C7" i="3"/>
  <c r="D37" i="3"/>
  <c r="C45" i="3"/>
  <c r="D52" i="3"/>
  <c r="C60" i="3"/>
  <c r="C67" i="3"/>
  <c r="D80" i="3"/>
  <c r="C87" i="3"/>
  <c r="D100" i="3"/>
  <c r="C107" i="3"/>
  <c r="D120" i="3"/>
  <c r="C127" i="3"/>
  <c r="D140" i="3"/>
  <c r="C147" i="3"/>
  <c r="D160" i="3"/>
  <c r="C167" i="3"/>
  <c r="D180" i="3"/>
  <c r="C187" i="3"/>
  <c r="D200" i="3"/>
  <c r="C207" i="3"/>
  <c r="D220" i="3"/>
  <c r="C227" i="3"/>
  <c r="D240" i="3"/>
  <c r="C247" i="3"/>
  <c r="D263" i="3"/>
  <c r="D273" i="3"/>
  <c r="D283" i="3"/>
  <c r="D293" i="3"/>
  <c r="D303" i="3"/>
  <c r="D313" i="3"/>
  <c r="D323" i="3"/>
  <c r="D333" i="3"/>
  <c r="D343" i="3"/>
  <c r="D353" i="3"/>
  <c r="D363" i="3"/>
  <c r="D373" i="3"/>
  <c r="D383" i="3"/>
  <c r="D393" i="3"/>
  <c r="D403" i="3"/>
  <c r="D413" i="3"/>
  <c r="D423" i="3"/>
  <c r="D433" i="3"/>
  <c r="D443" i="3"/>
  <c r="D453" i="3"/>
  <c r="D463" i="3"/>
  <c r="C14" i="3"/>
  <c r="A2" i="3" a="1"/>
  <c r="D8" i="3"/>
  <c r="D15" i="3"/>
  <c r="D23" i="3"/>
  <c r="C31" i="3"/>
  <c r="C54" i="3"/>
  <c r="D68" i="3"/>
  <c r="C75" i="3"/>
  <c r="D88" i="3"/>
  <c r="C95" i="3"/>
  <c r="D108" i="3"/>
  <c r="C115" i="3"/>
  <c r="D128" i="3"/>
  <c r="C135" i="3"/>
  <c r="D148" i="3"/>
  <c r="C155" i="3"/>
  <c r="D168" i="3"/>
  <c r="C175" i="3"/>
  <c r="D188" i="3"/>
  <c r="C195" i="3"/>
  <c r="D208" i="3"/>
  <c r="C215" i="3"/>
  <c r="D228" i="3"/>
  <c r="C235" i="3"/>
  <c r="D248" i="3"/>
  <c r="D255" i="3"/>
  <c r="D265" i="3"/>
  <c r="D275" i="3"/>
  <c r="D285" i="3"/>
  <c r="D295" i="3"/>
  <c r="D305" i="3"/>
  <c r="D315" i="3"/>
  <c r="D325" i="3"/>
  <c r="D335" i="3"/>
  <c r="D345" i="3"/>
  <c r="D355" i="3"/>
  <c r="D365" i="3"/>
  <c r="D375" i="3"/>
  <c r="D385" i="3"/>
  <c r="D395" i="3"/>
  <c r="D405" i="3"/>
  <c r="D415" i="3"/>
  <c r="D425" i="3"/>
  <c r="D435" i="3"/>
  <c r="D445" i="3"/>
  <c r="D455" i="3"/>
  <c r="D465" i="3"/>
  <c r="D475" i="3"/>
  <c r="D485" i="3"/>
  <c r="D495" i="3"/>
  <c r="B2" i="2"/>
  <c r="F5" i="2"/>
  <c r="B7" i="2"/>
  <c r="F10" i="2"/>
  <c r="B12" i="2"/>
  <c r="C2" i="3"/>
  <c r="D31" i="3"/>
  <c r="C39" i="3"/>
  <c r="C47" i="3"/>
  <c r="D54" i="3"/>
  <c r="C62" i="3"/>
  <c r="D75" i="3"/>
  <c r="C82" i="3"/>
  <c r="D2" i="3"/>
  <c r="C9" i="3"/>
  <c r="D16" i="3"/>
  <c r="C24" i="3"/>
  <c r="D47" i="3"/>
  <c r="C55" i="3"/>
  <c r="D62" i="3"/>
  <c r="C69" i="3"/>
  <c r="D82" i="3"/>
  <c r="C89" i="3"/>
  <c r="D102" i="3"/>
  <c r="C109" i="3"/>
  <c r="D122" i="3"/>
  <c r="C129" i="3"/>
  <c r="D142" i="3"/>
  <c r="C149" i="3"/>
  <c r="D162" i="3"/>
  <c r="C169" i="3"/>
  <c r="D182" i="3"/>
  <c r="C189" i="3"/>
  <c r="D202" i="3"/>
  <c r="C209" i="3"/>
  <c r="D222" i="3"/>
  <c r="C229" i="3"/>
  <c r="D28" i="3"/>
  <c r="C50" i="3"/>
  <c r="D89" i="3"/>
  <c r="D107" i="3"/>
  <c r="C139" i="3"/>
  <c r="C151" i="3"/>
  <c r="C163" i="3"/>
  <c r="D175" i="3"/>
  <c r="D199" i="3"/>
  <c r="D211" i="3"/>
  <c r="C224" i="3"/>
  <c r="D235" i="3"/>
  <c r="C246" i="3"/>
  <c r="C257" i="3"/>
  <c r="D272" i="3"/>
  <c r="D287" i="3"/>
  <c r="C304" i="3"/>
  <c r="C319" i="3"/>
  <c r="D334" i="3"/>
  <c r="D349" i="3"/>
  <c r="D364" i="3"/>
  <c r="C379" i="3"/>
  <c r="D392" i="3"/>
  <c r="C407" i="3"/>
  <c r="D421" i="3"/>
  <c r="C436" i="3"/>
  <c r="C450" i="3"/>
  <c r="D464" i="3"/>
  <c r="D477" i="3"/>
  <c r="D490" i="3"/>
  <c r="I3" i="2"/>
  <c r="M7" i="2"/>
  <c r="M9" i="2"/>
  <c r="F17" i="2"/>
  <c r="C21" i="2"/>
  <c r="B23" i="2"/>
  <c r="M24" i="2"/>
  <c r="F30" i="2"/>
  <c r="C32" i="2"/>
  <c r="M33" i="2"/>
  <c r="C30" i="3"/>
  <c r="D51" i="3"/>
  <c r="D71" i="3"/>
  <c r="C123" i="3"/>
  <c r="D139" i="3"/>
  <c r="D151" i="3"/>
  <c r="C164" i="3"/>
  <c r="C176" i="3"/>
  <c r="C188" i="3"/>
  <c r="D212" i="3"/>
  <c r="D224" i="3"/>
  <c r="C236" i="3"/>
  <c r="D246" i="3"/>
  <c r="D257" i="3"/>
  <c r="C274" i="3"/>
  <c r="C289" i="3"/>
  <c r="D304" i="3"/>
  <c r="D319" i="3"/>
  <c r="C335" i="3"/>
  <c r="C350" i="3"/>
  <c r="C365" i="3"/>
  <c r="D379" i="3"/>
  <c r="C394" i="3"/>
  <c r="D407" i="3"/>
  <c r="C422" i="3"/>
  <c r="D436" i="3"/>
  <c r="D450" i="3"/>
  <c r="C465" i="3"/>
  <c r="C479" i="3"/>
  <c r="D491" i="3"/>
  <c r="N5" i="2"/>
  <c r="C8" i="3"/>
  <c r="D30" i="3"/>
  <c r="C53" i="3"/>
  <c r="D91" i="3"/>
  <c r="C108" i="3"/>
  <c r="D152" i="3"/>
  <c r="D164" i="3"/>
  <c r="D176" i="3"/>
  <c r="C201" i="3"/>
  <c r="D236" i="3"/>
  <c r="D247" i="3"/>
  <c r="C259" i="3"/>
  <c r="D274" i="3"/>
  <c r="D289" i="3"/>
  <c r="C305" i="3"/>
  <c r="C320" i="3"/>
  <c r="C336" i="3"/>
  <c r="D351" i="3"/>
  <c r="C366" i="3"/>
  <c r="C380" i="3"/>
  <c r="D394" i="3"/>
  <c r="C409" i="3"/>
  <c r="D422" i="3"/>
  <c r="C437" i="3"/>
  <c r="D451" i="3"/>
  <c r="C466" i="3"/>
  <c r="D479" i="3"/>
  <c r="C492" i="3"/>
  <c r="M3" i="2"/>
  <c r="B6" i="2"/>
  <c r="C8" i="2"/>
  <c r="B10" i="2"/>
  <c r="N11" i="2"/>
  <c r="M13" i="2"/>
  <c r="I17" i="2"/>
  <c r="F21" i="2"/>
  <c r="B25" i="2"/>
  <c r="M26" i="2"/>
  <c r="B34" i="2"/>
  <c r="M35" i="2"/>
  <c r="I37" i="2"/>
  <c r="N40" i="2"/>
  <c r="I42" i="2"/>
  <c r="N45" i="2"/>
  <c r="I47" i="2"/>
  <c r="N50" i="2"/>
  <c r="I52" i="2"/>
  <c r="N55" i="2"/>
  <c r="I57" i="2"/>
  <c r="N60" i="2"/>
  <c r="I62" i="2"/>
  <c r="N65" i="2"/>
  <c r="I67" i="2"/>
  <c r="N70" i="2"/>
  <c r="I72" i="2"/>
  <c r="N75" i="2"/>
  <c r="I77" i="2"/>
  <c r="N80" i="2"/>
  <c r="I82" i="2"/>
  <c r="N85" i="2"/>
  <c r="I87" i="2"/>
  <c r="N90" i="2"/>
  <c r="I92" i="2"/>
  <c r="N95" i="2"/>
  <c r="I97" i="2"/>
  <c r="D9" i="3"/>
  <c r="D53" i="3"/>
  <c r="C74" i="3"/>
  <c r="C126" i="3"/>
  <c r="C141" i="3"/>
  <c r="D177" i="3"/>
  <c r="D189" i="3"/>
  <c r="D201" i="3"/>
  <c r="C214" i="3"/>
  <c r="D237" i="3"/>
  <c r="D259" i="3"/>
  <c r="C275" i="3"/>
  <c r="C290" i="3"/>
  <c r="C306" i="3"/>
  <c r="D321" i="3"/>
  <c r="D336" i="3"/>
  <c r="C352" i="3"/>
  <c r="D366" i="3"/>
  <c r="D380" i="3"/>
  <c r="C395" i="3"/>
  <c r="D409" i="3"/>
  <c r="C424" i="3"/>
  <c r="D437" i="3"/>
  <c r="C452" i="3"/>
  <c r="D466" i="3"/>
  <c r="C480" i="3"/>
  <c r="D492" i="3"/>
  <c r="C32" i="3"/>
  <c r="D74" i="3"/>
  <c r="C94" i="3"/>
  <c r="D109" i="3"/>
  <c r="D127" i="3"/>
  <c r="D141" i="3"/>
  <c r="D32" i="3"/>
  <c r="D55" i="3"/>
  <c r="D94" i="3"/>
  <c r="C142" i="3"/>
  <c r="D154" i="3"/>
  <c r="C166" i="3"/>
  <c r="C178" i="3"/>
  <c r="D227" i="3"/>
  <c r="C238" i="3"/>
  <c r="D261" i="3"/>
  <c r="D276" i="3"/>
  <c r="C292" i="3"/>
  <c r="C307" i="3"/>
  <c r="D322" i="3"/>
  <c r="D337" i="3"/>
  <c r="C354" i="3"/>
  <c r="D367" i="3"/>
  <c r="C382" i="3"/>
  <c r="D396" i="3"/>
  <c r="D410" i="3"/>
  <c r="C425" i="3"/>
  <c r="D439" i="3"/>
  <c r="C454" i="3"/>
  <c r="D467" i="3"/>
  <c r="D481" i="3"/>
  <c r="D493" i="3"/>
  <c r="C2" i="2"/>
  <c r="F6" i="2"/>
  <c r="F8" i="2"/>
  <c r="B16" i="2"/>
  <c r="M17" i="2"/>
  <c r="I21" i="2"/>
  <c r="G23" i="2"/>
  <c r="C27" i="2"/>
  <c r="N28" i="2"/>
  <c r="M30" i="2"/>
  <c r="I32" i="2"/>
  <c r="F34" i="2"/>
  <c r="C36" i="2"/>
  <c r="M37" i="2"/>
  <c r="M42" i="2"/>
  <c r="M47" i="2"/>
  <c r="H49" i="2"/>
  <c r="D34" i="3"/>
  <c r="C76" i="3"/>
  <c r="D111" i="3"/>
  <c r="C128" i="3"/>
  <c r="D167" i="3"/>
  <c r="C179" i="3"/>
  <c r="C191" i="3"/>
  <c r="C203" i="3"/>
  <c r="D215" i="3"/>
  <c r="C239" i="3"/>
  <c r="C249" i="3"/>
  <c r="C262" i="3"/>
  <c r="C277" i="3"/>
  <c r="D292" i="3"/>
  <c r="D307" i="3"/>
  <c r="C324" i="3"/>
  <c r="C339" i="3"/>
  <c r="D354" i="3"/>
  <c r="C369" i="3"/>
  <c r="D382" i="3"/>
  <c r="C397" i="3"/>
  <c r="D411" i="3"/>
  <c r="C426" i="3"/>
  <c r="C440" i="3"/>
  <c r="D454" i="3"/>
  <c r="C469" i="3"/>
  <c r="C482" i="3"/>
  <c r="C494" i="3"/>
  <c r="F4" i="2"/>
  <c r="G8" i="2"/>
  <c r="F12" i="2"/>
  <c r="C16" i="2"/>
  <c r="B18" i="2"/>
  <c r="M19" i="2"/>
  <c r="F25" i="2"/>
  <c r="B29" i="2"/>
  <c r="N30" i="2"/>
  <c r="D12" i="3"/>
  <c r="D36" i="3"/>
  <c r="D57" i="3"/>
  <c r="D76" i="3"/>
  <c r="D95" i="3"/>
  <c r="C143" i="3"/>
  <c r="D155" i="3"/>
  <c r="D179" i="3"/>
  <c r="D191" i="3"/>
  <c r="C204" i="3"/>
  <c r="C216" i="3"/>
  <c r="C228" i="3"/>
  <c r="D239" i="3"/>
  <c r="D249" i="3"/>
  <c r="D262" i="3"/>
  <c r="D277" i="3"/>
  <c r="C294" i="3"/>
  <c r="C309" i="3"/>
  <c r="D324" i="3"/>
  <c r="D339" i="3"/>
  <c r="C355" i="3"/>
  <c r="D369" i="3"/>
  <c r="C384" i="3"/>
  <c r="D397" i="3"/>
  <c r="C412" i="3"/>
  <c r="D426" i="3"/>
  <c r="D440" i="3"/>
  <c r="C455" i="3"/>
  <c r="D469" i="3"/>
  <c r="D482" i="3"/>
  <c r="D494" i="3"/>
  <c r="D14" i="3"/>
  <c r="C78" i="3"/>
  <c r="C96" i="3"/>
  <c r="C114" i="3"/>
  <c r="D129" i="3"/>
  <c r="C144" i="3"/>
  <c r="C156" i="3"/>
  <c r="C168" i="3"/>
  <c r="D192" i="3"/>
  <c r="D204" i="3"/>
  <c r="D216" i="3"/>
  <c r="C264" i="3"/>
  <c r="C279" i="3"/>
  <c r="D294" i="3"/>
  <c r="D309" i="3"/>
  <c r="C325" i="3"/>
  <c r="C340" i="3"/>
  <c r="C356" i="3"/>
  <c r="C370" i="3"/>
  <c r="D384" i="3"/>
  <c r="C399" i="3"/>
  <c r="D412" i="3"/>
  <c r="C427" i="3"/>
  <c r="D441" i="3"/>
  <c r="C456" i="3"/>
  <c r="C470" i="3"/>
  <c r="C483" i="3"/>
  <c r="C495" i="3"/>
  <c r="F2" i="2"/>
  <c r="I6" i="2"/>
  <c r="I10" i="2"/>
  <c r="I12" i="2"/>
  <c r="F16" i="2"/>
  <c r="B20" i="2"/>
  <c r="M21" i="2"/>
  <c r="C15" i="3"/>
  <c r="C38" i="3"/>
  <c r="D60" i="3"/>
  <c r="D79" i="3"/>
  <c r="D96" i="3"/>
  <c r="D114" i="3"/>
  <c r="D144" i="3"/>
  <c r="D156" i="3"/>
  <c r="C181" i="3"/>
  <c r="D217" i="3"/>
  <c r="D229" i="3"/>
  <c r="D264" i="3"/>
  <c r="D279" i="3"/>
  <c r="C295" i="3"/>
  <c r="C310" i="3"/>
  <c r="C326" i="3"/>
  <c r="D341" i="3"/>
  <c r="D356" i="3"/>
  <c r="D370" i="3"/>
  <c r="C385" i="3"/>
  <c r="D399" i="3"/>
  <c r="C414" i="3"/>
  <c r="D427" i="3"/>
  <c r="C442" i="3"/>
  <c r="D456" i="3"/>
  <c r="D470" i="3"/>
  <c r="D483" i="3"/>
  <c r="C496" i="3"/>
  <c r="I2" i="2"/>
  <c r="C20" i="2"/>
  <c r="N21" i="2"/>
  <c r="I25" i="2"/>
  <c r="F29" i="2"/>
  <c r="N32" i="2"/>
  <c r="G36" i="2"/>
  <c r="M39" i="2"/>
  <c r="M44" i="2"/>
  <c r="M49" i="2"/>
  <c r="M54" i="2"/>
  <c r="M59" i="2"/>
  <c r="M64" i="2"/>
  <c r="H66" i="2"/>
  <c r="M69" i="2"/>
  <c r="D38" i="3"/>
  <c r="C98" i="3"/>
  <c r="D131" i="3"/>
  <c r="D157" i="3"/>
  <c r="D169" i="3"/>
  <c r="D181" i="3"/>
  <c r="C194" i="3"/>
  <c r="C241" i="3"/>
  <c r="C251" i="3"/>
  <c r="C265" i="3"/>
  <c r="C280" i="3"/>
  <c r="C296" i="3"/>
  <c r="D311" i="3"/>
  <c r="D326" i="3"/>
  <c r="C342" i="3"/>
  <c r="C357" i="3"/>
  <c r="D371" i="3"/>
  <c r="C386" i="3"/>
  <c r="C400" i="3"/>
  <c r="D414" i="3"/>
  <c r="C429" i="3"/>
  <c r="D442" i="3"/>
  <c r="C457" i="3"/>
  <c r="D471" i="3"/>
  <c r="C484" i="3"/>
  <c r="D496" i="3"/>
  <c r="M8" i="2"/>
  <c r="M10" i="2"/>
  <c r="F18" i="2"/>
  <c r="B22" i="2"/>
  <c r="C17" i="3"/>
  <c r="C40" i="3"/>
  <c r="C61" i="3"/>
  <c r="C81" i="3"/>
  <c r="D99" i="3"/>
  <c r="D115" i="3"/>
  <c r="C182" i="3"/>
  <c r="D194" i="3"/>
  <c r="C206" i="3"/>
  <c r="C218" i="3"/>
  <c r="D241" i="3"/>
  <c r="D251" i="3"/>
  <c r="C266" i="3"/>
  <c r="D281" i="3"/>
  <c r="D296" i="3"/>
  <c r="C312" i="3"/>
  <c r="C327" i="3"/>
  <c r="D342" i="3"/>
  <c r="D357" i="3"/>
  <c r="C372" i="3"/>
  <c r="D386" i="3"/>
  <c r="D400" i="3"/>
  <c r="C415" i="3"/>
  <c r="D429" i="3"/>
  <c r="C444" i="3"/>
  <c r="D457" i="3"/>
  <c r="D40" i="3"/>
  <c r="D81" i="3"/>
  <c r="C116" i="3"/>
  <c r="C134" i="3"/>
  <c r="C146" i="3"/>
  <c r="C158" i="3"/>
  <c r="D207" i="3"/>
  <c r="C219" i="3"/>
  <c r="C231" i="3"/>
  <c r="C242" i="3"/>
  <c r="D252" i="3"/>
  <c r="D266" i="3"/>
  <c r="C282" i="3"/>
  <c r="C297" i="3"/>
  <c r="D312" i="3"/>
  <c r="D327" i="3"/>
  <c r="C344" i="3"/>
  <c r="C359" i="3"/>
  <c r="D372" i="3"/>
  <c r="C387" i="3"/>
  <c r="D401" i="3"/>
  <c r="C416" i="3"/>
  <c r="C430" i="3"/>
  <c r="D20" i="3"/>
  <c r="D42" i="3"/>
  <c r="C63" i="3"/>
  <c r="C101" i="3"/>
  <c r="D116" i="3"/>
  <c r="D134" i="3"/>
  <c r="D147" i="3"/>
  <c r="C159" i="3"/>
  <c r="C171" i="3"/>
  <c r="C183" i="3"/>
  <c r="D195" i="3"/>
  <c r="D219" i="3"/>
  <c r="D231" i="3"/>
  <c r="D242" i="3"/>
  <c r="C267" i="3"/>
  <c r="D282" i="3"/>
  <c r="D297" i="3"/>
  <c r="C314" i="3"/>
  <c r="C329" i="3"/>
  <c r="D344" i="3"/>
  <c r="D359" i="3"/>
  <c r="C374" i="3"/>
  <c r="D387" i="3"/>
  <c r="C402" i="3"/>
  <c r="D416" i="3"/>
  <c r="D430" i="3"/>
  <c r="C445" i="3"/>
  <c r="D459" i="3"/>
  <c r="D473" i="3"/>
  <c r="C486" i="3"/>
  <c r="C499" i="3"/>
  <c r="B3" i="2"/>
  <c r="C22" i="3"/>
  <c r="C44" i="3"/>
  <c r="C83" i="3"/>
  <c r="D101" i="3"/>
  <c r="C118" i="3"/>
  <c r="D159" i="3"/>
  <c r="D171" i="3"/>
  <c r="C184" i="3"/>
  <c r="C196" i="3"/>
  <c r="C208" i="3"/>
  <c r="D232" i="3"/>
  <c r="C253" i="3"/>
  <c r="D267" i="3"/>
  <c r="C284" i="3"/>
  <c r="C299" i="3"/>
  <c r="D314" i="3"/>
  <c r="D329" i="3"/>
  <c r="C345" i="3"/>
  <c r="C360" i="3"/>
  <c r="D374" i="3"/>
  <c r="C389" i="3"/>
  <c r="D402" i="3"/>
  <c r="C417" i="3"/>
  <c r="D431" i="3"/>
  <c r="C446" i="3"/>
  <c r="C460" i="3"/>
  <c r="C474" i="3"/>
  <c r="D486" i="3"/>
  <c r="D499" i="3"/>
  <c r="C3" i="2"/>
  <c r="C5" i="2"/>
  <c r="B15" i="2"/>
  <c r="M16" i="2"/>
  <c r="F22" i="2"/>
  <c r="C26" i="2"/>
  <c r="B28" i="2"/>
  <c r="M29" i="2"/>
  <c r="I31" i="2"/>
  <c r="F33" i="2"/>
  <c r="C35" i="2"/>
  <c r="M36" i="2"/>
  <c r="I38" i="2"/>
  <c r="N41" i="2"/>
  <c r="I43" i="2"/>
  <c r="N46" i="2"/>
  <c r="I48" i="2"/>
  <c r="N51" i="2"/>
  <c r="I53" i="2"/>
  <c r="N56" i="2"/>
  <c r="I58" i="2"/>
  <c r="N61" i="2"/>
  <c r="I63" i="2"/>
  <c r="N66" i="2"/>
  <c r="I68" i="2"/>
  <c r="N71" i="2"/>
  <c r="I73" i="2"/>
  <c r="N76" i="2"/>
  <c r="I78" i="2"/>
  <c r="N81" i="2"/>
  <c r="I83" i="2"/>
  <c r="N86" i="2"/>
  <c r="I88" i="2"/>
  <c r="N91" i="2"/>
  <c r="I93" i="2"/>
  <c r="D22" i="3"/>
  <c r="D45" i="3"/>
  <c r="C66" i="3"/>
  <c r="C102" i="3"/>
  <c r="D119" i="3"/>
  <c r="D135" i="3"/>
  <c r="C148" i="3"/>
  <c r="D172" i="3"/>
  <c r="D184" i="3"/>
  <c r="D196" i="3"/>
  <c r="C221" i="3"/>
  <c r="C243" i="3"/>
  <c r="C254" i="3"/>
  <c r="C269" i="3"/>
  <c r="D284" i="3"/>
  <c r="D299" i="3"/>
  <c r="C315" i="3"/>
  <c r="C330" i="3"/>
  <c r="C346" i="3"/>
  <c r="D360" i="3"/>
  <c r="C375" i="3"/>
  <c r="D389" i="3"/>
  <c r="C404" i="3"/>
  <c r="D417" i="3"/>
  <c r="C432" i="3"/>
  <c r="D446" i="3"/>
  <c r="D460" i="3"/>
  <c r="D474" i="3"/>
  <c r="C487" i="3"/>
  <c r="C500" i="3"/>
  <c r="F9" i="2"/>
  <c r="F11" i="2"/>
  <c r="C15" i="2"/>
  <c r="N16" i="2"/>
  <c r="I20" i="2"/>
  <c r="F24" i="2"/>
  <c r="C28" i="2"/>
  <c r="N29" i="2"/>
  <c r="N36" i="2"/>
  <c r="F40" i="2"/>
  <c r="B42" i="2"/>
  <c r="F45" i="2"/>
  <c r="B47" i="2"/>
  <c r="F50" i="2"/>
  <c r="B52" i="2"/>
  <c r="F55" i="2"/>
  <c r="B57" i="2"/>
  <c r="F60" i="2"/>
  <c r="B62" i="2"/>
  <c r="F65" i="2"/>
  <c r="B67" i="2"/>
  <c r="F70" i="2"/>
  <c r="B72" i="2"/>
  <c r="F75" i="2"/>
  <c r="B77" i="2"/>
  <c r="F80" i="2"/>
  <c r="B82" i="2"/>
  <c r="F85" i="2"/>
  <c r="B87" i="2"/>
  <c r="C3" i="3"/>
  <c r="C23" i="3"/>
  <c r="D67" i="3"/>
  <c r="C86" i="3"/>
  <c r="C136" i="3"/>
  <c r="C161" i="3"/>
  <c r="D197" i="3"/>
  <c r="D209" i="3"/>
  <c r="D221" i="3"/>
  <c r="C233" i="3"/>
  <c r="C244" i="3"/>
  <c r="D254" i="3"/>
  <c r="D269" i="3"/>
  <c r="C285" i="3"/>
  <c r="C300" i="3"/>
  <c r="C316" i="3"/>
  <c r="D331" i="3"/>
  <c r="D346" i="3"/>
  <c r="D361" i="3"/>
  <c r="C376" i="3"/>
  <c r="C390" i="3"/>
  <c r="D404" i="3"/>
  <c r="C419" i="3"/>
  <c r="D432" i="3"/>
  <c r="C447" i="3"/>
  <c r="D461" i="3"/>
  <c r="C475" i="3"/>
  <c r="D487" i="3"/>
  <c r="D500" i="3"/>
  <c r="D6" i="3"/>
  <c r="C68" i="3"/>
  <c r="D46" i="3"/>
  <c r="D161" i="3"/>
  <c r="C222" i="3"/>
  <c r="C286" i="3"/>
  <c r="C362" i="3"/>
  <c r="C434" i="3"/>
  <c r="D484" i="3"/>
  <c r="E1" i="2"/>
  <c r="I5" i="2"/>
  <c r="F23" i="2"/>
  <c r="G26" i="2"/>
  <c r="N31" i="2"/>
  <c r="I34" i="2"/>
  <c r="B37" i="2"/>
  <c r="G41" i="2"/>
  <c r="M45" i="2"/>
  <c r="C48" i="2"/>
  <c r="G50" i="2"/>
  <c r="G52" i="2"/>
  <c r="H54" i="2"/>
  <c r="I56" i="2"/>
  <c r="M62" i="2"/>
  <c r="N64" i="2"/>
  <c r="C67" i="2"/>
  <c r="C69" i="2"/>
  <c r="C73" i="2"/>
  <c r="B75" i="2"/>
  <c r="C77" i="2"/>
  <c r="B79" i="2"/>
  <c r="B81" i="2"/>
  <c r="N82" i="2"/>
  <c r="M84" i="2"/>
  <c r="I90" i="2"/>
  <c r="G92" i="2"/>
  <c r="F94" i="2"/>
  <c r="C96" i="2"/>
  <c r="D48" i="3"/>
  <c r="C162" i="3"/>
  <c r="D286" i="3"/>
  <c r="D362" i="3"/>
  <c r="D434" i="3"/>
  <c r="C485" i="3"/>
  <c r="C6" i="2"/>
  <c r="N9" i="2"/>
  <c r="H13" i="2"/>
  <c r="B17" i="2"/>
  <c r="F20" i="2"/>
  <c r="I23" i="2"/>
  <c r="H26" i="2"/>
  <c r="G29" i="2"/>
  <c r="B32" i="2"/>
  <c r="C37" i="2"/>
  <c r="F39" i="2"/>
  <c r="I41" i="2"/>
  <c r="M43" i="2"/>
  <c r="B46" i="2"/>
  <c r="H50" i="2"/>
  <c r="H52" i="2"/>
  <c r="I54" i="2"/>
  <c r="M58" i="2"/>
  <c r="M60" i="2"/>
  <c r="N62" i="2"/>
  <c r="B65" i="2"/>
  <c r="C75" i="2"/>
  <c r="C79" i="2"/>
  <c r="C81" i="2"/>
  <c r="B83" i="2"/>
  <c r="C223" i="3"/>
  <c r="C287" i="3"/>
  <c r="C364" i="3"/>
  <c r="C435" i="3"/>
  <c r="C489" i="3"/>
  <c r="H30" i="2"/>
  <c r="C10" i="2"/>
  <c r="I13" i="2"/>
  <c r="C17" i="2"/>
  <c r="M23" i="2"/>
  <c r="I26" i="2"/>
  <c r="H29" i="2"/>
  <c r="M34" i="2"/>
  <c r="G39" i="2"/>
  <c r="N43" i="2"/>
  <c r="C46" i="2"/>
  <c r="F48" i="2"/>
  <c r="I50" i="2"/>
  <c r="N58" i="2"/>
  <c r="B61" i="2"/>
  <c r="B63" i="2"/>
  <c r="C65" i="2"/>
  <c r="F69" i="2"/>
  <c r="F71" i="2"/>
  <c r="C83" i="2"/>
  <c r="B85" i="2"/>
  <c r="D69" i="3"/>
  <c r="C226" i="3"/>
  <c r="D291" i="3"/>
  <c r="C367" i="3"/>
  <c r="C439" i="3"/>
  <c r="D489" i="3"/>
  <c r="M6" i="2"/>
  <c r="N23" i="2"/>
  <c r="F32" i="2"/>
  <c r="N34" i="2"/>
  <c r="I39" i="2"/>
  <c r="B44" i="2"/>
  <c r="G48" i="2"/>
  <c r="M56" i="2"/>
  <c r="B59" i="2"/>
  <c r="C61" i="2"/>
  <c r="C63" i="2"/>
  <c r="F67" i="2"/>
  <c r="G69" i="2"/>
  <c r="G71" i="2"/>
  <c r="F73" i="2"/>
  <c r="G75" i="2"/>
  <c r="F77" i="2"/>
  <c r="F79" i="2"/>
  <c r="C85" i="2"/>
  <c r="B89" i="2"/>
  <c r="M90" i="2"/>
  <c r="I94" i="2"/>
  <c r="F96" i="2"/>
  <c r="C98" i="2"/>
  <c r="M99" i="2"/>
  <c r="H101" i="2"/>
  <c r="M104" i="2"/>
  <c r="H106" i="2"/>
  <c r="M109" i="2"/>
  <c r="H111" i="2"/>
  <c r="M114" i="2"/>
  <c r="H116" i="2"/>
  <c r="M119" i="2"/>
  <c r="H121" i="2"/>
  <c r="M124" i="2"/>
  <c r="H126" i="2"/>
  <c r="M129" i="2"/>
  <c r="H131" i="2"/>
  <c r="M134" i="2"/>
  <c r="H136" i="2"/>
  <c r="M139" i="2"/>
  <c r="H141" i="2"/>
  <c r="M144" i="2"/>
  <c r="H146" i="2"/>
  <c r="M149" i="2"/>
  <c r="H151" i="2"/>
  <c r="D87" i="3"/>
  <c r="C174" i="3"/>
  <c r="C234" i="3"/>
  <c r="D301" i="3"/>
  <c r="D376" i="3"/>
  <c r="D444" i="3"/>
  <c r="C490" i="3"/>
  <c r="N6" i="2"/>
  <c r="H10" i="2"/>
  <c r="N13" i="2"/>
  <c r="M20" i="2"/>
  <c r="B24" i="2"/>
  <c r="N26" i="2"/>
  <c r="H32" i="2"/>
  <c r="B35" i="2"/>
  <c r="F37" i="2"/>
  <c r="M41" i="2"/>
  <c r="C44" i="2"/>
  <c r="F46" i="2"/>
  <c r="H48" i="2"/>
  <c r="M52" i="2"/>
  <c r="N54" i="2"/>
  <c r="C57" i="2"/>
  <c r="C59" i="2"/>
  <c r="D174" i="3"/>
  <c r="D234" i="3"/>
  <c r="C302" i="3"/>
  <c r="C377" i="3"/>
  <c r="D447" i="3"/>
  <c r="C493" i="3"/>
  <c r="C7" i="2"/>
  <c r="N10" i="2"/>
  <c r="B14" i="2"/>
  <c r="H17" i="2"/>
  <c r="N20" i="2"/>
  <c r="B27" i="2"/>
  <c r="B30" i="2"/>
  <c r="H37" i="2"/>
  <c r="C42" i="2"/>
  <c r="G46" i="2"/>
  <c r="M50" i="2"/>
  <c r="N52" i="2"/>
  <c r="B55" i="2"/>
  <c r="F63" i="2"/>
  <c r="H65" i="2"/>
  <c r="H67" i="2"/>
  <c r="I69" i="2"/>
  <c r="I71" i="2"/>
  <c r="H73" i="2"/>
  <c r="I75" i="2"/>
  <c r="H77" i="2"/>
  <c r="H79" i="2"/>
  <c r="G81" i="2"/>
  <c r="F83" i="2"/>
  <c r="G85" i="2"/>
  <c r="F87" i="2"/>
  <c r="C91" i="2"/>
  <c r="N92" i="2"/>
  <c r="H96" i="2"/>
  <c r="B100" i="2"/>
  <c r="F103" i="2"/>
  <c r="B105" i="2"/>
  <c r="F108" i="2"/>
  <c r="B110" i="2"/>
  <c r="F113" i="2"/>
  <c r="B115" i="2"/>
  <c r="F118" i="2"/>
  <c r="B120" i="2"/>
  <c r="F123" i="2"/>
  <c r="B125" i="2"/>
  <c r="F128" i="2"/>
  <c r="B130" i="2"/>
  <c r="F133" i="2"/>
  <c r="B135" i="2"/>
  <c r="F138" i="2"/>
  <c r="B140" i="2"/>
  <c r="F143" i="2"/>
  <c r="B145" i="2"/>
  <c r="C88" i="3"/>
  <c r="D302" i="3"/>
  <c r="D377" i="3"/>
  <c r="C449" i="3"/>
  <c r="C497" i="3"/>
  <c r="F7" i="2"/>
  <c r="B11" i="2"/>
  <c r="F14" i="2"/>
  <c r="B21" i="2"/>
  <c r="G24" i="2"/>
  <c r="C30" i="2"/>
  <c r="M32" i="2"/>
  <c r="F35" i="2"/>
  <c r="N39" i="2"/>
  <c r="F44" i="2"/>
  <c r="I46" i="2"/>
  <c r="M48" i="2"/>
  <c r="B51" i="2"/>
  <c r="B53" i="2"/>
  <c r="C55" i="2"/>
  <c r="F59" i="2"/>
  <c r="F61" i="2"/>
  <c r="C103" i="3"/>
  <c r="D306" i="3"/>
  <c r="D381" i="3"/>
  <c r="D449" i="3"/>
  <c r="D497" i="3"/>
  <c r="M2" i="2"/>
  <c r="I7" i="2"/>
  <c r="C11" i="2"/>
  <c r="H24" i="2"/>
  <c r="F27" i="2"/>
  <c r="B33" i="2"/>
  <c r="G35" i="2"/>
  <c r="B40" i="2"/>
  <c r="G44" i="2"/>
  <c r="N48" i="2"/>
  <c r="C51" i="2"/>
  <c r="C53" i="2"/>
  <c r="F57" i="2"/>
  <c r="G59" i="2"/>
  <c r="G61" i="2"/>
  <c r="H63" i="2"/>
  <c r="M73" i="2"/>
  <c r="I81" i="2"/>
  <c r="H83" i="2"/>
  <c r="I85" i="2"/>
  <c r="H87" i="2"/>
  <c r="G89" i="2"/>
  <c r="C93" i="2"/>
  <c r="N94" i="2"/>
  <c r="G98" i="2"/>
  <c r="M101" i="2"/>
  <c r="H103" i="2"/>
  <c r="M106" i="2"/>
  <c r="H108" i="2"/>
  <c r="M111" i="2"/>
  <c r="H113" i="2"/>
  <c r="M116" i="2"/>
  <c r="H118" i="2"/>
  <c r="M121" i="2"/>
  <c r="H123" i="2"/>
  <c r="M126" i="2"/>
  <c r="H128" i="2"/>
  <c r="M131" i="2"/>
  <c r="H133" i="2"/>
  <c r="M136" i="2"/>
  <c r="H138" i="2"/>
  <c r="M141" i="2"/>
  <c r="H143" i="2"/>
  <c r="M146" i="2"/>
  <c r="H148" i="2"/>
  <c r="M151" i="2"/>
  <c r="H153" i="2"/>
  <c r="M156" i="2"/>
  <c r="H158" i="2"/>
  <c r="M161" i="2"/>
  <c r="H163" i="2"/>
  <c r="M166" i="2"/>
  <c r="H168" i="2"/>
  <c r="M171" i="2"/>
  <c r="H173" i="2"/>
  <c r="M176" i="2"/>
  <c r="H178" i="2"/>
  <c r="M181" i="2"/>
  <c r="H183" i="2"/>
  <c r="M186" i="2"/>
  <c r="D244" i="3"/>
  <c r="D316" i="3"/>
  <c r="D390" i="3"/>
  <c r="D452" i="3"/>
  <c r="D501" i="3"/>
  <c r="G11" i="2"/>
  <c r="M14" i="2"/>
  <c r="C18" i="2"/>
  <c r="G21" i="2"/>
  <c r="I27" i="2"/>
  <c r="C33" i="2"/>
  <c r="H35" i="2"/>
  <c r="N37" i="2"/>
  <c r="C40" i="2"/>
  <c r="F42" i="2"/>
  <c r="I44" i="2"/>
  <c r="B49" i="2"/>
  <c r="G55" i="2"/>
  <c r="G57" i="2"/>
  <c r="H59" i="2"/>
  <c r="I61" i="2"/>
  <c r="M67" i="2"/>
  <c r="N69" i="2"/>
  <c r="M71" i="2"/>
  <c r="N73" i="2"/>
  <c r="M75" i="2"/>
  <c r="M77" i="2"/>
  <c r="C106" i="3"/>
  <c r="C186" i="3"/>
  <c r="C317" i="3"/>
  <c r="D391" i="3"/>
  <c r="C459" i="3"/>
  <c r="F3" i="2"/>
  <c r="H11" i="2"/>
  <c r="N14" i="2"/>
  <c r="G30" i="2"/>
  <c r="I35" i="2"/>
  <c r="B38" i="2"/>
  <c r="G42" i="2"/>
  <c r="M46" i="2"/>
  <c r="C49" i="2"/>
  <c r="F53" i="2"/>
  <c r="H55" i="2"/>
  <c r="H57" i="2"/>
  <c r="I59" i="2"/>
  <c r="M63" i="2"/>
  <c r="M65" i="2"/>
  <c r="N67" i="2"/>
  <c r="B70" i="2"/>
  <c r="C72" i="2"/>
  <c r="B74" i="2"/>
  <c r="B76" i="2"/>
  <c r="N77" i="2"/>
  <c r="M79" i="2"/>
  <c r="M83" i="2"/>
  <c r="I89" i="2"/>
  <c r="G91" i="2"/>
  <c r="C95" i="2"/>
  <c r="M96" i="2"/>
  <c r="I98" i="2"/>
  <c r="F100" i="2"/>
  <c r="B102" i="2"/>
  <c r="F105" i="2"/>
  <c r="B107" i="2"/>
  <c r="F110" i="2"/>
  <c r="B112" i="2"/>
  <c r="F115" i="2"/>
  <c r="B117" i="2"/>
  <c r="F120" i="2"/>
  <c r="B122" i="2"/>
  <c r="F125" i="2"/>
  <c r="B127" i="2"/>
  <c r="F130" i="2"/>
  <c r="B132" i="2"/>
  <c r="F135" i="2"/>
  <c r="B137" i="2"/>
  <c r="F140" i="2"/>
  <c r="B142" i="2"/>
  <c r="F145" i="2"/>
  <c r="B147" i="2"/>
  <c r="F150" i="2"/>
  <c r="B152" i="2"/>
  <c r="F155" i="2"/>
  <c r="B157" i="2"/>
  <c r="F160" i="2"/>
  <c r="B162" i="2"/>
  <c r="F165" i="2"/>
  <c r="B167" i="2"/>
  <c r="F170" i="2"/>
  <c r="B172" i="2"/>
  <c r="C121" i="3"/>
  <c r="D187" i="3"/>
  <c r="D317" i="3"/>
  <c r="C392" i="3"/>
  <c r="C462" i="3"/>
  <c r="G3" i="2"/>
  <c r="B8" i="2"/>
  <c r="I11" i="2"/>
  <c r="H18" i="2"/>
  <c r="N24" i="2"/>
  <c r="I30" i="2"/>
  <c r="C38" i="2"/>
  <c r="G40" i="2"/>
  <c r="H42" i="2"/>
  <c r="C47" i="2"/>
  <c r="F51" i="2"/>
  <c r="G53" i="2"/>
  <c r="I55" i="2"/>
  <c r="N63" i="2"/>
  <c r="B66" i="2"/>
  <c r="B68" i="2"/>
  <c r="C70" i="2"/>
  <c r="C74" i="2"/>
  <c r="C76" i="2"/>
  <c r="B78" i="2"/>
  <c r="N79" i="2"/>
  <c r="M81" i="2"/>
  <c r="N83" i="2"/>
  <c r="M85" i="2"/>
  <c r="M87" i="2"/>
  <c r="H91" i="2"/>
  <c r="F93" i="2"/>
  <c r="N96" i="2"/>
  <c r="D121" i="3"/>
  <c r="C248" i="3"/>
  <c r="C322" i="3"/>
  <c r="C396" i="3"/>
  <c r="D462" i="3"/>
  <c r="I18" i="2"/>
  <c r="C22" i="2"/>
  <c r="C25" i="2"/>
  <c r="M27" i="2"/>
  <c r="C122" i="3"/>
  <c r="C255" i="3"/>
  <c r="C332" i="3"/>
  <c r="C405" i="3"/>
  <c r="C464" i="3"/>
  <c r="N3" i="2"/>
  <c r="M11" i="2"/>
  <c r="F15" i="2"/>
  <c r="M18" i="2"/>
  <c r="B31" i="2"/>
  <c r="I33" i="2"/>
  <c r="B36" i="2"/>
  <c r="F38" i="2"/>
  <c r="I40" i="2"/>
  <c r="B45" i="2"/>
  <c r="D136" i="3"/>
  <c r="C198" i="3"/>
  <c r="C256" i="3"/>
  <c r="D332" i="3"/>
  <c r="C406" i="3"/>
  <c r="C467" i="3"/>
  <c r="C199" i="3"/>
  <c r="D256" i="3"/>
  <c r="C334" i="3"/>
  <c r="D406" i="3"/>
  <c r="C472" i="3"/>
  <c r="M4" i="2"/>
  <c r="N8" i="2"/>
  <c r="I15" i="2"/>
  <c r="B19" i="2"/>
  <c r="I22" i="2"/>
  <c r="H25" i="2"/>
  <c r="F28" i="2"/>
  <c r="H38" i="2"/>
  <c r="B43" i="2"/>
  <c r="G47" i="2"/>
  <c r="N53" i="2"/>
  <c r="B56" i="2"/>
  <c r="B58" i="2"/>
  <c r="C60" i="2"/>
  <c r="F64" i="2"/>
  <c r="F66" i="2"/>
  <c r="G68" i="2"/>
  <c r="I70" i="2"/>
  <c r="H72" i="2"/>
  <c r="H74" i="2"/>
  <c r="G76" i="2"/>
  <c r="F78" i="2"/>
  <c r="G80" i="2"/>
  <c r="F82" i="2"/>
  <c r="F84" i="2"/>
  <c r="B90" i="2"/>
  <c r="M91" i="2"/>
  <c r="H95" i="2"/>
  <c r="B99" i="2"/>
  <c r="G102" i="2"/>
  <c r="C104" i="2"/>
  <c r="G107" i="2"/>
  <c r="C109" i="2"/>
  <c r="G112" i="2"/>
  <c r="C114" i="2"/>
  <c r="G117" i="2"/>
  <c r="C138" i="3"/>
  <c r="C202" i="3"/>
  <c r="C260" i="3"/>
  <c r="C337" i="3"/>
  <c r="C410" i="3"/>
  <c r="D472" i="3"/>
  <c r="N4" i="2"/>
  <c r="B9" i="2"/>
  <c r="H12" i="2"/>
  <c r="M15" i="2"/>
  <c r="G28" i="2"/>
  <c r="F31" i="2"/>
  <c r="N33" i="2"/>
  <c r="F36" i="2"/>
  <c r="M40" i="2"/>
  <c r="C43" i="2"/>
  <c r="G45" i="2"/>
  <c r="H47" i="2"/>
  <c r="M51" i="2"/>
  <c r="B54" i="2"/>
  <c r="C56" i="2"/>
  <c r="C58" i="2"/>
  <c r="F62" i="2"/>
  <c r="G64" i="2"/>
  <c r="G66" i="2"/>
  <c r="H68" i="2"/>
  <c r="I74" i="2"/>
  <c r="H76" i="2"/>
  <c r="G78" i="2"/>
  <c r="H80" i="2"/>
  <c r="G82" i="2"/>
  <c r="G84" i="2"/>
  <c r="F86" i="2"/>
  <c r="C90" i="2"/>
  <c r="B92" i="2"/>
  <c r="M93" i="2"/>
  <c r="I95" i="2"/>
  <c r="F97" i="2"/>
  <c r="C99" i="2"/>
  <c r="M100" i="2"/>
  <c r="H102" i="2"/>
  <c r="M105" i="2"/>
  <c r="H107" i="2"/>
  <c r="M110" i="2"/>
  <c r="H112" i="2"/>
  <c r="M115" i="2"/>
  <c r="D149" i="3"/>
  <c r="C270" i="3"/>
  <c r="C347" i="3"/>
  <c r="D419" i="3"/>
  <c r="C476" i="3"/>
  <c r="B5" i="2"/>
  <c r="M12" i="2"/>
  <c r="N15" i="2"/>
  <c r="F19" i="2"/>
  <c r="M25" i="2"/>
  <c r="I28" i="2"/>
  <c r="F13" i="2"/>
  <c r="G38" i="2"/>
  <c r="I45" i="2"/>
  <c r="G63" i="2"/>
  <c r="M80" i="2"/>
  <c r="F88" i="2"/>
  <c r="F91" i="2"/>
  <c r="G94" i="2"/>
  <c r="G97" i="2"/>
  <c r="N99" i="2"/>
  <c r="F102" i="2"/>
  <c r="H109" i="2"/>
  <c r="N111" i="2"/>
  <c r="F114" i="2"/>
  <c r="I116" i="2"/>
  <c r="N118" i="2"/>
  <c r="N120" i="2"/>
  <c r="N122" i="2"/>
  <c r="C125" i="2"/>
  <c r="G133" i="2"/>
  <c r="I135" i="2"/>
  <c r="I137" i="2"/>
  <c r="I139" i="2"/>
  <c r="N143" i="2"/>
  <c r="N145" i="2"/>
  <c r="N147" i="2"/>
  <c r="N149" i="2"/>
  <c r="N151" i="2"/>
  <c r="M153" i="2"/>
  <c r="H157" i="2"/>
  <c r="F159" i="2"/>
  <c r="B163" i="2"/>
  <c r="M164" i="2"/>
  <c r="I168" i="2"/>
  <c r="H170" i="2"/>
  <c r="F172" i="2"/>
  <c r="N175" i="2"/>
  <c r="G179" i="2"/>
  <c r="N182" i="2"/>
  <c r="G186" i="2"/>
  <c r="M189" i="2"/>
  <c r="H191" i="2"/>
  <c r="M194" i="2"/>
  <c r="H196" i="2"/>
  <c r="M199" i="2"/>
  <c r="M38" i="2"/>
  <c r="F58" i="2"/>
  <c r="B64" i="2"/>
  <c r="F68" i="2"/>
  <c r="M72" i="2"/>
  <c r="M76" i="2"/>
  <c r="F81" i="2"/>
  <c r="N84" i="2"/>
  <c r="G88" i="2"/>
  <c r="I91" i="2"/>
  <c r="H94" i="2"/>
  <c r="H97" i="2"/>
  <c r="C100" i="2"/>
  <c r="I102" i="2"/>
  <c r="I109" i="2"/>
  <c r="C112" i="2"/>
  <c r="G114" i="2"/>
  <c r="B119" i="2"/>
  <c r="B121" i="2"/>
  <c r="B123" i="2"/>
  <c r="F127" i="2"/>
  <c r="F129" i="2"/>
  <c r="F131" i="2"/>
  <c r="I133" i="2"/>
  <c r="N141" i="2"/>
  <c r="B144" i="2"/>
  <c r="B146" i="2"/>
  <c r="B148" i="2"/>
  <c r="B150" i="2"/>
  <c r="C152" i="2"/>
  <c r="N153" i="2"/>
  <c r="I157" i="2"/>
  <c r="G159" i="2"/>
  <c r="C163" i="2"/>
  <c r="N164" i="2"/>
  <c r="I170" i="2"/>
  <c r="G172" i="2"/>
  <c r="B176" i="2"/>
  <c r="H179" i="2"/>
  <c r="B183" i="2"/>
  <c r="H186" i="2"/>
  <c r="N189" i="2"/>
  <c r="I191" i="2"/>
  <c r="N194" i="2"/>
  <c r="I196" i="2"/>
  <c r="N199" i="2"/>
  <c r="I201" i="2"/>
  <c r="N204" i="2"/>
  <c r="I206" i="2"/>
  <c r="N209" i="2"/>
  <c r="I211" i="2"/>
  <c r="N214" i="2"/>
  <c r="I216" i="2"/>
  <c r="N219" i="2"/>
  <c r="I221" i="2"/>
  <c r="N224" i="2"/>
  <c r="I226" i="2"/>
  <c r="N229" i="2"/>
  <c r="I231" i="2"/>
  <c r="N234" i="2"/>
  <c r="I236" i="2"/>
  <c r="N239" i="2"/>
  <c r="I241" i="2"/>
  <c r="N244" i="2"/>
  <c r="I246" i="2"/>
  <c r="N249" i="2"/>
  <c r="I251" i="2"/>
  <c r="N254" i="2"/>
  <c r="I256" i="2"/>
  <c r="N259" i="2"/>
  <c r="I261" i="2"/>
  <c r="N264" i="2"/>
  <c r="I266" i="2"/>
  <c r="C154" i="3"/>
  <c r="C31" i="2"/>
  <c r="N38" i="2"/>
  <c r="F52" i="2"/>
  <c r="G58" i="2"/>
  <c r="C64" i="2"/>
  <c r="N72" i="2"/>
  <c r="G77" i="2"/>
  <c r="H81" i="2"/>
  <c r="H88" i="2"/>
  <c r="N104" i="2"/>
  <c r="F107" i="2"/>
  <c r="H114" i="2"/>
  <c r="I16" i="2"/>
  <c r="G31" i="2"/>
  <c r="B39" i="2"/>
  <c r="H53" i="2"/>
  <c r="H58" i="2"/>
  <c r="M68" i="2"/>
  <c r="B73" i="2"/>
  <c r="H85" i="2"/>
  <c r="M94" i="2"/>
  <c r="G100" i="2"/>
  <c r="C105" i="2"/>
  <c r="I107" i="2"/>
  <c r="I114" i="2"/>
  <c r="C117" i="2"/>
  <c r="H125" i="2"/>
  <c r="H127" i="2"/>
  <c r="H129" i="2"/>
  <c r="I131" i="2"/>
  <c r="M133" i="2"/>
  <c r="M135" i="2"/>
  <c r="M137" i="2"/>
  <c r="N139" i="2"/>
  <c r="C154" i="2"/>
  <c r="N155" i="2"/>
  <c r="I159" i="2"/>
  <c r="G161" i="2"/>
  <c r="C165" i="2"/>
  <c r="C167" i="2"/>
  <c r="N168" i="2"/>
  <c r="I172" i="2"/>
  <c r="G174" i="2"/>
  <c r="N177" i="2"/>
  <c r="G181" i="2"/>
  <c r="N184" i="2"/>
  <c r="C211" i="3"/>
  <c r="H31" i="2"/>
  <c r="C39" i="2"/>
  <c r="F47" i="2"/>
  <c r="H64" i="2"/>
  <c r="N68" i="2"/>
  <c r="G73" i="2"/>
  <c r="C78" i="2"/>
  <c r="C82" i="2"/>
  <c r="M88" i="2"/>
  <c r="C92" i="2"/>
  <c r="B95" i="2"/>
  <c r="M97" i="2"/>
  <c r="H100" i="2"/>
  <c r="M102" i="2"/>
  <c r="N109" i="2"/>
  <c r="F112" i="2"/>
  <c r="G123" i="2"/>
  <c r="I125" i="2"/>
  <c r="I127" i="2"/>
  <c r="I129" i="2"/>
  <c r="N133" i="2"/>
  <c r="N135" i="2"/>
  <c r="N137" i="2"/>
  <c r="C140" i="2"/>
  <c r="F148" i="2"/>
  <c r="D214" i="3"/>
  <c r="D1" i="2"/>
  <c r="N18" i="2"/>
  <c r="H40" i="2"/>
  <c r="M53" i="2"/>
  <c r="N59" i="2"/>
  <c r="I64" i="2"/>
  <c r="B69" i="2"/>
  <c r="B86" i="2"/>
  <c r="N88" i="2"/>
  <c r="N97" i="2"/>
  <c r="I100" i="2"/>
  <c r="N102" i="2"/>
  <c r="G105" i="2"/>
  <c r="C110" i="2"/>
  <c r="I112" i="2"/>
  <c r="F119" i="2"/>
  <c r="F121" i="2"/>
  <c r="I123" i="2"/>
  <c r="N131" i="2"/>
  <c r="B134" i="2"/>
  <c r="B136" i="2"/>
  <c r="B138" i="2"/>
  <c r="F142" i="2"/>
  <c r="F144" i="2"/>
  <c r="F146" i="2"/>
  <c r="G148" i="2"/>
  <c r="H150" i="2"/>
  <c r="G152" i="2"/>
  <c r="C156" i="2"/>
  <c r="N157" i="2"/>
  <c r="I161" i="2"/>
  <c r="G163" i="2"/>
  <c r="G165" i="2"/>
  <c r="C169" i="2"/>
  <c r="N170" i="2"/>
  <c r="I174" i="2"/>
  <c r="F176" i="2"/>
  <c r="C178" i="2"/>
  <c r="M179" i="2"/>
  <c r="I181" i="2"/>
  <c r="F183" i="2"/>
  <c r="C185" i="2"/>
  <c r="N186" i="2"/>
  <c r="I188" i="2"/>
  <c r="N191" i="2"/>
  <c r="I193" i="2"/>
  <c r="N196" i="2"/>
  <c r="I198" i="2"/>
  <c r="N201" i="2"/>
  <c r="I203" i="2"/>
  <c r="N206" i="2"/>
  <c r="I208" i="2"/>
  <c r="N211" i="2"/>
  <c r="I213" i="2"/>
  <c r="N216" i="2"/>
  <c r="I218" i="2"/>
  <c r="N221" i="2"/>
  <c r="I223" i="2"/>
  <c r="N226" i="2"/>
  <c r="I228" i="2"/>
  <c r="N231" i="2"/>
  <c r="I233" i="2"/>
  <c r="N236" i="2"/>
  <c r="I238" i="2"/>
  <c r="N241" i="2"/>
  <c r="I243" i="2"/>
  <c r="N246" i="2"/>
  <c r="I248" i="2"/>
  <c r="N251" i="2"/>
  <c r="D271" i="3"/>
  <c r="H19" i="2"/>
  <c r="M31" i="2"/>
  <c r="C54" i="2"/>
  <c r="B60" i="2"/>
  <c r="H69" i="2"/>
  <c r="C86" i="2"/>
  <c r="C89" i="2"/>
  <c r="F95" i="2"/>
  <c r="B98" i="2"/>
  <c r="B103" i="2"/>
  <c r="H105" i="2"/>
  <c r="M107" i="2"/>
  <c r="N114" i="2"/>
  <c r="F117" i="2"/>
  <c r="G119" i="2"/>
  <c r="G121" i="2"/>
  <c r="C132" i="2"/>
  <c r="C134" i="2"/>
  <c r="C136" i="2"/>
  <c r="C138" i="2"/>
  <c r="G140" i="2"/>
  <c r="G142" i="2"/>
  <c r="G144" i="2"/>
  <c r="G146" i="2"/>
  <c r="I148" i="2"/>
  <c r="I150" i="2"/>
  <c r="H152" i="2"/>
  <c r="F154" i="2"/>
  <c r="B158" i="2"/>
  <c r="M159" i="2"/>
  <c r="I163" i="2"/>
  <c r="H165" i="2"/>
  <c r="F167" i="2"/>
  <c r="B171" i="2"/>
  <c r="M172" i="2"/>
  <c r="G176" i="2"/>
  <c r="N179" i="2"/>
  <c r="C272" i="3"/>
  <c r="H33" i="2"/>
  <c r="B41" i="2"/>
  <c r="N47" i="2"/>
  <c r="G60" i="2"/>
  <c r="F74" i="2"/>
  <c r="H78" i="2"/>
  <c r="H82" i="2"/>
  <c r="F89" i="2"/>
  <c r="F92" i="2"/>
  <c r="G95" i="2"/>
  <c r="N100" i="2"/>
  <c r="C103" i="2"/>
  <c r="I105" i="2"/>
  <c r="N107" i="2"/>
  <c r="G110" i="2"/>
  <c r="C276" i="3"/>
  <c r="N19" i="2"/>
  <c r="C41" i="2"/>
  <c r="B48" i="2"/>
  <c r="F54" i="2"/>
  <c r="H60" i="2"/>
  <c r="G65" i="2"/>
  <c r="G74" i="2"/>
  <c r="G86" i="2"/>
  <c r="H89" i="2"/>
  <c r="H92" i="2"/>
  <c r="F98" i="2"/>
  <c r="B101" i="2"/>
  <c r="B108" i="2"/>
  <c r="H110" i="2"/>
  <c r="M112" i="2"/>
  <c r="I117" i="2"/>
  <c r="I119" i="2"/>
  <c r="N123" i="2"/>
  <c r="N125" i="2"/>
  <c r="N127" i="2"/>
  <c r="D347" i="3"/>
  <c r="B4" i="2"/>
  <c r="F49" i="2"/>
  <c r="G54" i="2"/>
  <c r="I60" i="2"/>
  <c r="I65" i="2"/>
  <c r="G70" i="2"/>
  <c r="M78" i="2"/>
  <c r="H86" i="2"/>
  <c r="H98" i="2"/>
  <c r="C101" i="2"/>
  <c r="G103" i="2"/>
  <c r="N105" i="2"/>
  <c r="C108" i="2"/>
  <c r="I110" i="2"/>
  <c r="N112" i="2"/>
  <c r="G115" i="2"/>
  <c r="N121" i="2"/>
  <c r="B124" i="2"/>
  <c r="B126" i="2"/>
  <c r="B128" i="2"/>
  <c r="F132" i="2"/>
  <c r="F134" i="2"/>
  <c r="F136" i="2"/>
  <c r="I138" i="2"/>
  <c r="N146" i="2"/>
  <c r="N148" i="2"/>
  <c r="M150" i="2"/>
  <c r="I154" i="2"/>
  <c r="G156" i="2"/>
  <c r="C160" i="2"/>
  <c r="C162" i="2"/>
  <c r="N163" i="2"/>
  <c r="I167" i="2"/>
  <c r="G169" i="2"/>
  <c r="C173" i="2"/>
  <c r="N174" i="2"/>
  <c r="G178" i="2"/>
  <c r="B182" i="2"/>
  <c r="H185" i="2"/>
  <c r="N188" i="2"/>
  <c r="I190" i="2"/>
  <c r="N193" i="2"/>
  <c r="I195" i="2"/>
  <c r="N198" i="2"/>
  <c r="I200" i="2"/>
  <c r="N203" i="2"/>
  <c r="I205" i="2"/>
  <c r="N208" i="2"/>
  <c r="I210" i="2"/>
  <c r="N213" i="2"/>
  <c r="I215" i="2"/>
  <c r="N218" i="2"/>
  <c r="I220" i="2"/>
  <c r="C349" i="3"/>
  <c r="M22" i="2"/>
  <c r="F41" i="2"/>
  <c r="G49" i="2"/>
  <c r="C66" i="2"/>
  <c r="H70" i="2"/>
  <c r="N78" i="2"/>
  <c r="M82" i="2"/>
  <c r="I86" i="2"/>
  <c r="M89" i="2"/>
  <c r="M92" i="2"/>
  <c r="M95" i="2"/>
  <c r="I103" i="2"/>
  <c r="B106" i="2"/>
  <c r="B113" i="2"/>
  <c r="H115" i="2"/>
  <c r="C122" i="2"/>
  <c r="C124" i="2"/>
  <c r="C126" i="2"/>
  <c r="C128" i="2"/>
  <c r="G130" i="2"/>
  <c r="G132" i="2"/>
  <c r="G134" i="2"/>
  <c r="G136" i="2"/>
  <c r="C147" i="2"/>
  <c r="B149" i="2"/>
  <c r="N150" i="2"/>
  <c r="M152" i="2"/>
  <c r="H156" i="2"/>
  <c r="F158" i="2"/>
  <c r="B164" i="2"/>
  <c r="D352" i="3"/>
  <c r="G5" i="2"/>
  <c r="C23" i="2"/>
  <c r="G34" i="2"/>
  <c r="I49" i="2"/>
  <c r="M74" i="2"/>
  <c r="G79" i="2"/>
  <c r="C420" i="3"/>
  <c r="H34" i="2"/>
  <c r="N42" i="2"/>
  <c r="N49" i="2"/>
  <c r="M55" i="2"/>
  <c r="M61" i="2"/>
  <c r="M70" i="2"/>
  <c r="N74" i="2"/>
  <c r="I79" i="2"/>
  <c r="G83" i="2"/>
  <c r="M86" i="2"/>
  <c r="D420" i="3"/>
  <c r="H8" i="2"/>
  <c r="G25" i="2"/>
  <c r="N35" i="2"/>
  <c r="D424" i="3"/>
  <c r="N25" i="2"/>
  <c r="F43" i="2"/>
  <c r="D476" i="3"/>
  <c r="H9" i="2"/>
  <c r="B26" i="2"/>
  <c r="H36" i="2"/>
  <c r="G43" i="2"/>
  <c r="F56" i="2"/>
  <c r="G62" i="2"/>
  <c r="H71" i="2"/>
  <c r="C80" i="2"/>
  <c r="C84" i="2"/>
  <c r="G87" i="2"/>
  <c r="H90" i="2"/>
  <c r="I96" i="2"/>
  <c r="G99" i="2"/>
  <c r="G106" i="2"/>
  <c r="N108" i="2"/>
  <c r="C116" i="2"/>
  <c r="H120" i="2"/>
  <c r="H122" i="2"/>
  <c r="H124" i="2"/>
  <c r="I126" i="2"/>
  <c r="M128" i="2"/>
  <c r="M130" i="2"/>
  <c r="M132" i="2"/>
  <c r="N134" i="2"/>
  <c r="H145" i="2"/>
  <c r="H147" i="2"/>
  <c r="G149" i="2"/>
  <c r="F151" i="2"/>
  <c r="C155" i="2"/>
  <c r="C157" i="2"/>
  <c r="N158" i="2"/>
  <c r="I162" i="2"/>
  <c r="G164" i="2"/>
  <c r="C168" i="2"/>
  <c r="N169" i="2"/>
  <c r="H175" i="2"/>
  <c r="B179" i="2"/>
  <c r="H182" i="2"/>
  <c r="B186" i="2"/>
  <c r="G189" i="2"/>
  <c r="C191" i="2"/>
  <c r="G194" i="2"/>
  <c r="C196" i="2"/>
  <c r="G199" i="2"/>
  <c r="C201" i="2"/>
  <c r="C477" i="3"/>
  <c r="F26" i="2"/>
  <c r="I36" i="2"/>
  <c r="H43" i="2"/>
  <c r="G51" i="2"/>
  <c r="G56" i="2"/>
  <c r="H62" i="2"/>
  <c r="M66" i="2"/>
  <c r="N93" i="2"/>
  <c r="H99" i="2"/>
  <c r="D480" i="3"/>
  <c r="G93" i="2"/>
  <c r="F101" i="2"/>
  <c r="C113" i="2"/>
  <c r="N117" i="2"/>
  <c r="H130" i="2"/>
  <c r="H137" i="2"/>
  <c r="F141" i="2"/>
  <c r="G145" i="2"/>
  <c r="F152" i="2"/>
  <c r="G155" i="2"/>
  <c r="I158" i="2"/>
  <c r="H161" i="2"/>
  <c r="I164" i="2"/>
  <c r="M175" i="2"/>
  <c r="F181" i="2"/>
  <c r="B184" i="2"/>
  <c r="F186" i="2"/>
  <c r="M188" i="2"/>
  <c r="B191" i="2"/>
  <c r="F193" i="2"/>
  <c r="H195" i="2"/>
  <c r="B200" i="2"/>
  <c r="C202" i="2"/>
  <c r="C204" i="2"/>
  <c r="B206" i="2"/>
  <c r="N207" i="2"/>
  <c r="M209" i="2"/>
  <c r="M211" i="2"/>
  <c r="M213" i="2"/>
  <c r="M215" i="2"/>
  <c r="H225" i="2"/>
  <c r="F227" i="2"/>
  <c r="B231" i="2"/>
  <c r="M232" i="2"/>
  <c r="H236" i="2"/>
  <c r="G238" i="2"/>
  <c r="F240" i="2"/>
  <c r="B244" i="2"/>
  <c r="M245" i="2"/>
  <c r="H249" i="2"/>
  <c r="F251" i="2"/>
  <c r="B255" i="2"/>
  <c r="H258" i="2"/>
  <c r="B262" i="2"/>
  <c r="H265" i="2"/>
  <c r="N268" i="2"/>
  <c r="I270" i="2"/>
  <c r="N273" i="2"/>
  <c r="I275" i="2"/>
  <c r="N278" i="2"/>
  <c r="I280" i="2"/>
  <c r="N283" i="2"/>
  <c r="I285" i="2"/>
  <c r="N288" i="2"/>
  <c r="I290" i="2"/>
  <c r="N293" i="2"/>
  <c r="I295" i="2"/>
  <c r="N298" i="2"/>
  <c r="I66" i="2"/>
  <c r="H93" i="2"/>
  <c r="G101" i="2"/>
  <c r="N106" i="2"/>
  <c r="B118" i="2"/>
  <c r="F122" i="2"/>
  <c r="F126" i="2"/>
  <c r="I130" i="2"/>
  <c r="G141" i="2"/>
  <c r="I145" i="2"/>
  <c r="I152" i="2"/>
  <c r="H155" i="2"/>
  <c r="G170" i="2"/>
  <c r="F173" i="2"/>
  <c r="C176" i="2"/>
  <c r="M178" i="2"/>
  <c r="H181" i="2"/>
  <c r="C184" i="2"/>
  <c r="I186" i="2"/>
  <c r="B189" i="2"/>
  <c r="G193" i="2"/>
  <c r="M197" i="2"/>
  <c r="C200" i="2"/>
  <c r="C206" i="2"/>
  <c r="B208" i="2"/>
  <c r="B210" i="2"/>
  <c r="B212" i="2"/>
  <c r="B214" i="2"/>
  <c r="N215" i="2"/>
  <c r="M217" i="2"/>
  <c r="I225" i="2"/>
  <c r="G227" i="2"/>
  <c r="C231" i="2"/>
  <c r="N232" i="2"/>
  <c r="H238" i="2"/>
  <c r="G240" i="2"/>
  <c r="C244" i="2"/>
  <c r="N245" i="2"/>
  <c r="I249" i="2"/>
  <c r="G251" i="2"/>
  <c r="F253" i="2"/>
  <c r="C255" i="2"/>
  <c r="M256" i="2"/>
  <c r="I258" i="2"/>
  <c r="F260" i="2"/>
  <c r="C262" i="2"/>
  <c r="M263" i="2"/>
  <c r="I265" i="2"/>
  <c r="F267" i="2"/>
  <c r="B269" i="2"/>
  <c r="F272" i="2"/>
  <c r="B84" i="2"/>
  <c r="B94" i="2"/>
  <c r="I101" i="2"/>
  <c r="C107" i="2"/>
  <c r="G113" i="2"/>
  <c r="C118" i="2"/>
  <c r="G122" i="2"/>
  <c r="G126" i="2"/>
  <c r="H134" i="2"/>
  <c r="I141" i="2"/>
  <c r="F149" i="2"/>
  <c r="I155" i="2"/>
  <c r="M158" i="2"/>
  <c r="N161" i="2"/>
  <c r="M167" i="2"/>
  <c r="G173" i="2"/>
  <c r="N178" i="2"/>
  <c r="C189" i="2"/>
  <c r="H193" i="2"/>
  <c r="N197" i="2"/>
  <c r="F202" i="2"/>
  <c r="C208" i="2"/>
  <c r="C210" i="2"/>
  <c r="C212" i="2"/>
  <c r="C214" i="2"/>
  <c r="B216" i="2"/>
  <c r="N217" i="2"/>
  <c r="M219" i="2"/>
  <c r="M221" i="2"/>
  <c r="M223" i="2"/>
  <c r="N44" i="2"/>
  <c r="G67" i="2"/>
  <c r="H84" i="2"/>
  <c r="C94" i="2"/>
  <c r="N101" i="2"/>
  <c r="G108" i="2"/>
  <c r="I113" i="2"/>
  <c r="G118" i="2"/>
  <c r="I122" i="2"/>
  <c r="I134" i="2"/>
  <c r="G138" i="2"/>
  <c r="C142" i="2"/>
  <c r="H149" i="2"/>
  <c r="N152" i="2"/>
  <c r="M155" i="2"/>
  <c r="B159" i="2"/>
  <c r="B165" i="2"/>
  <c r="N167" i="2"/>
  <c r="M170" i="2"/>
  <c r="I173" i="2"/>
  <c r="H176" i="2"/>
  <c r="C179" i="2"/>
  <c r="N181" i="2"/>
  <c r="F184" i="2"/>
  <c r="B187" i="2"/>
  <c r="F191" i="2"/>
  <c r="M195" i="2"/>
  <c r="B198" i="2"/>
  <c r="F200" i="2"/>
  <c r="G202" i="2"/>
  <c r="F204" i="2"/>
  <c r="C216" i="2"/>
  <c r="B218" i="2"/>
  <c r="B220" i="2"/>
  <c r="B222" i="2"/>
  <c r="N223" i="2"/>
  <c r="I227" i="2"/>
  <c r="G229" i="2"/>
  <c r="C233" i="2"/>
  <c r="B235" i="2"/>
  <c r="M236" i="2"/>
  <c r="I240" i="2"/>
  <c r="G242" i="2"/>
  <c r="C246" i="2"/>
  <c r="N247" i="2"/>
  <c r="H253" i="2"/>
  <c r="B257" i="2"/>
  <c r="H260" i="2"/>
  <c r="B264" i="2"/>
  <c r="H267" i="2"/>
  <c r="M270" i="2"/>
  <c r="H272" i="2"/>
  <c r="M275" i="2"/>
  <c r="H277" i="2"/>
  <c r="M280" i="2"/>
  <c r="H282" i="2"/>
  <c r="M285" i="2"/>
  <c r="H287" i="2"/>
  <c r="M290" i="2"/>
  <c r="H292" i="2"/>
  <c r="M295" i="2"/>
  <c r="H297" i="2"/>
  <c r="M300" i="2"/>
  <c r="H302" i="2"/>
  <c r="M305" i="2"/>
  <c r="H307" i="2"/>
  <c r="M310" i="2"/>
  <c r="H312" i="2"/>
  <c r="M315" i="2"/>
  <c r="H317" i="2"/>
  <c r="M320" i="2"/>
  <c r="H322" i="2"/>
  <c r="M325" i="2"/>
  <c r="H327" i="2"/>
  <c r="M330" i="2"/>
  <c r="H332" i="2"/>
  <c r="C45" i="2"/>
  <c r="I84" i="2"/>
  <c r="C102" i="2"/>
  <c r="I108" i="2"/>
  <c r="M113" i="2"/>
  <c r="I118" i="2"/>
  <c r="N126" i="2"/>
  <c r="N130" i="2"/>
  <c r="M138" i="2"/>
  <c r="H142" i="2"/>
  <c r="M145" i="2"/>
  <c r="I149" i="2"/>
  <c r="B153" i="2"/>
  <c r="B156" i="2"/>
  <c r="H45" i="2"/>
  <c r="C68" i="2"/>
  <c r="B96" i="2"/>
  <c r="N113" i="2"/>
  <c r="C127" i="2"/>
  <c r="B131" i="2"/>
  <c r="N138" i="2"/>
  <c r="I142" i="2"/>
  <c r="C146" i="2"/>
  <c r="C153" i="2"/>
  <c r="G162" i="2"/>
  <c r="I165" i="2"/>
  <c r="N173" i="2"/>
  <c r="H184" i="2"/>
  <c r="F189" i="2"/>
  <c r="B50" i="2"/>
  <c r="B71" i="2"/>
  <c r="C87" i="2"/>
  <c r="M108" i="2"/>
  <c r="B114" i="2"/>
  <c r="M118" i="2"/>
  <c r="M122" i="2"/>
  <c r="C131" i="2"/>
  <c r="C135" i="2"/>
  <c r="B139" i="2"/>
  <c r="M142" i="2"/>
  <c r="I146" i="2"/>
  <c r="F156" i="2"/>
  <c r="H162" i="2"/>
  <c r="F171" i="2"/>
  <c r="B174" i="2"/>
  <c r="N176" i="2"/>
  <c r="F179" i="2"/>
  <c r="I184" i="2"/>
  <c r="F187" i="2"/>
  <c r="H189" i="2"/>
  <c r="B194" i="2"/>
  <c r="G198" i="2"/>
  <c r="I204" i="2"/>
  <c r="H206" i="2"/>
  <c r="H208" i="2"/>
  <c r="H210" i="2"/>
  <c r="H212" i="2"/>
  <c r="G214" i="2"/>
  <c r="C50" i="2"/>
  <c r="C71" i="2"/>
  <c r="B109" i="2"/>
  <c r="C119" i="2"/>
  <c r="C123" i="2"/>
  <c r="I51" i="2"/>
  <c r="N87" i="2"/>
  <c r="G96" i="2"/>
  <c r="M103" i="2"/>
  <c r="C115" i="2"/>
  <c r="F72" i="2"/>
  <c r="B88" i="2"/>
  <c r="B97" i="2"/>
  <c r="N103" i="2"/>
  <c r="F109" i="2"/>
  <c r="I115" i="2"/>
  <c r="N119" i="2"/>
  <c r="H135" i="2"/>
  <c r="F139" i="2"/>
  <c r="C143" i="2"/>
  <c r="I153" i="2"/>
  <c r="N159" i="2"/>
  <c r="M162" i="2"/>
  <c r="C52" i="2"/>
  <c r="G72" i="2"/>
  <c r="C88" i="2"/>
  <c r="C97" i="2"/>
  <c r="B104" i="2"/>
  <c r="G109" i="2"/>
  <c r="C120" i="2"/>
  <c r="G128" i="2"/>
  <c r="G139" i="2"/>
  <c r="G143" i="2"/>
  <c r="F147" i="2"/>
  <c r="N156" i="2"/>
  <c r="B160" i="2"/>
  <c r="N162" i="2"/>
  <c r="C166" i="2"/>
  <c r="B169" i="2"/>
  <c r="F177" i="2"/>
  <c r="C180" i="2"/>
  <c r="F185" i="2"/>
  <c r="B190" i="2"/>
  <c r="F194" i="2"/>
  <c r="H75" i="2"/>
  <c r="N89" i="2"/>
  <c r="F104" i="2"/>
  <c r="N110" i="2"/>
  <c r="N115" i="2"/>
  <c r="F124" i="2"/>
  <c r="I128" i="2"/>
  <c r="H132" i="2"/>
  <c r="H139" i="2"/>
  <c r="I143" i="2"/>
  <c r="G147" i="2"/>
  <c r="B151" i="2"/>
  <c r="B154" i="2"/>
  <c r="G160" i="2"/>
  <c r="N171" i="2"/>
  <c r="M174" i="2"/>
  <c r="G177" i="2"/>
  <c r="F180" i="2"/>
  <c r="G185" i="2"/>
  <c r="M187" i="2"/>
  <c r="C190" i="2"/>
  <c r="F192" i="2"/>
  <c r="H194" i="2"/>
  <c r="B199" i="2"/>
  <c r="C203" i="2"/>
  <c r="C205" i="2"/>
  <c r="C207" i="2"/>
  <c r="C209" i="2"/>
  <c r="B211" i="2"/>
  <c r="N212" i="2"/>
  <c r="M214" i="2"/>
  <c r="M216" i="2"/>
  <c r="M218" i="2"/>
  <c r="M220" i="2"/>
  <c r="M98" i="2"/>
  <c r="G104" i="2"/>
  <c r="C12" i="2"/>
  <c r="C13" i="2"/>
  <c r="N57" i="2"/>
  <c r="F99" i="2"/>
  <c r="C106" i="2"/>
  <c r="F111" i="2"/>
  <c r="F116" i="2"/>
  <c r="I76" i="2"/>
  <c r="G129" i="2"/>
  <c r="N144" i="2"/>
  <c r="C158" i="2"/>
  <c r="C164" i="2"/>
  <c r="M168" i="2"/>
  <c r="B178" i="2"/>
  <c r="I182" i="2"/>
  <c r="H190" i="2"/>
  <c r="G197" i="2"/>
  <c r="M200" i="2"/>
  <c r="H203" i="2"/>
  <c r="G206" i="2"/>
  <c r="G217" i="2"/>
  <c r="M224" i="2"/>
  <c r="H229" i="2"/>
  <c r="M233" i="2"/>
  <c r="N235" i="2"/>
  <c r="B238" i="2"/>
  <c r="I242" i="2"/>
  <c r="M246" i="2"/>
  <c r="B249" i="2"/>
  <c r="C251" i="2"/>
  <c r="G253" i="2"/>
  <c r="H255" i="2"/>
  <c r="H257" i="2"/>
  <c r="H259" i="2"/>
  <c r="H261" i="2"/>
  <c r="I263" i="2"/>
  <c r="M265" i="2"/>
  <c r="M267" i="2"/>
  <c r="I273" i="2"/>
  <c r="G275" i="2"/>
  <c r="F277" i="2"/>
  <c r="C281" i="2"/>
  <c r="N282" i="2"/>
  <c r="I286" i="2"/>
  <c r="G288" i="2"/>
  <c r="C292" i="2"/>
  <c r="B294" i="2"/>
  <c r="N295" i="2"/>
  <c r="I299" i="2"/>
  <c r="F301" i="2"/>
  <c r="C303" i="2"/>
  <c r="M304" i="2"/>
  <c r="I306" i="2"/>
  <c r="F308" i="2"/>
  <c r="C310" i="2"/>
  <c r="M311" i="2"/>
  <c r="I313" i="2"/>
  <c r="F315" i="2"/>
  <c r="C317" i="2"/>
  <c r="M318" i="2"/>
  <c r="I320" i="2"/>
  <c r="F322" i="2"/>
  <c r="C324" i="2"/>
  <c r="N325" i="2"/>
  <c r="G329" i="2"/>
  <c r="N332" i="2"/>
  <c r="F336" i="2"/>
  <c r="B338" i="2"/>
  <c r="F341" i="2"/>
  <c r="B343" i="2"/>
  <c r="F346" i="2"/>
  <c r="B348" i="2"/>
  <c r="F351" i="2"/>
  <c r="B353" i="2"/>
  <c r="F356" i="2"/>
  <c r="B358" i="2"/>
  <c r="F361" i="2"/>
  <c r="B363" i="2"/>
  <c r="F366" i="2"/>
  <c r="B368" i="2"/>
  <c r="F371" i="2"/>
  <c r="B373" i="2"/>
  <c r="F376" i="2"/>
  <c r="B378" i="2"/>
  <c r="F381" i="2"/>
  <c r="B383" i="2"/>
  <c r="F386" i="2"/>
  <c r="B388" i="2"/>
  <c r="F391" i="2"/>
  <c r="B393" i="2"/>
  <c r="F396" i="2"/>
  <c r="B398" i="2"/>
  <c r="F401" i="2"/>
  <c r="B403" i="2"/>
  <c r="F406" i="2"/>
  <c r="B408" i="2"/>
  <c r="F411" i="2"/>
  <c r="B413" i="2"/>
  <c r="F416" i="2"/>
  <c r="B418" i="2"/>
  <c r="F421" i="2"/>
  <c r="B423" i="2"/>
  <c r="F106" i="2"/>
  <c r="M120" i="2"/>
  <c r="N129" i="2"/>
  <c r="F137" i="2"/>
  <c r="C145" i="2"/>
  <c r="F169" i="2"/>
  <c r="M173" i="2"/>
  <c r="M182" i="2"/>
  <c r="C187" i="2"/>
  <c r="H197" i="2"/>
  <c r="N200" i="2"/>
  <c r="F209" i="2"/>
  <c r="F212" i="2"/>
  <c r="B215" i="2"/>
  <c r="H217" i="2"/>
  <c r="F220" i="2"/>
  <c r="B225" i="2"/>
  <c r="I229" i="2"/>
  <c r="N233" i="2"/>
  <c r="B236" i="2"/>
  <c r="C238" i="2"/>
  <c r="H240" i="2"/>
  <c r="B247" i="2"/>
  <c r="C249" i="2"/>
  <c r="I253" i="2"/>
  <c r="I255" i="2"/>
  <c r="I257" i="2"/>
  <c r="I259" i="2"/>
  <c r="N265" i="2"/>
  <c r="N267" i="2"/>
  <c r="M269" i="2"/>
  <c r="H275" i="2"/>
  <c r="G277" i="2"/>
  <c r="F279" i="2"/>
  <c r="B283" i="2"/>
  <c r="M284" i="2"/>
  <c r="H288" i="2"/>
  <c r="F290" i="2"/>
  <c r="C294" i="2"/>
  <c r="B296" i="2"/>
  <c r="M297" i="2"/>
  <c r="G301" i="2"/>
  <c r="N304" i="2"/>
  <c r="G308" i="2"/>
  <c r="N311" i="2"/>
  <c r="G315" i="2"/>
  <c r="N318" i="2"/>
  <c r="G322" i="2"/>
  <c r="B326" i="2"/>
  <c r="H329" i="2"/>
  <c r="B333" i="2"/>
  <c r="G336" i="2"/>
  <c r="C338" i="2"/>
  <c r="G341" i="2"/>
  <c r="C343" i="2"/>
  <c r="G346" i="2"/>
  <c r="C348" i="2"/>
  <c r="G351" i="2"/>
  <c r="C353" i="2"/>
  <c r="G356" i="2"/>
  <c r="C358" i="2"/>
  <c r="G361" i="2"/>
  <c r="C363" i="2"/>
  <c r="G366" i="2"/>
  <c r="C368" i="2"/>
  <c r="G371" i="2"/>
  <c r="C373" i="2"/>
  <c r="G376" i="2"/>
  <c r="C378" i="2"/>
  <c r="G381" i="2"/>
  <c r="C383" i="2"/>
  <c r="G386" i="2"/>
  <c r="C388" i="2"/>
  <c r="G391" i="2"/>
  <c r="C393" i="2"/>
  <c r="G396" i="2"/>
  <c r="C398" i="2"/>
  <c r="G401" i="2"/>
  <c r="C403" i="2"/>
  <c r="G406" i="2"/>
  <c r="C408" i="2"/>
  <c r="G411" i="2"/>
  <c r="C413" i="2"/>
  <c r="G416" i="2"/>
  <c r="C418" i="2"/>
  <c r="G421" i="2"/>
  <c r="C423" i="2"/>
  <c r="G426" i="2"/>
  <c r="C428" i="2"/>
  <c r="G431" i="2"/>
  <c r="C433" i="2"/>
  <c r="G436" i="2"/>
  <c r="C438" i="2"/>
  <c r="G441" i="2"/>
  <c r="C443" i="2"/>
  <c r="G446" i="2"/>
  <c r="C448" i="2"/>
  <c r="G451" i="2"/>
  <c r="C453" i="2"/>
  <c r="G456" i="2"/>
  <c r="C458" i="2"/>
  <c r="G461" i="2"/>
  <c r="C463" i="2"/>
  <c r="G466" i="2"/>
  <c r="C468" i="2"/>
  <c r="G471" i="2"/>
  <c r="C473" i="2"/>
  <c r="G476" i="2"/>
  <c r="C478" i="2"/>
  <c r="B80" i="2"/>
  <c r="I106" i="2"/>
  <c r="C121" i="2"/>
  <c r="C130" i="2"/>
  <c r="G137" i="2"/>
  <c r="G158" i="2"/>
  <c r="H169" i="2"/>
  <c r="C174" i="2"/>
  <c r="F178" i="2"/>
  <c r="C183" i="2"/>
  <c r="G187" i="2"/>
  <c r="I194" i="2"/>
  <c r="I197" i="2"/>
  <c r="B201" i="2"/>
  <c r="G209" i="2"/>
  <c r="G212" i="2"/>
  <c r="C215" i="2"/>
  <c r="I217" i="2"/>
  <c r="G220" i="2"/>
  <c r="M222" i="2"/>
  <c r="C225" i="2"/>
  <c r="H227" i="2"/>
  <c r="M231" i="2"/>
  <c r="B234" i="2"/>
  <c r="C236" i="2"/>
  <c r="M244" i="2"/>
  <c r="C247" i="2"/>
  <c r="N263" i="2"/>
  <c r="B266" i="2"/>
  <c r="B268" i="2"/>
  <c r="N269" i="2"/>
  <c r="M271" i="2"/>
  <c r="I277" i="2"/>
  <c r="G279" i="2"/>
  <c r="C283" i="2"/>
  <c r="N284" i="2"/>
  <c r="I288" i="2"/>
  <c r="G290" i="2"/>
  <c r="F292" i="2"/>
  <c r="C296" i="2"/>
  <c r="N297" i="2"/>
  <c r="H301" i="2"/>
  <c r="B305" i="2"/>
  <c r="H308" i="2"/>
  <c r="B312" i="2"/>
  <c r="H315" i="2"/>
  <c r="B319" i="2"/>
  <c r="I322" i="2"/>
  <c r="F324" i="2"/>
  <c r="C326" i="2"/>
  <c r="M327" i="2"/>
  <c r="I329" i="2"/>
  <c r="F331" i="2"/>
  <c r="C333" i="2"/>
  <c r="M334" i="2"/>
  <c r="H336" i="2"/>
  <c r="M339" i="2"/>
  <c r="H341" i="2"/>
  <c r="M344" i="2"/>
  <c r="H346" i="2"/>
  <c r="I80" i="2"/>
  <c r="B111" i="2"/>
  <c r="I121" i="2"/>
  <c r="C139" i="2"/>
  <c r="F153" i="2"/>
  <c r="C159" i="2"/>
  <c r="F164" i="2"/>
  <c r="I169" i="2"/>
  <c r="F174" i="2"/>
  <c r="I178" i="2"/>
  <c r="H187" i="2"/>
  <c r="M190" i="2"/>
  <c r="C198" i="2"/>
  <c r="M203" i="2"/>
  <c r="M206" i="2"/>
  <c r="H209" i="2"/>
  <c r="I212" i="2"/>
  <c r="H220" i="2"/>
  <c r="N222" i="2"/>
  <c r="B232" i="2"/>
  <c r="C234" i="2"/>
  <c r="F238" i="2"/>
  <c r="M242" i="2"/>
  <c r="B245" i="2"/>
  <c r="H251" i="2"/>
  <c r="M261" i="2"/>
  <c r="C264" i="2"/>
  <c r="C266" i="2"/>
  <c r="C268" i="2"/>
  <c r="B270" i="2"/>
  <c r="N271" i="2"/>
  <c r="M273" i="2"/>
  <c r="H279" i="2"/>
  <c r="F281" i="2"/>
  <c r="B285" i="2"/>
  <c r="M286" i="2"/>
  <c r="H290" i="2"/>
  <c r="C111" i="2"/>
  <c r="G131" i="2"/>
  <c r="G153" i="2"/>
  <c r="H159" i="2"/>
  <c r="H164" i="2"/>
  <c r="H174" i="2"/>
  <c r="G183" i="2"/>
  <c r="I187" i="2"/>
  <c r="N190" i="2"/>
  <c r="F198" i="2"/>
  <c r="F201" i="2"/>
  <c r="B204" i="2"/>
  <c r="B207" i="2"/>
  <c r="I209" i="2"/>
  <c r="F215" i="2"/>
  <c r="C218" i="2"/>
  <c r="B223" i="2"/>
  <c r="F225" i="2"/>
  <c r="M229" i="2"/>
  <c r="C232" i="2"/>
  <c r="M240" i="2"/>
  <c r="N242" i="2"/>
  <c r="C245" i="2"/>
  <c r="F249" i="2"/>
  <c r="M253" i="2"/>
  <c r="M255" i="2"/>
  <c r="M257" i="2"/>
  <c r="M259" i="2"/>
  <c r="N261" i="2"/>
  <c r="C270" i="2"/>
  <c r="B272" i="2"/>
  <c r="B274" i="2"/>
  <c r="N275" i="2"/>
  <c r="I279" i="2"/>
  <c r="G281" i="2"/>
  <c r="F90" i="2"/>
  <c r="M123" i="2"/>
  <c r="I132" i="2"/>
  <c r="I147" i="2"/>
  <c r="B175" i="2"/>
  <c r="I183" i="2"/>
  <c r="N187" i="2"/>
  <c r="G191" i="2"/>
  <c r="B195" i="2"/>
  <c r="H198" i="2"/>
  <c r="G201" i="2"/>
  <c r="G204" i="2"/>
  <c r="G215" i="2"/>
  <c r="C223" i="2"/>
  <c r="G225" i="2"/>
  <c r="M227" i="2"/>
  <c r="B230" i="2"/>
  <c r="F236" i="2"/>
  <c r="M238" i="2"/>
  <c r="N240" i="2"/>
  <c r="B243" i="2"/>
  <c r="F247" i="2"/>
  <c r="G249" i="2"/>
  <c r="M251" i="2"/>
  <c r="N253" i="2"/>
  <c r="N255" i="2"/>
  <c r="N257" i="2"/>
  <c r="B260" i="2"/>
  <c r="C272" i="2"/>
  <c r="C274" i="2"/>
  <c r="B276" i="2"/>
  <c r="M277" i="2"/>
  <c r="H281" i="2"/>
  <c r="F283" i="2"/>
  <c r="B287" i="2"/>
  <c r="M288" i="2"/>
  <c r="H294" i="2"/>
  <c r="F296" i="2"/>
  <c r="B300" i="2"/>
  <c r="H303" i="2"/>
  <c r="B307" i="2"/>
  <c r="H310" i="2"/>
  <c r="B314" i="2"/>
  <c r="I317" i="2"/>
  <c r="F319" i="2"/>
  <c r="C321" i="2"/>
  <c r="M322" i="2"/>
  <c r="I324" i="2"/>
  <c r="F326" i="2"/>
  <c r="C328" i="2"/>
  <c r="M329" i="2"/>
  <c r="I331" i="2"/>
  <c r="F333" i="2"/>
  <c r="C335" i="2"/>
  <c r="G338" i="2"/>
  <c r="C340" i="2"/>
  <c r="G343" i="2"/>
  <c r="C345" i="2"/>
  <c r="G348" i="2"/>
  <c r="C350" i="2"/>
  <c r="G353" i="2"/>
  <c r="C355" i="2"/>
  <c r="G358" i="2"/>
  <c r="C360" i="2"/>
  <c r="G363" i="2"/>
  <c r="C365" i="2"/>
  <c r="G368" i="2"/>
  <c r="C370" i="2"/>
  <c r="G373" i="2"/>
  <c r="C375" i="2"/>
  <c r="G378" i="2"/>
  <c r="G90" i="2"/>
  <c r="G111" i="2"/>
  <c r="G124" i="2"/>
  <c r="H140" i="2"/>
  <c r="G154" i="2"/>
  <c r="H160" i="2"/>
  <c r="M165" i="2"/>
  <c r="M169" i="2"/>
  <c r="C175" i="2"/>
  <c r="I179" i="2"/>
  <c r="B188" i="2"/>
  <c r="M191" i="2"/>
  <c r="C195" i="2"/>
  <c r="H201" i="2"/>
  <c r="H204" i="2"/>
  <c r="F207" i="2"/>
  <c r="M212" i="2"/>
  <c r="H215" i="2"/>
  <c r="F218" i="2"/>
  <c r="N220" i="2"/>
  <c r="M225" i="2"/>
  <c r="N227" i="2"/>
  <c r="C230" i="2"/>
  <c r="F234" i="2"/>
  <c r="G236" i="2"/>
  <c r="N238" i="2"/>
  <c r="B241" i="2"/>
  <c r="C243" i="2"/>
  <c r="F245" i="2"/>
  <c r="G247" i="2"/>
  <c r="B252" i="2"/>
  <c r="B254" i="2"/>
  <c r="B256" i="2"/>
  <c r="B258" i="2"/>
  <c r="C260" i="2"/>
  <c r="F262" i="2"/>
  <c r="F264" i="2"/>
  <c r="F266" i="2"/>
  <c r="F268" i="2"/>
  <c r="C276" i="2"/>
  <c r="N277" i="2"/>
  <c r="I281" i="2"/>
  <c r="G283" i="2"/>
  <c r="C287" i="2"/>
  <c r="B289" i="2"/>
  <c r="N290" i="2"/>
  <c r="I294" i="2"/>
  <c r="G296" i="2"/>
  <c r="C300" i="2"/>
  <c r="M301" i="2"/>
  <c r="I303" i="2"/>
  <c r="F305" i="2"/>
  <c r="C307" i="2"/>
  <c r="M308" i="2"/>
  <c r="I310" i="2"/>
  <c r="F312" i="2"/>
  <c r="C314" i="2"/>
  <c r="N315" i="2"/>
  <c r="G319" i="2"/>
  <c r="N322" i="2"/>
  <c r="G326" i="2"/>
  <c r="N329" i="2"/>
  <c r="G333" i="2"/>
  <c r="M336" i="2"/>
  <c r="H338" i="2"/>
  <c r="M341" i="2"/>
  <c r="H343" i="2"/>
  <c r="M346" i="2"/>
  <c r="H348" i="2"/>
  <c r="M351" i="2"/>
  <c r="H353" i="2"/>
  <c r="M356" i="2"/>
  <c r="H358" i="2"/>
  <c r="M361" i="2"/>
  <c r="H363" i="2"/>
  <c r="M366" i="2"/>
  <c r="H368" i="2"/>
  <c r="M371" i="2"/>
  <c r="H373" i="2"/>
  <c r="B91" i="2"/>
  <c r="I111" i="2"/>
  <c r="I124" i="2"/>
  <c r="I140" i="2"/>
  <c r="H154" i="2"/>
  <c r="I160" i="2"/>
  <c r="N165" i="2"/>
  <c r="B170" i="2"/>
  <c r="M183" i="2"/>
  <c r="C188" i="2"/>
  <c r="B192" i="2"/>
  <c r="G207" i="2"/>
  <c r="F210" i="2"/>
  <c r="B213" i="2"/>
  <c r="G218" i="2"/>
  <c r="B221" i="2"/>
  <c r="F223" i="2"/>
  <c r="N225" i="2"/>
  <c r="B228" i="2"/>
  <c r="F232" i="2"/>
  <c r="G234" i="2"/>
  <c r="B239" i="2"/>
  <c r="C241" i="2"/>
  <c r="G245" i="2"/>
  <c r="H247" i="2"/>
  <c r="M249" i="2"/>
  <c r="C252" i="2"/>
  <c r="C254" i="2"/>
  <c r="C256" i="2"/>
  <c r="C258" i="2"/>
  <c r="G262" i="2"/>
  <c r="G264" i="2"/>
  <c r="G266" i="2"/>
  <c r="G268" i="2"/>
  <c r="F270" i="2"/>
  <c r="G272" i="2"/>
  <c r="F274" i="2"/>
  <c r="B278" i="2"/>
  <c r="M279" i="2"/>
  <c r="H283" i="2"/>
  <c r="F285" i="2"/>
  <c r="C289" i="2"/>
  <c r="B291" i="2"/>
  <c r="M292" i="2"/>
  <c r="H296" i="2"/>
  <c r="F298" i="2"/>
  <c r="N301" i="2"/>
  <c r="G305" i="2"/>
  <c r="N308" i="2"/>
  <c r="N132" i="2"/>
  <c r="M140" i="2"/>
  <c r="M147" i="2"/>
  <c r="B166" i="2"/>
  <c r="C170" i="2"/>
  <c r="F175" i="2"/>
  <c r="B180" i="2"/>
  <c r="N183" i="2"/>
  <c r="F188" i="2"/>
  <c r="C192" i="2"/>
  <c r="F195" i="2"/>
  <c r="M198" i="2"/>
  <c r="H207" i="2"/>
  <c r="G210" i="2"/>
  <c r="C213" i="2"/>
  <c r="H218" i="2"/>
  <c r="C221" i="2"/>
  <c r="G223" i="2"/>
  <c r="B226" i="2"/>
  <c r="C228" i="2"/>
  <c r="F230" i="2"/>
  <c r="G232" i="2"/>
  <c r="H234" i="2"/>
  <c r="B237" i="2"/>
  <c r="C239" i="2"/>
  <c r="B13" i="2"/>
  <c r="B93" i="2"/>
  <c r="N124" i="2"/>
  <c r="B133" i="2"/>
  <c r="N140" i="2"/>
  <c r="C148" i="2"/>
  <c r="M154" i="2"/>
  <c r="M160" i="2"/>
  <c r="F166" i="2"/>
  <c r="C171" i="2"/>
  <c r="G175" i="2"/>
  <c r="G180" i="2"/>
  <c r="G184" i="2"/>
  <c r="G188" i="2"/>
  <c r="G192" i="2"/>
  <c r="G195" i="2"/>
  <c r="C199" i="2"/>
  <c r="M201" i="2"/>
  <c r="M204" i="2"/>
  <c r="I207" i="2"/>
  <c r="H223" i="2"/>
  <c r="C226" i="2"/>
  <c r="G230" i="2"/>
  <c r="H232" i="2"/>
  <c r="I234" i="2"/>
  <c r="C237" i="2"/>
  <c r="G243" i="2"/>
  <c r="I245" i="2"/>
  <c r="M247" i="2"/>
  <c r="C250" i="2"/>
  <c r="F258" i="2"/>
  <c r="I260" i="2"/>
  <c r="I262" i="2"/>
  <c r="I264" i="2"/>
  <c r="I268" i="2"/>
  <c r="H270" i="2"/>
  <c r="H274" i="2"/>
  <c r="F276" i="2"/>
  <c r="B280" i="2"/>
  <c r="M281" i="2"/>
  <c r="H285" i="2"/>
  <c r="G287" i="2"/>
  <c r="F289" i="2"/>
  <c r="B293" i="2"/>
  <c r="M294" i="2"/>
  <c r="B116" i="2"/>
  <c r="G125" i="2"/>
  <c r="C133" i="2"/>
  <c r="B141" i="2"/>
  <c r="N154" i="2"/>
  <c r="N160" i="2"/>
  <c r="G166" i="2"/>
  <c r="G171" i="2"/>
  <c r="I175" i="2"/>
  <c r="H180" i="2"/>
  <c r="M184" i="2"/>
  <c r="H188" i="2"/>
  <c r="H192" i="2"/>
  <c r="N195" i="2"/>
  <c r="B202" i="2"/>
  <c r="B205" i="2"/>
  <c r="F213" i="2"/>
  <c r="B224" i="2"/>
  <c r="F228" i="2"/>
  <c r="H230" i="2"/>
  <c r="I232" i="2"/>
  <c r="M234" i="2"/>
  <c r="F241" i="2"/>
  <c r="H243" i="2"/>
  <c r="B248" i="2"/>
  <c r="F252" i="2"/>
  <c r="F254" i="2"/>
  <c r="F256" i="2"/>
  <c r="G258" i="2"/>
  <c r="I274" i="2"/>
  <c r="G276" i="2"/>
  <c r="C280" i="2"/>
  <c r="N281" i="2"/>
  <c r="I287" i="2"/>
  <c r="G289" i="2"/>
  <c r="C293" i="2"/>
  <c r="N294" i="2"/>
  <c r="I298" i="2"/>
  <c r="G300" i="2"/>
  <c r="N303" i="2"/>
  <c r="G307" i="2"/>
  <c r="B311" i="2"/>
  <c r="H314" i="2"/>
  <c r="B318" i="2"/>
  <c r="H321" i="2"/>
  <c r="B325" i="2"/>
  <c r="H328" i="2"/>
  <c r="B332" i="2"/>
  <c r="H335" i="2"/>
  <c r="M338" i="2"/>
  <c r="H340" i="2"/>
  <c r="M343" i="2"/>
  <c r="H345" i="2"/>
  <c r="M348" i="2"/>
  <c r="H350" i="2"/>
  <c r="M28" i="2"/>
  <c r="N98" i="2"/>
  <c r="M125" i="2"/>
  <c r="C141" i="2"/>
  <c r="M148" i="2"/>
  <c r="B155" i="2"/>
  <c r="B161" i="2"/>
  <c r="H166" i="2"/>
  <c r="H171" i="2"/>
  <c r="I180" i="2"/>
  <c r="B185" i="2"/>
  <c r="I192" i="2"/>
  <c r="B196" i="2"/>
  <c r="H202" i="2"/>
  <c r="M210" i="2"/>
  <c r="G213" i="2"/>
  <c r="F216" i="2"/>
  <c r="B219" i="2"/>
  <c r="F221" i="2"/>
  <c r="C224" i="2"/>
  <c r="G228" i="2"/>
  <c r="I230" i="2"/>
  <c r="C235" i="2"/>
  <c r="F239" i="2"/>
  <c r="G241" i="2"/>
  <c r="C248" i="2"/>
  <c r="F250" i="2"/>
  <c r="G252" i="2"/>
  <c r="G254" i="2"/>
  <c r="G256" i="2"/>
  <c r="M266" i="2"/>
  <c r="N270" i="2"/>
  <c r="M272" i="2"/>
  <c r="H276" i="2"/>
  <c r="F278" i="2"/>
  <c r="B282" i="2"/>
  <c r="M283" i="2"/>
  <c r="H289" i="2"/>
  <c r="F291" i="2"/>
  <c r="B295" i="2"/>
  <c r="M296" i="2"/>
  <c r="H300" i="2"/>
  <c r="B304" i="2"/>
  <c r="I307" i="2"/>
  <c r="F309" i="2"/>
  <c r="C311" i="2"/>
  <c r="M312" i="2"/>
  <c r="I314" i="2"/>
  <c r="F316" i="2"/>
  <c r="C318" i="2"/>
  <c r="M319" i="2"/>
  <c r="I321" i="2"/>
  <c r="F323" i="2"/>
  <c r="C325" i="2"/>
  <c r="M326" i="2"/>
  <c r="I328" i="2"/>
  <c r="F330" i="2"/>
  <c r="C332" i="2"/>
  <c r="M333" i="2"/>
  <c r="I335" i="2"/>
  <c r="N338" i="2"/>
  <c r="I340" i="2"/>
  <c r="N343" i="2"/>
  <c r="I345" i="2"/>
  <c r="N348" i="2"/>
  <c r="I350" i="2"/>
  <c r="N353" i="2"/>
  <c r="I355" i="2"/>
  <c r="N358" i="2"/>
  <c r="I360" i="2"/>
  <c r="N363" i="2"/>
  <c r="I365" i="2"/>
  <c r="N368" i="2"/>
  <c r="I370" i="2"/>
  <c r="N373" i="2"/>
  <c r="I375" i="2"/>
  <c r="N378" i="2"/>
  <c r="I380" i="2"/>
  <c r="C149" i="2"/>
  <c r="C161" i="2"/>
  <c r="I166" i="2"/>
  <c r="I171" i="2"/>
  <c r="F199" i="2"/>
  <c r="I202" i="2"/>
  <c r="F205" i="2"/>
  <c r="M207" i="2"/>
  <c r="N210" i="2"/>
  <c r="H213" i="2"/>
  <c r="G216" i="2"/>
  <c r="C219" i="2"/>
  <c r="G221" i="2"/>
  <c r="F226" i="2"/>
  <c r="H228" i="2"/>
  <c r="F237" i="2"/>
  <c r="G239" i="2"/>
  <c r="H241" i="2"/>
  <c r="B246" i="2"/>
  <c r="G250" i="2"/>
  <c r="H252" i="2"/>
  <c r="H254" i="2"/>
  <c r="I99" i="2"/>
  <c r="G116" i="2"/>
  <c r="G127" i="2"/>
  <c r="N142" i="2"/>
  <c r="C150" i="2"/>
  <c r="I156" i="2"/>
  <c r="F161" i="2"/>
  <c r="N166" i="2"/>
  <c r="C172" i="2"/>
  <c r="I176" i="2"/>
  <c r="M180" i="2"/>
  <c r="I185" i="2"/>
  <c r="M192" i="2"/>
  <c r="F196" i="2"/>
  <c r="H199" i="2"/>
  <c r="G205" i="2"/>
  <c r="F208" i="2"/>
  <c r="C211" i="2"/>
  <c r="H216" i="2"/>
  <c r="H221" i="2"/>
  <c r="G226" i="2"/>
  <c r="B233" i="2"/>
  <c r="M57" i="2"/>
  <c r="N116" i="2"/>
  <c r="M127" i="2"/>
  <c r="G135" i="2"/>
  <c r="B143" i="2"/>
  <c r="G150" i="2"/>
  <c r="F162" i="2"/>
  <c r="B177" i="2"/>
  <c r="N180" i="2"/>
  <c r="I189" i="2"/>
  <c r="N192" i="2"/>
  <c r="G196" i="2"/>
  <c r="I199" i="2"/>
  <c r="M202" i="2"/>
  <c r="H205" i="2"/>
  <c r="G208" i="2"/>
  <c r="C222" i="2"/>
  <c r="F224" i="2"/>
  <c r="C62" i="2"/>
  <c r="H117" i="2"/>
  <c r="C151" i="2"/>
  <c r="G167" i="2"/>
  <c r="C177" i="2"/>
  <c r="B181" i="2"/>
  <c r="B193" i="2"/>
  <c r="M196" i="2"/>
  <c r="N202" i="2"/>
  <c r="F219" i="2"/>
  <c r="G224" i="2"/>
  <c r="M228" i="2"/>
  <c r="N230" i="2"/>
  <c r="F233" i="2"/>
  <c r="H235" i="2"/>
  <c r="I237" i="2"/>
  <c r="M241" i="2"/>
  <c r="F246" i="2"/>
  <c r="H248" i="2"/>
  <c r="C257" i="2"/>
  <c r="C259" i="2"/>
  <c r="C261" i="2"/>
  <c r="C263" i="2"/>
  <c r="F269" i="2"/>
  <c r="B275" i="2"/>
  <c r="M276" i="2"/>
  <c r="H280" i="2"/>
  <c r="G282" i="2"/>
  <c r="F284" i="2"/>
  <c r="B288" i="2"/>
  <c r="M289" i="2"/>
  <c r="H293" i="2"/>
  <c r="F295" i="2"/>
  <c r="C299" i="2"/>
  <c r="N300" i="2"/>
  <c r="G304" i="2"/>
  <c r="N307" i="2"/>
  <c r="G311" i="2"/>
  <c r="N314" i="2"/>
  <c r="G318" i="2"/>
  <c r="N321" i="2"/>
  <c r="G325" i="2"/>
  <c r="N328" i="2"/>
  <c r="G332" i="2"/>
  <c r="N335" i="2"/>
  <c r="M117" i="2"/>
  <c r="N128" i="2"/>
  <c r="I136" i="2"/>
  <c r="M143" i="2"/>
  <c r="F157" i="2"/>
  <c r="H167" i="2"/>
  <c r="H172" i="2"/>
  <c r="C181" i="2"/>
  <c r="M185" i="2"/>
  <c r="C193" i="2"/>
  <c r="B197" i="2"/>
  <c r="B203" i="2"/>
  <c r="F211" i="2"/>
  <c r="F214" i="2"/>
  <c r="B217" i="2"/>
  <c r="G219" i="2"/>
  <c r="F222" i="2"/>
  <c r="H224" i="2"/>
  <c r="N228" i="2"/>
  <c r="G233" i="2"/>
  <c r="I235" i="2"/>
  <c r="B242" i="2"/>
  <c r="F244" i="2"/>
  <c r="G246" i="2"/>
  <c r="M252" i="2"/>
  <c r="M254" i="2"/>
  <c r="G267" i="2"/>
  <c r="G269" i="2"/>
  <c r="F271" i="2"/>
  <c r="C275" i="2"/>
  <c r="H104" i="2"/>
  <c r="H119" i="2"/>
  <c r="B129" i="2"/>
  <c r="C144" i="2"/>
  <c r="G157" i="2"/>
  <c r="F163" i="2"/>
  <c r="B168" i="2"/>
  <c r="H177" i="2"/>
  <c r="C182" i="2"/>
  <c r="N185" i="2"/>
  <c r="C197" i="2"/>
  <c r="G200" i="2"/>
  <c r="M205" i="2"/>
  <c r="M208" i="2"/>
  <c r="G211" i="2"/>
  <c r="H214" i="2"/>
  <c r="C217" i="2"/>
  <c r="H219" i="2"/>
  <c r="G222" i="2"/>
  <c r="I224" i="2"/>
  <c r="M226" i="2"/>
  <c r="B229" i="2"/>
  <c r="F231" i="2"/>
  <c r="H233" i="2"/>
  <c r="M239" i="2"/>
  <c r="C242" i="2"/>
  <c r="G244" i="2"/>
  <c r="H246" i="2"/>
  <c r="M250" i="2"/>
  <c r="N252" i="2"/>
  <c r="F263" i="2"/>
  <c r="F265" i="2"/>
  <c r="I267" i="2"/>
  <c r="H269" i="2"/>
  <c r="G271" i="2"/>
  <c r="F273" i="2"/>
  <c r="B277" i="2"/>
  <c r="M278" i="2"/>
  <c r="H284" i="2"/>
  <c r="F286" i="2"/>
  <c r="I144" i="2"/>
  <c r="C194" i="2"/>
  <c r="I222" i="2"/>
  <c r="H237" i="2"/>
  <c r="F255" i="2"/>
  <c r="H262" i="2"/>
  <c r="C269" i="2"/>
  <c r="N285" i="2"/>
  <c r="N289" i="2"/>
  <c r="F297" i="2"/>
  <c r="M303" i="2"/>
  <c r="N306" i="2"/>
  <c r="B310" i="2"/>
  <c r="C313" i="2"/>
  <c r="C316" i="2"/>
  <c r="M321" i="2"/>
  <c r="M324" i="2"/>
  <c r="I327" i="2"/>
  <c r="I330" i="2"/>
  <c r="I333" i="2"/>
  <c r="C339" i="2"/>
  <c r="I341" i="2"/>
  <c r="H351" i="2"/>
  <c r="N355" i="2"/>
  <c r="G360" i="2"/>
  <c r="I362" i="2"/>
  <c r="M364" i="2"/>
  <c r="C367" i="2"/>
  <c r="H371" i="2"/>
  <c r="N375" i="2"/>
  <c r="N377" i="2"/>
  <c r="C380" i="2"/>
  <c r="B382" i="2"/>
  <c r="M383" i="2"/>
  <c r="H387" i="2"/>
  <c r="F389" i="2"/>
  <c r="B395" i="2"/>
  <c r="M396" i="2"/>
  <c r="H400" i="2"/>
  <c r="F402" i="2"/>
  <c r="B406" i="2"/>
  <c r="M407" i="2"/>
  <c r="M409" i="2"/>
  <c r="H413" i="2"/>
  <c r="F415" i="2"/>
  <c r="B419" i="2"/>
  <c r="M420" i="2"/>
  <c r="H424" i="2"/>
  <c r="B428" i="2"/>
  <c r="M429" i="2"/>
  <c r="I431" i="2"/>
  <c r="F433" i="2"/>
  <c r="C435" i="2"/>
  <c r="M436" i="2"/>
  <c r="I438" i="2"/>
  <c r="F440" i="2"/>
  <c r="C442" i="2"/>
  <c r="M443" i="2"/>
  <c r="I445" i="2"/>
  <c r="F447" i="2"/>
  <c r="C449" i="2"/>
  <c r="M450" i="2"/>
  <c r="I452" i="2"/>
  <c r="F454" i="2"/>
  <c r="C456" i="2"/>
  <c r="M457" i="2"/>
  <c r="I459" i="2"/>
  <c r="F461" i="2"/>
  <c r="N464" i="2"/>
  <c r="G151" i="2"/>
  <c r="M237" i="2"/>
  <c r="G255" i="2"/>
  <c r="M262" i="2"/>
  <c r="F275" i="2"/>
  <c r="N280" i="2"/>
  <c r="B286" i="2"/>
  <c r="B290" i="2"/>
  <c r="G297" i="2"/>
  <c r="C304" i="2"/>
  <c r="F310" i="2"/>
  <c r="C319" i="2"/>
  <c r="B322" i="2"/>
  <c r="N324" i="2"/>
  <c r="N327" i="2"/>
  <c r="I336" i="2"/>
  <c r="N346" i="2"/>
  <c r="I351" i="2"/>
  <c r="M353" i="2"/>
  <c r="B356" i="2"/>
  <c r="H360" i="2"/>
  <c r="N364" i="2"/>
  <c r="F369" i="2"/>
  <c r="I371" i="2"/>
  <c r="M373" i="2"/>
  <c r="B376" i="2"/>
  <c r="C382" i="2"/>
  <c r="N383" i="2"/>
  <c r="I387" i="2"/>
  <c r="G389" i="2"/>
  <c r="C395" i="2"/>
  <c r="N396" i="2"/>
  <c r="I400" i="2"/>
  <c r="G402" i="2"/>
  <c r="C406" i="2"/>
  <c r="N407" i="2"/>
  <c r="N409" i="2"/>
  <c r="I413" i="2"/>
  <c r="G415" i="2"/>
  <c r="C419" i="2"/>
  <c r="N420" i="2"/>
  <c r="I424" i="2"/>
  <c r="F426" i="2"/>
  <c r="N429" i="2"/>
  <c r="G433" i="2"/>
  <c r="N436" i="2"/>
  <c r="G440" i="2"/>
  <c r="N443" i="2"/>
  <c r="G447" i="2"/>
  <c r="N450" i="2"/>
  <c r="G454" i="2"/>
  <c r="N457" i="2"/>
  <c r="H461" i="2"/>
  <c r="B465" i="2"/>
  <c r="H468" i="2"/>
  <c r="B472" i="2"/>
  <c r="H475" i="2"/>
  <c r="B479" i="2"/>
  <c r="F482" i="2"/>
  <c r="B484" i="2"/>
  <c r="F487" i="2"/>
  <c r="B489" i="2"/>
  <c r="F492" i="2"/>
  <c r="B494" i="2"/>
  <c r="F497" i="2"/>
  <c r="B499" i="2"/>
  <c r="H391" i="2"/>
  <c r="B410" i="2"/>
  <c r="F417" i="2"/>
  <c r="I151" i="2"/>
  <c r="F197" i="2"/>
  <c r="N237" i="2"/>
  <c r="I247" i="2"/>
  <c r="N262" i="2"/>
  <c r="I269" i="2"/>
  <c r="B281" i="2"/>
  <c r="C286" i="2"/>
  <c r="C290" i="2"/>
  <c r="M293" i="2"/>
  <c r="I297" i="2"/>
  <c r="B301" i="2"/>
  <c r="F307" i="2"/>
  <c r="G310" i="2"/>
  <c r="F313" i="2"/>
  <c r="G316" i="2"/>
  <c r="C322" i="2"/>
  <c r="B328" i="2"/>
  <c r="N330" i="2"/>
  <c r="N333" i="2"/>
  <c r="N341" i="2"/>
  <c r="F344" i="2"/>
  <c r="B347" i="2"/>
  <c r="F349" i="2"/>
  <c r="B354" i="2"/>
  <c r="C356" i="2"/>
  <c r="F358" i="2"/>
  <c r="B365" i="2"/>
  <c r="F367" i="2"/>
  <c r="G369" i="2"/>
  <c r="B374" i="2"/>
  <c r="C376" i="2"/>
  <c r="B384" i="2"/>
  <c r="M385" i="2"/>
  <c r="H389" i="2"/>
  <c r="F393" i="2"/>
  <c r="B397" i="2"/>
  <c r="M398" i="2"/>
  <c r="H402" i="2"/>
  <c r="F404" i="2"/>
  <c r="M411" i="2"/>
  <c r="H415" i="2"/>
  <c r="B421" i="2"/>
  <c r="H200" i="2"/>
  <c r="H226" i="2"/>
  <c r="H239" i="2"/>
  <c r="F248" i="2"/>
  <c r="H256" i="2"/>
  <c r="B263" i="2"/>
  <c r="I276" i="2"/>
  <c r="F294" i="2"/>
  <c r="C301" i="2"/>
  <c r="F304" i="2"/>
  <c r="G313" i="2"/>
  <c r="H316" i="2"/>
  <c r="H319" i="2"/>
  <c r="B331" i="2"/>
  <c r="B334" i="2"/>
  <c r="N336" i="2"/>
  <c r="F339" i="2"/>
  <c r="B342" i="2"/>
  <c r="G344" i="2"/>
  <c r="C347" i="2"/>
  <c r="G349" i="2"/>
  <c r="N351" i="2"/>
  <c r="C354" i="2"/>
  <c r="I358" i="2"/>
  <c r="M157" i="2"/>
  <c r="B227" i="2"/>
  <c r="I239" i="2"/>
  <c r="G248" i="2"/>
  <c r="G263" i="2"/>
  <c r="G270" i="2"/>
  <c r="C282" i="2"/>
  <c r="G286" i="2"/>
  <c r="G294" i="2"/>
  <c r="B298" i="2"/>
  <c r="H304" i="2"/>
  <c r="H313" i="2"/>
  <c r="I316" i="2"/>
  <c r="I319" i="2"/>
  <c r="F325" i="2"/>
  <c r="F328" i="2"/>
  <c r="C331" i="2"/>
  <c r="C334" i="2"/>
  <c r="B337" i="2"/>
  <c r="G339" i="2"/>
  <c r="C342" i="2"/>
  <c r="H344" i="2"/>
  <c r="F347" i="2"/>
  <c r="H349" i="2"/>
  <c r="B352" i="2"/>
  <c r="F203" i="2"/>
  <c r="C227" i="2"/>
  <c r="B240" i="2"/>
  <c r="M248" i="2"/>
  <c r="N256" i="2"/>
  <c r="H263" i="2"/>
  <c r="B271" i="2"/>
  <c r="H286" i="2"/>
  <c r="C291" i="2"/>
  <c r="C298" i="2"/>
  <c r="I304" i="2"/>
  <c r="M307" i="2"/>
  <c r="N310" i="2"/>
  <c r="M313" i="2"/>
  <c r="H325" i="2"/>
  <c r="G328" i="2"/>
  <c r="G331" i="2"/>
  <c r="F334" i="2"/>
  <c r="C337" i="2"/>
  <c r="H339" i="2"/>
  <c r="F342" i="2"/>
  <c r="I344" i="2"/>
  <c r="G347" i="2"/>
  <c r="I349" i="2"/>
  <c r="C352" i="2"/>
  <c r="H356" i="2"/>
  <c r="N360" i="2"/>
  <c r="G365" i="2"/>
  <c r="I367" i="2"/>
  <c r="M369" i="2"/>
  <c r="C372" i="2"/>
  <c r="H376" i="2"/>
  <c r="I378" i="2"/>
  <c r="H380" i="2"/>
  <c r="G382" i="2"/>
  <c r="C386" i="2"/>
  <c r="N387" i="2"/>
  <c r="N389" i="2"/>
  <c r="I393" i="2"/>
  <c r="G395" i="2"/>
  <c r="C399" i="2"/>
  <c r="N400" i="2"/>
  <c r="I404" i="2"/>
  <c r="I406" i="2"/>
  <c r="G408" i="2"/>
  <c r="C412" i="2"/>
  <c r="N413" i="2"/>
  <c r="I417" i="2"/>
  <c r="G419" i="2"/>
  <c r="B425" i="2"/>
  <c r="H428" i="2"/>
  <c r="B432" i="2"/>
  <c r="H435" i="2"/>
  <c r="B439" i="2"/>
  <c r="H442" i="2"/>
  <c r="M163" i="2"/>
  <c r="G203" i="2"/>
  <c r="C240" i="2"/>
  <c r="N248" i="2"/>
  <c r="F257" i="2"/>
  <c r="H264" i="2"/>
  <c r="C271" i="2"/>
  <c r="N276" i="2"/>
  <c r="F282" i="2"/>
  <c r="N286" i="2"/>
  <c r="G291" i="2"/>
  <c r="C295" i="2"/>
  <c r="G298" i="2"/>
  <c r="I301" i="2"/>
  <c r="B308" i="2"/>
  <c r="N313" i="2"/>
  <c r="M316" i="2"/>
  <c r="N319" i="2"/>
  <c r="I325" i="2"/>
  <c r="H331" i="2"/>
  <c r="G334" i="2"/>
  <c r="F337" i="2"/>
  <c r="I339" i="2"/>
  <c r="G342" i="2"/>
  <c r="N344" i="2"/>
  <c r="H347" i="2"/>
  <c r="M349" i="2"/>
  <c r="F354" i="2"/>
  <c r="I356" i="2"/>
  <c r="M358" i="2"/>
  <c r="B361" i="2"/>
  <c r="H365" i="2"/>
  <c r="N369" i="2"/>
  <c r="F374" i="2"/>
  <c r="I376" i="2"/>
  <c r="H382" i="2"/>
  <c r="F168" i="2"/>
  <c r="N205" i="2"/>
  <c r="C229" i="2"/>
  <c r="B250" i="2"/>
  <c r="G257" i="2"/>
  <c r="M264" i="2"/>
  <c r="C277" i="2"/>
  <c r="I282" i="2"/>
  <c r="F287" i="2"/>
  <c r="H291" i="2"/>
  <c r="H298" i="2"/>
  <c r="C308" i="2"/>
  <c r="N316" i="2"/>
  <c r="B320" i="2"/>
  <c r="B323" i="2"/>
  <c r="H334" i="2"/>
  <c r="G337" i="2"/>
  <c r="N339" i="2"/>
  <c r="H342" i="2"/>
  <c r="B345" i="2"/>
  <c r="I347" i="2"/>
  <c r="N349" i="2"/>
  <c r="F352" i="2"/>
  <c r="G354" i="2"/>
  <c r="B359" i="2"/>
  <c r="C361" i="2"/>
  <c r="F363" i="2"/>
  <c r="B370" i="2"/>
  <c r="F372" i="2"/>
  <c r="G374" i="2"/>
  <c r="I382" i="2"/>
  <c r="G384" i="2"/>
  <c r="G168" i="2"/>
  <c r="F206" i="2"/>
  <c r="F229" i="2"/>
  <c r="H250" i="2"/>
  <c r="B265" i="2"/>
  <c r="H271" i="2"/>
  <c r="I291" i="2"/>
  <c r="B302" i="2"/>
  <c r="C305" i="2"/>
  <c r="F311" i="2"/>
  <c r="F314" i="2"/>
  <c r="B317" i="2"/>
  <c r="C320" i="2"/>
  <c r="C323" i="2"/>
  <c r="M328" i="2"/>
  <c r="N172" i="2"/>
  <c r="B209" i="2"/>
  <c r="M230" i="2"/>
  <c r="I250" i="2"/>
  <c r="M258" i="2"/>
  <c r="C265" i="2"/>
  <c r="I271" i="2"/>
  <c r="C278" i="2"/>
  <c r="M282" i="2"/>
  <c r="M287" i="2"/>
  <c r="G295" i="2"/>
  <c r="M298" i="2"/>
  <c r="C302" i="2"/>
  <c r="H311" i="2"/>
  <c r="G314" i="2"/>
  <c r="F317" i="2"/>
  <c r="B329" i="2"/>
  <c r="N331" i="2"/>
  <c r="N334" i="2"/>
  <c r="I337" i="2"/>
  <c r="F345" i="2"/>
  <c r="H352" i="2"/>
  <c r="I354" i="2"/>
  <c r="B357" i="2"/>
  <c r="M365" i="2"/>
  <c r="N367" i="2"/>
  <c r="F370" i="2"/>
  <c r="H372" i="2"/>
  <c r="I374" i="2"/>
  <c r="N376" i="2"/>
  <c r="B379" i="2"/>
  <c r="N380" i="2"/>
  <c r="I384" i="2"/>
  <c r="I386" i="2"/>
  <c r="G388" i="2"/>
  <c r="C392" i="2"/>
  <c r="N393" i="2"/>
  <c r="I397" i="2"/>
  <c r="G399" i="2"/>
  <c r="C405" i="2"/>
  <c r="F76" i="2"/>
  <c r="B173" i="2"/>
  <c r="G231" i="2"/>
  <c r="F242" i="2"/>
  <c r="N250" i="2"/>
  <c r="N258" i="2"/>
  <c r="G265" i="2"/>
  <c r="I272" i="2"/>
  <c r="G278" i="2"/>
  <c r="N287" i="2"/>
  <c r="M291" i="2"/>
  <c r="H295" i="2"/>
  <c r="B299" i="2"/>
  <c r="F302" i="2"/>
  <c r="H305" i="2"/>
  <c r="I308" i="2"/>
  <c r="I311" i="2"/>
  <c r="G317" i="2"/>
  <c r="F320" i="2"/>
  <c r="G323" i="2"/>
  <c r="C329" i="2"/>
  <c r="B335" i="2"/>
  <c r="F340" i="2"/>
  <c r="G345" i="2"/>
  <c r="M347" i="2"/>
  <c r="F350" i="2"/>
  <c r="I352" i="2"/>
  <c r="M354" i="2"/>
  <c r="C357" i="2"/>
  <c r="H361" i="2"/>
  <c r="N365" i="2"/>
  <c r="G370" i="2"/>
  <c r="I372" i="2"/>
  <c r="M374" i="2"/>
  <c r="B377" i="2"/>
  <c r="C379" i="2"/>
  <c r="B381" i="2"/>
  <c r="M382" i="2"/>
  <c r="M384" i="2"/>
  <c r="H388" i="2"/>
  <c r="F390" i="2"/>
  <c r="B394" i="2"/>
  <c r="M395" i="2"/>
  <c r="H399" i="2"/>
  <c r="H401" i="2"/>
  <c r="F403" i="2"/>
  <c r="B407" i="2"/>
  <c r="M408" i="2"/>
  <c r="H412" i="2"/>
  <c r="F414" i="2"/>
  <c r="B420" i="2"/>
  <c r="M421" i="2"/>
  <c r="G425" i="2"/>
  <c r="N428" i="2"/>
  <c r="I104" i="2"/>
  <c r="I177" i="2"/>
  <c r="H211" i="2"/>
  <c r="H231" i="2"/>
  <c r="H242" i="2"/>
  <c r="B251" i="2"/>
  <c r="B259" i="2"/>
  <c r="N272" i="2"/>
  <c r="H278" i="2"/>
  <c r="I283" i="2"/>
  <c r="C288" i="2"/>
  <c r="N291" i="2"/>
  <c r="G302" i="2"/>
  <c r="I305" i="2"/>
  <c r="G320" i="2"/>
  <c r="H323" i="2"/>
  <c r="H326" i="2"/>
  <c r="G340" i="2"/>
  <c r="M342" i="2"/>
  <c r="N347" i="2"/>
  <c r="G350" i="2"/>
  <c r="N354" i="2"/>
  <c r="F359" i="2"/>
  <c r="I361" i="2"/>
  <c r="M363" i="2"/>
  <c r="B366" i="2"/>
  <c r="H370" i="2"/>
  <c r="N374" i="2"/>
  <c r="C377" i="2"/>
  <c r="C381" i="2"/>
  <c r="N382" i="2"/>
  <c r="N384" i="2"/>
  <c r="I388" i="2"/>
  <c r="G390" i="2"/>
  <c r="C394" i="2"/>
  <c r="N395" i="2"/>
  <c r="I399" i="2"/>
  <c r="I401" i="2"/>
  <c r="G403" i="2"/>
  <c r="C407" i="2"/>
  <c r="N408" i="2"/>
  <c r="I412" i="2"/>
  <c r="G414" i="2"/>
  <c r="C420" i="2"/>
  <c r="N421" i="2"/>
  <c r="H425" i="2"/>
  <c r="B429" i="2"/>
  <c r="H432" i="2"/>
  <c r="B436" i="2"/>
  <c r="H439" i="2"/>
  <c r="B443" i="2"/>
  <c r="M444" i="2"/>
  <c r="I446" i="2"/>
  <c r="F448" i="2"/>
  <c r="C450" i="2"/>
  <c r="M451" i="2"/>
  <c r="I453" i="2"/>
  <c r="F455" i="2"/>
  <c r="C457" i="2"/>
  <c r="M458" i="2"/>
  <c r="I460" i="2"/>
  <c r="F462" i="2"/>
  <c r="C464" i="2"/>
  <c r="M465" i="2"/>
  <c r="I467" i="2"/>
  <c r="F469" i="2"/>
  <c r="C471" i="2"/>
  <c r="M472" i="2"/>
  <c r="I474" i="2"/>
  <c r="F476" i="2"/>
  <c r="M479" i="2"/>
  <c r="H481" i="2"/>
  <c r="M484" i="2"/>
  <c r="H486" i="2"/>
  <c r="M489" i="2"/>
  <c r="H491" i="2"/>
  <c r="M494" i="2"/>
  <c r="H496" i="2"/>
  <c r="M177" i="2"/>
  <c r="F243" i="2"/>
  <c r="F259" i="2"/>
  <c r="H266" i="2"/>
  <c r="B273" i="2"/>
  <c r="I278" i="2"/>
  <c r="B284" i="2"/>
  <c r="B292" i="2"/>
  <c r="F299" i="2"/>
  <c r="I302" i="2"/>
  <c r="N305" i="2"/>
  <c r="B309" i="2"/>
  <c r="M314" i="2"/>
  <c r="M317" i="2"/>
  <c r="H320" i="2"/>
  <c r="I323" i="2"/>
  <c r="I326" i="2"/>
  <c r="F329" i="2"/>
  <c r="F332" i="2"/>
  <c r="F335" i="2"/>
  <c r="M337" i="2"/>
  <c r="N342" i="2"/>
  <c r="G120" i="2"/>
  <c r="F182" i="2"/>
  <c r="I214" i="2"/>
  <c r="M243" i="2"/>
  <c r="I252" i="2"/>
  <c r="G259" i="2"/>
  <c r="N266" i="2"/>
  <c r="C273" i="2"/>
  <c r="C284" i="2"/>
  <c r="G292" i="2"/>
  <c r="G299" i="2"/>
  <c r="B306" i="2"/>
  <c r="C309" i="2"/>
  <c r="C312" i="2"/>
  <c r="B315" i="2"/>
  <c r="N317" i="2"/>
  <c r="N320" i="2"/>
  <c r="I332" i="2"/>
  <c r="G335" i="2"/>
  <c r="I120" i="2"/>
  <c r="G182" i="2"/>
  <c r="N243" i="2"/>
  <c r="G260" i="2"/>
  <c r="B267" i="2"/>
  <c r="G273" i="2"/>
  <c r="B279" i="2"/>
  <c r="F288" i="2"/>
  <c r="I292" i="2"/>
  <c r="H299" i="2"/>
  <c r="M302" i="2"/>
  <c r="C306" i="2"/>
  <c r="G309" i="2"/>
  <c r="C315" i="2"/>
  <c r="B321" i="2"/>
  <c r="M323" i="2"/>
  <c r="N326" i="2"/>
  <c r="M340" i="2"/>
  <c r="C129" i="2"/>
  <c r="C186" i="2"/>
  <c r="F235" i="2"/>
  <c r="H244" i="2"/>
  <c r="B253" i="2"/>
  <c r="M260" i="2"/>
  <c r="C267" i="2"/>
  <c r="H273" i="2"/>
  <c r="C279" i="2"/>
  <c r="G284" i="2"/>
  <c r="N292" i="2"/>
  <c r="I296" i="2"/>
  <c r="M299" i="2"/>
  <c r="N302" i="2"/>
  <c r="H309" i="2"/>
  <c r="G312" i="2"/>
  <c r="N323" i="2"/>
  <c r="B327" i="2"/>
  <c r="B330" i="2"/>
  <c r="F338" i="2"/>
  <c r="N340" i="2"/>
  <c r="I343" i="2"/>
  <c r="B346" i="2"/>
  <c r="I348" i="2"/>
  <c r="N350" i="2"/>
  <c r="G355" i="2"/>
  <c r="I357" i="2"/>
  <c r="M359" i="2"/>
  <c r="C362" i="2"/>
  <c r="H366" i="2"/>
  <c r="N370" i="2"/>
  <c r="G375" i="2"/>
  <c r="H377" i="2"/>
  <c r="H379" i="2"/>
  <c r="I381" i="2"/>
  <c r="G383" i="2"/>
  <c r="C387" i="2"/>
  <c r="N388" i="2"/>
  <c r="I392" i="2"/>
  <c r="G394" i="2"/>
  <c r="C400" i="2"/>
  <c r="N401" i="2"/>
  <c r="F217" i="2"/>
  <c r="G235" i="2"/>
  <c r="I244" i="2"/>
  <c r="C253" i="2"/>
  <c r="N260" i="2"/>
  <c r="G274" i="2"/>
  <c r="N279" i="2"/>
  <c r="I284" i="2"/>
  <c r="N299" i="2"/>
  <c r="B303" i="2"/>
  <c r="F306" i="2"/>
  <c r="I309" i="2"/>
  <c r="I312" i="2"/>
  <c r="F318" i="2"/>
  <c r="F321" i="2"/>
  <c r="B324" i="2"/>
  <c r="C327" i="2"/>
  <c r="C330" i="2"/>
  <c r="M332" i="2"/>
  <c r="M335" i="2"/>
  <c r="I338" i="2"/>
  <c r="B341" i="2"/>
  <c r="C346" i="2"/>
  <c r="B351" i="2"/>
  <c r="H355" i="2"/>
  <c r="N359" i="2"/>
  <c r="F364" i="2"/>
  <c r="I366" i="2"/>
  <c r="M368" i="2"/>
  <c r="B371" i="2"/>
  <c r="H375" i="2"/>
  <c r="I377" i="2"/>
  <c r="I379" i="2"/>
  <c r="H383" i="2"/>
  <c r="F385" i="2"/>
  <c r="B389" i="2"/>
  <c r="M390" i="2"/>
  <c r="H394" i="2"/>
  <c r="H396" i="2"/>
  <c r="F398" i="2"/>
  <c r="B402" i="2"/>
  <c r="M403" i="2"/>
  <c r="H407" i="2"/>
  <c r="F409" i="2"/>
  <c r="B415" i="2"/>
  <c r="M416" i="2"/>
  <c r="H420" i="2"/>
  <c r="F422" i="2"/>
  <c r="N425" i="2"/>
  <c r="G429" i="2"/>
  <c r="N432" i="2"/>
  <c r="H436" i="2"/>
  <c r="B440" i="2"/>
  <c r="H443" i="2"/>
  <c r="B447" i="2"/>
  <c r="N136" i="2"/>
  <c r="F190" i="2"/>
  <c r="I219" i="2"/>
  <c r="H245" i="2"/>
  <c r="B261" i="2"/>
  <c r="I289" i="2"/>
  <c r="F293" i="2"/>
  <c r="N296" i="2"/>
  <c r="F303" i="2"/>
  <c r="G306" i="2"/>
  <c r="I315" i="2"/>
  <c r="H318" i="2"/>
  <c r="G321" i="2"/>
  <c r="G324" i="2"/>
  <c r="B336" i="2"/>
  <c r="C341" i="2"/>
  <c r="C351" i="2"/>
  <c r="F353" i="2"/>
  <c r="B360" i="2"/>
  <c r="F362" i="2"/>
  <c r="G364" i="2"/>
  <c r="B369" i="2"/>
  <c r="C371" i="2"/>
  <c r="F373" i="2"/>
  <c r="M379" i="2"/>
  <c r="I383" i="2"/>
  <c r="G385" i="2"/>
  <c r="C389" i="2"/>
  <c r="N390" i="2"/>
  <c r="I394" i="2"/>
  <c r="I396" i="2"/>
  <c r="G398" i="2"/>
  <c r="C402" i="2"/>
  <c r="N403" i="2"/>
  <c r="I407" i="2"/>
  <c r="G409" i="2"/>
  <c r="C415" i="2"/>
  <c r="N416" i="2"/>
  <c r="I420" i="2"/>
  <c r="G422" i="2"/>
  <c r="B426" i="2"/>
  <c r="H429" i="2"/>
  <c r="B433" i="2"/>
  <c r="M434" i="2"/>
  <c r="I436" i="2"/>
  <c r="F438" i="2"/>
  <c r="C440" i="2"/>
  <c r="M441" i="2"/>
  <c r="I443" i="2"/>
  <c r="F445" i="2"/>
  <c r="C447" i="2"/>
  <c r="M448" i="2"/>
  <c r="I450" i="2"/>
  <c r="F452" i="2"/>
  <c r="C454" i="2"/>
  <c r="M455" i="2"/>
  <c r="I457" i="2"/>
  <c r="F459" i="2"/>
  <c r="C461" i="2"/>
  <c r="M462" i="2"/>
  <c r="I464" i="2"/>
  <c r="F466" i="2"/>
  <c r="N469" i="2"/>
  <c r="G473" i="2"/>
  <c r="N476" i="2"/>
  <c r="F480" i="2"/>
  <c r="B482" i="2"/>
  <c r="F485" i="2"/>
  <c r="B487" i="2"/>
  <c r="F490" i="2"/>
  <c r="B492" i="2"/>
  <c r="F495" i="2"/>
  <c r="B497" i="2"/>
  <c r="M345" i="2"/>
  <c r="I353" i="2"/>
  <c r="N371" i="2"/>
  <c r="F377" i="2"/>
  <c r="C390" i="2"/>
  <c r="G397" i="2"/>
  <c r="C401" i="2"/>
  <c r="M404" i="2"/>
  <c r="N410" i="2"/>
  <c r="C414" i="2"/>
  <c r="C417" i="2"/>
  <c r="F423" i="2"/>
  <c r="M425" i="2"/>
  <c r="C431" i="2"/>
  <c r="M433" i="2"/>
  <c r="M438" i="2"/>
  <c r="C446" i="2"/>
  <c r="G448" i="2"/>
  <c r="H450" i="2"/>
  <c r="M452" i="2"/>
  <c r="B455" i="2"/>
  <c r="N465" i="2"/>
  <c r="N467" i="2"/>
  <c r="C470" i="2"/>
  <c r="F478" i="2"/>
  <c r="C488" i="2"/>
  <c r="C490" i="2"/>
  <c r="C492" i="2"/>
  <c r="C494" i="2"/>
  <c r="B496" i="2"/>
  <c r="N497" i="2"/>
  <c r="H501" i="2"/>
  <c r="M461" i="2"/>
  <c r="F472" i="2"/>
  <c r="H480" i="2"/>
  <c r="F488" i="2"/>
  <c r="H414" i="2"/>
  <c r="G457" i="2"/>
  <c r="B464" i="2"/>
  <c r="I476" i="2"/>
  <c r="I480" i="2"/>
  <c r="G486" i="2"/>
  <c r="G492" i="2"/>
  <c r="F494" i="2"/>
  <c r="B462" i="2"/>
  <c r="H470" i="2"/>
  <c r="H490" i="2"/>
  <c r="F498" i="2"/>
  <c r="M501" i="2"/>
  <c r="M470" i="2"/>
  <c r="M449" i="2"/>
  <c r="F471" i="2"/>
  <c r="H487" i="2"/>
  <c r="N500" i="2"/>
  <c r="I487" i="2"/>
  <c r="N435" i="2"/>
  <c r="F261" i="2"/>
  <c r="H306" i="2"/>
  <c r="H333" i="2"/>
  <c r="N345" i="2"/>
  <c r="M360" i="2"/>
  <c r="B372" i="2"/>
  <c r="G377" i="2"/>
  <c r="F382" i="2"/>
  <c r="H386" i="2"/>
  <c r="M393" i="2"/>
  <c r="H397" i="2"/>
  <c r="N404" i="2"/>
  <c r="B411" i="2"/>
  <c r="G417" i="2"/>
  <c r="F420" i="2"/>
  <c r="G423" i="2"/>
  <c r="C426" i="2"/>
  <c r="F431" i="2"/>
  <c r="N433" i="2"/>
  <c r="N438" i="2"/>
  <c r="F441" i="2"/>
  <c r="B444" i="2"/>
  <c r="H448" i="2"/>
  <c r="N452" i="2"/>
  <c r="C455" i="2"/>
  <c r="G459" i="2"/>
  <c r="M463" i="2"/>
  <c r="B466" i="2"/>
  <c r="B468" i="2"/>
  <c r="G478" i="2"/>
  <c r="G480" i="2"/>
  <c r="G482" i="2"/>
  <c r="F484" i="2"/>
  <c r="C496" i="2"/>
  <c r="B498" i="2"/>
  <c r="M499" i="2"/>
  <c r="I501" i="2"/>
  <c r="G420" i="2"/>
  <c r="B434" i="2"/>
  <c r="C439" i="2"/>
  <c r="C444" i="2"/>
  <c r="B453" i="2"/>
  <c r="H459" i="2"/>
  <c r="N463" i="2"/>
  <c r="F470" i="2"/>
  <c r="F474" i="2"/>
  <c r="H476" i="2"/>
  <c r="H482" i="2"/>
  <c r="G484" i="2"/>
  <c r="F486" i="2"/>
  <c r="C498" i="2"/>
  <c r="N499" i="2"/>
  <c r="H411" i="2"/>
  <c r="C429" i="2"/>
  <c r="C434" i="2"/>
  <c r="I441" i="2"/>
  <c r="F446" i="2"/>
  <c r="M459" i="2"/>
  <c r="N461" i="2"/>
  <c r="G472" i="2"/>
  <c r="G474" i="2"/>
  <c r="I478" i="2"/>
  <c r="I482" i="2"/>
  <c r="G490" i="2"/>
  <c r="B500" i="2"/>
  <c r="G455" i="2"/>
  <c r="H472" i="2"/>
  <c r="I484" i="2"/>
  <c r="G494" i="2"/>
  <c r="C500" i="2"/>
  <c r="C477" i="2"/>
  <c r="N490" i="2"/>
  <c r="I475" i="2"/>
  <c r="M460" i="2"/>
  <c r="I483" i="2"/>
  <c r="G491" i="2"/>
  <c r="M389" i="2"/>
  <c r="G261" i="2"/>
  <c r="M306" i="2"/>
  <c r="I334" i="2"/>
  <c r="H354" i="2"/>
  <c r="N366" i="2"/>
  <c r="G372" i="2"/>
  <c r="M386" i="2"/>
  <c r="H390" i="2"/>
  <c r="M397" i="2"/>
  <c r="B405" i="2"/>
  <c r="F408" i="2"/>
  <c r="C411" i="2"/>
  <c r="H417" i="2"/>
  <c r="H423" i="2"/>
  <c r="M428" i="2"/>
  <c r="H431" i="2"/>
  <c r="F436" i="2"/>
  <c r="H441" i="2"/>
  <c r="I448" i="2"/>
  <c r="F457" i="2"/>
  <c r="C466" i="2"/>
  <c r="H478" i="2"/>
  <c r="B451" i="2"/>
  <c r="G470" i="2"/>
  <c r="G488" i="2"/>
  <c r="N459" i="2"/>
  <c r="H474" i="2"/>
  <c r="I486" i="2"/>
  <c r="F496" i="2"/>
  <c r="B475" i="2"/>
  <c r="G500" i="2"/>
  <c r="H456" i="2"/>
  <c r="I473" i="2"/>
  <c r="G497" i="2"/>
  <c r="H268" i="2"/>
  <c r="M309" i="2"/>
  <c r="C336" i="2"/>
  <c r="I346" i="2"/>
  <c r="B355" i="2"/>
  <c r="B367" i="2"/>
  <c r="M377" i="2"/>
  <c r="N386" i="2"/>
  <c r="I390" i="2"/>
  <c r="N397" i="2"/>
  <c r="F405" i="2"/>
  <c r="H408" i="2"/>
  <c r="I423" i="2"/>
  <c r="H426" i="2"/>
  <c r="F468" i="2"/>
  <c r="H484" i="2"/>
  <c r="H492" i="2"/>
  <c r="H440" i="2"/>
  <c r="M268" i="2"/>
  <c r="N309" i="2"/>
  <c r="N361" i="2"/>
  <c r="G367" i="2"/>
  <c r="M372" i="2"/>
  <c r="F378" i="2"/>
  <c r="B387" i="2"/>
  <c r="F394" i="2"/>
  <c r="M401" i="2"/>
  <c r="G405" i="2"/>
  <c r="I408" i="2"/>
  <c r="I411" i="2"/>
  <c r="I414" i="2"/>
  <c r="M423" i="2"/>
  <c r="I426" i="2"/>
  <c r="M431" i="2"/>
  <c r="H446" i="2"/>
  <c r="C451" i="2"/>
  <c r="H457" i="2"/>
  <c r="G468" i="2"/>
  <c r="H488" i="2"/>
  <c r="M437" i="2"/>
  <c r="M274" i="2"/>
  <c r="N312" i="2"/>
  <c r="H337" i="2"/>
  <c r="F355" i="2"/>
  <c r="B362" i="2"/>
  <c r="H367" i="2"/>
  <c r="N372" i="2"/>
  <c r="H378" i="2"/>
  <c r="F383" i="2"/>
  <c r="F387" i="2"/>
  <c r="B391" i="2"/>
  <c r="M394" i="2"/>
  <c r="H398" i="2"/>
  <c r="H405" i="2"/>
  <c r="N411" i="2"/>
  <c r="M414" i="2"/>
  <c r="M417" i="2"/>
  <c r="C421" i="2"/>
  <c r="N423" i="2"/>
  <c r="N431" i="2"/>
  <c r="F434" i="2"/>
  <c r="B437" i="2"/>
  <c r="F439" i="2"/>
  <c r="N441" i="2"/>
  <c r="F444" i="2"/>
  <c r="N448" i="2"/>
  <c r="F453" i="2"/>
  <c r="H455" i="2"/>
  <c r="B460" i="2"/>
  <c r="C462" i="2"/>
  <c r="H466" i="2"/>
  <c r="I468" i="2"/>
  <c r="I470" i="2"/>
  <c r="I472" i="2"/>
  <c r="M478" i="2"/>
  <c r="M480" i="2"/>
  <c r="I488" i="2"/>
  <c r="I490" i="2"/>
  <c r="I492" i="2"/>
  <c r="H494" i="2"/>
  <c r="G496" i="2"/>
  <c r="G498" i="2"/>
  <c r="N501" i="2"/>
  <c r="N417" i="2"/>
  <c r="F429" i="2"/>
  <c r="C432" i="2"/>
  <c r="C437" i="2"/>
  <c r="G439" i="2"/>
  <c r="G444" i="2"/>
  <c r="B449" i="2"/>
  <c r="G453" i="2"/>
  <c r="C460" i="2"/>
  <c r="I466" i="2"/>
  <c r="M474" i="2"/>
  <c r="M476" i="2"/>
  <c r="N480" i="2"/>
  <c r="M482" i="2"/>
  <c r="I496" i="2"/>
  <c r="H498" i="2"/>
  <c r="B477" i="2"/>
  <c r="N482" i="2"/>
  <c r="M486" i="2"/>
  <c r="M488" i="2"/>
  <c r="M490" i="2"/>
  <c r="F500" i="2"/>
  <c r="I421" i="2"/>
  <c r="F424" i="2"/>
  <c r="I434" i="2"/>
  <c r="F437" i="2"/>
  <c r="F442" i="2"/>
  <c r="N446" i="2"/>
  <c r="F449" i="2"/>
  <c r="G462" i="2"/>
  <c r="M466" i="2"/>
  <c r="M468" i="2"/>
  <c r="N472" i="2"/>
  <c r="B483" i="2"/>
  <c r="N488" i="2"/>
  <c r="M492" i="2"/>
  <c r="H473" i="2"/>
  <c r="I479" i="2"/>
  <c r="G489" i="2"/>
  <c r="I456" i="2"/>
  <c r="B501" i="2"/>
  <c r="I410" i="2"/>
  <c r="N430" i="2"/>
  <c r="H438" i="2"/>
  <c r="H452" i="2"/>
  <c r="I463" i="2"/>
  <c r="N471" i="2"/>
  <c r="N274" i="2"/>
  <c r="B313" i="2"/>
  <c r="N337" i="2"/>
  <c r="G362" i="2"/>
  <c r="M367" i="2"/>
  <c r="I373" i="2"/>
  <c r="M378" i="2"/>
  <c r="G387" i="2"/>
  <c r="C391" i="2"/>
  <c r="N394" i="2"/>
  <c r="I398" i="2"/>
  <c r="I405" i="2"/>
  <c r="B412" i="2"/>
  <c r="N414" i="2"/>
  <c r="B424" i="2"/>
  <c r="M426" i="2"/>
  <c r="G434" i="2"/>
  <c r="B442" i="2"/>
  <c r="I455" i="2"/>
  <c r="F464" i="2"/>
  <c r="N478" i="2"/>
  <c r="I494" i="2"/>
  <c r="B481" i="2"/>
  <c r="N405" i="2"/>
  <c r="B485" i="2"/>
  <c r="F493" i="2"/>
  <c r="F465" i="2"/>
  <c r="F280" i="2"/>
  <c r="F348" i="2"/>
  <c r="M355" i="2"/>
  <c r="H362" i="2"/>
  <c r="F368" i="2"/>
  <c r="I391" i="2"/>
  <c r="N398" i="2"/>
  <c r="I402" i="2"/>
  <c r="M405" i="2"/>
  <c r="B409" i="2"/>
  <c r="F418" i="2"/>
  <c r="H421" i="2"/>
  <c r="C424" i="2"/>
  <c r="N426" i="2"/>
  <c r="I429" i="2"/>
  <c r="H434" i="2"/>
  <c r="I439" i="2"/>
  <c r="H444" i="2"/>
  <c r="M446" i="2"/>
  <c r="F451" i="2"/>
  <c r="H453" i="2"/>
  <c r="B458" i="2"/>
  <c r="G464" i="2"/>
  <c r="N474" i="2"/>
  <c r="C479" i="2"/>
  <c r="N484" i="2"/>
  <c r="I498" i="2"/>
  <c r="B399" i="2"/>
  <c r="B427" i="2"/>
  <c r="H451" i="2"/>
  <c r="H464" i="2"/>
  <c r="N486" i="2"/>
  <c r="B452" i="2"/>
  <c r="H483" i="2"/>
  <c r="H471" i="2"/>
  <c r="G280" i="2"/>
  <c r="B316" i="2"/>
  <c r="B339" i="2"/>
  <c r="B349" i="2"/>
  <c r="N356" i="2"/>
  <c r="M362" i="2"/>
  <c r="I368" i="2"/>
  <c r="C374" i="2"/>
  <c r="F379" i="2"/>
  <c r="C384" i="2"/>
  <c r="M387" i="2"/>
  <c r="F395" i="2"/>
  <c r="C409" i="2"/>
  <c r="G418" i="2"/>
  <c r="I444" i="2"/>
  <c r="C481" i="2"/>
  <c r="F467" i="2"/>
  <c r="C137" i="2"/>
  <c r="C285" i="2"/>
  <c r="I318" i="2"/>
  <c r="B340" i="2"/>
  <c r="C349" i="2"/>
  <c r="F357" i="2"/>
  <c r="N362" i="2"/>
  <c r="G379" i="2"/>
  <c r="M391" i="2"/>
  <c r="H395" i="2"/>
  <c r="M402" i="2"/>
  <c r="F412" i="2"/>
  <c r="I415" i="2"/>
  <c r="H418" i="2"/>
  <c r="G424" i="2"/>
  <c r="C427" i="2"/>
  <c r="B430" i="2"/>
  <c r="F432" i="2"/>
  <c r="N434" i="2"/>
  <c r="G437" i="2"/>
  <c r="M439" i="2"/>
  <c r="G442" i="2"/>
  <c r="G449" i="2"/>
  <c r="I451" i="2"/>
  <c r="N455" i="2"/>
  <c r="F460" i="2"/>
  <c r="H462" i="2"/>
  <c r="N466" i="2"/>
  <c r="N468" i="2"/>
  <c r="N470" i="2"/>
  <c r="B473" i="2"/>
  <c r="C475" i="2"/>
  <c r="C483" i="2"/>
  <c r="C485" i="2"/>
  <c r="C487" i="2"/>
  <c r="C489" i="2"/>
  <c r="B491" i="2"/>
  <c r="N492" i="2"/>
  <c r="N494" i="2"/>
  <c r="M496" i="2"/>
  <c r="H500" i="2"/>
  <c r="I481" i="2"/>
  <c r="G469" i="2"/>
  <c r="H144" i="2"/>
  <c r="G285" i="2"/>
  <c r="B350" i="2"/>
  <c r="G357" i="2"/>
  <c r="I363" i="2"/>
  <c r="C369" i="2"/>
  <c r="H374" i="2"/>
  <c r="N379" i="2"/>
  <c r="F384" i="2"/>
  <c r="N391" i="2"/>
  <c r="I395" i="2"/>
  <c r="N402" i="2"/>
  <c r="H406" i="2"/>
  <c r="G412" i="2"/>
  <c r="I418" i="2"/>
  <c r="F427" i="2"/>
  <c r="C430" i="2"/>
  <c r="G432" i="2"/>
  <c r="B435" i="2"/>
  <c r="H437" i="2"/>
  <c r="N439" i="2"/>
  <c r="I442" i="2"/>
  <c r="N444" i="2"/>
  <c r="H449" i="2"/>
  <c r="M453" i="2"/>
  <c r="B456" i="2"/>
  <c r="F458" i="2"/>
  <c r="G460" i="2"/>
  <c r="I462" i="2"/>
  <c r="M464" i="2"/>
  <c r="B467" i="2"/>
  <c r="B469" i="2"/>
  <c r="B471" i="2"/>
  <c r="F477" i="2"/>
  <c r="F479" i="2"/>
  <c r="C491" i="2"/>
  <c r="B493" i="2"/>
  <c r="B495" i="2"/>
  <c r="N496" i="2"/>
  <c r="M498" i="2"/>
  <c r="I500" i="2"/>
  <c r="B454" i="2"/>
  <c r="G475" i="2"/>
  <c r="G481" i="2"/>
  <c r="G485" i="2"/>
  <c r="F489" i="2"/>
  <c r="C499" i="2"/>
  <c r="G430" i="2"/>
  <c r="N462" i="2"/>
  <c r="I477" i="2"/>
  <c r="F491" i="2"/>
  <c r="C452" i="2"/>
  <c r="H489" i="2"/>
  <c r="N445" i="2"/>
  <c r="G190" i="2"/>
  <c r="H357" i="2"/>
  <c r="B364" i="2"/>
  <c r="B375" i="2"/>
  <c r="B380" i="2"/>
  <c r="H384" i="2"/>
  <c r="F388" i="2"/>
  <c r="B392" i="2"/>
  <c r="F399" i="2"/>
  <c r="H409" i="2"/>
  <c r="M415" i="2"/>
  <c r="M418" i="2"/>
  <c r="B422" i="2"/>
  <c r="M424" i="2"/>
  <c r="G427" i="2"/>
  <c r="I432" i="2"/>
  <c r="I437" i="2"/>
  <c r="B445" i="2"/>
  <c r="H447" i="2"/>
  <c r="I449" i="2"/>
  <c r="N453" i="2"/>
  <c r="G458" i="2"/>
  <c r="H460" i="2"/>
  <c r="C465" i="2"/>
  <c r="C467" i="2"/>
  <c r="C469" i="2"/>
  <c r="F475" i="2"/>
  <c r="G477" i="2"/>
  <c r="G479" i="2"/>
  <c r="F481" i="2"/>
  <c r="F483" i="2"/>
  <c r="C493" i="2"/>
  <c r="C495" i="2"/>
  <c r="C497" i="2"/>
  <c r="N498" i="2"/>
  <c r="M399" i="2"/>
  <c r="N418" i="2"/>
  <c r="N424" i="2"/>
  <c r="H427" i="2"/>
  <c r="F435" i="2"/>
  <c r="I447" i="2"/>
  <c r="N451" i="2"/>
  <c r="F456" i="2"/>
  <c r="F473" i="2"/>
  <c r="H477" i="2"/>
  <c r="G483" i="2"/>
  <c r="G487" i="2"/>
  <c r="M500" i="2"/>
  <c r="I427" i="2"/>
  <c r="H485" i="2"/>
  <c r="I485" i="2"/>
  <c r="G495" i="2"/>
  <c r="H393" i="2"/>
  <c r="M193" i="2"/>
  <c r="M357" i="2"/>
  <c r="C364" i="2"/>
  <c r="H369" i="2"/>
  <c r="F380" i="2"/>
  <c r="B385" i="2"/>
  <c r="F392" i="2"/>
  <c r="B396" i="2"/>
  <c r="H403" i="2"/>
  <c r="I409" i="2"/>
  <c r="N415" i="2"/>
  <c r="C422" i="2"/>
  <c r="F430" i="2"/>
  <c r="C445" i="2"/>
  <c r="H458" i="2"/>
  <c r="H479" i="2"/>
  <c r="G435" i="2"/>
  <c r="C220" i="2"/>
  <c r="G293" i="2"/>
  <c r="H324" i="2"/>
  <c r="I342" i="2"/>
  <c r="M350" i="2"/>
  <c r="N357" i="2"/>
  <c r="I369" i="2"/>
  <c r="F375" i="2"/>
  <c r="G380" i="2"/>
  <c r="C385" i="2"/>
  <c r="G392" i="2"/>
  <c r="C396" i="2"/>
  <c r="N399" i="2"/>
  <c r="I403" i="2"/>
  <c r="M406" i="2"/>
  <c r="C410" i="2"/>
  <c r="M412" i="2"/>
  <c r="B416" i="2"/>
  <c r="C425" i="2"/>
  <c r="M442" i="2"/>
  <c r="I458" i="2"/>
  <c r="G493" i="2"/>
  <c r="H222" i="2"/>
  <c r="I293" i="2"/>
  <c r="C359" i="2"/>
  <c r="H364" i="2"/>
  <c r="M380" i="2"/>
  <c r="M388" i="2"/>
  <c r="H392" i="2"/>
  <c r="B400" i="2"/>
  <c r="N406" i="2"/>
  <c r="N412" i="2"/>
  <c r="C416" i="2"/>
  <c r="F419" i="2"/>
  <c r="M427" i="2"/>
  <c r="H430" i="2"/>
  <c r="M432" i="2"/>
  <c r="I435" i="2"/>
  <c r="N437" i="2"/>
  <c r="I440" i="2"/>
  <c r="N442" i="2"/>
  <c r="G445" i="2"/>
  <c r="N449" i="2"/>
  <c r="B463" i="2"/>
  <c r="M235" i="2"/>
  <c r="B297" i="2"/>
  <c r="F327" i="2"/>
  <c r="F343" i="2"/>
  <c r="G359" i="2"/>
  <c r="I364" i="2"/>
  <c r="M375" i="2"/>
  <c r="H385" i="2"/>
  <c r="M392" i="2"/>
  <c r="F400" i="2"/>
  <c r="F410" i="2"/>
  <c r="F413" i="2"/>
  <c r="H416" i="2"/>
  <c r="H419" i="2"/>
  <c r="H422" i="2"/>
  <c r="N427" i="2"/>
  <c r="I430" i="2"/>
  <c r="B438" i="2"/>
  <c r="H445" i="2"/>
  <c r="M447" i="2"/>
  <c r="B450" i="2"/>
  <c r="H454" i="2"/>
  <c r="N460" i="2"/>
  <c r="F463" i="2"/>
  <c r="G465" i="2"/>
  <c r="G467" i="2"/>
  <c r="H469" i="2"/>
  <c r="I471" i="2"/>
  <c r="I489" i="2"/>
  <c r="I491" i="2"/>
  <c r="H493" i="2"/>
  <c r="H495" i="2"/>
  <c r="H497" i="2"/>
  <c r="F499" i="2"/>
  <c r="C501" i="2"/>
  <c r="I416" i="2"/>
  <c r="N447" i="2"/>
  <c r="I454" i="2"/>
  <c r="N458" i="2"/>
  <c r="B461" i="2"/>
  <c r="G463" i="2"/>
  <c r="H465" i="2"/>
  <c r="I469" i="2"/>
  <c r="M473" i="2"/>
  <c r="M475" i="2"/>
  <c r="M477" i="2"/>
  <c r="M481" i="2"/>
  <c r="M483" i="2"/>
  <c r="M485" i="2"/>
  <c r="I495" i="2"/>
  <c r="I497" i="2"/>
  <c r="G499" i="2"/>
  <c r="H499" i="2"/>
  <c r="D24" i="3"/>
  <c r="I300" i="2"/>
  <c r="H330" i="2"/>
  <c r="M352" i="2"/>
  <c r="M376" i="2"/>
  <c r="B386" i="2"/>
  <c r="M400" i="2"/>
  <c r="G404" i="2"/>
  <c r="G407" i="2"/>
  <c r="M413" i="2"/>
  <c r="N419" i="2"/>
  <c r="G428" i="2"/>
  <c r="I433" i="2"/>
  <c r="G443" i="2"/>
  <c r="F450" i="2"/>
  <c r="C459" i="2"/>
  <c r="G237" i="2"/>
  <c r="C297" i="2"/>
  <c r="G327" i="2"/>
  <c r="B344" i="2"/>
  <c r="G352" i="2"/>
  <c r="H359" i="2"/>
  <c r="I385" i="2"/>
  <c r="N392" i="2"/>
  <c r="G400" i="2"/>
  <c r="B404" i="2"/>
  <c r="G410" i="2"/>
  <c r="G413" i="2"/>
  <c r="I419" i="2"/>
  <c r="I422" i="2"/>
  <c r="F425" i="2"/>
  <c r="M440" i="2"/>
  <c r="H467" i="2"/>
  <c r="N479" i="2"/>
  <c r="I493" i="2"/>
  <c r="F300" i="2"/>
  <c r="G330" i="2"/>
  <c r="C344" i="2"/>
  <c r="I359" i="2"/>
  <c r="F365" i="2"/>
  <c r="M370" i="2"/>
  <c r="H381" i="2"/>
  <c r="N385" i="2"/>
  <c r="I389" i="2"/>
  <c r="G393" i="2"/>
  <c r="C397" i="2"/>
  <c r="C404" i="2"/>
  <c r="F407" i="2"/>
  <c r="H410" i="2"/>
  <c r="M419" i="2"/>
  <c r="M422" i="2"/>
  <c r="I425" i="2"/>
  <c r="F428" i="2"/>
  <c r="M430" i="2"/>
  <c r="H433" i="2"/>
  <c r="M435" i="2"/>
  <c r="G438" i="2"/>
  <c r="N440" i="2"/>
  <c r="F443" i="2"/>
  <c r="M445" i="2"/>
  <c r="B448" i="2"/>
  <c r="G452" i="2"/>
  <c r="M456" i="2"/>
  <c r="B459" i="2"/>
  <c r="H463" i="2"/>
  <c r="I465" i="2"/>
  <c r="M471" i="2"/>
  <c r="N473" i="2"/>
  <c r="N475" i="2"/>
  <c r="N477" i="2"/>
  <c r="B480" i="2"/>
  <c r="N481" i="2"/>
  <c r="N483" i="2"/>
  <c r="N485" i="2"/>
  <c r="M487" i="2"/>
  <c r="M381" i="2"/>
  <c r="B441" i="2"/>
  <c r="B478" i="2"/>
  <c r="G450" i="2"/>
  <c r="M497" i="2"/>
  <c r="B401" i="2"/>
  <c r="C480" i="2"/>
  <c r="M454" i="2"/>
  <c r="N454" i="2"/>
  <c r="F501" i="2"/>
  <c r="N489" i="2"/>
  <c r="B431" i="2"/>
  <c r="B470" i="2"/>
  <c r="N495" i="2"/>
  <c r="F397" i="2"/>
  <c r="I499" i="2"/>
  <c r="H404" i="2"/>
  <c r="M495" i="2"/>
  <c r="C482" i="2"/>
  <c r="N381" i="2"/>
  <c r="M410" i="2"/>
  <c r="N456" i="2"/>
  <c r="G501" i="2"/>
  <c r="B414" i="2"/>
  <c r="B457" i="2"/>
  <c r="C484" i="2"/>
  <c r="B417" i="2"/>
  <c r="N352" i="2"/>
  <c r="F360" i="2"/>
  <c r="C476" i="2"/>
  <c r="I254" i="2"/>
  <c r="I461" i="2"/>
  <c r="B486" i="2"/>
  <c r="I428" i="2"/>
  <c r="G303" i="2"/>
  <c r="N422" i="2"/>
  <c r="C486" i="2"/>
  <c r="N493" i="2"/>
  <c r="M331" i="2"/>
  <c r="N487" i="2"/>
  <c r="B488" i="2"/>
  <c r="M467" i="2"/>
  <c r="B490" i="2"/>
  <c r="C366" i="2"/>
  <c r="M491" i="2"/>
  <c r="B476" i="2"/>
  <c r="B446" i="2"/>
  <c r="M469" i="2"/>
  <c r="C474" i="2"/>
  <c r="C436" i="2"/>
  <c r="C472" i="2"/>
  <c r="N491" i="2"/>
  <c r="B474" i="2"/>
  <c r="M493" i="2"/>
  <c r="C441" i="2"/>
  <c r="B390" i="2"/>
  <c r="D441" i="2" l="1"/>
  <c r="D472" i="2"/>
  <c r="D436" i="2"/>
  <c r="D474" i="2"/>
  <c r="D366" i="2"/>
  <c r="D486" i="2"/>
  <c r="D476" i="2"/>
  <c r="D484" i="2"/>
  <c r="D482" i="2"/>
  <c r="D480" i="2"/>
  <c r="D404" i="2"/>
  <c r="D397" i="2"/>
  <c r="D344" i="2"/>
  <c r="D297" i="2"/>
  <c r="D459" i="2"/>
  <c r="D501" i="2"/>
  <c r="D416" i="2"/>
  <c r="D359" i="2"/>
  <c r="D425" i="2"/>
  <c r="D410" i="2"/>
  <c r="D396" i="2"/>
  <c r="D385" i="2"/>
  <c r="D220" i="2"/>
  <c r="D445" i="2"/>
  <c r="D422" i="2"/>
  <c r="D364" i="2"/>
  <c r="D497" i="2"/>
  <c r="D495" i="2"/>
  <c r="D493" i="2"/>
  <c r="D469" i="2"/>
  <c r="D467" i="2"/>
  <c r="D465" i="2"/>
  <c r="D452" i="2"/>
  <c r="D499" i="2"/>
  <c r="D491" i="2"/>
  <c r="D430" i="2"/>
  <c r="D369" i="2"/>
  <c r="D489" i="2"/>
  <c r="D487" i="2"/>
  <c r="D485" i="2"/>
  <c r="D483" i="2"/>
  <c r="D475" i="2"/>
  <c r="D427" i="2"/>
  <c r="D349" i="2"/>
  <c r="D285" i="2"/>
  <c r="D137" i="2"/>
  <c r="D481" i="2"/>
  <c r="D409" i="2"/>
  <c r="D384" i="2"/>
  <c r="D374" i="2"/>
  <c r="D479" i="2"/>
  <c r="D424" i="2"/>
  <c r="D391" i="2"/>
  <c r="D460" i="2"/>
  <c r="D437" i="2"/>
  <c r="D432" i="2"/>
  <c r="D462" i="2"/>
  <c r="D421" i="2"/>
  <c r="D451" i="2"/>
  <c r="D336" i="2"/>
  <c r="D466" i="2"/>
  <c r="D411" i="2"/>
  <c r="D477" i="2"/>
  <c r="D500" i="2"/>
  <c r="D434" i="2"/>
  <c r="D429" i="2"/>
  <c r="D498" i="2"/>
  <c r="D444" i="2"/>
  <c r="D439" i="2"/>
  <c r="D496" i="2"/>
  <c r="D455" i="2"/>
  <c r="D426" i="2"/>
  <c r="D494" i="2"/>
  <c r="D492" i="2"/>
  <c r="D490" i="2"/>
  <c r="D488" i="2"/>
  <c r="D470" i="2"/>
  <c r="D446" i="2"/>
  <c r="D431" i="2"/>
  <c r="D417" i="2"/>
  <c r="D414" i="2"/>
  <c r="D401" i="2"/>
  <c r="D390" i="2"/>
  <c r="D461" i="2"/>
  <c r="D454" i="2"/>
  <c r="D447" i="2"/>
  <c r="D440" i="2"/>
  <c r="D415" i="2"/>
  <c r="D402" i="2"/>
  <c r="D389" i="2"/>
  <c r="D371" i="2"/>
  <c r="D351" i="2"/>
  <c r="D341" i="2"/>
  <c r="D346" i="2"/>
  <c r="D330" i="2"/>
  <c r="D327" i="2"/>
  <c r="D253" i="2"/>
  <c r="D400" i="2"/>
  <c r="D387" i="2"/>
  <c r="D362" i="2"/>
  <c r="D279" i="2"/>
  <c r="D267" i="2"/>
  <c r="D186" i="2"/>
  <c r="D129" i="2"/>
  <c r="D315" i="2"/>
  <c r="D306" i="2"/>
  <c r="D312" i="2"/>
  <c r="D309" i="2"/>
  <c r="D284" i="2"/>
  <c r="D273" i="2"/>
  <c r="D471" i="2"/>
  <c r="D464" i="2"/>
  <c r="D457" i="2"/>
  <c r="D450" i="2"/>
  <c r="D420" i="2"/>
  <c r="D407" i="2"/>
  <c r="D394" i="2"/>
  <c r="D381" i="2"/>
  <c r="D377" i="2"/>
  <c r="D288" i="2"/>
  <c r="D379" i="2"/>
  <c r="D357" i="2"/>
  <c r="D329" i="2"/>
  <c r="D405" i="2"/>
  <c r="D392" i="2"/>
  <c r="D302" i="2"/>
  <c r="D278" i="2"/>
  <c r="D265" i="2"/>
  <c r="D323" i="2"/>
  <c r="D320" i="2"/>
  <c r="D305" i="2"/>
  <c r="D361" i="2"/>
  <c r="D308" i="2"/>
  <c r="D277" i="2"/>
  <c r="D229" i="2"/>
  <c r="D295" i="2"/>
  <c r="D271" i="2"/>
  <c r="D240" i="2"/>
  <c r="D412" i="2"/>
  <c r="D399" i="2"/>
  <c r="D386" i="2"/>
  <c r="D372" i="2"/>
  <c r="D352" i="2"/>
  <c r="D337" i="2"/>
  <c r="D298" i="2"/>
  <c r="D291" i="2"/>
  <c r="D227" i="2"/>
  <c r="D342" i="2"/>
  <c r="D334" i="2"/>
  <c r="D331" i="2"/>
  <c r="D282" i="2"/>
  <c r="D354" i="2"/>
  <c r="D347" i="2"/>
  <c r="D301" i="2"/>
  <c r="D376" i="2"/>
  <c r="D356" i="2"/>
  <c r="D322" i="2"/>
  <c r="D290" i="2"/>
  <c r="D286" i="2"/>
  <c r="D419" i="2"/>
  <c r="D406" i="2"/>
  <c r="D395" i="2"/>
  <c r="D382" i="2"/>
  <c r="D319" i="2"/>
  <c r="D304" i="2"/>
  <c r="D456" i="2"/>
  <c r="D449" i="2"/>
  <c r="D442" i="2"/>
  <c r="D435" i="2"/>
  <c r="D380" i="2"/>
  <c r="D367" i="2"/>
  <c r="D339" i="2"/>
  <c r="D316" i="2"/>
  <c r="D313" i="2"/>
  <c r="D269" i="2"/>
  <c r="D194" i="2"/>
  <c r="D242" i="2"/>
  <c r="D217" i="2"/>
  <c r="D197" i="2"/>
  <c r="D182" i="2"/>
  <c r="D144" i="2"/>
  <c r="D275" i="2"/>
  <c r="D193" i="2"/>
  <c r="D181" i="2"/>
  <c r="D299" i="2"/>
  <c r="D263" i="2"/>
  <c r="D261" i="2"/>
  <c r="D259" i="2"/>
  <c r="D257" i="2"/>
  <c r="D177" i="2"/>
  <c r="D151" i="2"/>
  <c r="D62" i="2"/>
  <c r="D222" i="2"/>
  <c r="D211" i="2"/>
  <c r="D172" i="2"/>
  <c r="D150" i="2"/>
  <c r="D219" i="2"/>
  <c r="D161" i="2"/>
  <c r="D149" i="2"/>
  <c r="D332" i="2"/>
  <c r="D325" i="2"/>
  <c r="D318" i="2"/>
  <c r="D311" i="2"/>
  <c r="D248" i="2"/>
  <c r="D235" i="2"/>
  <c r="D224" i="2"/>
  <c r="D141" i="2"/>
  <c r="D293" i="2"/>
  <c r="D280" i="2"/>
  <c r="D133" i="2"/>
  <c r="D250" i="2"/>
  <c r="D237" i="2"/>
  <c r="D226" i="2"/>
  <c r="D199" i="2"/>
  <c r="D171" i="2"/>
  <c r="D148" i="2"/>
  <c r="D239" i="2"/>
  <c r="D228" i="2"/>
  <c r="D221" i="2"/>
  <c r="D213" i="2"/>
  <c r="D192" i="2"/>
  <c r="D170" i="2"/>
  <c r="D289" i="2"/>
  <c r="D258" i="2"/>
  <c r="D256" i="2"/>
  <c r="D254" i="2"/>
  <c r="D252" i="2"/>
  <c r="D241" i="2"/>
  <c r="D188" i="2"/>
  <c r="D314" i="2"/>
  <c r="D307" i="2"/>
  <c r="D300" i="2"/>
  <c r="D287" i="2"/>
  <c r="D276" i="2"/>
  <c r="D260" i="2"/>
  <c r="D243" i="2"/>
  <c r="D230" i="2"/>
  <c r="D195" i="2"/>
  <c r="D175" i="2"/>
  <c r="D375" i="2"/>
  <c r="D370" i="2"/>
  <c r="D365" i="2"/>
  <c r="D360" i="2"/>
  <c r="D355" i="2"/>
  <c r="D350" i="2"/>
  <c r="D345" i="2"/>
  <c r="D340" i="2"/>
  <c r="D335" i="2"/>
  <c r="D328" i="2"/>
  <c r="D321" i="2"/>
  <c r="D274" i="2"/>
  <c r="D272" i="2"/>
  <c r="D223" i="2"/>
  <c r="D270" i="2"/>
  <c r="D245" i="2"/>
  <c r="D232" i="2"/>
  <c r="D218" i="2"/>
  <c r="D111" i="2"/>
  <c r="D268" i="2"/>
  <c r="D266" i="2"/>
  <c r="D264" i="2"/>
  <c r="D234" i="2"/>
  <c r="D198" i="2"/>
  <c r="D159" i="2"/>
  <c r="D139" i="2"/>
  <c r="D333" i="2"/>
  <c r="D326" i="2"/>
  <c r="D296" i="2"/>
  <c r="D283" i="2"/>
  <c r="D247" i="2"/>
  <c r="D236" i="2"/>
  <c r="D225" i="2"/>
  <c r="D215" i="2"/>
  <c r="D183" i="2"/>
  <c r="D174" i="2"/>
  <c r="D130" i="2"/>
  <c r="D121" i="2"/>
  <c r="D478" i="2"/>
  <c r="D473" i="2"/>
  <c r="D468" i="2"/>
  <c r="D463" i="2"/>
  <c r="D458" i="2"/>
  <c r="D453" i="2"/>
  <c r="D448" i="2"/>
  <c r="D443" i="2"/>
  <c r="D438" i="2"/>
  <c r="D433" i="2"/>
  <c r="D428" i="2"/>
  <c r="D423" i="2"/>
  <c r="D418" i="2"/>
  <c r="D413" i="2"/>
  <c r="D408" i="2"/>
  <c r="D403" i="2"/>
  <c r="D398" i="2"/>
  <c r="D393" i="2"/>
  <c r="D388" i="2"/>
  <c r="D383" i="2"/>
  <c r="D378" i="2"/>
  <c r="D373" i="2"/>
  <c r="D368" i="2"/>
  <c r="D363" i="2"/>
  <c r="D358" i="2"/>
  <c r="D353" i="2"/>
  <c r="D348" i="2"/>
  <c r="D343" i="2"/>
  <c r="D338" i="2"/>
  <c r="D294" i="2"/>
  <c r="D249" i="2"/>
  <c r="D238" i="2"/>
  <c r="D187" i="2"/>
  <c r="D145" i="2"/>
  <c r="D324" i="2"/>
  <c r="D317" i="2"/>
  <c r="D310" i="2"/>
  <c r="D303" i="2"/>
  <c r="D292" i="2"/>
  <c r="D281" i="2"/>
  <c r="D251" i="2"/>
  <c r="D164" i="2"/>
  <c r="D158" i="2"/>
  <c r="D106" i="2"/>
  <c r="D13" i="2"/>
  <c r="D12" i="2"/>
  <c r="D209" i="2"/>
  <c r="D207" i="2"/>
  <c r="D205" i="2"/>
  <c r="D203" i="2"/>
  <c r="D190" i="2"/>
  <c r="D180" i="2"/>
  <c r="D166" i="2"/>
  <c r="D120" i="2"/>
  <c r="D97" i="2"/>
  <c r="D88" i="2"/>
  <c r="D52" i="2"/>
  <c r="D143" i="2"/>
  <c r="D115" i="2"/>
  <c r="D123" i="2"/>
  <c r="D119" i="2"/>
  <c r="D71" i="2"/>
  <c r="D50" i="2"/>
  <c r="D135" i="2"/>
  <c r="D131" i="2"/>
  <c r="D87" i="2"/>
  <c r="D153" i="2"/>
  <c r="D146" i="2"/>
  <c r="D127" i="2"/>
  <c r="D68" i="2"/>
  <c r="D102" i="2"/>
  <c r="D45" i="2"/>
  <c r="D246" i="2"/>
  <c r="D233" i="2"/>
  <c r="D216" i="2"/>
  <c r="D179" i="2"/>
  <c r="D142" i="2"/>
  <c r="D94" i="2"/>
  <c r="D214" i="2"/>
  <c r="D212" i="2"/>
  <c r="D210" i="2"/>
  <c r="D208" i="2"/>
  <c r="D189" i="2"/>
  <c r="D118" i="2"/>
  <c r="D107" i="2"/>
  <c r="D262" i="2"/>
  <c r="D255" i="2"/>
  <c r="D244" i="2"/>
  <c r="D231" i="2"/>
  <c r="D206" i="2"/>
  <c r="D200" i="2"/>
  <c r="D184" i="2"/>
  <c r="D176" i="2"/>
  <c r="D204" i="2"/>
  <c r="D202" i="2"/>
  <c r="D113" i="2"/>
  <c r="D201" i="2"/>
  <c r="D196" i="2"/>
  <c r="D191" i="2"/>
  <c r="D168" i="2"/>
  <c r="D157" i="2"/>
  <c r="D155" i="2"/>
  <c r="D116" i="2"/>
  <c r="D84" i="2"/>
  <c r="D80" i="2"/>
  <c r="D23" i="2"/>
  <c r="D147" i="2"/>
  <c r="D128" i="2"/>
  <c r="D126" i="2"/>
  <c r="D124" i="2"/>
  <c r="D122" i="2"/>
  <c r="D66" i="2"/>
  <c r="D173" i="2"/>
  <c r="D162" i="2"/>
  <c r="D160" i="2"/>
  <c r="D108" i="2"/>
  <c r="D101" i="2"/>
  <c r="D41" i="2"/>
  <c r="D103" i="2"/>
  <c r="D138" i="2"/>
  <c r="D136" i="2"/>
  <c r="D134" i="2"/>
  <c r="D132" i="2"/>
  <c r="D89" i="2"/>
  <c r="D86" i="2"/>
  <c r="D54" i="2"/>
  <c r="D185" i="2"/>
  <c r="D178" i="2"/>
  <c r="D169" i="2"/>
  <c r="D156" i="2"/>
  <c r="D110" i="2"/>
  <c r="C1" i="17"/>
  <c r="D140" i="2"/>
  <c r="D92" i="2"/>
  <c r="D82" i="2"/>
  <c r="D78" i="2"/>
  <c r="D39" i="2"/>
  <c r="D167" i="2"/>
  <c r="D165" i="2"/>
  <c r="D154" i="2"/>
  <c r="D117" i="2"/>
  <c r="D105" i="2"/>
  <c r="D64" i="2"/>
  <c r="D31" i="2"/>
  <c r="D163" i="2"/>
  <c r="D152" i="2"/>
  <c r="D112" i="2"/>
  <c r="D100" i="2"/>
  <c r="D125" i="2"/>
  <c r="D99" i="2"/>
  <c r="D90" i="2"/>
  <c r="D58" i="2"/>
  <c r="D56" i="2"/>
  <c r="D43" i="2"/>
  <c r="D114" i="2"/>
  <c r="D109" i="2"/>
  <c r="D104" i="2"/>
  <c r="D60" i="2"/>
  <c r="D25" i="2"/>
  <c r="D22" i="2"/>
  <c r="D76" i="2"/>
  <c r="D74" i="2"/>
  <c r="D70" i="2"/>
  <c r="D47" i="2"/>
  <c r="D38" i="2"/>
  <c r="D95" i="2"/>
  <c r="D72" i="2"/>
  <c r="D49" i="2"/>
  <c r="D40" i="2"/>
  <c r="D33" i="2"/>
  <c r="D18" i="2"/>
  <c r="D93" i="2"/>
  <c r="D53" i="2"/>
  <c r="D51" i="2"/>
  <c r="D11" i="2"/>
  <c r="D55" i="2"/>
  <c r="D30" i="2"/>
  <c r="D91" i="2"/>
  <c r="D42" i="2"/>
  <c r="D7" i="2"/>
  <c r="D59" i="2"/>
  <c r="D57" i="2"/>
  <c r="D44" i="2"/>
  <c r="D98" i="2"/>
  <c r="D85" i="2"/>
  <c r="D63" i="2"/>
  <c r="D61" i="2"/>
  <c r="D83" i="2"/>
  <c r="D65" i="2"/>
  <c r="D46" i="2"/>
  <c r="D17" i="2"/>
  <c r="D10" i="2"/>
  <c r="D81" i="2"/>
  <c r="D79" i="2"/>
  <c r="D75" i="2"/>
  <c r="D37" i="2"/>
  <c r="D6" i="2"/>
  <c r="D96" i="2"/>
  <c r="D77" i="2"/>
  <c r="D73" i="2"/>
  <c r="D69" i="2"/>
  <c r="D67" i="2"/>
  <c r="D48" i="2"/>
  <c r="D28" i="2"/>
  <c r="D15" i="2"/>
  <c r="D35" i="2"/>
  <c r="D26" i="2"/>
  <c r="D5" i="2"/>
  <c r="D3" i="2"/>
  <c r="D20" i="2"/>
  <c r="D16" i="2"/>
  <c r="D36" i="2"/>
  <c r="D27" i="2"/>
  <c r="D2" i="2"/>
  <c r="D8" i="2"/>
  <c r="D32" i="2"/>
  <c r="D21" i="2"/>
  <c r="A2" i="3"/>
  <c r="A13" i="3"/>
  <c r="A33" i="3"/>
  <c r="A53" i="3"/>
  <c r="A9" i="3"/>
  <c r="A15" i="3"/>
  <c r="A35" i="3"/>
  <c r="A55" i="3"/>
  <c r="A5" i="3"/>
  <c r="A23" i="3"/>
  <c r="A43" i="3"/>
  <c r="A4" i="3"/>
  <c r="A41" i="3"/>
  <c r="A49" i="3"/>
  <c r="A77" i="3"/>
  <c r="A97" i="3"/>
  <c r="A117" i="3"/>
  <c r="A137" i="3"/>
  <c r="A157" i="3"/>
  <c r="A177" i="3"/>
  <c r="A197" i="3"/>
  <c r="A217" i="3"/>
  <c r="A237" i="3"/>
  <c r="A18" i="3"/>
  <c r="A64" i="3"/>
  <c r="A84" i="3"/>
  <c r="A104" i="3"/>
  <c r="A124" i="3"/>
  <c r="A144" i="3"/>
  <c r="A164" i="3"/>
  <c r="A184" i="3"/>
  <c r="A204" i="3"/>
  <c r="A224" i="3"/>
  <c r="A244" i="3"/>
  <c r="A11" i="3"/>
  <c r="A26" i="3"/>
  <c r="A34" i="3"/>
  <c r="A42" i="3"/>
  <c r="A57" i="3"/>
  <c r="A71" i="3"/>
  <c r="A91" i="3"/>
  <c r="A111" i="3"/>
  <c r="A131" i="3"/>
  <c r="A50" i="3"/>
  <c r="A78" i="3"/>
  <c r="A98" i="3"/>
  <c r="A118" i="3"/>
  <c r="A58" i="3"/>
  <c r="A72" i="3"/>
  <c r="A92" i="3"/>
  <c r="A112" i="3"/>
  <c r="A132" i="3"/>
  <c r="A152" i="3"/>
  <c r="A172" i="3"/>
  <c r="A192" i="3"/>
  <c r="A212" i="3"/>
  <c r="A232" i="3"/>
  <c r="A252" i="3"/>
  <c r="A6" i="3"/>
  <c r="A12" i="3"/>
  <c r="A20" i="3"/>
  <c r="A51" i="3"/>
  <c r="A79" i="3"/>
  <c r="A99" i="3"/>
  <c r="A119" i="3"/>
  <c r="A139" i="3"/>
  <c r="A159" i="3"/>
  <c r="A179" i="3"/>
  <c r="A199" i="3"/>
  <c r="A219" i="3"/>
  <c r="A239" i="3"/>
  <c r="A28" i="3"/>
  <c r="A36" i="3"/>
  <c r="A44" i="3"/>
  <c r="A66" i="3"/>
  <c r="A86" i="3"/>
  <c r="A106" i="3"/>
  <c r="A126" i="3"/>
  <c r="A21" i="3"/>
  <c r="A29" i="3"/>
  <c r="A37" i="3"/>
  <c r="A52" i="3"/>
  <c r="A80" i="3"/>
  <c r="A100" i="3"/>
  <c r="A120" i="3"/>
  <c r="A140" i="3"/>
  <c r="A160" i="3"/>
  <c r="A180" i="3"/>
  <c r="A200" i="3"/>
  <c r="A220" i="3"/>
  <c r="A7" i="3"/>
  <c r="A45" i="3"/>
  <c r="A60" i="3"/>
  <c r="A67" i="3"/>
  <c r="A87" i="3"/>
  <c r="A107" i="3"/>
  <c r="A127" i="3"/>
  <c r="A147" i="3"/>
  <c r="A167" i="3"/>
  <c r="A187" i="3"/>
  <c r="A207" i="3"/>
  <c r="A227" i="3"/>
  <c r="A247" i="3"/>
  <c r="A14" i="3"/>
  <c r="A22" i="3"/>
  <c r="A30" i="3"/>
  <c r="A74" i="3"/>
  <c r="A94" i="3"/>
  <c r="A114" i="3"/>
  <c r="A134" i="3"/>
  <c r="A154" i="3"/>
  <c r="A174" i="3"/>
  <c r="A194" i="3"/>
  <c r="A214" i="3"/>
  <c r="A234" i="3"/>
  <c r="A254" i="3"/>
  <c r="A39" i="3"/>
  <c r="A47" i="3"/>
  <c r="A62" i="3"/>
  <c r="A82" i="3"/>
  <c r="A102" i="3"/>
  <c r="A122" i="3"/>
  <c r="A142" i="3"/>
  <c r="A162" i="3"/>
  <c r="A182" i="3"/>
  <c r="A202" i="3"/>
  <c r="A222" i="3"/>
  <c r="A242" i="3"/>
  <c r="A16" i="3"/>
  <c r="A24" i="3"/>
  <c r="A69" i="3"/>
  <c r="A89" i="3"/>
  <c r="A32" i="3"/>
  <c r="A40" i="3"/>
  <c r="A76" i="3"/>
  <c r="A96" i="3"/>
  <c r="A116" i="3"/>
  <c r="A136" i="3"/>
  <c r="A156" i="3"/>
  <c r="A176" i="3"/>
  <c r="A196" i="3"/>
  <c r="A216" i="3"/>
  <c r="A236" i="3"/>
  <c r="A70" i="3"/>
  <c r="A123" i="3"/>
  <c r="A188" i="3"/>
  <c r="A8" i="3"/>
  <c r="A90" i="3"/>
  <c r="A108" i="3"/>
  <c r="A201" i="3"/>
  <c r="A73" i="3"/>
  <c r="A125" i="3"/>
  <c r="A141" i="3"/>
  <c r="A189" i="3"/>
  <c r="A213" i="3"/>
  <c r="A225" i="3"/>
  <c r="A31" i="3"/>
  <c r="A93" i="3"/>
  <c r="A109" i="3"/>
  <c r="A153" i="3"/>
  <c r="A165" i="3"/>
  <c r="A226" i="3"/>
  <c r="A248" i="3"/>
  <c r="A10" i="3"/>
  <c r="A54" i="3"/>
  <c r="A75" i="3"/>
  <c r="A110" i="3"/>
  <c r="A128" i="3"/>
  <c r="A191" i="3"/>
  <c r="A203" i="3"/>
  <c r="A215" i="3"/>
  <c r="A249" i="3"/>
  <c r="A56" i="3"/>
  <c r="A95" i="3"/>
  <c r="A143" i="3"/>
  <c r="A155" i="3"/>
  <c r="A228" i="3"/>
  <c r="A113" i="3"/>
  <c r="A129" i="3"/>
  <c r="A168" i="3"/>
  <c r="A38" i="3"/>
  <c r="A59" i="3"/>
  <c r="A181" i="3"/>
  <c r="A229" i="3"/>
  <c r="A240" i="3"/>
  <c r="A250" i="3"/>
  <c r="A130" i="3"/>
  <c r="A169" i="3"/>
  <c r="A193" i="3"/>
  <c r="A205" i="3"/>
  <c r="A241" i="3"/>
  <c r="A251" i="3"/>
  <c r="A17" i="3"/>
  <c r="A61" i="3"/>
  <c r="A81" i="3"/>
  <c r="A115" i="3"/>
  <c r="A145" i="3"/>
  <c r="A206" i="3"/>
  <c r="A218" i="3"/>
  <c r="A230" i="3"/>
  <c r="A133" i="3"/>
  <c r="A146" i="3"/>
  <c r="A158" i="3"/>
  <c r="A170" i="3"/>
  <c r="A231" i="3"/>
  <c r="A19" i="3"/>
  <c r="A63" i="3"/>
  <c r="A101" i="3"/>
  <c r="A171" i="3"/>
  <c r="A183" i="3"/>
  <c r="A195" i="3"/>
  <c r="A83" i="3"/>
  <c r="A208" i="3"/>
  <c r="A253" i="3"/>
  <c r="A65" i="3"/>
  <c r="A135" i="3"/>
  <c r="A148" i="3"/>
  <c r="A221" i="3"/>
  <c r="A243" i="3"/>
  <c r="A3" i="3"/>
  <c r="A85" i="3"/>
  <c r="A161" i="3"/>
  <c r="A209" i="3"/>
  <c r="A233" i="3"/>
  <c r="A46" i="3"/>
  <c r="A103" i="3"/>
  <c r="A121" i="3"/>
  <c r="A149" i="3"/>
  <c r="A173" i="3"/>
  <c r="A185" i="3"/>
  <c r="A25" i="3"/>
  <c r="A48" i="3"/>
  <c r="A223" i="3"/>
  <c r="A68" i="3"/>
  <c r="A163" i="3"/>
  <c r="A166" i="3"/>
  <c r="A88" i="3"/>
  <c r="A175" i="3"/>
  <c r="A235" i="3"/>
  <c r="A178" i="3"/>
  <c r="A238" i="3"/>
  <c r="A105" i="3"/>
  <c r="A186" i="3"/>
  <c r="A245" i="3"/>
  <c r="A246" i="3"/>
  <c r="A190" i="3"/>
  <c r="A198" i="3"/>
  <c r="A138" i="3"/>
  <c r="A210" i="3"/>
  <c r="A150" i="3"/>
  <c r="A151" i="3"/>
  <c r="A211" i="3"/>
  <c r="A27" i="3"/>
  <c r="K8" i="3"/>
  <c r="J1" i="2" s="1"/>
  <c r="D34" i="2"/>
  <c r="D29" i="2"/>
  <c r="D24" i="2"/>
  <c r="D19" i="2"/>
  <c r="D14" i="2"/>
  <c r="D9" i="2"/>
  <c r="D4" i="2"/>
  <c r="AW50" i="15"/>
  <c r="AX50" i="15"/>
  <c r="AY50" i="15"/>
  <c r="AZ50" i="15"/>
  <c r="BA50" i="15"/>
  <c r="AZ44" i="15"/>
  <c r="BA44" i="15"/>
  <c r="AW44" i="15"/>
  <c r="AX44" i="15"/>
  <c r="AW35" i="11"/>
  <c r="AX35" i="11"/>
  <c r="AY35" i="11"/>
  <c r="AZ35" i="11"/>
  <c r="BA35" i="11"/>
  <c r="AZ30" i="16"/>
  <c r="BA30" i="16"/>
  <c r="AW30" i="16"/>
  <c r="AW7" i="16"/>
  <c r="AX7" i="16"/>
  <c r="AZ7" i="16"/>
  <c r="AY7" i="16"/>
  <c r="BA7" i="16"/>
  <c r="AX49" i="16"/>
  <c r="AZ49" i="16"/>
  <c r="AW49" i="16"/>
  <c r="AY49" i="16"/>
  <c r="BA49" i="16"/>
  <c r="AX9" i="16"/>
  <c r="AY9" i="16"/>
  <c r="AZ9" i="16"/>
  <c r="AW9" i="16"/>
  <c r="AY44" i="15"/>
  <c r="BA33" i="15"/>
  <c r="AW33" i="15"/>
  <c r="AX33" i="15"/>
  <c r="AY33" i="15"/>
  <c r="AW47" i="15"/>
  <c r="AY47" i="15"/>
  <c r="BA47" i="15"/>
  <c r="AX47" i="15"/>
  <c r="AZ47" i="15"/>
  <c r="AW27" i="15"/>
  <c r="AX27" i="15"/>
  <c r="AY27" i="15"/>
  <c r="BA27" i="15"/>
  <c r="AW4" i="11"/>
  <c r="AX4" i="11"/>
  <c r="AY4" i="11"/>
  <c r="AZ4" i="11"/>
  <c r="BA4" i="11"/>
  <c r="AY43" i="16"/>
  <c r="AZ40" i="16"/>
  <c r="AX33" i="16"/>
  <c r="AY33" i="16"/>
  <c r="AZ33" i="16"/>
  <c r="AX36" i="15"/>
  <c r="AZ36" i="15"/>
  <c r="BA36" i="15"/>
  <c r="AW30" i="15"/>
  <c r="AX30" i="15"/>
  <c r="AY30" i="15"/>
  <c r="BA30" i="15"/>
  <c r="AW43" i="16"/>
  <c r="AW22" i="16"/>
  <c r="AX22" i="16"/>
  <c r="AY22" i="16"/>
  <c r="BA22" i="16"/>
  <c r="BA13" i="15"/>
  <c r="AW13" i="15"/>
  <c r="AW51" i="16"/>
  <c r="AX51" i="16"/>
  <c r="AZ51" i="16"/>
  <c r="AW25" i="16"/>
  <c r="AZ25" i="16"/>
  <c r="AW46" i="11"/>
  <c r="AX46" i="11"/>
  <c r="AY46" i="11"/>
  <c r="AZ46" i="11"/>
  <c r="BA46" i="11"/>
  <c r="AW49" i="15"/>
  <c r="AX49" i="15"/>
  <c r="AY49" i="15"/>
  <c r="BA49" i="15"/>
  <c r="AW49" i="14"/>
  <c r="AX49" i="14"/>
  <c r="AY49" i="14"/>
  <c r="AZ49" i="14"/>
  <c r="BA49" i="14"/>
  <c r="AX10" i="14"/>
  <c r="AY10" i="14"/>
  <c r="AZ10" i="14"/>
  <c r="BA10" i="14"/>
  <c r="AY52" i="13"/>
  <c r="AZ52" i="13"/>
  <c r="BA52" i="13"/>
  <c r="AW40" i="16"/>
  <c r="AY40" i="16"/>
  <c r="BA40" i="16"/>
  <c r="AW52" i="15"/>
  <c r="AY52" i="15"/>
  <c r="AZ52" i="15"/>
  <c r="AW37" i="13"/>
  <c r="AX37" i="13"/>
  <c r="AY37" i="13"/>
  <c r="AZ37" i="13"/>
  <c r="BA37" i="13"/>
  <c r="AZ35" i="16"/>
  <c r="BA35" i="16"/>
  <c r="AW18" i="15"/>
  <c r="AX18" i="15"/>
  <c r="AY18" i="15"/>
  <c r="AZ18" i="15"/>
  <c r="BA18" i="15"/>
  <c r="AY22" i="14"/>
  <c r="AZ22" i="14"/>
  <c r="BA22" i="14"/>
  <c r="AW48" i="13"/>
  <c r="AX48" i="13"/>
  <c r="AY48" i="13"/>
  <c r="AZ48" i="13"/>
  <c r="BA48" i="13"/>
  <c r="AW28" i="13"/>
  <c r="AX28" i="13"/>
  <c r="AY28" i="13"/>
  <c r="AZ28" i="13"/>
  <c r="BA28" i="13"/>
  <c r="AW17" i="13"/>
  <c r="AX17" i="13"/>
  <c r="AY17" i="13"/>
  <c r="AZ17" i="13"/>
  <c r="BA17" i="13"/>
  <c r="AW38" i="15"/>
  <c r="AX38" i="15"/>
  <c r="AZ38" i="15"/>
  <c r="AZ17" i="15"/>
  <c r="AX31" i="14"/>
  <c r="AY31" i="14"/>
  <c r="AZ31" i="14"/>
  <c r="BA31" i="14"/>
  <c r="AW6" i="14"/>
  <c r="AX6" i="14"/>
  <c r="AY6" i="14"/>
  <c r="AZ6" i="14"/>
  <c r="BA6" i="14"/>
  <c r="AW6" i="13"/>
  <c r="AX6" i="13"/>
  <c r="AY6" i="13"/>
  <c r="AZ6" i="13"/>
  <c r="BA6" i="13"/>
  <c r="AY24" i="16"/>
  <c r="AZ24" i="16"/>
  <c r="BA24" i="16"/>
  <c r="AW18" i="14"/>
  <c r="AX18" i="14"/>
  <c r="AY18" i="14"/>
  <c r="AZ18" i="14"/>
  <c r="BA18" i="14"/>
  <c r="AW32" i="15"/>
  <c r="AY32" i="15"/>
  <c r="AZ32" i="15"/>
  <c r="BA32" i="15"/>
  <c r="AY42" i="14"/>
  <c r="AZ42" i="14"/>
  <c r="BA42" i="14"/>
  <c r="AW46" i="12"/>
  <c r="AX46" i="12"/>
  <c r="AY46" i="12"/>
  <c r="AZ46" i="12"/>
  <c r="BA46" i="12"/>
  <c r="AW42" i="16"/>
  <c r="AX42" i="16"/>
  <c r="AY42" i="16"/>
  <c r="BA42" i="16"/>
  <c r="AX29" i="16"/>
  <c r="AZ29" i="16"/>
  <c r="BA29" i="16"/>
  <c r="AZ11" i="16"/>
  <c r="BA11" i="16"/>
  <c r="AX51" i="14"/>
  <c r="AY51" i="14"/>
  <c r="AZ51" i="14"/>
  <c r="BA51" i="14"/>
  <c r="AW37" i="12"/>
  <c r="AX37" i="12"/>
  <c r="AY37" i="12"/>
  <c r="AZ37" i="12"/>
  <c r="BA37" i="12"/>
  <c r="AW26" i="11"/>
  <c r="AX26" i="11"/>
  <c r="AY26" i="11"/>
  <c r="AZ26" i="11"/>
  <c r="BA26" i="11"/>
  <c r="AW26" i="16"/>
  <c r="AY51" i="15"/>
  <c r="AZ51" i="15"/>
  <c r="BA51" i="15"/>
  <c r="AW38" i="14"/>
  <c r="AX38" i="14"/>
  <c r="AY38" i="14"/>
  <c r="AZ38" i="14"/>
  <c r="BA38" i="14"/>
  <c r="AW27" i="14"/>
  <c r="AX27" i="14"/>
  <c r="AY27" i="14"/>
  <c r="AZ27" i="14"/>
  <c r="BA27" i="14"/>
  <c r="AZ2" i="16"/>
  <c r="AX40" i="15"/>
  <c r="AY40" i="15"/>
  <c r="AZ40" i="15"/>
  <c r="AY11" i="15"/>
  <c r="AZ11" i="15"/>
  <c r="BA11" i="15"/>
  <c r="AW26" i="12"/>
  <c r="AX26" i="12"/>
  <c r="AY26" i="12"/>
  <c r="AZ26" i="12"/>
  <c r="BA26" i="12"/>
  <c r="AW15" i="11"/>
  <c r="AX15" i="11"/>
  <c r="AY15" i="11"/>
  <c r="AZ15" i="11"/>
  <c r="BA15" i="11"/>
  <c r="AY2" i="16"/>
  <c r="AX20" i="15"/>
  <c r="AY20" i="15"/>
  <c r="AZ20" i="15"/>
  <c r="BA20" i="15"/>
  <c r="AX17" i="15"/>
  <c r="BA17" i="15"/>
  <c r="AX5" i="16"/>
  <c r="AZ5" i="16"/>
  <c r="BA5" i="16"/>
  <c r="AX2" i="16"/>
  <c r="AX37" i="15"/>
  <c r="BA37" i="15"/>
  <c r="AW47" i="14"/>
  <c r="AX47" i="14"/>
  <c r="AY47" i="14"/>
  <c r="AZ47" i="14"/>
  <c r="BA47" i="14"/>
  <c r="BA33" i="16"/>
  <c r="AW31" i="16"/>
  <c r="AX31" i="16"/>
  <c r="AZ31" i="16"/>
  <c r="BA17" i="16"/>
  <c r="AW2" i="16"/>
  <c r="AY36" i="15"/>
  <c r="AY31" i="15"/>
  <c r="AZ31" i="15"/>
  <c r="BA31" i="15"/>
  <c r="AZ27" i="15"/>
  <c r="AZ13" i="15"/>
  <c r="AW7" i="15"/>
  <c r="AX7" i="15"/>
  <c r="AY7" i="15"/>
  <c r="AZ7" i="15"/>
  <c r="BA7" i="15"/>
  <c r="AW17" i="12"/>
  <c r="AX17" i="12"/>
  <c r="AY17" i="12"/>
  <c r="AZ17" i="12"/>
  <c r="BA17" i="12"/>
  <c r="AZ46" i="16"/>
  <c r="AW33" i="16"/>
  <c r="BA25" i="16"/>
  <c r="AW20" i="16"/>
  <c r="AY20" i="16"/>
  <c r="BA20" i="16"/>
  <c r="AZ17" i="16"/>
  <c r="AZ13" i="16"/>
  <c r="BA13" i="16"/>
  <c r="AW36" i="15"/>
  <c r="AZ30" i="15"/>
  <c r="AY13" i="15"/>
  <c r="BA51" i="16"/>
  <c r="AY46" i="16"/>
  <c r="AY44" i="16"/>
  <c r="AZ44" i="16"/>
  <c r="BA44" i="16"/>
  <c r="AY25" i="16"/>
  <c r="AZ22" i="16"/>
  <c r="AZ15" i="16"/>
  <c r="BA15" i="16"/>
  <c r="AW16" i="15"/>
  <c r="AX16" i="15"/>
  <c r="AY16" i="15"/>
  <c r="AZ16" i="15"/>
  <c r="BA16" i="15"/>
  <c r="AX13" i="15"/>
  <c r="AW4" i="12"/>
  <c r="AX4" i="12"/>
  <c r="AY4" i="12"/>
  <c r="AZ4" i="12"/>
  <c r="BA4" i="12"/>
  <c r="AX44" i="14"/>
  <c r="AX24" i="14"/>
  <c r="BA48" i="14"/>
  <c r="AW44" i="14"/>
  <c r="BA28" i="14"/>
  <c r="AW24" i="14"/>
  <c r="BA7" i="14"/>
  <c r="AW3" i="14"/>
  <c r="BA38" i="13"/>
  <c r="AW34" i="13"/>
  <c r="BA18" i="13"/>
  <c r="AW12" i="13"/>
  <c r="AW43" i="12"/>
  <c r="AW23" i="12"/>
  <c r="AW52" i="11"/>
  <c r="AW32" i="11"/>
  <c r="BA10" i="15"/>
  <c r="BA41" i="14"/>
  <c r="BA21" i="14"/>
  <c r="BA12" i="15"/>
  <c r="AY10" i="15"/>
  <c r="AY41" i="14"/>
  <c r="AY21" i="14"/>
  <c r="AY51" i="13"/>
  <c r="BA36" i="16"/>
  <c r="BA16" i="16"/>
  <c r="BA12" i="16"/>
  <c r="BA43" i="15"/>
  <c r="AZ12" i="15"/>
  <c r="AX10" i="15"/>
  <c r="AZ43" i="14"/>
  <c r="AX41" i="14"/>
  <c r="AZ23" i="14"/>
  <c r="AX21" i="14"/>
  <c r="AZ2" i="14"/>
  <c r="AX51" i="13"/>
  <c r="AZ33" i="13"/>
  <c r="AX31" i="13"/>
  <c r="AZ11" i="13"/>
  <c r="AX9" i="13"/>
  <c r="AZ42" i="12"/>
  <c r="AX40" i="12"/>
  <c r="AY12" i="15"/>
  <c r="AY43" i="14"/>
  <c r="AY23" i="14"/>
  <c r="AY2" i="14"/>
  <c r="BA29" i="14"/>
  <c r="BA8" i="14"/>
  <c r="BA39" i="13"/>
  <c r="BA19" i="13"/>
  <c r="BA48" i="12"/>
  <c r="BA28" i="12"/>
  <c r="BA6" i="12"/>
  <c r="BA37" i="11"/>
  <c r="BA17" i="11"/>
  <c r="BA29" i="15"/>
  <c r="BA9" i="15"/>
  <c r="BA40" i="14"/>
  <c r="AZ29" i="14"/>
  <c r="BA20" i="14"/>
  <c r="AZ8" i="14"/>
  <c r="BA50" i="13"/>
  <c r="AZ39" i="13"/>
  <c r="BA30" i="13"/>
  <c r="AZ19" i="13"/>
  <c r="BA8" i="13"/>
  <c r="AZ48" i="12"/>
  <c r="BA39" i="12"/>
  <c r="AZ28" i="12"/>
  <c r="BA19" i="12"/>
  <c r="AZ6" i="12"/>
  <c r="BA48" i="11"/>
  <c r="AZ37" i="11"/>
  <c r="BA28" i="11"/>
  <c r="AZ17" i="11"/>
  <c r="BA6" i="11"/>
  <c r="AZ40" i="14"/>
  <c r="AY29" i="14"/>
  <c r="AZ20" i="14"/>
  <c r="AY8" i="14"/>
  <c r="AZ50" i="13"/>
  <c r="BA41" i="13"/>
  <c r="AY39" i="13"/>
  <c r="AZ30" i="13"/>
  <c r="BA21" i="13"/>
  <c r="AY19" i="13"/>
  <c r="AZ8" i="13"/>
  <c r="BA50" i="12"/>
  <c r="AY48" i="12"/>
  <c r="AZ39" i="12"/>
  <c r="BA30" i="12"/>
  <c r="AY28" i="12"/>
  <c r="AZ19" i="12"/>
  <c r="BA8" i="12"/>
  <c r="AY6" i="12"/>
  <c r="AZ48" i="11"/>
  <c r="BA39" i="11"/>
  <c r="AY37" i="11"/>
  <c r="AZ28" i="11"/>
  <c r="BA19" i="11"/>
  <c r="AY17" i="11"/>
  <c r="AZ6" i="11"/>
  <c r="AY29" i="15"/>
  <c r="AY9" i="15"/>
  <c r="AY40" i="14"/>
  <c r="AX29" i="14"/>
  <c r="AY20" i="14"/>
  <c r="AX8" i="14"/>
  <c r="AY50" i="13"/>
  <c r="AZ41" i="13"/>
  <c r="AX39" i="13"/>
  <c r="BA32" i="13"/>
  <c r="AY30" i="13"/>
  <c r="AZ21" i="13"/>
  <c r="AX19" i="13"/>
  <c r="BA10" i="13"/>
  <c r="AY8" i="13"/>
  <c r="AZ50" i="12"/>
  <c r="AX48" i="12"/>
  <c r="BA41" i="12"/>
  <c r="AY39" i="12"/>
  <c r="AZ30" i="12"/>
  <c r="AX28" i="12"/>
  <c r="BA21" i="12"/>
  <c r="AY19" i="12"/>
  <c r="AZ8" i="12"/>
  <c r="AX6" i="12"/>
  <c r="BA50" i="11"/>
  <c r="AY48" i="11"/>
  <c r="AZ39" i="11"/>
  <c r="AX37" i="11"/>
  <c r="BA30" i="11"/>
  <c r="AY28" i="11"/>
  <c r="AZ19" i="11"/>
  <c r="AX17" i="11"/>
  <c r="BA8" i="11"/>
  <c r="AY6" i="11"/>
  <c r="BA42" i="15"/>
  <c r="AX29" i="15"/>
  <c r="BA22" i="15"/>
  <c r="AX9" i="15"/>
  <c r="BA2" i="15"/>
  <c r="AX40" i="14"/>
  <c r="BA33" i="14"/>
  <c r="AX20" i="14"/>
  <c r="BA12" i="14"/>
  <c r="AX50" i="13"/>
  <c r="BA43" i="13"/>
  <c r="AY41" i="13"/>
  <c r="AZ32" i="13"/>
  <c r="AX30" i="13"/>
  <c r="BA23" i="13"/>
  <c r="AY21" i="13"/>
  <c r="AZ10" i="13"/>
  <c r="AX8" i="13"/>
  <c r="BA52" i="12"/>
  <c r="AY50" i="12"/>
  <c r="AZ41" i="12"/>
  <c r="AX39" i="12"/>
  <c r="BA32" i="12"/>
  <c r="AY30" i="12"/>
  <c r="AZ21" i="12"/>
  <c r="AX19" i="12"/>
  <c r="BA10" i="12"/>
  <c r="AY8" i="12"/>
  <c r="AZ50" i="11"/>
  <c r="AX48" i="11"/>
  <c r="BA41" i="11"/>
  <c r="AY39" i="11"/>
  <c r="AZ30" i="11"/>
  <c r="AX28" i="11"/>
  <c r="BA21" i="11"/>
  <c r="AY19" i="11"/>
  <c r="AZ8" i="11"/>
  <c r="AX6" i="11"/>
  <c r="H41" i="2"/>
  <c r="I9" i="2"/>
  <c r="G12" i="2"/>
  <c r="D21" i="3"/>
  <c r="I14" i="2"/>
  <c r="G17" i="2"/>
  <c r="C28" i="3"/>
  <c r="C48" i="3"/>
  <c r="D61" i="3"/>
  <c r="D29" i="3"/>
  <c r="C26" i="3"/>
  <c r="G15" i="2"/>
  <c r="G2" i="2"/>
  <c r="H5" i="2"/>
  <c r="H27" i="2"/>
  <c r="G18" i="2"/>
  <c r="H3" i="2"/>
  <c r="G16" i="2"/>
  <c r="I19" i="2"/>
  <c r="G22" i="2"/>
  <c r="D41" i="3"/>
  <c r="D83" i="3"/>
  <c r="D63" i="3"/>
  <c r="H28" i="2"/>
  <c r="H14" i="2"/>
  <c r="I24" i="2"/>
  <c r="G27" i="2"/>
  <c r="C70" i="3"/>
  <c r="C46" i="3"/>
  <c r="G10" i="2"/>
  <c r="G20" i="2"/>
  <c r="G33" i="2"/>
  <c r="I29" i="2"/>
  <c r="G32" i="2"/>
  <c r="H15" i="2"/>
  <c r="H6" i="2"/>
  <c r="H22" i="2"/>
  <c r="G37" i="2"/>
  <c r="C10" i="3"/>
  <c r="C56" i="3"/>
  <c r="C25" i="3"/>
  <c r="H20" i="2"/>
  <c r="C16" i="3"/>
  <c r="C33" i="3"/>
  <c r="J443" i="2"/>
  <c r="J465" i="2"/>
  <c r="J433" i="2"/>
  <c r="J463" i="2"/>
  <c r="J407" i="2"/>
  <c r="J499" i="2"/>
  <c r="J393" i="2"/>
  <c r="J497" i="2"/>
  <c r="J469" i="2"/>
  <c r="J467" i="2"/>
  <c r="J454" i="2"/>
  <c r="J416" i="2"/>
  <c r="J425" i="2"/>
  <c r="J491" i="2"/>
  <c r="J489" i="2"/>
  <c r="J430" i="2"/>
  <c r="J487" i="2"/>
  <c r="J473" i="2"/>
  <c r="J456" i="2"/>
  <c r="J440" i="2"/>
  <c r="J435" i="2"/>
  <c r="J396" i="2"/>
  <c r="J370" i="2"/>
  <c r="J477" i="2"/>
  <c r="J403" i="2"/>
  <c r="J388" i="2"/>
  <c r="J458" i="2"/>
  <c r="J460" i="2"/>
  <c r="J449" i="2"/>
  <c r="J432" i="2"/>
  <c r="J462" i="2"/>
  <c r="J442" i="2"/>
  <c r="J412" i="2"/>
  <c r="J406" i="2"/>
  <c r="J395" i="2"/>
  <c r="J350" i="2"/>
  <c r="J321" i="2"/>
  <c r="J289" i="2"/>
  <c r="J479" i="2"/>
  <c r="J437" i="2"/>
  <c r="J451" i="2"/>
  <c r="J424" i="2"/>
  <c r="J415" i="2"/>
  <c r="J318" i="2"/>
  <c r="J464" i="2"/>
  <c r="J444" i="2"/>
  <c r="J421" i="2"/>
  <c r="J368" i="2"/>
  <c r="J402" i="2"/>
  <c r="J439" i="2"/>
  <c r="J466" i="2"/>
  <c r="J455" i="2"/>
  <c r="J373" i="2"/>
  <c r="J315" i="2"/>
  <c r="J496" i="2"/>
  <c r="J470" i="2"/>
  <c r="J383" i="2"/>
  <c r="J481" i="2"/>
  <c r="J498" i="2"/>
  <c r="J453" i="2"/>
  <c r="J429" i="2"/>
  <c r="J391" i="2"/>
  <c r="J494" i="2"/>
  <c r="J492" i="2"/>
  <c r="J472" i="2"/>
  <c r="J468" i="2"/>
  <c r="J486" i="2"/>
  <c r="J484" i="2"/>
  <c r="J474" i="2"/>
  <c r="J457" i="2"/>
  <c r="J446" i="2"/>
  <c r="J426" i="2"/>
  <c r="J408" i="2"/>
  <c r="J441" i="2"/>
  <c r="J390" i="2"/>
  <c r="J347" i="2"/>
  <c r="J417" i="2"/>
  <c r="J361" i="2"/>
  <c r="J420" i="2"/>
  <c r="J501" i="2"/>
  <c r="J401" i="2"/>
  <c r="J382" i="2"/>
  <c r="J447" i="2"/>
  <c r="J450" i="2"/>
  <c r="J353" i="2"/>
  <c r="J475" i="2"/>
  <c r="J482" i="2"/>
  <c r="J476" i="2"/>
  <c r="J448" i="2"/>
  <c r="J436" i="2"/>
  <c r="J461" i="2"/>
  <c r="J428" i="2"/>
  <c r="J254" i="2"/>
  <c r="J493" i="2"/>
  <c r="J488" i="2"/>
  <c r="J483" i="2"/>
  <c r="J478" i="2"/>
  <c r="J471" i="2"/>
  <c r="J377" i="2"/>
  <c r="J375" i="2"/>
  <c r="J366" i="2"/>
  <c r="J355" i="2"/>
  <c r="J338" i="2"/>
  <c r="J312" i="2"/>
  <c r="J284" i="2"/>
  <c r="J434" i="2"/>
  <c r="J427" i="2"/>
  <c r="J418" i="2"/>
  <c r="J405" i="2"/>
  <c r="J392" i="2"/>
  <c r="J381" i="2"/>
  <c r="J357" i="2"/>
  <c r="J348" i="2"/>
  <c r="J343" i="2"/>
  <c r="J296" i="2"/>
  <c r="J267" i="2"/>
  <c r="J335" i="2"/>
  <c r="J332" i="2"/>
  <c r="J252" i="2"/>
  <c r="J214" i="2"/>
  <c r="J329" i="2"/>
  <c r="J326" i="2"/>
  <c r="J233" i="2"/>
  <c r="J340" i="2"/>
  <c r="J211" i="2"/>
  <c r="J372" i="2"/>
  <c r="J352" i="2"/>
  <c r="J345" i="2"/>
  <c r="J311" i="2"/>
  <c r="J308" i="2"/>
  <c r="J295" i="2"/>
  <c r="J265" i="2"/>
  <c r="J423" i="2"/>
  <c r="J410" i="2"/>
  <c r="J397" i="2"/>
  <c r="J386" i="2"/>
  <c r="J337" i="2"/>
  <c r="J314" i="2"/>
  <c r="J363" i="2"/>
  <c r="J342" i="2"/>
  <c r="J241" i="2"/>
  <c r="J376" i="2"/>
  <c r="J365" i="2"/>
  <c r="J356" i="2"/>
  <c r="J325" i="2"/>
  <c r="J301" i="2"/>
  <c r="J380" i="2"/>
  <c r="J378" i="2"/>
  <c r="J367" i="2"/>
  <c r="J328" i="2"/>
  <c r="J304" i="2"/>
  <c r="J322" i="2"/>
  <c r="J319" i="2"/>
  <c r="J358" i="2"/>
  <c r="J290" i="2"/>
  <c r="J276" i="2"/>
  <c r="J256" i="2"/>
  <c r="J310" i="2"/>
  <c r="J307" i="2"/>
  <c r="J297" i="2"/>
  <c r="J269" i="2"/>
  <c r="J157" i="2"/>
  <c r="J400" i="2"/>
  <c r="J387" i="2"/>
  <c r="J371" i="2"/>
  <c r="J360" i="2"/>
  <c r="J351" i="2"/>
  <c r="J336" i="2"/>
  <c r="J413" i="2"/>
  <c r="J500" i="2"/>
  <c r="J495" i="2"/>
  <c r="J490" i="2"/>
  <c r="J485" i="2"/>
  <c r="J480" i="2"/>
  <c r="J459" i="2"/>
  <c r="J452" i="2"/>
  <c r="J445" i="2"/>
  <c r="J438" i="2"/>
  <c r="J431" i="2"/>
  <c r="J362" i="2"/>
  <c r="J341" i="2"/>
  <c r="J333" i="2"/>
  <c r="J224" i="2"/>
  <c r="J422" i="2"/>
  <c r="J411" i="2"/>
  <c r="J398" i="2"/>
  <c r="J385" i="2"/>
  <c r="J346" i="2"/>
  <c r="J300" i="2"/>
  <c r="J293" i="2"/>
  <c r="J280" i="2"/>
  <c r="J246" i="2"/>
  <c r="J282" i="2"/>
  <c r="J235" i="2"/>
  <c r="J172" i="2"/>
  <c r="J62" i="2"/>
  <c r="J248" i="2"/>
  <c r="J237" i="2"/>
  <c r="J330" i="2"/>
  <c r="J323" i="2"/>
  <c r="J316" i="2"/>
  <c r="J309" i="2"/>
  <c r="J302" i="2"/>
  <c r="J291" i="2"/>
  <c r="J278" i="2"/>
  <c r="J250" i="2"/>
  <c r="J239" i="2"/>
  <c r="J226" i="2"/>
  <c r="J208" i="2"/>
  <c r="J205" i="2"/>
  <c r="J199" i="2"/>
  <c r="J189" i="2"/>
  <c r="J162" i="2"/>
  <c r="J216" i="2"/>
  <c r="J185" i="2"/>
  <c r="J156" i="2"/>
  <c r="J99" i="2"/>
  <c r="J228" i="2"/>
  <c r="J213" i="2"/>
  <c r="J230" i="2"/>
  <c r="J192" i="2"/>
  <c r="J180" i="2"/>
  <c r="J36" i="2"/>
  <c r="J298" i="2"/>
  <c r="J287" i="2"/>
  <c r="J274" i="2"/>
  <c r="J258" i="2"/>
  <c r="J243" i="2"/>
  <c r="J232" i="2"/>
  <c r="J188" i="2"/>
  <c r="J175" i="2"/>
  <c r="J305" i="2"/>
  <c r="J285" i="2"/>
  <c r="J268" i="2"/>
  <c r="J264" i="2"/>
  <c r="J262" i="2"/>
  <c r="J260" i="2"/>
  <c r="J245" i="2"/>
  <c r="J207" i="2"/>
  <c r="J283" i="2"/>
  <c r="J272" i="2"/>
  <c r="J266" i="2"/>
  <c r="J218" i="2"/>
  <c r="J210" i="2"/>
  <c r="J160" i="2"/>
  <c r="J124" i="2"/>
  <c r="J303" i="2"/>
  <c r="J294" i="2"/>
  <c r="J281" i="2"/>
  <c r="J215" i="2"/>
  <c r="J204" i="2"/>
  <c r="J201" i="2"/>
  <c r="J331" i="2"/>
  <c r="J324" i="2"/>
  <c r="J317" i="2"/>
  <c r="J249" i="2"/>
  <c r="J198" i="2"/>
  <c r="J183" i="2"/>
  <c r="J147" i="2"/>
  <c r="J132" i="2"/>
  <c r="J292" i="2"/>
  <c r="J279" i="2"/>
  <c r="J209" i="2"/>
  <c r="J159" i="2"/>
  <c r="J238" i="2"/>
  <c r="J220" i="2"/>
  <c r="J212" i="2"/>
  <c r="J178" i="2"/>
  <c r="J169" i="2"/>
  <c r="J80" i="2"/>
  <c r="J288" i="2"/>
  <c r="J277" i="2"/>
  <c r="J227" i="2"/>
  <c r="J217" i="2"/>
  <c r="J194" i="2"/>
  <c r="J275" i="2"/>
  <c r="J259" i="2"/>
  <c r="J257" i="2"/>
  <c r="J255" i="2"/>
  <c r="J253" i="2"/>
  <c r="J240" i="2"/>
  <c r="J229" i="2"/>
  <c r="J320" i="2"/>
  <c r="J313" i="2"/>
  <c r="J306" i="2"/>
  <c r="J299" i="2"/>
  <c r="J286" i="2"/>
  <c r="J273" i="2"/>
  <c r="J263" i="2"/>
  <c r="J261" i="2"/>
  <c r="J242" i="2"/>
  <c r="J206" i="2"/>
  <c r="J203" i="2"/>
  <c r="J190" i="2"/>
  <c r="J419" i="2"/>
  <c r="J414" i="2"/>
  <c r="J409" i="2"/>
  <c r="J404" i="2"/>
  <c r="J399" i="2"/>
  <c r="J394" i="2"/>
  <c r="J389" i="2"/>
  <c r="J384" i="2"/>
  <c r="J379" i="2"/>
  <c r="J374" i="2"/>
  <c r="J369" i="2"/>
  <c r="J364" i="2"/>
  <c r="J359" i="2"/>
  <c r="J354" i="2"/>
  <c r="J349" i="2"/>
  <c r="J344" i="2"/>
  <c r="J339" i="2"/>
  <c r="J334" i="2"/>
  <c r="J327" i="2"/>
  <c r="J271" i="2"/>
  <c r="J244" i="2"/>
  <c r="J231" i="2"/>
  <c r="J222" i="2"/>
  <c r="J151" i="2"/>
  <c r="J120" i="2"/>
  <c r="J76" i="2"/>
  <c r="J75" i="2"/>
  <c r="J196" i="2"/>
  <c r="J187" i="2"/>
  <c r="J182" i="2"/>
  <c r="J171" i="2"/>
  <c r="J115" i="2"/>
  <c r="J150" i="2"/>
  <c r="J51" i="2"/>
  <c r="J202" i="2"/>
  <c r="J200" i="2"/>
  <c r="J165" i="2"/>
  <c r="J191" i="2"/>
  <c r="J149" i="2"/>
  <c r="J84" i="2"/>
  <c r="J134" i="2"/>
  <c r="J122" i="2"/>
  <c r="J67" i="2"/>
  <c r="J251" i="2"/>
  <c r="J193" i="2"/>
  <c r="J225" i="2"/>
  <c r="J170" i="2"/>
  <c r="J152" i="2"/>
  <c r="J145" i="2"/>
  <c r="J130" i="2"/>
  <c r="J66" i="2"/>
  <c r="J270" i="2"/>
  <c r="J236" i="2"/>
  <c r="J195" i="2"/>
  <c r="J164" i="2"/>
  <c r="J247" i="2"/>
  <c r="J234" i="2"/>
  <c r="J223" i="2"/>
  <c r="J221" i="2"/>
  <c r="J219" i="2"/>
  <c r="J197" i="2"/>
  <c r="J167" i="2"/>
  <c r="J90" i="2"/>
  <c r="J87" i="2"/>
  <c r="J71" i="2"/>
  <c r="J9" i="2"/>
  <c r="J93" i="2"/>
  <c r="J86" i="2"/>
  <c r="J42" i="2"/>
  <c r="J154" i="2"/>
  <c r="J110" i="2"/>
  <c r="J60" i="2"/>
  <c r="J55" i="2"/>
  <c r="J176" i="2"/>
  <c r="J144" i="2"/>
  <c r="J142" i="2"/>
  <c r="J140" i="2"/>
  <c r="J119" i="2"/>
  <c r="J117" i="2"/>
  <c r="J92" i="2"/>
  <c r="J74" i="2"/>
  <c r="J105" i="2"/>
  <c r="J95" i="2"/>
  <c r="J82" i="2"/>
  <c r="J33" i="2"/>
  <c r="J69" i="2"/>
  <c r="J19" i="2"/>
  <c r="J181" i="2"/>
  <c r="J174" i="2"/>
  <c r="J161" i="2"/>
  <c r="J112" i="2"/>
  <c r="J100" i="2"/>
  <c r="J64" i="2"/>
  <c r="J40" i="2"/>
  <c r="J129" i="2"/>
  <c r="J127" i="2"/>
  <c r="J125" i="2"/>
  <c r="J47" i="2"/>
  <c r="J114" i="2"/>
  <c r="J107" i="2"/>
  <c r="J85" i="2"/>
  <c r="J16" i="2"/>
  <c r="J186" i="2"/>
  <c r="J179" i="2"/>
  <c r="J88" i="2"/>
  <c r="J81" i="2"/>
  <c r="J77" i="2"/>
  <c r="J109" i="2"/>
  <c r="J102" i="2"/>
  <c r="J97" i="2"/>
  <c r="J94" i="2"/>
  <c r="J91" i="2"/>
  <c r="J139" i="2"/>
  <c r="J137" i="2"/>
  <c r="J135" i="2"/>
  <c r="J45" i="2"/>
  <c r="J30" i="2"/>
  <c r="J184" i="2"/>
  <c r="J177" i="2"/>
  <c r="J166" i="2"/>
  <c r="J155" i="2"/>
  <c r="J104" i="2"/>
  <c r="J72" i="2"/>
  <c r="J70" i="2"/>
  <c r="J25" i="2"/>
  <c r="J22" i="2"/>
  <c r="J49" i="2"/>
  <c r="J11" i="2"/>
  <c r="J98" i="2"/>
  <c r="J89" i="2"/>
  <c r="J59" i="2"/>
  <c r="J57" i="2"/>
  <c r="J35" i="2"/>
  <c r="J173" i="2"/>
  <c r="J168" i="2"/>
  <c r="J163" i="2"/>
  <c r="J158" i="2"/>
  <c r="J153" i="2"/>
  <c r="J148" i="2"/>
  <c r="J143" i="2"/>
  <c r="J138" i="2"/>
  <c r="J133" i="2"/>
  <c r="J128" i="2"/>
  <c r="J123" i="2"/>
  <c r="J118" i="2"/>
  <c r="J113" i="2"/>
  <c r="J108" i="2"/>
  <c r="J103" i="2"/>
  <c r="J61" i="2"/>
  <c r="J44" i="2"/>
  <c r="J27" i="2"/>
  <c r="J24" i="2"/>
  <c r="J7" i="2"/>
  <c r="J96" i="2"/>
  <c r="J79" i="2"/>
  <c r="J65" i="2"/>
  <c r="J46" i="2"/>
  <c r="J37" i="2"/>
  <c r="J17" i="2"/>
  <c r="J146" i="2"/>
  <c r="J141" i="2"/>
  <c r="J136" i="2"/>
  <c r="J131" i="2"/>
  <c r="J126" i="2"/>
  <c r="J121" i="2"/>
  <c r="J116" i="2"/>
  <c r="J111" i="2"/>
  <c r="J106" i="2"/>
  <c r="J101" i="2"/>
  <c r="J39" i="2"/>
  <c r="J50" i="2"/>
  <c r="J29" i="2"/>
  <c r="J20" i="2"/>
  <c r="J54" i="2"/>
  <c r="J52" i="2"/>
  <c r="J41" i="2"/>
  <c r="J56" i="2"/>
  <c r="J83" i="2"/>
  <c r="J78" i="2"/>
  <c r="J73" i="2"/>
  <c r="J68" i="2"/>
  <c r="J63" i="2"/>
  <c r="J58" i="2"/>
  <c r="J53" i="2"/>
  <c r="J48" i="2"/>
  <c r="J43" i="2"/>
  <c r="J38" i="2"/>
  <c r="J31" i="2"/>
  <c r="J18" i="2"/>
  <c r="J14" i="2"/>
  <c r="J2" i="2"/>
  <c r="J34" i="2"/>
  <c r="J12" i="2"/>
  <c r="J10" i="2"/>
  <c r="J6" i="2"/>
  <c r="J4" i="2"/>
  <c r="J23" i="2"/>
  <c r="J32" i="2"/>
  <c r="J21" i="2"/>
  <c r="J28" i="2"/>
  <c r="J15" i="2"/>
  <c r="J26" i="2"/>
  <c r="J13" i="2"/>
  <c r="J5" i="2"/>
  <c r="J8" i="2"/>
  <c r="J3" i="2"/>
  <c r="C36" i="3"/>
  <c r="D17" i="3"/>
  <c r="G13" i="2"/>
  <c r="H4" i="2"/>
  <c r="C4" i="3"/>
  <c r="D10" i="3"/>
  <c r="H46" i="2"/>
  <c r="H23" i="2"/>
  <c r="I8" i="2"/>
  <c r="G19" i="2"/>
  <c r="G6" i="2"/>
  <c r="G14" i="2"/>
  <c r="H44" i="2"/>
  <c r="H61" i="2"/>
  <c r="D39" i="3"/>
  <c r="G7" i="2"/>
  <c r="D59" i="3"/>
  <c r="D3" i="3"/>
  <c r="H21" i="2"/>
  <c r="G9" i="2"/>
  <c r="H39" i="2"/>
  <c r="D7" i="3"/>
  <c r="D19" i="3"/>
  <c r="G4" i="2"/>
  <c r="H2" i="2"/>
  <c r="H16" i="2"/>
  <c r="H7" i="2"/>
  <c r="H51" i="2"/>
  <c r="H56" i="2"/>
  <c r="I4" i="2"/>
  <c r="K56" i="2" l="1"/>
  <c r="E56" i="2" s="1"/>
  <c r="K51" i="2"/>
  <c r="E51" i="2" s="1"/>
  <c r="K4" i="2"/>
  <c r="E4" i="2" s="1"/>
  <c r="K39" i="2"/>
  <c r="E39" i="2" s="1"/>
  <c r="K9" i="2"/>
  <c r="E9" i="2" s="1"/>
  <c r="K21" i="2"/>
  <c r="E21" i="2" s="1"/>
  <c r="K7" i="2"/>
  <c r="E7" i="2" s="1"/>
  <c r="K61" i="2"/>
  <c r="E61" i="2" s="1"/>
  <c r="K44" i="2"/>
  <c r="E44" i="2" s="1"/>
  <c r="K14" i="2"/>
  <c r="E14" i="2" s="1"/>
  <c r="K6" i="2"/>
  <c r="E6" i="2" s="1"/>
  <c r="K19" i="2"/>
  <c r="E19" i="2" s="1"/>
  <c r="K8" i="2"/>
  <c r="E8" i="2" s="1"/>
  <c r="K23" i="2"/>
  <c r="E23" i="2" s="1"/>
  <c r="K46" i="2"/>
  <c r="E46" i="2" s="1"/>
  <c r="K13" i="2"/>
  <c r="E13" i="2" s="1"/>
  <c r="K26" i="2"/>
  <c r="E26" i="2" s="1"/>
  <c r="K34" i="2"/>
  <c r="E34" i="2" s="1"/>
  <c r="K31" i="2"/>
  <c r="E31" i="2" s="1"/>
  <c r="K38" i="2"/>
  <c r="E38" i="2" s="1"/>
  <c r="K43" i="2"/>
  <c r="E43" i="2" s="1"/>
  <c r="K48" i="2"/>
  <c r="E48" i="2" s="1"/>
  <c r="K53" i="2"/>
  <c r="E53" i="2" s="1"/>
  <c r="K58" i="2"/>
  <c r="E58" i="2" s="1"/>
  <c r="K63" i="2"/>
  <c r="E63" i="2" s="1"/>
  <c r="K68" i="2"/>
  <c r="E68" i="2" s="1"/>
  <c r="K73" i="2"/>
  <c r="E73" i="2" s="1"/>
  <c r="K78" i="2"/>
  <c r="E78" i="2" s="1"/>
  <c r="K83" i="2"/>
  <c r="E83" i="2" s="1"/>
  <c r="K52" i="2"/>
  <c r="E52" i="2" s="1"/>
  <c r="K54" i="2"/>
  <c r="E54" i="2" s="1"/>
  <c r="K50" i="2"/>
  <c r="E50" i="2" s="1"/>
  <c r="K101" i="2"/>
  <c r="E101" i="2" s="1"/>
  <c r="K106" i="2"/>
  <c r="E106" i="2" s="1"/>
  <c r="K111" i="2"/>
  <c r="E111" i="2" s="1"/>
  <c r="K116" i="2"/>
  <c r="E116" i="2" s="1"/>
  <c r="K121" i="2"/>
  <c r="E121" i="2" s="1"/>
  <c r="K126" i="2"/>
  <c r="E126" i="2" s="1"/>
  <c r="K131" i="2"/>
  <c r="E131" i="2" s="1"/>
  <c r="K136" i="2"/>
  <c r="E136" i="2" s="1"/>
  <c r="K141" i="2"/>
  <c r="E141" i="2" s="1"/>
  <c r="K146" i="2"/>
  <c r="E146" i="2" s="1"/>
  <c r="K65" i="2"/>
  <c r="E65" i="2" s="1"/>
  <c r="K79" i="2"/>
  <c r="E79" i="2" s="1"/>
  <c r="K96" i="2"/>
  <c r="E96" i="2" s="1"/>
  <c r="K103" i="2"/>
  <c r="E103" i="2" s="1"/>
  <c r="K108" i="2"/>
  <c r="E108" i="2" s="1"/>
  <c r="K113" i="2"/>
  <c r="E113" i="2" s="1"/>
  <c r="K118" i="2"/>
  <c r="E118" i="2" s="1"/>
  <c r="K123" i="2"/>
  <c r="E123" i="2" s="1"/>
  <c r="K128" i="2"/>
  <c r="E128" i="2" s="1"/>
  <c r="K133" i="2"/>
  <c r="E133" i="2" s="1"/>
  <c r="K138" i="2"/>
  <c r="E138" i="2" s="1"/>
  <c r="K143" i="2"/>
  <c r="E143" i="2" s="1"/>
  <c r="K148" i="2"/>
  <c r="E148" i="2" s="1"/>
  <c r="K153" i="2"/>
  <c r="E153" i="2" s="1"/>
  <c r="K158" i="2"/>
  <c r="E158" i="2" s="1"/>
  <c r="K163" i="2"/>
  <c r="E163" i="2" s="1"/>
  <c r="K168" i="2"/>
  <c r="E168" i="2" s="1"/>
  <c r="K173" i="2"/>
  <c r="E173" i="2" s="1"/>
  <c r="K35" i="2"/>
  <c r="E35" i="2" s="1"/>
  <c r="K57" i="2"/>
  <c r="E57" i="2" s="1"/>
  <c r="K59" i="2"/>
  <c r="E59" i="2" s="1"/>
  <c r="K89" i="2"/>
  <c r="E89" i="2" s="1"/>
  <c r="K98" i="2"/>
  <c r="E98" i="2" s="1"/>
  <c r="K11" i="2"/>
  <c r="E11" i="2" s="1"/>
  <c r="K49" i="2"/>
  <c r="E49" i="2" s="1"/>
  <c r="K25" i="2"/>
  <c r="E25" i="2" s="1"/>
  <c r="K70" i="2"/>
  <c r="E70" i="2" s="1"/>
  <c r="K72" i="2"/>
  <c r="E72" i="2" s="1"/>
  <c r="K104" i="2"/>
  <c r="E104" i="2" s="1"/>
  <c r="K155" i="2"/>
  <c r="E155" i="2" s="1"/>
  <c r="K166" i="2"/>
  <c r="E166" i="2" s="1"/>
  <c r="K177" i="2"/>
  <c r="E177" i="2" s="1"/>
  <c r="K184" i="2"/>
  <c r="E184" i="2" s="1"/>
  <c r="K30" i="2"/>
  <c r="E30" i="2" s="1"/>
  <c r="K45" i="2"/>
  <c r="E45" i="2" s="1"/>
  <c r="K135" i="2"/>
  <c r="E135" i="2" s="1"/>
  <c r="K137" i="2"/>
  <c r="E137" i="2" s="1"/>
  <c r="K139" i="2"/>
  <c r="E139" i="2" s="1"/>
  <c r="K91" i="2"/>
  <c r="E91" i="2" s="1"/>
  <c r="K94" i="2"/>
  <c r="E94" i="2" s="1"/>
  <c r="K97" i="2"/>
  <c r="E97" i="2" s="1"/>
  <c r="K102" i="2"/>
  <c r="E102" i="2" s="1"/>
  <c r="K109" i="2"/>
  <c r="E109" i="2" s="1"/>
  <c r="K77" i="2"/>
  <c r="E77" i="2" s="1"/>
  <c r="K81" i="2"/>
  <c r="E81" i="2" s="1"/>
  <c r="K88" i="2"/>
  <c r="E88" i="2" s="1"/>
  <c r="K179" i="2"/>
  <c r="E179" i="2" s="1"/>
  <c r="K186" i="2"/>
  <c r="E186" i="2" s="1"/>
  <c r="K85" i="2"/>
  <c r="E85" i="2" s="1"/>
  <c r="K107" i="2"/>
  <c r="E107" i="2" s="1"/>
  <c r="K114" i="2"/>
  <c r="E114" i="2" s="1"/>
  <c r="K47" i="2"/>
  <c r="E47" i="2" s="1"/>
  <c r="K125" i="2"/>
  <c r="E125" i="2" s="1"/>
  <c r="K127" i="2"/>
  <c r="E127" i="2" s="1"/>
  <c r="K129" i="2"/>
  <c r="E129" i="2" s="1"/>
  <c r="K40" i="2"/>
  <c r="E40" i="2" s="1"/>
  <c r="K64" i="2"/>
  <c r="E64" i="2" s="1"/>
  <c r="K100" i="2"/>
  <c r="E100" i="2" s="1"/>
  <c r="K112" i="2"/>
  <c r="E112" i="2" s="1"/>
  <c r="K161" i="2"/>
  <c r="E161" i="2" s="1"/>
  <c r="K174" i="2"/>
  <c r="E174" i="2" s="1"/>
  <c r="K181" i="2"/>
  <c r="E181" i="2" s="1"/>
  <c r="K69" i="2"/>
  <c r="E69" i="2" s="1"/>
  <c r="K82" i="2"/>
  <c r="E82" i="2" s="1"/>
  <c r="K95" i="2"/>
  <c r="E95" i="2" s="1"/>
  <c r="K105" i="2"/>
  <c r="E105" i="2" s="1"/>
  <c r="K74" i="2"/>
  <c r="E74" i="2" s="1"/>
  <c r="K92" i="2"/>
  <c r="E92" i="2" s="1"/>
  <c r="K117" i="2"/>
  <c r="E117" i="2" s="1"/>
  <c r="K119" i="2"/>
  <c r="E119" i="2" s="1"/>
  <c r="K140" i="2"/>
  <c r="E140" i="2" s="1"/>
  <c r="K142" i="2"/>
  <c r="E142" i="2" s="1"/>
  <c r="K144" i="2"/>
  <c r="E144" i="2" s="1"/>
  <c r="K176" i="2"/>
  <c r="E176" i="2" s="1"/>
  <c r="K55" i="2"/>
  <c r="E55" i="2" s="1"/>
  <c r="K60" i="2"/>
  <c r="E60" i="2" s="1"/>
  <c r="K110" i="2"/>
  <c r="E110" i="2" s="1"/>
  <c r="K154" i="2"/>
  <c r="E154" i="2" s="1"/>
  <c r="K42" i="2"/>
  <c r="E42" i="2" s="1"/>
  <c r="K86" i="2"/>
  <c r="E86" i="2" s="1"/>
  <c r="K93" i="2"/>
  <c r="E93" i="2" s="1"/>
  <c r="K71" i="2"/>
  <c r="E71" i="2" s="1"/>
  <c r="K87" i="2"/>
  <c r="E87" i="2" s="1"/>
  <c r="K90" i="2"/>
  <c r="E90" i="2" s="1"/>
  <c r="K167" i="2"/>
  <c r="E167" i="2" s="1"/>
  <c r="K197" i="2"/>
  <c r="E197" i="2" s="1"/>
  <c r="K219" i="2"/>
  <c r="E219" i="2" s="1"/>
  <c r="K221" i="2"/>
  <c r="E221" i="2" s="1"/>
  <c r="K223" i="2"/>
  <c r="E223" i="2" s="1"/>
  <c r="K234" i="2"/>
  <c r="E234" i="2" s="1"/>
  <c r="K247" i="2"/>
  <c r="E247" i="2" s="1"/>
  <c r="K164" i="2"/>
  <c r="E164" i="2" s="1"/>
  <c r="K195" i="2"/>
  <c r="E195" i="2" s="1"/>
  <c r="K236" i="2"/>
  <c r="E236" i="2" s="1"/>
  <c r="K270" i="2"/>
  <c r="E270" i="2" s="1"/>
  <c r="K66" i="2"/>
  <c r="E66" i="2" s="1"/>
  <c r="K130" i="2"/>
  <c r="E130" i="2" s="1"/>
  <c r="K145" i="2"/>
  <c r="E145" i="2" s="1"/>
  <c r="K152" i="2"/>
  <c r="E152" i="2" s="1"/>
  <c r="K170" i="2"/>
  <c r="E170" i="2" s="1"/>
  <c r="K225" i="2"/>
  <c r="E225" i="2" s="1"/>
  <c r="K193" i="2"/>
  <c r="E193" i="2" s="1"/>
  <c r="K251" i="2"/>
  <c r="E251" i="2" s="1"/>
  <c r="K67" i="2"/>
  <c r="E67" i="2" s="1"/>
  <c r="K122" i="2"/>
  <c r="E122" i="2" s="1"/>
  <c r="K134" i="2"/>
  <c r="E134" i="2" s="1"/>
  <c r="K84" i="2"/>
  <c r="E84" i="2" s="1"/>
  <c r="K149" i="2"/>
  <c r="E149" i="2" s="1"/>
  <c r="K191" i="2"/>
  <c r="E191" i="2" s="1"/>
  <c r="K165" i="2"/>
  <c r="E165" i="2" s="1"/>
  <c r="K200" i="2"/>
  <c r="E200" i="2" s="1"/>
  <c r="K202" i="2"/>
  <c r="E202" i="2" s="1"/>
  <c r="K150" i="2"/>
  <c r="E150" i="2" s="1"/>
  <c r="K115" i="2"/>
  <c r="E115" i="2" s="1"/>
  <c r="K171" i="2"/>
  <c r="E171" i="2" s="1"/>
  <c r="K182" i="2"/>
  <c r="E182" i="2" s="1"/>
  <c r="K187" i="2"/>
  <c r="E187" i="2" s="1"/>
  <c r="K196" i="2"/>
  <c r="E196" i="2" s="1"/>
  <c r="K75" i="2"/>
  <c r="E75" i="2" s="1"/>
  <c r="K76" i="2"/>
  <c r="E76" i="2" s="1"/>
  <c r="K120" i="2"/>
  <c r="E120" i="2" s="1"/>
  <c r="K151" i="2"/>
  <c r="E151" i="2" s="1"/>
  <c r="K222" i="2"/>
  <c r="E222" i="2" s="1"/>
  <c r="K231" i="2"/>
  <c r="E231" i="2" s="1"/>
  <c r="K244" i="2"/>
  <c r="E244" i="2" s="1"/>
  <c r="K271" i="2"/>
  <c r="E271" i="2" s="1"/>
  <c r="K327" i="2"/>
  <c r="E327" i="2" s="1"/>
  <c r="K334" i="2"/>
  <c r="E334" i="2" s="1"/>
  <c r="K339" i="2"/>
  <c r="E339" i="2" s="1"/>
  <c r="K344" i="2"/>
  <c r="E344" i="2" s="1"/>
  <c r="K349" i="2"/>
  <c r="E349" i="2" s="1"/>
  <c r="K354" i="2"/>
  <c r="E354" i="2" s="1"/>
  <c r="K359" i="2"/>
  <c r="E359" i="2" s="1"/>
  <c r="K364" i="2"/>
  <c r="E364" i="2" s="1"/>
  <c r="K369" i="2"/>
  <c r="E369" i="2" s="1"/>
  <c r="K374" i="2"/>
  <c r="E374" i="2" s="1"/>
  <c r="K379" i="2"/>
  <c r="E379" i="2" s="1"/>
  <c r="K384" i="2"/>
  <c r="E384" i="2" s="1"/>
  <c r="K389" i="2"/>
  <c r="E389" i="2" s="1"/>
  <c r="K394" i="2"/>
  <c r="E394" i="2" s="1"/>
  <c r="K399" i="2"/>
  <c r="E399" i="2" s="1"/>
  <c r="K404" i="2"/>
  <c r="E404" i="2" s="1"/>
  <c r="K409" i="2"/>
  <c r="E409" i="2" s="1"/>
  <c r="K414" i="2"/>
  <c r="E414" i="2" s="1"/>
  <c r="K419" i="2"/>
  <c r="E419" i="2" s="1"/>
  <c r="K190" i="2"/>
  <c r="E190" i="2" s="1"/>
  <c r="K203" i="2"/>
  <c r="E203" i="2" s="1"/>
  <c r="K206" i="2"/>
  <c r="E206" i="2" s="1"/>
  <c r="K242" i="2"/>
  <c r="E242" i="2" s="1"/>
  <c r="K261" i="2"/>
  <c r="E261" i="2" s="1"/>
  <c r="K263" i="2"/>
  <c r="E263" i="2" s="1"/>
  <c r="K273" i="2"/>
  <c r="E273" i="2" s="1"/>
  <c r="K286" i="2"/>
  <c r="E286" i="2" s="1"/>
  <c r="K299" i="2"/>
  <c r="E299" i="2" s="1"/>
  <c r="K306" i="2"/>
  <c r="E306" i="2" s="1"/>
  <c r="K313" i="2"/>
  <c r="E313" i="2" s="1"/>
  <c r="K320" i="2"/>
  <c r="E320" i="2" s="1"/>
  <c r="K229" i="2"/>
  <c r="E229" i="2" s="1"/>
  <c r="K240" i="2"/>
  <c r="E240" i="2" s="1"/>
  <c r="K253" i="2"/>
  <c r="E253" i="2" s="1"/>
  <c r="K255" i="2"/>
  <c r="E255" i="2" s="1"/>
  <c r="K257" i="2"/>
  <c r="E257" i="2" s="1"/>
  <c r="K259" i="2"/>
  <c r="E259" i="2" s="1"/>
  <c r="K275" i="2"/>
  <c r="E275" i="2" s="1"/>
  <c r="K194" i="2"/>
  <c r="E194" i="2" s="1"/>
  <c r="K217" i="2"/>
  <c r="E217" i="2" s="1"/>
  <c r="K227" i="2"/>
  <c r="E227" i="2" s="1"/>
  <c r="K277" i="2"/>
  <c r="E277" i="2" s="1"/>
  <c r="K288" i="2"/>
  <c r="E288" i="2" s="1"/>
  <c r="K80" i="2"/>
  <c r="E80" i="2" s="1"/>
  <c r="K169" i="2"/>
  <c r="E169" i="2" s="1"/>
  <c r="K178" i="2"/>
  <c r="E178" i="2" s="1"/>
  <c r="K212" i="2"/>
  <c r="E212" i="2" s="1"/>
  <c r="K220" i="2"/>
  <c r="E220" i="2" s="1"/>
  <c r="K238" i="2"/>
  <c r="E238" i="2" s="1"/>
  <c r="K159" i="2"/>
  <c r="E159" i="2" s="1"/>
  <c r="K209" i="2"/>
  <c r="E209" i="2" s="1"/>
  <c r="K279" i="2"/>
  <c r="E279" i="2" s="1"/>
  <c r="K292" i="2"/>
  <c r="E292" i="2" s="1"/>
  <c r="K132" i="2"/>
  <c r="E132" i="2" s="1"/>
  <c r="K147" i="2"/>
  <c r="E147" i="2" s="1"/>
  <c r="K183" i="2"/>
  <c r="E183" i="2" s="1"/>
  <c r="K198" i="2"/>
  <c r="E198" i="2" s="1"/>
  <c r="K249" i="2"/>
  <c r="E249" i="2" s="1"/>
  <c r="K317" i="2"/>
  <c r="E317" i="2" s="1"/>
  <c r="K324" i="2"/>
  <c r="E324" i="2" s="1"/>
  <c r="K331" i="2"/>
  <c r="E331" i="2" s="1"/>
  <c r="K201" i="2"/>
  <c r="E201" i="2" s="1"/>
  <c r="K204" i="2"/>
  <c r="E204" i="2" s="1"/>
  <c r="K215" i="2"/>
  <c r="E215" i="2" s="1"/>
  <c r="K281" i="2"/>
  <c r="E281" i="2" s="1"/>
  <c r="K294" i="2"/>
  <c r="E294" i="2" s="1"/>
  <c r="K303" i="2"/>
  <c r="E303" i="2" s="1"/>
  <c r="K124" i="2"/>
  <c r="E124" i="2" s="1"/>
  <c r="K160" i="2"/>
  <c r="E160" i="2" s="1"/>
  <c r="K210" i="2"/>
  <c r="E210" i="2" s="1"/>
  <c r="K218" i="2"/>
  <c r="E218" i="2" s="1"/>
  <c r="K266" i="2"/>
  <c r="E266" i="2" s="1"/>
  <c r="K272" i="2"/>
  <c r="E272" i="2" s="1"/>
  <c r="K283" i="2"/>
  <c r="E283" i="2" s="1"/>
  <c r="K207" i="2"/>
  <c r="E207" i="2" s="1"/>
  <c r="K245" i="2"/>
  <c r="E245" i="2" s="1"/>
  <c r="K260" i="2"/>
  <c r="E260" i="2" s="1"/>
  <c r="K262" i="2"/>
  <c r="E262" i="2" s="1"/>
  <c r="K264" i="2"/>
  <c r="E264" i="2" s="1"/>
  <c r="K268" i="2"/>
  <c r="E268" i="2" s="1"/>
  <c r="K285" i="2"/>
  <c r="E285" i="2" s="1"/>
  <c r="K305" i="2"/>
  <c r="E305" i="2" s="1"/>
  <c r="K175" i="2"/>
  <c r="E175" i="2" s="1"/>
  <c r="K188" i="2"/>
  <c r="E188" i="2" s="1"/>
  <c r="K232" i="2"/>
  <c r="E232" i="2" s="1"/>
  <c r="K243" i="2"/>
  <c r="E243" i="2" s="1"/>
  <c r="K258" i="2"/>
  <c r="E258" i="2" s="1"/>
  <c r="K274" i="2"/>
  <c r="E274" i="2" s="1"/>
  <c r="K287" i="2"/>
  <c r="E287" i="2" s="1"/>
  <c r="K298" i="2"/>
  <c r="E298" i="2" s="1"/>
  <c r="K36" i="2"/>
  <c r="E36" i="2" s="1"/>
  <c r="K180" i="2"/>
  <c r="E180" i="2" s="1"/>
  <c r="K192" i="2"/>
  <c r="E192" i="2" s="1"/>
  <c r="K230" i="2"/>
  <c r="E230" i="2" s="1"/>
  <c r="K213" i="2"/>
  <c r="E213" i="2" s="1"/>
  <c r="K228" i="2"/>
  <c r="E228" i="2" s="1"/>
  <c r="K99" i="2"/>
  <c r="E99" i="2" s="1"/>
  <c r="K156" i="2"/>
  <c r="E156" i="2" s="1"/>
  <c r="K185" i="2"/>
  <c r="E185" i="2" s="1"/>
  <c r="K216" i="2"/>
  <c r="E216" i="2" s="1"/>
  <c r="K162" i="2"/>
  <c r="E162" i="2" s="1"/>
  <c r="K189" i="2"/>
  <c r="E189" i="2" s="1"/>
  <c r="K199" i="2"/>
  <c r="E199" i="2" s="1"/>
  <c r="K205" i="2"/>
  <c r="E205" i="2" s="1"/>
  <c r="K208" i="2"/>
  <c r="E208" i="2" s="1"/>
  <c r="K226" i="2"/>
  <c r="E226" i="2" s="1"/>
  <c r="K239" i="2"/>
  <c r="E239" i="2" s="1"/>
  <c r="K250" i="2"/>
  <c r="E250" i="2" s="1"/>
  <c r="K278" i="2"/>
  <c r="E278" i="2" s="1"/>
  <c r="K291" i="2"/>
  <c r="E291" i="2" s="1"/>
  <c r="K302" i="2"/>
  <c r="E302" i="2" s="1"/>
  <c r="K309" i="2"/>
  <c r="E309" i="2" s="1"/>
  <c r="K316" i="2"/>
  <c r="E316" i="2" s="1"/>
  <c r="K323" i="2"/>
  <c r="E323" i="2" s="1"/>
  <c r="K330" i="2"/>
  <c r="E330" i="2" s="1"/>
  <c r="K237" i="2"/>
  <c r="E237" i="2" s="1"/>
  <c r="K248" i="2"/>
  <c r="E248" i="2" s="1"/>
  <c r="K62" i="2"/>
  <c r="E62" i="2" s="1"/>
  <c r="K172" i="2"/>
  <c r="E172" i="2" s="1"/>
  <c r="K235" i="2"/>
  <c r="E235" i="2" s="1"/>
  <c r="K282" i="2"/>
  <c r="E282" i="2" s="1"/>
  <c r="K246" i="2"/>
  <c r="E246" i="2" s="1"/>
  <c r="K280" i="2"/>
  <c r="E280" i="2" s="1"/>
  <c r="K293" i="2"/>
  <c r="E293" i="2" s="1"/>
  <c r="K300" i="2"/>
  <c r="E300" i="2" s="1"/>
  <c r="K346" i="2"/>
  <c r="E346" i="2" s="1"/>
  <c r="K385" i="2"/>
  <c r="E385" i="2" s="1"/>
  <c r="K398" i="2"/>
  <c r="E398" i="2" s="1"/>
  <c r="K411" i="2"/>
  <c r="E411" i="2" s="1"/>
  <c r="K422" i="2"/>
  <c r="E422" i="2" s="1"/>
  <c r="K224" i="2"/>
  <c r="E224" i="2" s="1"/>
  <c r="K333" i="2"/>
  <c r="E333" i="2" s="1"/>
  <c r="K341" i="2"/>
  <c r="E341" i="2" s="1"/>
  <c r="K362" i="2"/>
  <c r="E362" i="2" s="1"/>
  <c r="K431" i="2"/>
  <c r="E431" i="2" s="1"/>
  <c r="K438" i="2"/>
  <c r="E438" i="2" s="1"/>
  <c r="K445" i="2"/>
  <c r="E445" i="2" s="1"/>
  <c r="K452" i="2"/>
  <c r="E452" i="2" s="1"/>
  <c r="K459" i="2"/>
  <c r="E459" i="2" s="1"/>
  <c r="K480" i="2"/>
  <c r="E480" i="2" s="1"/>
  <c r="K485" i="2"/>
  <c r="E485" i="2" s="1"/>
  <c r="K490" i="2"/>
  <c r="E490" i="2" s="1"/>
  <c r="K495" i="2"/>
  <c r="E495" i="2" s="1"/>
  <c r="K500" i="2"/>
  <c r="E500" i="2" s="1"/>
  <c r="K413" i="2"/>
  <c r="E413" i="2" s="1"/>
  <c r="K336" i="2"/>
  <c r="E336" i="2" s="1"/>
  <c r="K351" i="2"/>
  <c r="E351" i="2" s="1"/>
  <c r="K360" i="2"/>
  <c r="E360" i="2" s="1"/>
  <c r="K371" i="2"/>
  <c r="E371" i="2" s="1"/>
  <c r="K387" i="2"/>
  <c r="E387" i="2" s="1"/>
  <c r="K400" i="2"/>
  <c r="E400" i="2" s="1"/>
  <c r="K157" i="2"/>
  <c r="E157" i="2" s="1"/>
  <c r="K269" i="2"/>
  <c r="E269" i="2" s="1"/>
  <c r="K297" i="2"/>
  <c r="E297" i="2" s="1"/>
  <c r="K307" i="2"/>
  <c r="E307" i="2" s="1"/>
  <c r="K310" i="2"/>
  <c r="E310" i="2" s="1"/>
  <c r="K256" i="2"/>
  <c r="E256" i="2" s="1"/>
  <c r="K276" i="2"/>
  <c r="E276" i="2" s="1"/>
  <c r="K290" i="2"/>
  <c r="E290" i="2" s="1"/>
  <c r="K358" i="2"/>
  <c r="E358" i="2" s="1"/>
  <c r="K319" i="2"/>
  <c r="E319" i="2" s="1"/>
  <c r="K322" i="2"/>
  <c r="E322" i="2" s="1"/>
  <c r="K304" i="2"/>
  <c r="E304" i="2" s="1"/>
  <c r="K328" i="2"/>
  <c r="E328" i="2" s="1"/>
  <c r="K367" i="2"/>
  <c r="E367" i="2" s="1"/>
  <c r="K378" i="2"/>
  <c r="E378" i="2" s="1"/>
  <c r="K380" i="2"/>
  <c r="E380" i="2" s="1"/>
  <c r="K301" i="2"/>
  <c r="E301" i="2" s="1"/>
  <c r="K325" i="2"/>
  <c r="E325" i="2" s="1"/>
  <c r="K356" i="2"/>
  <c r="E356" i="2" s="1"/>
  <c r="K365" i="2"/>
  <c r="E365" i="2" s="1"/>
  <c r="K376" i="2"/>
  <c r="E376" i="2" s="1"/>
  <c r="K241" i="2"/>
  <c r="E241" i="2" s="1"/>
  <c r="K342" i="2"/>
  <c r="E342" i="2" s="1"/>
  <c r="K363" i="2"/>
  <c r="E363" i="2" s="1"/>
  <c r="K314" i="2"/>
  <c r="E314" i="2" s="1"/>
  <c r="K337" i="2"/>
  <c r="E337" i="2" s="1"/>
  <c r="K386" i="2"/>
  <c r="E386" i="2" s="1"/>
  <c r="K397" i="2"/>
  <c r="E397" i="2" s="1"/>
  <c r="K410" i="2"/>
  <c r="E410" i="2" s="1"/>
  <c r="K423" i="2"/>
  <c r="E423" i="2" s="1"/>
  <c r="K265" i="2"/>
  <c r="E265" i="2" s="1"/>
  <c r="K295" i="2"/>
  <c r="E295" i="2" s="1"/>
  <c r="K308" i="2"/>
  <c r="E308" i="2" s="1"/>
  <c r="K311" i="2"/>
  <c r="E311" i="2" s="1"/>
  <c r="K345" i="2"/>
  <c r="E345" i="2" s="1"/>
  <c r="K352" i="2"/>
  <c r="E352" i="2" s="1"/>
  <c r="K372" i="2"/>
  <c r="E372" i="2" s="1"/>
  <c r="K211" i="2"/>
  <c r="E211" i="2" s="1"/>
  <c r="K340" i="2"/>
  <c r="E340" i="2" s="1"/>
  <c r="K233" i="2"/>
  <c r="E233" i="2" s="1"/>
  <c r="K326" i="2"/>
  <c r="E326" i="2" s="1"/>
  <c r="K329" i="2"/>
  <c r="E329" i="2" s="1"/>
  <c r="K214" i="2"/>
  <c r="E214" i="2" s="1"/>
  <c r="K252" i="2"/>
  <c r="E252" i="2" s="1"/>
  <c r="K332" i="2"/>
  <c r="E332" i="2" s="1"/>
  <c r="K335" i="2"/>
  <c r="E335" i="2" s="1"/>
  <c r="K267" i="2"/>
  <c r="E267" i="2" s="1"/>
  <c r="K296" i="2"/>
  <c r="E296" i="2" s="1"/>
  <c r="K343" i="2"/>
  <c r="E343" i="2" s="1"/>
  <c r="K348" i="2"/>
  <c r="E348" i="2" s="1"/>
  <c r="K357" i="2"/>
  <c r="E357" i="2" s="1"/>
  <c r="K381" i="2"/>
  <c r="E381" i="2" s="1"/>
  <c r="K392" i="2"/>
  <c r="E392" i="2" s="1"/>
  <c r="K405" i="2"/>
  <c r="E405" i="2" s="1"/>
  <c r="K418" i="2"/>
  <c r="E418" i="2" s="1"/>
  <c r="K427" i="2"/>
  <c r="E427" i="2" s="1"/>
  <c r="K434" i="2"/>
  <c r="E434" i="2" s="1"/>
  <c r="K284" i="2"/>
  <c r="E284" i="2" s="1"/>
  <c r="K312" i="2"/>
  <c r="E312" i="2" s="1"/>
  <c r="K338" i="2"/>
  <c r="E338" i="2" s="1"/>
  <c r="K355" i="2"/>
  <c r="E355" i="2" s="1"/>
  <c r="K366" i="2"/>
  <c r="E366" i="2" s="1"/>
  <c r="K375" i="2"/>
  <c r="E375" i="2" s="1"/>
  <c r="K377" i="2"/>
  <c r="E377" i="2" s="1"/>
  <c r="K471" i="2"/>
  <c r="E471" i="2" s="1"/>
  <c r="K478" i="2"/>
  <c r="E478" i="2" s="1"/>
  <c r="K483" i="2"/>
  <c r="E483" i="2" s="1"/>
  <c r="K488" i="2"/>
  <c r="E488" i="2" s="1"/>
  <c r="K493" i="2"/>
  <c r="E493" i="2" s="1"/>
  <c r="K254" i="2"/>
  <c r="E254" i="2" s="1"/>
  <c r="K428" i="2"/>
  <c r="E428" i="2" s="1"/>
  <c r="K461" i="2"/>
  <c r="E461" i="2" s="1"/>
  <c r="K436" i="2"/>
  <c r="E436" i="2" s="1"/>
  <c r="K448" i="2"/>
  <c r="E448" i="2" s="1"/>
  <c r="K476" i="2"/>
  <c r="E476" i="2" s="1"/>
  <c r="K482" i="2"/>
  <c r="E482" i="2" s="1"/>
  <c r="K475" i="2"/>
  <c r="E475" i="2" s="1"/>
  <c r="K353" i="2"/>
  <c r="E353" i="2" s="1"/>
  <c r="K450" i="2"/>
  <c r="E450" i="2" s="1"/>
  <c r="K447" i="2"/>
  <c r="E447" i="2" s="1"/>
  <c r="K382" i="2"/>
  <c r="E382" i="2" s="1"/>
  <c r="K401" i="2"/>
  <c r="E401" i="2" s="1"/>
  <c r="K501" i="2"/>
  <c r="E501" i="2" s="1"/>
  <c r="K420" i="2"/>
  <c r="E420" i="2" s="1"/>
  <c r="K361" i="2"/>
  <c r="E361" i="2" s="1"/>
  <c r="K417" i="2"/>
  <c r="E417" i="2" s="1"/>
  <c r="K347" i="2"/>
  <c r="E347" i="2" s="1"/>
  <c r="K390" i="2"/>
  <c r="E390" i="2" s="1"/>
  <c r="K441" i="2"/>
  <c r="E441" i="2" s="1"/>
  <c r="K408" i="2"/>
  <c r="E408" i="2" s="1"/>
  <c r="K426" i="2"/>
  <c r="E426" i="2" s="1"/>
  <c r="K446" i="2"/>
  <c r="E446" i="2" s="1"/>
  <c r="K457" i="2"/>
  <c r="E457" i="2" s="1"/>
  <c r="K474" i="2"/>
  <c r="E474" i="2" s="1"/>
  <c r="K484" i="2"/>
  <c r="E484" i="2" s="1"/>
  <c r="K486" i="2"/>
  <c r="E486" i="2" s="1"/>
  <c r="K468" i="2"/>
  <c r="E468" i="2" s="1"/>
  <c r="K472" i="2"/>
  <c r="E472" i="2" s="1"/>
  <c r="K492" i="2"/>
  <c r="E492" i="2" s="1"/>
  <c r="K494" i="2"/>
  <c r="E494" i="2" s="1"/>
  <c r="K391" i="2"/>
  <c r="E391" i="2" s="1"/>
  <c r="K429" i="2"/>
  <c r="E429" i="2" s="1"/>
  <c r="K453" i="2"/>
  <c r="E453" i="2" s="1"/>
  <c r="K498" i="2"/>
  <c r="E498" i="2" s="1"/>
  <c r="K481" i="2"/>
  <c r="E481" i="2" s="1"/>
  <c r="K383" i="2"/>
  <c r="E383" i="2" s="1"/>
  <c r="K470" i="2"/>
  <c r="E470" i="2" s="1"/>
  <c r="K496" i="2"/>
  <c r="E496" i="2" s="1"/>
  <c r="K315" i="2"/>
  <c r="E315" i="2" s="1"/>
  <c r="K373" i="2"/>
  <c r="E373" i="2" s="1"/>
  <c r="K455" i="2"/>
  <c r="E455" i="2" s="1"/>
  <c r="K466" i="2"/>
  <c r="E466" i="2" s="1"/>
  <c r="K439" i="2"/>
  <c r="E439" i="2" s="1"/>
  <c r="K402" i="2"/>
  <c r="E402" i="2" s="1"/>
  <c r="K368" i="2"/>
  <c r="E368" i="2" s="1"/>
  <c r="K421" i="2"/>
  <c r="E421" i="2" s="1"/>
  <c r="K444" i="2"/>
  <c r="E444" i="2" s="1"/>
  <c r="K464" i="2"/>
  <c r="E464" i="2" s="1"/>
  <c r="K318" i="2"/>
  <c r="E318" i="2" s="1"/>
  <c r="K415" i="2"/>
  <c r="E415" i="2" s="1"/>
  <c r="K424" i="2"/>
  <c r="E424" i="2" s="1"/>
  <c r="K451" i="2"/>
  <c r="E451" i="2" s="1"/>
  <c r="K437" i="2"/>
  <c r="E437" i="2" s="1"/>
  <c r="K479" i="2"/>
  <c r="E479" i="2" s="1"/>
  <c r="K289" i="2"/>
  <c r="E289" i="2" s="1"/>
  <c r="K321" i="2"/>
  <c r="E321" i="2" s="1"/>
  <c r="K350" i="2"/>
  <c r="E350" i="2" s="1"/>
  <c r="K395" i="2"/>
  <c r="E395" i="2" s="1"/>
  <c r="K406" i="2"/>
  <c r="E406" i="2" s="1"/>
  <c r="K412" i="2"/>
  <c r="E412" i="2" s="1"/>
  <c r="K442" i="2"/>
  <c r="E442" i="2" s="1"/>
  <c r="K462" i="2"/>
  <c r="E462" i="2" s="1"/>
  <c r="K432" i="2"/>
  <c r="E432" i="2" s="1"/>
  <c r="K449" i="2"/>
  <c r="E449" i="2" s="1"/>
  <c r="K460" i="2"/>
  <c r="E460" i="2" s="1"/>
  <c r="K458" i="2"/>
  <c r="E458" i="2" s="1"/>
  <c r="K388" i="2"/>
  <c r="E388" i="2" s="1"/>
  <c r="K403" i="2"/>
  <c r="E403" i="2" s="1"/>
  <c r="K477" i="2"/>
  <c r="E477" i="2" s="1"/>
  <c r="K370" i="2"/>
  <c r="E370" i="2" s="1"/>
  <c r="K396" i="2"/>
  <c r="E396" i="2" s="1"/>
  <c r="K435" i="2"/>
  <c r="E435" i="2" s="1"/>
  <c r="K440" i="2"/>
  <c r="E440" i="2" s="1"/>
  <c r="K456" i="2"/>
  <c r="E456" i="2" s="1"/>
  <c r="K473" i="2"/>
  <c r="E473" i="2" s="1"/>
  <c r="K487" i="2"/>
  <c r="E487" i="2" s="1"/>
  <c r="K430" i="2"/>
  <c r="E430" i="2" s="1"/>
  <c r="K489" i="2"/>
  <c r="E489" i="2" s="1"/>
  <c r="K491" i="2"/>
  <c r="E491" i="2" s="1"/>
  <c r="K425" i="2"/>
  <c r="E425" i="2" s="1"/>
  <c r="K416" i="2"/>
  <c r="E416" i="2" s="1"/>
  <c r="K454" i="2"/>
  <c r="E454" i="2" s="1"/>
  <c r="K467" i="2"/>
  <c r="E467" i="2" s="1"/>
  <c r="K469" i="2"/>
  <c r="E469" i="2" s="1"/>
  <c r="K497" i="2"/>
  <c r="E497" i="2" s="1"/>
  <c r="K393" i="2"/>
  <c r="E393" i="2" s="1"/>
  <c r="K499" i="2"/>
  <c r="E499" i="2" s="1"/>
  <c r="K407" i="2"/>
  <c r="E407" i="2" s="1"/>
  <c r="K463" i="2"/>
  <c r="E463" i="2" s="1"/>
  <c r="K433" i="2"/>
  <c r="E433" i="2" s="1"/>
  <c r="K465" i="2"/>
  <c r="E465" i="2" s="1"/>
  <c r="K443" i="2"/>
  <c r="E443" i="2" s="1"/>
  <c r="K37" i="2"/>
  <c r="E37" i="2" s="1"/>
  <c r="K32" i="2"/>
  <c r="E32" i="2" s="1"/>
  <c r="K29" i="2"/>
  <c r="E29" i="2" s="1"/>
  <c r="K33" i="2"/>
  <c r="E33" i="2" s="1"/>
  <c r="K20" i="2"/>
  <c r="E20" i="2" s="1"/>
  <c r="K10" i="2"/>
  <c r="E10" i="2" s="1"/>
  <c r="K27" i="2"/>
  <c r="E27" i="2" s="1"/>
  <c r="K24" i="2"/>
  <c r="E24" i="2" s="1"/>
  <c r="K28" i="2"/>
  <c r="E28" i="2" s="1"/>
  <c r="K22" i="2"/>
  <c r="E22" i="2" s="1"/>
  <c r="K16" i="2"/>
  <c r="E16" i="2" s="1"/>
  <c r="K3" i="2"/>
  <c r="E3" i="2" s="1"/>
  <c r="K18" i="2"/>
  <c r="E18" i="2" s="1"/>
  <c r="K5" i="2"/>
  <c r="E5" i="2" s="1"/>
  <c r="K2" i="2"/>
  <c r="K15" i="2"/>
  <c r="E15" i="2" s="1"/>
  <c r="K17" i="2"/>
  <c r="E17" i="2" s="1"/>
  <c r="K12" i="2"/>
  <c r="E12" i="2" s="1"/>
  <c r="K41" i="2"/>
  <c r="E41" i="2" s="1"/>
  <c r="B60" i="17"/>
  <c r="C60" i="17"/>
  <c r="D60" i="17" s="1"/>
  <c r="B90" i="17"/>
  <c r="C90" i="17"/>
  <c r="D90" i="17" s="1"/>
  <c r="B64" i="17"/>
  <c r="C64" i="17"/>
  <c r="D64" i="17" s="1"/>
  <c r="B50" i="17"/>
  <c r="C50" i="17"/>
  <c r="D50" i="17" s="1"/>
  <c r="B28" i="17"/>
  <c r="C28" i="17"/>
  <c r="D28" i="17" s="1"/>
  <c r="C91" i="17"/>
  <c r="D91" i="17" s="1"/>
  <c r="B91" i="17"/>
  <c r="B99" i="17"/>
  <c r="C99" i="17"/>
  <c r="D99" i="17" s="1"/>
  <c r="C71" i="17"/>
  <c r="D71" i="17" s="1"/>
  <c r="B71" i="17"/>
  <c r="C46" i="17"/>
  <c r="D46" i="17" s="1"/>
  <c r="B46" i="17"/>
  <c r="B65" i="17"/>
  <c r="C65" i="17"/>
  <c r="D65" i="17" s="1"/>
  <c r="B30" i="17"/>
  <c r="C30" i="17"/>
  <c r="D30" i="17" s="1"/>
  <c r="B80" i="17"/>
  <c r="C80" i="17"/>
  <c r="D80" i="17" s="1"/>
  <c r="B4" i="17"/>
  <c r="C4" i="17"/>
  <c r="D4" i="17" s="1"/>
  <c r="B48" i="17"/>
  <c r="C48" i="17"/>
  <c r="D48" i="17" s="1"/>
  <c r="C83" i="17"/>
  <c r="D83" i="17" s="1"/>
  <c r="B83" i="17"/>
  <c r="B55" i="17"/>
  <c r="C55" i="17"/>
  <c r="D55" i="17" s="1"/>
  <c r="B49" i="17"/>
  <c r="C49" i="17"/>
  <c r="D49" i="17" s="1"/>
  <c r="B84" i="17"/>
  <c r="C84" i="17"/>
  <c r="D84" i="17" s="1"/>
  <c r="B35" i="17"/>
  <c r="C35" i="17"/>
  <c r="D35" i="17" s="1"/>
  <c r="B9" i="17"/>
  <c r="C9" i="17"/>
  <c r="D9" i="17" s="1"/>
  <c r="C21" i="17"/>
  <c r="D21" i="17" s="1"/>
  <c r="B21" i="17"/>
  <c r="C11" i="17"/>
  <c r="D11" i="17" s="1"/>
  <c r="B11" i="17"/>
  <c r="B72" i="17"/>
  <c r="C72" i="17"/>
  <c r="D72" i="17" s="1"/>
  <c r="C66" i="17"/>
  <c r="D66" i="17" s="1"/>
  <c r="B66" i="17"/>
  <c r="C61" i="17"/>
  <c r="D61" i="17" s="1"/>
  <c r="B61" i="17"/>
  <c r="B67" i="17"/>
  <c r="C67" i="17"/>
  <c r="D67" i="17" s="1"/>
  <c r="B63" i="17"/>
  <c r="C63" i="17"/>
  <c r="D63" i="17" s="1"/>
  <c r="B95" i="17"/>
  <c r="C95" i="17"/>
  <c r="D95" i="17" s="1"/>
  <c r="C52" i="17"/>
  <c r="D52" i="17" s="1"/>
  <c r="B52" i="17"/>
  <c r="B62" i="17"/>
  <c r="C62" i="17"/>
  <c r="D62" i="17" s="1"/>
  <c r="B17" i="17"/>
  <c r="C17" i="17"/>
  <c r="D17" i="17" s="1"/>
  <c r="B14" i="17"/>
  <c r="C14" i="17"/>
  <c r="D14" i="17" s="1"/>
  <c r="B32" i="17"/>
  <c r="C32" i="17"/>
  <c r="D32" i="17" s="1"/>
  <c r="B19" i="17"/>
  <c r="C19" i="17"/>
  <c r="D19" i="17" s="1"/>
  <c r="C8" i="17"/>
  <c r="D8" i="17" s="1"/>
  <c r="B8" i="17"/>
  <c r="B24" i="17"/>
  <c r="C24" i="17"/>
  <c r="D24" i="17" s="1"/>
  <c r="C2" i="17"/>
  <c r="D2" i="17" s="1"/>
  <c r="B2" i="17"/>
  <c r="B69" i="17"/>
  <c r="C69" i="17"/>
  <c r="D69" i="17" s="1"/>
  <c r="C51" i="17"/>
  <c r="D51" i="17" s="1"/>
  <c r="B51" i="17"/>
  <c r="C41" i="17"/>
  <c r="D41" i="17" s="1"/>
  <c r="B41" i="17"/>
  <c r="B45" i="17"/>
  <c r="C45" i="17"/>
  <c r="D45" i="17" s="1"/>
  <c r="B12" i="17"/>
  <c r="C12" i="17"/>
  <c r="D12" i="17" s="1"/>
  <c r="B29" i="17"/>
  <c r="C29" i="17"/>
  <c r="D29" i="17" s="1"/>
  <c r="B73" i="17"/>
  <c r="C73" i="17"/>
  <c r="D73" i="17" s="1"/>
  <c r="B53" i="17"/>
  <c r="C53" i="17"/>
  <c r="D53" i="17" s="1"/>
  <c r="B38" i="17"/>
  <c r="C38" i="17"/>
  <c r="D38" i="17" s="1"/>
  <c r="B88" i="17"/>
  <c r="C88" i="17"/>
  <c r="D88" i="17" s="1"/>
  <c r="B13" i="17"/>
  <c r="C13" i="17"/>
  <c r="D13" i="17" s="1"/>
  <c r="B34" i="17"/>
  <c r="C34" i="17"/>
  <c r="D34" i="17" s="1"/>
  <c r="C27" i="17"/>
  <c r="D27" i="17" s="1"/>
  <c r="B27" i="17"/>
  <c r="C77" i="17"/>
  <c r="D77" i="17" s="1"/>
  <c r="B77" i="17"/>
  <c r="B54" i="17"/>
  <c r="C54" i="17"/>
  <c r="D54" i="17" s="1"/>
  <c r="B68" i="17"/>
  <c r="C68" i="17"/>
  <c r="D68" i="17" s="1"/>
  <c r="C97" i="17"/>
  <c r="D97" i="17" s="1"/>
  <c r="B97" i="17"/>
  <c r="C36" i="17"/>
  <c r="D36" i="17" s="1"/>
  <c r="B36" i="17"/>
  <c r="B85" i="17"/>
  <c r="C85" i="17"/>
  <c r="D85" i="17" s="1"/>
  <c r="B47" i="17"/>
  <c r="C47" i="17"/>
  <c r="D47" i="17" s="1"/>
  <c r="B43" i="17"/>
  <c r="C43" i="17"/>
  <c r="D43" i="17" s="1"/>
  <c r="B100" i="17"/>
  <c r="C100" i="17"/>
  <c r="D100" i="17" s="1"/>
  <c r="C86" i="17"/>
  <c r="D86" i="17" s="1"/>
  <c r="B86" i="17"/>
  <c r="C96" i="17"/>
  <c r="D96" i="17" s="1"/>
  <c r="B96" i="17"/>
  <c r="B98" i="17"/>
  <c r="C98" i="17"/>
  <c r="D98" i="17" s="1"/>
  <c r="C39" i="17"/>
  <c r="D39" i="17" s="1"/>
  <c r="B39" i="17"/>
  <c r="B89" i="17"/>
  <c r="C89" i="17"/>
  <c r="D89" i="17" s="1"/>
  <c r="C16" i="17"/>
  <c r="D16" i="17" s="1"/>
  <c r="B16" i="17"/>
  <c r="C6" i="17"/>
  <c r="D6" i="17" s="1"/>
  <c r="B6" i="17"/>
  <c r="B44" i="17"/>
  <c r="C44" i="17"/>
  <c r="D44" i="17" s="1"/>
  <c r="B93" i="17"/>
  <c r="C93" i="17"/>
  <c r="D93" i="17" s="1"/>
  <c r="B70" i="17"/>
  <c r="C70" i="17"/>
  <c r="D70" i="17" s="1"/>
  <c r="C56" i="17"/>
  <c r="D56" i="17" s="1"/>
  <c r="B56" i="17"/>
  <c r="B20" i="17"/>
  <c r="C20" i="17"/>
  <c r="D20" i="17" s="1"/>
  <c r="B57" i="17"/>
  <c r="C57" i="17"/>
  <c r="D57" i="17" s="1"/>
  <c r="B74" i="17"/>
  <c r="C74" i="17"/>
  <c r="D74" i="17" s="1"/>
  <c r="C58" i="17"/>
  <c r="D58" i="17" s="1"/>
  <c r="B58" i="17"/>
  <c r="B78" i="17"/>
  <c r="C78" i="17"/>
  <c r="D78" i="17" s="1"/>
  <c r="C101" i="17"/>
  <c r="D101" i="17" s="1"/>
  <c r="B101" i="17"/>
  <c r="B10" i="17"/>
  <c r="C10" i="17"/>
  <c r="D10" i="17" s="1"/>
  <c r="B37" i="17"/>
  <c r="C37" i="17"/>
  <c r="D37" i="17" s="1"/>
  <c r="B59" i="17"/>
  <c r="C59" i="17"/>
  <c r="D59" i="17" s="1"/>
  <c r="C76" i="17"/>
  <c r="D76" i="17" s="1"/>
  <c r="B76" i="17"/>
  <c r="B82" i="17"/>
  <c r="C82" i="17"/>
  <c r="D82" i="17" s="1"/>
  <c r="C87" i="17"/>
  <c r="D87" i="17" s="1"/>
  <c r="B87" i="17"/>
  <c r="B3" i="17"/>
  <c r="C3" i="17"/>
  <c r="D3" i="17" s="1"/>
  <c r="B75" i="17"/>
  <c r="C75" i="17"/>
  <c r="D75" i="17" s="1"/>
  <c r="B7" i="17"/>
  <c r="C7" i="17"/>
  <c r="D7" i="17" s="1"/>
  <c r="B18" i="17"/>
  <c r="C18" i="17"/>
  <c r="D18" i="17" s="1"/>
  <c r="B22" i="17"/>
  <c r="C22" i="17"/>
  <c r="D22" i="17" s="1"/>
  <c r="B92" i="17"/>
  <c r="C92" i="17"/>
  <c r="D92" i="17" s="1"/>
  <c r="B23" i="17"/>
  <c r="C23" i="17"/>
  <c r="D23" i="17" s="1"/>
  <c r="B94" i="17"/>
  <c r="C94" i="17"/>
  <c r="D94" i="17" s="1"/>
  <c r="B5" i="17"/>
  <c r="C5" i="17"/>
  <c r="D5" i="17" s="1"/>
  <c r="B79" i="17"/>
  <c r="C79" i="17"/>
  <c r="D79" i="17" s="1"/>
  <c r="B42" i="17"/>
  <c r="C42" i="17"/>
  <c r="D42" i="17" s="1"/>
  <c r="B25" i="17"/>
  <c r="C25" i="17"/>
  <c r="D25" i="17" s="1"/>
  <c r="B40" i="17"/>
  <c r="C40" i="17"/>
  <c r="D40" i="17" s="1"/>
  <c r="B15" i="17"/>
  <c r="C15" i="17"/>
  <c r="D15" i="17" s="1"/>
  <c r="C26" i="17"/>
  <c r="D26" i="17" s="1"/>
  <c r="B26" i="17"/>
  <c r="C81" i="17"/>
  <c r="D81" i="17" s="1"/>
  <c r="B81" i="17"/>
  <c r="C33" i="17"/>
  <c r="D33" i="17" s="1"/>
  <c r="B33" i="17"/>
  <c r="C31" i="17"/>
  <c r="D31" i="17" s="1"/>
  <c r="B31" i="17"/>
  <c r="E2" i="2" l="1"/>
  <c r="K1" i="2"/>
</calcChain>
</file>

<file path=xl/sharedStrings.xml><?xml version="1.0" encoding="utf-8"?>
<sst xmlns="http://schemas.openxmlformats.org/spreadsheetml/2006/main" count="1695" uniqueCount="355">
  <si>
    <t>Type</t>
  </si>
  <si>
    <t>Parameters (transposed from Data sheet)</t>
  </si>
  <si>
    <t>Total</t>
  </si>
  <si>
    <t>Name</t>
  </si>
  <si>
    <t>Box</t>
  </si>
  <si>
    <t>Menu position</t>
  </si>
  <si>
    <t>x param</t>
  </si>
  <si>
    <t>y param</t>
  </si>
  <si>
    <t>from param list</t>
  </si>
  <si>
    <t>Currently selected parameters (generated by dialog box)</t>
  </si>
  <si>
    <t>The data in this database comes from</t>
  </si>
  <si>
    <t>Type 1</t>
  </si>
  <si>
    <t>Type 2</t>
  </si>
  <si>
    <t>Type 3</t>
  </si>
  <si>
    <t>Identify</t>
  </si>
  <si>
    <t>from types</t>
  </si>
  <si>
    <t>from data</t>
  </si>
  <si>
    <t>DATA STRUCTURE</t>
  </si>
  <si>
    <t>USER NOTES</t>
  </si>
  <si>
    <t>Plot y/x</t>
  </si>
  <si>
    <t>x</t>
  </si>
  <si>
    <t>y</t>
  </si>
  <si>
    <t>Data sheet</t>
  </si>
  <si>
    <t>Row</t>
  </si>
  <si>
    <t>Row in data sheet</t>
  </si>
  <si>
    <t>Data sheets</t>
  </si>
  <si>
    <t>from data sheets list</t>
  </si>
  <si>
    <t>Code</t>
  </si>
  <si>
    <t>Names (from selected data sheet)</t>
  </si>
  <si>
    <t>Types (from selected data sheet)</t>
  </si>
  <si>
    <t>Count of Types (from selected data sheet)</t>
  </si>
  <si>
    <t>Types (pivot-tabled)</t>
  </si>
  <si>
    <t>Bulgaria</t>
  </si>
  <si>
    <t>Czech Republic</t>
  </si>
  <si>
    <t>Estonia</t>
  </si>
  <si>
    <t>Hungary</t>
  </si>
  <si>
    <t>Latvia</t>
  </si>
  <si>
    <t>Lithuania</t>
  </si>
  <si>
    <t>Poland</t>
  </si>
  <si>
    <t>Romania</t>
  </si>
  <si>
    <t>Slovak Rep</t>
  </si>
  <si>
    <t>Slovenia</t>
  </si>
  <si>
    <t>Austria</t>
  </si>
  <si>
    <t>Belgium</t>
  </si>
  <si>
    <t>Denmark</t>
  </si>
  <si>
    <t>Eire</t>
  </si>
  <si>
    <t>Finland</t>
  </si>
  <si>
    <t>France</t>
  </si>
  <si>
    <t>Greece</t>
  </si>
  <si>
    <t>Iceland</t>
  </si>
  <si>
    <t>Italy</t>
  </si>
  <si>
    <t>Liechtenstein</t>
  </si>
  <si>
    <t>Luxembourg</t>
  </si>
  <si>
    <t>Netherlands</t>
  </si>
  <si>
    <t>Norway</t>
  </si>
  <si>
    <t>Portugal</t>
  </si>
  <si>
    <t>Spain</t>
  </si>
  <si>
    <t>Sweden</t>
  </si>
  <si>
    <t>Switzerland</t>
  </si>
  <si>
    <t>UK</t>
  </si>
  <si>
    <t>Germany</t>
  </si>
  <si>
    <t>USA</t>
  </si>
  <si>
    <t>Turkey</t>
  </si>
  <si>
    <t>Australia</t>
  </si>
  <si>
    <t>Japan</t>
  </si>
  <si>
    <t>Libraries - Total Administrative Units</t>
  </si>
  <si>
    <t>Libraries - Service Points</t>
  </si>
  <si>
    <t>Collections - Books &amp; Bound Periodicals</t>
  </si>
  <si>
    <t>Collections - Current Periodicals - Titles</t>
  </si>
  <si>
    <t>Collections - Current Periodicals - Subscriptions</t>
  </si>
  <si>
    <t>Collections - Manuscripts</t>
  </si>
  <si>
    <t>Collections - Microforms</t>
  </si>
  <si>
    <t>Collections - Audio-visual Materials</t>
  </si>
  <si>
    <t>Collections - CD-ROMs</t>
  </si>
  <si>
    <t>Additions - Books &amp; Bound Periodicals</t>
  </si>
  <si>
    <t>Additions - Audio-visual Materials</t>
  </si>
  <si>
    <t>Facilities &amp; Services - Percentage Stock on Open Access</t>
  </si>
  <si>
    <t>Facilities &amp; Services - Percentage Catalogue Records Automated</t>
  </si>
  <si>
    <t>Facilities &amp; Services - Number of Workstations for users</t>
  </si>
  <si>
    <t>Facilities &amp; Services - Number connected to the internet</t>
  </si>
  <si>
    <t>Use &amp; Users - Registered Users</t>
  </si>
  <si>
    <t>Use &amp; Users - Number of Visits</t>
  </si>
  <si>
    <t>Use &amp; Users - Potential Total Population Served</t>
  </si>
  <si>
    <t>Library Staff FTE - Trained Librarians</t>
  </si>
  <si>
    <t>Library Staff FTE - Other Library Staff</t>
  </si>
  <si>
    <t>Library Staff FTE - Total Staff</t>
  </si>
  <si>
    <t>Income - Public Funding</t>
  </si>
  <si>
    <t>Income - Fees &amp; Charges</t>
  </si>
  <si>
    <t>Income - Other Income</t>
  </si>
  <si>
    <t>Income - TOTAL INCOME</t>
  </si>
  <si>
    <t>Capital Expenditure - New Buildings / Refurbishment</t>
  </si>
  <si>
    <t>Capital Expenditure - Acquisition of Stock</t>
  </si>
  <si>
    <t>Capital Expenditure - Automation</t>
  </si>
  <si>
    <t>Capital Expenditure - Other Capital Expenditure</t>
  </si>
  <si>
    <t>Capital Expenditure - TOTAL CAPITAL   PAYMENTS</t>
  </si>
  <si>
    <t>Population '000s</t>
  </si>
  <si>
    <t>Use &amp; Users - Number of virtual referrals and transactions</t>
  </si>
  <si>
    <t>Use &amp; Users - Number of virtual visits to networked library services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</si>
  <si>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</si>
  <si>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</si>
  <si>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</si>
  <si>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</si>
  <si>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</si>
  <si>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</si>
  <si>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</si>
  <si>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</si>
  <si>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</si>
  <si>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</si>
  <si>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</si>
  <si>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</si>
  <si>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</si>
  <si>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</si>
  <si>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</si>
  <si>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</si>
  <si>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</si>
  <si>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</si>
  <si>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</si>
  <si>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</si>
  <si>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</si>
  <si>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</si>
  <si>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</si>
  <si>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</si>
  <si>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</si>
  <si>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</si>
  <si>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</si>
  <si>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</si>
  <si>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C31</t>
  </si>
  <si>
    <t>C50</t>
  </si>
  <si>
    <t>C42</t>
  </si>
  <si>
    <t>C70</t>
  </si>
  <si>
    <t>C41</t>
  </si>
  <si>
    <t>Martin Jennings</t>
  </si>
  <si>
    <t>Recurrent Expenditure (Euros) - Staff</t>
  </si>
  <si>
    <t>Recurrent Expenditure (Euros) - Acquisition of Stock</t>
  </si>
  <si>
    <t>Recurrent Expenditure (Euros) - Electronic Information</t>
  </si>
  <si>
    <t>Recurrent Expenditure (Euros) - Automation</t>
  </si>
  <si>
    <t>Recurrent Expenditure (Euros) - Premises and Related Costs</t>
  </si>
  <si>
    <t>Recurrent Expenditure (Euros) - New Buildings / Refurbishment</t>
  </si>
  <si>
    <t>Recurrent Expenditure (Euros) - Other Expenditure</t>
  </si>
  <si>
    <t>Recurrent Expenditure (Euros) - TOTAL EXPENDITURE</t>
  </si>
  <si>
    <t>The data is set out in the order of the questionnaires, with population (000's) in the first data column.</t>
  </si>
  <si>
    <t>The Y value will show up on the Histogram (or bar chart) or can be shown divided by the X value</t>
  </si>
  <si>
    <t>Use &amp; Users - Loan Transactions</t>
  </si>
  <si>
    <t>Korea</t>
  </si>
  <si>
    <t>Canada</t>
  </si>
  <si>
    <t>New Zealand</t>
  </si>
  <si>
    <t>C40</t>
  </si>
  <si>
    <t>C51</t>
  </si>
  <si>
    <t>C71</t>
  </si>
  <si>
    <t>Mexico</t>
  </si>
  <si>
    <t>CEE</t>
  </si>
  <si>
    <t>EU</t>
  </si>
  <si>
    <t>EFTA</t>
  </si>
  <si>
    <t>C72</t>
  </si>
  <si>
    <t>Totals</t>
  </si>
  <si>
    <t>Totals include figures for all countries covered by LibEcon</t>
  </si>
  <si>
    <t>LibEcon - Public Libraries</t>
  </si>
  <si>
    <t>Data is split into 6 sheets all with the same data structure and order.</t>
  </si>
  <si>
    <t>World - A</t>
  </si>
  <si>
    <t>World - B</t>
  </si>
  <si>
    <t>Press the 'Update Type' to display the new options before reusing the model.</t>
  </si>
  <si>
    <t>Rank</t>
  </si>
  <si>
    <t>Country</t>
  </si>
  <si>
    <t>Apportioned or estimated from previous years returns</t>
  </si>
  <si>
    <t>Grossed on regional averages</t>
  </si>
  <si>
    <t>To Change the number of</t>
  </si>
  <si>
    <t>Decimal Places shown,</t>
  </si>
  <si>
    <t>select column C and</t>
  </si>
  <si>
    <t>change cell format</t>
  </si>
  <si>
    <t>Data</t>
  </si>
  <si>
    <t>Returned Data for year 2000</t>
  </si>
  <si>
    <t>Real data x</t>
  </si>
  <si>
    <t>Real data y</t>
  </si>
  <si>
    <t>"World B". For a list of the country groups click here.</t>
  </si>
  <si>
    <t>Country Name</t>
  </si>
  <si>
    <t>DATA TYPES</t>
  </si>
  <si>
    <t>explanation is given in the 'Data types' section of this help sheet.</t>
  </si>
  <si>
    <t>Data is shown in three forms.</t>
  </si>
  <si>
    <t>figures have been spread over relevant headings in line with country type ratios. Also, where data</t>
  </si>
  <si>
    <r>
      <t xml:space="preserve">    </t>
    </r>
    <r>
      <rPr>
        <b/>
        <sz val="10"/>
        <rFont val="Arial"/>
        <family val="2"/>
      </rPr>
      <t>Returned Data</t>
    </r>
    <r>
      <rPr>
        <sz val="10"/>
        <rFont val="Arial"/>
      </rPr>
      <t xml:space="preserve"> - Data submitted by countries which has been split between the questionnaire</t>
    </r>
  </si>
  <si>
    <r>
      <t xml:space="preserve">    Based on returned data</t>
    </r>
    <r>
      <rPr>
        <sz val="10"/>
        <rFont val="Arial"/>
      </rPr>
      <t xml:space="preserve"> - Where information was not split between questionnaire headings given </t>
    </r>
  </si>
  <si>
    <r>
      <t xml:space="preserve">    </t>
    </r>
    <r>
      <rPr>
        <b/>
        <sz val="10"/>
        <rFont val="Arial"/>
        <family val="2"/>
      </rPr>
      <t>Grossed on class averages</t>
    </r>
    <r>
      <rPr>
        <sz val="10"/>
        <rFont val="Arial"/>
      </rPr>
      <t xml:space="preserve"> - Where no information has been given for any years previously,</t>
    </r>
  </si>
  <si>
    <t>figures have been estimated using population served (dependant on library type) and country type</t>
  </si>
  <si>
    <t>The non-financial data comes first with the financial data following.</t>
  </si>
  <si>
    <t>CHANGING COMPARATOR GROUPS</t>
  </si>
  <si>
    <t>sheet. Then the relevant Country Type(s) needs to be changed as required on the Dialogbox sheet.</t>
  </si>
  <si>
    <t>This may be useful for identifying regions such as; 'Baltic States' , 'Eastern Europe' etc. or for</t>
  </si>
  <si>
    <t>singling out individual countries to be shown.</t>
  </si>
  <si>
    <t>Eastern Europe</t>
  </si>
  <si>
    <t>Baltic States</t>
  </si>
  <si>
    <t>Northern Europe</t>
  </si>
  <si>
    <t>Southern Europe</t>
  </si>
  <si>
    <t>Central Europe</t>
  </si>
  <si>
    <t>Australasia</t>
  </si>
  <si>
    <t>Northern America</t>
  </si>
  <si>
    <t>Asia</t>
  </si>
  <si>
    <t>Rest of the World</t>
  </si>
  <si>
    <t>y value, or y divided by x if the 'y/x plot' box is ticked.</t>
  </si>
  <si>
    <t>TOTAL CAPITAL  PAYMENTS</t>
  </si>
  <si>
    <t>Other Capital Expenditure</t>
  </si>
  <si>
    <t>Automation</t>
  </si>
  <si>
    <t>Acquisition of Stock</t>
  </si>
  <si>
    <t>New Buildings / Refurbishment</t>
  </si>
  <si>
    <t>CAPITAL EXPENDITURE (not included above):</t>
  </si>
  <si>
    <t>TOTAL INCOME</t>
  </si>
  <si>
    <t>Other Income</t>
  </si>
  <si>
    <t>Fees &amp; Charges</t>
  </si>
  <si>
    <t>Public Funding</t>
  </si>
  <si>
    <r>
      <t xml:space="preserve">INCOME (Expressed in </t>
    </r>
    <r>
      <rPr>
        <u/>
        <sz val="10"/>
        <rFont val="Arial"/>
        <family val="2"/>
      </rPr>
      <t>Euros</t>
    </r>
    <r>
      <rPr>
        <sz val="10"/>
        <rFont val="Arial"/>
      </rPr>
      <t>, outturn prices):</t>
    </r>
  </si>
  <si>
    <t>TOTAL EXPENDITURE</t>
  </si>
  <si>
    <t>Other Expenditure</t>
  </si>
  <si>
    <t>Premises and Related Costs</t>
  </si>
  <si>
    <t>Electronic Information</t>
  </si>
  <si>
    <t>Staff</t>
  </si>
  <si>
    <r>
      <t xml:space="preserve">RECURRENT EXPENDITURE (Expressed in </t>
    </r>
    <r>
      <rPr>
        <u/>
        <sz val="10"/>
        <rFont val="Arial"/>
        <family val="2"/>
      </rPr>
      <t>Euros</t>
    </r>
    <r>
      <rPr>
        <sz val="10"/>
        <rFont val="Arial"/>
      </rPr>
      <t>, outturn prices):</t>
    </r>
  </si>
  <si>
    <t>Total Staff</t>
  </si>
  <si>
    <t>Other Library Staff</t>
  </si>
  <si>
    <t>Trained Librarians</t>
  </si>
  <si>
    <t>LIBRARY STAFF  (Full-time equivalent):</t>
  </si>
  <si>
    <t>Potential Total Population Served</t>
  </si>
  <si>
    <r>
      <t xml:space="preserve">Number of virtual visits to networked library services </t>
    </r>
    <r>
      <rPr>
        <i/>
        <sz val="10"/>
        <rFont val="Arial"/>
        <family val="2"/>
      </rPr>
      <t>(Public Libraries only)</t>
    </r>
  </si>
  <si>
    <r>
      <t xml:space="preserve">Number of virtual referrals and transactions </t>
    </r>
    <r>
      <rPr>
        <i/>
        <sz val="10"/>
        <rFont val="Arial"/>
        <family val="2"/>
      </rPr>
      <t>(Public Libraries only)</t>
    </r>
  </si>
  <si>
    <t>Number of Visits</t>
  </si>
  <si>
    <t>Loan Transactions / Consultations</t>
  </si>
  <si>
    <t>Registered Users</t>
  </si>
  <si>
    <t>USE AND USERS:</t>
  </si>
  <si>
    <t>- Number connected to the internet (included above)</t>
  </si>
  <si>
    <t>Number of Workstations for users</t>
  </si>
  <si>
    <t>Percentage Catalogue Records Automated</t>
  </si>
  <si>
    <t>Percentage Stock on Open Access</t>
  </si>
  <si>
    <t>FACILITIES &amp; SERVICES:</t>
  </si>
  <si>
    <t>Audio-visual Materials</t>
  </si>
  <si>
    <t>Books &amp; Bound Periodicals</t>
  </si>
  <si>
    <t>ADDITIONS:</t>
  </si>
  <si>
    <t>CD-ROMs</t>
  </si>
  <si>
    <t>Microforms</t>
  </si>
  <si>
    <t>Manuscripts</t>
  </si>
  <si>
    <t>Current Periodicals - Subscriptions</t>
  </si>
  <si>
    <t>Current Periodicals - Titles</t>
  </si>
  <si>
    <t>COLLECTIONS:</t>
  </si>
  <si>
    <t>Service Points</t>
  </si>
  <si>
    <t>Total Administrative Units</t>
  </si>
  <si>
    <t>LIBRARIES:</t>
  </si>
  <si>
    <t>FINANCIAL INFORMATION</t>
  </si>
  <si>
    <t>NUMBER OF STAFF</t>
  </si>
  <si>
    <t>NON-FINANCIAL INFORMATION</t>
  </si>
  <si>
    <t>Information included within the LIBECON database</t>
  </si>
  <si>
    <t>Shown in order of appearance on database and questionnaire</t>
  </si>
  <si>
    <t>Potential Population Served '000s (this will vary with library sector)</t>
  </si>
  <si>
    <t>Region (Example)</t>
  </si>
  <si>
    <r>
      <t xml:space="preserve">See </t>
    </r>
    <r>
      <rPr>
        <b/>
        <sz val="10"/>
        <rFont val="Arial"/>
        <family val="2"/>
      </rPr>
      <t xml:space="preserve">www.libecon.org </t>
    </r>
    <r>
      <rPr>
        <sz val="10"/>
        <rFont val="Arial"/>
        <family val="2"/>
      </rPr>
      <t>for questionnaires and guidance notes</t>
    </r>
  </si>
  <si>
    <t xml:space="preserve">shows 'real' submitted data, data estimated from previous years submissions or data based on </t>
  </si>
  <si>
    <r>
      <t xml:space="preserve">The countries are grouped by </t>
    </r>
    <r>
      <rPr>
        <b/>
        <sz val="10"/>
        <rFont val="Arial"/>
        <family val="2"/>
      </rPr>
      <t>TYPE</t>
    </r>
    <r>
      <rPr>
        <sz val="10"/>
        <rFont val="Arial"/>
      </rPr>
      <t xml:space="preserve"> the default being "EU", "CEE", "EFTA", "World A" and</t>
    </r>
  </si>
  <si>
    <r>
      <t xml:space="preserve">At the top of the </t>
    </r>
    <r>
      <rPr>
        <b/>
        <sz val="10"/>
        <rFont val="Arial"/>
        <family val="2"/>
      </rPr>
      <t>Dialogbox</t>
    </r>
    <r>
      <rPr>
        <sz val="10"/>
        <rFont val="Arial"/>
      </rPr>
      <t xml:space="preserve"> sheet you can select the type of library you wish to use. Then select</t>
    </r>
  </si>
  <si>
    <r>
      <t xml:space="preserve">an </t>
    </r>
    <r>
      <rPr>
        <b/>
        <sz val="10"/>
        <rFont val="Arial"/>
        <family val="2"/>
      </rPr>
      <t>X and Y value to compare</t>
    </r>
    <r>
      <rPr>
        <sz val="10"/>
        <rFont val="Arial"/>
      </rPr>
      <t xml:space="preserve"> (this will extract data from the datasheets for these two indicators).</t>
    </r>
  </si>
  <si>
    <r>
      <t xml:space="preserve">if the </t>
    </r>
    <r>
      <rPr>
        <b/>
        <sz val="10"/>
        <rFont val="Arial"/>
        <family val="2"/>
      </rPr>
      <t>'y/x plot'</t>
    </r>
    <r>
      <rPr>
        <sz val="10"/>
        <rFont val="Arial"/>
      </rPr>
      <t xml:space="preserve"> box is ticked.</t>
    </r>
  </si>
  <si>
    <r>
      <t xml:space="preserve">Alternatively the data can be viewed on  a </t>
    </r>
    <r>
      <rPr>
        <b/>
        <sz val="10"/>
        <rFont val="Arial"/>
        <family val="2"/>
      </rPr>
      <t>scatter</t>
    </r>
    <r>
      <rPr>
        <sz val="10"/>
        <rFont val="Arial"/>
      </rPr>
      <t xml:space="preserve"> plot. To add a trend line click on 'Chart'</t>
    </r>
  </si>
  <si>
    <t>'Add trendline'.</t>
  </si>
  <si>
    <r>
      <t>Rankings</t>
    </r>
    <r>
      <rPr>
        <sz val="10"/>
        <rFont val="Arial"/>
      </rPr>
      <t xml:space="preserve"> can be viewed via the histogram or scatter graphs. The rankings will be based on the</t>
    </r>
  </si>
  <si>
    <r>
      <t xml:space="preserve">To </t>
    </r>
    <r>
      <rPr>
        <b/>
        <sz val="10"/>
        <rFont val="Arial"/>
        <family val="2"/>
      </rPr>
      <t>enter or edit data</t>
    </r>
    <r>
      <rPr>
        <sz val="10"/>
        <rFont val="Arial"/>
      </rPr>
      <t>, simply use the relevant "data" sheet.  The columns are already headed to</t>
    </r>
  </si>
  <si>
    <r>
      <t xml:space="preserve">country type averages. To identify the type of data for each country goto the </t>
    </r>
    <r>
      <rPr>
        <b/>
        <sz val="10"/>
        <rFont val="Arial"/>
        <family val="2"/>
      </rPr>
      <t>'Ranking'</t>
    </r>
    <r>
      <rPr>
        <sz val="10"/>
        <rFont val="Arial"/>
      </rPr>
      <t xml:space="preserve"> sheet, further</t>
    </r>
  </si>
  <si>
    <r>
      <t xml:space="preserve">Hence, the returned and based on returned data will show an </t>
    </r>
    <r>
      <rPr>
        <b/>
        <sz val="10"/>
        <rFont val="Arial"/>
        <family val="2"/>
      </rPr>
      <t>accurate</t>
    </r>
    <r>
      <rPr>
        <sz val="10"/>
        <rFont val="Arial"/>
      </rPr>
      <t xml:space="preserve"> reflexion of countries'</t>
    </r>
  </si>
  <si>
    <r>
      <t xml:space="preserve">activity and expenditure, but the data grossed on class averages will </t>
    </r>
    <r>
      <rPr>
        <b/>
        <sz val="10"/>
        <rFont val="Arial"/>
        <family val="2"/>
      </rPr>
      <t>only give an approxiamte</t>
    </r>
  </si>
  <si>
    <r>
      <t>estimate</t>
    </r>
    <r>
      <rPr>
        <sz val="10"/>
        <rFont val="Arial"/>
      </rPr>
      <t xml:space="preserve"> of the situation and </t>
    </r>
    <r>
      <rPr>
        <b/>
        <sz val="10"/>
        <rFont val="Arial"/>
        <family val="2"/>
      </rPr>
      <t>should therefore not be used for serious comparisons</t>
    </r>
    <r>
      <rPr>
        <sz val="10"/>
        <rFont val="Arial"/>
      </rPr>
      <t>.</t>
    </r>
  </si>
  <si>
    <t>If you have any questions or comments please contact Martin Jennings on;</t>
  </si>
  <si>
    <r>
      <t>martin.jennings@ipf.co.uk</t>
    </r>
    <r>
      <rPr>
        <sz val="10"/>
        <color indexed="12"/>
        <rFont val="Arial"/>
        <family val="2"/>
      </rPr>
      <t xml:space="preserve">      </t>
    </r>
    <r>
      <rPr>
        <sz val="10"/>
        <rFont val="Arial"/>
        <family val="2"/>
      </rPr>
      <t>or at</t>
    </r>
  </si>
  <si>
    <t>IPF Ltd</t>
  </si>
  <si>
    <t>6th Floor, NLA Tower</t>
  </si>
  <si>
    <t>12 - 16 Addiscombe Road</t>
  </si>
  <si>
    <t>Croydon</t>
  </si>
  <si>
    <t>CR0 0XT</t>
  </si>
  <si>
    <t>CONTACT</t>
  </si>
  <si>
    <t>As an example, copy highlighted column in row D by pressing this button.</t>
  </si>
  <si>
    <r>
      <t>sheet and press the '</t>
    </r>
    <r>
      <rPr>
        <b/>
        <sz val="10"/>
        <rFont val="Arial"/>
        <family val="2"/>
      </rPr>
      <t>Update Type</t>
    </r>
    <r>
      <rPr>
        <sz val="10"/>
        <rFont val="Arial"/>
      </rPr>
      <t>' button.</t>
    </r>
  </si>
  <si>
    <t>All totals for all years shown relate to grossed data</t>
  </si>
  <si>
    <t>To view data quality see 'Ranking' sheet</t>
  </si>
  <si>
    <r>
      <t xml:space="preserve">"Totals" shows the </t>
    </r>
    <r>
      <rPr>
        <b/>
        <sz val="10"/>
        <rFont val="Arial"/>
        <family val="2"/>
      </rPr>
      <t>grossed</t>
    </r>
    <r>
      <rPr>
        <sz val="10"/>
        <rFont val="Arial"/>
      </rPr>
      <t xml:space="preserve"> totals for these regions.</t>
    </r>
  </si>
  <si>
    <t xml:space="preserve">averages. (The Gross sheet indicates the data type 0 for returned, 1 for based on returned and </t>
  </si>
  <si>
    <t>2 for grossed on class averages.</t>
  </si>
  <si>
    <t>increased or decreased in line with the trend for the relevant country type.</t>
  </si>
  <si>
    <t>Tel: 020 8667 8530</t>
  </si>
  <si>
    <r>
      <t xml:space="preserve">indicate how to enter your data.  Put additional countries or information in the next available </t>
    </r>
    <r>
      <rPr>
        <b/>
        <sz val="10"/>
        <rFont val="Arial"/>
        <family val="2"/>
      </rPr>
      <t>row</t>
    </r>
  </si>
  <si>
    <r>
      <t xml:space="preserve">or </t>
    </r>
    <r>
      <rPr>
        <b/>
        <sz val="10"/>
        <rFont val="Arial"/>
        <family val="2"/>
      </rPr>
      <t>column</t>
    </r>
    <r>
      <rPr>
        <sz val="10"/>
        <rFont val="Arial"/>
      </rPr>
      <t xml:space="preserve"> respectively.  For example, a group of columns can be summed together to form one</t>
    </r>
  </si>
  <si>
    <t xml:space="preserve">other worksheets refer to them, and moving or inserting columns and rows will affect the formulae. </t>
  </si>
  <si>
    <t>column at the end of the database.  Editing cells, copying, pasting, and sorting columns or rows is</t>
  </si>
  <si>
    <r>
      <t xml:space="preserve">OK, but please </t>
    </r>
    <r>
      <rPr>
        <b/>
        <sz val="10"/>
        <rFont val="Arial"/>
        <family val="2"/>
      </rPr>
      <t>do not</t>
    </r>
    <r>
      <rPr>
        <sz val="10"/>
        <rFont val="Arial"/>
      </rPr>
      <t xml:space="preserve"> insert rows or move cells around on the "data" worksheet.  Functions in</t>
    </r>
  </si>
  <si>
    <t>Additions</t>
  </si>
  <si>
    <t>Loans per visit</t>
  </si>
  <si>
    <t>Cost per pop</t>
  </si>
  <si>
    <t>Users per 1000 pop</t>
  </si>
  <si>
    <t>visits per 1000 pop</t>
  </si>
  <si>
    <t>Bookstock per 1000 pop</t>
  </si>
  <si>
    <t>Total stock per 1000 pop</t>
  </si>
  <si>
    <t>AV materials per 1000 pop</t>
  </si>
  <si>
    <t>Ireland</t>
  </si>
  <si>
    <t>Returned Data for year 2001</t>
  </si>
  <si>
    <t>Scatter plots, histograms, editing data,</t>
  </si>
  <si>
    <t>peer groups, are all possible using this</t>
  </si>
  <si>
    <t>database.</t>
  </si>
  <si>
    <t>2003</t>
  </si>
  <si>
    <t>The year 2001 grossed shows real and grossed data based on previous years returns, UNESCO figures and country type averages</t>
  </si>
  <si>
    <t>2001 Grossed</t>
  </si>
  <si>
    <t>The following two data types only appear in the '2001 Grossed' datasheet.</t>
  </si>
  <si>
    <t>has been submitted in previous years, but not in 2001 then previous years financial figures have been</t>
  </si>
  <si>
    <t>The data includes the 5 years of data 1997 to 2001. Also included is 'Grossed' data for 2001, this</t>
  </si>
  <si>
    <t>headings. ONLY returned data are shown in the 1997 to 2001 datasheets.</t>
  </si>
  <si>
    <r>
      <t xml:space="preserve">To change the comparator group settings simply edit the second column in the </t>
    </r>
    <r>
      <rPr>
        <b/>
        <sz val="10"/>
        <rFont val="Arial"/>
        <family val="2"/>
      </rPr>
      <t>2001 Grossed</t>
    </r>
    <r>
      <rPr>
        <sz val="10"/>
        <rFont val="Arial"/>
      </rPr>
      <t xml:space="preserve"> data</t>
    </r>
  </si>
  <si>
    <r>
      <t>Paste this into Cell B2 of sheet '</t>
    </r>
    <r>
      <rPr>
        <b/>
        <sz val="10"/>
        <rFont val="Arial"/>
        <family val="2"/>
      </rPr>
      <t>2001 Grossed</t>
    </r>
    <r>
      <rPr>
        <sz val="10"/>
        <rFont val="Arial"/>
      </rPr>
      <t>', then return to the 'Dialogbox'</t>
    </r>
  </si>
  <si>
    <t>years 1997 to 2001.</t>
  </si>
  <si>
    <t>EU Accession Country Totals included estimates for Cyprus and Malta</t>
  </si>
  <si>
    <t>World A</t>
  </si>
  <si>
    <t>World B</t>
  </si>
  <si>
    <t>EU Accession Countries</t>
  </si>
  <si>
    <t>Europe (Excl. Malta &amp; Cyprus)</t>
  </si>
  <si>
    <t>returns at 27/10/03, and relates to the</t>
  </si>
  <si>
    <t>Belgique-Communauté française</t>
  </si>
  <si>
    <t>C12b</t>
  </si>
  <si>
    <t>C12a</t>
  </si>
  <si>
    <t>België Vlaamse Gemeenschap</t>
  </si>
  <si>
    <t xml:space="preserve">This introductory section gives a short overview of the Belgian institutional </t>
  </si>
  <si>
    <t xml:space="preserve">structure in order to help understanding the way libraries are organized in </t>
  </si>
  <si>
    <t>Belgium.</t>
  </si>
  <si>
    <t xml:space="preserve">The reforms of the State implemented in 1980, 1988, 1993 and 2001 have led to </t>
  </si>
  <si>
    <t xml:space="preserve">Belgium being turned into a federal country. Belgium consists of three geographical </t>
  </si>
  <si>
    <t>(and economic) regions - the Flemish Region, the Walloon Region and the Brussels-</t>
  </si>
  <si>
    <t xml:space="preserve">Capital Region – and three cultural communities – the Flemish Community (Vlaamse </t>
  </si>
  <si>
    <r>
      <t>Gemeenschap), the French Community (Communauté Française)</t>
    </r>
    <r>
      <rPr>
        <b/>
        <sz val="10"/>
        <color indexed="18"/>
        <rFont val="Arial"/>
        <family val="2"/>
      </rPr>
      <t xml:space="preserve"> </t>
    </r>
    <r>
      <rPr>
        <sz val="11"/>
        <rFont val="Arial"/>
        <family val="2"/>
      </rPr>
      <t>and the German-</t>
    </r>
  </si>
  <si>
    <t xml:space="preserve">speaking Community. The three cultural (and speech) communities are a product of </t>
  </si>
  <si>
    <t xml:space="preserve">history: the country is situated at the junction between the Latin and Germanic </t>
  </si>
  <si>
    <t>languages: French, Dutch and German.</t>
  </si>
  <si>
    <t xml:space="preserve">As a result of the reforms, the decision-making power is no longer exclusively in the </t>
  </si>
  <si>
    <t xml:space="preserve">hands of the Federal Parliament and the Federal Government. Each of the </t>
  </si>
  <si>
    <t>Communities and Regions has a Parliament and a Government too.</t>
  </si>
  <si>
    <t xml:space="preserve">The Communities are essentially competent for culture (including museums, libraries </t>
  </si>
  <si>
    <t xml:space="preserve">and archives) and education and the so-called personalized matters related to health </t>
  </si>
  <si>
    <t xml:space="preserve">policy (health care policy and health education) and to assistance to individuals </t>
  </si>
  <si>
    <t xml:space="preserve">(family, youth, elderly, etc). The Regions are responsible in particular for the fields of </t>
  </si>
  <si>
    <t xml:space="preserve">the economy, energy (nuclear energy remains, however, a federal competence), </t>
  </si>
  <si>
    <t xml:space="preserve">public works, agriculture, the environment and transport. The federal authority retains </t>
  </si>
  <si>
    <t xml:space="preserve">among others: the foreign affairs, defence, justice, finances, social security, important </t>
  </si>
  <si>
    <t xml:space="preserve">sectors of public health and domestic affairs, etc. It supports also the activities of a </t>
  </si>
  <si>
    <t>series of federal scientific and cultural institutions.</t>
  </si>
  <si>
    <t>Organisational framework for the libraries</t>
  </si>
  <si>
    <t xml:space="preserve">The public competences in the sector of libraries are widely spread among the federal </t>
  </si>
  <si>
    <t xml:space="preserve">entities. Except the Royal Library (and the libraries of the federal scientific and cultural </t>
  </si>
  <si>
    <t xml:space="preserve">institutions) which is placed under the responsibility of the Belgian Federal Science </t>
  </si>
  <si>
    <t xml:space="preserve">Policy Office, the other scientific and public libraries lie with the Flemish, French and </t>
  </si>
  <si>
    <t>German-speaking Communities or even with the provincial and local authorities.</t>
  </si>
  <si>
    <t xml:space="preserve">The policies regarding public libraries are defined since 1978 by Community decrees </t>
  </si>
  <si>
    <t xml:space="preserve">and implemented by a special administration for public libraries located within the </t>
  </si>
  <si>
    <t xml:space="preserve">ministries of Culture of the Communities. Higher Councils for public libraries (advisory </t>
  </si>
  <si>
    <t>bodies) have also been installed in the Flemish and the French Communities.</t>
  </si>
  <si>
    <t xml:space="preserve">The university libraries are placed under the authority of the leading bodies of each </t>
  </si>
  <si>
    <t xml:space="preserve">university. There is no central administration responsible at Community level for these </t>
  </si>
  <si>
    <t>libraries.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</si>
</sst>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2" formatCode="0.0"/>
    <numFmt numFmtId="179" formatCode="#,###.###"/>
  </numFmts>
  <fonts count="2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Tahoma"/>
      <family val="2"/>
    </font>
    <font>
      <sz val="7.5"/>
      <color indexed="8"/>
      <name val="Arial"/>
      <family val="2"/>
    </font>
    <font>
      <sz val="10"/>
      <color indexed="41"/>
      <name val="Verdana"/>
      <family val="2"/>
    </font>
    <font>
      <b/>
      <sz val="10"/>
      <color indexed="41"/>
      <name val="Verdana"/>
      <family val="2"/>
    </font>
    <font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Times New Roman"/>
      <family val="1"/>
    </font>
    <font>
      <sz val="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DashDot">
        <color indexed="60"/>
      </left>
      <right/>
      <top/>
      <bottom/>
      <diagonal/>
    </border>
    <border>
      <left/>
      <right style="mediumDashDot">
        <color indexed="60"/>
      </right>
      <top/>
      <bottom/>
      <diagonal/>
    </border>
    <border>
      <left style="mediumDashDot">
        <color indexed="60"/>
      </left>
      <right/>
      <top/>
      <bottom style="mediumDashDot">
        <color indexed="60"/>
      </bottom>
      <diagonal/>
    </border>
    <border>
      <left/>
      <right/>
      <top/>
      <bottom style="mediumDashDot">
        <color indexed="60"/>
      </bottom>
      <diagonal/>
    </border>
    <border>
      <left/>
      <right style="mediumDashDot">
        <color indexed="60"/>
      </right>
      <top/>
      <bottom style="mediumDashDot">
        <color indexed="60"/>
      </bottom>
      <diagonal/>
    </border>
    <border>
      <left style="medium">
        <color indexed="60"/>
      </left>
      <right/>
      <top style="medium">
        <color indexed="60"/>
      </top>
      <bottom style="medium">
        <color indexed="60"/>
      </bottom>
      <diagonal/>
    </border>
    <border>
      <left/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indexed="60"/>
      </left>
      <right style="thin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1" fontId="0" fillId="0" borderId="0" xfId="0" applyNumberFormat="1"/>
    <xf numFmtId="172" fontId="0" fillId="0" borderId="0" xfId="0" applyNumberFormat="1"/>
    <xf numFmtId="172" fontId="2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7" fillId="0" borderId="0" xfId="0" applyFont="1"/>
    <xf numFmtId="172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NumberFormat="1"/>
    <xf numFmtId="0" fontId="0" fillId="0" borderId="3" xfId="0" applyBorder="1"/>
    <xf numFmtId="0" fontId="0" fillId="0" borderId="4" xfId="0" applyBorder="1"/>
    <xf numFmtId="0" fontId="7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0" xfId="0" applyFont="1" applyBorder="1"/>
    <xf numFmtId="0" fontId="7" fillId="0" borderId="0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0" fillId="0" borderId="10" xfId="0" applyBorder="1"/>
    <xf numFmtId="0" fontId="0" fillId="0" borderId="0" xfId="0" applyFill="1" applyBorder="1"/>
    <xf numFmtId="0" fontId="7" fillId="0" borderId="7" xfId="0" applyFont="1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172" fontId="0" fillId="0" borderId="0" xfId="0" applyNumberFormat="1" applyBorder="1" applyAlignment="1">
      <alignment vertical="top"/>
    </xf>
    <xf numFmtId="0" fontId="7" fillId="0" borderId="9" xfId="0" applyFont="1" applyBorder="1"/>
    <xf numFmtId="38" fontId="0" fillId="0" borderId="0" xfId="1" applyNumberFormat="1" applyFont="1"/>
    <xf numFmtId="0" fontId="0" fillId="0" borderId="0" xfId="0" applyBorder="1"/>
    <xf numFmtId="0" fontId="0" fillId="0" borderId="0" xfId="0" applyNumberFormat="1" applyBorder="1"/>
    <xf numFmtId="0" fontId="0" fillId="0" borderId="1" xfId="0" pivotButton="1" applyBorder="1"/>
    <xf numFmtId="1" fontId="0" fillId="0" borderId="0" xfId="0" applyNumberFormat="1" applyProtection="1"/>
    <xf numFmtId="1" fontId="0" fillId="0" borderId="0" xfId="0" applyNumberFormat="1" applyAlignment="1">
      <alignment wrapText="1"/>
    </xf>
    <xf numFmtId="1" fontId="2" fillId="0" borderId="0" xfId="0" applyNumberFormat="1" applyFont="1"/>
    <xf numFmtId="1" fontId="7" fillId="0" borderId="0" xfId="0" applyNumberFormat="1" applyFont="1"/>
    <xf numFmtId="0" fontId="0" fillId="0" borderId="2" xfId="0" applyNumberFormat="1" applyBorder="1"/>
    <xf numFmtId="0" fontId="0" fillId="0" borderId="13" xfId="0" applyBorder="1"/>
    <xf numFmtId="0" fontId="0" fillId="0" borderId="14" xfId="0" applyNumberFormat="1" applyBorder="1"/>
    <xf numFmtId="0" fontId="0" fillId="0" borderId="15" xfId="0" applyBorder="1"/>
    <xf numFmtId="0" fontId="0" fillId="0" borderId="16" xfId="0" applyNumberFormat="1" applyBorder="1"/>
    <xf numFmtId="0" fontId="10" fillId="2" borderId="0" xfId="0" applyFont="1" applyFill="1" applyAlignment="1">
      <alignment horizontal="left" wrapText="1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8" fillId="3" borderId="6" xfId="0" applyFont="1" applyFill="1" applyBorder="1"/>
    <xf numFmtId="0" fontId="8" fillId="3" borderId="0" xfId="0" applyFont="1" applyFill="1" applyBorder="1"/>
    <xf numFmtId="0" fontId="8" fillId="3" borderId="7" xfId="0" applyFont="1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11" fillId="4" borderId="3" xfId="0" applyFont="1" applyFill="1" applyBorder="1"/>
    <xf numFmtId="0" fontId="11" fillId="4" borderId="4" xfId="0" applyFont="1" applyFill="1" applyBorder="1"/>
    <xf numFmtId="0" fontId="12" fillId="4" borderId="4" xfId="0" applyFont="1" applyFill="1" applyBorder="1"/>
    <xf numFmtId="0" fontId="11" fillId="4" borderId="5" xfId="0" applyFont="1" applyFill="1" applyBorder="1"/>
    <xf numFmtId="0" fontId="11" fillId="4" borderId="6" xfId="0" applyFont="1" applyFill="1" applyBorder="1"/>
    <xf numFmtId="0" fontId="11" fillId="4" borderId="0" xfId="0" applyFont="1" applyFill="1" applyBorder="1"/>
    <xf numFmtId="0" fontId="11" fillId="4" borderId="7" xfId="0" applyFont="1" applyFill="1" applyBorder="1"/>
    <xf numFmtId="0" fontId="11" fillId="4" borderId="8" xfId="0" applyFont="1" applyFill="1" applyBorder="1"/>
    <xf numFmtId="0" fontId="11" fillId="4" borderId="9" xfId="0" applyFont="1" applyFill="1" applyBorder="1"/>
    <xf numFmtId="17" fontId="11" fillId="4" borderId="9" xfId="0" applyNumberFormat="1" applyFont="1" applyFill="1" applyBorder="1"/>
    <xf numFmtId="0" fontId="11" fillId="4" borderId="10" xfId="0" applyFont="1" applyFill="1" applyBorder="1"/>
    <xf numFmtId="0" fontId="0" fillId="0" borderId="11" xfId="0" quotePrefix="1" applyBorder="1"/>
    <xf numFmtId="17" fontId="11" fillId="4" borderId="0" xfId="0" quotePrefix="1" applyNumberFormat="1" applyFont="1" applyFill="1" applyBorder="1"/>
    <xf numFmtId="0" fontId="12" fillId="4" borderId="0" xfId="0" applyFont="1" applyFill="1" applyBorder="1" applyAlignment="1">
      <alignment horizontal="centerContinuous"/>
    </xf>
    <xf numFmtId="0" fontId="11" fillId="4" borderId="0" xfId="0" applyFont="1" applyFill="1" applyBorder="1" applyAlignment="1">
      <alignment horizontal="centerContinuous"/>
    </xf>
    <xf numFmtId="3" fontId="8" fillId="0" borderId="0" xfId="0" applyNumberFormat="1" applyFont="1"/>
    <xf numFmtId="172" fontId="0" fillId="5" borderId="17" xfId="0" applyNumberFormat="1" applyFill="1" applyBorder="1"/>
    <xf numFmtId="172" fontId="0" fillId="5" borderId="0" xfId="0" applyNumberFormat="1" applyFill="1" applyBorder="1"/>
    <xf numFmtId="1" fontId="0" fillId="5" borderId="18" xfId="0" applyNumberFormat="1" applyFill="1" applyBorder="1"/>
    <xf numFmtId="172" fontId="0" fillId="5" borderId="19" xfId="0" applyNumberFormat="1" applyFill="1" applyBorder="1"/>
    <xf numFmtId="172" fontId="0" fillId="5" borderId="20" xfId="0" applyNumberFormat="1" applyFill="1" applyBorder="1"/>
    <xf numFmtId="1" fontId="0" fillId="5" borderId="21" xfId="0" applyNumberFormat="1" applyFill="1" applyBorder="1"/>
    <xf numFmtId="172" fontId="0" fillId="6" borderId="22" xfId="0" applyNumberFormat="1" applyFill="1" applyBorder="1" applyAlignment="1">
      <alignment horizontal="center" vertical="top" wrapText="1"/>
    </xf>
    <xf numFmtId="0" fontId="0" fillId="6" borderId="23" xfId="0" applyFill="1" applyBorder="1" applyAlignment="1">
      <alignment horizontal="center" vertical="top" wrapText="1"/>
    </xf>
    <xf numFmtId="172" fontId="0" fillId="6" borderId="24" xfId="0" applyNumberForma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179" fontId="0" fillId="0" borderId="0" xfId="0" applyNumberFormat="1"/>
    <xf numFmtId="179" fontId="2" fillId="0" borderId="0" xfId="0" applyNumberFormat="1" applyFont="1"/>
    <xf numFmtId="172" fontId="0" fillId="0" borderId="0" xfId="0" quotePrefix="1" applyNumberFormat="1"/>
    <xf numFmtId="0" fontId="2" fillId="0" borderId="0" xfId="0" applyFont="1" applyAlignment="1">
      <alignment horizontal="center" wrapText="1"/>
    </xf>
    <xf numFmtId="172" fontId="0" fillId="0" borderId="0" xfId="0" quotePrefix="1" applyNumberFormat="1" applyAlignment="1">
      <alignment horizont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11" xfId="0" applyFont="1" applyBorder="1"/>
    <xf numFmtId="0" fontId="0" fillId="0" borderId="9" xfId="0" applyBorder="1"/>
    <xf numFmtId="0" fontId="2" fillId="7" borderId="0" xfId="0" applyFont="1" applyFill="1" applyAlignment="1">
      <alignment horizontal="center" wrapText="1"/>
    </xf>
    <xf numFmtId="0" fontId="15" fillId="0" borderId="0" xfId="0" applyFont="1"/>
    <xf numFmtId="0" fontId="1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5" xfId="0" applyFont="1" applyBorder="1" applyAlignment="1">
      <alignment horizontal="left"/>
    </xf>
    <xf numFmtId="0" fontId="2" fillId="0" borderId="25" xfId="0" applyFont="1" applyBorder="1" applyAlignment="1">
      <alignment horizontal="left" wrapText="1"/>
    </xf>
    <xf numFmtId="0" fontId="2" fillId="0" borderId="25" xfId="0" applyFont="1" applyBorder="1"/>
    <xf numFmtId="0" fontId="0" fillId="0" borderId="11" xfId="0" applyFill="1" applyBorder="1"/>
    <xf numFmtId="0" fontId="2" fillId="0" borderId="11" xfId="0" applyFont="1" applyFill="1" applyBorder="1"/>
    <xf numFmtId="0" fontId="16" fillId="0" borderId="11" xfId="2" applyFont="1" applyBorder="1" applyAlignment="1" applyProtection="1"/>
    <xf numFmtId="0" fontId="0" fillId="6" borderId="0" xfId="0" applyFill="1"/>
    <xf numFmtId="3" fontId="7" fillId="0" borderId="0" xfId="0" applyNumberFormat="1" applyFont="1"/>
    <xf numFmtId="0" fontId="0" fillId="0" borderId="0" xfId="0" applyAlignment="1">
      <alignment wrapText="1"/>
    </xf>
    <xf numFmtId="0" fontId="18" fillId="6" borderId="0" xfId="0" applyFont="1" applyFill="1"/>
    <xf numFmtId="0" fontId="19" fillId="6" borderId="0" xfId="0" applyFont="1" applyFill="1"/>
    <xf numFmtId="0" fontId="21" fillId="6" borderId="0" xfId="0" applyFont="1" applyFill="1"/>
    <xf numFmtId="0" fontId="19" fillId="6" borderId="0" xfId="0" applyFont="1" applyFill="1" applyAlignment="1"/>
    <xf numFmtId="0" fontId="0" fillId="6" borderId="0" xfId="0" applyFill="1" applyAlignment="1"/>
    <xf numFmtId="0" fontId="21" fillId="6" borderId="0" xfId="0" applyFont="1" applyFill="1" applyAlignment="1"/>
    <xf numFmtId="0" fontId="21" fillId="6" borderId="0" xfId="0" applyFont="1" applyFill="1" applyAlignment="1">
      <alignment horizontal="justify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3793103448275"/>
          <c:y val="3.3936651583710405E-2"/>
          <c:w val="0.78206896551724137"/>
          <c:h val="0.82692307692307687"/>
        </c:manualLayout>
      </c:layout>
      <c:scatterChart>
        <c:scatterStyle val="lineMarker"/>
        <c:varyColors val="0"/>
        <c:ser>
          <c:idx val="0"/>
          <c:order val="0"/>
          <c:tx>
            <c:strRef>
              <c:f>Selection!$G$1</c:f>
              <c:strCache>
                <c:ptCount val="1"/>
                <c:pt idx="0">
                  <c:v>EU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Selection!$E$2:$E$501</c:f>
              <c:numCache>
                <c:formatCode>0.0</c:formatCode>
                <c:ptCount val="500"/>
                <c:pt idx="0">
                  <c:v>23</c:v>
                </c:pt>
                <c:pt idx="1">
                  <c:v>1871</c:v>
                </c:pt>
                <c:pt idx="2">
                  <c:v>5078</c:v>
                </c:pt>
                <c:pt idx="3">
                  <c:v>5317</c:v>
                </c:pt>
                <c:pt idx="4">
                  <c:v>5</c:v>
                </c:pt>
                <c:pt idx="5">
                  <c:v>13174</c:v>
                </c:pt>
                <c:pt idx="6">
                  <c:v>1001</c:v>
                </c:pt>
                <c:pt idx="7">
                  <c:v>4891</c:v>
                </c:pt>
                <c:pt idx="8">
                  <c:v>3702</c:v>
                </c:pt>
                <c:pt idx="9">
                  <c:v>2701</c:v>
                </c:pt>
                <c:pt idx="10">
                  <c:v>4155</c:v>
                </c:pt>
                <c:pt idx="11">
                  <c:v>25800</c:v>
                </c:pt>
                <c:pt idx="12">
                  <c:v>21529</c:v>
                </c:pt>
                <c:pt idx="13">
                  <c:v>8408</c:v>
                </c:pt>
                <c:pt idx="14">
                  <c:v>1199</c:v>
                </c:pt>
                <c:pt idx="15">
                  <c:v>23840</c:v>
                </c:pt>
                <c:pt idx="16">
                  <c:v>1400</c:v>
                </c:pt>
                <c:pt idx="17">
                  <c:v>1834</c:v>
                </c:pt>
                <c:pt idx="18">
                  <c:v>6608</c:v>
                </c:pt>
                <c:pt idx="19">
                  <c:v>300</c:v>
                </c:pt>
                <c:pt idx="20">
                  <c:v>1323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Selection!$G$2:$G$501</c:f>
              <c:numCache>
                <c:formatCode>0.0</c:formatCode>
                <c:ptCount val="500"/>
                <c:pt idx="0">
                  <c:v>48605.521739130432</c:v>
                </c:pt>
                <c:pt idx="1">
                  <c:v>#N/A</c:v>
                </c:pt>
                <c:pt idx="2">
                  <c:v>39875.619535250102</c:v>
                </c:pt>
                <c:pt idx="3">
                  <c:v>#N/A</c:v>
                </c:pt>
                <c:pt idx="4">
                  <c:v>#N/A</c:v>
                </c:pt>
                <c:pt idx="5">
                  <c:v>35852.828981326857</c:v>
                </c:pt>
                <c:pt idx="6">
                  <c:v>#N/A</c:v>
                </c:pt>
                <c:pt idx="7">
                  <c:v>34658.724187282765</c:v>
                </c:pt>
                <c:pt idx="8">
                  <c:v>34616.680172879525</c:v>
                </c:pt>
                <c:pt idx="9">
                  <c:v>#N/A</c:v>
                </c:pt>
                <c:pt idx="10">
                  <c:v>32199.390373044524</c:v>
                </c:pt>
                <c:pt idx="11">
                  <c:v>32039.536162790697</c:v>
                </c:pt>
                <c:pt idx="12">
                  <c:v>31861.623716847043</c:v>
                </c:pt>
                <c:pt idx="13">
                  <c:v>31432.683158896289</c:v>
                </c:pt>
                <c:pt idx="14">
                  <c:v>27859.859049207673</c:v>
                </c:pt>
                <c:pt idx="15">
                  <c:v>25803.269505033557</c:v>
                </c:pt>
                <c:pt idx="16">
                  <c:v>24584.585714285713</c:v>
                </c:pt>
                <c:pt idx="17">
                  <c:v>22994.490185387131</c:v>
                </c:pt>
                <c:pt idx="18">
                  <c:v>20001.849424939468</c:v>
                </c:pt>
                <c:pt idx="19">
                  <c:v>#N/A</c:v>
                </c:pt>
                <c:pt idx="20">
                  <c:v>9902.0022675736964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2-4768-B599-F3EBDEDE0AFC}"/>
            </c:ext>
          </c:extLst>
        </c:ser>
        <c:ser>
          <c:idx val="1"/>
          <c:order val="1"/>
          <c:tx>
            <c:strRef>
              <c:f>Selection!$H$1</c:f>
              <c:strCache>
                <c:ptCount val="1"/>
                <c:pt idx="0">
                  <c:v>EFTA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Selection!$E$2:$E$501</c:f>
              <c:numCache>
                <c:formatCode>0.0</c:formatCode>
                <c:ptCount val="500"/>
                <c:pt idx="0">
                  <c:v>23</c:v>
                </c:pt>
                <c:pt idx="1">
                  <c:v>1871</c:v>
                </c:pt>
                <c:pt idx="2">
                  <c:v>5078</c:v>
                </c:pt>
                <c:pt idx="3">
                  <c:v>5317</c:v>
                </c:pt>
                <c:pt idx="4">
                  <c:v>5</c:v>
                </c:pt>
                <c:pt idx="5">
                  <c:v>13174</c:v>
                </c:pt>
                <c:pt idx="6">
                  <c:v>1001</c:v>
                </c:pt>
                <c:pt idx="7">
                  <c:v>4891</c:v>
                </c:pt>
                <c:pt idx="8">
                  <c:v>3702</c:v>
                </c:pt>
                <c:pt idx="9">
                  <c:v>2701</c:v>
                </c:pt>
                <c:pt idx="10">
                  <c:v>4155</c:v>
                </c:pt>
                <c:pt idx="11">
                  <c:v>25800</c:v>
                </c:pt>
                <c:pt idx="12">
                  <c:v>21529</c:v>
                </c:pt>
                <c:pt idx="13">
                  <c:v>8408</c:v>
                </c:pt>
                <c:pt idx="14">
                  <c:v>1199</c:v>
                </c:pt>
                <c:pt idx="15">
                  <c:v>23840</c:v>
                </c:pt>
                <c:pt idx="16">
                  <c:v>1400</c:v>
                </c:pt>
                <c:pt idx="17">
                  <c:v>1834</c:v>
                </c:pt>
                <c:pt idx="18">
                  <c:v>6608</c:v>
                </c:pt>
                <c:pt idx="19">
                  <c:v>300</c:v>
                </c:pt>
                <c:pt idx="20">
                  <c:v>1323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Selection!$H$2:$H$501</c:f>
              <c:numCache>
                <c:formatCode>0.0</c:formatCode>
                <c:ptCount val="500"/>
                <c:pt idx="0">
                  <c:v>#N/A</c:v>
                </c:pt>
                <c:pt idx="1">
                  <c:v>40992.870122928914</c:v>
                </c:pt>
                <c:pt idx="2">
                  <c:v>#N/A</c:v>
                </c:pt>
                <c:pt idx="3">
                  <c:v>36361.209328568744</c:v>
                </c:pt>
                <c:pt idx="4">
                  <c:v>36155.800000000003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16922.39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2-4768-B599-F3EBDEDE0AFC}"/>
            </c:ext>
          </c:extLst>
        </c:ser>
        <c:ser>
          <c:idx val="2"/>
          <c:order val="2"/>
          <c:tx>
            <c:strRef>
              <c:f>Selection!$I$1</c:f>
              <c:strCache>
                <c:ptCount val="1"/>
                <c:pt idx="0">
                  <c:v>Belgique-Communauté française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Selection!$E$2:$E$501</c:f>
              <c:numCache>
                <c:formatCode>0.0</c:formatCode>
                <c:ptCount val="500"/>
                <c:pt idx="0">
                  <c:v>23</c:v>
                </c:pt>
                <c:pt idx="1">
                  <c:v>1871</c:v>
                </c:pt>
                <c:pt idx="2">
                  <c:v>5078</c:v>
                </c:pt>
                <c:pt idx="3">
                  <c:v>5317</c:v>
                </c:pt>
                <c:pt idx="4">
                  <c:v>5</c:v>
                </c:pt>
                <c:pt idx="5">
                  <c:v>13174</c:v>
                </c:pt>
                <c:pt idx="6">
                  <c:v>1001</c:v>
                </c:pt>
                <c:pt idx="7">
                  <c:v>4891</c:v>
                </c:pt>
                <c:pt idx="8">
                  <c:v>3702</c:v>
                </c:pt>
                <c:pt idx="9">
                  <c:v>2701</c:v>
                </c:pt>
                <c:pt idx="10">
                  <c:v>4155</c:v>
                </c:pt>
                <c:pt idx="11">
                  <c:v>25800</c:v>
                </c:pt>
                <c:pt idx="12">
                  <c:v>21529</c:v>
                </c:pt>
                <c:pt idx="13">
                  <c:v>8408</c:v>
                </c:pt>
                <c:pt idx="14">
                  <c:v>1199</c:v>
                </c:pt>
                <c:pt idx="15">
                  <c:v>23840</c:v>
                </c:pt>
                <c:pt idx="16">
                  <c:v>1400</c:v>
                </c:pt>
                <c:pt idx="17">
                  <c:v>1834</c:v>
                </c:pt>
                <c:pt idx="18">
                  <c:v>6608</c:v>
                </c:pt>
                <c:pt idx="19">
                  <c:v>300</c:v>
                </c:pt>
                <c:pt idx="20">
                  <c:v>1323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Selection!$I$2:$I$501</c:f>
              <c:numCache>
                <c:formatCode>0.0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35754.381618381616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62-4768-B599-F3EBDEDE0AFC}"/>
            </c:ext>
          </c:extLst>
        </c:ser>
        <c:ser>
          <c:idx val="3"/>
          <c:order val="3"/>
          <c:tx>
            <c:strRef>
              <c:f>Selection!$J$1</c:f>
              <c:strCache>
                <c:ptCount val="1"/>
                <c:pt idx="0">
                  <c:v>België Vlaamse Gemeenschap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Selection!$E$2:$E$501</c:f>
              <c:numCache>
                <c:formatCode>0.0</c:formatCode>
                <c:ptCount val="500"/>
                <c:pt idx="0">
                  <c:v>23</c:v>
                </c:pt>
                <c:pt idx="1">
                  <c:v>1871</c:v>
                </c:pt>
                <c:pt idx="2">
                  <c:v>5078</c:v>
                </c:pt>
                <c:pt idx="3">
                  <c:v>5317</c:v>
                </c:pt>
                <c:pt idx="4">
                  <c:v>5</c:v>
                </c:pt>
                <c:pt idx="5">
                  <c:v>13174</c:v>
                </c:pt>
                <c:pt idx="6">
                  <c:v>1001</c:v>
                </c:pt>
                <c:pt idx="7">
                  <c:v>4891</c:v>
                </c:pt>
                <c:pt idx="8">
                  <c:v>3702</c:v>
                </c:pt>
                <c:pt idx="9">
                  <c:v>2701</c:v>
                </c:pt>
                <c:pt idx="10">
                  <c:v>4155</c:v>
                </c:pt>
                <c:pt idx="11">
                  <c:v>25800</c:v>
                </c:pt>
                <c:pt idx="12">
                  <c:v>21529</c:v>
                </c:pt>
                <c:pt idx="13">
                  <c:v>8408</c:v>
                </c:pt>
                <c:pt idx="14">
                  <c:v>1199</c:v>
                </c:pt>
                <c:pt idx="15">
                  <c:v>23840</c:v>
                </c:pt>
                <c:pt idx="16">
                  <c:v>1400</c:v>
                </c:pt>
                <c:pt idx="17">
                  <c:v>1834</c:v>
                </c:pt>
                <c:pt idx="18">
                  <c:v>6608</c:v>
                </c:pt>
                <c:pt idx="19">
                  <c:v>300</c:v>
                </c:pt>
                <c:pt idx="20">
                  <c:v>1323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Selection!$J$2:$J$501</c:f>
              <c:numCache>
                <c:formatCode>0.0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34195.044057756386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62-4768-B599-F3EBDEDE0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42479"/>
        <c:axId val="1"/>
      </c:scatterChart>
      <c:valAx>
        <c:axId val="765642479"/>
        <c:scaling>
          <c:orientation val="minMax"/>
        </c:scaling>
        <c:delete val="0"/>
        <c:axPos val="b"/>
        <c:title>
          <c:tx>
            <c:strRef>
              <c:f>Selection!$E$1</c:f>
              <c:strCache>
                <c:ptCount val="1"/>
                <c:pt idx="0">
                  <c:v>Library Staff FTE - Total Staff</c:v>
                </c:pt>
              </c:strCache>
            </c:strRef>
          </c:tx>
          <c:layout>
            <c:manualLayout>
              <c:xMode val="edge"/>
              <c:yMode val="edge"/>
              <c:x val="0.39655172413793105"/>
              <c:y val="0.91176470588235292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strRef>
              <c:f>Selection!$D$1</c:f>
              <c:strCache>
                <c:ptCount val="1"/>
                <c:pt idx="0">
                  <c:v>Recurrent Expenditure (Euros) - Staff / Library Staff FTE - Total Staff</c:v>
                </c:pt>
              </c:strCache>
            </c:strRef>
          </c:tx>
          <c:layout>
            <c:manualLayout>
              <c:xMode val="edge"/>
              <c:yMode val="edge"/>
              <c:x val="2.8965517241379312E-2"/>
              <c:y val="7.4660633484162894E-2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42479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724137931034482"/>
          <c:y val="0.46153846153846156"/>
          <c:w val="0.21793103448275863"/>
          <c:h val="0.132352941176470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068965517241382E-2"/>
          <c:y val="3.5067873303167421E-2"/>
          <c:w val="0.91793103448275859"/>
          <c:h val="0.6357466063348415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Selection!$G$1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Selection!$F$2:$F$22</c:f>
              <c:strCache>
                <c:ptCount val="21"/>
                <c:pt idx="0">
                  <c:v>Luxembourg</c:v>
                </c:pt>
                <c:pt idx="1">
                  <c:v>Norway</c:v>
                </c:pt>
                <c:pt idx="2">
                  <c:v>Denmark</c:v>
                </c:pt>
                <c:pt idx="3">
                  <c:v>Switzerland</c:v>
                </c:pt>
                <c:pt idx="4">
                  <c:v>Liechtenstein</c:v>
                </c:pt>
                <c:pt idx="5">
                  <c:v>Germany</c:v>
                </c:pt>
                <c:pt idx="6">
                  <c:v>Belgique-Communauté française</c:v>
                </c:pt>
                <c:pt idx="7">
                  <c:v>Sweden</c:v>
                </c:pt>
                <c:pt idx="8">
                  <c:v>Belgium</c:v>
                </c:pt>
                <c:pt idx="9">
                  <c:v>België Vlaamse Gemeenschap</c:v>
                </c:pt>
                <c:pt idx="10">
                  <c:v>Finland</c:v>
                </c:pt>
                <c:pt idx="11">
                  <c:v>UK</c:v>
                </c:pt>
                <c:pt idx="12">
                  <c:v>France</c:v>
                </c:pt>
                <c:pt idx="13">
                  <c:v>Netherlands</c:v>
                </c:pt>
                <c:pt idx="14">
                  <c:v>Austria</c:v>
                </c:pt>
                <c:pt idx="15">
                  <c:v>Italy</c:v>
                </c:pt>
                <c:pt idx="16">
                  <c:v>Ireland</c:v>
                </c:pt>
                <c:pt idx="17">
                  <c:v>Greece</c:v>
                </c:pt>
                <c:pt idx="18">
                  <c:v>Spain</c:v>
                </c:pt>
                <c:pt idx="19">
                  <c:v>Iceland</c:v>
                </c:pt>
                <c:pt idx="20">
                  <c:v>Portugal</c:v>
                </c:pt>
              </c:strCache>
            </c:strRef>
          </c:cat>
          <c:val>
            <c:numRef>
              <c:f>Selection!$G$2:$G$22</c:f>
              <c:numCache>
                <c:formatCode>0.0</c:formatCode>
                <c:ptCount val="21"/>
                <c:pt idx="0">
                  <c:v>48605.521739130432</c:v>
                </c:pt>
                <c:pt idx="1">
                  <c:v>#N/A</c:v>
                </c:pt>
                <c:pt idx="2">
                  <c:v>39875.619535250102</c:v>
                </c:pt>
                <c:pt idx="3">
                  <c:v>#N/A</c:v>
                </c:pt>
                <c:pt idx="4">
                  <c:v>#N/A</c:v>
                </c:pt>
                <c:pt idx="5">
                  <c:v>35852.828981326857</c:v>
                </c:pt>
                <c:pt idx="6">
                  <c:v>#N/A</c:v>
                </c:pt>
                <c:pt idx="7">
                  <c:v>34658.724187282765</c:v>
                </c:pt>
                <c:pt idx="8">
                  <c:v>34616.680172879525</c:v>
                </c:pt>
                <c:pt idx="9">
                  <c:v>#N/A</c:v>
                </c:pt>
                <c:pt idx="10">
                  <c:v>32199.390373044524</c:v>
                </c:pt>
                <c:pt idx="11">
                  <c:v>32039.536162790697</c:v>
                </c:pt>
                <c:pt idx="12">
                  <c:v>31861.623716847043</c:v>
                </c:pt>
                <c:pt idx="13">
                  <c:v>31432.683158896289</c:v>
                </c:pt>
                <c:pt idx="14">
                  <c:v>27859.859049207673</c:v>
                </c:pt>
                <c:pt idx="15">
                  <c:v>25803.269505033557</c:v>
                </c:pt>
                <c:pt idx="16">
                  <c:v>24584.585714285713</c:v>
                </c:pt>
                <c:pt idx="17">
                  <c:v>22994.490185387131</c:v>
                </c:pt>
                <c:pt idx="18">
                  <c:v>20001.849424939468</c:v>
                </c:pt>
                <c:pt idx="19">
                  <c:v>#N/A</c:v>
                </c:pt>
                <c:pt idx="20">
                  <c:v>9902.0022675736964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0-4AB7-9B7A-4658C1639553}"/>
            </c:ext>
          </c:extLst>
        </c:ser>
        <c:ser>
          <c:idx val="0"/>
          <c:order val="1"/>
          <c:tx>
            <c:strRef>
              <c:f>Selection!$H$1</c:f>
              <c:strCache>
                <c:ptCount val="1"/>
                <c:pt idx="0">
                  <c:v>EFTA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Selection!$F$2:$F$22</c:f>
              <c:strCache>
                <c:ptCount val="21"/>
                <c:pt idx="0">
                  <c:v>Luxembourg</c:v>
                </c:pt>
                <c:pt idx="1">
                  <c:v>Norway</c:v>
                </c:pt>
                <c:pt idx="2">
                  <c:v>Denmark</c:v>
                </c:pt>
                <c:pt idx="3">
                  <c:v>Switzerland</c:v>
                </c:pt>
                <c:pt idx="4">
                  <c:v>Liechtenstein</c:v>
                </c:pt>
                <c:pt idx="5">
                  <c:v>Germany</c:v>
                </c:pt>
                <c:pt idx="6">
                  <c:v>Belgique-Communauté française</c:v>
                </c:pt>
                <c:pt idx="7">
                  <c:v>Sweden</c:v>
                </c:pt>
                <c:pt idx="8">
                  <c:v>Belgium</c:v>
                </c:pt>
                <c:pt idx="9">
                  <c:v>België Vlaamse Gemeenschap</c:v>
                </c:pt>
                <c:pt idx="10">
                  <c:v>Finland</c:v>
                </c:pt>
                <c:pt idx="11">
                  <c:v>UK</c:v>
                </c:pt>
                <c:pt idx="12">
                  <c:v>France</c:v>
                </c:pt>
                <c:pt idx="13">
                  <c:v>Netherlands</c:v>
                </c:pt>
                <c:pt idx="14">
                  <c:v>Austria</c:v>
                </c:pt>
                <c:pt idx="15">
                  <c:v>Italy</c:v>
                </c:pt>
                <c:pt idx="16">
                  <c:v>Ireland</c:v>
                </c:pt>
                <c:pt idx="17">
                  <c:v>Greece</c:v>
                </c:pt>
                <c:pt idx="18">
                  <c:v>Spain</c:v>
                </c:pt>
                <c:pt idx="19">
                  <c:v>Iceland</c:v>
                </c:pt>
                <c:pt idx="20">
                  <c:v>Portugal</c:v>
                </c:pt>
              </c:strCache>
            </c:strRef>
          </c:cat>
          <c:val>
            <c:numRef>
              <c:f>Selection!$H$2:$H$22</c:f>
              <c:numCache>
                <c:formatCode>0.0</c:formatCode>
                <c:ptCount val="21"/>
                <c:pt idx="0">
                  <c:v>#N/A</c:v>
                </c:pt>
                <c:pt idx="1">
                  <c:v>40992.870122928914</c:v>
                </c:pt>
                <c:pt idx="2">
                  <c:v>#N/A</c:v>
                </c:pt>
                <c:pt idx="3">
                  <c:v>36361.209328568744</c:v>
                </c:pt>
                <c:pt idx="4">
                  <c:v>36155.800000000003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16922.39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0-4AB7-9B7A-4658C1639553}"/>
            </c:ext>
          </c:extLst>
        </c:ser>
        <c:ser>
          <c:idx val="1"/>
          <c:order val="2"/>
          <c:tx>
            <c:strRef>
              <c:f>Selection!$I$1</c:f>
              <c:strCache>
                <c:ptCount val="1"/>
                <c:pt idx="0">
                  <c:v>Belgique-Communauté française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Selection!$F$2:$F$22</c:f>
              <c:strCache>
                <c:ptCount val="21"/>
                <c:pt idx="0">
                  <c:v>Luxembourg</c:v>
                </c:pt>
                <c:pt idx="1">
                  <c:v>Norway</c:v>
                </c:pt>
                <c:pt idx="2">
                  <c:v>Denmark</c:v>
                </c:pt>
                <c:pt idx="3">
                  <c:v>Switzerland</c:v>
                </c:pt>
                <c:pt idx="4">
                  <c:v>Liechtenstein</c:v>
                </c:pt>
                <c:pt idx="5">
                  <c:v>Germany</c:v>
                </c:pt>
                <c:pt idx="6">
                  <c:v>Belgique-Communauté française</c:v>
                </c:pt>
                <c:pt idx="7">
                  <c:v>Sweden</c:v>
                </c:pt>
                <c:pt idx="8">
                  <c:v>Belgium</c:v>
                </c:pt>
                <c:pt idx="9">
                  <c:v>België Vlaamse Gemeenschap</c:v>
                </c:pt>
                <c:pt idx="10">
                  <c:v>Finland</c:v>
                </c:pt>
                <c:pt idx="11">
                  <c:v>UK</c:v>
                </c:pt>
                <c:pt idx="12">
                  <c:v>France</c:v>
                </c:pt>
                <c:pt idx="13">
                  <c:v>Netherlands</c:v>
                </c:pt>
                <c:pt idx="14">
                  <c:v>Austria</c:v>
                </c:pt>
                <c:pt idx="15">
                  <c:v>Italy</c:v>
                </c:pt>
                <c:pt idx="16">
                  <c:v>Ireland</c:v>
                </c:pt>
                <c:pt idx="17">
                  <c:v>Greece</c:v>
                </c:pt>
                <c:pt idx="18">
                  <c:v>Spain</c:v>
                </c:pt>
                <c:pt idx="19">
                  <c:v>Iceland</c:v>
                </c:pt>
                <c:pt idx="20">
                  <c:v>Portugal</c:v>
                </c:pt>
              </c:strCache>
            </c:strRef>
          </c:cat>
          <c:val>
            <c:numRef>
              <c:f>Selection!$I$2:$I$22</c:f>
              <c:numCache>
                <c:formatCode>0.0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35754.381618381616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0-4AB7-9B7A-4658C1639553}"/>
            </c:ext>
          </c:extLst>
        </c:ser>
        <c:ser>
          <c:idx val="3"/>
          <c:order val="3"/>
          <c:tx>
            <c:strRef>
              <c:f>Selection!$J$1</c:f>
              <c:strCache>
                <c:ptCount val="1"/>
                <c:pt idx="0">
                  <c:v>België Vlaamse Gemeenschap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Selection!$F$2:$F$22</c:f>
              <c:strCache>
                <c:ptCount val="21"/>
                <c:pt idx="0">
                  <c:v>Luxembourg</c:v>
                </c:pt>
                <c:pt idx="1">
                  <c:v>Norway</c:v>
                </c:pt>
                <c:pt idx="2">
                  <c:v>Denmark</c:v>
                </c:pt>
                <c:pt idx="3">
                  <c:v>Switzerland</c:v>
                </c:pt>
                <c:pt idx="4">
                  <c:v>Liechtenstein</c:v>
                </c:pt>
                <c:pt idx="5">
                  <c:v>Germany</c:v>
                </c:pt>
                <c:pt idx="6">
                  <c:v>Belgique-Communauté française</c:v>
                </c:pt>
                <c:pt idx="7">
                  <c:v>Sweden</c:v>
                </c:pt>
                <c:pt idx="8">
                  <c:v>Belgium</c:v>
                </c:pt>
                <c:pt idx="9">
                  <c:v>België Vlaamse Gemeenschap</c:v>
                </c:pt>
                <c:pt idx="10">
                  <c:v>Finland</c:v>
                </c:pt>
                <c:pt idx="11">
                  <c:v>UK</c:v>
                </c:pt>
                <c:pt idx="12">
                  <c:v>France</c:v>
                </c:pt>
                <c:pt idx="13">
                  <c:v>Netherlands</c:v>
                </c:pt>
                <c:pt idx="14">
                  <c:v>Austria</c:v>
                </c:pt>
                <c:pt idx="15">
                  <c:v>Italy</c:v>
                </c:pt>
                <c:pt idx="16">
                  <c:v>Ireland</c:v>
                </c:pt>
                <c:pt idx="17">
                  <c:v>Greece</c:v>
                </c:pt>
                <c:pt idx="18">
                  <c:v>Spain</c:v>
                </c:pt>
                <c:pt idx="19">
                  <c:v>Iceland</c:v>
                </c:pt>
                <c:pt idx="20">
                  <c:v>Portugal</c:v>
                </c:pt>
              </c:strCache>
            </c:strRef>
          </c:cat>
          <c:val>
            <c:numRef>
              <c:f>Selection!$J$2:$J$22</c:f>
              <c:numCache>
                <c:formatCode>0.0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34195.044057756386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0-4AB7-9B7A-4658C1639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90671151"/>
        <c:axId val="1"/>
      </c:barChart>
      <c:catAx>
        <c:axId val="790671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Rank order</a:t>
                </a:r>
              </a:p>
            </c:rich>
          </c:tx>
          <c:layout>
            <c:manualLayout>
              <c:xMode val="edge"/>
              <c:yMode val="edge"/>
              <c:x val="0.50275862068965516"/>
              <c:y val="0.940045248868778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strRef>
              <c:f>Selection!$D$1</c:f>
              <c:strCache>
                <c:ptCount val="1"/>
                <c:pt idx="0">
                  <c:v>Recurrent Expenditure (Euros) - Staff / Library Staff FTE - Total Staff</c:v>
                </c:pt>
              </c:strCache>
            </c:strRef>
          </c:tx>
          <c:layout>
            <c:manualLayout>
              <c:xMode val="edge"/>
              <c:yMode val="edge"/>
              <c:x val="6.8965517241379309E-3"/>
              <c:y val="0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6711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2689655172413792"/>
          <c:y val="3.7330316742081447E-2"/>
          <c:w val="0.21793103448275863"/>
          <c:h val="0.132352941176470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 codeName="Chart1"/>
  <sheetViews>
    <sheetView workbookViewId="0" zoomToFit="1"/>
  </sheetViews>
  <pageMargins left="0.75" right="0.75" top="1" bottom="1" header="0.5" footer="0.5"/>
  <pageSetup paperSize="9" orientation="landscape" r:id="rId1"/>
  <headerFooter alignWithMargins="0">
    <oddFooter>&amp;LSource: &amp;F&amp;RDistrict Audit &amp;D</oddFooter>
  </headerFooter>
  <drawing r:id="rId2"/>
  <legacyDrawing r:id="rId3"/>
</chartsheet>
</file>

<file path=xl/chartsheets/sheet2.xml><?xml version="1.0" encoding="utf-8"?>
<chart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 codeName="Chart2"/>
  <sheetViews>
    <sheetView workbookViewId="0" zoomToFit="1"/>
  </sheetViews>
  <pageMargins left="0.75" right="0.75" top="1" bottom="1" header="0.5" footer="0.5"/>
  <pageSetup paperSize="9" orientation="landscape" r:id="rId1"/>
  <headerFooter alignWithMargins="0">
    <oddFooter>&amp;LSource: &amp;F&amp;RDistrict Audit &amp;D</oddFooter>
  </headerFooter>
  <drawing r:id="rId2"/>
  <legacyDrawing r:id="rId3"/>
</chartsheet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Drop" dropLines="16" dropStyle="combo" dx="31" fmlaLink="Menus!J3" fmlaRange="Menus!A2:A254" noThreeD="1" sel="26" val="27"/>
</file>

<file path=xl/ctrlProps/ctrlProp6.xml><?xml version="1.0" encoding="utf-8"?>
<formControlPr xmlns="http://schemas.microsoft.com/office/spreadsheetml/2009/9/main" objectType="Drop" dropLines="16" dropStyle="combo" dx="31" fmlaLink="Menus!J4" fmlaRange="Menus!A2:A254" noThreeD="1" sel="25" val="20"/>
</file>

<file path=xl/ctrlProps/ctrlProp7.xml><?xml version="1.0" encoding="utf-8"?>
<formControlPr xmlns="http://schemas.microsoft.com/office/spreadsheetml/2009/9/main" objectType="Drop" dropStyle="combo" dx="31" fmlaLink="Menus!J8" fmlaRange="Menus!C2:C501" noThreeD="1" sel="12" val="10"/>
</file>

<file path=xl/ctrlProps/ctrlProp8.xml><?xml version="1.0" encoding="utf-8"?>
<formControlPr xmlns="http://schemas.microsoft.com/office/spreadsheetml/2009/9/main" objectType="Drop" dropStyle="combo" dx="31" fmlaLink="Menus!J5" fmlaRange="Menus!F4:F54" noThreeD="1" sel="5" val="4"/>
</file>

<file path=xl/ctrlProps/ctrlProp9.xml><?xml version="1.0" encoding="utf-8"?>
<formControlPr xmlns="http://schemas.microsoft.com/office/spreadsheetml/2009/9/main" objectType="Drop" dropStyle="combo" dx="31" fmlaLink="Menus!J6" fmlaRange="Menus!F4:F54" noThreeD="1" sel="4" val="3"/>
</file>

<file path=xl/ctrlProps/ctrlProp10.xml><?xml version="1.0" encoding="utf-8"?>
<formControlPr xmlns="http://schemas.microsoft.com/office/spreadsheetml/2009/9/main" objectType="Drop" dropStyle="combo" dx="31" fmlaLink="Menus!J7" fmlaRange="Menus!F4:F54" noThreeD="1" sel="9" val="6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Label" lockText="1"/>
</file>

<file path=xl/ctrlProps/ctrlProp14.xml><?xml version="1.0" encoding="utf-8"?>
<formControlPr xmlns="http://schemas.microsoft.com/office/spreadsheetml/2009/9/main" objectType="Label" lockText="1"/>
</file>

<file path=xl/ctrlProps/ctrlProp15.xml><?xml version="1.0" encoding="utf-8"?>
<formControlPr xmlns="http://schemas.microsoft.com/office/spreadsheetml/2009/9/main" objectType="Label" lockText="1"/>
</file>

<file path=xl/ctrlProps/ctrlProp16.xml><?xml version="1.0" encoding="utf-8"?>
<formControlPr xmlns="http://schemas.microsoft.com/office/spreadsheetml/2009/9/main" objectType="Label" lockText="1"/>
</file>

<file path=xl/ctrlProps/ctrlProp17.xml><?xml version="1.0" encoding="utf-8"?>
<formControlPr xmlns="http://schemas.microsoft.com/office/spreadsheetml/2009/9/main" objectType="Label" lockText="1"/>
</file>

<file path=xl/ctrlProps/ctrlProp18.xml><?xml version="1.0" encoding="utf-8"?>
<formControlPr xmlns="http://schemas.microsoft.com/office/spreadsheetml/2009/9/main" objectType="Label" lockText="1"/>
</file>

<file path=xl/ctrlProps/ctrlProp19.xml><?xml version="1.0" encoding="utf-8"?>
<formControlPr xmlns="http://schemas.microsoft.com/office/spreadsheetml/2009/9/main" objectType="CheckBox" checked="Checked" fmlaLink="Menus!$J$9" lockText="1" noThreeD="1"/>
</file>

<file path=xl/ctrlProps/ctrlProp20.xml><?xml version="1.0" encoding="utf-8"?>
<formControlPr xmlns="http://schemas.microsoft.com/office/spreadsheetml/2009/9/main" objectType="Drop" dropStyle="combo" dx="31" fmlaLink="Menus!J10" fmlaRange="Menus!N2:N50" noThreeD="1" sel="6" val="0"/>
</file>

<file path=xl/ctrlProps/ctrlProp21.xml><?xml version="1.0" encoding="utf-8"?>
<formControlPr xmlns="http://schemas.microsoft.com/office/spreadsheetml/2009/9/main" objectType="Label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10EE2-12F7-4F0B-A1CA-CA324B857F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8EB18-C0AC-41AB-804F-57EC46F1E9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247650</xdr:colOff>
          <xdr:row>0</xdr:row>
          <xdr:rowOff>114300</xdr:rowOff>
        </xdr:from>
        <xdr:to>
          <xdr:col>4</xdr:col>
          <xdr:colOff>1435100</xdr:colOff>
          <xdr:row>0</xdr:row>
          <xdr:rowOff>774700</xdr:rowOff>
        </xdr:to>
        <xdr:sp macro="" textlink="">
          <xdr:nvSpPr>
            <xdr:cNvPr id="509953" name="Button 1" hidden="1">
              <a:extLst>
                <a:ext uri="{63B3BB69-23CF-44E3-9099-C40C66FF867C}">
                  <a14:compatExt spid="_x0000_s509953"/>
                </a:ext>
                <a:ext uri="{FF2B5EF4-FFF2-40B4-BE49-F238E27FC236}">
                  <a16:creationId xmlns:a16="http://schemas.microsoft.com/office/drawing/2014/main" id="{43037EC0-F28B-4D89-9163-9136720C00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Menu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16</xdr:row>
          <xdr:rowOff>101600</xdr:rowOff>
        </xdr:from>
        <xdr:to>
          <xdr:col>8</xdr:col>
          <xdr:colOff>476250</xdr:colOff>
          <xdr:row>18</xdr:row>
          <xdr:rowOff>57150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B5D36CA4-1C2E-4B1C-A4B3-4BB9BA84B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16</xdr:row>
          <xdr:rowOff>101600</xdr:rowOff>
        </xdr:from>
        <xdr:to>
          <xdr:col>8</xdr:col>
          <xdr:colOff>476250</xdr:colOff>
          <xdr:row>18</xdr:row>
          <xdr:rowOff>57150</xdr:rowOff>
        </xdr:to>
        <xdr:sp macro="" textlink="">
          <xdr:nvSpPr>
            <xdr:cNvPr id="3077" name="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C3348FB5-BF2F-44C5-87F2-FB43E62488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374650</xdr:colOff>
          <xdr:row>6</xdr:row>
          <xdr:rowOff>114300</xdr:rowOff>
        </xdr:from>
        <xdr:to>
          <xdr:col>8</xdr:col>
          <xdr:colOff>514350</xdr:colOff>
          <xdr:row>12</xdr:row>
          <xdr:rowOff>50800</xdr:rowOff>
        </xdr:to>
        <xdr:sp macro="" textlink="">
          <xdr:nvSpPr>
            <xdr:cNvPr id="3078" name="Butto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F257E01C-600C-45CE-BB04-4C275BD748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Explanation of Belgium libraries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5</xdr:row>
          <xdr:rowOff>114300</xdr:rowOff>
        </xdr:from>
        <xdr:to>
          <xdr:col>7</xdr:col>
          <xdr:colOff>222250</xdr:colOff>
          <xdr:row>6</xdr:row>
          <xdr:rowOff>152400</xdr:rowOff>
        </xdr:to>
        <xdr:sp macro="" textlink="">
          <xdr:nvSpPr>
            <xdr:cNvPr id="15383" name="Drop Down 23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A24B28AE-835B-4286-B694-49C1C87FDC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9</xdr:row>
          <xdr:rowOff>114300</xdr:rowOff>
        </xdr:from>
        <xdr:to>
          <xdr:col>7</xdr:col>
          <xdr:colOff>222250</xdr:colOff>
          <xdr:row>10</xdr:row>
          <xdr:rowOff>152400</xdr:rowOff>
        </xdr:to>
        <xdr:sp macro="" textlink="">
          <xdr:nvSpPr>
            <xdr:cNvPr id="15384" name="Drop Down 24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819AF9F-F18C-4D09-8AA1-18B9DFFF10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13</xdr:row>
          <xdr:rowOff>82550</xdr:rowOff>
        </xdr:from>
        <xdr:to>
          <xdr:col>7</xdr:col>
          <xdr:colOff>222250</xdr:colOff>
          <xdr:row>14</xdr:row>
          <xdr:rowOff>120650</xdr:rowOff>
        </xdr:to>
        <xdr:sp macro="" textlink="">
          <xdr:nvSpPr>
            <xdr:cNvPr id="15385" name="Drop Down 25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E2B9B180-69DC-4B7C-B586-24C29EFCE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387350</xdr:colOff>
          <xdr:row>17</xdr:row>
          <xdr:rowOff>6350</xdr:rowOff>
        </xdr:from>
        <xdr:to>
          <xdr:col>4</xdr:col>
          <xdr:colOff>247650</xdr:colOff>
          <xdr:row>18</xdr:row>
          <xdr:rowOff>44450</xdr:rowOff>
        </xdr:to>
        <xdr:sp macro="" textlink="">
          <xdr:nvSpPr>
            <xdr:cNvPr id="15386" name="Drop Down 26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B7562F8D-72F7-459F-B431-108DE74FE3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292100</xdr:colOff>
          <xdr:row>17</xdr:row>
          <xdr:rowOff>6350</xdr:rowOff>
        </xdr:from>
        <xdr:to>
          <xdr:col>7</xdr:col>
          <xdr:colOff>139700</xdr:colOff>
          <xdr:row>18</xdr:row>
          <xdr:rowOff>44450</xdr:rowOff>
        </xdr:to>
        <xdr:sp macro="" textlink="">
          <xdr:nvSpPr>
            <xdr:cNvPr id="15387" name="Drop Down 27" hidden="1">
              <a:extLst>
                <a:ext uri="{63B3BB69-23CF-44E3-9099-C40C66FF867C}">
                  <a14:compatExt spid="_x0000_s15387"/>
                </a:ext>
                <a:ext uri="{FF2B5EF4-FFF2-40B4-BE49-F238E27FC236}">
                  <a16:creationId xmlns:a16="http://schemas.microsoft.com/office/drawing/2014/main" id="{A63E7BB1-DDC0-4AA6-8681-C72FF3401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17</xdr:row>
          <xdr:rowOff>6350</xdr:rowOff>
        </xdr:from>
        <xdr:to>
          <xdr:col>9</xdr:col>
          <xdr:colOff>628650</xdr:colOff>
          <xdr:row>18</xdr:row>
          <xdr:rowOff>44450</xdr:rowOff>
        </xdr:to>
        <xdr:sp macro="" textlink="">
          <xdr:nvSpPr>
            <xdr:cNvPr id="15388" name="Drop Down 28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03158A3F-59FE-42E7-8D72-3C601A73B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647700</xdr:colOff>
          <xdr:row>7</xdr:row>
          <xdr:rowOff>6350</xdr:rowOff>
        </xdr:from>
        <xdr:to>
          <xdr:col>9</xdr:col>
          <xdr:colOff>387350</xdr:colOff>
          <xdr:row>10</xdr:row>
          <xdr:rowOff>82550</xdr:rowOff>
        </xdr:to>
        <xdr:sp macro="" textlink="">
          <xdr:nvSpPr>
            <xdr:cNvPr id="15389" name="Button 29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FAC10435-9FDF-474E-B1FC-4D5FEC43A6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Scatter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660400</xdr:colOff>
          <xdr:row>11</xdr:row>
          <xdr:rowOff>38100</xdr:rowOff>
        </xdr:from>
        <xdr:to>
          <xdr:col>9</xdr:col>
          <xdr:colOff>400050</xdr:colOff>
          <xdr:row>14</xdr:row>
          <xdr:rowOff>133350</xdr:rowOff>
        </xdr:to>
        <xdr:sp macro="" textlink="">
          <xdr:nvSpPr>
            <xdr:cNvPr id="15390" name="Button 30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B6DC5951-1679-47F1-A63E-9FE69CA33C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Histogram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4</xdr:row>
          <xdr:rowOff>120650</xdr:rowOff>
        </xdr:from>
        <xdr:to>
          <xdr:col>2</xdr:col>
          <xdr:colOff>387350</xdr:colOff>
          <xdr:row>5</xdr:row>
          <xdr:rowOff>95250</xdr:rowOff>
        </xdr:to>
        <xdr:sp macro="" textlink="">
          <xdr:nvSpPr>
            <xdr:cNvPr id="15394" name="Label 34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CC429913-9CD0-40A1-B79B-8E230B4FA8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 value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431800</xdr:colOff>
          <xdr:row>15</xdr:row>
          <xdr:rowOff>139700</xdr:rowOff>
        </xdr:from>
        <xdr:to>
          <xdr:col>3</xdr:col>
          <xdr:colOff>107950</xdr:colOff>
          <xdr:row>16</xdr:row>
          <xdr:rowOff>139700</xdr:rowOff>
        </xdr:to>
        <xdr:sp macro="" textlink="">
          <xdr:nvSpPr>
            <xdr:cNvPr id="15395" name="Label 35" hidden="1">
              <a:extLst>
                <a:ext uri="{63B3BB69-23CF-44E3-9099-C40C66FF867C}">
                  <a14:compatExt spid="_x0000_s15395"/>
                </a:ext>
                <a:ext uri="{FF2B5EF4-FFF2-40B4-BE49-F238E27FC236}">
                  <a16:creationId xmlns:a16="http://schemas.microsoft.com/office/drawing/2014/main" id="{1D7333B7-9A4A-4085-BC66-6F65C5125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Comparison type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361950</xdr:colOff>
          <xdr:row>8</xdr:row>
          <xdr:rowOff>101600</xdr:rowOff>
        </xdr:from>
        <xdr:to>
          <xdr:col>5</xdr:col>
          <xdr:colOff>57150</xdr:colOff>
          <xdr:row>9</xdr:row>
          <xdr:rowOff>95250</xdr:rowOff>
        </xdr:to>
        <xdr:sp macro="" textlink="">
          <xdr:nvSpPr>
            <xdr:cNvPr id="15396" name="Label 36" hidden="1">
              <a:extLst>
                <a:ext uri="{63B3BB69-23CF-44E3-9099-C40C66FF867C}">
                  <a14:compatExt spid="_x0000_s15396"/>
                </a:ext>
                <a:ext uri="{FF2B5EF4-FFF2-40B4-BE49-F238E27FC236}">
                  <a16:creationId xmlns:a16="http://schemas.microsoft.com/office/drawing/2014/main" id="{2BEBD47F-3009-4357-8CB6-D16496B2E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X value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381000</xdr:colOff>
          <xdr:row>12</xdr:row>
          <xdr:rowOff>95250</xdr:rowOff>
        </xdr:from>
        <xdr:to>
          <xdr:col>2</xdr:col>
          <xdr:colOff>342900</xdr:colOff>
          <xdr:row>13</xdr:row>
          <xdr:rowOff>63500</xdr:rowOff>
        </xdr:to>
        <xdr:sp macro="" textlink="">
          <xdr:nvSpPr>
            <xdr:cNvPr id="15397" name="Label 37" hidden="1">
              <a:extLst>
                <a:ext uri="{63B3BB69-23CF-44E3-9099-C40C66FF867C}">
                  <a14:compatExt spid="_x0000_s15397"/>
                </a:ext>
                <a:ext uri="{FF2B5EF4-FFF2-40B4-BE49-F238E27FC236}">
                  <a16:creationId xmlns:a16="http://schemas.microsoft.com/office/drawing/2014/main" id="{69ECDA22-FD7C-4E0E-A1C6-BBDAD55083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Identify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311150</xdr:colOff>
          <xdr:row>15</xdr:row>
          <xdr:rowOff>152400</xdr:rowOff>
        </xdr:from>
        <xdr:to>
          <xdr:col>6</xdr:col>
          <xdr:colOff>419100</xdr:colOff>
          <xdr:row>16</xdr:row>
          <xdr:rowOff>152400</xdr:rowOff>
        </xdr:to>
        <xdr:sp macro="" textlink="">
          <xdr:nvSpPr>
            <xdr:cNvPr id="15398" name="Label 38" hidden="1">
              <a:extLst>
                <a:ext uri="{63B3BB69-23CF-44E3-9099-C40C66FF867C}">
                  <a14:compatExt spid="_x0000_s15398"/>
                </a:ext>
                <a:ext uri="{FF2B5EF4-FFF2-40B4-BE49-F238E27FC236}">
                  <a16:creationId xmlns:a16="http://schemas.microsoft.com/office/drawing/2014/main" id="{048B0A93-1FDE-48A2-B9FC-C8F742682B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Comparison type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196850</xdr:colOff>
          <xdr:row>15</xdr:row>
          <xdr:rowOff>139700</xdr:rowOff>
        </xdr:from>
        <xdr:to>
          <xdr:col>9</xdr:col>
          <xdr:colOff>260350</xdr:colOff>
          <xdr:row>17</xdr:row>
          <xdr:rowOff>25400</xdr:rowOff>
        </xdr:to>
        <xdr:sp macro="" textlink="">
          <xdr:nvSpPr>
            <xdr:cNvPr id="15399" name="Label 39" hidden="1">
              <a:extLst>
                <a:ext uri="{63B3BB69-23CF-44E3-9099-C40C66FF867C}">
                  <a14:compatExt spid="_x0000_s15399"/>
                </a:ext>
                <a:ext uri="{FF2B5EF4-FFF2-40B4-BE49-F238E27FC236}">
                  <a16:creationId xmlns:a16="http://schemas.microsoft.com/office/drawing/2014/main" id="{827E9BE0-A822-4BFD-AF6A-F2AD2EAB0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Comparison type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622300</xdr:colOff>
          <xdr:row>5</xdr:row>
          <xdr:rowOff>38100</xdr:rowOff>
        </xdr:from>
        <xdr:to>
          <xdr:col>9</xdr:col>
          <xdr:colOff>330200</xdr:colOff>
          <xdr:row>6</xdr:row>
          <xdr:rowOff>120650</xdr:rowOff>
        </xdr:to>
        <xdr:sp macro="" textlink="">
          <xdr:nvSpPr>
            <xdr:cNvPr id="15404" name="Check Box 44" hidden="1">
              <a:extLst>
                <a:ext uri="{63B3BB69-23CF-44E3-9099-C40C66FF867C}">
                  <a14:compatExt spid="_x0000_s15404"/>
                </a:ext>
                <a:ext uri="{FF2B5EF4-FFF2-40B4-BE49-F238E27FC236}">
                  <a16:creationId xmlns:a16="http://schemas.microsoft.com/office/drawing/2014/main" id="{83430ECC-D04F-4F75-B983-B13A03BB13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Plot y/x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3</xdr:row>
          <xdr:rowOff>6350</xdr:rowOff>
        </xdr:from>
        <xdr:to>
          <xdr:col>7</xdr:col>
          <xdr:colOff>209550</xdr:colOff>
          <xdr:row>4</xdr:row>
          <xdr:rowOff>44450</xdr:rowOff>
        </xdr:to>
        <xdr:sp macro="" textlink="">
          <xdr:nvSpPr>
            <xdr:cNvPr id="15407" name="Drop Down 47" hidden="1">
              <a:extLst>
                <a:ext uri="{63B3BB69-23CF-44E3-9099-C40C66FF867C}">
                  <a14:compatExt spid="_x0000_s15407"/>
                </a:ext>
                <a:ext uri="{FF2B5EF4-FFF2-40B4-BE49-F238E27FC236}">
                  <a16:creationId xmlns:a16="http://schemas.microsoft.com/office/drawing/2014/main" id="{61CD3F11-C892-4513-87BF-0637C750F9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3</xdr:row>
          <xdr:rowOff>44450</xdr:rowOff>
        </xdr:from>
        <xdr:to>
          <xdr:col>4</xdr:col>
          <xdr:colOff>438150</xdr:colOff>
          <xdr:row>4</xdr:row>
          <xdr:rowOff>38100</xdr:rowOff>
        </xdr:to>
        <xdr:sp macro="" textlink="">
          <xdr:nvSpPr>
            <xdr:cNvPr id="15408" name="Label 48" hidden="1">
              <a:extLst>
                <a:ext uri="{63B3BB69-23CF-44E3-9099-C40C66FF867C}">
                  <a14:compatExt spid="_x0000_s15408"/>
                </a:ext>
                <a:ext uri="{FF2B5EF4-FFF2-40B4-BE49-F238E27FC236}">
                  <a16:creationId xmlns:a16="http://schemas.microsoft.com/office/drawing/2014/main" id="{1D9F279C-5AA8-473E-8030-0169ADADF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Year of Public Libraries Data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666750</xdr:colOff>
          <xdr:row>19</xdr:row>
          <xdr:rowOff>19050</xdr:rowOff>
        </xdr:from>
        <xdr:to>
          <xdr:col>9</xdr:col>
          <xdr:colOff>406400</xdr:colOff>
          <xdr:row>21</xdr:row>
          <xdr:rowOff>57150</xdr:rowOff>
        </xdr:to>
        <xdr:sp macro="" textlink="">
          <xdr:nvSpPr>
            <xdr:cNvPr id="15412" name="Button 52" hidden="1">
              <a:extLst>
                <a:ext uri="{63B3BB69-23CF-44E3-9099-C40C66FF867C}">
                  <a14:compatExt spid="_x0000_s15412"/>
                </a:ext>
                <a:ext uri="{FF2B5EF4-FFF2-40B4-BE49-F238E27FC236}">
                  <a16:creationId xmlns:a16="http://schemas.microsoft.com/office/drawing/2014/main" id="{AB767EC8-E966-4376-AA7A-5ED861C3C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Update Types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120650</xdr:colOff>
          <xdr:row>19</xdr:row>
          <xdr:rowOff>76200</xdr:rowOff>
        </xdr:from>
        <xdr:to>
          <xdr:col>2</xdr:col>
          <xdr:colOff>539750</xdr:colOff>
          <xdr:row>21</xdr:row>
          <xdr:rowOff>63500</xdr:rowOff>
        </xdr:to>
        <xdr:sp macro="" textlink="">
          <xdr:nvSpPr>
            <xdr:cNvPr id="15413" name="Button 53" hidden="1">
              <a:extLst>
                <a:ext uri="{63B3BB69-23CF-44E3-9099-C40C66FF867C}">
                  <a14:compatExt spid="_x0000_s15413"/>
                </a:ext>
                <a:ext uri="{FF2B5EF4-FFF2-40B4-BE49-F238E27FC236}">
                  <a16:creationId xmlns:a16="http://schemas.microsoft.com/office/drawing/2014/main" id="{7F2662E5-CCD8-4533-94D1-547F3E3AC6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Goto Help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3200400</xdr:colOff>
          <xdr:row>13</xdr:row>
          <xdr:rowOff>0</xdr:rowOff>
        </xdr:from>
        <xdr:to>
          <xdr:col>1</xdr:col>
          <xdr:colOff>5708650</xdr:colOff>
          <xdr:row>14</xdr:row>
          <xdr:rowOff>19050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3CF5CB5B-3212-4E05-96B4-BC7C67AF9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List of Country Types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3771900</xdr:colOff>
          <xdr:row>8</xdr:row>
          <xdr:rowOff>6350</xdr:rowOff>
        </xdr:from>
        <xdr:to>
          <xdr:col>1</xdr:col>
          <xdr:colOff>5708650</xdr:colOff>
          <xdr:row>9</xdr:row>
          <xdr:rowOff>25400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19A5A046-EB4B-4BB5-9BA9-56C685A5A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Data Types Help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330200</xdr:colOff>
          <xdr:row>0</xdr:row>
          <xdr:rowOff>31750</xdr:rowOff>
        </xdr:from>
        <xdr:to>
          <xdr:col>3</xdr:col>
          <xdr:colOff>590550</xdr:colOff>
          <xdr:row>2</xdr:row>
          <xdr:rowOff>95250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6B131B4B-69D2-441F-B034-05734C5DB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Menu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4102100</xdr:colOff>
          <xdr:row>3</xdr:row>
          <xdr:rowOff>101600</xdr:rowOff>
        </xdr:from>
        <xdr:to>
          <xdr:col>1</xdr:col>
          <xdr:colOff>5683250</xdr:colOff>
          <xdr:row>4</xdr:row>
          <xdr:rowOff>146050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82B7C674-64B1-4B41-ACD3-C08A90A29A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Data Headings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4591050</xdr:colOff>
          <xdr:row>38</xdr:row>
          <xdr:rowOff>31750</xdr:rowOff>
        </xdr:from>
        <xdr:to>
          <xdr:col>1</xdr:col>
          <xdr:colOff>5810250</xdr:colOff>
          <xdr:row>40</xdr:row>
          <xdr:rowOff>12700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DDF55125-8536-4F7F-9ECE-4992A8FF1F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Example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381000</xdr:colOff>
          <xdr:row>94</xdr:row>
          <xdr:rowOff>0</xdr:rowOff>
        </xdr:from>
        <xdr:to>
          <xdr:col>6</xdr:col>
          <xdr:colOff>361950</xdr:colOff>
          <xdr:row>96</xdr:row>
          <xdr:rowOff>19050</xdr:rowOff>
        </xdr:to>
        <xdr:sp macro="" textlink="">
          <xdr:nvSpPr>
            <xdr:cNvPr id="2056" name="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2E69EFA4-328D-4250-A8E4-E593C5AC8A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Goto Cell B2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tinJ" refreshedDate="37930.500482291667" createdVersion="1" recordCount="500" upgradeOnRefresh="1">
  <cacheSource type="worksheet">
    <worksheetSource ref="D1:D501" sheet="Menus"/>
  </cacheSource>
  <cacheFields count="1">
    <cacheField name="Types (from selected data sheet)" numFmtId="0">
      <sharedItems containsMixedTypes="1" containsNumber="1" containsInteger="1" minValue="0" maxValue="0" count="9">
        <s v="CEE"/>
        <s v="EU"/>
        <s v="België Vlaamse Gemeenschap"/>
        <s v="Belgique-Communauté française"/>
        <s v="EFTA"/>
        <s v="World - A"/>
        <s v="World - B"/>
        <s v="Totals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F2:G12" firstHeaderRow="2" firstDataRow="2" firstDataCol="1"/>
  <pivotFields count="1">
    <pivotField axis="axisRow" dataField="1" compact="0" outline="0" subtotalTop="0" showAll="0" includeNewItemsInFilter="1">
      <items count="10">
        <item x="8"/>
        <item x="7"/>
        <item x="0"/>
        <item x="4"/>
        <item x="1"/>
        <item x="5"/>
        <item x="6"/>
        <item x="2"/>
        <item x="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Count of Types (from selected data sheet)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3" Type="http://schemas.openxmlformats.org/officeDocument/2006/relationships/drawing" Target="../drawings/drawing6.xml"/><Relationship Id="rId7" Type="http://schemas.openxmlformats.org/officeDocument/2006/relationships/ctrlProp" Target="../ctrlProps/ctrlProp26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martin.jennings@ipf.co.uk" TargetMode="External"/><Relationship Id="rId6" Type="http://schemas.openxmlformats.org/officeDocument/2006/relationships/ctrlProp" Target="../ctrlProps/ctrlProp25.xml"/><Relationship Id="rId5" Type="http://schemas.openxmlformats.org/officeDocument/2006/relationships/ctrlProp" Target="../ctrlProps/ctrlProp24.xml"/><Relationship Id="rId10" Type="http://schemas.openxmlformats.org/officeDocument/2006/relationships/ctrlProp" Target="../ctrlProps/ctrlProp29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2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52"/>
  <sheetViews>
    <sheetView workbookViewId="0">
      <pane xSplit="3" ySplit="1" topLeftCell="P12" activePane="bottomRight" state="frozen"/>
      <selection activeCell="B13" sqref="B13:B14"/>
      <selection pane="topRight" activeCell="B13" sqref="B13:B14"/>
      <selection pane="bottomLeft" activeCell="B13" sqref="B13:B14"/>
      <selection pane="bottomRight" activeCell="B13" sqref="B13:B14"/>
    </sheetView>
  </sheetViews>
  <sheetFormatPr defaultRowHeight="12.5" x14ac:dyDescent="0.25"/>
  <cols>
    <col min="1" max="6" width="9.1796875" style="1" customWidth="1"/>
    <col min="7" max="7" width="10" style="1" bestFit="1" customWidth="1"/>
    <col min="8" max="20" width="9.1796875" style="1" customWidth="1"/>
    <col min="21" max="21" width="10" style="1" bestFit="1" customWidth="1"/>
    <col min="22" max="28" width="9.1796875" style="1" customWidth="1"/>
    <col min="29" max="29" width="10" style="1" bestFit="1" customWidth="1"/>
    <col min="30" max="30" width="9.1796875" style="31" customWidth="1"/>
    <col min="31" max="40" width="9.1796875" style="1" customWidth="1"/>
    <col min="41" max="41" width="10" style="1" bestFit="1" customWidth="1"/>
    <col min="42" max="45" width="9.1796875" style="1" customWidth="1"/>
  </cols>
  <sheetData>
    <row r="1" spans="1:53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142</v>
      </c>
      <c r="V1" s="36" t="s">
        <v>81</v>
      </c>
      <c r="W1" s="36" t="s">
        <v>96</v>
      </c>
      <c r="X1" s="36" t="s">
        <v>97</v>
      </c>
      <c r="Y1" s="36" t="s">
        <v>82</v>
      </c>
      <c r="Z1" s="36" t="s">
        <v>83</v>
      </c>
      <c r="AA1" s="36" t="s">
        <v>84</v>
      </c>
      <c r="AB1" s="36" t="s">
        <v>85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138</v>
      </c>
      <c r="AJ1" s="36" t="s">
        <v>139</v>
      </c>
      <c r="AK1" s="36" t="s">
        <v>86</v>
      </c>
      <c r="AL1" s="36" t="s">
        <v>87</v>
      </c>
      <c r="AM1" s="36" t="s">
        <v>88</v>
      </c>
      <c r="AN1" s="36" t="s">
        <v>89</v>
      </c>
      <c r="AO1" s="36" t="s">
        <v>90</v>
      </c>
      <c r="AP1" s="36" t="s">
        <v>91</v>
      </c>
      <c r="AQ1" s="36" t="s">
        <v>92</v>
      </c>
      <c r="AR1" s="36" t="s">
        <v>93</v>
      </c>
      <c r="AS1" s="36" t="s">
        <v>94</v>
      </c>
      <c r="AT1" s="36" t="s">
        <v>286</v>
      </c>
      <c r="AU1" s="36" t="s">
        <v>287</v>
      </c>
      <c r="AV1" s="36" t="s">
        <v>288</v>
      </c>
      <c r="AW1" s="36" t="s">
        <v>289</v>
      </c>
      <c r="AX1" s="36" t="s">
        <v>290</v>
      </c>
      <c r="AY1" s="36" t="s">
        <v>291</v>
      </c>
      <c r="AZ1" s="36" t="s">
        <v>292</v>
      </c>
      <c r="BA1" s="36" t="s">
        <v>293</v>
      </c>
    </row>
    <row r="2" spans="1:53" x14ac:dyDescent="0.25">
      <c r="A2" s="1" t="s">
        <v>32</v>
      </c>
      <c r="B2" s="1" t="s">
        <v>150</v>
      </c>
      <c r="C2" s="44" t="s">
        <v>98</v>
      </c>
      <c r="D2" s="35">
        <f>+Y2/1000</f>
        <v>7819.6329999999998</v>
      </c>
      <c r="E2" s="38">
        <v>3757</v>
      </c>
      <c r="F2" s="38">
        <v>3757</v>
      </c>
      <c r="G2" s="38">
        <v>52004510</v>
      </c>
      <c r="H2" s="38">
        <v>16841</v>
      </c>
      <c r="I2" s="38"/>
      <c r="J2" s="38"/>
      <c r="K2" s="38">
        <v>84843</v>
      </c>
      <c r="L2" s="38">
        <v>852026</v>
      </c>
      <c r="M2" s="38"/>
      <c r="N2" s="38">
        <v>280475</v>
      </c>
      <c r="O2" s="38">
        <v>5354</v>
      </c>
      <c r="P2" s="38">
        <v>80</v>
      </c>
      <c r="Q2" s="38"/>
      <c r="R2" s="38"/>
      <c r="S2" s="38"/>
      <c r="T2" s="38">
        <v>901512</v>
      </c>
      <c r="U2" s="38">
        <v>17999677</v>
      </c>
      <c r="V2" s="38">
        <v>8252063</v>
      </c>
      <c r="W2" s="38">
        <v>12021</v>
      </c>
      <c r="X2" s="38">
        <v>13754</v>
      </c>
      <c r="Y2" s="72">
        <v>7819633</v>
      </c>
      <c r="Z2" s="38">
        <v>2915</v>
      </c>
      <c r="AA2" s="38">
        <v>406</v>
      </c>
      <c r="AB2" s="38">
        <v>3321</v>
      </c>
      <c r="AC2" s="38">
        <v>3960297</v>
      </c>
      <c r="AD2" s="38">
        <v>543433</v>
      </c>
      <c r="AE2" s="38">
        <v>0</v>
      </c>
      <c r="AF2" s="38">
        <v>0</v>
      </c>
      <c r="AG2" s="38">
        <v>0</v>
      </c>
      <c r="AH2" s="38">
        <v>0</v>
      </c>
      <c r="AI2" s="38">
        <v>830890</v>
      </c>
      <c r="AJ2" s="38">
        <v>5334620</v>
      </c>
      <c r="AK2" s="38">
        <v>4721347</v>
      </c>
      <c r="AL2" s="38">
        <v>359705</v>
      </c>
      <c r="AM2" s="38">
        <v>253568</v>
      </c>
      <c r="AN2" s="38">
        <v>5334620</v>
      </c>
      <c r="AO2" s="38"/>
      <c r="AP2" s="38"/>
      <c r="AQ2" s="38"/>
      <c r="AR2" s="38"/>
      <c r="AS2" s="38"/>
      <c r="AT2" s="1">
        <f>+N2+O2</f>
        <v>285829</v>
      </c>
      <c r="AU2">
        <f>+U2/V2</f>
        <v>2.1812335897096276</v>
      </c>
      <c r="AV2">
        <f>+AJ2/Y2</f>
        <v>0.68220848727811134</v>
      </c>
      <c r="AW2">
        <f>+T2/D2</f>
        <v>115.28827503797173</v>
      </c>
      <c r="AX2">
        <f>+V2/D2</f>
        <v>1055.3005492713021</v>
      </c>
      <c r="AY2">
        <f>+G2/D2</f>
        <v>6650.5052091319376</v>
      </c>
      <c r="AZ2">
        <f>SUM(G2:M2)/D2</f>
        <v>6772.4687335070585</v>
      </c>
      <c r="BA2">
        <f>+L2/D2</f>
        <v>108.95984504643633</v>
      </c>
    </row>
    <row r="3" spans="1:53" x14ac:dyDescent="0.25">
      <c r="A3" s="1" t="s">
        <v>33</v>
      </c>
      <c r="B3" s="1" t="s">
        <v>150</v>
      </c>
      <c r="C3" s="44" t="s">
        <v>99</v>
      </c>
      <c r="D3" s="35">
        <f t="shared" ref="D3:D52" si="0">+Y3/1000</f>
        <v>10223.833000000001</v>
      </c>
      <c r="E3" s="38">
        <v>6090</v>
      </c>
      <c r="F3" s="38">
        <v>7179</v>
      </c>
      <c r="G3" s="38">
        <v>54293396</v>
      </c>
      <c r="H3" s="38">
        <v>78645</v>
      </c>
      <c r="I3" s="38">
        <v>87177</v>
      </c>
      <c r="J3" s="38">
        <v>3951</v>
      </c>
      <c r="K3" s="38">
        <v>130796</v>
      </c>
      <c r="L3" s="38">
        <v>676032</v>
      </c>
      <c r="M3" s="38">
        <v>25018</v>
      </c>
      <c r="N3" s="38">
        <v>1667841</v>
      </c>
      <c r="O3" s="38">
        <v>22204</v>
      </c>
      <c r="P3" s="38">
        <v>76</v>
      </c>
      <c r="Q3" s="38">
        <v>46</v>
      </c>
      <c r="R3" s="38">
        <v>3166</v>
      </c>
      <c r="S3" s="38">
        <v>2116</v>
      </c>
      <c r="T3" s="38">
        <v>1466682</v>
      </c>
      <c r="U3" s="38">
        <v>69208089</v>
      </c>
      <c r="V3" s="38">
        <v>16485563</v>
      </c>
      <c r="W3" s="38">
        <v>68703</v>
      </c>
      <c r="X3" s="38">
        <v>48228</v>
      </c>
      <c r="Y3" s="72">
        <v>10223833</v>
      </c>
      <c r="Z3" s="38">
        <v>3807</v>
      </c>
      <c r="AA3" s="38">
        <v>594</v>
      </c>
      <c r="AB3" s="38">
        <v>4401</v>
      </c>
      <c r="AC3" s="38">
        <v>22656487</v>
      </c>
      <c r="AD3" s="38">
        <v>5164471</v>
      </c>
      <c r="AE3" s="38">
        <v>10916</v>
      </c>
      <c r="AF3" s="38">
        <v>358727</v>
      </c>
      <c r="AG3" s="38">
        <v>1333161</v>
      </c>
      <c r="AH3" s="38">
        <v>380860</v>
      </c>
      <c r="AI3" s="38">
        <v>14089619</v>
      </c>
      <c r="AJ3" s="38">
        <v>43994240</v>
      </c>
      <c r="AK3" s="38">
        <v>45846096</v>
      </c>
      <c r="AL3" s="38">
        <v>157236</v>
      </c>
      <c r="AM3" s="38">
        <v>172074</v>
      </c>
      <c r="AN3" s="38">
        <v>46175406</v>
      </c>
      <c r="AO3" s="38">
        <v>1044702</v>
      </c>
      <c r="AP3" s="38">
        <v>0</v>
      </c>
      <c r="AQ3" s="38">
        <v>0</v>
      </c>
      <c r="AR3" s="38">
        <v>2938566</v>
      </c>
      <c r="AS3" s="38">
        <v>3983268</v>
      </c>
      <c r="AT3" s="1">
        <f t="shared" ref="AT3:AT45" si="1">+N3+O3</f>
        <v>1690045</v>
      </c>
      <c r="AU3">
        <f t="shared" ref="AU3:AU45" si="2">+U3/V3</f>
        <v>4.1981028491413976</v>
      </c>
      <c r="AV3">
        <f t="shared" ref="AV3:AV45" si="3">+AJ3/Y3</f>
        <v>4.3031062811765413</v>
      </c>
      <c r="AW3">
        <f t="shared" ref="AW3:AW45" si="4">+T3/D3</f>
        <v>143.45715545236311</v>
      </c>
      <c r="AX3">
        <f t="shared" ref="AX3:AX45" si="5">+V3/D3</f>
        <v>1612.4640337924141</v>
      </c>
      <c r="AY3">
        <f t="shared" ref="AY3:AY45" si="6">+G3/D3</f>
        <v>5310.4736745993405</v>
      </c>
      <c r="AZ3">
        <f t="shared" ref="AZ3:AZ45" si="7">SUM(G3:M3)/D3</f>
        <v>5408.4427044142831</v>
      </c>
      <c r="BA3">
        <f t="shared" ref="BA3:BA45" si="8">+L3/D3</f>
        <v>66.123145790820331</v>
      </c>
    </row>
    <row r="4" spans="1:53" x14ac:dyDescent="0.25">
      <c r="A4" s="1" t="s">
        <v>34</v>
      </c>
      <c r="B4" s="1" t="s">
        <v>150</v>
      </c>
      <c r="C4" s="44" t="s">
        <v>100</v>
      </c>
      <c r="D4" s="35">
        <f t="shared" si="0"/>
        <v>1431.5530000000001</v>
      </c>
      <c r="E4" s="38">
        <v>546</v>
      </c>
      <c r="F4" s="38">
        <v>664</v>
      </c>
      <c r="G4" s="38">
        <v>10986247</v>
      </c>
      <c r="H4" s="38">
        <v>16010</v>
      </c>
      <c r="I4" s="38">
        <v>17865</v>
      </c>
      <c r="J4" s="38">
        <v>87</v>
      </c>
      <c r="K4" s="38">
        <v>1600</v>
      </c>
      <c r="L4" s="38">
        <v>54302</v>
      </c>
      <c r="M4" s="38">
        <v>900</v>
      </c>
      <c r="N4" s="38">
        <v>535439</v>
      </c>
      <c r="O4" s="38">
        <v>4708</v>
      </c>
      <c r="P4" s="38">
        <v>75</v>
      </c>
      <c r="Q4" s="38">
        <v>5</v>
      </c>
      <c r="R4" s="38">
        <v>631</v>
      </c>
      <c r="S4" s="38">
        <v>603</v>
      </c>
      <c r="T4" s="38">
        <v>447834</v>
      </c>
      <c r="U4" s="38">
        <v>13503545</v>
      </c>
      <c r="V4" s="38">
        <v>6426415</v>
      </c>
      <c r="W4" s="38">
        <v>0</v>
      </c>
      <c r="X4" s="38">
        <v>0</v>
      </c>
      <c r="Y4" s="72">
        <v>1431553</v>
      </c>
      <c r="Z4" s="38">
        <v>1224</v>
      </c>
      <c r="AA4" s="38">
        <v>257</v>
      </c>
      <c r="AB4" s="38">
        <v>1481</v>
      </c>
      <c r="AC4" s="38">
        <v>5053889</v>
      </c>
      <c r="AD4" s="38">
        <v>3335506</v>
      </c>
      <c r="AE4" s="38">
        <v>0</v>
      </c>
      <c r="AF4" s="38">
        <v>446677</v>
      </c>
      <c r="AG4" s="38">
        <v>0</v>
      </c>
      <c r="AH4" s="38">
        <v>0</v>
      </c>
      <c r="AI4" s="38">
        <v>1928745</v>
      </c>
      <c r="AJ4" s="38">
        <v>10764818</v>
      </c>
      <c r="AK4" s="38">
        <v>13209526</v>
      </c>
      <c r="AL4" s="38">
        <v>0</v>
      </c>
      <c r="AM4" s="38">
        <v>269121</v>
      </c>
      <c r="AN4" s="38">
        <v>13478647</v>
      </c>
      <c r="AO4" s="38">
        <v>2513456</v>
      </c>
      <c r="AP4" s="38">
        <v>0</v>
      </c>
      <c r="AQ4" s="38">
        <v>101119</v>
      </c>
      <c r="AR4" s="38">
        <v>88273</v>
      </c>
      <c r="AS4" s="38">
        <v>2702849</v>
      </c>
      <c r="AT4" s="1">
        <f t="shared" si="1"/>
        <v>540147</v>
      </c>
      <c r="AU4">
        <f t="shared" si="2"/>
        <v>2.1012562991963639</v>
      </c>
      <c r="AV4">
        <f t="shared" si="3"/>
        <v>7.5196782794629327</v>
      </c>
      <c r="AW4">
        <f t="shared" si="4"/>
        <v>312.83089064812827</v>
      </c>
      <c r="AX4">
        <f t="shared" si="5"/>
        <v>4489.1212550286291</v>
      </c>
      <c r="AY4">
        <f t="shared" si="6"/>
        <v>7674.3557521097709</v>
      </c>
      <c r="AZ4">
        <f t="shared" si="7"/>
        <v>7737.7582248090002</v>
      </c>
      <c r="BA4">
        <f t="shared" si="8"/>
        <v>37.932231639345517</v>
      </c>
    </row>
    <row r="5" spans="1:53" x14ac:dyDescent="0.25">
      <c r="A5" s="1" t="s">
        <v>35</v>
      </c>
      <c r="B5" s="1" t="s">
        <v>150</v>
      </c>
      <c r="C5" s="44" t="s">
        <v>101</v>
      </c>
      <c r="D5" s="35">
        <f t="shared" si="0"/>
        <v>10017.547</v>
      </c>
      <c r="E5" s="38">
        <v>2470</v>
      </c>
      <c r="F5" s="38">
        <v>3003</v>
      </c>
      <c r="G5" s="38">
        <v>40714533</v>
      </c>
      <c r="H5" s="38">
        <v>44888</v>
      </c>
      <c r="I5" s="38"/>
      <c r="J5" s="38"/>
      <c r="K5" s="38"/>
      <c r="L5" s="38">
        <v>1443321</v>
      </c>
      <c r="M5" s="38">
        <v>48915</v>
      </c>
      <c r="N5" s="38">
        <v>1079410</v>
      </c>
      <c r="O5" s="38">
        <v>70025</v>
      </c>
      <c r="P5" s="38"/>
      <c r="Q5" s="38"/>
      <c r="R5" s="38"/>
      <c r="S5" s="38"/>
      <c r="T5" s="38">
        <v>1362096</v>
      </c>
      <c r="U5" s="38">
        <v>12554527</v>
      </c>
      <c r="V5" s="38">
        <v>16580105</v>
      </c>
      <c r="W5" s="38">
        <v>15962</v>
      </c>
      <c r="X5" s="38">
        <v>45618</v>
      </c>
      <c r="Y5" s="72">
        <v>10017547</v>
      </c>
      <c r="Z5" s="38">
        <v>3566</v>
      </c>
      <c r="AA5" s="38">
        <v>2166</v>
      </c>
      <c r="AB5" s="38">
        <v>5732</v>
      </c>
      <c r="AC5" s="38">
        <v>21484399</v>
      </c>
      <c r="AD5" s="38">
        <v>5045211</v>
      </c>
      <c r="AE5" s="38">
        <v>0</v>
      </c>
      <c r="AF5" s="38">
        <v>0</v>
      </c>
      <c r="AG5" s="38">
        <v>0</v>
      </c>
      <c r="AH5" s="38">
        <v>0</v>
      </c>
      <c r="AI5" s="38">
        <v>18160365</v>
      </c>
      <c r="AJ5" s="38">
        <v>44689975</v>
      </c>
      <c r="AK5" s="38">
        <v>30615395</v>
      </c>
      <c r="AL5" s="38">
        <v>0</v>
      </c>
      <c r="AM5" s="38">
        <v>14074580</v>
      </c>
      <c r="AN5" s="38">
        <v>44689975</v>
      </c>
      <c r="AO5" s="38"/>
      <c r="AP5" s="38"/>
      <c r="AQ5" s="38"/>
      <c r="AR5" s="38"/>
      <c r="AS5" s="38"/>
      <c r="AT5" s="1">
        <f t="shared" si="1"/>
        <v>1149435</v>
      </c>
      <c r="AU5">
        <f t="shared" si="2"/>
        <v>0.75720431203541838</v>
      </c>
      <c r="AV5">
        <f t="shared" si="3"/>
        <v>4.4611694859030857</v>
      </c>
      <c r="AW5">
        <f t="shared" si="4"/>
        <v>135.97101166582996</v>
      </c>
      <c r="AX5">
        <f t="shared" si="5"/>
        <v>1655.1062850017074</v>
      </c>
      <c r="AY5">
        <f t="shared" si="6"/>
        <v>4064.3216348273681</v>
      </c>
      <c r="AZ5">
        <f t="shared" si="7"/>
        <v>4217.7647881262747</v>
      </c>
      <c r="BA5">
        <f t="shared" si="8"/>
        <v>144.07928408022443</v>
      </c>
    </row>
    <row r="6" spans="1:53" x14ac:dyDescent="0.25">
      <c r="A6" s="1" t="s">
        <v>36</v>
      </c>
      <c r="B6" s="1" t="s">
        <v>150</v>
      </c>
      <c r="C6" s="44" t="s">
        <v>102</v>
      </c>
      <c r="D6" s="35">
        <f t="shared" si="0"/>
        <v>2326.1999999999998</v>
      </c>
      <c r="E6" s="38">
        <v>920</v>
      </c>
      <c r="F6" s="38">
        <v>920</v>
      </c>
      <c r="G6" s="38">
        <v>11738720</v>
      </c>
      <c r="H6" s="38"/>
      <c r="I6" s="38"/>
      <c r="J6" s="38"/>
      <c r="K6" s="38">
        <v>1358</v>
      </c>
      <c r="L6" s="38">
        <v>164674</v>
      </c>
      <c r="M6" s="38"/>
      <c r="N6" s="38">
        <v>298116</v>
      </c>
      <c r="O6" s="38">
        <v>14554</v>
      </c>
      <c r="P6" s="38"/>
      <c r="Q6" s="38"/>
      <c r="R6" s="38"/>
      <c r="S6" s="38"/>
      <c r="T6" s="38">
        <v>575148</v>
      </c>
      <c r="U6" s="38">
        <v>21104458</v>
      </c>
      <c r="V6" s="38">
        <v>6440086</v>
      </c>
      <c r="W6" s="38">
        <v>0</v>
      </c>
      <c r="X6" s="38">
        <v>0</v>
      </c>
      <c r="Y6" s="72">
        <v>2326200</v>
      </c>
      <c r="Z6" s="38">
        <v>1828</v>
      </c>
      <c r="AA6" s="38">
        <v>655</v>
      </c>
      <c r="AB6" s="38">
        <v>2483</v>
      </c>
      <c r="AC6" s="38">
        <v>5638690</v>
      </c>
      <c r="AD6" s="38">
        <v>1456082</v>
      </c>
      <c r="AE6" s="38">
        <v>0</v>
      </c>
      <c r="AF6" s="38">
        <v>0</v>
      </c>
      <c r="AG6" s="38">
        <v>0</v>
      </c>
      <c r="AH6" s="38">
        <v>0</v>
      </c>
      <c r="AI6" s="38">
        <v>3072809</v>
      </c>
      <c r="AJ6" s="38">
        <v>10167581</v>
      </c>
      <c r="AK6" s="38">
        <v>10126712</v>
      </c>
      <c r="AL6" s="38">
        <v>26955</v>
      </c>
      <c r="AM6" s="38">
        <v>13914</v>
      </c>
      <c r="AN6" s="38">
        <v>10167581</v>
      </c>
      <c r="AO6" s="38">
        <v>109075</v>
      </c>
      <c r="AP6" s="38">
        <v>6964</v>
      </c>
      <c r="AQ6" s="38">
        <v>34978</v>
      </c>
      <c r="AR6" s="38">
        <v>32330</v>
      </c>
      <c r="AS6" s="38">
        <v>183347</v>
      </c>
      <c r="AT6" s="1">
        <f t="shared" si="1"/>
        <v>312670</v>
      </c>
      <c r="AU6">
        <f t="shared" si="2"/>
        <v>3.277045989758522</v>
      </c>
      <c r="AV6">
        <f t="shared" si="3"/>
        <v>4.3708971713524205</v>
      </c>
      <c r="AW6">
        <f t="shared" si="4"/>
        <v>247.24787206603045</v>
      </c>
      <c r="AX6">
        <f t="shared" si="5"/>
        <v>2768.5005588513459</v>
      </c>
      <c r="AY6">
        <f t="shared" si="6"/>
        <v>5046.3072822629183</v>
      </c>
      <c r="AZ6">
        <f t="shared" si="7"/>
        <v>5117.6820565729522</v>
      </c>
      <c r="BA6">
        <f t="shared" si="8"/>
        <v>70.790989596767261</v>
      </c>
    </row>
    <row r="7" spans="1:53" x14ac:dyDescent="0.25">
      <c r="A7" s="1" t="s">
        <v>37</v>
      </c>
      <c r="B7" s="1" t="s">
        <v>150</v>
      </c>
      <c r="C7" s="44" t="s">
        <v>103</v>
      </c>
      <c r="D7" s="35">
        <f t="shared" si="0"/>
        <v>3646.32</v>
      </c>
      <c r="E7" s="38">
        <v>66</v>
      </c>
      <c r="F7" s="38">
        <v>1432</v>
      </c>
      <c r="G7" s="38">
        <v>22471450</v>
      </c>
      <c r="H7" s="38"/>
      <c r="I7" s="38"/>
      <c r="J7" s="38">
        <v>9522</v>
      </c>
      <c r="K7" s="38">
        <v>1174</v>
      </c>
      <c r="L7" s="38">
        <v>245876</v>
      </c>
      <c r="M7" s="38">
        <v>1958</v>
      </c>
      <c r="N7" s="38">
        <v>916453</v>
      </c>
      <c r="O7" s="38">
        <v>4992</v>
      </c>
      <c r="P7" s="38">
        <v>96</v>
      </c>
      <c r="Q7" s="38"/>
      <c r="R7" s="38">
        <v>375</v>
      </c>
      <c r="S7" s="38">
        <v>66</v>
      </c>
      <c r="T7" s="38">
        <v>831741</v>
      </c>
      <c r="U7" s="38">
        <v>25190465</v>
      </c>
      <c r="V7" s="38">
        <v>9794035</v>
      </c>
      <c r="W7" s="38">
        <v>9376</v>
      </c>
      <c r="X7" s="38">
        <v>71675</v>
      </c>
      <c r="Y7" s="72">
        <v>3646320</v>
      </c>
      <c r="Z7" s="38">
        <v>3104</v>
      </c>
      <c r="AA7" s="38">
        <v>892</v>
      </c>
      <c r="AB7" s="38">
        <v>3996</v>
      </c>
      <c r="AC7" s="38">
        <v>9291103</v>
      </c>
      <c r="AD7" s="38">
        <v>1787983</v>
      </c>
      <c r="AE7" s="38">
        <v>145149</v>
      </c>
      <c r="AF7" s="38">
        <v>214887</v>
      </c>
      <c r="AG7" s="38">
        <v>506659</v>
      </c>
      <c r="AH7" s="38">
        <v>0</v>
      </c>
      <c r="AI7" s="38">
        <v>4400886</v>
      </c>
      <c r="AJ7" s="38">
        <v>16346667</v>
      </c>
      <c r="AK7" s="38">
        <v>15696957</v>
      </c>
      <c r="AL7" s="38">
        <v>441912</v>
      </c>
      <c r="AM7" s="38">
        <v>266475</v>
      </c>
      <c r="AN7" s="38">
        <v>16405344</v>
      </c>
      <c r="AO7" s="38"/>
      <c r="AP7" s="38"/>
      <c r="AQ7" s="38"/>
      <c r="AR7" s="38"/>
      <c r="AS7" s="38"/>
      <c r="AT7" s="1">
        <f t="shared" si="1"/>
        <v>921445</v>
      </c>
      <c r="AU7">
        <f t="shared" si="2"/>
        <v>2.5720211332714249</v>
      </c>
      <c r="AV7">
        <f t="shared" si="3"/>
        <v>4.4830588099782798</v>
      </c>
      <c r="AW7">
        <f t="shared" si="4"/>
        <v>228.10422563022445</v>
      </c>
      <c r="AX7">
        <f t="shared" si="5"/>
        <v>2686.0053423725835</v>
      </c>
      <c r="AY7">
        <f t="shared" si="6"/>
        <v>6162.7750718532652</v>
      </c>
      <c r="AZ7">
        <f t="shared" si="7"/>
        <v>6233.6766932139799</v>
      </c>
      <c r="BA7">
        <f t="shared" si="8"/>
        <v>67.431273174049451</v>
      </c>
    </row>
    <row r="8" spans="1:53" x14ac:dyDescent="0.25">
      <c r="A8" s="1" t="s">
        <v>38</v>
      </c>
      <c r="B8" s="1" t="s">
        <v>150</v>
      </c>
      <c r="C8" s="44" t="s">
        <v>104</v>
      </c>
      <c r="D8" s="35">
        <f t="shared" si="0"/>
        <v>38652</v>
      </c>
      <c r="E8" s="38">
        <v>9226</v>
      </c>
      <c r="F8" s="38">
        <v>3564</v>
      </c>
      <c r="G8" s="38">
        <v>135816403</v>
      </c>
      <c r="H8" s="38"/>
      <c r="I8" s="38"/>
      <c r="J8" s="38"/>
      <c r="K8" s="38">
        <v>10379</v>
      </c>
      <c r="L8" s="38">
        <v>2596064</v>
      </c>
      <c r="M8" s="38"/>
      <c r="N8" s="38">
        <v>3792692</v>
      </c>
      <c r="O8" s="38">
        <v>121162</v>
      </c>
      <c r="P8" s="38"/>
      <c r="Q8" s="38"/>
      <c r="R8" s="38"/>
      <c r="S8" s="38"/>
      <c r="T8" s="38">
        <v>7219507</v>
      </c>
      <c r="U8" s="38">
        <v>188957087</v>
      </c>
      <c r="V8" s="38"/>
      <c r="W8" s="38">
        <v>103292</v>
      </c>
      <c r="X8" s="38">
        <v>118293</v>
      </c>
      <c r="Y8" s="72">
        <v>38652000</v>
      </c>
      <c r="Z8" s="38">
        <v>11133</v>
      </c>
      <c r="AA8" s="38">
        <v>6688</v>
      </c>
      <c r="AB8" s="38">
        <v>17821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1">
        <f t="shared" si="1"/>
        <v>3913854</v>
      </c>
      <c r="AU8" t="e">
        <f t="shared" si="2"/>
        <v>#DIV/0!</v>
      </c>
      <c r="AV8">
        <f t="shared" si="3"/>
        <v>0</v>
      </c>
      <c r="AW8">
        <f t="shared" si="4"/>
        <v>186.78223636551795</v>
      </c>
      <c r="AX8">
        <f t="shared" si="5"/>
        <v>0</v>
      </c>
      <c r="AY8">
        <f t="shared" si="6"/>
        <v>3513.8260115906032</v>
      </c>
      <c r="AZ8">
        <f t="shared" si="7"/>
        <v>3581.2595984683844</v>
      </c>
      <c r="BA8">
        <f t="shared" si="8"/>
        <v>67.165062609955498</v>
      </c>
    </row>
    <row r="9" spans="1:53" x14ac:dyDescent="0.25">
      <c r="A9" s="1" t="s">
        <v>39</v>
      </c>
      <c r="B9" s="1" t="s">
        <v>150</v>
      </c>
      <c r="C9" s="44" t="s">
        <v>105</v>
      </c>
      <c r="D9" s="35">
        <f t="shared" si="0"/>
        <v>22104.441999999999</v>
      </c>
      <c r="E9" s="38">
        <v>2814</v>
      </c>
      <c r="F9" s="38">
        <v>3190</v>
      </c>
      <c r="G9" s="38">
        <v>48716685</v>
      </c>
      <c r="H9" s="38">
        <v>8923</v>
      </c>
      <c r="I9" s="38">
        <v>10268</v>
      </c>
      <c r="J9" s="38">
        <v>69088</v>
      </c>
      <c r="K9" s="38">
        <v>9439</v>
      </c>
      <c r="L9" s="38">
        <v>305960</v>
      </c>
      <c r="M9" s="38">
        <v>4000</v>
      </c>
      <c r="N9" s="38">
        <v>1033452</v>
      </c>
      <c r="O9" s="38">
        <v>7300</v>
      </c>
      <c r="P9" s="38">
        <v>74</v>
      </c>
      <c r="Q9" s="38">
        <v>9</v>
      </c>
      <c r="R9" s="38">
        <v>288</v>
      </c>
      <c r="S9" s="38">
        <v>114</v>
      </c>
      <c r="T9" s="38">
        <v>2046676</v>
      </c>
      <c r="U9" s="38">
        <v>36324232</v>
      </c>
      <c r="V9" s="38">
        <v>16890884</v>
      </c>
      <c r="W9" s="38">
        <v>3676</v>
      </c>
      <c r="X9" s="38">
        <v>4316</v>
      </c>
      <c r="Y9" s="72">
        <v>22104442</v>
      </c>
      <c r="Z9" s="38">
        <v>4475</v>
      </c>
      <c r="AA9" s="38">
        <v>783</v>
      </c>
      <c r="AB9" s="38">
        <v>5257</v>
      </c>
      <c r="AC9" s="38">
        <v>9775415</v>
      </c>
      <c r="AD9" s="38">
        <v>1394188</v>
      </c>
      <c r="AE9" s="38">
        <v>3028</v>
      </c>
      <c r="AF9" s="38">
        <v>47040</v>
      </c>
      <c r="AG9" s="38">
        <v>101912</v>
      </c>
      <c r="AH9" s="38">
        <v>17291</v>
      </c>
      <c r="AI9" s="38">
        <v>2079678</v>
      </c>
      <c r="AJ9" s="38">
        <v>13418552</v>
      </c>
      <c r="AK9" s="38">
        <v>13015995</v>
      </c>
      <c r="AL9" s="38">
        <v>134186</v>
      </c>
      <c r="AM9" s="38">
        <v>268371</v>
      </c>
      <c r="AN9" s="38">
        <v>13418552</v>
      </c>
      <c r="AO9" s="38">
        <v>942312</v>
      </c>
      <c r="AP9" s="38">
        <v>60231</v>
      </c>
      <c r="AQ9" s="38">
        <v>307789</v>
      </c>
      <c r="AR9" s="38">
        <v>272292</v>
      </c>
      <c r="AS9" s="38">
        <v>1582624</v>
      </c>
      <c r="AT9" s="1">
        <f t="shared" si="1"/>
        <v>1040752</v>
      </c>
      <c r="AU9">
        <f t="shared" si="2"/>
        <v>2.1505228500769999</v>
      </c>
      <c r="AV9">
        <f t="shared" si="3"/>
        <v>0.60705228388031696</v>
      </c>
      <c r="AW9">
        <f t="shared" si="4"/>
        <v>92.591163350787141</v>
      </c>
      <c r="AX9">
        <f t="shared" si="5"/>
        <v>764.13980502199513</v>
      </c>
      <c r="AY9">
        <f t="shared" si="6"/>
        <v>2203.9319065371569</v>
      </c>
      <c r="AZ9">
        <f t="shared" si="7"/>
        <v>2222.3751678508784</v>
      </c>
      <c r="BA9">
        <f t="shared" si="8"/>
        <v>13.841561800112395</v>
      </c>
    </row>
    <row r="10" spans="1:53" x14ac:dyDescent="0.25">
      <c r="A10" s="1" t="s">
        <v>40</v>
      </c>
      <c r="B10" s="1" t="s">
        <v>150</v>
      </c>
      <c r="C10" s="44" t="s">
        <v>106</v>
      </c>
      <c r="D10" s="35">
        <f t="shared" si="0"/>
        <v>5398.9830000000002</v>
      </c>
      <c r="E10" s="38">
        <v>2656</v>
      </c>
      <c r="F10" s="38">
        <v>2909</v>
      </c>
      <c r="G10" s="38">
        <v>18954167</v>
      </c>
      <c r="H10" s="38">
        <v>11271</v>
      </c>
      <c r="I10" s="38">
        <v>13335</v>
      </c>
      <c r="J10" s="38">
        <v>633</v>
      </c>
      <c r="K10" s="38">
        <v>100</v>
      </c>
      <c r="L10" s="38">
        <v>243788</v>
      </c>
      <c r="M10" s="38">
        <v>2058</v>
      </c>
      <c r="N10" s="38">
        <v>334372</v>
      </c>
      <c r="O10" s="38">
        <v>1686</v>
      </c>
      <c r="P10" s="38">
        <v>93</v>
      </c>
      <c r="Q10" s="38">
        <v>30</v>
      </c>
      <c r="R10" s="38">
        <v>160</v>
      </c>
      <c r="S10" s="38">
        <v>142</v>
      </c>
      <c r="T10" s="38">
        <v>678637</v>
      </c>
      <c r="U10" s="38">
        <v>24702257</v>
      </c>
      <c r="V10" s="38">
        <v>6843282</v>
      </c>
      <c r="W10" s="38">
        <v>4852</v>
      </c>
      <c r="X10" s="38">
        <v>8475</v>
      </c>
      <c r="Y10" s="72">
        <v>5398983</v>
      </c>
      <c r="Z10" s="38">
        <v>1585</v>
      </c>
      <c r="AA10" s="38">
        <v>211</v>
      </c>
      <c r="AB10" s="38">
        <v>1796</v>
      </c>
      <c r="AC10" s="38">
        <v>4007711</v>
      </c>
      <c r="AD10" s="38">
        <v>846135</v>
      </c>
      <c r="AE10" s="38">
        <v>0</v>
      </c>
      <c r="AF10" s="38">
        <v>0</v>
      </c>
      <c r="AG10" s="38">
        <v>0</v>
      </c>
      <c r="AH10" s="38">
        <v>0</v>
      </c>
      <c r="AI10" s="38">
        <v>3279804</v>
      </c>
      <c r="AJ10" s="38">
        <v>8133651</v>
      </c>
      <c r="AK10" s="38">
        <v>6826698</v>
      </c>
      <c r="AL10" s="38">
        <v>671913</v>
      </c>
      <c r="AM10" s="38">
        <v>635040</v>
      </c>
      <c r="AN10" s="38">
        <v>8133651</v>
      </c>
      <c r="AO10" s="38">
        <v>448943</v>
      </c>
      <c r="AP10" s="38">
        <v>0</v>
      </c>
      <c r="AQ10" s="38">
        <v>64424</v>
      </c>
      <c r="AR10" s="38">
        <v>83734</v>
      </c>
      <c r="AS10" s="38">
        <v>597102</v>
      </c>
      <c r="AT10" s="1">
        <f t="shared" si="1"/>
        <v>336058</v>
      </c>
      <c r="AU10">
        <f t="shared" si="2"/>
        <v>3.6097090548073276</v>
      </c>
      <c r="AV10">
        <f t="shared" si="3"/>
        <v>1.5065153937324862</v>
      </c>
      <c r="AW10">
        <f t="shared" si="4"/>
        <v>125.69719148958238</v>
      </c>
      <c r="AX10">
        <f t="shared" si="5"/>
        <v>1267.5131594228023</v>
      </c>
      <c r="AY10">
        <f t="shared" si="6"/>
        <v>3510.6921062726074</v>
      </c>
      <c r="AZ10">
        <f t="shared" si="7"/>
        <v>3560.9210104940134</v>
      </c>
      <c r="BA10">
        <f t="shared" si="8"/>
        <v>45.154430010244518</v>
      </c>
    </row>
    <row r="11" spans="1:53" x14ac:dyDescent="0.25">
      <c r="A11" s="1" t="s">
        <v>41</v>
      </c>
      <c r="B11" s="1" t="s">
        <v>150</v>
      </c>
      <c r="C11" s="44" t="s">
        <v>107</v>
      </c>
      <c r="D11" s="35">
        <f t="shared" si="0"/>
        <v>1988.348</v>
      </c>
      <c r="E11" s="38">
        <v>60</v>
      </c>
      <c r="F11" s="38">
        <v>256</v>
      </c>
      <c r="G11" s="38">
        <v>7087968</v>
      </c>
      <c r="H11" s="38">
        <v>11079</v>
      </c>
      <c r="I11" s="38">
        <v>27950</v>
      </c>
      <c r="J11" s="38">
        <v>13689</v>
      </c>
      <c r="K11" s="38">
        <v>719</v>
      </c>
      <c r="L11" s="38">
        <v>234315</v>
      </c>
      <c r="M11" s="38">
        <v>13843</v>
      </c>
      <c r="N11" s="38">
        <v>354622</v>
      </c>
      <c r="O11" s="38">
        <v>34022</v>
      </c>
      <c r="P11" s="38">
        <v>82</v>
      </c>
      <c r="Q11" s="38">
        <v>74</v>
      </c>
      <c r="R11" s="38">
        <v>675</v>
      </c>
      <c r="S11" s="38">
        <v>387</v>
      </c>
      <c r="T11" s="38">
        <v>486108</v>
      </c>
      <c r="U11" s="38">
        <v>21883936</v>
      </c>
      <c r="V11" s="38">
        <v>7830326</v>
      </c>
      <c r="W11" s="38">
        <v>0</v>
      </c>
      <c r="X11" s="38">
        <v>0</v>
      </c>
      <c r="Y11" s="72">
        <v>1988348</v>
      </c>
      <c r="Z11" s="38">
        <v>626</v>
      </c>
      <c r="AA11" s="38">
        <v>242</v>
      </c>
      <c r="AB11" s="38">
        <v>868</v>
      </c>
      <c r="AC11" s="38">
        <v>15399404</v>
      </c>
      <c r="AD11" s="38">
        <v>5863893</v>
      </c>
      <c r="AE11" s="38">
        <v>96704</v>
      </c>
      <c r="AF11" s="38">
        <v>794158</v>
      </c>
      <c r="AG11" s="38">
        <v>6797167</v>
      </c>
      <c r="AH11" s="38">
        <v>1467029</v>
      </c>
      <c r="AI11" s="38">
        <v>0</v>
      </c>
      <c r="AJ11" s="38">
        <v>30418356</v>
      </c>
      <c r="AK11" s="38">
        <v>22032865</v>
      </c>
      <c r="AL11" s="38">
        <v>3557514</v>
      </c>
      <c r="AM11" s="38">
        <v>3049829</v>
      </c>
      <c r="AN11" s="38">
        <v>28640208</v>
      </c>
      <c r="AO11" s="38">
        <v>2514440</v>
      </c>
      <c r="AP11" s="38">
        <v>160718</v>
      </c>
      <c r="AQ11" s="38">
        <v>821296</v>
      </c>
      <c r="AR11" s="38">
        <v>726577</v>
      </c>
      <c r="AS11" s="38">
        <v>4223031</v>
      </c>
      <c r="AT11" s="1">
        <f t="shared" si="1"/>
        <v>388644</v>
      </c>
      <c r="AU11">
        <f t="shared" si="2"/>
        <v>2.7947669100877794</v>
      </c>
      <c r="AV11">
        <f t="shared" si="3"/>
        <v>15.298305930350221</v>
      </c>
      <c r="AW11">
        <f t="shared" si="4"/>
        <v>244.47833075497851</v>
      </c>
      <c r="AX11">
        <f t="shared" si="5"/>
        <v>3938.1064079326156</v>
      </c>
      <c r="AY11">
        <f t="shared" si="6"/>
        <v>3564.7522465886254</v>
      </c>
      <c r="AZ11">
        <f t="shared" si="7"/>
        <v>3716.433441228598</v>
      </c>
      <c r="BA11">
        <f t="shared" si="8"/>
        <v>117.84405949059219</v>
      </c>
    </row>
    <row r="12" spans="1:53" x14ac:dyDescent="0.25">
      <c r="A12" s="1" t="s">
        <v>42</v>
      </c>
      <c r="B12" s="1" t="s">
        <v>151</v>
      </c>
      <c r="C12" s="44" t="s">
        <v>108</v>
      </c>
      <c r="D12" s="35">
        <f t="shared" si="0"/>
        <v>8122.933</v>
      </c>
      <c r="E12" s="38">
        <v>993</v>
      </c>
      <c r="F12" s="38">
        <v>1825</v>
      </c>
      <c r="G12" s="38">
        <v>9432575</v>
      </c>
      <c r="H12" s="38"/>
      <c r="I12" s="38"/>
      <c r="J12" s="38"/>
      <c r="K12" s="38"/>
      <c r="L12" s="38"/>
      <c r="M12" s="38"/>
      <c r="N12" s="38"/>
      <c r="O12" s="38"/>
      <c r="P12" s="38">
        <v>100</v>
      </c>
      <c r="Q12" s="38">
        <v>72</v>
      </c>
      <c r="R12" s="38">
        <v>1852</v>
      </c>
      <c r="S12" s="38">
        <v>1852</v>
      </c>
      <c r="T12" s="38">
        <v>848586</v>
      </c>
      <c r="U12" s="38">
        <v>14275803</v>
      </c>
      <c r="V12" s="38">
        <v>5249111</v>
      </c>
      <c r="W12" s="38">
        <v>19868</v>
      </c>
      <c r="X12" s="38">
        <v>21718</v>
      </c>
      <c r="Y12" s="72">
        <v>8122933</v>
      </c>
      <c r="Z12" s="38">
        <v>667</v>
      </c>
      <c r="AA12" s="38">
        <v>532</v>
      </c>
      <c r="AB12" s="38">
        <v>1199</v>
      </c>
      <c r="AC12" s="38">
        <v>33403971</v>
      </c>
      <c r="AD12" s="38">
        <v>5639644</v>
      </c>
      <c r="AE12" s="38">
        <v>22031</v>
      </c>
      <c r="AF12" s="38">
        <v>776573</v>
      </c>
      <c r="AG12" s="38">
        <v>2915684</v>
      </c>
      <c r="AH12" s="38">
        <v>41276</v>
      </c>
      <c r="AI12" s="38">
        <v>8435044</v>
      </c>
      <c r="AJ12" s="38">
        <v>51234223</v>
      </c>
      <c r="AK12" s="38">
        <v>46302662</v>
      </c>
      <c r="AL12" s="38">
        <v>3252539</v>
      </c>
      <c r="AM12" s="38">
        <v>1679022</v>
      </c>
      <c r="AN12" s="38">
        <v>51234223</v>
      </c>
      <c r="AO12" s="38"/>
      <c r="AP12" s="38"/>
      <c r="AQ12" s="38"/>
      <c r="AR12" s="38"/>
      <c r="AS12" s="38"/>
      <c r="AT12" s="1">
        <f t="shared" si="1"/>
        <v>0</v>
      </c>
      <c r="AU12">
        <f t="shared" si="2"/>
        <v>2.7196611007082914</v>
      </c>
      <c r="AV12">
        <f t="shared" si="3"/>
        <v>6.3073551142179802</v>
      </c>
      <c r="AW12">
        <f t="shared" si="4"/>
        <v>104.4679304876699</v>
      </c>
      <c r="AX12">
        <f t="shared" si="5"/>
        <v>646.20882629464018</v>
      </c>
      <c r="AY12">
        <f t="shared" si="6"/>
        <v>1161.2277240252997</v>
      </c>
      <c r="AZ12">
        <f t="shared" si="7"/>
        <v>1161.2277240252997</v>
      </c>
      <c r="BA12">
        <f t="shared" si="8"/>
        <v>0</v>
      </c>
    </row>
    <row r="13" spans="1:53" x14ac:dyDescent="0.25">
      <c r="A13" s="1" t="s">
        <v>318</v>
      </c>
      <c r="B13" s="1" t="s">
        <v>318</v>
      </c>
      <c r="C13" s="44" t="s">
        <v>317</v>
      </c>
      <c r="D13" s="35">
        <f t="shared" si="0"/>
        <v>6260.1440000000002</v>
      </c>
      <c r="E13" s="38">
        <v>309</v>
      </c>
      <c r="F13" s="38">
        <v>879</v>
      </c>
      <c r="G13" s="38">
        <v>21553143</v>
      </c>
      <c r="H13" s="38"/>
      <c r="I13" s="38">
        <v>43967</v>
      </c>
      <c r="J13" s="38"/>
      <c r="K13" s="38"/>
      <c r="L13" s="38">
        <v>2235649</v>
      </c>
      <c r="M13" s="38">
        <v>129303</v>
      </c>
      <c r="N13" s="38">
        <v>1372535</v>
      </c>
      <c r="O13" s="38">
        <v>231928</v>
      </c>
      <c r="P13" s="38"/>
      <c r="Q13" s="38">
        <v>98</v>
      </c>
      <c r="R13" s="38"/>
      <c r="S13" s="38"/>
      <c r="T13" s="38">
        <v>1713351</v>
      </c>
      <c r="U13" s="38">
        <v>53679183</v>
      </c>
      <c r="V13" s="38"/>
      <c r="W13" s="38"/>
      <c r="X13" s="38"/>
      <c r="Y13" s="72">
        <v>6260144</v>
      </c>
      <c r="Z13" s="38">
        <v>1724</v>
      </c>
      <c r="AA13" s="38">
        <v>977</v>
      </c>
      <c r="AB13" s="38">
        <v>2701</v>
      </c>
      <c r="AC13" s="38">
        <v>92360814</v>
      </c>
      <c r="AD13" s="38">
        <v>18239528</v>
      </c>
      <c r="AE13" s="38">
        <v>3783959</v>
      </c>
      <c r="AF13" s="38">
        <v>0</v>
      </c>
      <c r="AG13" s="38">
        <v>0</v>
      </c>
      <c r="AH13" s="38">
        <v>20638480</v>
      </c>
      <c r="AI13" s="38">
        <v>21364633</v>
      </c>
      <c r="AJ13" s="38">
        <v>156387414</v>
      </c>
      <c r="AK13" s="38">
        <v>54231239</v>
      </c>
      <c r="AL13" s="38">
        <v>9258630</v>
      </c>
      <c r="AM13" s="38">
        <v>822122</v>
      </c>
      <c r="AN13" s="38">
        <v>64311991</v>
      </c>
      <c r="AO13" s="38"/>
      <c r="AP13" s="38"/>
      <c r="AQ13" s="38"/>
      <c r="AR13" s="38"/>
      <c r="AS13" s="38"/>
      <c r="AT13" s="1">
        <f t="shared" si="1"/>
        <v>1604463</v>
      </c>
      <c r="AU13" t="e">
        <f>+U13/V13</f>
        <v>#DIV/0!</v>
      </c>
      <c r="AV13">
        <f>+AJ13/Y13</f>
        <v>24.981440363033183</v>
      </c>
      <c r="AW13">
        <f>+T13/D13</f>
        <v>273.69194702230493</v>
      </c>
      <c r="AX13">
        <f>+V13/D13</f>
        <v>0</v>
      </c>
      <c r="AY13">
        <f>+G13/D13</f>
        <v>3442.9148914146381</v>
      </c>
      <c r="AZ13">
        <f>SUM(G13:M13)/D13</f>
        <v>3827.7173815809988</v>
      </c>
      <c r="BA13">
        <f>+L13/D13</f>
        <v>357.12421311714235</v>
      </c>
    </row>
    <row r="14" spans="1:53" x14ac:dyDescent="0.25">
      <c r="A14" s="1" t="s">
        <v>315</v>
      </c>
      <c r="B14" s="1" t="s">
        <v>315</v>
      </c>
      <c r="C14" s="44" t="s">
        <v>316</v>
      </c>
      <c r="D14" s="35">
        <f t="shared" si="0"/>
        <v>4139.223</v>
      </c>
      <c r="E14" s="38">
        <v>175</v>
      </c>
      <c r="F14" s="38">
        <v>572</v>
      </c>
      <c r="G14" s="38">
        <v>12496226</v>
      </c>
      <c r="H14" s="38"/>
      <c r="I14" s="38">
        <v>99387</v>
      </c>
      <c r="J14" s="38"/>
      <c r="K14" s="38"/>
      <c r="L14" s="38">
        <v>93862</v>
      </c>
      <c r="M14" s="38">
        <v>9803</v>
      </c>
      <c r="N14" s="38">
        <v>253157</v>
      </c>
      <c r="O14" s="38">
        <v>2701</v>
      </c>
      <c r="P14" s="38"/>
      <c r="Q14" s="38"/>
      <c r="R14" s="38">
        <v>395</v>
      </c>
      <c r="S14" s="38"/>
      <c r="T14" s="38">
        <v>790555</v>
      </c>
      <c r="U14" s="38"/>
      <c r="V14" s="38"/>
      <c r="W14" s="38"/>
      <c r="X14" s="38"/>
      <c r="Y14" s="72">
        <v>4139223</v>
      </c>
      <c r="Z14" s="38">
        <v>700</v>
      </c>
      <c r="AA14" s="38">
        <v>301</v>
      </c>
      <c r="AB14" s="38">
        <v>1001</v>
      </c>
      <c r="AC14" s="38">
        <v>35790136</v>
      </c>
      <c r="AD14" s="38">
        <v>5428064</v>
      </c>
      <c r="AE14" s="38">
        <v>0</v>
      </c>
      <c r="AF14" s="38">
        <v>0</v>
      </c>
      <c r="AG14" s="38">
        <v>5084090</v>
      </c>
      <c r="AH14" s="38">
        <v>1405423</v>
      </c>
      <c r="AI14" s="38">
        <v>1182478</v>
      </c>
      <c r="AJ14" s="38">
        <v>48890191</v>
      </c>
      <c r="AK14" s="38">
        <v>40035871</v>
      </c>
      <c r="AL14" s="38">
        <v>3293057</v>
      </c>
      <c r="AM14" s="38">
        <v>0</v>
      </c>
      <c r="AN14" s="38">
        <v>43328928</v>
      </c>
      <c r="AO14" s="38"/>
      <c r="AP14" s="38"/>
      <c r="AQ14" s="38"/>
      <c r="AR14" s="38"/>
      <c r="AS14" s="38"/>
      <c r="AT14" s="1">
        <f t="shared" si="1"/>
        <v>255858</v>
      </c>
      <c r="AU14" t="e">
        <f>+U14/V14</f>
        <v>#DIV/0!</v>
      </c>
      <c r="AV14">
        <f>+AJ14/Y14</f>
        <v>11.811441664293033</v>
      </c>
      <c r="AW14">
        <f>+T14/D14</f>
        <v>190.99115945190681</v>
      </c>
      <c r="AX14">
        <f>+V14/D14</f>
        <v>0</v>
      </c>
      <c r="AY14">
        <f>+G14/D14</f>
        <v>3018.9786827141229</v>
      </c>
      <c r="AZ14">
        <f>SUM(G14:M14)/D14</f>
        <v>3068.0342663345273</v>
      </c>
      <c r="BA14">
        <f>+L14/D14</f>
        <v>22.67623657870088</v>
      </c>
    </row>
    <row r="15" spans="1:53" x14ac:dyDescent="0.25">
      <c r="A15" s="1" t="s">
        <v>43</v>
      </c>
      <c r="B15" s="1" t="s">
        <v>151</v>
      </c>
      <c r="C15" s="44" t="s">
        <v>109</v>
      </c>
      <c r="D15" s="35">
        <f t="shared" si="0"/>
        <v>10399.367</v>
      </c>
      <c r="E15" s="38">
        <v>485</v>
      </c>
      <c r="F15" s="38">
        <v>1451</v>
      </c>
      <c r="G15" s="38">
        <v>34049369</v>
      </c>
      <c r="H15" s="38"/>
      <c r="I15" s="38">
        <v>143354</v>
      </c>
      <c r="J15" s="38"/>
      <c r="K15" s="38"/>
      <c r="L15" s="38">
        <v>2329511</v>
      </c>
      <c r="M15" s="38">
        <v>139106</v>
      </c>
      <c r="N15" s="38">
        <v>1625692</v>
      </c>
      <c r="O15" s="38">
        <v>234629</v>
      </c>
      <c r="P15" s="38"/>
      <c r="Q15" s="38">
        <v>98</v>
      </c>
      <c r="R15" s="38"/>
      <c r="S15" s="38"/>
      <c r="T15" s="38">
        <v>2503906</v>
      </c>
      <c r="U15" s="38"/>
      <c r="V15" s="38"/>
      <c r="W15" s="38">
        <v>41891</v>
      </c>
      <c r="X15" s="38">
        <v>35445</v>
      </c>
      <c r="Y15" s="72">
        <v>10399367</v>
      </c>
      <c r="Z15" s="38">
        <v>2424</v>
      </c>
      <c r="AA15" s="38">
        <v>1278</v>
      </c>
      <c r="AB15" s="38">
        <v>3702</v>
      </c>
      <c r="AC15" s="38">
        <v>128150950</v>
      </c>
      <c r="AD15" s="38">
        <v>23667592</v>
      </c>
      <c r="AE15" s="38">
        <v>3783959</v>
      </c>
      <c r="AF15" s="38">
        <v>0</v>
      </c>
      <c r="AG15" s="38">
        <v>5084090</v>
      </c>
      <c r="AH15" s="38">
        <v>22043903</v>
      </c>
      <c r="AI15" s="38">
        <v>22547111</v>
      </c>
      <c r="AJ15" s="38">
        <v>205277605</v>
      </c>
      <c r="AK15" s="38">
        <v>203318996</v>
      </c>
      <c r="AL15" s="38">
        <v>8470710</v>
      </c>
      <c r="AM15" s="38">
        <v>5887384</v>
      </c>
      <c r="AN15" s="38">
        <v>217677090</v>
      </c>
      <c r="AO15" s="38"/>
      <c r="AP15" s="38"/>
      <c r="AQ15" s="38"/>
      <c r="AR15" s="38"/>
      <c r="AS15" s="38"/>
      <c r="AT15" s="1">
        <f t="shared" si="1"/>
        <v>1860321</v>
      </c>
      <c r="AU15" t="e">
        <f t="shared" si="2"/>
        <v>#DIV/0!</v>
      </c>
      <c r="AV15">
        <f t="shared" si="3"/>
        <v>19.739432698163263</v>
      </c>
      <c r="AW15">
        <f t="shared" si="4"/>
        <v>240.7748471613705</v>
      </c>
      <c r="AX15">
        <f t="shared" si="5"/>
        <v>0</v>
      </c>
      <c r="AY15">
        <f t="shared" si="6"/>
        <v>3274.1770725083556</v>
      </c>
      <c r="AZ15">
        <f t="shared" si="7"/>
        <v>3525.3434175368557</v>
      </c>
      <c r="BA15">
        <f t="shared" si="8"/>
        <v>224.00507646282702</v>
      </c>
    </row>
    <row r="16" spans="1:53" x14ac:dyDescent="0.25">
      <c r="A16" s="1" t="s">
        <v>44</v>
      </c>
      <c r="B16" s="1" t="s">
        <v>151</v>
      </c>
      <c r="C16" s="44" t="s">
        <v>110</v>
      </c>
      <c r="D16" s="35">
        <f t="shared" si="0"/>
        <v>5367.2259999999997</v>
      </c>
      <c r="E16" s="38">
        <v>244</v>
      </c>
      <c r="F16" s="38">
        <v>797</v>
      </c>
      <c r="G16" s="38">
        <v>27081405</v>
      </c>
      <c r="H16" s="38">
        <v>2834</v>
      </c>
      <c r="I16" s="38">
        <v>184810</v>
      </c>
      <c r="J16" s="38">
        <v>25951</v>
      </c>
      <c r="K16" s="38">
        <v>355</v>
      </c>
      <c r="L16" s="38">
        <v>2988653</v>
      </c>
      <c r="M16" s="38">
        <v>121535</v>
      </c>
      <c r="N16" s="38">
        <v>1543188</v>
      </c>
      <c r="O16" s="38">
        <v>378324</v>
      </c>
      <c r="P16" s="38">
        <v>89</v>
      </c>
      <c r="Q16" s="38">
        <v>73</v>
      </c>
      <c r="R16" s="38">
        <v>3590</v>
      </c>
      <c r="S16" s="38">
        <v>2551</v>
      </c>
      <c r="T16" s="38">
        <v>1880587</v>
      </c>
      <c r="U16" s="38">
        <v>71657119</v>
      </c>
      <c r="V16" s="38">
        <v>32971560</v>
      </c>
      <c r="W16" s="38">
        <v>875756</v>
      </c>
      <c r="X16" s="38">
        <v>11249571</v>
      </c>
      <c r="Y16" s="72">
        <v>5367226</v>
      </c>
      <c r="Z16" s="38">
        <v>2286</v>
      </c>
      <c r="AA16" s="38">
        <v>2792</v>
      </c>
      <c r="AB16" s="38">
        <v>5078</v>
      </c>
      <c r="AC16" s="38">
        <v>202488396</v>
      </c>
      <c r="AD16" s="38">
        <v>49767930</v>
      </c>
      <c r="AE16" s="38"/>
      <c r="AF16" s="38"/>
      <c r="AG16" s="38"/>
      <c r="AH16" s="38"/>
      <c r="AI16" s="38">
        <v>92690956</v>
      </c>
      <c r="AJ16" s="38">
        <v>344947282</v>
      </c>
      <c r="AK16" s="38">
        <v>344947282</v>
      </c>
      <c r="AL16" s="38"/>
      <c r="AM16" s="38"/>
      <c r="AN16" s="38">
        <v>344947282</v>
      </c>
      <c r="AO16" s="38"/>
      <c r="AP16" s="38"/>
      <c r="AQ16" s="38"/>
      <c r="AR16" s="38"/>
      <c r="AS16" s="38"/>
      <c r="AT16" s="1">
        <f t="shared" si="1"/>
        <v>1921512</v>
      </c>
      <c r="AU16">
        <f t="shared" si="2"/>
        <v>2.1733008386621684</v>
      </c>
      <c r="AV16">
        <f t="shared" si="3"/>
        <v>64.269192689109786</v>
      </c>
      <c r="AW16">
        <f t="shared" si="4"/>
        <v>350.38341966595038</v>
      </c>
      <c r="AX16">
        <f t="shared" si="5"/>
        <v>6143.1286850972929</v>
      </c>
      <c r="AY16">
        <f t="shared" si="6"/>
        <v>5045.6986532707961</v>
      </c>
      <c r="AZ16">
        <f t="shared" si="7"/>
        <v>5665.0386996932866</v>
      </c>
      <c r="BA16">
        <f t="shared" si="8"/>
        <v>556.83382812648472</v>
      </c>
    </row>
    <row r="17" spans="1:53" x14ac:dyDescent="0.25">
      <c r="A17" s="1" t="s">
        <v>45</v>
      </c>
      <c r="B17" s="1" t="s">
        <v>151</v>
      </c>
      <c r="C17" s="44" t="s">
        <v>111</v>
      </c>
      <c r="D17" s="35">
        <f t="shared" si="0"/>
        <v>3802.3330000000001</v>
      </c>
      <c r="E17" s="38">
        <v>32</v>
      </c>
      <c r="F17" s="38">
        <v>360</v>
      </c>
      <c r="G17" s="38">
        <v>11528071</v>
      </c>
      <c r="H17" s="38">
        <v>12663</v>
      </c>
      <c r="I17" s="38">
        <v>1710</v>
      </c>
      <c r="J17" s="38">
        <v>12728</v>
      </c>
      <c r="K17" s="38">
        <v>21307</v>
      </c>
      <c r="L17" s="38">
        <v>348422</v>
      </c>
      <c r="M17" s="38">
        <v>3436</v>
      </c>
      <c r="N17" s="38">
        <v>1004393</v>
      </c>
      <c r="O17" s="38">
        <v>37824</v>
      </c>
      <c r="P17" s="38">
        <v>89</v>
      </c>
      <c r="Q17" s="38">
        <v>73</v>
      </c>
      <c r="R17" s="38">
        <v>1317</v>
      </c>
      <c r="S17" s="38">
        <v>835</v>
      </c>
      <c r="T17" s="38">
        <v>905397</v>
      </c>
      <c r="U17" s="38">
        <v>12046407</v>
      </c>
      <c r="V17" s="38">
        <v>20373338</v>
      </c>
      <c r="W17" s="38">
        <v>1860</v>
      </c>
      <c r="X17" s="38">
        <v>4708</v>
      </c>
      <c r="Y17" s="72">
        <v>3802333</v>
      </c>
      <c r="Z17" s="38">
        <v>295</v>
      </c>
      <c r="AA17" s="38">
        <v>1105</v>
      </c>
      <c r="AB17" s="38">
        <v>1400</v>
      </c>
      <c r="AC17" s="38">
        <v>34418420</v>
      </c>
      <c r="AD17" s="38">
        <v>9778592</v>
      </c>
      <c r="AE17" s="38">
        <v>0</v>
      </c>
      <c r="AF17" s="38">
        <v>1616215</v>
      </c>
      <c r="AG17" s="38">
        <v>8339853</v>
      </c>
      <c r="AH17" s="38">
        <v>0</v>
      </c>
      <c r="AI17" s="38">
        <v>6795565</v>
      </c>
      <c r="AJ17" s="38">
        <v>60948645</v>
      </c>
      <c r="AK17" s="38">
        <v>53279598</v>
      </c>
      <c r="AL17" s="38">
        <v>1560092</v>
      </c>
      <c r="AM17" s="38">
        <v>6108955</v>
      </c>
      <c r="AN17" s="38">
        <v>60948645</v>
      </c>
      <c r="AO17" s="38">
        <v>3882190</v>
      </c>
      <c r="AP17" s="38">
        <v>4544227</v>
      </c>
      <c r="AQ17" s="38">
        <v>2042719</v>
      </c>
      <c r="AR17" s="38">
        <v>1376111</v>
      </c>
      <c r="AS17" s="38">
        <v>11845247</v>
      </c>
      <c r="AT17" s="1">
        <f t="shared" si="1"/>
        <v>1042217</v>
      </c>
      <c r="AU17">
        <f t="shared" si="2"/>
        <v>0.5912829306616324</v>
      </c>
      <c r="AV17">
        <f t="shared" si="3"/>
        <v>16.029275973461555</v>
      </c>
      <c r="AW17">
        <f t="shared" si="4"/>
        <v>238.11617762042408</v>
      </c>
      <c r="AX17">
        <f t="shared" si="5"/>
        <v>5358.1151361545662</v>
      </c>
      <c r="AY17">
        <f t="shared" si="6"/>
        <v>3031.8415036242222</v>
      </c>
      <c r="AZ17">
        <f t="shared" si="7"/>
        <v>3137.1100321828731</v>
      </c>
      <c r="BA17">
        <f t="shared" si="8"/>
        <v>91.633741705421386</v>
      </c>
    </row>
    <row r="18" spans="1:53" x14ac:dyDescent="0.25">
      <c r="A18" s="1" t="s">
        <v>46</v>
      </c>
      <c r="B18" s="1" t="s">
        <v>151</v>
      </c>
      <c r="C18" s="44" t="s">
        <v>112</v>
      </c>
      <c r="D18" s="35">
        <f t="shared" si="0"/>
        <v>5158.4399999999996</v>
      </c>
      <c r="E18" s="38">
        <v>436</v>
      </c>
      <c r="F18" s="38">
        <v>1117</v>
      </c>
      <c r="G18" s="38">
        <v>37073549</v>
      </c>
      <c r="H18" s="38"/>
      <c r="I18" s="38">
        <v>97972</v>
      </c>
      <c r="J18" s="38"/>
      <c r="K18" s="38"/>
      <c r="L18" s="38">
        <v>4353661</v>
      </c>
      <c r="M18" s="38">
        <v>24086</v>
      </c>
      <c r="N18" s="38">
        <v>1597165</v>
      </c>
      <c r="O18" s="38">
        <v>344380</v>
      </c>
      <c r="P18" s="38">
        <v>100</v>
      </c>
      <c r="Q18" s="38">
        <v>100</v>
      </c>
      <c r="R18" s="38">
        <v>2633</v>
      </c>
      <c r="S18" s="38">
        <v>1370</v>
      </c>
      <c r="T18" s="38">
        <v>2384067</v>
      </c>
      <c r="U18" s="38">
        <v>102216649</v>
      </c>
      <c r="V18" s="38">
        <v>63922228</v>
      </c>
      <c r="W18" s="38">
        <v>186232</v>
      </c>
      <c r="X18" s="38">
        <v>194134</v>
      </c>
      <c r="Y18" s="72">
        <v>5158440</v>
      </c>
      <c r="Z18" s="38">
        <v>1493</v>
      </c>
      <c r="AA18" s="38">
        <v>2662</v>
      </c>
      <c r="AB18" s="38">
        <v>4155</v>
      </c>
      <c r="AC18" s="38">
        <v>133788467</v>
      </c>
      <c r="AD18" s="38">
        <v>41960202</v>
      </c>
      <c r="AE18" s="38">
        <v>0</v>
      </c>
      <c r="AF18" s="38">
        <v>0</v>
      </c>
      <c r="AG18" s="38">
        <v>0</v>
      </c>
      <c r="AH18" s="38">
        <v>0</v>
      </c>
      <c r="AI18" s="38">
        <v>62732665</v>
      </c>
      <c r="AJ18" s="38">
        <v>238481334</v>
      </c>
      <c r="AK18" s="38">
        <v>219279683</v>
      </c>
      <c r="AL18" s="38">
        <v>4525438</v>
      </c>
      <c r="AM18" s="38">
        <v>14676213</v>
      </c>
      <c r="AN18" s="38">
        <v>238481334</v>
      </c>
      <c r="AO18" s="38">
        <v>19549279</v>
      </c>
      <c r="AP18" s="38">
        <v>1249550</v>
      </c>
      <c r="AQ18" s="38">
        <v>6385416</v>
      </c>
      <c r="AR18" s="38">
        <v>5648995</v>
      </c>
      <c r="AS18" s="38">
        <v>32833240</v>
      </c>
      <c r="AT18" s="1">
        <f t="shared" si="1"/>
        <v>1941545</v>
      </c>
      <c r="AU18">
        <f t="shared" si="2"/>
        <v>1.5990783206117283</v>
      </c>
      <c r="AV18">
        <f t="shared" si="3"/>
        <v>46.231289692232536</v>
      </c>
      <c r="AW18">
        <f t="shared" si="4"/>
        <v>462.16821364598604</v>
      </c>
      <c r="AX18">
        <f t="shared" si="5"/>
        <v>12391.775032761843</v>
      </c>
      <c r="AY18">
        <f t="shared" si="6"/>
        <v>7186.969122447872</v>
      </c>
      <c r="AZ18">
        <f t="shared" si="7"/>
        <v>8054.6188382534265</v>
      </c>
      <c r="BA18">
        <f t="shared" si="8"/>
        <v>843.98791107389059</v>
      </c>
    </row>
    <row r="19" spans="1:53" x14ac:dyDescent="0.25">
      <c r="A19" s="1" t="s">
        <v>47</v>
      </c>
      <c r="B19" s="1" t="s">
        <v>151</v>
      </c>
      <c r="C19" s="44" t="s">
        <v>113</v>
      </c>
      <c r="D19" s="35">
        <f t="shared" si="0"/>
        <v>59463.538</v>
      </c>
      <c r="E19" s="38">
        <v>3989</v>
      </c>
      <c r="F19" s="38">
        <v>3884</v>
      </c>
      <c r="G19" s="38">
        <v>152159231</v>
      </c>
      <c r="H19" s="38"/>
      <c r="I19" s="38">
        <v>230713</v>
      </c>
      <c r="J19" s="38"/>
      <c r="K19" s="38"/>
      <c r="L19" s="38">
        <v>10231729</v>
      </c>
      <c r="M19" s="38">
        <v>216654</v>
      </c>
      <c r="N19" s="38">
        <v>7042112</v>
      </c>
      <c r="O19" s="38">
        <v>1011847</v>
      </c>
      <c r="P19" s="38">
        <v>85</v>
      </c>
      <c r="Q19" s="38"/>
      <c r="R19" s="38"/>
      <c r="S19" s="38"/>
      <c r="T19" s="38">
        <v>12025650</v>
      </c>
      <c r="U19" s="38">
        <v>310175619</v>
      </c>
      <c r="V19" s="38"/>
      <c r="W19" s="38">
        <v>18939</v>
      </c>
      <c r="X19" s="38">
        <v>21692</v>
      </c>
      <c r="Y19" s="72">
        <v>59463538</v>
      </c>
      <c r="Z19" s="38">
        <v>7031</v>
      </c>
      <c r="AA19" s="38">
        <v>14498</v>
      </c>
      <c r="AB19" s="38">
        <v>21529</v>
      </c>
      <c r="AC19" s="38">
        <v>685948897</v>
      </c>
      <c r="AD19" s="38">
        <v>124603730</v>
      </c>
      <c r="AE19" s="38">
        <v>650962</v>
      </c>
      <c r="AF19" s="38">
        <v>16711785</v>
      </c>
      <c r="AG19" s="38">
        <v>57245238</v>
      </c>
      <c r="AH19" s="38">
        <v>27126</v>
      </c>
      <c r="AI19" s="38">
        <v>171025601</v>
      </c>
      <c r="AJ19" s="38">
        <v>1056213339</v>
      </c>
      <c r="AK19" s="38">
        <v>1022860539</v>
      </c>
      <c r="AL19" s="38">
        <v>27109539</v>
      </c>
      <c r="AM19" s="38">
        <v>6243261</v>
      </c>
      <c r="AN19" s="38">
        <v>1056213339</v>
      </c>
      <c r="AO19" s="38">
        <v>218371411</v>
      </c>
      <c r="AP19" s="38">
        <v>8895576</v>
      </c>
      <c r="AQ19" s="38">
        <v>45457951</v>
      </c>
      <c r="AR19" s="38">
        <v>40215347</v>
      </c>
      <c r="AS19" s="38">
        <v>312940285</v>
      </c>
      <c r="AT19" s="1">
        <f t="shared" si="1"/>
        <v>8053959</v>
      </c>
      <c r="AU19" t="e">
        <f t="shared" si="2"/>
        <v>#DIV/0!</v>
      </c>
      <c r="AV19">
        <f t="shared" si="3"/>
        <v>17.762369588570394</v>
      </c>
      <c r="AW19">
        <f t="shared" si="4"/>
        <v>202.23569610002014</v>
      </c>
      <c r="AX19">
        <f t="shared" si="5"/>
        <v>0</v>
      </c>
      <c r="AY19">
        <f t="shared" si="6"/>
        <v>2558.866090342623</v>
      </c>
      <c r="AZ19">
        <f t="shared" si="7"/>
        <v>2738.4567497480557</v>
      </c>
      <c r="BA19">
        <f t="shared" si="8"/>
        <v>172.06727591620935</v>
      </c>
    </row>
    <row r="20" spans="1:53" x14ac:dyDescent="0.25">
      <c r="A20" s="1" t="s">
        <v>48</v>
      </c>
      <c r="B20" s="1" t="s">
        <v>151</v>
      </c>
      <c r="C20" s="44" t="s">
        <v>114</v>
      </c>
      <c r="D20" s="35">
        <f t="shared" si="0"/>
        <v>10824</v>
      </c>
      <c r="E20" s="38">
        <v>733</v>
      </c>
      <c r="F20" s="38">
        <v>829</v>
      </c>
      <c r="G20" s="38">
        <v>9907012</v>
      </c>
      <c r="H20" s="38">
        <v>164430</v>
      </c>
      <c r="I20" s="38">
        <v>126978</v>
      </c>
      <c r="J20" s="38">
        <v>1540926</v>
      </c>
      <c r="K20" s="38">
        <v>324200</v>
      </c>
      <c r="L20" s="38">
        <v>104669</v>
      </c>
      <c r="M20" s="38">
        <v>13776</v>
      </c>
      <c r="N20" s="38">
        <v>302533</v>
      </c>
      <c r="O20" s="38">
        <v>12523</v>
      </c>
      <c r="P20" s="38">
        <v>89</v>
      </c>
      <c r="Q20" s="38">
        <v>73</v>
      </c>
      <c r="R20" s="38">
        <v>5020</v>
      </c>
      <c r="S20" s="38">
        <v>2545</v>
      </c>
      <c r="T20" s="38">
        <v>2951314</v>
      </c>
      <c r="U20" s="38">
        <v>1994343</v>
      </c>
      <c r="V20" s="38">
        <v>2492594</v>
      </c>
      <c r="W20" s="38">
        <v>8912</v>
      </c>
      <c r="X20" s="38">
        <v>12469</v>
      </c>
      <c r="Y20" s="72">
        <v>10824000</v>
      </c>
      <c r="Z20" s="38">
        <v>1029</v>
      </c>
      <c r="AA20" s="38">
        <v>805</v>
      </c>
      <c r="AB20" s="38">
        <v>1834</v>
      </c>
      <c r="AC20" s="38">
        <v>42171895</v>
      </c>
      <c r="AD20" s="38">
        <v>9424764</v>
      </c>
      <c r="AE20" s="38">
        <v>50573</v>
      </c>
      <c r="AF20" s="38">
        <v>1298353</v>
      </c>
      <c r="AG20" s="38">
        <v>4447434</v>
      </c>
      <c r="AH20" s="38">
        <v>2108</v>
      </c>
      <c r="AI20" s="38">
        <v>13287131</v>
      </c>
      <c r="AJ20" s="38">
        <v>70682258</v>
      </c>
      <c r="AK20" s="38"/>
      <c r="AL20" s="38"/>
      <c r="AM20" s="38"/>
      <c r="AN20" s="38"/>
      <c r="AO20" s="38"/>
      <c r="AP20" s="38"/>
      <c r="AQ20" s="38"/>
      <c r="AR20" s="38"/>
      <c r="AS20" s="38"/>
      <c r="AT20" s="1">
        <f t="shared" si="1"/>
        <v>315056</v>
      </c>
      <c r="AU20">
        <f t="shared" si="2"/>
        <v>0.8001074382751463</v>
      </c>
      <c r="AV20">
        <f t="shared" si="3"/>
        <v>6.5301420916481892</v>
      </c>
      <c r="AW20">
        <f t="shared" si="4"/>
        <v>272.66389504804141</v>
      </c>
      <c r="AX20">
        <f t="shared" si="5"/>
        <v>230.2839985218034</v>
      </c>
      <c r="AY20">
        <f t="shared" si="6"/>
        <v>915.28196600147817</v>
      </c>
      <c r="AZ20">
        <f t="shared" si="7"/>
        <v>1125.4611049519585</v>
      </c>
      <c r="BA20">
        <f t="shared" si="8"/>
        <v>9.6700849963045084</v>
      </c>
    </row>
    <row r="21" spans="1:53" x14ac:dyDescent="0.25">
      <c r="A21" s="1" t="s">
        <v>49</v>
      </c>
      <c r="B21" s="1" t="s">
        <v>152</v>
      </c>
      <c r="C21" s="44" t="s">
        <v>115</v>
      </c>
      <c r="D21" s="35">
        <f t="shared" si="0"/>
        <v>281.31</v>
      </c>
      <c r="E21" s="38">
        <v>127</v>
      </c>
      <c r="F21" s="38">
        <v>133</v>
      </c>
      <c r="G21" s="38">
        <v>2067665</v>
      </c>
      <c r="H21" s="38"/>
      <c r="I21" s="38">
        <v>94</v>
      </c>
      <c r="J21" s="38">
        <v>600</v>
      </c>
      <c r="K21" s="38">
        <v>3178</v>
      </c>
      <c r="L21" s="38">
        <v>70718</v>
      </c>
      <c r="M21" s="38">
        <v>880</v>
      </c>
      <c r="N21" s="38">
        <v>83407</v>
      </c>
      <c r="O21" s="38">
        <v>4962</v>
      </c>
      <c r="P21" s="38"/>
      <c r="Q21" s="38"/>
      <c r="R21" s="38"/>
      <c r="S21" s="38"/>
      <c r="T21" s="38">
        <v>90696</v>
      </c>
      <c r="U21" s="38">
        <v>2233208</v>
      </c>
      <c r="V21" s="38">
        <v>842590</v>
      </c>
      <c r="W21" s="38">
        <v>497</v>
      </c>
      <c r="X21" s="38">
        <v>2192</v>
      </c>
      <c r="Y21" s="72">
        <v>281310</v>
      </c>
      <c r="Z21" s="38">
        <v>80</v>
      </c>
      <c r="AA21" s="38">
        <v>220</v>
      </c>
      <c r="AB21" s="38">
        <v>300</v>
      </c>
      <c r="AC21" s="38">
        <v>4801006</v>
      </c>
      <c r="AD21" s="38">
        <v>1665216</v>
      </c>
      <c r="AE21" s="38">
        <v>0</v>
      </c>
      <c r="AF21" s="38">
        <v>94929</v>
      </c>
      <c r="AG21" s="38">
        <v>675864</v>
      </c>
      <c r="AH21" s="38">
        <v>226685</v>
      </c>
      <c r="AI21" s="38">
        <v>1253994</v>
      </c>
      <c r="AJ21" s="38">
        <v>8717694</v>
      </c>
      <c r="AK21" s="38">
        <v>7937709</v>
      </c>
      <c r="AL21" s="38">
        <v>620304</v>
      </c>
      <c r="AM21" s="38">
        <v>159681</v>
      </c>
      <c r="AN21" s="38">
        <v>8717694</v>
      </c>
      <c r="AO21" s="38"/>
      <c r="AP21" s="38"/>
      <c r="AQ21" s="38"/>
      <c r="AR21" s="38"/>
      <c r="AS21" s="38"/>
      <c r="AT21" s="1">
        <f t="shared" si="1"/>
        <v>88369</v>
      </c>
      <c r="AU21">
        <f t="shared" si="2"/>
        <v>2.6504088584008829</v>
      </c>
      <c r="AV21">
        <f t="shared" si="3"/>
        <v>30.989634211368241</v>
      </c>
      <c r="AW21">
        <f t="shared" si="4"/>
        <v>322.40588674416125</v>
      </c>
      <c r="AX21">
        <f t="shared" si="5"/>
        <v>2995.2365717535813</v>
      </c>
      <c r="AY21">
        <f t="shared" si="6"/>
        <v>7350.1297500977571</v>
      </c>
      <c r="AZ21">
        <f t="shared" si="7"/>
        <v>7618.4102946926878</v>
      </c>
      <c r="BA21">
        <f t="shared" si="8"/>
        <v>251.38814830613913</v>
      </c>
    </row>
    <row r="22" spans="1:53" x14ac:dyDescent="0.25">
      <c r="A22" s="1" t="s">
        <v>50</v>
      </c>
      <c r="B22" s="1" t="s">
        <v>151</v>
      </c>
      <c r="C22" s="44" t="s">
        <v>116</v>
      </c>
      <c r="D22" s="35">
        <f t="shared" si="0"/>
        <v>57843.667000000001</v>
      </c>
      <c r="E22" s="38">
        <v>84</v>
      </c>
      <c r="F22" s="38">
        <v>6003</v>
      </c>
      <c r="G22" s="38">
        <v>42214563</v>
      </c>
      <c r="H22" s="38"/>
      <c r="I22" s="38"/>
      <c r="J22" s="38"/>
      <c r="K22" s="38"/>
      <c r="L22" s="38"/>
      <c r="M22" s="38"/>
      <c r="N22" s="38">
        <v>3993273</v>
      </c>
      <c r="O22" s="38"/>
      <c r="P22" s="38"/>
      <c r="Q22" s="38"/>
      <c r="R22" s="38"/>
      <c r="S22" s="38"/>
      <c r="T22" s="38"/>
      <c r="U22" s="38"/>
      <c r="V22" s="38"/>
      <c r="W22" s="38">
        <v>457999</v>
      </c>
      <c r="X22" s="38">
        <v>500805</v>
      </c>
      <c r="Y22" s="72">
        <v>57843667</v>
      </c>
      <c r="Z22" s="38">
        <v>5984</v>
      </c>
      <c r="AA22" s="38">
        <v>17856</v>
      </c>
      <c r="AB22" s="38">
        <v>23840</v>
      </c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1">
        <f t="shared" si="1"/>
        <v>3993273</v>
      </c>
      <c r="AU22" t="e">
        <f t="shared" si="2"/>
        <v>#DIV/0!</v>
      </c>
      <c r="AV22">
        <f t="shared" si="3"/>
        <v>0</v>
      </c>
      <c r="AW22">
        <f t="shared" si="4"/>
        <v>0</v>
      </c>
      <c r="AX22">
        <f t="shared" si="5"/>
        <v>0</v>
      </c>
      <c r="AY22">
        <f t="shared" si="6"/>
        <v>729.80440538114567</v>
      </c>
      <c r="AZ22">
        <f t="shared" si="7"/>
        <v>729.80440538114567</v>
      </c>
      <c r="BA22">
        <f t="shared" si="8"/>
        <v>0</v>
      </c>
    </row>
    <row r="23" spans="1:53" x14ac:dyDescent="0.25">
      <c r="A23" s="1" t="s">
        <v>51</v>
      </c>
      <c r="B23" s="1" t="s">
        <v>152</v>
      </c>
      <c r="C23" s="44" t="s">
        <v>117</v>
      </c>
      <c r="D23" s="35">
        <f t="shared" si="0"/>
        <v>33.322000000000003</v>
      </c>
      <c r="E23" s="38">
        <v>3</v>
      </c>
      <c r="F23" s="38">
        <v>3</v>
      </c>
      <c r="G23" s="38">
        <v>24588</v>
      </c>
      <c r="H23" s="38"/>
      <c r="I23" s="38"/>
      <c r="J23" s="38"/>
      <c r="K23" s="38"/>
      <c r="L23" s="38"/>
      <c r="M23" s="38"/>
      <c r="N23" s="38">
        <v>6087</v>
      </c>
      <c r="O23" s="38"/>
      <c r="P23" s="38"/>
      <c r="Q23" s="38"/>
      <c r="R23" s="38"/>
      <c r="S23" s="38">
        <v>5</v>
      </c>
      <c r="T23" s="38"/>
      <c r="U23" s="38">
        <v>80227</v>
      </c>
      <c r="V23" s="38"/>
      <c r="W23" s="38">
        <v>1373</v>
      </c>
      <c r="X23" s="38">
        <v>1009</v>
      </c>
      <c r="Y23" s="72">
        <v>33322</v>
      </c>
      <c r="Z23" s="38">
        <v>2</v>
      </c>
      <c r="AA23" s="38">
        <v>3</v>
      </c>
      <c r="AB23" s="38">
        <v>5</v>
      </c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1">
        <f t="shared" si="1"/>
        <v>6087</v>
      </c>
      <c r="AU23" t="e">
        <f t="shared" si="2"/>
        <v>#DIV/0!</v>
      </c>
      <c r="AV23">
        <f t="shared" si="3"/>
        <v>0</v>
      </c>
      <c r="AW23">
        <f t="shared" si="4"/>
        <v>0</v>
      </c>
      <c r="AX23">
        <f t="shared" si="5"/>
        <v>0</v>
      </c>
      <c r="AY23">
        <f t="shared" si="6"/>
        <v>737.89088290018606</v>
      </c>
      <c r="AZ23">
        <f t="shared" si="7"/>
        <v>737.89088290018606</v>
      </c>
      <c r="BA23">
        <f t="shared" si="8"/>
        <v>0</v>
      </c>
    </row>
    <row r="24" spans="1:53" x14ac:dyDescent="0.25">
      <c r="A24" s="1" t="s">
        <v>52</v>
      </c>
      <c r="B24" s="1" t="s">
        <v>151</v>
      </c>
      <c r="C24" s="44" t="s">
        <v>118</v>
      </c>
      <c r="D24" s="35">
        <f t="shared" si="0"/>
        <v>457.33300000000003</v>
      </c>
      <c r="E24" s="38">
        <v>8</v>
      </c>
      <c r="F24" s="38">
        <v>8</v>
      </c>
      <c r="G24" s="38">
        <v>248480</v>
      </c>
      <c r="H24" s="38">
        <v>188</v>
      </c>
      <c r="I24" s="38">
        <v>173</v>
      </c>
      <c r="J24" s="38">
        <v>0</v>
      </c>
      <c r="K24" s="38">
        <v>0</v>
      </c>
      <c r="L24" s="38">
        <v>1530</v>
      </c>
      <c r="M24" s="38">
        <v>332</v>
      </c>
      <c r="N24" s="38">
        <v>10102</v>
      </c>
      <c r="O24" s="38">
        <v>114</v>
      </c>
      <c r="P24" s="38">
        <v>91</v>
      </c>
      <c r="Q24" s="38">
        <v>44</v>
      </c>
      <c r="R24" s="38">
        <v>52</v>
      </c>
      <c r="S24" s="38">
        <v>28</v>
      </c>
      <c r="T24" s="38">
        <v>37112</v>
      </c>
      <c r="U24" s="38">
        <v>129535</v>
      </c>
      <c r="V24" s="38">
        <v>78357</v>
      </c>
      <c r="W24" s="38">
        <v>2210</v>
      </c>
      <c r="X24" s="38">
        <v>3887</v>
      </c>
      <c r="Y24" s="72">
        <v>457333</v>
      </c>
      <c r="Z24" s="38">
        <v>18</v>
      </c>
      <c r="AA24" s="38">
        <v>5</v>
      </c>
      <c r="AB24" s="38">
        <v>23</v>
      </c>
      <c r="AC24" s="38">
        <v>1117927</v>
      </c>
      <c r="AD24" s="38">
        <v>257520</v>
      </c>
      <c r="AE24" s="38">
        <v>418</v>
      </c>
      <c r="AF24" s="38">
        <v>21</v>
      </c>
      <c r="AG24" s="38">
        <v>38878</v>
      </c>
      <c r="AH24" s="38">
        <v>41805</v>
      </c>
      <c r="AI24" s="38">
        <v>32997</v>
      </c>
      <c r="AJ24" s="38">
        <v>1489566</v>
      </c>
      <c r="AK24" s="38"/>
      <c r="AL24" s="38"/>
      <c r="AM24" s="38"/>
      <c r="AN24" s="38"/>
      <c r="AO24" s="38">
        <v>8895</v>
      </c>
      <c r="AP24" s="38">
        <v>453</v>
      </c>
      <c r="AQ24" s="38">
        <v>2300</v>
      </c>
      <c r="AR24" s="38">
        <v>1785</v>
      </c>
      <c r="AS24" s="38">
        <v>13433</v>
      </c>
      <c r="AT24" s="1">
        <f t="shared" si="1"/>
        <v>10216</v>
      </c>
      <c r="AU24">
        <f t="shared" si="2"/>
        <v>1.6531388389039907</v>
      </c>
      <c r="AV24">
        <f t="shared" si="3"/>
        <v>3.2570708870779059</v>
      </c>
      <c r="AW24">
        <f t="shared" si="4"/>
        <v>81.148747192964422</v>
      </c>
      <c r="AX24">
        <f t="shared" si="5"/>
        <v>171.33467298445552</v>
      </c>
      <c r="AY24">
        <f t="shared" si="6"/>
        <v>543.32401116910432</v>
      </c>
      <c r="AZ24">
        <f t="shared" si="7"/>
        <v>548.18480188396632</v>
      </c>
      <c r="BA24">
        <f t="shared" si="8"/>
        <v>3.3454834879617259</v>
      </c>
    </row>
    <row r="25" spans="1:53" x14ac:dyDescent="0.25">
      <c r="A25" s="1" t="s">
        <v>53</v>
      </c>
      <c r="B25" s="1" t="s">
        <v>151</v>
      </c>
      <c r="C25" s="44" t="s">
        <v>119</v>
      </c>
      <c r="D25" s="35">
        <f t="shared" si="0"/>
        <v>16250.666999999999</v>
      </c>
      <c r="E25" s="38">
        <v>490</v>
      </c>
      <c r="F25" s="38">
        <v>1101</v>
      </c>
      <c r="G25" s="38">
        <v>42386215</v>
      </c>
      <c r="H25" s="38"/>
      <c r="I25" s="38"/>
      <c r="J25" s="38"/>
      <c r="K25" s="38"/>
      <c r="L25" s="38"/>
      <c r="M25" s="38"/>
      <c r="N25" s="38">
        <v>3817553</v>
      </c>
      <c r="O25" s="38"/>
      <c r="P25" s="38"/>
      <c r="Q25" s="38"/>
      <c r="R25" s="38"/>
      <c r="S25" s="38"/>
      <c r="T25" s="38"/>
      <c r="U25" s="38">
        <v>197036000</v>
      </c>
      <c r="V25" s="38"/>
      <c r="W25" s="38">
        <v>125021</v>
      </c>
      <c r="X25" s="38">
        <v>136747</v>
      </c>
      <c r="Y25" s="72">
        <v>16250667</v>
      </c>
      <c r="Z25" s="38">
        <v>2510</v>
      </c>
      <c r="AA25" s="38">
        <v>5898</v>
      </c>
      <c r="AB25" s="38">
        <v>8408</v>
      </c>
      <c r="AC25" s="38">
        <v>264286000</v>
      </c>
      <c r="AD25" s="38">
        <v>52415923</v>
      </c>
      <c r="AE25" s="38">
        <v>278786</v>
      </c>
      <c r="AF25" s="38">
        <v>35398000</v>
      </c>
      <c r="AG25" s="38">
        <v>72518000</v>
      </c>
      <c r="AH25" s="38">
        <v>12961</v>
      </c>
      <c r="AI25" s="38">
        <v>72677330</v>
      </c>
      <c r="AJ25" s="38">
        <v>497587000</v>
      </c>
      <c r="AK25" s="38">
        <v>338790000</v>
      </c>
      <c r="AL25" s="38">
        <v>61509000</v>
      </c>
      <c r="AM25" s="38">
        <v>97288000</v>
      </c>
      <c r="AN25" s="38">
        <v>497587000</v>
      </c>
      <c r="AO25" s="38"/>
      <c r="AP25" s="38"/>
      <c r="AQ25" s="38"/>
      <c r="AR25" s="38"/>
      <c r="AS25" s="38"/>
      <c r="AT25" s="1">
        <f t="shared" si="1"/>
        <v>3817553</v>
      </c>
      <c r="AU25" t="e">
        <f t="shared" si="2"/>
        <v>#DIV/0!</v>
      </c>
      <c r="AV25">
        <f t="shared" si="3"/>
        <v>30.619481649583982</v>
      </c>
      <c r="AW25">
        <f t="shared" si="4"/>
        <v>0</v>
      </c>
      <c r="AX25">
        <f t="shared" si="5"/>
        <v>0</v>
      </c>
      <c r="AY25">
        <f t="shared" si="6"/>
        <v>2608.2754018650435</v>
      </c>
      <c r="AZ25">
        <f t="shared" si="7"/>
        <v>2608.2754018650435</v>
      </c>
      <c r="BA25">
        <f t="shared" si="8"/>
        <v>0</v>
      </c>
    </row>
    <row r="26" spans="1:53" x14ac:dyDescent="0.25">
      <c r="A26" s="1" t="s">
        <v>54</v>
      </c>
      <c r="B26" s="1" t="s">
        <v>152</v>
      </c>
      <c r="C26" s="44" t="s">
        <v>120</v>
      </c>
      <c r="D26" s="35">
        <f t="shared" si="0"/>
        <v>4551.2479999999996</v>
      </c>
      <c r="E26" s="38">
        <v>435</v>
      </c>
      <c r="F26" s="38">
        <v>1010</v>
      </c>
      <c r="G26" s="38">
        <v>20642273</v>
      </c>
      <c r="H26" s="38">
        <v>21003</v>
      </c>
      <c r="I26" s="38">
        <v>42093</v>
      </c>
      <c r="J26" s="38">
        <v>36521</v>
      </c>
      <c r="K26" s="38">
        <v>291716</v>
      </c>
      <c r="L26" s="38">
        <v>1319527</v>
      </c>
      <c r="M26" s="38">
        <v>15746</v>
      </c>
      <c r="N26" s="38">
        <v>860640</v>
      </c>
      <c r="O26" s="38">
        <v>149152</v>
      </c>
      <c r="P26" s="38">
        <v>82</v>
      </c>
      <c r="Q26" s="38">
        <v>79</v>
      </c>
      <c r="R26" s="38">
        <v>1714</v>
      </c>
      <c r="S26" s="38">
        <v>1369</v>
      </c>
      <c r="T26" s="38">
        <v>1319108</v>
      </c>
      <c r="U26" s="38">
        <v>23467666</v>
      </c>
      <c r="V26" s="38">
        <v>22684118</v>
      </c>
      <c r="W26" s="38">
        <v>113996</v>
      </c>
      <c r="X26" s="38">
        <v>142338</v>
      </c>
      <c r="Y26" s="72">
        <v>4551248</v>
      </c>
      <c r="Z26" s="38">
        <v>931</v>
      </c>
      <c r="AA26" s="38">
        <v>940</v>
      </c>
      <c r="AB26" s="38">
        <v>1871</v>
      </c>
      <c r="AC26" s="38">
        <v>76697660</v>
      </c>
      <c r="AD26" s="38">
        <v>17104294</v>
      </c>
      <c r="AE26" s="38">
        <v>0</v>
      </c>
      <c r="AF26" s="38">
        <v>3535708</v>
      </c>
      <c r="AG26" s="38">
        <v>11524607</v>
      </c>
      <c r="AH26" s="38">
        <v>0</v>
      </c>
      <c r="AI26" s="38">
        <v>15907166</v>
      </c>
      <c r="AJ26" s="38">
        <v>124769435</v>
      </c>
      <c r="AK26" s="38">
        <v>113606123</v>
      </c>
      <c r="AL26" s="38">
        <v>8877923</v>
      </c>
      <c r="AM26" s="38">
        <v>2285388</v>
      </c>
      <c r="AN26" s="38">
        <v>124769435</v>
      </c>
      <c r="AO26" s="38"/>
      <c r="AP26" s="38"/>
      <c r="AQ26" s="38"/>
      <c r="AR26" s="38"/>
      <c r="AS26" s="38"/>
      <c r="AT26" s="1">
        <f t="shared" si="1"/>
        <v>1009792</v>
      </c>
      <c r="AU26">
        <f t="shared" si="2"/>
        <v>1.0345417000564008</v>
      </c>
      <c r="AV26">
        <f t="shared" si="3"/>
        <v>27.414334485837731</v>
      </c>
      <c r="AW26">
        <f t="shared" si="4"/>
        <v>289.83434873247955</v>
      </c>
      <c r="AX26">
        <f t="shared" si="5"/>
        <v>4984.1533574966697</v>
      </c>
      <c r="AY26">
        <f t="shared" si="6"/>
        <v>4535.5192685610637</v>
      </c>
      <c r="AZ26">
        <f t="shared" si="7"/>
        <v>4914.8890590009605</v>
      </c>
      <c r="BA26">
        <f t="shared" si="8"/>
        <v>289.92641139309484</v>
      </c>
    </row>
    <row r="27" spans="1:53" x14ac:dyDescent="0.25">
      <c r="A27" s="1" t="s">
        <v>55</v>
      </c>
      <c r="B27" s="1" t="s">
        <v>151</v>
      </c>
      <c r="C27" s="44" t="s">
        <v>121</v>
      </c>
      <c r="D27" s="35">
        <f t="shared" si="0"/>
        <v>9832</v>
      </c>
      <c r="E27" s="38">
        <v>164</v>
      </c>
      <c r="F27" s="38">
        <v>278</v>
      </c>
      <c r="G27" s="38">
        <v>6389929</v>
      </c>
      <c r="H27" s="38"/>
      <c r="I27" s="38"/>
      <c r="J27" s="38"/>
      <c r="K27" s="38">
        <v>2488</v>
      </c>
      <c r="L27" s="38">
        <v>172137</v>
      </c>
      <c r="M27" s="38"/>
      <c r="N27" s="38">
        <v>391909</v>
      </c>
      <c r="O27" s="38">
        <v>24585</v>
      </c>
      <c r="P27" s="38"/>
      <c r="Q27" s="38"/>
      <c r="R27" s="38">
        <v>780</v>
      </c>
      <c r="S27" s="38"/>
      <c r="T27" s="38">
        <v>3117902</v>
      </c>
      <c r="U27" s="38">
        <v>1486378</v>
      </c>
      <c r="V27" s="38"/>
      <c r="W27" s="38">
        <v>563</v>
      </c>
      <c r="X27" s="38">
        <v>1</v>
      </c>
      <c r="Y27" s="72">
        <v>9832000</v>
      </c>
      <c r="Z27" s="38">
        <v>792</v>
      </c>
      <c r="AA27" s="38">
        <v>531</v>
      </c>
      <c r="AB27" s="38">
        <v>1323</v>
      </c>
      <c r="AC27" s="38">
        <v>13100349</v>
      </c>
      <c r="AD27" s="38">
        <v>2747158</v>
      </c>
      <c r="AE27" s="38">
        <v>27</v>
      </c>
      <c r="AF27" s="38">
        <v>731</v>
      </c>
      <c r="AG27" s="38">
        <v>3440</v>
      </c>
      <c r="AH27" s="38">
        <v>2359</v>
      </c>
      <c r="AI27" s="38">
        <v>2576928</v>
      </c>
      <c r="AJ27" s="38">
        <v>18430992</v>
      </c>
      <c r="AK27" s="38">
        <v>18183890</v>
      </c>
      <c r="AL27" s="38">
        <v>245749</v>
      </c>
      <c r="AM27" s="38">
        <v>1353</v>
      </c>
      <c r="AN27" s="38">
        <v>18430992</v>
      </c>
      <c r="AO27" s="38">
        <v>3150666</v>
      </c>
      <c r="AP27" s="38">
        <v>0</v>
      </c>
      <c r="AQ27" s="38">
        <v>0</v>
      </c>
      <c r="AR27" s="38">
        <v>2401210</v>
      </c>
      <c r="AS27" s="38">
        <v>5551876</v>
      </c>
      <c r="AT27" s="1">
        <f t="shared" si="1"/>
        <v>416494</v>
      </c>
      <c r="AU27" t="e">
        <f t="shared" si="2"/>
        <v>#DIV/0!</v>
      </c>
      <c r="AV27">
        <f t="shared" si="3"/>
        <v>1.8745923515052889</v>
      </c>
      <c r="AW27">
        <f t="shared" si="4"/>
        <v>317.11777868185516</v>
      </c>
      <c r="AX27">
        <f t="shared" si="5"/>
        <v>0</v>
      </c>
      <c r="AY27">
        <f t="shared" si="6"/>
        <v>649.91141171684296</v>
      </c>
      <c r="AZ27">
        <f t="shared" si="7"/>
        <v>667.67229454841333</v>
      </c>
      <c r="BA27">
        <f t="shared" si="8"/>
        <v>17.507831570382425</v>
      </c>
    </row>
    <row r="28" spans="1:53" x14ac:dyDescent="0.25">
      <c r="A28" s="1" t="s">
        <v>56</v>
      </c>
      <c r="B28" s="1" t="s">
        <v>151</v>
      </c>
      <c r="C28" s="44" t="s">
        <v>122</v>
      </c>
      <c r="D28" s="35">
        <f t="shared" si="0"/>
        <v>39542.332999999999</v>
      </c>
      <c r="E28" s="38">
        <v>4829</v>
      </c>
      <c r="F28" s="38">
        <v>5209</v>
      </c>
      <c r="G28" s="38">
        <v>42817561</v>
      </c>
      <c r="H28" s="38">
        <v>97230</v>
      </c>
      <c r="I28" s="38">
        <v>158931</v>
      </c>
      <c r="J28" s="38">
        <v>28069</v>
      </c>
      <c r="K28" s="38">
        <v>253527</v>
      </c>
      <c r="L28" s="38">
        <v>1583579</v>
      </c>
      <c r="M28" s="38">
        <v>125123</v>
      </c>
      <c r="N28" s="38">
        <v>2494800</v>
      </c>
      <c r="O28" s="38">
        <v>209169</v>
      </c>
      <c r="P28" s="38">
        <v>89</v>
      </c>
      <c r="Q28" s="38">
        <v>73</v>
      </c>
      <c r="R28" s="38">
        <v>2941</v>
      </c>
      <c r="S28" s="38">
        <v>462</v>
      </c>
      <c r="T28" s="38">
        <v>7524176</v>
      </c>
      <c r="U28" s="38">
        <v>27491212</v>
      </c>
      <c r="V28" s="38">
        <v>204131947</v>
      </c>
      <c r="W28" s="38">
        <v>126139</v>
      </c>
      <c r="X28" s="38">
        <v>5171</v>
      </c>
      <c r="Y28" s="72">
        <v>39542333</v>
      </c>
      <c r="Z28" s="38">
        <v>4139</v>
      </c>
      <c r="AA28" s="38">
        <v>2469</v>
      </c>
      <c r="AB28" s="38">
        <v>6608</v>
      </c>
      <c r="AC28" s="38">
        <v>132172221</v>
      </c>
      <c r="AD28" s="38">
        <v>30509153</v>
      </c>
      <c r="AE28" s="38">
        <v>0</v>
      </c>
      <c r="AF28" s="38">
        <v>0</v>
      </c>
      <c r="AG28" s="38">
        <v>0</v>
      </c>
      <c r="AH28" s="38">
        <v>0</v>
      </c>
      <c r="AI28" s="38">
        <v>26443101</v>
      </c>
      <c r="AJ28" s="38">
        <v>189124475</v>
      </c>
      <c r="AK28" s="38">
        <v>170920259</v>
      </c>
      <c r="AL28" s="38">
        <v>12006324</v>
      </c>
      <c r="AM28" s="38">
        <v>6197892</v>
      </c>
      <c r="AN28" s="38">
        <v>189124475</v>
      </c>
      <c r="AO28" s="38"/>
      <c r="AP28" s="38"/>
      <c r="AQ28" s="38"/>
      <c r="AR28" s="38"/>
      <c r="AS28" s="38"/>
      <c r="AT28" s="1">
        <f t="shared" si="1"/>
        <v>2703969</v>
      </c>
      <c r="AU28">
        <f t="shared" si="2"/>
        <v>0.1346737362966513</v>
      </c>
      <c r="AV28">
        <f t="shared" si="3"/>
        <v>4.7828355246515173</v>
      </c>
      <c r="AW28">
        <f t="shared" si="4"/>
        <v>190.28153953384592</v>
      </c>
      <c r="AX28">
        <f t="shared" si="5"/>
        <v>5162.3647749868478</v>
      </c>
      <c r="AY28">
        <f t="shared" si="6"/>
        <v>1082.8283955830325</v>
      </c>
      <c r="AZ28">
        <f t="shared" si="7"/>
        <v>1139.6398892296011</v>
      </c>
      <c r="BA28">
        <f t="shared" si="8"/>
        <v>40.047687626321895</v>
      </c>
    </row>
    <row r="29" spans="1:53" x14ac:dyDescent="0.25">
      <c r="A29" s="1" t="s">
        <v>57</v>
      </c>
      <c r="B29" s="1" t="s">
        <v>151</v>
      </c>
      <c r="C29" s="44" t="s">
        <v>123</v>
      </c>
      <c r="D29" s="35">
        <f t="shared" si="0"/>
        <v>8909.4570000000003</v>
      </c>
      <c r="E29" s="38">
        <v>291</v>
      </c>
      <c r="F29" s="38">
        <v>1592</v>
      </c>
      <c r="G29" s="38">
        <v>44330201</v>
      </c>
      <c r="H29" s="38">
        <v>67961</v>
      </c>
      <c r="I29" s="38">
        <v>106470</v>
      </c>
      <c r="J29" s="38">
        <v>0</v>
      </c>
      <c r="K29" s="38">
        <v>0</v>
      </c>
      <c r="L29" s="38">
        <v>2619965</v>
      </c>
      <c r="M29" s="38">
        <v>0</v>
      </c>
      <c r="N29" s="38">
        <v>2054539</v>
      </c>
      <c r="O29" s="38">
        <v>185836</v>
      </c>
      <c r="P29" s="38">
        <v>87</v>
      </c>
      <c r="Q29" s="38"/>
      <c r="R29" s="38"/>
      <c r="S29" s="38"/>
      <c r="T29" s="38"/>
      <c r="U29" s="38">
        <v>81381984</v>
      </c>
      <c r="V29" s="38">
        <v>47575528</v>
      </c>
      <c r="W29" s="38">
        <v>0</v>
      </c>
      <c r="X29" s="38">
        <v>0</v>
      </c>
      <c r="Y29" s="72">
        <v>8909457</v>
      </c>
      <c r="Z29" s="38">
        <v>2304</v>
      </c>
      <c r="AA29" s="38">
        <v>2587</v>
      </c>
      <c r="AB29" s="38">
        <v>4891</v>
      </c>
      <c r="AC29" s="38">
        <v>169515820</v>
      </c>
      <c r="AD29" s="38">
        <v>44940745</v>
      </c>
      <c r="AE29" s="38">
        <v>414356</v>
      </c>
      <c r="AF29" s="38">
        <v>10637532</v>
      </c>
      <c r="AG29" s="38">
        <v>36438244</v>
      </c>
      <c r="AH29" s="38">
        <v>17266</v>
      </c>
      <c r="AI29" s="38">
        <v>86343291</v>
      </c>
      <c r="AJ29" s="38">
        <v>348307254</v>
      </c>
      <c r="AK29" s="38">
        <v>314780866</v>
      </c>
      <c r="AL29" s="38">
        <v>22111838</v>
      </c>
      <c r="AM29" s="38">
        <v>11414550</v>
      </c>
      <c r="AN29" s="38">
        <v>348307254</v>
      </c>
      <c r="AO29" s="38">
        <v>9558144</v>
      </c>
      <c r="AP29" s="38">
        <v>610936</v>
      </c>
      <c r="AQ29" s="38">
        <v>3121994</v>
      </c>
      <c r="AR29" s="38">
        <v>2761940</v>
      </c>
      <c r="AS29" s="38">
        <v>16053014</v>
      </c>
      <c r="AT29" s="1">
        <f t="shared" si="1"/>
        <v>2240375</v>
      </c>
      <c r="AU29">
        <f t="shared" si="2"/>
        <v>1.710584988147688</v>
      </c>
      <c r="AV29">
        <f t="shared" si="3"/>
        <v>39.094105735063316</v>
      </c>
      <c r="AW29">
        <f t="shared" si="4"/>
        <v>0</v>
      </c>
      <c r="AX29">
        <f t="shared" si="5"/>
        <v>5339.890859790894</v>
      </c>
      <c r="AY29">
        <f t="shared" si="6"/>
        <v>4975.6344297974611</v>
      </c>
      <c r="AZ29">
        <f t="shared" si="7"/>
        <v>5289.2782354749561</v>
      </c>
      <c r="BA29">
        <f t="shared" si="8"/>
        <v>294.06562038517046</v>
      </c>
    </row>
    <row r="30" spans="1:53" x14ac:dyDescent="0.25">
      <c r="A30" s="1" t="s">
        <v>58</v>
      </c>
      <c r="B30" s="1" t="s">
        <v>152</v>
      </c>
      <c r="C30" s="44" t="s">
        <v>124</v>
      </c>
      <c r="D30" s="35">
        <f t="shared" si="0"/>
        <v>7320.8</v>
      </c>
      <c r="E30" s="38">
        <v>41</v>
      </c>
      <c r="F30" s="38">
        <v>2009</v>
      </c>
      <c r="G30" s="38">
        <v>28656291</v>
      </c>
      <c r="H30" s="38"/>
      <c r="I30" s="38"/>
      <c r="J30" s="38"/>
      <c r="K30" s="38"/>
      <c r="L30" s="38"/>
      <c r="M30" s="38"/>
      <c r="N30" s="38">
        <v>1405787</v>
      </c>
      <c r="O30" s="38"/>
      <c r="P30" s="38"/>
      <c r="Q30" s="38"/>
      <c r="R30" s="38"/>
      <c r="S30" s="38"/>
      <c r="T30" s="38"/>
      <c r="U30" s="38">
        <v>6328307</v>
      </c>
      <c r="V30" s="38">
        <v>34171127</v>
      </c>
      <c r="W30" s="38">
        <v>306137</v>
      </c>
      <c r="X30" s="38">
        <v>225252</v>
      </c>
      <c r="Y30" s="72">
        <v>7320800</v>
      </c>
      <c r="Z30" s="38">
        <v>1841</v>
      </c>
      <c r="AA30" s="38">
        <v>3476</v>
      </c>
      <c r="AB30" s="38">
        <v>5317</v>
      </c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1">
        <f t="shared" si="1"/>
        <v>1405787</v>
      </c>
      <c r="AU30">
        <f t="shared" si="2"/>
        <v>0.18519456499049622</v>
      </c>
      <c r="AV30">
        <f t="shared" si="3"/>
        <v>0</v>
      </c>
      <c r="AW30">
        <f t="shared" si="4"/>
        <v>0</v>
      </c>
      <c r="AX30">
        <f t="shared" si="5"/>
        <v>4667.676620041525</v>
      </c>
      <c r="AY30">
        <f t="shared" si="6"/>
        <v>3914.3660528903943</v>
      </c>
      <c r="AZ30">
        <f t="shared" si="7"/>
        <v>3914.3660528903943</v>
      </c>
      <c r="BA30">
        <f t="shared" si="8"/>
        <v>0</v>
      </c>
    </row>
    <row r="31" spans="1:53" x14ac:dyDescent="0.25">
      <c r="A31" s="1" t="s">
        <v>59</v>
      </c>
      <c r="B31" s="1" t="s">
        <v>151</v>
      </c>
      <c r="C31" s="44" t="s">
        <v>125</v>
      </c>
      <c r="D31" s="35">
        <f t="shared" si="0"/>
        <v>60296.633000000002</v>
      </c>
      <c r="E31" s="38">
        <v>208</v>
      </c>
      <c r="F31" s="38">
        <v>4614</v>
      </c>
      <c r="G31" s="38">
        <v>115962000</v>
      </c>
      <c r="H31" s="38">
        <v>85000</v>
      </c>
      <c r="I31" s="38">
        <v>105000</v>
      </c>
      <c r="J31" s="38">
        <v>118000</v>
      </c>
      <c r="K31" s="38">
        <v>6442000</v>
      </c>
      <c r="L31" s="38">
        <v>7348000</v>
      </c>
      <c r="M31" s="38">
        <v>113867</v>
      </c>
      <c r="N31" s="38">
        <v>11019000</v>
      </c>
      <c r="O31" s="38">
        <v>1485000</v>
      </c>
      <c r="P31" s="38">
        <v>89</v>
      </c>
      <c r="Q31" s="38"/>
      <c r="R31" s="38">
        <v>23200</v>
      </c>
      <c r="S31" s="38">
        <v>13500</v>
      </c>
      <c r="T31" s="38">
        <v>33837000</v>
      </c>
      <c r="U31" s="38">
        <v>417004000</v>
      </c>
      <c r="V31" s="38">
        <v>318226000</v>
      </c>
      <c r="W31" s="38">
        <v>0</v>
      </c>
      <c r="X31" s="38">
        <v>0</v>
      </c>
      <c r="Y31" s="72">
        <v>60296633</v>
      </c>
      <c r="Z31" s="38">
        <v>6200</v>
      </c>
      <c r="AA31" s="38">
        <v>19600</v>
      </c>
      <c r="AB31" s="38">
        <v>25800</v>
      </c>
      <c r="AC31" s="38">
        <v>826620033</v>
      </c>
      <c r="AD31" s="38">
        <v>197243503</v>
      </c>
      <c r="AE31" s="38">
        <v>1597132</v>
      </c>
      <c r="AF31" s="38">
        <v>63528612</v>
      </c>
      <c r="AG31" s="38">
        <v>170044367</v>
      </c>
      <c r="AH31" s="38">
        <v>0</v>
      </c>
      <c r="AI31" s="38">
        <v>246985005</v>
      </c>
      <c r="AJ31" s="38">
        <v>1506018653</v>
      </c>
      <c r="AK31" s="38">
        <v>1334604424</v>
      </c>
      <c r="AL31" s="38">
        <v>139547913</v>
      </c>
      <c r="AM31" s="38">
        <v>31866316</v>
      </c>
      <c r="AN31" s="38">
        <v>1506018653</v>
      </c>
      <c r="AO31" s="38">
        <v>58724874</v>
      </c>
      <c r="AP31" s="38">
        <v>4906772</v>
      </c>
      <c r="AQ31" s="38">
        <v>24511194</v>
      </c>
      <c r="AR31" s="38">
        <v>6656214</v>
      </c>
      <c r="AS31" s="38">
        <v>94799054</v>
      </c>
      <c r="AT31" s="1">
        <f t="shared" si="1"/>
        <v>12504000</v>
      </c>
      <c r="AU31">
        <f t="shared" si="2"/>
        <v>1.3104020413165487</v>
      </c>
      <c r="AV31">
        <f t="shared" si="3"/>
        <v>24.976828357895208</v>
      </c>
      <c r="AW31">
        <f t="shared" si="4"/>
        <v>561.1756132386364</v>
      </c>
      <c r="AX31">
        <f t="shared" si="5"/>
        <v>5277.674459865777</v>
      </c>
      <c r="AY31">
        <f t="shared" si="6"/>
        <v>1923.1919633058117</v>
      </c>
      <c r="AZ31">
        <f t="shared" si="7"/>
        <v>2158.8911440544284</v>
      </c>
      <c r="BA31">
        <f t="shared" si="8"/>
        <v>121.86418435669533</v>
      </c>
    </row>
    <row r="32" spans="1:53" x14ac:dyDescent="0.25">
      <c r="A32" s="1" t="s">
        <v>60</v>
      </c>
      <c r="B32" s="1" t="s">
        <v>151</v>
      </c>
      <c r="C32" s="44" t="s">
        <v>126</v>
      </c>
      <c r="D32" s="35">
        <f t="shared" si="0"/>
        <v>82213.913</v>
      </c>
      <c r="E32" s="38">
        <v>9062</v>
      </c>
      <c r="F32" s="38">
        <v>10932</v>
      </c>
      <c r="G32" s="38">
        <v>104358906</v>
      </c>
      <c r="H32" s="38"/>
      <c r="I32" s="38">
        <v>139018</v>
      </c>
      <c r="J32" s="38"/>
      <c r="K32" s="38"/>
      <c r="L32" s="38">
        <v>10598899</v>
      </c>
      <c r="M32" s="38"/>
      <c r="N32" s="38"/>
      <c r="O32" s="38"/>
      <c r="P32" s="38">
        <v>94</v>
      </c>
      <c r="Q32" s="38"/>
      <c r="R32" s="38"/>
      <c r="S32" s="38"/>
      <c r="T32" s="38">
        <v>8302968</v>
      </c>
      <c r="U32" s="38">
        <v>307159562</v>
      </c>
      <c r="V32" s="38">
        <v>298975665</v>
      </c>
      <c r="W32" s="38">
        <v>334807</v>
      </c>
      <c r="X32" s="38">
        <v>365413</v>
      </c>
      <c r="Y32" s="72">
        <v>82213913</v>
      </c>
      <c r="Z32" s="38">
        <v>8787</v>
      </c>
      <c r="AA32" s="38">
        <v>4387</v>
      </c>
      <c r="AB32" s="38">
        <v>13174</v>
      </c>
      <c r="AC32" s="38">
        <v>472325169</v>
      </c>
      <c r="AD32" s="38">
        <v>97497066</v>
      </c>
      <c r="AE32" s="38">
        <v>0</v>
      </c>
      <c r="AF32" s="38">
        <v>0</v>
      </c>
      <c r="AG32" s="38">
        <v>0</v>
      </c>
      <c r="AH32" s="38">
        <v>0</v>
      </c>
      <c r="AI32" s="38">
        <v>157417476</v>
      </c>
      <c r="AJ32" s="38">
        <v>727239711</v>
      </c>
      <c r="AK32" s="38">
        <v>645041124</v>
      </c>
      <c r="AL32" s="38">
        <v>56472303</v>
      </c>
      <c r="AM32" s="38">
        <v>25726284</v>
      </c>
      <c r="AN32" s="38">
        <v>727239711</v>
      </c>
      <c r="AO32" s="38">
        <v>32759294</v>
      </c>
      <c r="AP32" s="38">
        <v>2093906</v>
      </c>
      <c r="AQ32" s="38">
        <v>10700229</v>
      </c>
      <c r="AR32" s="38">
        <v>9466185</v>
      </c>
      <c r="AS32" s="38">
        <v>55019614</v>
      </c>
      <c r="AT32" s="1">
        <f t="shared" si="1"/>
        <v>0</v>
      </c>
      <c r="AU32">
        <f t="shared" si="2"/>
        <v>1.0273731208190473</v>
      </c>
      <c r="AV32">
        <f t="shared" si="3"/>
        <v>8.8457012257767129</v>
      </c>
      <c r="AW32">
        <f t="shared" si="4"/>
        <v>100.992249328894</v>
      </c>
      <c r="AX32">
        <f t="shared" si="5"/>
        <v>3636.5580239441956</v>
      </c>
      <c r="AY32">
        <f t="shared" si="6"/>
        <v>1269.358216777737</v>
      </c>
      <c r="AZ32">
        <f t="shared" si="7"/>
        <v>1399.9677037632305</v>
      </c>
      <c r="BA32">
        <f t="shared" si="8"/>
        <v>128.91855664381282</v>
      </c>
    </row>
    <row r="33" spans="1:53" x14ac:dyDescent="0.25">
      <c r="A33" s="1" t="s">
        <v>61</v>
      </c>
      <c r="B33" s="1" t="s">
        <v>158</v>
      </c>
      <c r="C33" s="44" t="s">
        <v>127</v>
      </c>
      <c r="D33" s="35">
        <f t="shared" si="0"/>
        <v>275828.33299999998</v>
      </c>
      <c r="E33" s="38">
        <v>9202</v>
      </c>
      <c r="F33" s="38">
        <v>16491</v>
      </c>
      <c r="G33" s="38">
        <v>749041643</v>
      </c>
      <c r="H33" s="38"/>
      <c r="I33" s="38">
        <v>1944263</v>
      </c>
      <c r="J33" s="38">
        <v>0</v>
      </c>
      <c r="K33" s="38"/>
      <c r="L33" s="38">
        <v>47383632</v>
      </c>
      <c r="M33" s="38">
        <v>1198051</v>
      </c>
      <c r="N33" s="38">
        <v>17331991</v>
      </c>
      <c r="O33" s="38">
        <v>3685613</v>
      </c>
      <c r="P33" s="38">
        <v>100</v>
      </c>
      <c r="Q33" s="38"/>
      <c r="R33" s="38"/>
      <c r="S33" s="38">
        <v>18534</v>
      </c>
      <c r="T33" s="38"/>
      <c r="U33" s="38">
        <v>1753498549</v>
      </c>
      <c r="V33" s="38">
        <v>1129238333</v>
      </c>
      <c r="W33" s="38">
        <v>1419166</v>
      </c>
      <c r="X33" s="38">
        <v>7196227</v>
      </c>
      <c r="Y33" s="72">
        <v>275828333</v>
      </c>
      <c r="Z33" s="38">
        <v>41693</v>
      </c>
      <c r="AA33" s="38">
        <v>84796</v>
      </c>
      <c r="AB33" s="38">
        <v>126489</v>
      </c>
      <c r="AC33" s="38">
        <v>4036684649</v>
      </c>
      <c r="AD33" s="38">
        <v>968301302</v>
      </c>
      <c r="AE33" s="38">
        <v>12862</v>
      </c>
      <c r="AF33" s="38">
        <v>363475</v>
      </c>
      <c r="AG33" s="38">
        <v>1707992</v>
      </c>
      <c r="AH33" s="38">
        <v>1171344</v>
      </c>
      <c r="AI33" s="38">
        <v>1279429168</v>
      </c>
      <c r="AJ33" s="38">
        <v>6287670792</v>
      </c>
      <c r="AK33" s="38">
        <v>5721780421</v>
      </c>
      <c r="AL33" s="38">
        <v>306744066</v>
      </c>
      <c r="AM33" s="38">
        <v>259146305</v>
      </c>
      <c r="AN33" s="38">
        <v>6287670792</v>
      </c>
      <c r="AO33" s="38"/>
      <c r="AP33" s="38"/>
      <c r="AQ33" s="38"/>
      <c r="AR33" s="38"/>
      <c r="AS33" s="38"/>
      <c r="AT33" s="1">
        <f t="shared" si="1"/>
        <v>21017604</v>
      </c>
      <c r="AU33">
        <f t="shared" si="2"/>
        <v>1.5528152895248908</v>
      </c>
      <c r="AV33">
        <f t="shared" si="3"/>
        <v>22.795594359771592</v>
      </c>
      <c r="AW33">
        <f t="shared" si="4"/>
        <v>0</v>
      </c>
      <c r="AX33">
        <f t="shared" si="5"/>
        <v>4093.9896228862031</v>
      </c>
      <c r="AY33">
        <f t="shared" si="6"/>
        <v>2715.6080553914671</v>
      </c>
      <c r="AZ33">
        <f t="shared" si="7"/>
        <v>2898.787011122603</v>
      </c>
      <c r="BA33">
        <f t="shared" si="8"/>
        <v>171.78667428628518</v>
      </c>
    </row>
    <row r="34" spans="1:53" x14ac:dyDescent="0.25">
      <c r="A34" s="1" t="s">
        <v>62</v>
      </c>
      <c r="B34" s="1" t="s">
        <v>159</v>
      </c>
      <c r="C34" s="44" t="s">
        <v>128</v>
      </c>
      <c r="D34" s="35">
        <f t="shared" si="0"/>
        <v>67090.172999999995</v>
      </c>
      <c r="E34" s="38">
        <v>1434</v>
      </c>
      <c r="F34" s="38">
        <v>1982</v>
      </c>
      <c r="G34" s="38">
        <v>12476310</v>
      </c>
      <c r="H34" s="38"/>
      <c r="I34" s="38">
        <v>131</v>
      </c>
      <c r="J34" s="38">
        <v>157015</v>
      </c>
      <c r="K34" s="38">
        <v>7118</v>
      </c>
      <c r="L34" s="38">
        <v>112952</v>
      </c>
      <c r="M34" s="38">
        <v>597</v>
      </c>
      <c r="N34" s="38"/>
      <c r="O34" s="38"/>
      <c r="P34" s="38"/>
      <c r="Q34" s="38">
        <v>11</v>
      </c>
      <c r="R34" s="38"/>
      <c r="S34" s="38">
        <v>28</v>
      </c>
      <c r="T34" s="38">
        <v>375214</v>
      </c>
      <c r="U34" s="38">
        <v>3665856</v>
      </c>
      <c r="V34" s="38">
        <v>18830433</v>
      </c>
      <c r="W34" s="38">
        <v>4443</v>
      </c>
      <c r="X34" s="38">
        <v>22528</v>
      </c>
      <c r="Y34" s="72">
        <v>67090173</v>
      </c>
      <c r="Z34" s="38">
        <v>264</v>
      </c>
      <c r="AA34" s="38">
        <v>2579</v>
      </c>
      <c r="AB34" s="38">
        <v>2843</v>
      </c>
      <c r="AC34" s="38">
        <v>16227540</v>
      </c>
      <c r="AD34" s="38">
        <v>0</v>
      </c>
      <c r="AE34" s="38">
        <v>0</v>
      </c>
      <c r="AF34" s="38">
        <v>200232</v>
      </c>
      <c r="AG34" s="38">
        <v>19840909</v>
      </c>
      <c r="AH34" s="38">
        <v>2880809</v>
      </c>
      <c r="AI34" s="38">
        <v>0</v>
      </c>
      <c r="AJ34" s="38">
        <v>39149490</v>
      </c>
      <c r="AK34" s="38">
        <v>35713148</v>
      </c>
      <c r="AL34" s="38">
        <v>1993510</v>
      </c>
      <c r="AM34" s="38">
        <v>1442832</v>
      </c>
      <c r="AN34" s="38">
        <v>39149490</v>
      </c>
      <c r="AO34" s="38"/>
      <c r="AP34" s="38"/>
      <c r="AQ34" s="38"/>
      <c r="AR34" s="38"/>
      <c r="AS34" s="38"/>
      <c r="AT34" s="1">
        <f t="shared" si="1"/>
        <v>0</v>
      </c>
      <c r="AU34">
        <f t="shared" si="2"/>
        <v>0.19467720152797335</v>
      </c>
      <c r="AV34">
        <f t="shared" si="3"/>
        <v>0.58353538602441823</v>
      </c>
      <c r="AW34">
        <f t="shared" si="4"/>
        <v>5.5926819565661283</v>
      </c>
      <c r="AX34">
        <f t="shared" si="5"/>
        <v>280.67348999085158</v>
      </c>
      <c r="AY34">
        <f t="shared" si="6"/>
        <v>185.96330046726814</v>
      </c>
      <c r="AZ34">
        <f t="shared" si="7"/>
        <v>190.10419007266535</v>
      </c>
      <c r="BA34">
        <f t="shared" si="8"/>
        <v>1.6835848671906093</v>
      </c>
    </row>
    <row r="35" spans="1:53" x14ac:dyDescent="0.25">
      <c r="A35" s="1" t="s">
        <v>63</v>
      </c>
      <c r="B35" s="1" t="s">
        <v>158</v>
      </c>
      <c r="C35" s="44" t="s">
        <v>129</v>
      </c>
      <c r="D35" s="35">
        <f t="shared" si="0"/>
        <v>19261.778999999999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72">
        <v>19261779</v>
      </c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1">
        <f t="shared" si="1"/>
        <v>0</v>
      </c>
      <c r="AU35" t="e">
        <f t="shared" si="2"/>
        <v>#DIV/0!</v>
      </c>
      <c r="AV35">
        <f t="shared" si="3"/>
        <v>0</v>
      </c>
      <c r="AW35">
        <f t="shared" si="4"/>
        <v>0</v>
      </c>
      <c r="AX35">
        <f t="shared" si="5"/>
        <v>0</v>
      </c>
      <c r="AY35">
        <f t="shared" si="6"/>
        <v>0</v>
      </c>
      <c r="AZ35">
        <f t="shared" si="7"/>
        <v>0</v>
      </c>
      <c r="BA35">
        <f t="shared" si="8"/>
        <v>0</v>
      </c>
    </row>
    <row r="36" spans="1:53" x14ac:dyDescent="0.25">
      <c r="A36" s="1" t="s">
        <v>64</v>
      </c>
      <c r="B36" s="1" t="s">
        <v>158</v>
      </c>
      <c r="C36" s="44" t="s">
        <v>130</v>
      </c>
      <c r="D36" s="35">
        <f t="shared" si="0"/>
        <v>127474.333</v>
      </c>
      <c r="E36" s="38">
        <v>1716</v>
      </c>
      <c r="F36" s="38">
        <v>2680</v>
      </c>
      <c r="G36" s="38">
        <v>295816511</v>
      </c>
      <c r="H36" s="38"/>
      <c r="I36" s="38"/>
      <c r="J36" s="38"/>
      <c r="K36" s="38"/>
      <c r="L36" s="38"/>
      <c r="M36" s="38"/>
      <c r="N36" s="38">
        <v>19517960</v>
      </c>
      <c r="O36" s="38"/>
      <c r="P36" s="38"/>
      <c r="Q36" s="38"/>
      <c r="R36" s="38"/>
      <c r="S36" s="38"/>
      <c r="T36" s="38">
        <v>38679751</v>
      </c>
      <c r="U36" s="38">
        <v>552624145</v>
      </c>
      <c r="V36" s="38"/>
      <c r="W36" s="38">
        <v>1000371</v>
      </c>
      <c r="X36" s="38">
        <v>5072629</v>
      </c>
      <c r="Y36" s="72">
        <v>127474333</v>
      </c>
      <c r="Z36" s="38">
        <v>11808</v>
      </c>
      <c r="AA36" s="38">
        <v>15431</v>
      </c>
      <c r="AB36" s="38">
        <v>27239</v>
      </c>
      <c r="AC36" s="38">
        <v>805959446</v>
      </c>
      <c r="AD36" s="38">
        <v>366403788</v>
      </c>
      <c r="AE36" s="38">
        <v>15656</v>
      </c>
      <c r="AF36" s="38">
        <v>870078</v>
      </c>
      <c r="AG36" s="38">
        <v>2241585</v>
      </c>
      <c r="AH36" s="38">
        <v>319311</v>
      </c>
      <c r="AI36" s="38">
        <v>135161399</v>
      </c>
      <c r="AJ36" s="38">
        <v>1310971263</v>
      </c>
      <c r="AK36" s="38">
        <v>1195900900</v>
      </c>
      <c r="AL36" s="38">
        <v>66755249</v>
      </c>
      <c r="AM36" s="38">
        <v>48315114</v>
      </c>
      <c r="AN36" s="38">
        <v>1310971263</v>
      </c>
      <c r="AO36" s="38"/>
      <c r="AP36" s="38"/>
      <c r="AQ36" s="38"/>
      <c r="AR36" s="38"/>
      <c r="AS36" s="38"/>
      <c r="AT36" s="1">
        <f t="shared" si="1"/>
        <v>19517960</v>
      </c>
      <c r="AU36" t="e">
        <f t="shared" si="2"/>
        <v>#DIV/0!</v>
      </c>
      <c r="AV36">
        <f t="shared" si="3"/>
        <v>10.284197862796427</v>
      </c>
      <c r="AW36">
        <f t="shared" si="4"/>
        <v>303.43167985040566</v>
      </c>
      <c r="AX36">
        <f t="shared" si="5"/>
        <v>0</v>
      </c>
      <c r="AY36">
        <f t="shared" si="6"/>
        <v>2320.5966568971967</v>
      </c>
      <c r="AZ36">
        <f t="shared" si="7"/>
        <v>2320.5966568971967</v>
      </c>
      <c r="BA36">
        <f t="shared" si="8"/>
        <v>0</v>
      </c>
    </row>
    <row r="37" spans="1:53" x14ac:dyDescent="0.25">
      <c r="A37" s="1" t="s">
        <v>143</v>
      </c>
      <c r="B37" s="1" t="s">
        <v>158</v>
      </c>
      <c r="C37" s="1" t="s">
        <v>146</v>
      </c>
      <c r="D37" s="35">
        <f t="shared" si="0"/>
        <v>49235</v>
      </c>
      <c r="Y37" s="72">
        <v>49235000</v>
      </c>
      <c r="AT37" s="1">
        <f t="shared" si="1"/>
        <v>0</v>
      </c>
      <c r="AU37" t="e">
        <f t="shared" si="2"/>
        <v>#DIV/0!</v>
      </c>
      <c r="AV37">
        <f t="shared" si="3"/>
        <v>0</v>
      </c>
      <c r="AW37">
        <f t="shared" si="4"/>
        <v>0</v>
      </c>
      <c r="AX37">
        <f t="shared" si="5"/>
        <v>0</v>
      </c>
      <c r="AY37">
        <f t="shared" si="6"/>
        <v>0</v>
      </c>
      <c r="AZ37">
        <f t="shared" si="7"/>
        <v>0</v>
      </c>
      <c r="BA37">
        <f t="shared" si="8"/>
        <v>0</v>
      </c>
    </row>
    <row r="38" spans="1:53" x14ac:dyDescent="0.25">
      <c r="A38" s="1" t="s">
        <v>144</v>
      </c>
      <c r="B38" s="1" t="s">
        <v>158</v>
      </c>
      <c r="C38" s="1" t="s">
        <v>147</v>
      </c>
      <c r="D38" s="35">
        <f t="shared" si="0"/>
        <v>31374.667000000001</v>
      </c>
      <c r="E38" s="1">
        <v>2739</v>
      </c>
      <c r="F38" s="1">
        <v>910</v>
      </c>
      <c r="G38" s="1">
        <v>75032608</v>
      </c>
      <c r="I38" s="1">
        <v>150814</v>
      </c>
      <c r="U38" s="1">
        <v>331565367</v>
      </c>
      <c r="Y38" s="72">
        <v>31374667</v>
      </c>
      <c r="Z38" s="1">
        <v>6733</v>
      </c>
      <c r="AA38" s="1">
        <v>6616</v>
      </c>
      <c r="AB38" s="1">
        <v>13349</v>
      </c>
      <c r="AC38" s="1">
        <v>212115444</v>
      </c>
      <c r="AD38" s="31">
        <v>45849663</v>
      </c>
      <c r="AE38" s="1">
        <v>0</v>
      </c>
      <c r="AF38" s="1">
        <v>0</v>
      </c>
      <c r="AG38" s="1">
        <v>0</v>
      </c>
      <c r="AH38" s="1">
        <v>0</v>
      </c>
      <c r="AI38" s="1">
        <v>68846851</v>
      </c>
      <c r="AJ38" s="1">
        <v>326811958</v>
      </c>
      <c r="AK38" s="1">
        <v>298126073</v>
      </c>
      <c r="AL38" s="1">
        <v>16641413</v>
      </c>
      <c r="AM38" s="1">
        <v>12044472</v>
      </c>
      <c r="AN38" s="1">
        <v>326811958</v>
      </c>
      <c r="AO38" s="1">
        <v>18361785</v>
      </c>
      <c r="AP38" s="1">
        <v>906999</v>
      </c>
      <c r="AQ38" s="1">
        <v>4634923</v>
      </c>
      <c r="AR38" s="1">
        <v>4100384</v>
      </c>
      <c r="AS38" s="1">
        <v>28004091</v>
      </c>
      <c r="AT38" s="1">
        <f t="shared" si="1"/>
        <v>0</v>
      </c>
      <c r="AU38" t="e">
        <f t="shared" si="2"/>
        <v>#DIV/0!</v>
      </c>
      <c r="AV38">
        <f t="shared" si="3"/>
        <v>10.416427941689388</v>
      </c>
      <c r="AW38">
        <f t="shared" si="4"/>
        <v>0</v>
      </c>
      <c r="AX38">
        <f t="shared" si="5"/>
        <v>0</v>
      </c>
      <c r="AY38">
        <f t="shared" si="6"/>
        <v>2391.5029281426318</v>
      </c>
      <c r="AZ38">
        <f t="shared" si="7"/>
        <v>2396.3097998777166</v>
      </c>
      <c r="BA38">
        <f t="shared" si="8"/>
        <v>0</v>
      </c>
    </row>
    <row r="39" spans="1:53" x14ac:dyDescent="0.25">
      <c r="A39" s="1" t="s">
        <v>145</v>
      </c>
      <c r="B39" s="1" t="s">
        <v>158</v>
      </c>
      <c r="C39" s="1" t="s">
        <v>148</v>
      </c>
      <c r="D39" s="35">
        <f t="shared" si="0"/>
        <v>3931</v>
      </c>
      <c r="Y39" s="72">
        <v>3931000</v>
      </c>
      <c r="AT39" s="1">
        <f t="shared" si="1"/>
        <v>0</v>
      </c>
      <c r="AU39" t="e">
        <f t="shared" si="2"/>
        <v>#DIV/0!</v>
      </c>
      <c r="AV39">
        <f t="shared" si="3"/>
        <v>0</v>
      </c>
      <c r="AW39">
        <f t="shared" si="4"/>
        <v>0</v>
      </c>
      <c r="AX39">
        <f t="shared" si="5"/>
        <v>0</v>
      </c>
      <c r="AY39">
        <f t="shared" si="6"/>
        <v>0</v>
      </c>
      <c r="AZ39">
        <f t="shared" si="7"/>
        <v>0</v>
      </c>
      <c r="BA39">
        <f t="shared" si="8"/>
        <v>0</v>
      </c>
    </row>
    <row r="40" spans="1:53" x14ac:dyDescent="0.25">
      <c r="A40" s="1" t="s">
        <v>149</v>
      </c>
      <c r="B40" s="1" t="s">
        <v>159</v>
      </c>
      <c r="C40" s="1" t="s">
        <v>153</v>
      </c>
      <c r="D40" s="35">
        <f t="shared" si="0"/>
        <v>98961.881999999998</v>
      </c>
      <c r="Y40" s="72">
        <v>98961882</v>
      </c>
      <c r="AT40" s="1">
        <f t="shared" si="1"/>
        <v>0</v>
      </c>
      <c r="AU40" t="e">
        <f t="shared" si="2"/>
        <v>#DIV/0!</v>
      </c>
      <c r="AV40">
        <f t="shared" si="3"/>
        <v>0</v>
      </c>
      <c r="AW40">
        <f t="shared" si="4"/>
        <v>0</v>
      </c>
      <c r="AX40">
        <f t="shared" si="5"/>
        <v>0</v>
      </c>
      <c r="AY40">
        <f t="shared" si="6"/>
        <v>0</v>
      </c>
      <c r="AZ40">
        <f t="shared" si="7"/>
        <v>0</v>
      </c>
      <c r="BA40">
        <f t="shared" si="8"/>
        <v>0</v>
      </c>
    </row>
    <row r="41" spans="1:53" x14ac:dyDescent="0.25">
      <c r="A41" s="1" t="s">
        <v>150</v>
      </c>
      <c r="B41" s="1" t="s">
        <v>154</v>
      </c>
      <c r="D41" s="35">
        <f t="shared" si="0"/>
        <v>103608.859</v>
      </c>
      <c r="E41" s="1">
        <v>28605</v>
      </c>
      <c r="F41" s="1">
        <v>26874</v>
      </c>
      <c r="G41" s="1">
        <v>402784079</v>
      </c>
      <c r="H41" s="1">
        <v>323201</v>
      </c>
      <c r="I41" s="1">
        <v>687048</v>
      </c>
      <c r="J41" s="1">
        <v>210088</v>
      </c>
      <c r="K41" s="1">
        <v>243840</v>
      </c>
      <c r="L41" s="1">
        <v>6816358</v>
      </c>
      <c r="M41" s="1">
        <v>167017</v>
      </c>
      <c r="N41" s="1">
        <v>10292872</v>
      </c>
      <c r="O41" s="1">
        <v>286007</v>
      </c>
      <c r="P41" s="35">
        <v>81</v>
      </c>
      <c r="Q41" s="35">
        <v>39</v>
      </c>
      <c r="R41" s="1">
        <v>8014</v>
      </c>
      <c r="S41" s="1">
        <v>4727</v>
      </c>
      <c r="T41" s="1">
        <v>16015941</v>
      </c>
      <c r="U41" s="1">
        <v>431428273</v>
      </c>
      <c r="V41" s="1">
        <v>146004455</v>
      </c>
      <c r="W41" s="1">
        <v>217882</v>
      </c>
      <c r="X41" s="1">
        <v>310359</v>
      </c>
      <c r="Y41" s="72">
        <v>103608859</v>
      </c>
      <c r="Z41" s="1">
        <v>34263</v>
      </c>
      <c r="AA41" s="1">
        <v>12894</v>
      </c>
      <c r="AB41" s="1">
        <v>47156</v>
      </c>
      <c r="AC41" s="1">
        <v>167629712</v>
      </c>
      <c r="AD41" s="31">
        <v>47670615</v>
      </c>
      <c r="AE41" s="1">
        <v>321941</v>
      </c>
      <c r="AF41" s="1">
        <v>2888925</v>
      </c>
      <c r="AG41" s="1">
        <v>10964806</v>
      </c>
      <c r="AH41" s="1">
        <v>2242821</v>
      </c>
      <c r="AI41" s="1">
        <v>93265985</v>
      </c>
      <c r="AJ41" s="1">
        <v>324984807</v>
      </c>
      <c r="AK41" s="1">
        <v>280753254</v>
      </c>
      <c r="AL41" s="1">
        <v>10791687</v>
      </c>
      <c r="AM41" s="1">
        <v>36615390</v>
      </c>
      <c r="AN41" s="1">
        <v>328160331</v>
      </c>
      <c r="AO41" s="1">
        <v>23908067</v>
      </c>
      <c r="AP41" s="1">
        <v>1034802</v>
      </c>
      <c r="AQ41" s="1">
        <v>5452959</v>
      </c>
      <c r="AR41" s="1">
        <v>7789586</v>
      </c>
      <c r="AS41" s="1">
        <v>38185416</v>
      </c>
      <c r="AT41" s="1">
        <f t="shared" si="1"/>
        <v>10578879</v>
      </c>
      <c r="AU41">
        <f t="shared" si="2"/>
        <v>2.9548980063656276</v>
      </c>
      <c r="AV41">
        <f t="shared" si="3"/>
        <v>3.1366507665140873</v>
      </c>
      <c r="AW41">
        <f t="shared" si="4"/>
        <v>154.58080664704551</v>
      </c>
      <c r="AX41">
        <f t="shared" si="5"/>
        <v>1409.1889092225213</v>
      </c>
      <c r="AY41">
        <f t="shared" si="6"/>
        <v>3887.5447803165171</v>
      </c>
      <c r="AZ41">
        <f t="shared" si="7"/>
        <v>3969.0778855117014</v>
      </c>
      <c r="BA41">
        <f t="shared" si="8"/>
        <v>65.789335639725564</v>
      </c>
    </row>
    <row r="42" spans="1:53" x14ac:dyDescent="0.25">
      <c r="A42" s="1" t="s">
        <v>151</v>
      </c>
      <c r="B42" s="1" t="s">
        <v>154</v>
      </c>
      <c r="D42" s="35">
        <f t="shared" si="0"/>
        <v>378483.84</v>
      </c>
      <c r="E42" s="1">
        <v>22048</v>
      </c>
      <c r="F42" s="1">
        <v>40000</v>
      </c>
      <c r="G42" s="1">
        <v>679939067</v>
      </c>
      <c r="H42" s="1">
        <v>1452645</v>
      </c>
      <c r="I42" s="1">
        <v>1656639</v>
      </c>
      <c r="J42" s="1">
        <v>2716950</v>
      </c>
      <c r="K42" s="1">
        <v>14358304</v>
      </c>
      <c r="L42" s="1">
        <v>53745499</v>
      </c>
      <c r="M42" s="1">
        <v>1123385</v>
      </c>
      <c r="N42" s="1">
        <v>48246704</v>
      </c>
      <c r="O42" s="1">
        <v>6514160</v>
      </c>
      <c r="P42" s="35">
        <v>89</v>
      </c>
      <c r="Q42" s="35">
        <v>76</v>
      </c>
      <c r="R42" s="1">
        <v>129416</v>
      </c>
      <c r="S42" s="1">
        <v>68583</v>
      </c>
      <c r="T42" s="1">
        <v>99137149</v>
      </c>
      <c r="U42" s="1">
        <v>1853105375</v>
      </c>
      <c r="V42" s="1">
        <v>1798551507</v>
      </c>
      <c r="W42" s="1">
        <v>2200197</v>
      </c>
      <c r="X42" s="1">
        <v>12551761</v>
      </c>
      <c r="Y42" s="72">
        <v>378483840</v>
      </c>
      <c r="Z42" s="1">
        <v>45959</v>
      </c>
      <c r="AA42" s="1">
        <v>77005</v>
      </c>
      <c r="AB42" s="1">
        <v>122964</v>
      </c>
      <c r="AC42" s="1">
        <v>3754658460</v>
      </c>
      <c r="AD42" s="31">
        <v>827929987</v>
      </c>
      <c r="AE42" s="1">
        <v>7535950</v>
      </c>
      <c r="AF42" s="1">
        <v>148906550</v>
      </c>
      <c r="AG42" s="1">
        <v>421948731</v>
      </c>
      <c r="AH42" s="1">
        <v>22219544</v>
      </c>
      <c r="AI42" s="1">
        <v>1163805967</v>
      </c>
      <c r="AJ42" s="1">
        <v>6347005190</v>
      </c>
      <c r="AK42" s="1">
        <v>5725710915</v>
      </c>
      <c r="AL42" s="1">
        <v>397260083</v>
      </c>
      <c r="AM42" s="1">
        <v>236433677</v>
      </c>
      <c r="AN42" s="1">
        <v>6359404675</v>
      </c>
      <c r="AO42" s="1">
        <v>480209625</v>
      </c>
      <c r="AP42" s="1">
        <v>29208672</v>
      </c>
      <c r="AQ42" s="1">
        <v>127333721</v>
      </c>
      <c r="AR42" s="1">
        <v>96011849</v>
      </c>
      <c r="AS42" s="1">
        <v>732763867</v>
      </c>
      <c r="AT42" s="1">
        <f t="shared" si="1"/>
        <v>54760864</v>
      </c>
      <c r="AU42">
        <f t="shared" si="2"/>
        <v>1.0303321132520671</v>
      </c>
      <c r="AV42">
        <f t="shared" si="3"/>
        <v>16.769553992054192</v>
      </c>
      <c r="AW42">
        <f t="shared" si="4"/>
        <v>261.93231658186517</v>
      </c>
      <c r="AX42">
        <f t="shared" si="5"/>
        <v>4751.9902223566532</v>
      </c>
      <c r="AY42">
        <f t="shared" si="6"/>
        <v>1796.4811047150652</v>
      </c>
      <c r="AZ42">
        <f t="shared" si="7"/>
        <v>1994.7813069112804</v>
      </c>
      <c r="BA42">
        <f t="shared" si="8"/>
        <v>142.00209710406656</v>
      </c>
    </row>
    <row r="43" spans="1:53" x14ac:dyDescent="0.25">
      <c r="A43" s="1" t="s">
        <v>152</v>
      </c>
      <c r="B43" s="1" t="s">
        <v>154</v>
      </c>
      <c r="D43" s="35">
        <f t="shared" si="0"/>
        <v>12157.939</v>
      </c>
      <c r="E43" s="1">
        <v>607</v>
      </c>
      <c r="F43" s="1">
        <v>3155</v>
      </c>
      <c r="G43" s="1">
        <v>51478198</v>
      </c>
      <c r="H43" s="1">
        <v>63257</v>
      </c>
      <c r="I43" s="1">
        <v>120529</v>
      </c>
      <c r="J43" s="1">
        <v>104634</v>
      </c>
      <c r="K43" s="1">
        <v>830613</v>
      </c>
      <c r="L43" s="1">
        <v>3211732</v>
      </c>
      <c r="M43" s="1">
        <v>28613</v>
      </c>
      <c r="N43" s="1">
        <v>2353957</v>
      </c>
      <c r="O43" s="1">
        <v>378048</v>
      </c>
      <c r="P43" s="35">
        <v>82</v>
      </c>
      <c r="Q43" s="35">
        <v>81</v>
      </c>
      <c r="R43" s="1">
        <v>4358</v>
      </c>
      <c r="S43" s="1">
        <v>2728</v>
      </c>
      <c r="T43" s="1">
        <v>3638294</v>
      </c>
      <c r="U43" s="1">
        <v>32317443</v>
      </c>
      <c r="V43" s="1">
        <v>57679108</v>
      </c>
      <c r="W43" s="1">
        <v>422003</v>
      </c>
      <c r="X43" s="1">
        <v>370791</v>
      </c>
      <c r="Y43" s="72">
        <v>12157939</v>
      </c>
      <c r="Z43" s="1">
        <v>2854</v>
      </c>
      <c r="AA43" s="1">
        <v>4639</v>
      </c>
      <c r="AB43" s="1">
        <v>7493</v>
      </c>
      <c r="AC43" s="1">
        <v>275287706</v>
      </c>
      <c r="AD43" s="31">
        <v>85671386</v>
      </c>
      <c r="AE43" s="1">
        <v>0</v>
      </c>
      <c r="AF43" s="1">
        <v>7392514</v>
      </c>
      <c r="AG43" s="1">
        <v>39341437</v>
      </c>
      <c r="AH43" s="1">
        <v>11567452</v>
      </c>
      <c r="AI43" s="1">
        <v>67671250</v>
      </c>
      <c r="AJ43" s="1">
        <v>486931745</v>
      </c>
      <c r="AK43" s="1">
        <v>443669477</v>
      </c>
      <c r="AL43" s="1">
        <v>34487222</v>
      </c>
      <c r="AM43" s="1">
        <v>8954076</v>
      </c>
      <c r="AN43" s="1">
        <v>487110776</v>
      </c>
      <c r="AO43" s="1">
        <v>27402176</v>
      </c>
      <c r="AP43" s="1">
        <v>1353557</v>
      </c>
      <c r="AQ43" s="1">
        <v>6916919</v>
      </c>
      <c r="AR43" s="1">
        <v>6119202</v>
      </c>
      <c r="AS43" s="1">
        <v>41791854</v>
      </c>
      <c r="AT43" s="1">
        <f t="shared" si="1"/>
        <v>2732005</v>
      </c>
      <c r="AU43">
        <f t="shared" si="2"/>
        <v>0.560297205012255</v>
      </c>
      <c r="AV43">
        <f t="shared" si="3"/>
        <v>40.050517197034793</v>
      </c>
      <c r="AW43">
        <f t="shared" si="4"/>
        <v>299.25252956113695</v>
      </c>
      <c r="AX43">
        <f t="shared" si="5"/>
        <v>4744.1517842785688</v>
      </c>
      <c r="AY43">
        <f t="shared" si="6"/>
        <v>4234.1220826983918</v>
      </c>
      <c r="AZ43">
        <f t="shared" si="7"/>
        <v>4592.6843357249936</v>
      </c>
      <c r="BA43">
        <f t="shared" si="8"/>
        <v>264.16747114786477</v>
      </c>
    </row>
    <row r="44" spans="1:53" x14ac:dyDescent="0.25">
      <c r="A44" s="1" t="s">
        <v>310</v>
      </c>
      <c r="B44" s="1" t="s">
        <v>154</v>
      </c>
      <c r="D44" s="35">
        <f t="shared" si="0"/>
        <v>507105.11200000002</v>
      </c>
      <c r="E44" s="1">
        <v>16075</v>
      </c>
      <c r="F44" s="1">
        <v>23543</v>
      </c>
      <c r="G44" s="1">
        <v>1286879868</v>
      </c>
      <c r="H44" s="1">
        <v>580656</v>
      </c>
      <c r="I44" s="1">
        <v>2357666</v>
      </c>
      <c r="J44" s="1">
        <v>207200</v>
      </c>
      <c r="K44" s="1">
        <v>10859117</v>
      </c>
      <c r="L44" s="1">
        <v>58912098</v>
      </c>
      <c r="M44" s="1">
        <v>1419131</v>
      </c>
      <c r="N44" s="1">
        <v>48858039</v>
      </c>
      <c r="O44" s="1">
        <v>4662013</v>
      </c>
      <c r="P44" s="35">
        <v>91</v>
      </c>
      <c r="Q44" s="35">
        <v>73</v>
      </c>
      <c r="R44" s="1">
        <v>52084</v>
      </c>
      <c r="S44" s="1">
        <v>27240</v>
      </c>
      <c r="T44" s="1">
        <v>123647184</v>
      </c>
      <c r="U44" s="1">
        <v>2959769335</v>
      </c>
      <c r="V44" s="1">
        <v>2500816604</v>
      </c>
      <c r="W44" s="1">
        <v>3085361</v>
      </c>
      <c r="X44" s="1">
        <v>15645081</v>
      </c>
      <c r="Y44" s="72">
        <v>507105112</v>
      </c>
      <c r="Z44" s="1">
        <v>68036</v>
      </c>
      <c r="AA44" s="1">
        <v>117290</v>
      </c>
      <c r="AB44" s="1">
        <v>185326</v>
      </c>
      <c r="AC44" s="1">
        <v>5705330144</v>
      </c>
      <c r="AD44" s="31">
        <v>1603397293</v>
      </c>
      <c r="AE44" s="1">
        <v>35643</v>
      </c>
      <c r="AF44" s="1">
        <v>1599878</v>
      </c>
      <c r="AG44" s="1">
        <v>4958246</v>
      </c>
      <c r="AH44" s="1">
        <v>1712404</v>
      </c>
      <c r="AI44" s="1">
        <v>1643218802</v>
      </c>
      <c r="AJ44" s="1">
        <v>8960252410</v>
      </c>
      <c r="AK44" s="1">
        <v>8159776472</v>
      </c>
      <c r="AL44" s="1">
        <v>442833129</v>
      </c>
      <c r="AM44" s="1">
        <v>357642809</v>
      </c>
      <c r="AN44" s="1">
        <v>8960252410</v>
      </c>
      <c r="AO44" s="1">
        <v>698772372</v>
      </c>
      <c r="AP44" s="1">
        <v>34516568</v>
      </c>
      <c r="AQ44" s="1">
        <v>176385710</v>
      </c>
      <c r="AR44" s="1">
        <v>156043390</v>
      </c>
      <c r="AS44" s="1">
        <v>1065718040</v>
      </c>
      <c r="AT44" s="1">
        <f t="shared" si="1"/>
        <v>53520052</v>
      </c>
      <c r="AU44">
        <f t="shared" si="2"/>
        <v>1.1835211467589888</v>
      </c>
      <c r="AV44">
        <f t="shared" si="3"/>
        <v>17.669418426213774</v>
      </c>
      <c r="AW44">
        <f t="shared" si="4"/>
        <v>243.82949624061371</v>
      </c>
      <c r="AX44">
        <f t="shared" si="5"/>
        <v>4931.5547108899973</v>
      </c>
      <c r="AY44">
        <f t="shared" si="6"/>
        <v>2537.6984722646612</v>
      </c>
      <c r="AZ44">
        <f t="shared" si="7"/>
        <v>2684.2871503137203</v>
      </c>
      <c r="BA44">
        <f t="shared" si="8"/>
        <v>116.17334672027522</v>
      </c>
    </row>
    <row r="45" spans="1:53" x14ac:dyDescent="0.25">
      <c r="A45" s="1" t="s">
        <v>311</v>
      </c>
      <c r="B45" s="1" t="s">
        <v>154</v>
      </c>
      <c r="D45" s="35">
        <f t="shared" si="0"/>
        <v>166052.05499999999</v>
      </c>
      <c r="E45" s="1">
        <v>3229</v>
      </c>
      <c r="F45" s="1">
        <v>4465</v>
      </c>
      <c r="G45" s="1">
        <v>28102579</v>
      </c>
      <c r="H45" s="1">
        <v>105749</v>
      </c>
      <c r="I45" s="1">
        <v>295</v>
      </c>
      <c r="J45" s="1">
        <v>353673</v>
      </c>
      <c r="K45" s="1">
        <v>16033</v>
      </c>
      <c r="L45" s="1">
        <v>254421</v>
      </c>
      <c r="M45" s="1">
        <v>1344</v>
      </c>
      <c r="N45" s="1">
        <v>1327700</v>
      </c>
      <c r="O45" s="1">
        <v>23108</v>
      </c>
      <c r="P45" s="35">
        <v>89</v>
      </c>
      <c r="Q45" s="35">
        <v>11</v>
      </c>
      <c r="R45" s="1">
        <v>9386</v>
      </c>
      <c r="S45" s="1">
        <v>64</v>
      </c>
      <c r="T45" s="1">
        <v>845160</v>
      </c>
      <c r="U45" s="1">
        <v>8257250</v>
      </c>
      <c r="V45" s="1">
        <v>42415084</v>
      </c>
      <c r="W45" s="1">
        <v>10007</v>
      </c>
      <c r="X45" s="1">
        <v>50743</v>
      </c>
      <c r="Y45" s="72">
        <v>166052055</v>
      </c>
      <c r="Z45" s="1">
        <v>594</v>
      </c>
      <c r="AA45" s="1">
        <v>5810</v>
      </c>
      <c r="AB45" s="1">
        <v>6404</v>
      </c>
      <c r="AC45" s="1">
        <v>36552133</v>
      </c>
      <c r="AD45" s="31">
        <v>0</v>
      </c>
      <c r="AE45" s="1">
        <v>0</v>
      </c>
      <c r="AF45" s="1">
        <v>451018</v>
      </c>
      <c r="AG45" s="1">
        <v>44691156</v>
      </c>
      <c r="AH45" s="1">
        <v>6488950</v>
      </c>
      <c r="AI45" s="1">
        <v>0</v>
      </c>
      <c r="AJ45" s="1">
        <v>88183257</v>
      </c>
      <c r="AK45" s="1">
        <v>80357901</v>
      </c>
      <c r="AL45" s="1">
        <v>4539690</v>
      </c>
      <c r="AM45" s="1">
        <v>3285666</v>
      </c>
      <c r="AN45" s="1">
        <v>88183257</v>
      </c>
      <c r="AO45" s="1">
        <v>7007941</v>
      </c>
      <c r="AP45" s="1">
        <v>346165</v>
      </c>
      <c r="AQ45" s="1">
        <v>1768960</v>
      </c>
      <c r="AR45" s="1">
        <v>1564949</v>
      </c>
      <c r="AS45" s="1">
        <v>10688015</v>
      </c>
      <c r="AT45" s="1">
        <f t="shared" si="1"/>
        <v>1350808</v>
      </c>
      <c r="AU45">
        <f t="shared" si="2"/>
        <v>0.19467720493020832</v>
      </c>
      <c r="AV45">
        <f t="shared" si="3"/>
        <v>0.53105790831676247</v>
      </c>
      <c r="AW45">
        <f t="shared" si="4"/>
        <v>5.0897292418332309</v>
      </c>
      <c r="AX45">
        <f t="shared" si="5"/>
        <v>255.43245459985425</v>
      </c>
      <c r="AY45">
        <f t="shared" si="6"/>
        <v>169.23957369874165</v>
      </c>
      <c r="AZ45">
        <f t="shared" si="7"/>
        <v>173.64490912202203</v>
      </c>
      <c r="BA45">
        <f t="shared" si="8"/>
        <v>1.5321761600601691</v>
      </c>
    </row>
    <row r="46" spans="1:53" x14ac:dyDescent="0.25">
      <c r="A46" s="1" t="s">
        <v>312</v>
      </c>
      <c r="B46" s="1" t="s">
        <v>154</v>
      </c>
      <c r="C46"/>
      <c r="D46" s="35">
        <f t="shared" si="0"/>
        <v>74780.543000000005</v>
      </c>
      <c r="E46">
        <v>22040</v>
      </c>
      <c r="F46">
        <v>19935</v>
      </c>
      <c r="G46">
        <v>303280501</v>
      </c>
      <c r="H46">
        <v>302294</v>
      </c>
      <c r="I46">
        <v>471859</v>
      </c>
      <c r="J46">
        <v>150374</v>
      </c>
      <c r="K46">
        <v>160119</v>
      </c>
      <c r="L46">
        <v>5692236</v>
      </c>
      <c r="M46">
        <v>130016</v>
      </c>
      <c r="N46">
        <v>9036997</v>
      </c>
      <c r="O46">
        <v>277836</v>
      </c>
      <c r="P46">
        <v>81</v>
      </c>
      <c r="Q46">
        <v>39</v>
      </c>
      <c r="R46">
        <v>7488</v>
      </c>
      <c r="S46">
        <v>4473</v>
      </c>
      <c r="T46">
        <v>13438170</v>
      </c>
      <c r="U46">
        <v>378302867</v>
      </c>
      <c r="V46">
        <v>125564863</v>
      </c>
      <c r="W46" s="72">
        <v>204654</v>
      </c>
      <c r="X46">
        <v>292610</v>
      </c>
      <c r="Y46" s="72">
        <v>74780543</v>
      </c>
      <c r="Z46">
        <v>26981</v>
      </c>
      <c r="AA46">
        <v>11774</v>
      </c>
      <c r="AB46">
        <v>38755</v>
      </c>
      <c r="AC46">
        <v>157305954</v>
      </c>
      <c r="AD46">
        <v>46509895</v>
      </c>
      <c r="AE46">
        <v>319834</v>
      </c>
      <c r="AF46">
        <v>2865532</v>
      </c>
      <c r="AG46">
        <v>10943911</v>
      </c>
      <c r="AH46">
        <v>2225612</v>
      </c>
      <c r="AI46">
        <v>91125512</v>
      </c>
      <c r="AJ46">
        <v>311296252</v>
      </c>
      <c r="AK46">
        <v>267639948</v>
      </c>
      <c r="AL46">
        <v>10591311</v>
      </c>
      <c r="AM46">
        <v>36240517</v>
      </c>
      <c r="AN46">
        <v>314471776</v>
      </c>
      <c r="AO46">
        <v>22806084</v>
      </c>
      <c r="AP46" s="1">
        <v>965604</v>
      </c>
      <c r="AQ46">
        <v>5099197</v>
      </c>
      <c r="AR46" s="1">
        <v>7517544</v>
      </c>
      <c r="AS46">
        <v>36388431</v>
      </c>
      <c r="AT46" s="1">
        <f>+N46+O46</f>
        <v>9314833</v>
      </c>
      <c r="AU46">
        <f>+U46/V46</f>
        <v>3.0128083443216118</v>
      </c>
      <c r="AV46">
        <f>+AJ46/Y46</f>
        <v>4.162797427132884</v>
      </c>
      <c r="AW46">
        <f>+T46/D46</f>
        <v>179.70142313622941</v>
      </c>
      <c r="AX46">
        <f>+V46/D46</f>
        <v>1679.111410036164</v>
      </c>
      <c r="AY46">
        <f>+G46/D46</f>
        <v>4055.6070982260717</v>
      </c>
      <c r="AZ46">
        <f>SUM(G46:M46)/D46</f>
        <v>4147.9693320761253</v>
      </c>
      <c r="BA46">
        <f>+L46/D46</f>
        <v>76.119211918533409</v>
      </c>
    </row>
    <row r="47" spans="1:53" x14ac:dyDescent="0.25">
      <c r="A47" s="1" t="s">
        <v>313</v>
      </c>
      <c r="B47" s="1" t="s">
        <v>154</v>
      </c>
      <c r="D47" s="35">
        <f t="shared" si="0"/>
        <v>494250.63799999998</v>
      </c>
      <c r="E47" s="1">
        <v>51260</v>
      </c>
      <c r="F47" s="1">
        <v>70029</v>
      </c>
      <c r="G47" s="1">
        <v>1134201344</v>
      </c>
      <c r="H47" s="1">
        <v>1839103</v>
      </c>
      <c r="I47" s="1">
        <v>2464216</v>
      </c>
      <c r="J47" s="1">
        <v>3031672</v>
      </c>
      <c r="K47" s="1">
        <v>15432757</v>
      </c>
      <c r="L47" s="1">
        <v>63773589</v>
      </c>
      <c r="M47" s="1">
        <v>1319015</v>
      </c>
      <c r="N47" s="1">
        <v>60893533</v>
      </c>
      <c r="O47" s="1">
        <v>7178215</v>
      </c>
      <c r="P47" s="1">
        <v>84</v>
      </c>
      <c r="Q47" s="1">
        <v>65</v>
      </c>
      <c r="R47" s="1">
        <v>141788</v>
      </c>
      <c r="S47" s="1">
        <v>76038</v>
      </c>
      <c r="T47" s="1">
        <v>118791384</v>
      </c>
      <c r="U47" s="1">
        <v>2316851091</v>
      </c>
      <c r="V47" s="1">
        <v>2002235070</v>
      </c>
      <c r="W47" s="1">
        <v>2840082</v>
      </c>
      <c r="X47" s="1">
        <v>13232911</v>
      </c>
      <c r="Y47" s="1">
        <v>494250638</v>
      </c>
      <c r="Z47" s="1">
        <v>83076</v>
      </c>
      <c r="AA47" s="1">
        <v>94538</v>
      </c>
      <c r="AB47" s="1">
        <v>177613</v>
      </c>
      <c r="AC47" s="1">
        <v>4197575878</v>
      </c>
      <c r="AD47" s="31">
        <v>961271988</v>
      </c>
      <c r="AE47" s="1">
        <v>7857891</v>
      </c>
      <c r="AF47" s="1">
        <v>159187989</v>
      </c>
      <c r="AG47" s="1">
        <v>472254974</v>
      </c>
      <c r="AH47" s="1">
        <v>36029817</v>
      </c>
      <c r="AI47" s="1">
        <v>1324743202</v>
      </c>
      <c r="AJ47" s="1">
        <v>7158921742</v>
      </c>
      <c r="AK47" s="1">
        <v>6450133646</v>
      </c>
      <c r="AL47" s="1">
        <v>442538992</v>
      </c>
      <c r="AM47" s="1">
        <v>282003143</v>
      </c>
      <c r="AN47" s="1">
        <v>7174675782</v>
      </c>
      <c r="AO47" s="1">
        <v>531519868</v>
      </c>
      <c r="AP47" s="1">
        <v>31597031</v>
      </c>
      <c r="AQ47" s="1">
        <v>139703599</v>
      </c>
      <c r="AR47" s="1">
        <v>109920637</v>
      </c>
      <c r="AS47" s="1">
        <v>812741137</v>
      </c>
      <c r="AT47" s="1">
        <f t="shared" ref="AT47:AT52" si="9">+N47+O47</f>
        <v>68071748</v>
      </c>
      <c r="AU47">
        <f t="shared" ref="AU47:AU52" si="10">+U47/V47</f>
        <v>1.1571324095327129</v>
      </c>
      <c r="AV47">
        <f t="shared" ref="AV47:AV52" si="11">+AJ47/Y47</f>
        <v>14.484395550744843</v>
      </c>
      <c r="AW47">
        <f t="shared" ref="AW47:AW52" si="12">+T47/D47</f>
        <v>240.34644544050138</v>
      </c>
      <c r="AX47">
        <f t="shared" ref="AX47:AX52" si="13">+V47/D47</f>
        <v>4051.0520696586336</v>
      </c>
      <c r="AY47">
        <f t="shared" ref="AY47:AY52" si="14">+G47/D47</f>
        <v>2294.7898430431569</v>
      </c>
      <c r="AZ47">
        <f t="shared" ref="AZ47:AZ52" si="15">SUM(G47:M47)/D47</f>
        <v>2472.5546150938908</v>
      </c>
      <c r="BA47">
        <f t="shared" ref="BA47:BA52" si="16">+L47/D47</f>
        <v>129.03086834255134</v>
      </c>
    </row>
    <row r="48" spans="1:53" x14ac:dyDescent="0.25">
      <c r="A48" s="1" t="s">
        <v>188</v>
      </c>
      <c r="B48" s="1" t="s">
        <v>154</v>
      </c>
      <c r="D48" s="35">
        <f t="shared" si="0"/>
        <v>96204.785999999993</v>
      </c>
      <c r="E48" s="1">
        <v>27073</v>
      </c>
      <c r="F48" s="1">
        <v>23858</v>
      </c>
      <c r="G48" s="1">
        <v>357587662</v>
      </c>
      <c r="H48" s="1">
        <v>284161</v>
      </c>
      <c r="I48" s="1">
        <v>625342</v>
      </c>
      <c r="J48" s="1">
        <v>194482</v>
      </c>
      <c r="K48" s="1">
        <v>239708</v>
      </c>
      <c r="L48" s="1">
        <v>6351506</v>
      </c>
      <c r="M48" s="1">
        <v>156206</v>
      </c>
      <c r="N48" s="1">
        <v>8542864</v>
      </c>
      <c r="O48" s="1">
        <v>261753</v>
      </c>
      <c r="P48" s="1">
        <v>80</v>
      </c>
      <c r="Q48" s="1">
        <v>42</v>
      </c>
      <c r="R48" s="1">
        <v>6758</v>
      </c>
      <c r="S48" s="1">
        <v>4014</v>
      </c>
      <c r="T48" s="1">
        <v>14161218</v>
      </c>
      <c r="U48" s="1">
        <v>371629805</v>
      </c>
      <c r="V48" s="1">
        <v>123343919</v>
      </c>
      <c r="W48" s="1">
        <v>208506</v>
      </c>
      <c r="X48" s="1">
        <v>238684</v>
      </c>
      <c r="Y48" s="1">
        <v>96204786</v>
      </c>
      <c r="Z48" s="1">
        <v>28107</v>
      </c>
      <c r="AA48" s="1">
        <v>11090</v>
      </c>
      <c r="AB48" s="1">
        <v>39196</v>
      </c>
      <c r="AC48" s="1">
        <v>147646030</v>
      </c>
      <c r="AD48" s="31">
        <v>41091044</v>
      </c>
      <c r="AE48" s="1">
        <v>176792</v>
      </c>
      <c r="AF48" s="1">
        <v>2227361</v>
      </c>
      <c r="AG48" s="1">
        <v>10458147</v>
      </c>
      <c r="AH48" s="1">
        <v>2242821</v>
      </c>
      <c r="AI48" s="1">
        <v>83863545</v>
      </c>
      <c r="AJ48" s="1">
        <v>287705741</v>
      </c>
      <c r="AK48" s="1">
        <v>241720059</v>
      </c>
      <c r="AL48" s="1">
        <v>10322820</v>
      </c>
      <c r="AM48" s="1">
        <v>36065880</v>
      </c>
      <c r="AN48" s="1">
        <v>288108759</v>
      </c>
      <c r="AO48" s="1">
        <v>19921478</v>
      </c>
      <c r="AP48" s="1">
        <v>960460</v>
      </c>
      <c r="AQ48" s="1">
        <v>4972543</v>
      </c>
      <c r="AR48" s="1">
        <v>7364374</v>
      </c>
      <c r="AS48" s="1">
        <v>33218856</v>
      </c>
      <c r="AT48" s="1">
        <f t="shared" si="9"/>
        <v>8804617</v>
      </c>
      <c r="AU48">
        <f t="shared" si="10"/>
        <v>3.012956033933055</v>
      </c>
      <c r="AV48">
        <f t="shared" si="11"/>
        <v>2.9905553867143366</v>
      </c>
      <c r="AW48">
        <f t="shared" si="12"/>
        <v>147.19868510491776</v>
      </c>
      <c r="AX48">
        <f t="shared" si="13"/>
        <v>1282.0975351475759</v>
      </c>
      <c r="AY48">
        <f t="shared" si="14"/>
        <v>3716.9425437940272</v>
      </c>
      <c r="AZ48">
        <f t="shared" si="15"/>
        <v>3798.5539201760712</v>
      </c>
      <c r="BA48">
        <f t="shared" si="16"/>
        <v>66.020686330511666</v>
      </c>
    </row>
    <row r="49" spans="1:53" x14ac:dyDescent="0.25">
      <c r="A49" s="1" t="s">
        <v>189</v>
      </c>
      <c r="B49" s="1" t="s">
        <v>154</v>
      </c>
      <c r="D49" s="35">
        <f t="shared" si="0"/>
        <v>7404.0730000000003</v>
      </c>
      <c r="E49" s="1">
        <v>1532</v>
      </c>
      <c r="F49" s="1">
        <v>3016</v>
      </c>
      <c r="G49" s="1">
        <v>45196417</v>
      </c>
      <c r="H49" s="1">
        <v>39040</v>
      </c>
      <c r="I49" s="1">
        <v>61706</v>
      </c>
      <c r="J49" s="1">
        <v>15606</v>
      </c>
      <c r="K49" s="1">
        <v>4132</v>
      </c>
      <c r="L49" s="1">
        <v>464852</v>
      </c>
      <c r="M49" s="1">
        <v>10811</v>
      </c>
      <c r="N49" s="1">
        <v>1750008</v>
      </c>
      <c r="O49" s="1">
        <v>24254</v>
      </c>
      <c r="P49" s="1">
        <v>83</v>
      </c>
      <c r="Q49" s="1">
        <v>32</v>
      </c>
      <c r="R49" s="1">
        <v>1256</v>
      </c>
      <c r="S49" s="1">
        <v>713</v>
      </c>
      <c r="T49" s="1">
        <v>1854723</v>
      </c>
      <c r="U49" s="1">
        <v>59798468</v>
      </c>
      <c r="V49" s="1">
        <v>22660536</v>
      </c>
      <c r="W49" s="1">
        <v>9376</v>
      </c>
      <c r="X49" s="1">
        <v>71675</v>
      </c>
      <c r="Y49" s="1">
        <v>7404073</v>
      </c>
      <c r="Z49" s="1">
        <v>6156</v>
      </c>
      <c r="AA49" s="1">
        <v>1804</v>
      </c>
      <c r="AB49" s="1">
        <v>7960</v>
      </c>
      <c r="AC49" s="1">
        <v>19983682</v>
      </c>
      <c r="AD49" s="31">
        <v>6579571</v>
      </c>
      <c r="AE49" s="1">
        <v>145149</v>
      </c>
      <c r="AF49" s="1">
        <v>661564</v>
      </c>
      <c r="AG49" s="1">
        <v>506659</v>
      </c>
      <c r="AH49" s="1">
        <v>0</v>
      </c>
      <c r="AI49" s="1">
        <v>9402440</v>
      </c>
      <c r="AJ49" s="1">
        <v>37279066</v>
      </c>
      <c r="AK49" s="1">
        <v>39033195</v>
      </c>
      <c r="AL49" s="1">
        <v>468867</v>
      </c>
      <c r="AM49" s="1">
        <v>549510</v>
      </c>
      <c r="AN49" s="1">
        <v>40051572</v>
      </c>
      <c r="AO49" s="1">
        <v>3986589</v>
      </c>
      <c r="AP49" s="1">
        <v>74342</v>
      </c>
      <c r="AQ49" s="1">
        <v>480416</v>
      </c>
      <c r="AR49" s="1">
        <v>425212</v>
      </c>
      <c r="AS49" s="1">
        <v>4966560</v>
      </c>
      <c r="AT49" s="1">
        <f t="shared" si="9"/>
        <v>1774262</v>
      </c>
      <c r="AU49">
        <f t="shared" si="10"/>
        <v>2.6388814456992544</v>
      </c>
      <c r="AV49">
        <f t="shared" si="11"/>
        <v>5.034940363229806</v>
      </c>
      <c r="AW49">
        <f t="shared" si="12"/>
        <v>250.50036648747249</v>
      </c>
      <c r="AX49">
        <f t="shared" si="13"/>
        <v>3060.5500513028437</v>
      </c>
      <c r="AY49">
        <f t="shared" si="14"/>
        <v>6104.2640989628271</v>
      </c>
      <c r="AZ49">
        <f t="shared" si="15"/>
        <v>6184.7801878776718</v>
      </c>
      <c r="BA49">
        <f t="shared" si="16"/>
        <v>62.783281580286953</v>
      </c>
    </row>
    <row r="50" spans="1:53" x14ac:dyDescent="0.25">
      <c r="A50" s="1" t="s">
        <v>192</v>
      </c>
      <c r="B50" s="1" t="s">
        <v>154</v>
      </c>
      <c r="D50" s="35">
        <f t="shared" si="0"/>
        <v>248360.83900000001</v>
      </c>
      <c r="E50" s="1">
        <v>15311</v>
      </c>
      <c r="F50" s="1">
        <v>26187</v>
      </c>
      <c r="G50" s="1">
        <v>498805726</v>
      </c>
      <c r="H50" s="1">
        <v>863815</v>
      </c>
      <c r="I50" s="1">
        <v>816158</v>
      </c>
      <c r="J50" s="1">
        <v>833141</v>
      </c>
      <c r="K50" s="1">
        <v>12075556</v>
      </c>
      <c r="L50" s="1">
        <v>35841472</v>
      </c>
      <c r="M50" s="1">
        <v>733042</v>
      </c>
      <c r="N50" s="1">
        <v>37281171</v>
      </c>
      <c r="O50" s="1">
        <v>4661009</v>
      </c>
      <c r="P50" s="1">
        <v>89</v>
      </c>
      <c r="Q50" s="1">
        <v>74</v>
      </c>
      <c r="R50" s="1">
        <v>85395</v>
      </c>
      <c r="S50" s="1">
        <v>46517</v>
      </c>
      <c r="T50" s="1">
        <v>65054373</v>
      </c>
      <c r="U50" s="1">
        <v>1337784764</v>
      </c>
      <c r="V50" s="1">
        <v>1125060599</v>
      </c>
      <c r="W50" s="1">
        <v>852106</v>
      </c>
      <c r="X50" s="1">
        <v>815871</v>
      </c>
      <c r="Y50" s="1">
        <v>248360839</v>
      </c>
      <c r="Z50" s="1">
        <v>29775</v>
      </c>
      <c r="AA50" s="1">
        <v>50782</v>
      </c>
      <c r="AB50" s="1">
        <v>80557</v>
      </c>
      <c r="AC50" s="1">
        <v>2639784696</v>
      </c>
      <c r="AD50" s="31">
        <v>578223146</v>
      </c>
      <c r="AE50" s="1">
        <v>6333288</v>
      </c>
      <c r="AF50" s="1">
        <v>121857511</v>
      </c>
      <c r="AG50" s="1">
        <v>343428036</v>
      </c>
      <c r="AH50" s="1">
        <v>31304036</v>
      </c>
      <c r="AI50" s="1">
        <v>736460625</v>
      </c>
      <c r="AJ50" s="1">
        <v>4457391339</v>
      </c>
      <c r="AK50" s="1">
        <v>3965509527</v>
      </c>
      <c r="AL50" s="1">
        <v>323006215</v>
      </c>
      <c r="AM50" s="1">
        <v>181275082</v>
      </c>
      <c r="AN50" s="1">
        <v>4469790824</v>
      </c>
      <c r="AO50" s="1">
        <v>374630343</v>
      </c>
      <c r="AP50" s="1">
        <v>23512053</v>
      </c>
      <c r="AQ50" s="1">
        <v>98346185</v>
      </c>
      <c r="AR50" s="1">
        <v>70344439</v>
      </c>
      <c r="AS50" s="1">
        <v>566833020</v>
      </c>
      <c r="AT50" s="1">
        <f t="shared" si="9"/>
        <v>41942180</v>
      </c>
      <c r="AU50">
        <f t="shared" si="10"/>
        <v>1.1890779618351919</v>
      </c>
      <c r="AV50">
        <f t="shared" si="11"/>
        <v>17.947239012991094</v>
      </c>
      <c r="AW50">
        <f t="shared" si="12"/>
        <v>261.93490592935223</v>
      </c>
      <c r="AX50">
        <f t="shared" si="13"/>
        <v>4529.9436236805432</v>
      </c>
      <c r="AY50">
        <f t="shared" si="14"/>
        <v>2008.3912101778653</v>
      </c>
      <c r="AZ50">
        <f t="shared" si="15"/>
        <v>2214.3946373123663</v>
      </c>
      <c r="BA50">
        <f t="shared" si="16"/>
        <v>144.31209100561944</v>
      </c>
    </row>
    <row r="51" spans="1:53" x14ac:dyDescent="0.25">
      <c r="A51" s="1" t="s">
        <v>190</v>
      </c>
      <c r="B51" s="1" t="s">
        <v>154</v>
      </c>
      <c r="D51" s="35">
        <f t="shared" si="0"/>
        <v>24238.94</v>
      </c>
      <c r="E51" s="1">
        <v>1534</v>
      </c>
      <c r="F51" s="1">
        <v>4649</v>
      </c>
      <c r="G51" s="1">
        <v>131282474</v>
      </c>
      <c r="H51" s="1">
        <v>134721</v>
      </c>
      <c r="I51" s="1">
        <v>433793</v>
      </c>
      <c r="J51" s="1">
        <v>100956</v>
      </c>
      <c r="K51" s="1">
        <v>596123</v>
      </c>
      <c r="L51" s="1">
        <v>11357075</v>
      </c>
      <c r="M51" s="1">
        <v>162718</v>
      </c>
      <c r="N51" s="1">
        <v>6136975</v>
      </c>
      <c r="O51" s="1">
        <v>1061419</v>
      </c>
      <c r="P51" s="1">
        <v>88</v>
      </c>
      <c r="Q51" s="1">
        <v>81</v>
      </c>
      <c r="R51" s="1">
        <v>12075</v>
      </c>
      <c r="S51" s="1">
        <v>7407</v>
      </c>
      <c r="T51" s="1">
        <v>8098760</v>
      </c>
      <c r="U51" s="1">
        <v>281164661</v>
      </c>
      <c r="V51" s="1">
        <v>167824177</v>
      </c>
      <c r="W51" s="1">
        <v>1176481</v>
      </c>
      <c r="X51" s="1">
        <v>11588235</v>
      </c>
      <c r="Y51" s="1">
        <v>24238940</v>
      </c>
      <c r="Z51" s="1">
        <v>7094</v>
      </c>
      <c r="AA51" s="1">
        <v>9201</v>
      </c>
      <c r="AB51" s="1">
        <v>16295</v>
      </c>
      <c r="AC51" s="1">
        <v>587567060</v>
      </c>
      <c r="AD51" s="31">
        <v>155220687</v>
      </c>
      <c r="AE51" s="1">
        <v>414356</v>
      </c>
      <c r="AF51" s="1">
        <v>14203741</v>
      </c>
      <c r="AG51" s="1">
        <v>48537755</v>
      </c>
      <c r="AH51" s="1">
        <v>2447753</v>
      </c>
      <c r="AI51" s="1">
        <v>258893666</v>
      </c>
      <c r="AJ51" s="1">
        <v>1067285018</v>
      </c>
      <c r="AK51" s="1">
        <v>1002733449</v>
      </c>
      <c r="AL51" s="1">
        <v>36121999</v>
      </c>
      <c r="AM51" s="1">
        <v>28608600</v>
      </c>
      <c r="AN51" s="1">
        <v>1067464049</v>
      </c>
      <c r="AO51" s="1">
        <v>38602867</v>
      </c>
      <c r="AP51" s="1">
        <v>2329523</v>
      </c>
      <c r="AQ51" s="1">
        <v>11904272</v>
      </c>
      <c r="AR51" s="1">
        <v>10531370</v>
      </c>
      <c r="AS51" s="1">
        <v>63368032</v>
      </c>
      <c r="AT51" s="1">
        <f t="shared" si="9"/>
        <v>7198394</v>
      </c>
      <c r="AU51">
        <f t="shared" si="10"/>
        <v>1.6753525387465478</v>
      </c>
      <c r="AV51">
        <f t="shared" si="11"/>
        <v>44.031835468052648</v>
      </c>
      <c r="AW51">
        <f t="shared" si="12"/>
        <v>334.12187166600523</v>
      </c>
      <c r="AX51">
        <f t="shared" si="13"/>
        <v>6923.7424161287581</v>
      </c>
      <c r="AY51">
        <f t="shared" si="14"/>
        <v>5416.1804930413628</v>
      </c>
      <c r="AZ51">
        <f t="shared" si="15"/>
        <v>5943.6534765959241</v>
      </c>
      <c r="BA51">
        <f t="shared" si="16"/>
        <v>468.54668562239112</v>
      </c>
    </row>
    <row r="52" spans="1:53" x14ac:dyDescent="0.25">
      <c r="A52" s="1" t="s">
        <v>191</v>
      </c>
      <c r="B52" s="1" t="s">
        <v>154</v>
      </c>
      <c r="D52" s="35">
        <f t="shared" si="0"/>
        <v>118042</v>
      </c>
      <c r="E52" s="1">
        <v>5810</v>
      </c>
      <c r="F52" s="1">
        <v>12319</v>
      </c>
      <c r="G52" s="1">
        <v>101329065</v>
      </c>
      <c r="H52" s="1">
        <v>517366</v>
      </c>
      <c r="I52" s="1">
        <v>527217</v>
      </c>
      <c r="J52" s="1">
        <v>1887487</v>
      </c>
      <c r="K52" s="1">
        <v>2517238</v>
      </c>
      <c r="L52" s="1">
        <v>9758684</v>
      </c>
      <c r="M52" s="1">
        <v>256238</v>
      </c>
      <c r="N52" s="1">
        <v>7182515</v>
      </c>
      <c r="O52" s="1">
        <v>1169780</v>
      </c>
      <c r="P52" s="1">
        <v>89</v>
      </c>
      <c r="Q52" s="1">
        <v>73</v>
      </c>
      <c r="R52" s="1">
        <v>36304</v>
      </c>
      <c r="S52" s="1">
        <v>17387</v>
      </c>
      <c r="T52" s="1">
        <v>29622310</v>
      </c>
      <c r="U52" s="1">
        <v>266473393</v>
      </c>
      <c r="V52" s="1">
        <v>563345839</v>
      </c>
      <c r="W52" s="1">
        <v>593613</v>
      </c>
      <c r="X52" s="1">
        <v>518446</v>
      </c>
      <c r="Y52" s="1">
        <v>118042000</v>
      </c>
      <c r="Z52" s="1">
        <v>11944</v>
      </c>
      <c r="AA52" s="1">
        <v>21661</v>
      </c>
      <c r="AB52" s="1">
        <v>33605</v>
      </c>
      <c r="AC52" s="1">
        <v>802594410</v>
      </c>
      <c r="AD52" s="31">
        <v>180157540</v>
      </c>
      <c r="AE52" s="1">
        <v>788306</v>
      </c>
      <c r="AF52" s="1">
        <v>20237812</v>
      </c>
      <c r="AG52" s="1">
        <v>69324377</v>
      </c>
      <c r="AH52" s="1">
        <v>35207</v>
      </c>
      <c r="AI52" s="1">
        <v>236122926</v>
      </c>
      <c r="AJ52" s="1">
        <v>1309260578</v>
      </c>
      <c r="AK52" s="1">
        <v>1201137416</v>
      </c>
      <c r="AL52" s="1">
        <v>72619091</v>
      </c>
      <c r="AM52" s="1">
        <v>35504071</v>
      </c>
      <c r="AN52" s="1">
        <v>1309260578</v>
      </c>
      <c r="AO52" s="1">
        <v>94378591</v>
      </c>
      <c r="AP52" s="1">
        <v>4720653</v>
      </c>
      <c r="AQ52" s="1">
        <v>24000183</v>
      </c>
      <c r="AR52" s="1">
        <v>21255242</v>
      </c>
      <c r="AS52" s="1">
        <v>144354669</v>
      </c>
      <c r="AT52" s="1">
        <f t="shared" si="9"/>
        <v>8352295</v>
      </c>
      <c r="AU52">
        <f t="shared" si="10"/>
        <v>0.47301919096982981</v>
      </c>
      <c r="AV52">
        <f t="shared" si="11"/>
        <v>11.091480811914403</v>
      </c>
      <c r="AW52">
        <f t="shared" si="12"/>
        <v>250.94720523203605</v>
      </c>
      <c r="AX52">
        <f t="shared" si="13"/>
        <v>4772.4186221853242</v>
      </c>
      <c r="AY52">
        <f t="shared" si="14"/>
        <v>858.41535216278953</v>
      </c>
      <c r="AZ52">
        <f t="shared" si="15"/>
        <v>989.42151945917556</v>
      </c>
      <c r="BA52">
        <f t="shared" si="16"/>
        <v>82.671286491248878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A52"/>
  <sheetViews>
    <sheetView workbookViewId="0">
      <selection activeCell="B13" sqref="B13:B14"/>
    </sheetView>
  </sheetViews>
  <sheetFormatPr defaultRowHeight="12.5" x14ac:dyDescent="0.25"/>
  <cols>
    <col min="1" max="28" width="9.1796875" style="1" customWidth="1"/>
    <col min="29" max="29" width="10" style="1" customWidth="1"/>
    <col min="30" max="35" width="9.1796875" style="1" customWidth="1"/>
    <col min="36" max="36" width="10" style="1" bestFit="1" customWidth="1"/>
    <col min="37" max="45" width="9.1796875" style="1" customWidth="1"/>
  </cols>
  <sheetData>
    <row r="1" spans="1:53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142</v>
      </c>
      <c r="V1" s="36" t="s">
        <v>81</v>
      </c>
      <c r="W1" s="36" t="s">
        <v>96</v>
      </c>
      <c r="X1" s="36" t="s">
        <v>97</v>
      </c>
      <c r="Y1" s="36" t="s">
        <v>82</v>
      </c>
      <c r="Z1" s="36" t="s">
        <v>83</v>
      </c>
      <c r="AA1" s="36" t="s">
        <v>84</v>
      </c>
      <c r="AB1" s="36" t="s">
        <v>85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138</v>
      </c>
      <c r="AJ1" s="36" t="s">
        <v>139</v>
      </c>
      <c r="AK1" s="36" t="s">
        <v>86</v>
      </c>
      <c r="AL1" s="36" t="s">
        <v>87</v>
      </c>
      <c r="AM1" s="36" t="s">
        <v>88</v>
      </c>
      <c r="AN1" s="36" t="s">
        <v>89</v>
      </c>
      <c r="AO1" s="36" t="s">
        <v>90</v>
      </c>
      <c r="AP1" s="36" t="s">
        <v>91</v>
      </c>
      <c r="AQ1" s="36" t="s">
        <v>92</v>
      </c>
      <c r="AR1" s="36" t="s">
        <v>93</v>
      </c>
      <c r="AS1" s="36" t="s">
        <v>94</v>
      </c>
      <c r="AT1" s="36" t="s">
        <v>286</v>
      </c>
      <c r="AU1" s="36" t="s">
        <v>287</v>
      </c>
      <c r="AV1" s="36" t="s">
        <v>288</v>
      </c>
      <c r="AW1" s="36" t="s">
        <v>289</v>
      </c>
      <c r="AX1" s="36" t="s">
        <v>290</v>
      </c>
      <c r="AY1" s="36" t="s">
        <v>291</v>
      </c>
      <c r="AZ1" s="36" t="s">
        <v>292</v>
      </c>
      <c r="BA1" s="36" t="s">
        <v>293</v>
      </c>
    </row>
    <row r="2" spans="1:53" x14ac:dyDescent="0.25">
      <c r="A2" s="1" t="s">
        <v>32</v>
      </c>
      <c r="B2" s="1" t="s">
        <v>150</v>
      </c>
      <c r="C2" s="44" t="s">
        <v>98</v>
      </c>
      <c r="D2" s="35">
        <f>+Y2/1000</f>
        <v>8057</v>
      </c>
      <c r="E2" s="38">
        <v>3877</v>
      </c>
      <c r="F2" s="38">
        <v>3877</v>
      </c>
      <c r="G2" s="38">
        <v>49201077</v>
      </c>
      <c r="H2" s="38">
        <v>15242</v>
      </c>
      <c r="I2" s="38"/>
      <c r="J2" s="38"/>
      <c r="K2" s="38">
        <v>65323</v>
      </c>
      <c r="L2" s="38">
        <v>751137</v>
      </c>
      <c r="M2" s="38"/>
      <c r="N2" s="38">
        <v>288783</v>
      </c>
      <c r="O2" s="38">
        <v>5065</v>
      </c>
      <c r="P2" s="38">
        <v>80</v>
      </c>
      <c r="Q2" s="38"/>
      <c r="R2" s="38"/>
      <c r="S2" s="38"/>
      <c r="T2" s="38">
        <v>899735</v>
      </c>
      <c r="U2" s="38">
        <v>18061316</v>
      </c>
      <c r="V2" s="38">
        <v>9443522</v>
      </c>
      <c r="W2" s="38">
        <v>11892</v>
      </c>
      <c r="X2" s="38">
        <v>13530</v>
      </c>
      <c r="Y2" s="72">
        <v>8057000</v>
      </c>
      <c r="Z2" s="38">
        <v>2979</v>
      </c>
      <c r="AA2" s="38">
        <v>415</v>
      </c>
      <c r="AB2" s="38">
        <v>3394</v>
      </c>
      <c r="AC2" s="38">
        <v>3949524</v>
      </c>
      <c r="AD2" s="38">
        <v>541955</v>
      </c>
      <c r="AE2" s="38">
        <v>0</v>
      </c>
      <c r="AF2" s="38">
        <v>0</v>
      </c>
      <c r="AG2" s="38">
        <v>0</v>
      </c>
      <c r="AH2" s="38">
        <v>0</v>
      </c>
      <c r="AI2" s="38">
        <v>828630</v>
      </c>
      <c r="AJ2" s="38">
        <v>5320109</v>
      </c>
      <c r="AK2" s="38">
        <v>4817791</v>
      </c>
      <c r="AL2" s="38">
        <v>367053</v>
      </c>
      <c r="AM2" s="38">
        <v>258747</v>
      </c>
      <c r="AN2" s="38">
        <v>5443591</v>
      </c>
      <c r="AO2" s="38"/>
      <c r="AP2" s="38"/>
      <c r="AQ2" s="38"/>
      <c r="AR2" s="38"/>
      <c r="AS2" s="38"/>
      <c r="AT2" s="1">
        <f>+N2+O2</f>
        <v>293848</v>
      </c>
      <c r="AU2">
        <f>+U2/V2</f>
        <v>1.9125614362946366</v>
      </c>
      <c r="AV2">
        <f>+AJ2/Y2</f>
        <v>0.66030892391709073</v>
      </c>
      <c r="AW2">
        <f>+T2/D2</f>
        <v>111.67121757477969</v>
      </c>
      <c r="AX2">
        <f>+V2/D2</f>
        <v>1172.0891150552316</v>
      </c>
      <c r="AY2">
        <f>+G2/D2</f>
        <v>6106.6249224277026</v>
      </c>
      <c r="AZ2">
        <f>SUM(G2:M2)/D2</f>
        <v>6209.8521782301104</v>
      </c>
      <c r="BA2">
        <f>+L2/D2</f>
        <v>93.227876380786896</v>
      </c>
    </row>
    <row r="3" spans="1:53" x14ac:dyDescent="0.25">
      <c r="A3" s="1" t="s">
        <v>33</v>
      </c>
      <c r="B3" s="1" t="s">
        <v>150</v>
      </c>
      <c r="C3" s="44" t="s">
        <v>99</v>
      </c>
      <c r="D3" s="35">
        <f t="shared" ref="D3:D52" si="0">+Y3/1000</f>
        <v>10242</v>
      </c>
      <c r="E3" s="38">
        <v>6018</v>
      </c>
      <c r="F3" s="38">
        <v>7140</v>
      </c>
      <c r="G3" s="38">
        <v>54351497</v>
      </c>
      <c r="H3" s="38">
        <v>78444</v>
      </c>
      <c r="I3" s="38">
        <v>89007</v>
      </c>
      <c r="J3" s="38">
        <v>3951</v>
      </c>
      <c r="K3" s="38">
        <v>91486</v>
      </c>
      <c r="L3" s="38">
        <v>592012</v>
      </c>
      <c r="M3" s="38">
        <v>16898</v>
      </c>
      <c r="N3" s="38">
        <v>1582143</v>
      </c>
      <c r="O3" s="38">
        <v>21063</v>
      </c>
      <c r="P3" s="38">
        <v>75</v>
      </c>
      <c r="Q3" s="38">
        <v>43</v>
      </c>
      <c r="R3" s="38">
        <v>1925</v>
      </c>
      <c r="S3" s="38">
        <v>1083</v>
      </c>
      <c r="T3" s="38">
        <v>1473800</v>
      </c>
      <c r="U3" s="38">
        <v>69804524</v>
      </c>
      <c r="V3" s="38">
        <v>16040601</v>
      </c>
      <c r="W3" s="38">
        <v>72277</v>
      </c>
      <c r="X3" s="38">
        <v>50671</v>
      </c>
      <c r="Y3" s="72">
        <v>10242000</v>
      </c>
      <c r="Z3" s="38">
        <v>3753</v>
      </c>
      <c r="AA3" s="38">
        <v>575</v>
      </c>
      <c r="AB3" s="38">
        <v>4328</v>
      </c>
      <c r="AC3" s="38">
        <v>17039993</v>
      </c>
      <c r="AD3" s="38">
        <v>4918543</v>
      </c>
      <c r="AE3" s="38">
        <v>10396</v>
      </c>
      <c r="AF3" s="38">
        <v>341645</v>
      </c>
      <c r="AG3" s="38">
        <v>1269677</v>
      </c>
      <c r="AH3" s="38">
        <v>362724</v>
      </c>
      <c r="AI3" s="38">
        <v>20340771</v>
      </c>
      <c r="AJ3" s="38">
        <v>44283749</v>
      </c>
      <c r="AK3" s="38">
        <v>42283749</v>
      </c>
      <c r="AL3" s="38">
        <v>1310907</v>
      </c>
      <c r="AM3" s="38">
        <v>1434618</v>
      </c>
      <c r="AN3" s="38">
        <v>45029274</v>
      </c>
      <c r="AO3" s="38">
        <v>2077990</v>
      </c>
      <c r="AP3" s="38">
        <v>0</v>
      </c>
      <c r="AQ3" s="38">
        <v>0</v>
      </c>
      <c r="AR3" s="38">
        <v>15637419</v>
      </c>
      <c r="AS3" s="38">
        <v>17715410</v>
      </c>
      <c r="AT3" s="1">
        <f t="shared" ref="AT3:AT45" si="1">+N3+O3</f>
        <v>1603206</v>
      </c>
      <c r="AU3">
        <f t="shared" ref="AU3:AU45" si="2">+U3/V3</f>
        <v>4.3517399379237727</v>
      </c>
      <c r="AV3">
        <f t="shared" ref="AV3:AV45" si="3">+AJ3/Y3</f>
        <v>4.3237403827377463</v>
      </c>
      <c r="AW3">
        <f t="shared" ref="AW3:AW45" si="4">+T3/D3</f>
        <v>143.89767623511034</v>
      </c>
      <c r="AX3">
        <f t="shared" ref="AX3:AX45" si="5">+V3/D3</f>
        <v>1566.159050966608</v>
      </c>
      <c r="AY3">
        <f t="shared" ref="AY3:AY45" si="6">+G3/D3</f>
        <v>5306.7269088068733</v>
      </c>
      <c r="AZ3">
        <f t="shared" ref="AZ3:AZ45" si="7">SUM(G3:M3)/D3</f>
        <v>5391.8468072642063</v>
      </c>
      <c r="BA3">
        <f t="shared" ref="BA3:BA45" si="8">+L3/D3</f>
        <v>57.802382347197813</v>
      </c>
    </row>
    <row r="4" spans="1:53" x14ac:dyDescent="0.25">
      <c r="A4" s="1" t="s">
        <v>34</v>
      </c>
      <c r="B4" s="1" t="s">
        <v>150</v>
      </c>
      <c r="C4" s="44" t="s">
        <v>100</v>
      </c>
      <c r="D4" s="35">
        <f t="shared" si="0"/>
        <v>1439.1969999999999</v>
      </c>
      <c r="E4" s="38">
        <v>585</v>
      </c>
      <c r="F4" s="38">
        <v>711</v>
      </c>
      <c r="G4" s="38">
        <v>10851579</v>
      </c>
      <c r="H4" s="38">
        <v>10600</v>
      </c>
      <c r="I4" s="38">
        <v>18901</v>
      </c>
      <c r="J4" s="38">
        <v>85</v>
      </c>
      <c r="K4" s="38">
        <v>1600</v>
      </c>
      <c r="L4" s="38">
        <v>51600</v>
      </c>
      <c r="M4" s="38">
        <v>712</v>
      </c>
      <c r="N4" s="38">
        <v>542106</v>
      </c>
      <c r="O4" s="38">
        <v>4251</v>
      </c>
      <c r="P4" s="38">
        <v>72</v>
      </c>
      <c r="Q4" s="38">
        <v>0</v>
      </c>
      <c r="R4" s="38">
        <v>362</v>
      </c>
      <c r="S4" s="38">
        <v>310</v>
      </c>
      <c r="T4" s="38">
        <v>449495</v>
      </c>
      <c r="U4" s="38">
        <v>14011606</v>
      </c>
      <c r="V4" s="38">
        <v>6309760</v>
      </c>
      <c r="W4" s="38"/>
      <c r="X4" s="38"/>
      <c r="Y4" s="72">
        <v>1439197</v>
      </c>
      <c r="Z4" s="38">
        <v>1204</v>
      </c>
      <c r="AA4" s="38">
        <v>278</v>
      </c>
      <c r="AB4" s="38">
        <v>1482</v>
      </c>
      <c r="AC4" s="38">
        <v>4466601</v>
      </c>
      <c r="AD4" s="38">
        <v>3264051</v>
      </c>
      <c r="AE4" s="38">
        <v>0</v>
      </c>
      <c r="AF4" s="38">
        <v>440253</v>
      </c>
      <c r="AG4" s="38">
        <v>0</v>
      </c>
      <c r="AH4" s="38">
        <v>0</v>
      </c>
      <c r="AI4" s="38">
        <v>2002671</v>
      </c>
      <c r="AJ4" s="38">
        <v>10173576</v>
      </c>
      <c r="AK4" s="38">
        <v>11885650</v>
      </c>
      <c r="AL4" s="38">
        <v>0</v>
      </c>
      <c r="AM4" s="38">
        <v>191705</v>
      </c>
      <c r="AN4" s="38">
        <v>12077356</v>
      </c>
      <c r="AO4" s="38">
        <v>1529412</v>
      </c>
      <c r="AP4" s="38">
        <v>0</v>
      </c>
      <c r="AQ4" s="38">
        <v>263706</v>
      </c>
      <c r="AR4" s="38">
        <v>85209</v>
      </c>
      <c r="AS4" s="38">
        <v>1878327</v>
      </c>
      <c r="AT4" s="1">
        <f t="shared" si="1"/>
        <v>546357</v>
      </c>
      <c r="AU4">
        <f t="shared" si="2"/>
        <v>2.2206242392737598</v>
      </c>
      <c r="AV4">
        <f t="shared" si="3"/>
        <v>7.0689252409503354</v>
      </c>
      <c r="AW4">
        <f t="shared" si="4"/>
        <v>312.32346926793207</v>
      </c>
      <c r="AX4">
        <f t="shared" si="5"/>
        <v>4384.2225907919492</v>
      </c>
      <c r="AY4">
        <f t="shared" si="6"/>
        <v>7540.0233602488061</v>
      </c>
      <c r="AZ4">
        <f t="shared" si="7"/>
        <v>7598.0404350481558</v>
      </c>
      <c r="BA4">
        <f t="shared" si="8"/>
        <v>35.853326542509471</v>
      </c>
    </row>
    <row r="5" spans="1:53" x14ac:dyDescent="0.25">
      <c r="A5" s="1" t="s">
        <v>35</v>
      </c>
      <c r="B5" s="1" t="s">
        <v>150</v>
      </c>
      <c r="C5" s="44" t="s">
        <v>101</v>
      </c>
      <c r="D5" s="35">
        <f t="shared" si="0"/>
        <v>10047</v>
      </c>
      <c r="E5" s="38">
        <v>2573</v>
      </c>
      <c r="F5" s="38">
        <v>3132</v>
      </c>
      <c r="G5" s="38">
        <v>41380150</v>
      </c>
      <c r="H5" s="38">
        <v>42911</v>
      </c>
      <c r="I5" s="38"/>
      <c r="J5" s="38"/>
      <c r="K5" s="38"/>
      <c r="L5" s="38">
        <v>1382491</v>
      </c>
      <c r="M5" s="38">
        <v>44468</v>
      </c>
      <c r="N5" s="38">
        <v>1069733</v>
      </c>
      <c r="O5" s="38">
        <v>57400</v>
      </c>
      <c r="P5" s="38"/>
      <c r="Q5" s="38"/>
      <c r="R5" s="38"/>
      <c r="S5" s="38"/>
      <c r="T5" s="38">
        <v>1357449</v>
      </c>
      <c r="U5" s="38">
        <v>12554527</v>
      </c>
      <c r="V5" s="38">
        <v>16560559</v>
      </c>
      <c r="W5" s="38">
        <v>15908</v>
      </c>
      <c r="X5" s="38">
        <v>45462</v>
      </c>
      <c r="Y5" s="72">
        <v>10047000</v>
      </c>
      <c r="Z5" s="38">
        <v>3566</v>
      </c>
      <c r="AA5" s="38">
        <v>2166</v>
      </c>
      <c r="AB5" s="38">
        <v>5732</v>
      </c>
      <c r="AC5" s="38">
        <v>19708549</v>
      </c>
      <c r="AD5" s="38">
        <v>4628186</v>
      </c>
      <c r="AE5" s="38">
        <v>0</v>
      </c>
      <c r="AF5" s="38">
        <v>0</v>
      </c>
      <c r="AG5" s="38">
        <v>0</v>
      </c>
      <c r="AH5" s="38">
        <v>0</v>
      </c>
      <c r="AI5" s="38">
        <v>16659271</v>
      </c>
      <c r="AJ5" s="38">
        <v>40996006</v>
      </c>
      <c r="AK5" s="38">
        <v>28084798</v>
      </c>
      <c r="AL5" s="38">
        <v>0</v>
      </c>
      <c r="AM5" s="38">
        <v>12911208</v>
      </c>
      <c r="AN5" s="38">
        <v>40996006</v>
      </c>
      <c r="AO5" s="38"/>
      <c r="AP5" s="38"/>
      <c r="AQ5" s="38"/>
      <c r="AR5" s="38"/>
      <c r="AS5" s="38"/>
      <c r="AT5" s="1">
        <f t="shared" si="1"/>
        <v>1127133</v>
      </c>
      <c r="AU5">
        <f t="shared" si="2"/>
        <v>0.75809802072502508</v>
      </c>
      <c r="AV5">
        <f t="shared" si="3"/>
        <v>4.0804226137155366</v>
      </c>
      <c r="AW5">
        <f t="shared" si="4"/>
        <v>135.10988354732757</v>
      </c>
      <c r="AX5">
        <f t="shared" si="5"/>
        <v>1648.3088484124614</v>
      </c>
      <c r="AY5">
        <f t="shared" si="6"/>
        <v>4118.6573106399919</v>
      </c>
      <c r="AZ5">
        <f t="shared" si="7"/>
        <v>4264.9567034935799</v>
      </c>
      <c r="BA5">
        <f t="shared" si="8"/>
        <v>137.60236886632825</v>
      </c>
    </row>
    <row r="6" spans="1:53" x14ac:dyDescent="0.25">
      <c r="A6" s="1" t="s">
        <v>36</v>
      </c>
      <c r="B6" s="1" t="s">
        <v>150</v>
      </c>
      <c r="C6" s="44" t="s">
        <v>102</v>
      </c>
      <c r="D6" s="35">
        <f t="shared" si="0"/>
        <v>2384</v>
      </c>
      <c r="E6" s="38">
        <v>932</v>
      </c>
      <c r="F6" s="38">
        <v>932</v>
      </c>
      <c r="G6" s="38">
        <v>12343319</v>
      </c>
      <c r="H6" s="38"/>
      <c r="I6" s="38"/>
      <c r="J6" s="38"/>
      <c r="K6" s="38">
        <v>933</v>
      </c>
      <c r="L6" s="38">
        <v>167233</v>
      </c>
      <c r="M6" s="38"/>
      <c r="N6" s="38">
        <v>293900</v>
      </c>
      <c r="O6" s="38">
        <v>18600</v>
      </c>
      <c r="P6" s="38"/>
      <c r="Q6" s="38"/>
      <c r="R6" s="38"/>
      <c r="S6" s="38"/>
      <c r="T6" s="38">
        <v>531801</v>
      </c>
      <c r="U6" s="38">
        <v>20279759</v>
      </c>
      <c r="V6" s="38">
        <v>6167307</v>
      </c>
      <c r="W6" s="38">
        <v>0</v>
      </c>
      <c r="X6" s="38">
        <v>0</v>
      </c>
      <c r="Y6" s="72">
        <v>2384000</v>
      </c>
      <c r="Z6" s="38">
        <v>1872</v>
      </c>
      <c r="AA6" s="38">
        <v>620</v>
      </c>
      <c r="AB6" s="38">
        <v>2492</v>
      </c>
      <c r="AC6" s="38">
        <v>5340990</v>
      </c>
      <c r="AD6" s="38">
        <v>1277610</v>
      </c>
      <c r="AE6" s="38">
        <v>0</v>
      </c>
      <c r="AF6" s="38">
        <v>0</v>
      </c>
      <c r="AG6" s="38">
        <v>0</v>
      </c>
      <c r="AH6" s="38">
        <v>0</v>
      </c>
      <c r="AI6" s="38">
        <v>2811237</v>
      </c>
      <c r="AJ6" s="38">
        <v>9429837</v>
      </c>
      <c r="AK6" s="38">
        <v>8694303</v>
      </c>
      <c r="AL6" s="38">
        <v>23142</v>
      </c>
      <c r="AM6" s="38">
        <v>11946</v>
      </c>
      <c r="AN6" s="38">
        <v>8729391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1">
        <f t="shared" si="1"/>
        <v>312500</v>
      </c>
      <c r="AU6">
        <f t="shared" si="2"/>
        <v>3.2882681209156606</v>
      </c>
      <c r="AV6">
        <f t="shared" si="3"/>
        <v>3.9554685402684564</v>
      </c>
      <c r="AW6">
        <f t="shared" si="4"/>
        <v>223.07088926174498</v>
      </c>
      <c r="AX6">
        <f t="shared" si="5"/>
        <v>2586.957634228188</v>
      </c>
      <c r="AY6">
        <f t="shared" si="6"/>
        <v>5177.5666946308729</v>
      </c>
      <c r="AZ6">
        <f t="shared" si="7"/>
        <v>5248.1061241610741</v>
      </c>
      <c r="BA6">
        <f t="shared" si="8"/>
        <v>70.148070469798654</v>
      </c>
    </row>
    <row r="7" spans="1:53" x14ac:dyDescent="0.25">
      <c r="A7" s="1" t="s">
        <v>37</v>
      </c>
      <c r="B7" s="1" t="s">
        <v>150</v>
      </c>
      <c r="C7" s="44" t="s">
        <v>103</v>
      </c>
      <c r="D7" s="35">
        <f t="shared" si="0"/>
        <v>3661.14</v>
      </c>
      <c r="E7" s="38">
        <v>66</v>
      </c>
      <c r="F7" s="38">
        <v>1453</v>
      </c>
      <c r="G7" s="38">
        <v>22432006</v>
      </c>
      <c r="H7" s="38"/>
      <c r="I7" s="38"/>
      <c r="J7" s="38">
        <v>8557</v>
      </c>
      <c r="K7" s="38">
        <v>1102</v>
      </c>
      <c r="L7" s="38">
        <v>249805</v>
      </c>
      <c r="M7" s="38">
        <v>1113</v>
      </c>
      <c r="N7" s="38">
        <v>1011820</v>
      </c>
      <c r="O7" s="38">
        <v>3918</v>
      </c>
      <c r="P7" s="38">
        <v>96</v>
      </c>
      <c r="Q7" s="38"/>
      <c r="R7" s="38">
        <v>93</v>
      </c>
      <c r="S7" s="38">
        <v>36</v>
      </c>
      <c r="T7" s="38">
        <v>839499</v>
      </c>
      <c r="U7" s="38">
        <v>24637643</v>
      </c>
      <c r="V7" s="38">
        <v>9377600</v>
      </c>
      <c r="W7" s="38">
        <v>9341</v>
      </c>
      <c r="X7" s="38">
        <v>3433</v>
      </c>
      <c r="Y7" s="72">
        <v>3661140</v>
      </c>
      <c r="Z7" s="38">
        <v>3167</v>
      </c>
      <c r="AA7" s="38">
        <v>925</v>
      </c>
      <c r="AB7" s="38">
        <v>4092</v>
      </c>
      <c r="AC7" s="38">
        <v>9016424</v>
      </c>
      <c r="AD7" s="38">
        <v>1694692</v>
      </c>
      <c r="AE7" s="38">
        <v>52993</v>
      </c>
      <c r="AF7" s="38">
        <v>110946</v>
      </c>
      <c r="AG7" s="38">
        <v>394814</v>
      </c>
      <c r="AH7" s="38">
        <v>0</v>
      </c>
      <c r="AI7" s="38">
        <v>4252728</v>
      </c>
      <c r="AJ7" s="38">
        <v>15522597</v>
      </c>
      <c r="AK7" s="38">
        <v>14976990</v>
      </c>
      <c r="AL7" s="38">
        <v>421765</v>
      </c>
      <c r="AM7" s="38">
        <v>231840</v>
      </c>
      <c r="AN7" s="38">
        <v>15630594</v>
      </c>
      <c r="AO7" s="38"/>
      <c r="AP7" s="38"/>
      <c r="AQ7" s="38"/>
      <c r="AR7" s="38"/>
      <c r="AS7" s="38"/>
      <c r="AT7" s="1">
        <f t="shared" si="1"/>
        <v>1015738</v>
      </c>
      <c r="AU7">
        <f t="shared" si="2"/>
        <v>2.6272866191776147</v>
      </c>
      <c r="AV7">
        <f t="shared" si="3"/>
        <v>4.2398261197331975</v>
      </c>
      <c r="AW7">
        <f t="shared" si="4"/>
        <v>229.29989019813502</v>
      </c>
      <c r="AX7">
        <f t="shared" si="5"/>
        <v>2561.3879829779798</v>
      </c>
      <c r="AY7">
        <f t="shared" si="6"/>
        <v>6127.0549610230692</v>
      </c>
      <c r="AZ7">
        <f t="shared" si="7"/>
        <v>6198.2286937948293</v>
      </c>
      <c r="BA7">
        <f t="shared" si="8"/>
        <v>68.2314798122989</v>
      </c>
    </row>
    <row r="8" spans="1:53" x14ac:dyDescent="0.25">
      <c r="A8" s="1" t="s">
        <v>38</v>
      </c>
      <c r="B8" s="1" t="s">
        <v>150</v>
      </c>
      <c r="C8" s="44" t="s">
        <v>104</v>
      </c>
      <c r="D8" s="35">
        <f t="shared" si="0"/>
        <v>38654</v>
      </c>
      <c r="E8" s="38">
        <v>9227</v>
      </c>
      <c r="F8" s="38">
        <v>3564</v>
      </c>
      <c r="G8" s="38">
        <v>135829107</v>
      </c>
      <c r="H8" s="38"/>
      <c r="I8" s="38"/>
      <c r="J8" s="38"/>
      <c r="K8" s="38">
        <v>10380</v>
      </c>
      <c r="L8" s="38">
        <v>2596307</v>
      </c>
      <c r="M8" s="38"/>
      <c r="N8" s="38">
        <v>3793047</v>
      </c>
      <c r="O8" s="38">
        <v>121173</v>
      </c>
      <c r="P8" s="38"/>
      <c r="Q8" s="38"/>
      <c r="R8" s="38"/>
      <c r="S8" s="38"/>
      <c r="T8" s="38">
        <v>7220254</v>
      </c>
      <c r="U8" s="38">
        <v>188976647</v>
      </c>
      <c r="V8" s="38"/>
      <c r="W8" s="38">
        <v>105819</v>
      </c>
      <c r="X8" s="38">
        <v>120410</v>
      </c>
      <c r="Y8" s="72">
        <v>38654000</v>
      </c>
      <c r="Z8" s="38">
        <v>11134</v>
      </c>
      <c r="AA8" s="38">
        <v>6689</v>
      </c>
      <c r="AB8" s="38">
        <v>17823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1">
        <f t="shared" si="1"/>
        <v>3914220</v>
      </c>
      <c r="AU8" t="e">
        <f t="shared" si="2"/>
        <v>#DIV/0!</v>
      </c>
      <c r="AV8">
        <f t="shared" si="3"/>
        <v>0</v>
      </c>
      <c r="AW8">
        <f t="shared" si="4"/>
        <v>186.7918973456822</v>
      </c>
      <c r="AX8">
        <f t="shared" si="5"/>
        <v>0</v>
      </c>
      <c r="AY8">
        <f t="shared" si="6"/>
        <v>3513.9728617995552</v>
      </c>
      <c r="AZ8">
        <f t="shared" si="7"/>
        <v>3581.4092720028975</v>
      </c>
      <c r="BA8">
        <f t="shared" si="8"/>
        <v>67.167873958710615</v>
      </c>
    </row>
    <row r="9" spans="1:53" x14ac:dyDescent="0.25">
      <c r="A9" s="1" t="s">
        <v>39</v>
      </c>
      <c r="B9" s="1" t="s">
        <v>150</v>
      </c>
      <c r="C9" s="44" t="s">
        <v>105</v>
      </c>
      <c r="D9" s="35">
        <f t="shared" si="0"/>
        <v>22334</v>
      </c>
      <c r="E9" s="38">
        <v>2849</v>
      </c>
      <c r="F9" s="38">
        <v>3174</v>
      </c>
      <c r="G9" s="38">
        <v>48364343</v>
      </c>
      <c r="H9" s="38">
        <v>8945</v>
      </c>
      <c r="I9" s="38">
        <v>10293</v>
      </c>
      <c r="J9" s="38">
        <v>68044</v>
      </c>
      <c r="K9" s="38">
        <v>9458</v>
      </c>
      <c r="L9" s="38">
        <v>300166</v>
      </c>
      <c r="M9" s="38">
        <v>2700</v>
      </c>
      <c r="N9" s="38">
        <v>977144</v>
      </c>
      <c r="O9" s="38">
        <v>7235</v>
      </c>
      <c r="P9" s="38">
        <v>68</v>
      </c>
      <c r="Q9" s="38">
        <v>8</v>
      </c>
      <c r="R9" s="38">
        <v>189</v>
      </c>
      <c r="S9" s="38">
        <v>59</v>
      </c>
      <c r="T9" s="38">
        <v>2057844</v>
      </c>
      <c r="U9" s="38">
        <v>35740786</v>
      </c>
      <c r="V9" s="38">
        <v>16421942</v>
      </c>
      <c r="W9" s="38">
        <v>3685</v>
      </c>
      <c r="X9" s="38">
        <v>4327</v>
      </c>
      <c r="Y9" s="72">
        <v>22334000</v>
      </c>
      <c r="Z9" s="38">
        <v>4346</v>
      </c>
      <c r="AA9" s="38">
        <v>774</v>
      </c>
      <c r="AB9" s="38">
        <v>5119</v>
      </c>
      <c r="AC9" s="38">
        <v>8146179</v>
      </c>
      <c r="AD9" s="38">
        <v>1161824</v>
      </c>
      <c r="AE9" s="38">
        <v>2524</v>
      </c>
      <c r="AF9" s="38">
        <v>39200</v>
      </c>
      <c r="AG9" s="38">
        <v>84927</v>
      </c>
      <c r="AH9" s="38">
        <v>14409</v>
      </c>
      <c r="AI9" s="38">
        <v>1733064</v>
      </c>
      <c r="AJ9" s="38">
        <v>11182127</v>
      </c>
      <c r="AK9" s="38">
        <v>10846663</v>
      </c>
      <c r="AL9" s="38">
        <v>111822</v>
      </c>
      <c r="AM9" s="38">
        <v>223642</v>
      </c>
      <c r="AN9" s="38">
        <v>11182127</v>
      </c>
      <c r="AO9" s="38">
        <v>785260</v>
      </c>
      <c r="AP9" s="38">
        <v>50193</v>
      </c>
      <c r="AQ9" s="38">
        <v>256491</v>
      </c>
      <c r="AR9" s="38">
        <v>226910</v>
      </c>
      <c r="AS9" s="38">
        <v>1318854</v>
      </c>
      <c r="AT9" s="1">
        <f t="shared" si="1"/>
        <v>984379</v>
      </c>
      <c r="AU9">
        <f t="shared" si="2"/>
        <v>2.1764043497413401</v>
      </c>
      <c r="AV9">
        <f t="shared" si="3"/>
        <v>0.50067730814005551</v>
      </c>
      <c r="AW9">
        <f t="shared" si="4"/>
        <v>92.139518223336623</v>
      </c>
      <c r="AX9">
        <f t="shared" si="5"/>
        <v>735.28888689889857</v>
      </c>
      <c r="AY9">
        <f t="shared" si="6"/>
        <v>2165.5029551356674</v>
      </c>
      <c r="AZ9">
        <f t="shared" si="7"/>
        <v>2183.395227008149</v>
      </c>
      <c r="BA9">
        <f t="shared" si="8"/>
        <v>13.439867466642786</v>
      </c>
    </row>
    <row r="10" spans="1:53" x14ac:dyDescent="0.25">
      <c r="A10" s="1" t="s">
        <v>40</v>
      </c>
      <c r="B10" s="1" t="s">
        <v>150</v>
      </c>
      <c r="C10" s="44" t="s">
        <v>106</v>
      </c>
      <c r="D10" s="35">
        <f t="shared" si="0"/>
        <v>5396.15</v>
      </c>
      <c r="E10" s="38">
        <v>2657</v>
      </c>
      <c r="F10" s="38">
        <v>2916</v>
      </c>
      <c r="G10" s="38">
        <v>18695936</v>
      </c>
      <c r="H10" s="38">
        <v>9786</v>
      </c>
      <c r="I10" s="38">
        <v>11802</v>
      </c>
      <c r="J10" s="38">
        <v>631</v>
      </c>
      <c r="K10" s="38">
        <v>100</v>
      </c>
      <c r="L10" s="38">
        <v>252656</v>
      </c>
      <c r="M10" s="38">
        <v>1406</v>
      </c>
      <c r="N10" s="38">
        <v>345367</v>
      </c>
      <c r="O10" s="38">
        <v>2280</v>
      </c>
      <c r="P10" s="38">
        <v>93</v>
      </c>
      <c r="Q10" s="38">
        <v>26</v>
      </c>
      <c r="R10" s="38">
        <v>113</v>
      </c>
      <c r="S10" s="38">
        <v>100</v>
      </c>
      <c r="T10" s="38">
        <v>697006</v>
      </c>
      <c r="U10" s="38">
        <v>25017852</v>
      </c>
      <c r="V10" s="38">
        <v>7172297</v>
      </c>
      <c r="W10" s="38">
        <v>4273</v>
      </c>
      <c r="X10" s="38">
        <v>8571</v>
      </c>
      <c r="Y10" s="72">
        <v>5396150</v>
      </c>
      <c r="Z10" s="38">
        <v>1025</v>
      </c>
      <c r="AA10" s="38">
        <v>776</v>
      </c>
      <c r="AB10" s="38">
        <v>1801</v>
      </c>
      <c r="AC10" s="38">
        <v>3764903</v>
      </c>
      <c r="AD10" s="38">
        <v>799238</v>
      </c>
      <c r="AE10" s="38">
        <v>0</v>
      </c>
      <c r="AF10" s="38">
        <v>0</v>
      </c>
      <c r="AG10" s="38">
        <v>0</v>
      </c>
      <c r="AH10" s="38">
        <v>0</v>
      </c>
      <c r="AI10" s="38">
        <v>3191927</v>
      </c>
      <c r="AJ10" s="38">
        <v>7756068</v>
      </c>
      <c r="AK10" s="38">
        <v>6431570</v>
      </c>
      <c r="AL10" s="38">
        <v>623036</v>
      </c>
      <c r="AM10" s="38">
        <v>952076</v>
      </c>
      <c r="AN10" s="38">
        <v>8006682</v>
      </c>
      <c r="AO10" s="38">
        <v>349290</v>
      </c>
      <c r="AP10" s="38">
        <v>0</v>
      </c>
      <c r="AQ10" s="38">
        <v>151034</v>
      </c>
      <c r="AR10" s="38">
        <v>92687</v>
      </c>
      <c r="AS10" s="38">
        <v>593011</v>
      </c>
      <c r="AT10" s="1">
        <f t="shared" si="1"/>
        <v>347647</v>
      </c>
      <c r="AU10">
        <f t="shared" si="2"/>
        <v>3.488122703228826</v>
      </c>
      <c r="AV10">
        <f t="shared" si="3"/>
        <v>1.4373336545500033</v>
      </c>
      <c r="AW10">
        <f t="shared" si="4"/>
        <v>129.16727666947733</v>
      </c>
      <c r="AX10">
        <f t="shared" si="5"/>
        <v>1329.1507834289262</v>
      </c>
      <c r="AY10">
        <f t="shared" si="6"/>
        <v>3464.6805592876403</v>
      </c>
      <c r="AZ10">
        <f t="shared" si="7"/>
        <v>3515.8987426220547</v>
      </c>
      <c r="BA10">
        <f t="shared" si="8"/>
        <v>46.821530165025067</v>
      </c>
    </row>
    <row r="11" spans="1:53" x14ac:dyDescent="0.25">
      <c r="A11" s="1" t="s">
        <v>41</v>
      </c>
      <c r="B11" s="1" t="s">
        <v>150</v>
      </c>
      <c r="C11" s="44" t="s">
        <v>107</v>
      </c>
      <c r="D11" s="35">
        <f t="shared" si="0"/>
        <v>1990.0940000000001</v>
      </c>
      <c r="E11" s="38">
        <v>60</v>
      </c>
      <c r="F11" s="38">
        <v>283</v>
      </c>
      <c r="G11" s="38">
        <v>6983185</v>
      </c>
      <c r="H11" s="38">
        <v>11943</v>
      </c>
      <c r="I11" s="38">
        <v>19173</v>
      </c>
      <c r="J11" s="38">
        <v>13461</v>
      </c>
      <c r="K11" s="38">
        <v>609</v>
      </c>
      <c r="L11" s="38">
        <v>224973</v>
      </c>
      <c r="M11" s="38">
        <v>9478</v>
      </c>
      <c r="N11" s="38">
        <v>388991</v>
      </c>
      <c r="O11" s="38">
        <v>30369</v>
      </c>
      <c r="P11" s="38">
        <v>87</v>
      </c>
      <c r="Q11" s="38">
        <v>77</v>
      </c>
      <c r="R11" s="38">
        <v>528</v>
      </c>
      <c r="S11" s="38">
        <v>272</v>
      </c>
      <c r="T11" s="38">
        <v>491626</v>
      </c>
      <c r="U11" s="38">
        <v>19351425</v>
      </c>
      <c r="V11" s="38">
        <v>7423159</v>
      </c>
      <c r="W11" s="38">
        <v>0</v>
      </c>
      <c r="X11" s="38">
        <v>0</v>
      </c>
      <c r="Y11" s="72">
        <v>1990094</v>
      </c>
      <c r="Z11" s="38">
        <v>643</v>
      </c>
      <c r="AA11" s="38">
        <v>216</v>
      </c>
      <c r="AB11" s="38">
        <v>859</v>
      </c>
      <c r="AC11" s="38">
        <v>11998743</v>
      </c>
      <c r="AD11" s="38">
        <v>5749316</v>
      </c>
      <c r="AE11" s="38">
        <v>4843</v>
      </c>
      <c r="AF11" s="38">
        <v>159164</v>
      </c>
      <c r="AG11" s="38">
        <v>591511</v>
      </c>
      <c r="AH11" s="38">
        <v>13585</v>
      </c>
      <c r="AI11" s="38">
        <v>5214658</v>
      </c>
      <c r="AJ11" s="38">
        <v>23731821</v>
      </c>
      <c r="AK11" s="38">
        <v>21119629</v>
      </c>
      <c r="AL11" s="38">
        <v>2007707</v>
      </c>
      <c r="AM11" s="38">
        <v>1566564</v>
      </c>
      <c r="AN11" s="38">
        <v>24693900</v>
      </c>
      <c r="AO11" s="38">
        <v>2269544</v>
      </c>
      <c r="AP11" s="38">
        <v>145065</v>
      </c>
      <c r="AQ11" s="38">
        <v>741305</v>
      </c>
      <c r="AR11" s="38">
        <v>655812</v>
      </c>
      <c r="AS11" s="38">
        <v>3811726</v>
      </c>
      <c r="AT11" s="1">
        <f t="shared" si="1"/>
        <v>419360</v>
      </c>
      <c r="AU11">
        <f t="shared" si="2"/>
        <v>2.606898895739671</v>
      </c>
      <c r="AV11">
        <f t="shared" si="3"/>
        <v>11.924974900683083</v>
      </c>
      <c r="AW11">
        <f t="shared" si="4"/>
        <v>247.03657214181843</v>
      </c>
      <c r="AX11">
        <f t="shared" si="5"/>
        <v>3730.0544597390876</v>
      </c>
      <c r="AY11">
        <f t="shared" si="6"/>
        <v>3508.9724404977856</v>
      </c>
      <c r="AZ11">
        <f t="shared" si="7"/>
        <v>3649.4869086585859</v>
      </c>
      <c r="BA11">
        <f t="shared" si="8"/>
        <v>113.04641891287547</v>
      </c>
    </row>
    <row r="12" spans="1:53" x14ac:dyDescent="0.25">
      <c r="A12" s="1" t="s">
        <v>42</v>
      </c>
      <c r="B12" s="1" t="s">
        <v>151</v>
      </c>
      <c r="C12" s="44" t="s">
        <v>108</v>
      </c>
      <c r="D12" s="35">
        <f t="shared" si="0"/>
        <v>8110.2439999999997</v>
      </c>
      <c r="E12" s="38">
        <v>991</v>
      </c>
      <c r="F12" s="38">
        <v>1873</v>
      </c>
      <c r="G12" s="38">
        <v>9351946</v>
      </c>
      <c r="H12" s="38"/>
      <c r="I12" s="38"/>
      <c r="J12" s="38"/>
      <c r="K12" s="38"/>
      <c r="L12" s="38"/>
      <c r="M12" s="38"/>
      <c r="N12" s="38"/>
      <c r="O12" s="38"/>
      <c r="P12" s="38">
        <v>100</v>
      </c>
      <c r="Q12" s="38">
        <v>61</v>
      </c>
      <c r="R12" s="38">
        <v>1452</v>
      </c>
      <c r="S12" s="38">
        <v>1452</v>
      </c>
      <c r="T12" s="38">
        <v>868648</v>
      </c>
      <c r="U12" s="38">
        <v>14638735</v>
      </c>
      <c r="V12" s="38">
        <v>6305411</v>
      </c>
      <c r="W12" s="38">
        <v>19946</v>
      </c>
      <c r="X12" s="38">
        <v>21906</v>
      </c>
      <c r="Y12" s="72">
        <v>8110244</v>
      </c>
      <c r="Z12" s="38">
        <v>728</v>
      </c>
      <c r="AA12" s="38">
        <v>580</v>
      </c>
      <c r="AB12" s="38">
        <v>1308</v>
      </c>
      <c r="AC12" s="38">
        <v>30251901</v>
      </c>
      <c r="AD12" s="38">
        <v>5107475</v>
      </c>
      <c r="AE12" s="38">
        <v>19952</v>
      </c>
      <c r="AF12" s="38">
        <v>703294</v>
      </c>
      <c r="AG12" s="38">
        <v>2640554</v>
      </c>
      <c r="AH12" s="38">
        <v>37381</v>
      </c>
      <c r="AI12" s="38">
        <v>7639096</v>
      </c>
      <c r="AJ12" s="38">
        <v>46399652</v>
      </c>
      <c r="AK12" s="38">
        <v>39527461</v>
      </c>
      <c r="AL12" s="38">
        <v>2776614</v>
      </c>
      <c r="AM12" s="38">
        <v>1433341</v>
      </c>
      <c r="AN12" s="38">
        <v>43737415</v>
      </c>
      <c r="AO12" s="38"/>
      <c r="AP12" s="38"/>
      <c r="AQ12" s="38"/>
      <c r="AR12" s="38"/>
      <c r="AS12" s="38"/>
      <c r="AT12" s="1">
        <f t="shared" si="1"/>
        <v>0</v>
      </c>
      <c r="AU12">
        <f t="shared" si="2"/>
        <v>2.3216147210705218</v>
      </c>
      <c r="AV12">
        <f t="shared" si="3"/>
        <v>5.7211166519774252</v>
      </c>
      <c r="AW12">
        <f t="shared" si="4"/>
        <v>107.10503900992374</v>
      </c>
      <c r="AX12">
        <f t="shared" si="5"/>
        <v>777.46255229805661</v>
      </c>
      <c r="AY12">
        <f t="shared" si="6"/>
        <v>1153.1029152760386</v>
      </c>
      <c r="AZ12">
        <f t="shared" si="7"/>
        <v>1153.1029152760386</v>
      </c>
      <c r="BA12">
        <f t="shared" si="8"/>
        <v>0</v>
      </c>
    </row>
    <row r="13" spans="1:53" x14ac:dyDescent="0.25">
      <c r="A13" s="1" t="s">
        <v>318</v>
      </c>
      <c r="B13" s="1" t="s">
        <v>318</v>
      </c>
      <c r="C13" s="44" t="s">
        <v>317</v>
      </c>
      <c r="D13" s="35">
        <f t="shared" si="0"/>
        <v>6232.3209999999999</v>
      </c>
      <c r="E13" s="38">
        <v>320</v>
      </c>
      <c r="F13" s="38">
        <v>903</v>
      </c>
      <c r="G13" s="38">
        <v>21241805</v>
      </c>
      <c r="H13" s="38"/>
      <c r="I13" s="38">
        <v>43443</v>
      </c>
      <c r="J13" s="38"/>
      <c r="K13" s="38"/>
      <c r="L13" s="38">
        <v>2051533</v>
      </c>
      <c r="M13" s="38">
        <v>94315</v>
      </c>
      <c r="N13" s="38">
        <v>1378323</v>
      </c>
      <c r="O13" s="38">
        <v>258468</v>
      </c>
      <c r="P13" s="38"/>
      <c r="Q13" s="38">
        <v>98</v>
      </c>
      <c r="R13" s="38"/>
      <c r="S13" s="38"/>
      <c r="T13" s="38">
        <v>1658175</v>
      </c>
      <c r="U13" s="38">
        <v>52166885</v>
      </c>
      <c r="V13" s="38"/>
      <c r="W13" s="38"/>
      <c r="X13" s="38"/>
      <c r="Y13" s="72">
        <v>6232321</v>
      </c>
      <c r="Z13" s="38">
        <v>1521</v>
      </c>
      <c r="AA13" s="38">
        <v>913</v>
      </c>
      <c r="AB13" s="38">
        <v>2434</v>
      </c>
      <c r="AC13" s="38">
        <v>88345956</v>
      </c>
      <c r="AD13" s="38">
        <v>16885140</v>
      </c>
      <c r="AE13" s="38">
        <v>3806378</v>
      </c>
      <c r="AF13" s="38">
        <v>0</v>
      </c>
      <c r="AG13" s="38">
        <v>0</v>
      </c>
      <c r="AH13" s="38">
        <v>27069661</v>
      </c>
      <c r="AI13" s="38">
        <v>20903469</v>
      </c>
      <c r="AJ13" s="38">
        <v>157010604</v>
      </c>
      <c r="AK13" s="38">
        <v>54557803</v>
      </c>
      <c r="AL13" s="38">
        <v>8627125</v>
      </c>
      <c r="AM13" s="38">
        <v>914522</v>
      </c>
      <c r="AN13" s="38">
        <v>64099451</v>
      </c>
      <c r="AO13" s="38"/>
      <c r="AP13" s="38"/>
      <c r="AQ13" s="38"/>
      <c r="AR13" s="38"/>
      <c r="AS13" s="38"/>
      <c r="AT13" s="1"/>
      <c r="AV13">
        <f t="shared" si="3"/>
        <v>25.19295844998998</v>
      </c>
      <c r="AW13">
        <f t="shared" si="4"/>
        <v>266.06058962624036</v>
      </c>
      <c r="AY13">
        <f t="shared" si="6"/>
        <v>3408.3297378296143</v>
      </c>
      <c r="AZ13">
        <f t="shared" si="7"/>
        <v>3759.6099430693639</v>
      </c>
    </row>
    <row r="14" spans="1:53" x14ac:dyDescent="0.25">
      <c r="A14" s="1" t="s">
        <v>315</v>
      </c>
      <c r="B14" s="1" t="s">
        <v>315</v>
      </c>
      <c r="C14" s="44" t="s">
        <v>316</v>
      </c>
      <c r="D14" s="35">
        <f t="shared" si="0"/>
        <v>3987.6790000000001</v>
      </c>
      <c r="E14" s="38">
        <v>175</v>
      </c>
      <c r="F14" s="38">
        <v>572</v>
      </c>
      <c r="G14" s="38">
        <v>12243069</v>
      </c>
      <c r="H14" s="38"/>
      <c r="I14" s="38">
        <v>96659</v>
      </c>
      <c r="J14" s="38"/>
      <c r="K14" s="38"/>
      <c r="L14" s="38">
        <v>91161</v>
      </c>
      <c r="M14" s="38">
        <v>8332</v>
      </c>
      <c r="N14" s="38"/>
      <c r="O14" s="38"/>
      <c r="P14" s="38"/>
      <c r="Q14" s="38"/>
      <c r="R14" s="38"/>
      <c r="S14" s="38"/>
      <c r="T14" s="38">
        <v>756992</v>
      </c>
      <c r="U14" s="38"/>
      <c r="V14" s="38"/>
      <c r="W14" s="38"/>
      <c r="X14" s="38"/>
      <c r="Y14" s="72">
        <v>3987679</v>
      </c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1"/>
      <c r="AW14">
        <f t="shared" si="4"/>
        <v>189.83273227358572</v>
      </c>
      <c r="AY14">
        <f t="shared" si="6"/>
        <v>3070.224308426029</v>
      </c>
      <c r="AZ14">
        <f t="shared" si="7"/>
        <v>3119.4138244327087</v>
      </c>
    </row>
    <row r="15" spans="1:53" x14ac:dyDescent="0.25">
      <c r="A15" s="1" t="s">
        <v>43</v>
      </c>
      <c r="B15" s="1" t="s">
        <v>151</v>
      </c>
      <c r="C15" s="44" t="s">
        <v>109</v>
      </c>
      <c r="D15" s="35">
        <f t="shared" si="0"/>
        <v>10220</v>
      </c>
      <c r="E15" s="38">
        <v>495</v>
      </c>
      <c r="F15" s="38">
        <v>1475</v>
      </c>
      <c r="G15" s="38">
        <v>33484874</v>
      </c>
      <c r="H15" s="38"/>
      <c r="I15" s="38">
        <v>140102</v>
      </c>
      <c r="J15" s="38"/>
      <c r="K15" s="38"/>
      <c r="L15" s="38">
        <v>2142694</v>
      </c>
      <c r="M15" s="38">
        <v>102647</v>
      </c>
      <c r="N15" s="38">
        <v>1602000</v>
      </c>
      <c r="O15" s="38">
        <v>211166</v>
      </c>
      <c r="P15" s="38"/>
      <c r="Q15" s="38">
        <v>98</v>
      </c>
      <c r="R15" s="38"/>
      <c r="S15" s="38"/>
      <c r="T15" s="38">
        <v>2415167</v>
      </c>
      <c r="U15" s="38"/>
      <c r="V15" s="38"/>
      <c r="W15" s="38">
        <v>41168</v>
      </c>
      <c r="X15" s="38">
        <v>34834</v>
      </c>
      <c r="Y15" s="72">
        <v>10220000</v>
      </c>
      <c r="Z15" s="38">
        <v>2463</v>
      </c>
      <c r="AA15" s="38">
        <v>1297</v>
      </c>
      <c r="AB15" s="38">
        <v>3760</v>
      </c>
      <c r="AC15" s="38">
        <v>126001459</v>
      </c>
      <c r="AD15" s="38">
        <v>28159370</v>
      </c>
      <c r="AE15" s="38">
        <v>151105</v>
      </c>
      <c r="AF15" s="38">
        <v>3879229</v>
      </c>
      <c r="AG15" s="38">
        <v>13288071</v>
      </c>
      <c r="AH15" s="38">
        <v>6297</v>
      </c>
      <c r="AI15" s="38">
        <v>29699376</v>
      </c>
      <c r="AJ15" s="38">
        <v>201184906</v>
      </c>
      <c r="AK15" s="38">
        <v>194264948</v>
      </c>
      <c r="AL15" s="38">
        <v>8093499</v>
      </c>
      <c r="AM15" s="38">
        <v>5625211</v>
      </c>
      <c r="AN15" s="38">
        <v>207983658</v>
      </c>
      <c r="AO15" s="38"/>
      <c r="AP15" s="38"/>
      <c r="AQ15" s="38"/>
      <c r="AR15" s="38"/>
      <c r="AS15" s="38"/>
      <c r="AT15" s="1">
        <f t="shared" si="1"/>
        <v>1813166</v>
      </c>
      <c r="AU15" t="e">
        <f t="shared" si="2"/>
        <v>#DIV/0!</v>
      </c>
      <c r="AV15">
        <f t="shared" si="3"/>
        <v>19.685411545988259</v>
      </c>
      <c r="AW15">
        <f t="shared" si="4"/>
        <v>236.31771037181997</v>
      </c>
      <c r="AX15">
        <f t="shared" si="5"/>
        <v>0</v>
      </c>
      <c r="AY15">
        <f t="shared" si="6"/>
        <v>3276.406457925636</v>
      </c>
      <c r="AZ15">
        <f t="shared" si="7"/>
        <v>3509.8157534246575</v>
      </c>
      <c r="BA15">
        <f t="shared" si="8"/>
        <v>209.6569471624266</v>
      </c>
    </row>
    <row r="16" spans="1:53" x14ac:dyDescent="0.25">
      <c r="A16" s="1" t="s">
        <v>44</v>
      </c>
      <c r="B16" s="1" t="s">
        <v>151</v>
      </c>
      <c r="C16" s="44" t="s">
        <v>110</v>
      </c>
      <c r="D16" s="35">
        <f t="shared" si="0"/>
        <v>5349.11</v>
      </c>
      <c r="E16" s="38">
        <v>245</v>
      </c>
      <c r="F16" s="38">
        <v>800</v>
      </c>
      <c r="G16" s="38">
        <v>27634549</v>
      </c>
      <c r="H16" s="38">
        <v>1688</v>
      </c>
      <c r="I16" s="38">
        <v>205550</v>
      </c>
      <c r="J16" s="38"/>
      <c r="K16" s="38">
        <v>369</v>
      </c>
      <c r="L16" s="38">
        <v>2756369</v>
      </c>
      <c r="M16" s="38">
        <v>98401</v>
      </c>
      <c r="N16" s="38">
        <v>1660108</v>
      </c>
      <c r="O16" s="38">
        <v>297177</v>
      </c>
      <c r="P16" s="38"/>
      <c r="Q16" s="38"/>
      <c r="R16" s="38">
        <v>3343</v>
      </c>
      <c r="S16" s="38">
        <v>2218</v>
      </c>
      <c r="T16" s="38">
        <v>1845698</v>
      </c>
      <c r="U16" s="38">
        <v>72464549</v>
      </c>
      <c r="V16" s="38">
        <v>30533524</v>
      </c>
      <c r="W16" s="38">
        <v>7280437</v>
      </c>
      <c r="X16" s="38">
        <v>11211602</v>
      </c>
      <c r="Y16" s="72">
        <v>5349110</v>
      </c>
      <c r="Z16" s="38">
        <v>2283</v>
      </c>
      <c r="AA16" s="38">
        <v>2787</v>
      </c>
      <c r="AB16" s="38">
        <v>5070</v>
      </c>
      <c r="AC16" s="38">
        <v>194778050</v>
      </c>
      <c r="AD16" s="38">
        <v>48800761</v>
      </c>
      <c r="AE16" s="38">
        <v>9585</v>
      </c>
      <c r="AF16" s="38">
        <v>535168</v>
      </c>
      <c r="AG16" s="38">
        <v>1236422</v>
      </c>
      <c r="AH16" s="38">
        <v>0</v>
      </c>
      <c r="AI16" s="38">
        <v>87186903</v>
      </c>
      <c r="AJ16" s="38">
        <v>332546890</v>
      </c>
      <c r="AK16" s="38">
        <v>293737414</v>
      </c>
      <c r="AL16" s="38">
        <v>26651389</v>
      </c>
      <c r="AM16" s="38">
        <v>12141194</v>
      </c>
      <c r="AN16" s="38">
        <v>332529998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1">
        <f t="shared" si="1"/>
        <v>1957285</v>
      </c>
      <c r="AU16">
        <f t="shared" si="2"/>
        <v>2.3732782694850423</v>
      </c>
      <c r="AV16">
        <f t="shared" si="3"/>
        <v>62.168639268962501</v>
      </c>
      <c r="AW16">
        <f t="shared" si="4"/>
        <v>345.04768082914728</v>
      </c>
      <c r="AX16">
        <f t="shared" si="5"/>
        <v>5708.1503278115424</v>
      </c>
      <c r="AY16">
        <f t="shared" si="6"/>
        <v>5166.1956848896361</v>
      </c>
      <c r="AZ16">
        <f t="shared" si="7"/>
        <v>5738.6978394536663</v>
      </c>
      <c r="BA16">
        <f t="shared" si="8"/>
        <v>515.29488083064291</v>
      </c>
    </row>
    <row r="17" spans="1:53" x14ac:dyDescent="0.25">
      <c r="A17" s="1" t="s">
        <v>45</v>
      </c>
      <c r="B17" s="1" t="s">
        <v>151</v>
      </c>
      <c r="C17" s="44" t="s">
        <v>111</v>
      </c>
      <c r="D17" s="35">
        <f t="shared" si="0"/>
        <v>3720</v>
      </c>
      <c r="E17" s="38">
        <v>32</v>
      </c>
      <c r="F17" s="38">
        <v>357</v>
      </c>
      <c r="G17" s="38">
        <v>11270238</v>
      </c>
      <c r="H17" s="38">
        <v>12426</v>
      </c>
      <c r="I17" s="38">
        <v>2204</v>
      </c>
      <c r="J17" s="38">
        <v>12481</v>
      </c>
      <c r="K17" s="38">
        <v>19840</v>
      </c>
      <c r="L17" s="38">
        <v>327891</v>
      </c>
      <c r="M17" s="38">
        <v>3202</v>
      </c>
      <c r="N17" s="38">
        <v>909438</v>
      </c>
      <c r="O17" s="38">
        <v>34111</v>
      </c>
      <c r="P17" s="38">
        <v>89</v>
      </c>
      <c r="Q17" s="38">
        <v>70</v>
      </c>
      <c r="R17" s="38">
        <v>1084</v>
      </c>
      <c r="S17" s="38">
        <v>668</v>
      </c>
      <c r="T17" s="38">
        <v>894606</v>
      </c>
      <c r="U17" s="38">
        <v>12268767</v>
      </c>
      <c r="V17" s="38">
        <v>20082704</v>
      </c>
      <c r="W17" s="38">
        <v>1820</v>
      </c>
      <c r="X17" s="38">
        <v>4606</v>
      </c>
      <c r="Y17" s="72">
        <v>3720000</v>
      </c>
      <c r="Z17" s="38">
        <v>291</v>
      </c>
      <c r="AA17" s="38">
        <v>1092</v>
      </c>
      <c r="AB17" s="38">
        <v>1383</v>
      </c>
      <c r="AC17" s="38">
        <v>32435319</v>
      </c>
      <c r="AD17" s="38">
        <v>9215175</v>
      </c>
      <c r="AE17" s="38">
        <v>0</v>
      </c>
      <c r="AF17" s="38">
        <v>1523093</v>
      </c>
      <c r="AG17" s="38">
        <v>7859332</v>
      </c>
      <c r="AH17" s="38">
        <v>0</v>
      </c>
      <c r="AI17" s="38">
        <v>6404022</v>
      </c>
      <c r="AJ17" s="38">
        <v>57436941</v>
      </c>
      <c r="AK17" s="38">
        <v>50565429</v>
      </c>
      <c r="AL17" s="38">
        <v>1480618</v>
      </c>
      <c r="AM17" s="38">
        <v>5797751</v>
      </c>
      <c r="AN17" s="38">
        <v>57843799</v>
      </c>
      <c r="AO17" s="38">
        <v>3120637</v>
      </c>
      <c r="AP17" s="38">
        <v>3652805</v>
      </c>
      <c r="AQ17" s="38">
        <v>1642007</v>
      </c>
      <c r="AR17" s="38">
        <v>1106164</v>
      </c>
      <c r="AS17" s="38">
        <v>9521614</v>
      </c>
      <c r="AT17" s="1">
        <f t="shared" si="1"/>
        <v>943549</v>
      </c>
      <c r="AU17">
        <f t="shared" si="2"/>
        <v>0.61091210625820114</v>
      </c>
      <c r="AV17">
        <f t="shared" si="3"/>
        <v>15.440037903225807</v>
      </c>
      <c r="AW17">
        <f t="shared" si="4"/>
        <v>240.48548387096776</v>
      </c>
      <c r="AX17">
        <f t="shared" si="5"/>
        <v>5398.5763440860219</v>
      </c>
      <c r="AY17">
        <f t="shared" si="6"/>
        <v>3029.633870967742</v>
      </c>
      <c r="AZ17">
        <f t="shared" si="7"/>
        <v>3131.2586021505376</v>
      </c>
      <c r="BA17">
        <f t="shared" si="8"/>
        <v>88.142741935483869</v>
      </c>
    </row>
    <row r="18" spans="1:53" x14ac:dyDescent="0.25">
      <c r="A18" s="1" t="s">
        <v>46</v>
      </c>
      <c r="B18" s="1" t="s">
        <v>151</v>
      </c>
      <c r="C18" s="44" t="s">
        <v>112</v>
      </c>
      <c r="D18" s="35">
        <f t="shared" si="0"/>
        <v>5145.5959999999995</v>
      </c>
      <c r="E18" s="38">
        <v>436</v>
      </c>
      <c r="F18" s="38">
        <v>1138</v>
      </c>
      <c r="G18" s="38">
        <v>37013045</v>
      </c>
      <c r="H18" s="38"/>
      <c r="I18" s="38">
        <v>97600</v>
      </c>
      <c r="J18" s="38"/>
      <c r="K18" s="38"/>
      <c r="L18" s="38">
        <v>3884200</v>
      </c>
      <c r="M18" s="38">
        <v>22219</v>
      </c>
      <c r="N18" s="38">
        <v>1606835</v>
      </c>
      <c r="O18" s="38">
        <v>309996</v>
      </c>
      <c r="P18" s="38">
        <v>99</v>
      </c>
      <c r="Q18" s="38">
        <v>99</v>
      </c>
      <c r="R18" s="38">
        <v>2500</v>
      </c>
      <c r="S18" s="38">
        <v>1256</v>
      </c>
      <c r="T18" s="38">
        <v>2417055</v>
      </c>
      <c r="U18" s="38">
        <v>102197190</v>
      </c>
      <c r="V18" s="38">
        <v>63990752</v>
      </c>
      <c r="W18" s="38">
        <v>184680</v>
      </c>
      <c r="X18" s="38">
        <v>192684</v>
      </c>
      <c r="Y18" s="72">
        <v>5145596</v>
      </c>
      <c r="Z18" s="38">
        <v>1500</v>
      </c>
      <c r="AA18" s="38">
        <v>2674</v>
      </c>
      <c r="AB18" s="38">
        <v>4174</v>
      </c>
      <c r="AC18" s="38">
        <v>130057045</v>
      </c>
      <c r="AD18" s="38">
        <v>40789913</v>
      </c>
      <c r="AE18" s="38">
        <v>0</v>
      </c>
      <c r="AF18" s="38">
        <v>0</v>
      </c>
      <c r="AG18" s="38">
        <v>0</v>
      </c>
      <c r="AH18" s="38">
        <v>0</v>
      </c>
      <c r="AI18" s="38">
        <v>60983022</v>
      </c>
      <c r="AJ18" s="38">
        <v>231829980</v>
      </c>
      <c r="AK18" s="38">
        <v>213163872</v>
      </c>
      <c r="AL18" s="38">
        <v>4399221</v>
      </c>
      <c r="AM18" s="38">
        <v>14266888</v>
      </c>
      <c r="AN18" s="38">
        <v>231829980</v>
      </c>
      <c r="AO18" s="38">
        <v>18378394</v>
      </c>
      <c r="AP18" s="38">
        <v>1174709</v>
      </c>
      <c r="AQ18" s="38">
        <v>6002968</v>
      </c>
      <c r="AR18" s="38">
        <v>5310654</v>
      </c>
      <c r="AS18" s="38">
        <v>30866725</v>
      </c>
      <c r="AT18" s="1">
        <f t="shared" si="1"/>
        <v>1916831</v>
      </c>
      <c r="AU18">
        <f t="shared" si="2"/>
        <v>1.597061869190098</v>
      </c>
      <c r="AV18">
        <f t="shared" si="3"/>
        <v>45.054057877843498</v>
      </c>
      <c r="AW18">
        <f t="shared" si="4"/>
        <v>469.73275787683298</v>
      </c>
      <c r="AX18">
        <f t="shared" si="5"/>
        <v>12436.023348898749</v>
      </c>
      <c r="AY18">
        <f t="shared" si="6"/>
        <v>7193.1502201105577</v>
      </c>
      <c r="AZ18">
        <f t="shared" si="7"/>
        <v>7971.2950647505177</v>
      </c>
      <c r="BA18">
        <f t="shared" si="8"/>
        <v>754.85910670017631</v>
      </c>
    </row>
    <row r="19" spans="1:53" x14ac:dyDescent="0.25">
      <c r="A19" s="1" t="s">
        <v>47</v>
      </c>
      <c r="B19" s="1" t="s">
        <v>151</v>
      </c>
      <c r="C19" s="44" t="s">
        <v>113</v>
      </c>
      <c r="D19" s="35">
        <f t="shared" si="0"/>
        <v>59400</v>
      </c>
      <c r="E19" s="38">
        <v>3881</v>
      </c>
      <c r="F19" s="38">
        <v>3884</v>
      </c>
      <c r="G19" s="38">
        <v>144456108</v>
      </c>
      <c r="H19" s="38"/>
      <c r="I19" s="38">
        <v>223647</v>
      </c>
      <c r="J19" s="38"/>
      <c r="K19" s="38"/>
      <c r="L19" s="38">
        <v>9670922</v>
      </c>
      <c r="M19" s="38">
        <v>216654</v>
      </c>
      <c r="N19" s="38">
        <v>6827452</v>
      </c>
      <c r="O19" s="38">
        <v>942839</v>
      </c>
      <c r="P19" s="38">
        <v>82</v>
      </c>
      <c r="Q19" s="38"/>
      <c r="R19" s="38"/>
      <c r="S19" s="38"/>
      <c r="T19" s="38">
        <v>12025650</v>
      </c>
      <c r="U19" s="38">
        <v>302627916</v>
      </c>
      <c r="V19" s="38"/>
      <c r="W19" s="38">
        <v>18621</v>
      </c>
      <c r="X19" s="38">
        <v>21328</v>
      </c>
      <c r="Y19" s="72">
        <v>59400000</v>
      </c>
      <c r="Z19" s="38">
        <v>7031</v>
      </c>
      <c r="AA19" s="38">
        <v>14498</v>
      </c>
      <c r="AB19" s="38">
        <v>21529</v>
      </c>
      <c r="AC19" s="38">
        <v>646073217</v>
      </c>
      <c r="AD19" s="38">
        <v>117360248</v>
      </c>
      <c r="AE19" s="38">
        <v>613120</v>
      </c>
      <c r="AF19" s="38">
        <v>15740293</v>
      </c>
      <c r="AG19" s="38">
        <v>53917450</v>
      </c>
      <c r="AH19" s="38">
        <v>25549</v>
      </c>
      <c r="AI19" s="38">
        <v>161083516</v>
      </c>
      <c r="AJ19" s="38">
        <v>994813393</v>
      </c>
      <c r="AK19" s="38">
        <v>899963958</v>
      </c>
      <c r="AL19" s="38">
        <v>23852331</v>
      </c>
      <c r="AM19" s="38">
        <v>5493134</v>
      </c>
      <c r="AN19" s="38">
        <v>929309423</v>
      </c>
      <c r="AO19" s="38">
        <v>186846019</v>
      </c>
      <c r="AP19" s="38">
        <v>7611358</v>
      </c>
      <c r="AQ19" s="38">
        <v>38895372</v>
      </c>
      <c r="AR19" s="38">
        <v>34409621</v>
      </c>
      <c r="AS19" s="38">
        <v>267762370</v>
      </c>
      <c r="AT19" s="1">
        <f t="shared" si="1"/>
        <v>7770291</v>
      </c>
      <c r="AU19" t="e">
        <f t="shared" si="2"/>
        <v>#DIV/0!</v>
      </c>
      <c r="AV19">
        <f t="shared" si="3"/>
        <v>16.747700218855218</v>
      </c>
      <c r="AW19">
        <f t="shared" si="4"/>
        <v>202.45202020202021</v>
      </c>
      <c r="AX19">
        <f t="shared" si="5"/>
        <v>0</v>
      </c>
      <c r="AY19">
        <f t="shared" si="6"/>
        <v>2431.9210101010103</v>
      </c>
      <c r="AZ19">
        <f t="shared" si="7"/>
        <v>2602.1436195286196</v>
      </c>
      <c r="BA19">
        <f t="shared" si="8"/>
        <v>162.81013468013467</v>
      </c>
    </row>
    <row r="20" spans="1:53" x14ac:dyDescent="0.25">
      <c r="A20" s="1" t="s">
        <v>48</v>
      </c>
      <c r="B20" s="1" t="s">
        <v>151</v>
      </c>
      <c r="C20" s="44" t="s">
        <v>114</v>
      </c>
      <c r="D20" s="35">
        <f t="shared" si="0"/>
        <v>10586</v>
      </c>
      <c r="E20" s="38">
        <v>718</v>
      </c>
      <c r="F20" s="38">
        <v>829</v>
      </c>
      <c r="G20" s="38">
        <v>9702367</v>
      </c>
      <c r="H20" s="38">
        <v>161033</v>
      </c>
      <c r="I20" s="38">
        <v>125025</v>
      </c>
      <c r="J20" s="38">
        <v>1509096</v>
      </c>
      <c r="K20" s="38">
        <v>317503</v>
      </c>
      <c r="L20" s="38">
        <v>102507</v>
      </c>
      <c r="M20" s="38">
        <v>12623</v>
      </c>
      <c r="N20" s="38">
        <v>296284</v>
      </c>
      <c r="O20" s="38">
        <v>12264</v>
      </c>
      <c r="P20" s="38">
        <v>89</v>
      </c>
      <c r="Q20" s="38">
        <v>70</v>
      </c>
      <c r="R20" s="38">
        <v>4032</v>
      </c>
      <c r="S20" s="38">
        <v>2025</v>
      </c>
      <c r="T20" s="38">
        <v>2875762</v>
      </c>
      <c r="U20" s="38">
        <v>1952957</v>
      </c>
      <c r="V20" s="38">
        <v>2440868</v>
      </c>
      <c r="W20" s="38">
        <v>8727</v>
      </c>
      <c r="X20" s="38">
        <v>12210</v>
      </c>
      <c r="Y20" s="72">
        <v>10586000</v>
      </c>
      <c r="Z20" s="38">
        <v>1029</v>
      </c>
      <c r="AA20" s="38">
        <v>805</v>
      </c>
      <c r="AB20" s="38">
        <v>1834</v>
      </c>
      <c r="AC20" s="38">
        <v>40693056</v>
      </c>
      <c r="AD20" s="38">
        <v>9094266</v>
      </c>
      <c r="AE20" s="38">
        <v>48800</v>
      </c>
      <c r="AF20" s="38">
        <v>1252824</v>
      </c>
      <c r="AG20" s="38">
        <v>4291476</v>
      </c>
      <c r="AH20" s="38">
        <v>2034</v>
      </c>
      <c r="AI20" s="38">
        <v>12821192</v>
      </c>
      <c r="AJ20" s="38">
        <v>68203648</v>
      </c>
      <c r="AK20" s="38"/>
      <c r="AL20" s="38"/>
      <c r="AM20" s="38"/>
      <c r="AN20" s="38"/>
      <c r="AO20" s="38"/>
      <c r="AP20" s="38"/>
      <c r="AQ20" s="38"/>
      <c r="AR20" s="38"/>
      <c r="AS20" s="38"/>
      <c r="AT20" s="1">
        <f t="shared" si="1"/>
        <v>308548</v>
      </c>
      <c r="AU20">
        <f t="shared" si="2"/>
        <v>0.80010758467889287</v>
      </c>
      <c r="AV20">
        <f t="shared" si="3"/>
        <v>6.4428157944454938</v>
      </c>
      <c r="AW20">
        <f t="shared" si="4"/>
        <v>271.65709427545818</v>
      </c>
      <c r="AX20">
        <f t="shared" si="5"/>
        <v>230.57509918760627</v>
      </c>
      <c r="AY20">
        <f t="shared" si="6"/>
        <v>916.52815038730398</v>
      </c>
      <c r="AZ20">
        <f t="shared" si="7"/>
        <v>1126.9746835443038</v>
      </c>
      <c r="BA20">
        <f t="shared" si="8"/>
        <v>9.6832609106366903</v>
      </c>
    </row>
    <row r="21" spans="1:53" x14ac:dyDescent="0.25">
      <c r="A21" s="1" t="s">
        <v>49</v>
      </c>
      <c r="B21" s="1" t="s">
        <v>152</v>
      </c>
      <c r="C21" s="44" t="s">
        <v>115</v>
      </c>
      <c r="D21" s="35">
        <f t="shared" si="0"/>
        <v>279</v>
      </c>
      <c r="E21" s="38">
        <v>137</v>
      </c>
      <c r="F21" s="38">
        <v>143</v>
      </c>
      <c r="G21" s="38">
        <v>2065660</v>
      </c>
      <c r="H21" s="38"/>
      <c r="I21" s="38">
        <v>2087</v>
      </c>
      <c r="J21" s="38">
        <v>759</v>
      </c>
      <c r="K21" s="38">
        <v>3178</v>
      </c>
      <c r="L21" s="38">
        <v>67321</v>
      </c>
      <c r="M21" s="38">
        <v>743</v>
      </c>
      <c r="N21" s="38">
        <v>75879</v>
      </c>
      <c r="O21" s="38">
        <v>4640</v>
      </c>
      <c r="P21" s="38"/>
      <c r="Q21" s="38"/>
      <c r="R21" s="38"/>
      <c r="S21" s="38"/>
      <c r="T21" s="38">
        <v>86073</v>
      </c>
      <c r="U21" s="38">
        <v>2224533</v>
      </c>
      <c r="V21" s="38">
        <v>859249</v>
      </c>
      <c r="W21" s="38">
        <v>867</v>
      </c>
      <c r="X21" s="38">
        <v>1852</v>
      </c>
      <c r="Y21" s="72">
        <v>279000</v>
      </c>
      <c r="Z21" s="38">
        <v>80</v>
      </c>
      <c r="AA21" s="38">
        <v>207</v>
      </c>
      <c r="AB21" s="38">
        <v>299</v>
      </c>
      <c r="AC21" s="38">
        <v>4582198</v>
      </c>
      <c r="AD21" s="38">
        <v>1589323</v>
      </c>
      <c r="AE21" s="38">
        <v>0</v>
      </c>
      <c r="AF21" s="38">
        <v>90603</v>
      </c>
      <c r="AG21" s="38">
        <v>645061</v>
      </c>
      <c r="AH21" s="38">
        <v>216354</v>
      </c>
      <c r="AI21" s="38">
        <v>1196842</v>
      </c>
      <c r="AJ21" s="38">
        <v>8320381</v>
      </c>
      <c r="AK21" s="38">
        <v>7589487</v>
      </c>
      <c r="AL21" s="38">
        <v>593092</v>
      </c>
      <c r="AM21" s="38">
        <v>152676</v>
      </c>
      <c r="AN21" s="38">
        <v>8335255</v>
      </c>
      <c r="AO21" s="38"/>
      <c r="AP21" s="38"/>
      <c r="AQ21" s="38"/>
      <c r="AR21" s="38"/>
      <c r="AS21" s="38"/>
      <c r="AT21" s="1">
        <f t="shared" si="1"/>
        <v>80519</v>
      </c>
      <c r="AU21">
        <f t="shared" si="2"/>
        <v>2.5889270746896416</v>
      </c>
      <c r="AV21">
        <f t="shared" si="3"/>
        <v>29.8221541218638</v>
      </c>
      <c r="AW21">
        <f t="shared" si="4"/>
        <v>308.50537634408602</v>
      </c>
      <c r="AX21">
        <f t="shared" si="5"/>
        <v>3079.7455197132617</v>
      </c>
      <c r="AY21">
        <f t="shared" si="6"/>
        <v>7403.7992831541214</v>
      </c>
      <c r="AZ21">
        <f t="shared" si="7"/>
        <v>7669.347670250896</v>
      </c>
      <c r="BA21">
        <f t="shared" si="8"/>
        <v>241.29390681003585</v>
      </c>
    </row>
    <row r="22" spans="1:53" x14ac:dyDescent="0.25">
      <c r="A22" s="1" t="s">
        <v>50</v>
      </c>
      <c r="B22" s="1" t="s">
        <v>151</v>
      </c>
      <c r="C22" s="44" t="s">
        <v>116</v>
      </c>
      <c r="D22" s="35">
        <f t="shared" si="0"/>
        <v>57535</v>
      </c>
      <c r="E22" s="38">
        <v>84</v>
      </c>
      <c r="F22" s="38">
        <v>6028</v>
      </c>
      <c r="G22" s="38">
        <v>42029422</v>
      </c>
      <c r="H22" s="38"/>
      <c r="I22" s="38"/>
      <c r="J22" s="38"/>
      <c r="K22" s="38"/>
      <c r="L22" s="38"/>
      <c r="M22" s="38"/>
      <c r="N22" s="38">
        <v>5558455</v>
      </c>
      <c r="O22" s="38"/>
      <c r="P22" s="38"/>
      <c r="Q22" s="38"/>
      <c r="R22" s="38"/>
      <c r="S22" s="38"/>
      <c r="T22" s="38"/>
      <c r="U22" s="38"/>
      <c r="V22" s="38"/>
      <c r="W22" s="38">
        <v>450786</v>
      </c>
      <c r="X22" s="38">
        <v>495070</v>
      </c>
      <c r="Y22" s="72">
        <v>57535000</v>
      </c>
      <c r="Z22" s="38">
        <v>5984</v>
      </c>
      <c r="AA22" s="38">
        <v>17856</v>
      </c>
      <c r="AB22" s="38">
        <v>23840</v>
      </c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1">
        <f t="shared" si="1"/>
        <v>5558455</v>
      </c>
      <c r="AU22" t="e">
        <f t="shared" si="2"/>
        <v>#DIV/0!</v>
      </c>
      <c r="AV22">
        <f t="shared" si="3"/>
        <v>0</v>
      </c>
      <c r="AW22">
        <f t="shared" si="4"/>
        <v>0</v>
      </c>
      <c r="AX22">
        <f t="shared" si="5"/>
        <v>0</v>
      </c>
      <c r="AY22">
        <f t="shared" si="6"/>
        <v>730.5018162857391</v>
      </c>
      <c r="AZ22">
        <f t="shared" si="7"/>
        <v>730.5018162857391</v>
      </c>
      <c r="BA22">
        <f t="shared" si="8"/>
        <v>0</v>
      </c>
    </row>
    <row r="23" spans="1:53" x14ac:dyDescent="0.25">
      <c r="A23" s="1" t="s">
        <v>51</v>
      </c>
      <c r="B23" s="1" t="s">
        <v>152</v>
      </c>
      <c r="C23" s="44" t="s">
        <v>117</v>
      </c>
      <c r="D23" s="35">
        <f t="shared" si="0"/>
        <v>32.527999999999999</v>
      </c>
      <c r="E23" s="38">
        <v>3</v>
      </c>
      <c r="F23" s="38">
        <v>3</v>
      </c>
      <c r="G23" s="38">
        <v>24441</v>
      </c>
      <c r="H23" s="38"/>
      <c r="I23" s="38"/>
      <c r="J23" s="38"/>
      <c r="K23" s="38"/>
      <c r="L23" s="38"/>
      <c r="M23" s="38"/>
      <c r="N23" s="38">
        <v>5865</v>
      </c>
      <c r="O23" s="38"/>
      <c r="P23" s="38"/>
      <c r="Q23" s="38"/>
      <c r="R23" s="38"/>
      <c r="S23" s="38">
        <v>4</v>
      </c>
      <c r="T23" s="38"/>
      <c r="U23" s="38">
        <v>78920</v>
      </c>
      <c r="V23" s="38"/>
      <c r="W23" s="38">
        <v>1344</v>
      </c>
      <c r="X23" s="38">
        <v>994</v>
      </c>
      <c r="Y23" s="72">
        <v>32528</v>
      </c>
      <c r="Z23" s="38">
        <v>2</v>
      </c>
      <c r="AA23" s="38">
        <v>3</v>
      </c>
      <c r="AB23" s="38">
        <v>5</v>
      </c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1">
        <f t="shared" si="1"/>
        <v>5865</v>
      </c>
      <c r="AU23" t="e">
        <f t="shared" si="2"/>
        <v>#DIV/0!</v>
      </c>
      <c r="AV23">
        <f t="shared" si="3"/>
        <v>0</v>
      </c>
      <c r="AW23">
        <f t="shared" si="4"/>
        <v>0</v>
      </c>
      <c r="AX23">
        <f t="shared" si="5"/>
        <v>0</v>
      </c>
      <c r="AY23">
        <f t="shared" si="6"/>
        <v>751.38342351205119</v>
      </c>
      <c r="AZ23">
        <f t="shared" si="7"/>
        <v>751.38342351205119</v>
      </c>
      <c r="BA23">
        <f t="shared" si="8"/>
        <v>0</v>
      </c>
    </row>
    <row r="24" spans="1:53" x14ac:dyDescent="0.25">
      <c r="A24" s="1" t="s">
        <v>52</v>
      </c>
      <c r="B24" s="1" t="s">
        <v>151</v>
      </c>
      <c r="C24" s="44" t="s">
        <v>118</v>
      </c>
      <c r="D24" s="35">
        <f t="shared" si="0"/>
        <v>436</v>
      </c>
      <c r="E24" s="38">
        <v>9</v>
      </c>
      <c r="F24" s="38">
        <v>13</v>
      </c>
      <c r="G24" s="38">
        <v>253876</v>
      </c>
      <c r="H24" s="38">
        <v>244</v>
      </c>
      <c r="I24" s="38">
        <v>372</v>
      </c>
      <c r="J24" s="38">
        <v>0</v>
      </c>
      <c r="K24" s="38">
        <v>0</v>
      </c>
      <c r="L24" s="38">
        <v>1179</v>
      </c>
      <c r="M24" s="38">
        <v>296</v>
      </c>
      <c r="N24" s="38">
        <v>67838</v>
      </c>
      <c r="O24" s="38">
        <v>179</v>
      </c>
      <c r="P24" s="38">
        <v>90</v>
      </c>
      <c r="Q24" s="38">
        <v>43</v>
      </c>
      <c r="R24" s="38">
        <v>75</v>
      </c>
      <c r="S24" s="38">
        <v>16</v>
      </c>
      <c r="T24" s="38">
        <v>30356</v>
      </c>
      <c r="U24" s="38">
        <v>153385</v>
      </c>
      <c r="V24" s="38">
        <v>75204</v>
      </c>
      <c r="W24" s="38">
        <v>2089</v>
      </c>
      <c r="X24" s="38">
        <v>3687</v>
      </c>
      <c r="Y24" s="72">
        <v>436000</v>
      </c>
      <c r="Z24" s="38">
        <v>18</v>
      </c>
      <c r="AA24" s="38">
        <v>5</v>
      </c>
      <c r="AB24" s="38">
        <v>23</v>
      </c>
      <c r="AC24" s="38">
        <v>1073730</v>
      </c>
      <c r="AD24" s="38">
        <v>247339</v>
      </c>
      <c r="AE24" s="38">
        <v>401</v>
      </c>
      <c r="AF24" s="38">
        <v>20</v>
      </c>
      <c r="AG24" s="38">
        <v>37341</v>
      </c>
      <c r="AH24" s="38">
        <v>40152</v>
      </c>
      <c r="AI24" s="38">
        <v>31693</v>
      </c>
      <c r="AJ24" s="38">
        <v>1430676</v>
      </c>
      <c r="AK24" s="38"/>
      <c r="AL24" s="38"/>
      <c r="AM24" s="38"/>
      <c r="AN24" s="38"/>
      <c r="AO24" s="38">
        <v>8543</v>
      </c>
      <c r="AP24" s="38">
        <v>435</v>
      </c>
      <c r="AQ24" s="38">
        <v>2209</v>
      </c>
      <c r="AR24" s="38">
        <v>1715</v>
      </c>
      <c r="AS24" s="38">
        <v>12902</v>
      </c>
      <c r="AT24" s="1">
        <f t="shared" si="1"/>
        <v>68017</v>
      </c>
      <c r="AU24">
        <f t="shared" si="2"/>
        <v>2.0395856603372162</v>
      </c>
      <c r="AV24">
        <f t="shared" si="3"/>
        <v>3.2813669724770644</v>
      </c>
      <c r="AW24">
        <f t="shared" si="4"/>
        <v>69.623853211009177</v>
      </c>
      <c r="AX24">
        <f t="shared" si="5"/>
        <v>172.48623853211009</v>
      </c>
      <c r="AY24">
        <f t="shared" si="6"/>
        <v>582.28440366972472</v>
      </c>
      <c r="AZ24">
        <f t="shared" si="7"/>
        <v>587.08027522935777</v>
      </c>
      <c r="BA24">
        <f t="shared" si="8"/>
        <v>2.7041284403669725</v>
      </c>
    </row>
    <row r="25" spans="1:53" x14ac:dyDescent="0.25">
      <c r="A25" s="1" t="s">
        <v>53</v>
      </c>
      <c r="B25" s="1" t="s">
        <v>151</v>
      </c>
      <c r="C25" s="44" t="s">
        <v>119</v>
      </c>
      <c r="D25" s="35">
        <f t="shared" si="0"/>
        <v>15840</v>
      </c>
      <c r="E25" s="38">
        <v>492</v>
      </c>
      <c r="F25" s="38">
        <v>1074</v>
      </c>
      <c r="G25" s="38">
        <v>42161911</v>
      </c>
      <c r="H25" s="38"/>
      <c r="I25" s="38"/>
      <c r="J25" s="38"/>
      <c r="K25" s="38"/>
      <c r="L25" s="38"/>
      <c r="M25" s="38"/>
      <c r="N25" s="38">
        <v>3515165</v>
      </c>
      <c r="O25" s="38"/>
      <c r="P25" s="38"/>
      <c r="Q25" s="38"/>
      <c r="R25" s="38"/>
      <c r="S25" s="38"/>
      <c r="T25" s="38"/>
      <c r="U25" s="38">
        <v>149530000</v>
      </c>
      <c r="V25" s="38"/>
      <c r="W25" s="38">
        <v>121053</v>
      </c>
      <c r="X25" s="38">
        <v>132945</v>
      </c>
      <c r="Y25" s="72">
        <v>15840000</v>
      </c>
      <c r="Z25" s="38">
        <v>2510</v>
      </c>
      <c r="AA25" s="38">
        <v>5898</v>
      </c>
      <c r="AB25" s="38">
        <v>8408</v>
      </c>
      <c r="AC25" s="38">
        <v>269200000</v>
      </c>
      <c r="AD25" s="38">
        <v>53532129</v>
      </c>
      <c r="AE25" s="38">
        <v>286909</v>
      </c>
      <c r="AF25" s="38">
        <v>35312000</v>
      </c>
      <c r="AG25" s="38">
        <v>69186000</v>
      </c>
      <c r="AH25" s="38">
        <v>12930</v>
      </c>
      <c r="AI25" s="38">
        <v>70686032</v>
      </c>
      <c r="AJ25" s="38">
        <v>498216000</v>
      </c>
      <c r="AK25" s="38">
        <v>331069000</v>
      </c>
      <c r="AL25" s="38">
        <v>61631000</v>
      </c>
      <c r="AM25" s="38">
        <v>105516000</v>
      </c>
      <c r="AN25" s="38">
        <v>498216000</v>
      </c>
      <c r="AO25" s="38"/>
      <c r="AP25" s="38"/>
      <c r="AQ25" s="38"/>
      <c r="AR25" s="38"/>
      <c r="AS25" s="38"/>
      <c r="AT25" s="1">
        <f t="shared" si="1"/>
        <v>3515165</v>
      </c>
      <c r="AU25" t="e">
        <f t="shared" si="2"/>
        <v>#DIV/0!</v>
      </c>
      <c r="AV25">
        <f t="shared" si="3"/>
        <v>31.453030303030303</v>
      </c>
      <c r="AW25">
        <f t="shared" si="4"/>
        <v>0</v>
      </c>
      <c r="AX25">
        <f t="shared" si="5"/>
        <v>0</v>
      </c>
      <c r="AY25">
        <f t="shared" si="6"/>
        <v>2661.7368055555557</v>
      </c>
      <c r="AZ25">
        <f t="shared" si="7"/>
        <v>2661.7368055555557</v>
      </c>
      <c r="BA25">
        <f t="shared" si="8"/>
        <v>0</v>
      </c>
    </row>
    <row r="26" spans="1:53" x14ac:dyDescent="0.25">
      <c r="A26" s="1" t="s">
        <v>54</v>
      </c>
      <c r="B26" s="1" t="s">
        <v>152</v>
      </c>
      <c r="C26" s="44" t="s">
        <v>120</v>
      </c>
      <c r="D26" s="35">
        <f t="shared" si="0"/>
        <v>4503.4359999999997</v>
      </c>
      <c r="E26" s="38">
        <v>435</v>
      </c>
      <c r="F26" s="38">
        <v>1046</v>
      </c>
      <c r="G26" s="38">
        <v>20916571</v>
      </c>
      <c r="H26" s="38">
        <v>20978</v>
      </c>
      <c r="I26" s="38">
        <v>44805</v>
      </c>
      <c r="J26" s="38">
        <v>36735</v>
      </c>
      <c r="K26" s="38">
        <v>293423</v>
      </c>
      <c r="L26" s="38">
        <v>1244109</v>
      </c>
      <c r="M26" s="38">
        <v>12719</v>
      </c>
      <c r="N26" s="38">
        <v>946657</v>
      </c>
      <c r="O26" s="38">
        <v>132325</v>
      </c>
      <c r="P26" s="38">
        <v>82</v>
      </c>
      <c r="Q26" s="38">
        <v>76</v>
      </c>
      <c r="R26" s="38">
        <v>1477</v>
      </c>
      <c r="S26" s="38">
        <v>1072</v>
      </c>
      <c r="T26" s="38">
        <v>1314521</v>
      </c>
      <c r="U26" s="38">
        <v>23452990</v>
      </c>
      <c r="V26" s="38">
        <v>22084283</v>
      </c>
      <c r="W26" s="38">
        <v>113594</v>
      </c>
      <c r="X26" s="38">
        <v>142746</v>
      </c>
      <c r="Y26" s="72">
        <v>4503436</v>
      </c>
      <c r="Z26" s="38">
        <v>934</v>
      </c>
      <c r="AA26" s="38">
        <v>962</v>
      </c>
      <c r="AB26" s="38">
        <v>1896</v>
      </c>
      <c r="AC26" s="38">
        <v>71043116</v>
      </c>
      <c r="AD26" s="38">
        <v>16564858</v>
      </c>
      <c r="AE26" s="38">
        <v>0</v>
      </c>
      <c r="AF26" s="38">
        <v>3147538</v>
      </c>
      <c r="AG26" s="38">
        <v>9742878</v>
      </c>
      <c r="AH26" s="38">
        <v>0</v>
      </c>
      <c r="AI26" s="38">
        <v>11664659</v>
      </c>
      <c r="AJ26" s="38">
        <v>112163049</v>
      </c>
      <c r="AK26" s="38">
        <v>102127650</v>
      </c>
      <c r="AL26" s="38">
        <v>7980921</v>
      </c>
      <c r="AM26" s="38">
        <v>2054478</v>
      </c>
      <c r="AN26" s="38">
        <v>112163049</v>
      </c>
      <c r="AO26" s="38"/>
      <c r="AP26" s="38"/>
      <c r="AQ26" s="38"/>
      <c r="AR26" s="38"/>
      <c r="AS26" s="38"/>
      <c r="AT26" s="1">
        <f t="shared" si="1"/>
        <v>1078982</v>
      </c>
      <c r="AU26">
        <f t="shared" si="2"/>
        <v>1.0619765196814404</v>
      </c>
      <c r="AV26">
        <f t="shared" si="3"/>
        <v>24.906104805308658</v>
      </c>
      <c r="AW26">
        <f t="shared" si="4"/>
        <v>291.89290133133903</v>
      </c>
      <c r="AX26">
        <f t="shared" si="5"/>
        <v>4903.8740641590111</v>
      </c>
      <c r="AY26">
        <f t="shared" si="6"/>
        <v>4644.5804936497379</v>
      </c>
      <c r="AZ26">
        <f t="shared" si="7"/>
        <v>5011.5822674064875</v>
      </c>
      <c r="BA26">
        <f t="shared" si="8"/>
        <v>276.25772854327232</v>
      </c>
    </row>
    <row r="27" spans="1:53" x14ac:dyDescent="0.25">
      <c r="A27" s="1" t="s">
        <v>55</v>
      </c>
      <c r="B27" s="1" t="s">
        <v>151</v>
      </c>
      <c r="C27" s="44" t="s">
        <v>121</v>
      </c>
      <c r="D27" s="35">
        <f t="shared" si="0"/>
        <v>9901</v>
      </c>
      <c r="E27" s="38">
        <v>165</v>
      </c>
      <c r="F27" s="38">
        <v>278</v>
      </c>
      <c r="G27" s="38">
        <v>7182218</v>
      </c>
      <c r="H27" s="38"/>
      <c r="I27" s="38"/>
      <c r="J27" s="38"/>
      <c r="K27" s="38">
        <v>2198</v>
      </c>
      <c r="L27" s="38">
        <v>184420</v>
      </c>
      <c r="M27" s="38"/>
      <c r="N27" s="38">
        <v>513084</v>
      </c>
      <c r="O27" s="38">
        <v>31016</v>
      </c>
      <c r="P27" s="38"/>
      <c r="Q27" s="38"/>
      <c r="R27" s="38">
        <v>643</v>
      </c>
      <c r="S27" s="38"/>
      <c r="T27" s="38">
        <v>3150844</v>
      </c>
      <c r="U27" s="38">
        <v>1637369</v>
      </c>
      <c r="V27" s="38"/>
      <c r="W27" s="38">
        <v>626</v>
      </c>
      <c r="X27" s="38">
        <v>2</v>
      </c>
      <c r="Y27" s="72">
        <v>9901000</v>
      </c>
      <c r="Z27" s="38">
        <v>844</v>
      </c>
      <c r="AA27" s="38">
        <v>565</v>
      </c>
      <c r="AB27" s="38">
        <v>1409</v>
      </c>
      <c r="AC27" s="38">
        <v>13020660</v>
      </c>
      <c r="AD27" s="38">
        <v>2730447</v>
      </c>
      <c r="AE27" s="38">
        <v>27</v>
      </c>
      <c r="AF27" s="38">
        <v>727</v>
      </c>
      <c r="AG27" s="38">
        <v>3419</v>
      </c>
      <c r="AH27" s="38">
        <v>2345</v>
      </c>
      <c r="AI27" s="38">
        <v>2561252</v>
      </c>
      <c r="AJ27" s="38">
        <v>18318877</v>
      </c>
      <c r="AK27" s="38">
        <v>25321556</v>
      </c>
      <c r="AL27" s="38">
        <v>342212</v>
      </c>
      <c r="AM27" s="38">
        <v>1887</v>
      </c>
      <c r="AN27" s="38">
        <v>25665652</v>
      </c>
      <c r="AO27" s="38">
        <v>4012345</v>
      </c>
      <c r="AP27" s="38">
        <v>0</v>
      </c>
      <c r="AQ27" s="38">
        <v>0</v>
      </c>
      <c r="AR27" s="38">
        <v>3057918</v>
      </c>
      <c r="AS27" s="38">
        <v>7070264</v>
      </c>
      <c r="AT27" s="1">
        <f t="shared" si="1"/>
        <v>544100</v>
      </c>
      <c r="AU27" t="e">
        <f t="shared" si="2"/>
        <v>#DIV/0!</v>
      </c>
      <c r="AV27">
        <f t="shared" si="3"/>
        <v>1.8502047267952733</v>
      </c>
      <c r="AW27">
        <f t="shared" si="4"/>
        <v>318.23492576507425</v>
      </c>
      <c r="AX27">
        <f t="shared" si="5"/>
        <v>0</v>
      </c>
      <c r="AY27">
        <f t="shared" si="6"/>
        <v>725.40329259670739</v>
      </c>
      <c r="AZ27">
        <f t="shared" si="7"/>
        <v>744.2516917483083</v>
      </c>
      <c r="BA27">
        <f t="shared" si="8"/>
        <v>18.626401373598625</v>
      </c>
    </row>
    <row r="28" spans="1:53" x14ac:dyDescent="0.25">
      <c r="A28" s="1" t="s">
        <v>56</v>
      </c>
      <c r="B28" s="1" t="s">
        <v>151</v>
      </c>
      <c r="C28" s="44" t="s">
        <v>122</v>
      </c>
      <c r="D28" s="35">
        <f t="shared" si="0"/>
        <v>39218</v>
      </c>
      <c r="E28" s="38">
        <v>4722</v>
      </c>
      <c r="F28" s="38">
        <v>5209</v>
      </c>
      <c r="G28" s="38">
        <v>41291671</v>
      </c>
      <c r="H28" s="38">
        <v>113759</v>
      </c>
      <c r="I28" s="38">
        <v>158516</v>
      </c>
      <c r="J28" s="38">
        <v>33445</v>
      </c>
      <c r="K28" s="38">
        <v>266645</v>
      </c>
      <c r="L28" s="38">
        <v>1432434</v>
      </c>
      <c r="M28" s="38">
        <v>121228</v>
      </c>
      <c r="N28" s="38">
        <v>2330100</v>
      </c>
      <c r="O28" s="38">
        <v>181377</v>
      </c>
      <c r="P28" s="38">
        <v>89</v>
      </c>
      <c r="Q28" s="38">
        <v>70</v>
      </c>
      <c r="R28" s="38">
        <v>3255</v>
      </c>
      <c r="S28" s="38">
        <v>803</v>
      </c>
      <c r="T28" s="38">
        <v>7172882</v>
      </c>
      <c r="U28" s="38">
        <v>26146158</v>
      </c>
      <c r="V28" s="38">
        <v>204131947</v>
      </c>
      <c r="W28" s="38">
        <v>125104</v>
      </c>
      <c r="X28" s="38">
        <v>5128</v>
      </c>
      <c r="Y28" s="72">
        <v>39218000</v>
      </c>
      <c r="Z28" s="38">
        <v>4139</v>
      </c>
      <c r="AA28" s="38">
        <v>2469</v>
      </c>
      <c r="AB28" s="38">
        <v>6608</v>
      </c>
      <c r="AC28" s="38">
        <v>121041037</v>
      </c>
      <c r="AD28" s="38">
        <v>27939755</v>
      </c>
      <c r="AE28" s="38">
        <v>0</v>
      </c>
      <c r="AF28" s="38">
        <v>0</v>
      </c>
      <c r="AG28" s="38">
        <v>0</v>
      </c>
      <c r="AH28" s="38">
        <v>0</v>
      </c>
      <c r="AI28" s="38">
        <v>24216136</v>
      </c>
      <c r="AJ28" s="38">
        <v>173196928</v>
      </c>
      <c r="AK28" s="38">
        <v>156522058</v>
      </c>
      <c r="AL28" s="38">
        <v>10994920</v>
      </c>
      <c r="AM28" s="38">
        <v>5675786</v>
      </c>
      <c r="AN28" s="38">
        <v>173192764</v>
      </c>
      <c r="AO28" s="38"/>
      <c r="AP28" s="38"/>
      <c r="AQ28" s="38"/>
      <c r="AR28" s="38"/>
      <c r="AS28" s="38"/>
      <c r="AT28" s="1">
        <f t="shared" si="1"/>
        <v>2511477</v>
      </c>
      <c r="AU28">
        <f t="shared" si="2"/>
        <v>0.1280845961852311</v>
      </c>
      <c r="AV28">
        <f t="shared" si="3"/>
        <v>4.4162611045948292</v>
      </c>
      <c r="AW28">
        <f t="shared" si="4"/>
        <v>182.89770003569788</v>
      </c>
      <c r="AX28">
        <f t="shared" si="5"/>
        <v>5205.0575501045441</v>
      </c>
      <c r="AY28">
        <f t="shared" si="6"/>
        <v>1052.8754908460401</v>
      </c>
      <c r="AZ28">
        <f t="shared" si="7"/>
        <v>1107.0859809271253</v>
      </c>
      <c r="BA28">
        <f t="shared" si="8"/>
        <v>36.524912030190215</v>
      </c>
    </row>
    <row r="29" spans="1:53" x14ac:dyDescent="0.25">
      <c r="A29" s="1" t="s">
        <v>57</v>
      </c>
      <c r="B29" s="1" t="s">
        <v>151</v>
      </c>
      <c r="C29" s="44" t="s">
        <v>123</v>
      </c>
      <c r="D29" s="35">
        <f t="shared" si="0"/>
        <v>8894</v>
      </c>
      <c r="E29" s="38">
        <v>290</v>
      </c>
      <c r="F29" s="38">
        <v>1596</v>
      </c>
      <c r="G29" s="38">
        <v>44162401</v>
      </c>
      <c r="H29" s="38">
        <v>68255</v>
      </c>
      <c r="I29" s="38">
        <v>106262</v>
      </c>
      <c r="J29" s="38">
        <v>0</v>
      </c>
      <c r="K29" s="38">
        <v>0</v>
      </c>
      <c r="L29" s="38">
        <v>2574724</v>
      </c>
      <c r="M29" s="38">
        <v>0</v>
      </c>
      <c r="N29" s="38">
        <v>2005404</v>
      </c>
      <c r="O29" s="38">
        <v>182627</v>
      </c>
      <c r="P29" s="38">
        <v>87</v>
      </c>
      <c r="Q29" s="38"/>
      <c r="R29" s="38"/>
      <c r="S29" s="38"/>
      <c r="T29" s="38"/>
      <c r="U29" s="38">
        <v>81156238</v>
      </c>
      <c r="V29" s="38">
        <v>47681646</v>
      </c>
      <c r="W29" s="38">
        <v>0</v>
      </c>
      <c r="X29" s="38">
        <v>0</v>
      </c>
      <c r="Y29" s="72">
        <v>8894000</v>
      </c>
      <c r="Z29" s="38">
        <v>2304</v>
      </c>
      <c r="AA29" s="38">
        <v>2587</v>
      </c>
      <c r="AB29" s="38">
        <v>4891</v>
      </c>
      <c r="AC29" s="38">
        <v>167033680</v>
      </c>
      <c r="AD29" s="38">
        <v>44282699</v>
      </c>
      <c r="AE29" s="38">
        <v>408289</v>
      </c>
      <c r="AF29" s="38">
        <v>10481772</v>
      </c>
      <c r="AG29" s="38">
        <v>35904696</v>
      </c>
      <c r="AH29" s="38">
        <v>17013</v>
      </c>
      <c r="AI29" s="38">
        <v>85079007</v>
      </c>
      <c r="AJ29" s="38">
        <v>343207156</v>
      </c>
      <c r="AK29" s="38">
        <v>310171679</v>
      </c>
      <c r="AL29" s="38">
        <v>21788065</v>
      </c>
      <c r="AM29" s="38">
        <v>11247412</v>
      </c>
      <c r="AN29" s="38">
        <v>343207156</v>
      </c>
      <c r="AO29" s="38">
        <v>8537937</v>
      </c>
      <c r="AP29" s="38">
        <v>545727</v>
      </c>
      <c r="AQ29" s="38">
        <v>2788762</v>
      </c>
      <c r="AR29" s="38">
        <v>2467138</v>
      </c>
      <c r="AS29" s="38">
        <v>14339565</v>
      </c>
      <c r="AT29" s="1">
        <f t="shared" si="1"/>
        <v>2188031</v>
      </c>
      <c r="AU29">
        <f t="shared" si="2"/>
        <v>1.7020435494194139</v>
      </c>
      <c r="AV29">
        <f t="shared" si="3"/>
        <v>38.588616595457609</v>
      </c>
      <c r="AW29">
        <f t="shared" si="4"/>
        <v>0</v>
      </c>
      <c r="AX29">
        <f t="shared" si="5"/>
        <v>5361.1025410389029</v>
      </c>
      <c r="AY29">
        <f t="shared" si="6"/>
        <v>4965.4149988756462</v>
      </c>
      <c r="AZ29">
        <f t="shared" si="7"/>
        <v>5274.5268720485719</v>
      </c>
      <c r="BA29">
        <f t="shared" si="8"/>
        <v>289.48999325387899</v>
      </c>
    </row>
    <row r="30" spans="1:53" x14ac:dyDescent="0.25">
      <c r="A30" s="1" t="s">
        <v>58</v>
      </c>
      <c r="B30" s="1" t="s">
        <v>152</v>
      </c>
      <c r="C30" s="44" t="s">
        <v>124</v>
      </c>
      <c r="D30" s="35">
        <f t="shared" si="0"/>
        <v>7206.1</v>
      </c>
      <c r="E30" s="38">
        <v>42</v>
      </c>
      <c r="F30" s="38">
        <v>2093</v>
      </c>
      <c r="G30" s="38">
        <v>28484968</v>
      </c>
      <c r="H30" s="38"/>
      <c r="I30" s="38"/>
      <c r="J30" s="38"/>
      <c r="K30" s="38"/>
      <c r="L30" s="38"/>
      <c r="M30" s="38"/>
      <c r="N30" s="38">
        <v>1354590</v>
      </c>
      <c r="O30" s="38"/>
      <c r="P30" s="38"/>
      <c r="Q30" s="38"/>
      <c r="R30" s="38"/>
      <c r="S30" s="38"/>
      <c r="T30" s="38"/>
      <c r="U30" s="38">
        <v>6225230</v>
      </c>
      <c r="V30" s="38">
        <v>33229533</v>
      </c>
      <c r="W30" s="38">
        <v>301573</v>
      </c>
      <c r="X30" s="38">
        <v>223277</v>
      </c>
      <c r="Y30" s="72">
        <v>7206100</v>
      </c>
      <c r="Z30" s="38">
        <v>1841</v>
      </c>
      <c r="AA30" s="38">
        <v>3476</v>
      </c>
      <c r="AB30" s="38">
        <v>5317</v>
      </c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1">
        <f t="shared" si="1"/>
        <v>1354590</v>
      </c>
      <c r="AU30">
        <f t="shared" si="2"/>
        <v>0.18734027950377755</v>
      </c>
      <c r="AV30">
        <f t="shared" si="3"/>
        <v>0</v>
      </c>
      <c r="AW30">
        <f t="shared" si="4"/>
        <v>0</v>
      </c>
      <c r="AX30">
        <f t="shared" si="5"/>
        <v>4611.3061156520171</v>
      </c>
      <c r="AY30">
        <f t="shared" si="6"/>
        <v>3952.89657373614</v>
      </c>
      <c r="AZ30">
        <f t="shared" si="7"/>
        <v>3952.89657373614</v>
      </c>
      <c r="BA30">
        <f t="shared" si="8"/>
        <v>0</v>
      </c>
    </row>
    <row r="31" spans="1:53" x14ac:dyDescent="0.25">
      <c r="A31" s="1" t="s">
        <v>59</v>
      </c>
      <c r="B31" s="1" t="s">
        <v>151</v>
      </c>
      <c r="C31" s="44" t="s">
        <v>125</v>
      </c>
      <c r="D31" s="35">
        <f t="shared" si="0"/>
        <v>59974.2</v>
      </c>
      <c r="E31" s="38">
        <v>208</v>
      </c>
      <c r="F31" s="38">
        <v>4610</v>
      </c>
      <c r="G31" s="38">
        <v>118745000</v>
      </c>
      <c r="H31" s="38">
        <v>73000</v>
      </c>
      <c r="I31" s="38">
        <v>109000</v>
      </c>
      <c r="J31" s="38">
        <v>136000</v>
      </c>
      <c r="K31" s="38">
        <v>6752000</v>
      </c>
      <c r="L31" s="38">
        <v>7416000</v>
      </c>
      <c r="M31" s="38">
        <v>141000</v>
      </c>
      <c r="N31" s="38">
        <v>11042000</v>
      </c>
      <c r="O31" s="38">
        <v>1384000</v>
      </c>
      <c r="P31" s="38">
        <v>89</v>
      </c>
      <c r="Q31" s="38"/>
      <c r="R31" s="38">
        <v>16700</v>
      </c>
      <c r="S31" s="38">
        <v>8600</v>
      </c>
      <c r="T31" s="38">
        <v>34657000</v>
      </c>
      <c r="U31" s="38">
        <v>444548000</v>
      </c>
      <c r="V31" s="38">
        <v>323932000</v>
      </c>
      <c r="W31" s="38">
        <v>0</v>
      </c>
      <c r="X31" s="38">
        <v>0</v>
      </c>
      <c r="Y31" s="72">
        <v>59974200</v>
      </c>
      <c r="Z31" s="38">
        <v>6200</v>
      </c>
      <c r="AA31" s="38">
        <v>19400</v>
      </c>
      <c r="AB31" s="38">
        <v>25600</v>
      </c>
      <c r="AC31" s="38">
        <v>789825619</v>
      </c>
      <c r="AD31" s="38">
        <v>197912321</v>
      </c>
      <c r="AE31" s="38">
        <v>1597132</v>
      </c>
      <c r="AF31" s="38">
        <v>48678292</v>
      </c>
      <c r="AG31" s="38">
        <v>157878096</v>
      </c>
      <c r="AH31" s="38">
        <v>0</v>
      </c>
      <c r="AI31" s="38">
        <v>235752934</v>
      </c>
      <c r="AJ31" s="38">
        <v>1431644394</v>
      </c>
      <c r="AK31" s="38">
        <v>1293943937</v>
      </c>
      <c r="AL31" s="38">
        <v>84639831</v>
      </c>
      <c r="AM31" s="38">
        <v>36955671</v>
      </c>
      <c r="AN31" s="38">
        <v>1415539439</v>
      </c>
      <c r="AO31" s="38">
        <v>36000311</v>
      </c>
      <c r="AP31" s="38">
        <v>3008015</v>
      </c>
      <c r="AQ31" s="38">
        <v>15026181</v>
      </c>
      <c r="AR31" s="38">
        <v>4080482</v>
      </c>
      <c r="AS31" s="38">
        <v>58114989</v>
      </c>
      <c r="AT31" s="1">
        <f t="shared" si="1"/>
        <v>12426000</v>
      </c>
      <c r="AU31">
        <f t="shared" si="2"/>
        <v>1.3723497524171739</v>
      </c>
      <c r="AV31">
        <f t="shared" si="3"/>
        <v>23.871004431905721</v>
      </c>
      <c r="AW31">
        <f t="shared" si="4"/>
        <v>577.8651486805993</v>
      </c>
      <c r="AX31">
        <f t="shared" si="5"/>
        <v>5401.1891780132128</v>
      </c>
      <c r="AY31">
        <f t="shared" si="6"/>
        <v>1979.9347052565938</v>
      </c>
      <c r="AZ31">
        <f t="shared" si="7"/>
        <v>2223.8229105181895</v>
      </c>
      <c r="BA31">
        <f t="shared" si="8"/>
        <v>123.6531708634713</v>
      </c>
    </row>
    <row r="32" spans="1:53" x14ac:dyDescent="0.25">
      <c r="A32" s="1" t="s">
        <v>60</v>
      </c>
      <c r="B32" s="1" t="s">
        <v>151</v>
      </c>
      <c r="C32" s="44" t="s">
        <v>126</v>
      </c>
      <c r="D32" s="35">
        <f t="shared" si="0"/>
        <v>82163.475000000006</v>
      </c>
      <c r="E32" s="38">
        <v>9417</v>
      </c>
      <c r="F32" s="38">
        <v>11332</v>
      </c>
      <c r="G32" s="38">
        <v>107772013</v>
      </c>
      <c r="H32" s="38"/>
      <c r="I32" s="38">
        <v>139192</v>
      </c>
      <c r="J32" s="38"/>
      <c r="K32" s="38"/>
      <c r="L32" s="38">
        <v>9485250</v>
      </c>
      <c r="M32" s="38"/>
      <c r="N32" s="38"/>
      <c r="O32" s="38"/>
      <c r="P32" s="38">
        <v>94</v>
      </c>
      <c r="Q32" s="38"/>
      <c r="R32" s="38"/>
      <c r="S32" s="38"/>
      <c r="T32" s="38">
        <v>8708712</v>
      </c>
      <c r="U32" s="38">
        <v>311619520</v>
      </c>
      <c r="V32" s="38">
        <v>332934647</v>
      </c>
      <c r="W32" s="38">
        <v>363080</v>
      </c>
      <c r="X32" s="38">
        <v>398746</v>
      </c>
      <c r="Y32" s="72">
        <v>82163475</v>
      </c>
      <c r="Z32" s="38">
        <v>8337</v>
      </c>
      <c r="AA32" s="38">
        <v>6661</v>
      </c>
      <c r="AB32" s="38">
        <v>14998</v>
      </c>
      <c r="AC32" s="38">
        <v>477535730</v>
      </c>
      <c r="AD32" s="38">
        <v>91699007</v>
      </c>
      <c r="AE32" s="38">
        <v>0</v>
      </c>
      <c r="AF32" s="38">
        <v>0</v>
      </c>
      <c r="AG32" s="38">
        <v>0</v>
      </c>
      <c r="AH32" s="38">
        <v>0</v>
      </c>
      <c r="AI32" s="38">
        <v>153311306</v>
      </c>
      <c r="AJ32" s="38">
        <v>722546043</v>
      </c>
      <c r="AK32" s="38">
        <v>639349381</v>
      </c>
      <c r="AL32" s="38">
        <v>57157968</v>
      </c>
      <c r="AM32" s="38">
        <v>26038642</v>
      </c>
      <c r="AN32" s="38">
        <v>722545992</v>
      </c>
      <c r="AO32" s="38">
        <v>25714289</v>
      </c>
      <c r="AP32" s="38">
        <v>1643604</v>
      </c>
      <c r="AQ32" s="38">
        <v>8399106</v>
      </c>
      <c r="AR32" s="38">
        <v>7430448</v>
      </c>
      <c r="AS32" s="38">
        <v>43187447</v>
      </c>
      <c r="AT32" s="1">
        <f t="shared" si="1"/>
        <v>0</v>
      </c>
      <c r="AU32">
        <f t="shared" si="2"/>
        <v>0.93597804496448223</v>
      </c>
      <c r="AV32">
        <f t="shared" si="3"/>
        <v>8.7940054020353937</v>
      </c>
      <c r="AW32">
        <f t="shared" si="4"/>
        <v>105.99249849157425</v>
      </c>
      <c r="AX32">
        <f t="shared" si="5"/>
        <v>4052.1003645476285</v>
      </c>
      <c r="AY32">
        <f t="shared" si="6"/>
        <v>1311.6778836338165</v>
      </c>
      <c r="AZ32">
        <f t="shared" si="7"/>
        <v>1428.8156020664899</v>
      </c>
      <c r="BA32">
        <f t="shared" si="8"/>
        <v>115.44363234393384</v>
      </c>
    </row>
    <row r="33" spans="1:53" x14ac:dyDescent="0.25">
      <c r="A33" s="1" t="s">
        <v>61</v>
      </c>
      <c r="B33" s="1" t="s">
        <v>158</v>
      </c>
      <c r="C33" s="44" t="s">
        <v>127</v>
      </c>
      <c r="D33" s="35">
        <f t="shared" si="0"/>
        <v>272861</v>
      </c>
      <c r="E33" s="38">
        <v>9143</v>
      </c>
      <c r="F33" s="38">
        <v>16391</v>
      </c>
      <c r="G33" s="38">
        <v>740318283</v>
      </c>
      <c r="H33" s="38"/>
      <c r="I33" s="38">
        <v>1937947</v>
      </c>
      <c r="J33" s="38">
        <v>0</v>
      </c>
      <c r="K33" s="38"/>
      <c r="L33" s="38">
        <v>45985974</v>
      </c>
      <c r="M33" s="38">
        <v>1148788</v>
      </c>
      <c r="N33" s="38">
        <v>16072993</v>
      </c>
      <c r="O33" s="38">
        <v>3647960</v>
      </c>
      <c r="P33" s="38">
        <v>100</v>
      </c>
      <c r="Q33" s="38"/>
      <c r="R33" s="38"/>
      <c r="S33" s="38">
        <v>15521</v>
      </c>
      <c r="T33" s="38"/>
      <c r="U33" s="38">
        <v>1737674662</v>
      </c>
      <c r="V33" s="38">
        <v>1111372500</v>
      </c>
      <c r="W33" s="38">
        <v>1403899</v>
      </c>
      <c r="X33" s="38">
        <v>7118811</v>
      </c>
      <c r="Y33" s="72">
        <v>272861000</v>
      </c>
      <c r="Z33" s="38">
        <v>41220</v>
      </c>
      <c r="AA33" s="38">
        <v>83834</v>
      </c>
      <c r="AB33" s="38">
        <v>125054</v>
      </c>
      <c r="AC33" s="38">
        <v>3856553363</v>
      </c>
      <c r="AD33" s="38">
        <v>925092240</v>
      </c>
      <c r="AE33" s="38">
        <v>12288</v>
      </c>
      <c r="AF33" s="38">
        <v>347255</v>
      </c>
      <c r="AG33" s="38">
        <v>1631775</v>
      </c>
      <c r="AH33" s="38">
        <v>1119074</v>
      </c>
      <c r="AI33" s="38">
        <v>1222336470</v>
      </c>
      <c r="AJ33" s="38">
        <v>6007092465</v>
      </c>
      <c r="AK33" s="38">
        <v>5946742797</v>
      </c>
      <c r="AL33" s="38">
        <v>318804276</v>
      </c>
      <c r="AM33" s="38">
        <v>269335122</v>
      </c>
      <c r="AN33" s="38">
        <v>6534882194</v>
      </c>
      <c r="AO33" s="38"/>
      <c r="AP33" s="38"/>
      <c r="AQ33" s="38"/>
      <c r="AR33" s="38"/>
      <c r="AS33" s="38"/>
      <c r="AT33" s="1">
        <f t="shared" si="1"/>
        <v>19720953</v>
      </c>
      <c r="AU33">
        <f t="shared" si="2"/>
        <v>1.5635393731624636</v>
      </c>
      <c r="AV33">
        <f t="shared" si="3"/>
        <v>22.015210913248872</v>
      </c>
      <c r="AW33">
        <f t="shared" si="4"/>
        <v>0</v>
      </c>
      <c r="AX33">
        <f t="shared" si="5"/>
        <v>4073.0353549975994</v>
      </c>
      <c r="AY33">
        <f t="shared" si="6"/>
        <v>2713.1700133034769</v>
      </c>
      <c r="AZ33">
        <f t="shared" si="7"/>
        <v>2893.0150955981248</v>
      </c>
      <c r="BA33">
        <f t="shared" si="8"/>
        <v>168.53260084805083</v>
      </c>
    </row>
    <row r="34" spans="1:53" x14ac:dyDescent="0.25">
      <c r="A34" s="1" t="s">
        <v>62</v>
      </c>
      <c r="B34" s="1" t="s">
        <v>159</v>
      </c>
      <c r="C34" s="44" t="s">
        <v>128</v>
      </c>
      <c r="D34" s="35">
        <f t="shared" si="0"/>
        <v>66565</v>
      </c>
      <c r="E34" s="38">
        <v>1403</v>
      </c>
      <c r="F34" s="38">
        <v>1939</v>
      </c>
      <c r="G34" s="38">
        <v>12181330</v>
      </c>
      <c r="H34" s="38"/>
      <c r="I34" s="38">
        <v>118</v>
      </c>
      <c r="J34" s="38">
        <v>158197</v>
      </c>
      <c r="K34" s="38">
        <v>6783</v>
      </c>
      <c r="L34" s="38">
        <v>110204</v>
      </c>
      <c r="M34" s="38">
        <v>540</v>
      </c>
      <c r="N34" s="38"/>
      <c r="O34" s="38"/>
      <c r="P34" s="38"/>
      <c r="Q34" s="38">
        <v>11</v>
      </c>
      <c r="R34" s="38"/>
      <c r="S34" s="38">
        <v>23</v>
      </c>
      <c r="T34" s="38">
        <v>386790</v>
      </c>
      <c r="U34" s="38">
        <v>3926314</v>
      </c>
      <c r="V34" s="38">
        <v>19903256</v>
      </c>
      <c r="W34" s="38">
        <v>8937</v>
      </c>
      <c r="X34" s="38">
        <v>45317</v>
      </c>
      <c r="Y34" s="72">
        <v>66565000</v>
      </c>
      <c r="Z34" s="38">
        <v>271</v>
      </c>
      <c r="AA34" s="38">
        <v>2652</v>
      </c>
      <c r="AB34" s="38">
        <v>2923</v>
      </c>
      <c r="AC34" s="38">
        <v>14548749</v>
      </c>
      <c r="AD34" s="38">
        <v>0</v>
      </c>
      <c r="AE34" s="38">
        <v>0</v>
      </c>
      <c r="AF34" s="38">
        <v>179517</v>
      </c>
      <c r="AG34" s="38">
        <v>17788303</v>
      </c>
      <c r="AH34" s="38">
        <v>2582780</v>
      </c>
      <c r="AI34" s="38">
        <v>0</v>
      </c>
      <c r="AJ34" s="38">
        <v>35099349</v>
      </c>
      <c r="AK34" s="38">
        <v>31638500</v>
      </c>
      <c r="AL34" s="38">
        <v>1766063</v>
      </c>
      <c r="AM34" s="38">
        <v>1278214</v>
      </c>
      <c r="AN34" s="38">
        <v>34682777</v>
      </c>
      <c r="AO34" s="38"/>
      <c r="AP34" s="38"/>
      <c r="AQ34" s="38"/>
      <c r="AR34" s="38"/>
      <c r="AS34" s="38"/>
      <c r="AT34" s="1">
        <f t="shared" si="1"/>
        <v>0</v>
      </c>
      <c r="AU34">
        <f t="shared" si="2"/>
        <v>0.19726993412535115</v>
      </c>
      <c r="AV34">
        <f t="shared" si="3"/>
        <v>0.52729435889731846</v>
      </c>
      <c r="AW34">
        <f t="shared" si="4"/>
        <v>5.8107113347855481</v>
      </c>
      <c r="AX34">
        <f t="shared" si="5"/>
        <v>299.00482235408998</v>
      </c>
      <c r="AY34">
        <f t="shared" si="6"/>
        <v>182.99902351085404</v>
      </c>
      <c r="AZ34">
        <f t="shared" si="7"/>
        <v>187.14297303387667</v>
      </c>
      <c r="BA34">
        <f t="shared" si="8"/>
        <v>1.6555847667693233</v>
      </c>
    </row>
    <row r="35" spans="1:53" x14ac:dyDescent="0.25">
      <c r="A35" s="1" t="s">
        <v>63</v>
      </c>
      <c r="B35" s="1" t="s">
        <v>158</v>
      </c>
      <c r="C35" s="44" t="s">
        <v>129</v>
      </c>
      <c r="D35" s="35">
        <f t="shared" si="0"/>
        <v>19111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72">
        <v>19111000</v>
      </c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1">
        <f t="shared" si="1"/>
        <v>0</v>
      </c>
      <c r="AU35" t="e">
        <f t="shared" si="2"/>
        <v>#DIV/0!</v>
      </c>
      <c r="AV35">
        <f t="shared" si="3"/>
        <v>0</v>
      </c>
      <c r="AW35">
        <f t="shared" si="4"/>
        <v>0</v>
      </c>
      <c r="AX35">
        <f t="shared" si="5"/>
        <v>0</v>
      </c>
      <c r="AY35">
        <f t="shared" si="6"/>
        <v>0</v>
      </c>
      <c r="AZ35">
        <f t="shared" si="7"/>
        <v>0</v>
      </c>
      <c r="BA35">
        <f t="shared" si="8"/>
        <v>0</v>
      </c>
    </row>
    <row r="36" spans="1:53" x14ac:dyDescent="0.25">
      <c r="A36" s="1" t="s">
        <v>64</v>
      </c>
      <c r="B36" s="1" t="s">
        <v>158</v>
      </c>
      <c r="C36" s="44" t="s">
        <v>130</v>
      </c>
      <c r="D36" s="35">
        <f t="shared" si="0"/>
        <v>126920</v>
      </c>
      <c r="E36" s="38">
        <v>1687</v>
      </c>
      <c r="F36" s="38">
        <v>2635</v>
      </c>
      <c r="G36" s="38">
        <v>287111133</v>
      </c>
      <c r="H36" s="38"/>
      <c r="I36" s="38"/>
      <c r="J36" s="38"/>
      <c r="K36" s="38"/>
      <c r="L36" s="38"/>
      <c r="M36" s="38"/>
      <c r="N36" s="38">
        <v>19459470</v>
      </c>
      <c r="O36" s="38"/>
      <c r="P36" s="38"/>
      <c r="Q36" s="38"/>
      <c r="R36" s="38"/>
      <c r="S36" s="38"/>
      <c r="T36" s="38">
        <v>37275313</v>
      </c>
      <c r="U36" s="38">
        <v>527748609</v>
      </c>
      <c r="V36" s="38"/>
      <c r="W36" s="38">
        <v>964048</v>
      </c>
      <c r="X36" s="38">
        <v>4888445</v>
      </c>
      <c r="Y36" s="72">
        <v>126920000</v>
      </c>
      <c r="Z36" s="38">
        <v>11559</v>
      </c>
      <c r="AA36" s="38">
        <v>15105</v>
      </c>
      <c r="AB36" s="38">
        <v>26664</v>
      </c>
      <c r="AC36" s="38">
        <v>762697794</v>
      </c>
      <c r="AD36" s="38">
        <v>346736256</v>
      </c>
      <c r="AE36" s="38">
        <v>14816</v>
      </c>
      <c r="AF36" s="38">
        <v>823375</v>
      </c>
      <c r="AG36" s="38">
        <v>2121263</v>
      </c>
      <c r="AH36" s="38">
        <v>302171</v>
      </c>
      <c r="AI36" s="38">
        <v>127906312</v>
      </c>
      <c r="AJ36" s="38">
        <v>1240601987</v>
      </c>
      <c r="AK36" s="38">
        <v>1118276748</v>
      </c>
      <c r="AL36" s="38">
        <v>62422265</v>
      </c>
      <c r="AM36" s="38">
        <v>45179053</v>
      </c>
      <c r="AN36" s="38">
        <v>1225878065</v>
      </c>
      <c r="AO36" s="38"/>
      <c r="AP36" s="38"/>
      <c r="AQ36" s="38"/>
      <c r="AR36" s="38"/>
      <c r="AS36" s="38"/>
      <c r="AT36" s="1">
        <f t="shared" si="1"/>
        <v>19459470</v>
      </c>
      <c r="AU36" t="e">
        <f t="shared" si="2"/>
        <v>#DIV/0!</v>
      </c>
      <c r="AV36">
        <f t="shared" si="3"/>
        <v>9.7746768594390172</v>
      </c>
      <c r="AW36">
        <f t="shared" si="4"/>
        <v>293.69140403403719</v>
      </c>
      <c r="AX36">
        <f t="shared" si="5"/>
        <v>0</v>
      </c>
      <c r="AY36">
        <f t="shared" si="6"/>
        <v>2262.1425543649543</v>
      </c>
      <c r="AZ36">
        <f t="shared" si="7"/>
        <v>2262.1425543649543</v>
      </c>
      <c r="BA36">
        <f t="shared" si="8"/>
        <v>0</v>
      </c>
    </row>
    <row r="37" spans="1:53" x14ac:dyDescent="0.25">
      <c r="A37" s="1" t="s">
        <v>143</v>
      </c>
      <c r="B37" s="1" t="s">
        <v>158</v>
      </c>
      <c r="C37" s="1" t="s">
        <v>146</v>
      </c>
      <c r="D37" s="35">
        <f t="shared" si="0"/>
        <v>48800</v>
      </c>
      <c r="Y37" s="72">
        <v>48800000</v>
      </c>
      <c r="AT37" s="1">
        <f t="shared" si="1"/>
        <v>0</v>
      </c>
      <c r="AU37" t="e">
        <f t="shared" si="2"/>
        <v>#DIV/0!</v>
      </c>
      <c r="AV37">
        <f t="shared" si="3"/>
        <v>0</v>
      </c>
      <c r="AW37">
        <f t="shared" si="4"/>
        <v>0</v>
      </c>
      <c r="AX37">
        <f t="shared" si="5"/>
        <v>0</v>
      </c>
      <c r="AY37">
        <f t="shared" si="6"/>
        <v>0</v>
      </c>
      <c r="AZ37">
        <f t="shared" si="7"/>
        <v>0</v>
      </c>
      <c r="BA37">
        <f t="shared" si="8"/>
        <v>0</v>
      </c>
    </row>
    <row r="38" spans="1:53" x14ac:dyDescent="0.25">
      <c r="A38" s="1" t="s">
        <v>144</v>
      </c>
      <c r="B38" s="1" t="s">
        <v>158</v>
      </c>
      <c r="C38" s="1" t="s">
        <v>147</v>
      </c>
      <c r="D38" s="35">
        <f t="shared" si="0"/>
        <v>31281</v>
      </c>
      <c r="E38" s="1">
        <v>2739</v>
      </c>
      <c r="F38" s="1">
        <v>910</v>
      </c>
      <c r="G38" s="1">
        <v>75032608</v>
      </c>
      <c r="I38" s="1">
        <v>150814</v>
      </c>
      <c r="U38" s="1">
        <v>331565367</v>
      </c>
      <c r="Y38" s="72">
        <v>31281000</v>
      </c>
      <c r="Z38" s="1">
        <v>6733</v>
      </c>
      <c r="AA38" s="1">
        <v>6616</v>
      </c>
      <c r="AB38" s="1">
        <v>13349</v>
      </c>
      <c r="AC38" s="1">
        <v>229533941</v>
      </c>
      <c r="AD38" s="1">
        <v>49614746</v>
      </c>
      <c r="AE38" s="1">
        <v>0</v>
      </c>
      <c r="AF38" s="1">
        <v>0</v>
      </c>
      <c r="AG38" s="1">
        <v>0</v>
      </c>
      <c r="AH38" s="1">
        <v>0</v>
      </c>
      <c r="AI38" s="1">
        <v>74500417</v>
      </c>
      <c r="AJ38" s="1">
        <v>353649103</v>
      </c>
      <c r="AK38" s="1">
        <v>322607590</v>
      </c>
      <c r="AL38" s="1">
        <v>18007972</v>
      </c>
      <c r="AM38" s="1">
        <v>13033541</v>
      </c>
      <c r="AN38" s="1">
        <v>353649103</v>
      </c>
      <c r="AO38" s="1">
        <v>17655562</v>
      </c>
      <c r="AP38" s="1">
        <v>872114</v>
      </c>
      <c r="AQ38" s="1">
        <v>4456657</v>
      </c>
      <c r="AR38" s="1">
        <v>3942678</v>
      </c>
      <c r="AS38" s="1">
        <v>26927011</v>
      </c>
      <c r="AT38" s="1">
        <f t="shared" si="1"/>
        <v>0</v>
      </c>
      <c r="AU38" t="e">
        <f t="shared" si="2"/>
        <v>#DIV/0!</v>
      </c>
      <c r="AV38">
        <f t="shared" si="3"/>
        <v>11.305556184265209</v>
      </c>
      <c r="AW38">
        <f t="shared" si="4"/>
        <v>0</v>
      </c>
      <c r="AX38">
        <f t="shared" si="5"/>
        <v>0</v>
      </c>
      <c r="AY38">
        <f t="shared" si="6"/>
        <v>2398.6639813305201</v>
      </c>
      <c r="AZ38">
        <f t="shared" si="7"/>
        <v>2403.4852466353377</v>
      </c>
      <c r="BA38">
        <f t="shared" si="8"/>
        <v>0</v>
      </c>
    </row>
    <row r="39" spans="1:53" x14ac:dyDescent="0.25">
      <c r="A39" s="1" t="s">
        <v>145</v>
      </c>
      <c r="B39" s="1" t="s">
        <v>158</v>
      </c>
      <c r="C39" s="1" t="s">
        <v>148</v>
      </c>
      <c r="D39" s="35">
        <f t="shared" si="0"/>
        <v>3900</v>
      </c>
      <c r="Y39" s="72">
        <v>3900000</v>
      </c>
      <c r="AT39" s="1">
        <f t="shared" si="1"/>
        <v>0</v>
      </c>
      <c r="AU39" t="e">
        <f t="shared" si="2"/>
        <v>#DIV/0!</v>
      </c>
      <c r="AV39">
        <f t="shared" si="3"/>
        <v>0</v>
      </c>
      <c r="AW39">
        <f t="shared" si="4"/>
        <v>0</v>
      </c>
      <c r="AX39">
        <f t="shared" si="5"/>
        <v>0</v>
      </c>
      <c r="AY39">
        <f t="shared" si="6"/>
        <v>0</v>
      </c>
      <c r="AZ39">
        <f t="shared" si="7"/>
        <v>0</v>
      </c>
      <c r="BA39">
        <f t="shared" si="8"/>
        <v>0</v>
      </c>
    </row>
    <row r="40" spans="1:53" x14ac:dyDescent="0.25">
      <c r="A40" s="1" t="s">
        <v>149</v>
      </c>
      <c r="B40" s="1" t="s">
        <v>159</v>
      </c>
      <c r="C40" s="1" t="s">
        <v>153</v>
      </c>
      <c r="D40" s="35">
        <f t="shared" si="0"/>
        <v>97400</v>
      </c>
      <c r="Y40" s="72">
        <v>97400000</v>
      </c>
      <c r="AT40" s="1">
        <f t="shared" si="1"/>
        <v>0</v>
      </c>
      <c r="AU40" t="e">
        <f t="shared" si="2"/>
        <v>#DIV/0!</v>
      </c>
      <c r="AV40">
        <f t="shared" si="3"/>
        <v>0</v>
      </c>
      <c r="AW40">
        <f t="shared" si="4"/>
        <v>0</v>
      </c>
      <c r="AX40">
        <f t="shared" si="5"/>
        <v>0</v>
      </c>
      <c r="AY40">
        <f t="shared" si="6"/>
        <v>0</v>
      </c>
      <c r="AZ40">
        <f t="shared" si="7"/>
        <v>0</v>
      </c>
      <c r="BA40">
        <f t="shared" si="8"/>
        <v>0</v>
      </c>
    </row>
    <row r="41" spans="1:53" x14ac:dyDescent="0.25">
      <c r="A41" s="1" t="s">
        <v>150</v>
      </c>
      <c r="B41" s="1" t="s">
        <v>154</v>
      </c>
      <c r="D41" s="35">
        <f t="shared" si="0"/>
        <v>104204.58100000001</v>
      </c>
      <c r="E41" s="1">
        <v>28844</v>
      </c>
      <c r="F41" s="1">
        <v>27182</v>
      </c>
      <c r="G41" s="1">
        <v>400432199</v>
      </c>
      <c r="H41" s="1">
        <v>313034</v>
      </c>
      <c r="I41" s="1">
        <v>644829</v>
      </c>
      <c r="J41" s="1">
        <v>209198</v>
      </c>
      <c r="K41" s="1">
        <v>184475</v>
      </c>
      <c r="L41" s="1">
        <v>6568380</v>
      </c>
      <c r="M41" s="1">
        <v>135047</v>
      </c>
      <c r="N41" s="1">
        <v>10293034</v>
      </c>
      <c r="O41" s="1">
        <v>271354</v>
      </c>
      <c r="P41" s="1">
        <v>80</v>
      </c>
      <c r="Q41" s="1">
        <v>37</v>
      </c>
      <c r="R41" s="1">
        <v>5280</v>
      </c>
      <c r="S41" s="1">
        <v>2893</v>
      </c>
      <c r="T41" s="1">
        <v>16018509</v>
      </c>
      <c r="U41" s="1">
        <v>428436085</v>
      </c>
      <c r="V41" s="1">
        <v>145664894</v>
      </c>
      <c r="W41" s="1">
        <v>223195</v>
      </c>
      <c r="X41" s="1">
        <v>246404</v>
      </c>
      <c r="Y41" s="72">
        <v>104204581</v>
      </c>
      <c r="Z41" s="1">
        <v>33689</v>
      </c>
      <c r="AA41" s="1">
        <v>13434</v>
      </c>
      <c r="AB41" s="1">
        <v>47122</v>
      </c>
      <c r="AC41" s="1">
        <v>148785357</v>
      </c>
      <c r="AD41" s="1">
        <v>44686382</v>
      </c>
      <c r="AE41" s="1">
        <v>132191</v>
      </c>
      <c r="AF41" s="1">
        <v>2045504</v>
      </c>
      <c r="AG41" s="1">
        <v>4408381</v>
      </c>
      <c r="AH41" s="1">
        <v>741476</v>
      </c>
      <c r="AI41" s="1">
        <v>99224615</v>
      </c>
      <c r="AJ41" s="1">
        <v>300023909</v>
      </c>
      <c r="AK41" s="1">
        <v>258047600</v>
      </c>
      <c r="AL41" s="1">
        <v>9860288</v>
      </c>
      <c r="AM41" s="1">
        <v>33946842</v>
      </c>
      <c r="AN41" s="1">
        <v>301854730</v>
      </c>
      <c r="AO41" s="1">
        <v>21124575</v>
      </c>
      <c r="AP41" s="1">
        <v>892387</v>
      </c>
      <c r="AQ41" s="1">
        <v>4974992</v>
      </c>
      <c r="AR41" s="1">
        <v>19849638</v>
      </c>
      <c r="AS41" s="1">
        <v>46841595</v>
      </c>
      <c r="AT41" s="1">
        <f t="shared" si="1"/>
        <v>10564388</v>
      </c>
      <c r="AU41">
        <f t="shared" si="2"/>
        <v>2.9412446145054005</v>
      </c>
      <c r="AV41">
        <f t="shared" si="3"/>
        <v>2.8791815688026228</v>
      </c>
      <c r="AW41">
        <f t="shared" si="4"/>
        <v>153.7217351317789</v>
      </c>
      <c r="AX41">
        <f t="shared" si="5"/>
        <v>1397.8741875081287</v>
      </c>
      <c r="AY41">
        <f t="shared" si="6"/>
        <v>3842.7504353191534</v>
      </c>
      <c r="AZ41">
        <f t="shared" si="7"/>
        <v>3920.0499448292007</v>
      </c>
      <c r="BA41">
        <f t="shared" si="8"/>
        <v>63.033505216051871</v>
      </c>
    </row>
    <row r="42" spans="1:53" x14ac:dyDescent="0.25">
      <c r="A42" s="1" t="s">
        <v>151</v>
      </c>
      <c r="B42" s="1" t="s">
        <v>154</v>
      </c>
      <c r="D42" s="35">
        <f t="shared" si="0"/>
        <v>376492.625</v>
      </c>
      <c r="E42" s="1">
        <v>22185</v>
      </c>
      <c r="F42" s="1">
        <v>40496</v>
      </c>
      <c r="G42" s="1">
        <v>676511639</v>
      </c>
      <c r="H42" s="1">
        <v>1458315</v>
      </c>
      <c r="I42" s="1">
        <v>1669307</v>
      </c>
      <c r="J42" s="1">
        <v>2716491</v>
      </c>
      <c r="K42" s="1">
        <v>14766107</v>
      </c>
      <c r="L42" s="1">
        <v>50830993</v>
      </c>
      <c r="M42" s="1">
        <v>1060708</v>
      </c>
      <c r="N42" s="1">
        <v>49466500</v>
      </c>
      <c r="O42" s="1">
        <v>6166330</v>
      </c>
      <c r="P42" s="1">
        <v>88</v>
      </c>
      <c r="Q42" s="1">
        <v>73</v>
      </c>
      <c r="R42" s="1">
        <v>104295</v>
      </c>
      <c r="S42" s="1">
        <v>53353</v>
      </c>
      <c r="T42" s="1">
        <v>99574113</v>
      </c>
      <c r="U42" s="1">
        <v>1834338107</v>
      </c>
      <c r="V42" s="1">
        <v>1833750970</v>
      </c>
      <c r="W42" s="1">
        <v>2198103</v>
      </c>
      <c r="X42" s="1">
        <v>12534748</v>
      </c>
      <c r="Y42" s="72">
        <v>376492625</v>
      </c>
      <c r="Z42" s="1">
        <v>45661</v>
      </c>
      <c r="AA42" s="1">
        <v>79174</v>
      </c>
      <c r="AB42" s="1">
        <v>124835</v>
      </c>
      <c r="AC42" s="1">
        <v>3627935387</v>
      </c>
      <c r="AD42" s="1">
        <v>808484241</v>
      </c>
      <c r="AE42" s="1">
        <v>3841564</v>
      </c>
      <c r="AF42" s="1">
        <v>136237737</v>
      </c>
      <c r="AG42" s="1">
        <v>408349619</v>
      </c>
      <c r="AH42" s="1">
        <v>173130</v>
      </c>
      <c r="AI42" s="1">
        <v>1123005351</v>
      </c>
      <c r="AJ42" s="1">
        <v>6108027029</v>
      </c>
      <c r="AK42" s="1">
        <v>5409037561</v>
      </c>
      <c r="AL42" s="1">
        <v>361156650</v>
      </c>
      <c r="AM42" s="1">
        <v>258032655</v>
      </c>
      <c r="AN42" s="1">
        <v>6028226863</v>
      </c>
      <c r="AO42" s="1">
        <v>401570239</v>
      </c>
      <c r="AP42" s="1">
        <v>23758922</v>
      </c>
      <c r="AQ42" s="1">
        <v>103878198</v>
      </c>
      <c r="AR42" s="1">
        <v>82224921</v>
      </c>
      <c r="AS42" s="1">
        <v>611432284</v>
      </c>
      <c r="AT42" s="1">
        <f t="shared" si="1"/>
        <v>55632830</v>
      </c>
      <c r="AU42">
        <f t="shared" si="2"/>
        <v>1.0003201836070468</v>
      </c>
      <c r="AV42">
        <f t="shared" si="3"/>
        <v>16.223497150840604</v>
      </c>
      <c r="AW42">
        <f t="shared" si="4"/>
        <v>264.47825638018804</v>
      </c>
      <c r="AX42">
        <f t="shared" si="5"/>
        <v>4870.6159117990692</v>
      </c>
      <c r="AY42">
        <f t="shared" si="6"/>
        <v>1796.8788605088878</v>
      </c>
      <c r="AZ42">
        <f t="shared" si="7"/>
        <v>1989.4508159356376</v>
      </c>
      <c r="BA42">
        <f t="shared" si="8"/>
        <v>135.01192221228769</v>
      </c>
    </row>
    <row r="43" spans="1:53" x14ac:dyDescent="0.25">
      <c r="A43" s="1" t="s">
        <v>152</v>
      </c>
      <c r="B43" s="1" t="s">
        <v>154</v>
      </c>
      <c r="D43" s="35">
        <f t="shared" si="0"/>
        <v>12000.370999999999</v>
      </c>
      <c r="E43" s="1">
        <v>612</v>
      </c>
      <c r="F43" s="1">
        <v>3279</v>
      </c>
      <c r="G43" s="1">
        <v>51516655</v>
      </c>
      <c r="H43" s="1">
        <v>62815</v>
      </c>
      <c r="I43" s="1">
        <v>124703</v>
      </c>
      <c r="J43" s="1">
        <v>104370</v>
      </c>
      <c r="K43" s="1">
        <v>828278</v>
      </c>
      <c r="L43" s="1">
        <v>3059685</v>
      </c>
      <c r="M43" s="1">
        <v>23751</v>
      </c>
      <c r="N43" s="1">
        <v>2396343</v>
      </c>
      <c r="O43" s="1">
        <v>333323</v>
      </c>
      <c r="P43" s="1">
        <v>82</v>
      </c>
      <c r="Q43" s="1">
        <v>80</v>
      </c>
      <c r="R43" s="1">
        <v>3609</v>
      </c>
      <c r="S43" s="1">
        <v>2159</v>
      </c>
      <c r="T43" s="1">
        <v>3594933</v>
      </c>
      <c r="U43" s="1">
        <v>31915693</v>
      </c>
      <c r="V43" s="1">
        <v>56277920</v>
      </c>
      <c r="W43" s="1">
        <v>417378</v>
      </c>
      <c r="X43" s="1">
        <v>368869</v>
      </c>
      <c r="Y43" s="72">
        <v>12000371</v>
      </c>
      <c r="Z43" s="1">
        <v>2857</v>
      </c>
      <c r="AA43" s="1">
        <v>4648</v>
      </c>
      <c r="AB43" s="1">
        <v>7517</v>
      </c>
      <c r="AC43" s="1">
        <v>259818323</v>
      </c>
      <c r="AD43" s="1">
        <v>82007075</v>
      </c>
      <c r="AE43" s="1">
        <v>0</v>
      </c>
      <c r="AF43" s="1">
        <v>6830564</v>
      </c>
      <c r="AG43" s="1">
        <v>36284013</v>
      </c>
      <c r="AH43" s="1">
        <v>9441251</v>
      </c>
      <c r="AI43" s="1">
        <v>61080726</v>
      </c>
      <c r="AJ43" s="1">
        <v>455461952</v>
      </c>
      <c r="AK43" s="1">
        <v>305491318</v>
      </c>
      <c r="AL43" s="1">
        <v>23857171</v>
      </c>
      <c r="AM43" s="1">
        <v>6137404</v>
      </c>
      <c r="AN43" s="1">
        <v>335485893</v>
      </c>
      <c r="AO43" s="1">
        <v>24245599</v>
      </c>
      <c r="AP43" s="1">
        <v>1197635</v>
      </c>
      <c r="AQ43" s="1">
        <v>6120130</v>
      </c>
      <c r="AR43" s="1">
        <v>5414303</v>
      </c>
      <c r="AS43" s="1">
        <v>36977668</v>
      </c>
      <c r="AT43" s="1">
        <f t="shared" si="1"/>
        <v>2729666</v>
      </c>
      <c r="AU43">
        <f t="shared" si="2"/>
        <v>0.56710861026846759</v>
      </c>
      <c r="AV43">
        <f t="shared" si="3"/>
        <v>37.953989255832177</v>
      </c>
      <c r="AW43">
        <f t="shared" si="4"/>
        <v>299.56848834090215</v>
      </c>
      <c r="AX43">
        <f t="shared" si="5"/>
        <v>4689.6816773414757</v>
      </c>
      <c r="AY43">
        <f t="shared" si="6"/>
        <v>4292.9218604991465</v>
      </c>
      <c r="AZ43">
        <f t="shared" si="7"/>
        <v>4643.2111973871479</v>
      </c>
      <c r="BA43">
        <f t="shared" si="8"/>
        <v>254.96586730526917</v>
      </c>
    </row>
    <row r="44" spans="1:53" x14ac:dyDescent="0.25">
      <c r="A44" s="1" t="s">
        <v>310</v>
      </c>
      <c r="B44" s="1" t="s">
        <v>154</v>
      </c>
      <c r="D44" s="35">
        <f t="shared" si="0"/>
        <v>502873</v>
      </c>
      <c r="E44" s="1">
        <v>15960</v>
      </c>
      <c r="F44" s="1">
        <v>23357</v>
      </c>
      <c r="G44" s="1">
        <v>1265230868</v>
      </c>
      <c r="H44" s="1">
        <v>576323</v>
      </c>
      <c r="I44" s="1">
        <v>2347670</v>
      </c>
      <c r="J44" s="1">
        <v>204297</v>
      </c>
      <c r="K44" s="1">
        <v>11094064</v>
      </c>
      <c r="L44" s="1">
        <v>57307261</v>
      </c>
      <c r="M44" s="1">
        <v>1363969</v>
      </c>
      <c r="N44" s="1">
        <v>47331647</v>
      </c>
      <c r="O44" s="1">
        <v>4615537</v>
      </c>
      <c r="P44" s="1">
        <v>91</v>
      </c>
      <c r="Q44" s="1">
        <v>70</v>
      </c>
      <c r="R44" s="1">
        <v>41960</v>
      </c>
      <c r="S44" s="1">
        <v>22548</v>
      </c>
      <c r="T44" s="1">
        <v>120956789</v>
      </c>
      <c r="U44" s="1">
        <v>2907850094</v>
      </c>
      <c r="V44" s="1">
        <v>2438329431</v>
      </c>
      <c r="W44" s="1">
        <v>3016882</v>
      </c>
      <c r="X44" s="1">
        <v>15297839</v>
      </c>
      <c r="Y44" s="72">
        <v>502873000</v>
      </c>
      <c r="Z44" s="1">
        <v>67174</v>
      </c>
      <c r="AA44" s="1">
        <v>115817</v>
      </c>
      <c r="AB44" s="1">
        <v>182991</v>
      </c>
      <c r="AC44" s="1">
        <v>5467270029</v>
      </c>
      <c r="AD44" s="1">
        <v>1532776482</v>
      </c>
      <c r="AE44" s="1">
        <v>33838</v>
      </c>
      <c r="AF44" s="1">
        <v>1516498</v>
      </c>
      <c r="AG44" s="1">
        <v>4706262</v>
      </c>
      <c r="AH44" s="1">
        <v>1631802</v>
      </c>
      <c r="AI44" s="1">
        <v>1577004895</v>
      </c>
      <c r="AJ44" s="1">
        <v>8584939805</v>
      </c>
      <c r="AK44" s="1">
        <v>8274239302</v>
      </c>
      <c r="AL44" s="1">
        <v>448725249</v>
      </c>
      <c r="AM44" s="1">
        <v>363367380</v>
      </c>
      <c r="AN44" s="1">
        <v>9086331929</v>
      </c>
      <c r="AO44" s="1">
        <v>618114664</v>
      </c>
      <c r="AP44" s="1">
        <v>30532399</v>
      </c>
      <c r="AQ44" s="1">
        <v>156025909</v>
      </c>
      <c r="AR44" s="1">
        <v>138031654</v>
      </c>
      <c r="AS44" s="1">
        <v>942704630</v>
      </c>
      <c r="AT44" s="1">
        <f t="shared" si="1"/>
        <v>51947184</v>
      </c>
      <c r="AU44">
        <f t="shared" si="2"/>
        <v>1.1925583381107949</v>
      </c>
      <c r="AV44">
        <f t="shared" si="3"/>
        <v>17.07178513262792</v>
      </c>
      <c r="AW44">
        <f t="shared" si="4"/>
        <v>240.53148409240504</v>
      </c>
      <c r="AX44">
        <f t="shared" si="5"/>
        <v>4848.7976705848196</v>
      </c>
      <c r="AY44">
        <f t="shared" si="6"/>
        <v>2516.004772576774</v>
      </c>
      <c r="AZ44">
        <f t="shared" si="7"/>
        <v>2660.9590333941173</v>
      </c>
      <c r="BA44">
        <f t="shared" si="8"/>
        <v>113.95970950916036</v>
      </c>
    </row>
    <row r="45" spans="1:53" x14ac:dyDescent="0.25">
      <c r="A45" s="1" t="s">
        <v>311</v>
      </c>
      <c r="B45" s="1" t="s">
        <v>154</v>
      </c>
      <c r="D45" s="35">
        <f t="shared" si="0"/>
        <v>163965</v>
      </c>
      <c r="E45" s="1">
        <v>3160</v>
      </c>
      <c r="F45" s="1">
        <v>4368</v>
      </c>
      <c r="G45" s="1">
        <v>27438144</v>
      </c>
      <c r="H45" s="1">
        <v>103472</v>
      </c>
      <c r="I45" s="1">
        <v>266</v>
      </c>
      <c r="J45" s="1">
        <v>356335</v>
      </c>
      <c r="K45" s="1">
        <v>15279</v>
      </c>
      <c r="L45" s="1">
        <v>248232</v>
      </c>
      <c r="M45" s="1">
        <v>1216</v>
      </c>
      <c r="N45" s="1">
        <v>1296309</v>
      </c>
      <c r="O45" s="1">
        <v>22545</v>
      </c>
      <c r="P45" s="1">
        <v>89</v>
      </c>
      <c r="Q45" s="1">
        <v>11</v>
      </c>
      <c r="R45" s="1">
        <v>7537</v>
      </c>
      <c r="S45" s="1">
        <v>52</v>
      </c>
      <c r="T45" s="1">
        <v>871235</v>
      </c>
      <c r="U45" s="1">
        <v>8843925</v>
      </c>
      <c r="V45" s="1">
        <v>44831591</v>
      </c>
      <c r="W45" s="1">
        <v>20130</v>
      </c>
      <c r="X45" s="1">
        <v>102075</v>
      </c>
      <c r="Y45" s="72">
        <v>163965000</v>
      </c>
      <c r="Z45" s="1">
        <v>610</v>
      </c>
      <c r="AA45" s="1">
        <v>5974</v>
      </c>
      <c r="AB45" s="1">
        <v>6584</v>
      </c>
      <c r="AC45" s="1">
        <v>32770697</v>
      </c>
      <c r="AD45" s="1">
        <v>0</v>
      </c>
      <c r="AE45" s="1">
        <v>0</v>
      </c>
      <c r="AF45" s="1">
        <v>404358</v>
      </c>
      <c r="AG45" s="1">
        <v>40067712</v>
      </c>
      <c r="AH45" s="1">
        <v>5817648</v>
      </c>
      <c r="AI45" s="1">
        <v>0</v>
      </c>
      <c r="AJ45" s="1">
        <v>79060415</v>
      </c>
      <c r="AK45" s="1">
        <v>71323484</v>
      </c>
      <c r="AL45" s="1">
        <v>4029377</v>
      </c>
      <c r="AM45" s="1">
        <v>2916321</v>
      </c>
      <c r="AN45" s="1">
        <v>78269181</v>
      </c>
      <c r="AO45" s="1">
        <v>5939340</v>
      </c>
      <c r="AP45" s="1">
        <v>293380</v>
      </c>
      <c r="AQ45" s="1">
        <v>1499221</v>
      </c>
      <c r="AR45" s="1">
        <v>1326319</v>
      </c>
      <c r="AS45" s="1">
        <v>9058260</v>
      </c>
      <c r="AT45" s="1">
        <f t="shared" si="1"/>
        <v>1318854</v>
      </c>
      <c r="AU45">
        <f t="shared" si="2"/>
        <v>0.19726993405163784</v>
      </c>
      <c r="AV45">
        <f t="shared" si="3"/>
        <v>0.48217860519013206</v>
      </c>
      <c r="AW45">
        <f t="shared" si="4"/>
        <v>5.3135425243192147</v>
      </c>
      <c r="AX45">
        <f t="shared" si="5"/>
        <v>273.4217119507212</v>
      </c>
      <c r="AY45">
        <f t="shared" si="6"/>
        <v>167.34146921599122</v>
      </c>
      <c r="AZ45">
        <f t="shared" si="7"/>
        <v>171.76192480102461</v>
      </c>
      <c r="BA45">
        <f t="shared" si="8"/>
        <v>1.5139328515231909</v>
      </c>
    </row>
    <row r="46" spans="1:53" x14ac:dyDescent="0.25">
      <c r="A46" s="1" t="s">
        <v>312</v>
      </c>
      <c r="B46" s="1" t="s">
        <v>154</v>
      </c>
      <c r="D46" s="35">
        <f t="shared" si="0"/>
        <v>74896.962</v>
      </c>
      <c r="E46" s="1">
        <v>22124</v>
      </c>
      <c r="F46" s="1">
        <v>20139</v>
      </c>
      <c r="G46" s="1">
        <v>304068766</v>
      </c>
      <c r="H46" s="1">
        <v>293928</v>
      </c>
      <c r="I46" s="1">
        <v>459186</v>
      </c>
      <c r="J46" s="1">
        <v>149500</v>
      </c>
      <c r="K46" s="1">
        <v>120334</v>
      </c>
      <c r="L46" s="1">
        <v>5548276</v>
      </c>
      <c r="M46" s="1">
        <v>108137</v>
      </c>
      <c r="N46" s="1">
        <v>9084074</v>
      </c>
      <c r="O46" s="1">
        <v>263131</v>
      </c>
      <c r="P46" s="1">
        <v>80</v>
      </c>
      <c r="Q46" s="1">
        <v>37</v>
      </c>
      <c r="R46" s="1">
        <v>4911</v>
      </c>
      <c r="S46" s="1">
        <v>2728</v>
      </c>
      <c r="T46" s="1">
        <v>13425665</v>
      </c>
      <c r="U46" s="1">
        <v>375815577</v>
      </c>
      <c r="V46" s="1">
        <v>124503588</v>
      </c>
      <c r="W46" s="1">
        <v>210058</v>
      </c>
      <c r="X46" s="1">
        <v>228862</v>
      </c>
      <c r="Y46" s="1">
        <v>74896962</v>
      </c>
      <c r="Z46" s="1">
        <v>26473</v>
      </c>
      <c r="AA46" s="1">
        <v>12315</v>
      </c>
      <c r="AB46" s="1">
        <v>38788</v>
      </c>
      <c r="AC46" s="1">
        <v>139860678</v>
      </c>
      <c r="AD46" s="1">
        <v>43704152</v>
      </c>
      <c r="AE46" s="1">
        <v>130553</v>
      </c>
      <c r="AF46" s="1">
        <v>2029050</v>
      </c>
      <c r="AG46" s="1">
        <v>4401387</v>
      </c>
      <c r="AH46" s="1">
        <v>727146</v>
      </c>
      <c r="AI46" s="1">
        <v>97381461</v>
      </c>
      <c r="AJ46" s="1">
        <v>288234429</v>
      </c>
      <c r="AK46" s="1">
        <v>246697628</v>
      </c>
      <c r="AL46" s="1">
        <v>9647454</v>
      </c>
      <c r="AM46" s="1">
        <v>33596686</v>
      </c>
      <c r="AN46" s="1">
        <v>289941768</v>
      </c>
      <c r="AO46" s="1">
        <v>20210407</v>
      </c>
      <c r="AP46" s="1">
        <v>833780</v>
      </c>
      <c r="AQ46" s="1">
        <v>4675377</v>
      </c>
      <c r="AR46" s="1">
        <v>19637589</v>
      </c>
      <c r="AS46" s="1">
        <v>45357155</v>
      </c>
      <c r="AT46" s="1">
        <f>+N46+O46</f>
        <v>9347205</v>
      </c>
      <c r="AU46">
        <f>+U46/V46</f>
        <v>3.0185120207138127</v>
      </c>
      <c r="AV46">
        <f>+AJ46/Y46</f>
        <v>3.8484128234734007</v>
      </c>
      <c r="AW46">
        <f>+T46/D46</f>
        <v>179.25513454070406</v>
      </c>
      <c r="AX46">
        <f>+V46/D46</f>
        <v>1662.3316176696192</v>
      </c>
      <c r="AY46">
        <f>+G46/D46</f>
        <v>4059.8277671129035</v>
      </c>
      <c r="AZ46">
        <f>SUM(G46:M46)/D46</f>
        <v>4149.0084337466187</v>
      </c>
      <c r="BA46">
        <f>+L46/D46</f>
        <v>74.078785732323823</v>
      </c>
    </row>
    <row r="47" spans="1:53" x14ac:dyDescent="0.25">
      <c r="A47" s="1" t="s">
        <v>313</v>
      </c>
      <c r="B47" s="1" t="s">
        <v>154</v>
      </c>
      <c r="D47" s="35">
        <f t="shared" si="0"/>
        <v>492697.57699999999</v>
      </c>
      <c r="E47" s="1">
        <v>51641</v>
      </c>
      <c r="F47" s="1">
        <v>70957</v>
      </c>
      <c r="G47" s="1">
        <v>1128460493</v>
      </c>
      <c r="H47" s="1">
        <v>1834164</v>
      </c>
      <c r="I47" s="1">
        <v>2438839</v>
      </c>
      <c r="J47" s="1">
        <v>3030059</v>
      </c>
      <c r="K47" s="1">
        <v>15778860</v>
      </c>
      <c r="L47" s="1">
        <v>60459058</v>
      </c>
      <c r="M47" s="1">
        <v>1219506</v>
      </c>
      <c r="N47" s="1">
        <v>62155877</v>
      </c>
      <c r="O47" s="1">
        <v>6771007</v>
      </c>
      <c r="P47" s="1">
        <v>83</v>
      </c>
      <c r="Q47" s="1">
        <v>63</v>
      </c>
      <c r="R47" s="1">
        <v>113184</v>
      </c>
      <c r="S47" s="1">
        <v>58405</v>
      </c>
      <c r="T47" s="1">
        <v>119187555</v>
      </c>
      <c r="U47" s="1">
        <v>2294689885</v>
      </c>
      <c r="V47" s="1">
        <v>2035693784</v>
      </c>
      <c r="W47" s="1">
        <v>2838676</v>
      </c>
      <c r="X47" s="1">
        <v>13150021</v>
      </c>
      <c r="Y47" s="1">
        <v>492697577</v>
      </c>
      <c r="Z47" s="1">
        <v>82207</v>
      </c>
      <c r="AA47" s="1">
        <v>97256</v>
      </c>
      <c r="AB47" s="1">
        <v>179474</v>
      </c>
      <c r="AC47" s="1">
        <v>4036539067</v>
      </c>
      <c r="AD47" s="1">
        <v>935177698</v>
      </c>
      <c r="AE47" s="1">
        <v>3973755</v>
      </c>
      <c r="AF47" s="1">
        <v>145113805</v>
      </c>
      <c r="AG47" s="1">
        <v>449042013</v>
      </c>
      <c r="AH47" s="1">
        <v>10355857</v>
      </c>
      <c r="AI47" s="1">
        <v>1283310692</v>
      </c>
      <c r="AJ47" s="1">
        <v>6863512890</v>
      </c>
      <c r="AK47" s="1">
        <v>5972576479</v>
      </c>
      <c r="AL47" s="1">
        <v>394874109</v>
      </c>
      <c r="AM47" s="1">
        <v>298116901</v>
      </c>
      <c r="AN47" s="1">
        <v>6665567486</v>
      </c>
      <c r="AO47" s="1">
        <v>446940413</v>
      </c>
      <c r="AP47" s="1">
        <v>25848944</v>
      </c>
      <c r="AQ47" s="1">
        <v>114973320</v>
      </c>
      <c r="AR47" s="1">
        <v>107488862</v>
      </c>
      <c r="AS47" s="1">
        <v>695251548</v>
      </c>
      <c r="AT47" s="1">
        <f t="shared" ref="AT47:AT52" si="9">+N47+O47</f>
        <v>68926884</v>
      </c>
      <c r="AU47">
        <f t="shared" ref="AU47:AU52" si="10">+U47/V47</f>
        <v>1.1272274361869348</v>
      </c>
      <c r="AV47">
        <f t="shared" ref="AV47:AV52" si="11">+AJ47/Y47</f>
        <v>13.930478269837321</v>
      </c>
      <c r="AW47">
        <f t="shared" ref="AW47:AW52" si="12">+T47/D47</f>
        <v>241.90814114760707</v>
      </c>
      <c r="AX47">
        <f t="shared" ref="AX47:AX52" si="13">+V47/D47</f>
        <v>4131.7308609374386</v>
      </c>
      <c r="AY47">
        <f t="shared" ref="AY47:AY52" si="14">+G47/D47</f>
        <v>2290.3715091742779</v>
      </c>
      <c r="AZ47">
        <f t="shared" ref="AZ47:AZ52" si="15">SUM(G47:M47)/D47</f>
        <v>2462.405003871168</v>
      </c>
      <c r="BA47">
        <f t="shared" ref="BA47:BA52" si="16">+L47/D47</f>
        <v>122.71028075301454</v>
      </c>
    </row>
    <row r="48" spans="1:53" x14ac:dyDescent="0.25">
      <c r="A48" s="1" t="s">
        <v>188</v>
      </c>
      <c r="B48" s="1" t="s">
        <v>154</v>
      </c>
      <c r="D48" s="35">
        <f t="shared" si="0"/>
        <v>96720.244000000006</v>
      </c>
      <c r="E48" s="1">
        <v>27261</v>
      </c>
      <c r="F48" s="1">
        <v>24086</v>
      </c>
      <c r="G48" s="1">
        <v>354805295</v>
      </c>
      <c r="H48" s="1">
        <v>279796</v>
      </c>
      <c r="I48" s="1">
        <v>582134</v>
      </c>
      <c r="J48" s="1">
        <v>194435</v>
      </c>
      <c r="K48" s="1">
        <v>180840</v>
      </c>
      <c r="L48" s="1">
        <v>6099742</v>
      </c>
      <c r="M48" s="1">
        <v>125992</v>
      </c>
      <c r="N48" s="1">
        <v>8445208</v>
      </c>
      <c r="O48" s="1">
        <v>244585</v>
      </c>
      <c r="P48" s="1">
        <v>79</v>
      </c>
      <c r="Q48" s="1">
        <v>40</v>
      </c>
      <c r="R48" s="1">
        <v>4763</v>
      </c>
      <c r="S48" s="1">
        <v>2523</v>
      </c>
      <c r="T48" s="1">
        <v>14197714</v>
      </c>
      <c r="U48" s="1">
        <v>369507077</v>
      </c>
      <c r="V48" s="1">
        <v>123810227</v>
      </c>
      <c r="W48" s="1">
        <v>213854</v>
      </c>
      <c r="X48" s="1">
        <v>242971</v>
      </c>
      <c r="Y48" s="1">
        <v>96720244</v>
      </c>
      <c r="Z48" s="1">
        <v>27446</v>
      </c>
      <c r="AA48" s="1">
        <v>11611</v>
      </c>
      <c r="AB48" s="1">
        <v>39056</v>
      </c>
      <c r="AC48" s="1">
        <v>129961342</v>
      </c>
      <c r="AD48" s="1">
        <v>38450029</v>
      </c>
      <c r="AE48" s="1">
        <v>79198</v>
      </c>
      <c r="AF48" s="1">
        <v>1494305</v>
      </c>
      <c r="AG48" s="1">
        <v>4013567</v>
      </c>
      <c r="AH48" s="1">
        <v>741476</v>
      </c>
      <c r="AI48" s="1">
        <v>90157979</v>
      </c>
      <c r="AJ48" s="1">
        <v>264897899</v>
      </c>
      <c r="AK48" s="1">
        <v>222490657</v>
      </c>
      <c r="AL48" s="1">
        <v>9415381</v>
      </c>
      <c r="AM48" s="1">
        <v>33511351</v>
      </c>
      <c r="AN48" s="1">
        <v>265417389</v>
      </c>
      <c r="AO48" s="1">
        <v>18462815</v>
      </c>
      <c r="AP48" s="1">
        <v>836454</v>
      </c>
      <c r="AQ48" s="1">
        <v>4425456</v>
      </c>
      <c r="AR48" s="1">
        <v>19511564</v>
      </c>
      <c r="AS48" s="1">
        <v>43236292</v>
      </c>
      <c r="AT48" s="1">
        <f t="shared" si="9"/>
        <v>8689793</v>
      </c>
      <c r="AU48">
        <f t="shared" si="10"/>
        <v>2.9844632867040941</v>
      </c>
      <c r="AV48">
        <f t="shared" si="11"/>
        <v>2.7388051150904871</v>
      </c>
      <c r="AW48">
        <f t="shared" si="12"/>
        <v>146.79154448783234</v>
      </c>
      <c r="AX48">
        <f t="shared" si="13"/>
        <v>1280.0859662843695</v>
      </c>
      <c r="AY48">
        <f t="shared" si="14"/>
        <v>3668.366417686043</v>
      </c>
      <c r="AZ48">
        <f t="shared" si="15"/>
        <v>3745.5264691019593</v>
      </c>
      <c r="BA48">
        <f t="shared" si="16"/>
        <v>63.065825185469961</v>
      </c>
    </row>
    <row r="49" spans="1:53" x14ac:dyDescent="0.25">
      <c r="A49" s="1" t="s">
        <v>189</v>
      </c>
      <c r="B49" s="1" t="s">
        <v>154</v>
      </c>
      <c r="D49" s="35">
        <f t="shared" si="0"/>
        <v>7484.3370000000004</v>
      </c>
      <c r="E49" s="1">
        <v>1583</v>
      </c>
      <c r="F49" s="1">
        <v>3096</v>
      </c>
      <c r="G49" s="1">
        <v>45626904</v>
      </c>
      <c r="H49" s="1">
        <v>33238</v>
      </c>
      <c r="I49" s="1">
        <v>62695</v>
      </c>
      <c r="J49" s="1">
        <v>14763</v>
      </c>
      <c r="K49" s="1">
        <v>3635</v>
      </c>
      <c r="L49" s="1">
        <v>468638</v>
      </c>
      <c r="M49" s="1">
        <v>9055</v>
      </c>
      <c r="N49" s="1">
        <v>1847826</v>
      </c>
      <c r="O49" s="1">
        <v>26769</v>
      </c>
      <c r="P49" s="1">
        <v>81</v>
      </c>
      <c r="Q49" s="1">
        <v>29</v>
      </c>
      <c r="R49" s="1">
        <v>517</v>
      </c>
      <c r="S49" s="1">
        <v>370</v>
      </c>
      <c r="T49" s="1">
        <v>1820795</v>
      </c>
      <c r="U49" s="1">
        <v>58929008</v>
      </c>
      <c r="V49" s="1">
        <v>21854667</v>
      </c>
      <c r="W49" s="1">
        <v>9341</v>
      </c>
      <c r="X49" s="1">
        <v>3433</v>
      </c>
      <c r="Y49" s="1">
        <v>7484337</v>
      </c>
      <c r="Z49" s="1">
        <v>6243</v>
      </c>
      <c r="AA49" s="1">
        <v>1823</v>
      </c>
      <c r="AB49" s="1">
        <v>8066</v>
      </c>
      <c r="AC49" s="1">
        <v>18824015</v>
      </c>
      <c r="AD49" s="1">
        <v>6236353</v>
      </c>
      <c r="AE49" s="1">
        <v>52993</v>
      </c>
      <c r="AF49" s="1">
        <v>551199</v>
      </c>
      <c r="AG49" s="1">
        <v>394814</v>
      </c>
      <c r="AH49" s="1">
        <v>0</v>
      </c>
      <c r="AI49" s="1">
        <v>9066636</v>
      </c>
      <c r="AJ49" s="1">
        <v>35126010</v>
      </c>
      <c r="AK49" s="1">
        <v>35556943</v>
      </c>
      <c r="AL49" s="1">
        <v>444907</v>
      </c>
      <c r="AM49" s="1">
        <v>435491</v>
      </c>
      <c r="AN49" s="1">
        <v>36437341</v>
      </c>
      <c r="AO49" s="1">
        <v>2661760</v>
      </c>
      <c r="AP49" s="1">
        <v>55933</v>
      </c>
      <c r="AQ49" s="1">
        <v>549536</v>
      </c>
      <c r="AR49" s="1">
        <v>338074</v>
      </c>
      <c r="AS49" s="1">
        <v>3605304</v>
      </c>
      <c r="AT49" s="1">
        <f t="shared" si="9"/>
        <v>1874595</v>
      </c>
      <c r="AU49">
        <f t="shared" si="10"/>
        <v>2.6964038390518601</v>
      </c>
      <c r="AV49">
        <f t="shared" si="11"/>
        <v>4.6932694238647992</v>
      </c>
      <c r="AW49">
        <f t="shared" si="12"/>
        <v>243.28073415186941</v>
      </c>
      <c r="AX49">
        <f t="shared" si="13"/>
        <v>2920.0538404403756</v>
      </c>
      <c r="AY49">
        <f t="shared" si="14"/>
        <v>6096.3187520818474</v>
      </c>
      <c r="AZ49">
        <f t="shared" si="15"/>
        <v>6175.4204814668283</v>
      </c>
      <c r="BA49">
        <f t="shared" si="16"/>
        <v>62.615833573501561</v>
      </c>
    </row>
    <row r="50" spans="1:53" x14ac:dyDescent="0.25">
      <c r="A50" s="1" t="s">
        <v>192</v>
      </c>
      <c r="B50" s="1" t="s">
        <v>154</v>
      </c>
      <c r="D50" s="35">
        <f t="shared" si="0"/>
        <v>247102.54699999999</v>
      </c>
      <c r="E50" s="1">
        <v>15570</v>
      </c>
      <c r="F50" s="1">
        <v>26714</v>
      </c>
      <c r="G50" s="1">
        <v>496005375</v>
      </c>
      <c r="H50" s="1">
        <v>857283</v>
      </c>
      <c r="I50" s="1">
        <v>812585</v>
      </c>
      <c r="J50" s="1">
        <v>861470</v>
      </c>
      <c r="K50" s="1">
        <v>12468502</v>
      </c>
      <c r="L50" s="1">
        <v>33884245</v>
      </c>
      <c r="M50" s="1">
        <v>707463</v>
      </c>
      <c r="N50" s="1">
        <v>36856685</v>
      </c>
      <c r="O50" s="1">
        <v>4426972</v>
      </c>
      <c r="P50" s="1">
        <v>89</v>
      </c>
      <c r="Q50" s="1">
        <v>71</v>
      </c>
      <c r="R50" s="1">
        <v>67088</v>
      </c>
      <c r="S50" s="1">
        <v>34958</v>
      </c>
      <c r="T50" s="1">
        <v>66042161</v>
      </c>
      <c r="U50" s="1">
        <v>1313971201</v>
      </c>
      <c r="V50" s="1">
        <v>1159920996</v>
      </c>
      <c r="W50" s="1">
        <v>870694</v>
      </c>
      <c r="X50" s="1">
        <v>842323</v>
      </c>
      <c r="Y50" s="1">
        <v>247102547</v>
      </c>
      <c r="Z50" s="1">
        <v>29421</v>
      </c>
      <c r="AA50" s="1">
        <v>52910</v>
      </c>
      <c r="AB50" s="1">
        <v>82331</v>
      </c>
      <c r="AC50" s="1">
        <v>2555914514</v>
      </c>
      <c r="AD50" s="1">
        <v>566885627</v>
      </c>
      <c r="AE50" s="1">
        <v>2668619</v>
      </c>
      <c r="AF50" s="1">
        <v>109464881</v>
      </c>
      <c r="AG50" s="1">
        <v>330641608</v>
      </c>
      <c r="AH50" s="1">
        <v>8787310</v>
      </c>
      <c r="AI50" s="1">
        <v>712541633</v>
      </c>
      <c r="AJ50" s="1">
        <v>4286904190</v>
      </c>
      <c r="AK50" s="1">
        <v>3649675334</v>
      </c>
      <c r="AL50" s="1">
        <v>255213457</v>
      </c>
      <c r="AM50" s="1">
        <v>190962861</v>
      </c>
      <c r="AN50" s="1">
        <v>4095851653</v>
      </c>
      <c r="AO50" s="1">
        <v>305374837</v>
      </c>
      <c r="AP50" s="1">
        <v>18624282</v>
      </c>
      <c r="AQ50" s="1">
        <v>77748686</v>
      </c>
      <c r="AR50" s="1">
        <v>58163100</v>
      </c>
      <c r="AS50" s="1">
        <v>459910907</v>
      </c>
      <c r="AT50" s="1">
        <f t="shared" si="9"/>
        <v>41283657</v>
      </c>
      <c r="AU50">
        <f t="shared" si="10"/>
        <v>1.132810946203443</v>
      </c>
      <c r="AV50">
        <f t="shared" si="11"/>
        <v>17.348684754754874</v>
      </c>
      <c r="AW50">
        <f t="shared" si="12"/>
        <v>267.26620911762598</v>
      </c>
      <c r="AX50">
        <f t="shared" si="13"/>
        <v>4694.0875765234423</v>
      </c>
      <c r="AY50">
        <f t="shared" si="14"/>
        <v>2007.2855622973404</v>
      </c>
      <c r="AZ50">
        <f t="shared" si="15"/>
        <v>2207.977738893966</v>
      </c>
      <c r="BA50">
        <f t="shared" si="16"/>
        <v>137.12624742795549</v>
      </c>
    </row>
    <row r="51" spans="1:53" x14ac:dyDescent="0.25">
      <c r="A51" s="1" t="s">
        <v>190</v>
      </c>
      <c r="B51" s="1" t="s">
        <v>154</v>
      </c>
      <c r="D51" s="35">
        <f t="shared" si="0"/>
        <v>24150.449000000001</v>
      </c>
      <c r="E51" s="1">
        <v>1538</v>
      </c>
      <c r="F51" s="1">
        <v>4717</v>
      </c>
      <c r="G51" s="1">
        <v>131817241</v>
      </c>
      <c r="H51" s="1">
        <v>134448</v>
      </c>
      <c r="I51" s="1">
        <v>456412</v>
      </c>
      <c r="J51" s="1">
        <v>102953</v>
      </c>
      <c r="K51" s="1">
        <v>603592</v>
      </c>
      <c r="L51" s="1">
        <v>10530351</v>
      </c>
      <c r="M51" s="1">
        <v>134395</v>
      </c>
      <c r="N51" s="1">
        <v>6308235</v>
      </c>
      <c r="O51" s="1">
        <v>928195</v>
      </c>
      <c r="P51" s="1">
        <v>88</v>
      </c>
      <c r="Q51" s="1">
        <v>79</v>
      </c>
      <c r="R51" s="1">
        <v>10667</v>
      </c>
      <c r="S51" s="1">
        <v>6243</v>
      </c>
      <c r="T51" s="1">
        <v>8069562</v>
      </c>
      <c r="U51" s="1">
        <v>281429520</v>
      </c>
      <c r="V51" s="1">
        <v>165106257</v>
      </c>
      <c r="W51" s="1">
        <v>1159544</v>
      </c>
      <c r="X51" s="1">
        <v>11548884</v>
      </c>
      <c r="Y51" s="1">
        <v>24150449</v>
      </c>
      <c r="Z51" s="1">
        <v>7101</v>
      </c>
      <c r="AA51" s="1">
        <v>9217</v>
      </c>
      <c r="AB51" s="1">
        <v>16330</v>
      </c>
      <c r="AC51" s="1">
        <v>568169559</v>
      </c>
      <c r="AD51" s="1">
        <v>152227885</v>
      </c>
      <c r="AE51" s="1">
        <v>417874</v>
      </c>
      <c r="AF51" s="1">
        <v>14218844</v>
      </c>
      <c r="AG51" s="1">
        <v>47590367</v>
      </c>
      <c r="AH51" s="1">
        <v>793263</v>
      </c>
      <c r="AI51" s="1">
        <v>246396000</v>
      </c>
      <c r="AJ51" s="1">
        <v>1029813793</v>
      </c>
      <c r="AK51" s="1">
        <v>928339966</v>
      </c>
      <c r="AL51" s="1">
        <v>61517891</v>
      </c>
      <c r="AM51" s="1">
        <v>39885732</v>
      </c>
      <c r="AN51" s="1">
        <v>1029743589</v>
      </c>
      <c r="AO51" s="1">
        <v>35414461</v>
      </c>
      <c r="AP51" s="1">
        <v>2140209</v>
      </c>
      <c r="AQ51" s="1">
        <v>10936848</v>
      </c>
      <c r="AR51" s="1">
        <v>9675516</v>
      </c>
      <c r="AS51" s="1">
        <v>58167036</v>
      </c>
      <c r="AT51" s="1">
        <f t="shared" si="9"/>
        <v>7236430</v>
      </c>
      <c r="AU51">
        <f t="shared" si="10"/>
        <v>1.7045357645046728</v>
      </c>
      <c r="AV51">
        <f t="shared" si="11"/>
        <v>42.641600286603364</v>
      </c>
      <c r="AW51">
        <f t="shared" si="12"/>
        <v>334.13714171525339</v>
      </c>
      <c r="AX51">
        <f t="shared" si="13"/>
        <v>6836.5709059901947</v>
      </c>
      <c r="AY51">
        <f t="shared" si="14"/>
        <v>5458.1693698531235</v>
      </c>
      <c r="AZ51">
        <f t="shared" si="15"/>
        <v>5953.487324397157</v>
      </c>
      <c r="BA51">
        <f t="shared" si="16"/>
        <v>436.03127213079972</v>
      </c>
    </row>
    <row r="52" spans="1:53" x14ac:dyDescent="0.25">
      <c r="A52" s="1" t="s">
        <v>191</v>
      </c>
      <c r="B52" s="1" t="s">
        <v>154</v>
      </c>
      <c r="D52" s="35">
        <f t="shared" si="0"/>
        <v>117240</v>
      </c>
      <c r="E52" s="1">
        <v>5689</v>
      </c>
      <c r="F52" s="1">
        <v>12344</v>
      </c>
      <c r="G52" s="1">
        <v>100205678</v>
      </c>
      <c r="H52" s="1">
        <v>529399</v>
      </c>
      <c r="I52" s="1">
        <v>525013</v>
      </c>
      <c r="J52" s="1">
        <v>1856438</v>
      </c>
      <c r="K52" s="1">
        <v>2522291</v>
      </c>
      <c r="L52" s="1">
        <v>9476082</v>
      </c>
      <c r="M52" s="1">
        <v>242601</v>
      </c>
      <c r="N52" s="1">
        <v>8697923</v>
      </c>
      <c r="O52" s="1">
        <v>1144486</v>
      </c>
      <c r="P52" s="1">
        <v>89</v>
      </c>
      <c r="Q52" s="1">
        <v>70</v>
      </c>
      <c r="R52" s="1">
        <v>30149</v>
      </c>
      <c r="S52" s="1">
        <v>14311</v>
      </c>
      <c r="T52" s="1">
        <v>29057323</v>
      </c>
      <c r="U52" s="1">
        <v>270853079</v>
      </c>
      <c r="V52" s="1">
        <v>565001637</v>
      </c>
      <c r="W52" s="1">
        <v>585243</v>
      </c>
      <c r="X52" s="1">
        <v>512410</v>
      </c>
      <c r="Y52" s="1">
        <v>117240000</v>
      </c>
      <c r="Z52" s="1">
        <v>11996</v>
      </c>
      <c r="AA52" s="1">
        <v>21695</v>
      </c>
      <c r="AB52" s="1">
        <v>33691</v>
      </c>
      <c r="AC52" s="1">
        <v>763669637</v>
      </c>
      <c r="AD52" s="1">
        <v>171377804</v>
      </c>
      <c r="AE52" s="1">
        <v>755071</v>
      </c>
      <c r="AF52" s="1">
        <v>19384576</v>
      </c>
      <c r="AG52" s="1">
        <v>66401657</v>
      </c>
      <c r="AH52" s="1">
        <v>33808</v>
      </c>
      <c r="AI52" s="1">
        <v>225148444</v>
      </c>
      <c r="AJ52" s="1">
        <v>1246770998</v>
      </c>
      <c r="AK52" s="1">
        <v>1136513579</v>
      </c>
      <c r="AL52" s="1">
        <v>68282473</v>
      </c>
      <c r="AM52" s="1">
        <v>33321466</v>
      </c>
      <c r="AN52" s="1">
        <v>1238117514</v>
      </c>
      <c r="AO52" s="1">
        <v>85026540</v>
      </c>
      <c r="AP52" s="1">
        <v>4192066</v>
      </c>
      <c r="AQ52" s="1">
        <v>21312794</v>
      </c>
      <c r="AR52" s="1">
        <v>19800608</v>
      </c>
      <c r="AS52" s="1">
        <v>130332009</v>
      </c>
      <c r="AT52" s="1">
        <f t="shared" si="9"/>
        <v>9842409</v>
      </c>
      <c r="AU52">
        <f t="shared" si="10"/>
        <v>0.47938459158836028</v>
      </c>
      <c r="AV52">
        <f t="shared" si="11"/>
        <v>10.634348328215626</v>
      </c>
      <c r="AW52">
        <f t="shared" si="12"/>
        <v>247.84478846809964</v>
      </c>
      <c r="AX52">
        <f t="shared" si="13"/>
        <v>4819.1883060388946</v>
      </c>
      <c r="AY52">
        <f t="shared" si="14"/>
        <v>854.7055441828727</v>
      </c>
      <c r="AZ52">
        <f t="shared" si="15"/>
        <v>983.9432105083589</v>
      </c>
      <c r="BA52">
        <f t="shared" si="16"/>
        <v>80.826356192425791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BA52"/>
  <sheetViews>
    <sheetView workbookViewId="0">
      <pane xSplit="3" ySplit="1" topLeftCell="D2" activePane="bottomRight" state="frozen"/>
      <selection activeCell="B13" sqref="B13:B14"/>
      <selection pane="topRight" activeCell="B13" sqref="B13:B14"/>
      <selection pane="bottomLeft" activeCell="B13" sqref="B13:B14"/>
      <selection pane="bottomRight" activeCell="B13" sqref="B13:B14"/>
    </sheetView>
  </sheetViews>
  <sheetFormatPr defaultRowHeight="12.5" x14ac:dyDescent="0.25"/>
  <cols>
    <col min="1" max="45" width="9.1796875" style="1" customWidth="1"/>
  </cols>
  <sheetData>
    <row r="1" spans="1:53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142</v>
      </c>
      <c r="V1" s="36" t="s">
        <v>81</v>
      </c>
      <c r="W1" s="36" t="s">
        <v>96</v>
      </c>
      <c r="X1" s="36" t="s">
        <v>97</v>
      </c>
      <c r="Y1" s="36" t="s">
        <v>82</v>
      </c>
      <c r="Z1" s="36" t="s">
        <v>83</v>
      </c>
      <c r="AA1" s="36" t="s">
        <v>84</v>
      </c>
      <c r="AB1" s="36" t="s">
        <v>85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138</v>
      </c>
      <c r="AJ1" s="36" t="s">
        <v>139</v>
      </c>
      <c r="AK1" s="36" t="s">
        <v>86</v>
      </c>
      <c r="AL1" s="36" t="s">
        <v>87</v>
      </c>
      <c r="AM1" s="36" t="s">
        <v>88</v>
      </c>
      <c r="AN1" s="36" t="s">
        <v>89</v>
      </c>
      <c r="AO1" s="36" t="s">
        <v>90</v>
      </c>
      <c r="AP1" s="36" t="s">
        <v>91</v>
      </c>
      <c r="AQ1" s="36" t="s">
        <v>92</v>
      </c>
      <c r="AR1" s="36" t="s">
        <v>93</v>
      </c>
      <c r="AS1" s="36" t="s">
        <v>94</v>
      </c>
      <c r="AT1" s="36" t="s">
        <v>286</v>
      </c>
      <c r="AU1" s="36" t="s">
        <v>287</v>
      </c>
      <c r="AV1" s="36" t="s">
        <v>288</v>
      </c>
      <c r="AW1" s="36" t="s">
        <v>289</v>
      </c>
      <c r="AX1" s="36" t="s">
        <v>290</v>
      </c>
      <c r="AY1" s="36" t="s">
        <v>291</v>
      </c>
      <c r="AZ1" s="36" t="s">
        <v>292</v>
      </c>
      <c r="BA1" s="36" t="s">
        <v>293</v>
      </c>
    </row>
    <row r="2" spans="1:53" x14ac:dyDescent="0.25">
      <c r="A2" s="1" t="s">
        <v>32</v>
      </c>
      <c r="B2" s="1" t="s">
        <v>150</v>
      </c>
      <c r="C2" s="44" t="s">
        <v>98</v>
      </c>
      <c r="D2" s="35">
        <f>+Y2/1000</f>
        <v>8413.0499999999993</v>
      </c>
      <c r="E2" s="38">
        <v>4017</v>
      </c>
      <c r="F2" s="38">
        <v>4017</v>
      </c>
      <c r="G2" s="38">
        <v>39348678</v>
      </c>
      <c r="H2" s="38">
        <v>7435</v>
      </c>
      <c r="I2" s="38"/>
      <c r="J2" s="38"/>
      <c r="K2" s="38">
        <v>4176</v>
      </c>
      <c r="L2" s="38">
        <v>462859</v>
      </c>
      <c r="M2" s="38"/>
      <c r="N2" s="38">
        <v>198804</v>
      </c>
      <c r="O2" s="38">
        <v>3300</v>
      </c>
      <c r="P2" s="38">
        <v>80</v>
      </c>
      <c r="Q2" s="38"/>
      <c r="R2" s="38"/>
      <c r="S2" s="38"/>
      <c r="T2" s="38">
        <v>752297</v>
      </c>
      <c r="U2" s="38">
        <v>14955904</v>
      </c>
      <c r="V2" s="38">
        <v>8138239</v>
      </c>
      <c r="W2" s="38">
        <v>9943</v>
      </c>
      <c r="X2" s="38">
        <v>11313</v>
      </c>
      <c r="Y2" s="72">
        <v>8413050</v>
      </c>
      <c r="Z2" s="38">
        <v>2230</v>
      </c>
      <c r="AA2" s="38">
        <v>1287</v>
      </c>
      <c r="AB2" s="38">
        <v>3517</v>
      </c>
      <c r="AC2" s="38">
        <v>3188198</v>
      </c>
      <c r="AD2" s="38">
        <v>458455</v>
      </c>
      <c r="AE2" s="38">
        <v>0</v>
      </c>
      <c r="AF2" s="38">
        <v>0</v>
      </c>
      <c r="AG2" s="38">
        <v>0</v>
      </c>
      <c r="AH2" s="38">
        <v>0</v>
      </c>
      <c r="AI2" s="38">
        <v>384791</v>
      </c>
      <c r="AJ2" s="38">
        <v>4031444</v>
      </c>
      <c r="AK2" s="38">
        <v>3575301</v>
      </c>
      <c r="AL2" s="38">
        <v>270965</v>
      </c>
      <c r="AM2" s="38">
        <v>257463</v>
      </c>
      <c r="AN2" s="38">
        <v>4103729</v>
      </c>
      <c r="AO2" s="38"/>
      <c r="AP2" s="38"/>
      <c r="AQ2" s="38"/>
      <c r="AR2" s="38"/>
      <c r="AS2" s="38"/>
      <c r="AT2" s="1">
        <f>+N2+O2</f>
        <v>202104</v>
      </c>
      <c r="AU2">
        <f>+U2/V2</f>
        <v>1.8377322170066521</v>
      </c>
      <c r="AV2">
        <f>+AJ2/Y2</f>
        <v>0.4791893546335752</v>
      </c>
      <c r="AW2">
        <f>+T2/D2</f>
        <v>89.420245927457941</v>
      </c>
      <c r="AX2">
        <f>+V2/D2</f>
        <v>967.33515193657479</v>
      </c>
      <c r="AY2">
        <f>+G2/D2</f>
        <v>4677.1002193021559</v>
      </c>
      <c r="AZ2">
        <f>SUM(G2:M2)/D2</f>
        <v>4733.497126488016</v>
      </c>
      <c r="BA2">
        <f>+L2/D2</f>
        <v>55.016789392669729</v>
      </c>
    </row>
    <row r="3" spans="1:53" x14ac:dyDescent="0.25">
      <c r="A3" s="1" t="s">
        <v>33</v>
      </c>
      <c r="B3" s="1" t="s">
        <v>150</v>
      </c>
      <c r="C3" s="44" t="s">
        <v>99</v>
      </c>
      <c r="D3" s="35">
        <f t="shared" ref="D3:D52" si="0">+Y3/1000</f>
        <v>10265.811</v>
      </c>
      <c r="E3" s="38">
        <v>6075</v>
      </c>
      <c r="F3" s="38">
        <v>7197</v>
      </c>
      <c r="G3" s="38">
        <v>53983820</v>
      </c>
      <c r="H3" s="38">
        <v>78627</v>
      </c>
      <c r="I3" s="38">
        <v>84491</v>
      </c>
      <c r="J3" s="38">
        <v>3950</v>
      </c>
      <c r="K3" s="38">
        <v>128064</v>
      </c>
      <c r="L3" s="38">
        <v>554760</v>
      </c>
      <c r="M3" s="38">
        <v>10275</v>
      </c>
      <c r="N3" s="38">
        <v>1702948</v>
      </c>
      <c r="O3" s="38">
        <v>21112</v>
      </c>
      <c r="P3" s="38">
        <v>76</v>
      </c>
      <c r="Q3" s="38">
        <v>43</v>
      </c>
      <c r="R3" s="38">
        <v>1313</v>
      </c>
      <c r="S3" s="38">
        <v>609</v>
      </c>
      <c r="T3" s="38">
        <v>1461693</v>
      </c>
      <c r="U3" s="38">
        <v>69508548</v>
      </c>
      <c r="V3" s="38">
        <v>16077888</v>
      </c>
      <c r="W3" s="38">
        <v>72445</v>
      </c>
      <c r="X3" s="38">
        <v>50789</v>
      </c>
      <c r="Y3" s="72">
        <v>10265811</v>
      </c>
      <c r="Z3" s="38">
        <v>3723</v>
      </c>
      <c r="AA3" s="38">
        <v>595</v>
      </c>
      <c r="AB3" s="38">
        <v>4318</v>
      </c>
      <c r="AC3" s="38">
        <v>13524960</v>
      </c>
      <c r="AD3" s="38">
        <v>4684327</v>
      </c>
      <c r="AE3" s="38">
        <v>9901</v>
      </c>
      <c r="AF3" s="38">
        <v>325376</v>
      </c>
      <c r="AG3" s="38">
        <v>1209216</v>
      </c>
      <c r="AH3" s="38">
        <v>345451</v>
      </c>
      <c r="AI3" s="38">
        <v>10660232</v>
      </c>
      <c r="AJ3" s="38">
        <v>30759463</v>
      </c>
      <c r="AK3" s="38">
        <v>34268975</v>
      </c>
      <c r="AL3" s="38">
        <v>2090184</v>
      </c>
      <c r="AM3" s="38">
        <v>2287435</v>
      </c>
      <c r="AN3" s="38">
        <v>38646593</v>
      </c>
      <c r="AO3" s="38">
        <v>6642746</v>
      </c>
      <c r="AP3" s="38">
        <v>0</v>
      </c>
      <c r="AQ3" s="38">
        <v>0</v>
      </c>
      <c r="AR3" s="38">
        <v>7364323</v>
      </c>
      <c r="AS3" s="38">
        <v>14007068</v>
      </c>
      <c r="AT3" s="1">
        <f t="shared" ref="AT3:AT45" si="1">+N3+O3</f>
        <v>1724060</v>
      </c>
      <c r="AU3">
        <f t="shared" ref="AU3:AU45" si="2">+U3/V3</f>
        <v>4.3232387238920928</v>
      </c>
      <c r="AV3">
        <f t="shared" ref="AV3:AV45" si="3">+AJ3/Y3</f>
        <v>2.9963013151128539</v>
      </c>
      <c r="AW3">
        <f t="shared" ref="AW3:AW45" si="4">+T3/D3</f>
        <v>142.38456172629714</v>
      </c>
      <c r="AX3">
        <f t="shared" ref="AX3:AX45" si="5">+V3/D3</f>
        <v>1566.1585821129963</v>
      </c>
      <c r="AY3">
        <f t="shared" ref="AY3:AY45" si="6">+G3/D3</f>
        <v>5258.602559505528</v>
      </c>
      <c r="AZ3">
        <f t="shared" ref="AZ3:AZ45" si="7">SUM(G3:M3)/D3</f>
        <v>5342.3920428692873</v>
      </c>
      <c r="BA3">
        <f t="shared" ref="BA3:BA45" si="8">+L3/D3</f>
        <v>54.039568817310197</v>
      </c>
    </row>
    <row r="4" spans="1:53" x14ac:dyDescent="0.25">
      <c r="A4" s="1" t="s">
        <v>34</v>
      </c>
      <c r="B4" s="1" t="s">
        <v>150</v>
      </c>
      <c r="C4" s="44" t="s">
        <v>100</v>
      </c>
      <c r="D4" s="35">
        <f t="shared" si="0"/>
        <v>1445.58</v>
      </c>
      <c r="E4" s="38">
        <v>597</v>
      </c>
      <c r="F4" s="38">
        <v>731</v>
      </c>
      <c r="G4" s="38">
        <v>10776779</v>
      </c>
      <c r="H4" s="38">
        <v>10500</v>
      </c>
      <c r="I4" s="38">
        <v>18085</v>
      </c>
      <c r="J4" s="38">
        <v>76</v>
      </c>
      <c r="K4" s="38"/>
      <c r="L4" s="38"/>
      <c r="M4" s="38"/>
      <c r="N4" s="38">
        <v>538455</v>
      </c>
      <c r="O4" s="38">
        <v>5782</v>
      </c>
      <c r="P4" s="38">
        <v>72</v>
      </c>
      <c r="Q4" s="38">
        <v>0</v>
      </c>
      <c r="R4" s="38">
        <v>146</v>
      </c>
      <c r="S4" s="38">
        <v>120</v>
      </c>
      <c r="T4" s="38">
        <v>440797</v>
      </c>
      <c r="U4" s="38">
        <v>15760713</v>
      </c>
      <c r="V4" s="38">
        <v>5875066</v>
      </c>
      <c r="W4" s="38"/>
      <c r="X4" s="38"/>
      <c r="Y4" s="72">
        <v>1445580</v>
      </c>
      <c r="Z4" s="38">
        <v>1199</v>
      </c>
      <c r="AA4" s="38">
        <v>284</v>
      </c>
      <c r="AB4" s="38">
        <v>1483</v>
      </c>
      <c r="AC4" s="38">
        <v>4381678</v>
      </c>
      <c r="AD4" s="38">
        <v>3088764</v>
      </c>
      <c r="AE4" s="38">
        <v>0</v>
      </c>
      <c r="AF4" s="38">
        <v>586754</v>
      </c>
      <c r="AG4" s="38">
        <v>0</v>
      </c>
      <c r="AH4" s="38">
        <v>0</v>
      </c>
      <c r="AI4" s="38">
        <v>1746899</v>
      </c>
      <c r="AJ4" s="38">
        <v>9804096</v>
      </c>
      <c r="AK4" s="38">
        <v>11145450</v>
      </c>
      <c r="AL4" s="38">
        <v>0</v>
      </c>
      <c r="AM4" s="38">
        <v>282547</v>
      </c>
      <c r="AN4" s="38">
        <v>11427997</v>
      </c>
      <c r="AO4" s="38">
        <v>1307838</v>
      </c>
      <c r="AP4" s="38">
        <v>0</v>
      </c>
      <c r="AQ4" s="38">
        <v>0</v>
      </c>
      <c r="AR4" s="38">
        <v>313168</v>
      </c>
      <c r="AS4" s="38">
        <v>1621006</v>
      </c>
      <c r="AT4" s="1">
        <f t="shared" si="1"/>
        <v>544237</v>
      </c>
      <c r="AU4">
        <f t="shared" si="2"/>
        <v>2.6826444162499623</v>
      </c>
      <c r="AV4">
        <f t="shared" si="3"/>
        <v>6.7821192877599303</v>
      </c>
      <c r="AW4">
        <f t="shared" si="4"/>
        <v>304.92743397113964</v>
      </c>
      <c r="AX4">
        <f t="shared" si="5"/>
        <v>4064.1583309121602</v>
      </c>
      <c r="AY4">
        <f t="shared" si="6"/>
        <v>7454.9862338991961</v>
      </c>
      <c r="AZ4">
        <f t="shared" si="7"/>
        <v>7474.8128778760083</v>
      </c>
      <c r="BA4">
        <f t="shared" si="8"/>
        <v>0</v>
      </c>
    </row>
    <row r="5" spans="1:53" x14ac:dyDescent="0.25">
      <c r="A5" s="1" t="s">
        <v>35</v>
      </c>
      <c r="B5" s="1" t="s">
        <v>150</v>
      </c>
      <c r="C5" s="44" t="s">
        <v>101</v>
      </c>
      <c r="D5" s="35">
        <f t="shared" si="0"/>
        <v>10043.244000000001</v>
      </c>
      <c r="E5" s="38">
        <v>2685</v>
      </c>
      <c r="F5" s="38">
        <v>3808</v>
      </c>
      <c r="G5" s="38">
        <v>43206541</v>
      </c>
      <c r="H5" s="38">
        <v>50863</v>
      </c>
      <c r="I5" s="38"/>
      <c r="J5" s="38"/>
      <c r="K5" s="38"/>
      <c r="L5" s="38">
        <v>1275491</v>
      </c>
      <c r="M5" s="38">
        <v>21522</v>
      </c>
      <c r="N5" s="38">
        <v>1099313</v>
      </c>
      <c r="O5" s="38">
        <v>24242</v>
      </c>
      <c r="P5" s="38"/>
      <c r="Q5" s="38"/>
      <c r="R5" s="38"/>
      <c r="S5" s="38"/>
      <c r="T5" s="38">
        <v>1460013</v>
      </c>
      <c r="U5" s="38"/>
      <c r="V5" s="38">
        <v>17248796</v>
      </c>
      <c r="W5" s="38">
        <v>17110</v>
      </c>
      <c r="X5" s="38">
        <v>48897</v>
      </c>
      <c r="Y5" s="72">
        <v>10043244</v>
      </c>
      <c r="Z5" s="38">
        <v>3549</v>
      </c>
      <c r="AA5" s="38">
        <v>2203</v>
      </c>
      <c r="AB5" s="38">
        <v>5752</v>
      </c>
      <c r="AC5" s="38">
        <v>18462337</v>
      </c>
      <c r="AD5" s="38">
        <v>5507843</v>
      </c>
      <c r="AE5" s="38">
        <v>0</v>
      </c>
      <c r="AF5" s="38">
        <v>0</v>
      </c>
      <c r="AG5" s="38">
        <v>0</v>
      </c>
      <c r="AH5" s="38">
        <v>0</v>
      </c>
      <c r="AI5" s="38">
        <v>11521748</v>
      </c>
      <c r="AJ5" s="38">
        <v>35491928</v>
      </c>
      <c r="AK5" s="38"/>
      <c r="AL5" s="38"/>
      <c r="AM5" s="38"/>
      <c r="AN5" s="38">
        <v>35491928</v>
      </c>
      <c r="AO5" s="38"/>
      <c r="AP5" s="38"/>
      <c r="AQ5" s="38"/>
      <c r="AR5" s="38"/>
      <c r="AS5" s="38"/>
      <c r="AT5" s="1">
        <f t="shared" si="1"/>
        <v>1123555</v>
      </c>
      <c r="AU5">
        <f t="shared" si="2"/>
        <v>0</v>
      </c>
      <c r="AV5">
        <f t="shared" si="3"/>
        <v>3.5339107563253465</v>
      </c>
      <c r="AW5">
        <f t="shared" si="4"/>
        <v>145.37265051013398</v>
      </c>
      <c r="AX5">
        <f t="shared" si="5"/>
        <v>1717.4526477699833</v>
      </c>
      <c r="AY5">
        <f t="shared" si="6"/>
        <v>4302.0503136237649</v>
      </c>
      <c r="AZ5">
        <f t="shared" si="7"/>
        <v>4436.2575478600338</v>
      </c>
      <c r="BA5">
        <f t="shared" si="8"/>
        <v>126.99990162541107</v>
      </c>
    </row>
    <row r="6" spans="1:53" x14ac:dyDescent="0.25">
      <c r="A6" s="1" t="s">
        <v>36</v>
      </c>
      <c r="B6" s="1" t="s">
        <v>150</v>
      </c>
      <c r="C6" s="44" t="s">
        <v>102</v>
      </c>
      <c r="D6" s="35">
        <f t="shared" si="0"/>
        <v>2470.6999999999998</v>
      </c>
      <c r="E6" s="38">
        <v>974</v>
      </c>
      <c r="F6" s="38">
        <v>974</v>
      </c>
      <c r="G6" s="38">
        <v>12877002</v>
      </c>
      <c r="H6" s="38"/>
      <c r="I6" s="38"/>
      <c r="J6" s="38"/>
      <c r="K6" s="38"/>
      <c r="L6" s="38">
        <v>157123</v>
      </c>
      <c r="M6" s="38"/>
      <c r="N6" s="38">
        <v>284154</v>
      </c>
      <c r="O6" s="38">
        <v>11900</v>
      </c>
      <c r="P6" s="38"/>
      <c r="Q6" s="38"/>
      <c r="R6" s="38"/>
      <c r="S6" s="38"/>
      <c r="T6" s="38">
        <v>524670</v>
      </c>
      <c r="U6" s="38">
        <v>19905930</v>
      </c>
      <c r="V6" s="38">
        <v>5982838</v>
      </c>
      <c r="W6" s="38">
        <v>0</v>
      </c>
      <c r="X6" s="38">
        <v>0</v>
      </c>
      <c r="Y6" s="72">
        <v>2470700</v>
      </c>
      <c r="Z6" s="38">
        <v>1850</v>
      </c>
      <c r="AA6" s="38">
        <v>613</v>
      </c>
      <c r="AB6" s="38">
        <v>2463</v>
      </c>
      <c r="AC6" s="38">
        <v>4328912</v>
      </c>
      <c r="AD6" s="38">
        <v>1072409</v>
      </c>
      <c r="AE6" s="38">
        <v>0</v>
      </c>
      <c r="AF6" s="38">
        <v>0</v>
      </c>
      <c r="AG6" s="38">
        <v>0</v>
      </c>
      <c r="AH6" s="38">
        <v>0</v>
      </c>
      <c r="AI6" s="38">
        <v>2482015</v>
      </c>
      <c r="AJ6" s="38">
        <v>7883335</v>
      </c>
      <c r="AK6" s="38">
        <v>7508172</v>
      </c>
      <c r="AL6" s="38">
        <v>11057</v>
      </c>
      <c r="AM6" s="38">
        <v>9039</v>
      </c>
      <c r="AN6" s="38">
        <v>7528268</v>
      </c>
      <c r="AO6" s="38"/>
      <c r="AP6" s="38"/>
      <c r="AQ6" s="38"/>
      <c r="AR6" s="38"/>
      <c r="AS6" s="38">
        <v>206710</v>
      </c>
      <c r="AT6" s="1">
        <f t="shared" si="1"/>
        <v>296054</v>
      </c>
      <c r="AU6">
        <f t="shared" si="2"/>
        <v>3.3271718204637999</v>
      </c>
      <c r="AV6">
        <f t="shared" si="3"/>
        <v>3.1907293479580687</v>
      </c>
      <c r="AW6">
        <f t="shared" si="4"/>
        <v>212.35682195329261</v>
      </c>
      <c r="AX6">
        <f t="shared" si="5"/>
        <v>2421.515360019428</v>
      </c>
      <c r="AY6">
        <f t="shared" si="6"/>
        <v>5211.8840814344121</v>
      </c>
      <c r="AZ6">
        <f t="shared" si="7"/>
        <v>5275.478609301008</v>
      </c>
      <c r="BA6">
        <f t="shared" si="8"/>
        <v>63.594527866596515</v>
      </c>
    </row>
    <row r="7" spans="1:53" x14ac:dyDescent="0.25">
      <c r="A7" s="1" t="s">
        <v>37</v>
      </c>
      <c r="B7" s="1" t="s">
        <v>150</v>
      </c>
      <c r="C7" s="44" t="s">
        <v>103</v>
      </c>
      <c r="D7" s="35">
        <f t="shared" si="0"/>
        <v>3650.1880000000001</v>
      </c>
      <c r="E7" s="38">
        <v>61</v>
      </c>
      <c r="F7" s="38">
        <v>1452</v>
      </c>
      <c r="G7" s="38">
        <v>22666196</v>
      </c>
      <c r="H7" s="38"/>
      <c r="I7" s="38"/>
      <c r="J7" s="38">
        <v>6969</v>
      </c>
      <c r="K7" s="38">
        <v>1094</v>
      </c>
      <c r="L7" s="38">
        <v>252007</v>
      </c>
      <c r="M7" s="38">
        <v>550</v>
      </c>
      <c r="N7" s="38">
        <v>907124</v>
      </c>
      <c r="O7" s="38">
        <v>5294</v>
      </c>
      <c r="P7" s="38">
        <v>96</v>
      </c>
      <c r="Q7" s="38"/>
      <c r="R7" s="38">
        <v>66</v>
      </c>
      <c r="S7" s="38">
        <v>0</v>
      </c>
      <c r="T7" s="38">
        <v>816629</v>
      </c>
      <c r="U7" s="38">
        <v>23519915</v>
      </c>
      <c r="V7" s="38">
        <v>8470596</v>
      </c>
      <c r="W7" s="38">
        <v>9087</v>
      </c>
      <c r="X7" s="38">
        <v>3339</v>
      </c>
      <c r="Y7" s="72">
        <v>3650188</v>
      </c>
      <c r="Z7" s="38">
        <v>3103</v>
      </c>
      <c r="AA7" s="38">
        <v>1010</v>
      </c>
      <c r="AB7" s="38">
        <v>4113</v>
      </c>
      <c r="AC7" s="38">
        <v>7580659</v>
      </c>
      <c r="AD7" s="38">
        <v>1292996</v>
      </c>
      <c r="AE7" s="38">
        <v>0</v>
      </c>
      <c r="AF7" s="38">
        <v>0</v>
      </c>
      <c r="AG7" s="38">
        <v>0</v>
      </c>
      <c r="AH7" s="38">
        <v>0</v>
      </c>
      <c r="AI7" s="38">
        <v>3707352</v>
      </c>
      <c r="AJ7" s="38">
        <v>12581006</v>
      </c>
      <c r="AK7" s="38">
        <v>12731006</v>
      </c>
      <c r="AL7" s="38">
        <v>291071</v>
      </c>
      <c r="AM7" s="38">
        <v>147078</v>
      </c>
      <c r="AN7" s="38">
        <v>13169156</v>
      </c>
      <c r="AO7" s="38"/>
      <c r="AP7" s="38"/>
      <c r="AQ7" s="38"/>
      <c r="AR7" s="38"/>
      <c r="AS7" s="38"/>
      <c r="AT7" s="1">
        <f t="shared" si="1"/>
        <v>912418</v>
      </c>
      <c r="AU7">
        <f t="shared" si="2"/>
        <v>2.7766540866781981</v>
      </c>
      <c r="AV7">
        <f t="shared" si="3"/>
        <v>3.4466734316150291</v>
      </c>
      <c r="AW7">
        <f t="shared" si="4"/>
        <v>223.72244936425193</v>
      </c>
      <c r="AX7">
        <f t="shared" si="5"/>
        <v>2320.5917065093631</v>
      </c>
      <c r="AY7">
        <f t="shared" si="6"/>
        <v>6209.5968755581898</v>
      </c>
      <c r="AZ7">
        <f t="shared" si="7"/>
        <v>6280.9959377434807</v>
      </c>
      <c r="BA7">
        <f t="shared" si="8"/>
        <v>69.039457693685918</v>
      </c>
    </row>
    <row r="8" spans="1:53" x14ac:dyDescent="0.25">
      <c r="A8" s="1" t="s">
        <v>38</v>
      </c>
      <c r="B8" s="1" t="s">
        <v>150</v>
      </c>
      <c r="C8" s="44" t="s">
        <v>104</v>
      </c>
      <c r="D8" s="35">
        <f t="shared" si="0"/>
        <v>38654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72">
        <v>38654000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1">
        <f t="shared" si="1"/>
        <v>0</v>
      </c>
      <c r="AU8" t="e">
        <f t="shared" si="2"/>
        <v>#DIV/0!</v>
      </c>
      <c r="AV8">
        <f t="shared" si="3"/>
        <v>0</v>
      </c>
      <c r="AW8">
        <f t="shared" si="4"/>
        <v>0</v>
      </c>
      <c r="AX8">
        <f t="shared" si="5"/>
        <v>0</v>
      </c>
      <c r="AY8">
        <f t="shared" si="6"/>
        <v>0</v>
      </c>
      <c r="AZ8">
        <f t="shared" si="7"/>
        <v>0</v>
      </c>
      <c r="BA8">
        <f t="shared" si="8"/>
        <v>0</v>
      </c>
    </row>
    <row r="9" spans="1:53" x14ac:dyDescent="0.25">
      <c r="A9" s="1" t="s">
        <v>39</v>
      </c>
      <c r="B9" s="1" t="s">
        <v>150</v>
      </c>
      <c r="C9" s="44" t="s">
        <v>105</v>
      </c>
      <c r="D9" s="35">
        <f t="shared" si="0"/>
        <v>22418.401999999998</v>
      </c>
      <c r="E9" s="38">
        <v>2884</v>
      </c>
      <c r="F9" s="38">
        <v>3157</v>
      </c>
      <c r="G9" s="38"/>
      <c r="H9" s="38"/>
      <c r="I9" s="38"/>
      <c r="J9" s="38"/>
      <c r="K9" s="38"/>
      <c r="L9" s="38"/>
      <c r="M9" s="38"/>
      <c r="N9" s="38"/>
      <c r="O9" s="38"/>
      <c r="P9" s="38">
        <v>63</v>
      </c>
      <c r="Q9" s="38">
        <v>8</v>
      </c>
      <c r="R9" s="38">
        <v>99</v>
      </c>
      <c r="S9" s="38"/>
      <c r="T9" s="38">
        <v>2069011</v>
      </c>
      <c r="U9" s="38">
        <v>35157339</v>
      </c>
      <c r="V9" s="38">
        <v>15952999</v>
      </c>
      <c r="W9" s="38">
        <v>3699</v>
      </c>
      <c r="X9" s="38">
        <v>4343</v>
      </c>
      <c r="Y9" s="72">
        <v>22418402</v>
      </c>
      <c r="Z9" s="38">
        <v>4216</v>
      </c>
      <c r="AA9" s="38">
        <v>765</v>
      </c>
      <c r="AB9" s="38">
        <v>4981</v>
      </c>
      <c r="AC9" s="38">
        <v>6516943</v>
      </c>
      <c r="AD9" s="38">
        <v>929459</v>
      </c>
      <c r="AE9" s="38">
        <v>2019</v>
      </c>
      <c r="AF9" s="38">
        <v>31360</v>
      </c>
      <c r="AG9" s="38">
        <v>67941</v>
      </c>
      <c r="AH9" s="38">
        <v>11527</v>
      </c>
      <c r="AI9" s="38">
        <v>1386452</v>
      </c>
      <c r="AJ9" s="38">
        <v>8945701</v>
      </c>
      <c r="AK9" s="38">
        <v>8677330</v>
      </c>
      <c r="AL9" s="38">
        <v>89457</v>
      </c>
      <c r="AM9" s="38">
        <v>178914</v>
      </c>
      <c r="AN9" s="38">
        <v>8945701</v>
      </c>
      <c r="AO9" s="38"/>
      <c r="AP9" s="38"/>
      <c r="AQ9" s="38"/>
      <c r="AR9" s="38"/>
      <c r="AS9" s="38">
        <v>1055083</v>
      </c>
      <c r="AT9" s="1">
        <f t="shared" si="1"/>
        <v>0</v>
      </c>
      <c r="AU9">
        <f t="shared" si="2"/>
        <v>2.203807509798001</v>
      </c>
      <c r="AV9">
        <f t="shared" si="3"/>
        <v>0.39903383836189571</v>
      </c>
      <c r="AW9">
        <f t="shared" si="4"/>
        <v>92.290744005750284</v>
      </c>
      <c r="AX9">
        <f t="shared" si="5"/>
        <v>711.60286089971987</v>
      </c>
      <c r="AY9">
        <f t="shared" si="6"/>
        <v>0</v>
      </c>
      <c r="AZ9">
        <f t="shared" si="7"/>
        <v>0</v>
      </c>
      <c r="BA9">
        <f t="shared" si="8"/>
        <v>0</v>
      </c>
    </row>
    <row r="10" spans="1:53" x14ac:dyDescent="0.25">
      <c r="A10" s="1" t="s">
        <v>40</v>
      </c>
      <c r="B10" s="1" t="s">
        <v>150</v>
      </c>
      <c r="C10" s="44" t="s">
        <v>106</v>
      </c>
      <c r="D10" s="35">
        <f t="shared" si="0"/>
        <v>5230.8500000000004</v>
      </c>
      <c r="E10" s="38">
        <v>2696</v>
      </c>
      <c r="F10" s="38">
        <v>3212</v>
      </c>
      <c r="G10" s="38">
        <v>19223111</v>
      </c>
      <c r="H10" s="38">
        <v>9930</v>
      </c>
      <c r="I10" s="38">
        <v>13250</v>
      </c>
      <c r="J10" s="38"/>
      <c r="K10" s="38"/>
      <c r="L10" s="38">
        <v>260767</v>
      </c>
      <c r="M10" s="38">
        <v>596</v>
      </c>
      <c r="N10" s="38">
        <v>341641</v>
      </c>
      <c r="O10" s="38">
        <v>2341</v>
      </c>
      <c r="P10" s="38">
        <v>95</v>
      </c>
      <c r="Q10" s="38">
        <v>51</v>
      </c>
      <c r="R10" s="38"/>
      <c r="S10" s="38"/>
      <c r="T10" s="38">
        <v>725993</v>
      </c>
      <c r="U10" s="38">
        <v>25421924</v>
      </c>
      <c r="V10" s="38">
        <v>7385109</v>
      </c>
      <c r="W10" s="38">
        <v>4451</v>
      </c>
      <c r="X10" s="38">
        <v>8927</v>
      </c>
      <c r="Y10" s="72">
        <v>5230850</v>
      </c>
      <c r="Z10" s="38">
        <v>1067</v>
      </c>
      <c r="AA10" s="38">
        <v>833</v>
      </c>
      <c r="AB10" s="38">
        <v>1900</v>
      </c>
      <c r="AC10" s="38">
        <v>3513882</v>
      </c>
      <c r="AD10" s="38">
        <v>795843</v>
      </c>
      <c r="AE10" s="38">
        <v>0</v>
      </c>
      <c r="AF10" s="38">
        <v>0</v>
      </c>
      <c r="AG10" s="38">
        <v>0</v>
      </c>
      <c r="AH10" s="38">
        <v>0</v>
      </c>
      <c r="AI10" s="38">
        <v>2860324</v>
      </c>
      <c r="AJ10" s="38">
        <v>7170050</v>
      </c>
      <c r="AK10" s="38">
        <v>5977069</v>
      </c>
      <c r="AL10" s="38">
        <v>491617</v>
      </c>
      <c r="AM10" s="38">
        <v>752267</v>
      </c>
      <c r="AN10" s="38">
        <v>7220953</v>
      </c>
      <c r="AO10" s="38"/>
      <c r="AP10" s="38"/>
      <c r="AQ10" s="38"/>
      <c r="AR10" s="38"/>
      <c r="AS10" s="38">
        <v>351142</v>
      </c>
      <c r="AT10" s="1">
        <f t="shared" si="1"/>
        <v>343982</v>
      </c>
      <c r="AU10">
        <f t="shared" si="2"/>
        <v>3.4423221106147519</v>
      </c>
      <c r="AV10">
        <f t="shared" si="3"/>
        <v>1.3707236873548276</v>
      </c>
      <c r="AW10">
        <f t="shared" si="4"/>
        <v>138.79063632105681</v>
      </c>
      <c r="AX10">
        <f t="shared" si="5"/>
        <v>1411.8372731009299</v>
      </c>
      <c r="AY10">
        <f t="shared" si="6"/>
        <v>3674.9497691579759</v>
      </c>
      <c r="AZ10">
        <f t="shared" si="7"/>
        <v>3729.346855673552</v>
      </c>
      <c r="BA10">
        <f t="shared" si="8"/>
        <v>49.851744936291425</v>
      </c>
    </row>
    <row r="11" spans="1:53" x14ac:dyDescent="0.25">
      <c r="A11" s="1" t="s">
        <v>41</v>
      </c>
      <c r="B11" s="1" t="s">
        <v>150</v>
      </c>
      <c r="C11" s="44" t="s">
        <v>107</v>
      </c>
      <c r="D11" s="35">
        <f t="shared" si="0"/>
        <v>1987.7550000000001</v>
      </c>
      <c r="E11" s="38">
        <v>60</v>
      </c>
      <c r="F11" s="38">
        <v>299</v>
      </c>
      <c r="G11" s="38">
        <v>6758312</v>
      </c>
      <c r="H11" s="38">
        <v>16061</v>
      </c>
      <c r="I11" s="38"/>
      <c r="J11" s="38">
        <v>13557</v>
      </c>
      <c r="K11" s="38">
        <v>670</v>
      </c>
      <c r="L11" s="38">
        <v>207786</v>
      </c>
      <c r="M11" s="38">
        <v>5411</v>
      </c>
      <c r="N11" s="38">
        <v>403706</v>
      </c>
      <c r="O11" s="38">
        <v>26483</v>
      </c>
      <c r="P11" s="38">
        <v>88</v>
      </c>
      <c r="Q11" s="38">
        <v>74</v>
      </c>
      <c r="R11" s="38">
        <v>311</v>
      </c>
      <c r="S11" s="38">
        <v>0</v>
      </c>
      <c r="T11" s="38">
        <v>461287</v>
      </c>
      <c r="U11" s="38">
        <v>16713284</v>
      </c>
      <c r="V11" s="38">
        <v>7114981</v>
      </c>
      <c r="W11" s="38">
        <v>0</v>
      </c>
      <c r="X11" s="38">
        <v>0</v>
      </c>
      <c r="Y11" s="72">
        <v>1987755</v>
      </c>
      <c r="Z11" s="38">
        <v>643</v>
      </c>
      <c r="AA11" s="38">
        <v>201</v>
      </c>
      <c r="AB11" s="38">
        <v>844</v>
      </c>
      <c r="AC11" s="38">
        <v>11334147</v>
      </c>
      <c r="AD11" s="38">
        <v>6700863</v>
      </c>
      <c r="AE11" s="38">
        <v>5399</v>
      </c>
      <c r="AF11" s="38">
        <v>177420</v>
      </c>
      <c r="AG11" s="38">
        <v>659360</v>
      </c>
      <c r="AH11" s="38">
        <v>15143</v>
      </c>
      <c r="AI11" s="38">
        <v>5812798</v>
      </c>
      <c r="AJ11" s="38">
        <v>24705130</v>
      </c>
      <c r="AK11" s="38">
        <v>22636815</v>
      </c>
      <c r="AL11" s="38">
        <v>3149833</v>
      </c>
      <c r="AM11" s="38">
        <v>1</v>
      </c>
      <c r="AN11" s="38">
        <v>25786649</v>
      </c>
      <c r="AO11" s="38"/>
      <c r="AP11" s="38"/>
      <c r="AQ11" s="38"/>
      <c r="AR11" s="38"/>
      <c r="AS11" s="38">
        <v>7301947</v>
      </c>
      <c r="AT11" s="1">
        <f t="shared" si="1"/>
        <v>430189</v>
      </c>
      <c r="AU11">
        <f t="shared" si="2"/>
        <v>2.3490272145491322</v>
      </c>
      <c r="AV11">
        <f t="shared" si="3"/>
        <v>12.428659467590322</v>
      </c>
      <c r="AW11">
        <f t="shared" si="4"/>
        <v>232.06431376100173</v>
      </c>
      <c r="AX11">
        <f t="shared" si="5"/>
        <v>3579.4054096204009</v>
      </c>
      <c r="AY11">
        <f t="shared" si="6"/>
        <v>3399.972330594062</v>
      </c>
      <c r="AZ11">
        <f t="shared" si="7"/>
        <v>3522.4647906809437</v>
      </c>
      <c r="BA11">
        <f t="shared" si="8"/>
        <v>104.53300331278251</v>
      </c>
    </row>
    <row r="12" spans="1:53" x14ac:dyDescent="0.25">
      <c r="A12" s="1" t="s">
        <v>42</v>
      </c>
      <c r="B12" s="1" t="s">
        <v>151</v>
      </c>
      <c r="C12" s="44" t="s">
        <v>108</v>
      </c>
      <c r="D12" s="35">
        <f t="shared" si="0"/>
        <v>8108.0360000000001</v>
      </c>
      <c r="E12" s="38">
        <v>1019</v>
      </c>
      <c r="F12" s="38">
        <v>1953</v>
      </c>
      <c r="G12" s="38">
        <v>9335001</v>
      </c>
      <c r="H12" s="38"/>
      <c r="I12" s="38"/>
      <c r="J12" s="38"/>
      <c r="K12" s="38"/>
      <c r="L12" s="38"/>
      <c r="M12" s="38"/>
      <c r="N12" s="38"/>
      <c r="O12" s="38"/>
      <c r="P12" s="38">
        <v>100</v>
      </c>
      <c r="Q12" s="38">
        <v>59</v>
      </c>
      <c r="R12" s="38">
        <v>332</v>
      </c>
      <c r="S12" s="38"/>
      <c r="T12" s="38">
        <v>874552</v>
      </c>
      <c r="U12" s="38">
        <v>15619720</v>
      </c>
      <c r="V12" s="38">
        <v>9541362</v>
      </c>
      <c r="W12" s="38">
        <v>20082</v>
      </c>
      <c r="X12" s="38">
        <v>22055</v>
      </c>
      <c r="Y12" s="72">
        <v>8108036</v>
      </c>
      <c r="Z12" s="38">
        <v>727</v>
      </c>
      <c r="AA12" s="38">
        <v>953</v>
      </c>
      <c r="AB12" s="38">
        <v>1680</v>
      </c>
      <c r="AC12" s="38">
        <v>23643560</v>
      </c>
      <c r="AD12" s="38">
        <v>4970318</v>
      </c>
      <c r="AE12" s="38">
        <v>19952</v>
      </c>
      <c r="AF12" s="38">
        <v>655681</v>
      </c>
      <c r="AG12" s="38">
        <v>2436750</v>
      </c>
      <c r="AH12" s="38">
        <v>55964</v>
      </c>
      <c r="AI12" s="38">
        <v>21481960</v>
      </c>
      <c r="AJ12" s="38">
        <v>53264185</v>
      </c>
      <c r="AK12" s="38"/>
      <c r="AL12" s="38"/>
      <c r="AM12" s="38"/>
      <c r="AN12" s="38">
        <v>53264136</v>
      </c>
      <c r="AO12" s="38"/>
      <c r="AP12" s="38"/>
      <c r="AQ12" s="38"/>
      <c r="AR12" s="38"/>
      <c r="AS12" s="38"/>
      <c r="AT12" s="1">
        <f t="shared" si="1"/>
        <v>0</v>
      </c>
      <c r="AU12">
        <f t="shared" si="2"/>
        <v>1.6370534940399495</v>
      </c>
      <c r="AV12">
        <f t="shared" si="3"/>
        <v>6.569307906378314</v>
      </c>
      <c r="AW12">
        <f t="shared" si="4"/>
        <v>107.8623725893669</v>
      </c>
      <c r="AX12">
        <f t="shared" si="5"/>
        <v>1176.7784454829753</v>
      </c>
      <c r="AY12">
        <f t="shared" si="6"/>
        <v>1151.3270291350457</v>
      </c>
      <c r="AZ12">
        <f t="shared" si="7"/>
        <v>1151.3270291350457</v>
      </c>
      <c r="BA12">
        <f t="shared" si="8"/>
        <v>0</v>
      </c>
    </row>
    <row r="13" spans="1:53" x14ac:dyDescent="0.25">
      <c r="A13" s="1" t="s">
        <v>318</v>
      </c>
      <c r="B13" s="1" t="s">
        <v>318</v>
      </c>
      <c r="C13" s="44" t="s">
        <v>317</v>
      </c>
      <c r="D13" s="35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72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1"/>
    </row>
    <row r="14" spans="1:53" x14ac:dyDescent="0.25">
      <c r="A14" s="1" t="s">
        <v>315</v>
      </c>
      <c r="B14" s="1" t="s">
        <v>315</v>
      </c>
      <c r="C14" s="44" t="s">
        <v>316</v>
      </c>
      <c r="D14" s="35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72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1"/>
    </row>
    <row r="15" spans="1:53" x14ac:dyDescent="0.25">
      <c r="A15" s="1" t="s">
        <v>43</v>
      </c>
      <c r="B15" s="1" t="s">
        <v>151</v>
      </c>
      <c r="C15" s="44" t="s">
        <v>109</v>
      </c>
      <c r="D15" s="35">
        <f t="shared" si="0"/>
        <v>9950.9500000000007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72">
        <v>9950950</v>
      </c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1">
        <f t="shared" si="1"/>
        <v>0</v>
      </c>
      <c r="AU15" t="e">
        <f t="shared" si="2"/>
        <v>#DIV/0!</v>
      </c>
      <c r="AV15">
        <f t="shared" si="3"/>
        <v>0</v>
      </c>
      <c r="AW15">
        <f t="shared" si="4"/>
        <v>0</v>
      </c>
      <c r="AX15">
        <f t="shared" si="5"/>
        <v>0</v>
      </c>
      <c r="AY15">
        <f t="shared" si="6"/>
        <v>0</v>
      </c>
      <c r="AZ15">
        <f t="shared" si="7"/>
        <v>0</v>
      </c>
      <c r="BA15">
        <f t="shared" si="8"/>
        <v>0</v>
      </c>
    </row>
    <row r="16" spans="1:53" x14ac:dyDescent="0.25">
      <c r="A16" s="1" t="s">
        <v>44</v>
      </c>
      <c r="B16" s="1" t="s">
        <v>151</v>
      </c>
      <c r="C16" s="44" t="s">
        <v>110</v>
      </c>
      <c r="D16" s="35">
        <f t="shared" si="0"/>
        <v>5329.9210000000003</v>
      </c>
      <c r="E16" s="38">
        <v>252</v>
      </c>
      <c r="F16" s="38">
        <v>833</v>
      </c>
      <c r="G16" s="38">
        <v>29044153</v>
      </c>
      <c r="H16" s="38"/>
      <c r="I16" s="38">
        <v>165630</v>
      </c>
      <c r="J16" s="38"/>
      <c r="K16" s="38"/>
      <c r="L16" s="38">
        <v>2604772</v>
      </c>
      <c r="M16" s="38">
        <v>60171</v>
      </c>
      <c r="N16" s="38">
        <v>1809785</v>
      </c>
      <c r="O16" s="38">
        <v>284839</v>
      </c>
      <c r="P16" s="38"/>
      <c r="Q16" s="38"/>
      <c r="R16" s="38">
        <v>2057</v>
      </c>
      <c r="S16" s="38">
        <v>1271</v>
      </c>
      <c r="T16" s="38"/>
      <c r="U16" s="38">
        <v>72996911</v>
      </c>
      <c r="V16" s="38"/>
      <c r="W16" s="38">
        <v>857317</v>
      </c>
      <c r="X16" s="38">
        <v>11171383</v>
      </c>
      <c r="Y16" s="72">
        <v>5329921</v>
      </c>
      <c r="Z16" s="38">
        <v>2367</v>
      </c>
      <c r="AA16" s="38">
        <v>2811</v>
      </c>
      <c r="AB16" s="38">
        <v>5178</v>
      </c>
      <c r="AC16" s="38">
        <v>190643299</v>
      </c>
      <c r="AD16" s="38">
        <v>46971071</v>
      </c>
      <c r="AE16" s="38">
        <v>9821</v>
      </c>
      <c r="AF16" s="38">
        <v>545796</v>
      </c>
      <c r="AG16" s="38">
        <v>1406136</v>
      </c>
      <c r="AH16" s="38">
        <v>0</v>
      </c>
      <c r="AI16" s="38">
        <v>84786094</v>
      </c>
      <c r="AJ16" s="38">
        <v>324362217</v>
      </c>
      <c r="AK16" s="38">
        <v>288098224</v>
      </c>
      <c r="AL16" s="38">
        <v>21024905</v>
      </c>
      <c r="AM16" s="38">
        <v>15239089</v>
      </c>
      <c r="AN16" s="38">
        <v>324362217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1">
        <f t="shared" si="1"/>
        <v>2094624</v>
      </c>
      <c r="AU16" t="e">
        <f t="shared" si="2"/>
        <v>#DIV/0!</v>
      </c>
      <c r="AV16">
        <f t="shared" si="3"/>
        <v>60.856852662544156</v>
      </c>
      <c r="AW16">
        <f t="shared" si="4"/>
        <v>0</v>
      </c>
      <c r="AX16">
        <f t="shared" si="5"/>
        <v>0</v>
      </c>
      <c r="AY16">
        <f t="shared" si="6"/>
        <v>5449.2651954878875</v>
      </c>
      <c r="AZ16">
        <f t="shared" si="7"/>
        <v>5980.3374196352997</v>
      </c>
      <c r="BA16">
        <f t="shared" si="8"/>
        <v>488.70743112327551</v>
      </c>
    </row>
    <row r="17" spans="1:53" x14ac:dyDescent="0.25">
      <c r="A17" s="1" t="s">
        <v>45</v>
      </c>
      <c r="B17" s="1" t="s">
        <v>151</v>
      </c>
      <c r="C17" s="44" t="s">
        <v>111</v>
      </c>
      <c r="D17" s="35">
        <f t="shared" si="0"/>
        <v>3596.5</v>
      </c>
      <c r="E17" s="38">
        <v>32</v>
      </c>
      <c r="F17" s="38">
        <v>352</v>
      </c>
      <c r="G17" s="38">
        <v>11352868</v>
      </c>
      <c r="H17" s="38"/>
      <c r="I17" s="38">
        <v>2690</v>
      </c>
      <c r="J17" s="38"/>
      <c r="K17" s="38">
        <v>16945</v>
      </c>
      <c r="L17" s="38">
        <v>292247</v>
      </c>
      <c r="M17" s="38">
        <v>2854</v>
      </c>
      <c r="N17" s="38">
        <v>847203</v>
      </c>
      <c r="O17" s="38">
        <v>34623</v>
      </c>
      <c r="P17" s="38"/>
      <c r="Q17" s="38"/>
      <c r="R17" s="38">
        <v>824</v>
      </c>
      <c r="S17" s="38"/>
      <c r="T17" s="38">
        <v>848079</v>
      </c>
      <c r="U17" s="38">
        <v>12509804</v>
      </c>
      <c r="V17" s="38"/>
      <c r="W17" s="38">
        <v>1760</v>
      </c>
      <c r="X17" s="38">
        <v>4453</v>
      </c>
      <c r="Y17" s="72">
        <v>3596500</v>
      </c>
      <c r="Z17" s="38">
        <v>259</v>
      </c>
      <c r="AA17" s="38">
        <v>1072</v>
      </c>
      <c r="AB17" s="38">
        <v>1331</v>
      </c>
      <c r="AC17" s="38">
        <v>29790269</v>
      </c>
      <c r="AD17" s="38">
        <v>7418274</v>
      </c>
      <c r="AE17" s="38">
        <v>0</v>
      </c>
      <c r="AF17" s="38">
        <v>1399241</v>
      </c>
      <c r="AG17" s="38">
        <v>6291566</v>
      </c>
      <c r="AH17" s="38">
        <v>0</v>
      </c>
      <c r="AI17" s="38">
        <v>6212494</v>
      </c>
      <c r="AJ17" s="38">
        <v>51111844</v>
      </c>
      <c r="AK17" s="38">
        <v>46893475</v>
      </c>
      <c r="AL17" s="38">
        <v>1401113</v>
      </c>
      <c r="AM17" s="38">
        <v>4977063</v>
      </c>
      <c r="AN17" s="38">
        <v>53271651</v>
      </c>
      <c r="AO17" s="38">
        <v>4916133</v>
      </c>
      <c r="AP17" s="38">
        <v>2950923</v>
      </c>
      <c r="AQ17" s="38">
        <v>1917270</v>
      </c>
      <c r="AR17" s="38">
        <v>179728</v>
      </c>
      <c r="AS17" s="38">
        <v>9964055</v>
      </c>
      <c r="AT17" s="1">
        <f t="shared" si="1"/>
        <v>881826</v>
      </c>
      <c r="AU17" t="e">
        <f t="shared" si="2"/>
        <v>#DIV/0!</v>
      </c>
      <c r="AV17">
        <f t="shared" si="3"/>
        <v>14.211551230362852</v>
      </c>
      <c r="AW17">
        <f t="shared" si="4"/>
        <v>235.80675656888641</v>
      </c>
      <c r="AX17">
        <f t="shared" si="5"/>
        <v>0</v>
      </c>
      <c r="AY17">
        <f t="shared" si="6"/>
        <v>3156.6434033087726</v>
      </c>
      <c r="AZ17">
        <f t="shared" si="7"/>
        <v>3244.1551508410953</v>
      </c>
      <c r="BA17">
        <f t="shared" si="8"/>
        <v>81.258723759210341</v>
      </c>
    </row>
    <row r="18" spans="1:53" x14ac:dyDescent="0.25">
      <c r="A18" s="1" t="s">
        <v>46</v>
      </c>
      <c r="B18" s="1" t="s">
        <v>151</v>
      </c>
      <c r="C18" s="44" t="s">
        <v>112</v>
      </c>
      <c r="D18" s="35">
        <f t="shared" si="0"/>
        <v>5134.0209999999997</v>
      </c>
      <c r="E18" s="38">
        <v>436</v>
      </c>
      <c r="F18" s="38">
        <v>1151</v>
      </c>
      <c r="G18" s="38">
        <v>36925298</v>
      </c>
      <c r="H18" s="38"/>
      <c r="I18" s="38">
        <v>96815</v>
      </c>
      <c r="J18" s="38"/>
      <c r="K18" s="38"/>
      <c r="L18" s="38">
        <v>3701060</v>
      </c>
      <c r="M18" s="38"/>
      <c r="N18" s="38">
        <v>1556934</v>
      </c>
      <c r="O18" s="38">
        <v>309806</v>
      </c>
      <c r="P18" s="38">
        <v>95</v>
      </c>
      <c r="Q18" s="38">
        <v>95</v>
      </c>
      <c r="R18" s="38">
        <v>2300</v>
      </c>
      <c r="S18" s="38"/>
      <c r="T18" s="38">
        <v>2417196</v>
      </c>
      <c r="U18" s="38">
        <v>99053526</v>
      </c>
      <c r="V18" s="38">
        <v>63764831</v>
      </c>
      <c r="W18" s="38">
        <v>184691</v>
      </c>
      <c r="X18" s="38">
        <v>192695</v>
      </c>
      <c r="Y18" s="72">
        <v>5134021</v>
      </c>
      <c r="Z18" s="38">
        <v>1500</v>
      </c>
      <c r="AA18" s="38">
        <v>2656</v>
      </c>
      <c r="AB18" s="38">
        <v>4156</v>
      </c>
      <c r="AC18" s="38">
        <v>122133979</v>
      </c>
      <c r="AD18" s="38">
        <v>38304994</v>
      </c>
      <c r="AE18" s="38">
        <v>0</v>
      </c>
      <c r="AF18" s="38">
        <v>0</v>
      </c>
      <c r="AG18" s="38">
        <v>0</v>
      </c>
      <c r="AH18" s="38">
        <v>0</v>
      </c>
      <c r="AI18" s="38">
        <v>57267942</v>
      </c>
      <c r="AJ18" s="38">
        <v>217706914</v>
      </c>
      <c r="AK18" s="38">
        <v>200177944</v>
      </c>
      <c r="AL18" s="38">
        <v>4131221</v>
      </c>
      <c r="AM18" s="38">
        <v>13397750</v>
      </c>
      <c r="AN18" s="38">
        <v>217706914</v>
      </c>
      <c r="AO18" s="38"/>
      <c r="AP18" s="38"/>
      <c r="AQ18" s="38"/>
      <c r="AR18" s="38"/>
      <c r="AS18" s="38">
        <v>28986326</v>
      </c>
      <c r="AT18" s="1">
        <f t="shared" si="1"/>
        <v>1866740</v>
      </c>
      <c r="AU18">
        <f t="shared" si="2"/>
        <v>1.553419407635535</v>
      </c>
      <c r="AV18">
        <f t="shared" si="3"/>
        <v>42.404757206875466</v>
      </c>
      <c r="AW18">
        <f t="shared" si="4"/>
        <v>470.81926622427142</v>
      </c>
      <c r="AX18">
        <f t="shared" si="5"/>
        <v>12420.056520999817</v>
      </c>
      <c r="AY18">
        <f t="shared" si="6"/>
        <v>7192.276385312799</v>
      </c>
      <c r="AZ18">
        <f t="shared" si="7"/>
        <v>7932.0230672994912</v>
      </c>
      <c r="BA18">
        <f t="shared" si="8"/>
        <v>720.88914322711184</v>
      </c>
    </row>
    <row r="19" spans="1:53" x14ac:dyDescent="0.25">
      <c r="A19" s="1" t="s">
        <v>47</v>
      </c>
      <c r="B19" s="1" t="s">
        <v>151</v>
      </c>
      <c r="C19" s="44" t="s">
        <v>113</v>
      </c>
      <c r="D19" s="35">
        <f t="shared" si="0"/>
        <v>59336.462</v>
      </c>
      <c r="E19" s="38">
        <v>3755</v>
      </c>
      <c r="F19" s="38">
        <v>3884</v>
      </c>
      <c r="G19" s="38">
        <v>137006200</v>
      </c>
      <c r="H19" s="38"/>
      <c r="I19" s="38">
        <v>213997</v>
      </c>
      <c r="J19" s="38"/>
      <c r="K19" s="38"/>
      <c r="L19" s="38">
        <v>9137500</v>
      </c>
      <c r="M19" s="38">
        <v>108890</v>
      </c>
      <c r="N19" s="38">
        <v>6868900</v>
      </c>
      <c r="O19" s="38">
        <v>910360</v>
      </c>
      <c r="P19" s="38">
        <v>73</v>
      </c>
      <c r="Q19" s="38"/>
      <c r="R19" s="38"/>
      <c r="S19" s="38"/>
      <c r="T19" s="38">
        <v>12025650</v>
      </c>
      <c r="U19" s="38">
        <v>292235000</v>
      </c>
      <c r="V19" s="38"/>
      <c r="W19" s="38">
        <v>18231</v>
      </c>
      <c r="X19" s="38">
        <v>20882</v>
      </c>
      <c r="Y19" s="72">
        <v>59336462</v>
      </c>
      <c r="Z19" s="38">
        <v>7031</v>
      </c>
      <c r="AA19" s="38">
        <v>14498</v>
      </c>
      <c r="AB19" s="38">
        <v>21529</v>
      </c>
      <c r="AC19" s="38">
        <v>606714482</v>
      </c>
      <c r="AD19" s="38">
        <v>110210671</v>
      </c>
      <c r="AE19" s="38">
        <v>438443</v>
      </c>
      <c r="AF19" s="38">
        <v>14221671</v>
      </c>
      <c r="AG19" s="38">
        <v>48622169</v>
      </c>
      <c r="AH19" s="38">
        <v>31105</v>
      </c>
      <c r="AI19" s="38">
        <v>158289670</v>
      </c>
      <c r="AJ19" s="38">
        <v>938528211</v>
      </c>
      <c r="AK19" s="38">
        <v>848654977</v>
      </c>
      <c r="AL19" s="38">
        <v>22375610</v>
      </c>
      <c r="AM19" s="38">
        <v>5153049</v>
      </c>
      <c r="AN19" s="38">
        <v>876183636</v>
      </c>
      <c r="AO19" s="38"/>
      <c r="AP19" s="38"/>
      <c r="AQ19" s="38"/>
      <c r="AR19" s="38"/>
      <c r="AS19" s="38">
        <v>251450305</v>
      </c>
      <c r="AT19" s="1">
        <f t="shared" si="1"/>
        <v>7779260</v>
      </c>
      <c r="AU19" t="e">
        <f t="shared" si="2"/>
        <v>#DIV/0!</v>
      </c>
      <c r="AV19">
        <f t="shared" si="3"/>
        <v>15.817057157873686</v>
      </c>
      <c r="AW19">
        <f t="shared" si="4"/>
        <v>202.66880758748306</v>
      </c>
      <c r="AX19">
        <f t="shared" si="5"/>
        <v>0</v>
      </c>
      <c r="AY19">
        <f t="shared" si="6"/>
        <v>2308.9715055811721</v>
      </c>
      <c r="AZ19">
        <f t="shared" si="7"/>
        <v>2468.4078231695039</v>
      </c>
      <c r="BA19">
        <f t="shared" si="8"/>
        <v>153.99468879691545</v>
      </c>
    </row>
    <row r="20" spans="1:53" x14ac:dyDescent="0.25">
      <c r="A20" s="1" t="s">
        <v>48</v>
      </c>
      <c r="B20" s="1" t="s">
        <v>151</v>
      </c>
      <c r="C20" s="44" t="s">
        <v>114</v>
      </c>
      <c r="D20" s="35">
        <f t="shared" si="0"/>
        <v>10249.5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72">
        <v>10249500</v>
      </c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1">
        <f t="shared" si="1"/>
        <v>0</v>
      </c>
      <c r="AU20" t="e">
        <f t="shared" si="2"/>
        <v>#DIV/0!</v>
      </c>
      <c r="AV20">
        <f t="shared" si="3"/>
        <v>0</v>
      </c>
      <c r="AW20">
        <f t="shared" si="4"/>
        <v>0</v>
      </c>
      <c r="AX20">
        <f t="shared" si="5"/>
        <v>0</v>
      </c>
      <c r="AY20">
        <f t="shared" si="6"/>
        <v>0</v>
      </c>
      <c r="AZ20">
        <f t="shared" si="7"/>
        <v>0</v>
      </c>
      <c r="BA20">
        <f t="shared" si="8"/>
        <v>0</v>
      </c>
    </row>
    <row r="21" spans="1:53" x14ac:dyDescent="0.25">
      <c r="A21" s="1" t="s">
        <v>49</v>
      </c>
      <c r="B21" s="1" t="s">
        <v>152</v>
      </c>
      <c r="C21" s="44" t="s">
        <v>115</v>
      </c>
      <c r="D21" s="35">
        <f t="shared" si="0"/>
        <v>255.31200000000001</v>
      </c>
      <c r="E21" s="38">
        <v>137</v>
      </c>
      <c r="F21" s="38">
        <v>143</v>
      </c>
      <c r="G21" s="38">
        <v>2065660</v>
      </c>
      <c r="H21" s="38"/>
      <c r="I21" s="38">
        <v>2087</v>
      </c>
      <c r="J21" s="38">
        <v>759</v>
      </c>
      <c r="K21" s="38">
        <v>3178</v>
      </c>
      <c r="L21" s="38">
        <v>67321</v>
      </c>
      <c r="M21" s="38">
        <v>743</v>
      </c>
      <c r="N21" s="38">
        <v>75879</v>
      </c>
      <c r="O21" s="38">
        <v>4640</v>
      </c>
      <c r="P21" s="38"/>
      <c r="Q21" s="38"/>
      <c r="R21" s="38">
        <v>31</v>
      </c>
      <c r="S21" s="38">
        <v>30</v>
      </c>
      <c r="T21" s="38">
        <v>85986</v>
      </c>
      <c r="U21" s="38">
        <v>2225001</v>
      </c>
      <c r="V21" s="38">
        <v>858380</v>
      </c>
      <c r="W21" s="38">
        <v>866</v>
      </c>
      <c r="X21" s="38">
        <v>1850</v>
      </c>
      <c r="Y21" s="72">
        <v>255312</v>
      </c>
      <c r="Z21" s="38"/>
      <c r="AA21" s="38"/>
      <c r="AB21" s="38"/>
      <c r="AC21" s="38">
        <v>4440264</v>
      </c>
      <c r="AD21" s="38">
        <v>1540094</v>
      </c>
      <c r="AE21" s="38">
        <v>0</v>
      </c>
      <c r="AF21" s="38">
        <v>87797</v>
      </c>
      <c r="AG21" s="38">
        <v>625080</v>
      </c>
      <c r="AH21" s="38">
        <v>209652</v>
      </c>
      <c r="AI21" s="38">
        <v>1159770</v>
      </c>
      <c r="AJ21" s="38">
        <v>8062657</v>
      </c>
      <c r="AK21" s="38">
        <v>7354402</v>
      </c>
      <c r="AL21" s="38">
        <v>574721</v>
      </c>
      <c r="AM21" s="38">
        <v>147973</v>
      </c>
      <c r="AN21" s="38">
        <v>8077096</v>
      </c>
      <c r="AO21" s="38"/>
      <c r="AP21" s="38"/>
      <c r="AQ21" s="38"/>
      <c r="AR21" s="38"/>
      <c r="AS21" s="38"/>
      <c r="AT21" s="1">
        <f t="shared" si="1"/>
        <v>80519</v>
      </c>
      <c r="AU21">
        <f t="shared" si="2"/>
        <v>2.592093245415783</v>
      </c>
      <c r="AV21">
        <f t="shared" si="3"/>
        <v>31.579624146142759</v>
      </c>
      <c r="AW21">
        <f t="shared" si="4"/>
        <v>336.78793006204171</v>
      </c>
      <c r="AX21">
        <f t="shared" si="5"/>
        <v>3362.0824716425391</v>
      </c>
      <c r="AY21">
        <f t="shared" si="6"/>
        <v>8090.7282070564643</v>
      </c>
      <c r="AZ21">
        <f t="shared" si="7"/>
        <v>8380.9143322679702</v>
      </c>
      <c r="BA21">
        <f t="shared" si="8"/>
        <v>263.68129974305947</v>
      </c>
    </row>
    <row r="22" spans="1:53" x14ac:dyDescent="0.25">
      <c r="A22" s="1" t="s">
        <v>50</v>
      </c>
      <c r="B22" s="1" t="s">
        <v>151</v>
      </c>
      <c r="C22" s="44" t="s">
        <v>116</v>
      </c>
      <c r="D22" s="35">
        <f t="shared" si="0"/>
        <v>57064.5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72">
        <v>57064500</v>
      </c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1">
        <f t="shared" si="1"/>
        <v>0</v>
      </c>
      <c r="AU22" t="e">
        <f t="shared" si="2"/>
        <v>#DIV/0!</v>
      </c>
      <c r="AV22">
        <f t="shared" si="3"/>
        <v>0</v>
      </c>
      <c r="AW22">
        <f t="shared" si="4"/>
        <v>0</v>
      </c>
      <c r="AX22">
        <f t="shared" si="5"/>
        <v>0</v>
      </c>
      <c r="AY22">
        <f t="shared" si="6"/>
        <v>0</v>
      </c>
      <c r="AZ22">
        <f t="shared" si="7"/>
        <v>0</v>
      </c>
      <c r="BA22">
        <f t="shared" si="8"/>
        <v>0</v>
      </c>
    </row>
    <row r="23" spans="1:53" x14ac:dyDescent="0.25">
      <c r="A23" s="1" t="s">
        <v>51</v>
      </c>
      <c r="B23" s="1" t="s">
        <v>152</v>
      </c>
      <c r="C23" s="44" t="s">
        <v>117</v>
      </c>
      <c r="D23" s="35">
        <f t="shared" si="0"/>
        <v>31.451000000000001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72">
        <v>31451</v>
      </c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1">
        <f t="shared" si="1"/>
        <v>0</v>
      </c>
      <c r="AU23" t="e">
        <f t="shared" si="2"/>
        <v>#DIV/0!</v>
      </c>
      <c r="AV23">
        <f t="shared" si="3"/>
        <v>0</v>
      </c>
      <c r="AW23">
        <f t="shared" si="4"/>
        <v>0</v>
      </c>
      <c r="AX23">
        <f t="shared" si="5"/>
        <v>0</v>
      </c>
      <c r="AY23">
        <f t="shared" si="6"/>
        <v>0</v>
      </c>
      <c r="AZ23">
        <f t="shared" si="7"/>
        <v>0</v>
      </c>
      <c r="BA23">
        <f t="shared" si="8"/>
        <v>0</v>
      </c>
    </row>
    <row r="24" spans="1:53" x14ac:dyDescent="0.25">
      <c r="A24" s="1" t="s">
        <v>52</v>
      </c>
      <c r="B24" s="1" t="s">
        <v>151</v>
      </c>
      <c r="C24" s="44" t="s">
        <v>118</v>
      </c>
      <c r="D24" s="35">
        <f t="shared" si="0"/>
        <v>404</v>
      </c>
      <c r="E24" s="38"/>
      <c r="F24" s="38"/>
      <c r="G24" s="38">
        <v>259271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>
        <v>1936</v>
      </c>
      <c r="X24" s="38">
        <v>3416</v>
      </c>
      <c r="Y24" s="72">
        <v>404000</v>
      </c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1">
        <f t="shared" si="1"/>
        <v>0</v>
      </c>
      <c r="AU24" t="e">
        <f t="shared" si="2"/>
        <v>#DIV/0!</v>
      </c>
      <c r="AV24">
        <f t="shared" si="3"/>
        <v>0</v>
      </c>
      <c r="AW24">
        <f t="shared" si="4"/>
        <v>0</v>
      </c>
      <c r="AX24">
        <f t="shared" si="5"/>
        <v>0</v>
      </c>
      <c r="AY24">
        <f t="shared" si="6"/>
        <v>641.75990099009903</v>
      </c>
      <c r="AZ24">
        <f t="shared" si="7"/>
        <v>641.75990099009903</v>
      </c>
      <c r="BA24">
        <f t="shared" si="8"/>
        <v>0</v>
      </c>
    </row>
    <row r="25" spans="1:53" x14ac:dyDescent="0.25">
      <c r="A25" s="1" t="s">
        <v>53</v>
      </c>
      <c r="B25" s="1" t="s">
        <v>151</v>
      </c>
      <c r="C25" s="44" t="s">
        <v>119</v>
      </c>
      <c r="D25" s="35">
        <f t="shared" si="0"/>
        <v>15298.5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72">
        <v>15298500</v>
      </c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1">
        <f t="shared" si="1"/>
        <v>0</v>
      </c>
      <c r="AU25" t="e">
        <f t="shared" si="2"/>
        <v>#DIV/0!</v>
      </c>
      <c r="AV25">
        <f t="shared" si="3"/>
        <v>0</v>
      </c>
      <c r="AW25">
        <f t="shared" si="4"/>
        <v>0</v>
      </c>
      <c r="AX25">
        <f t="shared" si="5"/>
        <v>0</v>
      </c>
      <c r="AY25">
        <f t="shared" si="6"/>
        <v>0</v>
      </c>
      <c r="AZ25">
        <f t="shared" si="7"/>
        <v>0</v>
      </c>
      <c r="BA25">
        <f t="shared" si="8"/>
        <v>0</v>
      </c>
    </row>
    <row r="26" spans="1:53" x14ac:dyDescent="0.25">
      <c r="A26" s="1" t="s">
        <v>54</v>
      </c>
      <c r="B26" s="1" t="s">
        <v>152</v>
      </c>
      <c r="C26" s="44" t="s">
        <v>120</v>
      </c>
      <c r="D26" s="35">
        <f t="shared" si="0"/>
        <v>4479</v>
      </c>
      <c r="E26" s="38">
        <v>435</v>
      </c>
      <c r="F26" s="38">
        <v>1094</v>
      </c>
      <c r="G26" s="38">
        <v>20787772</v>
      </c>
      <c r="H26" s="38"/>
      <c r="I26" s="38">
        <v>45232</v>
      </c>
      <c r="J26" s="38"/>
      <c r="K26" s="38"/>
      <c r="L26" s="38">
        <v>1167930</v>
      </c>
      <c r="M26" s="38">
        <v>9464</v>
      </c>
      <c r="N26" s="38">
        <v>938005</v>
      </c>
      <c r="O26" s="38">
        <v>126706</v>
      </c>
      <c r="P26" s="38"/>
      <c r="Q26" s="38">
        <v>72</v>
      </c>
      <c r="R26" s="38">
        <v>1355</v>
      </c>
      <c r="S26" s="38">
        <v>841</v>
      </c>
      <c r="T26" s="38"/>
      <c r="U26" s="38">
        <v>22999296</v>
      </c>
      <c r="V26" s="38">
        <v>21370009</v>
      </c>
      <c r="W26" s="38">
        <v>112978</v>
      </c>
      <c r="X26" s="38">
        <v>141971</v>
      </c>
      <c r="Y26" s="72">
        <v>4479000</v>
      </c>
      <c r="Z26" s="38">
        <v>947</v>
      </c>
      <c r="AA26" s="38">
        <v>969</v>
      </c>
      <c r="AB26" s="38">
        <v>1916</v>
      </c>
      <c r="AC26" s="38">
        <v>65298308</v>
      </c>
      <c r="AD26" s="38">
        <v>16077675</v>
      </c>
      <c r="AE26" s="38">
        <v>0</v>
      </c>
      <c r="AF26" s="38">
        <v>3158327</v>
      </c>
      <c r="AG26" s="38">
        <v>10036216</v>
      </c>
      <c r="AH26" s="38">
        <v>0</v>
      </c>
      <c r="AI26" s="38">
        <v>12586848</v>
      </c>
      <c r="AJ26" s="38">
        <v>107157374</v>
      </c>
      <c r="AK26" s="38">
        <v>97569837</v>
      </c>
      <c r="AL26" s="38">
        <v>7624744</v>
      </c>
      <c r="AM26" s="38">
        <v>1962793</v>
      </c>
      <c r="AN26" s="38">
        <v>107157374</v>
      </c>
      <c r="AO26" s="38"/>
      <c r="AP26" s="38"/>
      <c r="AQ26" s="38"/>
      <c r="AR26" s="38"/>
      <c r="AS26" s="38"/>
      <c r="AT26" s="1">
        <f t="shared" si="1"/>
        <v>1064711</v>
      </c>
      <c r="AU26">
        <f t="shared" si="2"/>
        <v>1.0762417554433412</v>
      </c>
      <c r="AV26">
        <f t="shared" si="3"/>
        <v>23.924396963607947</v>
      </c>
      <c r="AW26">
        <f t="shared" si="4"/>
        <v>0</v>
      </c>
      <c r="AX26">
        <f t="shared" si="5"/>
        <v>4771.156284885019</v>
      </c>
      <c r="AY26">
        <f t="shared" si="6"/>
        <v>4641.163652601027</v>
      </c>
      <c r="AZ26">
        <f t="shared" si="7"/>
        <v>4914.1321723599021</v>
      </c>
      <c r="BA26">
        <f t="shared" si="8"/>
        <v>260.75686537173476</v>
      </c>
    </row>
    <row r="27" spans="1:53" x14ac:dyDescent="0.25">
      <c r="A27" s="1" t="s">
        <v>55</v>
      </c>
      <c r="B27" s="1" t="s">
        <v>151</v>
      </c>
      <c r="C27" s="44" t="s">
        <v>121</v>
      </c>
      <c r="D27" s="35">
        <f t="shared" si="0"/>
        <v>10031.5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72">
        <v>10031500</v>
      </c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1">
        <f t="shared" si="1"/>
        <v>0</v>
      </c>
      <c r="AU27" t="e">
        <f t="shared" si="2"/>
        <v>#DIV/0!</v>
      </c>
      <c r="AV27">
        <f t="shared" si="3"/>
        <v>0</v>
      </c>
      <c r="AW27">
        <f t="shared" si="4"/>
        <v>0</v>
      </c>
      <c r="AX27">
        <f t="shared" si="5"/>
        <v>0</v>
      </c>
      <c r="AY27">
        <f t="shared" si="6"/>
        <v>0</v>
      </c>
      <c r="AZ27">
        <f t="shared" si="7"/>
        <v>0</v>
      </c>
      <c r="BA27">
        <f t="shared" si="8"/>
        <v>0</v>
      </c>
    </row>
    <row r="28" spans="1:53" x14ac:dyDescent="0.25">
      <c r="A28" s="1" t="s">
        <v>56</v>
      </c>
      <c r="B28" s="1" t="s">
        <v>151</v>
      </c>
      <c r="C28" s="44" t="s">
        <v>122</v>
      </c>
      <c r="D28" s="35">
        <f t="shared" si="0"/>
        <v>38731.5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72">
        <v>38731500</v>
      </c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1">
        <f t="shared" si="1"/>
        <v>0</v>
      </c>
      <c r="AU28" t="e">
        <f t="shared" si="2"/>
        <v>#DIV/0!</v>
      </c>
      <c r="AV28">
        <f t="shared" si="3"/>
        <v>0</v>
      </c>
      <c r="AW28">
        <f t="shared" si="4"/>
        <v>0</v>
      </c>
      <c r="AX28">
        <f t="shared" si="5"/>
        <v>0</v>
      </c>
      <c r="AY28">
        <f t="shared" si="6"/>
        <v>0</v>
      </c>
      <c r="AZ28">
        <f t="shared" si="7"/>
        <v>0</v>
      </c>
      <c r="BA28">
        <f t="shared" si="8"/>
        <v>0</v>
      </c>
    </row>
    <row r="29" spans="1:53" x14ac:dyDescent="0.25">
      <c r="A29" s="1" t="s">
        <v>57</v>
      </c>
      <c r="B29" s="1" t="s">
        <v>151</v>
      </c>
      <c r="C29" s="44" t="s">
        <v>123</v>
      </c>
      <c r="D29" s="35">
        <f t="shared" si="0"/>
        <v>8861.7260000000006</v>
      </c>
      <c r="E29" s="38">
        <v>289</v>
      </c>
      <c r="F29" s="38">
        <v>1590</v>
      </c>
      <c r="G29" s="38">
        <v>43996377</v>
      </c>
      <c r="H29" s="38">
        <v>67998</v>
      </c>
      <c r="I29" s="38">
        <v>105862</v>
      </c>
      <c r="J29" s="38">
        <v>0</v>
      </c>
      <c r="K29" s="38">
        <v>0</v>
      </c>
      <c r="L29" s="38">
        <v>2565045</v>
      </c>
      <c r="M29" s="38"/>
      <c r="N29" s="38">
        <v>1997865</v>
      </c>
      <c r="O29" s="38"/>
      <c r="P29" s="38">
        <v>87</v>
      </c>
      <c r="Q29" s="38"/>
      <c r="R29" s="38"/>
      <c r="S29" s="38"/>
      <c r="T29" s="38"/>
      <c r="U29" s="38">
        <v>80861726</v>
      </c>
      <c r="V29" s="38">
        <v>47508612</v>
      </c>
      <c r="W29" s="38">
        <v>0</v>
      </c>
      <c r="X29" s="38">
        <v>0</v>
      </c>
      <c r="Y29" s="72">
        <v>8861726</v>
      </c>
      <c r="Z29" s="38">
        <v>2304</v>
      </c>
      <c r="AA29" s="38">
        <v>2587</v>
      </c>
      <c r="AB29" s="38">
        <v>4891</v>
      </c>
      <c r="AC29" s="38">
        <v>156858000</v>
      </c>
      <c r="AD29" s="38">
        <v>41585000</v>
      </c>
      <c r="AE29" s="38">
        <v>304422</v>
      </c>
      <c r="AF29" s="38">
        <v>9874446</v>
      </c>
      <c r="AG29" s="38">
        <v>33759535</v>
      </c>
      <c r="AH29" s="38">
        <v>21597</v>
      </c>
      <c r="AI29" s="38">
        <v>79896000</v>
      </c>
      <c r="AJ29" s="38">
        <v>322299000</v>
      </c>
      <c r="AK29" s="38"/>
      <c r="AL29" s="38"/>
      <c r="AM29" s="38"/>
      <c r="AN29" s="38">
        <v>322299000</v>
      </c>
      <c r="AO29" s="38"/>
      <c r="AP29" s="38"/>
      <c r="AQ29" s="38"/>
      <c r="AR29" s="38"/>
      <c r="AS29" s="38">
        <v>13466000</v>
      </c>
      <c r="AT29" s="1">
        <f t="shared" si="1"/>
        <v>1997865</v>
      </c>
      <c r="AU29">
        <f t="shared" si="2"/>
        <v>1.702043536864432</v>
      </c>
      <c r="AV29">
        <f t="shared" si="3"/>
        <v>36.369777174333755</v>
      </c>
      <c r="AW29">
        <f t="shared" si="4"/>
        <v>0</v>
      </c>
      <c r="AX29">
        <f t="shared" si="5"/>
        <v>5361.1014378011687</v>
      </c>
      <c r="AY29">
        <f t="shared" si="6"/>
        <v>4964.7638620286834</v>
      </c>
      <c r="AZ29">
        <f t="shared" si="7"/>
        <v>5273.8351422736378</v>
      </c>
      <c r="BA29">
        <f t="shared" si="8"/>
        <v>289.45207739440372</v>
      </c>
    </row>
    <row r="30" spans="1:53" x14ac:dyDescent="0.25">
      <c r="A30" s="1" t="s">
        <v>58</v>
      </c>
      <c r="B30" s="1" t="s">
        <v>152</v>
      </c>
      <c r="C30" s="44" t="s">
        <v>124</v>
      </c>
      <c r="D30" s="35">
        <f t="shared" si="0"/>
        <v>7200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72">
        <v>7200000</v>
      </c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1">
        <f t="shared" si="1"/>
        <v>0</v>
      </c>
      <c r="AU30" t="e">
        <f t="shared" si="2"/>
        <v>#DIV/0!</v>
      </c>
      <c r="AV30">
        <f t="shared" si="3"/>
        <v>0</v>
      </c>
      <c r="AW30">
        <f t="shared" si="4"/>
        <v>0</v>
      </c>
      <c r="AX30">
        <f t="shared" si="5"/>
        <v>0</v>
      </c>
      <c r="AY30">
        <f t="shared" si="6"/>
        <v>0</v>
      </c>
      <c r="AZ30">
        <f t="shared" si="7"/>
        <v>0</v>
      </c>
      <c r="BA30">
        <f t="shared" si="8"/>
        <v>0</v>
      </c>
    </row>
    <row r="31" spans="1:53" x14ac:dyDescent="0.25">
      <c r="A31" s="1" t="s">
        <v>59</v>
      </c>
      <c r="B31" s="1" t="s">
        <v>151</v>
      </c>
      <c r="C31" s="44" t="s">
        <v>125</v>
      </c>
      <c r="D31" s="35">
        <f t="shared" si="0"/>
        <v>59497.2</v>
      </c>
      <c r="E31" s="38">
        <v>208</v>
      </c>
      <c r="F31" s="38">
        <v>4630</v>
      </c>
      <c r="G31" s="38">
        <v>121362000</v>
      </c>
      <c r="H31" s="38">
        <v>74000</v>
      </c>
      <c r="I31" s="38">
        <v>110000</v>
      </c>
      <c r="J31" s="38">
        <v>93000</v>
      </c>
      <c r="K31" s="38">
        <v>7528000</v>
      </c>
      <c r="L31" s="38">
        <v>7435000</v>
      </c>
      <c r="M31" s="38">
        <v>76600</v>
      </c>
      <c r="N31" s="38">
        <v>10787000</v>
      </c>
      <c r="O31" s="38">
        <v>1453000</v>
      </c>
      <c r="P31" s="38">
        <v>89</v>
      </c>
      <c r="Q31" s="38"/>
      <c r="R31" s="38">
        <v>14500</v>
      </c>
      <c r="S31" s="38">
        <v>6000</v>
      </c>
      <c r="T31" s="38">
        <v>34508000</v>
      </c>
      <c r="U31" s="38">
        <v>467843000</v>
      </c>
      <c r="V31" s="38">
        <v>331299000</v>
      </c>
      <c r="W31" s="38">
        <v>0</v>
      </c>
      <c r="X31" s="38">
        <v>0</v>
      </c>
      <c r="Y31" s="72">
        <v>59497200</v>
      </c>
      <c r="Z31" s="38">
        <v>6335</v>
      </c>
      <c r="AA31" s="38">
        <v>19356</v>
      </c>
      <c r="AB31" s="38">
        <v>25691</v>
      </c>
      <c r="AC31" s="38">
        <v>693302534</v>
      </c>
      <c r="AD31" s="38">
        <v>176074516</v>
      </c>
      <c r="AE31" s="38">
        <v>1321908</v>
      </c>
      <c r="AF31" s="38">
        <v>42631893</v>
      </c>
      <c r="AG31" s="38">
        <v>145983607</v>
      </c>
      <c r="AH31" s="38">
        <v>0</v>
      </c>
      <c r="AI31" s="38">
        <v>204952308</v>
      </c>
      <c r="AJ31" s="38">
        <v>1264266766</v>
      </c>
      <c r="AK31" s="38">
        <v>1144323119</v>
      </c>
      <c r="AL31" s="38">
        <v>68038224</v>
      </c>
      <c r="AM31" s="38">
        <v>51801821</v>
      </c>
      <c r="AN31" s="38">
        <v>1264163164</v>
      </c>
      <c r="AO31" s="38">
        <v>38615499</v>
      </c>
      <c r="AP31" s="38">
        <v>3226528</v>
      </c>
      <c r="AQ31" s="38">
        <v>16117735</v>
      </c>
      <c r="AR31" s="38">
        <v>4376903</v>
      </c>
      <c r="AS31" s="38">
        <v>62336665</v>
      </c>
      <c r="AT31" s="1">
        <f t="shared" si="1"/>
        <v>12240000</v>
      </c>
      <c r="AU31">
        <f t="shared" si="2"/>
        <v>1.412147335186644</v>
      </c>
      <c r="AV31">
        <f t="shared" si="3"/>
        <v>21.249180902630712</v>
      </c>
      <c r="AW31">
        <f t="shared" si="4"/>
        <v>579.99368037487477</v>
      </c>
      <c r="AX31">
        <f t="shared" si="5"/>
        <v>5568.312458401404</v>
      </c>
      <c r="AY31">
        <f t="shared" si="6"/>
        <v>2039.7934692725037</v>
      </c>
      <c r="AZ31">
        <f t="shared" si="7"/>
        <v>2297.2274325514477</v>
      </c>
      <c r="BA31">
        <f t="shared" si="8"/>
        <v>124.96386384569358</v>
      </c>
    </row>
    <row r="32" spans="1:53" x14ac:dyDescent="0.25">
      <c r="A32" s="1" t="s">
        <v>60</v>
      </c>
      <c r="B32" s="1" t="s">
        <v>151</v>
      </c>
      <c r="C32" s="44" t="s">
        <v>126</v>
      </c>
      <c r="D32" s="35">
        <f t="shared" si="0"/>
        <v>82037.010999999999</v>
      </c>
      <c r="E32" s="38">
        <v>9734</v>
      </c>
      <c r="F32" s="38">
        <v>11817</v>
      </c>
      <c r="G32" s="38">
        <v>112952789</v>
      </c>
      <c r="H32" s="38"/>
      <c r="I32" s="38">
        <v>145879</v>
      </c>
      <c r="J32" s="38"/>
      <c r="K32" s="38"/>
      <c r="L32" s="38">
        <v>9673616</v>
      </c>
      <c r="M32" s="38"/>
      <c r="N32" s="38"/>
      <c r="O32" s="38"/>
      <c r="P32" s="38">
        <v>94</v>
      </c>
      <c r="Q32" s="38"/>
      <c r="R32" s="38"/>
      <c r="S32" s="38"/>
      <c r="T32" s="38">
        <v>9169553</v>
      </c>
      <c r="U32" s="38">
        <v>319809368</v>
      </c>
      <c r="V32" s="38"/>
      <c r="W32" s="38">
        <v>382293</v>
      </c>
      <c r="X32" s="38">
        <v>419847</v>
      </c>
      <c r="Y32" s="72">
        <v>82037011</v>
      </c>
      <c r="Z32" s="38">
        <v>8738</v>
      </c>
      <c r="AA32" s="38">
        <v>7227</v>
      </c>
      <c r="AB32" s="38">
        <v>15965</v>
      </c>
      <c r="AC32" s="38">
        <v>484765248</v>
      </c>
      <c r="AD32" s="38">
        <v>90151835</v>
      </c>
      <c r="AE32" s="38">
        <v>0</v>
      </c>
      <c r="AF32" s="38">
        <v>0</v>
      </c>
      <c r="AG32" s="38">
        <v>0</v>
      </c>
      <c r="AH32" s="38">
        <v>0</v>
      </c>
      <c r="AI32" s="38">
        <v>146972098</v>
      </c>
      <c r="AJ32" s="38">
        <v>721889181</v>
      </c>
      <c r="AK32" s="38">
        <v>647722683</v>
      </c>
      <c r="AL32" s="38">
        <v>42999775</v>
      </c>
      <c r="AM32" s="38">
        <v>31166723</v>
      </c>
      <c r="AN32" s="38">
        <v>721889181</v>
      </c>
      <c r="AO32" s="38"/>
      <c r="AP32" s="38"/>
      <c r="AQ32" s="38"/>
      <c r="AR32" s="38"/>
      <c r="AS32" s="38">
        <v>43655271</v>
      </c>
      <c r="AT32" s="1">
        <f t="shared" si="1"/>
        <v>0</v>
      </c>
      <c r="AU32" t="e">
        <f t="shared" si="2"/>
        <v>#DIV/0!</v>
      </c>
      <c r="AV32">
        <f t="shared" si="3"/>
        <v>8.7995548862695649</v>
      </c>
      <c r="AW32">
        <f t="shared" si="4"/>
        <v>111.77336775470769</v>
      </c>
      <c r="AX32">
        <f t="shared" si="5"/>
        <v>0</v>
      </c>
      <c r="AY32">
        <f t="shared" si="6"/>
        <v>1376.8515895831456</v>
      </c>
      <c r="AZ32">
        <f t="shared" si="7"/>
        <v>1496.5475034189142</v>
      </c>
      <c r="BA32">
        <f t="shared" si="8"/>
        <v>117.91770424205241</v>
      </c>
    </row>
    <row r="33" spans="1:53" x14ac:dyDescent="0.25">
      <c r="A33" s="1" t="s">
        <v>61</v>
      </c>
      <c r="B33" s="1" t="s">
        <v>158</v>
      </c>
      <c r="C33" s="44" t="s">
        <v>127</v>
      </c>
      <c r="D33" s="35">
        <f t="shared" si="0"/>
        <v>269996</v>
      </c>
      <c r="E33" s="38">
        <v>9047</v>
      </c>
      <c r="F33" s="38">
        <v>16219</v>
      </c>
      <c r="G33" s="38"/>
      <c r="H33" s="38"/>
      <c r="I33" s="38"/>
      <c r="J33" s="38">
        <v>0</v>
      </c>
      <c r="K33" s="38"/>
      <c r="L33" s="38"/>
      <c r="M33" s="38"/>
      <c r="N33" s="38"/>
      <c r="O33" s="38"/>
      <c r="P33" s="38">
        <v>100</v>
      </c>
      <c r="Q33" s="38"/>
      <c r="R33" s="38"/>
      <c r="S33" s="38"/>
      <c r="T33" s="38"/>
      <c r="U33" s="38"/>
      <c r="V33" s="38"/>
      <c r="W33" s="38">
        <v>1389158</v>
      </c>
      <c r="X33" s="38">
        <v>7044065</v>
      </c>
      <c r="Y33" s="72">
        <v>269996000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1">
        <f t="shared" si="1"/>
        <v>0</v>
      </c>
      <c r="AU33" t="e">
        <f t="shared" si="2"/>
        <v>#DIV/0!</v>
      </c>
      <c r="AV33">
        <f t="shared" si="3"/>
        <v>0</v>
      </c>
      <c r="AW33">
        <f t="shared" si="4"/>
        <v>0</v>
      </c>
      <c r="AX33">
        <f t="shared" si="5"/>
        <v>0</v>
      </c>
      <c r="AY33">
        <f t="shared" si="6"/>
        <v>0</v>
      </c>
      <c r="AZ33">
        <f t="shared" si="7"/>
        <v>0</v>
      </c>
      <c r="BA33">
        <f t="shared" si="8"/>
        <v>0</v>
      </c>
    </row>
    <row r="34" spans="1:53" x14ac:dyDescent="0.25">
      <c r="A34" s="1" t="s">
        <v>62</v>
      </c>
      <c r="B34" s="1" t="s">
        <v>159</v>
      </c>
      <c r="C34" s="44" t="s">
        <v>128</v>
      </c>
      <c r="D34" s="35">
        <f t="shared" si="0"/>
        <v>65913.096000000005</v>
      </c>
      <c r="E34" s="38">
        <v>1373</v>
      </c>
      <c r="F34" s="38"/>
      <c r="G34" s="38">
        <v>11930929</v>
      </c>
      <c r="H34" s="38"/>
      <c r="I34" s="38">
        <v>100</v>
      </c>
      <c r="J34" s="38">
        <v>157823</v>
      </c>
      <c r="K34" s="38">
        <v>6057</v>
      </c>
      <c r="L34" s="38">
        <v>106859</v>
      </c>
      <c r="M34" s="38">
        <v>387</v>
      </c>
      <c r="N34" s="38"/>
      <c r="O34" s="38"/>
      <c r="P34" s="38"/>
      <c r="Q34" s="38">
        <v>11</v>
      </c>
      <c r="R34" s="38"/>
      <c r="S34" s="38"/>
      <c r="T34" s="38">
        <v>398723</v>
      </c>
      <c r="U34" s="38">
        <v>4117786</v>
      </c>
      <c r="V34" s="38">
        <v>20732712</v>
      </c>
      <c r="W34" s="38">
        <v>9213</v>
      </c>
      <c r="X34" s="38">
        <v>46715</v>
      </c>
      <c r="Y34" s="72">
        <v>65913096</v>
      </c>
      <c r="Z34" s="38">
        <v>278</v>
      </c>
      <c r="AA34" s="38">
        <v>2789</v>
      </c>
      <c r="AB34" s="38">
        <v>3067</v>
      </c>
      <c r="AC34" s="38">
        <v>12277877</v>
      </c>
      <c r="AD34" s="38">
        <v>0</v>
      </c>
      <c r="AE34" s="38">
        <v>0</v>
      </c>
      <c r="AF34" s="38">
        <v>111902</v>
      </c>
      <c r="AG34" s="38">
        <v>14751424</v>
      </c>
      <c r="AH34" s="38">
        <v>3156109</v>
      </c>
      <c r="AI34" s="38">
        <v>0</v>
      </c>
      <c r="AJ34" s="38">
        <v>30297311</v>
      </c>
      <c r="AK34" s="38"/>
      <c r="AL34" s="38"/>
      <c r="AM34" s="38"/>
      <c r="AN34" s="38"/>
      <c r="AO34" s="38"/>
      <c r="AP34" s="38"/>
      <c r="AQ34" s="38"/>
      <c r="AR34" s="38"/>
      <c r="AS34" s="38"/>
      <c r="AT34" s="1">
        <f t="shared" si="1"/>
        <v>0</v>
      </c>
      <c r="AU34">
        <f t="shared" si="2"/>
        <v>0.19861299380418732</v>
      </c>
      <c r="AV34">
        <f t="shared" si="3"/>
        <v>0.45965540747774919</v>
      </c>
      <c r="AW34">
        <f t="shared" si="4"/>
        <v>6.0492227523343765</v>
      </c>
      <c r="AX34">
        <f t="shared" si="5"/>
        <v>314.54617152257572</v>
      </c>
      <c r="AY34">
        <f t="shared" si="6"/>
        <v>181.00999230866046</v>
      </c>
      <c r="AZ34">
        <f t="shared" si="7"/>
        <v>185.12489536222057</v>
      </c>
      <c r="BA34">
        <f t="shared" si="8"/>
        <v>1.6212104495895625</v>
      </c>
    </row>
    <row r="35" spans="1:53" x14ac:dyDescent="0.25">
      <c r="A35" s="1" t="s">
        <v>63</v>
      </c>
      <c r="B35" s="1" t="s">
        <v>158</v>
      </c>
      <c r="C35" s="44" t="s">
        <v>129</v>
      </c>
      <c r="D35" s="35">
        <f t="shared" si="0"/>
        <v>18923.835999999999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72">
        <v>18923836</v>
      </c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1">
        <f t="shared" si="1"/>
        <v>0</v>
      </c>
      <c r="AU35" t="e">
        <f t="shared" si="2"/>
        <v>#DIV/0!</v>
      </c>
      <c r="AV35">
        <f t="shared" si="3"/>
        <v>0</v>
      </c>
      <c r="AW35">
        <f t="shared" si="4"/>
        <v>0</v>
      </c>
      <c r="AX35">
        <f t="shared" si="5"/>
        <v>0</v>
      </c>
      <c r="AY35">
        <f t="shared" si="6"/>
        <v>0</v>
      </c>
      <c r="AZ35">
        <f t="shared" si="7"/>
        <v>0</v>
      </c>
      <c r="BA35">
        <f t="shared" si="8"/>
        <v>0</v>
      </c>
    </row>
    <row r="36" spans="1:53" x14ac:dyDescent="0.25">
      <c r="A36" s="1" t="s">
        <v>64</v>
      </c>
      <c r="B36" s="1" t="s">
        <v>158</v>
      </c>
      <c r="C36" s="44" t="s">
        <v>130</v>
      </c>
      <c r="D36" s="35">
        <f t="shared" si="0"/>
        <v>125860</v>
      </c>
      <c r="E36" s="38">
        <v>1673</v>
      </c>
      <c r="F36" s="38">
        <v>2613</v>
      </c>
      <c r="G36" s="38">
        <v>284714000</v>
      </c>
      <c r="H36" s="38"/>
      <c r="I36" s="38"/>
      <c r="J36" s="38"/>
      <c r="K36" s="38"/>
      <c r="L36" s="38"/>
      <c r="M36" s="38"/>
      <c r="N36" s="38">
        <v>19297000</v>
      </c>
      <c r="O36" s="38"/>
      <c r="P36" s="38"/>
      <c r="Q36" s="38"/>
      <c r="R36" s="38"/>
      <c r="S36" s="38"/>
      <c r="T36" s="38">
        <v>36964000</v>
      </c>
      <c r="U36" s="38">
        <v>523341000</v>
      </c>
      <c r="V36" s="38"/>
      <c r="W36" s="38">
        <v>955997</v>
      </c>
      <c r="X36" s="38">
        <v>4847618</v>
      </c>
      <c r="Y36" s="72">
        <v>125860000</v>
      </c>
      <c r="Z36" s="38">
        <v>11462</v>
      </c>
      <c r="AA36" s="38">
        <v>14979</v>
      </c>
      <c r="AB36" s="38">
        <v>26441</v>
      </c>
      <c r="AC36" s="38">
        <v>716234298</v>
      </c>
      <c r="AD36" s="38">
        <v>325613108</v>
      </c>
      <c r="AE36" s="38">
        <v>13913</v>
      </c>
      <c r="AF36" s="38">
        <v>773215</v>
      </c>
      <c r="AG36" s="38">
        <v>1992036</v>
      </c>
      <c r="AH36" s="38">
        <v>283763</v>
      </c>
      <c r="AI36" s="38">
        <v>120114267</v>
      </c>
      <c r="AJ36" s="38">
        <v>1165024601</v>
      </c>
      <c r="AK36" s="38"/>
      <c r="AL36" s="38"/>
      <c r="AM36" s="38"/>
      <c r="AN36" s="38"/>
      <c r="AO36" s="38"/>
      <c r="AP36" s="38"/>
      <c r="AQ36" s="38"/>
      <c r="AR36" s="38"/>
      <c r="AS36" s="38"/>
      <c r="AT36" s="1">
        <f t="shared" si="1"/>
        <v>19297000</v>
      </c>
      <c r="AU36" t="e">
        <f t="shared" si="2"/>
        <v>#DIV/0!</v>
      </c>
      <c r="AV36">
        <f t="shared" si="3"/>
        <v>9.2565120054028291</v>
      </c>
      <c r="AW36">
        <f t="shared" si="4"/>
        <v>293.69140314635308</v>
      </c>
      <c r="AX36">
        <f t="shared" si="5"/>
        <v>0</v>
      </c>
      <c r="AY36">
        <f t="shared" si="6"/>
        <v>2262.1484188781187</v>
      </c>
      <c r="AZ36">
        <f t="shared" si="7"/>
        <v>2262.1484188781187</v>
      </c>
      <c r="BA36">
        <f t="shared" si="8"/>
        <v>0</v>
      </c>
    </row>
    <row r="37" spans="1:53" x14ac:dyDescent="0.25">
      <c r="A37" s="1" t="s">
        <v>143</v>
      </c>
      <c r="B37" s="1" t="s">
        <v>158</v>
      </c>
      <c r="C37" s="1" t="s">
        <v>146</v>
      </c>
      <c r="D37" s="35">
        <f t="shared" si="0"/>
        <v>48361</v>
      </c>
      <c r="Y37" s="72">
        <v>48361000</v>
      </c>
      <c r="AT37" s="1">
        <f t="shared" si="1"/>
        <v>0</v>
      </c>
      <c r="AU37" t="e">
        <f t="shared" si="2"/>
        <v>#DIV/0!</v>
      </c>
      <c r="AV37">
        <f t="shared" si="3"/>
        <v>0</v>
      </c>
      <c r="AW37">
        <f t="shared" si="4"/>
        <v>0</v>
      </c>
      <c r="AX37">
        <f t="shared" si="5"/>
        <v>0</v>
      </c>
      <c r="AY37">
        <f t="shared" si="6"/>
        <v>0</v>
      </c>
      <c r="AZ37">
        <f t="shared" si="7"/>
        <v>0</v>
      </c>
      <c r="BA37">
        <f t="shared" si="8"/>
        <v>0</v>
      </c>
    </row>
    <row r="38" spans="1:53" x14ac:dyDescent="0.25">
      <c r="A38" s="1" t="s">
        <v>144</v>
      </c>
      <c r="B38" s="1" t="s">
        <v>158</v>
      </c>
      <c r="C38" s="1" t="s">
        <v>147</v>
      </c>
      <c r="D38" s="35">
        <f t="shared" si="0"/>
        <v>31187</v>
      </c>
      <c r="E38" s="1">
        <v>2739</v>
      </c>
      <c r="F38" s="1">
        <v>910</v>
      </c>
      <c r="G38" s="1">
        <v>75032608</v>
      </c>
      <c r="I38" s="1">
        <v>150814</v>
      </c>
      <c r="U38" s="1">
        <v>331565367</v>
      </c>
      <c r="Y38" s="72">
        <v>31187000</v>
      </c>
      <c r="Z38" s="1">
        <v>6733</v>
      </c>
      <c r="AA38" s="1">
        <v>6616</v>
      </c>
      <c r="AB38" s="1">
        <v>13349</v>
      </c>
      <c r="AC38" s="1">
        <v>337981271</v>
      </c>
      <c r="AD38" s="1">
        <v>73056101</v>
      </c>
      <c r="AE38" s="1">
        <v>0</v>
      </c>
      <c r="AF38" s="1">
        <v>0</v>
      </c>
      <c r="AG38" s="1">
        <v>0</v>
      </c>
      <c r="AH38" s="1">
        <v>0</v>
      </c>
      <c r="AI38" s="1">
        <v>109699443</v>
      </c>
      <c r="AJ38" s="1">
        <v>520736815</v>
      </c>
      <c r="AN38" s="1">
        <v>520736815</v>
      </c>
      <c r="AS38" s="1">
        <v>25891357</v>
      </c>
      <c r="AT38" s="1">
        <f t="shared" si="1"/>
        <v>0</v>
      </c>
      <c r="AU38" t="e">
        <f t="shared" si="2"/>
        <v>#DIV/0!</v>
      </c>
      <c r="AV38">
        <f t="shared" si="3"/>
        <v>16.697239715265976</v>
      </c>
      <c r="AW38">
        <f t="shared" si="4"/>
        <v>0</v>
      </c>
      <c r="AX38">
        <f t="shared" si="5"/>
        <v>0</v>
      </c>
      <c r="AY38">
        <f t="shared" si="6"/>
        <v>2405.893737775355</v>
      </c>
      <c r="AZ38">
        <f t="shared" si="7"/>
        <v>2410.72953474204</v>
      </c>
      <c r="BA38">
        <f t="shared" si="8"/>
        <v>0</v>
      </c>
    </row>
    <row r="39" spans="1:53" x14ac:dyDescent="0.25">
      <c r="A39" s="1" t="s">
        <v>145</v>
      </c>
      <c r="B39" s="1" t="s">
        <v>158</v>
      </c>
      <c r="C39" s="1" t="s">
        <v>148</v>
      </c>
      <c r="D39" s="35">
        <f t="shared" si="0"/>
        <v>3869</v>
      </c>
      <c r="Y39" s="72">
        <v>3869000</v>
      </c>
      <c r="AT39" s="1">
        <f t="shared" si="1"/>
        <v>0</v>
      </c>
      <c r="AU39" t="e">
        <f t="shared" si="2"/>
        <v>#DIV/0!</v>
      </c>
      <c r="AV39">
        <f t="shared" si="3"/>
        <v>0</v>
      </c>
      <c r="AW39">
        <f t="shared" si="4"/>
        <v>0</v>
      </c>
      <c r="AX39">
        <f t="shared" si="5"/>
        <v>0</v>
      </c>
      <c r="AY39">
        <f t="shared" si="6"/>
        <v>0</v>
      </c>
      <c r="AZ39">
        <f t="shared" si="7"/>
        <v>0</v>
      </c>
      <c r="BA39">
        <f t="shared" si="8"/>
        <v>0</v>
      </c>
    </row>
    <row r="40" spans="1:53" x14ac:dyDescent="0.25">
      <c r="A40" s="1" t="s">
        <v>149</v>
      </c>
      <c r="B40" s="1" t="s">
        <v>159</v>
      </c>
      <c r="C40" s="1" t="s">
        <v>153</v>
      </c>
      <c r="D40" s="35">
        <f t="shared" si="0"/>
        <v>95812.38</v>
      </c>
      <c r="Y40" s="72">
        <v>95812380</v>
      </c>
      <c r="AT40" s="1">
        <f t="shared" si="1"/>
        <v>0</v>
      </c>
      <c r="AU40" t="e">
        <f t="shared" si="2"/>
        <v>#DIV/0!</v>
      </c>
      <c r="AV40">
        <f t="shared" si="3"/>
        <v>0</v>
      </c>
      <c r="AW40">
        <f t="shared" si="4"/>
        <v>0</v>
      </c>
      <c r="AX40">
        <f t="shared" si="5"/>
        <v>0</v>
      </c>
      <c r="AY40">
        <f t="shared" si="6"/>
        <v>0</v>
      </c>
      <c r="AZ40">
        <f t="shared" si="7"/>
        <v>0</v>
      </c>
      <c r="BA40">
        <f t="shared" si="8"/>
        <v>0</v>
      </c>
    </row>
    <row r="41" spans="1:53" x14ac:dyDescent="0.25">
      <c r="A41" s="1" t="s">
        <v>150</v>
      </c>
      <c r="B41" s="1" t="s">
        <v>154</v>
      </c>
      <c r="D41" s="35">
        <f t="shared" si="0"/>
        <v>104579.58</v>
      </c>
      <c r="E41" s="1">
        <v>29276</v>
      </c>
      <c r="F41" s="1">
        <v>28411</v>
      </c>
      <c r="G41" s="1">
        <v>392681546</v>
      </c>
      <c r="H41" s="1">
        <v>318424</v>
      </c>
      <c r="I41" s="1">
        <v>574500</v>
      </c>
      <c r="J41" s="1">
        <v>212678</v>
      </c>
      <c r="K41" s="1">
        <v>160785</v>
      </c>
      <c r="L41" s="1">
        <v>6109788</v>
      </c>
      <c r="M41" s="1">
        <v>84498</v>
      </c>
      <c r="N41" s="1">
        <v>10249975</v>
      </c>
      <c r="O41" s="1">
        <v>228834</v>
      </c>
      <c r="P41" s="1">
        <v>80</v>
      </c>
      <c r="Q41" s="1">
        <v>39</v>
      </c>
      <c r="R41" s="1">
        <v>3327</v>
      </c>
      <c r="S41" s="1">
        <v>1581</v>
      </c>
      <c r="T41" s="1">
        <v>15932644</v>
      </c>
      <c r="U41" s="1">
        <v>434559218</v>
      </c>
      <c r="V41" s="1">
        <v>142994659</v>
      </c>
      <c r="W41" s="1">
        <v>222554</v>
      </c>
      <c r="X41" s="1">
        <v>248018</v>
      </c>
      <c r="Y41" s="72">
        <v>104579580</v>
      </c>
      <c r="Z41" s="1">
        <v>32714</v>
      </c>
      <c r="AA41" s="1">
        <v>14480</v>
      </c>
      <c r="AB41" s="1">
        <v>47194</v>
      </c>
      <c r="AC41" s="1">
        <v>131749149</v>
      </c>
      <c r="AD41" s="1">
        <v>45499738</v>
      </c>
      <c r="AE41" s="1">
        <v>30912</v>
      </c>
      <c r="AF41" s="1">
        <v>2088922</v>
      </c>
      <c r="AG41" s="1">
        <v>3596655</v>
      </c>
      <c r="AH41" s="1">
        <v>692491</v>
      </c>
      <c r="AI41" s="1">
        <v>75368712</v>
      </c>
      <c r="AJ41" s="1">
        <v>259026579</v>
      </c>
      <c r="AK41" s="1">
        <v>228961262</v>
      </c>
      <c r="AL41" s="1">
        <v>11781581</v>
      </c>
      <c r="AM41" s="1">
        <v>27836192</v>
      </c>
      <c r="AN41" s="1">
        <v>268579034</v>
      </c>
      <c r="AO41" s="1">
        <v>25725383</v>
      </c>
      <c r="AP41" s="1">
        <v>941050</v>
      </c>
      <c r="AQ41" s="1">
        <v>4819915</v>
      </c>
      <c r="AR41" s="1">
        <v>12096802</v>
      </c>
      <c r="AS41" s="1">
        <v>43583152</v>
      </c>
      <c r="AT41" s="1">
        <f t="shared" si="1"/>
        <v>10478809</v>
      </c>
      <c r="AU41">
        <f t="shared" si="2"/>
        <v>3.0389891555320259</v>
      </c>
      <c r="AV41">
        <f t="shared" si="3"/>
        <v>2.4768370555705044</v>
      </c>
      <c r="AW41">
        <f t="shared" si="4"/>
        <v>152.34947396040411</v>
      </c>
      <c r="AX41">
        <f t="shared" si="5"/>
        <v>1367.3286792698918</v>
      </c>
      <c r="AY41">
        <f t="shared" si="6"/>
        <v>3754.8587018613002</v>
      </c>
      <c r="AZ41">
        <f t="shared" si="7"/>
        <v>3826.1983744819017</v>
      </c>
      <c r="BA41">
        <f t="shared" si="8"/>
        <v>58.422380353793734</v>
      </c>
    </row>
    <row r="42" spans="1:53" x14ac:dyDescent="0.25">
      <c r="A42" s="1" t="s">
        <v>151</v>
      </c>
      <c r="B42" s="1" t="s">
        <v>154</v>
      </c>
      <c r="D42" s="35">
        <f t="shared" si="0"/>
        <v>373631.32699999999</v>
      </c>
      <c r="E42" s="1">
        <v>22260</v>
      </c>
      <c r="F42" s="1">
        <v>41162</v>
      </c>
      <c r="G42" s="1">
        <v>675392729</v>
      </c>
      <c r="H42" s="1">
        <v>1489264</v>
      </c>
      <c r="I42" s="1">
        <v>1619149</v>
      </c>
      <c r="J42" s="1">
        <v>2646675</v>
      </c>
      <c r="K42" s="1">
        <v>15637410</v>
      </c>
      <c r="L42" s="1">
        <v>49591430</v>
      </c>
      <c r="M42" s="1">
        <v>797877</v>
      </c>
      <c r="N42" s="1">
        <v>52594481</v>
      </c>
      <c r="O42" s="1">
        <v>6125556</v>
      </c>
      <c r="P42" s="1">
        <v>87</v>
      </c>
      <c r="Q42" s="1">
        <v>73</v>
      </c>
      <c r="R42" s="1">
        <v>71624</v>
      </c>
      <c r="S42" s="1">
        <v>37907</v>
      </c>
      <c r="T42" s="1">
        <v>98737344</v>
      </c>
      <c r="U42" s="1">
        <v>1859451688</v>
      </c>
      <c r="V42" s="1">
        <v>1848586339</v>
      </c>
      <c r="W42" s="1">
        <v>2203045</v>
      </c>
      <c r="X42" s="1">
        <v>12504957</v>
      </c>
      <c r="Y42" s="72">
        <v>373631327</v>
      </c>
      <c r="Z42" s="1">
        <v>46299</v>
      </c>
      <c r="AA42" s="1">
        <v>80084</v>
      </c>
      <c r="AB42" s="1">
        <v>126383</v>
      </c>
      <c r="AC42" s="1">
        <v>3377961863</v>
      </c>
      <c r="AD42" s="1">
        <v>748705456</v>
      </c>
      <c r="AE42" s="1">
        <v>2953587</v>
      </c>
      <c r="AF42" s="1">
        <v>122821498</v>
      </c>
      <c r="AG42" s="1">
        <v>373795899</v>
      </c>
      <c r="AH42" s="1">
        <v>209486</v>
      </c>
      <c r="AI42" s="1">
        <v>1080927712</v>
      </c>
      <c r="AJ42" s="1">
        <v>5707375496</v>
      </c>
      <c r="AK42" s="1">
        <v>5060302044</v>
      </c>
      <c r="AL42" s="1">
        <v>297921547</v>
      </c>
      <c r="AM42" s="1">
        <v>283414989</v>
      </c>
      <c r="AN42" s="1">
        <v>5641638573</v>
      </c>
      <c r="AO42" s="1">
        <v>385194271</v>
      </c>
      <c r="AP42" s="1">
        <v>22261582</v>
      </c>
      <c r="AQ42" s="1">
        <v>98791726</v>
      </c>
      <c r="AR42" s="1">
        <v>79042997</v>
      </c>
      <c r="AS42" s="1">
        <v>585290588</v>
      </c>
      <c r="AT42" s="1">
        <f t="shared" si="1"/>
        <v>58720037</v>
      </c>
      <c r="AU42">
        <f t="shared" si="2"/>
        <v>1.0058776529777222</v>
      </c>
      <c r="AV42">
        <f t="shared" si="3"/>
        <v>15.275420136277813</v>
      </c>
      <c r="AW42">
        <f t="shared" si="4"/>
        <v>264.26409367970371</v>
      </c>
      <c r="AX42">
        <f t="shared" si="5"/>
        <v>4947.6213727656732</v>
      </c>
      <c r="AY42">
        <f t="shared" si="6"/>
        <v>1807.6448097190737</v>
      </c>
      <c r="AZ42">
        <f t="shared" si="7"/>
        <v>1999.7641525385263</v>
      </c>
      <c r="BA42">
        <f t="shared" si="8"/>
        <v>132.72824417102478</v>
      </c>
    </row>
    <row r="43" spans="1:53" x14ac:dyDescent="0.25">
      <c r="A43" s="1" t="s">
        <v>152</v>
      </c>
      <c r="B43" s="1" t="s">
        <v>154</v>
      </c>
      <c r="D43" s="35">
        <f t="shared" si="0"/>
        <v>11965.763000000001</v>
      </c>
      <c r="E43" s="1">
        <v>617</v>
      </c>
      <c r="F43" s="1">
        <v>3417</v>
      </c>
      <c r="G43" s="1">
        <v>51203036</v>
      </c>
      <c r="H43" s="1">
        <v>62680</v>
      </c>
      <c r="I43" s="1">
        <v>124943</v>
      </c>
      <c r="J43" s="1">
        <v>104048</v>
      </c>
      <c r="K43" s="1">
        <v>826395</v>
      </c>
      <c r="L43" s="1">
        <v>2978116</v>
      </c>
      <c r="M43" s="1">
        <v>20173</v>
      </c>
      <c r="N43" s="1">
        <v>2362741</v>
      </c>
      <c r="O43" s="1">
        <v>325957</v>
      </c>
      <c r="P43" s="1">
        <v>82</v>
      </c>
      <c r="Q43" s="1">
        <v>79</v>
      </c>
      <c r="R43" s="1">
        <v>2654</v>
      </c>
      <c r="S43" s="1">
        <v>1610</v>
      </c>
      <c r="T43" s="1">
        <v>3574799</v>
      </c>
      <c r="U43" s="1">
        <v>31416508</v>
      </c>
      <c r="V43" s="1">
        <v>55572941</v>
      </c>
      <c r="W43" s="1">
        <v>416461</v>
      </c>
      <c r="X43" s="1">
        <v>367870</v>
      </c>
      <c r="Y43" s="72">
        <v>11965763</v>
      </c>
      <c r="Z43" s="1">
        <v>2870</v>
      </c>
      <c r="AA43" s="1">
        <v>4656</v>
      </c>
      <c r="AB43" s="1">
        <v>7540</v>
      </c>
      <c r="AC43" s="1">
        <v>247596187</v>
      </c>
      <c r="AD43" s="1">
        <v>79307219</v>
      </c>
      <c r="AE43" s="1">
        <v>0</v>
      </c>
      <c r="AF43" s="1">
        <v>6762890</v>
      </c>
      <c r="AG43" s="1">
        <v>35699276</v>
      </c>
      <c r="AH43" s="1">
        <v>8607398</v>
      </c>
      <c r="AI43" s="1">
        <v>60201946</v>
      </c>
      <c r="AJ43" s="1">
        <v>438174916</v>
      </c>
      <c r="AK43" s="1">
        <v>293136752</v>
      </c>
      <c r="AL43" s="1">
        <v>22907620</v>
      </c>
      <c r="AM43" s="1">
        <v>5896999</v>
      </c>
      <c r="AN43" s="1">
        <v>321941371</v>
      </c>
      <c r="AO43" s="1">
        <v>23664110</v>
      </c>
      <c r="AP43" s="1">
        <v>1168190</v>
      </c>
      <c r="AQ43" s="1">
        <v>5867927</v>
      </c>
      <c r="AR43" s="1">
        <v>5423950</v>
      </c>
      <c r="AS43" s="1">
        <v>36124177</v>
      </c>
      <c r="AT43" s="1">
        <f t="shared" si="1"/>
        <v>2688698</v>
      </c>
      <c r="AU43">
        <f t="shared" si="2"/>
        <v>0.56532023381666985</v>
      </c>
      <c r="AV43">
        <f t="shared" si="3"/>
        <v>36.619053544684114</v>
      </c>
      <c r="AW43">
        <f t="shared" si="4"/>
        <v>298.75228182273037</v>
      </c>
      <c r="AX43">
        <f t="shared" si="5"/>
        <v>4644.3290745437625</v>
      </c>
      <c r="AY43">
        <f t="shared" si="6"/>
        <v>4279.1283765189064</v>
      </c>
      <c r="AZ43">
        <f t="shared" si="7"/>
        <v>4623.1394521185148</v>
      </c>
      <c r="BA43">
        <f t="shared" si="8"/>
        <v>248.88642705024324</v>
      </c>
    </row>
    <row r="44" spans="1:53" x14ac:dyDescent="0.25">
      <c r="A44" s="1" t="s">
        <v>310</v>
      </c>
      <c r="B44" s="1" t="s">
        <v>154</v>
      </c>
      <c r="D44" s="35">
        <f t="shared" si="0"/>
        <v>498196.83600000001</v>
      </c>
      <c r="E44" s="1">
        <v>15828</v>
      </c>
      <c r="F44" s="1">
        <v>23132</v>
      </c>
      <c r="G44" s="1">
        <v>1253740983</v>
      </c>
      <c r="H44" s="1">
        <v>570853</v>
      </c>
      <c r="I44" s="1">
        <v>2325060</v>
      </c>
      <c r="J44" s="1">
        <v>202500</v>
      </c>
      <c r="K44" s="1">
        <v>10820599</v>
      </c>
      <c r="L44" s="1">
        <v>56755721</v>
      </c>
      <c r="M44" s="1">
        <v>1350785</v>
      </c>
      <c r="N44" s="1">
        <v>46908594</v>
      </c>
      <c r="O44" s="1">
        <v>4571175</v>
      </c>
      <c r="P44" s="1">
        <v>90</v>
      </c>
      <c r="Q44" s="1">
        <v>70</v>
      </c>
      <c r="R44" s="1">
        <v>25162</v>
      </c>
      <c r="S44" s="1">
        <v>19857</v>
      </c>
      <c r="T44" s="1">
        <v>119843055</v>
      </c>
      <c r="U44" s="1">
        <v>2882348318</v>
      </c>
      <c r="V44" s="1">
        <v>2415952320</v>
      </c>
      <c r="W44" s="1">
        <v>2989159</v>
      </c>
      <c r="X44" s="1">
        <v>15157264</v>
      </c>
      <c r="Y44" s="72">
        <v>498196836</v>
      </c>
      <c r="Z44" s="1">
        <v>66575</v>
      </c>
      <c r="AA44" s="1">
        <v>114718</v>
      </c>
      <c r="AB44" s="1">
        <v>181293</v>
      </c>
      <c r="AC44" s="1">
        <v>5256770472</v>
      </c>
      <c r="AD44" s="1">
        <v>1465857846</v>
      </c>
      <c r="AE44" s="1">
        <v>31772</v>
      </c>
      <c r="AF44" s="1">
        <v>1423948</v>
      </c>
      <c r="AG44" s="1">
        <v>4419194</v>
      </c>
      <c r="AH44" s="1">
        <v>1532413</v>
      </c>
      <c r="AI44" s="1">
        <v>1520741140</v>
      </c>
      <c r="AJ44" s="1">
        <v>8250776786</v>
      </c>
      <c r="AK44" s="1">
        <v>7942116033</v>
      </c>
      <c r="AL44" s="1">
        <v>423754513</v>
      </c>
      <c r="AM44" s="1">
        <v>355751232</v>
      </c>
      <c r="AN44" s="1">
        <v>8721621776</v>
      </c>
      <c r="AO44" s="1">
        <v>584914700</v>
      </c>
      <c r="AP44" s="1">
        <v>28874563</v>
      </c>
      <c r="AQ44" s="1">
        <v>145039753</v>
      </c>
      <c r="AR44" s="1">
        <v>134065813</v>
      </c>
      <c r="AS44" s="1">
        <v>892894841</v>
      </c>
      <c r="AT44" s="1">
        <f t="shared" si="1"/>
        <v>51479769</v>
      </c>
      <c r="AU44">
        <f t="shared" si="2"/>
        <v>1.1930485109904818</v>
      </c>
      <c r="AV44">
        <f t="shared" si="3"/>
        <v>16.561278976087277</v>
      </c>
      <c r="AW44">
        <f t="shared" si="4"/>
        <v>240.55362527432831</v>
      </c>
      <c r="AX44">
        <f t="shared" si="5"/>
        <v>4849.3931422719834</v>
      </c>
      <c r="AY44">
        <f t="shared" si="6"/>
        <v>2516.5574977678098</v>
      </c>
      <c r="AZ44">
        <f t="shared" si="7"/>
        <v>2661.1299093035586</v>
      </c>
      <c r="BA44">
        <f t="shared" si="8"/>
        <v>113.92228311943755</v>
      </c>
    </row>
    <row r="45" spans="1:53" x14ac:dyDescent="0.25">
      <c r="A45" s="1" t="s">
        <v>311</v>
      </c>
      <c r="B45" s="1" t="s">
        <v>154</v>
      </c>
      <c r="D45" s="35">
        <f t="shared" si="0"/>
        <v>161725.476</v>
      </c>
      <c r="E45" s="1">
        <v>3093</v>
      </c>
      <c r="F45" s="1">
        <v>4275</v>
      </c>
      <c r="G45" s="1">
        <v>26874122</v>
      </c>
      <c r="H45" s="1">
        <v>101285</v>
      </c>
      <c r="I45" s="1">
        <v>225</v>
      </c>
      <c r="J45" s="1">
        <v>355492</v>
      </c>
      <c r="K45" s="1">
        <v>13643</v>
      </c>
      <c r="L45" s="1">
        <v>240697</v>
      </c>
      <c r="M45" s="1">
        <v>872</v>
      </c>
      <c r="N45" s="1">
        <v>1269662</v>
      </c>
      <c r="O45" s="1">
        <v>21860</v>
      </c>
      <c r="P45" s="1">
        <v>88</v>
      </c>
      <c r="Q45" s="1">
        <v>11</v>
      </c>
      <c r="R45" s="1">
        <v>4467</v>
      </c>
      <c r="S45" s="1">
        <v>32</v>
      </c>
      <c r="T45" s="1">
        <v>898114</v>
      </c>
      <c r="U45" s="1">
        <v>9275211</v>
      </c>
      <c r="V45" s="1">
        <v>46699921</v>
      </c>
      <c r="W45" s="1">
        <v>20752</v>
      </c>
      <c r="X45" s="1">
        <v>105224</v>
      </c>
      <c r="Y45" s="72">
        <v>161725476</v>
      </c>
      <c r="Z45" s="1">
        <v>626</v>
      </c>
      <c r="AA45" s="1">
        <v>6282</v>
      </c>
      <c r="AB45" s="1">
        <v>6908</v>
      </c>
      <c r="AC45" s="1">
        <v>27655614</v>
      </c>
      <c r="AD45" s="1">
        <v>0</v>
      </c>
      <c r="AE45" s="1">
        <v>0</v>
      </c>
      <c r="AF45" s="1">
        <v>252056</v>
      </c>
      <c r="AG45" s="1">
        <v>33227217</v>
      </c>
      <c r="AH45" s="1">
        <v>7109057</v>
      </c>
      <c r="AI45" s="1">
        <v>0</v>
      </c>
      <c r="AJ45" s="1">
        <v>68243943</v>
      </c>
      <c r="AK45" s="1">
        <v>61555870</v>
      </c>
      <c r="AL45" s="1">
        <v>3287314</v>
      </c>
      <c r="AM45" s="1">
        <v>2717776</v>
      </c>
      <c r="AN45" s="1">
        <v>67560960</v>
      </c>
      <c r="AO45" s="1">
        <v>5167308</v>
      </c>
      <c r="AP45" s="1">
        <v>255087</v>
      </c>
      <c r="AQ45" s="1">
        <v>1281323</v>
      </c>
      <c r="AR45" s="1">
        <v>1184376</v>
      </c>
      <c r="AS45" s="1">
        <v>7888095</v>
      </c>
      <c r="AT45" s="1">
        <f t="shared" si="1"/>
        <v>1291522</v>
      </c>
      <c r="AU45">
        <f t="shared" si="2"/>
        <v>0.19861299122968537</v>
      </c>
      <c r="AV45">
        <f t="shared" si="3"/>
        <v>0.4219739813905386</v>
      </c>
      <c r="AW45">
        <f t="shared" si="4"/>
        <v>5.5533242023044043</v>
      </c>
      <c r="AX45">
        <f t="shared" si="5"/>
        <v>288.7604486011839</v>
      </c>
      <c r="AY45">
        <f t="shared" si="6"/>
        <v>166.17123451842554</v>
      </c>
      <c r="AZ45">
        <f t="shared" si="7"/>
        <v>170.57507995833632</v>
      </c>
      <c r="BA45">
        <f t="shared" si="8"/>
        <v>1.4883060229793357</v>
      </c>
    </row>
    <row r="46" spans="1:53" x14ac:dyDescent="0.25">
      <c r="A46" s="1" t="s">
        <v>312</v>
      </c>
      <c r="B46" s="1" t="s">
        <v>154</v>
      </c>
      <c r="D46" s="35">
        <f t="shared" si="0"/>
        <v>74819.296000000002</v>
      </c>
      <c r="E46" s="1">
        <v>22381</v>
      </c>
      <c r="F46" s="1">
        <v>21245</v>
      </c>
      <c r="G46" s="1">
        <v>306491537</v>
      </c>
      <c r="H46" s="1">
        <v>307449</v>
      </c>
      <c r="I46" s="1">
        <v>481210</v>
      </c>
      <c r="J46" s="1">
        <v>152576</v>
      </c>
      <c r="K46" s="1">
        <v>157948</v>
      </c>
      <c r="L46" s="1">
        <v>5379640</v>
      </c>
      <c r="M46" s="1">
        <v>64278</v>
      </c>
      <c r="N46" s="1">
        <v>9122854</v>
      </c>
      <c r="O46" s="1">
        <v>221649</v>
      </c>
      <c r="P46" s="1">
        <v>80</v>
      </c>
      <c r="Q46" s="1">
        <v>39</v>
      </c>
      <c r="R46" s="1">
        <v>3156</v>
      </c>
      <c r="S46" s="1">
        <v>1490</v>
      </c>
      <c r="T46" s="1">
        <v>13468833</v>
      </c>
      <c r="U46" s="1">
        <v>385598344</v>
      </c>
      <c r="V46" s="1">
        <v>123620323</v>
      </c>
      <c r="W46" s="1">
        <v>211320</v>
      </c>
      <c r="X46" s="1">
        <v>232669</v>
      </c>
      <c r="Y46" s="1">
        <v>74819296</v>
      </c>
      <c r="Z46" s="1">
        <v>26377</v>
      </c>
      <c r="AA46" s="1">
        <v>12498</v>
      </c>
      <c r="AB46" s="1">
        <v>38875</v>
      </c>
      <c r="AC46" s="1">
        <v>124851978</v>
      </c>
      <c r="AD46" s="1">
        <v>44770854</v>
      </c>
      <c r="AE46" s="1">
        <v>29525</v>
      </c>
      <c r="AF46" s="1">
        <v>2078053</v>
      </c>
      <c r="AG46" s="1">
        <v>3598786</v>
      </c>
      <c r="AH46" s="1">
        <v>681049</v>
      </c>
      <c r="AI46" s="1">
        <v>74225422</v>
      </c>
      <c r="AJ46" s="1">
        <v>250235667</v>
      </c>
      <c r="AK46" s="1">
        <v>220540572</v>
      </c>
      <c r="AL46" s="1">
        <v>11620753</v>
      </c>
      <c r="AM46" s="1">
        <v>27554513</v>
      </c>
      <c r="AN46" s="1">
        <v>259715837</v>
      </c>
      <c r="AO46" s="1">
        <v>25035698</v>
      </c>
      <c r="AP46" s="1">
        <v>895789</v>
      </c>
      <c r="AQ46" s="1">
        <v>4589040</v>
      </c>
      <c r="AR46" s="1">
        <v>11941287</v>
      </c>
      <c r="AS46" s="1">
        <v>42461816</v>
      </c>
      <c r="AT46" s="1">
        <f>+N46+O46</f>
        <v>9344503</v>
      </c>
      <c r="AU46">
        <f>+U46/V46</f>
        <v>3.1192148236014559</v>
      </c>
      <c r="AV46">
        <f>+AJ46/Y46</f>
        <v>3.3445338352288156</v>
      </c>
      <c r="AW46">
        <f>+T46/D46</f>
        <v>180.01817338671563</v>
      </c>
      <c r="AX46">
        <f>+V46/D46</f>
        <v>1652.2518869998455</v>
      </c>
      <c r="AY46">
        <f>+G46/D46</f>
        <v>4096.4236952991378</v>
      </c>
      <c r="AZ46">
        <f>SUM(G46:M46)/D46</f>
        <v>4183.8757477750123</v>
      </c>
      <c r="BA46">
        <f>+L46/D46</f>
        <v>71.901772505317339</v>
      </c>
    </row>
    <row r="47" spans="1:53" x14ac:dyDescent="0.25">
      <c r="A47" s="1" t="s">
        <v>313</v>
      </c>
      <c r="B47" s="1" t="s">
        <v>154</v>
      </c>
      <c r="D47" s="35">
        <f t="shared" si="0"/>
        <v>490176.67</v>
      </c>
      <c r="E47" s="1">
        <v>52153</v>
      </c>
      <c r="F47" s="1">
        <v>72990</v>
      </c>
      <c r="G47" s="1">
        <v>1119277311</v>
      </c>
      <c r="H47" s="1">
        <v>1870368</v>
      </c>
      <c r="I47" s="1">
        <v>2318592</v>
      </c>
      <c r="J47" s="1">
        <v>2963401</v>
      </c>
      <c r="K47" s="1">
        <v>16624590</v>
      </c>
      <c r="L47" s="1">
        <v>58679334</v>
      </c>
      <c r="M47" s="1">
        <v>902548</v>
      </c>
      <c r="N47" s="1">
        <v>65207197</v>
      </c>
      <c r="O47" s="1">
        <v>6680347</v>
      </c>
      <c r="P47" s="1">
        <v>83</v>
      </c>
      <c r="Q47" s="1">
        <v>63</v>
      </c>
      <c r="R47" s="1">
        <v>77605</v>
      </c>
      <c r="S47" s="1">
        <v>41098</v>
      </c>
      <c r="T47" s="1">
        <v>118244787</v>
      </c>
      <c r="U47" s="1">
        <v>2325427414</v>
      </c>
      <c r="V47" s="1">
        <v>2047153939</v>
      </c>
      <c r="W47" s="1">
        <v>2842060</v>
      </c>
      <c r="X47" s="1">
        <v>13120845</v>
      </c>
      <c r="Y47" s="1">
        <v>490176670</v>
      </c>
      <c r="Z47" s="1">
        <v>81883</v>
      </c>
      <c r="AA47" s="1">
        <v>99220</v>
      </c>
      <c r="AB47" s="1">
        <v>181117</v>
      </c>
      <c r="AC47" s="1">
        <v>3757307199</v>
      </c>
      <c r="AD47" s="1">
        <v>873512413</v>
      </c>
      <c r="AE47" s="1">
        <v>2984499</v>
      </c>
      <c r="AF47" s="1">
        <v>131673310</v>
      </c>
      <c r="AG47" s="1">
        <v>413091830</v>
      </c>
      <c r="AH47" s="1">
        <v>9509375</v>
      </c>
      <c r="AI47" s="1">
        <v>1216498370</v>
      </c>
      <c r="AJ47" s="1">
        <v>6404576991</v>
      </c>
      <c r="AK47" s="1">
        <v>5582400058</v>
      </c>
      <c r="AL47" s="1">
        <v>332610748</v>
      </c>
      <c r="AM47" s="1">
        <v>317148180</v>
      </c>
      <c r="AN47" s="1">
        <v>6232158978</v>
      </c>
      <c r="AO47" s="1">
        <v>434583764</v>
      </c>
      <c r="AP47" s="1">
        <v>24370822</v>
      </c>
      <c r="AQ47" s="1">
        <v>109479568</v>
      </c>
      <c r="AR47" s="1">
        <v>96563749</v>
      </c>
      <c r="AS47" s="1">
        <v>664997916</v>
      </c>
      <c r="AT47" s="1">
        <f t="shared" ref="AT47:AT52" si="9">+N47+O47</f>
        <v>71887544</v>
      </c>
      <c r="AU47">
        <f t="shared" ref="AU47:AU52" si="10">+U47/V47</f>
        <v>1.135931875809951</v>
      </c>
      <c r="AV47">
        <f t="shared" ref="AV47:AV52" si="11">+AJ47/Y47</f>
        <v>13.065854380625662</v>
      </c>
      <c r="AW47">
        <f t="shared" ref="AW47:AW52" si="12">+T47/D47</f>
        <v>241.22891650473696</v>
      </c>
      <c r="AX47">
        <f t="shared" ref="AX47:AX52" si="13">+V47/D47</f>
        <v>4176.3593909926394</v>
      </c>
      <c r="AY47">
        <f t="shared" ref="AY47:AY52" si="14">+G47/D47</f>
        <v>2283.4161221912091</v>
      </c>
      <c r="AZ47">
        <f t="shared" ref="AZ47:AZ52" si="15">SUM(G47:M47)/D47</f>
        <v>2453.4748746814084</v>
      </c>
      <c r="BA47">
        <f t="shared" ref="BA47:BA52" si="16">+L47/D47</f>
        <v>119.71058108497901</v>
      </c>
    </row>
    <row r="48" spans="1:53" x14ac:dyDescent="0.25">
      <c r="A48" s="1" t="s">
        <v>188</v>
      </c>
      <c r="B48" s="1" t="s">
        <v>154</v>
      </c>
      <c r="D48" s="35">
        <f t="shared" si="0"/>
        <v>97013.111999999994</v>
      </c>
      <c r="E48" s="1">
        <v>27644</v>
      </c>
      <c r="F48" s="1">
        <v>25254</v>
      </c>
      <c r="G48" s="1">
        <v>346361569</v>
      </c>
      <c r="H48" s="1">
        <v>284419</v>
      </c>
      <c r="I48" s="1">
        <v>510199</v>
      </c>
      <c r="J48" s="1">
        <v>199238</v>
      </c>
      <c r="K48" s="1">
        <v>157116</v>
      </c>
      <c r="L48" s="1">
        <v>5652342</v>
      </c>
      <c r="M48" s="1">
        <v>77705</v>
      </c>
      <c r="N48" s="1">
        <v>8520242</v>
      </c>
      <c r="O48" s="1">
        <v>205858</v>
      </c>
      <c r="P48" s="1">
        <v>79</v>
      </c>
      <c r="Q48" s="1">
        <v>43</v>
      </c>
      <c r="R48" s="1">
        <v>3071</v>
      </c>
      <c r="S48" s="1">
        <v>1461</v>
      </c>
      <c r="T48" s="1">
        <v>14150548</v>
      </c>
      <c r="U48" s="1">
        <v>375372660</v>
      </c>
      <c r="V48" s="1">
        <v>122666159</v>
      </c>
      <c r="W48" s="1">
        <v>213467</v>
      </c>
      <c r="X48" s="1">
        <v>244679</v>
      </c>
      <c r="Y48" s="1">
        <v>97013112</v>
      </c>
      <c r="Z48" s="1">
        <v>26562</v>
      </c>
      <c r="AA48" s="1">
        <v>12573</v>
      </c>
      <c r="AB48" s="1">
        <v>39135</v>
      </c>
      <c r="AC48" s="1">
        <v>115457900</v>
      </c>
      <c r="AD48" s="1">
        <v>40045569</v>
      </c>
      <c r="AE48" s="1">
        <v>30912</v>
      </c>
      <c r="AF48" s="1">
        <v>1502168</v>
      </c>
      <c r="AG48" s="1">
        <v>3596655</v>
      </c>
      <c r="AH48" s="1">
        <v>692491</v>
      </c>
      <c r="AI48" s="1">
        <v>67432446</v>
      </c>
      <c r="AJ48" s="1">
        <v>228758142</v>
      </c>
      <c r="AK48" s="1">
        <v>197576634</v>
      </c>
      <c r="AL48" s="1">
        <v>11479453</v>
      </c>
      <c r="AM48" s="1">
        <v>27397528</v>
      </c>
      <c r="AN48" s="1">
        <v>236453613</v>
      </c>
      <c r="AO48" s="1">
        <v>23370199</v>
      </c>
      <c r="AP48" s="1">
        <v>887567</v>
      </c>
      <c r="AQ48" s="1">
        <v>4551266</v>
      </c>
      <c r="AR48" s="1">
        <v>11535312</v>
      </c>
      <c r="AS48" s="1">
        <v>40344347</v>
      </c>
      <c r="AT48" s="1">
        <f t="shared" si="9"/>
        <v>8726100</v>
      </c>
      <c r="AU48">
        <f t="shared" si="10"/>
        <v>3.0601158710773686</v>
      </c>
      <c r="AV48">
        <f t="shared" si="11"/>
        <v>2.3580126158616581</v>
      </c>
      <c r="AW48">
        <f t="shared" si="12"/>
        <v>145.8622211809884</v>
      </c>
      <c r="AX48">
        <f t="shared" si="13"/>
        <v>1264.4286578498791</v>
      </c>
      <c r="AY48">
        <f t="shared" si="14"/>
        <v>3570.2552145734694</v>
      </c>
      <c r="AZ48">
        <f t="shared" si="15"/>
        <v>3641.1839669672695</v>
      </c>
      <c r="BA48">
        <f t="shared" si="16"/>
        <v>58.263691200834792</v>
      </c>
    </row>
    <row r="49" spans="1:53" x14ac:dyDescent="0.25">
      <c r="A49" s="1" t="s">
        <v>189</v>
      </c>
      <c r="B49" s="1" t="s">
        <v>154</v>
      </c>
      <c r="D49" s="35">
        <f t="shared" si="0"/>
        <v>7566.4679999999998</v>
      </c>
      <c r="E49" s="1">
        <v>1632</v>
      </c>
      <c r="F49" s="1">
        <v>3157</v>
      </c>
      <c r="G49" s="1">
        <v>46319977</v>
      </c>
      <c r="H49" s="1">
        <v>34005</v>
      </c>
      <c r="I49" s="1">
        <v>64301</v>
      </c>
      <c r="J49" s="1">
        <v>13440</v>
      </c>
      <c r="K49" s="1">
        <v>3669</v>
      </c>
      <c r="L49" s="1">
        <v>457446</v>
      </c>
      <c r="M49" s="1">
        <v>6792</v>
      </c>
      <c r="N49" s="1">
        <v>1729733</v>
      </c>
      <c r="O49" s="1">
        <v>22976</v>
      </c>
      <c r="P49" s="1">
        <v>81</v>
      </c>
      <c r="Q49" s="1">
        <v>29</v>
      </c>
      <c r="R49" s="1">
        <v>256</v>
      </c>
      <c r="S49" s="1">
        <v>120</v>
      </c>
      <c r="T49" s="1">
        <v>1782096</v>
      </c>
      <c r="U49" s="1">
        <v>59186558</v>
      </c>
      <c r="V49" s="1">
        <v>20328500</v>
      </c>
      <c r="W49" s="1">
        <v>9087</v>
      </c>
      <c r="X49" s="1">
        <v>3339</v>
      </c>
      <c r="Y49" s="1">
        <v>7566468</v>
      </c>
      <c r="Z49" s="1">
        <v>6152</v>
      </c>
      <c r="AA49" s="1">
        <v>1907</v>
      </c>
      <c r="AB49" s="1">
        <v>8059</v>
      </c>
      <c r="AC49" s="1">
        <v>16291249</v>
      </c>
      <c r="AD49" s="1">
        <v>5454169</v>
      </c>
      <c r="AE49" s="1">
        <v>0</v>
      </c>
      <c r="AF49" s="1">
        <v>586754</v>
      </c>
      <c r="AG49" s="1">
        <v>0</v>
      </c>
      <c r="AH49" s="1">
        <v>0</v>
      </c>
      <c r="AI49" s="1">
        <v>7936266</v>
      </c>
      <c r="AJ49" s="1">
        <v>30268437</v>
      </c>
      <c r="AK49" s="1">
        <v>31384628</v>
      </c>
      <c r="AL49" s="1">
        <v>302128</v>
      </c>
      <c r="AM49" s="1">
        <v>438664</v>
      </c>
      <c r="AN49" s="1">
        <v>32125421</v>
      </c>
      <c r="AO49" s="1">
        <v>2355184</v>
      </c>
      <c r="AP49" s="1">
        <v>53483</v>
      </c>
      <c r="AQ49" s="1">
        <v>268649</v>
      </c>
      <c r="AR49" s="1">
        <v>561490</v>
      </c>
      <c r="AS49" s="1">
        <v>3238805</v>
      </c>
      <c r="AT49" s="1">
        <f t="shared" si="9"/>
        <v>1752709</v>
      </c>
      <c r="AU49">
        <f t="shared" si="10"/>
        <v>2.9115064072607422</v>
      </c>
      <c r="AV49">
        <f t="shared" si="11"/>
        <v>4.0003389956846442</v>
      </c>
      <c r="AW49">
        <f t="shared" si="12"/>
        <v>235.52547899495511</v>
      </c>
      <c r="AX49">
        <f t="shared" si="13"/>
        <v>2686.6564426096825</v>
      </c>
      <c r="AY49">
        <f t="shared" si="14"/>
        <v>6121.743592915479</v>
      </c>
      <c r="AZ49">
        <f t="shared" si="15"/>
        <v>6198.3517276488847</v>
      </c>
      <c r="BA49">
        <f t="shared" si="16"/>
        <v>60.45700583151875</v>
      </c>
    </row>
    <row r="50" spans="1:53" x14ac:dyDescent="0.25">
      <c r="A50" s="1" t="s">
        <v>192</v>
      </c>
      <c r="B50" s="1" t="s">
        <v>154</v>
      </c>
      <c r="D50" s="35">
        <f t="shared" si="0"/>
        <v>245460.11</v>
      </c>
      <c r="E50" s="1">
        <v>15822</v>
      </c>
      <c r="F50" s="1">
        <v>27396</v>
      </c>
      <c r="G50" s="1">
        <v>496121446</v>
      </c>
      <c r="H50" s="1">
        <v>870418</v>
      </c>
      <c r="I50" s="1">
        <v>811225</v>
      </c>
      <c r="J50" s="1">
        <v>830644</v>
      </c>
      <c r="K50" s="1">
        <v>13341711</v>
      </c>
      <c r="L50" s="1">
        <v>33277257</v>
      </c>
      <c r="M50" s="1">
        <v>532439</v>
      </c>
      <c r="N50" s="1">
        <v>36386778</v>
      </c>
      <c r="O50" s="1">
        <v>4464834</v>
      </c>
      <c r="P50" s="1">
        <v>87</v>
      </c>
      <c r="Q50" s="1">
        <v>71</v>
      </c>
      <c r="R50" s="1">
        <v>45982</v>
      </c>
      <c r="S50" s="1">
        <v>23343</v>
      </c>
      <c r="T50" s="1">
        <v>66058246</v>
      </c>
      <c r="U50" s="1">
        <v>1339850129</v>
      </c>
      <c r="V50" s="1">
        <v>1176781671</v>
      </c>
      <c r="W50" s="1">
        <v>883918</v>
      </c>
      <c r="X50" s="1">
        <v>857019</v>
      </c>
      <c r="Y50" s="1">
        <v>245460110</v>
      </c>
      <c r="Z50" s="1">
        <v>29963</v>
      </c>
      <c r="AA50" s="1">
        <v>53806</v>
      </c>
      <c r="AB50" s="1">
        <v>83769</v>
      </c>
      <c r="AC50" s="1">
        <v>2383814103</v>
      </c>
      <c r="AD50" s="1">
        <v>525094701</v>
      </c>
      <c r="AE50" s="1">
        <v>2103961</v>
      </c>
      <c r="AF50" s="1">
        <v>98552073</v>
      </c>
      <c r="AG50" s="1">
        <v>304295258</v>
      </c>
      <c r="AH50" s="1">
        <v>8545452</v>
      </c>
      <c r="AI50" s="1">
        <v>690116720</v>
      </c>
      <c r="AJ50" s="1">
        <v>4012522267</v>
      </c>
      <c r="AK50" s="1">
        <v>3418087574</v>
      </c>
      <c r="AL50" s="1">
        <v>216173843</v>
      </c>
      <c r="AM50" s="1">
        <v>203893801</v>
      </c>
      <c r="AN50" s="1">
        <v>3838155218</v>
      </c>
      <c r="AO50" s="1">
        <v>296175330</v>
      </c>
      <c r="AP50" s="1">
        <v>17532561</v>
      </c>
      <c r="AQ50" s="1">
        <v>75060925</v>
      </c>
      <c r="AR50" s="1">
        <v>56248967</v>
      </c>
      <c r="AS50" s="1">
        <v>445017792</v>
      </c>
      <c r="AT50" s="1">
        <f t="shared" si="9"/>
        <v>40851612</v>
      </c>
      <c r="AU50">
        <f t="shared" si="10"/>
        <v>1.1385715481627348</v>
      </c>
      <c r="AV50">
        <f t="shared" si="11"/>
        <v>16.346942348392169</v>
      </c>
      <c r="AW50">
        <f t="shared" si="12"/>
        <v>269.12008635537563</v>
      </c>
      <c r="AX50">
        <f t="shared" si="13"/>
        <v>4794.1870106715105</v>
      </c>
      <c r="AY50">
        <f t="shared" si="14"/>
        <v>2021.1896996216617</v>
      </c>
      <c r="AZ50">
        <f t="shared" si="15"/>
        <v>2223.5186808968679</v>
      </c>
      <c r="BA50">
        <f t="shared" si="16"/>
        <v>135.57093655665682</v>
      </c>
    </row>
    <row r="51" spans="1:53" x14ac:dyDescent="0.25">
      <c r="A51" s="1" t="s">
        <v>190</v>
      </c>
      <c r="B51" s="1" t="s">
        <v>154</v>
      </c>
      <c r="D51" s="35">
        <f t="shared" si="0"/>
        <v>24059.98</v>
      </c>
      <c r="E51" s="1">
        <v>1549</v>
      </c>
      <c r="F51" s="1">
        <v>4811</v>
      </c>
      <c r="G51" s="1">
        <v>132819260</v>
      </c>
      <c r="H51" s="1">
        <v>134555</v>
      </c>
      <c r="I51" s="1">
        <v>415626</v>
      </c>
      <c r="J51" s="1">
        <v>104250</v>
      </c>
      <c r="K51" s="1">
        <v>605766</v>
      </c>
      <c r="L51" s="1">
        <v>10106128</v>
      </c>
      <c r="M51" s="1">
        <v>92851</v>
      </c>
      <c r="N51" s="1">
        <v>6378468</v>
      </c>
      <c r="O51" s="1">
        <v>891248</v>
      </c>
      <c r="P51" s="1">
        <v>87</v>
      </c>
      <c r="Q51" s="1">
        <v>78</v>
      </c>
      <c r="R51" s="1">
        <v>7740</v>
      </c>
      <c r="S51" s="1">
        <v>4647</v>
      </c>
      <c r="T51" s="1">
        <v>7903078</v>
      </c>
      <c r="U51" s="1">
        <v>278136460</v>
      </c>
      <c r="V51" s="1">
        <v>164259671</v>
      </c>
      <c r="W51" s="1">
        <v>1155852</v>
      </c>
      <c r="X51" s="1">
        <v>11507899</v>
      </c>
      <c r="Y51" s="1">
        <v>24059980</v>
      </c>
      <c r="Z51" s="1">
        <v>7198</v>
      </c>
      <c r="AA51" s="1">
        <v>9231</v>
      </c>
      <c r="AB51" s="1">
        <v>16443</v>
      </c>
      <c r="AC51" s="1">
        <v>539373850</v>
      </c>
      <c r="AD51" s="1">
        <v>144478834</v>
      </c>
      <c r="AE51" s="1">
        <v>314243</v>
      </c>
      <c r="AF51" s="1">
        <v>13666366</v>
      </c>
      <c r="AG51" s="1">
        <v>45826967</v>
      </c>
      <c r="AH51" s="1">
        <v>231249</v>
      </c>
      <c r="AI51" s="1">
        <v>235696654</v>
      </c>
      <c r="AJ51" s="1">
        <v>979588162</v>
      </c>
      <c r="AK51" s="1">
        <v>884166071</v>
      </c>
      <c r="AL51" s="1">
        <v>50594992</v>
      </c>
      <c r="AM51" s="1">
        <v>44841540</v>
      </c>
      <c r="AN51" s="1">
        <v>979602601</v>
      </c>
      <c r="AO51" s="1">
        <v>33549502</v>
      </c>
      <c r="AP51" s="1">
        <v>2021747</v>
      </c>
      <c r="AQ51" s="1">
        <v>10155430</v>
      </c>
      <c r="AR51" s="1">
        <v>9387053</v>
      </c>
      <c r="AS51" s="1">
        <v>55113733</v>
      </c>
      <c r="AT51" s="1">
        <f t="shared" si="9"/>
        <v>7269716</v>
      </c>
      <c r="AU51">
        <f t="shared" si="10"/>
        <v>1.693272964122764</v>
      </c>
      <c r="AV51">
        <f t="shared" si="11"/>
        <v>40.714421292120775</v>
      </c>
      <c r="AW51">
        <f t="shared" si="12"/>
        <v>328.47400538155063</v>
      </c>
      <c r="AX51">
        <f t="shared" si="13"/>
        <v>6827.090920275079</v>
      </c>
      <c r="AY51">
        <f t="shared" si="14"/>
        <v>5520.3395846546837</v>
      </c>
      <c r="AZ51">
        <f t="shared" si="15"/>
        <v>5996.6149597796839</v>
      </c>
      <c r="BA51">
        <f t="shared" si="16"/>
        <v>420.03891940059799</v>
      </c>
    </row>
    <row r="52" spans="1:53" x14ac:dyDescent="0.25">
      <c r="A52" s="1" t="s">
        <v>191</v>
      </c>
      <c r="B52" s="1" t="s">
        <v>154</v>
      </c>
      <c r="D52" s="35">
        <f t="shared" si="0"/>
        <v>116077</v>
      </c>
      <c r="E52" s="1">
        <v>5506</v>
      </c>
      <c r="F52" s="1">
        <v>12372</v>
      </c>
      <c r="G52" s="1">
        <v>97655059</v>
      </c>
      <c r="H52" s="1">
        <v>546971</v>
      </c>
      <c r="I52" s="1">
        <v>517241</v>
      </c>
      <c r="J52" s="1">
        <v>1815829</v>
      </c>
      <c r="K52" s="1">
        <v>2516328</v>
      </c>
      <c r="L52" s="1">
        <v>9186161</v>
      </c>
      <c r="M52" s="1">
        <v>192760</v>
      </c>
      <c r="N52" s="1">
        <v>12191976</v>
      </c>
      <c r="O52" s="1">
        <v>1095431</v>
      </c>
      <c r="P52" s="1">
        <v>88</v>
      </c>
      <c r="Q52" s="1">
        <v>70</v>
      </c>
      <c r="R52" s="1">
        <v>20556</v>
      </c>
      <c r="S52" s="1">
        <v>11527</v>
      </c>
      <c r="T52" s="1">
        <v>28350819</v>
      </c>
      <c r="U52" s="1">
        <v>272881607</v>
      </c>
      <c r="V52" s="1">
        <v>563117938</v>
      </c>
      <c r="W52" s="1">
        <v>579736</v>
      </c>
      <c r="X52" s="1">
        <v>507909</v>
      </c>
      <c r="Y52" s="1">
        <v>116077000</v>
      </c>
      <c r="Z52" s="1">
        <v>12008</v>
      </c>
      <c r="AA52" s="1">
        <v>21703</v>
      </c>
      <c r="AB52" s="1">
        <v>33711</v>
      </c>
      <c r="AC52" s="1">
        <v>702370097</v>
      </c>
      <c r="AD52" s="1">
        <v>158439140</v>
      </c>
      <c r="AE52" s="1">
        <v>535383</v>
      </c>
      <c r="AF52" s="1">
        <v>17365949</v>
      </c>
      <c r="AG52" s="1">
        <v>59372950</v>
      </c>
      <c r="AH52" s="1">
        <v>40183</v>
      </c>
      <c r="AI52" s="1">
        <v>215316284</v>
      </c>
      <c r="AJ52" s="1">
        <v>1153439983</v>
      </c>
      <c r="AK52" s="1">
        <v>1051185151</v>
      </c>
      <c r="AL52" s="1">
        <v>54060332</v>
      </c>
      <c r="AM52" s="1">
        <v>40576647</v>
      </c>
      <c r="AN52" s="1">
        <v>1145822125</v>
      </c>
      <c r="AO52" s="1">
        <v>79133549</v>
      </c>
      <c r="AP52" s="1">
        <v>3875464</v>
      </c>
      <c r="AQ52" s="1">
        <v>19443298</v>
      </c>
      <c r="AR52" s="1">
        <v>18830927</v>
      </c>
      <c r="AS52" s="1">
        <v>121283239</v>
      </c>
      <c r="AT52" s="1">
        <f t="shared" si="9"/>
        <v>13287407</v>
      </c>
      <c r="AU52">
        <f t="shared" si="10"/>
        <v>0.4845905068646561</v>
      </c>
      <c r="AV52">
        <f t="shared" si="11"/>
        <v>9.9368521154061522</v>
      </c>
      <c r="AW52">
        <f t="shared" si="12"/>
        <v>244.24148625481362</v>
      </c>
      <c r="AX52">
        <f t="shared" si="13"/>
        <v>4851.2447599438301</v>
      </c>
      <c r="AY52">
        <f t="shared" si="14"/>
        <v>841.29551073856146</v>
      </c>
      <c r="AZ52">
        <f t="shared" si="15"/>
        <v>968.58420703498541</v>
      </c>
      <c r="BA52">
        <f t="shared" si="16"/>
        <v>79.138511505293906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BA52"/>
  <sheetViews>
    <sheetView workbookViewId="0">
      <pane xSplit="3" ySplit="1" topLeftCell="D2" activePane="bottomRight" state="frozen"/>
      <selection activeCell="B13" sqref="B13:B14"/>
      <selection pane="topRight" activeCell="B13" sqref="B13:B14"/>
      <selection pane="bottomLeft" activeCell="B13" sqref="B13:B14"/>
      <selection pane="bottomRight" activeCell="B13" sqref="B13:B14"/>
    </sheetView>
  </sheetViews>
  <sheetFormatPr defaultRowHeight="12.5" x14ac:dyDescent="0.25"/>
  <cols>
    <col min="1" max="40" width="9.1796875" style="1" customWidth="1"/>
    <col min="42" max="45" width="9.1796875" style="1" customWidth="1"/>
  </cols>
  <sheetData>
    <row r="1" spans="1:53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142</v>
      </c>
      <c r="V1" s="36" t="s">
        <v>81</v>
      </c>
      <c r="W1" s="36" t="s">
        <v>96</v>
      </c>
      <c r="X1" s="36" t="s">
        <v>97</v>
      </c>
      <c r="Y1" s="36" t="s">
        <v>82</v>
      </c>
      <c r="Z1" s="36" t="s">
        <v>83</v>
      </c>
      <c r="AA1" s="36" t="s">
        <v>84</v>
      </c>
      <c r="AB1" s="36" t="s">
        <v>85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138</v>
      </c>
      <c r="AJ1" s="36" t="s">
        <v>139</v>
      </c>
      <c r="AK1" s="36" t="s">
        <v>86</v>
      </c>
      <c r="AL1" s="36" t="s">
        <v>87</v>
      </c>
      <c r="AM1" s="36" t="s">
        <v>88</v>
      </c>
      <c r="AN1" s="36" t="s">
        <v>89</v>
      </c>
      <c r="AO1" s="36" t="s">
        <v>90</v>
      </c>
      <c r="AP1" s="36" t="s">
        <v>91</v>
      </c>
      <c r="AQ1" s="36" t="s">
        <v>92</v>
      </c>
      <c r="AR1" s="36" t="s">
        <v>93</v>
      </c>
      <c r="AS1" s="36" t="s">
        <v>94</v>
      </c>
      <c r="AT1" s="36" t="s">
        <v>286</v>
      </c>
      <c r="AU1" s="36" t="s">
        <v>287</v>
      </c>
      <c r="AV1" s="36" t="s">
        <v>288</v>
      </c>
      <c r="AW1" s="36" t="s">
        <v>289</v>
      </c>
      <c r="AX1" s="36" t="s">
        <v>290</v>
      </c>
      <c r="AY1" s="36" t="s">
        <v>291</v>
      </c>
      <c r="AZ1" s="36" t="s">
        <v>292</v>
      </c>
      <c r="BA1" s="36" t="s">
        <v>293</v>
      </c>
    </row>
    <row r="2" spans="1:53" x14ac:dyDescent="0.25">
      <c r="A2" s="1" t="s">
        <v>32</v>
      </c>
      <c r="B2" s="1" t="s">
        <v>150</v>
      </c>
      <c r="C2" s="44" t="s">
        <v>98</v>
      </c>
      <c r="D2" s="35">
        <f>+Y2/1000</f>
        <v>8769.1</v>
      </c>
      <c r="E2" s="38">
        <v>4128</v>
      </c>
      <c r="F2" s="38">
        <v>4128</v>
      </c>
      <c r="G2" s="38">
        <v>39950456</v>
      </c>
      <c r="H2" s="38">
        <v>7853</v>
      </c>
      <c r="I2" s="38"/>
      <c r="J2" s="38"/>
      <c r="K2" s="38">
        <v>6639</v>
      </c>
      <c r="L2" s="38">
        <v>455665</v>
      </c>
      <c r="M2" s="38"/>
      <c r="N2" s="38">
        <v>251370</v>
      </c>
      <c r="O2" s="38">
        <v>3077</v>
      </c>
      <c r="P2" s="38">
        <v>80</v>
      </c>
      <c r="Q2" s="38"/>
      <c r="R2" s="38"/>
      <c r="S2" s="38"/>
      <c r="T2" s="38">
        <v>812472</v>
      </c>
      <c r="U2" s="38">
        <v>16197152</v>
      </c>
      <c r="V2" s="38">
        <v>8778919</v>
      </c>
      <c r="W2" s="38">
        <v>10738</v>
      </c>
      <c r="X2" s="38">
        <v>12218</v>
      </c>
      <c r="Y2" s="72">
        <v>8769100</v>
      </c>
      <c r="Z2" s="38">
        <v>2533</v>
      </c>
      <c r="AA2" s="38">
        <v>1081</v>
      </c>
      <c r="AB2" s="38">
        <v>3614</v>
      </c>
      <c r="AC2" s="38">
        <v>3867352</v>
      </c>
      <c r="AD2" s="38">
        <v>619874</v>
      </c>
      <c r="AE2" s="38">
        <v>0</v>
      </c>
      <c r="AF2" s="38">
        <v>0</v>
      </c>
      <c r="AG2" s="38">
        <v>0</v>
      </c>
      <c r="AH2" s="38">
        <v>0</v>
      </c>
      <c r="AI2" s="38">
        <v>307229</v>
      </c>
      <c r="AJ2" s="38">
        <v>4794456</v>
      </c>
      <c r="AK2" s="38">
        <v>4306495</v>
      </c>
      <c r="AL2" s="38">
        <v>252605</v>
      </c>
      <c r="AM2" s="38">
        <v>298285</v>
      </c>
      <c r="AN2" s="38">
        <v>4857384</v>
      </c>
      <c r="AO2" s="38"/>
      <c r="AP2" s="38"/>
      <c r="AQ2" s="38"/>
      <c r="AR2" s="38"/>
      <c r="AS2" s="38"/>
      <c r="AT2" s="1">
        <f>+N2+O2</f>
        <v>254447</v>
      </c>
      <c r="AU2">
        <f>+U2/V2</f>
        <v>1.8450052905146979</v>
      </c>
      <c r="AV2">
        <f>+AJ2/Y2</f>
        <v>0.54674436373173985</v>
      </c>
      <c r="AW2">
        <f>+T2/D2</f>
        <v>92.65169743759337</v>
      </c>
      <c r="AX2">
        <f>+V2/D2</f>
        <v>1001.1197272240024</v>
      </c>
      <c r="AY2">
        <f>+G2/D2</f>
        <v>4555.8216920778641</v>
      </c>
      <c r="AZ2">
        <f>SUM(G2:M2)/D2</f>
        <v>4609.436886339533</v>
      </c>
      <c r="BA2">
        <f>+L2/D2</f>
        <v>51.962573126090476</v>
      </c>
    </row>
    <row r="3" spans="1:53" x14ac:dyDescent="0.25">
      <c r="A3" s="1" t="s">
        <v>33</v>
      </c>
      <c r="B3" s="1" t="s">
        <v>150</v>
      </c>
      <c r="C3" s="44" t="s">
        <v>99</v>
      </c>
      <c r="D3" s="35">
        <f t="shared" ref="D3:D52" si="0">+Y3/1000</f>
        <v>10289.620999999999</v>
      </c>
      <c r="E3" s="38">
        <v>6140</v>
      </c>
      <c r="F3" s="38">
        <v>7318</v>
      </c>
      <c r="G3" s="38">
        <v>54279973</v>
      </c>
      <c r="H3" s="38">
        <v>78810</v>
      </c>
      <c r="I3" s="38">
        <v>87279</v>
      </c>
      <c r="J3" s="38">
        <v>3949</v>
      </c>
      <c r="K3" s="38">
        <v>116782</v>
      </c>
      <c r="L3" s="38">
        <v>454737</v>
      </c>
      <c r="M3" s="38">
        <v>3124</v>
      </c>
      <c r="N3" s="38">
        <v>1794569</v>
      </c>
      <c r="O3" s="38">
        <v>21161</v>
      </c>
      <c r="P3" s="38">
        <v>76</v>
      </c>
      <c r="Q3" s="38">
        <v>43</v>
      </c>
      <c r="R3" s="38">
        <v>131</v>
      </c>
      <c r="S3" s="38">
        <v>81</v>
      </c>
      <c r="T3" s="38">
        <v>1449562</v>
      </c>
      <c r="U3" s="38">
        <v>62002614</v>
      </c>
      <c r="V3" s="38">
        <v>16115175</v>
      </c>
      <c r="W3" s="38">
        <v>72613</v>
      </c>
      <c r="X3" s="38">
        <v>50907</v>
      </c>
      <c r="Y3" s="72">
        <v>10289621</v>
      </c>
      <c r="Z3" s="38">
        <v>3693</v>
      </c>
      <c r="AA3" s="38">
        <v>651</v>
      </c>
      <c r="AB3" s="38">
        <v>4344</v>
      </c>
      <c r="AC3" s="38">
        <v>12891333</v>
      </c>
      <c r="AD3" s="38">
        <v>4484546</v>
      </c>
      <c r="AE3" s="38">
        <v>4921</v>
      </c>
      <c r="AF3" s="38">
        <v>183971</v>
      </c>
      <c r="AG3" s="38">
        <v>752295</v>
      </c>
      <c r="AH3" s="38">
        <v>660928</v>
      </c>
      <c r="AI3" s="38">
        <v>11827075</v>
      </c>
      <c r="AJ3" s="38">
        <v>30805069</v>
      </c>
      <c r="AK3" s="38">
        <v>32717085</v>
      </c>
      <c r="AL3" s="38">
        <v>1891397</v>
      </c>
      <c r="AM3" s="38">
        <v>2491670</v>
      </c>
      <c r="AN3" s="38">
        <v>37100152</v>
      </c>
      <c r="AO3" s="38">
        <v>3869078</v>
      </c>
      <c r="AP3" s="38">
        <v>0</v>
      </c>
      <c r="AQ3" s="38">
        <v>0</v>
      </c>
      <c r="AR3" s="38">
        <v>5695009</v>
      </c>
      <c r="AS3" s="38">
        <v>9564088</v>
      </c>
      <c r="AT3" s="1">
        <f t="shared" ref="AT3:AT45" si="1">+N3+O3</f>
        <v>1815730</v>
      </c>
      <c r="AU3">
        <f t="shared" ref="AU3:AU45" si="2">+U3/V3</f>
        <v>3.8474676198055557</v>
      </c>
      <c r="AV3">
        <f t="shared" ref="AV3:AV45" si="3">+AJ3/Y3</f>
        <v>2.9938001603751974</v>
      </c>
      <c r="AW3">
        <f t="shared" ref="AW3:AW45" si="4">+T3/D3</f>
        <v>140.876131394927</v>
      </c>
      <c r="AX3">
        <f t="shared" ref="AX3:AX45" si="5">+V3/D3</f>
        <v>1566.1582676368741</v>
      </c>
      <c r="AY3">
        <f t="shared" ref="AY3:AY45" si="6">+G3/D3</f>
        <v>5275.2159676240753</v>
      </c>
      <c r="AZ3">
        <f t="shared" ref="AZ3:AZ45" si="7">SUM(G3:M3)/D3</f>
        <v>5347.5880209776442</v>
      </c>
      <c r="BA3">
        <f t="shared" ref="BA3:BA45" si="8">+L3/D3</f>
        <v>44.19375601880769</v>
      </c>
    </row>
    <row r="4" spans="1:53" x14ac:dyDescent="0.25">
      <c r="A4" s="1" t="s">
        <v>34</v>
      </c>
      <c r="B4" s="1" t="s">
        <v>150</v>
      </c>
      <c r="C4" s="44" t="s">
        <v>100</v>
      </c>
      <c r="D4" s="35">
        <f t="shared" si="0"/>
        <v>1453.8</v>
      </c>
      <c r="E4" s="38">
        <v>599</v>
      </c>
      <c r="F4" s="38">
        <v>738</v>
      </c>
      <c r="G4" s="38">
        <v>10656673</v>
      </c>
      <c r="H4" s="38">
        <v>10000</v>
      </c>
      <c r="I4" s="38">
        <v>17646</v>
      </c>
      <c r="J4" s="38">
        <v>53</v>
      </c>
      <c r="K4" s="38">
        <v>1600</v>
      </c>
      <c r="L4" s="38">
        <v>42769</v>
      </c>
      <c r="M4" s="38">
        <v>598</v>
      </c>
      <c r="N4" s="38">
        <v>544016</v>
      </c>
      <c r="O4" s="38">
        <v>3915</v>
      </c>
      <c r="P4" s="38">
        <v>70</v>
      </c>
      <c r="Q4" s="38">
        <v>0</v>
      </c>
      <c r="R4" s="38">
        <v>0</v>
      </c>
      <c r="S4" s="38">
        <v>0</v>
      </c>
      <c r="T4" s="38">
        <v>428437</v>
      </c>
      <c r="U4" s="38">
        <v>15351751</v>
      </c>
      <c r="V4" s="38">
        <v>5461970</v>
      </c>
      <c r="W4" s="38"/>
      <c r="X4" s="38"/>
      <c r="Y4" s="72">
        <v>1453800</v>
      </c>
      <c r="Z4" s="38">
        <v>1171</v>
      </c>
      <c r="AA4" s="38">
        <v>296</v>
      </c>
      <c r="AB4" s="38">
        <v>1467</v>
      </c>
      <c r="AC4" s="38">
        <v>3943800</v>
      </c>
      <c r="AD4" s="38">
        <v>2859934</v>
      </c>
      <c r="AE4" s="38">
        <v>0</v>
      </c>
      <c r="AF4" s="38">
        <v>0</v>
      </c>
      <c r="AG4" s="38">
        <v>0</v>
      </c>
      <c r="AH4" s="38">
        <v>0</v>
      </c>
      <c r="AI4" s="38">
        <v>1952781</v>
      </c>
      <c r="AJ4" s="38">
        <v>8756515</v>
      </c>
      <c r="AK4" s="38">
        <v>10354432</v>
      </c>
      <c r="AL4" s="38">
        <v>0</v>
      </c>
      <c r="AM4" s="38">
        <v>296831</v>
      </c>
      <c r="AN4" s="38">
        <v>10651262</v>
      </c>
      <c r="AO4" s="38">
        <v>1575943</v>
      </c>
      <c r="AP4" s="38">
        <v>0</v>
      </c>
      <c r="AQ4" s="38">
        <v>0</v>
      </c>
      <c r="AR4" s="38">
        <v>271406</v>
      </c>
      <c r="AS4" s="38">
        <v>1847349</v>
      </c>
      <c r="AT4" s="1">
        <f t="shared" si="1"/>
        <v>547931</v>
      </c>
      <c r="AU4">
        <f t="shared" si="2"/>
        <v>2.8106619040382865</v>
      </c>
      <c r="AV4">
        <f t="shared" si="3"/>
        <v>6.0231909478607788</v>
      </c>
      <c r="AW4">
        <f t="shared" si="4"/>
        <v>294.70147200440226</v>
      </c>
      <c r="AX4">
        <f t="shared" si="5"/>
        <v>3757.0298527995601</v>
      </c>
      <c r="AY4">
        <f t="shared" si="6"/>
        <v>7330.2194249552895</v>
      </c>
      <c r="AZ4">
        <f t="shared" si="7"/>
        <v>7380.2029164947035</v>
      </c>
      <c r="BA4">
        <f t="shared" si="8"/>
        <v>29.418764616866145</v>
      </c>
    </row>
    <row r="5" spans="1:53" x14ac:dyDescent="0.25">
      <c r="A5" s="1" t="s">
        <v>35</v>
      </c>
      <c r="B5" s="1" t="s">
        <v>150</v>
      </c>
      <c r="C5" s="44" t="s">
        <v>101</v>
      </c>
      <c r="D5" s="35">
        <f t="shared" si="0"/>
        <v>10135.358</v>
      </c>
      <c r="E5" s="38">
        <v>2883</v>
      </c>
      <c r="F5" s="38">
        <v>3518</v>
      </c>
      <c r="G5" s="38">
        <v>43377000</v>
      </c>
      <c r="H5" s="38">
        <v>37441</v>
      </c>
      <c r="I5" s="38"/>
      <c r="J5" s="38"/>
      <c r="K5" s="38"/>
      <c r="L5" s="38">
        <v>1234000</v>
      </c>
      <c r="M5" s="38">
        <v>5208</v>
      </c>
      <c r="N5" s="38">
        <v>1016521</v>
      </c>
      <c r="O5" s="38">
        <v>20985</v>
      </c>
      <c r="P5" s="38"/>
      <c r="Q5" s="38"/>
      <c r="R5" s="38"/>
      <c r="S5" s="38"/>
      <c r="T5" s="38">
        <v>1343508</v>
      </c>
      <c r="U5" s="38">
        <v>36723500</v>
      </c>
      <c r="V5" s="38">
        <v>16501920</v>
      </c>
      <c r="W5" s="38">
        <v>15745</v>
      </c>
      <c r="X5" s="38">
        <v>44995</v>
      </c>
      <c r="Y5" s="72">
        <v>10135358</v>
      </c>
      <c r="Z5" s="38">
        <v>3100</v>
      </c>
      <c r="AA5" s="38">
        <v>781</v>
      </c>
      <c r="AB5" s="38">
        <v>3881</v>
      </c>
      <c r="AC5" s="38">
        <v>17185728</v>
      </c>
      <c r="AD5" s="38">
        <v>3630203</v>
      </c>
      <c r="AE5" s="38">
        <v>0</v>
      </c>
      <c r="AF5" s="38">
        <v>0</v>
      </c>
      <c r="AG5" s="38">
        <v>0</v>
      </c>
      <c r="AH5" s="38">
        <v>0</v>
      </c>
      <c r="AI5" s="38">
        <v>9098170</v>
      </c>
      <c r="AJ5" s="38">
        <v>29914100</v>
      </c>
      <c r="AK5" s="38">
        <v>20493007</v>
      </c>
      <c r="AL5" s="38">
        <v>0</v>
      </c>
      <c r="AM5" s="38">
        <v>9421093</v>
      </c>
      <c r="AN5" s="38">
        <v>29914100</v>
      </c>
      <c r="AO5" s="38"/>
      <c r="AP5" s="38"/>
      <c r="AQ5" s="38"/>
      <c r="AR5" s="38"/>
      <c r="AS5" s="38"/>
      <c r="AT5" s="1">
        <f t="shared" si="1"/>
        <v>1037506</v>
      </c>
      <c r="AU5">
        <f t="shared" si="2"/>
        <v>2.225407710133124</v>
      </c>
      <c r="AV5">
        <f t="shared" si="3"/>
        <v>2.9514596327036497</v>
      </c>
      <c r="AW5">
        <f t="shared" si="4"/>
        <v>132.5565411700307</v>
      </c>
      <c r="AX5">
        <f t="shared" si="5"/>
        <v>1628.1536379869365</v>
      </c>
      <c r="AY5">
        <f t="shared" si="6"/>
        <v>4279.7698907132826</v>
      </c>
      <c r="AZ5">
        <f t="shared" si="7"/>
        <v>4405.7298222716945</v>
      </c>
      <c r="BA5">
        <f t="shared" si="8"/>
        <v>121.75198942158728</v>
      </c>
    </row>
    <row r="6" spans="1:53" x14ac:dyDescent="0.25">
      <c r="A6" s="1" t="s">
        <v>36</v>
      </c>
      <c r="B6" s="1" t="s">
        <v>150</v>
      </c>
      <c r="C6" s="44" t="s">
        <v>102</v>
      </c>
      <c r="D6" s="35">
        <f t="shared" si="0"/>
        <v>2557.4</v>
      </c>
      <c r="E6" s="38">
        <v>1000</v>
      </c>
      <c r="F6" s="38">
        <v>1018</v>
      </c>
      <c r="G6" s="38">
        <v>15344000</v>
      </c>
      <c r="H6" s="38"/>
      <c r="I6" s="38"/>
      <c r="J6" s="38"/>
      <c r="K6" s="38">
        <v>1001</v>
      </c>
      <c r="L6" s="38">
        <v>147624</v>
      </c>
      <c r="M6" s="38"/>
      <c r="N6" s="38">
        <v>445000</v>
      </c>
      <c r="O6" s="38">
        <v>5366</v>
      </c>
      <c r="P6" s="38"/>
      <c r="Q6" s="38"/>
      <c r="R6" s="38"/>
      <c r="S6" s="38"/>
      <c r="T6" s="38">
        <v>506000</v>
      </c>
      <c r="U6" s="38">
        <v>17902000</v>
      </c>
      <c r="V6" s="38">
        <v>5115000</v>
      </c>
      <c r="W6" s="38">
        <v>0</v>
      </c>
      <c r="X6" s="38">
        <v>0</v>
      </c>
      <c r="Y6" s="72">
        <v>2557400</v>
      </c>
      <c r="Z6" s="38">
        <v>1599</v>
      </c>
      <c r="AA6" s="38">
        <v>301</v>
      </c>
      <c r="AB6" s="38">
        <v>1900</v>
      </c>
      <c r="AC6" s="38">
        <v>3264898</v>
      </c>
      <c r="AD6" s="38">
        <v>848904</v>
      </c>
      <c r="AE6" s="38">
        <v>0</v>
      </c>
      <c r="AF6" s="38">
        <v>0</v>
      </c>
      <c r="AG6" s="38">
        <v>0</v>
      </c>
      <c r="AH6" s="38">
        <v>0</v>
      </c>
      <c r="AI6" s="38">
        <v>2414456</v>
      </c>
      <c r="AJ6" s="38">
        <v>6528258</v>
      </c>
      <c r="AK6" s="38">
        <v>5702120</v>
      </c>
      <c r="AL6" s="38">
        <v>444012</v>
      </c>
      <c r="AM6" s="38">
        <v>382126</v>
      </c>
      <c r="AN6" s="38">
        <v>6528258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1">
        <f t="shared" si="1"/>
        <v>450366</v>
      </c>
      <c r="AU6">
        <f t="shared" si="2"/>
        <v>3.4999022482893452</v>
      </c>
      <c r="AV6">
        <f t="shared" si="3"/>
        <v>2.5526933604442013</v>
      </c>
      <c r="AW6">
        <f t="shared" si="4"/>
        <v>197.8571987174474</v>
      </c>
      <c r="AX6">
        <f t="shared" si="5"/>
        <v>2000.0782044263703</v>
      </c>
      <c r="AY6">
        <f t="shared" si="6"/>
        <v>5999.8435911472588</v>
      </c>
      <c r="AZ6">
        <f t="shared" si="7"/>
        <v>6057.9592554938608</v>
      </c>
      <c r="BA6">
        <f t="shared" si="8"/>
        <v>57.724251192617501</v>
      </c>
    </row>
    <row r="7" spans="1:53" x14ac:dyDescent="0.25">
      <c r="A7" s="1" t="s">
        <v>37</v>
      </c>
      <c r="B7" s="1" t="s">
        <v>150</v>
      </c>
      <c r="C7" s="44" t="s">
        <v>103</v>
      </c>
      <c r="D7" s="35">
        <f t="shared" si="0"/>
        <v>3702.6</v>
      </c>
      <c r="E7" s="38">
        <v>61</v>
      </c>
      <c r="F7" s="38">
        <v>1464</v>
      </c>
      <c r="G7" s="38">
        <v>24022858</v>
      </c>
      <c r="H7" s="38"/>
      <c r="I7" s="38"/>
      <c r="J7" s="38">
        <v>5551</v>
      </c>
      <c r="K7" s="38">
        <v>1094</v>
      </c>
      <c r="L7" s="38">
        <v>260515</v>
      </c>
      <c r="M7" s="38">
        <v>136</v>
      </c>
      <c r="N7" s="38">
        <v>968666</v>
      </c>
      <c r="O7" s="38">
        <v>4702</v>
      </c>
      <c r="P7" s="38">
        <v>96</v>
      </c>
      <c r="Q7" s="38"/>
      <c r="R7" s="38">
        <v>31</v>
      </c>
      <c r="S7" s="38">
        <v>0</v>
      </c>
      <c r="T7" s="38">
        <v>797540</v>
      </c>
      <c r="U7" s="38">
        <v>21990579</v>
      </c>
      <c r="V7" s="38">
        <v>7628828</v>
      </c>
      <c r="W7" s="38">
        <v>8875</v>
      </c>
      <c r="X7" s="38">
        <v>3261</v>
      </c>
      <c r="Y7" s="72">
        <v>3702600</v>
      </c>
      <c r="Z7" s="38">
        <v>3120</v>
      </c>
      <c r="AA7" s="38">
        <v>996</v>
      </c>
      <c r="AB7" s="38">
        <v>4116</v>
      </c>
      <c r="AC7" s="38">
        <v>7326062</v>
      </c>
      <c r="AD7" s="38">
        <v>1060107</v>
      </c>
      <c r="AE7" s="38">
        <v>0</v>
      </c>
      <c r="AF7" s="38">
        <v>0</v>
      </c>
      <c r="AG7" s="38">
        <v>0</v>
      </c>
      <c r="AH7" s="38">
        <v>0</v>
      </c>
      <c r="AI7" s="38">
        <v>4074271</v>
      </c>
      <c r="AJ7" s="38">
        <v>12460440</v>
      </c>
      <c r="AK7" s="38">
        <v>12624968</v>
      </c>
      <c r="AL7" s="38">
        <v>88798</v>
      </c>
      <c r="AM7" s="38">
        <v>111097</v>
      </c>
      <c r="AN7" s="38">
        <v>12824862</v>
      </c>
      <c r="AO7" s="38"/>
      <c r="AP7" s="38"/>
      <c r="AQ7" s="38"/>
      <c r="AR7" s="38"/>
      <c r="AS7" s="38"/>
      <c r="AT7" s="1">
        <f t="shared" si="1"/>
        <v>973368</v>
      </c>
      <c r="AU7">
        <f t="shared" si="2"/>
        <v>2.8825632194093247</v>
      </c>
      <c r="AV7">
        <f t="shared" si="3"/>
        <v>3.3653216658564253</v>
      </c>
      <c r="AW7">
        <f t="shared" si="4"/>
        <v>215.39998919678064</v>
      </c>
      <c r="AX7">
        <f t="shared" si="5"/>
        <v>2060.3975584724249</v>
      </c>
      <c r="AY7">
        <f t="shared" si="6"/>
        <v>6488.105115324367</v>
      </c>
      <c r="AZ7">
        <f t="shared" si="7"/>
        <v>6560.2965483714152</v>
      </c>
      <c r="BA7">
        <f t="shared" si="8"/>
        <v>70.360017285150974</v>
      </c>
    </row>
    <row r="8" spans="1:53" x14ac:dyDescent="0.25">
      <c r="A8" s="1" t="s">
        <v>38</v>
      </c>
      <c r="B8" s="1" t="s">
        <v>150</v>
      </c>
      <c r="C8" s="44" t="s">
        <v>104</v>
      </c>
      <c r="D8" s="35">
        <f t="shared" si="0"/>
        <v>38666</v>
      </c>
      <c r="E8" s="38">
        <v>9230</v>
      </c>
      <c r="F8" s="38">
        <v>3565</v>
      </c>
      <c r="G8" s="38">
        <v>135867218</v>
      </c>
      <c r="H8" s="38"/>
      <c r="I8" s="38"/>
      <c r="J8" s="38"/>
      <c r="K8" s="38">
        <v>10383</v>
      </c>
      <c r="L8" s="38">
        <v>2597035</v>
      </c>
      <c r="M8" s="38"/>
      <c r="N8" s="38">
        <v>3794111</v>
      </c>
      <c r="O8" s="38">
        <v>121207</v>
      </c>
      <c r="P8" s="38"/>
      <c r="Q8" s="38"/>
      <c r="R8" s="38"/>
      <c r="S8" s="38"/>
      <c r="T8" s="38">
        <v>7222496</v>
      </c>
      <c r="U8" s="38">
        <v>189035327</v>
      </c>
      <c r="V8" s="38"/>
      <c r="W8" s="38">
        <v>105852</v>
      </c>
      <c r="X8" s="38">
        <v>120447</v>
      </c>
      <c r="Y8" s="72">
        <v>38666000</v>
      </c>
      <c r="Z8" s="38">
        <v>11137</v>
      </c>
      <c r="AA8" s="38">
        <v>6691</v>
      </c>
      <c r="AB8" s="38">
        <v>17828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1">
        <f t="shared" si="1"/>
        <v>3915318</v>
      </c>
      <c r="AU8" t="e">
        <f t="shared" si="2"/>
        <v>#DIV/0!</v>
      </c>
      <c r="AV8">
        <f t="shared" si="3"/>
        <v>0</v>
      </c>
      <c r="AW8">
        <f t="shared" si="4"/>
        <v>186.79191020534836</v>
      </c>
      <c r="AX8">
        <f t="shared" si="5"/>
        <v>0</v>
      </c>
      <c r="AY8">
        <f t="shared" si="6"/>
        <v>3513.867945999069</v>
      </c>
      <c r="AZ8">
        <f t="shared" si="7"/>
        <v>3581.3023327988412</v>
      </c>
      <c r="BA8">
        <f t="shared" si="8"/>
        <v>67.165856307867372</v>
      </c>
    </row>
    <row r="9" spans="1:53" x14ac:dyDescent="0.25">
      <c r="A9" s="1" t="s">
        <v>39</v>
      </c>
      <c r="B9" s="1" t="s">
        <v>150</v>
      </c>
      <c r="C9" s="44" t="s">
        <v>105</v>
      </c>
      <c r="D9" s="35">
        <f t="shared" si="0"/>
        <v>22502.803</v>
      </c>
      <c r="E9" s="38">
        <v>2953</v>
      </c>
      <c r="F9" s="38">
        <v>3246</v>
      </c>
      <c r="G9" s="38">
        <v>50493040</v>
      </c>
      <c r="H9" s="38">
        <v>9011</v>
      </c>
      <c r="I9" s="38">
        <v>10369</v>
      </c>
      <c r="J9" s="38">
        <v>81753</v>
      </c>
      <c r="K9" s="38">
        <v>9515</v>
      </c>
      <c r="L9" s="38">
        <v>295464</v>
      </c>
      <c r="M9" s="38">
        <v>839</v>
      </c>
      <c r="N9" s="38">
        <v>984422</v>
      </c>
      <c r="O9" s="38">
        <v>7190</v>
      </c>
      <c r="P9" s="38">
        <v>46</v>
      </c>
      <c r="Q9" s="38">
        <v>2</v>
      </c>
      <c r="R9" s="38">
        <v>45</v>
      </c>
      <c r="S9" s="38">
        <v>28</v>
      </c>
      <c r="T9" s="38">
        <v>1994240</v>
      </c>
      <c r="U9" s="38">
        <v>37892994</v>
      </c>
      <c r="V9" s="38">
        <v>15571569</v>
      </c>
      <c r="W9" s="38">
        <v>3713</v>
      </c>
      <c r="X9" s="38">
        <v>4359</v>
      </c>
      <c r="Y9" s="72">
        <v>22502803</v>
      </c>
      <c r="Z9" s="38">
        <v>4433</v>
      </c>
      <c r="AA9" s="38">
        <v>581</v>
      </c>
      <c r="AB9" s="38">
        <v>5014</v>
      </c>
      <c r="AC9" s="38">
        <v>2675285</v>
      </c>
      <c r="AD9" s="38">
        <v>792972</v>
      </c>
      <c r="AE9" s="38">
        <v>433</v>
      </c>
      <c r="AF9" s="38">
        <v>7673</v>
      </c>
      <c r="AG9" s="38">
        <v>29569</v>
      </c>
      <c r="AH9" s="38">
        <v>25464</v>
      </c>
      <c r="AI9" s="38">
        <v>1332758</v>
      </c>
      <c r="AJ9" s="38">
        <v>4864154</v>
      </c>
      <c r="AK9" s="38">
        <v>4718229</v>
      </c>
      <c r="AL9" s="38">
        <v>48642</v>
      </c>
      <c r="AM9" s="38">
        <v>97283</v>
      </c>
      <c r="AN9" s="38">
        <v>4864154</v>
      </c>
      <c r="AO9" s="38">
        <v>341583</v>
      </c>
      <c r="AP9" s="38">
        <v>21833</v>
      </c>
      <c r="AQ9" s="38">
        <v>111572</v>
      </c>
      <c r="AR9" s="38">
        <v>98705</v>
      </c>
      <c r="AS9" s="38">
        <v>573693</v>
      </c>
      <c r="AT9" s="1">
        <f t="shared" si="1"/>
        <v>991612</v>
      </c>
      <c r="AU9">
        <f t="shared" si="2"/>
        <v>2.4334730816143191</v>
      </c>
      <c r="AV9">
        <f t="shared" si="3"/>
        <v>0.21615769377708191</v>
      </c>
      <c r="AW9">
        <f t="shared" si="4"/>
        <v>88.621848575930741</v>
      </c>
      <c r="AX9">
        <f t="shared" si="5"/>
        <v>691.98352756321071</v>
      </c>
      <c r="AY9">
        <f t="shared" si="6"/>
        <v>2243.8555765697279</v>
      </c>
      <c r="AZ9">
        <f t="shared" si="7"/>
        <v>2261.9400347592255</v>
      </c>
      <c r="BA9">
        <f t="shared" si="8"/>
        <v>13.130097614950458</v>
      </c>
    </row>
    <row r="10" spans="1:53" x14ac:dyDescent="0.25">
      <c r="A10" s="1" t="s">
        <v>40</v>
      </c>
      <c r="B10" s="1" t="s">
        <v>150</v>
      </c>
      <c r="C10" s="44" t="s">
        <v>106</v>
      </c>
      <c r="D10" s="35">
        <f t="shared" si="0"/>
        <v>5352.9</v>
      </c>
      <c r="E10" s="38">
        <v>2706</v>
      </c>
      <c r="F10" s="38">
        <v>3195</v>
      </c>
      <c r="G10" s="38">
        <v>19160968</v>
      </c>
      <c r="H10" s="38">
        <v>10666</v>
      </c>
      <c r="I10" s="38">
        <v>14085</v>
      </c>
      <c r="J10" s="38">
        <v>0</v>
      </c>
      <c r="K10" s="38">
        <v>0</v>
      </c>
      <c r="L10" s="38">
        <v>160059</v>
      </c>
      <c r="M10" s="38">
        <v>487</v>
      </c>
      <c r="N10" s="38">
        <v>356131</v>
      </c>
      <c r="O10" s="38">
        <v>2723</v>
      </c>
      <c r="P10" s="38">
        <v>95</v>
      </c>
      <c r="Q10" s="38">
        <v>49</v>
      </c>
      <c r="R10" s="38">
        <v>58</v>
      </c>
      <c r="S10" s="38">
        <v>51</v>
      </c>
      <c r="T10" s="38">
        <v>751086</v>
      </c>
      <c r="U10" s="38">
        <v>25799524</v>
      </c>
      <c r="V10" s="38">
        <v>7793474</v>
      </c>
      <c r="W10" s="38">
        <v>4605</v>
      </c>
      <c r="X10" s="38">
        <v>9236</v>
      </c>
      <c r="Y10" s="72">
        <v>5352900</v>
      </c>
      <c r="Z10" s="38">
        <v>1085</v>
      </c>
      <c r="AA10" s="38">
        <v>842</v>
      </c>
      <c r="AB10" s="38">
        <v>1927</v>
      </c>
      <c r="AC10" s="38">
        <v>3904308</v>
      </c>
      <c r="AD10" s="38">
        <v>962152</v>
      </c>
      <c r="AE10" s="38">
        <v>6317</v>
      </c>
      <c r="AF10" s="38">
        <v>15177</v>
      </c>
      <c r="AG10" s="38">
        <v>15177</v>
      </c>
      <c r="AH10" s="38">
        <v>0</v>
      </c>
      <c r="AI10" s="38">
        <v>2753139</v>
      </c>
      <c r="AJ10" s="38">
        <v>7656270</v>
      </c>
      <c r="AK10" s="38">
        <v>6145551</v>
      </c>
      <c r="AL10" s="38">
        <v>500115</v>
      </c>
      <c r="AM10" s="38">
        <v>437690</v>
      </c>
      <c r="AN10" s="38">
        <v>7083356</v>
      </c>
      <c r="AO10" s="38">
        <v>220560</v>
      </c>
      <c r="AP10" s="38">
        <v>0</v>
      </c>
      <c r="AQ10" s="38">
        <v>95371</v>
      </c>
      <c r="AR10" s="38">
        <v>58527</v>
      </c>
      <c r="AS10" s="38">
        <v>374459</v>
      </c>
      <c r="AT10" s="1">
        <f t="shared" si="1"/>
        <v>358854</v>
      </c>
      <c r="AU10">
        <f t="shared" si="2"/>
        <v>3.3104009842080693</v>
      </c>
      <c r="AV10">
        <f t="shared" si="3"/>
        <v>1.4303032001345066</v>
      </c>
      <c r="AW10">
        <f t="shared" si="4"/>
        <v>140.31384856806591</v>
      </c>
      <c r="AX10">
        <f t="shared" si="5"/>
        <v>1455.9349137850511</v>
      </c>
      <c r="AY10">
        <f t="shared" si="6"/>
        <v>3579.5490294980295</v>
      </c>
      <c r="AZ10">
        <f t="shared" si="7"/>
        <v>3614.1652188533321</v>
      </c>
      <c r="BA10">
        <f t="shared" si="8"/>
        <v>29.901361878607858</v>
      </c>
    </row>
    <row r="11" spans="1:53" x14ac:dyDescent="0.25">
      <c r="A11" s="1" t="s">
        <v>41</v>
      </c>
      <c r="B11" s="1" t="s">
        <v>150</v>
      </c>
      <c r="C11" s="44" t="s">
        <v>107</v>
      </c>
      <c r="D11" s="35">
        <f t="shared" si="0"/>
        <v>1983</v>
      </c>
      <c r="E11" s="38">
        <v>60</v>
      </c>
      <c r="F11" s="38">
        <v>299</v>
      </c>
      <c r="G11" s="38">
        <v>6495436</v>
      </c>
      <c r="H11" s="38">
        <v>14341</v>
      </c>
      <c r="I11" s="38">
        <v>23023</v>
      </c>
      <c r="J11" s="38">
        <v>14909</v>
      </c>
      <c r="K11" s="38">
        <v>2497</v>
      </c>
      <c r="L11" s="38">
        <v>177675</v>
      </c>
      <c r="M11" s="38">
        <v>184</v>
      </c>
      <c r="N11" s="38">
        <v>366453</v>
      </c>
      <c r="O11" s="38">
        <v>27335</v>
      </c>
      <c r="P11" s="38">
        <v>88</v>
      </c>
      <c r="Q11" s="38">
        <v>77</v>
      </c>
      <c r="R11" s="38">
        <v>272</v>
      </c>
      <c r="S11" s="38">
        <v>0</v>
      </c>
      <c r="T11" s="38">
        <v>463652</v>
      </c>
      <c r="U11" s="38">
        <v>15600266</v>
      </c>
      <c r="V11" s="38">
        <v>6250428</v>
      </c>
      <c r="W11" s="38">
        <v>0</v>
      </c>
      <c r="X11" s="38">
        <v>0</v>
      </c>
      <c r="Y11" s="72">
        <v>1983000</v>
      </c>
      <c r="Z11" s="38">
        <v>588</v>
      </c>
      <c r="AA11" s="38">
        <v>188</v>
      </c>
      <c r="AB11" s="38">
        <v>776</v>
      </c>
      <c r="AC11" s="38">
        <v>10927423</v>
      </c>
      <c r="AD11" s="38">
        <v>6116386</v>
      </c>
      <c r="AE11" s="38">
        <v>0</v>
      </c>
      <c r="AF11" s="38">
        <v>0</v>
      </c>
      <c r="AG11" s="38">
        <v>0</v>
      </c>
      <c r="AH11" s="38">
        <v>0</v>
      </c>
      <c r="AI11" s="38">
        <v>6449099</v>
      </c>
      <c r="AJ11" s="38">
        <v>23492908</v>
      </c>
      <c r="AK11" s="38">
        <v>20667857</v>
      </c>
      <c r="AL11" s="38">
        <v>2064308</v>
      </c>
      <c r="AM11" s="38">
        <v>429627</v>
      </c>
      <c r="AN11" s="38">
        <v>23161792</v>
      </c>
      <c r="AO11" s="38">
        <v>1310917</v>
      </c>
      <c r="AP11" s="38">
        <v>86946</v>
      </c>
      <c r="AQ11" s="38">
        <v>399947</v>
      </c>
      <c r="AR11" s="38">
        <v>482152</v>
      </c>
      <c r="AS11" s="38">
        <v>2279961</v>
      </c>
      <c r="AT11" s="1">
        <f t="shared" si="1"/>
        <v>393788</v>
      </c>
      <c r="AU11">
        <f t="shared" si="2"/>
        <v>2.4958716427099072</v>
      </c>
      <c r="AV11">
        <f t="shared" si="3"/>
        <v>11.847154815935451</v>
      </c>
      <c r="AW11">
        <f t="shared" si="4"/>
        <v>233.81341401916288</v>
      </c>
      <c r="AX11">
        <f t="shared" si="5"/>
        <v>3152.0060514372162</v>
      </c>
      <c r="AY11">
        <f t="shared" si="6"/>
        <v>3275.5602622289462</v>
      </c>
      <c r="AZ11">
        <f t="shared" si="7"/>
        <v>3392.8719112455874</v>
      </c>
      <c r="BA11">
        <f t="shared" si="8"/>
        <v>89.599092284417551</v>
      </c>
    </row>
    <row r="12" spans="1:53" x14ac:dyDescent="0.25">
      <c r="A12" s="1" t="s">
        <v>42</v>
      </c>
      <c r="B12" s="1" t="s">
        <v>151</v>
      </c>
      <c r="C12" s="44" t="s">
        <v>108</v>
      </c>
      <c r="D12" s="35">
        <f t="shared" si="0"/>
        <v>8094.0969999999998</v>
      </c>
      <c r="E12" s="38">
        <v>973</v>
      </c>
      <c r="F12" s="38">
        <v>1966</v>
      </c>
      <c r="G12" s="38">
        <v>9341615</v>
      </c>
      <c r="H12" s="38"/>
      <c r="I12" s="38"/>
      <c r="J12" s="38"/>
      <c r="K12" s="38"/>
      <c r="L12" s="38"/>
      <c r="M12" s="38"/>
      <c r="N12" s="38"/>
      <c r="O12" s="38"/>
      <c r="P12" s="38">
        <v>100</v>
      </c>
      <c r="Q12" s="38">
        <v>42</v>
      </c>
      <c r="R12" s="38">
        <v>309</v>
      </c>
      <c r="S12" s="38">
        <v>309</v>
      </c>
      <c r="T12" s="38">
        <v>908034</v>
      </c>
      <c r="U12" s="38">
        <v>16065599</v>
      </c>
      <c r="V12" s="38">
        <v>9970213</v>
      </c>
      <c r="W12" s="38">
        <v>20851</v>
      </c>
      <c r="X12" s="38">
        <v>22899</v>
      </c>
      <c r="Y12" s="72">
        <v>8094097</v>
      </c>
      <c r="Z12" s="38">
        <v>722</v>
      </c>
      <c r="AA12" s="38">
        <v>866</v>
      </c>
      <c r="AB12" s="38">
        <v>1588</v>
      </c>
      <c r="AC12" s="38">
        <v>19242933</v>
      </c>
      <c r="AD12" s="38">
        <v>5038336</v>
      </c>
      <c r="AE12" s="38">
        <v>3725</v>
      </c>
      <c r="AF12" s="38">
        <v>139251</v>
      </c>
      <c r="AG12" s="38">
        <v>569425</v>
      </c>
      <c r="AH12" s="38">
        <v>8765</v>
      </c>
      <c r="AI12" s="38">
        <v>8952123</v>
      </c>
      <c r="AJ12" s="38">
        <v>33954558</v>
      </c>
      <c r="AK12" s="38">
        <v>29657650</v>
      </c>
      <c r="AL12" s="38">
        <v>2309378</v>
      </c>
      <c r="AM12" s="38">
        <v>1987499</v>
      </c>
      <c r="AN12" s="38">
        <v>33954527</v>
      </c>
      <c r="AO12" s="38"/>
      <c r="AP12" s="38"/>
      <c r="AQ12" s="38"/>
      <c r="AR12" s="38"/>
      <c r="AS12" s="38"/>
      <c r="AT12" s="1">
        <f t="shared" si="1"/>
        <v>0</v>
      </c>
      <c r="AU12">
        <f t="shared" si="2"/>
        <v>1.6113596570103368</v>
      </c>
      <c r="AV12">
        <f t="shared" si="3"/>
        <v>4.1949778956194868</v>
      </c>
      <c r="AW12">
        <f t="shared" si="4"/>
        <v>112.18471930840464</v>
      </c>
      <c r="AX12">
        <f t="shared" si="5"/>
        <v>1231.7881784712984</v>
      </c>
      <c r="AY12">
        <f t="shared" si="6"/>
        <v>1154.1268902510064</v>
      </c>
      <c r="AZ12">
        <f t="shared" si="7"/>
        <v>1154.1268902510064</v>
      </c>
      <c r="BA12">
        <f t="shared" si="8"/>
        <v>0</v>
      </c>
    </row>
    <row r="13" spans="1:53" x14ac:dyDescent="0.25">
      <c r="A13" s="1" t="s">
        <v>318</v>
      </c>
      <c r="B13" s="1" t="s">
        <v>318</v>
      </c>
      <c r="C13" s="44" t="s">
        <v>317</v>
      </c>
      <c r="D13" s="35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72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1"/>
    </row>
    <row r="14" spans="1:53" x14ac:dyDescent="0.25">
      <c r="A14" s="1" t="s">
        <v>315</v>
      </c>
      <c r="B14" s="1" t="s">
        <v>315</v>
      </c>
      <c r="C14" s="44" t="s">
        <v>316</v>
      </c>
      <c r="D14" s="35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72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1"/>
    </row>
    <row r="15" spans="1:53" x14ac:dyDescent="0.25">
      <c r="A15" s="1" t="s">
        <v>43</v>
      </c>
      <c r="B15" s="1" t="s">
        <v>151</v>
      </c>
      <c r="C15" s="44" t="s">
        <v>109</v>
      </c>
      <c r="D15" s="35">
        <f t="shared" si="0"/>
        <v>9681.9</v>
      </c>
      <c r="E15" s="38">
        <v>495</v>
      </c>
      <c r="F15" s="38">
        <v>1485</v>
      </c>
      <c r="G15" s="38">
        <v>31391605</v>
      </c>
      <c r="H15" s="38"/>
      <c r="I15" s="38">
        <v>140102</v>
      </c>
      <c r="J15" s="38"/>
      <c r="K15" s="38"/>
      <c r="L15" s="38">
        <v>1735583</v>
      </c>
      <c r="M15" s="38">
        <v>83144</v>
      </c>
      <c r="N15" s="38">
        <v>1602000</v>
      </c>
      <c r="O15" s="38">
        <v>171044</v>
      </c>
      <c r="P15" s="38"/>
      <c r="Q15" s="38">
        <v>70</v>
      </c>
      <c r="R15" s="38"/>
      <c r="S15" s="38"/>
      <c r="T15" s="38">
        <v>2310000</v>
      </c>
      <c r="U15" s="38"/>
      <c r="V15" s="38"/>
      <c r="W15" s="38">
        <v>39000</v>
      </c>
      <c r="X15" s="38">
        <v>33000</v>
      </c>
      <c r="Y15" s="72">
        <v>9681900</v>
      </c>
      <c r="Z15" s="38">
        <v>2541</v>
      </c>
      <c r="AA15" s="38">
        <v>1339</v>
      </c>
      <c r="AB15" s="38">
        <v>3880</v>
      </c>
      <c r="AC15" s="38">
        <v>111555734</v>
      </c>
      <c r="AD15" s="38">
        <v>25611400</v>
      </c>
      <c r="AE15" s="38">
        <v>93565</v>
      </c>
      <c r="AF15" s="38">
        <v>3474356</v>
      </c>
      <c r="AG15" s="38">
        <v>13044524</v>
      </c>
      <c r="AH15" s="38">
        <v>4440</v>
      </c>
      <c r="AI15" s="38">
        <v>38414616</v>
      </c>
      <c r="AJ15" s="38">
        <v>192198634</v>
      </c>
      <c r="AK15" s="38">
        <v>172147770</v>
      </c>
      <c r="AL15" s="38">
        <v>7958908</v>
      </c>
      <c r="AM15" s="38">
        <v>9139875</v>
      </c>
      <c r="AN15" s="38">
        <v>189246553</v>
      </c>
      <c r="AO15" s="38"/>
      <c r="AP15" s="38"/>
      <c r="AQ15" s="38"/>
      <c r="AR15" s="38"/>
      <c r="AS15" s="38"/>
      <c r="AT15" s="1">
        <f t="shared" si="1"/>
        <v>1773044</v>
      </c>
      <c r="AU15" t="e">
        <f t="shared" si="2"/>
        <v>#DIV/0!</v>
      </c>
      <c r="AV15">
        <f t="shared" si="3"/>
        <v>19.851334345531352</v>
      </c>
      <c r="AW15">
        <f t="shared" si="4"/>
        <v>238.58953304619962</v>
      </c>
      <c r="AX15">
        <f t="shared" si="5"/>
        <v>0</v>
      </c>
      <c r="AY15">
        <f t="shared" si="6"/>
        <v>3242.29799935963</v>
      </c>
      <c r="AZ15">
        <f t="shared" si="7"/>
        <v>3444.6166558216878</v>
      </c>
      <c r="BA15">
        <f t="shared" si="8"/>
        <v>179.26057901858107</v>
      </c>
    </row>
    <row r="16" spans="1:53" x14ac:dyDescent="0.25">
      <c r="A16" s="1" t="s">
        <v>44</v>
      </c>
      <c r="B16" s="1" t="s">
        <v>151</v>
      </c>
      <c r="C16" s="44" t="s">
        <v>110</v>
      </c>
      <c r="D16" s="35">
        <f t="shared" si="0"/>
        <v>5313.5770000000002</v>
      </c>
      <c r="E16" s="38">
        <v>251</v>
      </c>
      <c r="F16" s="38">
        <v>849</v>
      </c>
      <c r="G16" s="38">
        <v>31255310</v>
      </c>
      <c r="H16" s="38"/>
      <c r="I16" s="38">
        <v>89235</v>
      </c>
      <c r="J16" s="38"/>
      <c r="K16" s="38">
        <v>391</v>
      </c>
      <c r="L16" s="38">
        <v>2502755</v>
      </c>
      <c r="M16" s="38">
        <v>57171</v>
      </c>
      <c r="N16" s="38">
        <v>2242381</v>
      </c>
      <c r="O16" s="38">
        <v>245636</v>
      </c>
      <c r="P16" s="38"/>
      <c r="Q16" s="38"/>
      <c r="R16" s="38">
        <v>749</v>
      </c>
      <c r="S16" s="38">
        <v>463</v>
      </c>
      <c r="T16" s="38">
        <v>1833438</v>
      </c>
      <c r="U16" s="38">
        <v>75514011</v>
      </c>
      <c r="V16" s="38">
        <v>31818439</v>
      </c>
      <c r="W16" s="38">
        <v>854688</v>
      </c>
      <c r="X16" s="38">
        <v>11137129</v>
      </c>
      <c r="Y16" s="72">
        <v>5313577</v>
      </c>
      <c r="Z16" s="38">
        <v>2357</v>
      </c>
      <c r="AA16" s="38">
        <v>2842</v>
      </c>
      <c r="AB16" s="38">
        <v>5199</v>
      </c>
      <c r="AC16" s="38">
        <v>183781020</v>
      </c>
      <c r="AD16" s="38">
        <v>46575947</v>
      </c>
      <c r="AE16" s="38">
        <v>746</v>
      </c>
      <c r="AF16" s="38">
        <v>21072</v>
      </c>
      <c r="AG16" s="38">
        <v>99019</v>
      </c>
      <c r="AH16" s="38">
        <v>0</v>
      </c>
      <c r="AI16" s="38">
        <v>74173830</v>
      </c>
      <c r="AJ16" s="38">
        <v>304651634</v>
      </c>
      <c r="AK16" s="38">
        <v>270540850</v>
      </c>
      <c r="AL16" s="38">
        <v>18489943</v>
      </c>
      <c r="AM16" s="38">
        <v>15620841</v>
      </c>
      <c r="AN16" s="38">
        <v>304651634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1">
        <f t="shared" si="1"/>
        <v>2488017</v>
      </c>
      <c r="AU16">
        <f t="shared" si="2"/>
        <v>2.3732783057019233</v>
      </c>
      <c r="AV16">
        <f t="shared" si="3"/>
        <v>57.33456652646607</v>
      </c>
      <c r="AW16">
        <f t="shared" si="4"/>
        <v>345.0477898410054</v>
      </c>
      <c r="AX16">
        <f t="shared" si="5"/>
        <v>5988.1392515813732</v>
      </c>
      <c r="AY16">
        <f t="shared" si="6"/>
        <v>5882.1599837548229</v>
      </c>
      <c r="AZ16">
        <f t="shared" si="7"/>
        <v>6380.7980951438176</v>
      </c>
      <c r="BA16">
        <f t="shared" si="8"/>
        <v>471.01133567839514</v>
      </c>
    </row>
    <row r="17" spans="1:53" x14ac:dyDescent="0.25">
      <c r="A17" s="1" t="s">
        <v>45</v>
      </c>
      <c r="B17" s="1" t="s">
        <v>151</v>
      </c>
      <c r="C17" s="44" t="s">
        <v>111</v>
      </c>
      <c r="D17" s="35">
        <f t="shared" si="0"/>
        <v>3473</v>
      </c>
      <c r="E17" s="38">
        <v>32</v>
      </c>
      <c r="F17" s="38">
        <v>348</v>
      </c>
      <c r="G17" s="38">
        <v>10831591</v>
      </c>
      <c r="H17" s="38">
        <v>11688</v>
      </c>
      <c r="I17" s="38">
        <v>2320</v>
      </c>
      <c r="J17" s="38">
        <v>11739</v>
      </c>
      <c r="K17" s="38">
        <v>14704</v>
      </c>
      <c r="L17" s="38">
        <v>262037</v>
      </c>
      <c r="M17" s="38">
        <v>2559</v>
      </c>
      <c r="N17" s="38">
        <v>623469</v>
      </c>
      <c r="O17" s="38">
        <v>22877</v>
      </c>
      <c r="P17" s="38">
        <v>88</v>
      </c>
      <c r="Q17" s="38">
        <v>69</v>
      </c>
      <c r="R17" s="38">
        <v>518</v>
      </c>
      <c r="S17" s="38">
        <v>319</v>
      </c>
      <c r="T17" s="38">
        <v>824985</v>
      </c>
      <c r="U17" s="38">
        <v>13027550</v>
      </c>
      <c r="V17" s="38">
        <v>18749238</v>
      </c>
      <c r="W17" s="38">
        <v>1700</v>
      </c>
      <c r="X17" s="38">
        <v>4300</v>
      </c>
      <c r="Y17" s="72">
        <v>3473000</v>
      </c>
      <c r="Z17" s="38">
        <v>267</v>
      </c>
      <c r="AA17" s="38">
        <v>1066</v>
      </c>
      <c r="AB17" s="38">
        <v>1333</v>
      </c>
      <c r="AC17" s="38">
        <v>29523085</v>
      </c>
      <c r="AD17" s="38">
        <v>6616416</v>
      </c>
      <c r="AE17" s="38">
        <v>0</v>
      </c>
      <c r="AF17" s="38">
        <v>0</v>
      </c>
      <c r="AG17" s="38">
        <v>5818092</v>
      </c>
      <c r="AH17" s="38">
        <v>0</v>
      </c>
      <c r="AI17" s="38">
        <v>6511440</v>
      </c>
      <c r="AJ17" s="38">
        <v>48469033</v>
      </c>
      <c r="AK17" s="38">
        <v>43745217</v>
      </c>
      <c r="AL17" s="38">
        <v>1422904</v>
      </c>
      <c r="AM17" s="38">
        <v>3587724</v>
      </c>
      <c r="AN17" s="38">
        <v>48755845</v>
      </c>
      <c r="AO17" s="38">
        <v>2992392</v>
      </c>
      <c r="AP17" s="38">
        <v>61619</v>
      </c>
      <c r="AQ17" s="38">
        <v>26721</v>
      </c>
      <c r="AR17" s="38">
        <v>217690</v>
      </c>
      <c r="AS17" s="38">
        <v>3298422</v>
      </c>
      <c r="AT17" s="1">
        <f t="shared" si="1"/>
        <v>646346</v>
      </c>
      <c r="AU17">
        <f t="shared" si="2"/>
        <v>0.69483090459462937</v>
      </c>
      <c r="AV17">
        <f t="shared" si="3"/>
        <v>13.95595536999712</v>
      </c>
      <c r="AW17">
        <f t="shared" si="4"/>
        <v>237.54247048661099</v>
      </c>
      <c r="AX17">
        <f t="shared" si="5"/>
        <v>5398.5712640368556</v>
      </c>
      <c r="AY17">
        <f t="shared" si="6"/>
        <v>3118.7995968902965</v>
      </c>
      <c r="AZ17">
        <f t="shared" si="7"/>
        <v>3206.6334581053843</v>
      </c>
      <c r="BA17">
        <f t="shared" si="8"/>
        <v>75.449755254822918</v>
      </c>
    </row>
    <row r="18" spans="1:53" x14ac:dyDescent="0.25">
      <c r="A18" s="1" t="s">
        <v>46</v>
      </c>
      <c r="B18" s="1" t="s">
        <v>151</v>
      </c>
      <c r="C18" s="44" t="s">
        <v>112</v>
      </c>
      <c r="D18" s="35">
        <f t="shared" si="0"/>
        <v>5120.8590000000004</v>
      </c>
      <c r="E18" s="38">
        <v>436</v>
      </c>
      <c r="F18" s="38">
        <v>1178</v>
      </c>
      <c r="G18" s="38">
        <v>36875194</v>
      </c>
      <c r="H18" s="38"/>
      <c r="I18" s="38">
        <v>96763</v>
      </c>
      <c r="J18" s="38"/>
      <c r="K18" s="38"/>
      <c r="L18" s="38">
        <v>3414000</v>
      </c>
      <c r="M18" s="38">
        <v>23000</v>
      </c>
      <c r="N18" s="38">
        <v>1569383</v>
      </c>
      <c r="O18" s="38">
        <v>198000</v>
      </c>
      <c r="P18" s="38">
        <v>95</v>
      </c>
      <c r="Q18" s="38">
        <v>95</v>
      </c>
      <c r="R18" s="38">
        <v>2400</v>
      </c>
      <c r="S18" s="38">
        <v>1477</v>
      </c>
      <c r="T18" s="38">
        <v>2465543</v>
      </c>
      <c r="U18" s="38">
        <v>100332465</v>
      </c>
      <c r="V18" s="38">
        <v>64167689</v>
      </c>
      <c r="W18" s="38">
        <v>188385</v>
      </c>
      <c r="X18" s="38">
        <v>196549</v>
      </c>
      <c r="Y18" s="72">
        <v>5120859</v>
      </c>
      <c r="Z18" s="38">
        <v>1480</v>
      </c>
      <c r="AA18" s="38">
        <v>2710</v>
      </c>
      <c r="AB18" s="38">
        <v>4190</v>
      </c>
      <c r="AC18" s="38">
        <v>119833481</v>
      </c>
      <c r="AD18" s="38">
        <v>37556310</v>
      </c>
      <c r="AE18" s="38">
        <v>0</v>
      </c>
      <c r="AF18" s="38">
        <v>0</v>
      </c>
      <c r="AG18" s="38">
        <v>0</v>
      </c>
      <c r="AH18" s="38">
        <v>0</v>
      </c>
      <c r="AI18" s="38">
        <v>52843539</v>
      </c>
      <c r="AJ18" s="38">
        <v>210233330</v>
      </c>
      <c r="AK18" s="38">
        <v>193327383</v>
      </c>
      <c r="AL18" s="38">
        <v>3929956</v>
      </c>
      <c r="AM18" s="38">
        <v>12975992</v>
      </c>
      <c r="AN18" s="38">
        <v>210233330</v>
      </c>
      <c r="AO18" s="38">
        <v>18080319</v>
      </c>
      <c r="AP18" s="38">
        <v>1199168</v>
      </c>
      <c r="AQ18" s="38">
        <v>5516111</v>
      </c>
      <c r="AR18" s="38">
        <v>6649898</v>
      </c>
      <c r="AS18" s="38">
        <v>31445497</v>
      </c>
      <c r="AT18" s="1">
        <f t="shared" si="1"/>
        <v>1767383</v>
      </c>
      <c r="AU18">
        <f t="shared" si="2"/>
        <v>1.5635979191957496</v>
      </c>
      <c r="AV18">
        <f t="shared" si="3"/>
        <v>41.054309443005558</v>
      </c>
      <c r="AW18">
        <f t="shared" si="4"/>
        <v>481.47058921169275</v>
      </c>
      <c r="AX18">
        <f t="shared" si="5"/>
        <v>12530.649447680555</v>
      </c>
      <c r="AY18">
        <f t="shared" si="6"/>
        <v>7200.9781952598178</v>
      </c>
      <c r="AZ18">
        <f t="shared" si="7"/>
        <v>7891.0505053937231</v>
      </c>
      <c r="BA18">
        <f t="shared" si="8"/>
        <v>666.68502296196789</v>
      </c>
    </row>
    <row r="19" spans="1:53" x14ac:dyDescent="0.25">
      <c r="A19" s="1" t="s">
        <v>47</v>
      </c>
      <c r="B19" s="1" t="s">
        <v>151</v>
      </c>
      <c r="C19" s="44" t="s">
        <v>113</v>
      </c>
      <c r="D19" s="35">
        <f t="shared" si="0"/>
        <v>59272.923000000003</v>
      </c>
      <c r="E19" s="38">
        <v>3633</v>
      </c>
      <c r="F19" s="38">
        <v>3764</v>
      </c>
      <c r="G19" s="38">
        <v>129940500</v>
      </c>
      <c r="H19" s="38"/>
      <c r="I19" s="38">
        <v>204763</v>
      </c>
      <c r="J19" s="38"/>
      <c r="K19" s="38"/>
      <c r="L19" s="38">
        <v>8633500</v>
      </c>
      <c r="M19" s="38">
        <v>54728</v>
      </c>
      <c r="N19" s="38">
        <v>6910600</v>
      </c>
      <c r="O19" s="38">
        <v>879000</v>
      </c>
      <c r="P19" s="38">
        <v>72</v>
      </c>
      <c r="Q19" s="38"/>
      <c r="R19" s="38"/>
      <c r="S19" s="38"/>
      <c r="T19" s="38">
        <v>11625521</v>
      </c>
      <c r="U19" s="38">
        <v>282199000</v>
      </c>
      <c r="V19" s="38"/>
      <c r="W19" s="38">
        <v>17667</v>
      </c>
      <c r="X19" s="38">
        <v>20237</v>
      </c>
      <c r="Y19" s="72">
        <v>59272923</v>
      </c>
      <c r="Z19" s="38">
        <v>6974</v>
      </c>
      <c r="AA19" s="38">
        <v>13531</v>
      </c>
      <c r="AB19" s="38">
        <v>20505</v>
      </c>
      <c r="AC19" s="38">
        <v>564623164</v>
      </c>
      <c r="AD19" s="38">
        <v>103304749</v>
      </c>
      <c r="AE19" s="38">
        <v>376754</v>
      </c>
      <c r="AF19" s="38">
        <v>13989953</v>
      </c>
      <c r="AG19" s="38">
        <v>52525504</v>
      </c>
      <c r="AH19" s="38">
        <v>17878</v>
      </c>
      <c r="AI19" s="38">
        <v>154681540</v>
      </c>
      <c r="AJ19" s="38">
        <v>889519542</v>
      </c>
      <c r="AK19" s="38">
        <v>797422757</v>
      </c>
      <c r="AL19" s="38">
        <v>21454962</v>
      </c>
      <c r="AM19" s="38">
        <v>7055765</v>
      </c>
      <c r="AN19" s="38">
        <v>825933484</v>
      </c>
      <c r="AO19" s="38">
        <v>123049134</v>
      </c>
      <c r="AP19" s="38">
        <v>4781192</v>
      </c>
      <c r="AQ19" s="38">
        <v>21993243</v>
      </c>
      <c r="AR19" s="38">
        <v>26513753</v>
      </c>
      <c r="AS19" s="38">
        <v>176337328</v>
      </c>
      <c r="AT19" s="1">
        <f t="shared" si="1"/>
        <v>7789600</v>
      </c>
      <c r="AU19" t="e">
        <f t="shared" si="2"/>
        <v>#DIV/0!</v>
      </c>
      <c r="AV19">
        <f t="shared" si="3"/>
        <v>15.007181980885269</v>
      </c>
      <c r="AW19">
        <f t="shared" si="4"/>
        <v>196.13544282268649</v>
      </c>
      <c r="AX19">
        <f t="shared" si="5"/>
        <v>0</v>
      </c>
      <c r="AY19">
        <f t="shared" si="6"/>
        <v>2192.2404602857191</v>
      </c>
      <c r="AZ19">
        <f t="shared" si="7"/>
        <v>2342.2750890824127</v>
      </c>
      <c r="BA19">
        <f t="shared" si="8"/>
        <v>145.65672760899611</v>
      </c>
    </row>
    <row r="20" spans="1:53" x14ac:dyDescent="0.25">
      <c r="A20" s="1" t="s">
        <v>48</v>
      </c>
      <c r="B20" s="1" t="s">
        <v>151</v>
      </c>
      <c r="C20" s="44" t="s">
        <v>114</v>
      </c>
      <c r="D20" s="35">
        <f t="shared" si="0"/>
        <v>9913</v>
      </c>
      <c r="E20" s="38">
        <v>672</v>
      </c>
      <c r="F20" s="38">
        <v>829</v>
      </c>
      <c r="G20" s="38">
        <v>9088431</v>
      </c>
      <c r="H20" s="38">
        <v>150843</v>
      </c>
      <c r="I20" s="38">
        <v>117113</v>
      </c>
      <c r="J20" s="38">
        <v>1413606</v>
      </c>
      <c r="K20" s="38">
        <v>297413</v>
      </c>
      <c r="L20" s="38">
        <v>96021</v>
      </c>
      <c r="M20" s="38">
        <v>11825</v>
      </c>
      <c r="N20" s="38">
        <v>277536</v>
      </c>
      <c r="O20" s="38">
        <v>11488</v>
      </c>
      <c r="P20" s="38">
        <v>88</v>
      </c>
      <c r="Q20" s="38">
        <v>69</v>
      </c>
      <c r="R20" s="38">
        <v>1439</v>
      </c>
      <c r="S20" s="38">
        <v>886</v>
      </c>
      <c r="T20" s="38">
        <v>2692936</v>
      </c>
      <c r="U20" s="38">
        <v>1828799</v>
      </c>
      <c r="V20" s="38">
        <v>2285690</v>
      </c>
      <c r="W20" s="38">
        <v>8173</v>
      </c>
      <c r="X20" s="38">
        <v>11434</v>
      </c>
      <c r="Y20" s="72">
        <v>9913000</v>
      </c>
      <c r="Z20" s="38">
        <v>1029</v>
      </c>
      <c r="AA20" s="38">
        <v>805</v>
      </c>
      <c r="AB20" s="38">
        <v>1834</v>
      </c>
      <c r="AC20" s="38">
        <v>36492231</v>
      </c>
      <c r="AD20" s="38">
        <v>8378028</v>
      </c>
      <c r="AE20" s="38">
        <v>30607</v>
      </c>
      <c r="AF20" s="38">
        <v>1136535</v>
      </c>
      <c r="AG20" s="38">
        <v>4267139</v>
      </c>
      <c r="AH20" s="38">
        <v>1452</v>
      </c>
      <c r="AI20" s="38">
        <v>12566230</v>
      </c>
      <c r="AJ20" s="38">
        <v>62872222</v>
      </c>
      <c r="AK20" s="38"/>
      <c r="AL20" s="38"/>
      <c r="AM20" s="38"/>
      <c r="AN20" s="38"/>
      <c r="AO20" s="38"/>
      <c r="AP20" s="38"/>
      <c r="AQ20" s="38"/>
      <c r="AR20" s="38"/>
      <c r="AS20" s="38"/>
      <c r="AT20" s="1">
        <f t="shared" si="1"/>
        <v>289024</v>
      </c>
      <c r="AU20">
        <f t="shared" si="2"/>
        <v>0.80010806364817622</v>
      </c>
      <c r="AV20">
        <f t="shared" si="3"/>
        <v>6.3424010894784626</v>
      </c>
      <c r="AW20">
        <f t="shared" si="4"/>
        <v>271.65701603954403</v>
      </c>
      <c r="AX20">
        <f t="shared" si="5"/>
        <v>230.57500252194089</v>
      </c>
      <c r="AY20">
        <f t="shared" si="6"/>
        <v>916.81942903258346</v>
      </c>
      <c r="AZ20">
        <f t="shared" si="7"/>
        <v>1127.3329970745485</v>
      </c>
      <c r="BA20">
        <f t="shared" si="8"/>
        <v>9.6863714314536473</v>
      </c>
    </row>
    <row r="21" spans="1:53" x14ac:dyDescent="0.25">
      <c r="A21" s="1" t="s">
        <v>49</v>
      </c>
      <c r="B21" s="1" t="s">
        <v>152</v>
      </c>
      <c r="C21" s="44" t="s">
        <v>115</v>
      </c>
      <c r="D21" s="35">
        <f t="shared" si="0"/>
        <v>275.26400000000001</v>
      </c>
      <c r="E21" s="38">
        <v>149</v>
      </c>
      <c r="F21" s="38">
        <v>155</v>
      </c>
      <c r="G21" s="38">
        <v>2081101</v>
      </c>
      <c r="H21" s="38"/>
      <c r="I21" s="38">
        <v>1854</v>
      </c>
      <c r="J21" s="38">
        <v>844</v>
      </c>
      <c r="K21" s="38">
        <v>3178</v>
      </c>
      <c r="L21" s="38">
        <v>64866</v>
      </c>
      <c r="M21" s="38">
        <v>509</v>
      </c>
      <c r="N21" s="38">
        <v>71029</v>
      </c>
      <c r="O21" s="38">
        <v>11015</v>
      </c>
      <c r="P21" s="38"/>
      <c r="Q21" s="38"/>
      <c r="R21" s="38"/>
      <c r="S21" s="38"/>
      <c r="T21" s="38">
        <v>79421</v>
      </c>
      <c r="U21" s="38">
        <v>2207075</v>
      </c>
      <c r="V21" s="38">
        <v>770863</v>
      </c>
      <c r="W21" s="38">
        <v>1676</v>
      </c>
      <c r="X21" s="38">
        <v>2088</v>
      </c>
      <c r="Y21" s="72">
        <v>275264</v>
      </c>
      <c r="Z21" s="38">
        <v>87</v>
      </c>
      <c r="AA21" s="38">
        <v>210</v>
      </c>
      <c r="AB21" s="38">
        <v>300</v>
      </c>
      <c r="AC21" s="38">
        <v>4067659</v>
      </c>
      <c r="AD21" s="38">
        <v>1490983</v>
      </c>
      <c r="AE21" s="38">
        <v>0</v>
      </c>
      <c r="AF21" s="38">
        <v>84482</v>
      </c>
      <c r="AG21" s="38">
        <v>650254</v>
      </c>
      <c r="AH21" s="38">
        <v>693098</v>
      </c>
      <c r="AI21" s="38">
        <v>826439</v>
      </c>
      <c r="AJ21" s="38">
        <v>7812916</v>
      </c>
      <c r="AK21" s="38">
        <v>7102374</v>
      </c>
      <c r="AL21" s="38">
        <v>474437</v>
      </c>
      <c r="AM21" s="38">
        <v>206197</v>
      </c>
      <c r="AN21" s="38">
        <v>7783008</v>
      </c>
      <c r="AO21" s="38"/>
      <c r="AP21" s="38"/>
      <c r="AQ21" s="38"/>
      <c r="AR21" s="38"/>
      <c r="AS21" s="38"/>
      <c r="AT21" s="1">
        <f t="shared" si="1"/>
        <v>82044</v>
      </c>
      <c r="AU21">
        <f t="shared" si="2"/>
        <v>2.8631222409169981</v>
      </c>
      <c r="AV21">
        <f t="shared" si="3"/>
        <v>28.383355614973262</v>
      </c>
      <c r="AW21">
        <f t="shared" si="4"/>
        <v>288.52665077888861</v>
      </c>
      <c r="AX21">
        <f t="shared" si="5"/>
        <v>2800.449750058126</v>
      </c>
      <c r="AY21">
        <f t="shared" si="6"/>
        <v>7560.3820332480818</v>
      </c>
      <c r="AZ21">
        <f t="shared" si="7"/>
        <v>7819.2280864915137</v>
      </c>
      <c r="BA21">
        <f t="shared" si="8"/>
        <v>235.65013950244128</v>
      </c>
    </row>
    <row r="22" spans="1:53" x14ac:dyDescent="0.25">
      <c r="A22" s="1" t="s">
        <v>50</v>
      </c>
      <c r="B22" s="1" t="s">
        <v>151</v>
      </c>
      <c r="C22" s="44" t="s">
        <v>116</v>
      </c>
      <c r="D22" s="35">
        <f t="shared" si="0"/>
        <v>56594</v>
      </c>
      <c r="E22" s="38">
        <v>84</v>
      </c>
      <c r="F22" s="38">
        <v>6076</v>
      </c>
      <c r="G22" s="38">
        <v>41459636</v>
      </c>
      <c r="H22" s="38"/>
      <c r="I22" s="38"/>
      <c r="J22" s="38"/>
      <c r="K22" s="38"/>
      <c r="L22" s="38"/>
      <c r="M22" s="38"/>
      <c r="N22" s="38">
        <v>10292911</v>
      </c>
      <c r="O22" s="38"/>
      <c r="P22" s="38"/>
      <c r="Q22" s="38"/>
      <c r="R22" s="38"/>
      <c r="S22" s="38"/>
      <c r="T22" s="38"/>
      <c r="U22" s="38"/>
      <c r="V22" s="38"/>
      <c r="W22" s="38">
        <v>443414</v>
      </c>
      <c r="X22" s="38">
        <v>486972</v>
      </c>
      <c r="Y22" s="72">
        <v>56594000</v>
      </c>
      <c r="Z22" s="38">
        <v>5984</v>
      </c>
      <c r="AA22" s="38">
        <v>17856</v>
      </c>
      <c r="AB22" s="38">
        <v>23840</v>
      </c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1">
        <f t="shared" si="1"/>
        <v>10292911</v>
      </c>
      <c r="AU22" t="e">
        <f t="shared" si="2"/>
        <v>#DIV/0!</v>
      </c>
      <c r="AV22">
        <f t="shared" si="3"/>
        <v>0</v>
      </c>
      <c r="AW22">
        <f t="shared" si="4"/>
        <v>0</v>
      </c>
      <c r="AX22">
        <f t="shared" si="5"/>
        <v>0</v>
      </c>
      <c r="AY22">
        <f t="shared" si="6"/>
        <v>732.58006149061737</v>
      </c>
      <c r="AZ22">
        <f t="shared" si="7"/>
        <v>732.58006149061737</v>
      </c>
      <c r="BA22">
        <f t="shared" si="8"/>
        <v>0</v>
      </c>
    </row>
    <row r="23" spans="1:53" x14ac:dyDescent="0.25">
      <c r="A23" s="1" t="s">
        <v>51</v>
      </c>
      <c r="B23" s="1" t="s">
        <v>152</v>
      </c>
      <c r="C23" s="44" t="s">
        <v>117</v>
      </c>
      <c r="D23" s="35">
        <f t="shared" si="0"/>
        <v>30.373999999999999</v>
      </c>
      <c r="E23" s="38">
        <v>3</v>
      </c>
      <c r="F23" s="38">
        <v>3</v>
      </c>
      <c r="G23" s="38">
        <v>24174</v>
      </c>
      <c r="H23" s="38"/>
      <c r="I23" s="38"/>
      <c r="J23" s="38"/>
      <c r="K23" s="38"/>
      <c r="L23" s="38"/>
      <c r="M23" s="38"/>
      <c r="N23" s="38">
        <v>5778</v>
      </c>
      <c r="O23" s="38"/>
      <c r="P23" s="38"/>
      <c r="Q23" s="38"/>
      <c r="R23" s="38"/>
      <c r="S23" s="38">
        <v>2</v>
      </c>
      <c r="T23" s="38"/>
      <c r="U23" s="38">
        <v>77206</v>
      </c>
      <c r="V23" s="38"/>
      <c r="W23" s="38">
        <v>1254</v>
      </c>
      <c r="X23" s="38">
        <v>928</v>
      </c>
      <c r="Y23" s="72">
        <v>30374</v>
      </c>
      <c r="Z23" s="38">
        <v>2</v>
      </c>
      <c r="AA23" s="38">
        <v>3</v>
      </c>
      <c r="AB23" s="38">
        <v>5</v>
      </c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1">
        <f t="shared" si="1"/>
        <v>5778</v>
      </c>
      <c r="AU23" t="e">
        <f t="shared" si="2"/>
        <v>#DIV/0!</v>
      </c>
      <c r="AV23">
        <f t="shared" si="3"/>
        <v>0</v>
      </c>
      <c r="AW23">
        <f t="shared" si="4"/>
        <v>0</v>
      </c>
      <c r="AX23">
        <f t="shared" si="5"/>
        <v>0</v>
      </c>
      <c r="AY23">
        <f t="shared" si="6"/>
        <v>795.87805359847243</v>
      </c>
      <c r="AZ23">
        <f t="shared" si="7"/>
        <v>795.87805359847243</v>
      </c>
      <c r="BA23">
        <f t="shared" si="8"/>
        <v>0</v>
      </c>
    </row>
    <row r="24" spans="1:53" x14ac:dyDescent="0.25">
      <c r="A24" s="1" t="s">
        <v>52</v>
      </c>
      <c r="B24" s="1" t="s">
        <v>151</v>
      </c>
      <c r="C24" s="44" t="s">
        <v>118</v>
      </c>
      <c r="D24" s="35">
        <f t="shared" si="0"/>
        <v>372</v>
      </c>
      <c r="E24" s="38">
        <v>13</v>
      </c>
      <c r="F24" s="38">
        <v>13</v>
      </c>
      <c r="G24" s="38">
        <v>264666</v>
      </c>
      <c r="H24" s="38">
        <v>356</v>
      </c>
      <c r="I24" s="38">
        <v>328</v>
      </c>
      <c r="J24" s="38">
        <v>0</v>
      </c>
      <c r="K24" s="38">
        <v>0</v>
      </c>
      <c r="L24" s="38">
        <v>1040</v>
      </c>
      <c r="M24" s="38">
        <v>261</v>
      </c>
      <c r="N24" s="38">
        <v>83750</v>
      </c>
      <c r="O24" s="38">
        <v>287</v>
      </c>
      <c r="P24" s="38">
        <v>88</v>
      </c>
      <c r="Q24" s="38">
        <v>41</v>
      </c>
      <c r="R24" s="38">
        <v>25</v>
      </c>
      <c r="S24" s="38">
        <v>8</v>
      </c>
      <c r="T24" s="38">
        <v>25900</v>
      </c>
      <c r="U24" s="38">
        <v>199385</v>
      </c>
      <c r="V24" s="38">
        <v>64165</v>
      </c>
      <c r="W24" s="38">
        <v>1783</v>
      </c>
      <c r="X24" s="38">
        <v>3145</v>
      </c>
      <c r="Y24" s="72">
        <v>372000</v>
      </c>
      <c r="Z24" s="38">
        <v>18</v>
      </c>
      <c r="AA24" s="38">
        <v>5</v>
      </c>
      <c r="AB24" s="38">
        <v>23</v>
      </c>
      <c r="AC24" s="38">
        <v>987497</v>
      </c>
      <c r="AD24" s="38">
        <v>227475</v>
      </c>
      <c r="AE24" s="38">
        <v>369</v>
      </c>
      <c r="AF24" s="38">
        <v>19</v>
      </c>
      <c r="AG24" s="38">
        <v>34342</v>
      </c>
      <c r="AH24" s="38">
        <v>36927</v>
      </c>
      <c r="AI24" s="38">
        <v>29148</v>
      </c>
      <c r="AJ24" s="38">
        <v>1315777</v>
      </c>
      <c r="AK24" s="38"/>
      <c r="AL24" s="38"/>
      <c r="AM24" s="38"/>
      <c r="AN24" s="38"/>
      <c r="AO24" s="38">
        <v>7670</v>
      </c>
      <c r="AP24" s="38">
        <v>397</v>
      </c>
      <c r="AQ24" s="38">
        <v>1822</v>
      </c>
      <c r="AR24" s="38">
        <v>1977</v>
      </c>
      <c r="AS24" s="38">
        <v>11866</v>
      </c>
      <c r="AT24" s="1">
        <f t="shared" si="1"/>
        <v>84037</v>
      </c>
      <c r="AU24">
        <f t="shared" si="2"/>
        <v>3.1073794124522713</v>
      </c>
      <c r="AV24">
        <f t="shared" si="3"/>
        <v>3.5370349462365591</v>
      </c>
      <c r="AW24">
        <f t="shared" si="4"/>
        <v>69.623655913978496</v>
      </c>
      <c r="AX24">
        <f t="shared" si="5"/>
        <v>172.48655913978496</v>
      </c>
      <c r="AY24">
        <f t="shared" si="6"/>
        <v>711.4677419354839</v>
      </c>
      <c r="AZ24">
        <f t="shared" si="7"/>
        <v>716.80376344086017</v>
      </c>
      <c r="BA24">
        <f t="shared" si="8"/>
        <v>2.795698924731183</v>
      </c>
    </row>
    <row r="25" spans="1:53" x14ac:dyDescent="0.25">
      <c r="A25" s="1" t="s">
        <v>53</v>
      </c>
      <c r="B25" s="1" t="s">
        <v>151</v>
      </c>
      <c r="C25" s="44" t="s">
        <v>119</v>
      </c>
      <c r="D25" s="35">
        <f t="shared" si="0"/>
        <v>14757</v>
      </c>
      <c r="E25" s="38">
        <v>551</v>
      </c>
      <c r="F25" s="38">
        <v>1111</v>
      </c>
      <c r="G25" s="38">
        <v>41479883</v>
      </c>
      <c r="H25" s="38"/>
      <c r="I25" s="38"/>
      <c r="J25" s="38"/>
      <c r="K25" s="38"/>
      <c r="L25" s="38"/>
      <c r="M25" s="38"/>
      <c r="N25" s="38">
        <v>2675657</v>
      </c>
      <c r="O25" s="38"/>
      <c r="P25" s="38"/>
      <c r="Q25" s="38"/>
      <c r="R25" s="38"/>
      <c r="S25" s="38"/>
      <c r="T25" s="38"/>
      <c r="U25" s="38">
        <v>156671699</v>
      </c>
      <c r="V25" s="38"/>
      <c r="W25" s="38">
        <v>112777</v>
      </c>
      <c r="X25" s="38">
        <v>123855</v>
      </c>
      <c r="Y25" s="72">
        <v>14757000</v>
      </c>
      <c r="Z25" s="38">
        <v>2510</v>
      </c>
      <c r="AA25" s="38">
        <v>5898</v>
      </c>
      <c r="AB25" s="38">
        <v>8408</v>
      </c>
      <c r="AC25" s="38">
        <v>237769481</v>
      </c>
      <c r="AD25" s="38">
        <v>48216205</v>
      </c>
      <c r="AE25" s="38">
        <v>192941</v>
      </c>
      <c r="AF25" s="38">
        <v>31189138</v>
      </c>
      <c r="AG25" s="38">
        <v>61108170</v>
      </c>
      <c r="AH25" s="38">
        <v>9154</v>
      </c>
      <c r="AI25" s="38">
        <v>61561566</v>
      </c>
      <c r="AJ25" s="38">
        <v>440046655</v>
      </c>
      <c r="AK25" s="38">
        <v>292414948</v>
      </c>
      <c r="AL25" s="38">
        <v>54435256</v>
      </c>
      <c r="AM25" s="38">
        <v>93196451</v>
      </c>
      <c r="AN25" s="38">
        <v>440046655</v>
      </c>
      <c r="AO25" s="38"/>
      <c r="AP25" s="38"/>
      <c r="AQ25" s="38"/>
      <c r="AR25" s="38"/>
      <c r="AS25" s="38"/>
      <c r="AT25" s="1">
        <f t="shared" si="1"/>
        <v>2675657</v>
      </c>
      <c r="AU25" t="e">
        <f t="shared" si="2"/>
        <v>#DIV/0!</v>
      </c>
      <c r="AV25">
        <f t="shared" si="3"/>
        <v>29.819519888866299</v>
      </c>
      <c r="AW25">
        <f t="shared" si="4"/>
        <v>0</v>
      </c>
      <c r="AX25">
        <f t="shared" si="5"/>
        <v>0</v>
      </c>
      <c r="AY25">
        <f t="shared" si="6"/>
        <v>2810.861489462628</v>
      </c>
      <c r="AZ25">
        <f t="shared" si="7"/>
        <v>2810.861489462628</v>
      </c>
      <c r="BA25">
        <f t="shared" si="8"/>
        <v>0</v>
      </c>
    </row>
    <row r="26" spans="1:53" x14ac:dyDescent="0.25">
      <c r="A26" s="1" t="s">
        <v>54</v>
      </c>
      <c r="B26" s="1" t="s">
        <v>152</v>
      </c>
      <c r="C26" s="44" t="s">
        <v>120</v>
      </c>
      <c r="D26" s="35">
        <f t="shared" si="0"/>
        <v>4445</v>
      </c>
      <c r="E26" s="38">
        <v>435</v>
      </c>
      <c r="F26" s="38">
        <v>1126</v>
      </c>
      <c r="G26" s="38">
        <v>20650302</v>
      </c>
      <c r="H26" s="38">
        <v>20747</v>
      </c>
      <c r="I26" s="38">
        <v>47159</v>
      </c>
      <c r="J26" s="38">
        <v>36330</v>
      </c>
      <c r="K26" s="38">
        <v>290190</v>
      </c>
      <c r="L26" s="38">
        <v>1099689</v>
      </c>
      <c r="M26" s="38">
        <v>5918</v>
      </c>
      <c r="N26" s="38">
        <v>936392</v>
      </c>
      <c r="O26" s="38">
        <v>117437</v>
      </c>
      <c r="P26" s="38">
        <v>82</v>
      </c>
      <c r="Q26" s="38">
        <v>70</v>
      </c>
      <c r="R26" s="38">
        <v>475</v>
      </c>
      <c r="S26" s="38">
        <v>292</v>
      </c>
      <c r="T26" s="38">
        <v>1297464</v>
      </c>
      <c r="U26" s="38">
        <v>22912736</v>
      </c>
      <c r="V26" s="38">
        <v>20727675</v>
      </c>
      <c r="W26" s="38">
        <v>112120</v>
      </c>
      <c r="X26" s="38">
        <v>140893</v>
      </c>
      <c r="Y26" s="72">
        <v>4445000</v>
      </c>
      <c r="Z26" s="38">
        <v>923</v>
      </c>
      <c r="AA26" s="38">
        <v>978</v>
      </c>
      <c r="AB26" s="38">
        <v>1901</v>
      </c>
      <c r="AC26" s="38">
        <v>61385540</v>
      </c>
      <c r="AD26" s="38">
        <v>15504727</v>
      </c>
      <c r="AE26" s="38">
        <v>0</v>
      </c>
      <c r="AF26" s="38">
        <v>2203908</v>
      </c>
      <c r="AG26" s="38">
        <v>8311018</v>
      </c>
      <c r="AH26" s="38">
        <v>0</v>
      </c>
      <c r="AI26" s="38">
        <v>12547913</v>
      </c>
      <c r="AJ26" s="38">
        <v>99953106</v>
      </c>
      <c r="AK26" s="38">
        <v>91212079</v>
      </c>
      <c r="AL26" s="38">
        <v>6092947</v>
      </c>
      <c r="AM26" s="38">
        <v>2648080</v>
      </c>
      <c r="AN26" s="38">
        <v>99953106</v>
      </c>
      <c r="AO26" s="38"/>
      <c r="AP26" s="38"/>
      <c r="AQ26" s="38"/>
      <c r="AR26" s="38"/>
      <c r="AS26" s="38"/>
      <c r="AT26" s="1">
        <f t="shared" si="1"/>
        <v>1053829</v>
      </c>
      <c r="AU26">
        <f t="shared" si="2"/>
        <v>1.1054175637161427</v>
      </c>
      <c r="AV26">
        <f t="shared" si="3"/>
        <v>22.486638020247469</v>
      </c>
      <c r="AW26">
        <f t="shared" si="4"/>
        <v>291.89291338582677</v>
      </c>
      <c r="AX26">
        <f t="shared" si="5"/>
        <v>4663.1439820022497</v>
      </c>
      <c r="AY26">
        <f t="shared" si="6"/>
        <v>4645.7372328458941</v>
      </c>
      <c r="AZ26">
        <f t="shared" si="7"/>
        <v>4983.2024746906636</v>
      </c>
      <c r="BA26">
        <f t="shared" si="8"/>
        <v>247.39910011248594</v>
      </c>
    </row>
    <row r="27" spans="1:53" x14ac:dyDescent="0.25">
      <c r="A27" s="1" t="s">
        <v>55</v>
      </c>
      <c r="B27" s="1" t="s">
        <v>151</v>
      </c>
      <c r="C27" s="44" t="s">
        <v>121</v>
      </c>
      <c r="D27" s="35">
        <f t="shared" si="0"/>
        <v>10162</v>
      </c>
      <c r="E27" s="38">
        <v>167</v>
      </c>
      <c r="F27" s="38">
        <v>286</v>
      </c>
      <c r="G27" s="38">
        <v>7388900</v>
      </c>
      <c r="H27" s="38"/>
      <c r="I27" s="38"/>
      <c r="J27" s="38"/>
      <c r="K27" s="38">
        <v>2262</v>
      </c>
      <c r="L27" s="38">
        <v>189728</v>
      </c>
      <c r="M27" s="38"/>
      <c r="N27" s="38">
        <v>527848</v>
      </c>
      <c r="O27" s="38">
        <v>31908</v>
      </c>
      <c r="P27" s="38"/>
      <c r="Q27" s="38"/>
      <c r="R27" s="38">
        <v>252</v>
      </c>
      <c r="S27" s="38"/>
      <c r="T27" s="38">
        <v>3233904</v>
      </c>
      <c r="U27" s="38">
        <v>1680532</v>
      </c>
      <c r="V27" s="38"/>
      <c r="W27" s="38">
        <v>642</v>
      </c>
      <c r="X27" s="38">
        <v>2</v>
      </c>
      <c r="Y27" s="72">
        <v>10162000</v>
      </c>
      <c r="Z27" s="38">
        <v>868</v>
      </c>
      <c r="AA27" s="38">
        <v>581</v>
      </c>
      <c r="AB27" s="38">
        <v>1449</v>
      </c>
      <c r="AC27" s="38">
        <v>11974962</v>
      </c>
      <c r="AD27" s="38">
        <v>2511163</v>
      </c>
      <c r="AE27" s="38">
        <v>24</v>
      </c>
      <c r="AF27" s="38">
        <v>669</v>
      </c>
      <c r="AG27" s="38">
        <v>3145</v>
      </c>
      <c r="AH27" s="38">
        <v>2157</v>
      </c>
      <c r="AI27" s="38">
        <v>2355557</v>
      </c>
      <c r="AJ27" s="38">
        <v>16847676</v>
      </c>
      <c r="AK27" s="38">
        <v>23287965</v>
      </c>
      <c r="AL27" s="38">
        <v>314728</v>
      </c>
      <c r="AM27" s="38">
        <v>1735</v>
      </c>
      <c r="AN27" s="38">
        <v>23604427</v>
      </c>
      <c r="AO27" s="38">
        <v>3690111</v>
      </c>
      <c r="AP27" s="38">
        <v>0</v>
      </c>
      <c r="AQ27" s="38">
        <v>0</v>
      </c>
      <c r="AR27" s="38">
        <v>2812335</v>
      </c>
      <c r="AS27" s="38">
        <v>6502447</v>
      </c>
      <c r="AT27" s="1">
        <f t="shared" si="1"/>
        <v>559756</v>
      </c>
      <c r="AU27" t="e">
        <f t="shared" si="2"/>
        <v>#DIV/0!</v>
      </c>
      <c r="AV27">
        <f t="shared" si="3"/>
        <v>1.657909466640425</v>
      </c>
      <c r="AW27">
        <f t="shared" si="4"/>
        <v>318.23499311159219</v>
      </c>
      <c r="AX27">
        <f t="shared" si="5"/>
        <v>0</v>
      </c>
      <c r="AY27">
        <f t="shared" si="6"/>
        <v>727.11080495965359</v>
      </c>
      <c r="AZ27">
        <f t="shared" si="7"/>
        <v>746.00373942137378</v>
      </c>
      <c r="BA27">
        <f t="shared" si="8"/>
        <v>18.670340484156661</v>
      </c>
    </row>
    <row r="28" spans="1:53" x14ac:dyDescent="0.25">
      <c r="A28" s="1" t="s">
        <v>56</v>
      </c>
      <c r="B28" s="1" t="s">
        <v>151</v>
      </c>
      <c r="C28" s="44" t="s">
        <v>122</v>
      </c>
      <c r="D28" s="35">
        <f t="shared" si="0"/>
        <v>38245</v>
      </c>
      <c r="E28" s="38">
        <v>4400</v>
      </c>
      <c r="F28" s="38">
        <v>5209</v>
      </c>
      <c r="G28" s="38">
        <v>36714000</v>
      </c>
      <c r="H28" s="38">
        <v>162968</v>
      </c>
      <c r="I28" s="38">
        <v>154560</v>
      </c>
      <c r="J28" s="38">
        <v>49573</v>
      </c>
      <c r="K28" s="38">
        <v>306000</v>
      </c>
      <c r="L28" s="38">
        <v>979000</v>
      </c>
      <c r="M28" s="38">
        <v>24000</v>
      </c>
      <c r="N28" s="38">
        <v>1836000</v>
      </c>
      <c r="O28" s="38">
        <v>98000</v>
      </c>
      <c r="P28" s="38">
        <v>88</v>
      </c>
      <c r="Q28" s="38">
        <v>69</v>
      </c>
      <c r="R28" s="38">
        <v>5653</v>
      </c>
      <c r="S28" s="38">
        <v>3479</v>
      </c>
      <c r="T28" s="38">
        <v>6119000</v>
      </c>
      <c r="U28" s="38">
        <v>21417000</v>
      </c>
      <c r="V28" s="38">
        <v>204131947</v>
      </c>
      <c r="W28" s="38">
        <v>122000</v>
      </c>
      <c r="X28" s="38">
        <v>5000</v>
      </c>
      <c r="Y28" s="72">
        <v>38245000</v>
      </c>
      <c r="Z28" s="38">
        <v>4139</v>
      </c>
      <c r="AA28" s="38">
        <v>2469</v>
      </c>
      <c r="AB28" s="38">
        <v>6608</v>
      </c>
      <c r="AC28" s="38">
        <v>87790002</v>
      </c>
      <c r="AD28" s="38">
        <v>22574572</v>
      </c>
      <c r="AE28" s="38">
        <v>0</v>
      </c>
      <c r="AF28" s="38">
        <v>0</v>
      </c>
      <c r="AG28" s="38">
        <v>0</v>
      </c>
      <c r="AH28" s="38">
        <v>0</v>
      </c>
      <c r="AI28" s="38">
        <v>15049715</v>
      </c>
      <c r="AJ28" s="38">
        <v>125414288</v>
      </c>
      <c r="AK28" s="38">
        <v>109543361</v>
      </c>
      <c r="AL28" s="38">
        <v>8529908</v>
      </c>
      <c r="AM28" s="38">
        <v>7341019</v>
      </c>
      <c r="AN28" s="38">
        <v>125414288</v>
      </c>
      <c r="AO28" s="38"/>
      <c r="AP28" s="38"/>
      <c r="AQ28" s="38"/>
      <c r="AR28" s="38"/>
      <c r="AS28" s="38"/>
      <c r="AT28" s="1">
        <f t="shared" si="1"/>
        <v>1934000</v>
      </c>
      <c r="AU28">
        <f t="shared" si="2"/>
        <v>0.104917433624439</v>
      </c>
      <c r="AV28">
        <f t="shared" si="3"/>
        <v>3.2792335730160804</v>
      </c>
      <c r="AW28">
        <f t="shared" si="4"/>
        <v>159.99477055824292</v>
      </c>
      <c r="AX28">
        <f t="shared" si="5"/>
        <v>5337.4806379918946</v>
      </c>
      <c r="AY28">
        <f t="shared" si="6"/>
        <v>959.9686233494574</v>
      </c>
      <c r="AZ28">
        <f t="shared" si="7"/>
        <v>1003.7939861419793</v>
      </c>
      <c r="BA28">
        <f t="shared" si="8"/>
        <v>25.598117400967446</v>
      </c>
    </row>
    <row r="29" spans="1:53" x14ac:dyDescent="0.25">
      <c r="A29" s="1" t="s">
        <v>57</v>
      </c>
      <c r="B29" s="1" t="s">
        <v>151</v>
      </c>
      <c r="C29" s="44" t="s">
        <v>123</v>
      </c>
      <c r="D29" s="35">
        <f t="shared" si="0"/>
        <v>8847.6290000000008</v>
      </c>
      <c r="E29" s="38">
        <v>288</v>
      </c>
      <c r="F29" s="38">
        <v>1609</v>
      </c>
      <c r="G29" s="38">
        <v>43659000</v>
      </c>
      <c r="H29" s="38">
        <v>69138</v>
      </c>
      <c r="I29" s="38">
        <v>105638</v>
      </c>
      <c r="J29" s="38">
        <v>0</v>
      </c>
      <c r="K29" s="38">
        <v>0</v>
      </c>
      <c r="L29" s="38">
        <v>2439000</v>
      </c>
      <c r="M29" s="38">
        <v>0</v>
      </c>
      <c r="N29" s="38">
        <v>1858000</v>
      </c>
      <c r="O29" s="38">
        <v>173000</v>
      </c>
      <c r="P29" s="38">
        <v>87</v>
      </c>
      <c r="Q29" s="38"/>
      <c r="R29" s="38"/>
      <c r="S29" s="38"/>
      <c r="T29" s="38"/>
      <c r="U29" s="38">
        <v>80479000</v>
      </c>
      <c r="V29" s="38">
        <v>48000000</v>
      </c>
      <c r="W29" s="38">
        <v>0</v>
      </c>
      <c r="X29" s="38">
        <v>0</v>
      </c>
      <c r="Y29" s="72">
        <v>8847629</v>
      </c>
      <c r="Z29" s="38">
        <v>2360</v>
      </c>
      <c r="AA29" s="38">
        <v>2868</v>
      </c>
      <c r="AB29" s="38">
        <v>5228</v>
      </c>
      <c r="AC29" s="38">
        <v>157033557</v>
      </c>
      <c r="AD29" s="38">
        <v>40985208</v>
      </c>
      <c r="AE29" s="38">
        <v>457769</v>
      </c>
      <c r="AF29" s="38">
        <v>16998290</v>
      </c>
      <c r="AG29" s="38">
        <v>63820355</v>
      </c>
      <c r="AH29" s="38">
        <v>21722</v>
      </c>
      <c r="AI29" s="38">
        <v>48589960</v>
      </c>
      <c r="AJ29" s="38">
        <v>327906861</v>
      </c>
      <c r="AK29" s="38">
        <v>286410905</v>
      </c>
      <c r="AL29" s="38">
        <v>22302206</v>
      </c>
      <c r="AM29" s="38">
        <v>19193750</v>
      </c>
      <c r="AN29" s="38">
        <v>327906861</v>
      </c>
      <c r="AO29" s="38">
        <v>5289304</v>
      </c>
      <c r="AP29" s="38">
        <v>350810</v>
      </c>
      <c r="AQ29" s="38">
        <v>1613710</v>
      </c>
      <c r="AR29" s="38">
        <v>1945393</v>
      </c>
      <c r="AS29" s="38">
        <v>9199218</v>
      </c>
      <c r="AT29" s="1">
        <f t="shared" si="1"/>
        <v>2031000</v>
      </c>
      <c r="AU29">
        <f t="shared" si="2"/>
        <v>1.6766458333333334</v>
      </c>
      <c r="AV29">
        <f t="shared" si="3"/>
        <v>37.061551857565455</v>
      </c>
      <c r="AW29">
        <f t="shared" si="4"/>
        <v>0</v>
      </c>
      <c r="AX29">
        <f t="shared" si="5"/>
        <v>5425.1822719962602</v>
      </c>
      <c r="AY29">
        <f t="shared" si="6"/>
        <v>4934.542350272598</v>
      </c>
      <c r="AZ29">
        <f t="shared" si="7"/>
        <v>5229.9634173177919</v>
      </c>
      <c r="BA29">
        <f t="shared" si="8"/>
        <v>275.66707419580996</v>
      </c>
    </row>
    <row r="30" spans="1:53" x14ac:dyDescent="0.25">
      <c r="A30" s="1" t="s">
        <v>58</v>
      </c>
      <c r="B30" s="1" t="s">
        <v>152</v>
      </c>
      <c r="C30" s="44" t="s">
        <v>124</v>
      </c>
      <c r="D30" s="35">
        <f t="shared" si="0"/>
        <v>6861</v>
      </c>
      <c r="E30" s="38">
        <v>43</v>
      </c>
      <c r="F30" s="38">
        <v>2254</v>
      </c>
      <c r="G30" s="38">
        <v>28173790</v>
      </c>
      <c r="H30" s="38"/>
      <c r="I30" s="38"/>
      <c r="J30" s="38"/>
      <c r="K30" s="38"/>
      <c r="L30" s="38"/>
      <c r="M30" s="38"/>
      <c r="N30" s="38">
        <v>1334496</v>
      </c>
      <c r="O30" s="38"/>
      <c r="P30" s="38"/>
      <c r="Q30" s="38"/>
      <c r="R30" s="38"/>
      <c r="S30" s="38"/>
      <c r="T30" s="38"/>
      <c r="U30" s="38">
        <v>6090019</v>
      </c>
      <c r="V30" s="38">
        <v>31638171</v>
      </c>
      <c r="W30" s="38">
        <v>287131</v>
      </c>
      <c r="X30" s="38">
        <v>212584</v>
      </c>
      <c r="Y30" s="72">
        <v>6861000</v>
      </c>
      <c r="Z30" s="38">
        <v>1841</v>
      </c>
      <c r="AA30" s="38">
        <v>3476</v>
      </c>
      <c r="AB30" s="38">
        <v>5317</v>
      </c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1">
        <f t="shared" si="1"/>
        <v>1334496</v>
      </c>
      <c r="AU30">
        <f t="shared" si="2"/>
        <v>0.19248960377640034</v>
      </c>
      <c r="AV30">
        <f t="shared" si="3"/>
        <v>0</v>
      </c>
      <c r="AW30">
        <f t="shared" si="4"/>
        <v>0</v>
      </c>
      <c r="AX30">
        <f t="shared" si="5"/>
        <v>4611.3060778312201</v>
      </c>
      <c r="AY30">
        <f t="shared" si="6"/>
        <v>4106.3678764028564</v>
      </c>
      <c r="AZ30">
        <f t="shared" si="7"/>
        <v>4106.3678764028564</v>
      </c>
      <c r="BA30">
        <f t="shared" si="8"/>
        <v>0</v>
      </c>
    </row>
    <row r="31" spans="1:53" x14ac:dyDescent="0.25">
      <c r="A31" s="1" t="s">
        <v>59</v>
      </c>
      <c r="B31" s="1" t="s">
        <v>151</v>
      </c>
      <c r="C31" s="44" t="s">
        <v>125</v>
      </c>
      <c r="D31" s="35">
        <f t="shared" si="0"/>
        <v>59234.7</v>
      </c>
      <c r="E31" s="38">
        <v>208</v>
      </c>
      <c r="F31" s="38">
        <v>4630</v>
      </c>
      <c r="G31" s="38">
        <v>122677000</v>
      </c>
      <c r="H31" s="38">
        <v>79000</v>
      </c>
      <c r="I31" s="38">
        <v>121000</v>
      </c>
      <c r="J31" s="38">
        <v>76000</v>
      </c>
      <c r="K31" s="38">
        <v>7522000</v>
      </c>
      <c r="L31" s="38">
        <v>7444000</v>
      </c>
      <c r="M31" s="38">
        <v>124000</v>
      </c>
      <c r="N31" s="38">
        <v>10984000</v>
      </c>
      <c r="O31" s="38">
        <v>1381000</v>
      </c>
      <c r="P31" s="38">
        <v>87</v>
      </c>
      <c r="Q31" s="38"/>
      <c r="R31" s="38">
        <v>10700</v>
      </c>
      <c r="S31" s="38">
        <v>2800</v>
      </c>
      <c r="T31" s="38">
        <v>34356000</v>
      </c>
      <c r="U31" s="38">
        <v>497874000</v>
      </c>
      <c r="V31" s="38">
        <v>344519000</v>
      </c>
      <c r="W31" s="38">
        <v>0</v>
      </c>
      <c r="X31" s="38">
        <v>0</v>
      </c>
      <c r="Y31" s="72">
        <v>59234700</v>
      </c>
      <c r="Z31" s="38">
        <v>6342</v>
      </c>
      <c r="AA31" s="38">
        <v>19487</v>
      </c>
      <c r="AB31" s="38">
        <v>25829</v>
      </c>
      <c r="AC31" s="38">
        <v>662509572</v>
      </c>
      <c r="AD31" s="38">
        <v>181844792</v>
      </c>
      <c r="AE31" s="38">
        <v>1003793</v>
      </c>
      <c r="AF31" s="38">
        <v>37282277</v>
      </c>
      <c r="AG31" s="38">
        <v>139877653</v>
      </c>
      <c r="AH31" s="38">
        <v>0</v>
      </c>
      <c r="AI31" s="38">
        <v>191181993</v>
      </c>
      <c r="AJ31" s="38">
        <v>1213700080</v>
      </c>
      <c r="AK31" s="38">
        <v>1099886973</v>
      </c>
      <c r="AL31" s="38">
        <v>65305214</v>
      </c>
      <c r="AM31" s="38">
        <v>48507844</v>
      </c>
      <c r="AN31" s="38">
        <v>1213700031</v>
      </c>
      <c r="AO31" s="38">
        <v>29673257</v>
      </c>
      <c r="AP31" s="38">
        <v>2588575</v>
      </c>
      <c r="AQ31" s="38">
        <v>11811943</v>
      </c>
      <c r="AR31" s="38">
        <v>5517477</v>
      </c>
      <c r="AS31" s="38">
        <v>49591252</v>
      </c>
      <c r="AT31" s="1">
        <f t="shared" si="1"/>
        <v>12365000</v>
      </c>
      <c r="AU31">
        <f t="shared" si="2"/>
        <v>1.4451278449084086</v>
      </c>
      <c r="AV31">
        <f t="shared" si="3"/>
        <v>20.489680541979617</v>
      </c>
      <c r="AW31">
        <f t="shared" si="4"/>
        <v>579.99787286843696</v>
      </c>
      <c r="AX31">
        <f t="shared" si="5"/>
        <v>5816.1685633589777</v>
      </c>
      <c r="AY31">
        <f t="shared" si="6"/>
        <v>2071.032688609886</v>
      </c>
      <c r="AZ31">
        <f t="shared" si="7"/>
        <v>2330.4414473273268</v>
      </c>
      <c r="BA31">
        <f t="shared" si="8"/>
        <v>125.66958218746782</v>
      </c>
    </row>
    <row r="32" spans="1:53" x14ac:dyDescent="0.25">
      <c r="A32" s="1" t="s">
        <v>60</v>
      </c>
      <c r="B32" s="1" t="s">
        <v>151</v>
      </c>
      <c r="C32" s="44" t="s">
        <v>126</v>
      </c>
      <c r="D32" s="35">
        <f t="shared" si="0"/>
        <v>82057.379000000001</v>
      </c>
      <c r="E32" s="38">
        <v>10261</v>
      </c>
      <c r="F32" s="38">
        <v>12134</v>
      </c>
      <c r="G32" s="38">
        <v>113256537</v>
      </c>
      <c r="H32" s="38"/>
      <c r="I32" s="38">
        <v>150856</v>
      </c>
      <c r="J32" s="38"/>
      <c r="K32" s="38"/>
      <c r="L32" s="38">
        <v>9369872</v>
      </c>
      <c r="M32" s="38"/>
      <c r="N32" s="38"/>
      <c r="O32" s="38"/>
      <c r="P32" s="38">
        <v>88</v>
      </c>
      <c r="Q32" s="38"/>
      <c r="R32" s="38"/>
      <c r="S32" s="38"/>
      <c r="T32" s="38">
        <v>11100286</v>
      </c>
      <c r="U32" s="38">
        <v>324555454</v>
      </c>
      <c r="V32" s="38">
        <v>424364683</v>
      </c>
      <c r="W32" s="38">
        <v>462788</v>
      </c>
      <c r="X32" s="38">
        <v>508250</v>
      </c>
      <c r="Y32" s="72">
        <v>82057379</v>
      </c>
      <c r="Z32" s="38">
        <v>8928</v>
      </c>
      <c r="AA32" s="38">
        <v>7129</v>
      </c>
      <c r="AB32" s="38">
        <v>16057</v>
      </c>
      <c r="AC32" s="38">
        <v>477249801</v>
      </c>
      <c r="AD32" s="38">
        <v>86405938</v>
      </c>
      <c r="AE32" s="38">
        <v>0</v>
      </c>
      <c r="AF32" s="38">
        <v>0</v>
      </c>
      <c r="AG32" s="38">
        <v>0</v>
      </c>
      <c r="AH32" s="38">
        <v>0</v>
      </c>
      <c r="AI32" s="38">
        <v>223819150</v>
      </c>
      <c r="AJ32" s="38">
        <v>787474888</v>
      </c>
      <c r="AK32" s="38">
        <v>631231714</v>
      </c>
      <c r="AL32" s="38">
        <v>84692494</v>
      </c>
      <c r="AM32" s="38">
        <v>71550681</v>
      </c>
      <c r="AN32" s="38">
        <v>787474888</v>
      </c>
      <c r="AO32" s="38">
        <v>26233730</v>
      </c>
      <c r="AP32" s="38">
        <v>1739939</v>
      </c>
      <c r="AQ32" s="38">
        <v>8003630</v>
      </c>
      <c r="AR32" s="38">
        <v>9648703</v>
      </c>
      <c r="AS32" s="38">
        <v>45626003</v>
      </c>
      <c r="AT32" s="1">
        <f t="shared" si="1"/>
        <v>0</v>
      </c>
      <c r="AU32">
        <f t="shared" si="2"/>
        <v>0.76480316812791893</v>
      </c>
      <c r="AV32">
        <f t="shared" si="3"/>
        <v>9.5966371043852128</v>
      </c>
      <c r="AW32">
        <f t="shared" si="4"/>
        <v>135.27468382825145</v>
      </c>
      <c r="AX32">
        <f t="shared" si="5"/>
        <v>5171.5602931943513</v>
      </c>
      <c r="AY32">
        <f t="shared" si="6"/>
        <v>1380.2114859164585</v>
      </c>
      <c r="AZ32">
        <f t="shared" si="7"/>
        <v>1496.2367369788888</v>
      </c>
      <c r="BA32">
        <f t="shared" si="8"/>
        <v>114.18683016916735</v>
      </c>
    </row>
    <row r="33" spans="1:53" x14ac:dyDescent="0.25">
      <c r="A33" s="1" t="s">
        <v>61</v>
      </c>
      <c r="B33" s="1" t="s">
        <v>158</v>
      </c>
      <c r="C33" s="44" t="s">
        <v>127</v>
      </c>
      <c r="D33" s="35">
        <f t="shared" si="0"/>
        <v>267131</v>
      </c>
      <c r="E33" s="38">
        <v>8964</v>
      </c>
      <c r="F33" s="38">
        <v>16180</v>
      </c>
      <c r="G33" s="38">
        <v>730461817</v>
      </c>
      <c r="H33" s="38"/>
      <c r="I33" s="38">
        <v>1913000</v>
      </c>
      <c r="J33" s="38">
        <v>0</v>
      </c>
      <c r="K33" s="38"/>
      <c r="L33" s="38">
        <v>45394000</v>
      </c>
      <c r="M33" s="38">
        <v>1134000</v>
      </c>
      <c r="N33" s="38">
        <v>15859000</v>
      </c>
      <c r="O33" s="38">
        <v>3601000</v>
      </c>
      <c r="P33" s="38">
        <v>100</v>
      </c>
      <c r="Q33" s="38"/>
      <c r="R33" s="38"/>
      <c r="S33" s="38">
        <v>13526</v>
      </c>
      <c r="T33" s="38"/>
      <c r="U33" s="38">
        <v>1701184000</v>
      </c>
      <c r="V33" s="38">
        <v>1088034000</v>
      </c>
      <c r="W33" s="38">
        <v>1374417</v>
      </c>
      <c r="X33" s="38">
        <v>6969319</v>
      </c>
      <c r="Y33" s="72">
        <v>267131000</v>
      </c>
      <c r="Z33" s="38">
        <v>40689</v>
      </c>
      <c r="AA33" s="38">
        <v>82755</v>
      </c>
      <c r="AB33" s="38">
        <v>123444</v>
      </c>
      <c r="AC33" s="38">
        <v>3546831102</v>
      </c>
      <c r="AD33" s="38">
        <v>850797492</v>
      </c>
      <c r="AE33" s="38">
        <v>11301</v>
      </c>
      <c r="AF33" s="38">
        <v>319366</v>
      </c>
      <c r="AG33" s="38">
        <v>1500726</v>
      </c>
      <c r="AH33" s="38">
        <v>1029200</v>
      </c>
      <c r="AI33" s="38">
        <v>1124169850</v>
      </c>
      <c r="AJ33" s="38">
        <v>5524659037</v>
      </c>
      <c r="AK33" s="38">
        <v>5469156089</v>
      </c>
      <c r="AL33" s="38">
        <v>293200901</v>
      </c>
      <c r="AM33" s="38">
        <v>247704646</v>
      </c>
      <c r="AN33" s="38">
        <v>6010061636</v>
      </c>
      <c r="AO33" s="38"/>
      <c r="AP33" s="38"/>
      <c r="AQ33" s="38"/>
      <c r="AR33" s="38"/>
      <c r="AS33" s="38"/>
      <c r="AT33" s="1">
        <f t="shared" si="1"/>
        <v>19460000</v>
      </c>
      <c r="AU33">
        <f t="shared" si="2"/>
        <v>1.5635393746886586</v>
      </c>
      <c r="AV33">
        <f t="shared" si="3"/>
        <v>20.681459796878684</v>
      </c>
      <c r="AW33">
        <f t="shared" si="4"/>
        <v>0</v>
      </c>
      <c r="AX33">
        <f t="shared" si="5"/>
        <v>4073.0353272364496</v>
      </c>
      <c r="AY33">
        <f t="shared" si="6"/>
        <v>2734.4704171361618</v>
      </c>
      <c r="AZ33">
        <f t="shared" si="7"/>
        <v>2915.808412351992</v>
      </c>
      <c r="BA33">
        <f t="shared" si="8"/>
        <v>169.93160659002513</v>
      </c>
    </row>
    <row r="34" spans="1:53" x14ac:dyDescent="0.25">
      <c r="A34" s="1" t="s">
        <v>62</v>
      </c>
      <c r="B34" s="1" t="s">
        <v>159</v>
      </c>
      <c r="C34" s="44" t="s">
        <v>128</v>
      </c>
      <c r="D34" s="35">
        <f t="shared" si="0"/>
        <v>65292.66</v>
      </c>
      <c r="E34" s="38">
        <v>1343</v>
      </c>
      <c r="F34" s="38">
        <v>1857</v>
      </c>
      <c r="G34" s="38">
        <v>11598444</v>
      </c>
      <c r="H34" s="38"/>
      <c r="I34" s="38">
        <v>114</v>
      </c>
      <c r="J34" s="38">
        <v>162214</v>
      </c>
      <c r="K34" s="38">
        <v>5926</v>
      </c>
      <c r="L34" s="38">
        <v>104551</v>
      </c>
      <c r="M34" s="38">
        <v>379</v>
      </c>
      <c r="N34" s="38"/>
      <c r="O34" s="38"/>
      <c r="P34" s="38"/>
      <c r="Q34" s="38">
        <v>17</v>
      </c>
      <c r="R34" s="38"/>
      <c r="S34" s="38">
        <v>9</v>
      </c>
      <c r="T34" s="38">
        <v>498180</v>
      </c>
      <c r="U34" s="38">
        <v>4130219</v>
      </c>
      <c r="V34" s="38">
        <v>20515171</v>
      </c>
      <c r="W34" s="38">
        <v>11511</v>
      </c>
      <c r="X34" s="38">
        <v>58368</v>
      </c>
      <c r="Y34" s="72">
        <v>65292660</v>
      </c>
      <c r="Z34" s="38">
        <v>274</v>
      </c>
      <c r="AA34" s="38">
        <v>2938</v>
      </c>
      <c r="AB34" s="38">
        <v>3212</v>
      </c>
      <c r="AC34" s="38">
        <v>10272802</v>
      </c>
      <c r="AD34" s="38">
        <v>0</v>
      </c>
      <c r="AE34" s="38">
        <v>0</v>
      </c>
      <c r="AF34" s="38">
        <v>386218</v>
      </c>
      <c r="AG34" s="38">
        <v>13866459</v>
      </c>
      <c r="AH34" s="38">
        <v>1647295</v>
      </c>
      <c r="AI34" s="38">
        <v>0</v>
      </c>
      <c r="AJ34" s="38">
        <v>26172774</v>
      </c>
      <c r="AK34" s="38">
        <v>23358025</v>
      </c>
      <c r="AL34" s="38">
        <v>1355539</v>
      </c>
      <c r="AM34" s="38">
        <v>1148582</v>
      </c>
      <c r="AN34" s="38">
        <v>25862146</v>
      </c>
      <c r="AO34" s="38"/>
      <c r="AP34" s="38"/>
      <c r="AQ34" s="38"/>
      <c r="AR34" s="38"/>
      <c r="AS34" s="38"/>
      <c r="AT34" s="1">
        <f t="shared" si="1"/>
        <v>0</v>
      </c>
      <c r="AU34">
        <f t="shared" si="2"/>
        <v>0.20132510716093957</v>
      </c>
      <c r="AV34">
        <f t="shared" si="3"/>
        <v>0.40085323526411698</v>
      </c>
      <c r="AW34">
        <f t="shared" si="4"/>
        <v>7.629954117354079</v>
      </c>
      <c r="AX34">
        <f t="shared" si="5"/>
        <v>314.20332698958811</v>
      </c>
      <c r="AY34">
        <f t="shared" si="6"/>
        <v>177.63779267072286</v>
      </c>
      <c r="AZ34">
        <f t="shared" si="7"/>
        <v>181.82178517462759</v>
      </c>
      <c r="BA34">
        <f t="shared" si="8"/>
        <v>1.601267278741592</v>
      </c>
    </row>
    <row r="35" spans="1:53" x14ac:dyDescent="0.25">
      <c r="A35" s="1" t="s">
        <v>63</v>
      </c>
      <c r="B35" s="1" t="s">
        <v>158</v>
      </c>
      <c r="C35" s="44" t="s">
        <v>129</v>
      </c>
      <c r="D35" s="35">
        <f t="shared" si="0"/>
        <v>18745.706999999999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72">
        <v>18745707</v>
      </c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1">
        <f t="shared" si="1"/>
        <v>0</v>
      </c>
      <c r="AU35" t="e">
        <f t="shared" si="2"/>
        <v>#DIV/0!</v>
      </c>
      <c r="AV35">
        <f t="shared" si="3"/>
        <v>0</v>
      </c>
      <c r="AW35">
        <f t="shared" si="4"/>
        <v>0</v>
      </c>
      <c r="AX35">
        <f t="shared" si="5"/>
        <v>0</v>
      </c>
      <c r="AY35">
        <f t="shared" si="6"/>
        <v>0</v>
      </c>
      <c r="AZ35">
        <f t="shared" si="7"/>
        <v>0</v>
      </c>
      <c r="BA35">
        <f t="shared" si="8"/>
        <v>0</v>
      </c>
    </row>
    <row r="36" spans="1:53" x14ac:dyDescent="0.25">
      <c r="A36" s="1" t="s">
        <v>64</v>
      </c>
      <c r="B36" s="1" t="s">
        <v>158</v>
      </c>
      <c r="C36" s="44" t="s">
        <v>130</v>
      </c>
      <c r="D36" s="35">
        <f t="shared" si="0"/>
        <v>125568</v>
      </c>
      <c r="E36" s="38">
        <v>1637</v>
      </c>
      <c r="F36" s="38">
        <v>2560</v>
      </c>
      <c r="G36" s="38">
        <v>274337000</v>
      </c>
      <c r="H36" s="38"/>
      <c r="I36" s="38"/>
      <c r="J36" s="38"/>
      <c r="K36" s="38"/>
      <c r="L36" s="38"/>
      <c r="M36" s="38"/>
      <c r="N36" s="38">
        <v>19723000</v>
      </c>
      <c r="O36" s="38"/>
      <c r="P36" s="38"/>
      <c r="Q36" s="38"/>
      <c r="R36" s="38"/>
      <c r="S36" s="38"/>
      <c r="T36" s="38">
        <v>35723000</v>
      </c>
      <c r="U36" s="38">
        <v>495215000</v>
      </c>
      <c r="V36" s="38"/>
      <c r="W36" s="38">
        <v>923901</v>
      </c>
      <c r="X36" s="38">
        <v>4684868</v>
      </c>
      <c r="Y36" s="72">
        <v>125568000</v>
      </c>
      <c r="Z36" s="38">
        <v>11175</v>
      </c>
      <c r="AA36" s="38">
        <v>14438</v>
      </c>
      <c r="AB36" s="38">
        <v>25613</v>
      </c>
      <c r="AC36" s="38">
        <v>552106569</v>
      </c>
      <c r="AD36" s="38">
        <v>261053182</v>
      </c>
      <c r="AE36" s="38">
        <v>1078</v>
      </c>
      <c r="AF36" s="38">
        <v>29739</v>
      </c>
      <c r="AG36" s="38">
        <v>142160</v>
      </c>
      <c r="AH36" s="38">
        <v>98434</v>
      </c>
      <c r="AI36" s="38">
        <v>104682973</v>
      </c>
      <c r="AJ36" s="38">
        <v>918114136</v>
      </c>
      <c r="AK36" s="38">
        <v>819375616</v>
      </c>
      <c r="AL36" s="38">
        <v>47550913</v>
      </c>
      <c r="AM36" s="38">
        <v>40291089</v>
      </c>
      <c r="AN36" s="38">
        <v>907217618</v>
      </c>
      <c r="AO36" s="38"/>
      <c r="AP36" s="38"/>
      <c r="AQ36" s="38"/>
      <c r="AR36" s="38"/>
      <c r="AS36" s="38"/>
      <c r="AT36" s="1">
        <f t="shared" si="1"/>
        <v>19723000</v>
      </c>
      <c r="AU36" t="e">
        <f t="shared" si="2"/>
        <v>#DIV/0!</v>
      </c>
      <c r="AV36">
        <f t="shared" si="3"/>
        <v>7.3116887742099896</v>
      </c>
      <c r="AW36">
        <f t="shared" si="4"/>
        <v>284.49127166156984</v>
      </c>
      <c r="AX36">
        <f t="shared" si="5"/>
        <v>0</v>
      </c>
      <c r="AY36">
        <f t="shared" si="6"/>
        <v>2184.7684123343529</v>
      </c>
      <c r="AZ36">
        <f t="shared" si="7"/>
        <v>2184.7684123343529</v>
      </c>
      <c r="BA36">
        <f t="shared" si="8"/>
        <v>0</v>
      </c>
    </row>
    <row r="37" spans="1:53" x14ac:dyDescent="0.25">
      <c r="A37" s="1" t="s">
        <v>143</v>
      </c>
      <c r="B37" s="1" t="s">
        <v>158</v>
      </c>
      <c r="C37" s="1" t="s">
        <v>146</v>
      </c>
      <c r="D37" s="35">
        <f t="shared" si="0"/>
        <v>47926</v>
      </c>
      <c r="Y37" s="72">
        <v>47926000</v>
      </c>
      <c r="AO37" s="1"/>
      <c r="AT37" s="1">
        <f t="shared" si="1"/>
        <v>0</v>
      </c>
      <c r="AU37" t="e">
        <f t="shared" si="2"/>
        <v>#DIV/0!</v>
      </c>
      <c r="AV37">
        <f t="shared" si="3"/>
        <v>0</v>
      </c>
      <c r="AW37">
        <f t="shared" si="4"/>
        <v>0</v>
      </c>
      <c r="AX37">
        <f t="shared" si="5"/>
        <v>0</v>
      </c>
      <c r="AY37">
        <f t="shared" si="6"/>
        <v>0</v>
      </c>
      <c r="AZ37">
        <f t="shared" si="7"/>
        <v>0</v>
      </c>
      <c r="BA37">
        <f t="shared" si="8"/>
        <v>0</v>
      </c>
    </row>
    <row r="38" spans="1:53" x14ac:dyDescent="0.25">
      <c r="A38" s="1" t="s">
        <v>144</v>
      </c>
      <c r="B38" s="1" t="s">
        <v>158</v>
      </c>
      <c r="C38" s="1" t="s">
        <v>147</v>
      </c>
      <c r="D38" s="35">
        <f t="shared" si="0"/>
        <v>31093</v>
      </c>
      <c r="E38" s="1">
        <v>2739</v>
      </c>
      <c r="F38" s="1">
        <v>910</v>
      </c>
      <c r="G38" s="1">
        <v>75032608</v>
      </c>
      <c r="I38" s="1">
        <v>150814</v>
      </c>
      <c r="U38" s="1">
        <v>331565367</v>
      </c>
      <c r="Y38" s="72">
        <v>31093000</v>
      </c>
      <c r="Z38" s="1">
        <v>6733</v>
      </c>
      <c r="AA38" s="1">
        <v>6616</v>
      </c>
      <c r="AB38" s="1">
        <v>13349</v>
      </c>
      <c r="AC38" s="1">
        <v>293843525</v>
      </c>
      <c r="AD38" s="1">
        <v>63515538</v>
      </c>
      <c r="AE38" s="1">
        <v>0</v>
      </c>
      <c r="AF38" s="1">
        <v>0</v>
      </c>
      <c r="AG38" s="1">
        <v>0</v>
      </c>
      <c r="AH38" s="1">
        <v>0</v>
      </c>
      <c r="AI38" s="1">
        <v>95373542</v>
      </c>
      <c r="AJ38" s="1">
        <v>452732605</v>
      </c>
      <c r="AK38" s="1">
        <v>408896443</v>
      </c>
      <c r="AL38" s="1">
        <v>23729531</v>
      </c>
      <c r="AM38" s="1">
        <v>20106631</v>
      </c>
      <c r="AN38" s="1">
        <v>452732605</v>
      </c>
      <c r="AO38" s="1">
        <v>15934721</v>
      </c>
      <c r="AP38" s="1">
        <v>803994</v>
      </c>
      <c r="AQ38" s="1">
        <v>3698331</v>
      </c>
      <c r="AR38" s="1">
        <v>4458490</v>
      </c>
      <c r="AS38" s="1">
        <v>24895536</v>
      </c>
      <c r="AT38" s="1">
        <f t="shared" si="1"/>
        <v>0</v>
      </c>
      <c r="AU38" t="e">
        <f t="shared" si="2"/>
        <v>#DIV/0!</v>
      </c>
      <c r="AV38">
        <f t="shared" si="3"/>
        <v>14.560595793265366</v>
      </c>
      <c r="AW38">
        <f t="shared" si="4"/>
        <v>0</v>
      </c>
      <c r="AX38">
        <f t="shared" si="5"/>
        <v>0</v>
      </c>
      <c r="AY38">
        <f t="shared" si="6"/>
        <v>2413.1672080532594</v>
      </c>
      <c r="AZ38">
        <f t="shared" si="7"/>
        <v>2418.0176245457178</v>
      </c>
      <c r="BA38">
        <f t="shared" si="8"/>
        <v>0</v>
      </c>
    </row>
    <row r="39" spans="1:53" x14ac:dyDescent="0.25">
      <c r="A39" s="1" t="s">
        <v>145</v>
      </c>
      <c r="B39" s="1" t="s">
        <v>158</v>
      </c>
      <c r="C39" s="1" t="s">
        <v>148</v>
      </c>
      <c r="D39" s="35">
        <f t="shared" si="0"/>
        <v>3838</v>
      </c>
      <c r="Y39" s="72">
        <v>3838000</v>
      </c>
      <c r="AO39" s="1"/>
      <c r="AT39" s="1">
        <f t="shared" si="1"/>
        <v>0</v>
      </c>
      <c r="AU39" t="e">
        <f t="shared" si="2"/>
        <v>#DIV/0!</v>
      </c>
      <c r="AV39">
        <f t="shared" si="3"/>
        <v>0</v>
      </c>
      <c r="AW39">
        <f t="shared" si="4"/>
        <v>0</v>
      </c>
      <c r="AX39">
        <f t="shared" si="5"/>
        <v>0</v>
      </c>
      <c r="AY39">
        <f t="shared" si="6"/>
        <v>0</v>
      </c>
      <c r="AZ39">
        <f t="shared" si="7"/>
        <v>0</v>
      </c>
      <c r="BA39">
        <f t="shared" si="8"/>
        <v>0</v>
      </c>
    </row>
    <row r="40" spans="1:53" x14ac:dyDescent="0.25">
      <c r="A40" s="1" t="s">
        <v>149</v>
      </c>
      <c r="B40" s="1" t="s">
        <v>159</v>
      </c>
      <c r="C40" s="1" t="s">
        <v>153</v>
      </c>
      <c r="D40" s="35">
        <f t="shared" si="0"/>
        <v>94250.638000000006</v>
      </c>
      <c r="Y40" s="72">
        <v>94250638</v>
      </c>
      <c r="AO40" s="1"/>
      <c r="AT40" s="1">
        <f t="shared" si="1"/>
        <v>0</v>
      </c>
      <c r="AU40" t="e">
        <f t="shared" si="2"/>
        <v>#DIV/0!</v>
      </c>
      <c r="AV40">
        <f t="shared" si="3"/>
        <v>0</v>
      </c>
      <c r="AW40">
        <f t="shared" si="4"/>
        <v>0</v>
      </c>
      <c r="AX40">
        <f t="shared" si="5"/>
        <v>0</v>
      </c>
      <c r="AY40">
        <f t="shared" si="6"/>
        <v>0</v>
      </c>
      <c r="AZ40">
        <f t="shared" si="7"/>
        <v>0</v>
      </c>
      <c r="BA40">
        <f t="shared" si="8"/>
        <v>0</v>
      </c>
    </row>
    <row r="41" spans="1:53" x14ac:dyDescent="0.25">
      <c r="A41" s="1" t="s">
        <v>150</v>
      </c>
      <c r="B41" s="1" t="s">
        <v>154</v>
      </c>
      <c r="D41" s="35">
        <f t="shared" si="0"/>
        <v>105412.58199999999</v>
      </c>
      <c r="E41" s="1">
        <v>29760</v>
      </c>
      <c r="F41" s="1">
        <v>28489</v>
      </c>
      <c r="G41" s="1">
        <v>399647622</v>
      </c>
      <c r="H41" s="1">
        <v>305043</v>
      </c>
      <c r="I41" s="1">
        <v>552769</v>
      </c>
      <c r="J41" s="1">
        <v>225317</v>
      </c>
      <c r="K41" s="1">
        <v>153424</v>
      </c>
      <c r="L41" s="1">
        <v>5825543</v>
      </c>
      <c r="M41" s="1">
        <v>19443</v>
      </c>
      <c r="N41" s="1">
        <v>10521259</v>
      </c>
      <c r="O41" s="1">
        <v>217661</v>
      </c>
      <c r="P41" s="1">
        <v>78</v>
      </c>
      <c r="Q41" s="1">
        <v>39</v>
      </c>
      <c r="R41" s="1">
        <v>1345</v>
      </c>
      <c r="S41" s="1">
        <v>645</v>
      </c>
      <c r="T41" s="1">
        <v>15768993</v>
      </c>
      <c r="U41" s="1">
        <v>438495707</v>
      </c>
      <c r="V41" s="1">
        <v>139981188</v>
      </c>
      <c r="W41" s="1">
        <v>222141</v>
      </c>
      <c r="X41" s="1">
        <v>245423</v>
      </c>
      <c r="Y41" s="72">
        <v>105412582</v>
      </c>
      <c r="Z41" s="1">
        <v>32459</v>
      </c>
      <c r="AA41" s="1">
        <v>12408</v>
      </c>
      <c r="AB41" s="1">
        <v>44867</v>
      </c>
      <c r="AC41" s="1">
        <v>121315536</v>
      </c>
      <c r="AD41" s="1">
        <v>39362414</v>
      </c>
      <c r="AE41" s="1">
        <v>21492</v>
      </c>
      <c r="AF41" s="1">
        <v>380863</v>
      </c>
      <c r="AG41" s="1">
        <v>1467758</v>
      </c>
      <c r="AH41" s="1">
        <v>1263997</v>
      </c>
      <c r="AI41" s="1">
        <v>74184103</v>
      </c>
      <c r="AJ41" s="1">
        <v>237996164</v>
      </c>
      <c r="AK41" s="1">
        <v>209624452</v>
      </c>
      <c r="AL41" s="1">
        <v>9551759</v>
      </c>
      <c r="AM41" s="1">
        <v>25242733</v>
      </c>
      <c r="AN41" s="1">
        <v>244418938</v>
      </c>
      <c r="AO41" s="1">
        <v>16106793</v>
      </c>
      <c r="AP41" s="1">
        <v>552218</v>
      </c>
      <c r="AQ41" s="1">
        <v>2646686</v>
      </c>
      <c r="AR41" s="1">
        <v>9064856</v>
      </c>
      <c r="AS41" s="1">
        <v>28370554</v>
      </c>
      <c r="AT41" s="1">
        <f t="shared" si="1"/>
        <v>10738920</v>
      </c>
      <c r="AU41">
        <f t="shared" si="2"/>
        <v>3.1325331158069614</v>
      </c>
      <c r="AV41">
        <f t="shared" si="3"/>
        <v>2.2577586041863578</v>
      </c>
      <c r="AW41">
        <f t="shared" si="4"/>
        <v>149.59308178221079</v>
      </c>
      <c r="AX41">
        <f t="shared" si="5"/>
        <v>1327.9362419943382</v>
      </c>
      <c r="AY41">
        <f t="shared" si="6"/>
        <v>3791.2705904500094</v>
      </c>
      <c r="AZ41">
        <f t="shared" si="7"/>
        <v>3858.4498480456537</v>
      </c>
      <c r="BA41">
        <f t="shared" si="8"/>
        <v>55.264209352162538</v>
      </c>
    </row>
    <row r="42" spans="1:53" x14ac:dyDescent="0.25">
      <c r="A42" s="1" t="s">
        <v>151</v>
      </c>
      <c r="B42" s="1" t="s">
        <v>154</v>
      </c>
      <c r="D42" s="35">
        <f t="shared" si="0"/>
        <v>371139.06400000001</v>
      </c>
      <c r="E42" s="1">
        <v>22464</v>
      </c>
      <c r="F42" s="1">
        <v>41477</v>
      </c>
      <c r="G42" s="1">
        <v>667717137</v>
      </c>
      <c r="H42" s="1">
        <v>1517906</v>
      </c>
      <c r="I42" s="1">
        <v>1539245</v>
      </c>
      <c r="J42" s="1">
        <v>2594960</v>
      </c>
      <c r="K42" s="1">
        <v>15668842</v>
      </c>
      <c r="L42" s="1">
        <v>47699204</v>
      </c>
      <c r="M42" s="1">
        <v>733456</v>
      </c>
      <c r="N42" s="1">
        <v>53546473</v>
      </c>
      <c r="O42" s="1">
        <v>5787568</v>
      </c>
      <c r="P42" s="1">
        <v>87</v>
      </c>
      <c r="Q42" s="1">
        <v>71</v>
      </c>
      <c r="R42" s="1">
        <v>49997</v>
      </c>
      <c r="S42" s="1">
        <v>26293</v>
      </c>
      <c r="T42" s="1">
        <v>99316577</v>
      </c>
      <c r="U42" s="1">
        <v>1893808593</v>
      </c>
      <c r="V42" s="1">
        <v>1921924063</v>
      </c>
      <c r="W42" s="1">
        <v>2273868</v>
      </c>
      <c r="X42" s="1">
        <v>12552772</v>
      </c>
      <c r="Y42" s="72">
        <v>371139064</v>
      </c>
      <c r="Z42" s="1">
        <v>46519</v>
      </c>
      <c r="AA42" s="1">
        <v>79452</v>
      </c>
      <c r="AB42" s="1">
        <v>125971</v>
      </c>
      <c r="AC42" s="1">
        <v>3221806170</v>
      </c>
      <c r="AD42" s="1">
        <v>735560684</v>
      </c>
      <c r="AE42" s="1">
        <v>2597641</v>
      </c>
      <c r="AF42" s="1">
        <v>120471574</v>
      </c>
      <c r="AG42" s="1">
        <v>402140764</v>
      </c>
      <c r="AH42" s="1">
        <v>123248</v>
      </c>
      <c r="AI42" s="1">
        <v>1070290014</v>
      </c>
      <c r="AJ42" s="1">
        <v>5552990092</v>
      </c>
      <c r="AK42" s="1">
        <v>4800831339</v>
      </c>
      <c r="AL42" s="1">
        <v>347045529</v>
      </c>
      <c r="AM42" s="1">
        <v>335352838</v>
      </c>
      <c r="AN42" s="1">
        <v>5483229702</v>
      </c>
      <c r="AO42" s="1">
        <v>291406666</v>
      </c>
      <c r="AP42" s="1">
        <v>15029873</v>
      </c>
      <c r="AQ42" s="1">
        <v>68747852</v>
      </c>
      <c r="AR42" s="1">
        <v>74878829</v>
      </c>
      <c r="AS42" s="1">
        <v>450063236</v>
      </c>
      <c r="AT42" s="1">
        <f t="shared" si="1"/>
        <v>59334041</v>
      </c>
      <c r="AU42">
        <f t="shared" si="2"/>
        <v>0.98537118581255834</v>
      </c>
      <c r="AV42">
        <f t="shared" si="3"/>
        <v>14.96201998289245</v>
      </c>
      <c r="AW42">
        <f t="shared" si="4"/>
        <v>267.59936270141588</v>
      </c>
      <c r="AX42">
        <f t="shared" si="5"/>
        <v>5178.4472436994665</v>
      </c>
      <c r="AY42">
        <f t="shared" si="6"/>
        <v>1799.1022820491889</v>
      </c>
      <c r="AZ42">
        <f t="shared" si="7"/>
        <v>1987.0469630758134</v>
      </c>
      <c r="BA42">
        <f t="shared" si="8"/>
        <v>128.52110873459549</v>
      </c>
    </row>
    <row r="43" spans="1:53" x14ac:dyDescent="0.25">
      <c r="A43" s="1" t="s">
        <v>152</v>
      </c>
      <c r="B43" s="1" t="s">
        <v>154</v>
      </c>
      <c r="D43" s="35">
        <f t="shared" si="0"/>
        <v>11611.638000000001</v>
      </c>
      <c r="E43" s="1">
        <v>630</v>
      </c>
      <c r="F43" s="1">
        <v>3538</v>
      </c>
      <c r="G43" s="1">
        <v>50929367</v>
      </c>
      <c r="H43" s="1">
        <v>61031</v>
      </c>
      <c r="I43" s="1">
        <v>123026</v>
      </c>
      <c r="J43" s="1">
        <v>100794</v>
      </c>
      <c r="K43" s="1">
        <v>799720</v>
      </c>
      <c r="L43" s="1">
        <v>2826365</v>
      </c>
      <c r="M43" s="1">
        <v>15929</v>
      </c>
      <c r="N43" s="1">
        <v>2347695</v>
      </c>
      <c r="O43" s="1">
        <v>313890</v>
      </c>
      <c r="P43" s="1">
        <v>82</v>
      </c>
      <c r="Q43" s="1">
        <v>78</v>
      </c>
      <c r="R43" s="1">
        <v>1259</v>
      </c>
      <c r="S43" s="1">
        <v>782</v>
      </c>
      <c r="T43" s="1">
        <v>3455721</v>
      </c>
      <c r="U43" s="1">
        <v>31290800</v>
      </c>
      <c r="V43" s="1">
        <v>53274947</v>
      </c>
      <c r="W43" s="1">
        <v>402181</v>
      </c>
      <c r="X43" s="1">
        <v>356493</v>
      </c>
      <c r="Y43" s="72">
        <v>11611638</v>
      </c>
      <c r="Z43" s="1">
        <v>2853</v>
      </c>
      <c r="AA43" s="1">
        <v>4667</v>
      </c>
      <c r="AB43" s="1">
        <v>7523</v>
      </c>
      <c r="AC43" s="1">
        <v>222615218</v>
      </c>
      <c r="AD43" s="1">
        <v>74620670</v>
      </c>
      <c r="AE43" s="1">
        <v>0</v>
      </c>
      <c r="AF43" s="1">
        <v>5553533</v>
      </c>
      <c r="AG43" s="1">
        <v>34092921</v>
      </c>
      <c r="AH43" s="1">
        <v>8855970</v>
      </c>
      <c r="AI43" s="1">
        <v>63927864</v>
      </c>
      <c r="AJ43" s="1">
        <v>409666176</v>
      </c>
      <c r="AK43" s="1">
        <v>274690832</v>
      </c>
      <c r="AL43" s="1">
        <v>18349287</v>
      </c>
      <c r="AM43" s="1">
        <v>7974857</v>
      </c>
      <c r="AN43" s="1">
        <v>301014976</v>
      </c>
      <c r="AO43" s="1">
        <v>17194311</v>
      </c>
      <c r="AP43" s="1">
        <v>867547</v>
      </c>
      <c r="AQ43" s="1">
        <v>3990673</v>
      </c>
      <c r="AR43" s="1">
        <v>4810919</v>
      </c>
      <c r="AS43" s="1">
        <v>26863453</v>
      </c>
      <c r="AT43" s="1">
        <f t="shared" si="1"/>
        <v>2661585</v>
      </c>
      <c r="AU43">
        <f t="shared" si="2"/>
        <v>0.5873454928073415</v>
      </c>
      <c r="AV43">
        <f t="shared" si="3"/>
        <v>35.280653427190892</v>
      </c>
      <c r="AW43">
        <f t="shared" si="4"/>
        <v>297.60839943511843</v>
      </c>
      <c r="AX43">
        <f t="shared" si="5"/>
        <v>4588.064750210091</v>
      </c>
      <c r="AY43">
        <f t="shared" si="6"/>
        <v>4386.0622420368254</v>
      </c>
      <c r="AZ43">
        <f t="shared" si="7"/>
        <v>4724.245795468305</v>
      </c>
      <c r="BA43">
        <f t="shared" si="8"/>
        <v>243.40794985169188</v>
      </c>
    </row>
    <row r="44" spans="1:53" x14ac:dyDescent="0.25">
      <c r="A44" s="1" t="s">
        <v>310</v>
      </c>
      <c r="B44" s="1" t="s">
        <v>154</v>
      </c>
      <c r="D44" s="35">
        <f t="shared" si="0"/>
        <v>494301.70699999999</v>
      </c>
      <c r="E44" s="1">
        <v>15676</v>
      </c>
      <c r="F44" s="1">
        <v>22992</v>
      </c>
      <c r="G44" s="1">
        <v>1235974535</v>
      </c>
      <c r="H44" s="1">
        <v>567770</v>
      </c>
      <c r="I44" s="1">
        <v>2316129</v>
      </c>
      <c r="J44" s="1">
        <v>199091</v>
      </c>
      <c r="K44" s="1">
        <v>11309795</v>
      </c>
      <c r="L44" s="1">
        <v>56572982</v>
      </c>
      <c r="M44" s="1">
        <v>1347349</v>
      </c>
      <c r="N44" s="1">
        <v>47385756</v>
      </c>
      <c r="O44" s="1">
        <v>4555517</v>
      </c>
      <c r="P44" s="1">
        <v>90</v>
      </c>
      <c r="Q44" s="1">
        <v>69</v>
      </c>
      <c r="R44" s="1">
        <v>15751</v>
      </c>
      <c r="S44" s="1">
        <v>17486</v>
      </c>
      <c r="T44" s="1">
        <v>117361800</v>
      </c>
      <c r="U44" s="1">
        <v>2822915652</v>
      </c>
      <c r="V44" s="1">
        <v>2364354300</v>
      </c>
      <c r="W44" s="1">
        <v>2926066</v>
      </c>
      <c r="X44" s="1">
        <v>14837330</v>
      </c>
      <c r="Y44" s="72">
        <v>494301707</v>
      </c>
      <c r="Z44" s="1">
        <v>66023</v>
      </c>
      <c r="AA44" s="1">
        <v>113693</v>
      </c>
      <c r="AB44" s="1">
        <v>179716</v>
      </c>
      <c r="AC44" s="1">
        <v>4903360845</v>
      </c>
      <c r="AD44" s="1">
        <v>1346931199</v>
      </c>
      <c r="AE44" s="1">
        <v>13745</v>
      </c>
      <c r="AF44" s="1">
        <v>387455</v>
      </c>
      <c r="AG44" s="1">
        <v>1824019</v>
      </c>
      <c r="AH44" s="1">
        <v>1252214</v>
      </c>
      <c r="AI44" s="1">
        <v>1459220323</v>
      </c>
      <c r="AJ44" s="1">
        <v>7712989803</v>
      </c>
      <c r="AK44" s="1">
        <v>7426995912</v>
      </c>
      <c r="AL44" s="1">
        <v>406820430</v>
      </c>
      <c r="AM44" s="1">
        <v>343977341</v>
      </c>
      <c r="AN44" s="1">
        <v>8177793682</v>
      </c>
      <c r="AO44" s="1">
        <v>425243137</v>
      </c>
      <c r="AP44" s="1">
        <v>21455844</v>
      </c>
      <c r="AQ44" s="1">
        <v>98695797</v>
      </c>
      <c r="AR44" s="1">
        <v>118981818</v>
      </c>
      <c r="AS44" s="1">
        <v>664376618</v>
      </c>
      <c r="AT44" s="1">
        <f t="shared" si="1"/>
        <v>51941273</v>
      </c>
      <c r="AU44">
        <f t="shared" si="2"/>
        <v>1.1939478156890446</v>
      </c>
      <c r="AV44">
        <f t="shared" si="3"/>
        <v>15.603809765925003</v>
      </c>
      <c r="AW44">
        <f t="shared" si="4"/>
        <v>237.42948555101793</v>
      </c>
      <c r="AX44">
        <f t="shared" si="5"/>
        <v>4783.2209893622721</v>
      </c>
      <c r="AY44">
        <f t="shared" si="6"/>
        <v>2500.4456134722595</v>
      </c>
      <c r="AZ44">
        <f t="shared" si="7"/>
        <v>2646.7390916778686</v>
      </c>
      <c r="BA44">
        <f t="shared" si="8"/>
        <v>114.45030676375957</v>
      </c>
    </row>
    <row r="45" spans="1:53" x14ac:dyDescent="0.25">
      <c r="A45" s="1" t="s">
        <v>311</v>
      </c>
      <c r="B45" s="1" t="s">
        <v>154</v>
      </c>
      <c r="D45" s="35">
        <f t="shared" si="0"/>
        <v>159543.29800000001</v>
      </c>
      <c r="E45" s="1">
        <v>3025</v>
      </c>
      <c r="F45" s="1">
        <v>4183</v>
      </c>
      <c r="G45" s="1">
        <v>26125208</v>
      </c>
      <c r="H45" s="1">
        <v>99098</v>
      </c>
      <c r="I45" s="1">
        <v>257</v>
      </c>
      <c r="J45" s="1">
        <v>365383</v>
      </c>
      <c r="K45" s="1">
        <v>13348</v>
      </c>
      <c r="L45" s="1">
        <v>235499</v>
      </c>
      <c r="M45" s="1">
        <v>854</v>
      </c>
      <c r="N45" s="1">
        <v>1234280</v>
      </c>
      <c r="O45" s="1">
        <v>21387</v>
      </c>
      <c r="P45" s="1">
        <v>88</v>
      </c>
      <c r="Q45" s="1">
        <v>17</v>
      </c>
      <c r="R45" s="1">
        <v>2750</v>
      </c>
      <c r="S45" s="1">
        <v>20</v>
      </c>
      <c r="T45" s="1">
        <v>1122138</v>
      </c>
      <c r="U45" s="1">
        <v>9303216</v>
      </c>
      <c r="V45" s="1">
        <v>46209915</v>
      </c>
      <c r="W45" s="1">
        <v>25928</v>
      </c>
      <c r="X45" s="1">
        <v>131472</v>
      </c>
      <c r="Y45" s="72">
        <v>159543298</v>
      </c>
      <c r="Z45" s="1">
        <v>617</v>
      </c>
      <c r="AA45" s="1">
        <v>6618</v>
      </c>
      <c r="AB45" s="1">
        <v>7235</v>
      </c>
      <c r="AC45" s="1">
        <v>23139232</v>
      </c>
      <c r="AD45" s="1">
        <v>0</v>
      </c>
      <c r="AE45" s="1">
        <v>0</v>
      </c>
      <c r="AF45" s="1">
        <v>869946</v>
      </c>
      <c r="AG45" s="1">
        <v>31233856</v>
      </c>
      <c r="AH45" s="1">
        <v>3710491</v>
      </c>
      <c r="AI45" s="1">
        <v>0</v>
      </c>
      <c r="AJ45" s="1">
        <v>58953526</v>
      </c>
      <c r="AK45" s="1">
        <v>52643251</v>
      </c>
      <c r="AL45" s="1">
        <v>3096515</v>
      </c>
      <c r="AM45" s="1">
        <v>2623755</v>
      </c>
      <c r="AN45" s="1">
        <v>58363520</v>
      </c>
      <c r="AO45" s="1">
        <v>3433720</v>
      </c>
      <c r="AP45" s="1">
        <v>173251</v>
      </c>
      <c r="AQ45" s="1">
        <v>796941</v>
      </c>
      <c r="AR45" s="1">
        <v>960744</v>
      </c>
      <c r="AS45" s="1">
        <v>5364655</v>
      </c>
      <c r="AT45" s="1">
        <f t="shared" si="1"/>
        <v>1255667</v>
      </c>
      <c r="AU45">
        <f t="shared" si="2"/>
        <v>0.20132510522904012</v>
      </c>
      <c r="AV45">
        <f t="shared" si="3"/>
        <v>0.36951427442599311</v>
      </c>
      <c r="AW45">
        <f t="shared" si="4"/>
        <v>7.0334386593913827</v>
      </c>
      <c r="AX45">
        <f t="shared" si="5"/>
        <v>289.63870986294893</v>
      </c>
      <c r="AY45">
        <f t="shared" si="6"/>
        <v>163.74995582703824</v>
      </c>
      <c r="AZ45">
        <f t="shared" si="7"/>
        <v>168.22798159782303</v>
      </c>
      <c r="BA45">
        <f t="shared" si="8"/>
        <v>1.4760820601815563</v>
      </c>
    </row>
    <row r="46" spans="1:53" x14ac:dyDescent="0.25">
      <c r="A46" s="1" t="s">
        <v>312</v>
      </c>
      <c r="B46" s="1" t="s">
        <v>154</v>
      </c>
      <c r="D46" s="35">
        <f t="shared" si="0"/>
        <v>75199.794999999998</v>
      </c>
      <c r="E46" s="1">
        <v>22685</v>
      </c>
      <c r="F46" s="1">
        <v>21123</v>
      </c>
      <c r="G46" s="1">
        <v>310343756</v>
      </c>
      <c r="H46" s="1">
        <v>293976</v>
      </c>
      <c r="I46" s="1">
        <v>454385</v>
      </c>
      <c r="J46" s="1">
        <v>149174</v>
      </c>
      <c r="K46" s="1">
        <v>148269</v>
      </c>
      <c r="L46" s="1">
        <v>5097382</v>
      </c>
      <c r="M46" s="1">
        <v>19296</v>
      </c>
      <c r="N46" s="1">
        <v>9333436</v>
      </c>
      <c r="O46" s="1">
        <v>209962</v>
      </c>
      <c r="P46" s="1">
        <v>78</v>
      </c>
      <c r="Q46" s="1">
        <v>39</v>
      </c>
      <c r="R46" s="1">
        <v>1302</v>
      </c>
      <c r="S46" s="1">
        <v>619</v>
      </c>
      <c r="T46" s="1">
        <v>13312604</v>
      </c>
      <c r="U46" s="1">
        <v>385528930</v>
      </c>
      <c r="V46" s="1">
        <v>120361109</v>
      </c>
      <c r="W46" s="1">
        <v>210066</v>
      </c>
      <c r="X46" s="1">
        <v>229144</v>
      </c>
      <c r="Y46" s="1">
        <v>75199795</v>
      </c>
      <c r="Z46" s="1">
        <v>25603</v>
      </c>
      <c r="AA46" s="1">
        <v>10816</v>
      </c>
      <c r="AB46" s="1">
        <v>36419</v>
      </c>
      <c r="AC46" s="1">
        <v>117247387</v>
      </c>
      <c r="AD46" s="1">
        <v>38557284</v>
      </c>
      <c r="AE46" s="1">
        <v>21615</v>
      </c>
      <c r="AF46" s="1">
        <v>393842</v>
      </c>
      <c r="AG46" s="1">
        <v>1515739</v>
      </c>
      <c r="AH46" s="1">
        <v>1238598</v>
      </c>
      <c r="AI46" s="1">
        <v>73088413</v>
      </c>
      <c r="AJ46" s="1">
        <v>232062878</v>
      </c>
      <c r="AK46" s="1">
        <v>203923084</v>
      </c>
      <c r="AL46" s="1">
        <v>9470905</v>
      </c>
      <c r="AM46" s="1">
        <v>25028740</v>
      </c>
      <c r="AN46" s="1">
        <v>238422724</v>
      </c>
      <c r="AO46">
        <v>15681790</v>
      </c>
      <c r="AP46" s="1">
        <v>523768</v>
      </c>
      <c r="AQ46" s="1">
        <v>2504648</v>
      </c>
      <c r="AR46" s="1">
        <v>8978668</v>
      </c>
      <c r="AS46" s="1">
        <v>27688874</v>
      </c>
      <c r="AT46" s="1">
        <f>+N46+O46</f>
        <v>9543398</v>
      </c>
      <c r="AU46">
        <f>+U46/V46</f>
        <v>3.2031021748063155</v>
      </c>
      <c r="AV46">
        <f>+AJ46/Y46</f>
        <v>3.0859509390949804</v>
      </c>
      <c r="AW46">
        <f>+T46/D46</f>
        <v>177.02979110514863</v>
      </c>
      <c r="AX46">
        <f>+V46/D46</f>
        <v>1600.5510254383007</v>
      </c>
      <c r="AY46">
        <f>+G46/D46</f>
        <v>4126.9228991914142</v>
      </c>
      <c r="AZ46">
        <f>SUM(G46:M46)/D46</f>
        <v>4208.8710215233968</v>
      </c>
      <c r="BA46">
        <f>+L46/D46</f>
        <v>67.784519891310879</v>
      </c>
    </row>
    <row r="47" spans="1:53" x14ac:dyDescent="0.25">
      <c r="A47" s="1" t="s">
        <v>313</v>
      </c>
      <c r="B47" s="1" t="s">
        <v>154</v>
      </c>
      <c r="D47" s="35">
        <f t="shared" si="0"/>
        <v>488163.28399999999</v>
      </c>
      <c r="E47" s="1">
        <v>52854</v>
      </c>
      <c r="F47" s="1">
        <v>73504</v>
      </c>
      <c r="G47" s="1">
        <v>1118294126</v>
      </c>
      <c r="H47" s="1">
        <v>1883980</v>
      </c>
      <c r="I47" s="1">
        <v>2215040</v>
      </c>
      <c r="J47" s="1">
        <v>2921071</v>
      </c>
      <c r="K47" s="1">
        <v>16621986</v>
      </c>
      <c r="L47" s="1">
        <v>56351112</v>
      </c>
      <c r="M47" s="1">
        <v>768828</v>
      </c>
      <c r="N47" s="1">
        <v>66415427</v>
      </c>
      <c r="O47" s="1">
        <v>6319119</v>
      </c>
      <c r="P47" s="1">
        <v>82</v>
      </c>
      <c r="Q47" s="1">
        <v>62</v>
      </c>
      <c r="R47" s="1">
        <v>52601</v>
      </c>
      <c r="S47" s="1">
        <v>27720</v>
      </c>
      <c r="T47" s="1">
        <v>118541291</v>
      </c>
      <c r="U47" s="1">
        <v>2363595100</v>
      </c>
      <c r="V47" s="1">
        <v>2115180198</v>
      </c>
      <c r="W47" s="1">
        <v>2898190</v>
      </c>
      <c r="X47" s="1">
        <v>13154688</v>
      </c>
      <c r="Y47" s="1">
        <v>488163284</v>
      </c>
      <c r="Z47" s="1">
        <v>81831</v>
      </c>
      <c r="AA47" s="1">
        <v>96527</v>
      </c>
      <c r="AB47" s="1">
        <v>178361</v>
      </c>
      <c r="AC47" s="1">
        <v>3565736924</v>
      </c>
      <c r="AD47" s="1">
        <v>849543768</v>
      </c>
      <c r="AE47" s="1">
        <v>2619133</v>
      </c>
      <c r="AF47" s="1">
        <v>126405970</v>
      </c>
      <c r="AG47" s="1">
        <v>437701443</v>
      </c>
      <c r="AH47" s="1">
        <v>10243215</v>
      </c>
      <c r="AI47" s="1">
        <v>1208401981</v>
      </c>
      <c r="AJ47" s="1">
        <v>6200652432</v>
      </c>
      <c r="AK47" s="1">
        <v>5285146623</v>
      </c>
      <c r="AL47" s="1">
        <v>374946575</v>
      </c>
      <c r="AM47" s="1">
        <v>368570428</v>
      </c>
      <c r="AN47" s="1">
        <v>6028663616</v>
      </c>
      <c r="AO47">
        <v>324707770</v>
      </c>
      <c r="AP47" s="1">
        <v>16449638</v>
      </c>
      <c r="AQ47" s="1">
        <v>75385211</v>
      </c>
      <c r="AR47" s="1">
        <v>88754604</v>
      </c>
      <c r="AS47" s="1">
        <v>505297242</v>
      </c>
      <c r="AT47" s="1">
        <f t="shared" ref="AT47:AT52" si="9">+N47+O47</f>
        <v>72734546</v>
      </c>
      <c r="AU47">
        <f t="shared" ref="AU47:AU52" si="10">+U47/V47</f>
        <v>1.1174438481576594</v>
      </c>
      <c r="AV47">
        <f t="shared" ref="AV47:AV52" si="11">+AJ47/Y47</f>
        <v>12.70200491358543</v>
      </c>
      <c r="AW47">
        <f t="shared" ref="AW47:AW52" si="12">+T47/D47</f>
        <v>242.83123062569368</v>
      </c>
      <c r="AX47">
        <f t="shared" ref="AX47:AX52" si="13">+V47/D47</f>
        <v>4332.9358584042957</v>
      </c>
      <c r="AY47">
        <f t="shared" ref="AY47:AY52" si="14">+G47/D47</f>
        <v>2290.819819214425</v>
      </c>
      <c r="AZ47">
        <f t="shared" ref="AZ47:AZ52" si="15">SUM(G47:M47)/D47</f>
        <v>2456.2603995428713</v>
      </c>
      <c r="BA47">
        <f t="shared" ref="BA47:BA52" si="16">+L47/D47</f>
        <v>115.43496581361084</v>
      </c>
    </row>
    <row r="48" spans="1:53" x14ac:dyDescent="0.25">
      <c r="A48" s="1" t="s">
        <v>188</v>
      </c>
      <c r="B48" s="1" t="s">
        <v>154</v>
      </c>
      <c r="D48" s="35">
        <f t="shared" si="0"/>
        <v>97698.782000000007</v>
      </c>
      <c r="E48" s="1">
        <v>28100</v>
      </c>
      <c r="F48" s="1">
        <v>25269</v>
      </c>
      <c r="G48" s="1">
        <v>349624091</v>
      </c>
      <c r="H48" s="1">
        <v>270679</v>
      </c>
      <c r="I48" s="1">
        <v>487442</v>
      </c>
      <c r="J48" s="1">
        <v>213149</v>
      </c>
      <c r="K48" s="1">
        <v>149729</v>
      </c>
      <c r="L48" s="1">
        <v>5374635</v>
      </c>
      <c r="M48" s="1">
        <v>16566</v>
      </c>
      <c r="N48" s="1">
        <v>8563577</v>
      </c>
      <c r="O48" s="1">
        <v>203678</v>
      </c>
      <c r="P48" s="1">
        <v>77</v>
      </c>
      <c r="Q48" s="1">
        <v>43</v>
      </c>
      <c r="R48" s="1">
        <v>1293</v>
      </c>
      <c r="S48" s="1">
        <v>645</v>
      </c>
      <c r="T48" s="1">
        <v>14037016</v>
      </c>
      <c r="U48" s="1">
        <v>383251377</v>
      </c>
      <c r="V48" s="1">
        <v>121775390</v>
      </c>
      <c r="W48" s="1">
        <v>213266</v>
      </c>
      <c r="X48" s="1">
        <v>242162</v>
      </c>
      <c r="Y48" s="1">
        <v>97698782</v>
      </c>
      <c r="Z48" s="1">
        <v>26569</v>
      </c>
      <c r="AA48" s="1">
        <v>10815</v>
      </c>
      <c r="AB48" s="1">
        <v>37384</v>
      </c>
      <c r="AC48" s="1">
        <v>106780776</v>
      </c>
      <c r="AD48" s="1">
        <v>34593469</v>
      </c>
      <c r="AE48" s="1">
        <v>21492</v>
      </c>
      <c r="AF48" s="1">
        <v>380863</v>
      </c>
      <c r="AG48" s="1">
        <v>1467758</v>
      </c>
      <c r="AH48" s="1">
        <v>1263997</v>
      </c>
      <c r="AI48" s="1">
        <v>65742595</v>
      </c>
      <c r="AJ48" s="1">
        <v>210250951</v>
      </c>
      <c r="AK48" s="1">
        <v>180942932</v>
      </c>
      <c r="AL48" s="1">
        <v>9018949</v>
      </c>
      <c r="AM48" s="1">
        <v>24452679</v>
      </c>
      <c r="AN48" s="1">
        <v>214414556</v>
      </c>
      <c r="AO48">
        <v>13828373</v>
      </c>
      <c r="AP48" s="1">
        <v>516774</v>
      </c>
      <c r="AQ48" s="1">
        <v>2483646</v>
      </c>
      <c r="AR48" s="1">
        <v>8596899</v>
      </c>
      <c r="AS48" s="1">
        <v>25425693</v>
      </c>
      <c r="AT48" s="1">
        <f t="shared" si="9"/>
        <v>8767255</v>
      </c>
      <c r="AU48">
        <f t="shared" si="10"/>
        <v>3.147198929110389</v>
      </c>
      <c r="AV48">
        <f t="shared" si="11"/>
        <v>2.1520324685316958</v>
      </c>
      <c r="AW48">
        <f t="shared" si="12"/>
        <v>143.67646876088997</v>
      </c>
      <c r="AX48">
        <f t="shared" si="13"/>
        <v>1246.4371357260113</v>
      </c>
      <c r="AY48">
        <f t="shared" si="14"/>
        <v>3578.5921159180875</v>
      </c>
      <c r="AZ48">
        <f t="shared" si="15"/>
        <v>3645.2480134296861</v>
      </c>
      <c r="BA48">
        <f t="shared" si="16"/>
        <v>55.012303019294549</v>
      </c>
    </row>
    <row r="49" spans="1:53" x14ac:dyDescent="0.25">
      <c r="A49" s="1" t="s">
        <v>189</v>
      </c>
      <c r="B49" s="1" t="s">
        <v>154</v>
      </c>
      <c r="D49" s="35">
        <f t="shared" si="0"/>
        <v>7713.8</v>
      </c>
      <c r="E49" s="1">
        <v>1660</v>
      </c>
      <c r="F49" s="1">
        <v>3220</v>
      </c>
      <c r="G49" s="1">
        <v>50023531</v>
      </c>
      <c r="H49" s="1">
        <v>34364</v>
      </c>
      <c r="I49" s="1">
        <v>65327</v>
      </c>
      <c r="J49" s="1">
        <v>12168</v>
      </c>
      <c r="K49" s="1">
        <v>3695</v>
      </c>
      <c r="L49" s="1">
        <v>450908</v>
      </c>
      <c r="M49" s="1">
        <v>2877</v>
      </c>
      <c r="N49" s="1">
        <v>1957682</v>
      </c>
      <c r="O49" s="1">
        <v>13983</v>
      </c>
      <c r="P49" s="1">
        <v>81</v>
      </c>
      <c r="Q49" s="1">
        <v>29</v>
      </c>
      <c r="R49" s="1">
        <v>52</v>
      </c>
      <c r="S49" s="1">
        <v>0</v>
      </c>
      <c r="T49" s="1">
        <v>1731977</v>
      </c>
      <c r="U49" s="1">
        <v>55244330</v>
      </c>
      <c r="V49" s="1">
        <v>18205798</v>
      </c>
      <c r="W49" s="1">
        <v>8875</v>
      </c>
      <c r="X49" s="1">
        <v>3261</v>
      </c>
      <c r="Y49" s="1">
        <v>7713800</v>
      </c>
      <c r="Z49" s="1">
        <v>5890</v>
      </c>
      <c r="AA49" s="1">
        <v>1593</v>
      </c>
      <c r="AB49" s="1">
        <v>7483</v>
      </c>
      <c r="AC49" s="1">
        <v>14534760</v>
      </c>
      <c r="AD49" s="1">
        <v>4768945</v>
      </c>
      <c r="AE49" s="1">
        <v>0</v>
      </c>
      <c r="AF49" s="1">
        <v>0</v>
      </c>
      <c r="AG49" s="1">
        <v>0</v>
      </c>
      <c r="AH49" s="1">
        <v>0</v>
      </c>
      <c r="AI49" s="1">
        <v>8441508</v>
      </c>
      <c r="AJ49" s="1">
        <v>27745213</v>
      </c>
      <c r="AK49" s="1">
        <v>28681520</v>
      </c>
      <c r="AL49" s="1">
        <v>532810</v>
      </c>
      <c r="AM49" s="1">
        <v>790054</v>
      </c>
      <c r="AN49" s="1">
        <v>30004382</v>
      </c>
      <c r="AO49">
        <v>2278420</v>
      </c>
      <c r="AP49" s="1">
        <v>35444</v>
      </c>
      <c r="AQ49" s="1">
        <v>163040</v>
      </c>
      <c r="AR49" s="1">
        <v>467957</v>
      </c>
      <c r="AS49" s="1">
        <v>2944860</v>
      </c>
      <c r="AT49" s="1">
        <f t="shared" si="9"/>
        <v>1971665</v>
      </c>
      <c r="AU49">
        <f t="shared" si="10"/>
        <v>3.0344360626213693</v>
      </c>
      <c r="AV49">
        <f t="shared" si="11"/>
        <v>3.5968281521429128</v>
      </c>
      <c r="AW49">
        <f t="shared" si="12"/>
        <v>224.52967409059087</v>
      </c>
      <c r="AX49">
        <f t="shared" si="13"/>
        <v>2360.159454484171</v>
      </c>
      <c r="AY49">
        <f t="shared" si="14"/>
        <v>6484.9401073400913</v>
      </c>
      <c r="AZ49">
        <f t="shared" si="15"/>
        <v>6558.7479582047754</v>
      </c>
      <c r="BA49">
        <f t="shared" si="16"/>
        <v>58.454717519251211</v>
      </c>
    </row>
    <row r="50" spans="1:53" x14ac:dyDescent="0.25">
      <c r="A50" s="1" t="s">
        <v>192</v>
      </c>
      <c r="B50" s="1" t="s">
        <v>154</v>
      </c>
      <c r="D50" s="35">
        <f t="shared" si="0"/>
        <v>243834.37299999999</v>
      </c>
      <c r="E50" s="1">
        <v>16212</v>
      </c>
      <c r="F50" s="1">
        <v>27698</v>
      </c>
      <c r="G50" s="1">
        <v>489474630</v>
      </c>
      <c r="H50" s="1">
        <v>877604</v>
      </c>
      <c r="I50" s="1">
        <v>812153</v>
      </c>
      <c r="J50" s="1">
        <v>814984</v>
      </c>
      <c r="K50" s="1">
        <v>13347036</v>
      </c>
      <c r="L50" s="1">
        <v>32109019</v>
      </c>
      <c r="M50" s="1">
        <v>519868</v>
      </c>
      <c r="N50" s="1">
        <v>36282688</v>
      </c>
      <c r="O50" s="1">
        <v>4272464</v>
      </c>
      <c r="P50" s="1">
        <v>86</v>
      </c>
      <c r="Q50" s="1">
        <v>69</v>
      </c>
      <c r="R50" s="1">
        <v>30664</v>
      </c>
      <c r="S50" s="1">
        <v>14393</v>
      </c>
      <c r="T50" s="1">
        <v>67196844</v>
      </c>
      <c r="U50" s="1">
        <v>1365234912</v>
      </c>
      <c r="V50" s="1">
        <v>1248480105</v>
      </c>
      <c r="W50" s="1">
        <v>944951</v>
      </c>
      <c r="X50" s="1">
        <v>929198</v>
      </c>
      <c r="Y50" s="1">
        <v>243834373</v>
      </c>
      <c r="Z50" s="1">
        <v>30145</v>
      </c>
      <c r="AA50" s="1">
        <v>52800</v>
      </c>
      <c r="AB50" s="1">
        <v>82945</v>
      </c>
      <c r="AC50" s="1">
        <v>2260672106</v>
      </c>
      <c r="AD50" s="1">
        <v>514890271</v>
      </c>
      <c r="AE50" s="1">
        <v>1671147</v>
      </c>
      <c r="AF50" s="1">
        <v>89340137</v>
      </c>
      <c r="AG50" s="1">
        <v>298109359</v>
      </c>
      <c r="AH50" s="1">
        <v>8240036</v>
      </c>
      <c r="AI50" s="1">
        <v>735717247</v>
      </c>
      <c r="AJ50" s="1">
        <v>3908640301</v>
      </c>
      <c r="AK50" s="1">
        <v>3248080666</v>
      </c>
      <c r="AL50" s="1">
        <v>249702326</v>
      </c>
      <c r="AM50" s="1">
        <v>240422358</v>
      </c>
      <c r="AN50" s="1">
        <v>3738205349</v>
      </c>
      <c r="AO50">
        <v>218664088</v>
      </c>
      <c r="AP50" s="1">
        <v>11056876</v>
      </c>
      <c r="AQ50" s="1">
        <v>50497088</v>
      </c>
      <c r="AR50" s="1">
        <v>51602558</v>
      </c>
      <c r="AS50" s="1">
        <v>331820622</v>
      </c>
      <c r="AT50" s="1">
        <f t="shared" si="9"/>
        <v>40555152</v>
      </c>
      <c r="AU50">
        <f t="shared" si="10"/>
        <v>1.0935175550915166</v>
      </c>
      <c r="AV50">
        <f t="shared" si="11"/>
        <v>16.029898709153692</v>
      </c>
      <c r="AW50">
        <f t="shared" si="12"/>
        <v>275.58396781080575</v>
      </c>
      <c r="AX50">
        <f t="shared" si="13"/>
        <v>5120.1973275523387</v>
      </c>
      <c r="AY50">
        <f t="shared" si="14"/>
        <v>2007.4061912509769</v>
      </c>
      <c r="AZ50">
        <f t="shared" si="15"/>
        <v>2206.2324002202922</v>
      </c>
      <c r="BA50">
        <f t="shared" si="16"/>
        <v>131.6837269698641</v>
      </c>
    </row>
    <row r="51" spans="1:53" x14ac:dyDescent="0.25">
      <c r="A51" s="1" t="s">
        <v>190</v>
      </c>
      <c r="B51" s="1" t="s">
        <v>154</v>
      </c>
      <c r="D51" s="35">
        <f t="shared" si="0"/>
        <v>24002.329000000002</v>
      </c>
      <c r="E51" s="1">
        <v>1559</v>
      </c>
      <c r="F51" s="1">
        <v>4917</v>
      </c>
      <c r="G51" s="1">
        <v>134520907</v>
      </c>
      <c r="H51" s="1">
        <v>136791</v>
      </c>
      <c r="I51" s="1">
        <v>340649</v>
      </c>
      <c r="J51" s="1">
        <v>105550</v>
      </c>
      <c r="K51" s="1">
        <v>611162</v>
      </c>
      <c r="L51" s="1">
        <v>9520310</v>
      </c>
      <c r="M51" s="1">
        <v>86598</v>
      </c>
      <c r="N51" s="1">
        <v>6677185</v>
      </c>
      <c r="O51" s="1">
        <v>782619</v>
      </c>
      <c r="P51" s="1">
        <v>87</v>
      </c>
      <c r="Q51" s="1">
        <v>77</v>
      </c>
      <c r="R51" s="1">
        <v>4919</v>
      </c>
      <c r="S51" s="1">
        <v>3036</v>
      </c>
      <c r="T51" s="1">
        <v>7931139</v>
      </c>
      <c r="U51" s="1">
        <v>281449051</v>
      </c>
      <c r="V51" s="1">
        <v>165484666</v>
      </c>
      <c r="W51" s="1">
        <v>1156869</v>
      </c>
      <c r="X51" s="1">
        <v>11476659</v>
      </c>
      <c r="Y51" s="1">
        <v>24002329</v>
      </c>
      <c r="Z51" s="1">
        <v>7207</v>
      </c>
      <c r="AA51" s="1">
        <v>9608</v>
      </c>
      <c r="AB51" s="1">
        <v>16818</v>
      </c>
      <c r="AC51" s="1">
        <v>526052437</v>
      </c>
      <c r="AD51" s="1">
        <v>142113175</v>
      </c>
      <c r="AE51" s="1">
        <v>458515</v>
      </c>
      <c r="AF51" s="1">
        <v>19307752</v>
      </c>
      <c r="AG51" s="1">
        <v>72880646</v>
      </c>
      <c r="AH51" s="1">
        <v>714820</v>
      </c>
      <c r="AI51" s="1">
        <v>188969522</v>
      </c>
      <c r="AJ51" s="1">
        <v>950496867</v>
      </c>
      <c r="AK51" s="1">
        <v>848593591</v>
      </c>
      <c r="AL51" s="1">
        <v>51289489</v>
      </c>
      <c r="AM51" s="1">
        <v>50644860</v>
      </c>
      <c r="AN51" s="1">
        <v>950527939</v>
      </c>
      <c r="AO51">
        <v>29536659</v>
      </c>
      <c r="AP51" s="1">
        <v>1861139</v>
      </c>
      <c r="AQ51" s="1">
        <v>8561145</v>
      </c>
      <c r="AR51" s="1">
        <v>10320810</v>
      </c>
      <c r="AS51" s="1">
        <v>50279755</v>
      </c>
      <c r="AT51" s="1">
        <f t="shared" si="9"/>
        <v>7459804</v>
      </c>
      <c r="AU51">
        <f t="shared" si="10"/>
        <v>1.7007560748861166</v>
      </c>
      <c r="AV51">
        <f t="shared" si="11"/>
        <v>39.600193256246094</v>
      </c>
      <c r="AW51">
        <f t="shared" si="12"/>
        <v>330.43205932224328</v>
      </c>
      <c r="AX51">
        <f t="shared" si="13"/>
        <v>6894.5253604348136</v>
      </c>
      <c r="AY51">
        <f t="shared" si="14"/>
        <v>5604.4939222356297</v>
      </c>
      <c r="AZ51">
        <f t="shared" si="15"/>
        <v>6054.4944201039816</v>
      </c>
      <c r="BA51">
        <f t="shared" si="16"/>
        <v>396.64109262063693</v>
      </c>
    </row>
    <row r="52" spans="1:53" x14ac:dyDescent="0.25">
      <c r="A52" s="1" t="s">
        <v>191</v>
      </c>
      <c r="B52" s="1" t="s">
        <v>154</v>
      </c>
      <c r="D52" s="35">
        <f t="shared" si="0"/>
        <v>114914</v>
      </c>
      <c r="E52" s="1">
        <v>5323</v>
      </c>
      <c r="F52" s="1">
        <v>12400</v>
      </c>
      <c r="G52" s="1">
        <v>94650967</v>
      </c>
      <c r="H52" s="1">
        <v>564542</v>
      </c>
      <c r="I52" s="1">
        <v>509469</v>
      </c>
      <c r="J52" s="1">
        <v>1775220</v>
      </c>
      <c r="K52" s="1">
        <v>2510364</v>
      </c>
      <c r="L52" s="1">
        <v>8896240</v>
      </c>
      <c r="M52" s="1">
        <v>142919</v>
      </c>
      <c r="N52" s="1">
        <v>12934295</v>
      </c>
      <c r="O52" s="1">
        <v>1046375</v>
      </c>
      <c r="P52" s="1">
        <v>88</v>
      </c>
      <c r="Q52" s="1">
        <v>69</v>
      </c>
      <c r="R52" s="1">
        <v>15673</v>
      </c>
      <c r="S52" s="1">
        <v>9646</v>
      </c>
      <c r="T52" s="1">
        <v>27644315</v>
      </c>
      <c r="U52" s="1">
        <v>278415430</v>
      </c>
      <c r="V52" s="1">
        <v>561234239</v>
      </c>
      <c r="W52" s="1">
        <v>574229</v>
      </c>
      <c r="X52" s="1">
        <v>503408</v>
      </c>
      <c r="Y52" s="1">
        <v>114914000</v>
      </c>
      <c r="Z52" s="1">
        <v>12020</v>
      </c>
      <c r="AA52" s="1">
        <v>21711</v>
      </c>
      <c r="AB52" s="1">
        <v>33731</v>
      </c>
      <c r="AC52" s="1">
        <v>657696845</v>
      </c>
      <c r="AD52" s="1">
        <v>153177908</v>
      </c>
      <c r="AE52" s="1">
        <v>467979</v>
      </c>
      <c r="AF52" s="1">
        <v>17377218</v>
      </c>
      <c r="AG52" s="1">
        <v>65243680</v>
      </c>
      <c r="AH52" s="1">
        <v>24362</v>
      </c>
      <c r="AI52" s="1">
        <v>209531109</v>
      </c>
      <c r="AJ52" s="1">
        <v>1103519100</v>
      </c>
      <c r="AK52" s="1">
        <v>978847914</v>
      </c>
      <c r="AL52" s="1">
        <v>64403001</v>
      </c>
      <c r="AM52" s="1">
        <v>52260477</v>
      </c>
      <c r="AN52" s="1">
        <v>1095511390</v>
      </c>
      <c r="AO52">
        <v>60400230</v>
      </c>
      <c r="AP52" s="1">
        <v>2979405</v>
      </c>
      <c r="AQ52" s="1">
        <v>13680292</v>
      </c>
      <c r="AR52" s="1">
        <v>17766380</v>
      </c>
      <c r="AS52" s="1">
        <v>94826311</v>
      </c>
      <c r="AT52" s="1">
        <f t="shared" si="9"/>
        <v>13980670</v>
      </c>
      <c r="AU52">
        <f t="shared" si="10"/>
        <v>0.49607705776482391</v>
      </c>
      <c r="AV52">
        <f t="shared" si="11"/>
        <v>9.6029996345092847</v>
      </c>
      <c r="AW52">
        <f t="shared" si="12"/>
        <v>240.56524879475086</v>
      </c>
      <c r="AX52">
        <f t="shared" si="13"/>
        <v>4883.9500757087908</v>
      </c>
      <c r="AY52">
        <f t="shared" si="14"/>
        <v>823.66784725968989</v>
      </c>
      <c r="AZ52">
        <f t="shared" si="15"/>
        <v>948.96810658405411</v>
      </c>
      <c r="BA52">
        <f t="shared" si="16"/>
        <v>77.416502775989002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V52"/>
  <sheetViews>
    <sheetView workbookViewId="0">
      <pane xSplit="3" ySplit="1" topLeftCell="D6" activePane="bottomRight" state="frozen"/>
      <selection activeCell="B13" sqref="B13:B14"/>
      <selection pane="topRight" activeCell="B13" sqref="B13:B14"/>
      <selection pane="bottomLeft" activeCell="B13" sqref="B13:B14"/>
      <selection pane="bottomRight" activeCell="B13" sqref="B13:B14"/>
    </sheetView>
  </sheetViews>
  <sheetFormatPr defaultColWidth="9.1796875" defaultRowHeight="12.5" x14ac:dyDescent="0.25"/>
  <cols>
    <col min="1" max="45" width="9.1796875" style="1"/>
    <col min="46" max="215" width="8.7265625" customWidth="1"/>
    <col min="216" max="16384" width="9.1796875" style="1"/>
  </cols>
  <sheetData>
    <row r="1" spans="1:230" s="36" customFormat="1" ht="12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142</v>
      </c>
      <c r="V1" s="36" t="s">
        <v>81</v>
      </c>
      <c r="W1" s="36" t="s">
        <v>96</v>
      </c>
      <c r="X1" s="36" t="s">
        <v>97</v>
      </c>
      <c r="Y1" s="36" t="s">
        <v>82</v>
      </c>
      <c r="Z1" s="36" t="s">
        <v>83</v>
      </c>
      <c r="AA1" s="36" t="s">
        <v>84</v>
      </c>
      <c r="AB1" s="36" t="s">
        <v>85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138</v>
      </c>
      <c r="AJ1" s="36" t="s">
        <v>139</v>
      </c>
      <c r="AK1" s="36" t="s">
        <v>86</v>
      </c>
      <c r="AL1" s="36" t="s">
        <v>87</v>
      </c>
      <c r="AM1" s="36" t="s">
        <v>88</v>
      </c>
      <c r="AN1" s="36" t="s">
        <v>89</v>
      </c>
      <c r="AO1" s="36" t="s">
        <v>90</v>
      </c>
      <c r="AP1" s="36" t="s">
        <v>91</v>
      </c>
      <c r="AQ1" s="36" t="s">
        <v>92</v>
      </c>
      <c r="AR1" s="36" t="s">
        <v>93</v>
      </c>
      <c r="AS1" s="36" t="s">
        <v>94</v>
      </c>
      <c r="AT1" s="36" t="s">
        <v>286</v>
      </c>
      <c r="AU1" s="36" t="s">
        <v>287</v>
      </c>
      <c r="AV1" s="36" t="s">
        <v>288</v>
      </c>
      <c r="AW1" s="36" t="s">
        <v>289</v>
      </c>
      <c r="AX1" s="36" t="s">
        <v>290</v>
      </c>
      <c r="AY1" s="36" t="s">
        <v>291</v>
      </c>
      <c r="AZ1" s="36" t="s">
        <v>292</v>
      </c>
      <c r="BA1" s="36" t="s">
        <v>293</v>
      </c>
    </row>
    <row r="2" spans="1:230" ht="13" x14ac:dyDescent="0.3">
      <c r="A2" s="1" t="s">
        <v>32</v>
      </c>
      <c r="B2" s="1" t="s">
        <v>150</v>
      </c>
      <c r="C2" s="44" t="s">
        <v>98</v>
      </c>
      <c r="D2" s="35">
        <f>+Y2/1000</f>
        <v>8769.1</v>
      </c>
      <c r="E2" s="38">
        <v>4237</v>
      </c>
      <c r="F2" s="38">
        <v>4237</v>
      </c>
      <c r="G2" s="38">
        <v>40790778</v>
      </c>
      <c r="H2" s="38">
        <v>10446</v>
      </c>
      <c r="I2" s="38"/>
      <c r="J2" s="38"/>
      <c r="K2" s="38">
        <v>6762</v>
      </c>
      <c r="L2" s="38">
        <v>448471</v>
      </c>
      <c r="M2" s="38"/>
      <c r="N2" s="38">
        <v>313707</v>
      </c>
      <c r="O2" s="38">
        <v>4198</v>
      </c>
      <c r="P2" s="38">
        <v>80</v>
      </c>
      <c r="Q2" s="38"/>
      <c r="R2" s="38"/>
      <c r="S2" s="38"/>
      <c r="T2" s="38">
        <v>894405</v>
      </c>
      <c r="U2" s="38">
        <v>18246233</v>
      </c>
      <c r="V2" s="38">
        <v>13017899</v>
      </c>
      <c r="W2" s="38">
        <v>11504</v>
      </c>
      <c r="X2" s="38">
        <v>12859</v>
      </c>
      <c r="Y2" s="72">
        <v>8769100</v>
      </c>
      <c r="Z2" s="38">
        <v>2474</v>
      </c>
      <c r="AA2" s="38">
        <v>1138</v>
      </c>
      <c r="AB2" s="38">
        <v>3612</v>
      </c>
      <c r="AC2" s="38">
        <v>3877672</v>
      </c>
      <c r="AD2" s="38">
        <v>1251617</v>
      </c>
      <c r="AE2" s="38">
        <v>0</v>
      </c>
      <c r="AF2" s="38">
        <v>0</v>
      </c>
      <c r="AG2" s="38">
        <v>0</v>
      </c>
      <c r="AH2" s="38">
        <v>0</v>
      </c>
      <c r="AI2" s="38">
        <v>147288</v>
      </c>
      <c r="AJ2" s="38">
        <v>5276577</v>
      </c>
      <c r="AK2" s="38">
        <v>2645244</v>
      </c>
      <c r="AL2" s="38">
        <v>60713</v>
      </c>
      <c r="AM2" s="38">
        <v>2603508</v>
      </c>
      <c r="AN2" s="38">
        <v>5309466</v>
      </c>
      <c r="AO2" s="38"/>
      <c r="AP2" s="38"/>
      <c r="AQ2" s="38"/>
      <c r="AR2" s="38"/>
      <c r="AS2" s="38"/>
      <c r="AT2" s="1">
        <f>+N2+O2</f>
        <v>317905</v>
      </c>
      <c r="AU2">
        <f>+U2/V2</f>
        <v>1.4016265604764639</v>
      </c>
      <c r="AV2">
        <f>+AJ2/Y2</f>
        <v>0.60172389412824578</v>
      </c>
      <c r="AW2">
        <f>+T2/D2</f>
        <v>101.99507361074683</v>
      </c>
      <c r="AX2">
        <f>+V2/D2</f>
        <v>1484.5193919558449</v>
      </c>
      <c r="AY2">
        <f>+G2/D2</f>
        <v>4651.649314068718</v>
      </c>
      <c r="AZ2">
        <f>SUM(G2:M2)/D2</f>
        <v>4704.7538515925235</v>
      </c>
      <c r="BA2">
        <f>+L2/D2</f>
        <v>51.142192471291239</v>
      </c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</row>
    <row r="3" spans="1:230" ht="13" x14ac:dyDescent="0.3">
      <c r="A3" s="1" t="s">
        <v>33</v>
      </c>
      <c r="B3" s="1" t="s">
        <v>150</v>
      </c>
      <c r="C3" s="44" t="s">
        <v>99</v>
      </c>
      <c r="D3" s="35">
        <f t="shared" ref="D3:D52" si="0">+Y3/1000</f>
        <v>10296.5</v>
      </c>
      <c r="E3" s="38">
        <v>6245</v>
      </c>
      <c r="F3" s="38">
        <v>7435</v>
      </c>
      <c r="G3" s="38">
        <v>53693232</v>
      </c>
      <c r="H3" s="38">
        <v>77840</v>
      </c>
      <c r="I3" s="38">
        <v>87591</v>
      </c>
      <c r="J3" s="38">
        <v>3948</v>
      </c>
      <c r="K3" s="38">
        <v>112111</v>
      </c>
      <c r="L3" s="38">
        <v>446335</v>
      </c>
      <c r="M3" s="38">
        <v>475</v>
      </c>
      <c r="N3" s="38">
        <v>2132727</v>
      </c>
      <c r="O3" s="38">
        <v>19689</v>
      </c>
      <c r="P3" s="38">
        <v>73</v>
      </c>
      <c r="Q3" s="38">
        <v>33</v>
      </c>
      <c r="R3" s="38">
        <v>104</v>
      </c>
      <c r="S3" s="38">
        <v>45</v>
      </c>
      <c r="T3" s="38">
        <v>1403068</v>
      </c>
      <c r="U3" s="38">
        <v>59634440</v>
      </c>
      <c r="V3" s="38">
        <v>14705715</v>
      </c>
      <c r="W3" s="38">
        <v>83000</v>
      </c>
      <c r="X3" s="38">
        <v>58000</v>
      </c>
      <c r="Y3" s="72">
        <v>10296500</v>
      </c>
      <c r="Z3" s="38">
        <v>3739</v>
      </c>
      <c r="AA3" s="38">
        <v>634</v>
      </c>
      <c r="AB3" s="38">
        <v>4374</v>
      </c>
      <c r="AC3" s="38">
        <v>11925966</v>
      </c>
      <c r="AD3" s="38">
        <v>4303356</v>
      </c>
      <c r="AE3" s="38">
        <v>6040</v>
      </c>
      <c r="AF3" s="38">
        <v>155246</v>
      </c>
      <c r="AG3" s="38">
        <v>125019</v>
      </c>
      <c r="AH3" s="38">
        <v>975116</v>
      </c>
      <c r="AI3" s="38">
        <v>12135950</v>
      </c>
      <c r="AJ3" s="38">
        <v>29626692</v>
      </c>
      <c r="AK3" s="38">
        <v>29766841</v>
      </c>
      <c r="AL3" s="38">
        <v>1605064</v>
      </c>
      <c r="AM3" s="38">
        <v>2609233</v>
      </c>
      <c r="AN3" s="38">
        <v>33981139</v>
      </c>
      <c r="AO3" s="38">
        <v>770780</v>
      </c>
      <c r="AP3" s="38">
        <v>255859</v>
      </c>
      <c r="AQ3" s="38">
        <v>1767564</v>
      </c>
      <c r="AR3" s="38">
        <v>1672831</v>
      </c>
      <c r="AS3" s="38">
        <v>4467034</v>
      </c>
      <c r="AT3" s="1">
        <f t="shared" ref="AT3:AT45" si="1">+N3+O3</f>
        <v>2152416</v>
      </c>
      <c r="AU3">
        <f t="shared" ref="AU3:AU45" si="2">+U3/V3</f>
        <v>4.0551880680402146</v>
      </c>
      <c r="AV3">
        <f t="shared" ref="AV3:AV45" si="3">+AJ3/Y3</f>
        <v>2.8773556062739765</v>
      </c>
      <c r="AW3">
        <f t="shared" ref="AW3:AW45" si="4">+T3/D3</f>
        <v>136.26649832467342</v>
      </c>
      <c r="AX3">
        <f t="shared" ref="AX3:AX45" si="5">+V3/D3</f>
        <v>1428.2246394405865</v>
      </c>
      <c r="AY3">
        <f t="shared" ref="AY3:AY45" si="6">+G3/D3</f>
        <v>5214.7071334919628</v>
      </c>
      <c r="AZ3">
        <f t="shared" ref="AZ3:AZ45" si="7">SUM(G3:M3)/D3</f>
        <v>5285.4399067644345</v>
      </c>
      <c r="BA3">
        <f t="shared" ref="BA3:BA45" si="8">+L3/D3</f>
        <v>43.348225125042489</v>
      </c>
      <c r="HH3" s="37"/>
      <c r="HI3" s="37"/>
      <c r="HJ3" s="37"/>
      <c r="HK3" s="37"/>
      <c r="HL3" s="37"/>
      <c r="HM3" s="37"/>
      <c r="HN3" s="37"/>
      <c r="HO3" s="37"/>
      <c r="HP3" s="37"/>
      <c r="HQ3" s="37"/>
      <c r="HR3" s="37"/>
      <c r="HS3" s="37"/>
      <c r="HT3" s="37"/>
      <c r="HU3" s="37"/>
      <c r="HV3" s="37"/>
    </row>
    <row r="4" spans="1:230" ht="13" x14ac:dyDescent="0.3">
      <c r="A4" s="1" t="s">
        <v>34</v>
      </c>
      <c r="B4" s="1" t="s">
        <v>150</v>
      </c>
      <c r="C4" s="44" t="s">
        <v>100</v>
      </c>
      <c r="D4" s="35">
        <f t="shared" si="0"/>
        <v>1462.13</v>
      </c>
      <c r="E4" s="38">
        <v>602</v>
      </c>
      <c r="F4" s="38">
        <v>743</v>
      </c>
      <c r="G4" s="38">
        <v>10561242</v>
      </c>
      <c r="H4" s="38">
        <v>9762</v>
      </c>
      <c r="I4" s="38">
        <v>17163</v>
      </c>
      <c r="J4" s="38">
        <v>37</v>
      </c>
      <c r="K4" s="38">
        <v>1570</v>
      </c>
      <c r="L4" s="38">
        <v>39450</v>
      </c>
      <c r="M4" s="38">
        <v>552</v>
      </c>
      <c r="N4" s="38">
        <v>522603</v>
      </c>
      <c r="O4" s="38">
        <v>3663</v>
      </c>
      <c r="P4" s="38">
        <v>69</v>
      </c>
      <c r="Q4" s="38">
        <v>0</v>
      </c>
      <c r="R4" s="38">
        <v>0</v>
      </c>
      <c r="S4" s="38">
        <v>0</v>
      </c>
      <c r="T4" s="38">
        <v>407149</v>
      </c>
      <c r="U4" s="38">
        <v>14549200</v>
      </c>
      <c r="V4" s="38">
        <v>5022559</v>
      </c>
      <c r="W4" s="38"/>
      <c r="X4" s="38"/>
      <c r="Y4" s="72">
        <v>1462130</v>
      </c>
      <c r="Z4" s="38">
        <v>1166</v>
      </c>
      <c r="AA4" s="38">
        <v>302</v>
      </c>
      <c r="AB4" s="38">
        <v>1468</v>
      </c>
      <c r="AC4" s="38">
        <v>3514320</v>
      </c>
      <c r="AD4" s="38">
        <v>2663409</v>
      </c>
      <c r="AE4" s="38">
        <v>0</v>
      </c>
      <c r="AF4" s="38">
        <v>0</v>
      </c>
      <c r="AG4" s="38">
        <v>0</v>
      </c>
      <c r="AH4" s="38">
        <v>0</v>
      </c>
      <c r="AI4" s="38">
        <v>1352165</v>
      </c>
      <c r="AJ4" s="38">
        <v>7529894</v>
      </c>
      <c r="AK4" s="38">
        <v>8455439</v>
      </c>
      <c r="AL4" s="38">
        <v>0</v>
      </c>
      <c r="AM4" s="38">
        <v>276286</v>
      </c>
      <c r="AN4" s="38">
        <v>8731725</v>
      </c>
      <c r="AO4" s="38">
        <v>901092</v>
      </c>
      <c r="AP4" s="38">
        <v>0</v>
      </c>
      <c r="AQ4" s="38">
        <v>0</v>
      </c>
      <c r="AR4" s="38">
        <v>292450</v>
      </c>
      <c r="AS4" s="38">
        <v>1193542</v>
      </c>
      <c r="AT4" s="1">
        <f t="shared" si="1"/>
        <v>526266</v>
      </c>
      <c r="AU4">
        <f t="shared" si="2"/>
        <v>2.8967703515279761</v>
      </c>
      <c r="AV4">
        <f t="shared" si="3"/>
        <v>5.1499483630046576</v>
      </c>
      <c r="AW4">
        <f t="shared" si="4"/>
        <v>278.46292737307897</v>
      </c>
      <c r="AX4">
        <f t="shared" si="5"/>
        <v>3435.0974263574371</v>
      </c>
      <c r="AY4">
        <f t="shared" si="6"/>
        <v>7223.1894564778777</v>
      </c>
      <c r="AZ4">
        <f t="shared" si="7"/>
        <v>7270.062169574524</v>
      </c>
      <c r="BA4">
        <f t="shared" si="8"/>
        <v>26.981184983551394</v>
      </c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</row>
    <row r="5" spans="1:230" ht="13" x14ac:dyDescent="0.3">
      <c r="A5" s="1" t="s">
        <v>35</v>
      </c>
      <c r="B5" s="1" t="s">
        <v>150</v>
      </c>
      <c r="C5" s="44" t="s">
        <v>101</v>
      </c>
      <c r="D5" s="35">
        <f t="shared" si="0"/>
        <v>10135.358</v>
      </c>
      <c r="E5" s="38">
        <v>2883</v>
      </c>
      <c r="F5" s="38">
        <v>3518</v>
      </c>
      <c r="G5" s="38">
        <v>43377000</v>
      </c>
      <c r="H5" s="38">
        <v>36980</v>
      </c>
      <c r="I5" s="38"/>
      <c r="J5" s="38"/>
      <c r="K5" s="38"/>
      <c r="L5" s="38">
        <v>1200000</v>
      </c>
      <c r="M5" s="38">
        <v>630</v>
      </c>
      <c r="N5" s="38">
        <v>1040701</v>
      </c>
      <c r="O5" s="38">
        <v>19526</v>
      </c>
      <c r="P5" s="38"/>
      <c r="Q5" s="38"/>
      <c r="R5" s="38"/>
      <c r="S5" s="38"/>
      <c r="T5" s="38">
        <v>1343508</v>
      </c>
      <c r="U5" s="38">
        <v>36723500</v>
      </c>
      <c r="V5" s="38">
        <v>16501920</v>
      </c>
      <c r="W5" s="38">
        <v>15745</v>
      </c>
      <c r="X5" s="38">
        <v>44995</v>
      </c>
      <c r="Y5" s="72">
        <v>10135358</v>
      </c>
      <c r="Z5" s="38">
        <v>3100</v>
      </c>
      <c r="AA5" s="38">
        <v>781</v>
      </c>
      <c r="AB5" s="38">
        <v>3881</v>
      </c>
      <c r="AC5" s="38">
        <v>17185728</v>
      </c>
      <c r="AD5" s="38">
        <v>3630203</v>
      </c>
      <c r="AE5" s="38">
        <v>0</v>
      </c>
      <c r="AF5" s="38">
        <v>0</v>
      </c>
      <c r="AG5" s="38">
        <v>0</v>
      </c>
      <c r="AH5" s="38">
        <v>0</v>
      </c>
      <c r="AI5" s="38">
        <v>9098170</v>
      </c>
      <c r="AJ5" s="38">
        <v>29914100</v>
      </c>
      <c r="AK5" s="38">
        <v>20493007</v>
      </c>
      <c r="AL5" s="38">
        <v>0</v>
      </c>
      <c r="AM5" s="38">
        <v>9421093</v>
      </c>
      <c r="AN5" s="38">
        <v>29914100</v>
      </c>
      <c r="AO5" s="38"/>
      <c r="AP5" s="38"/>
      <c r="AQ5" s="38"/>
      <c r="AR5" s="38"/>
      <c r="AS5" s="38"/>
      <c r="AT5" s="1">
        <f t="shared" si="1"/>
        <v>1060227</v>
      </c>
      <c r="AU5">
        <f t="shared" si="2"/>
        <v>2.225407710133124</v>
      </c>
      <c r="AV5">
        <f t="shared" si="3"/>
        <v>2.9514596327036497</v>
      </c>
      <c r="AW5">
        <f t="shared" si="4"/>
        <v>132.5565411700307</v>
      </c>
      <c r="AX5">
        <f t="shared" si="5"/>
        <v>1628.1536379869365</v>
      </c>
      <c r="AY5">
        <f t="shared" si="6"/>
        <v>4279.7698907132826</v>
      </c>
      <c r="AZ5">
        <f t="shared" si="7"/>
        <v>4401.8780589694015</v>
      </c>
      <c r="BA5">
        <f t="shared" si="8"/>
        <v>118.39739652018211</v>
      </c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</row>
    <row r="6" spans="1:230" ht="13" x14ac:dyDescent="0.3">
      <c r="A6" s="1" t="s">
        <v>36</v>
      </c>
      <c r="B6" s="1" t="s">
        <v>150</v>
      </c>
      <c r="C6" s="44" t="s">
        <v>102</v>
      </c>
      <c r="D6" s="35">
        <f t="shared" si="0"/>
        <v>2557.4</v>
      </c>
      <c r="E6" s="38">
        <v>998</v>
      </c>
      <c r="F6" s="38">
        <v>1064</v>
      </c>
      <c r="G6" s="38">
        <v>14947580</v>
      </c>
      <c r="H6" s="38"/>
      <c r="I6" s="38"/>
      <c r="J6" s="38"/>
      <c r="K6" s="38">
        <v>931</v>
      </c>
      <c r="L6" s="38">
        <v>138699</v>
      </c>
      <c r="M6" s="38"/>
      <c r="N6" s="38">
        <v>433000</v>
      </c>
      <c r="O6" s="38">
        <v>4993</v>
      </c>
      <c r="P6" s="38"/>
      <c r="Q6" s="38"/>
      <c r="R6" s="38"/>
      <c r="S6" s="38"/>
      <c r="T6" s="38">
        <v>507635</v>
      </c>
      <c r="U6" s="38">
        <v>17805663</v>
      </c>
      <c r="V6" s="38">
        <v>5318008</v>
      </c>
      <c r="W6" s="38">
        <v>0</v>
      </c>
      <c r="X6" s="38">
        <v>0</v>
      </c>
      <c r="Y6" s="72">
        <v>2557400</v>
      </c>
      <c r="Z6" s="38">
        <v>1585</v>
      </c>
      <c r="AA6" s="38">
        <v>301</v>
      </c>
      <c r="AB6" s="38">
        <v>1886</v>
      </c>
      <c r="AC6" s="38">
        <v>3246752</v>
      </c>
      <c r="AD6" s="38">
        <v>809069</v>
      </c>
      <c r="AE6" s="38">
        <v>0</v>
      </c>
      <c r="AF6" s="38">
        <v>0</v>
      </c>
      <c r="AG6" s="38">
        <v>0</v>
      </c>
      <c r="AH6" s="38">
        <v>0</v>
      </c>
      <c r="AI6" s="38">
        <v>2292976</v>
      </c>
      <c r="AJ6" s="38">
        <v>6348797</v>
      </c>
      <c r="AK6" s="38">
        <v>5625081</v>
      </c>
      <c r="AL6" s="38">
        <v>336040</v>
      </c>
      <c r="AM6" s="38">
        <v>387675</v>
      </c>
      <c r="AN6" s="38">
        <v>6348796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1">
        <f t="shared" si="1"/>
        <v>437993</v>
      </c>
      <c r="AU6">
        <f t="shared" si="2"/>
        <v>3.3481828158212625</v>
      </c>
      <c r="AV6">
        <f t="shared" si="3"/>
        <v>2.4825201376397903</v>
      </c>
      <c r="AW6">
        <f t="shared" si="4"/>
        <v>198.4965199030265</v>
      </c>
      <c r="AX6">
        <f t="shared" si="5"/>
        <v>2079.458825369516</v>
      </c>
      <c r="AY6">
        <f t="shared" si="6"/>
        <v>5844.8345976382261</v>
      </c>
      <c r="AZ6">
        <f t="shared" si="7"/>
        <v>5899.4330179088138</v>
      </c>
      <c r="BA6">
        <f t="shared" si="8"/>
        <v>54.234378665832487</v>
      </c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</row>
    <row r="7" spans="1:230" ht="13" x14ac:dyDescent="0.3">
      <c r="A7" s="1" t="s">
        <v>37</v>
      </c>
      <c r="B7" s="1" t="s">
        <v>150</v>
      </c>
      <c r="C7" s="44" t="s">
        <v>103</v>
      </c>
      <c r="D7" s="35">
        <f t="shared" si="0"/>
        <v>3705.6</v>
      </c>
      <c r="E7" s="38">
        <v>61</v>
      </c>
      <c r="F7" s="38">
        <v>1478</v>
      </c>
      <c r="G7" s="38">
        <v>23167801</v>
      </c>
      <c r="H7" s="38"/>
      <c r="I7" s="38"/>
      <c r="J7" s="38">
        <v>4434</v>
      </c>
      <c r="K7" s="38">
        <v>1094</v>
      </c>
      <c r="L7" s="38">
        <v>260370</v>
      </c>
      <c r="M7" s="38">
        <v>0</v>
      </c>
      <c r="N7" s="38">
        <v>829737</v>
      </c>
      <c r="O7" s="38">
        <v>5067</v>
      </c>
      <c r="P7" s="38">
        <v>96</v>
      </c>
      <c r="Q7" s="38"/>
      <c r="R7" s="38">
        <v>15</v>
      </c>
      <c r="S7" s="38">
        <v>0</v>
      </c>
      <c r="T7" s="38">
        <v>778604</v>
      </c>
      <c r="U7" s="38">
        <v>20942390</v>
      </c>
      <c r="V7" s="38">
        <v>6882350</v>
      </c>
      <c r="W7" s="38">
        <v>9235</v>
      </c>
      <c r="X7" s="38">
        <v>2885</v>
      </c>
      <c r="Y7" s="72">
        <v>3705600</v>
      </c>
      <c r="Z7" s="38">
        <v>3105</v>
      </c>
      <c r="AA7" s="38">
        <v>984</v>
      </c>
      <c r="AB7" s="38">
        <v>4089</v>
      </c>
      <c r="AC7" s="38">
        <v>4926458</v>
      </c>
      <c r="AD7" s="38">
        <v>784364</v>
      </c>
      <c r="AE7" s="38">
        <v>0</v>
      </c>
      <c r="AF7" s="38">
        <v>0</v>
      </c>
      <c r="AG7" s="38">
        <v>0</v>
      </c>
      <c r="AH7" s="38">
        <v>0</v>
      </c>
      <c r="AI7" s="38">
        <v>2806515</v>
      </c>
      <c r="AJ7" s="38">
        <v>8517336</v>
      </c>
      <c r="AK7" s="38">
        <v>8611204</v>
      </c>
      <c r="AL7" s="38">
        <v>56722</v>
      </c>
      <c r="AM7" s="38">
        <v>42062</v>
      </c>
      <c r="AN7" s="38">
        <v>8709988</v>
      </c>
      <c r="AO7" s="38"/>
      <c r="AP7" s="38"/>
      <c r="AQ7" s="38"/>
      <c r="AR7" s="38"/>
      <c r="AS7" s="38"/>
      <c r="AT7" s="1">
        <f t="shared" si="1"/>
        <v>834804</v>
      </c>
      <c r="AU7">
        <f t="shared" si="2"/>
        <v>3.0429126679113967</v>
      </c>
      <c r="AV7">
        <f t="shared" si="3"/>
        <v>2.2985038860103626</v>
      </c>
      <c r="AW7">
        <f t="shared" si="4"/>
        <v>210.11550086355786</v>
      </c>
      <c r="AX7">
        <f t="shared" si="5"/>
        <v>1857.2835708117445</v>
      </c>
      <c r="AY7">
        <f t="shared" si="6"/>
        <v>6252.1051921416238</v>
      </c>
      <c r="AZ7">
        <f t="shared" si="7"/>
        <v>6323.8609132124357</v>
      </c>
      <c r="BA7">
        <f t="shared" si="8"/>
        <v>70.263924870466326</v>
      </c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</row>
    <row r="8" spans="1:230" ht="13" x14ac:dyDescent="0.3">
      <c r="A8" s="1" t="s">
        <v>38</v>
      </c>
      <c r="B8" s="1" t="s">
        <v>150</v>
      </c>
      <c r="C8" s="44" t="s">
        <v>104</v>
      </c>
      <c r="D8" s="35">
        <f t="shared" si="0"/>
        <v>38660</v>
      </c>
      <c r="E8" s="38">
        <v>9230</v>
      </c>
      <c r="F8" s="38">
        <v>3565</v>
      </c>
      <c r="G8" s="38">
        <v>135867218</v>
      </c>
      <c r="H8" s="38"/>
      <c r="I8" s="38"/>
      <c r="J8" s="38"/>
      <c r="K8" s="38">
        <v>10383</v>
      </c>
      <c r="L8" s="38">
        <v>2597035</v>
      </c>
      <c r="M8" s="38"/>
      <c r="N8" s="38">
        <v>3794111</v>
      </c>
      <c r="O8" s="38">
        <v>121207</v>
      </c>
      <c r="P8" s="38"/>
      <c r="Q8" s="38"/>
      <c r="R8" s="38"/>
      <c r="S8" s="38"/>
      <c r="T8" s="38">
        <v>7222496</v>
      </c>
      <c r="U8" s="38">
        <v>189035327</v>
      </c>
      <c r="V8" s="38"/>
      <c r="W8" s="38">
        <v>113401</v>
      </c>
      <c r="X8" s="38">
        <v>126762</v>
      </c>
      <c r="Y8" s="72">
        <v>38660000</v>
      </c>
      <c r="Z8" s="38">
        <v>11137</v>
      </c>
      <c r="AA8" s="38">
        <v>6691</v>
      </c>
      <c r="AB8" s="38">
        <v>17828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1">
        <f t="shared" si="1"/>
        <v>3915318</v>
      </c>
      <c r="AU8" t="e">
        <f t="shared" si="2"/>
        <v>#DIV/0!</v>
      </c>
      <c r="AV8">
        <f t="shared" si="3"/>
        <v>0</v>
      </c>
      <c r="AW8">
        <f t="shared" si="4"/>
        <v>186.82090015519918</v>
      </c>
      <c r="AX8">
        <f t="shared" si="5"/>
        <v>0</v>
      </c>
      <c r="AY8">
        <f t="shared" si="6"/>
        <v>3514.4132953957578</v>
      </c>
      <c r="AZ8">
        <f t="shared" si="7"/>
        <v>3581.8581479565441</v>
      </c>
      <c r="BA8">
        <f t="shared" si="8"/>
        <v>67.17628039317124</v>
      </c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</row>
    <row r="9" spans="1:230" ht="13" x14ac:dyDescent="0.3">
      <c r="A9" s="1" t="s">
        <v>39</v>
      </c>
      <c r="B9" s="1" t="s">
        <v>150</v>
      </c>
      <c r="C9" s="44" t="s">
        <v>105</v>
      </c>
      <c r="D9" s="35">
        <f t="shared" si="0"/>
        <v>22545.924999999999</v>
      </c>
      <c r="E9" s="38">
        <v>2953</v>
      </c>
      <c r="F9" s="38">
        <v>3246</v>
      </c>
      <c r="G9" s="38">
        <v>50493040</v>
      </c>
      <c r="H9" s="38">
        <v>9011</v>
      </c>
      <c r="I9" s="38">
        <v>10369</v>
      </c>
      <c r="J9" s="38">
        <v>81753</v>
      </c>
      <c r="K9" s="38">
        <v>9515</v>
      </c>
      <c r="L9" s="38">
        <v>295464</v>
      </c>
      <c r="M9" s="38">
        <v>839</v>
      </c>
      <c r="N9" s="38">
        <v>984422</v>
      </c>
      <c r="O9" s="38">
        <v>7190</v>
      </c>
      <c r="P9" s="38">
        <v>46</v>
      </c>
      <c r="Q9" s="38">
        <v>2</v>
      </c>
      <c r="R9" s="38">
        <v>45</v>
      </c>
      <c r="S9" s="38">
        <v>20</v>
      </c>
      <c r="T9" s="38">
        <v>1994240</v>
      </c>
      <c r="U9" s="38">
        <v>37892994</v>
      </c>
      <c r="V9" s="38">
        <v>15571569</v>
      </c>
      <c r="W9" s="38">
        <v>3713</v>
      </c>
      <c r="X9" s="38">
        <v>4359</v>
      </c>
      <c r="Y9" s="72">
        <v>22545925</v>
      </c>
      <c r="Z9" s="38">
        <v>4433</v>
      </c>
      <c r="AA9" s="38">
        <v>581</v>
      </c>
      <c r="AB9" s="38">
        <v>5014</v>
      </c>
      <c r="AC9" s="38">
        <v>2524808</v>
      </c>
      <c r="AD9" s="38">
        <v>828736</v>
      </c>
      <c r="AE9" s="38">
        <v>250</v>
      </c>
      <c r="AF9" s="38">
        <v>6417</v>
      </c>
      <c r="AG9" s="38">
        <v>5168</v>
      </c>
      <c r="AH9" s="38">
        <v>40308</v>
      </c>
      <c r="AI9" s="38">
        <v>947431</v>
      </c>
      <c r="AJ9" s="38">
        <v>4353118</v>
      </c>
      <c r="AK9" s="38">
        <v>4222524</v>
      </c>
      <c r="AL9" s="38">
        <v>43532</v>
      </c>
      <c r="AM9" s="38">
        <v>87062</v>
      </c>
      <c r="AN9" s="38">
        <v>4353118</v>
      </c>
      <c r="AO9" s="38">
        <v>305696</v>
      </c>
      <c r="AP9" s="38">
        <v>19539</v>
      </c>
      <c r="AQ9" s="38">
        <v>99850</v>
      </c>
      <c r="AR9" s="38">
        <v>88335</v>
      </c>
      <c r="AS9" s="38">
        <v>513420</v>
      </c>
      <c r="AT9" s="1">
        <f t="shared" si="1"/>
        <v>991612</v>
      </c>
      <c r="AU9">
        <f t="shared" si="2"/>
        <v>2.4334730816143191</v>
      </c>
      <c r="AV9">
        <f t="shared" si="3"/>
        <v>0.19307781783182548</v>
      </c>
      <c r="AW9">
        <f t="shared" si="4"/>
        <v>88.452347818951765</v>
      </c>
      <c r="AX9">
        <f t="shared" si="5"/>
        <v>690.66001949354484</v>
      </c>
      <c r="AY9">
        <f t="shared" si="6"/>
        <v>2239.5639123256201</v>
      </c>
      <c r="AZ9">
        <f t="shared" si="7"/>
        <v>2257.6137816479031</v>
      </c>
      <c r="BA9">
        <f t="shared" si="8"/>
        <v>13.104984603647887</v>
      </c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</row>
    <row r="10" spans="1:230" ht="13" x14ac:dyDescent="0.3">
      <c r="A10" s="1" t="s">
        <v>40</v>
      </c>
      <c r="B10" s="1" t="s">
        <v>150</v>
      </c>
      <c r="C10" s="44" t="s">
        <v>106</v>
      </c>
      <c r="D10" s="35">
        <f t="shared" si="0"/>
        <v>5387.65</v>
      </c>
      <c r="E10" s="38">
        <v>2713</v>
      </c>
      <c r="F10" s="38">
        <v>3200</v>
      </c>
      <c r="G10" s="38">
        <v>19353703</v>
      </c>
      <c r="H10" s="38">
        <v>10567</v>
      </c>
      <c r="I10" s="38">
        <v>13051</v>
      </c>
      <c r="J10" s="38">
        <v>0</v>
      </c>
      <c r="K10" s="38">
        <v>0</v>
      </c>
      <c r="L10" s="38">
        <v>160000</v>
      </c>
      <c r="M10" s="38">
        <v>200</v>
      </c>
      <c r="N10" s="38">
        <v>391219</v>
      </c>
      <c r="O10" s="38">
        <v>3000</v>
      </c>
      <c r="P10" s="38">
        <v>95</v>
      </c>
      <c r="Q10" s="38">
        <v>48</v>
      </c>
      <c r="R10" s="38">
        <v>30</v>
      </c>
      <c r="S10" s="38">
        <v>27</v>
      </c>
      <c r="T10" s="38">
        <v>758232</v>
      </c>
      <c r="U10" s="38">
        <v>25780373</v>
      </c>
      <c r="V10" s="38">
        <v>7526692</v>
      </c>
      <c r="W10" s="38">
        <v>2537</v>
      </c>
      <c r="X10" s="38">
        <v>8860</v>
      </c>
      <c r="Y10" s="72">
        <v>5387650</v>
      </c>
      <c r="Z10" s="38">
        <v>1110</v>
      </c>
      <c r="AA10" s="38">
        <v>877</v>
      </c>
      <c r="AB10" s="38">
        <v>1987</v>
      </c>
      <c r="AC10" s="38">
        <v>3761020</v>
      </c>
      <c r="AD10" s="38">
        <v>1107605</v>
      </c>
      <c r="AE10" s="38">
        <v>0</v>
      </c>
      <c r="AF10" s="38">
        <v>0</v>
      </c>
      <c r="AG10" s="38">
        <v>0</v>
      </c>
      <c r="AH10" s="38">
        <v>0</v>
      </c>
      <c r="AI10" s="38">
        <v>2937296</v>
      </c>
      <c r="AJ10" s="38">
        <v>7805921</v>
      </c>
      <c r="AK10" s="38">
        <v>5942057</v>
      </c>
      <c r="AL10" s="38">
        <v>420425</v>
      </c>
      <c r="AM10" s="38">
        <v>371370</v>
      </c>
      <c r="AN10" s="38">
        <v>6733852</v>
      </c>
      <c r="AO10" s="38">
        <v>224871</v>
      </c>
      <c r="AP10" s="38">
        <v>0</v>
      </c>
      <c r="AQ10" s="38">
        <v>97235</v>
      </c>
      <c r="AR10" s="38">
        <v>59671</v>
      </c>
      <c r="AS10" s="38">
        <v>381778</v>
      </c>
      <c r="AT10" s="1">
        <f t="shared" si="1"/>
        <v>394219</v>
      </c>
      <c r="AU10">
        <f t="shared" si="2"/>
        <v>3.4251930330083922</v>
      </c>
      <c r="AV10">
        <f t="shared" si="3"/>
        <v>1.4488545098512338</v>
      </c>
      <c r="AW10">
        <f t="shared" si="4"/>
        <v>140.7351999480293</v>
      </c>
      <c r="AX10">
        <f t="shared" si="5"/>
        <v>1397.0269041233191</v>
      </c>
      <c r="AY10">
        <f t="shared" si="6"/>
        <v>3592.2346477592273</v>
      </c>
      <c r="AZ10">
        <f t="shared" si="7"/>
        <v>3626.3530481749931</v>
      </c>
      <c r="BA10">
        <f t="shared" si="8"/>
        <v>29.697549024157102</v>
      </c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</row>
    <row r="11" spans="1:230" ht="13" x14ac:dyDescent="0.3">
      <c r="A11" s="1" t="s">
        <v>41</v>
      </c>
      <c r="B11" s="1" t="s">
        <v>150</v>
      </c>
      <c r="C11" s="44" t="s">
        <v>107</v>
      </c>
      <c r="D11" s="35">
        <f t="shared" si="0"/>
        <v>1995.3330000000001</v>
      </c>
      <c r="E11" s="38">
        <v>60</v>
      </c>
      <c r="F11" s="38">
        <v>299</v>
      </c>
      <c r="G11" s="38">
        <v>6159079</v>
      </c>
      <c r="H11" s="38">
        <v>9977</v>
      </c>
      <c r="I11" s="38">
        <v>16017</v>
      </c>
      <c r="J11" s="38">
        <v>14077</v>
      </c>
      <c r="K11" s="38">
        <v>197</v>
      </c>
      <c r="L11" s="38">
        <v>162201</v>
      </c>
      <c r="M11" s="38">
        <v>75</v>
      </c>
      <c r="N11" s="38">
        <v>330895</v>
      </c>
      <c r="O11" s="38">
        <v>13990</v>
      </c>
      <c r="P11" s="38">
        <v>75</v>
      </c>
      <c r="Q11" s="38">
        <v>50</v>
      </c>
      <c r="R11" s="38">
        <v>221</v>
      </c>
      <c r="S11" s="38">
        <v>0</v>
      </c>
      <c r="T11" s="38">
        <v>441968</v>
      </c>
      <c r="U11" s="38">
        <v>14379834</v>
      </c>
      <c r="V11" s="38">
        <v>6153186</v>
      </c>
      <c r="W11" s="38">
        <v>0</v>
      </c>
      <c r="X11" s="38">
        <v>0</v>
      </c>
      <c r="Y11" s="72">
        <v>1995333</v>
      </c>
      <c r="Z11" s="38">
        <v>613</v>
      </c>
      <c r="AA11" s="38">
        <v>172</v>
      </c>
      <c r="AB11" s="38">
        <v>785</v>
      </c>
      <c r="AC11" s="38">
        <v>9537356</v>
      </c>
      <c r="AD11" s="38">
        <v>5498740</v>
      </c>
      <c r="AE11" s="38">
        <v>0</v>
      </c>
      <c r="AF11" s="38">
        <v>0</v>
      </c>
      <c r="AG11" s="38">
        <v>0</v>
      </c>
      <c r="AH11" s="38">
        <v>0</v>
      </c>
      <c r="AI11" s="38">
        <v>6118976</v>
      </c>
      <c r="AJ11" s="38">
        <v>21155072</v>
      </c>
      <c r="AK11" s="38">
        <v>19875184</v>
      </c>
      <c r="AL11" s="38">
        <v>2115946</v>
      </c>
      <c r="AM11" s="38">
        <v>0</v>
      </c>
      <c r="AN11" s="38">
        <v>21991130</v>
      </c>
      <c r="AO11" s="38">
        <v>1645934</v>
      </c>
      <c r="AP11" s="38">
        <v>64090</v>
      </c>
      <c r="AQ11" s="38">
        <v>446477</v>
      </c>
      <c r="AR11" s="38">
        <v>421310</v>
      </c>
      <c r="AS11" s="38">
        <v>2577811</v>
      </c>
      <c r="AT11" s="1">
        <f t="shared" si="1"/>
        <v>344885</v>
      </c>
      <c r="AU11">
        <f t="shared" si="2"/>
        <v>2.3369737238562265</v>
      </c>
      <c r="AV11">
        <f t="shared" si="3"/>
        <v>10.60227641200742</v>
      </c>
      <c r="AW11">
        <f t="shared" si="4"/>
        <v>221.50087228547815</v>
      </c>
      <c r="AX11">
        <f t="shared" si="5"/>
        <v>3083.7890216820952</v>
      </c>
      <c r="AY11">
        <f t="shared" si="6"/>
        <v>3086.7424134217194</v>
      </c>
      <c r="AZ11">
        <f t="shared" si="7"/>
        <v>3188.251284372082</v>
      </c>
      <c r="BA11">
        <f t="shared" si="8"/>
        <v>81.29019065990488</v>
      </c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</row>
    <row r="12" spans="1:230" ht="13" x14ac:dyDescent="0.3">
      <c r="A12" s="1" t="s">
        <v>42</v>
      </c>
      <c r="B12" s="1" t="s">
        <v>151</v>
      </c>
      <c r="C12" s="44" t="s">
        <v>108</v>
      </c>
      <c r="D12" s="35">
        <f t="shared" si="0"/>
        <v>8072.1779999999999</v>
      </c>
      <c r="E12" s="38">
        <v>984</v>
      </c>
      <c r="F12" s="38">
        <v>2016</v>
      </c>
      <c r="G12" s="38">
        <v>9110058</v>
      </c>
      <c r="H12" s="38"/>
      <c r="I12" s="38"/>
      <c r="J12" s="38"/>
      <c r="K12" s="38"/>
      <c r="L12" s="38"/>
      <c r="M12" s="38"/>
      <c r="N12" s="38"/>
      <c r="O12" s="38"/>
      <c r="P12" s="38">
        <v>100</v>
      </c>
      <c r="Q12" s="38">
        <v>29</v>
      </c>
      <c r="R12" s="38">
        <v>253</v>
      </c>
      <c r="S12" s="38">
        <v>253</v>
      </c>
      <c r="T12" s="38">
        <v>928834</v>
      </c>
      <c r="U12" s="38">
        <v>15727531</v>
      </c>
      <c r="V12" s="38">
        <v>9474312</v>
      </c>
      <c r="W12" s="38">
        <v>20180</v>
      </c>
      <c r="X12" s="38">
        <v>22471</v>
      </c>
      <c r="Y12" s="72">
        <v>8072178</v>
      </c>
      <c r="Z12" s="38">
        <v>776</v>
      </c>
      <c r="AA12" s="38">
        <v>859</v>
      </c>
      <c r="AB12" s="38">
        <v>1635</v>
      </c>
      <c r="AC12" s="38">
        <v>17859007</v>
      </c>
      <c r="AD12" s="38">
        <v>4834763</v>
      </c>
      <c r="AE12" s="38">
        <v>4468</v>
      </c>
      <c r="AF12" s="38">
        <v>114839</v>
      </c>
      <c r="AG12" s="38">
        <v>92480</v>
      </c>
      <c r="AH12" s="38">
        <v>13129</v>
      </c>
      <c r="AI12" s="38">
        <v>8977253</v>
      </c>
      <c r="AJ12" s="38">
        <v>31895939</v>
      </c>
      <c r="AK12" s="38">
        <v>28260013</v>
      </c>
      <c r="AL12" s="38">
        <v>1688240</v>
      </c>
      <c r="AM12" s="38">
        <v>1947653</v>
      </c>
      <c r="AN12" s="38">
        <v>31895906</v>
      </c>
      <c r="AO12" s="38"/>
      <c r="AP12" s="38"/>
      <c r="AQ12" s="38"/>
      <c r="AR12" s="38"/>
      <c r="AS12" s="38"/>
      <c r="AT12" s="1">
        <f t="shared" si="1"/>
        <v>0</v>
      </c>
      <c r="AU12">
        <f t="shared" si="2"/>
        <v>1.6600182683449731</v>
      </c>
      <c r="AV12">
        <f t="shared" si="3"/>
        <v>3.9513423762459152</v>
      </c>
      <c r="AW12">
        <f t="shared" si="4"/>
        <v>115.06609492506236</v>
      </c>
      <c r="AX12">
        <f t="shared" si="5"/>
        <v>1173.6995888841896</v>
      </c>
      <c r="AY12">
        <f t="shared" si="6"/>
        <v>1128.5749645263027</v>
      </c>
      <c r="AZ12">
        <f t="shared" si="7"/>
        <v>1128.5749645263027</v>
      </c>
      <c r="BA12">
        <f t="shared" si="8"/>
        <v>0</v>
      </c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</row>
    <row r="13" spans="1:230" ht="13" x14ac:dyDescent="0.3">
      <c r="A13" s="1" t="s">
        <v>318</v>
      </c>
      <c r="B13" s="1" t="s">
        <v>318</v>
      </c>
      <c r="C13" s="44" t="s">
        <v>317</v>
      </c>
      <c r="D13" s="35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72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1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</row>
    <row r="14" spans="1:230" ht="13" x14ac:dyDescent="0.3">
      <c r="A14" s="1" t="s">
        <v>315</v>
      </c>
      <c r="B14" s="1" t="s">
        <v>315</v>
      </c>
      <c r="C14" s="44" t="s">
        <v>316</v>
      </c>
      <c r="D14" s="35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72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1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</row>
    <row r="15" spans="1:230" ht="13" x14ac:dyDescent="0.3">
      <c r="A15" s="1" t="s">
        <v>43</v>
      </c>
      <c r="B15" s="1" t="s">
        <v>151</v>
      </c>
      <c r="C15" s="44" t="s">
        <v>109</v>
      </c>
      <c r="D15" s="35">
        <f t="shared" si="0"/>
        <v>9681.9</v>
      </c>
      <c r="E15" s="38">
        <v>495</v>
      </c>
      <c r="F15" s="38">
        <v>1490</v>
      </c>
      <c r="G15" s="38">
        <v>30531000</v>
      </c>
      <c r="H15" s="38"/>
      <c r="I15" s="38">
        <v>140102</v>
      </c>
      <c r="J15" s="38"/>
      <c r="K15" s="38"/>
      <c r="L15" s="38">
        <v>1562025</v>
      </c>
      <c r="M15" s="38">
        <v>74830</v>
      </c>
      <c r="N15" s="38">
        <v>1602000</v>
      </c>
      <c r="O15" s="38">
        <v>153940</v>
      </c>
      <c r="P15" s="38"/>
      <c r="Q15" s="38">
        <v>69</v>
      </c>
      <c r="R15" s="38"/>
      <c r="S15" s="38"/>
      <c r="T15" s="38">
        <v>2310000</v>
      </c>
      <c r="U15" s="38"/>
      <c r="V15" s="38"/>
      <c r="W15" s="38">
        <v>39000</v>
      </c>
      <c r="X15" s="38">
        <v>33000</v>
      </c>
      <c r="Y15" s="72">
        <v>9681900</v>
      </c>
      <c r="Z15" s="38">
        <v>2580</v>
      </c>
      <c r="AA15" s="38">
        <v>1360</v>
      </c>
      <c r="AB15" s="38">
        <v>3940</v>
      </c>
      <c r="AC15" s="38">
        <v>111271167</v>
      </c>
      <c r="AD15" s="38">
        <v>25546068</v>
      </c>
      <c r="AE15" s="38">
        <v>93326</v>
      </c>
      <c r="AF15" s="38">
        <v>3465493</v>
      </c>
      <c r="AG15" s="38">
        <v>13011249</v>
      </c>
      <c r="AH15" s="38">
        <v>4429</v>
      </c>
      <c r="AI15" s="38">
        <v>38316623</v>
      </c>
      <c r="AJ15" s="38">
        <v>191708355</v>
      </c>
      <c r="AK15" s="38">
        <v>172147770</v>
      </c>
      <c r="AL15" s="38">
        <v>7958908</v>
      </c>
      <c r="AM15" s="38">
        <v>9453971</v>
      </c>
      <c r="AN15" s="38">
        <v>189560649</v>
      </c>
      <c r="AO15" s="38"/>
      <c r="AP15" s="38"/>
      <c r="AQ15" s="38"/>
      <c r="AR15" s="38"/>
      <c r="AS15" s="38"/>
      <c r="AT15" s="1">
        <f t="shared" si="1"/>
        <v>1755940</v>
      </c>
      <c r="AU15" t="e">
        <f t="shared" si="2"/>
        <v>#DIV/0!</v>
      </c>
      <c r="AV15">
        <f t="shared" si="3"/>
        <v>19.80069562792427</v>
      </c>
      <c r="AW15">
        <f t="shared" si="4"/>
        <v>238.58953304619962</v>
      </c>
      <c r="AX15">
        <f t="shared" si="5"/>
        <v>0</v>
      </c>
      <c r="AY15">
        <f t="shared" si="6"/>
        <v>3153.4099711833423</v>
      </c>
      <c r="AZ15">
        <f t="shared" si="7"/>
        <v>3336.9438849812536</v>
      </c>
      <c r="BA15">
        <f t="shared" si="8"/>
        <v>161.33455210237662</v>
      </c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</row>
    <row r="16" spans="1:230" ht="13" x14ac:dyDescent="0.3">
      <c r="A16" s="1" t="s">
        <v>44</v>
      </c>
      <c r="B16" s="1" t="s">
        <v>151</v>
      </c>
      <c r="C16" s="44" t="s">
        <v>110</v>
      </c>
      <c r="D16" s="35">
        <f t="shared" si="0"/>
        <v>5294.7619999999997</v>
      </c>
      <c r="E16" s="38">
        <v>250</v>
      </c>
      <c r="F16" s="38">
        <v>892</v>
      </c>
      <c r="G16" s="38">
        <v>31432846</v>
      </c>
      <c r="H16" s="38"/>
      <c r="I16" s="38">
        <v>93647</v>
      </c>
      <c r="J16" s="38"/>
      <c r="K16" s="38">
        <v>411</v>
      </c>
      <c r="L16" s="38">
        <v>2596389</v>
      </c>
      <c r="M16" s="38">
        <v>29000</v>
      </c>
      <c r="N16" s="38">
        <v>2360148</v>
      </c>
      <c r="O16" s="38">
        <v>261494</v>
      </c>
      <c r="P16" s="38"/>
      <c r="Q16" s="38"/>
      <c r="R16" s="38">
        <v>556</v>
      </c>
      <c r="S16" s="38">
        <v>344</v>
      </c>
      <c r="T16" s="38">
        <v>1826946</v>
      </c>
      <c r="U16" s="38">
        <v>85880017</v>
      </c>
      <c r="V16" s="38">
        <v>36186239</v>
      </c>
      <c r="W16" s="38">
        <v>814343</v>
      </c>
      <c r="X16" s="38">
        <v>11097694</v>
      </c>
      <c r="Y16" s="72">
        <v>5294762</v>
      </c>
      <c r="Z16" s="38">
        <v>2292</v>
      </c>
      <c r="AA16" s="38">
        <v>2650</v>
      </c>
      <c r="AB16" s="38">
        <v>4942</v>
      </c>
      <c r="AC16" s="38">
        <v>177068420</v>
      </c>
      <c r="AD16" s="38">
        <v>46536097</v>
      </c>
      <c r="AE16" s="38">
        <v>551</v>
      </c>
      <c r="AF16" s="38">
        <v>15755</v>
      </c>
      <c r="AG16" s="38">
        <v>46123</v>
      </c>
      <c r="AH16" s="38">
        <v>0</v>
      </c>
      <c r="AI16" s="38">
        <v>72546913</v>
      </c>
      <c r="AJ16" s="38">
        <v>296213859</v>
      </c>
      <c r="AK16" s="38">
        <v>263991710</v>
      </c>
      <c r="AL16" s="38">
        <v>14254117</v>
      </c>
      <c r="AM16" s="38">
        <v>17968033</v>
      </c>
      <c r="AN16" s="38">
        <v>296213859</v>
      </c>
      <c r="AO16" s="38">
        <v>5282210</v>
      </c>
      <c r="AP16" s="38">
        <v>0</v>
      </c>
      <c r="AQ16" s="38">
        <v>0</v>
      </c>
      <c r="AR16" s="38">
        <v>0</v>
      </c>
      <c r="AS16" s="38">
        <v>5282210</v>
      </c>
      <c r="AT16" s="1">
        <f t="shared" si="1"/>
        <v>2621642</v>
      </c>
      <c r="AU16">
        <f t="shared" si="2"/>
        <v>2.3732783337887091</v>
      </c>
      <c r="AV16">
        <f t="shared" si="3"/>
        <v>55.944697608693268</v>
      </c>
      <c r="AW16">
        <f t="shared" si="4"/>
        <v>345.04780384840717</v>
      </c>
      <c r="AX16">
        <f t="shared" si="5"/>
        <v>6834.346661851846</v>
      </c>
      <c r="AY16">
        <f t="shared" si="6"/>
        <v>5936.5928062488929</v>
      </c>
      <c r="AZ16">
        <f t="shared" si="7"/>
        <v>6450.2036163287421</v>
      </c>
      <c r="BA16">
        <f t="shared" si="8"/>
        <v>490.36934993489797</v>
      </c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</row>
    <row r="17" spans="1:230" ht="13" x14ac:dyDescent="0.3">
      <c r="A17" s="1" t="s">
        <v>45</v>
      </c>
      <c r="B17" s="1" t="s">
        <v>151</v>
      </c>
      <c r="C17" s="44" t="s">
        <v>111</v>
      </c>
      <c r="D17" s="35">
        <f t="shared" si="0"/>
        <v>3473</v>
      </c>
      <c r="E17" s="38">
        <v>32</v>
      </c>
      <c r="F17" s="38">
        <v>348</v>
      </c>
      <c r="G17" s="38">
        <v>10496739</v>
      </c>
      <c r="H17" s="38">
        <v>11715</v>
      </c>
      <c r="I17" s="38">
        <v>3685</v>
      </c>
      <c r="J17" s="38">
        <v>11739</v>
      </c>
      <c r="K17" s="38">
        <v>15440</v>
      </c>
      <c r="L17" s="38">
        <v>255990</v>
      </c>
      <c r="M17" s="38">
        <v>2500</v>
      </c>
      <c r="N17" s="38">
        <v>624573</v>
      </c>
      <c r="O17" s="38">
        <v>22973</v>
      </c>
      <c r="P17" s="38">
        <v>88</v>
      </c>
      <c r="Q17" s="38">
        <v>62</v>
      </c>
      <c r="R17" s="38">
        <v>385</v>
      </c>
      <c r="S17" s="38">
        <v>167</v>
      </c>
      <c r="T17" s="38">
        <v>862233</v>
      </c>
      <c r="U17" s="38">
        <v>12935846</v>
      </c>
      <c r="V17" s="38">
        <v>19210802</v>
      </c>
      <c r="W17" s="38">
        <v>1700</v>
      </c>
      <c r="X17" s="38">
        <v>4300</v>
      </c>
      <c r="Y17" s="72">
        <v>3473000</v>
      </c>
      <c r="Z17" s="38">
        <v>256</v>
      </c>
      <c r="AA17" s="38">
        <v>1076</v>
      </c>
      <c r="AB17" s="38">
        <v>1332</v>
      </c>
      <c r="AC17" s="38">
        <v>27170103</v>
      </c>
      <c r="AD17" s="38">
        <v>7361222</v>
      </c>
      <c r="AE17" s="38">
        <v>0</v>
      </c>
      <c r="AF17" s="38">
        <v>0</v>
      </c>
      <c r="AG17" s="38">
        <v>5685395</v>
      </c>
      <c r="AH17" s="38">
        <v>0</v>
      </c>
      <c r="AI17" s="38">
        <v>6685108</v>
      </c>
      <c r="AJ17" s="38">
        <v>46901828</v>
      </c>
      <c r="AK17" s="38">
        <v>41180048</v>
      </c>
      <c r="AL17" s="38">
        <v>1514386</v>
      </c>
      <c r="AM17" s="38">
        <v>4539866</v>
      </c>
      <c r="AN17" s="38">
        <v>47234300</v>
      </c>
      <c r="AO17" s="38">
        <v>1453448</v>
      </c>
      <c r="AP17" s="38">
        <v>313304</v>
      </c>
      <c r="AQ17" s="38">
        <v>256868</v>
      </c>
      <c r="AR17" s="38">
        <v>527095</v>
      </c>
      <c r="AS17" s="38">
        <v>2550716</v>
      </c>
      <c r="AT17" s="1">
        <f t="shared" si="1"/>
        <v>647546</v>
      </c>
      <c r="AU17">
        <f t="shared" si="2"/>
        <v>0.67336314225715299</v>
      </c>
      <c r="AV17">
        <f t="shared" si="3"/>
        <v>13.504701410883962</v>
      </c>
      <c r="AW17">
        <f t="shared" si="4"/>
        <v>248.2674920817737</v>
      </c>
      <c r="AX17">
        <f t="shared" si="5"/>
        <v>5531.471926288511</v>
      </c>
      <c r="AY17">
        <f t="shared" si="6"/>
        <v>3022.3838180247626</v>
      </c>
      <c r="AZ17">
        <f t="shared" si="7"/>
        <v>3109.0722718111142</v>
      </c>
      <c r="BA17">
        <f t="shared" si="8"/>
        <v>73.708609271523173</v>
      </c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</row>
    <row r="18" spans="1:230" ht="13" x14ac:dyDescent="0.3">
      <c r="A18" s="1" t="s">
        <v>46</v>
      </c>
      <c r="B18" s="1" t="s">
        <v>151</v>
      </c>
      <c r="C18" s="44" t="s">
        <v>112</v>
      </c>
      <c r="D18" s="35">
        <f t="shared" si="0"/>
        <v>5107.0630000000001</v>
      </c>
      <c r="E18" s="38">
        <v>436</v>
      </c>
      <c r="F18" s="38">
        <v>1202</v>
      </c>
      <c r="G18" s="38">
        <v>36831532</v>
      </c>
      <c r="H18" s="38"/>
      <c r="I18" s="38">
        <v>96483</v>
      </c>
      <c r="J18" s="38"/>
      <c r="K18" s="38"/>
      <c r="L18" s="38">
        <v>2475817</v>
      </c>
      <c r="M18" s="38">
        <v>16617</v>
      </c>
      <c r="N18" s="38">
        <v>1635846</v>
      </c>
      <c r="O18" s="38">
        <v>206843</v>
      </c>
      <c r="P18" s="38">
        <v>95</v>
      </c>
      <c r="Q18" s="38">
        <v>95</v>
      </c>
      <c r="R18" s="38">
        <v>2100</v>
      </c>
      <c r="S18" s="38">
        <v>913</v>
      </c>
      <c r="T18" s="38">
        <v>2516020</v>
      </c>
      <c r="U18" s="38">
        <v>102138814</v>
      </c>
      <c r="V18" s="38">
        <v>64196325</v>
      </c>
      <c r="W18" s="38">
        <v>180024</v>
      </c>
      <c r="X18" s="38">
        <v>188335</v>
      </c>
      <c r="Y18" s="72">
        <v>5107063</v>
      </c>
      <c r="Z18" s="38">
        <v>1490</v>
      </c>
      <c r="AA18" s="38">
        <v>2740</v>
      </c>
      <c r="AB18" s="38">
        <v>4230</v>
      </c>
      <c r="AC18" s="38">
        <v>121421648</v>
      </c>
      <c r="AD18" s="38">
        <v>36064442</v>
      </c>
      <c r="AE18" s="38">
        <v>0</v>
      </c>
      <c r="AF18" s="38">
        <v>0</v>
      </c>
      <c r="AG18" s="38">
        <v>0</v>
      </c>
      <c r="AH18" s="38">
        <v>0</v>
      </c>
      <c r="AI18" s="38">
        <v>54389828</v>
      </c>
      <c r="AJ18" s="38">
        <v>211875918</v>
      </c>
      <c r="AK18" s="38">
        <v>194054899</v>
      </c>
      <c r="AL18" s="38">
        <v>0</v>
      </c>
      <c r="AM18" s="38">
        <v>17821019</v>
      </c>
      <c r="AN18" s="38">
        <v>211875918</v>
      </c>
      <c r="AO18" s="38">
        <v>15941564</v>
      </c>
      <c r="AP18" s="38">
        <v>620737</v>
      </c>
      <c r="AQ18" s="38">
        <v>4324319</v>
      </c>
      <c r="AR18" s="38">
        <v>4080560</v>
      </c>
      <c r="AS18" s="38">
        <v>24967180</v>
      </c>
      <c r="AT18" s="1">
        <f t="shared" si="1"/>
        <v>1842689</v>
      </c>
      <c r="AU18">
        <f t="shared" si="2"/>
        <v>1.5910383343594825</v>
      </c>
      <c r="AV18">
        <f t="shared" si="3"/>
        <v>41.486842437620211</v>
      </c>
      <c r="AW18">
        <f t="shared" si="4"/>
        <v>492.65497605962565</v>
      </c>
      <c r="AX18">
        <f t="shared" si="5"/>
        <v>12570.106340963484</v>
      </c>
      <c r="AY18">
        <f t="shared" si="6"/>
        <v>7211.8812710945604</v>
      </c>
      <c r="AZ18">
        <f t="shared" si="7"/>
        <v>7718.8100088054525</v>
      </c>
      <c r="BA18">
        <f t="shared" si="8"/>
        <v>484.78293688564247</v>
      </c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</row>
    <row r="19" spans="1:230" ht="13" x14ac:dyDescent="0.3">
      <c r="A19" s="1" t="s">
        <v>47</v>
      </c>
      <c r="B19" s="1" t="s">
        <v>151</v>
      </c>
      <c r="C19" s="44" t="s">
        <v>113</v>
      </c>
      <c r="D19" s="35">
        <f t="shared" si="0"/>
        <v>59209.385000000002</v>
      </c>
      <c r="E19" s="38">
        <v>3556</v>
      </c>
      <c r="F19" s="38">
        <v>3758</v>
      </c>
      <c r="G19" s="38">
        <v>121346740</v>
      </c>
      <c r="H19" s="38"/>
      <c r="I19" s="38">
        <v>202449</v>
      </c>
      <c r="J19" s="38"/>
      <c r="K19" s="38"/>
      <c r="L19" s="38">
        <v>7988500</v>
      </c>
      <c r="M19" s="38">
        <v>27956</v>
      </c>
      <c r="N19" s="38">
        <v>6183471</v>
      </c>
      <c r="O19" s="38">
        <v>735816</v>
      </c>
      <c r="P19" s="38">
        <v>72</v>
      </c>
      <c r="Q19" s="38"/>
      <c r="R19" s="38"/>
      <c r="S19" s="38"/>
      <c r="T19" s="38">
        <v>11761115</v>
      </c>
      <c r="U19" s="38">
        <v>279984807</v>
      </c>
      <c r="V19" s="38"/>
      <c r="W19" s="38">
        <v>17667</v>
      </c>
      <c r="X19" s="38">
        <v>20237</v>
      </c>
      <c r="Y19" s="72">
        <v>59209385</v>
      </c>
      <c r="Z19" s="38">
        <v>6964</v>
      </c>
      <c r="AA19" s="38">
        <v>13248</v>
      </c>
      <c r="AB19" s="38">
        <v>20212</v>
      </c>
      <c r="AC19" s="38">
        <v>517990654</v>
      </c>
      <c r="AD19" s="38">
        <v>98442519</v>
      </c>
      <c r="AE19" s="38">
        <v>343334</v>
      </c>
      <c r="AF19" s="38">
        <v>12748956</v>
      </c>
      <c r="AG19" s="38">
        <v>47866161</v>
      </c>
      <c r="AH19" s="38">
        <v>16292</v>
      </c>
      <c r="AI19" s="38">
        <v>133205638</v>
      </c>
      <c r="AJ19" s="38">
        <v>810613554</v>
      </c>
      <c r="AK19" s="38">
        <v>734158053</v>
      </c>
      <c r="AL19" s="38">
        <v>20049602</v>
      </c>
      <c r="AM19" s="38">
        <v>5545020</v>
      </c>
      <c r="AN19" s="38">
        <v>759752675</v>
      </c>
      <c r="AO19" s="38">
        <v>92269844</v>
      </c>
      <c r="AP19" s="38">
        <v>2748167</v>
      </c>
      <c r="AQ19" s="38">
        <v>19144898</v>
      </c>
      <c r="AR19" s="38">
        <v>18065714</v>
      </c>
      <c r="AS19" s="38">
        <v>132228624</v>
      </c>
      <c r="AT19" s="1">
        <f t="shared" si="1"/>
        <v>6919287</v>
      </c>
      <c r="AU19" t="e">
        <f t="shared" si="2"/>
        <v>#DIV/0!</v>
      </c>
      <c r="AV19">
        <f t="shared" si="3"/>
        <v>13.690626139758081</v>
      </c>
      <c r="AW19">
        <f t="shared" si="4"/>
        <v>198.63599326356791</v>
      </c>
      <c r="AX19">
        <f t="shared" si="5"/>
        <v>0</v>
      </c>
      <c r="AY19">
        <f t="shared" si="6"/>
        <v>2049.4511131976797</v>
      </c>
      <c r="AZ19">
        <f t="shared" si="7"/>
        <v>2188.2619621872445</v>
      </c>
      <c r="BA19">
        <f t="shared" si="8"/>
        <v>134.91948953700498</v>
      </c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</row>
    <row r="20" spans="1:230" ht="13" x14ac:dyDescent="0.3">
      <c r="A20" s="1" t="s">
        <v>48</v>
      </c>
      <c r="B20" s="1" t="s">
        <v>151</v>
      </c>
      <c r="C20" s="44" t="s">
        <v>114</v>
      </c>
      <c r="D20" s="35">
        <f t="shared" si="0"/>
        <v>9872</v>
      </c>
      <c r="E20" s="38">
        <v>672</v>
      </c>
      <c r="F20" s="38">
        <v>829</v>
      </c>
      <c r="G20" s="38">
        <v>9088431</v>
      </c>
      <c r="H20" s="38">
        <v>150843</v>
      </c>
      <c r="I20" s="38">
        <v>119166</v>
      </c>
      <c r="J20" s="38">
        <v>1413606</v>
      </c>
      <c r="K20" s="38">
        <v>297413</v>
      </c>
      <c r="L20" s="38">
        <v>96021</v>
      </c>
      <c r="M20" s="38">
        <v>9163</v>
      </c>
      <c r="N20" s="38">
        <v>277536</v>
      </c>
      <c r="O20" s="38">
        <v>11488</v>
      </c>
      <c r="P20" s="38">
        <v>88</v>
      </c>
      <c r="Q20" s="38">
        <v>62</v>
      </c>
      <c r="R20" s="38">
        <v>1069</v>
      </c>
      <c r="S20" s="38">
        <v>465</v>
      </c>
      <c r="T20" s="38">
        <v>2649105</v>
      </c>
      <c r="U20" s="38">
        <v>1828799</v>
      </c>
      <c r="V20" s="38">
        <v>2285690</v>
      </c>
      <c r="W20" s="38">
        <v>8173</v>
      </c>
      <c r="X20" s="38">
        <v>11434</v>
      </c>
      <c r="Y20" s="72">
        <v>9872000</v>
      </c>
      <c r="Z20" s="38">
        <v>1029</v>
      </c>
      <c r="AA20" s="38">
        <v>805</v>
      </c>
      <c r="AB20" s="38">
        <v>1834</v>
      </c>
      <c r="AC20" s="38">
        <v>35270796</v>
      </c>
      <c r="AD20" s="38">
        <v>8097606</v>
      </c>
      <c r="AE20" s="38">
        <v>29583</v>
      </c>
      <c r="AF20" s="38">
        <v>1098494</v>
      </c>
      <c r="AG20" s="38">
        <v>4124313</v>
      </c>
      <c r="AH20" s="38">
        <v>1403</v>
      </c>
      <c r="AI20" s="38">
        <v>12145624</v>
      </c>
      <c r="AJ20" s="38">
        <v>60767819</v>
      </c>
      <c r="AK20" s="38"/>
      <c r="AL20" s="38"/>
      <c r="AM20" s="38"/>
      <c r="AN20" s="38"/>
      <c r="AO20" s="38"/>
      <c r="AP20" s="38"/>
      <c r="AQ20" s="38"/>
      <c r="AR20" s="38"/>
      <c r="AS20" s="38"/>
      <c r="AT20" s="1">
        <f t="shared" si="1"/>
        <v>289024</v>
      </c>
      <c r="AU20">
        <f t="shared" si="2"/>
        <v>0.80010806364817622</v>
      </c>
      <c r="AV20">
        <f t="shared" si="3"/>
        <v>6.1555732374392225</v>
      </c>
      <c r="AW20">
        <f t="shared" si="4"/>
        <v>268.34532009724472</v>
      </c>
      <c r="AX20">
        <f t="shared" si="5"/>
        <v>231.53261750405187</v>
      </c>
      <c r="AY20">
        <f t="shared" si="6"/>
        <v>920.62712722852507</v>
      </c>
      <c r="AZ20">
        <f t="shared" si="7"/>
        <v>1131.9533022690437</v>
      </c>
      <c r="BA20">
        <f t="shared" si="8"/>
        <v>9.7266004862236635</v>
      </c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</row>
    <row r="21" spans="1:230" ht="13" x14ac:dyDescent="0.3">
      <c r="A21" s="1" t="s">
        <v>49</v>
      </c>
      <c r="B21" s="1" t="s">
        <v>152</v>
      </c>
      <c r="C21" s="44" t="s">
        <v>115</v>
      </c>
      <c r="D21" s="35">
        <f t="shared" si="0"/>
        <v>272.06900000000002</v>
      </c>
      <c r="E21" s="38">
        <v>167</v>
      </c>
      <c r="F21" s="38">
        <v>173</v>
      </c>
      <c r="G21" s="38">
        <v>2059646</v>
      </c>
      <c r="H21" s="38"/>
      <c r="I21" s="38">
        <v>8067</v>
      </c>
      <c r="J21" s="38">
        <v>1236</v>
      </c>
      <c r="K21" s="38">
        <v>3178</v>
      </c>
      <c r="L21" s="38">
        <v>57129</v>
      </c>
      <c r="M21" s="38">
        <v>333</v>
      </c>
      <c r="N21" s="38">
        <v>53295</v>
      </c>
      <c r="O21" s="38">
        <v>3674</v>
      </c>
      <c r="P21" s="38"/>
      <c r="Q21" s="38"/>
      <c r="R21" s="38"/>
      <c r="S21" s="38"/>
      <c r="T21" s="38">
        <v>72205</v>
      </c>
      <c r="U21" s="38">
        <v>2198507</v>
      </c>
      <c r="V21" s="38">
        <v>909227</v>
      </c>
      <c r="W21" s="38">
        <v>1978</v>
      </c>
      <c r="X21" s="38">
        <v>832</v>
      </c>
      <c r="Y21" s="72">
        <v>272069</v>
      </c>
      <c r="Z21" s="38">
        <v>88</v>
      </c>
      <c r="AA21" s="38">
        <v>207</v>
      </c>
      <c r="AB21" s="38">
        <v>295</v>
      </c>
      <c r="AC21" s="38">
        <v>3518151</v>
      </c>
      <c r="AD21" s="38">
        <v>1397688</v>
      </c>
      <c r="AE21" s="38">
        <v>0</v>
      </c>
      <c r="AF21" s="38">
        <v>30234</v>
      </c>
      <c r="AG21" s="38">
        <v>661670</v>
      </c>
      <c r="AH21" s="38">
        <v>806563</v>
      </c>
      <c r="AI21" s="38">
        <v>714134</v>
      </c>
      <c r="AJ21" s="38">
        <v>7128441</v>
      </c>
      <c r="AK21" s="38">
        <v>6685440</v>
      </c>
      <c r="AL21" s="38">
        <v>424443</v>
      </c>
      <c r="AM21" s="38">
        <v>126474</v>
      </c>
      <c r="AN21" s="38">
        <v>7236357</v>
      </c>
      <c r="AO21" s="38"/>
      <c r="AP21" s="38"/>
      <c r="AQ21" s="38"/>
      <c r="AR21" s="38"/>
      <c r="AS21" s="38"/>
      <c r="AT21" s="1">
        <f t="shared" si="1"/>
        <v>56969</v>
      </c>
      <c r="AU21">
        <f t="shared" si="2"/>
        <v>2.4179957260398117</v>
      </c>
      <c r="AV21">
        <f t="shared" si="3"/>
        <v>26.200857135506066</v>
      </c>
      <c r="AW21">
        <f t="shared" si="4"/>
        <v>265.39223505801834</v>
      </c>
      <c r="AX21">
        <f t="shared" si="5"/>
        <v>3341.8985624970132</v>
      </c>
      <c r="AY21">
        <f t="shared" si="6"/>
        <v>7570.3075322804134</v>
      </c>
      <c r="AZ21">
        <f t="shared" si="7"/>
        <v>7827.3856999511145</v>
      </c>
      <c r="BA21">
        <f t="shared" si="8"/>
        <v>209.97982129533315</v>
      </c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</row>
    <row r="22" spans="1:230" ht="13" x14ac:dyDescent="0.3">
      <c r="A22" s="1" t="s">
        <v>50</v>
      </c>
      <c r="B22" s="1" t="s">
        <v>151</v>
      </c>
      <c r="C22" s="44" t="s">
        <v>116</v>
      </c>
      <c r="D22" s="35">
        <f t="shared" si="0"/>
        <v>56609</v>
      </c>
      <c r="E22" s="38">
        <v>84</v>
      </c>
      <c r="F22" s="38">
        <v>6100</v>
      </c>
      <c r="G22" s="38">
        <v>41474000</v>
      </c>
      <c r="H22" s="38"/>
      <c r="I22" s="38"/>
      <c r="J22" s="38"/>
      <c r="K22" s="38"/>
      <c r="L22" s="38"/>
      <c r="M22" s="38"/>
      <c r="N22" s="38">
        <v>10254000</v>
      </c>
      <c r="O22" s="38"/>
      <c r="P22" s="38"/>
      <c r="Q22" s="38"/>
      <c r="R22" s="38"/>
      <c r="S22" s="38"/>
      <c r="T22" s="38"/>
      <c r="U22" s="38"/>
      <c r="V22" s="38"/>
      <c r="W22" s="38">
        <v>429148</v>
      </c>
      <c r="X22" s="38">
        <v>477866</v>
      </c>
      <c r="Y22" s="72">
        <v>56609000</v>
      </c>
      <c r="Z22" s="38">
        <v>5984</v>
      </c>
      <c r="AA22" s="38">
        <v>17856</v>
      </c>
      <c r="AB22" s="38">
        <v>23840</v>
      </c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1">
        <f t="shared" si="1"/>
        <v>10254000</v>
      </c>
      <c r="AU22" t="e">
        <f t="shared" si="2"/>
        <v>#DIV/0!</v>
      </c>
      <c r="AV22">
        <f t="shared" si="3"/>
        <v>0</v>
      </c>
      <c r="AW22">
        <f t="shared" si="4"/>
        <v>0</v>
      </c>
      <c r="AX22">
        <f t="shared" si="5"/>
        <v>0</v>
      </c>
      <c r="AY22">
        <f t="shared" si="6"/>
        <v>732.63968626896781</v>
      </c>
      <c r="AZ22">
        <f t="shared" si="7"/>
        <v>732.63968626896781</v>
      </c>
      <c r="BA22">
        <f t="shared" si="8"/>
        <v>0</v>
      </c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</row>
    <row r="23" spans="1:230" ht="13" x14ac:dyDescent="0.3">
      <c r="A23" s="1" t="s">
        <v>51</v>
      </c>
      <c r="B23" s="1" t="s">
        <v>152</v>
      </c>
      <c r="C23" s="44" t="s">
        <v>117</v>
      </c>
      <c r="D23" s="35">
        <f t="shared" si="0"/>
        <v>30.146999999999998</v>
      </c>
      <c r="E23" s="38">
        <v>3</v>
      </c>
      <c r="F23" s="38">
        <v>3</v>
      </c>
      <c r="G23" s="38">
        <v>24000</v>
      </c>
      <c r="H23" s="38"/>
      <c r="I23" s="38"/>
      <c r="J23" s="38"/>
      <c r="K23" s="38"/>
      <c r="L23" s="38"/>
      <c r="M23" s="38"/>
      <c r="N23" s="38">
        <v>5200</v>
      </c>
      <c r="O23" s="38"/>
      <c r="P23" s="38"/>
      <c r="Q23" s="38"/>
      <c r="R23" s="38"/>
      <c r="S23" s="38">
        <v>1</v>
      </c>
      <c r="T23" s="38"/>
      <c r="U23" s="38">
        <v>75000</v>
      </c>
      <c r="V23" s="38"/>
      <c r="W23" s="38">
        <v>1257</v>
      </c>
      <c r="X23" s="38">
        <v>949</v>
      </c>
      <c r="Y23" s="72">
        <v>30147</v>
      </c>
      <c r="Z23" s="38">
        <v>2</v>
      </c>
      <c r="AA23" s="38">
        <v>3</v>
      </c>
      <c r="AB23" s="38">
        <v>5</v>
      </c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1">
        <f t="shared" si="1"/>
        <v>5200</v>
      </c>
      <c r="AU23" t="e">
        <f t="shared" si="2"/>
        <v>#DIV/0!</v>
      </c>
      <c r="AV23">
        <f t="shared" si="3"/>
        <v>0</v>
      </c>
      <c r="AW23">
        <f t="shared" si="4"/>
        <v>0</v>
      </c>
      <c r="AX23">
        <f t="shared" si="5"/>
        <v>0</v>
      </c>
      <c r="AY23">
        <f t="shared" si="6"/>
        <v>796.09911433973537</v>
      </c>
      <c r="AZ23">
        <f t="shared" si="7"/>
        <v>796.09911433973537</v>
      </c>
      <c r="BA23">
        <f t="shared" si="8"/>
        <v>0</v>
      </c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</row>
    <row r="24" spans="1:230" ht="13" x14ac:dyDescent="0.3">
      <c r="A24" s="1" t="s">
        <v>52</v>
      </c>
      <c r="B24" s="1" t="s">
        <v>151</v>
      </c>
      <c r="C24" s="44" t="s">
        <v>118</v>
      </c>
      <c r="D24" s="35">
        <f t="shared" si="0"/>
        <v>372</v>
      </c>
      <c r="E24" s="38">
        <v>13</v>
      </c>
      <c r="F24" s="38">
        <v>13</v>
      </c>
      <c r="G24" s="38">
        <v>268401</v>
      </c>
      <c r="H24" s="38">
        <v>357</v>
      </c>
      <c r="I24" s="38">
        <v>334</v>
      </c>
      <c r="J24" s="38">
        <v>0</v>
      </c>
      <c r="K24" s="38">
        <v>0</v>
      </c>
      <c r="L24" s="38">
        <v>999</v>
      </c>
      <c r="M24" s="38">
        <v>202</v>
      </c>
      <c r="N24" s="38">
        <v>83855</v>
      </c>
      <c r="O24" s="38">
        <v>288</v>
      </c>
      <c r="P24" s="38">
        <v>88</v>
      </c>
      <c r="Q24" s="38">
        <v>40</v>
      </c>
      <c r="R24" s="38">
        <v>19</v>
      </c>
      <c r="S24" s="38">
        <v>3</v>
      </c>
      <c r="T24" s="38">
        <v>25478</v>
      </c>
      <c r="U24" s="38">
        <v>202643</v>
      </c>
      <c r="V24" s="38">
        <v>65745</v>
      </c>
      <c r="W24" s="38">
        <v>1726</v>
      </c>
      <c r="X24" s="38">
        <v>3086</v>
      </c>
      <c r="Y24" s="72">
        <v>372000</v>
      </c>
      <c r="Z24" s="38">
        <v>19</v>
      </c>
      <c r="AA24" s="38">
        <v>5</v>
      </c>
      <c r="AB24" s="38">
        <v>23</v>
      </c>
      <c r="AC24" s="38">
        <v>941138</v>
      </c>
      <c r="AD24" s="38">
        <v>216796</v>
      </c>
      <c r="AE24" s="38">
        <v>352</v>
      </c>
      <c r="AF24" s="38">
        <v>18</v>
      </c>
      <c r="AG24" s="38">
        <v>32730</v>
      </c>
      <c r="AH24" s="38">
        <v>35193</v>
      </c>
      <c r="AI24" s="38">
        <v>27780</v>
      </c>
      <c r="AJ24" s="38">
        <v>1254006</v>
      </c>
      <c r="AK24" s="38"/>
      <c r="AL24" s="38"/>
      <c r="AM24" s="38"/>
      <c r="AN24" s="38"/>
      <c r="AO24" s="38">
        <v>7626</v>
      </c>
      <c r="AP24" s="38">
        <v>254</v>
      </c>
      <c r="AQ24" s="38">
        <v>1769</v>
      </c>
      <c r="AR24" s="38">
        <v>1659</v>
      </c>
      <c r="AS24" s="38">
        <v>11309</v>
      </c>
      <c r="AT24" s="1">
        <f t="shared" si="1"/>
        <v>84143</v>
      </c>
      <c r="AU24">
        <f t="shared" si="2"/>
        <v>3.0822572058711688</v>
      </c>
      <c r="AV24">
        <f t="shared" si="3"/>
        <v>3.3709838709677418</v>
      </c>
      <c r="AW24">
        <f t="shared" si="4"/>
        <v>68.489247311827953</v>
      </c>
      <c r="AX24">
        <f t="shared" si="5"/>
        <v>176.73387096774192</v>
      </c>
      <c r="AY24">
        <f t="shared" si="6"/>
        <v>721.50806451612902</v>
      </c>
      <c r="AZ24">
        <f t="shared" si="7"/>
        <v>726.5940860215054</v>
      </c>
      <c r="BA24">
        <f t="shared" si="8"/>
        <v>2.685483870967742</v>
      </c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</row>
    <row r="25" spans="1:230" ht="13" x14ac:dyDescent="0.3">
      <c r="A25" s="1" t="s">
        <v>53</v>
      </c>
      <c r="B25" s="1" t="s">
        <v>151</v>
      </c>
      <c r="C25" s="44" t="s">
        <v>119</v>
      </c>
      <c r="D25" s="35">
        <f t="shared" si="0"/>
        <v>14608</v>
      </c>
      <c r="E25" s="38">
        <v>579</v>
      </c>
      <c r="F25" s="38">
        <v>1130</v>
      </c>
      <c r="G25" s="38">
        <v>41489000</v>
      </c>
      <c r="H25" s="38"/>
      <c r="I25" s="38"/>
      <c r="J25" s="38"/>
      <c r="K25" s="38"/>
      <c r="L25" s="38"/>
      <c r="M25" s="38"/>
      <c r="N25" s="38">
        <v>2608000</v>
      </c>
      <c r="O25" s="38"/>
      <c r="P25" s="38"/>
      <c r="Q25" s="38"/>
      <c r="R25" s="38"/>
      <c r="S25" s="38"/>
      <c r="T25" s="38"/>
      <c r="U25" s="38">
        <v>158887000</v>
      </c>
      <c r="V25" s="38"/>
      <c r="W25" s="38">
        <v>109148</v>
      </c>
      <c r="X25" s="38">
        <v>121539</v>
      </c>
      <c r="Y25" s="72">
        <v>14608000</v>
      </c>
      <c r="Z25" s="38">
        <v>2510</v>
      </c>
      <c r="AA25" s="38">
        <v>5898</v>
      </c>
      <c r="AB25" s="38">
        <v>8408</v>
      </c>
      <c r="AC25" s="38">
        <v>226978442</v>
      </c>
      <c r="AD25" s="38">
        <v>59552732</v>
      </c>
      <c r="AE25" s="38">
        <v>265160</v>
      </c>
      <c r="AF25" s="38">
        <v>29773636</v>
      </c>
      <c r="AG25" s="38">
        <v>58334809</v>
      </c>
      <c r="AH25" s="38">
        <v>11856</v>
      </c>
      <c r="AI25" s="38">
        <v>45158741</v>
      </c>
      <c r="AJ25" s="38">
        <v>420075376</v>
      </c>
      <c r="AK25" s="38">
        <v>279143854</v>
      </c>
      <c r="AL25" s="38">
        <v>51964741</v>
      </c>
      <c r="AM25" s="38">
        <v>88966781</v>
      </c>
      <c r="AN25" s="38">
        <v>420075376</v>
      </c>
      <c r="AO25" s="38"/>
      <c r="AP25" s="38"/>
      <c r="AQ25" s="38"/>
      <c r="AR25" s="38"/>
      <c r="AS25" s="38"/>
      <c r="AT25" s="1">
        <f t="shared" si="1"/>
        <v>2608000</v>
      </c>
      <c r="AU25" t="e">
        <f t="shared" si="2"/>
        <v>#DIV/0!</v>
      </c>
      <c r="AV25">
        <f t="shared" si="3"/>
        <v>28.756529025191675</v>
      </c>
      <c r="AW25">
        <f t="shared" si="4"/>
        <v>0</v>
      </c>
      <c r="AX25">
        <f t="shared" si="5"/>
        <v>0</v>
      </c>
      <c r="AY25">
        <f t="shared" si="6"/>
        <v>2840.1560788608981</v>
      </c>
      <c r="AZ25">
        <f t="shared" si="7"/>
        <v>2840.1560788608981</v>
      </c>
      <c r="BA25">
        <f t="shared" si="8"/>
        <v>0</v>
      </c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</row>
    <row r="26" spans="1:230" ht="13" x14ac:dyDescent="0.3">
      <c r="A26" s="1" t="s">
        <v>54</v>
      </c>
      <c r="B26" s="1" t="s">
        <v>152</v>
      </c>
      <c r="C26" s="44" t="s">
        <v>120</v>
      </c>
      <c r="D26" s="35">
        <f t="shared" si="0"/>
        <v>4360</v>
      </c>
      <c r="E26" s="38">
        <v>435</v>
      </c>
      <c r="F26" s="38">
        <v>1159</v>
      </c>
      <c r="G26" s="38">
        <v>20508094</v>
      </c>
      <c r="H26" s="38">
        <v>20904</v>
      </c>
      <c r="I26" s="38">
        <v>46822</v>
      </c>
      <c r="J26" s="38">
        <v>37376</v>
      </c>
      <c r="K26" s="38">
        <v>298543</v>
      </c>
      <c r="L26" s="38">
        <v>1010676</v>
      </c>
      <c r="M26" s="38">
        <v>3158</v>
      </c>
      <c r="N26" s="38">
        <v>853271</v>
      </c>
      <c r="O26" s="38">
        <v>104732</v>
      </c>
      <c r="P26" s="38">
        <v>81</v>
      </c>
      <c r="Q26" s="38">
        <v>64</v>
      </c>
      <c r="R26" s="38">
        <v>354</v>
      </c>
      <c r="S26" s="38">
        <v>154</v>
      </c>
      <c r="T26" s="38">
        <v>1300760</v>
      </c>
      <c r="U26" s="38">
        <v>22203517</v>
      </c>
      <c r="V26" s="38">
        <v>19857745</v>
      </c>
      <c r="W26" s="38">
        <v>112387</v>
      </c>
      <c r="X26" s="38">
        <v>143970</v>
      </c>
      <c r="Y26" s="72">
        <v>4360000</v>
      </c>
      <c r="Z26" s="38">
        <v>909</v>
      </c>
      <c r="AA26" s="38">
        <v>962</v>
      </c>
      <c r="AB26" s="38">
        <v>1871</v>
      </c>
      <c r="AC26" s="38">
        <v>60711395</v>
      </c>
      <c r="AD26" s="38">
        <v>15803362</v>
      </c>
      <c r="AE26" s="38">
        <v>0</v>
      </c>
      <c r="AF26" s="38">
        <v>2342177</v>
      </c>
      <c r="AG26" s="38">
        <v>8676566</v>
      </c>
      <c r="AH26" s="38">
        <v>0</v>
      </c>
      <c r="AI26" s="38">
        <v>12603057</v>
      </c>
      <c r="AJ26" s="38">
        <v>100136557</v>
      </c>
      <c r="AK26" s="38">
        <v>92512979</v>
      </c>
      <c r="AL26" s="38">
        <v>5873433</v>
      </c>
      <c r="AM26" s="38">
        <v>1750145</v>
      </c>
      <c r="AN26" s="38">
        <v>100136557</v>
      </c>
      <c r="AO26" s="38"/>
      <c r="AP26" s="38"/>
      <c r="AQ26" s="38"/>
      <c r="AR26" s="38"/>
      <c r="AS26" s="38"/>
      <c r="AT26" s="1">
        <f t="shared" si="1"/>
        <v>958003</v>
      </c>
      <c r="AU26">
        <f t="shared" si="2"/>
        <v>1.1181288207699314</v>
      </c>
      <c r="AV26">
        <f t="shared" si="3"/>
        <v>22.967100229357797</v>
      </c>
      <c r="AW26">
        <f t="shared" si="4"/>
        <v>298.33944954128441</v>
      </c>
      <c r="AX26">
        <f t="shared" si="5"/>
        <v>4554.5286697247702</v>
      </c>
      <c r="AY26">
        <f t="shared" si="6"/>
        <v>4703.6912844036697</v>
      </c>
      <c r="AZ26">
        <f t="shared" si="7"/>
        <v>5028.801146788991</v>
      </c>
      <c r="BA26">
        <f t="shared" si="8"/>
        <v>231.80642201834863</v>
      </c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</row>
    <row r="27" spans="1:230" ht="13" x14ac:dyDescent="0.3">
      <c r="A27" s="1" t="s">
        <v>55</v>
      </c>
      <c r="B27" s="1" t="s">
        <v>151</v>
      </c>
      <c r="C27" s="44" t="s">
        <v>121</v>
      </c>
      <c r="D27" s="35">
        <f t="shared" si="0"/>
        <v>10108</v>
      </c>
      <c r="E27" s="38">
        <v>168</v>
      </c>
      <c r="F27" s="38">
        <v>226</v>
      </c>
      <c r="G27" s="38">
        <v>9559086</v>
      </c>
      <c r="H27" s="38"/>
      <c r="I27" s="38"/>
      <c r="J27" s="38"/>
      <c r="K27" s="38">
        <v>1328</v>
      </c>
      <c r="L27" s="38">
        <v>221269</v>
      </c>
      <c r="M27" s="38"/>
      <c r="N27" s="38">
        <v>876610</v>
      </c>
      <c r="O27" s="38">
        <v>50308</v>
      </c>
      <c r="P27" s="38"/>
      <c r="Q27" s="38"/>
      <c r="R27" s="38">
        <v>233</v>
      </c>
      <c r="S27" s="38"/>
      <c r="T27" s="38">
        <v>3249669</v>
      </c>
      <c r="U27" s="38">
        <v>2090341</v>
      </c>
      <c r="V27" s="38"/>
      <c r="W27" s="38">
        <v>816</v>
      </c>
      <c r="X27" s="38">
        <v>5</v>
      </c>
      <c r="Y27" s="72">
        <v>10108000</v>
      </c>
      <c r="Z27" s="38">
        <v>882</v>
      </c>
      <c r="AA27" s="38">
        <v>784</v>
      </c>
      <c r="AB27" s="38">
        <v>1666</v>
      </c>
      <c r="AC27" s="38">
        <v>11879052</v>
      </c>
      <c r="AD27" s="38">
        <v>2877083</v>
      </c>
      <c r="AE27" s="38">
        <v>24</v>
      </c>
      <c r="AF27" s="38">
        <v>699</v>
      </c>
      <c r="AG27" s="38">
        <v>2047</v>
      </c>
      <c r="AH27" s="38">
        <v>4179</v>
      </c>
      <c r="AI27" s="38">
        <v>3219448</v>
      </c>
      <c r="AJ27" s="38">
        <v>17982532</v>
      </c>
      <c r="AK27" s="38">
        <v>28954746</v>
      </c>
      <c r="AL27" s="38">
        <v>279114</v>
      </c>
      <c r="AM27" s="38">
        <v>581115</v>
      </c>
      <c r="AN27" s="38">
        <v>29814975</v>
      </c>
      <c r="AO27" s="38">
        <v>11287569</v>
      </c>
      <c r="AP27" s="38">
        <v>0</v>
      </c>
      <c r="AQ27" s="38">
        <v>0</v>
      </c>
      <c r="AR27" s="38">
        <v>337859</v>
      </c>
      <c r="AS27" s="38">
        <v>11625427</v>
      </c>
      <c r="AT27" s="1">
        <f t="shared" si="1"/>
        <v>926918</v>
      </c>
      <c r="AU27" t="e">
        <f t="shared" si="2"/>
        <v>#DIV/0!</v>
      </c>
      <c r="AV27">
        <f t="shared" si="3"/>
        <v>1.77903957261575</v>
      </c>
      <c r="AW27">
        <f t="shared" si="4"/>
        <v>321.49475662841314</v>
      </c>
      <c r="AX27">
        <f t="shared" si="5"/>
        <v>0</v>
      </c>
      <c r="AY27">
        <f t="shared" si="6"/>
        <v>945.69509299564697</v>
      </c>
      <c r="AZ27">
        <f t="shared" si="7"/>
        <v>967.71695686584883</v>
      </c>
      <c r="BA27">
        <f t="shared" si="8"/>
        <v>21.890482785912148</v>
      </c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</row>
    <row r="28" spans="1:230" ht="13" x14ac:dyDescent="0.3">
      <c r="A28" s="1" t="s">
        <v>56</v>
      </c>
      <c r="B28" s="1" t="s">
        <v>151</v>
      </c>
      <c r="C28" s="44" t="s">
        <v>122</v>
      </c>
      <c r="D28" s="35">
        <f t="shared" si="0"/>
        <v>38245</v>
      </c>
      <c r="E28" s="38">
        <v>4400</v>
      </c>
      <c r="F28" s="38">
        <v>5209</v>
      </c>
      <c r="G28" s="38">
        <v>36714000</v>
      </c>
      <c r="H28" s="38">
        <v>163345</v>
      </c>
      <c r="I28" s="38">
        <v>157270</v>
      </c>
      <c r="J28" s="38">
        <v>49573</v>
      </c>
      <c r="K28" s="38">
        <v>306000</v>
      </c>
      <c r="L28" s="38">
        <v>979000</v>
      </c>
      <c r="M28" s="38">
        <v>24000</v>
      </c>
      <c r="N28" s="38">
        <v>1836000</v>
      </c>
      <c r="O28" s="38">
        <v>98000</v>
      </c>
      <c r="P28" s="38">
        <v>88</v>
      </c>
      <c r="Q28" s="38">
        <v>62</v>
      </c>
      <c r="R28" s="38">
        <v>4198</v>
      </c>
      <c r="S28" s="38">
        <v>1826</v>
      </c>
      <c r="T28" s="38">
        <v>6119000</v>
      </c>
      <c r="U28" s="38">
        <v>22110997</v>
      </c>
      <c r="V28" s="38">
        <v>209157219</v>
      </c>
      <c r="W28" s="38">
        <v>122000</v>
      </c>
      <c r="X28" s="38">
        <v>5000</v>
      </c>
      <c r="Y28" s="72">
        <v>38245000</v>
      </c>
      <c r="Z28" s="38">
        <v>4139</v>
      </c>
      <c r="AA28" s="38">
        <v>2469</v>
      </c>
      <c r="AB28" s="38">
        <v>6608</v>
      </c>
      <c r="AC28" s="38">
        <v>87790002</v>
      </c>
      <c r="AD28" s="38">
        <v>22574572</v>
      </c>
      <c r="AE28" s="38">
        <v>0</v>
      </c>
      <c r="AF28" s="38">
        <v>0</v>
      </c>
      <c r="AG28" s="38">
        <v>0</v>
      </c>
      <c r="AH28" s="38">
        <v>0</v>
      </c>
      <c r="AI28" s="38">
        <v>15049715</v>
      </c>
      <c r="AJ28" s="38">
        <v>125414288</v>
      </c>
      <c r="AK28" s="38">
        <v>111110833</v>
      </c>
      <c r="AL28" s="38">
        <v>6640938</v>
      </c>
      <c r="AM28" s="38">
        <v>7662517</v>
      </c>
      <c r="AN28" s="38">
        <v>125414288</v>
      </c>
      <c r="AO28" s="38"/>
      <c r="AP28" s="38"/>
      <c r="AQ28" s="38"/>
      <c r="AR28" s="38"/>
      <c r="AS28" s="38"/>
      <c r="AT28" s="1">
        <f t="shared" si="1"/>
        <v>1934000</v>
      </c>
      <c r="AU28">
        <f t="shared" si="2"/>
        <v>0.10571472075271759</v>
      </c>
      <c r="AV28">
        <f t="shared" si="3"/>
        <v>3.2792335730160804</v>
      </c>
      <c r="AW28">
        <f t="shared" si="4"/>
        <v>159.99477055824292</v>
      </c>
      <c r="AX28">
        <f t="shared" si="5"/>
        <v>5468.8774741796315</v>
      </c>
      <c r="AY28">
        <f t="shared" si="6"/>
        <v>959.9686233494574</v>
      </c>
      <c r="AZ28">
        <f t="shared" si="7"/>
        <v>1003.8747025755</v>
      </c>
      <c r="BA28">
        <f t="shared" si="8"/>
        <v>25.598117400967446</v>
      </c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</row>
    <row r="29" spans="1:230" ht="13" x14ac:dyDescent="0.3">
      <c r="A29" s="1" t="s">
        <v>57</v>
      </c>
      <c r="B29" s="1" t="s">
        <v>151</v>
      </c>
      <c r="C29" s="44" t="s">
        <v>123</v>
      </c>
      <c r="D29" s="35">
        <f t="shared" si="0"/>
        <v>8847.6290000000008</v>
      </c>
      <c r="E29" s="38">
        <v>288</v>
      </c>
      <c r="F29" s="38">
        <v>1609</v>
      </c>
      <c r="G29" s="38">
        <v>43659000</v>
      </c>
      <c r="H29" s="38">
        <v>69138</v>
      </c>
      <c r="I29" s="38">
        <v>105638</v>
      </c>
      <c r="J29" s="38">
        <v>0</v>
      </c>
      <c r="K29" s="38">
        <v>0</v>
      </c>
      <c r="L29" s="38">
        <v>2439000</v>
      </c>
      <c r="M29" s="38">
        <v>0</v>
      </c>
      <c r="N29" s="38">
        <v>1858000</v>
      </c>
      <c r="O29" s="38">
        <v>173000</v>
      </c>
      <c r="P29" s="38">
        <v>87</v>
      </c>
      <c r="Q29" s="38"/>
      <c r="R29" s="38"/>
      <c r="S29" s="38"/>
      <c r="T29" s="38"/>
      <c r="U29" s="38">
        <v>80479000</v>
      </c>
      <c r="V29" s="38">
        <v>48000000</v>
      </c>
      <c r="W29" s="38">
        <v>0</v>
      </c>
      <c r="X29" s="38">
        <v>0</v>
      </c>
      <c r="Y29" s="72">
        <v>8847629</v>
      </c>
      <c r="Z29" s="38">
        <v>2360</v>
      </c>
      <c r="AA29" s="38">
        <v>2868</v>
      </c>
      <c r="AB29" s="38">
        <v>5228</v>
      </c>
      <c r="AC29" s="38">
        <v>157033557</v>
      </c>
      <c r="AD29" s="38">
        <v>40985208</v>
      </c>
      <c r="AE29" s="38">
        <v>457769</v>
      </c>
      <c r="AF29" s="38">
        <v>16998290</v>
      </c>
      <c r="AG29" s="38">
        <v>63820355</v>
      </c>
      <c r="AH29" s="38">
        <v>21722</v>
      </c>
      <c r="AI29" s="38">
        <v>48589960</v>
      </c>
      <c r="AJ29" s="38">
        <v>327906861</v>
      </c>
      <c r="AK29" s="38">
        <v>290527951</v>
      </c>
      <c r="AL29" s="38">
        <v>17356005</v>
      </c>
      <c r="AM29" s="38">
        <v>20022905</v>
      </c>
      <c r="AN29" s="38">
        <v>327906861</v>
      </c>
      <c r="AO29" s="38">
        <v>5873708</v>
      </c>
      <c r="AP29" s="38">
        <v>228712</v>
      </c>
      <c r="AQ29" s="38">
        <v>1593306</v>
      </c>
      <c r="AR29" s="38">
        <v>1503492</v>
      </c>
      <c r="AS29" s="38">
        <v>9199218</v>
      </c>
      <c r="AT29" s="1">
        <f t="shared" si="1"/>
        <v>2031000</v>
      </c>
      <c r="AU29">
        <f t="shared" si="2"/>
        <v>1.6766458333333334</v>
      </c>
      <c r="AV29">
        <f t="shared" si="3"/>
        <v>37.061551857565455</v>
      </c>
      <c r="AW29">
        <f t="shared" si="4"/>
        <v>0</v>
      </c>
      <c r="AX29">
        <f t="shared" si="5"/>
        <v>5425.1822719962602</v>
      </c>
      <c r="AY29">
        <f t="shared" si="6"/>
        <v>4934.542350272598</v>
      </c>
      <c r="AZ29">
        <f t="shared" si="7"/>
        <v>5229.9634173177919</v>
      </c>
      <c r="BA29">
        <f t="shared" si="8"/>
        <v>275.66707419580996</v>
      </c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</row>
    <row r="30" spans="1:230" ht="13" x14ac:dyDescent="0.3">
      <c r="A30" s="1" t="s">
        <v>58</v>
      </c>
      <c r="B30" s="1" t="s">
        <v>152</v>
      </c>
      <c r="C30" s="44" t="s">
        <v>124</v>
      </c>
      <c r="D30" s="35">
        <f t="shared" si="0"/>
        <v>6862</v>
      </c>
      <c r="E30" s="38">
        <v>44</v>
      </c>
      <c r="F30" s="38">
        <v>2344</v>
      </c>
      <c r="G30" s="38">
        <v>27971000</v>
      </c>
      <c r="H30" s="38"/>
      <c r="I30" s="38"/>
      <c r="J30" s="38"/>
      <c r="K30" s="38"/>
      <c r="L30" s="38"/>
      <c r="M30" s="38"/>
      <c r="N30" s="38">
        <v>1201000</v>
      </c>
      <c r="O30" s="38"/>
      <c r="P30" s="38"/>
      <c r="Q30" s="38"/>
      <c r="R30" s="38"/>
      <c r="S30" s="38"/>
      <c r="T30" s="38"/>
      <c r="U30" s="38">
        <v>5916000</v>
      </c>
      <c r="V30" s="38">
        <v>30404750</v>
      </c>
      <c r="W30" s="38">
        <v>287880</v>
      </c>
      <c r="X30" s="38">
        <v>217352</v>
      </c>
      <c r="Y30" s="72">
        <v>6862000</v>
      </c>
      <c r="Z30" s="38">
        <v>1841</v>
      </c>
      <c r="AA30" s="38">
        <v>3476</v>
      </c>
      <c r="AB30" s="38">
        <v>5317</v>
      </c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1">
        <f t="shared" si="1"/>
        <v>1201000</v>
      </c>
      <c r="AU30">
        <f t="shared" si="2"/>
        <v>0.19457486083588912</v>
      </c>
      <c r="AV30">
        <f t="shared" si="3"/>
        <v>0</v>
      </c>
      <c r="AW30">
        <f t="shared" si="4"/>
        <v>0</v>
      </c>
      <c r="AX30">
        <f t="shared" si="5"/>
        <v>4430.8874963567469</v>
      </c>
      <c r="AY30">
        <f t="shared" si="6"/>
        <v>4076.2168464004662</v>
      </c>
      <c r="AZ30">
        <f t="shared" si="7"/>
        <v>4076.2168464004662</v>
      </c>
      <c r="BA30">
        <f t="shared" si="8"/>
        <v>0</v>
      </c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</row>
    <row r="31" spans="1:230" ht="13" x14ac:dyDescent="0.3">
      <c r="A31" s="1" t="s">
        <v>59</v>
      </c>
      <c r="B31" s="1" t="s">
        <v>151</v>
      </c>
      <c r="C31" s="44" t="s">
        <v>125</v>
      </c>
      <c r="D31" s="35">
        <f t="shared" si="0"/>
        <v>59006.9</v>
      </c>
      <c r="E31" s="38">
        <v>190</v>
      </c>
      <c r="F31" s="38">
        <v>4657</v>
      </c>
      <c r="G31" s="38">
        <v>128040000</v>
      </c>
      <c r="H31" s="38">
        <v>76000</v>
      </c>
      <c r="I31" s="38">
        <v>123000</v>
      </c>
      <c r="J31" s="38">
        <v>100000</v>
      </c>
      <c r="K31" s="38">
        <v>8588000</v>
      </c>
      <c r="L31" s="38">
        <v>7333000</v>
      </c>
      <c r="M31" s="38">
        <v>95700</v>
      </c>
      <c r="N31" s="38">
        <v>10466000</v>
      </c>
      <c r="O31" s="38">
        <v>1344000</v>
      </c>
      <c r="P31" s="38">
        <v>87</v>
      </c>
      <c r="Q31" s="38"/>
      <c r="R31" s="38">
        <v>8800</v>
      </c>
      <c r="S31" s="38">
        <v>1000</v>
      </c>
      <c r="T31" s="38">
        <v>34224000</v>
      </c>
      <c r="U31" s="38">
        <v>517832000</v>
      </c>
      <c r="V31" s="38">
        <v>355974000</v>
      </c>
      <c r="W31" s="38">
        <v>0</v>
      </c>
      <c r="X31" s="38">
        <v>0</v>
      </c>
      <c r="Y31" s="72">
        <v>59006900</v>
      </c>
      <c r="Z31" s="38">
        <v>6388</v>
      </c>
      <c r="AA31" s="38">
        <v>19548</v>
      </c>
      <c r="AB31" s="38">
        <v>25936</v>
      </c>
      <c r="AC31" s="38">
        <v>637750179</v>
      </c>
      <c r="AD31" s="38">
        <v>175687270</v>
      </c>
      <c r="AE31" s="38">
        <v>1250896</v>
      </c>
      <c r="AF31" s="38">
        <v>31798170</v>
      </c>
      <c r="AG31" s="38">
        <v>138018847</v>
      </c>
      <c r="AH31" s="38">
        <v>0</v>
      </c>
      <c r="AI31" s="38">
        <v>166981557</v>
      </c>
      <c r="AJ31" s="38">
        <v>1151486919</v>
      </c>
      <c r="AK31" s="38">
        <v>1045652179</v>
      </c>
      <c r="AL31" s="38">
        <v>60892086</v>
      </c>
      <c r="AM31" s="38">
        <v>44942153</v>
      </c>
      <c r="AN31" s="38">
        <v>1151486418</v>
      </c>
      <c r="AO31" s="38">
        <v>24532575</v>
      </c>
      <c r="AP31" s="38">
        <v>1418452</v>
      </c>
      <c r="AQ31" s="38">
        <v>9799163</v>
      </c>
      <c r="AR31" s="38">
        <v>8643662</v>
      </c>
      <c r="AS31" s="38">
        <v>44393853</v>
      </c>
      <c r="AT31" s="1">
        <f t="shared" si="1"/>
        <v>11810000</v>
      </c>
      <c r="AU31">
        <f t="shared" si="2"/>
        <v>1.4546905111047437</v>
      </c>
      <c r="AV31">
        <f t="shared" si="3"/>
        <v>19.514445242844481</v>
      </c>
      <c r="AW31">
        <f t="shared" si="4"/>
        <v>579.99996610565881</v>
      </c>
      <c r="AX31">
        <f t="shared" si="5"/>
        <v>6032.7521018728321</v>
      </c>
      <c r="AY31">
        <f t="shared" si="6"/>
        <v>2169.9157217206803</v>
      </c>
      <c r="AZ31">
        <f t="shared" si="7"/>
        <v>2446.4206728365666</v>
      </c>
      <c r="BA31">
        <f t="shared" si="8"/>
        <v>124.27360190079465</v>
      </c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</row>
    <row r="32" spans="1:230" ht="13" x14ac:dyDescent="0.3">
      <c r="A32" s="1" t="s">
        <v>60</v>
      </c>
      <c r="B32" s="1" t="s">
        <v>151</v>
      </c>
      <c r="C32" s="44" t="s">
        <v>126</v>
      </c>
      <c r="D32" s="35">
        <f t="shared" si="0"/>
        <v>82012.161999999997</v>
      </c>
      <c r="E32" s="38">
        <v>10483</v>
      </c>
      <c r="F32" s="38">
        <v>12532</v>
      </c>
      <c r="G32" s="38">
        <v>114887722</v>
      </c>
      <c r="H32" s="38"/>
      <c r="I32" s="38">
        <v>147845</v>
      </c>
      <c r="J32" s="38"/>
      <c r="K32" s="38"/>
      <c r="L32" s="38">
        <v>9268822</v>
      </c>
      <c r="M32" s="38"/>
      <c r="N32" s="38"/>
      <c r="O32" s="38"/>
      <c r="P32" s="38">
        <v>88</v>
      </c>
      <c r="Q32" s="38"/>
      <c r="R32" s="38"/>
      <c r="S32" s="38"/>
      <c r="T32" s="38">
        <v>9955638</v>
      </c>
      <c r="U32" s="38">
        <v>316578515</v>
      </c>
      <c r="V32" s="38">
        <v>434811593</v>
      </c>
      <c r="W32" s="38">
        <v>447899</v>
      </c>
      <c r="X32" s="38">
        <v>498745</v>
      </c>
      <c r="Y32" s="72">
        <v>82012162</v>
      </c>
      <c r="Z32" s="38">
        <v>9824</v>
      </c>
      <c r="AA32" s="38">
        <v>6157</v>
      </c>
      <c r="AB32" s="38">
        <v>15981</v>
      </c>
      <c r="AC32" s="38">
        <v>471353495</v>
      </c>
      <c r="AD32" s="38">
        <v>90354137</v>
      </c>
      <c r="AE32" s="38">
        <v>0</v>
      </c>
      <c r="AF32" s="38">
        <v>0</v>
      </c>
      <c r="AG32" s="38">
        <v>0</v>
      </c>
      <c r="AH32" s="38">
        <v>0</v>
      </c>
      <c r="AI32" s="38">
        <v>184754346</v>
      </c>
      <c r="AJ32" s="38">
        <v>746461978</v>
      </c>
      <c r="AK32" s="38">
        <v>625391425</v>
      </c>
      <c r="AL32" s="38">
        <v>53557997</v>
      </c>
      <c r="AM32" s="38">
        <v>67512556</v>
      </c>
      <c r="AN32" s="38">
        <v>746461978</v>
      </c>
      <c r="AO32" s="38">
        <v>29132150</v>
      </c>
      <c r="AP32" s="38">
        <v>1134356</v>
      </c>
      <c r="AQ32" s="38">
        <v>7902405</v>
      </c>
      <c r="AR32" s="38">
        <v>7456952</v>
      </c>
      <c r="AS32" s="38">
        <v>45625864</v>
      </c>
      <c r="AT32" s="1">
        <f t="shared" si="1"/>
        <v>0</v>
      </c>
      <c r="AU32">
        <f t="shared" si="2"/>
        <v>0.72808204771117957</v>
      </c>
      <c r="AV32">
        <f t="shared" si="3"/>
        <v>9.1018448946633068</v>
      </c>
      <c r="AW32">
        <f t="shared" si="4"/>
        <v>121.39221497416445</v>
      </c>
      <c r="AX32">
        <f t="shared" si="5"/>
        <v>5301.7940558621049</v>
      </c>
      <c r="AY32">
        <f t="shared" si="6"/>
        <v>1400.8620087347533</v>
      </c>
      <c r="AZ32">
        <f t="shared" si="7"/>
        <v>1515.6823813521708</v>
      </c>
      <c r="BA32">
        <f t="shared" si="8"/>
        <v>113.01765218675737</v>
      </c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</row>
    <row r="33" spans="1:230" ht="13" x14ac:dyDescent="0.3">
      <c r="A33" s="1" t="s">
        <v>61</v>
      </c>
      <c r="B33" s="1" t="s">
        <v>158</v>
      </c>
      <c r="C33" s="44" t="s">
        <v>127</v>
      </c>
      <c r="D33" s="35">
        <f t="shared" si="0"/>
        <v>263959</v>
      </c>
      <c r="E33" s="38">
        <v>8967</v>
      </c>
      <c r="F33" s="38">
        <v>16090</v>
      </c>
      <c r="G33" s="38">
        <v>714148203</v>
      </c>
      <c r="H33" s="38"/>
      <c r="I33" s="38">
        <v>1919000</v>
      </c>
      <c r="J33" s="38">
        <v>0</v>
      </c>
      <c r="K33" s="38"/>
      <c r="L33" s="38">
        <v>41793000</v>
      </c>
      <c r="M33" s="38">
        <v>1001000</v>
      </c>
      <c r="N33" s="38">
        <v>12296000</v>
      </c>
      <c r="O33" s="38">
        <v>3535000</v>
      </c>
      <c r="P33" s="38">
        <v>100</v>
      </c>
      <c r="Q33" s="38"/>
      <c r="R33" s="38"/>
      <c r="S33" s="38">
        <v>6483</v>
      </c>
      <c r="T33" s="38"/>
      <c r="U33" s="38">
        <v>1690203000</v>
      </c>
      <c r="V33" s="38">
        <v>1057775000</v>
      </c>
      <c r="W33" s="38">
        <v>1358097</v>
      </c>
      <c r="X33" s="38">
        <v>6886563</v>
      </c>
      <c r="Y33" s="72">
        <v>263959000</v>
      </c>
      <c r="Z33" s="38">
        <v>40161</v>
      </c>
      <c r="AA33" s="38">
        <v>80589</v>
      </c>
      <c r="AB33" s="38">
        <v>120750</v>
      </c>
      <c r="AC33" s="38">
        <v>3321324862</v>
      </c>
      <c r="AD33" s="38">
        <v>785134337</v>
      </c>
      <c r="AE33" s="38">
        <v>8029</v>
      </c>
      <c r="AF33" s="38">
        <v>229469</v>
      </c>
      <c r="AG33" s="38">
        <v>671758</v>
      </c>
      <c r="AH33" s="38">
        <v>1371384</v>
      </c>
      <c r="AI33" s="38">
        <v>1056617643</v>
      </c>
      <c r="AJ33" s="38">
        <v>5165357483</v>
      </c>
      <c r="AK33" s="38">
        <v>5012515457</v>
      </c>
      <c r="AL33" s="38">
        <v>227361639</v>
      </c>
      <c r="AM33" s="38">
        <v>286600806</v>
      </c>
      <c r="AN33" s="38">
        <v>5526477902</v>
      </c>
      <c r="AO33" s="38"/>
      <c r="AP33" s="38"/>
      <c r="AQ33" s="38"/>
      <c r="AR33" s="38"/>
      <c r="AS33" s="38"/>
      <c r="AT33" s="1">
        <f t="shared" si="1"/>
        <v>15831000</v>
      </c>
      <c r="AU33">
        <f t="shared" si="2"/>
        <v>1.5978851835220156</v>
      </c>
      <c r="AV33">
        <f t="shared" si="3"/>
        <v>19.56878713360787</v>
      </c>
      <c r="AW33">
        <f t="shared" si="4"/>
        <v>0</v>
      </c>
      <c r="AX33">
        <f t="shared" si="5"/>
        <v>4007.3458378005676</v>
      </c>
      <c r="AY33">
        <f t="shared" si="6"/>
        <v>2705.5270060880666</v>
      </c>
      <c r="AZ33">
        <f t="shared" si="7"/>
        <v>2874.9207376903232</v>
      </c>
      <c r="BA33">
        <f t="shared" si="8"/>
        <v>158.33140752919962</v>
      </c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</row>
    <row r="34" spans="1:230" ht="13" x14ac:dyDescent="0.3">
      <c r="A34" s="1" t="s">
        <v>62</v>
      </c>
      <c r="B34" s="1" t="s">
        <v>159</v>
      </c>
      <c r="C34" s="44" t="s">
        <v>128</v>
      </c>
      <c r="D34" s="35">
        <f t="shared" si="0"/>
        <v>64989.482000000004</v>
      </c>
      <c r="E34" s="38">
        <v>1310</v>
      </c>
      <c r="F34" s="38">
        <v>1811</v>
      </c>
      <c r="G34" s="38">
        <v>11296391</v>
      </c>
      <c r="H34" s="38"/>
      <c r="I34" s="38">
        <v>79</v>
      </c>
      <c r="J34" s="38">
        <v>161743</v>
      </c>
      <c r="K34" s="38">
        <v>5779</v>
      </c>
      <c r="L34" s="38">
        <v>101961</v>
      </c>
      <c r="M34" s="38">
        <v>370</v>
      </c>
      <c r="N34" s="38"/>
      <c r="O34" s="38"/>
      <c r="P34" s="38"/>
      <c r="Q34" s="38">
        <v>12</v>
      </c>
      <c r="R34" s="38"/>
      <c r="S34" s="38">
        <v>7</v>
      </c>
      <c r="T34" s="38">
        <v>970316</v>
      </c>
      <c r="U34" s="38">
        <v>4707687</v>
      </c>
      <c r="V34" s="38">
        <v>23121725</v>
      </c>
      <c r="W34" s="38">
        <v>22420</v>
      </c>
      <c r="X34" s="38">
        <v>113684</v>
      </c>
      <c r="Y34" s="72">
        <v>64989482</v>
      </c>
      <c r="Z34" s="38">
        <v>267</v>
      </c>
      <c r="AA34" s="38">
        <v>2895</v>
      </c>
      <c r="AB34" s="38">
        <v>3162</v>
      </c>
      <c r="AC34" s="38">
        <v>9303900</v>
      </c>
      <c r="AD34" s="38">
        <v>0</v>
      </c>
      <c r="AE34" s="38">
        <v>0</v>
      </c>
      <c r="AF34" s="38">
        <v>320187</v>
      </c>
      <c r="AG34" s="38">
        <v>11431055</v>
      </c>
      <c r="AH34" s="38">
        <v>1893785</v>
      </c>
      <c r="AI34" s="38">
        <v>0</v>
      </c>
      <c r="AJ34" s="38">
        <v>22948927</v>
      </c>
      <c r="AK34" s="38">
        <v>20511930</v>
      </c>
      <c r="AL34" s="38">
        <v>985905</v>
      </c>
      <c r="AM34" s="38">
        <v>1178726</v>
      </c>
      <c r="AN34" s="38">
        <v>22676561</v>
      </c>
      <c r="AO34" s="38"/>
      <c r="AP34" s="38"/>
      <c r="AQ34" s="38"/>
      <c r="AR34" s="38"/>
      <c r="AS34" s="38"/>
      <c r="AT34" s="1">
        <f t="shared" si="1"/>
        <v>0</v>
      </c>
      <c r="AU34">
        <f t="shared" si="2"/>
        <v>0.20360448885193472</v>
      </c>
      <c r="AV34">
        <f t="shared" si="3"/>
        <v>0.35311755523763061</v>
      </c>
      <c r="AW34">
        <f t="shared" si="4"/>
        <v>14.930354422581795</v>
      </c>
      <c r="AX34">
        <f t="shared" si="5"/>
        <v>355.77641625147896</v>
      </c>
      <c r="AY34">
        <f t="shared" si="6"/>
        <v>173.81875731829959</v>
      </c>
      <c r="AZ34">
        <f t="shared" si="7"/>
        <v>177.97222941398425</v>
      </c>
      <c r="BA34">
        <f t="shared" si="8"/>
        <v>1.5688846389020303</v>
      </c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</row>
    <row r="35" spans="1:230" ht="13" x14ac:dyDescent="0.3">
      <c r="A35" s="1" t="s">
        <v>63</v>
      </c>
      <c r="B35" s="1" t="s">
        <v>158</v>
      </c>
      <c r="C35" s="44" t="s">
        <v>129</v>
      </c>
      <c r="D35" s="35">
        <f t="shared" si="0"/>
        <v>18658.664000000001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72">
        <v>18658664</v>
      </c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1">
        <f t="shared" si="1"/>
        <v>0</v>
      </c>
      <c r="AU35" t="e">
        <f t="shared" si="2"/>
        <v>#DIV/0!</v>
      </c>
      <c r="AV35">
        <f t="shared" si="3"/>
        <v>0</v>
      </c>
      <c r="AW35">
        <f t="shared" si="4"/>
        <v>0</v>
      </c>
      <c r="AX35">
        <f t="shared" si="5"/>
        <v>0</v>
      </c>
      <c r="AY35">
        <f t="shared" si="6"/>
        <v>0</v>
      </c>
      <c r="AZ35">
        <f t="shared" si="7"/>
        <v>0</v>
      </c>
      <c r="BA35">
        <f t="shared" si="8"/>
        <v>0</v>
      </c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</row>
    <row r="36" spans="1:230" ht="13" x14ac:dyDescent="0.3">
      <c r="A36" s="1" t="s">
        <v>64</v>
      </c>
      <c r="B36" s="1" t="s">
        <v>158</v>
      </c>
      <c r="C36" s="44" t="s">
        <v>130</v>
      </c>
      <c r="D36" s="35">
        <f t="shared" si="0"/>
        <v>125257</v>
      </c>
      <c r="E36" s="38">
        <v>1600</v>
      </c>
      <c r="F36" s="38">
        <v>2499</v>
      </c>
      <c r="G36" s="38">
        <v>260995000</v>
      </c>
      <c r="H36" s="38"/>
      <c r="I36" s="38"/>
      <c r="J36" s="38"/>
      <c r="K36" s="38"/>
      <c r="L36" s="38"/>
      <c r="M36" s="38"/>
      <c r="N36" s="38">
        <v>19284000</v>
      </c>
      <c r="O36" s="38"/>
      <c r="P36" s="38"/>
      <c r="Q36" s="38"/>
      <c r="R36" s="38"/>
      <c r="S36" s="38"/>
      <c r="T36" s="38">
        <v>33062000</v>
      </c>
      <c r="U36" s="38">
        <v>453122000</v>
      </c>
      <c r="V36" s="38"/>
      <c r="W36" s="38">
        <v>855080</v>
      </c>
      <c r="X36" s="38">
        <v>4335893</v>
      </c>
      <c r="Y36" s="72">
        <v>125257000</v>
      </c>
      <c r="Z36" s="38">
        <v>10836</v>
      </c>
      <c r="AA36" s="38">
        <v>14103</v>
      </c>
      <c r="AB36" s="38">
        <v>24939</v>
      </c>
      <c r="AC36" s="38">
        <v>570236373</v>
      </c>
      <c r="AD36" s="38">
        <v>290753453</v>
      </c>
      <c r="AE36" s="38">
        <v>1278</v>
      </c>
      <c r="AF36" s="38">
        <v>36516</v>
      </c>
      <c r="AG36" s="38">
        <v>106898</v>
      </c>
      <c r="AH36" s="38">
        <v>218231</v>
      </c>
      <c r="AI36" s="38">
        <v>168141410</v>
      </c>
      <c r="AJ36" s="38">
        <v>1029494159</v>
      </c>
      <c r="AK36" s="38">
        <v>920169909</v>
      </c>
      <c r="AL36" s="38">
        <v>44227913</v>
      </c>
      <c r="AM36" s="38">
        <v>52877920</v>
      </c>
      <c r="AN36" s="38">
        <v>1017275742</v>
      </c>
      <c r="AO36" s="38"/>
      <c r="AP36" s="38"/>
      <c r="AQ36" s="38"/>
      <c r="AR36" s="38"/>
      <c r="AS36" s="38"/>
      <c r="AT36" s="1">
        <f t="shared" si="1"/>
        <v>19284000</v>
      </c>
      <c r="AU36" t="e">
        <f t="shared" si="2"/>
        <v>#DIV/0!</v>
      </c>
      <c r="AV36">
        <f t="shared" si="3"/>
        <v>8.2190548951356011</v>
      </c>
      <c r="AW36">
        <f t="shared" si="4"/>
        <v>263.95331199054743</v>
      </c>
      <c r="AX36">
        <f t="shared" si="5"/>
        <v>0</v>
      </c>
      <c r="AY36">
        <f t="shared" si="6"/>
        <v>2083.6759622216723</v>
      </c>
      <c r="AZ36">
        <f t="shared" si="7"/>
        <v>2083.6759622216723</v>
      </c>
      <c r="BA36">
        <f t="shared" si="8"/>
        <v>0</v>
      </c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</row>
    <row r="37" spans="1:230" x14ac:dyDescent="0.25">
      <c r="A37" s="1" t="s">
        <v>143</v>
      </c>
      <c r="B37" s="1" t="s">
        <v>158</v>
      </c>
      <c r="C37" s="1" t="s">
        <v>146</v>
      </c>
      <c r="D37" s="35">
        <f t="shared" si="0"/>
        <v>47495</v>
      </c>
      <c r="Y37" s="72">
        <v>47495000</v>
      </c>
      <c r="AT37" s="1">
        <f t="shared" si="1"/>
        <v>0</v>
      </c>
      <c r="AU37" t="e">
        <f t="shared" si="2"/>
        <v>#DIV/0!</v>
      </c>
      <c r="AV37">
        <f t="shared" si="3"/>
        <v>0</v>
      </c>
      <c r="AW37">
        <f t="shared" si="4"/>
        <v>0</v>
      </c>
      <c r="AX37">
        <f t="shared" si="5"/>
        <v>0</v>
      </c>
      <c r="AY37">
        <f t="shared" si="6"/>
        <v>0</v>
      </c>
      <c r="AZ37">
        <f t="shared" si="7"/>
        <v>0</v>
      </c>
      <c r="BA37">
        <f t="shared" si="8"/>
        <v>0</v>
      </c>
    </row>
    <row r="38" spans="1:230" x14ac:dyDescent="0.25">
      <c r="A38" s="1" t="s">
        <v>144</v>
      </c>
      <c r="B38" s="1" t="s">
        <v>158</v>
      </c>
      <c r="C38" s="1" t="s">
        <v>147</v>
      </c>
      <c r="D38" s="35">
        <f t="shared" si="0"/>
        <v>31000</v>
      </c>
      <c r="E38" s="1">
        <v>2739</v>
      </c>
      <c r="F38" s="1">
        <v>910</v>
      </c>
      <c r="G38" s="1">
        <v>75032608</v>
      </c>
      <c r="I38" s="1">
        <v>150814</v>
      </c>
      <c r="U38" s="1">
        <v>331565367</v>
      </c>
      <c r="Y38" s="72">
        <v>31000000</v>
      </c>
      <c r="Z38" s="1">
        <v>6733</v>
      </c>
      <c r="AA38" s="1">
        <v>6616</v>
      </c>
      <c r="AB38" s="1">
        <v>13349</v>
      </c>
      <c r="AC38" s="1">
        <v>313061342</v>
      </c>
      <c r="AD38" s="1">
        <v>67669552</v>
      </c>
      <c r="AE38" s="1">
        <v>0</v>
      </c>
      <c r="AF38" s="1">
        <v>0</v>
      </c>
      <c r="AG38" s="1">
        <v>0</v>
      </c>
      <c r="AH38" s="1">
        <v>0</v>
      </c>
      <c r="AI38" s="1">
        <v>101611118</v>
      </c>
      <c r="AJ38" s="1">
        <v>482342012</v>
      </c>
      <c r="AK38" s="1">
        <v>436299213</v>
      </c>
      <c r="AL38" s="1">
        <v>20970696</v>
      </c>
      <c r="AM38" s="1">
        <v>25072103</v>
      </c>
      <c r="AN38" s="1">
        <v>482342012</v>
      </c>
      <c r="AO38" s="1">
        <v>15950238</v>
      </c>
      <c r="AP38" s="1">
        <v>549360</v>
      </c>
      <c r="AQ38" s="1">
        <v>3827073</v>
      </c>
      <c r="AR38" s="1">
        <v>3611344</v>
      </c>
      <c r="AS38" s="1">
        <v>23938015</v>
      </c>
      <c r="AT38" s="1">
        <f t="shared" si="1"/>
        <v>0</v>
      </c>
      <c r="AU38" t="e">
        <f t="shared" si="2"/>
        <v>#DIV/0!</v>
      </c>
      <c r="AV38">
        <f t="shared" si="3"/>
        <v>15.559419741935484</v>
      </c>
      <c r="AW38">
        <f t="shared" si="4"/>
        <v>0</v>
      </c>
      <c r="AX38">
        <f t="shared" si="5"/>
        <v>0</v>
      </c>
      <c r="AY38">
        <f t="shared" si="6"/>
        <v>2420.4067096774193</v>
      </c>
      <c r="AZ38">
        <f t="shared" si="7"/>
        <v>2425.271677419355</v>
      </c>
      <c r="BA38">
        <f t="shared" si="8"/>
        <v>0</v>
      </c>
    </row>
    <row r="39" spans="1:230" x14ac:dyDescent="0.25">
      <c r="A39" s="1" t="s">
        <v>145</v>
      </c>
      <c r="B39" s="1" t="s">
        <v>158</v>
      </c>
      <c r="C39" s="1" t="s">
        <v>148</v>
      </c>
      <c r="D39" s="35">
        <f t="shared" si="0"/>
        <v>3807</v>
      </c>
      <c r="Y39" s="72">
        <v>3807000</v>
      </c>
      <c r="AT39" s="1">
        <f t="shared" si="1"/>
        <v>0</v>
      </c>
      <c r="AU39" t="e">
        <f t="shared" si="2"/>
        <v>#DIV/0!</v>
      </c>
      <c r="AV39">
        <f t="shared" si="3"/>
        <v>0</v>
      </c>
      <c r="AW39">
        <f t="shared" si="4"/>
        <v>0</v>
      </c>
      <c r="AX39">
        <f t="shared" si="5"/>
        <v>0</v>
      </c>
      <c r="AY39">
        <f t="shared" si="6"/>
        <v>0</v>
      </c>
      <c r="AZ39">
        <f t="shared" si="7"/>
        <v>0</v>
      </c>
      <c r="BA39">
        <f t="shared" si="8"/>
        <v>0</v>
      </c>
    </row>
    <row r="40" spans="1:230" x14ac:dyDescent="0.25">
      <c r="A40" s="1" t="s">
        <v>149</v>
      </c>
      <c r="B40" s="1" t="s">
        <v>159</v>
      </c>
      <c r="C40" s="1" t="s">
        <v>153</v>
      </c>
      <c r="D40" s="35">
        <f t="shared" si="0"/>
        <v>92714.353000000003</v>
      </c>
      <c r="Y40" s="72">
        <v>92714353</v>
      </c>
      <c r="AT40" s="1">
        <f t="shared" si="1"/>
        <v>0</v>
      </c>
      <c r="AU40" t="e">
        <f t="shared" si="2"/>
        <v>#DIV/0!</v>
      </c>
      <c r="AV40">
        <f t="shared" si="3"/>
        <v>0</v>
      </c>
      <c r="AW40">
        <f t="shared" si="4"/>
        <v>0</v>
      </c>
      <c r="AX40">
        <f t="shared" si="5"/>
        <v>0</v>
      </c>
      <c r="AY40">
        <f t="shared" si="6"/>
        <v>0</v>
      </c>
      <c r="AZ40">
        <f t="shared" si="7"/>
        <v>0</v>
      </c>
      <c r="BA40">
        <f t="shared" si="8"/>
        <v>0</v>
      </c>
    </row>
    <row r="41" spans="1:230" x14ac:dyDescent="0.25">
      <c r="A41" s="1" t="s">
        <v>150</v>
      </c>
      <c r="B41" s="1" t="s">
        <v>154</v>
      </c>
      <c r="D41" s="35">
        <f t="shared" si="0"/>
        <v>105514.996</v>
      </c>
      <c r="E41" s="1">
        <v>29982</v>
      </c>
      <c r="F41" s="1">
        <v>28785</v>
      </c>
      <c r="G41" s="1">
        <v>398410673</v>
      </c>
      <c r="H41" s="1">
        <v>301220</v>
      </c>
      <c r="I41" s="1">
        <v>538368</v>
      </c>
      <c r="J41" s="1">
        <v>222774</v>
      </c>
      <c r="K41" s="1">
        <v>146204</v>
      </c>
      <c r="L41" s="1">
        <v>5748025</v>
      </c>
      <c r="M41" s="1">
        <v>4433</v>
      </c>
      <c r="N41" s="1">
        <v>10773122</v>
      </c>
      <c r="O41" s="1">
        <v>202523</v>
      </c>
      <c r="P41" s="1">
        <v>75</v>
      </c>
      <c r="Q41" s="1">
        <v>30</v>
      </c>
      <c r="R41" s="1">
        <v>1047</v>
      </c>
      <c r="S41" s="1">
        <v>362</v>
      </c>
      <c r="T41" s="1">
        <v>15751305</v>
      </c>
      <c r="U41" s="1">
        <v>434989954</v>
      </c>
      <c r="V41" s="1">
        <v>142307399</v>
      </c>
      <c r="W41" s="1">
        <v>239135</v>
      </c>
      <c r="X41" s="1">
        <v>258720</v>
      </c>
      <c r="Y41" s="72">
        <v>105514996</v>
      </c>
      <c r="Z41" s="1">
        <v>32462</v>
      </c>
      <c r="AA41" s="1">
        <v>12461</v>
      </c>
      <c r="AB41" s="1">
        <v>44924</v>
      </c>
      <c r="AC41" s="1">
        <v>111083944</v>
      </c>
      <c r="AD41" s="1">
        <v>38369448</v>
      </c>
      <c r="AE41" s="1">
        <v>11560</v>
      </c>
      <c r="AF41" s="1">
        <v>297116</v>
      </c>
      <c r="AG41" s="1">
        <v>239267</v>
      </c>
      <c r="AH41" s="1">
        <v>1866220</v>
      </c>
      <c r="AI41" s="1">
        <v>70022992</v>
      </c>
      <c r="AJ41" s="1">
        <v>221890541</v>
      </c>
      <c r="AK41" s="1">
        <v>189087268</v>
      </c>
      <c r="AL41" s="1">
        <v>8419460</v>
      </c>
      <c r="AM41" s="1">
        <v>28726602</v>
      </c>
      <c r="AN41" s="1">
        <v>226233334</v>
      </c>
      <c r="AO41" s="1">
        <v>11416024</v>
      </c>
      <c r="AP41" s="1">
        <v>600134</v>
      </c>
      <c r="AQ41" s="1">
        <v>4226896</v>
      </c>
      <c r="AR41" s="1">
        <v>4248013</v>
      </c>
      <c r="AS41" s="1">
        <v>20491069</v>
      </c>
      <c r="AT41" s="1">
        <f t="shared" si="1"/>
        <v>10975645</v>
      </c>
      <c r="AU41">
        <f t="shared" si="2"/>
        <v>3.05669246333425</v>
      </c>
      <c r="AV41">
        <f t="shared" si="3"/>
        <v>2.1029289618700266</v>
      </c>
      <c r="AW41">
        <f t="shared" si="4"/>
        <v>149.28025017410795</v>
      </c>
      <c r="AX41">
        <f t="shared" si="5"/>
        <v>1348.6935923307053</v>
      </c>
      <c r="AY41">
        <f t="shared" si="6"/>
        <v>3775.8677733352706</v>
      </c>
      <c r="AZ41">
        <f t="shared" si="7"/>
        <v>3841.8396660887897</v>
      </c>
      <c r="BA41">
        <f t="shared" si="8"/>
        <v>54.475905965063014</v>
      </c>
    </row>
    <row r="42" spans="1:230" x14ac:dyDescent="0.25">
      <c r="A42" s="1" t="s">
        <v>151</v>
      </c>
      <c r="B42" s="1" t="s">
        <v>154</v>
      </c>
      <c r="D42" s="35">
        <f t="shared" si="0"/>
        <v>370518.97899999999</v>
      </c>
      <c r="E42" s="1">
        <v>22630</v>
      </c>
      <c r="F42" s="1">
        <v>41996</v>
      </c>
      <c r="G42" s="1">
        <v>667882429</v>
      </c>
      <c r="H42" s="1">
        <v>1517711</v>
      </c>
      <c r="I42" s="1">
        <v>1552438</v>
      </c>
      <c r="J42" s="1">
        <v>2625114</v>
      </c>
      <c r="K42" s="1">
        <v>16895521</v>
      </c>
      <c r="L42" s="1">
        <v>45432211</v>
      </c>
      <c r="M42" s="1">
        <v>553309</v>
      </c>
      <c r="N42" s="1">
        <v>52744051</v>
      </c>
      <c r="O42" s="1">
        <v>5606677</v>
      </c>
      <c r="P42" s="1">
        <v>87</v>
      </c>
      <c r="Q42" s="1">
        <v>65</v>
      </c>
      <c r="R42" s="1">
        <v>38366</v>
      </c>
      <c r="S42" s="1">
        <v>13908</v>
      </c>
      <c r="T42" s="1">
        <v>97898313</v>
      </c>
      <c r="U42" s="1">
        <v>1923113310</v>
      </c>
      <c r="V42" s="1">
        <v>1972265456</v>
      </c>
      <c r="W42" s="1">
        <v>2191824</v>
      </c>
      <c r="X42" s="1">
        <v>12483712</v>
      </c>
      <c r="Y42" s="72">
        <v>370518979</v>
      </c>
      <c r="Z42" s="1">
        <v>47493</v>
      </c>
      <c r="AA42" s="1">
        <v>78323</v>
      </c>
      <c r="AB42" s="1">
        <v>125815</v>
      </c>
      <c r="AC42" s="1">
        <v>3098115761</v>
      </c>
      <c r="AD42" s="1">
        <v>733081749</v>
      </c>
      <c r="AE42" s="1">
        <v>2861758</v>
      </c>
      <c r="AF42" s="1">
        <v>111472587</v>
      </c>
      <c r="AG42" s="1">
        <v>389072711</v>
      </c>
      <c r="AH42" s="1">
        <v>127957</v>
      </c>
      <c r="AI42" s="1">
        <v>960964332</v>
      </c>
      <c r="AJ42" s="1">
        <v>5295696853</v>
      </c>
      <c r="AK42" s="1">
        <v>4637505163</v>
      </c>
      <c r="AL42" s="1">
        <v>279231939</v>
      </c>
      <c r="AM42" s="1">
        <v>332157159</v>
      </c>
      <c r="AN42" s="1">
        <v>5248894259</v>
      </c>
      <c r="AO42" s="1">
        <v>260503246</v>
      </c>
      <c r="AP42" s="1">
        <v>8977228</v>
      </c>
      <c r="AQ42" s="1">
        <v>60499261</v>
      </c>
      <c r="AR42" s="1">
        <v>57005983</v>
      </c>
      <c r="AS42" s="1">
        <v>386985723</v>
      </c>
      <c r="AT42" s="1">
        <f t="shared" si="1"/>
        <v>58350728</v>
      </c>
      <c r="AU42">
        <f t="shared" si="2"/>
        <v>0.97507833144343226</v>
      </c>
      <c r="AV42">
        <f t="shared" si="3"/>
        <v>14.292646674382636</v>
      </c>
      <c r="AW42">
        <f t="shared" si="4"/>
        <v>264.21942882445438</v>
      </c>
      <c r="AX42">
        <f t="shared" si="5"/>
        <v>5322.9809207695134</v>
      </c>
      <c r="AY42">
        <f t="shared" si="6"/>
        <v>1802.5592934606461</v>
      </c>
      <c r="AZ42">
        <f t="shared" si="7"/>
        <v>1987.6410514453028</v>
      </c>
      <c r="BA42">
        <f t="shared" si="8"/>
        <v>122.61777014126987</v>
      </c>
    </row>
    <row r="43" spans="1:230" x14ac:dyDescent="0.25">
      <c r="A43" s="1" t="s">
        <v>152</v>
      </c>
      <c r="B43" s="1" t="s">
        <v>154</v>
      </c>
      <c r="D43" s="35">
        <f t="shared" si="0"/>
        <v>11524.216</v>
      </c>
      <c r="E43" s="1">
        <v>649</v>
      </c>
      <c r="F43" s="1">
        <v>3679</v>
      </c>
      <c r="G43" s="1">
        <v>50562740</v>
      </c>
      <c r="H43" s="1">
        <v>61493</v>
      </c>
      <c r="I43" s="1">
        <v>137737</v>
      </c>
      <c r="J43" s="1">
        <v>103885</v>
      </c>
      <c r="K43" s="1">
        <v>821277</v>
      </c>
      <c r="L43" s="1">
        <v>2595505</v>
      </c>
      <c r="M43" s="1">
        <v>8846</v>
      </c>
      <c r="N43" s="1">
        <v>2112766</v>
      </c>
      <c r="O43" s="1">
        <v>212612</v>
      </c>
      <c r="P43" s="1">
        <v>81</v>
      </c>
      <c r="Q43" s="1">
        <v>74</v>
      </c>
      <c r="R43" s="1">
        <v>941</v>
      </c>
      <c r="S43" s="1">
        <v>409</v>
      </c>
      <c r="T43" s="1">
        <v>3457083</v>
      </c>
      <c r="U43" s="1">
        <v>30393024</v>
      </c>
      <c r="V43" s="1">
        <v>51304571</v>
      </c>
      <c r="W43" s="1">
        <v>403502</v>
      </c>
      <c r="X43" s="1">
        <v>363103</v>
      </c>
      <c r="Y43" s="72">
        <v>11524216</v>
      </c>
      <c r="Z43" s="1">
        <v>2840</v>
      </c>
      <c r="AA43" s="1">
        <v>4648</v>
      </c>
      <c r="AB43" s="1">
        <v>7488</v>
      </c>
      <c r="AC43" s="1">
        <v>209372023</v>
      </c>
      <c r="AD43" s="1">
        <v>70402404</v>
      </c>
      <c r="AE43" s="1">
        <v>0</v>
      </c>
      <c r="AF43" s="1">
        <v>5386904</v>
      </c>
      <c r="AG43" s="1">
        <v>32540642</v>
      </c>
      <c r="AH43" s="1">
        <v>8723238</v>
      </c>
      <c r="AI43" s="1">
        <v>59620735</v>
      </c>
      <c r="AJ43" s="1">
        <v>386045947</v>
      </c>
      <c r="AK43" s="1">
        <v>264050656</v>
      </c>
      <c r="AL43" s="1">
        <v>16763960</v>
      </c>
      <c r="AM43" s="1">
        <v>4995265</v>
      </c>
      <c r="AN43" s="1">
        <v>285809881</v>
      </c>
      <c r="AO43" s="1">
        <v>15015461</v>
      </c>
      <c r="AP43" s="1">
        <v>517164</v>
      </c>
      <c r="AQ43" s="1">
        <v>3602785</v>
      </c>
      <c r="AR43" s="1">
        <v>3399698</v>
      </c>
      <c r="AS43" s="1">
        <v>22535109</v>
      </c>
      <c r="AT43" s="1">
        <f t="shared" si="1"/>
        <v>2325378</v>
      </c>
      <c r="AU43">
        <f t="shared" si="2"/>
        <v>0.5924038230433698</v>
      </c>
      <c r="AV43">
        <f t="shared" si="3"/>
        <v>33.498673315390825</v>
      </c>
      <c r="AW43">
        <f t="shared" si="4"/>
        <v>299.98422452338622</v>
      </c>
      <c r="AX43">
        <f t="shared" si="5"/>
        <v>4451.8925191960998</v>
      </c>
      <c r="AY43">
        <f t="shared" si="6"/>
        <v>4387.5210252914385</v>
      </c>
      <c r="AZ43">
        <f t="shared" si="7"/>
        <v>4711.078219984769</v>
      </c>
      <c r="BA43">
        <f t="shared" si="8"/>
        <v>225.22182853913878</v>
      </c>
    </row>
    <row r="44" spans="1:230" x14ac:dyDescent="0.25">
      <c r="A44" s="1" t="s">
        <v>310</v>
      </c>
      <c r="B44" s="1" t="s">
        <v>154</v>
      </c>
      <c r="D44" s="35">
        <f t="shared" si="0"/>
        <v>490176.66399999999</v>
      </c>
      <c r="E44" s="1">
        <v>15614</v>
      </c>
      <c r="F44" s="1">
        <v>22798</v>
      </c>
      <c r="G44" s="1">
        <v>1200283871</v>
      </c>
      <c r="H44" s="1">
        <v>563324</v>
      </c>
      <c r="I44" s="1">
        <v>2317686</v>
      </c>
      <c r="J44" s="1">
        <v>195586</v>
      </c>
      <c r="K44" s="1">
        <v>11798905</v>
      </c>
      <c r="L44" s="1">
        <v>52492751</v>
      </c>
      <c r="M44" s="1">
        <v>1198483</v>
      </c>
      <c r="N44" s="1">
        <v>42752472</v>
      </c>
      <c r="O44" s="1">
        <v>4476106</v>
      </c>
      <c r="P44" s="1">
        <v>90</v>
      </c>
      <c r="Q44" s="1">
        <v>62</v>
      </c>
      <c r="R44" s="1">
        <v>11587</v>
      </c>
      <c r="S44" s="1">
        <v>8473</v>
      </c>
      <c r="T44" s="1">
        <v>112885602</v>
      </c>
      <c r="U44" s="1">
        <v>2752092370</v>
      </c>
      <c r="V44" s="1">
        <v>2250867911</v>
      </c>
      <c r="W44" s="1">
        <v>2811445</v>
      </c>
      <c r="X44" s="1">
        <v>14256116</v>
      </c>
      <c r="Y44" s="72">
        <v>490176664</v>
      </c>
      <c r="Z44" s="1">
        <v>64983</v>
      </c>
      <c r="AA44" s="1">
        <v>111004</v>
      </c>
      <c r="AB44" s="1">
        <v>175985</v>
      </c>
      <c r="AC44" s="1">
        <v>4703084797</v>
      </c>
      <c r="AD44" s="1">
        <v>1321507726</v>
      </c>
      <c r="AE44" s="1">
        <v>10691</v>
      </c>
      <c r="AF44" s="1">
        <v>305244</v>
      </c>
      <c r="AG44" s="1">
        <v>938610</v>
      </c>
      <c r="AH44" s="1">
        <v>1754262</v>
      </c>
      <c r="AI44" s="1">
        <v>1479582133</v>
      </c>
      <c r="AJ44" s="1">
        <v>7507183463</v>
      </c>
      <c r="AK44" s="1">
        <v>7110835944</v>
      </c>
      <c r="AL44" s="1">
        <v>328217290</v>
      </c>
      <c r="AM44" s="1">
        <v>407181605</v>
      </c>
      <c r="AN44" s="1">
        <v>7846234840</v>
      </c>
      <c r="AO44" s="1">
        <v>382402103</v>
      </c>
      <c r="AP44" s="1">
        <v>13170734</v>
      </c>
      <c r="AQ44" s="1">
        <v>91752923</v>
      </c>
      <c r="AR44" s="1">
        <v>86580877</v>
      </c>
      <c r="AS44" s="1">
        <v>573906643</v>
      </c>
      <c r="AT44" s="1">
        <f t="shared" si="1"/>
        <v>47228578</v>
      </c>
      <c r="AU44">
        <f t="shared" si="2"/>
        <v>1.2226805298305219</v>
      </c>
      <c r="AV44">
        <f t="shared" si="3"/>
        <v>15.315260832163972</v>
      </c>
      <c r="AW44">
        <f t="shared" si="4"/>
        <v>230.29574904447105</v>
      </c>
      <c r="AX44">
        <f t="shared" si="5"/>
        <v>4591.9524047354489</v>
      </c>
      <c r="AY44">
        <f t="shared" si="6"/>
        <v>2448.6760777334762</v>
      </c>
      <c r="AZ44">
        <f t="shared" si="7"/>
        <v>2588.5577572089396</v>
      </c>
      <c r="BA44">
        <f t="shared" si="8"/>
        <v>107.08945336491988</v>
      </c>
    </row>
    <row r="45" spans="1:230" x14ac:dyDescent="0.25">
      <c r="A45" s="1" t="s">
        <v>311</v>
      </c>
      <c r="B45" s="1" t="s">
        <v>154</v>
      </c>
      <c r="D45" s="35">
        <f t="shared" si="0"/>
        <v>157703.83499999999</v>
      </c>
      <c r="E45" s="1">
        <v>2954</v>
      </c>
      <c r="F45" s="1">
        <v>4079</v>
      </c>
      <c r="G45" s="1">
        <v>25444841</v>
      </c>
      <c r="H45" s="1">
        <v>96642</v>
      </c>
      <c r="I45" s="1">
        <v>178</v>
      </c>
      <c r="J45" s="1">
        <v>364322</v>
      </c>
      <c r="K45" s="1">
        <v>13017</v>
      </c>
      <c r="L45" s="1">
        <v>229665</v>
      </c>
      <c r="M45" s="1">
        <v>833</v>
      </c>
      <c r="N45" s="1">
        <v>1202137</v>
      </c>
      <c r="O45" s="1">
        <v>20858</v>
      </c>
      <c r="P45" s="1">
        <v>88</v>
      </c>
      <c r="Q45" s="1">
        <v>12</v>
      </c>
      <c r="R45" s="1">
        <v>1989</v>
      </c>
      <c r="S45" s="1">
        <v>16</v>
      </c>
      <c r="T45" s="1">
        <v>2185613</v>
      </c>
      <c r="U45" s="1">
        <v>10603948</v>
      </c>
      <c r="V45" s="1">
        <v>52081113</v>
      </c>
      <c r="W45" s="1">
        <v>50500</v>
      </c>
      <c r="X45" s="1">
        <v>256070</v>
      </c>
      <c r="Y45" s="72">
        <v>157703835</v>
      </c>
      <c r="Z45" s="1">
        <v>601</v>
      </c>
      <c r="AA45" s="1">
        <v>6521</v>
      </c>
      <c r="AB45" s="1">
        <v>7122</v>
      </c>
      <c r="AC45" s="1">
        <v>20956804</v>
      </c>
      <c r="AD45" s="1">
        <v>0</v>
      </c>
      <c r="AE45" s="1">
        <v>0</v>
      </c>
      <c r="AF45" s="1">
        <v>721213</v>
      </c>
      <c r="AG45" s="1">
        <v>25748168</v>
      </c>
      <c r="AH45" s="1">
        <v>4265704</v>
      </c>
      <c r="AI45" s="1">
        <v>0</v>
      </c>
      <c r="AJ45" s="1">
        <v>51691890</v>
      </c>
      <c r="AK45" s="1">
        <v>46233745</v>
      </c>
      <c r="AL45" s="1">
        <v>2250348</v>
      </c>
      <c r="AM45" s="1">
        <v>2690466</v>
      </c>
      <c r="AN45" s="1">
        <v>51174560</v>
      </c>
      <c r="AO45" s="1">
        <v>2777859</v>
      </c>
      <c r="AP45" s="1">
        <v>95676</v>
      </c>
      <c r="AQ45" s="1">
        <v>666515</v>
      </c>
      <c r="AR45" s="1">
        <v>628944</v>
      </c>
      <c r="AS45" s="1">
        <v>4168994</v>
      </c>
      <c r="AT45" s="1">
        <f t="shared" si="1"/>
        <v>1222995</v>
      </c>
      <c r="AU45">
        <f t="shared" si="2"/>
        <v>0.20360448134048134</v>
      </c>
      <c r="AV45">
        <f t="shared" si="3"/>
        <v>0.32777826867685239</v>
      </c>
      <c r="AW45">
        <f t="shared" si="4"/>
        <v>13.858971787211136</v>
      </c>
      <c r="AX45">
        <f t="shared" si="5"/>
        <v>330.2463316760813</v>
      </c>
      <c r="AY45">
        <f t="shared" si="6"/>
        <v>161.34573391953342</v>
      </c>
      <c r="AZ45">
        <f t="shared" si="7"/>
        <v>165.81396387728935</v>
      </c>
      <c r="BA45">
        <f t="shared" si="8"/>
        <v>1.4563057391724179</v>
      </c>
    </row>
    <row r="46" spans="1:230" x14ac:dyDescent="0.25">
      <c r="A46" s="1" t="s">
        <v>312</v>
      </c>
      <c r="B46" s="1" t="s">
        <v>154</v>
      </c>
      <c r="D46" s="35">
        <f t="shared" si="0"/>
        <v>75162.224000000002</v>
      </c>
      <c r="E46" s="1">
        <v>22798</v>
      </c>
      <c r="F46" s="1">
        <v>21310</v>
      </c>
      <c r="G46" s="1">
        <v>308202479</v>
      </c>
      <c r="H46" s="1">
        <v>287044</v>
      </c>
      <c r="I46" s="1">
        <v>440954</v>
      </c>
      <c r="J46" s="1">
        <v>144101</v>
      </c>
      <c r="K46" s="1">
        <v>139921</v>
      </c>
      <c r="L46" s="1">
        <v>5025513</v>
      </c>
      <c r="M46" s="1">
        <v>4172</v>
      </c>
      <c r="N46" s="1">
        <v>9524410</v>
      </c>
      <c r="O46" s="1">
        <v>193776</v>
      </c>
      <c r="P46" s="1">
        <v>75</v>
      </c>
      <c r="Q46" s="1">
        <v>30</v>
      </c>
      <c r="R46" s="1">
        <v>989</v>
      </c>
      <c r="S46" s="1">
        <v>336</v>
      </c>
      <c r="T46" s="1">
        <v>13193274</v>
      </c>
      <c r="U46" s="1">
        <v>379944973</v>
      </c>
      <c r="V46" s="1">
        <v>118127770</v>
      </c>
      <c r="W46" s="1">
        <v>226083</v>
      </c>
      <c r="X46" s="1">
        <v>241774</v>
      </c>
      <c r="Y46" s="1">
        <v>75162224</v>
      </c>
      <c r="Z46" s="1">
        <v>25655</v>
      </c>
      <c r="AA46" s="1">
        <v>10809</v>
      </c>
      <c r="AB46" s="1">
        <v>36465</v>
      </c>
      <c r="AC46" s="1">
        <v>106911542</v>
      </c>
      <c r="AD46" s="1">
        <v>36843545</v>
      </c>
      <c r="AE46" s="1">
        <v>11799</v>
      </c>
      <c r="AF46" s="1">
        <v>308865</v>
      </c>
      <c r="AG46" s="1">
        <v>302293</v>
      </c>
      <c r="AH46" s="1">
        <v>1826004</v>
      </c>
      <c r="AI46" s="1">
        <v>69430922</v>
      </c>
      <c r="AJ46" s="1">
        <v>215634964</v>
      </c>
      <c r="AK46" s="1">
        <v>185264782</v>
      </c>
      <c r="AL46" s="1">
        <v>8468169</v>
      </c>
      <c r="AM46" s="1">
        <v>26211914</v>
      </c>
      <c r="AN46" s="1">
        <v>219944868</v>
      </c>
      <c r="AO46" s="1">
        <v>11133150</v>
      </c>
      <c r="AP46" s="1">
        <v>575166</v>
      </c>
      <c r="AQ46" s="1">
        <v>4089194</v>
      </c>
      <c r="AR46" s="1">
        <v>4129467</v>
      </c>
      <c r="AS46" s="1">
        <v>19926978</v>
      </c>
      <c r="AT46" s="1">
        <f>+N46+O46</f>
        <v>9718186</v>
      </c>
      <c r="AU46">
        <f>+U46/V46</f>
        <v>3.2163899564005991</v>
      </c>
      <c r="AV46">
        <f>+AJ46/Y46</f>
        <v>2.8689274016160033</v>
      </c>
      <c r="AW46">
        <f>+T46/D46</f>
        <v>175.53064954544186</v>
      </c>
      <c r="AX46">
        <f>+V46/D46</f>
        <v>1571.6375023708717</v>
      </c>
      <c r="AY46">
        <f>+G46/D46</f>
        <v>4100.4970661858006</v>
      </c>
      <c r="AZ46">
        <f>SUM(G46:M46)/D46</f>
        <v>4180.8792672233858</v>
      </c>
      <c r="BA46">
        <f>+L46/D46</f>
        <v>66.862217914147934</v>
      </c>
    </row>
    <row r="47" spans="1:230" x14ac:dyDescent="0.25">
      <c r="A47" s="1" t="s">
        <v>313</v>
      </c>
      <c r="B47" s="1" t="s">
        <v>154</v>
      </c>
      <c r="D47" s="35">
        <f t="shared" si="0"/>
        <v>487558.19099999999</v>
      </c>
      <c r="E47" s="1">
        <v>53261</v>
      </c>
      <c r="F47" s="1">
        <v>74460</v>
      </c>
      <c r="G47" s="1">
        <v>1116855842</v>
      </c>
      <c r="H47" s="1">
        <v>1880424</v>
      </c>
      <c r="I47" s="1">
        <v>2228543</v>
      </c>
      <c r="J47" s="1">
        <v>2951773</v>
      </c>
      <c r="K47" s="1">
        <v>17863002</v>
      </c>
      <c r="L47" s="1">
        <v>53775741</v>
      </c>
      <c r="M47" s="1">
        <v>566588</v>
      </c>
      <c r="N47" s="1">
        <v>65629939</v>
      </c>
      <c r="O47" s="1">
        <v>6021812</v>
      </c>
      <c r="P47" s="1">
        <v>81</v>
      </c>
      <c r="Q47" s="1">
        <v>56</v>
      </c>
      <c r="R47" s="1">
        <v>40354</v>
      </c>
      <c r="S47" s="1">
        <v>14679</v>
      </c>
      <c r="T47" s="1">
        <v>117106701</v>
      </c>
      <c r="U47" s="1">
        <v>2388496288</v>
      </c>
      <c r="V47" s="1">
        <v>2165877426</v>
      </c>
      <c r="W47" s="1">
        <v>2834461</v>
      </c>
      <c r="X47" s="1">
        <v>13105535</v>
      </c>
      <c r="Y47" s="1">
        <v>487558191</v>
      </c>
      <c r="Z47" s="1">
        <v>82795</v>
      </c>
      <c r="AA47" s="1">
        <v>95432</v>
      </c>
      <c r="AB47" s="1">
        <v>178227</v>
      </c>
      <c r="AC47" s="1">
        <v>3418571728</v>
      </c>
      <c r="AD47" s="1">
        <v>841853601</v>
      </c>
      <c r="AE47" s="1">
        <v>2873318</v>
      </c>
      <c r="AF47" s="1">
        <v>117156607</v>
      </c>
      <c r="AG47" s="1">
        <v>421852620</v>
      </c>
      <c r="AH47" s="1">
        <v>10717415</v>
      </c>
      <c r="AI47" s="1">
        <v>1090608059</v>
      </c>
      <c r="AJ47" s="1">
        <v>5903633341</v>
      </c>
      <c r="AK47" s="1">
        <v>5090643087</v>
      </c>
      <c r="AL47" s="1">
        <v>304415359</v>
      </c>
      <c r="AM47" s="1">
        <v>365879026</v>
      </c>
      <c r="AN47" s="1">
        <v>5760937474</v>
      </c>
      <c r="AO47" s="1">
        <v>286934731</v>
      </c>
      <c r="AP47" s="1">
        <v>10094526</v>
      </c>
      <c r="AQ47" s="1">
        <v>68328942</v>
      </c>
      <c r="AR47" s="1">
        <v>64653694</v>
      </c>
      <c r="AS47" s="1">
        <v>430011901</v>
      </c>
      <c r="AT47" s="1">
        <f t="shared" ref="AT47:AT52" si="9">+N47+O47</f>
        <v>71651751</v>
      </c>
      <c r="AU47">
        <f t="shared" ref="AU47:AU52" si="10">+U47/V47</f>
        <v>1.1027846079042147</v>
      </c>
      <c r="AV47">
        <f t="shared" ref="AV47:AV52" si="11">+AJ47/Y47</f>
        <v>12.108571756104494</v>
      </c>
      <c r="AW47">
        <f t="shared" ref="AW47:AW52" si="12">+T47/D47</f>
        <v>240.19020326539854</v>
      </c>
      <c r="AX47">
        <f t="shared" ref="AX47:AX52" si="13">+V47/D47</f>
        <v>4442.2952295349705</v>
      </c>
      <c r="AY47">
        <f t="shared" ref="AY47:AY52" si="14">+G47/D47</f>
        <v>2290.7129089745927</v>
      </c>
      <c r="AZ47">
        <f t="shared" ref="AZ47:AZ52" si="15">SUM(G47:M47)/D47</f>
        <v>2453.2905714222734</v>
      </c>
      <c r="BA47">
        <f t="shared" ref="BA47:BA52" si="16">+L47/D47</f>
        <v>110.29604669281416</v>
      </c>
    </row>
    <row r="48" spans="1:230" x14ac:dyDescent="0.25">
      <c r="A48" s="1" t="s">
        <v>188</v>
      </c>
      <c r="B48" s="1" t="s">
        <v>154</v>
      </c>
      <c r="D48" s="35">
        <f t="shared" si="0"/>
        <v>97789.865999999995</v>
      </c>
      <c r="E48" s="1">
        <v>28321</v>
      </c>
      <c r="F48" s="1">
        <v>25500</v>
      </c>
      <c r="G48" s="1">
        <v>349734050</v>
      </c>
      <c r="H48" s="1">
        <v>267378</v>
      </c>
      <c r="I48" s="1">
        <v>474628</v>
      </c>
      <c r="J48" s="1">
        <v>211809</v>
      </c>
      <c r="K48" s="1">
        <v>142609</v>
      </c>
      <c r="L48" s="1">
        <v>5309506</v>
      </c>
      <c r="M48" s="1">
        <v>3468</v>
      </c>
      <c r="N48" s="1">
        <v>8987782</v>
      </c>
      <c r="O48" s="1">
        <v>188800</v>
      </c>
      <c r="P48" s="1">
        <v>74</v>
      </c>
      <c r="Q48" s="1">
        <v>33</v>
      </c>
      <c r="R48" s="1">
        <v>1022</v>
      </c>
      <c r="S48" s="1">
        <v>362</v>
      </c>
      <c r="T48" s="1">
        <v>14057917</v>
      </c>
      <c r="U48" s="1">
        <v>381692701</v>
      </c>
      <c r="V48" s="1">
        <v>125084482</v>
      </c>
      <c r="W48" s="1">
        <v>229900</v>
      </c>
      <c r="X48" s="1">
        <v>255835</v>
      </c>
      <c r="Y48" s="1">
        <v>97789866</v>
      </c>
      <c r="Z48" s="1">
        <v>26606</v>
      </c>
      <c r="AA48" s="1">
        <v>10874</v>
      </c>
      <c r="AB48" s="1">
        <v>37481</v>
      </c>
      <c r="AC48" s="1">
        <v>99396414</v>
      </c>
      <c r="AD48" s="1">
        <v>34112606</v>
      </c>
      <c r="AE48" s="1">
        <v>11560</v>
      </c>
      <c r="AF48" s="1">
        <v>297116</v>
      </c>
      <c r="AG48" s="1">
        <v>239267</v>
      </c>
      <c r="AH48" s="1">
        <v>1866220</v>
      </c>
      <c r="AI48" s="1">
        <v>63571336</v>
      </c>
      <c r="AJ48" s="1">
        <v>199494514</v>
      </c>
      <c r="AK48" s="1">
        <v>166395544</v>
      </c>
      <c r="AL48" s="1">
        <v>8026698</v>
      </c>
      <c r="AM48" s="1">
        <v>28020579</v>
      </c>
      <c r="AN48" s="1">
        <v>202442825</v>
      </c>
      <c r="AO48" s="1">
        <v>10070624</v>
      </c>
      <c r="AP48" s="1">
        <v>584831</v>
      </c>
      <c r="AQ48" s="1">
        <v>4120289</v>
      </c>
      <c r="AR48" s="1">
        <v>3854966</v>
      </c>
      <c r="AS48" s="1">
        <v>18630712</v>
      </c>
      <c r="AT48" s="1">
        <f t="shared" si="9"/>
        <v>9176582</v>
      </c>
      <c r="AU48">
        <f t="shared" si="10"/>
        <v>3.0514792474417409</v>
      </c>
      <c r="AV48">
        <f t="shared" si="11"/>
        <v>2.0400325939704222</v>
      </c>
      <c r="AW48">
        <f t="shared" si="12"/>
        <v>143.75637860062105</v>
      </c>
      <c r="AX48">
        <f t="shared" si="13"/>
        <v>1279.114974960698</v>
      </c>
      <c r="AY48">
        <f t="shared" si="14"/>
        <v>3576.3833647138858</v>
      </c>
      <c r="AZ48">
        <f t="shared" si="15"/>
        <v>3641.9259230808234</v>
      </c>
      <c r="BA48">
        <f t="shared" si="16"/>
        <v>54.295053436314149</v>
      </c>
    </row>
    <row r="49" spans="1:53" x14ac:dyDescent="0.25">
      <c r="A49" s="1" t="s">
        <v>189</v>
      </c>
      <c r="B49" s="1" t="s">
        <v>154</v>
      </c>
      <c r="D49" s="35">
        <f t="shared" si="0"/>
        <v>7725.13</v>
      </c>
      <c r="E49" s="1">
        <v>1661</v>
      </c>
      <c r="F49" s="1">
        <v>3285</v>
      </c>
      <c r="G49" s="1">
        <v>48676623</v>
      </c>
      <c r="H49" s="1">
        <v>33842</v>
      </c>
      <c r="I49" s="1">
        <v>63740</v>
      </c>
      <c r="J49" s="1">
        <v>10965</v>
      </c>
      <c r="K49" s="1">
        <v>3595</v>
      </c>
      <c r="L49" s="1">
        <v>438519</v>
      </c>
      <c r="M49" s="1">
        <v>965</v>
      </c>
      <c r="N49" s="1">
        <v>1785340</v>
      </c>
      <c r="O49" s="1">
        <v>13723</v>
      </c>
      <c r="P49" s="1">
        <v>79</v>
      </c>
      <c r="Q49" s="1">
        <v>22</v>
      </c>
      <c r="R49" s="1">
        <v>25</v>
      </c>
      <c r="S49" s="1">
        <v>0</v>
      </c>
      <c r="T49" s="1">
        <v>1693388</v>
      </c>
      <c r="U49" s="1">
        <v>53297253</v>
      </c>
      <c r="V49" s="1">
        <v>17222917</v>
      </c>
      <c r="W49" s="1">
        <v>9235</v>
      </c>
      <c r="X49" s="1">
        <v>2885</v>
      </c>
      <c r="Y49" s="1">
        <v>7725130</v>
      </c>
      <c r="Z49" s="1">
        <v>5856</v>
      </c>
      <c r="AA49" s="1">
        <v>1587</v>
      </c>
      <c r="AB49" s="1">
        <v>7443</v>
      </c>
      <c r="AC49" s="1">
        <v>11687530</v>
      </c>
      <c r="AD49" s="1">
        <v>4256842</v>
      </c>
      <c r="AE49" s="1">
        <v>0</v>
      </c>
      <c r="AF49" s="1">
        <v>0</v>
      </c>
      <c r="AG49" s="1">
        <v>0</v>
      </c>
      <c r="AH49" s="1">
        <v>0</v>
      </c>
      <c r="AI49" s="1">
        <v>6451656</v>
      </c>
      <c r="AJ49" s="1">
        <v>22396027</v>
      </c>
      <c r="AK49" s="1">
        <v>22691724</v>
      </c>
      <c r="AL49" s="1">
        <v>392762</v>
      </c>
      <c r="AM49" s="1">
        <v>706023</v>
      </c>
      <c r="AN49" s="1">
        <v>23790509</v>
      </c>
      <c r="AO49" s="1">
        <v>1345400</v>
      </c>
      <c r="AP49" s="1">
        <v>15303</v>
      </c>
      <c r="AQ49" s="1">
        <v>106607</v>
      </c>
      <c r="AR49" s="1">
        <v>393047</v>
      </c>
      <c r="AS49" s="1">
        <v>1860357</v>
      </c>
      <c r="AT49" s="1">
        <f t="shared" si="9"/>
        <v>1799063</v>
      </c>
      <c r="AU49">
        <f t="shared" si="10"/>
        <v>3.0945543661390227</v>
      </c>
      <c r="AV49">
        <f t="shared" si="11"/>
        <v>2.8991132835305038</v>
      </c>
      <c r="AW49">
        <f t="shared" si="12"/>
        <v>219.20511370035197</v>
      </c>
      <c r="AX49">
        <f t="shared" si="13"/>
        <v>2229.4663002434909</v>
      </c>
      <c r="AY49">
        <f t="shared" si="14"/>
        <v>6301.0749333668173</v>
      </c>
      <c r="AZ49">
        <f t="shared" si="15"/>
        <v>6372.4816281408857</v>
      </c>
      <c r="BA49">
        <f t="shared" si="16"/>
        <v>56.765258319277471</v>
      </c>
    </row>
    <row r="50" spans="1:53" x14ac:dyDescent="0.25">
      <c r="A50" s="1" t="s">
        <v>192</v>
      </c>
      <c r="B50" s="1" t="s">
        <v>154</v>
      </c>
      <c r="D50" s="35">
        <f t="shared" si="0"/>
        <v>243327.67199999999</v>
      </c>
      <c r="E50" s="1">
        <v>16379</v>
      </c>
      <c r="F50" s="1">
        <v>28276</v>
      </c>
      <c r="G50" s="1">
        <v>487118534</v>
      </c>
      <c r="H50" s="1">
        <v>876634</v>
      </c>
      <c r="I50" s="1">
        <v>821117</v>
      </c>
      <c r="J50" s="1">
        <v>856459</v>
      </c>
      <c r="K50" s="1">
        <v>14553344</v>
      </c>
      <c r="L50" s="1">
        <v>30820429</v>
      </c>
      <c r="M50" s="1">
        <v>396903</v>
      </c>
      <c r="N50" s="1">
        <v>34852111</v>
      </c>
      <c r="O50" s="1">
        <v>4000944</v>
      </c>
      <c r="P50" s="1">
        <v>86</v>
      </c>
      <c r="Q50" s="1">
        <v>63</v>
      </c>
      <c r="R50" s="1">
        <v>23645</v>
      </c>
      <c r="S50" s="1">
        <v>7404</v>
      </c>
      <c r="T50" s="1">
        <v>66054125</v>
      </c>
      <c r="U50" s="1">
        <v>1376614342</v>
      </c>
      <c r="V50" s="1">
        <v>1279426188</v>
      </c>
      <c r="W50" s="1">
        <v>926457</v>
      </c>
      <c r="X50" s="1">
        <v>921679</v>
      </c>
      <c r="Y50" s="1">
        <v>243327672</v>
      </c>
      <c r="Z50" s="1">
        <v>31160</v>
      </c>
      <c r="AA50" s="1">
        <v>51630</v>
      </c>
      <c r="AB50" s="1">
        <v>82789</v>
      </c>
      <c r="AC50" s="1">
        <v>2156456662</v>
      </c>
      <c r="AD50" s="1">
        <v>515196861</v>
      </c>
      <c r="AE50" s="1">
        <v>1957536</v>
      </c>
      <c r="AF50" s="1">
        <v>80915605</v>
      </c>
      <c r="AG50" s="1">
        <v>286244077</v>
      </c>
      <c r="AH50" s="1">
        <v>7997574</v>
      </c>
      <c r="AI50" s="1">
        <v>630410590</v>
      </c>
      <c r="AJ50" s="1">
        <v>3679178904</v>
      </c>
      <c r="AK50" s="1">
        <v>3095803805</v>
      </c>
      <c r="AL50" s="1">
        <v>208354720</v>
      </c>
      <c r="AM50" s="1">
        <v>226302236</v>
      </c>
      <c r="AN50" s="1">
        <v>3530460760</v>
      </c>
      <c r="AO50" s="1">
        <v>180056157</v>
      </c>
      <c r="AP50" s="1">
        <v>6714473</v>
      </c>
      <c r="AQ50" s="1">
        <v>44757365</v>
      </c>
      <c r="AR50" s="1">
        <v>41882544</v>
      </c>
      <c r="AS50" s="1">
        <v>273410546</v>
      </c>
      <c r="AT50" s="1">
        <f t="shared" si="9"/>
        <v>38853055</v>
      </c>
      <c r="AU50">
        <f t="shared" si="10"/>
        <v>1.0759622984987705</v>
      </c>
      <c r="AV50">
        <f t="shared" si="11"/>
        <v>15.120265088468853</v>
      </c>
      <c r="AW50">
        <f t="shared" si="12"/>
        <v>271.46162397838583</v>
      </c>
      <c r="AX50">
        <f t="shared" si="13"/>
        <v>5258.0381733155282</v>
      </c>
      <c r="AY50">
        <f t="shared" si="14"/>
        <v>2001.9035648358154</v>
      </c>
      <c r="AZ50">
        <f t="shared" si="15"/>
        <v>2200.5036073332426</v>
      </c>
      <c r="BA50">
        <f t="shared" si="16"/>
        <v>126.66224415281465</v>
      </c>
    </row>
    <row r="51" spans="1:53" x14ac:dyDescent="0.25">
      <c r="A51" s="1" t="s">
        <v>190</v>
      </c>
      <c r="B51" s="1" t="s">
        <v>154</v>
      </c>
      <c r="D51" s="35">
        <f t="shared" si="0"/>
        <v>23881.523000000001</v>
      </c>
      <c r="E51" s="1">
        <v>1576</v>
      </c>
      <c r="F51" s="1">
        <v>5035</v>
      </c>
      <c r="G51" s="1">
        <v>134491118</v>
      </c>
      <c r="H51" s="1">
        <v>137071</v>
      </c>
      <c r="I51" s="1">
        <v>350657</v>
      </c>
      <c r="J51" s="1">
        <v>109249</v>
      </c>
      <c r="K51" s="1">
        <v>626002</v>
      </c>
      <c r="L51" s="1">
        <v>8579011</v>
      </c>
      <c r="M51" s="1">
        <v>49108</v>
      </c>
      <c r="N51" s="1">
        <v>6760560</v>
      </c>
      <c r="O51" s="1">
        <v>749743</v>
      </c>
      <c r="P51" s="1">
        <v>86</v>
      </c>
      <c r="Q51" s="1">
        <v>72</v>
      </c>
      <c r="R51" s="1">
        <v>3976</v>
      </c>
      <c r="S51" s="1">
        <v>1831</v>
      </c>
      <c r="T51" s="1">
        <v>7938910</v>
      </c>
      <c r="U51" s="1">
        <v>292899855</v>
      </c>
      <c r="V51" s="1">
        <v>169149536</v>
      </c>
      <c r="W51" s="1">
        <v>1108732</v>
      </c>
      <c r="X51" s="1">
        <v>11430831</v>
      </c>
      <c r="Y51" s="1">
        <v>23881523</v>
      </c>
      <c r="Z51" s="1">
        <v>7139</v>
      </c>
      <c r="AA51" s="1">
        <v>9427</v>
      </c>
      <c r="AB51" s="1">
        <v>16566</v>
      </c>
      <c r="AC51" s="1">
        <v>519753171</v>
      </c>
      <c r="AD51" s="1">
        <v>140786797</v>
      </c>
      <c r="AE51" s="1">
        <v>458320</v>
      </c>
      <c r="AF51" s="1">
        <v>19386456</v>
      </c>
      <c r="AG51" s="1">
        <v>73204714</v>
      </c>
      <c r="AH51" s="1">
        <v>828285</v>
      </c>
      <c r="AI51" s="1">
        <v>188843892</v>
      </c>
      <c r="AJ51" s="1">
        <v>943261636</v>
      </c>
      <c r="AK51" s="1">
        <v>847772979</v>
      </c>
      <c r="AL51" s="1">
        <v>37907998</v>
      </c>
      <c r="AM51" s="1">
        <v>57688576</v>
      </c>
      <c r="AN51" s="1">
        <v>943369552</v>
      </c>
      <c r="AO51" s="1">
        <v>32692953</v>
      </c>
      <c r="AP51" s="1">
        <v>1042169</v>
      </c>
      <c r="AQ51" s="1">
        <v>7260194</v>
      </c>
      <c r="AR51" s="1">
        <v>6850940</v>
      </c>
      <c r="AS51" s="1">
        <v>47846256</v>
      </c>
      <c r="AT51" s="1">
        <f t="shared" si="9"/>
        <v>7510303</v>
      </c>
      <c r="AU51">
        <f t="shared" si="10"/>
        <v>1.7316030651127532</v>
      </c>
      <c r="AV51">
        <f t="shared" si="11"/>
        <v>39.497549465333513</v>
      </c>
      <c r="AW51">
        <f t="shared" si="12"/>
        <v>332.42896610907098</v>
      </c>
      <c r="AX51">
        <f t="shared" si="13"/>
        <v>7082.8621775922747</v>
      </c>
      <c r="AY51">
        <f t="shared" si="14"/>
        <v>5631.5971975489165</v>
      </c>
      <c r="AZ51">
        <f t="shared" si="15"/>
        <v>6044.0959314026995</v>
      </c>
      <c r="BA51">
        <f t="shared" si="16"/>
        <v>359.23215617362428</v>
      </c>
    </row>
    <row r="52" spans="1:53" x14ac:dyDescent="0.25">
      <c r="A52" s="1" t="s">
        <v>191</v>
      </c>
      <c r="B52" s="1" t="s">
        <v>154</v>
      </c>
      <c r="D52" s="35">
        <f t="shared" si="0"/>
        <v>114834</v>
      </c>
      <c r="E52" s="1">
        <v>5324</v>
      </c>
      <c r="F52" s="1">
        <v>12364</v>
      </c>
      <c r="G52" s="1">
        <v>96835517</v>
      </c>
      <c r="H52" s="1">
        <v>565499</v>
      </c>
      <c r="I52" s="1">
        <v>518401</v>
      </c>
      <c r="J52" s="1">
        <v>1763291</v>
      </c>
      <c r="K52" s="1">
        <v>2537452</v>
      </c>
      <c r="L52" s="1">
        <v>8628276</v>
      </c>
      <c r="M52" s="1">
        <v>116144</v>
      </c>
      <c r="N52" s="1">
        <v>13244146</v>
      </c>
      <c r="O52" s="1">
        <v>1068602</v>
      </c>
      <c r="P52" s="1">
        <v>88</v>
      </c>
      <c r="Q52" s="1">
        <v>62</v>
      </c>
      <c r="R52" s="1">
        <v>11686</v>
      </c>
      <c r="S52" s="1">
        <v>5082</v>
      </c>
      <c r="T52" s="1">
        <v>27362361</v>
      </c>
      <c r="U52" s="1">
        <v>283992137</v>
      </c>
      <c r="V52" s="1">
        <v>574994303</v>
      </c>
      <c r="W52" s="1">
        <v>560137</v>
      </c>
      <c r="X52" s="1">
        <v>494305</v>
      </c>
      <c r="Y52" s="1">
        <v>114834000</v>
      </c>
      <c r="Z52" s="1">
        <v>12034</v>
      </c>
      <c r="AA52" s="1">
        <v>21914</v>
      </c>
      <c r="AB52" s="1">
        <v>33948</v>
      </c>
      <c r="AC52" s="1">
        <v>631277951</v>
      </c>
      <c r="AD52" s="1">
        <v>147500495</v>
      </c>
      <c r="AE52" s="1">
        <v>445902</v>
      </c>
      <c r="AF52" s="1">
        <v>16557430</v>
      </c>
      <c r="AG52" s="1">
        <v>62164562</v>
      </c>
      <c r="AH52" s="1">
        <v>25336</v>
      </c>
      <c r="AI52" s="1">
        <v>201330585</v>
      </c>
      <c r="AJ52" s="1">
        <v>1059302260</v>
      </c>
      <c r="AK52" s="1">
        <v>957979035</v>
      </c>
      <c r="AL52" s="1">
        <v>49733181</v>
      </c>
      <c r="AM52" s="1">
        <v>53161612</v>
      </c>
      <c r="AN52" s="1">
        <v>1060873828</v>
      </c>
      <c r="AO52" s="1">
        <v>62769597</v>
      </c>
      <c r="AP52" s="1">
        <v>1737750</v>
      </c>
      <c r="AQ52" s="1">
        <v>12084487</v>
      </c>
      <c r="AR52" s="1">
        <v>11672197</v>
      </c>
      <c r="AS52" s="1">
        <v>88264030</v>
      </c>
      <c r="AT52" s="1">
        <f t="shared" si="9"/>
        <v>14312748</v>
      </c>
      <c r="AU52">
        <f t="shared" si="10"/>
        <v>0.49390426221318579</v>
      </c>
      <c r="AV52">
        <f t="shared" si="11"/>
        <v>9.2246395666788583</v>
      </c>
      <c r="AW52">
        <f t="shared" si="12"/>
        <v>238.27752233659021</v>
      </c>
      <c r="AX52">
        <f t="shared" si="13"/>
        <v>5007.1782137694408</v>
      </c>
      <c r="AY52">
        <f t="shared" si="14"/>
        <v>843.26520891025302</v>
      </c>
      <c r="AZ52">
        <f t="shared" si="15"/>
        <v>966.304230454395</v>
      </c>
      <c r="BA52">
        <f t="shared" si="16"/>
        <v>75.13694550394483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A52"/>
  <sheetViews>
    <sheetView workbookViewId="0">
      <pane xSplit="3" ySplit="1" topLeftCell="D2" activePane="bottomRight" state="frozen"/>
      <selection activeCell="B13" sqref="B13:B14"/>
      <selection pane="topRight" activeCell="B13" sqref="B13:B14"/>
      <selection pane="bottomLeft" activeCell="B13" sqref="B13:B14"/>
      <selection pane="bottomRight" activeCell="B13" sqref="B13:B14"/>
    </sheetView>
  </sheetViews>
  <sheetFormatPr defaultRowHeight="12.5" x14ac:dyDescent="0.25"/>
  <cols>
    <col min="3" max="3" width="10" bestFit="1" customWidth="1"/>
    <col min="25" max="25" width="10.1796875" customWidth="1"/>
    <col min="45" max="45" width="11" bestFit="1" customWidth="1"/>
  </cols>
  <sheetData>
    <row r="1" spans="1:53" ht="137.5" x14ac:dyDescent="0.25">
      <c r="A1" s="36" t="s">
        <v>3</v>
      </c>
      <c r="B1" s="36" t="s">
        <v>0</v>
      </c>
      <c r="C1" s="36" t="s">
        <v>27</v>
      </c>
      <c r="D1" s="36" t="s">
        <v>95</v>
      </c>
      <c r="E1" s="36" t="s">
        <v>65</v>
      </c>
      <c r="F1" s="36" t="s">
        <v>66</v>
      </c>
      <c r="G1" s="36" t="s">
        <v>67</v>
      </c>
      <c r="H1" s="36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6" t="s">
        <v>73</v>
      </c>
      <c r="N1" s="36" t="s">
        <v>74</v>
      </c>
      <c r="O1" s="36" t="s">
        <v>75</v>
      </c>
      <c r="P1" s="36" t="s">
        <v>76</v>
      </c>
      <c r="Q1" s="36" t="s">
        <v>77</v>
      </c>
      <c r="R1" s="36" t="s">
        <v>78</v>
      </c>
      <c r="S1" s="36" t="s">
        <v>79</v>
      </c>
      <c r="T1" s="36" t="s">
        <v>80</v>
      </c>
      <c r="U1" s="36" t="s">
        <v>142</v>
      </c>
      <c r="V1" s="36" t="s">
        <v>81</v>
      </c>
      <c r="W1" s="36" t="s">
        <v>96</v>
      </c>
      <c r="X1" s="36" t="s">
        <v>97</v>
      </c>
      <c r="Y1" s="36" t="s">
        <v>82</v>
      </c>
      <c r="Z1" s="36" t="s">
        <v>83</v>
      </c>
      <c r="AA1" s="36" t="s">
        <v>84</v>
      </c>
      <c r="AB1" s="36" t="s">
        <v>85</v>
      </c>
      <c r="AC1" s="36" t="s">
        <v>132</v>
      </c>
      <c r="AD1" s="36" t="s">
        <v>133</v>
      </c>
      <c r="AE1" s="36" t="s">
        <v>134</v>
      </c>
      <c r="AF1" s="36" t="s">
        <v>135</v>
      </c>
      <c r="AG1" s="36" t="s">
        <v>136</v>
      </c>
      <c r="AH1" s="36" t="s">
        <v>137</v>
      </c>
      <c r="AI1" s="36" t="s">
        <v>138</v>
      </c>
      <c r="AJ1" s="36" t="s">
        <v>139</v>
      </c>
      <c r="AK1" s="36" t="s">
        <v>86</v>
      </c>
      <c r="AL1" s="36" t="s">
        <v>87</v>
      </c>
      <c r="AM1" s="36" t="s">
        <v>88</v>
      </c>
      <c r="AN1" s="36" t="s">
        <v>89</v>
      </c>
      <c r="AO1" s="36" t="s">
        <v>90</v>
      </c>
      <c r="AP1" s="36" t="s">
        <v>91</v>
      </c>
      <c r="AQ1" s="36" t="s">
        <v>92</v>
      </c>
      <c r="AR1" s="36" t="s">
        <v>93</v>
      </c>
      <c r="AS1" s="36" t="s">
        <v>94</v>
      </c>
      <c r="AT1" s="36" t="s">
        <v>286</v>
      </c>
      <c r="AU1" s="36" t="s">
        <v>287</v>
      </c>
      <c r="AV1" s="36" t="s">
        <v>288</v>
      </c>
      <c r="AW1" s="36" t="s">
        <v>289</v>
      </c>
      <c r="AX1" s="36" t="s">
        <v>290</v>
      </c>
      <c r="AY1" s="36" t="s">
        <v>291</v>
      </c>
      <c r="AZ1" s="36" t="s">
        <v>292</v>
      </c>
      <c r="BA1" s="36" t="s">
        <v>293</v>
      </c>
    </row>
    <row r="2" spans="1:53" x14ac:dyDescent="0.25">
      <c r="A2" s="1" t="s">
        <v>32</v>
      </c>
      <c r="B2" s="1" t="s">
        <v>150</v>
      </c>
      <c r="C2" s="44" t="s">
        <v>98</v>
      </c>
      <c r="D2" s="35">
        <f>+Y2/1000</f>
        <v>7819.6329999999998</v>
      </c>
      <c r="E2" s="38">
        <v>3757</v>
      </c>
      <c r="F2" s="38">
        <v>3757</v>
      </c>
      <c r="G2" s="38">
        <v>52004510</v>
      </c>
      <c r="H2" s="38">
        <v>16841</v>
      </c>
      <c r="I2" s="38">
        <v>210214</v>
      </c>
      <c r="J2" s="38">
        <v>20569</v>
      </c>
      <c r="K2" s="38">
        <v>84843</v>
      </c>
      <c r="L2" s="38">
        <v>852026</v>
      </c>
      <c r="M2" s="38">
        <v>35573</v>
      </c>
      <c r="N2" s="38">
        <v>280475</v>
      </c>
      <c r="O2" s="38">
        <v>5354</v>
      </c>
      <c r="P2" s="38">
        <v>80</v>
      </c>
      <c r="Q2" s="38">
        <v>44</v>
      </c>
      <c r="R2" s="38">
        <v>397</v>
      </c>
      <c r="S2" s="38">
        <v>202</v>
      </c>
      <c r="T2" s="38">
        <v>901512</v>
      </c>
      <c r="U2" s="38">
        <v>17999677</v>
      </c>
      <c r="V2" s="38">
        <v>8252063</v>
      </c>
      <c r="W2" s="38">
        <v>12021</v>
      </c>
      <c r="X2" s="38">
        <v>13754</v>
      </c>
      <c r="Y2" s="72">
        <v>7819633</v>
      </c>
      <c r="Z2" s="38">
        <v>2915</v>
      </c>
      <c r="AA2" s="38">
        <v>406</v>
      </c>
      <c r="AB2" s="38">
        <v>3321</v>
      </c>
      <c r="AC2" s="38">
        <v>3960297</v>
      </c>
      <c r="AD2" s="38">
        <v>543433</v>
      </c>
      <c r="AE2" s="38">
        <v>0</v>
      </c>
      <c r="AF2" s="38">
        <v>0</v>
      </c>
      <c r="AG2" s="38">
        <v>0</v>
      </c>
      <c r="AH2" s="38">
        <v>0</v>
      </c>
      <c r="AI2" s="38">
        <v>830890</v>
      </c>
      <c r="AJ2" s="38">
        <v>5334620</v>
      </c>
      <c r="AK2" s="38">
        <v>4721347</v>
      </c>
      <c r="AL2" s="38">
        <v>359705</v>
      </c>
      <c r="AM2" s="38">
        <v>253568</v>
      </c>
      <c r="AN2" s="38">
        <v>5334620</v>
      </c>
      <c r="AO2" s="38">
        <v>427170</v>
      </c>
      <c r="AP2" s="38">
        <v>21100</v>
      </c>
      <c r="AQ2" s="38">
        <v>107827</v>
      </c>
      <c r="AR2" s="38">
        <v>95393</v>
      </c>
      <c r="AS2" s="38">
        <v>651490</v>
      </c>
      <c r="AT2" s="1">
        <f>+N2+O2</f>
        <v>285829</v>
      </c>
      <c r="AU2">
        <f>+U2/V2</f>
        <v>2.1812335897096276</v>
      </c>
      <c r="AV2">
        <f>+AJ2/Y2</f>
        <v>0.68220848727811134</v>
      </c>
      <c r="AW2">
        <f>+T2/D2</f>
        <v>115.28827503797173</v>
      </c>
      <c r="AX2">
        <f>+V2/D2</f>
        <v>1055.3005492713021</v>
      </c>
      <c r="AY2">
        <f>+G2/D2</f>
        <v>6650.5052091319376</v>
      </c>
      <c r="AZ2">
        <f>SUM(G2:M2)/D2</f>
        <v>6806.5312016561393</v>
      </c>
      <c r="BA2">
        <f>+L2/D2</f>
        <v>108.95984504643633</v>
      </c>
    </row>
    <row r="3" spans="1:53" x14ac:dyDescent="0.25">
      <c r="A3" s="1" t="s">
        <v>33</v>
      </c>
      <c r="B3" s="1" t="s">
        <v>150</v>
      </c>
      <c r="C3" s="44" t="s">
        <v>99</v>
      </c>
      <c r="D3" s="35">
        <f t="shared" ref="D3:D52" si="0">+Y3/1000</f>
        <v>10223.833000000001</v>
      </c>
      <c r="E3" s="38">
        <v>6090</v>
      </c>
      <c r="F3" s="38">
        <v>7179</v>
      </c>
      <c r="G3" s="38">
        <v>54293396</v>
      </c>
      <c r="H3" s="38">
        <v>78645</v>
      </c>
      <c r="I3" s="38">
        <v>87177</v>
      </c>
      <c r="J3" s="38">
        <v>3951</v>
      </c>
      <c r="K3" s="38">
        <v>130796</v>
      </c>
      <c r="L3" s="38">
        <v>676032</v>
      </c>
      <c r="M3" s="38">
        <v>25018</v>
      </c>
      <c r="N3" s="38">
        <v>1667841</v>
      </c>
      <c r="O3" s="38">
        <v>22204</v>
      </c>
      <c r="P3" s="38">
        <v>76</v>
      </c>
      <c r="Q3" s="38">
        <v>46</v>
      </c>
      <c r="R3" s="38">
        <v>3166</v>
      </c>
      <c r="S3" s="38">
        <v>2116</v>
      </c>
      <c r="T3" s="38">
        <v>1466682</v>
      </c>
      <c r="U3" s="38">
        <v>69208089</v>
      </c>
      <c r="V3" s="38">
        <v>16485563</v>
      </c>
      <c r="W3" s="38">
        <v>68703</v>
      </c>
      <c r="X3" s="38">
        <v>48228</v>
      </c>
      <c r="Y3" s="72">
        <v>10223833</v>
      </c>
      <c r="Z3" s="38">
        <v>3807</v>
      </c>
      <c r="AA3" s="38">
        <v>594</v>
      </c>
      <c r="AB3" s="38">
        <v>4401</v>
      </c>
      <c r="AC3" s="38">
        <v>22656487</v>
      </c>
      <c r="AD3" s="38">
        <v>5164471</v>
      </c>
      <c r="AE3" s="38">
        <v>10916</v>
      </c>
      <c r="AF3" s="38">
        <v>358727</v>
      </c>
      <c r="AG3" s="38">
        <v>1333161</v>
      </c>
      <c r="AH3" s="38">
        <v>380860</v>
      </c>
      <c r="AI3" s="38">
        <v>14089619</v>
      </c>
      <c r="AJ3" s="38">
        <v>43994240</v>
      </c>
      <c r="AK3" s="38">
        <v>45846096</v>
      </c>
      <c r="AL3" s="38">
        <v>157236</v>
      </c>
      <c r="AM3" s="38">
        <v>172074</v>
      </c>
      <c r="AN3" s="38">
        <v>46175406</v>
      </c>
      <c r="AO3" s="38">
        <v>1044702</v>
      </c>
      <c r="AP3" s="38">
        <v>0</v>
      </c>
      <c r="AQ3" s="38">
        <v>0</v>
      </c>
      <c r="AR3" s="38">
        <v>2938566</v>
      </c>
      <c r="AS3" s="38">
        <v>3983268</v>
      </c>
      <c r="AT3" s="1">
        <f t="shared" ref="AT3:AT45" si="1">+N3+O3</f>
        <v>1690045</v>
      </c>
      <c r="AU3">
        <f t="shared" ref="AU3:AU45" si="2">+U3/V3</f>
        <v>4.1981028491413976</v>
      </c>
      <c r="AV3">
        <f t="shared" ref="AV3:AV45" si="3">+AJ3/Y3</f>
        <v>4.3031062811765413</v>
      </c>
      <c r="AW3">
        <f t="shared" ref="AW3:AW45" si="4">+T3/D3</f>
        <v>143.45715545236311</v>
      </c>
      <c r="AX3">
        <f t="shared" ref="AX3:AX45" si="5">+V3/D3</f>
        <v>1612.4640337924141</v>
      </c>
      <c r="AY3">
        <f t="shared" ref="AY3:AY45" si="6">+G3/D3</f>
        <v>5310.4736745993405</v>
      </c>
      <c r="AZ3">
        <f t="shared" ref="AZ3:AZ45" si="7">SUM(G3:M3)/D3</f>
        <v>5408.4427044142831</v>
      </c>
      <c r="BA3">
        <f t="shared" ref="BA3:BA45" si="8">+L3/D3</f>
        <v>66.123145790820331</v>
      </c>
    </row>
    <row r="4" spans="1:53" x14ac:dyDescent="0.25">
      <c r="A4" s="1" t="s">
        <v>34</v>
      </c>
      <c r="B4" s="1" t="s">
        <v>150</v>
      </c>
      <c r="C4" s="44" t="s">
        <v>100</v>
      </c>
      <c r="D4" s="35">
        <f t="shared" si="0"/>
        <v>1431.5530000000001</v>
      </c>
      <c r="E4" s="38">
        <v>546</v>
      </c>
      <c r="F4" s="38">
        <v>664</v>
      </c>
      <c r="G4" s="38">
        <v>10986247</v>
      </c>
      <c r="H4" s="38">
        <v>16010</v>
      </c>
      <c r="I4" s="38">
        <v>17865</v>
      </c>
      <c r="J4" s="38">
        <v>87</v>
      </c>
      <c r="K4" s="38">
        <v>1600</v>
      </c>
      <c r="L4" s="38">
        <v>54302</v>
      </c>
      <c r="M4" s="38">
        <v>900</v>
      </c>
      <c r="N4" s="38">
        <v>535439</v>
      </c>
      <c r="O4" s="38">
        <v>4708</v>
      </c>
      <c r="P4" s="38">
        <v>75</v>
      </c>
      <c r="Q4" s="38">
        <v>5</v>
      </c>
      <c r="R4" s="38">
        <v>631</v>
      </c>
      <c r="S4" s="38">
        <v>603</v>
      </c>
      <c r="T4" s="38">
        <v>447834</v>
      </c>
      <c r="U4" s="38">
        <v>13503545</v>
      </c>
      <c r="V4" s="38">
        <v>6426415</v>
      </c>
      <c r="W4" s="38">
        <v>0</v>
      </c>
      <c r="X4" s="38">
        <v>0</v>
      </c>
      <c r="Y4" s="72">
        <v>1431553</v>
      </c>
      <c r="Z4" s="38">
        <v>1224</v>
      </c>
      <c r="AA4" s="38">
        <v>257</v>
      </c>
      <c r="AB4" s="38">
        <v>1481</v>
      </c>
      <c r="AC4" s="38">
        <v>5053889</v>
      </c>
      <c r="AD4" s="38">
        <v>3335506</v>
      </c>
      <c r="AE4" s="38">
        <v>0</v>
      </c>
      <c r="AF4" s="38">
        <v>446677</v>
      </c>
      <c r="AG4" s="38">
        <v>0</v>
      </c>
      <c r="AH4" s="38">
        <v>0</v>
      </c>
      <c r="AI4" s="38">
        <v>1928745</v>
      </c>
      <c r="AJ4" s="38">
        <v>10764818</v>
      </c>
      <c r="AK4" s="38">
        <v>13209526</v>
      </c>
      <c r="AL4" s="38">
        <v>0</v>
      </c>
      <c r="AM4" s="38">
        <v>269121</v>
      </c>
      <c r="AN4" s="38">
        <v>13478647</v>
      </c>
      <c r="AO4" s="38">
        <v>2513456</v>
      </c>
      <c r="AP4" s="38">
        <v>0</v>
      </c>
      <c r="AQ4" s="38">
        <v>101119</v>
      </c>
      <c r="AR4" s="38">
        <v>88273</v>
      </c>
      <c r="AS4" s="38">
        <v>2702849</v>
      </c>
      <c r="AT4" s="1">
        <f t="shared" si="1"/>
        <v>540147</v>
      </c>
      <c r="AU4">
        <f t="shared" si="2"/>
        <v>2.1012562991963639</v>
      </c>
      <c r="AV4">
        <f t="shared" si="3"/>
        <v>7.5196782794629327</v>
      </c>
      <c r="AW4">
        <f t="shared" si="4"/>
        <v>312.83089064812827</v>
      </c>
      <c r="AX4">
        <f t="shared" si="5"/>
        <v>4489.1212550286291</v>
      </c>
      <c r="AY4">
        <f t="shared" si="6"/>
        <v>7674.3557521097709</v>
      </c>
      <c r="AZ4">
        <f t="shared" si="7"/>
        <v>7737.7582248090002</v>
      </c>
      <c r="BA4">
        <f t="shared" si="8"/>
        <v>37.932231639345517</v>
      </c>
    </row>
    <row r="5" spans="1:53" x14ac:dyDescent="0.25">
      <c r="A5" s="1" t="s">
        <v>35</v>
      </c>
      <c r="B5" s="1" t="s">
        <v>150</v>
      </c>
      <c r="C5" s="44" t="s">
        <v>101</v>
      </c>
      <c r="D5" s="35">
        <f t="shared" si="0"/>
        <v>10017.547</v>
      </c>
      <c r="E5" s="38">
        <v>2470</v>
      </c>
      <c r="F5" s="38">
        <v>3003</v>
      </c>
      <c r="G5" s="38">
        <v>40714533</v>
      </c>
      <c r="H5" s="38">
        <v>44888</v>
      </c>
      <c r="I5" s="38">
        <v>95904</v>
      </c>
      <c r="J5" s="38">
        <v>22004</v>
      </c>
      <c r="K5" s="38">
        <v>3432</v>
      </c>
      <c r="L5" s="38">
        <v>1443321</v>
      </c>
      <c r="M5" s="38">
        <v>48915</v>
      </c>
      <c r="N5" s="38">
        <v>1079410</v>
      </c>
      <c r="O5" s="38">
        <v>70025</v>
      </c>
      <c r="P5" s="38">
        <v>77</v>
      </c>
      <c r="Q5" s="38">
        <v>46</v>
      </c>
      <c r="R5" s="38">
        <v>373</v>
      </c>
      <c r="S5" s="38">
        <v>190</v>
      </c>
      <c r="T5" s="38">
        <v>1362096</v>
      </c>
      <c r="U5" s="38">
        <v>12554527</v>
      </c>
      <c r="V5" s="38">
        <v>16580105</v>
      </c>
      <c r="W5" s="38">
        <v>15962</v>
      </c>
      <c r="X5" s="38">
        <v>45618</v>
      </c>
      <c r="Y5" s="72">
        <v>10017547</v>
      </c>
      <c r="Z5" s="38">
        <v>3566</v>
      </c>
      <c r="AA5" s="38">
        <v>2166</v>
      </c>
      <c r="AB5" s="38">
        <v>5732</v>
      </c>
      <c r="AC5" s="38">
        <v>21484399</v>
      </c>
      <c r="AD5" s="38">
        <v>5045211</v>
      </c>
      <c r="AE5" s="38">
        <v>0</v>
      </c>
      <c r="AF5" s="38">
        <v>0</v>
      </c>
      <c r="AG5" s="38">
        <v>0</v>
      </c>
      <c r="AH5" s="38">
        <v>0</v>
      </c>
      <c r="AI5" s="38">
        <v>18160365</v>
      </c>
      <c r="AJ5" s="38">
        <v>44689975</v>
      </c>
      <c r="AK5" s="38">
        <v>30615395</v>
      </c>
      <c r="AL5" s="38">
        <v>0</v>
      </c>
      <c r="AM5" s="38">
        <v>14074580</v>
      </c>
      <c r="AN5" s="38">
        <v>44689975</v>
      </c>
      <c r="AO5" s="38">
        <v>3475597</v>
      </c>
      <c r="AP5" s="38">
        <v>171680</v>
      </c>
      <c r="AQ5" s="38">
        <v>877318</v>
      </c>
      <c r="AR5" s="38">
        <v>776139</v>
      </c>
      <c r="AS5" s="38">
        <v>5300734</v>
      </c>
      <c r="AT5" s="1">
        <f t="shared" si="1"/>
        <v>1149435</v>
      </c>
      <c r="AU5">
        <f t="shared" si="2"/>
        <v>0.75720431203541838</v>
      </c>
      <c r="AV5">
        <f t="shared" si="3"/>
        <v>4.4611694859030857</v>
      </c>
      <c r="AW5">
        <f t="shared" si="4"/>
        <v>135.97101166582996</v>
      </c>
      <c r="AX5">
        <f t="shared" si="5"/>
        <v>1655.1062850017074</v>
      </c>
      <c r="AY5">
        <f t="shared" si="6"/>
        <v>4064.3216348273681</v>
      </c>
      <c r="AZ5">
        <f t="shared" si="7"/>
        <v>4229.877533891281</v>
      </c>
      <c r="BA5">
        <f t="shared" si="8"/>
        <v>144.07928408022443</v>
      </c>
    </row>
    <row r="6" spans="1:53" x14ac:dyDescent="0.25">
      <c r="A6" s="1" t="s">
        <v>36</v>
      </c>
      <c r="B6" s="1" t="s">
        <v>150</v>
      </c>
      <c r="C6" s="44" t="s">
        <v>102</v>
      </c>
      <c r="D6" s="35">
        <f t="shared" si="0"/>
        <v>2326.1999999999998</v>
      </c>
      <c r="E6" s="38">
        <v>920</v>
      </c>
      <c r="F6" s="38">
        <v>920</v>
      </c>
      <c r="G6" s="38">
        <v>11738720</v>
      </c>
      <c r="H6" s="38">
        <v>11596</v>
      </c>
      <c r="I6" s="38">
        <v>24782</v>
      </c>
      <c r="J6" s="38">
        <v>5997</v>
      </c>
      <c r="K6" s="38">
        <v>1358</v>
      </c>
      <c r="L6" s="38">
        <v>164674</v>
      </c>
      <c r="M6" s="38">
        <v>7953</v>
      </c>
      <c r="N6" s="38">
        <v>298116</v>
      </c>
      <c r="O6" s="38">
        <v>14554</v>
      </c>
      <c r="P6" s="38">
        <v>77</v>
      </c>
      <c r="Q6" s="38">
        <v>46</v>
      </c>
      <c r="R6" s="38">
        <v>250</v>
      </c>
      <c r="S6" s="38">
        <v>44</v>
      </c>
      <c r="T6" s="38">
        <v>575148</v>
      </c>
      <c r="U6" s="38">
        <v>21104458</v>
      </c>
      <c r="V6" s="38">
        <v>6440086</v>
      </c>
      <c r="W6" s="38">
        <v>0</v>
      </c>
      <c r="X6" s="38">
        <v>0</v>
      </c>
      <c r="Y6" s="72">
        <v>2326200</v>
      </c>
      <c r="Z6" s="38">
        <v>1828</v>
      </c>
      <c r="AA6" s="38">
        <v>655</v>
      </c>
      <c r="AB6" s="38">
        <v>2483</v>
      </c>
      <c r="AC6" s="38">
        <v>5638690</v>
      </c>
      <c r="AD6" s="38">
        <v>1456082</v>
      </c>
      <c r="AE6" s="38">
        <v>0</v>
      </c>
      <c r="AF6" s="38">
        <v>0</v>
      </c>
      <c r="AG6" s="38">
        <v>0</v>
      </c>
      <c r="AH6" s="38">
        <v>0</v>
      </c>
      <c r="AI6" s="38">
        <v>3072809</v>
      </c>
      <c r="AJ6" s="38">
        <v>10167581</v>
      </c>
      <c r="AK6" s="38">
        <v>10126712</v>
      </c>
      <c r="AL6" s="38">
        <v>26955</v>
      </c>
      <c r="AM6" s="38">
        <v>13914</v>
      </c>
      <c r="AN6" s="38">
        <v>10167581</v>
      </c>
      <c r="AO6" s="38">
        <v>109075</v>
      </c>
      <c r="AP6" s="38">
        <v>6964</v>
      </c>
      <c r="AQ6" s="38">
        <v>34978</v>
      </c>
      <c r="AR6" s="38">
        <v>32330</v>
      </c>
      <c r="AS6" s="38">
        <v>183347</v>
      </c>
      <c r="AT6" s="1">
        <f t="shared" si="1"/>
        <v>312670</v>
      </c>
      <c r="AU6">
        <f t="shared" si="2"/>
        <v>3.277045989758522</v>
      </c>
      <c r="AV6">
        <f t="shared" si="3"/>
        <v>4.3708971713524205</v>
      </c>
      <c r="AW6">
        <f t="shared" si="4"/>
        <v>247.24787206603045</v>
      </c>
      <c r="AX6">
        <f t="shared" si="5"/>
        <v>2768.5005588513459</v>
      </c>
      <c r="AY6">
        <f t="shared" si="6"/>
        <v>5046.3072822629183</v>
      </c>
      <c r="AZ6">
        <f t="shared" si="7"/>
        <v>5139.3173415871379</v>
      </c>
      <c r="BA6">
        <f t="shared" si="8"/>
        <v>70.790989596767261</v>
      </c>
    </row>
    <row r="7" spans="1:53" x14ac:dyDescent="0.25">
      <c r="A7" s="1" t="s">
        <v>37</v>
      </c>
      <c r="B7" s="1" t="s">
        <v>150</v>
      </c>
      <c r="C7" s="44" t="s">
        <v>103</v>
      </c>
      <c r="D7" s="35">
        <f t="shared" si="0"/>
        <v>3646.32</v>
      </c>
      <c r="E7" s="38">
        <v>66</v>
      </c>
      <c r="F7" s="38">
        <v>1432</v>
      </c>
      <c r="G7" s="38">
        <v>22471450</v>
      </c>
      <c r="H7" s="38">
        <v>11434</v>
      </c>
      <c r="I7" s="38">
        <v>19059</v>
      </c>
      <c r="J7" s="38">
        <v>9522</v>
      </c>
      <c r="K7" s="38">
        <v>1174</v>
      </c>
      <c r="L7" s="38">
        <v>245876</v>
      </c>
      <c r="M7" s="38">
        <v>1958</v>
      </c>
      <c r="N7" s="38">
        <v>916453</v>
      </c>
      <c r="O7" s="38">
        <v>4992</v>
      </c>
      <c r="P7" s="38">
        <v>96</v>
      </c>
      <c r="Q7" s="38">
        <v>46</v>
      </c>
      <c r="R7" s="38">
        <v>375</v>
      </c>
      <c r="S7" s="38">
        <v>66</v>
      </c>
      <c r="T7" s="38">
        <v>831741</v>
      </c>
      <c r="U7" s="38">
        <v>25190465</v>
      </c>
      <c r="V7" s="38">
        <v>9794035</v>
      </c>
      <c r="W7" s="38">
        <v>9376</v>
      </c>
      <c r="X7" s="38">
        <v>71675</v>
      </c>
      <c r="Y7" s="72">
        <v>3646320</v>
      </c>
      <c r="Z7" s="38">
        <v>3104</v>
      </c>
      <c r="AA7" s="38">
        <v>892</v>
      </c>
      <c r="AB7" s="38">
        <v>3996</v>
      </c>
      <c r="AC7" s="38">
        <v>9291103</v>
      </c>
      <c r="AD7" s="38">
        <v>1787983</v>
      </c>
      <c r="AE7" s="38">
        <v>145149</v>
      </c>
      <c r="AF7" s="38">
        <v>214887</v>
      </c>
      <c r="AG7" s="38">
        <v>506659</v>
      </c>
      <c r="AH7" s="38">
        <v>0</v>
      </c>
      <c r="AI7" s="38">
        <v>4400886</v>
      </c>
      <c r="AJ7" s="38">
        <v>16346667</v>
      </c>
      <c r="AK7" s="38">
        <v>15696957</v>
      </c>
      <c r="AL7" s="38">
        <v>441912</v>
      </c>
      <c r="AM7" s="38">
        <v>266475</v>
      </c>
      <c r="AN7" s="38">
        <v>16405344</v>
      </c>
      <c r="AO7" s="38">
        <v>1364058</v>
      </c>
      <c r="AP7" s="38">
        <v>67378</v>
      </c>
      <c r="AQ7" s="38">
        <v>344319</v>
      </c>
      <c r="AR7" s="38">
        <v>304609</v>
      </c>
      <c r="AS7" s="38">
        <v>2080364</v>
      </c>
      <c r="AT7" s="1">
        <f t="shared" si="1"/>
        <v>921445</v>
      </c>
      <c r="AU7">
        <f t="shared" si="2"/>
        <v>2.5720211332714249</v>
      </c>
      <c r="AV7">
        <f t="shared" si="3"/>
        <v>4.4830588099782798</v>
      </c>
      <c r="AW7">
        <f t="shared" si="4"/>
        <v>228.10422563022445</v>
      </c>
      <c r="AX7">
        <f t="shared" si="5"/>
        <v>2686.0053423725835</v>
      </c>
      <c r="AY7">
        <f t="shared" si="6"/>
        <v>6162.7750718532652</v>
      </c>
      <c r="AZ7">
        <f t="shared" si="7"/>
        <v>6242.0393712016494</v>
      </c>
      <c r="BA7">
        <f t="shared" si="8"/>
        <v>67.431273174049451</v>
      </c>
    </row>
    <row r="8" spans="1:53" x14ac:dyDescent="0.25">
      <c r="A8" s="1" t="s">
        <v>38</v>
      </c>
      <c r="B8" s="1" t="s">
        <v>150</v>
      </c>
      <c r="C8" s="44" t="s">
        <v>104</v>
      </c>
      <c r="D8" s="35">
        <f t="shared" si="0"/>
        <v>38652</v>
      </c>
      <c r="E8" s="38">
        <v>9226</v>
      </c>
      <c r="F8" s="38">
        <v>3564</v>
      </c>
      <c r="G8" s="38">
        <v>135816403</v>
      </c>
      <c r="H8" s="38">
        <v>112514</v>
      </c>
      <c r="I8" s="38">
        <v>180494</v>
      </c>
      <c r="J8" s="38">
        <v>64548</v>
      </c>
      <c r="K8" s="38">
        <v>10379</v>
      </c>
      <c r="L8" s="38">
        <v>2596064</v>
      </c>
      <c r="M8" s="38">
        <v>26799</v>
      </c>
      <c r="N8" s="38">
        <v>3792692</v>
      </c>
      <c r="O8" s="38">
        <v>121162</v>
      </c>
      <c r="P8" s="38">
        <v>77</v>
      </c>
      <c r="Q8" s="38">
        <v>46</v>
      </c>
      <c r="R8" s="38">
        <v>1699</v>
      </c>
      <c r="S8" s="38">
        <v>863</v>
      </c>
      <c r="T8" s="38">
        <v>7219507</v>
      </c>
      <c r="U8" s="38">
        <v>188957087</v>
      </c>
      <c r="V8" s="38">
        <v>50461696</v>
      </c>
      <c r="W8" s="38">
        <v>103292</v>
      </c>
      <c r="X8" s="38">
        <v>118293</v>
      </c>
      <c r="Y8" s="72">
        <v>38652000</v>
      </c>
      <c r="Z8" s="38">
        <v>11133</v>
      </c>
      <c r="AA8" s="38">
        <v>6688</v>
      </c>
      <c r="AB8" s="38">
        <v>17821</v>
      </c>
      <c r="AC8" s="38">
        <v>70362317</v>
      </c>
      <c r="AD8" s="38">
        <v>22233713</v>
      </c>
      <c r="AE8" s="38">
        <v>66144</v>
      </c>
      <c r="AF8" s="38">
        <v>1027436</v>
      </c>
      <c r="AG8" s="38">
        <v>2225907</v>
      </c>
      <c r="AH8" s="38">
        <v>377641</v>
      </c>
      <c r="AI8" s="38">
        <v>45423189</v>
      </c>
      <c r="AJ8" s="38">
        <v>141716347</v>
      </c>
      <c r="AK8" s="38">
        <v>118661663</v>
      </c>
      <c r="AL8" s="38">
        <v>5442266</v>
      </c>
      <c r="AM8" s="38">
        <v>17612418</v>
      </c>
      <c r="AN8" s="38">
        <v>141716347</v>
      </c>
      <c r="AO8" s="38">
        <v>11068314</v>
      </c>
      <c r="AP8" s="38">
        <v>546731</v>
      </c>
      <c r="AQ8" s="38">
        <v>2793889</v>
      </c>
      <c r="AR8" s="38">
        <v>2471673</v>
      </c>
      <c r="AS8" s="38">
        <v>16880607</v>
      </c>
      <c r="AT8" s="1">
        <f t="shared" si="1"/>
        <v>3913854</v>
      </c>
      <c r="AU8">
        <f t="shared" si="2"/>
        <v>3.7445647288588955</v>
      </c>
      <c r="AV8">
        <f t="shared" si="3"/>
        <v>3.6664686691503672</v>
      </c>
      <c r="AW8">
        <f t="shared" si="4"/>
        <v>186.78223636551795</v>
      </c>
      <c r="AX8">
        <f t="shared" si="5"/>
        <v>1305.5390665424816</v>
      </c>
      <c r="AY8">
        <f t="shared" si="6"/>
        <v>3513.8260115906032</v>
      </c>
      <c r="AZ8">
        <f t="shared" si="7"/>
        <v>3591.2035858429058</v>
      </c>
      <c r="BA8">
        <f t="shared" si="8"/>
        <v>67.165062609955498</v>
      </c>
    </row>
    <row r="9" spans="1:53" x14ac:dyDescent="0.25">
      <c r="A9" s="1" t="s">
        <v>39</v>
      </c>
      <c r="B9" s="1" t="s">
        <v>150</v>
      </c>
      <c r="C9" s="44" t="s">
        <v>105</v>
      </c>
      <c r="D9" s="35">
        <f t="shared" si="0"/>
        <v>22104.441999999999</v>
      </c>
      <c r="E9" s="38">
        <v>2814</v>
      </c>
      <c r="F9" s="38">
        <v>3190</v>
      </c>
      <c r="G9" s="38">
        <v>48716685</v>
      </c>
      <c r="H9" s="38">
        <v>8923</v>
      </c>
      <c r="I9" s="38">
        <v>10268</v>
      </c>
      <c r="J9" s="38">
        <v>69088</v>
      </c>
      <c r="K9" s="38">
        <v>9439</v>
      </c>
      <c r="L9" s="38">
        <v>305960</v>
      </c>
      <c r="M9" s="38">
        <v>4000</v>
      </c>
      <c r="N9" s="38">
        <v>1033452</v>
      </c>
      <c r="O9" s="38">
        <v>7300</v>
      </c>
      <c r="P9" s="38">
        <v>74</v>
      </c>
      <c r="Q9" s="38">
        <v>9</v>
      </c>
      <c r="R9" s="38">
        <v>288</v>
      </c>
      <c r="S9" s="38">
        <v>114</v>
      </c>
      <c r="T9" s="38">
        <v>2046676</v>
      </c>
      <c r="U9" s="38">
        <v>36324232</v>
      </c>
      <c r="V9" s="38">
        <v>16890884</v>
      </c>
      <c r="W9" s="38">
        <v>3676</v>
      </c>
      <c r="X9" s="38">
        <v>4316</v>
      </c>
      <c r="Y9" s="72">
        <v>22104442</v>
      </c>
      <c r="Z9" s="38">
        <v>4475</v>
      </c>
      <c r="AA9" s="38">
        <v>783</v>
      </c>
      <c r="AB9" s="38">
        <v>5257</v>
      </c>
      <c r="AC9" s="38">
        <v>9775415</v>
      </c>
      <c r="AD9" s="38">
        <v>1394188</v>
      </c>
      <c r="AE9" s="38">
        <v>3028</v>
      </c>
      <c r="AF9" s="38">
        <v>47040</v>
      </c>
      <c r="AG9" s="38">
        <v>101912</v>
      </c>
      <c r="AH9" s="38">
        <v>17291</v>
      </c>
      <c r="AI9" s="38">
        <v>2079678</v>
      </c>
      <c r="AJ9" s="38">
        <v>13418552</v>
      </c>
      <c r="AK9" s="38">
        <v>13015995</v>
      </c>
      <c r="AL9" s="38">
        <v>134186</v>
      </c>
      <c r="AM9" s="38">
        <v>268371</v>
      </c>
      <c r="AN9" s="38">
        <v>13418552</v>
      </c>
      <c r="AO9" s="38">
        <v>942312</v>
      </c>
      <c r="AP9" s="38">
        <v>60231</v>
      </c>
      <c r="AQ9" s="38">
        <v>307789</v>
      </c>
      <c r="AR9" s="38">
        <v>272292</v>
      </c>
      <c r="AS9" s="38">
        <v>1582624</v>
      </c>
      <c r="AT9" s="1">
        <f t="shared" si="1"/>
        <v>1040752</v>
      </c>
      <c r="AU9">
        <f t="shared" si="2"/>
        <v>2.1505228500769999</v>
      </c>
      <c r="AV9">
        <f t="shared" si="3"/>
        <v>0.60705228388031696</v>
      </c>
      <c r="AW9">
        <f t="shared" si="4"/>
        <v>92.591163350787141</v>
      </c>
      <c r="AX9">
        <f t="shared" si="5"/>
        <v>764.13980502199513</v>
      </c>
      <c r="AY9">
        <f t="shared" si="6"/>
        <v>2203.9319065371569</v>
      </c>
      <c r="AZ9">
        <f t="shared" si="7"/>
        <v>2222.3751678508784</v>
      </c>
      <c r="BA9">
        <f t="shared" si="8"/>
        <v>13.841561800112395</v>
      </c>
    </row>
    <row r="10" spans="1:53" x14ac:dyDescent="0.25">
      <c r="A10" s="1" t="s">
        <v>40</v>
      </c>
      <c r="B10" s="1" t="s">
        <v>150</v>
      </c>
      <c r="C10" s="44" t="s">
        <v>106</v>
      </c>
      <c r="D10" s="35">
        <f t="shared" si="0"/>
        <v>5398.9830000000002</v>
      </c>
      <c r="E10" s="38">
        <v>2656</v>
      </c>
      <c r="F10" s="38">
        <v>2909</v>
      </c>
      <c r="G10" s="38">
        <v>18954167</v>
      </c>
      <c r="H10" s="38">
        <v>11271</v>
      </c>
      <c r="I10" s="38">
        <v>13335</v>
      </c>
      <c r="J10" s="38">
        <v>633</v>
      </c>
      <c r="K10" s="38">
        <v>100</v>
      </c>
      <c r="L10" s="38">
        <v>243788</v>
      </c>
      <c r="M10" s="38">
        <v>2058</v>
      </c>
      <c r="N10" s="38">
        <v>334372</v>
      </c>
      <c r="O10" s="38">
        <v>1686</v>
      </c>
      <c r="P10" s="38">
        <v>93</v>
      </c>
      <c r="Q10" s="38">
        <v>30</v>
      </c>
      <c r="R10" s="38">
        <v>160</v>
      </c>
      <c r="S10" s="38">
        <v>142</v>
      </c>
      <c r="T10" s="38">
        <v>678637</v>
      </c>
      <c r="U10" s="38">
        <v>24702257</v>
      </c>
      <c r="V10" s="38">
        <v>6843282</v>
      </c>
      <c r="W10" s="38">
        <v>4852</v>
      </c>
      <c r="X10" s="38">
        <v>8475</v>
      </c>
      <c r="Y10" s="72">
        <v>5398983</v>
      </c>
      <c r="Z10" s="38">
        <v>1585</v>
      </c>
      <c r="AA10" s="38">
        <v>211</v>
      </c>
      <c r="AB10" s="38">
        <v>1796</v>
      </c>
      <c r="AC10" s="38">
        <v>4007711</v>
      </c>
      <c r="AD10" s="38">
        <v>846135</v>
      </c>
      <c r="AE10" s="38">
        <v>0</v>
      </c>
      <c r="AF10" s="38">
        <v>0</v>
      </c>
      <c r="AG10" s="38">
        <v>0</v>
      </c>
      <c r="AH10" s="38">
        <v>0</v>
      </c>
      <c r="AI10" s="38">
        <v>3279804</v>
      </c>
      <c r="AJ10" s="38">
        <v>8133651</v>
      </c>
      <c r="AK10" s="38">
        <v>6826698</v>
      </c>
      <c r="AL10" s="38">
        <v>671913</v>
      </c>
      <c r="AM10" s="38">
        <v>635040</v>
      </c>
      <c r="AN10" s="38">
        <v>8133651</v>
      </c>
      <c r="AO10" s="38">
        <v>448943</v>
      </c>
      <c r="AP10" s="38">
        <v>0</v>
      </c>
      <c r="AQ10" s="38">
        <v>64424</v>
      </c>
      <c r="AR10" s="38">
        <v>83734</v>
      </c>
      <c r="AS10" s="38">
        <v>597102</v>
      </c>
      <c r="AT10" s="1">
        <f t="shared" si="1"/>
        <v>336058</v>
      </c>
      <c r="AU10">
        <f t="shared" si="2"/>
        <v>3.6097090548073276</v>
      </c>
      <c r="AV10">
        <f t="shared" si="3"/>
        <v>1.5065153937324862</v>
      </c>
      <c r="AW10">
        <f t="shared" si="4"/>
        <v>125.69719148958238</v>
      </c>
      <c r="AX10">
        <f t="shared" si="5"/>
        <v>1267.5131594228023</v>
      </c>
      <c r="AY10">
        <f t="shared" si="6"/>
        <v>3510.6921062726074</v>
      </c>
      <c r="AZ10">
        <f t="shared" si="7"/>
        <v>3560.9210104940134</v>
      </c>
      <c r="BA10">
        <f t="shared" si="8"/>
        <v>45.154430010244518</v>
      </c>
    </row>
    <row r="11" spans="1:53" x14ac:dyDescent="0.25">
      <c r="A11" s="1" t="s">
        <v>41</v>
      </c>
      <c r="B11" s="1" t="s">
        <v>150</v>
      </c>
      <c r="C11" s="44" t="s">
        <v>107</v>
      </c>
      <c r="D11" s="35">
        <f t="shared" si="0"/>
        <v>1988.348</v>
      </c>
      <c r="E11" s="38">
        <v>60</v>
      </c>
      <c r="F11" s="38">
        <v>256</v>
      </c>
      <c r="G11" s="38">
        <v>7087968</v>
      </c>
      <c r="H11" s="38">
        <v>11079</v>
      </c>
      <c r="I11" s="38">
        <v>27950</v>
      </c>
      <c r="J11" s="38">
        <v>13689</v>
      </c>
      <c r="K11" s="38">
        <v>719</v>
      </c>
      <c r="L11" s="38">
        <v>234315</v>
      </c>
      <c r="M11" s="38">
        <v>13843</v>
      </c>
      <c r="N11" s="38">
        <v>354622</v>
      </c>
      <c r="O11" s="38">
        <v>34022</v>
      </c>
      <c r="P11" s="38">
        <v>82</v>
      </c>
      <c r="Q11" s="38">
        <v>74</v>
      </c>
      <c r="R11" s="38">
        <v>675</v>
      </c>
      <c r="S11" s="38">
        <v>387</v>
      </c>
      <c r="T11" s="38">
        <v>486108</v>
      </c>
      <c r="U11" s="38">
        <v>21883936</v>
      </c>
      <c r="V11" s="38">
        <v>7830326</v>
      </c>
      <c r="W11" s="38">
        <v>0</v>
      </c>
      <c r="X11" s="38">
        <v>0</v>
      </c>
      <c r="Y11" s="72">
        <v>1988348</v>
      </c>
      <c r="Z11" s="38">
        <v>626</v>
      </c>
      <c r="AA11" s="38">
        <v>242</v>
      </c>
      <c r="AB11" s="38">
        <v>868</v>
      </c>
      <c r="AC11" s="38">
        <v>15399404</v>
      </c>
      <c r="AD11" s="38">
        <v>5863893</v>
      </c>
      <c r="AE11" s="38">
        <v>96704</v>
      </c>
      <c r="AF11" s="38">
        <v>794158</v>
      </c>
      <c r="AG11" s="38">
        <v>6797167</v>
      </c>
      <c r="AH11" s="38">
        <v>1467029</v>
      </c>
      <c r="AI11" s="38">
        <v>0</v>
      </c>
      <c r="AJ11" s="38">
        <v>30418356</v>
      </c>
      <c r="AK11" s="38">
        <v>22032865</v>
      </c>
      <c r="AL11" s="38">
        <v>3557514</v>
      </c>
      <c r="AM11" s="38">
        <v>3049829</v>
      </c>
      <c r="AN11" s="38">
        <v>28640208</v>
      </c>
      <c r="AO11" s="38">
        <v>2514440</v>
      </c>
      <c r="AP11" s="38">
        <v>160718</v>
      </c>
      <c r="AQ11" s="38">
        <v>821296</v>
      </c>
      <c r="AR11" s="38">
        <v>726577</v>
      </c>
      <c r="AS11" s="38">
        <v>4223031</v>
      </c>
      <c r="AT11" s="1">
        <f t="shared" si="1"/>
        <v>388644</v>
      </c>
      <c r="AU11">
        <f t="shared" si="2"/>
        <v>2.7947669100877794</v>
      </c>
      <c r="AV11">
        <f t="shared" si="3"/>
        <v>15.298305930350221</v>
      </c>
      <c r="AW11">
        <f t="shared" si="4"/>
        <v>244.47833075497851</v>
      </c>
      <c r="AX11">
        <f t="shared" si="5"/>
        <v>3938.1064079326156</v>
      </c>
      <c r="AY11">
        <f t="shared" si="6"/>
        <v>3564.7522465886254</v>
      </c>
      <c r="AZ11">
        <f t="shared" si="7"/>
        <v>3716.433441228598</v>
      </c>
      <c r="BA11">
        <f t="shared" si="8"/>
        <v>117.84405949059219</v>
      </c>
    </row>
    <row r="12" spans="1:53" x14ac:dyDescent="0.25">
      <c r="A12" s="1" t="s">
        <v>42</v>
      </c>
      <c r="B12" s="1" t="s">
        <v>151</v>
      </c>
      <c r="C12" s="44" t="s">
        <v>108</v>
      </c>
      <c r="D12" s="35">
        <f t="shared" si="0"/>
        <v>8122.933</v>
      </c>
      <c r="E12" s="38">
        <v>993</v>
      </c>
      <c r="F12" s="38">
        <v>1825</v>
      </c>
      <c r="G12" s="38">
        <v>9432575</v>
      </c>
      <c r="H12" s="38">
        <v>58806</v>
      </c>
      <c r="I12" s="38">
        <v>55469</v>
      </c>
      <c r="J12" s="38">
        <v>61572</v>
      </c>
      <c r="K12" s="38">
        <v>491823</v>
      </c>
      <c r="L12" s="38">
        <v>1007203</v>
      </c>
      <c r="M12" s="38">
        <v>27152</v>
      </c>
      <c r="N12" s="38">
        <v>1082383</v>
      </c>
      <c r="O12" s="38">
        <v>117618</v>
      </c>
      <c r="P12" s="38">
        <v>100</v>
      </c>
      <c r="Q12" s="38">
        <v>72</v>
      </c>
      <c r="R12" s="38">
        <v>1852</v>
      </c>
      <c r="S12" s="38">
        <v>1852</v>
      </c>
      <c r="T12" s="38">
        <v>848586</v>
      </c>
      <c r="U12" s="38">
        <v>14275803</v>
      </c>
      <c r="V12" s="38">
        <v>5249111</v>
      </c>
      <c r="W12" s="38">
        <v>19868</v>
      </c>
      <c r="X12" s="38">
        <v>21718</v>
      </c>
      <c r="Y12" s="72">
        <v>8122933</v>
      </c>
      <c r="Z12" s="38">
        <v>667</v>
      </c>
      <c r="AA12" s="38">
        <v>532</v>
      </c>
      <c r="AB12" s="38">
        <v>1199</v>
      </c>
      <c r="AC12" s="38">
        <v>33403971</v>
      </c>
      <c r="AD12" s="38">
        <v>5639644</v>
      </c>
      <c r="AE12" s="38">
        <v>22031</v>
      </c>
      <c r="AF12" s="38">
        <v>776573</v>
      </c>
      <c r="AG12" s="38">
        <v>2915684</v>
      </c>
      <c r="AH12" s="38">
        <v>41276</v>
      </c>
      <c r="AI12" s="38">
        <v>8435044</v>
      </c>
      <c r="AJ12" s="38">
        <v>51234223</v>
      </c>
      <c r="AK12" s="38">
        <v>46302662</v>
      </c>
      <c r="AL12" s="38">
        <v>3252539</v>
      </c>
      <c r="AM12" s="38">
        <v>1679022</v>
      </c>
      <c r="AN12" s="38">
        <v>51234223</v>
      </c>
      <c r="AO12" s="38">
        <v>3887908</v>
      </c>
      <c r="AP12" s="38">
        <v>197810</v>
      </c>
      <c r="AQ12" s="38">
        <v>1005222</v>
      </c>
      <c r="AR12" s="38">
        <v>780718</v>
      </c>
      <c r="AS12" s="38">
        <v>5871658</v>
      </c>
      <c r="AT12" s="1">
        <f t="shared" si="1"/>
        <v>1200001</v>
      </c>
      <c r="AU12">
        <f t="shared" si="2"/>
        <v>2.7196611007082914</v>
      </c>
      <c r="AV12">
        <f t="shared" si="3"/>
        <v>6.3073551142179802</v>
      </c>
      <c r="AW12">
        <f t="shared" si="4"/>
        <v>104.4679304876699</v>
      </c>
      <c r="AX12">
        <f t="shared" si="5"/>
        <v>646.20882629464018</v>
      </c>
      <c r="AY12">
        <f t="shared" si="6"/>
        <v>1161.2277240252997</v>
      </c>
      <c r="AZ12">
        <f t="shared" si="7"/>
        <v>1370.7610292981612</v>
      </c>
      <c r="BA12">
        <f t="shared" si="8"/>
        <v>123.99499047942412</v>
      </c>
    </row>
    <row r="13" spans="1:53" x14ac:dyDescent="0.25">
      <c r="A13" s="1" t="s">
        <v>318</v>
      </c>
      <c r="B13" s="1" t="s">
        <v>318</v>
      </c>
      <c r="C13" s="44" t="s">
        <v>317</v>
      </c>
      <c r="D13" s="35">
        <f t="shared" si="0"/>
        <v>6260.1440000000002</v>
      </c>
      <c r="E13" s="38">
        <v>309</v>
      </c>
      <c r="F13" s="38">
        <v>879</v>
      </c>
      <c r="G13" s="38">
        <v>21553143</v>
      </c>
      <c r="H13" s="38"/>
      <c r="I13" s="38">
        <v>43967</v>
      </c>
      <c r="J13" s="38"/>
      <c r="K13" s="38"/>
      <c r="L13" s="38">
        <v>2235649</v>
      </c>
      <c r="M13" s="38">
        <v>129303</v>
      </c>
      <c r="N13" s="38">
        <v>1372535</v>
      </c>
      <c r="O13" s="38">
        <v>231928</v>
      </c>
      <c r="P13" s="38"/>
      <c r="Q13" s="38">
        <v>98</v>
      </c>
      <c r="R13" s="38"/>
      <c r="S13" s="38"/>
      <c r="T13" s="38">
        <v>1713351</v>
      </c>
      <c r="U13" s="38">
        <v>53679183</v>
      </c>
      <c r="V13" s="38"/>
      <c r="W13" s="38">
        <f>ROUND(W15*0.67,0)</f>
        <v>28067</v>
      </c>
      <c r="X13" s="38">
        <f>ROUND(X15*0.67,0)</f>
        <v>23748</v>
      </c>
      <c r="Y13" s="72">
        <v>6260144</v>
      </c>
      <c r="Z13" s="38">
        <v>1724</v>
      </c>
      <c r="AA13" s="38">
        <v>977</v>
      </c>
      <c r="AB13" s="38">
        <v>2701</v>
      </c>
      <c r="AC13" s="38">
        <v>92360814</v>
      </c>
      <c r="AD13" s="38">
        <v>18239528</v>
      </c>
      <c r="AE13" s="38">
        <v>3783959</v>
      </c>
      <c r="AF13" s="38">
        <v>0</v>
      </c>
      <c r="AG13" s="38">
        <v>0</v>
      </c>
      <c r="AH13" s="38">
        <v>20638480</v>
      </c>
      <c r="AI13" s="38">
        <v>21364633</v>
      </c>
      <c r="AJ13" s="38">
        <v>156387414</v>
      </c>
      <c r="AK13" s="38">
        <v>54231239</v>
      </c>
      <c r="AL13" s="38">
        <v>9258630</v>
      </c>
      <c r="AM13" s="38">
        <v>822122</v>
      </c>
      <c r="AN13" s="38">
        <v>64311991</v>
      </c>
      <c r="AO13" s="38"/>
      <c r="AP13" s="38"/>
      <c r="AQ13" s="38"/>
      <c r="AR13" s="38"/>
      <c r="AS13" s="38"/>
      <c r="AT13" s="1">
        <f t="shared" si="1"/>
        <v>1604463</v>
      </c>
      <c r="AU13" t="e">
        <f>+U13/V13</f>
        <v>#DIV/0!</v>
      </c>
      <c r="AV13">
        <f>+AJ13/Y13</f>
        <v>24.981440363033183</v>
      </c>
      <c r="AW13">
        <f>+T13/D13</f>
        <v>273.69194702230493</v>
      </c>
      <c r="AX13">
        <f>+V13/D13</f>
        <v>0</v>
      </c>
      <c r="AY13">
        <f>+G13/D13</f>
        <v>3442.9148914146381</v>
      </c>
      <c r="AZ13">
        <f>SUM(G13:M13)/D13</f>
        <v>3827.7173815809988</v>
      </c>
      <c r="BA13">
        <f>+L13/D13</f>
        <v>357.12421311714235</v>
      </c>
    </row>
    <row r="14" spans="1:53" x14ac:dyDescent="0.25">
      <c r="A14" s="1" t="s">
        <v>315</v>
      </c>
      <c r="B14" s="1" t="s">
        <v>315</v>
      </c>
      <c r="C14" s="44" t="s">
        <v>316</v>
      </c>
      <c r="D14" s="35">
        <f t="shared" si="0"/>
        <v>4139.223</v>
      </c>
      <c r="E14" s="38">
        <v>175</v>
      </c>
      <c r="F14" s="38">
        <v>572</v>
      </c>
      <c r="G14" s="38">
        <v>12496226</v>
      </c>
      <c r="H14" s="38"/>
      <c r="I14" s="38">
        <v>99387</v>
      </c>
      <c r="J14" s="38"/>
      <c r="K14" s="38"/>
      <c r="L14" s="38">
        <v>93862</v>
      </c>
      <c r="M14" s="38">
        <v>9803</v>
      </c>
      <c r="N14" s="38">
        <v>253157</v>
      </c>
      <c r="O14" s="38">
        <v>2701</v>
      </c>
      <c r="P14" s="38"/>
      <c r="Q14" s="38"/>
      <c r="R14" s="38">
        <v>395</v>
      </c>
      <c r="S14" s="38"/>
      <c r="T14" s="38">
        <v>790555</v>
      </c>
      <c r="U14" s="38"/>
      <c r="V14" s="38"/>
      <c r="W14" s="38">
        <f>ROUND(W15*0.33,0)</f>
        <v>13824</v>
      </c>
      <c r="X14" s="38">
        <f>ROUND(X15*0.33,0)</f>
        <v>11697</v>
      </c>
      <c r="Y14" s="72">
        <v>4139223</v>
      </c>
      <c r="Z14" s="38">
        <v>700</v>
      </c>
      <c r="AA14" s="38">
        <v>301</v>
      </c>
      <c r="AB14" s="38">
        <v>1001</v>
      </c>
      <c r="AC14" s="38">
        <v>35790136</v>
      </c>
      <c r="AD14" s="38">
        <v>5428064</v>
      </c>
      <c r="AE14" s="38">
        <v>0</v>
      </c>
      <c r="AF14" s="38">
        <v>0</v>
      </c>
      <c r="AG14" s="38">
        <v>5084090</v>
      </c>
      <c r="AH14" s="38">
        <v>1405423</v>
      </c>
      <c r="AI14" s="38">
        <v>1182478</v>
      </c>
      <c r="AJ14" s="38">
        <v>48890191</v>
      </c>
      <c r="AK14" s="38">
        <v>40035871</v>
      </c>
      <c r="AL14" s="38">
        <v>3293057</v>
      </c>
      <c r="AM14" s="38">
        <v>0</v>
      </c>
      <c r="AN14" s="38">
        <v>43328928</v>
      </c>
      <c r="AO14" s="38"/>
      <c r="AP14" s="38"/>
      <c r="AQ14" s="38"/>
      <c r="AR14" s="38"/>
      <c r="AS14" s="38"/>
      <c r="AT14" s="1">
        <f t="shared" si="1"/>
        <v>255858</v>
      </c>
      <c r="AU14" t="e">
        <f>+U14/V14</f>
        <v>#DIV/0!</v>
      </c>
      <c r="AV14">
        <f>+AJ14/Y14</f>
        <v>11.811441664293033</v>
      </c>
      <c r="AW14">
        <f>+T14/D14</f>
        <v>190.99115945190681</v>
      </c>
      <c r="AX14">
        <f>+V14/D14</f>
        <v>0</v>
      </c>
      <c r="AY14">
        <f>+G14/D14</f>
        <v>3018.9786827141229</v>
      </c>
      <c r="AZ14">
        <f>SUM(G14:M14)/D14</f>
        <v>3068.0342663345273</v>
      </c>
      <c r="BA14">
        <f>+L14/D14</f>
        <v>22.67623657870088</v>
      </c>
    </row>
    <row r="15" spans="1:53" x14ac:dyDescent="0.25">
      <c r="A15" s="1" t="s">
        <v>43</v>
      </c>
      <c r="B15" s="1" t="s">
        <v>151</v>
      </c>
      <c r="C15" s="44" t="s">
        <v>109</v>
      </c>
      <c r="D15" s="35">
        <f t="shared" si="0"/>
        <v>10399.367</v>
      </c>
      <c r="E15" s="38">
        <v>485</v>
      </c>
      <c r="F15" s="38">
        <v>1451</v>
      </c>
      <c r="G15" s="38">
        <v>34049369</v>
      </c>
      <c r="H15" s="38">
        <v>4085</v>
      </c>
      <c r="I15" s="38">
        <v>143354</v>
      </c>
      <c r="J15" s="38">
        <v>397</v>
      </c>
      <c r="K15" s="38">
        <v>6667</v>
      </c>
      <c r="L15" s="38">
        <v>2329511</v>
      </c>
      <c r="M15" s="38">
        <v>139106</v>
      </c>
      <c r="N15" s="38">
        <v>1625692</v>
      </c>
      <c r="O15" s="38">
        <v>234629</v>
      </c>
      <c r="P15" s="38">
        <v>89</v>
      </c>
      <c r="Q15" s="38">
        <v>98</v>
      </c>
      <c r="R15" s="38">
        <v>4898</v>
      </c>
      <c r="S15" s="38">
        <v>2483</v>
      </c>
      <c r="T15" s="38">
        <v>2503906</v>
      </c>
      <c r="U15" s="38">
        <v>73549304</v>
      </c>
      <c r="V15" s="38">
        <v>54635421</v>
      </c>
      <c r="W15" s="38">
        <v>41891</v>
      </c>
      <c r="X15" s="38">
        <v>35445</v>
      </c>
      <c r="Y15" s="72">
        <v>10399367</v>
      </c>
      <c r="Z15" s="38">
        <v>2424</v>
      </c>
      <c r="AA15" s="38">
        <v>1278</v>
      </c>
      <c r="AB15" s="38">
        <v>3702</v>
      </c>
      <c r="AC15" s="38">
        <v>128150950</v>
      </c>
      <c r="AD15" s="38">
        <v>23667592</v>
      </c>
      <c r="AE15" s="38">
        <v>3783959</v>
      </c>
      <c r="AF15" s="38">
        <v>0</v>
      </c>
      <c r="AG15" s="38">
        <v>5084090</v>
      </c>
      <c r="AH15" s="38">
        <v>22043903</v>
      </c>
      <c r="AI15" s="38">
        <v>22547111</v>
      </c>
      <c r="AJ15" s="38">
        <v>205277605</v>
      </c>
      <c r="AK15" s="38">
        <v>203318996</v>
      </c>
      <c r="AL15" s="38">
        <v>8470710</v>
      </c>
      <c r="AM15" s="38">
        <v>5887384</v>
      </c>
      <c r="AN15" s="38">
        <v>217677090</v>
      </c>
      <c r="AO15" s="38">
        <v>16898803</v>
      </c>
      <c r="AP15" s="38">
        <v>859785</v>
      </c>
      <c r="AQ15" s="38">
        <v>4369204</v>
      </c>
      <c r="AR15" s="38">
        <v>3393380</v>
      </c>
      <c r="AS15" s="38">
        <v>25521172</v>
      </c>
      <c r="AT15" s="1">
        <f t="shared" si="1"/>
        <v>1860321</v>
      </c>
      <c r="AU15">
        <f t="shared" si="2"/>
        <v>1.3461835317421642</v>
      </c>
      <c r="AV15">
        <f t="shared" si="3"/>
        <v>19.739432698163263</v>
      </c>
      <c r="AW15">
        <f t="shared" si="4"/>
        <v>240.7748471613705</v>
      </c>
      <c r="AX15">
        <f t="shared" si="5"/>
        <v>5253.7256354160781</v>
      </c>
      <c r="AY15">
        <f t="shared" si="6"/>
        <v>3274.1770725083556</v>
      </c>
      <c r="AZ15">
        <f t="shared" si="7"/>
        <v>3526.4155020204594</v>
      </c>
      <c r="BA15">
        <f t="shared" si="8"/>
        <v>224.00507646282702</v>
      </c>
    </row>
    <row r="16" spans="1:53" x14ac:dyDescent="0.25">
      <c r="A16" s="1" t="s">
        <v>44</v>
      </c>
      <c r="B16" s="1" t="s">
        <v>151</v>
      </c>
      <c r="C16" s="44" t="s">
        <v>110</v>
      </c>
      <c r="D16" s="35">
        <f t="shared" si="0"/>
        <v>5367.2259999999997</v>
      </c>
      <c r="E16" s="38">
        <v>244</v>
      </c>
      <c r="F16" s="38">
        <v>797</v>
      </c>
      <c r="G16" s="38">
        <v>27081405</v>
      </c>
      <c r="H16" s="38">
        <v>2834</v>
      </c>
      <c r="I16" s="38">
        <v>184810</v>
      </c>
      <c r="J16" s="38">
        <v>25951</v>
      </c>
      <c r="K16" s="38">
        <v>355</v>
      </c>
      <c r="L16" s="38">
        <v>2988653</v>
      </c>
      <c r="M16" s="38">
        <v>121535</v>
      </c>
      <c r="N16" s="38">
        <v>1543188</v>
      </c>
      <c r="O16" s="38">
        <v>378324</v>
      </c>
      <c r="P16" s="38">
        <v>89</v>
      </c>
      <c r="Q16" s="38">
        <v>73</v>
      </c>
      <c r="R16" s="38">
        <v>3590</v>
      </c>
      <c r="S16" s="38">
        <v>2551</v>
      </c>
      <c r="T16" s="38">
        <v>1880587</v>
      </c>
      <c r="U16" s="38">
        <v>71657119</v>
      </c>
      <c r="V16" s="38">
        <v>32971560</v>
      </c>
      <c r="W16" s="38">
        <v>875756</v>
      </c>
      <c r="X16" s="38">
        <v>11249571</v>
      </c>
      <c r="Y16" s="72">
        <v>5367226</v>
      </c>
      <c r="Z16" s="38">
        <v>2286</v>
      </c>
      <c r="AA16" s="38">
        <v>2792</v>
      </c>
      <c r="AB16" s="38">
        <v>5078</v>
      </c>
      <c r="AC16" s="38">
        <v>202488396</v>
      </c>
      <c r="AD16" s="38">
        <v>49767930</v>
      </c>
      <c r="AE16" s="38">
        <v>0</v>
      </c>
      <c r="AF16" s="38">
        <v>0</v>
      </c>
      <c r="AG16" s="38">
        <v>0</v>
      </c>
      <c r="AH16" s="38">
        <v>0</v>
      </c>
      <c r="AI16" s="38">
        <v>92690956</v>
      </c>
      <c r="AJ16" s="38">
        <v>344947282</v>
      </c>
      <c r="AK16" s="38">
        <v>344947282</v>
      </c>
      <c r="AL16" s="38">
        <v>0</v>
      </c>
      <c r="AM16" s="38">
        <v>0</v>
      </c>
      <c r="AN16" s="38">
        <v>344947282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1">
        <f t="shared" si="1"/>
        <v>1921512</v>
      </c>
      <c r="AU16">
        <f t="shared" si="2"/>
        <v>2.1733008386621684</v>
      </c>
      <c r="AV16">
        <f t="shared" si="3"/>
        <v>64.269192689109786</v>
      </c>
      <c r="AW16">
        <f t="shared" si="4"/>
        <v>350.38341966595038</v>
      </c>
      <c r="AX16">
        <f t="shared" si="5"/>
        <v>6143.1286850972929</v>
      </c>
      <c r="AY16">
        <f t="shared" si="6"/>
        <v>5045.6986532707961</v>
      </c>
      <c r="AZ16">
        <f t="shared" si="7"/>
        <v>5665.0386996932866</v>
      </c>
      <c r="BA16">
        <f t="shared" si="8"/>
        <v>556.83382812648472</v>
      </c>
    </row>
    <row r="17" spans="1:53" x14ac:dyDescent="0.25">
      <c r="A17" s="1" t="s">
        <v>294</v>
      </c>
      <c r="B17" s="1" t="s">
        <v>151</v>
      </c>
      <c r="C17" s="44" t="s">
        <v>111</v>
      </c>
      <c r="D17" s="35">
        <f t="shared" si="0"/>
        <v>3802.3330000000001</v>
      </c>
      <c r="E17" s="38">
        <v>32</v>
      </c>
      <c r="F17" s="38">
        <v>360</v>
      </c>
      <c r="G17" s="38">
        <v>11528071</v>
      </c>
      <c r="H17" s="38">
        <v>12663</v>
      </c>
      <c r="I17" s="38">
        <v>1710</v>
      </c>
      <c r="J17" s="38">
        <v>12728</v>
      </c>
      <c r="K17" s="38">
        <v>21307</v>
      </c>
      <c r="L17" s="38">
        <v>348422</v>
      </c>
      <c r="M17" s="38">
        <v>3436</v>
      </c>
      <c r="N17" s="38">
        <v>1004393</v>
      </c>
      <c r="O17" s="38">
        <v>37824</v>
      </c>
      <c r="P17" s="38">
        <v>89</v>
      </c>
      <c r="Q17" s="38">
        <v>73</v>
      </c>
      <c r="R17" s="38">
        <v>1317</v>
      </c>
      <c r="S17" s="38">
        <v>835</v>
      </c>
      <c r="T17" s="38">
        <v>905397</v>
      </c>
      <c r="U17" s="38">
        <v>12046407</v>
      </c>
      <c r="V17" s="38">
        <v>20373338</v>
      </c>
      <c r="W17" s="38">
        <v>1860</v>
      </c>
      <c r="X17" s="38">
        <v>4708</v>
      </c>
      <c r="Y17" s="72">
        <v>3802333</v>
      </c>
      <c r="Z17" s="38">
        <v>295</v>
      </c>
      <c r="AA17" s="38">
        <v>1105</v>
      </c>
      <c r="AB17" s="38">
        <v>1400</v>
      </c>
      <c r="AC17" s="38">
        <v>34418420</v>
      </c>
      <c r="AD17" s="38">
        <v>9778592</v>
      </c>
      <c r="AE17" s="38">
        <v>0</v>
      </c>
      <c r="AF17" s="38">
        <v>1616215</v>
      </c>
      <c r="AG17" s="38">
        <v>8339853</v>
      </c>
      <c r="AH17" s="38">
        <v>0</v>
      </c>
      <c r="AI17" s="38">
        <v>6795565</v>
      </c>
      <c r="AJ17" s="38">
        <v>60948645</v>
      </c>
      <c r="AK17" s="38">
        <v>53279598</v>
      </c>
      <c r="AL17" s="38">
        <v>1560092</v>
      </c>
      <c r="AM17" s="38">
        <v>6108955</v>
      </c>
      <c r="AN17" s="38">
        <v>60948645</v>
      </c>
      <c r="AO17" s="38">
        <v>3882190</v>
      </c>
      <c r="AP17" s="38">
        <v>4544227</v>
      </c>
      <c r="AQ17" s="38">
        <v>2042719</v>
      </c>
      <c r="AR17" s="38">
        <v>1376111</v>
      </c>
      <c r="AS17" s="38">
        <v>11845247</v>
      </c>
      <c r="AT17" s="1">
        <f t="shared" si="1"/>
        <v>1042217</v>
      </c>
      <c r="AU17">
        <f t="shared" si="2"/>
        <v>0.5912829306616324</v>
      </c>
      <c r="AV17">
        <f t="shared" si="3"/>
        <v>16.029275973461555</v>
      </c>
      <c r="AW17">
        <f t="shared" si="4"/>
        <v>238.11617762042408</v>
      </c>
      <c r="AX17">
        <f t="shared" si="5"/>
        <v>5358.1151361545662</v>
      </c>
      <c r="AY17">
        <f t="shared" si="6"/>
        <v>3031.8415036242222</v>
      </c>
      <c r="AZ17">
        <f t="shared" si="7"/>
        <v>3137.1100321828731</v>
      </c>
      <c r="BA17">
        <f t="shared" si="8"/>
        <v>91.633741705421386</v>
      </c>
    </row>
    <row r="18" spans="1:53" x14ac:dyDescent="0.25">
      <c r="A18" s="1" t="s">
        <v>46</v>
      </c>
      <c r="B18" s="1" t="s">
        <v>151</v>
      </c>
      <c r="C18" s="44" t="s">
        <v>112</v>
      </c>
      <c r="D18" s="35">
        <f t="shared" si="0"/>
        <v>5158.4399999999996</v>
      </c>
      <c r="E18" s="38">
        <v>436</v>
      </c>
      <c r="F18" s="38">
        <v>1117</v>
      </c>
      <c r="G18" s="38">
        <v>37073549</v>
      </c>
      <c r="H18" s="38">
        <v>39727</v>
      </c>
      <c r="I18" s="38">
        <v>97972</v>
      </c>
      <c r="J18" s="38">
        <v>37667</v>
      </c>
      <c r="K18" s="38">
        <v>300877</v>
      </c>
      <c r="L18" s="38">
        <v>4353661</v>
      </c>
      <c r="M18" s="38">
        <v>24086</v>
      </c>
      <c r="N18" s="38">
        <v>1597165</v>
      </c>
      <c r="O18" s="38">
        <v>344380</v>
      </c>
      <c r="P18" s="38">
        <v>100</v>
      </c>
      <c r="Q18" s="38">
        <v>100</v>
      </c>
      <c r="R18" s="38">
        <v>2633</v>
      </c>
      <c r="S18" s="38">
        <v>1370</v>
      </c>
      <c r="T18" s="38">
        <v>2384067</v>
      </c>
      <c r="U18" s="38">
        <v>102216649</v>
      </c>
      <c r="V18" s="38">
        <v>63922228</v>
      </c>
      <c r="W18" s="38">
        <v>186232</v>
      </c>
      <c r="X18" s="38">
        <v>194134</v>
      </c>
      <c r="Y18" s="72">
        <v>5158440</v>
      </c>
      <c r="Z18" s="38">
        <v>1493</v>
      </c>
      <c r="AA18" s="38">
        <v>2662</v>
      </c>
      <c r="AB18" s="38">
        <v>4155</v>
      </c>
      <c r="AC18" s="38">
        <v>133788467</v>
      </c>
      <c r="AD18" s="38">
        <v>41960202</v>
      </c>
      <c r="AE18" s="38">
        <v>0</v>
      </c>
      <c r="AF18" s="38">
        <v>0</v>
      </c>
      <c r="AG18" s="38">
        <v>0</v>
      </c>
      <c r="AH18" s="38">
        <v>0</v>
      </c>
      <c r="AI18" s="38">
        <v>62732665</v>
      </c>
      <c r="AJ18" s="38">
        <v>238481334</v>
      </c>
      <c r="AK18" s="38">
        <v>219279683</v>
      </c>
      <c r="AL18" s="38">
        <v>4525438</v>
      </c>
      <c r="AM18" s="38">
        <v>14676213</v>
      </c>
      <c r="AN18" s="38">
        <v>238481334</v>
      </c>
      <c r="AO18" s="38">
        <v>19549279</v>
      </c>
      <c r="AP18" s="38">
        <v>1249550</v>
      </c>
      <c r="AQ18" s="38">
        <v>6385416</v>
      </c>
      <c r="AR18" s="38">
        <v>5648995</v>
      </c>
      <c r="AS18" s="38">
        <v>32833240</v>
      </c>
      <c r="AT18" s="1">
        <f t="shared" si="1"/>
        <v>1941545</v>
      </c>
      <c r="AU18">
        <f t="shared" si="2"/>
        <v>1.5990783206117283</v>
      </c>
      <c r="AV18">
        <f t="shared" si="3"/>
        <v>46.231289692232536</v>
      </c>
      <c r="AW18">
        <f t="shared" si="4"/>
        <v>462.16821364598604</v>
      </c>
      <c r="AX18">
        <f t="shared" si="5"/>
        <v>12391.775032761843</v>
      </c>
      <c r="AY18">
        <f t="shared" si="6"/>
        <v>7186.969122447872</v>
      </c>
      <c r="AZ18">
        <f t="shared" si="7"/>
        <v>8127.9493412737193</v>
      </c>
      <c r="BA18">
        <f t="shared" si="8"/>
        <v>843.98791107389059</v>
      </c>
    </row>
    <row r="19" spans="1:53" x14ac:dyDescent="0.25">
      <c r="A19" s="1" t="s">
        <v>47</v>
      </c>
      <c r="B19" s="1" t="s">
        <v>151</v>
      </c>
      <c r="C19" s="44" t="s">
        <v>113</v>
      </c>
      <c r="D19" s="35">
        <f t="shared" si="0"/>
        <v>59463.538</v>
      </c>
      <c r="E19" s="38">
        <v>3989</v>
      </c>
      <c r="F19" s="38">
        <v>3884</v>
      </c>
      <c r="G19" s="38">
        <v>152159231</v>
      </c>
      <c r="H19" s="38">
        <v>185476</v>
      </c>
      <c r="I19" s="38">
        <v>230713</v>
      </c>
      <c r="J19" s="38">
        <v>138004</v>
      </c>
      <c r="K19" s="38">
        <v>1102317</v>
      </c>
      <c r="L19" s="38">
        <v>10231729</v>
      </c>
      <c r="M19" s="38">
        <v>216654</v>
      </c>
      <c r="N19" s="38">
        <v>7042112</v>
      </c>
      <c r="O19" s="38">
        <v>1011847</v>
      </c>
      <c r="P19" s="38">
        <v>85</v>
      </c>
      <c r="Q19" s="38">
        <v>73</v>
      </c>
      <c r="R19" s="38">
        <v>8534</v>
      </c>
      <c r="S19" s="38">
        <v>4701</v>
      </c>
      <c r="T19" s="38">
        <v>12025650</v>
      </c>
      <c r="U19" s="38">
        <v>310175619</v>
      </c>
      <c r="V19" s="38">
        <v>309847705</v>
      </c>
      <c r="W19" s="38">
        <v>18939</v>
      </c>
      <c r="X19" s="38">
        <v>21692</v>
      </c>
      <c r="Y19" s="72">
        <v>59463538</v>
      </c>
      <c r="Z19" s="38">
        <v>7031</v>
      </c>
      <c r="AA19" s="38">
        <v>14498</v>
      </c>
      <c r="AB19" s="38">
        <v>21529</v>
      </c>
      <c r="AC19" s="38">
        <v>685948897</v>
      </c>
      <c r="AD19" s="38">
        <v>124603730</v>
      </c>
      <c r="AE19" s="38">
        <v>650962</v>
      </c>
      <c r="AF19" s="38">
        <v>16711785</v>
      </c>
      <c r="AG19" s="38">
        <v>57245238</v>
      </c>
      <c r="AH19" s="38">
        <v>27126</v>
      </c>
      <c r="AI19" s="38">
        <v>171025601</v>
      </c>
      <c r="AJ19" s="38">
        <v>1056213339</v>
      </c>
      <c r="AK19" s="38">
        <v>1022860539</v>
      </c>
      <c r="AL19" s="38">
        <v>27109539</v>
      </c>
      <c r="AM19" s="38">
        <v>6243261</v>
      </c>
      <c r="AN19" s="38">
        <v>1056213339</v>
      </c>
      <c r="AO19" s="38">
        <v>218371411</v>
      </c>
      <c r="AP19" s="38">
        <v>8895576</v>
      </c>
      <c r="AQ19" s="38">
        <v>45457951</v>
      </c>
      <c r="AR19" s="38">
        <v>40215347</v>
      </c>
      <c r="AS19" s="38">
        <v>312940285</v>
      </c>
      <c r="AT19" s="1">
        <f t="shared" si="1"/>
        <v>8053959</v>
      </c>
      <c r="AU19">
        <f t="shared" si="2"/>
        <v>1.0010583070156998</v>
      </c>
      <c r="AV19">
        <f t="shared" si="3"/>
        <v>17.762369588570394</v>
      </c>
      <c r="AW19">
        <f t="shared" si="4"/>
        <v>202.23569610002014</v>
      </c>
      <c r="AX19">
        <f t="shared" si="5"/>
        <v>5210.7176165669789</v>
      </c>
      <c r="AY19">
        <f t="shared" si="6"/>
        <v>2558.866090342623</v>
      </c>
      <c r="AZ19">
        <f t="shared" si="7"/>
        <v>2762.4344182144023</v>
      </c>
      <c r="BA19">
        <f t="shared" si="8"/>
        <v>172.06727591620935</v>
      </c>
    </row>
    <row r="20" spans="1:53" x14ac:dyDescent="0.25">
      <c r="A20" s="1" t="s">
        <v>48</v>
      </c>
      <c r="B20" s="1" t="s">
        <v>151</v>
      </c>
      <c r="C20" s="44" t="s">
        <v>114</v>
      </c>
      <c r="D20" s="35">
        <f t="shared" si="0"/>
        <v>10824</v>
      </c>
      <c r="E20" s="38">
        <v>733</v>
      </c>
      <c r="F20" s="38">
        <v>829</v>
      </c>
      <c r="G20" s="38">
        <v>9907012</v>
      </c>
      <c r="H20" s="38">
        <v>164430</v>
      </c>
      <c r="I20" s="38">
        <v>126978</v>
      </c>
      <c r="J20" s="38">
        <v>1540926</v>
      </c>
      <c r="K20" s="38">
        <v>324200</v>
      </c>
      <c r="L20" s="38">
        <v>104669</v>
      </c>
      <c r="M20" s="38">
        <v>13776</v>
      </c>
      <c r="N20" s="38">
        <v>302533</v>
      </c>
      <c r="O20" s="38">
        <v>12523</v>
      </c>
      <c r="P20" s="38">
        <v>89</v>
      </c>
      <c r="Q20" s="38">
        <v>73</v>
      </c>
      <c r="R20" s="38">
        <v>5020</v>
      </c>
      <c r="S20" s="38">
        <v>2545</v>
      </c>
      <c r="T20" s="38">
        <v>2951314</v>
      </c>
      <c r="U20" s="38">
        <v>1994343</v>
      </c>
      <c r="V20" s="38">
        <v>2492594</v>
      </c>
      <c r="W20" s="38">
        <v>8912</v>
      </c>
      <c r="X20" s="38">
        <v>12469</v>
      </c>
      <c r="Y20" s="72">
        <v>10824000</v>
      </c>
      <c r="Z20" s="38">
        <v>1029</v>
      </c>
      <c r="AA20" s="38">
        <v>805</v>
      </c>
      <c r="AB20" s="38">
        <v>1834</v>
      </c>
      <c r="AC20" s="38">
        <v>42171895</v>
      </c>
      <c r="AD20" s="38">
        <v>9424764</v>
      </c>
      <c r="AE20" s="38">
        <v>50573</v>
      </c>
      <c r="AF20" s="38">
        <v>1298353</v>
      </c>
      <c r="AG20" s="38">
        <v>4447434</v>
      </c>
      <c r="AH20" s="38">
        <v>2108</v>
      </c>
      <c r="AI20" s="38">
        <v>13287131</v>
      </c>
      <c r="AJ20" s="38">
        <v>70682258</v>
      </c>
      <c r="AK20" s="38">
        <v>64929169</v>
      </c>
      <c r="AL20" s="38">
        <v>3872976</v>
      </c>
      <c r="AM20" s="38">
        <v>1880113</v>
      </c>
      <c r="AN20" s="38">
        <v>70682258</v>
      </c>
      <c r="AO20" s="38">
        <v>5477204</v>
      </c>
      <c r="AP20" s="38">
        <v>278672</v>
      </c>
      <c r="AQ20" s="38">
        <v>1416137</v>
      </c>
      <c r="AR20" s="38">
        <v>1099854</v>
      </c>
      <c r="AS20" s="38">
        <v>8271867</v>
      </c>
      <c r="AT20" s="1">
        <f t="shared" si="1"/>
        <v>315056</v>
      </c>
      <c r="AU20">
        <f t="shared" si="2"/>
        <v>0.8001074382751463</v>
      </c>
      <c r="AV20">
        <f t="shared" si="3"/>
        <v>6.5301420916481892</v>
      </c>
      <c r="AW20">
        <f t="shared" si="4"/>
        <v>272.66389504804141</v>
      </c>
      <c r="AX20">
        <f t="shared" si="5"/>
        <v>230.2839985218034</v>
      </c>
      <c r="AY20">
        <f t="shared" si="6"/>
        <v>915.28196600147817</v>
      </c>
      <c r="AZ20">
        <f t="shared" si="7"/>
        <v>1125.4611049519585</v>
      </c>
      <c r="BA20">
        <f t="shared" si="8"/>
        <v>9.6700849963045084</v>
      </c>
    </row>
    <row r="21" spans="1:53" x14ac:dyDescent="0.25">
      <c r="A21" s="1" t="s">
        <v>49</v>
      </c>
      <c r="B21" s="1" t="s">
        <v>152</v>
      </c>
      <c r="C21" s="44" t="s">
        <v>115</v>
      </c>
      <c r="D21" s="35">
        <f t="shared" si="0"/>
        <v>252.56899999999999</v>
      </c>
      <c r="E21" s="38">
        <v>128</v>
      </c>
      <c r="F21" s="38">
        <v>133</v>
      </c>
      <c r="G21" s="38">
        <v>2155046</v>
      </c>
      <c r="H21" s="38">
        <v>3196</v>
      </c>
      <c r="I21" s="38">
        <v>2448</v>
      </c>
      <c r="J21" s="38">
        <v>817</v>
      </c>
      <c r="K21" s="38">
        <v>3175</v>
      </c>
      <c r="L21" s="38">
        <v>75269</v>
      </c>
      <c r="M21" s="38">
        <v>1351</v>
      </c>
      <c r="N21" s="38">
        <v>81443</v>
      </c>
      <c r="O21" s="38">
        <v>3727</v>
      </c>
      <c r="P21" s="38">
        <v>82</v>
      </c>
      <c r="Q21" s="38">
        <v>82</v>
      </c>
      <c r="R21" s="38">
        <v>38</v>
      </c>
      <c r="S21" s="38">
        <v>37</v>
      </c>
      <c r="T21" s="38">
        <v>102444</v>
      </c>
      <c r="U21" s="38">
        <v>2441243</v>
      </c>
      <c r="V21" s="38">
        <v>670743</v>
      </c>
      <c r="W21" s="38">
        <v>497</v>
      </c>
      <c r="X21" s="38">
        <v>2192</v>
      </c>
      <c r="Y21" s="72">
        <v>252569</v>
      </c>
      <c r="Z21" s="38">
        <v>80</v>
      </c>
      <c r="AA21" s="38">
        <v>220</v>
      </c>
      <c r="AB21" s="38">
        <v>300</v>
      </c>
      <c r="AC21" s="38">
        <v>5076717</v>
      </c>
      <c r="AD21" s="38">
        <v>1447516</v>
      </c>
      <c r="AE21" s="38">
        <v>0</v>
      </c>
      <c r="AF21" s="38">
        <v>30501</v>
      </c>
      <c r="AG21" s="38">
        <v>574904</v>
      </c>
      <c r="AH21" s="38">
        <v>2430487</v>
      </c>
      <c r="AI21" s="38">
        <v>1219588</v>
      </c>
      <c r="AJ21" s="38">
        <v>10779713</v>
      </c>
      <c r="AK21" s="38">
        <v>10119495</v>
      </c>
      <c r="AL21" s="38">
        <v>606800</v>
      </c>
      <c r="AM21" s="38">
        <v>232449</v>
      </c>
      <c r="AN21" s="38">
        <v>10958744</v>
      </c>
      <c r="AO21" s="38">
        <v>687303</v>
      </c>
      <c r="AP21" s="38">
        <v>33950</v>
      </c>
      <c r="AQ21" s="38">
        <v>173491</v>
      </c>
      <c r="AR21" s="38">
        <v>153482</v>
      </c>
      <c r="AS21" s="38">
        <v>1048226</v>
      </c>
      <c r="AT21" s="1">
        <f t="shared" si="1"/>
        <v>85170</v>
      </c>
      <c r="AU21">
        <f t="shared" si="2"/>
        <v>3.6396101040189759</v>
      </c>
      <c r="AV21">
        <f t="shared" si="3"/>
        <v>42.680269550103141</v>
      </c>
      <c r="AW21">
        <f t="shared" si="4"/>
        <v>405.60797247484845</v>
      </c>
      <c r="AX21">
        <f t="shared" si="5"/>
        <v>2655.6822096140068</v>
      </c>
      <c r="AY21">
        <f t="shared" si="6"/>
        <v>8532.5039890089447</v>
      </c>
      <c r="AZ21">
        <f t="shared" si="7"/>
        <v>8874.0185850203306</v>
      </c>
      <c r="BA21">
        <f t="shared" si="8"/>
        <v>298.01361212183605</v>
      </c>
    </row>
    <row r="22" spans="1:53" x14ac:dyDescent="0.25">
      <c r="A22" s="1" t="s">
        <v>50</v>
      </c>
      <c r="B22" s="1" t="s">
        <v>151</v>
      </c>
      <c r="C22" s="44" t="s">
        <v>116</v>
      </c>
      <c r="D22" s="35">
        <f t="shared" si="0"/>
        <v>57843.667000000001</v>
      </c>
      <c r="E22" s="38">
        <v>84</v>
      </c>
      <c r="F22" s="38">
        <v>6003</v>
      </c>
      <c r="G22" s="38">
        <v>42214563</v>
      </c>
      <c r="H22" s="38">
        <v>250534</v>
      </c>
      <c r="I22" s="38">
        <v>236428</v>
      </c>
      <c r="J22" s="38">
        <v>242507</v>
      </c>
      <c r="K22" s="38">
        <v>1937023</v>
      </c>
      <c r="L22" s="38">
        <v>7898299</v>
      </c>
      <c r="M22" s="38">
        <v>114953</v>
      </c>
      <c r="N22" s="38">
        <v>3993273</v>
      </c>
      <c r="O22" s="38">
        <v>923503</v>
      </c>
      <c r="P22" s="38">
        <v>89</v>
      </c>
      <c r="Q22" s="38">
        <v>73</v>
      </c>
      <c r="R22" s="38">
        <v>27563</v>
      </c>
      <c r="S22" s="38">
        <v>13983</v>
      </c>
      <c r="T22" s="38">
        <v>16028918</v>
      </c>
      <c r="U22" s="38">
        <v>235501460</v>
      </c>
      <c r="V22" s="38">
        <v>304954961</v>
      </c>
      <c r="W22" s="38">
        <v>457999</v>
      </c>
      <c r="X22" s="38">
        <v>500805</v>
      </c>
      <c r="Y22" s="72">
        <v>57843667</v>
      </c>
      <c r="Z22" s="38">
        <v>5984</v>
      </c>
      <c r="AA22" s="38">
        <v>17856</v>
      </c>
      <c r="AB22" s="38">
        <v>23840</v>
      </c>
      <c r="AC22" s="38">
        <v>615149945</v>
      </c>
      <c r="AD22" s="38">
        <v>137476465</v>
      </c>
      <c r="AE22" s="38">
        <v>737706</v>
      </c>
      <c r="AF22" s="38">
        <v>18938728</v>
      </c>
      <c r="AG22" s="38">
        <v>64873503</v>
      </c>
      <c r="AH22" s="38">
        <v>30740</v>
      </c>
      <c r="AI22" s="38">
        <v>193815766</v>
      </c>
      <c r="AJ22" s="38">
        <v>1031022853</v>
      </c>
      <c r="AK22" s="38">
        <v>947104098</v>
      </c>
      <c r="AL22" s="38">
        <v>56494042</v>
      </c>
      <c r="AM22" s="38">
        <v>27424713</v>
      </c>
      <c r="AN22" s="38">
        <v>1031022853</v>
      </c>
      <c r="AO22" s="38">
        <v>79682836</v>
      </c>
      <c r="AP22" s="38">
        <v>4054134</v>
      </c>
      <c r="AQ22" s="38">
        <v>20602081</v>
      </c>
      <c r="AR22" s="38">
        <v>16000791</v>
      </c>
      <c r="AS22" s="38">
        <v>120339842</v>
      </c>
      <c r="AT22" s="1">
        <f t="shared" si="1"/>
        <v>4916776</v>
      </c>
      <c r="AU22">
        <f t="shared" si="2"/>
        <v>0.77224997169336096</v>
      </c>
      <c r="AV22">
        <f t="shared" si="3"/>
        <v>17.824299641998838</v>
      </c>
      <c r="AW22">
        <f t="shared" si="4"/>
        <v>277.10756996094318</v>
      </c>
      <c r="AX22">
        <f t="shared" si="5"/>
        <v>5272.0544325103037</v>
      </c>
      <c r="AY22">
        <f t="shared" si="6"/>
        <v>729.80440538114567</v>
      </c>
      <c r="AZ22">
        <f t="shared" si="7"/>
        <v>914.43557684543066</v>
      </c>
      <c r="BA22">
        <f t="shared" si="8"/>
        <v>136.54561354140981</v>
      </c>
    </row>
    <row r="23" spans="1:53" x14ac:dyDescent="0.25">
      <c r="A23" s="1" t="s">
        <v>51</v>
      </c>
      <c r="B23" s="1" t="s">
        <v>152</v>
      </c>
      <c r="C23" s="44" t="s">
        <v>117</v>
      </c>
      <c r="D23" s="35">
        <f t="shared" si="0"/>
        <v>33.322000000000003</v>
      </c>
      <c r="E23" s="38">
        <v>3</v>
      </c>
      <c r="F23" s="38">
        <v>3</v>
      </c>
      <c r="G23" s="104">
        <v>24588</v>
      </c>
      <c r="H23" s="38">
        <v>158</v>
      </c>
      <c r="I23" s="38">
        <v>306</v>
      </c>
      <c r="J23" s="38">
        <v>270</v>
      </c>
      <c r="K23" s="38">
        <v>339</v>
      </c>
      <c r="L23" s="38">
        <v>7425</v>
      </c>
      <c r="M23" s="38">
        <v>46</v>
      </c>
      <c r="N23" s="38">
        <v>6087</v>
      </c>
      <c r="O23" s="38">
        <v>925</v>
      </c>
      <c r="P23" s="38">
        <v>82</v>
      </c>
      <c r="Q23" s="38">
        <v>82</v>
      </c>
      <c r="R23" s="38">
        <v>10</v>
      </c>
      <c r="S23" s="38">
        <v>5</v>
      </c>
      <c r="T23" s="38">
        <v>9892</v>
      </c>
      <c r="U23" s="38">
        <v>80227</v>
      </c>
      <c r="V23" s="38">
        <v>153120</v>
      </c>
      <c r="W23" s="38">
        <v>1373</v>
      </c>
      <c r="X23" s="38">
        <v>1009</v>
      </c>
      <c r="Y23" s="72">
        <v>33322</v>
      </c>
      <c r="Z23" s="38">
        <v>2</v>
      </c>
      <c r="AA23" s="38">
        <v>3</v>
      </c>
      <c r="AB23" s="38">
        <v>5</v>
      </c>
      <c r="AC23" s="38">
        <v>180779</v>
      </c>
      <c r="AD23" s="38">
        <v>62703</v>
      </c>
      <c r="AE23" s="38">
        <v>0</v>
      </c>
      <c r="AF23" s="38">
        <v>3574</v>
      </c>
      <c r="AG23" s="38">
        <v>25449</v>
      </c>
      <c r="AH23" s="38">
        <v>8536</v>
      </c>
      <c r="AI23" s="38">
        <v>47219</v>
      </c>
      <c r="AJ23" s="38">
        <v>328260</v>
      </c>
      <c r="AK23" s="38">
        <v>298890</v>
      </c>
      <c r="AL23" s="38">
        <v>23357</v>
      </c>
      <c r="AM23" s="38">
        <v>6013</v>
      </c>
      <c r="AN23" s="38">
        <v>328260</v>
      </c>
      <c r="AO23" s="38">
        <v>80837</v>
      </c>
      <c r="AP23" s="38">
        <v>3992</v>
      </c>
      <c r="AQ23" s="38">
        <v>20404</v>
      </c>
      <c r="AR23" s="38">
        <v>18053</v>
      </c>
      <c r="AS23" s="38">
        <v>123286</v>
      </c>
      <c r="AT23" s="1">
        <f t="shared" si="1"/>
        <v>7012</v>
      </c>
      <c r="AU23">
        <f t="shared" si="2"/>
        <v>0.52394853709508882</v>
      </c>
      <c r="AV23">
        <f t="shared" si="3"/>
        <v>9.8511493907928696</v>
      </c>
      <c r="AW23">
        <f t="shared" si="4"/>
        <v>296.86093271712377</v>
      </c>
      <c r="AX23">
        <f t="shared" si="5"/>
        <v>4595.1623552007677</v>
      </c>
      <c r="AY23">
        <f t="shared" si="6"/>
        <v>737.89088290018606</v>
      </c>
      <c r="AZ23">
        <f t="shared" si="7"/>
        <v>994.29806134085584</v>
      </c>
      <c r="BA23">
        <f t="shared" si="8"/>
        <v>222.82576075865794</v>
      </c>
    </row>
    <row r="24" spans="1:53" x14ac:dyDescent="0.25">
      <c r="A24" s="1" t="s">
        <v>52</v>
      </c>
      <c r="B24" s="1" t="s">
        <v>151</v>
      </c>
      <c r="C24" s="44" t="s">
        <v>118</v>
      </c>
      <c r="D24" s="35">
        <f t="shared" si="0"/>
        <v>457.33300000000003</v>
      </c>
      <c r="E24" s="38">
        <v>8</v>
      </c>
      <c r="F24" s="38">
        <v>8</v>
      </c>
      <c r="G24" s="38">
        <v>248480</v>
      </c>
      <c r="H24" s="38">
        <v>188</v>
      </c>
      <c r="I24" s="38">
        <v>173</v>
      </c>
      <c r="J24" s="38">
        <v>0</v>
      </c>
      <c r="K24" s="38">
        <v>0</v>
      </c>
      <c r="L24" s="38">
        <v>1530</v>
      </c>
      <c r="M24" s="38">
        <v>332</v>
      </c>
      <c r="N24" s="38">
        <v>10102</v>
      </c>
      <c r="O24" s="38">
        <v>114</v>
      </c>
      <c r="P24" s="38">
        <v>91</v>
      </c>
      <c r="Q24" s="38">
        <v>44</v>
      </c>
      <c r="R24" s="38">
        <v>52</v>
      </c>
      <c r="S24" s="38">
        <v>28</v>
      </c>
      <c r="T24" s="38">
        <v>37112</v>
      </c>
      <c r="U24" s="38">
        <v>129535</v>
      </c>
      <c r="V24" s="38">
        <v>78357</v>
      </c>
      <c r="W24" s="38">
        <v>2210</v>
      </c>
      <c r="X24" s="38">
        <v>3887</v>
      </c>
      <c r="Y24" s="72">
        <v>457333</v>
      </c>
      <c r="Z24" s="38">
        <v>18</v>
      </c>
      <c r="AA24" s="38">
        <v>5</v>
      </c>
      <c r="AB24" s="38">
        <v>23</v>
      </c>
      <c r="AC24" s="38">
        <v>1117927</v>
      </c>
      <c r="AD24" s="38">
        <v>257520</v>
      </c>
      <c r="AE24" s="38">
        <v>418</v>
      </c>
      <c r="AF24" s="38">
        <v>21</v>
      </c>
      <c r="AG24" s="38">
        <v>38878</v>
      </c>
      <c r="AH24" s="38">
        <v>41805</v>
      </c>
      <c r="AI24" s="38">
        <v>32997</v>
      </c>
      <c r="AJ24" s="38">
        <v>1489566</v>
      </c>
      <c r="AK24" s="38">
        <v>1368325</v>
      </c>
      <c r="AL24" s="38">
        <v>81620</v>
      </c>
      <c r="AM24" s="38">
        <v>39621</v>
      </c>
      <c r="AN24" s="38">
        <v>1489566</v>
      </c>
      <c r="AO24" s="38">
        <v>8895</v>
      </c>
      <c r="AP24" s="38">
        <v>453</v>
      </c>
      <c r="AQ24" s="38">
        <v>2300</v>
      </c>
      <c r="AR24" s="38">
        <v>1785</v>
      </c>
      <c r="AS24" s="38">
        <v>13433</v>
      </c>
      <c r="AT24" s="1">
        <f t="shared" si="1"/>
        <v>10216</v>
      </c>
      <c r="AU24">
        <f t="shared" si="2"/>
        <v>1.6531388389039907</v>
      </c>
      <c r="AV24">
        <f t="shared" si="3"/>
        <v>3.2570708870779059</v>
      </c>
      <c r="AW24">
        <f t="shared" si="4"/>
        <v>81.148747192964422</v>
      </c>
      <c r="AX24">
        <f t="shared" si="5"/>
        <v>171.33467298445552</v>
      </c>
      <c r="AY24">
        <f t="shared" si="6"/>
        <v>543.32401116910432</v>
      </c>
      <c r="AZ24">
        <f t="shared" si="7"/>
        <v>548.18480188396632</v>
      </c>
      <c r="BA24">
        <f t="shared" si="8"/>
        <v>3.3454834879617259</v>
      </c>
    </row>
    <row r="25" spans="1:53" x14ac:dyDescent="0.25">
      <c r="A25" s="1" t="s">
        <v>53</v>
      </c>
      <c r="B25" s="1" t="s">
        <v>151</v>
      </c>
      <c r="C25" s="44" t="s">
        <v>119</v>
      </c>
      <c r="D25" s="35">
        <f t="shared" si="0"/>
        <v>16250.666999999999</v>
      </c>
      <c r="E25" s="38">
        <v>490</v>
      </c>
      <c r="F25" s="38">
        <v>1101</v>
      </c>
      <c r="G25" s="38">
        <v>42386215</v>
      </c>
      <c r="H25" s="38">
        <v>68571</v>
      </c>
      <c r="I25" s="38">
        <v>64733</v>
      </c>
      <c r="J25" s="38">
        <v>66375</v>
      </c>
      <c r="K25" s="38">
        <v>530174</v>
      </c>
      <c r="L25" s="38">
        <v>2159242</v>
      </c>
      <c r="M25" s="38">
        <v>31304</v>
      </c>
      <c r="N25" s="38">
        <v>3817553</v>
      </c>
      <c r="O25" s="38">
        <v>252719</v>
      </c>
      <c r="P25" s="38">
        <v>89</v>
      </c>
      <c r="Q25" s="38">
        <v>73</v>
      </c>
      <c r="R25" s="38">
        <v>7440</v>
      </c>
      <c r="S25" s="38">
        <v>3772</v>
      </c>
      <c r="T25" s="38">
        <v>4377012</v>
      </c>
      <c r="U25" s="38">
        <v>197036000</v>
      </c>
      <c r="V25" s="38">
        <v>83350755</v>
      </c>
      <c r="W25" s="38">
        <v>125021</v>
      </c>
      <c r="X25" s="38">
        <v>136747</v>
      </c>
      <c r="Y25" s="72">
        <v>16250667</v>
      </c>
      <c r="Z25" s="38">
        <v>2510</v>
      </c>
      <c r="AA25" s="38">
        <v>5898</v>
      </c>
      <c r="AB25" s="38">
        <v>8408</v>
      </c>
      <c r="AC25" s="38">
        <v>264286000</v>
      </c>
      <c r="AD25" s="38">
        <v>52415923</v>
      </c>
      <c r="AE25" s="38">
        <v>278786</v>
      </c>
      <c r="AF25" s="38">
        <v>35398000</v>
      </c>
      <c r="AG25" s="38">
        <v>72518000</v>
      </c>
      <c r="AH25" s="38">
        <v>12961</v>
      </c>
      <c r="AI25" s="38">
        <v>72677330</v>
      </c>
      <c r="AJ25" s="38">
        <v>497587000</v>
      </c>
      <c r="AK25" s="38">
        <v>338790000</v>
      </c>
      <c r="AL25" s="38">
        <v>61509000</v>
      </c>
      <c r="AM25" s="38">
        <v>97288000</v>
      </c>
      <c r="AN25" s="38">
        <v>497587000</v>
      </c>
      <c r="AO25" s="38">
        <v>22190236</v>
      </c>
      <c r="AP25" s="38">
        <v>1129004</v>
      </c>
      <c r="AQ25" s="38">
        <v>5737309</v>
      </c>
      <c r="AR25" s="38">
        <v>4455932</v>
      </c>
      <c r="AS25" s="38">
        <v>33512481</v>
      </c>
      <c r="AT25" s="1">
        <f t="shared" si="1"/>
        <v>4070272</v>
      </c>
      <c r="AU25">
        <f t="shared" si="2"/>
        <v>2.3639377951645431</v>
      </c>
      <c r="AV25">
        <f t="shared" si="3"/>
        <v>30.619481649583982</v>
      </c>
      <c r="AW25">
        <f t="shared" si="4"/>
        <v>269.34352909945176</v>
      </c>
      <c r="AX25">
        <f t="shared" si="5"/>
        <v>5129.0667023082806</v>
      </c>
      <c r="AY25">
        <f t="shared" si="6"/>
        <v>2608.2754018650435</v>
      </c>
      <c r="AZ25">
        <f t="shared" si="7"/>
        <v>2787.98488702033</v>
      </c>
      <c r="BA25">
        <f t="shared" si="8"/>
        <v>132.87097692667015</v>
      </c>
    </row>
    <row r="26" spans="1:53" x14ac:dyDescent="0.25">
      <c r="A26" s="1" t="s">
        <v>54</v>
      </c>
      <c r="B26" s="1" t="s">
        <v>152</v>
      </c>
      <c r="C26" s="44" t="s">
        <v>120</v>
      </c>
      <c r="D26" s="35">
        <f t="shared" si="0"/>
        <v>4551.2479999999996</v>
      </c>
      <c r="E26" s="38">
        <v>435</v>
      </c>
      <c r="F26" s="38">
        <v>1010</v>
      </c>
      <c r="G26" s="38">
        <v>20642273</v>
      </c>
      <c r="H26" s="38">
        <v>21003</v>
      </c>
      <c r="I26" s="38">
        <v>42093</v>
      </c>
      <c r="J26" s="38">
        <v>36521</v>
      </c>
      <c r="K26" s="38">
        <v>291716</v>
      </c>
      <c r="L26" s="38">
        <v>1319527</v>
      </c>
      <c r="M26" s="38">
        <v>15746</v>
      </c>
      <c r="N26" s="38">
        <v>860640</v>
      </c>
      <c r="O26" s="38">
        <v>149152</v>
      </c>
      <c r="P26" s="38">
        <v>82</v>
      </c>
      <c r="Q26" s="38">
        <v>79</v>
      </c>
      <c r="R26" s="38">
        <v>1714</v>
      </c>
      <c r="S26" s="38">
        <v>1369</v>
      </c>
      <c r="T26" s="38">
        <v>1319108</v>
      </c>
      <c r="U26" s="38">
        <v>23467666</v>
      </c>
      <c r="V26" s="38">
        <v>22684118</v>
      </c>
      <c r="W26" s="38">
        <v>113996</v>
      </c>
      <c r="X26" s="38">
        <v>142338</v>
      </c>
      <c r="Y26" s="72">
        <v>4551248</v>
      </c>
      <c r="Z26" s="38">
        <v>931</v>
      </c>
      <c r="AA26" s="38">
        <v>940</v>
      </c>
      <c r="AB26" s="38">
        <v>1871</v>
      </c>
      <c r="AC26" s="38">
        <v>76697660</v>
      </c>
      <c r="AD26" s="38">
        <v>17104294</v>
      </c>
      <c r="AE26" s="38">
        <v>0</v>
      </c>
      <c r="AF26" s="38">
        <v>3535708</v>
      </c>
      <c r="AG26" s="38">
        <v>11524607</v>
      </c>
      <c r="AH26" s="38">
        <v>0</v>
      </c>
      <c r="AI26" s="38">
        <v>15907166</v>
      </c>
      <c r="AJ26" s="38">
        <v>124769435</v>
      </c>
      <c r="AK26" s="38">
        <v>113606123</v>
      </c>
      <c r="AL26" s="38">
        <v>8877923</v>
      </c>
      <c r="AM26" s="38">
        <v>2285388</v>
      </c>
      <c r="AN26" s="38">
        <v>124769435</v>
      </c>
      <c r="AO26" s="38">
        <v>8808141</v>
      </c>
      <c r="AP26" s="38">
        <v>435087</v>
      </c>
      <c r="AQ26" s="38">
        <v>2223371</v>
      </c>
      <c r="AR26" s="38">
        <v>1966953</v>
      </c>
      <c r="AS26" s="38">
        <v>13433552</v>
      </c>
      <c r="AT26" s="1">
        <f t="shared" si="1"/>
        <v>1009792</v>
      </c>
      <c r="AU26">
        <f t="shared" si="2"/>
        <v>1.0345417000564008</v>
      </c>
      <c r="AV26">
        <f t="shared" si="3"/>
        <v>27.414334485837731</v>
      </c>
      <c r="AW26">
        <f t="shared" si="4"/>
        <v>289.83434873247955</v>
      </c>
      <c r="AX26">
        <f t="shared" si="5"/>
        <v>4984.1533574966697</v>
      </c>
      <c r="AY26">
        <f t="shared" si="6"/>
        <v>4535.5192685610637</v>
      </c>
      <c r="AZ26">
        <f t="shared" si="7"/>
        <v>4914.8890590009605</v>
      </c>
      <c r="BA26">
        <f t="shared" si="8"/>
        <v>289.92641139309484</v>
      </c>
    </row>
    <row r="27" spans="1:53" x14ac:dyDescent="0.25">
      <c r="A27" s="1" t="s">
        <v>55</v>
      </c>
      <c r="B27" s="1" t="s">
        <v>151</v>
      </c>
      <c r="C27" s="44" t="s">
        <v>121</v>
      </c>
      <c r="D27" s="35">
        <f t="shared" si="0"/>
        <v>9832</v>
      </c>
      <c r="E27" s="38">
        <v>164</v>
      </c>
      <c r="F27" s="38">
        <v>278</v>
      </c>
      <c r="G27" s="38">
        <v>6389929</v>
      </c>
      <c r="H27" s="38">
        <v>5172</v>
      </c>
      <c r="I27" s="38">
        <v>4880</v>
      </c>
      <c r="J27" s="38">
        <v>75985</v>
      </c>
      <c r="K27" s="38">
        <v>2488</v>
      </c>
      <c r="L27" s="38">
        <v>172137</v>
      </c>
      <c r="M27" s="38">
        <v>2386</v>
      </c>
      <c r="N27" s="38">
        <v>391909</v>
      </c>
      <c r="O27" s="38">
        <v>24585</v>
      </c>
      <c r="P27" s="38">
        <v>89</v>
      </c>
      <c r="Q27" s="38">
        <v>73</v>
      </c>
      <c r="R27" s="38">
        <v>780</v>
      </c>
      <c r="S27" s="38">
        <v>397</v>
      </c>
      <c r="T27" s="38">
        <v>3117902</v>
      </c>
      <c r="U27" s="38">
        <v>1486378</v>
      </c>
      <c r="V27" s="38">
        <v>51766337</v>
      </c>
      <c r="W27" s="38">
        <v>563</v>
      </c>
      <c r="X27" s="38">
        <v>1</v>
      </c>
      <c r="Y27" s="72">
        <v>9832000</v>
      </c>
      <c r="Z27" s="38">
        <v>792</v>
      </c>
      <c r="AA27" s="38">
        <v>531</v>
      </c>
      <c r="AB27" s="38">
        <v>1323</v>
      </c>
      <c r="AC27" s="38">
        <v>13100349</v>
      </c>
      <c r="AD27" s="38">
        <v>2747158</v>
      </c>
      <c r="AE27" s="38">
        <v>27</v>
      </c>
      <c r="AF27" s="38">
        <v>731</v>
      </c>
      <c r="AG27" s="38">
        <v>3440</v>
      </c>
      <c r="AH27" s="38">
        <v>2359</v>
      </c>
      <c r="AI27" s="38">
        <v>2576928</v>
      </c>
      <c r="AJ27" s="38">
        <v>18430992</v>
      </c>
      <c r="AK27" s="38">
        <v>18183890</v>
      </c>
      <c r="AL27" s="38">
        <v>245749</v>
      </c>
      <c r="AM27" s="38">
        <v>1353</v>
      </c>
      <c r="AN27" s="38">
        <v>18430992</v>
      </c>
      <c r="AO27" s="38">
        <v>3150666</v>
      </c>
      <c r="AP27" s="38">
        <v>0</v>
      </c>
      <c r="AQ27" s="38">
        <v>0</v>
      </c>
      <c r="AR27" s="38">
        <v>2401210</v>
      </c>
      <c r="AS27" s="38">
        <v>5551876</v>
      </c>
      <c r="AT27" s="1">
        <f t="shared" si="1"/>
        <v>416494</v>
      </c>
      <c r="AU27">
        <f t="shared" si="2"/>
        <v>2.8713215694593189E-2</v>
      </c>
      <c r="AV27">
        <f t="shared" si="3"/>
        <v>1.8745923515052889</v>
      </c>
      <c r="AW27">
        <f t="shared" si="4"/>
        <v>317.11777868185516</v>
      </c>
      <c r="AX27">
        <f t="shared" si="5"/>
        <v>5265.0871643612691</v>
      </c>
      <c r="AY27">
        <f t="shared" si="6"/>
        <v>649.91141171684296</v>
      </c>
      <c r="AZ27">
        <f t="shared" si="7"/>
        <v>676.6656834825061</v>
      </c>
      <c r="BA27">
        <f t="shared" si="8"/>
        <v>17.507831570382425</v>
      </c>
    </row>
    <row r="28" spans="1:53" x14ac:dyDescent="0.25">
      <c r="A28" s="1" t="s">
        <v>56</v>
      </c>
      <c r="B28" s="1" t="s">
        <v>151</v>
      </c>
      <c r="C28" s="44" t="s">
        <v>122</v>
      </c>
      <c r="D28" s="35">
        <f t="shared" si="0"/>
        <v>39542.332999999999</v>
      </c>
      <c r="E28" s="38">
        <v>4829</v>
      </c>
      <c r="F28" s="38">
        <v>5209</v>
      </c>
      <c r="G28" s="38">
        <v>42817561</v>
      </c>
      <c r="H28" s="38">
        <v>97230</v>
      </c>
      <c r="I28" s="38">
        <v>158931</v>
      </c>
      <c r="J28" s="38">
        <v>28069</v>
      </c>
      <c r="K28" s="38">
        <v>253527</v>
      </c>
      <c r="L28" s="38">
        <v>1583579</v>
      </c>
      <c r="M28" s="38">
        <v>125123</v>
      </c>
      <c r="N28" s="38">
        <v>2494800</v>
      </c>
      <c r="O28" s="38">
        <v>209169</v>
      </c>
      <c r="P28" s="38">
        <v>89</v>
      </c>
      <c r="Q28" s="38">
        <v>73</v>
      </c>
      <c r="R28" s="38">
        <v>2941</v>
      </c>
      <c r="S28" s="38">
        <v>462</v>
      </c>
      <c r="T28" s="38">
        <v>7524176</v>
      </c>
      <c r="U28" s="38">
        <v>27491212</v>
      </c>
      <c r="V28" s="38">
        <v>204131947</v>
      </c>
      <c r="W28" s="38">
        <v>126139</v>
      </c>
      <c r="X28" s="38">
        <v>5171</v>
      </c>
      <c r="Y28" s="72">
        <v>39542333</v>
      </c>
      <c r="Z28" s="38">
        <v>4139</v>
      </c>
      <c r="AA28" s="38">
        <v>2469</v>
      </c>
      <c r="AB28" s="38">
        <v>6608</v>
      </c>
      <c r="AC28" s="38">
        <v>132172221</v>
      </c>
      <c r="AD28" s="38">
        <v>30509153</v>
      </c>
      <c r="AE28" s="38">
        <v>0</v>
      </c>
      <c r="AF28" s="38">
        <v>0</v>
      </c>
      <c r="AG28" s="38">
        <v>0</v>
      </c>
      <c r="AH28" s="38">
        <v>0</v>
      </c>
      <c r="AI28" s="38">
        <v>26443101</v>
      </c>
      <c r="AJ28" s="38">
        <v>189124475</v>
      </c>
      <c r="AK28" s="38">
        <v>170920259</v>
      </c>
      <c r="AL28" s="38">
        <v>12006324</v>
      </c>
      <c r="AM28" s="38">
        <v>6197892</v>
      </c>
      <c r="AN28" s="38">
        <v>189124475</v>
      </c>
      <c r="AO28" s="38">
        <v>6067885</v>
      </c>
      <c r="AP28" s="38">
        <v>387847</v>
      </c>
      <c r="AQ28" s="38">
        <v>1981965</v>
      </c>
      <c r="AR28" s="38">
        <v>1753387</v>
      </c>
      <c r="AS28" s="38">
        <v>10191084</v>
      </c>
      <c r="AT28" s="1">
        <f t="shared" si="1"/>
        <v>2703969</v>
      </c>
      <c r="AU28">
        <f t="shared" si="2"/>
        <v>0.1346737362966513</v>
      </c>
      <c r="AV28">
        <f t="shared" si="3"/>
        <v>4.7828355246515173</v>
      </c>
      <c r="AW28">
        <f t="shared" si="4"/>
        <v>190.28153953384592</v>
      </c>
      <c r="AX28">
        <f t="shared" si="5"/>
        <v>5162.3647749868478</v>
      </c>
      <c r="AY28">
        <f t="shared" si="6"/>
        <v>1082.8283955830325</v>
      </c>
      <c r="AZ28">
        <f t="shared" si="7"/>
        <v>1139.6398892296011</v>
      </c>
      <c r="BA28">
        <f t="shared" si="8"/>
        <v>40.047687626321895</v>
      </c>
    </row>
    <row r="29" spans="1:53" x14ac:dyDescent="0.25">
      <c r="A29" s="1" t="s">
        <v>57</v>
      </c>
      <c r="B29" s="1" t="s">
        <v>151</v>
      </c>
      <c r="C29" s="44" t="s">
        <v>123</v>
      </c>
      <c r="D29" s="35">
        <f t="shared" si="0"/>
        <v>8909.4570000000003</v>
      </c>
      <c r="E29" s="38">
        <v>291</v>
      </c>
      <c r="F29" s="38">
        <v>1592</v>
      </c>
      <c r="G29" s="38">
        <v>44330201</v>
      </c>
      <c r="H29" s="38">
        <v>67961</v>
      </c>
      <c r="I29" s="38">
        <v>106470</v>
      </c>
      <c r="J29" s="38">
        <v>0</v>
      </c>
      <c r="K29" s="38">
        <v>0</v>
      </c>
      <c r="L29" s="38">
        <v>2619965</v>
      </c>
      <c r="M29" s="38">
        <v>0</v>
      </c>
      <c r="N29" s="38">
        <v>2054539</v>
      </c>
      <c r="O29" s="38">
        <v>185836</v>
      </c>
      <c r="P29" s="38">
        <v>87</v>
      </c>
      <c r="Q29" s="38">
        <v>73</v>
      </c>
      <c r="R29" s="38">
        <v>4100</v>
      </c>
      <c r="S29" s="38">
        <v>2080</v>
      </c>
      <c r="T29" s="38">
        <v>2412554</v>
      </c>
      <c r="U29" s="38">
        <v>81381984</v>
      </c>
      <c r="V29" s="38">
        <v>47575528</v>
      </c>
      <c r="W29" s="38">
        <v>0</v>
      </c>
      <c r="X29" s="38">
        <v>0</v>
      </c>
      <c r="Y29" s="72">
        <v>8909457</v>
      </c>
      <c r="Z29" s="38">
        <v>2304</v>
      </c>
      <c r="AA29" s="38">
        <v>2587</v>
      </c>
      <c r="AB29" s="38">
        <v>4891</v>
      </c>
      <c r="AC29" s="38">
        <v>169515820</v>
      </c>
      <c r="AD29" s="38">
        <v>44940745</v>
      </c>
      <c r="AE29" s="38">
        <v>414356</v>
      </c>
      <c r="AF29" s="38">
        <v>10637532</v>
      </c>
      <c r="AG29" s="38">
        <v>36438244</v>
      </c>
      <c r="AH29" s="38">
        <v>17266</v>
      </c>
      <c r="AI29" s="38">
        <v>86343291</v>
      </c>
      <c r="AJ29" s="38">
        <v>348307254</v>
      </c>
      <c r="AK29" s="38">
        <v>314780866</v>
      </c>
      <c r="AL29" s="38">
        <v>22111838</v>
      </c>
      <c r="AM29" s="38">
        <v>11414550</v>
      </c>
      <c r="AN29" s="38">
        <v>348307254</v>
      </c>
      <c r="AO29" s="38">
        <v>9558144</v>
      </c>
      <c r="AP29" s="38">
        <v>610936</v>
      </c>
      <c r="AQ29" s="38">
        <v>3121994</v>
      </c>
      <c r="AR29" s="38">
        <v>2761940</v>
      </c>
      <c r="AS29" s="38">
        <v>16053014</v>
      </c>
      <c r="AT29" s="1">
        <f t="shared" si="1"/>
        <v>2240375</v>
      </c>
      <c r="AU29">
        <f t="shared" si="2"/>
        <v>1.710584988147688</v>
      </c>
      <c r="AV29">
        <f t="shared" si="3"/>
        <v>39.094105735063316</v>
      </c>
      <c r="AW29">
        <f t="shared" si="4"/>
        <v>270.78575046717214</v>
      </c>
      <c r="AX29">
        <f t="shared" si="5"/>
        <v>5339.890859790894</v>
      </c>
      <c r="AY29">
        <f t="shared" si="6"/>
        <v>4975.6344297974611</v>
      </c>
      <c r="AZ29">
        <f t="shared" si="7"/>
        <v>5289.2782354749561</v>
      </c>
      <c r="BA29">
        <f t="shared" si="8"/>
        <v>294.06562038517046</v>
      </c>
    </row>
    <row r="30" spans="1:53" x14ac:dyDescent="0.25">
      <c r="A30" s="1" t="s">
        <v>58</v>
      </c>
      <c r="B30" s="1" t="s">
        <v>152</v>
      </c>
      <c r="C30" s="44" t="s">
        <v>124</v>
      </c>
      <c r="D30" s="35">
        <f t="shared" si="0"/>
        <v>7320.8</v>
      </c>
      <c r="E30" s="38">
        <v>41</v>
      </c>
      <c r="F30" s="38">
        <v>2009</v>
      </c>
      <c r="G30" s="38">
        <v>28656291</v>
      </c>
      <c r="H30" s="38">
        <v>38900</v>
      </c>
      <c r="I30" s="38">
        <v>75682</v>
      </c>
      <c r="J30" s="38">
        <v>67026</v>
      </c>
      <c r="K30" s="38">
        <v>535383</v>
      </c>
      <c r="L30" s="38">
        <v>1809511</v>
      </c>
      <c r="M30" s="38">
        <v>11470</v>
      </c>
      <c r="N30" s="38">
        <v>1405787</v>
      </c>
      <c r="O30" s="38">
        <v>224244</v>
      </c>
      <c r="P30" s="38">
        <v>82</v>
      </c>
      <c r="Q30" s="38">
        <v>82</v>
      </c>
      <c r="R30" s="38">
        <v>2596</v>
      </c>
      <c r="S30" s="38">
        <v>1317</v>
      </c>
      <c r="T30" s="38">
        <v>2206850</v>
      </c>
      <c r="U30" s="38">
        <v>6328307</v>
      </c>
      <c r="V30" s="38">
        <v>34171127</v>
      </c>
      <c r="W30" s="38">
        <v>306137</v>
      </c>
      <c r="X30" s="38">
        <v>225252</v>
      </c>
      <c r="Y30" s="72">
        <v>7320800</v>
      </c>
      <c r="Z30" s="38">
        <v>1841</v>
      </c>
      <c r="AA30" s="38">
        <v>3476</v>
      </c>
      <c r="AB30" s="38">
        <v>5317</v>
      </c>
      <c r="AC30" s="38">
        <v>193332550</v>
      </c>
      <c r="AD30" s="38">
        <v>67056873</v>
      </c>
      <c r="AE30" s="38">
        <v>0</v>
      </c>
      <c r="AF30" s="38">
        <v>3822731</v>
      </c>
      <c r="AG30" s="38">
        <v>27216477</v>
      </c>
      <c r="AH30" s="38">
        <v>9128429</v>
      </c>
      <c r="AI30" s="38">
        <v>50497277</v>
      </c>
      <c r="AJ30" s="38">
        <v>351054337</v>
      </c>
      <c r="AK30" s="38">
        <v>319644969</v>
      </c>
      <c r="AL30" s="38">
        <v>24979142</v>
      </c>
      <c r="AM30" s="38">
        <v>6430226</v>
      </c>
      <c r="AN30" s="38">
        <v>351054337</v>
      </c>
      <c r="AO30" s="38">
        <v>17825895</v>
      </c>
      <c r="AP30" s="38">
        <v>880528</v>
      </c>
      <c r="AQ30" s="38">
        <v>4499653</v>
      </c>
      <c r="AR30" s="38">
        <v>3980714</v>
      </c>
      <c r="AS30" s="38">
        <v>27186790</v>
      </c>
      <c r="AT30" s="1">
        <f t="shared" si="1"/>
        <v>1630031</v>
      </c>
      <c r="AU30">
        <f t="shared" si="2"/>
        <v>0.18519456499049622</v>
      </c>
      <c r="AV30">
        <f t="shared" si="3"/>
        <v>47.95300199431756</v>
      </c>
      <c r="AW30">
        <f t="shared" si="4"/>
        <v>301.44929515899901</v>
      </c>
      <c r="AX30">
        <f t="shared" si="5"/>
        <v>4667.676620041525</v>
      </c>
      <c r="AY30">
        <f t="shared" si="6"/>
        <v>3914.3660528903943</v>
      </c>
      <c r="AZ30">
        <f t="shared" si="7"/>
        <v>4261.0456507485524</v>
      </c>
      <c r="BA30">
        <f t="shared" si="8"/>
        <v>247.17394273849851</v>
      </c>
    </row>
    <row r="31" spans="1:53" x14ac:dyDescent="0.25">
      <c r="A31" s="1" t="s">
        <v>59</v>
      </c>
      <c r="B31" s="1" t="s">
        <v>151</v>
      </c>
      <c r="C31" s="44" t="s">
        <v>125</v>
      </c>
      <c r="D31" s="35">
        <f t="shared" si="0"/>
        <v>60296.633000000002</v>
      </c>
      <c r="E31" s="38">
        <v>208</v>
      </c>
      <c r="F31" s="38">
        <v>4614</v>
      </c>
      <c r="G31" s="38">
        <v>115962000</v>
      </c>
      <c r="H31" s="38">
        <v>85000</v>
      </c>
      <c r="I31" s="38">
        <v>105000</v>
      </c>
      <c r="J31" s="38">
        <v>118000</v>
      </c>
      <c r="K31" s="38">
        <v>6442000</v>
      </c>
      <c r="L31" s="38">
        <v>7348000</v>
      </c>
      <c r="M31" s="38">
        <v>113867</v>
      </c>
      <c r="N31" s="38">
        <v>11019000</v>
      </c>
      <c r="O31" s="38">
        <v>1485000</v>
      </c>
      <c r="P31" s="38">
        <v>89</v>
      </c>
      <c r="Q31" s="38">
        <v>73</v>
      </c>
      <c r="R31" s="38">
        <v>23200</v>
      </c>
      <c r="S31" s="38">
        <v>13500</v>
      </c>
      <c r="T31" s="38">
        <v>33837000</v>
      </c>
      <c r="U31" s="38">
        <v>417004000</v>
      </c>
      <c r="V31" s="38">
        <v>318226000</v>
      </c>
      <c r="W31" s="38">
        <v>0</v>
      </c>
      <c r="X31" s="38">
        <v>0</v>
      </c>
      <c r="Y31" s="72">
        <v>60296633</v>
      </c>
      <c r="Z31" s="38">
        <v>6200</v>
      </c>
      <c r="AA31" s="38">
        <v>19600</v>
      </c>
      <c r="AB31" s="38">
        <v>25800</v>
      </c>
      <c r="AC31" s="38">
        <v>826620033</v>
      </c>
      <c r="AD31" s="38">
        <v>197243503</v>
      </c>
      <c r="AE31" s="38">
        <v>1597132</v>
      </c>
      <c r="AF31" s="38">
        <v>63528612</v>
      </c>
      <c r="AG31" s="38">
        <v>170044367</v>
      </c>
      <c r="AH31" s="38">
        <v>0</v>
      </c>
      <c r="AI31" s="38">
        <v>246985005</v>
      </c>
      <c r="AJ31" s="38">
        <v>1506018653</v>
      </c>
      <c r="AK31" s="38">
        <v>1334604424</v>
      </c>
      <c r="AL31" s="38">
        <v>139547913</v>
      </c>
      <c r="AM31" s="38">
        <v>31866316</v>
      </c>
      <c r="AN31" s="38">
        <v>1506018653</v>
      </c>
      <c r="AO31" s="38">
        <v>58724874</v>
      </c>
      <c r="AP31" s="38">
        <v>4906772</v>
      </c>
      <c r="AQ31" s="38">
        <v>24511194</v>
      </c>
      <c r="AR31" s="38">
        <v>6656214</v>
      </c>
      <c r="AS31" s="38">
        <v>94799054</v>
      </c>
      <c r="AT31" s="1">
        <f t="shared" si="1"/>
        <v>12504000</v>
      </c>
      <c r="AU31">
        <f t="shared" si="2"/>
        <v>1.3104020413165487</v>
      </c>
      <c r="AV31">
        <f t="shared" si="3"/>
        <v>24.976828357895208</v>
      </c>
      <c r="AW31">
        <f t="shared" si="4"/>
        <v>561.1756132386364</v>
      </c>
      <c r="AX31">
        <f t="shared" si="5"/>
        <v>5277.674459865777</v>
      </c>
      <c r="AY31">
        <f t="shared" si="6"/>
        <v>1923.1919633058117</v>
      </c>
      <c r="AZ31">
        <f t="shared" si="7"/>
        <v>2158.8911440544284</v>
      </c>
      <c r="BA31">
        <f t="shared" si="8"/>
        <v>121.86418435669533</v>
      </c>
    </row>
    <row r="32" spans="1:53" x14ac:dyDescent="0.25">
      <c r="A32" s="1" t="s">
        <v>60</v>
      </c>
      <c r="B32" s="1" t="s">
        <v>151</v>
      </c>
      <c r="C32" s="44" t="s">
        <v>126</v>
      </c>
      <c r="D32" s="35">
        <f t="shared" si="0"/>
        <v>82213.913</v>
      </c>
      <c r="E32" s="38">
        <v>9062</v>
      </c>
      <c r="F32" s="38">
        <v>10932</v>
      </c>
      <c r="G32" s="38">
        <v>104358906</v>
      </c>
      <c r="H32" s="38">
        <v>409968</v>
      </c>
      <c r="I32" s="38">
        <v>139018</v>
      </c>
      <c r="J32" s="38">
        <v>368769</v>
      </c>
      <c r="K32" s="38">
        <v>2945546</v>
      </c>
      <c r="L32" s="38">
        <v>10598899</v>
      </c>
      <c r="M32" s="38">
        <v>189675</v>
      </c>
      <c r="N32" s="38">
        <v>10268062</v>
      </c>
      <c r="O32" s="38">
        <v>1296089</v>
      </c>
      <c r="P32" s="38">
        <v>94</v>
      </c>
      <c r="Q32" s="38">
        <v>73</v>
      </c>
      <c r="R32" s="38">
        <v>35496</v>
      </c>
      <c r="S32" s="38">
        <v>18024</v>
      </c>
      <c r="T32" s="38">
        <v>8302968</v>
      </c>
      <c r="U32" s="38">
        <v>307159562</v>
      </c>
      <c r="V32" s="38">
        <v>298975665</v>
      </c>
      <c r="W32" s="38">
        <v>334807</v>
      </c>
      <c r="X32" s="38">
        <v>365413</v>
      </c>
      <c r="Y32" s="72">
        <v>82213913</v>
      </c>
      <c r="Z32" s="38">
        <v>8787</v>
      </c>
      <c r="AA32" s="38">
        <v>4387</v>
      </c>
      <c r="AB32" s="38">
        <v>13174</v>
      </c>
      <c r="AC32" s="38">
        <v>472325169</v>
      </c>
      <c r="AD32" s="38">
        <v>97497066</v>
      </c>
      <c r="AE32" s="38">
        <v>0</v>
      </c>
      <c r="AF32" s="38">
        <v>0</v>
      </c>
      <c r="AG32" s="38">
        <v>0</v>
      </c>
      <c r="AH32" s="38">
        <v>0</v>
      </c>
      <c r="AI32" s="38">
        <v>157417476</v>
      </c>
      <c r="AJ32" s="38">
        <v>727239711</v>
      </c>
      <c r="AK32" s="38">
        <v>645041124</v>
      </c>
      <c r="AL32" s="38">
        <v>56472303</v>
      </c>
      <c r="AM32" s="38">
        <v>25726284</v>
      </c>
      <c r="AN32" s="38">
        <v>727239711</v>
      </c>
      <c r="AO32" s="38">
        <v>32759294</v>
      </c>
      <c r="AP32" s="38">
        <v>2093906</v>
      </c>
      <c r="AQ32" s="38">
        <v>10700229</v>
      </c>
      <c r="AR32" s="38">
        <v>9466185</v>
      </c>
      <c r="AS32" s="38">
        <v>55019614</v>
      </c>
      <c r="AT32" s="1">
        <f t="shared" si="1"/>
        <v>11564151</v>
      </c>
      <c r="AU32">
        <f t="shared" si="2"/>
        <v>1.0273731208190473</v>
      </c>
      <c r="AV32">
        <f t="shared" si="3"/>
        <v>8.8457012257767129</v>
      </c>
      <c r="AW32">
        <f t="shared" si="4"/>
        <v>100.992249328894</v>
      </c>
      <c r="AX32">
        <f t="shared" si="5"/>
        <v>3636.5580239441956</v>
      </c>
      <c r="AY32">
        <f t="shared" si="6"/>
        <v>1269.358216777737</v>
      </c>
      <c r="AZ32">
        <f t="shared" si="7"/>
        <v>1447.5747067287748</v>
      </c>
      <c r="BA32">
        <f t="shared" si="8"/>
        <v>128.91855664381282</v>
      </c>
    </row>
    <row r="33" spans="1:53" x14ac:dyDescent="0.25">
      <c r="A33" s="1" t="s">
        <v>61</v>
      </c>
      <c r="B33" s="1" t="s">
        <v>158</v>
      </c>
      <c r="C33" s="44" t="s">
        <v>127</v>
      </c>
      <c r="D33" s="35">
        <f t="shared" si="0"/>
        <v>275828.33299999998</v>
      </c>
      <c r="E33" s="38">
        <v>9202</v>
      </c>
      <c r="F33" s="38">
        <v>16491</v>
      </c>
      <c r="G33" s="38">
        <v>749041643</v>
      </c>
      <c r="H33" s="38">
        <v>390701</v>
      </c>
      <c r="I33" s="38">
        <v>1944263</v>
      </c>
      <c r="J33" s="38">
        <v>0</v>
      </c>
      <c r="K33" s="38">
        <v>8265137</v>
      </c>
      <c r="L33" s="38">
        <v>47383632</v>
      </c>
      <c r="M33" s="38">
        <v>1198051</v>
      </c>
      <c r="N33" s="38">
        <v>17331991</v>
      </c>
      <c r="O33" s="38">
        <v>3685613</v>
      </c>
      <c r="P33" s="38">
        <v>100</v>
      </c>
      <c r="Q33" s="38">
        <v>73</v>
      </c>
      <c r="R33" s="38">
        <v>35081</v>
      </c>
      <c r="S33" s="38">
        <v>18534</v>
      </c>
      <c r="T33" s="38">
        <v>58469620</v>
      </c>
      <c r="U33" s="38">
        <v>1753498549</v>
      </c>
      <c r="V33" s="38">
        <v>1129238333</v>
      </c>
      <c r="W33" s="38">
        <v>1419166</v>
      </c>
      <c r="X33" s="38">
        <v>7196227</v>
      </c>
      <c r="Y33" s="72">
        <v>275828333</v>
      </c>
      <c r="Z33" s="38">
        <v>41693</v>
      </c>
      <c r="AA33" s="38">
        <v>84796</v>
      </c>
      <c r="AB33" s="38">
        <v>126489</v>
      </c>
      <c r="AC33" s="38">
        <v>4036684649</v>
      </c>
      <c r="AD33" s="38">
        <v>968301302</v>
      </c>
      <c r="AE33" s="38">
        <v>12862</v>
      </c>
      <c r="AF33" s="38">
        <v>363475</v>
      </c>
      <c r="AG33" s="38">
        <v>1707992</v>
      </c>
      <c r="AH33" s="38">
        <v>1171344</v>
      </c>
      <c r="AI33" s="38">
        <v>1279429168</v>
      </c>
      <c r="AJ33" s="38">
        <v>6287670792</v>
      </c>
      <c r="AK33" s="38">
        <v>5721780421</v>
      </c>
      <c r="AL33" s="38">
        <v>306744066</v>
      </c>
      <c r="AM33" s="38">
        <v>259146305</v>
      </c>
      <c r="AN33" s="38">
        <v>6287670792</v>
      </c>
      <c r="AO33" s="38">
        <v>495892617</v>
      </c>
      <c r="AP33" s="38">
        <v>24495117</v>
      </c>
      <c r="AQ33" s="38">
        <v>125174342</v>
      </c>
      <c r="AR33" s="38">
        <v>110738157</v>
      </c>
      <c r="AS33" s="38">
        <v>756300233</v>
      </c>
      <c r="AT33" s="1">
        <f t="shared" si="1"/>
        <v>21017604</v>
      </c>
      <c r="AU33">
        <f t="shared" si="2"/>
        <v>1.5528152895248908</v>
      </c>
      <c r="AV33">
        <f t="shared" si="3"/>
        <v>22.795594359771592</v>
      </c>
      <c r="AW33">
        <f t="shared" si="4"/>
        <v>211.97829593524753</v>
      </c>
      <c r="AX33">
        <f t="shared" si="5"/>
        <v>4093.9896228862031</v>
      </c>
      <c r="AY33">
        <f t="shared" si="6"/>
        <v>2715.6080553914671</v>
      </c>
      <c r="AZ33">
        <f t="shared" si="7"/>
        <v>2930.1682615759419</v>
      </c>
      <c r="BA33">
        <f t="shared" si="8"/>
        <v>171.78667428628518</v>
      </c>
    </row>
    <row r="34" spans="1:53" x14ac:dyDescent="0.25">
      <c r="A34" s="1" t="s">
        <v>62</v>
      </c>
      <c r="B34" s="1" t="s">
        <v>159</v>
      </c>
      <c r="C34" s="44" t="s">
        <v>128</v>
      </c>
      <c r="D34" s="35">
        <f t="shared" si="0"/>
        <v>67090.172999999995</v>
      </c>
      <c r="E34" s="38">
        <v>1434</v>
      </c>
      <c r="F34" s="38">
        <v>1982</v>
      </c>
      <c r="G34" s="38">
        <v>12476310</v>
      </c>
      <c r="H34" s="38">
        <v>46948</v>
      </c>
      <c r="I34" s="38">
        <v>131</v>
      </c>
      <c r="J34" s="38">
        <v>157015</v>
      </c>
      <c r="K34" s="38">
        <v>7118</v>
      </c>
      <c r="L34" s="38">
        <v>112952</v>
      </c>
      <c r="M34" s="38">
        <v>597</v>
      </c>
      <c r="N34" s="38">
        <v>589440</v>
      </c>
      <c r="O34" s="38">
        <v>10259</v>
      </c>
      <c r="P34" s="38">
        <v>89</v>
      </c>
      <c r="Q34" s="38">
        <v>11</v>
      </c>
      <c r="R34" s="38">
        <v>4167</v>
      </c>
      <c r="S34" s="38">
        <v>28</v>
      </c>
      <c r="T34" s="38">
        <v>375214</v>
      </c>
      <c r="U34" s="38">
        <v>3665856</v>
      </c>
      <c r="V34" s="38">
        <v>18830433</v>
      </c>
      <c r="W34" s="38">
        <v>4443</v>
      </c>
      <c r="X34" s="38">
        <v>22528</v>
      </c>
      <c r="Y34" s="72">
        <v>67090173</v>
      </c>
      <c r="Z34" s="38">
        <v>264</v>
      </c>
      <c r="AA34" s="38">
        <v>2579</v>
      </c>
      <c r="AB34" s="38">
        <v>2843</v>
      </c>
      <c r="AC34" s="38">
        <v>16227540</v>
      </c>
      <c r="AD34" s="38">
        <v>0</v>
      </c>
      <c r="AE34" s="38">
        <v>0</v>
      </c>
      <c r="AF34" s="38">
        <v>200232</v>
      </c>
      <c r="AG34" s="38">
        <v>19840909</v>
      </c>
      <c r="AH34" s="38">
        <v>2880809</v>
      </c>
      <c r="AI34" s="38">
        <v>0</v>
      </c>
      <c r="AJ34" s="38">
        <v>39149490</v>
      </c>
      <c r="AK34" s="38">
        <v>35713148</v>
      </c>
      <c r="AL34" s="38">
        <v>1993510</v>
      </c>
      <c r="AM34" s="38">
        <v>1442832</v>
      </c>
      <c r="AN34" s="38">
        <v>39149490</v>
      </c>
      <c r="AO34" s="38">
        <v>3021242</v>
      </c>
      <c r="AP34" s="38">
        <v>149238</v>
      </c>
      <c r="AQ34" s="38">
        <v>762629</v>
      </c>
      <c r="AR34" s="38">
        <v>674675</v>
      </c>
      <c r="AS34" s="38">
        <v>4607784</v>
      </c>
      <c r="AT34" s="1">
        <f t="shared" si="1"/>
        <v>599699</v>
      </c>
      <c r="AU34">
        <f t="shared" si="2"/>
        <v>0.19467720152797335</v>
      </c>
      <c r="AV34">
        <f t="shared" si="3"/>
        <v>0.58353538602441823</v>
      </c>
      <c r="AW34">
        <f t="shared" si="4"/>
        <v>5.5926819565661283</v>
      </c>
      <c r="AX34">
        <f t="shared" si="5"/>
        <v>280.67348999085158</v>
      </c>
      <c r="AY34">
        <f t="shared" si="6"/>
        <v>185.96330046726814</v>
      </c>
      <c r="AZ34">
        <f t="shared" si="7"/>
        <v>190.80396468794322</v>
      </c>
      <c r="BA34">
        <f t="shared" si="8"/>
        <v>1.6835848671906093</v>
      </c>
    </row>
    <row r="35" spans="1:53" x14ac:dyDescent="0.25">
      <c r="A35" s="1" t="s">
        <v>63</v>
      </c>
      <c r="B35" s="1" t="s">
        <v>158</v>
      </c>
      <c r="C35" s="44" t="s">
        <v>129</v>
      </c>
      <c r="D35" s="35">
        <f t="shared" si="0"/>
        <v>19261.778999999999</v>
      </c>
      <c r="E35" s="38">
        <v>1458</v>
      </c>
      <c r="F35" s="38">
        <v>2016</v>
      </c>
      <c r="G35" s="38">
        <v>43840081</v>
      </c>
      <c r="H35" s="38">
        <v>47753</v>
      </c>
      <c r="I35" s="38">
        <v>86171</v>
      </c>
      <c r="J35" s="38">
        <v>67993</v>
      </c>
      <c r="K35" s="38">
        <v>543105</v>
      </c>
      <c r="L35" s="38">
        <v>2013382</v>
      </c>
      <c r="M35" s="38">
        <v>27785</v>
      </c>
      <c r="N35" s="38">
        <v>2071219</v>
      </c>
      <c r="O35" s="38">
        <v>182843</v>
      </c>
      <c r="P35" s="38">
        <v>89</v>
      </c>
      <c r="Q35" s="38">
        <v>73</v>
      </c>
      <c r="R35" s="38">
        <v>4279</v>
      </c>
      <c r="S35" s="38">
        <v>2170</v>
      </c>
      <c r="T35" s="38">
        <v>4083079</v>
      </c>
      <c r="U35" s="38">
        <v>90357497</v>
      </c>
      <c r="V35" s="38">
        <v>81128141</v>
      </c>
      <c r="W35" s="38">
        <v>98205</v>
      </c>
      <c r="X35" s="38">
        <v>497970</v>
      </c>
      <c r="Y35" s="72">
        <v>19261779</v>
      </c>
      <c r="Z35" s="38">
        <v>2694</v>
      </c>
      <c r="AA35" s="38">
        <v>3728</v>
      </c>
      <c r="AB35" s="38">
        <v>6422</v>
      </c>
      <c r="AC35" s="38">
        <v>282009919</v>
      </c>
      <c r="AD35" s="38">
        <v>67647239</v>
      </c>
      <c r="AE35" s="38">
        <v>899</v>
      </c>
      <c r="AF35" s="38">
        <v>25393</v>
      </c>
      <c r="AG35" s="38">
        <v>119323</v>
      </c>
      <c r="AH35" s="38">
        <v>81832</v>
      </c>
      <c r="AI35" s="38">
        <v>89383182</v>
      </c>
      <c r="AJ35" s="38">
        <v>439267787</v>
      </c>
      <c r="AK35" s="38">
        <v>400711103</v>
      </c>
      <c r="AL35" s="38">
        <v>22367714</v>
      </c>
      <c r="AM35" s="38">
        <v>16188970</v>
      </c>
      <c r="AN35" s="38">
        <v>439267787</v>
      </c>
      <c r="AO35" s="38">
        <v>34674674</v>
      </c>
      <c r="AP35" s="38">
        <v>1712790</v>
      </c>
      <c r="AQ35" s="38">
        <v>8752660</v>
      </c>
      <c r="AR35" s="38">
        <v>7743229</v>
      </c>
      <c r="AS35" s="38">
        <v>52883353</v>
      </c>
      <c r="AT35" s="1">
        <f t="shared" si="1"/>
        <v>2254062</v>
      </c>
      <c r="AU35">
        <f t="shared" si="2"/>
        <v>1.1137626954868842</v>
      </c>
      <c r="AV35">
        <f t="shared" si="3"/>
        <v>22.805151434870062</v>
      </c>
      <c r="AW35">
        <f t="shared" si="4"/>
        <v>211.97829130943722</v>
      </c>
      <c r="AX35">
        <f t="shared" si="5"/>
        <v>4211.8716552609185</v>
      </c>
      <c r="AY35">
        <f t="shared" si="6"/>
        <v>2276.0141210217398</v>
      </c>
      <c r="AZ35">
        <f t="shared" si="7"/>
        <v>2420.6627020276787</v>
      </c>
      <c r="BA35">
        <f t="shared" si="8"/>
        <v>104.52731287177576</v>
      </c>
    </row>
    <row r="36" spans="1:53" x14ac:dyDescent="0.25">
      <c r="A36" s="1" t="s">
        <v>64</v>
      </c>
      <c r="B36" s="1" t="s">
        <v>158</v>
      </c>
      <c r="C36" s="44" t="s">
        <v>130</v>
      </c>
      <c r="D36" s="35">
        <f t="shared" si="0"/>
        <v>127474.333</v>
      </c>
      <c r="E36" s="38">
        <v>1716</v>
      </c>
      <c r="F36" s="38">
        <v>2680</v>
      </c>
      <c r="G36" s="38">
        <v>295816511</v>
      </c>
      <c r="H36" s="38">
        <v>63501</v>
      </c>
      <c r="I36" s="38">
        <v>114586</v>
      </c>
      <c r="J36" s="38">
        <v>90416</v>
      </c>
      <c r="K36" s="38">
        <v>722196</v>
      </c>
      <c r="L36" s="38">
        <v>2677295</v>
      </c>
      <c r="M36" s="38">
        <v>36947</v>
      </c>
      <c r="N36" s="38">
        <v>19517960</v>
      </c>
      <c r="O36" s="38">
        <v>243136</v>
      </c>
      <c r="P36" s="38">
        <v>89</v>
      </c>
      <c r="Q36" s="38">
        <v>73</v>
      </c>
      <c r="R36" s="38">
        <v>5659</v>
      </c>
      <c r="S36" s="38">
        <v>2870</v>
      </c>
      <c r="T36" s="38">
        <v>38679751</v>
      </c>
      <c r="U36" s="38">
        <v>552624145</v>
      </c>
      <c r="V36" s="38">
        <v>826419619</v>
      </c>
      <c r="W36" s="38">
        <v>1000371</v>
      </c>
      <c r="X36" s="38">
        <v>5072629</v>
      </c>
      <c r="Y36" s="72">
        <v>127474333</v>
      </c>
      <c r="Z36" s="38">
        <v>11808</v>
      </c>
      <c r="AA36" s="38">
        <v>15431</v>
      </c>
      <c r="AB36" s="38">
        <v>27239</v>
      </c>
      <c r="AC36" s="38">
        <v>805959446</v>
      </c>
      <c r="AD36" s="38">
        <v>366403788</v>
      </c>
      <c r="AE36" s="38">
        <v>15656</v>
      </c>
      <c r="AF36" s="38">
        <v>870078</v>
      </c>
      <c r="AG36" s="38">
        <v>2241585</v>
      </c>
      <c r="AH36" s="38">
        <v>319311</v>
      </c>
      <c r="AI36" s="38">
        <v>135161399</v>
      </c>
      <c r="AJ36" s="38">
        <v>1310971263</v>
      </c>
      <c r="AK36" s="38">
        <v>1195900900</v>
      </c>
      <c r="AL36" s="38">
        <v>66755249</v>
      </c>
      <c r="AM36" s="38">
        <v>48315114</v>
      </c>
      <c r="AN36" s="38">
        <v>1310971263</v>
      </c>
      <c r="AO36" s="38">
        <v>103050897</v>
      </c>
      <c r="AP36" s="38">
        <v>5090304</v>
      </c>
      <c r="AQ36" s="38">
        <v>26012342</v>
      </c>
      <c r="AR36" s="38">
        <v>23012373</v>
      </c>
      <c r="AS36" s="38">
        <v>157165916</v>
      </c>
      <c r="AT36" s="1">
        <f t="shared" si="1"/>
        <v>19761096</v>
      </c>
      <c r="AU36">
        <f t="shared" si="2"/>
        <v>0.66869678828377377</v>
      </c>
      <c r="AV36">
        <f t="shared" si="3"/>
        <v>10.284197862796427</v>
      </c>
      <c r="AW36">
        <f t="shared" si="4"/>
        <v>303.43167985040566</v>
      </c>
      <c r="AX36">
        <f t="shared" si="5"/>
        <v>6483.0275989755519</v>
      </c>
      <c r="AY36">
        <f t="shared" si="6"/>
        <v>2320.5966568971967</v>
      </c>
      <c r="AZ36">
        <f t="shared" si="7"/>
        <v>2349.6608685922679</v>
      </c>
      <c r="BA36">
        <f t="shared" si="8"/>
        <v>21.002620190215076</v>
      </c>
    </row>
    <row r="37" spans="1:53" x14ac:dyDescent="0.25">
      <c r="A37" s="1" t="s">
        <v>143</v>
      </c>
      <c r="B37" s="1" t="s">
        <v>158</v>
      </c>
      <c r="C37" s="1" t="s">
        <v>146</v>
      </c>
      <c r="D37" s="35">
        <f t="shared" si="0"/>
        <v>49235</v>
      </c>
      <c r="E37" s="1">
        <v>663</v>
      </c>
      <c r="F37" s="1">
        <v>1035</v>
      </c>
      <c r="G37" s="1">
        <v>114202013</v>
      </c>
      <c r="H37" s="1">
        <v>24521</v>
      </c>
      <c r="I37" s="1">
        <v>44246</v>
      </c>
      <c r="J37" s="1">
        <v>34914</v>
      </c>
      <c r="K37" s="1">
        <v>278873</v>
      </c>
      <c r="L37" s="1">
        <v>1033826</v>
      </c>
      <c r="M37" s="1">
        <v>14267</v>
      </c>
      <c r="N37" s="1">
        <v>7538699</v>
      </c>
      <c r="O37" s="1">
        <v>93886</v>
      </c>
      <c r="P37" s="1">
        <v>89</v>
      </c>
      <c r="Q37" s="1">
        <v>73</v>
      </c>
      <c r="R37" s="1">
        <v>2178</v>
      </c>
      <c r="S37" s="1">
        <v>1105</v>
      </c>
      <c r="T37" s="1">
        <v>14930700</v>
      </c>
      <c r="U37" s="1">
        <v>213283356</v>
      </c>
      <c r="V37" s="1">
        <v>319004726</v>
      </c>
      <c r="W37" s="1">
        <v>386151</v>
      </c>
      <c r="X37" s="1">
        <v>1958077</v>
      </c>
      <c r="Y37" s="72">
        <v>49235000</v>
      </c>
      <c r="Z37" s="1">
        <v>4559</v>
      </c>
      <c r="AA37" s="1">
        <v>5958</v>
      </c>
      <c r="AB37" s="1">
        <v>10517</v>
      </c>
      <c r="AC37" s="1">
        <v>311007758</v>
      </c>
      <c r="AD37" s="31">
        <v>141389770</v>
      </c>
      <c r="AE37" s="1">
        <v>6042</v>
      </c>
      <c r="AF37" s="1">
        <v>335750</v>
      </c>
      <c r="AG37" s="1">
        <v>864994</v>
      </c>
      <c r="AH37" s="1">
        <v>123217</v>
      </c>
      <c r="AI37" s="1">
        <v>52156773</v>
      </c>
      <c r="AJ37" s="1">
        <v>505884304</v>
      </c>
      <c r="AK37" s="1">
        <v>461480363</v>
      </c>
      <c r="AL37" s="1">
        <v>25759857</v>
      </c>
      <c r="AM37" s="1">
        <v>18644084</v>
      </c>
      <c r="AN37" s="1">
        <v>505884304</v>
      </c>
      <c r="AO37" s="1">
        <v>39716074</v>
      </c>
      <c r="AP37" s="1">
        <v>1961816</v>
      </c>
      <c r="AQ37" s="1">
        <v>10025221</v>
      </c>
      <c r="AR37" s="1">
        <v>8869027</v>
      </c>
      <c r="AS37" s="1">
        <v>60572138</v>
      </c>
      <c r="AT37" s="1">
        <f t="shared" si="1"/>
        <v>7632585</v>
      </c>
      <c r="AU37">
        <f t="shared" si="2"/>
        <v>0.66858995687731593</v>
      </c>
      <c r="AV37">
        <f t="shared" si="3"/>
        <v>10.274891926475069</v>
      </c>
      <c r="AW37">
        <f t="shared" si="4"/>
        <v>303.25378287803392</v>
      </c>
      <c r="AX37">
        <f t="shared" si="5"/>
        <v>6479.2266883314715</v>
      </c>
      <c r="AY37">
        <f t="shared" si="6"/>
        <v>2319.529054534376</v>
      </c>
      <c r="AZ37">
        <f t="shared" si="7"/>
        <v>2348.5865745912461</v>
      </c>
      <c r="BA37">
        <f t="shared" si="8"/>
        <v>20.997786127754647</v>
      </c>
    </row>
    <row r="38" spans="1:53" x14ac:dyDescent="0.25">
      <c r="A38" s="1" t="s">
        <v>144</v>
      </c>
      <c r="B38" s="1" t="s">
        <v>158</v>
      </c>
      <c r="C38" s="1" t="s">
        <v>147</v>
      </c>
      <c r="D38" s="35">
        <f t="shared" si="0"/>
        <v>31374.667000000001</v>
      </c>
      <c r="E38" s="1">
        <v>2739</v>
      </c>
      <c r="F38" s="1">
        <v>910</v>
      </c>
      <c r="G38" s="1">
        <v>75032608</v>
      </c>
      <c r="H38" s="1">
        <v>44435</v>
      </c>
      <c r="I38" s="1">
        <v>150814</v>
      </c>
      <c r="J38" s="1">
        <v>0</v>
      </c>
      <c r="K38" s="1">
        <v>938967</v>
      </c>
      <c r="L38" s="1">
        <v>5393066</v>
      </c>
      <c r="M38" s="1">
        <v>136411</v>
      </c>
      <c r="N38" s="1">
        <v>1975470</v>
      </c>
      <c r="O38" s="1">
        <v>419220</v>
      </c>
      <c r="P38" s="1">
        <v>89</v>
      </c>
      <c r="Q38" s="1">
        <v>73</v>
      </c>
      <c r="R38" s="1">
        <v>4014</v>
      </c>
      <c r="S38" s="1">
        <v>2118</v>
      </c>
      <c r="T38" s="1">
        <v>6650748</v>
      </c>
      <c r="U38" s="1">
        <v>331565367</v>
      </c>
      <c r="V38" s="1">
        <v>128468918</v>
      </c>
      <c r="W38" s="1">
        <v>161426</v>
      </c>
      <c r="X38" s="1">
        <v>818550</v>
      </c>
      <c r="Y38" s="72">
        <v>31374667</v>
      </c>
      <c r="Z38" s="1">
        <v>6733</v>
      </c>
      <c r="AA38" s="1">
        <v>6616</v>
      </c>
      <c r="AB38" s="1">
        <v>13349</v>
      </c>
      <c r="AC38" s="1">
        <v>212115444</v>
      </c>
      <c r="AD38" s="31">
        <v>45849663</v>
      </c>
      <c r="AE38" s="1">
        <v>0</v>
      </c>
      <c r="AF38" s="1">
        <v>0</v>
      </c>
      <c r="AG38" s="1">
        <v>0</v>
      </c>
      <c r="AH38" s="1">
        <v>0</v>
      </c>
      <c r="AI38" s="1">
        <v>68846851</v>
      </c>
      <c r="AJ38" s="1">
        <v>326811958</v>
      </c>
      <c r="AK38" s="1">
        <v>298126073</v>
      </c>
      <c r="AL38" s="1">
        <v>16641413</v>
      </c>
      <c r="AM38" s="1">
        <v>12044472</v>
      </c>
      <c r="AN38" s="1">
        <v>326811958</v>
      </c>
      <c r="AO38" s="1">
        <v>18361785</v>
      </c>
      <c r="AP38" s="1">
        <v>906999</v>
      </c>
      <c r="AQ38" s="1">
        <v>4634923</v>
      </c>
      <c r="AR38" s="1">
        <v>4100384</v>
      </c>
      <c r="AS38" s="1">
        <v>28004091</v>
      </c>
      <c r="AT38" s="1">
        <f t="shared" si="1"/>
        <v>2394690</v>
      </c>
      <c r="AU38">
        <f t="shared" si="2"/>
        <v>2.5808995059801156</v>
      </c>
      <c r="AV38">
        <f t="shared" si="3"/>
        <v>10.416427941689388</v>
      </c>
      <c r="AW38">
        <f t="shared" si="4"/>
        <v>211.97828171371506</v>
      </c>
      <c r="AX38">
        <f t="shared" si="5"/>
        <v>4094.6703274970214</v>
      </c>
      <c r="AY38">
        <f t="shared" si="6"/>
        <v>2391.5029281426318</v>
      </c>
      <c r="AZ38">
        <f t="shared" si="7"/>
        <v>2603.8938038768665</v>
      </c>
      <c r="BA38">
        <f t="shared" si="8"/>
        <v>171.89237418838579</v>
      </c>
    </row>
    <row r="39" spans="1:53" x14ac:dyDescent="0.25">
      <c r="A39" s="1" t="s">
        <v>145</v>
      </c>
      <c r="B39" s="1" t="s">
        <v>158</v>
      </c>
      <c r="C39" s="1" t="s">
        <v>148</v>
      </c>
      <c r="D39" s="35">
        <f t="shared" si="0"/>
        <v>3931</v>
      </c>
      <c r="E39" s="1">
        <v>297</v>
      </c>
      <c r="F39" s="1">
        <v>411</v>
      </c>
      <c r="G39" s="1">
        <v>8947012</v>
      </c>
      <c r="H39" s="1">
        <v>9745</v>
      </c>
      <c r="I39" s="1">
        <v>17586</v>
      </c>
      <c r="J39" s="1">
        <v>13877</v>
      </c>
      <c r="K39" s="1">
        <v>110839</v>
      </c>
      <c r="L39" s="1">
        <v>410897</v>
      </c>
      <c r="M39" s="1">
        <v>5670</v>
      </c>
      <c r="N39" s="1">
        <v>422700</v>
      </c>
      <c r="O39" s="1">
        <v>37315</v>
      </c>
      <c r="P39" s="1">
        <v>89</v>
      </c>
      <c r="Q39" s="1">
        <v>73</v>
      </c>
      <c r="R39" s="1">
        <v>873</v>
      </c>
      <c r="S39" s="1">
        <v>443</v>
      </c>
      <c r="T39" s="1">
        <v>833286</v>
      </c>
      <c r="U39" s="1">
        <v>18440421</v>
      </c>
      <c r="V39" s="1">
        <v>16556867</v>
      </c>
      <c r="W39" s="1">
        <v>20042</v>
      </c>
      <c r="X39" s="1">
        <v>101628</v>
      </c>
      <c r="Y39" s="72">
        <v>3931000</v>
      </c>
      <c r="Z39" s="1">
        <v>549</v>
      </c>
      <c r="AA39" s="1">
        <v>761</v>
      </c>
      <c r="AB39" s="1">
        <v>1310</v>
      </c>
      <c r="AC39" s="1">
        <v>57552928</v>
      </c>
      <c r="AD39" s="31">
        <v>13805531</v>
      </c>
      <c r="AE39" s="1">
        <v>184</v>
      </c>
      <c r="AF39" s="1">
        <v>5182</v>
      </c>
      <c r="AG39" s="1">
        <v>24352</v>
      </c>
      <c r="AH39" s="1">
        <v>16700</v>
      </c>
      <c r="AI39" s="1">
        <v>18241429</v>
      </c>
      <c r="AJ39" s="1">
        <v>89646306</v>
      </c>
      <c r="AK39" s="1">
        <v>81777612</v>
      </c>
      <c r="AL39" s="1">
        <v>4564830</v>
      </c>
      <c r="AM39" s="1">
        <v>3303864</v>
      </c>
      <c r="AN39" s="1">
        <v>89646306</v>
      </c>
      <c r="AO39" s="1">
        <v>7076325</v>
      </c>
      <c r="AP39" s="1">
        <v>349542</v>
      </c>
      <c r="AQ39" s="1">
        <v>1786222</v>
      </c>
      <c r="AR39" s="1">
        <v>1580220</v>
      </c>
      <c r="AS39" s="1">
        <v>10792309</v>
      </c>
      <c r="AT39" s="1">
        <f t="shared" si="1"/>
        <v>460015</v>
      </c>
      <c r="AU39">
        <f t="shared" si="2"/>
        <v>1.113762706434738</v>
      </c>
      <c r="AV39">
        <f t="shared" si="3"/>
        <v>22.804962096158739</v>
      </c>
      <c r="AW39">
        <f t="shared" si="4"/>
        <v>211.97812261511066</v>
      </c>
      <c r="AX39">
        <f t="shared" si="5"/>
        <v>4211.8715339608243</v>
      </c>
      <c r="AY39">
        <f t="shared" si="6"/>
        <v>2276.0142457389975</v>
      </c>
      <c r="AZ39">
        <f t="shared" si="7"/>
        <v>2420.6629356397862</v>
      </c>
      <c r="BA39">
        <f t="shared" si="8"/>
        <v>104.52734673111168</v>
      </c>
    </row>
    <row r="40" spans="1:53" x14ac:dyDescent="0.25">
      <c r="A40" s="1" t="s">
        <v>149</v>
      </c>
      <c r="B40" s="1" t="s">
        <v>159</v>
      </c>
      <c r="C40" s="1" t="s">
        <v>153</v>
      </c>
      <c r="D40" s="35">
        <f t="shared" si="0"/>
        <v>98961.881999999998</v>
      </c>
      <c r="E40" s="1">
        <v>1795</v>
      </c>
      <c r="F40" s="1">
        <v>2483</v>
      </c>
      <c r="G40" s="1">
        <v>15626269</v>
      </c>
      <c r="H40" s="1">
        <v>58801</v>
      </c>
      <c r="I40" s="1">
        <v>164</v>
      </c>
      <c r="J40" s="1">
        <v>196658</v>
      </c>
      <c r="K40" s="1">
        <v>8915</v>
      </c>
      <c r="L40" s="1">
        <v>141469</v>
      </c>
      <c r="M40" s="1">
        <v>747</v>
      </c>
      <c r="N40" s="1">
        <v>738260</v>
      </c>
      <c r="O40" s="1">
        <v>12849</v>
      </c>
      <c r="P40" s="1">
        <v>89</v>
      </c>
      <c r="Q40" s="1">
        <v>11</v>
      </c>
      <c r="R40" s="1">
        <v>5219</v>
      </c>
      <c r="S40" s="1">
        <v>36</v>
      </c>
      <c r="T40" s="1">
        <v>469946</v>
      </c>
      <c r="U40" s="1">
        <v>4591394</v>
      </c>
      <c r="V40" s="1">
        <v>23584651</v>
      </c>
      <c r="W40" s="1">
        <v>5564</v>
      </c>
      <c r="X40" s="1">
        <v>28215</v>
      </c>
      <c r="Y40" s="72">
        <v>98961882</v>
      </c>
      <c r="Z40" s="1">
        <v>330</v>
      </c>
      <c r="AA40" s="1">
        <v>3231</v>
      </c>
      <c r="AB40" s="1">
        <v>3561</v>
      </c>
      <c r="AC40" s="1">
        <v>20324593</v>
      </c>
      <c r="AD40" s="31">
        <v>0</v>
      </c>
      <c r="AE40" s="1">
        <v>0</v>
      </c>
      <c r="AF40" s="1">
        <v>250786</v>
      </c>
      <c r="AG40" s="1">
        <v>24850247</v>
      </c>
      <c r="AH40" s="1">
        <v>3608141</v>
      </c>
      <c r="AI40" s="1">
        <v>0</v>
      </c>
      <c r="AJ40" s="1">
        <v>49033767</v>
      </c>
      <c r="AK40" s="1">
        <v>44644753</v>
      </c>
      <c r="AL40" s="1">
        <v>2546180</v>
      </c>
      <c r="AM40" s="1">
        <v>1842834</v>
      </c>
      <c r="AN40" s="1">
        <v>49033767</v>
      </c>
      <c r="AO40" s="1">
        <v>3986699</v>
      </c>
      <c r="AP40" s="1">
        <v>196927</v>
      </c>
      <c r="AQ40" s="1">
        <v>1006331</v>
      </c>
      <c r="AR40" s="1">
        <v>890274</v>
      </c>
      <c r="AS40" s="1">
        <v>6080231</v>
      </c>
      <c r="AT40" s="1">
        <f t="shared" si="1"/>
        <v>751109</v>
      </c>
      <c r="AU40">
        <f t="shared" si="2"/>
        <v>0.19467720764661728</v>
      </c>
      <c r="AV40">
        <f t="shared" si="3"/>
        <v>0.49548135109233271</v>
      </c>
      <c r="AW40">
        <f t="shared" si="4"/>
        <v>4.7487577085488333</v>
      </c>
      <c r="AX40">
        <f t="shared" si="5"/>
        <v>238.32055861670054</v>
      </c>
      <c r="AY40">
        <f t="shared" si="6"/>
        <v>157.90189802574693</v>
      </c>
      <c r="AZ40">
        <f t="shared" si="7"/>
        <v>162.01210684331974</v>
      </c>
      <c r="BA40">
        <f t="shared" si="8"/>
        <v>1.4295302104299108</v>
      </c>
    </row>
    <row r="41" spans="1:53" x14ac:dyDescent="0.25">
      <c r="A41" s="1" t="s">
        <v>150</v>
      </c>
      <c r="B41" s="1" t="s">
        <v>154</v>
      </c>
      <c r="C41" s="1"/>
      <c r="D41" s="35">
        <f t="shared" si="0"/>
        <v>103608.859</v>
      </c>
      <c r="E41" s="1">
        <v>28605</v>
      </c>
      <c r="F41" s="1">
        <v>26874</v>
      </c>
      <c r="G41" s="1">
        <v>402784079</v>
      </c>
      <c r="H41" s="1">
        <v>323201</v>
      </c>
      <c r="I41" s="1">
        <v>687048</v>
      </c>
      <c r="J41" s="1">
        <v>210088</v>
      </c>
      <c r="K41" s="1">
        <v>243840</v>
      </c>
      <c r="L41" s="1">
        <v>6816358</v>
      </c>
      <c r="M41" s="1">
        <v>167017</v>
      </c>
      <c r="N41" s="1">
        <v>10292872</v>
      </c>
      <c r="O41" s="1">
        <v>286007</v>
      </c>
      <c r="P41" s="35">
        <v>81</v>
      </c>
      <c r="Q41" s="35">
        <v>39</v>
      </c>
      <c r="R41" s="1">
        <v>8014</v>
      </c>
      <c r="S41" s="1">
        <v>4727</v>
      </c>
      <c r="T41" s="1">
        <v>16015941</v>
      </c>
      <c r="U41" s="1">
        <v>431428273</v>
      </c>
      <c r="V41" s="1">
        <v>146004455</v>
      </c>
      <c r="W41" s="1">
        <v>217882</v>
      </c>
      <c r="X41" s="1">
        <v>310359</v>
      </c>
      <c r="Y41" s="72">
        <v>103608859</v>
      </c>
      <c r="Z41" s="1">
        <v>34263</v>
      </c>
      <c r="AA41" s="1">
        <v>12894</v>
      </c>
      <c r="AB41" s="1">
        <v>47156</v>
      </c>
      <c r="AC41" s="1">
        <v>167629712</v>
      </c>
      <c r="AD41" s="31">
        <v>47670615</v>
      </c>
      <c r="AE41" s="1">
        <v>321941</v>
      </c>
      <c r="AF41" s="1">
        <v>2888925</v>
      </c>
      <c r="AG41" s="1">
        <v>10964806</v>
      </c>
      <c r="AH41" s="1">
        <v>2242821</v>
      </c>
      <c r="AI41" s="1">
        <v>93265985</v>
      </c>
      <c r="AJ41" s="1">
        <v>324984807</v>
      </c>
      <c r="AK41" s="1">
        <v>280753254</v>
      </c>
      <c r="AL41" s="1">
        <v>10791687</v>
      </c>
      <c r="AM41" s="1">
        <v>36615390</v>
      </c>
      <c r="AN41" s="1">
        <v>328160331</v>
      </c>
      <c r="AO41" s="1">
        <v>23908067</v>
      </c>
      <c r="AP41" s="1">
        <v>1034802</v>
      </c>
      <c r="AQ41" s="1">
        <v>5452959</v>
      </c>
      <c r="AR41" s="1">
        <v>7789586</v>
      </c>
      <c r="AS41" s="1">
        <v>38185416</v>
      </c>
      <c r="AT41" s="1">
        <f t="shared" si="1"/>
        <v>10578879</v>
      </c>
      <c r="AU41">
        <f t="shared" si="2"/>
        <v>2.9548980063656276</v>
      </c>
      <c r="AV41">
        <f t="shared" si="3"/>
        <v>3.1366507665140873</v>
      </c>
      <c r="AW41">
        <f t="shared" si="4"/>
        <v>154.58080664704551</v>
      </c>
      <c r="AX41">
        <f t="shared" si="5"/>
        <v>1409.1889092225213</v>
      </c>
      <c r="AY41">
        <f t="shared" si="6"/>
        <v>3887.5447803165171</v>
      </c>
      <c r="AZ41">
        <f t="shared" si="7"/>
        <v>3969.0778855117014</v>
      </c>
      <c r="BA41">
        <f t="shared" si="8"/>
        <v>65.789335639725564</v>
      </c>
    </row>
    <row r="42" spans="1:53" x14ac:dyDescent="0.25">
      <c r="A42" s="1" t="s">
        <v>151</v>
      </c>
      <c r="B42" s="1" t="s">
        <v>154</v>
      </c>
      <c r="C42" s="1"/>
      <c r="D42" s="35">
        <f t="shared" si="0"/>
        <v>378483.84</v>
      </c>
      <c r="E42" s="1">
        <v>22048</v>
      </c>
      <c r="F42" s="1">
        <v>40000</v>
      </c>
      <c r="G42" s="1">
        <v>679939067</v>
      </c>
      <c r="H42" s="1">
        <v>1452645</v>
      </c>
      <c r="I42" s="1">
        <v>1656639</v>
      </c>
      <c r="J42" s="1">
        <v>2716950</v>
      </c>
      <c r="K42" s="1">
        <v>14358304</v>
      </c>
      <c r="L42" s="1">
        <v>53745499</v>
      </c>
      <c r="M42" s="1">
        <v>1123385</v>
      </c>
      <c r="N42" s="1">
        <v>48246704</v>
      </c>
      <c r="O42" s="1">
        <v>6514160</v>
      </c>
      <c r="P42" s="35">
        <v>89</v>
      </c>
      <c r="Q42" s="35">
        <v>76</v>
      </c>
      <c r="R42" s="1">
        <v>129416</v>
      </c>
      <c r="S42" s="1">
        <v>68583</v>
      </c>
      <c r="T42" s="1">
        <v>99137149</v>
      </c>
      <c r="U42" s="1">
        <v>1853105375</v>
      </c>
      <c r="V42" s="1">
        <v>1798551507</v>
      </c>
      <c r="W42" s="1">
        <v>2200197</v>
      </c>
      <c r="X42" s="1">
        <v>12551761</v>
      </c>
      <c r="Y42" s="72">
        <v>378483840</v>
      </c>
      <c r="Z42" s="1">
        <v>45959</v>
      </c>
      <c r="AA42" s="1">
        <v>77005</v>
      </c>
      <c r="AB42" s="1">
        <v>122964</v>
      </c>
      <c r="AC42" s="1">
        <v>3754658460</v>
      </c>
      <c r="AD42" s="31">
        <v>827929987</v>
      </c>
      <c r="AE42" s="1">
        <v>7535950</v>
      </c>
      <c r="AF42" s="1">
        <v>148906550</v>
      </c>
      <c r="AG42" s="1">
        <v>421948731</v>
      </c>
      <c r="AH42" s="1">
        <v>22219544</v>
      </c>
      <c r="AI42" s="1">
        <v>1163805967</v>
      </c>
      <c r="AJ42" s="1">
        <v>6347005190</v>
      </c>
      <c r="AK42" s="1">
        <v>5725710915</v>
      </c>
      <c r="AL42" s="1">
        <v>397260083</v>
      </c>
      <c r="AM42" s="1">
        <v>236433677</v>
      </c>
      <c r="AN42" s="1">
        <v>6359404675</v>
      </c>
      <c r="AO42" s="1">
        <v>480209625</v>
      </c>
      <c r="AP42" s="1">
        <v>29208672</v>
      </c>
      <c r="AQ42" s="1">
        <v>127333721</v>
      </c>
      <c r="AR42" s="1">
        <v>96011849</v>
      </c>
      <c r="AS42" s="1">
        <v>732763867</v>
      </c>
      <c r="AT42" s="1">
        <f t="shared" si="1"/>
        <v>54760864</v>
      </c>
      <c r="AU42">
        <f t="shared" si="2"/>
        <v>1.0303321132520671</v>
      </c>
      <c r="AV42">
        <f t="shared" si="3"/>
        <v>16.769553992054192</v>
      </c>
      <c r="AW42">
        <f t="shared" si="4"/>
        <v>261.93231658186517</v>
      </c>
      <c r="AX42">
        <f t="shared" si="5"/>
        <v>4751.9902223566532</v>
      </c>
      <c r="AY42">
        <f t="shared" si="6"/>
        <v>1796.4811047150652</v>
      </c>
      <c r="AZ42">
        <f t="shared" si="7"/>
        <v>1994.7813069112804</v>
      </c>
      <c r="BA42">
        <f t="shared" si="8"/>
        <v>142.00209710406656</v>
      </c>
    </row>
    <row r="43" spans="1:53" x14ac:dyDescent="0.25">
      <c r="A43" s="1" t="s">
        <v>152</v>
      </c>
      <c r="B43" s="1" t="s">
        <v>154</v>
      </c>
      <c r="C43" s="1"/>
      <c r="D43" s="35">
        <f t="shared" si="0"/>
        <v>12157.939</v>
      </c>
      <c r="E43" s="1">
        <v>607</v>
      </c>
      <c r="F43" s="1">
        <v>3155</v>
      </c>
      <c r="G43" s="1">
        <v>51478198</v>
      </c>
      <c r="H43" s="1">
        <v>63257</v>
      </c>
      <c r="I43" s="1">
        <v>120529</v>
      </c>
      <c r="J43" s="1">
        <v>104634</v>
      </c>
      <c r="K43" s="1">
        <v>830613</v>
      </c>
      <c r="L43" s="1">
        <v>3211732</v>
      </c>
      <c r="M43" s="1">
        <v>28613</v>
      </c>
      <c r="N43" s="1">
        <v>2353957</v>
      </c>
      <c r="O43" s="1">
        <v>378048</v>
      </c>
      <c r="P43" s="35">
        <v>82</v>
      </c>
      <c r="Q43" s="35">
        <v>81</v>
      </c>
      <c r="R43" s="1">
        <v>4358</v>
      </c>
      <c r="S43" s="1">
        <v>2728</v>
      </c>
      <c r="T43" s="1">
        <v>3638294</v>
      </c>
      <c r="U43" s="1">
        <v>32317443</v>
      </c>
      <c r="V43" s="1">
        <v>57679108</v>
      </c>
      <c r="W43" s="1">
        <v>422003</v>
      </c>
      <c r="X43" s="1">
        <v>370791</v>
      </c>
      <c r="Y43" s="72">
        <v>12157939</v>
      </c>
      <c r="Z43" s="1">
        <v>2854</v>
      </c>
      <c r="AA43" s="1">
        <v>4639</v>
      </c>
      <c r="AB43" s="1">
        <v>7493</v>
      </c>
      <c r="AC43" s="1">
        <v>275287706</v>
      </c>
      <c r="AD43" s="31">
        <v>85671386</v>
      </c>
      <c r="AE43" s="1">
        <v>0</v>
      </c>
      <c r="AF43" s="1">
        <v>7392514</v>
      </c>
      <c r="AG43" s="1">
        <v>39341437</v>
      </c>
      <c r="AH43" s="1">
        <v>11567452</v>
      </c>
      <c r="AI43" s="1">
        <v>67671250</v>
      </c>
      <c r="AJ43" s="1">
        <v>486931745</v>
      </c>
      <c r="AK43" s="1">
        <v>443669477</v>
      </c>
      <c r="AL43" s="1">
        <v>34487222</v>
      </c>
      <c r="AM43" s="1">
        <v>8954076</v>
      </c>
      <c r="AN43" s="1">
        <v>487110776</v>
      </c>
      <c r="AO43" s="1">
        <v>27402176</v>
      </c>
      <c r="AP43" s="1">
        <v>1353557</v>
      </c>
      <c r="AQ43" s="1">
        <v>6916919</v>
      </c>
      <c r="AR43" s="1">
        <v>6119202</v>
      </c>
      <c r="AS43" s="1">
        <v>41791854</v>
      </c>
      <c r="AT43" s="1">
        <f t="shared" si="1"/>
        <v>2732005</v>
      </c>
      <c r="AU43">
        <f t="shared" si="2"/>
        <v>0.560297205012255</v>
      </c>
      <c r="AV43">
        <f t="shared" si="3"/>
        <v>40.050517197034793</v>
      </c>
      <c r="AW43">
        <f t="shared" si="4"/>
        <v>299.25252956113695</v>
      </c>
      <c r="AX43">
        <f t="shared" si="5"/>
        <v>4744.1517842785688</v>
      </c>
      <c r="AY43">
        <f t="shared" si="6"/>
        <v>4234.1220826983918</v>
      </c>
      <c r="AZ43">
        <f t="shared" si="7"/>
        <v>4592.6843357249936</v>
      </c>
      <c r="BA43">
        <f t="shared" si="8"/>
        <v>264.16747114786477</v>
      </c>
    </row>
    <row r="44" spans="1:53" x14ac:dyDescent="0.25">
      <c r="A44" s="1" t="s">
        <v>310</v>
      </c>
      <c r="B44" s="1" t="s">
        <v>154</v>
      </c>
      <c r="C44" s="1"/>
      <c r="D44" s="35">
        <f t="shared" si="0"/>
        <v>507105.11200000002</v>
      </c>
      <c r="E44" s="1">
        <v>16075</v>
      </c>
      <c r="F44" s="1">
        <v>23543</v>
      </c>
      <c r="G44" s="1">
        <v>1286879868</v>
      </c>
      <c r="H44" s="1">
        <v>580656</v>
      </c>
      <c r="I44" s="1">
        <v>2357666</v>
      </c>
      <c r="J44" s="1">
        <v>207200</v>
      </c>
      <c r="K44" s="1">
        <v>10859117</v>
      </c>
      <c r="L44" s="1">
        <v>58912098</v>
      </c>
      <c r="M44" s="1">
        <v>1419131</v>
      </c>
      <c r="N44" s="1">
        <v>48858039</v>
      </c>
      <c r="O44" s="1">
        <v>4662013</v>
      </c>
      <c r="P44" s="35">
        <v>91</v>
      </c>
      <c r="Q44" s="35">
        <v>73</v>
      </c>
      <c r="R44" s="1">
        <v>52084</v>
      </c>
      <c r="S44" s="1">
        <v>27240</v>
      </c>
      <c r="T44" s="1">
        <v>123647184</v>
      </c>
      <c r="U44" s="1">
        <v>2959769335</v>
      </c>
      <c r="V44" s="1">
        <v>2500816604</v>
      </c>
      <c r="W44" s="1">
        <v>3085361</v>
      </c>
      <c r="X44" s="1">
        <v>15645081</v>
      </c>
      <c r="Y44" s="72">
        <v>507105112</v>
      </c>
      <c r="Z44" s="1">
        <v>68036</v>
      </c>
      <c r="AA44" s="1">
        <v>117290</v>
      </c>
      <c r="AB44" s="1">
        <v>185326</v>
      </c>
      <c r="AC44" s="1">
        <v>5705330144</v>
      </c>
      <c r="AD44" s="31">
        <v>1603397293</v>
      </c>
      <c r="AE44" s="1">
        <v>35643</v>
      </c>
      <c r="AF44" s="1">
        <v>1599878</v>
      </c>
      <c r="AG44" s="1">
        <v>4958246</v>
      </c>
      <c r="AH44" s="1">
        <v>1712404</v>
      </c>
      <c r="AI44" s="1">
        <v>1643218802</v>
      </c>
      <c r="AJ44" s="1">
        <v>8960252410</v>
      </c>
      <c r="AK44" s="1">
        <v>8159776472</v>
      </c>
      <c r="AL44" s="1">
        <v>442833129</v>
      </c>
      <c r="AM44" s="1">
        <v>357642809</v>
      </c>
      <c r="AN44" s="1">
        <v>8960252410</v>
      </c>
      <c r="AO44" s="1">
        <v>698772372</v>
      </c>
      <c r="AP44" s="1">
        <v>34516568</v>
      </c>
      <c r="AQ44" s="1">
        <v>176385710</v>
      </c>
      <c r="AR44" s="1">
        <v>156043390</v>
      </c>
      <c r="AS44" s="1">
        <v>1065718040</v>
      </c>
      <c r="AT44" s="1">
        <f t="shared" si="1"/>
        <v>53520052</v>
      </c>
      <c r="AU44">
        <f t="shared" si="2"/>
        <v>1.1835211467589888</v>
      </c>
      <c r="AV44">
        <f t="shared" si="3"/>
        <v>17.669418426213774</v>
      </c>
      <c r="AW44">
        <f t="shared" si="4"/>
        <v>243.82949624061371</v>
      </c>
      <c r="AX44">
        <f t="shared" si="5"/>
        <v>4931.5547108899973</v>
      </c>
      <c r="AY44">
        <f t="shared" si="6"/>
        <v>2537.6984722646612</v>
      </c>
      <c r="AZ44">
        <f t="shared" si="7"/>
        <v>2684.2871503137203</v>
      </c>
      <c r="BA44">
        <f t="shared" si="8"/>
        <v>116.17334672027522</v>
      </c>
    </row>
    <row r="45" spans="1:53" x14ac:dyDescent="0.25">
      <c r="A45" s="1" t="s">
        <v>311</v>
      </c>
      <c r="B45" s="1" t="s">
        <v>154</v>
      </c>
      <c r="C45" s="1"/>
      <c r="D45" s="35">
        <f t="shared" si="0"/>
        <v>166052.05499999999</v>
      </c>
      <c r="E45" s="1">
        <v>3229</v>
      </c>
      <c r="F45" s="1">
        <v>4465</v>
      </c>
      <c r="G45" s="1">
        <v>28102579</v>
      </c>
      <c r="H45" s="1">
        <v>105749</v>
      </c>
      <c r="I45" s="1">
        <v>295</v>
      </c>
      <c r="J45" s="1">
        <v>353673</v>
      </c>
      <c r="K45" s="1">
        <v>16033</v>
      </c>
      <c r="L45" s="1">
        <v>254421</v>
      </c>
      <c r="M45" s="1">
        <v>1344</v>
      </c>
      <c r="N45" s="1">
        <v>1327700</v>
      </c>
      <c r="O45" s="1">
        <v>23108</v>
      </c>
      <c r="P45" s="35">
        <v>89</v>
      </c>
      <c r="Q45" s="35">
        <v>11</v>
      </c>
      <c r="R45" s="1">
        <v>9386</v>
      </c>
      <c r="S45" s="1">
        <v>64</v>
      </c>
      <c r="T45" s="1">
        <v>845160</v>
      </c>
      <c r="U45" s="1">
        <v>8257250</v>
      </c>
      <c r="V45" s="1">
        <v>42415084</v>
      </c>
      <c r="W45" s="1">
        <v>10007</v>
      </c>
      <c r="X45" s="1">
        <v>50743</v>
      </c>
      <c r="Y45" s="72">
        <v>166052055</v>
      </c>
      <c r="Z45" s="1">
        <v>594</v>
      </c>
      <c r="AA45" s="1">
        <v>5810</v>
      </c>
      <c r="AB45" s="1">
        <v>6404</v>
      </c>
      <c r="AC45" s="1">
        <v>36552133</v>
      </c>
      <c r="AD45" s="31">
        <v>0</v>
      </c>
      <c r="AE45" s="1">
        <v>0</v>
      </c>
      <c r="AF45" s="1">
        <v>451018</v>
      </c>
      <c r="AG45" s="1">
        <v>44691156</v>
      </c>
      <c r="AH45" s="1">
        <v>6488950</v>
      </c>
      <c r="AI45" s="1">
        <v>0</v>
      </c>
      <c r="AJ45" s="1">
        <v>88183257</v>
      </c>
      <c r="AK45" s="1">
        <v>80357901</v>
      </c>
      <c r="AL45" s="1">
        <v>4539690</v>
      </c>
      <c r="AM45" s="1">
        <v>3285666</v>
      </c>
      <c r="AN45" s="1">
        <v>88183257</v>
      </c>
      <c r="AO45" s="1">
        <v>7007941</v>
      </c>
      <c r="AP45" s="1">
        <v>346165</v>
      </c>
      <c r="AQ45" s="1">
        <v>1768960</v>
      </c>
      <c r="AR45" s="1">
        <v>1564949</v>
      </c>
      <c r="AS45" s="1">
        <v>10688015</v>
      </c>
      <c r="AT45" s="1">
        <f t="shared" si="1"/>
        <v>1350808</v>
      </c>
      <c r="AU45">
        <f t="shared" si="2"/>
        <v>0.19467720493020832</v>
      </c>
      <c r="AV45">
        <f t="shared" si="3"/>
        <v>0.53105790831676247</v>
      </c>
      <c r="AW45">
        <f t="shared" si="4"/>
        <v>5.0897292418332309</v>
      </c>
      <c r="AX45">
        <f t="shared" si="5"/>
        <v>255.43245459985425</v>
      </c>
      <c r="AY45">
        <f t="shared" si="6"/>
        <v>169.23957369874165</v>
      </c>
      <c r="AZ45">
        <f t="shared" si="7"/>
        <v>173.64490912202203</v>
      </c>
      <c r="BA45">
        <f t="shared" si="8"/>
        <v>1.5321761600601691</v>
      </c>
    </row>
    <row r="46" spans="1:53" x14ac:dyDescent="0.25">
      <c r="A46" s="1" t="s">
        <v>312</v>
      </c>
      <c r="B46" s="1" t="s">
        <v>154</v>
      </c>
      <c r="D46" s="35">
        <f t="shared" si="0"/>
        <v>74780.543000000005</v>
      </c>
      <c r="E46">
        <v>22040</v>
      </c>
      <c r="F46">
        <v>19935</v>
      </c>
      <c r="G46">
        <v>303280501</v>
      </c>
      <c r="H46">
        <v>302294</v>
      </c>
      <c r="I46">
        <v>471859</v>
      </c>
      <c r="J46">
        <v>150374</v>
      </c>
      <c r="K46">
        <v>160119</v>
      </c>
      <c r="L46">
        <v>5692236</v>
      </c>
      <c r="M46">
        <v>130016</v>
      </c>
      <c r="N46">
        <v>9036997</v>
      </c>
      <c r="O46">
        <v>277836</v>
      </c>
      <c r="P46">
        <v>81</v>
      </c>
      <c r="Q46">
        <v>39</v>
      </c>
      <c r="R46">
        <v>7488</v>
      </c>
      <c r="S46">
        <v>4473</v>
      </c>
      <c r="T46">
        <v>13438170</v>
      </c>
      <c r="U46">
        <v>378302867</v>
      </c>
      <c r="V46">
        <v>125564863</v>
      </c>
      <c r="W46" s="72">
        <v>204654</v>
      </c>
      <c r="X46">
        <v>292610</v>
      </c>
      <c r="Y46" s="72">
        <v>74780543</v>
      </c>
      <c r="Z46">
        <v>26981</v>
      </c>
      <c r="AA46">
        <v>11774</v>
      </c>
      <c r="AB46">
        <v>38755</v>
      </c>
      <c r="AC46">
        <v>157305954</v>
      </c>
      <c r="AD46">
        <v>46509895</v>
      </c>
      <c r="AE46">
        <v>319834</v>
      </c>
      <c r="AF46">
        <v>2865532</v>
      </c>
      <c r="AG46">
        <v>10943911</v>
      </c>
      <c r="AH46">
        <v>2225612</v>
      </c>
      <c r="AI46">
        <v>91125512</v>
      </c>
      <c r="AJ46">
        <v>311296252</v>
      </c>
      <c r="AK46">
        <v>267639948</v>
      </c>
      <c r="AL46">
        <v>10591311</v>
      </c>
      <c r="AM46">
        <v>36240517</v>
      </c>
      <c r="AN46">
        <v>314471776</v>
      </c>
      <c r="AO46">
        <v>22806084</v>
      </c>
      <c r="AP46" s="1">
        <v>965604</v>
      </c>
      <c r="AQ46">
        <v>5099197</v>
      </c>
      <c r="AR46" s="1">
        <v>7517544</v>
      </c>
      <c r="AS46">
        <v>36388431</v>
      </c>
      <c r="AT46" s="1">
        <f>+N46+O46</f>
        <v>9314833</v>
      </c>
      <c r="AU46">
        <f>+U46/V46</f>
        <v>3.0128083443216118</v>
      </c>
      <c r="AV46">
        <f>+AJ46/Y46</f>
        <v>4.162797427132884</v>
      </c>
      <c r="AW46">
        <f>+T46/D46</f>
        <v>179.70142313622941</v>
      </c>
      <c r="AX46">
        <f>+V46/D46</f>
        <v>1679.111410036164</v>
      </c>
      <c r="AY46">
        <f>+G46/D46</f>
        <v>4055.6070982260717</v>
      </c>
      <c r="AZ46">
        <f>SUM(G46:M46)/D46</f>
        <v>4147.9693320761253</v>
      </c>
      <c r="BA46">
        <f>+L46/D46</f>
        <v>76.119211918533409</v>
      </c>
    </row>
    <row r="47" spans="1:53" x14ac:dyDescent="0.25">
      <c r="A47" s="1" t="s">
        <v>313</v>
      </c>
      <c r="B47" s="1" t="s">
        <v>154</v>
      </c>
      <c r="C47" s="1"/>
      <c r="D47" s="35">
        <f t="shared" si="0"/>
        <v>494250.63799999998</v>
      </c>
      <c r="E47" s="1">
        <v>51260</v>
      </c>
      <c r="F47" s="1">
        <v>70029</v>
      </c>
      <c r="G47" s="1">
        <v>1134201344</v>
      </c>
      <c r="H47" s="1">
        <v>1839103</v>
      </c>
      <c r="I47" s="1">
        <v>2464216</v>
      </c>
      <c r="J47" s="1">
        <v>3031672</v>
      </c>
      <c r="K47" s="1">
        <v>15432757</v>
      </c>
      <c r="L47" s="1">
        <v>63773589</v>
      </c>
      <c r="M47" s="1">
        <v>1319015</v>
      </c>
      <c r="N47" s="1">
        <v>60893533</v>
      </c>
      <c r="O47" s="1">
        <v>7178215</v>
      </c>
      <c r="P47" s="1">
        <v>84</v>
      </c>
      <c r="Q47" s="1">
        <v>65</v>
      </c>
      <c r="R47" s="1">
        <v>141788</v>
      </c>
      <c r="S47" s="1">
        <v>76038</v>
      </c>
      <c r="T47" s="1">
        <v>118791384</v>
      </c>
      <c r="U47" s="1">
        <v>2316851091</v>
      </c>
      <c r="V47" s="1">
        <v>2002235070</v>
      </c>
      <c r="W47" s="1">
        <v>2840082</v>
      </c>
      <c r="X47" s="1">
        <v>13232911</v>
      </c>
      <c r="Y47" s="1">
        <v>494250638</v>
      </c>
      <c r="Z47" s="1">
        <v>83076</v>
      </c>
      <c r="AA47" s="1">
        <v>94538</v>
      </c>
      <c r="AB47" s="1">
        <v>177613</v>
      </c>
      <c r="AC47" s="1">
        <v>4197575878</v>
      </c>
      <c r="AD47" s="31">
        <v>961271988</v>
      </c>
      <c r="AE47" s="1">
        <v>7857891</v>
      </c>
      <c r="AF47" s="1">
        <v>159187989</v>
      </c>
      <c r="AG47" s="1">
        <v>472254974</v>
      </c>
      <c r="AH47" s="1">
        <v>36029817</v>
      </c>
      <c r="AI47" s="1">
        <v>1324743202</v>
      </c>
      <c r="AJ47" s="1">
        <v>7158921742</v>
      </c>
      <c r="AK47" s="1">
        <v>6450133646</v>
      </c>
      <c r="AL47" s="1">
        <v>442538992</v>
      </c>
      <c r="AM47" s="1">
        <v>282003143</v>
      </c>
      <c r="AN47" s="1">
        <v>7174675782</v>
      </c>
      <c r="AO47" s="1">
        <v>531519868</v>
      </c>
      <c r="AP47" s="1">
        <v>31597031</v>
      </c>
      <c r="AQ47" s="1">
        <v>139703599</v>
      </c>
      <c r="AR47" s="1">
        <v>109920637</v>
      </c>
      <c r="AS47" s="1">
        <v>812741137</v>
      </c>
      <c r="AT47" s="1">
        <f t="shared" ref="AT47:AT52" si="9">+N47+O47</f>
        <v>68071748</v>
      </c>
      <c r="AU47">
        <f t="shared" ref="AU47:AU52" si="10">+U47/V47</f>
        <v>1.1571324095327129</v>
      </c>
      <c r="AV47">
        <f t="shared" ref="AV47:AV52" si="11">+AJ47/Y47</f>
        <v>14.484395550744843</v>
      </c>
      <c r="AW47">
        <f t="shared" ref="AW47:AW52" si="12">+T47/D47</f>
        <v>240.34644544050138</v>
      </c>
      <c r="AX47">
        <f t="shared" ref="AX47:AX52" si="13">+V47/D47</f>
        <v>4051.0520696586336</v>
      </c>
      <c r="AY47">
        <f t="shared" ref="AY47:AY52" si="14">+G47/D47</f>
        <v>2294.7898430431569</v>
      </c>
      <c r="AZ47">
        <f t="shared" ref="AZ47:AZ52" si="15">SUM(G47:M47)/D47</f>
        <v>2472.5546150938908</v>
      </c>
      <c r="BA47">
        <f t="shared" ref="BA47:BA52" si="16">+L47/D47</f>
        <v>129.03086834255134</v>
      </c>
    </row>
    <row r="48" spans="1:53" x14ac:dyDescent="0.25">
      <c r="A48" s="1" t="s">
        <v>188</v>
      </c>
      <c r="B48" s="1" t="s">
        <v>154</v>
      </c>
      <c r="C48" s="1"/>
      <c r="D48" s="35">
        <f t="shared" si="0"/>
        <v>96204.785999999993</v>
      </c>
      <c r="E48" s="1">
        <v>27073</v>
      </c>
      <c r="F48" s="1">
        <v>23858</v>
      </c>
      <c r="G48" s="1">
        <v>357587662</v>
      </c>
      <c r="H48" s="1">
        <v>284161</v>
      </c>
      <c r="I48" s="1">
        <v>625342</v>
      </c>
      <c r="J48" s="1">
        <v>194482</v>
      </c>
      <c r="K48" s="1">
        <v>239708</v>
      </c>
      <c r="L48" s="1">
        <v>6351506</v>
      </c>
      <c r="M48" s="1">
        <v>156206</v>
      </c>
      <c r="N48" s="1">
        <v>8542864</v>
      </c>
      <c r="O48" s="1">
        <v>261753</v>
      </c>
      <c r="P48" s="1">
        <v>80</v>
      </c>
      <c r="Q48" s="1">
        <v>42</v>
      </c>
      <c r="R48" s="1">
        <v>6758</v>
      </c>
      <c r="S48" s="1">
        <v>4014</v>
      </c>
      <c r="T48" s="1">
        <v>14161218</v>
      </c>
      <c r="U48" s="1">
        <v>371629805</v>
      </c>
      <c r="V48" s="1">
        <v>123343919</v>
      </c>
      <c r="W48" s="1">
        <v>208506</v>
      </c>
      <c r="X48" s="1">
        <v>238684</v>
      </c>
      <c r="Y48" s="1">
        <v>96204786</v>
      </c>
      <c r="Z48" s="1">
        <v>28107</v>
      </c>
      <c r="AA48" s="1">
        <v>11090</v>
      </c>
      <c r="AB48" s="1">
        <v>39196</v>
      </c>
      <c r="AC48" s="1">
        <v>147646030</v>
      </c>
      <c r="AD48" s="31">
        <v>41091044</v>
      </c>
      <c r="AE48" s="1">
        <v>176792</v>
      </c>
      <c r="AF48" s="1">
        <v>2227361</v>
      </c>
      <c r="AG48" s="1">
        <v>10458147</v>
      </c>
      <c r="AH48" s="1">
        <v>2242821</v>
      </c>
      <c r="AI48" s="1">
        <v>83863545</v>
      </c>
      <c r="AJ48" s="1">
        <v>287705741</v>
      </c>
      <c r="AK48" s="1">
        <v>241720059</v>
      </c>
      <c r="AL48" s="1">
        <v>10322820</v>
      </c>
      <c r="AM48" s="1">
        <v>36065880</v>
      </c>
      <c r="AN48" s="1">
        <v>288108759</v>
      </c>
      <c r="AO48" s="1">
        <v>19921478</v>
      </c>
      <c r="AP48" s="1">
        <v>960460</v>
      </c>
      <c r="AQ48" s="1">
        <v>4972543</v>
      </c>
      <c r="AR48" s="1">
        <v>7364374</v>
      </c>
      <c r="AS48" s="1">
        <v>33218856</v>
      </c>
      <c r="AT48" s="1">
        <f t="shared" si="9"/>
        <v>8804617</v>
      </c>
      <c r="AU48">
        <f t="shared" si="10"/>
        <v>3.012956033933055</v>
      </c>
      <c r="AV48">
        <f t="shared" si="11"/>
        <v>2.9905553867143366</v>
      </c>
      <c r="AW48">
        <f t="shared" si="12"/>
        <v>147.19868510491776</v>
      </c>
      <c r="AX48">
        <f t="shared" si="13"/>
        <v>1282.0975351475759</v>
      </c>
      <c r="AY48">
        <f t="shared" si="14"/>
        <v>3716.9425437940272</v>
      </c>
      <c r="AZ48">
        <f t="shared" si="15"/>
        <v>3798.5539201760712</v>
      </c>
      <c r="BA48">
        <f t="shared" si="16"/>
        <v>66.020686330511666</v>
      </c>
    </row>
    <row r="49" spans="1:53" x14ac:dyDescent="0.25">
      <c r="A49" s="1" t="s">
        <v>189</v>
      </c>
      <c r="B49" s="1" t="s">
        <v>154</v>
      </c>
      <c r="C49" s="1"/>
      <c r="D49" s="35">
        <f t="shared" si="0"/>
        <v>7404.0730000000003</v>
      </c>
      <c r="E49" s="1">
        <v>1532</v>
      </c>
      <c r="F49" s="1">
        <v>3016</v>
      </c>
      <c r="G49" s="1">
        <v>45196417</v>
      </c>
      <c r="H49" s="1">
        <v>39040</v>
      </c>
      <c r="I49" s="1">
        <v>61706</v>
      </c>
      <c r="J49" s="1">
        <v>15606</v>
      </c>
      <c r="K49" s="1">
        <v>4132</v>
      </c>
      <c r="L49" s="1">
        <v>464852</v>
      </c>
      <c r="M49" s="1">
        <v>10811</v>
      </c>
      <c r="N49" s="1">
        <v>1750008</v>
      </c>
      <c r="O49" s="1">
        <v>24254</v>
      </c>
      <c r="P49" s="1">
        <v>83</v>
      </c>
      <c r="Q49" s="1">
        <v>32</v>
      </c>
      <c r="R49" s="1">
        <v>1256</v>
      </c>
      <c r="S49" s="1">
        <v>713</v>
      </c>
      <c r="T49" s="1">
        <v>1854723</v>
      </c>
      <c r="U49" s="1">
        <v>59798468</v>
      </c>
      <c r="V49" s="1">
        <v>22660536</v>
      </c>
      <c r="W49" s="1">
        <v>9376</v>
      </c>
      <c r="X49" s="1">
        <v>71675</v>
      </c>
      <c r="Y49" s="1">
        <v>7404073</v>
      </c>
      <c r="Z49" s="1">
        <v>6156</v>
      </c>
      <c r="AA49" s="1">
        <v>1804</v>
      </c>
      <c r="AB49" s="1">
        <v>7960</v>
      </c>
      <c r="AC49" s="1">
        <v>19983682</v>
      </c>
      <c r="AD49" s="31">
        <v>6579571</v>
      </c>
      <c r="AE49" s="1">
        <v>145149</v>
      </c>
      <c r="AF49" s="1">
        <v>661564</v>
      </c>
      <c r="AG49" s="1">
        <v>506659</v>
      </c>
      <c r="AH49" s="1">
        <v>0</v>
      </c>
      <c r="AI49" s="1">
        <v>9402440</v>
      </c>
      <c r="AJ49" s="1">
        <v>37279066</v>
      </c>
      <c r="AK49" s="1">
        <v>39033195</v>
      </c>
      <c r="AL49" s="1">
        <v>468867</v>
      </c>
      <c r="AM49" s="1">
        <v>549510</v>
      </c>
      <c r="AN49" s="1">
        <v>40051572</v>
      </c>
      <c r="AO49" s="1">
        <v>3986589</v>
      </c>
      <c r="AP49" s="1">
        <v>74342</v>
      </c>
      <c r="AQ49" s="1">
        <v>480416</v>
      </c>
      <c r="AR49" s="1">
        <v>425212</v>
      </c>
      <c r="AS49" s="1">
        <v>4966560</v>
      </c>
      <c r="AT49" s="1">
        <f t="shared" si="9"/>
        <v>1774262</v>
      </c>
      <c r="AU49">
        <f t="shared" si="10"/>
        <v>2.6388814456992544</v>
      </c>
      <c r="AV49">
        <f t="shared" si="11"/>
        <v>5.034940363229806</v>
      </c>
      <c r="AW49">
        <f t="shared" si="12"/>
        <v>250.50036648747249</v>
      </c>
      <c r="AX49">
        <f t="shared" si="13"/>
        <v>3060.5500513028437</v>
      </c>
      <c r="AY49">
        <f t="shared" si="14"/>
        <v>6104.2640989628271</v>
      </c>
      <c r="AZ49">
        <f t="shared" si="15"/>
        <v>6184.7801878776718</v>
      </c>
      <c r="BA49">
        <f t="shared" si="16"/>
        <v>62.783281580286953</v>
      </c>
    </row>
    <row r="50" spans="1:53" x14ac:dyDescent="0.25">
      <c r="A50" s="1" t="s">
        <v>192</v>
      </c>
      <c r="B50" s="1" t="s">
        <v>154</v>
      </c>
      <c r="C50" s="1"/>
      <c r="D50" s="35">
        <f t="shared" si="0"/>
        <v>248360.83900000001</v>
      </c>
      <c r="E50" s="1">
        <v>15311</v>
      </c>
      <c r="F50" s="1">
        <v>26187</v>
      </c>
      <c r="G50" s="1">
        <v>498805726</v>
      </c>
      <c r="H50" s="1">
        <v>863815</v>
      </c>
      <c r="I50" s="1">
        <v>816158</v>
      </c>
      <c r="J50" s="1">
        <v>833141</v>
      </c>
      <c r="K50" s="1">
        <v>12075556</v>
      </c>
      <c r="L50" s="1">
        <v>35841472</v>
      </c>
      <c r="M50" s="1">
        <v>733042</v>
      </c>
      <c r="N50" s="1">
        <v>37281171</v>
      </c>
      <c r="O50" s="1">
        <v>4661009</v>
      </c>
      <c r="P50" s="1">
        <v>89</v>
      </c>
      <c r="Q50" s="1">
        <v>74</v>
      </c>
      <c r="R50" s="1">
        <v>85395</v>
      </c>
      <c r="S50" s="1">
        <v>46517</v>
      </c>
      <c r="T50" s="1">
        <v>65054373</v>
      </c>
      <c r="U50" s="1">
        <v>1337784764</v>
      </c>
      <c r="V50" s="1">
        <v>1125060599</v>
      </c>
      <c r="W50" s="1">
        <v>852106</v>
      </c>
      <c r="X50" s="1">
        <v>815871</v>
      </c>
      <c r="Y50" s="1">
        <v>248360839</v>
      </c>
      <c r="Z50" s="1">
        <v>29775</v>
      </c>
      <c r="AA50" s="1">
        <v>50782</v>
      </c>
      <c r="AB50" s="1">
        <v>80557</v>
      </c>
      <c r="AC50" s="1">
        <v>2639784696</v>
      </c>
      <c r="AD50" s="31">
        <v>578223146</v>
      </c>
      <c r="AE50" s="1">
        <v>6333288</v>
      </c>
      <c r="AF50" s="1">
        <v>121857511</v>
      </c>
      <c r="AG50" s="1">
        <v>343428036</v>
      </c>
      <c r="AH50" s="1">
        <v>31304036</v>
      </c>
      <c r="AI50" s="1">
        <v>736460625</v>
      </c>
      <c r="AJ50" s="1">
        <v>4457391339</v>
      </c>
      <c r="AK50" s="1">
        <v>3965509527</v>
      </c>
      <c r="AL50" s="1">
        <v>323006215</v>
      </c>
      <c r="AM50" s="1">
        <v>181275082</v>
      </c>
      <c r="AN50" s="1">
        <v>4469790824</v>
      </c>
      <c r="AO50" s="1">
        <v>374630343</v>
      </c>
      <c r="AP50" s="1">
        <v>23512053</v>
      </c>
      <c r="AQ50" s="1">
        <v>98346185</v>
      </c>
      <c r="AR50" s="1">
        <v>70344439</v>
      </c>
      <c r="AS50" s="1">
        <v>566833020</v>
      </c>
      <c r="AT50" s="1">
        <f t="shared" si="9"/>
        <v>41942180</v>
      </c>
      <c r="AU50">
        <f t="shared" si="10"/>
        <v>1.1890779618351919</v>
      </c>
      <c r="AV50">
        <f t="shared" si="11"/>
        <v>17.947239012991094</v>
      </c>
      <c r="AW50">
        <f t="shared" si="12"/>
        <v>261.93490592935223</v>
      </c>
      <c r="AX50">
        <f t="shared" si="13"/>
        <v>4529.9436236805432</v>
      </c>
      <c r="AY50">
        <f t="shared" si="14"/>
        <v>2008.3912101778653</v>
      </c>
      <c r="AZ50">
        <f t="shared" si="15"/>
        <v>2214.3946373123663</v>
      </c>
      <c r="BA50">
        <f t="shared" si="16"/>
        <v>144.31209100561944</v>
      </c>
    </row>
    <row r="51" spans="1:53" x14ac:dyDescent="0.25">
      <c r="A51" s="1" t="s">
        <v>190</v>
      </c>
      <c r="B51" s="1" t="s">
        <v>154</v>
      </c>
      <c r="C51" s="1"/>
      <c r="D51" s="35">
        <f t="shared" si="0"/>
        <v>24238.94</v>
      </c>
      <c r="E51" s="1">
        <v>1534</v>
      </c>
      <c r="F51" s="1">
        <v>4649</v>
      </c>
      <c r="G51" s="1">
        <v>131282474</v>
      </c>
      <c r="H51" s="1">
        <v>134721</v>
      </c>
      <c r="I51" s="1">
        <v>433793</v>
      </c>
      <c r="J51" s="1">
        <v>100956</v>
      </c>
      <c r="K51" s="1">
        <v>596123</v>
      </c>
      <c r="L51" s="1">
        <v>11357075</v>
      </c>
      <c r="M51" s="1">
        <v>162718</v>
      </c>
      <c r="N51" s="1">
        <v>6136975</v>
      </c>
      <c r="O51" s="1">
        <v>1061419</v>
      </c>
      <c r="P51" s="1">
        <v>88</v>
      </c>
      <c r="Q51" s="1">
        <v>81</v>
      </c>
      <c r="R51" s="1">
        <v>12075</v>
      </c>
      <c r="S51" s="1">
        <v>7407</v>
      </c>
      <c r="T51" s="1">
        <v>8098760</v>
      </c>
      <c r="U51" s="1">
        <v>281164661</v>
      </c>
      <c r="V51" s="1">
        <v>167824177</v>
      </c>
      <c r="W51" s="1">
        <v>1176481</v>
      </c>
      <c r="X51" s="1">
        <v>11588235</v>
      </c>
      <c r="Y51" s="1">
        <v>24238940</v>
      </c>
      <c r="Z51" s="1">
        <v>7094</v>
      </c>
      <c r="AA51" s="1">
        <v>9201</v>
      </c>
      <c r="AB51" s="1">
        <v>16295</v>
      </c>
      <c r="AC51" s="1">
        <v>587567060</v>
      </c>
      <c r="AD51" s="31">
        <v>155220687</v>
      </c>
      <c r="AE51" s="1">
        <v>414356</v>
      </c>
      <c r="AF51" s="1">
        <v>14203741</v>
      </c>
      <c r="AG51" s="1">
        <v>48537755</v>
      </c>
      <c r="AH51" s="1">
        <v>2447753</v>
      </c>
      <c r="AI51" s="1">
        <v>258893666</v>
      </c>
      <c r="AJ51" s="1">
        <v>1067285018</v>
      </c>
      <c r="AK51" s="1">
        <v>1002733449</v>
      </c>
      <c r="AL51" s="1">
        <v>36121999</v>
      </c>
      <c r="AM51" s="1">
        <v>28608600</v>
      </c>
      <c r="AN51" s="1">
        <v>1067464049</v>
      </c>
      <c r="AO51" s="1">
        <v>38602867</v>
      </c>
      <c r="AP51" s="1">
        <v>2329523</v>
      </c>
      <c r="AQ51" s="1">
        <v>11904272</v>
      </c>
      <c r="AR51" s="1">
        <v>10531370</v>
      </c>
      <c r="AS51" s="1">
        <v>63368032</v>
      </c>
      <c r="AT51" s="1">
        <f t="shared" si="9"/>
        <v>7198394</v>
      </c>
      <c r="AU51">
        <f t="shared" si="10"/>
        <v>1.6753525387465478</v>
      </c>
      <c r="AV51">
        <f t="shared" si="11"/>
        <v>44.031835468052648</v>
      </c>
      <c r="AW51">
        <f t="shared" si="12"/>
        <v>334.12187166600523</v>
      </c>
      <c r="AX51">
        <f t="shared" si="13"/>
        <v>6923.7424161287581</v>
      </c>
      <c r="AY51">
        <f t="shared" si="14"/>
        <v>5416.1804930413628</v>
      </c>
      <c r="AZ51">
        <f t="shared" si="15"/>
        <v>5943.6534765959241</v>
      </c>
      <c r="BA51">
        <f t="shared" si="16"/>
        <v>468.54668562239112</v>
      </c>
    </row>
    <row r="52" spans="1:53" x14ac:dyDescent="0.25">
      <c r="A52" s="1" t="s">
        <v>191</v>
      </c>
      <c r="B52" s="1" t="s">
        <v>154</v>
      </c>
      <c r="C52" s="1"/>
      <c r="D52" s="35">
        <f t="shared" si="0"/>
        <v>118042</v>
      </c>
      <c r="E52" s="1">
        <v>5810</v>
      </c>
      <c r="F52" s="1">
        <v>12319</v>
      </c>
      <c r="G52" s="1">
        <v>101329065</v>
      </c>
      <c r="H52" s="1">
        <v>517366</v>
      </c>
      <c r="I52" s="1">
        <v>527217</v>
      </c>
      <c r="J52" s="1">
        <v>1887487</v>
      </c>
      <c r="K52" s="1">
        <v>2517238</v>
      </c>
      <c r="L52" s="1">
        <v>9758684</v>
      </c>
      <c r="M52" s="1">
        <v>256238</v>
      </c>
      <c r="N52" s="1">
        <v>7182515</v>
      </c>
      <c r="O52" s="1">
        <v>1169780</v>
      </c>
      <c r="P52" s="1">
        <v>89</v>
      </c>
      <c r="Q52" s="1">
        <v>73</v>
      </c>
      <c r="R52" s="1">
        <v>36304</v>
      </c>
      <c r="S52" s="1">
        <v>17387</v>
      </c>
      <c r="T52" s="1">
        <v>29622310</v>
      </c>
      <c r="U52" s="1">
        <v>266473393</v>
      </c>
      <c r="V52" s="1">
        <v>563345839</v>
      </c>
      <c r="W52" s="1">
        <v>593613</v>
      </c>
      <c r="X52" s="1">
        <v>518446</v>
      </c>
      <c r="Y52" s="1">
        <v>118042000</v>
      </c>
      <c r="Z52" s="1">
        <v>11944</v>
      </c>
      <c r="AA52" s="1">
        <v>21661</v>
      </c>
      <c r="AB52" s="1">
        <v>33605</v>
      </c>
      <c r="AC52" s="1">
        <v>802594410</v>
      </c>
      <c r="AD52" s="31">
        <v>180157540</v>
      </c>
      <c r="AE52" s="1">
        <v>788306</v>
      </c>
      <c r="AF52" s="1">
        <v>20237812</v>
      </c>
      <c r="AG52" s="1">
        <v>69324377</v>
      </c>
      <c r="AH52" s="1">
        <v>35207</v>
      </c>
      <c r="AI52" s="1">
        <v>236122926</v>
      </c>
      <c r="AJ52" s="1">
        <v>1309260578</v>
      </c>
      <c r="AK52" s="1">
        <v>1201137416</v>
      </c>
      <c r="AL52" s="1">
        <v>72619091</v>
      </c>
      <c r="AM52" s="1">
        <v>35504071</v>
      </c>
      <c r="AN52" s="1">
        <v>1309260578</v>
      </c>
      <c r="AO52" s="1">
        <v>94378591</v>
      </c>
      <c r="AP52" s="1">
        <v>4720653</v>
      </c>
      <c r="AQ52" s="1">
        <v>24000183</v>
      </c>
      <c r="AR52" s="1">
        <v>21255242</v>
      </c>
      <c r="AS52" s="1">
        <v>144354669</v>
      </c>
      <c r="AT52" s="1">
        <f t="shared" si="9"/>
        <v>8352295</v>
      </c>
      <c r="AU52">
        <f t="shared" si="10"/>
        <v>0.47301919096982981</v>
      </c>
      <c r="AV52">
        <f t="shared" si="11"/>
        <v>11.091480811914403</v>
      </c>
      <c r="AW52">
        <f t="shared" si="12"/>
        <v>250.94720523203605</v>
      </c>
      <c r="AX52">
        <f t="shared" si="13"/>
        <v>4772.4186221853242</v>
      </c>
      <c r="AY52">
        <f t="shared" si="14"/>
        <v>858.41535216278953</v>
      </c>
      <c r="AZ52">
        <f t="shared" si="15"/>
        <v>989.42151945917556</v>
      </c>
      <c r="BA52">
        <f t="shared" si="16"/>
        <v>82.671286491248878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A52"/>
  <sheetViews>
    <sheetView workbookViewId="0">
      <pane xSplit="3" ySplit="1" topLeftCell="D12" activePane="bottomRight" state="frozen"/>
      <selection activeCell="B13" sqref="B13:B14"/>
      <selection pane="topRight" activeCell="B13" sqref="B13:B14"/>
      <selection pane="bottomLeft" activeCell="B13" sqref="B13:B14"/>
      <selection pane="bottomRight" activeCell="B13" sqref="B13:B14"/>
    </sheetView>
  </sheetViews>
  <sheetFormatPr defaultRowHeight="12.5" x14ac:dyDescent="0.25"/>
  <sheetData>
    <row r="1" spans="1:53" s="105" customFormat="1" ht="137.5" x14ac:dyDescent="0.25">
      <c r="A1" s="105" t="s">
        <v>3</v>
      </c>
      <c r="B1" s="105" t="s">
        <v>0</v>
      </c>
      <c r="C1" s="105" t="s">
        <v>27</v>
      </c>
      <c r="D1" s="105" t="s">
        <v>95</v>
      </c>
      <c r="E1" s="105" t="s">
        <v>65</v>
      </c>
      <c r="F1" s="105" t="s">
        <v>66</v>
      </c>
      <c r="G1" s="105" t="s">
        <v>67</v>
      </c>
      <c r="H1" s="105" t="s">
        <v>68</v>
      </c>
      <c r="I1" s="105" t="s">
        <v>69</v>
      </c>
      <c r="J1" s="105" t="s">
        <v>70</v>
      </c>
      <c r="K1" s="105" t="s">
        <v>71</v>
      </c>
      <c r="L1" s="105" t="s">
        <v>72</v>
      </c>
      <c r="M1" s="105" t="s">
        <v>73</v>
      </c>
      <c r="N1" s="105" t="s">
        <v>74</v>
      </c>
      <c r="O1" s="105" t="s">
        <v>75</v>
      </c>
      <c r="P1" s="105" t="s">
        <v>76</v>
      </c>
      <c r="Q1" s="105" t="s">
        <v>77</v>
      </c>
      <c r="R1" s="105" t="s">
        <v>78</v>
      </c>
      <c r="S1" s="105" t="s">
        <v>79</v>
      </c>
      <c r="T1" s="105" t="s">
        <v>80</v>
      </c>
      <c r="U1" s="105" t="s">
        <v>142</v>
      </c>
      <c r="V1" s="105" t="s">
        <v>81</v>
      </c>
      <c r="W1" s="105" t="s">
        <v>96</v>
      </c>
      <c r="X1" s="105" t="s">
        <v>97</v>
      </c>
      <c r="Y1" s="105" t="s">
        <v>82</v>
      </c>
      <c r="Z1" s="105" t="s">
        <v>83</v>
      </c>
      <c r="AA1" s="105" t="s">
        <v>84</v>
      </c>
      <c r="AB1" s="105" t="s">
        <v>85</v>
      </c>
      <c r="AC1" s="105" t="s">
        <v>132</v>
      </c>
      <c r="AD1" s="105" t="s">
        <v>133</v>
      </c>
      <c r="AE1" s="105" t="s">
        <v>134</v>
      </c>
      <c r="AF1" s="105" t="s">
        <v>135</v>
      </c>
      <c r="AG1" s="105" t="s">
        <v>136</v>
      </c>
      <c r="AH1" s="105" t="s">
        <v>137</v>
      </c>
      <c r="AI1" s="105" t="s">
        <v>138</v>
      </c>
      <c r="AJ1" s="105" t="s">
        <v>139</v>
      </c>
      <c r="AK1" s="105" t="s">
        <v>86</v>
      </c>
      <c r="AL1" s="105" t="s">
        <v>87</v>
      </c>
      <c r="AM1" s="105" t="s">
        <v>88</v>
      </c>
      <c r="AN1" s="105" t="s">
        <v>89</v>
      </c>
      <c r="AO1" s="36" t="s">
        <v>90</v>
      </c>
      <c r="AP1" s="36" t="s">
        <v>91</v>
      </c>
      <c r="AQ1" s="36" t="s">
        <v>92</v>
      </c>
      <c r="AR1" s="36" t="s">
        <v>93</v>
      </c>
      <c r="AS1" s="36" t="s">
        <v>94</v>
      </c>
      <c r="AT1" s="36" t="s">
        <v>286</v>
      </c>
      <c r="AU1" s="36" t="s">
        <v>287</v>
      </c>
      <c r="AV1" s="36" t="s">
        <v>288</v>
      </c>
      <c r="AW1" s="36" t="s">
        <v>289</v>
      </c>
      <c r="AX1" s="36" t="s">
        <v>290</v>
      </c>
      <c r="AY1" s="36" t="s">
        <v>291</v>
      </c>
      <c r="AZ1" s="36" t="s">
        <v>292</v>
      </c>
      <c r="BA1" s="36" t="s">
        <v>293</v>
      </c>
    </row>
    <row r="2" spans="1:53" x14ac:dyDescent="0.25">
      <c r="A2" t="s">
        <v>32</v>
      </c>
      <c r="B2" t="s">
        <v>150</v>
      </c>
      <c r="C2" t="s">
        <v>98</v>
      </c>
      <c r="D2">
        <v>0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2</v>
      </c>
      <c r="R2">
        <v>2</v>
      </c>
      <c r="S2">
        <v>2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2</v>
      </c>
      <c r="AP2">
        <v>2</v>
      </c>
      <c r="AQ2">
        <v>2</v>
      </c>
      <c r="AR2">
        <v>2</v>
      </c>
      <c r="AS2">
        <v>2</v>
      </c>
      <c r="AT2" s="1">
        <f>MAX(N2,O2)</f>
        <v>1</v>
      </c>
      <c r="AU2" s="1">
        <f>MAX(U2,V2)</f>
        <v>1</v>
      </c>
      <c r="AV2" s="1">
        <f>MAX(AH2,W2)</f>
        <v>1</v>
      </c>
      <c r="AW2" s="1">
        <f>MAX(T2,D2)</f>
        <v>1</v>
      </c>
      <c r="AX2" s="1">
        <f>MAX(V2,D2)</f>
        <v>1</v>
      </c>
      <c r="AY2" s="1">
        <f>MAX(G2,D2)</f>
        <v>1</v>
      </c>
      <c r="AZ2" s="1">
        <f>MAX(G2:M2)</f>
        <v>2</v>
      </c>
      <c r="BA2" s="1">
        <f>+L2</f>
        <v>1</v>
      </c>
    </row>
    <row r="3" spans="1:53" x14ac:dyDescent="0.25">
      <c r="A3" t="s">
        <v>33</v>
      </c>
      <c r="B3" t="s">
        <v>150</v>
      </c>
      <c r="C3" t="s">
        <v>99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s="1">
        <f t="shared" ref="AT3:AT40" si="0">MAX(N3,O3)</f>
        <v>0</v>
      </c>
      <c r="AU3" s="1">
        <f t="shared" ref="AU3:AU45" si="1">MAX(U3,V3)</f>
        <v>1</v>
      </c>
      <c r="AV3" s="1">
        <f t="shared" ref="AV3:AV45" si="2">MAX(AH3,W3)</f>
        <v>1</v>
      </c>
      <c r="AW3" s="1">
        <f t="shared" ref="AW3:AW45" si="3">MAX(T3,D3)</f>
        <v>0</v>
      </c>
      <c r="AX3" s="1">
        <f t="shared" ref="AX3:AX45" si="4">MAX(V3,D3)</f>
        <v>1</v>
      </c>
      <c r="AY3" s="1">
        <f t="shared" ref="AY3:AY45" si="5">MAX(G3,D3)</f>
        <v>0</v>
      </c>
      <c r="AZ3" s="1">
        <f t="shared" ref="AZ3:AZ45" si="6">MAX(G3:M3)</f>
        <v>1</v>
      </c>
      <c r="BA3" s="1">
        <f t="shared" ref="BA3:BA45" si="7">+L3</f>
        <v>0</v>
      </c>
    </row>
    <row r="4" spans="1:53" x14ac:dyDescent="0.25">
      <c r="A4" t="s">
        <v>34</v>
      </c>
      <c r="B4" t="s">
        <v>150</v>
      </c>
      <c r="C4" t="s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s="1">
        <f t="shared" si="0"/>
        <v>0</v>
      </c>
      <c r="AU4" s="1">
        <f t="shared" si="1"/>
        <v>0</v>
      </c>
      <c r="AV4" s="1">
        <f t="shared" si="2"/>
        <v>1</v>
      </c>
      <c r="AW4" s="1">
        <f t="shared" si="3"/>
        <v>0</v>
      </c>
      <c r="AX4" s="1">
        <f t="shared" si="4"/>
        <v>0</v>
      </c>
      <c r="AY4" s="1">
        <f t="shared" si="5"/>
        <v>0</v>
      </c>
      <c r="AZ4" s="1">
        <f t="shared" si="6"/>
        <v>1</v>
      </c>
      <c r="BA4" s="1">
        <f t="shared" si="7"/>
        <v>0</v>
      </c>
    </row>
    <row r="5" spans="1:53" x14ac:dyDescent="0.25">
      <c r="A5" t="s">
        <v>35</v>
      </c>
      <c r="B5" t="s">
        <v>150</v>
      </c>
      <c r="C5" t="s">
        <v>101</v>
      </c>
      <c r="D5">
        <v>0</v>
      </c>
      <c r="E5">
        <v>1</v>
      </c>
      <c r="F5">
        <v>1</v>
      </c>
      <c r="G5">
        <v>1</v>
      </c>
      <c r="H5">
        <v>1</v>
      </c>
      <c r="I5">
        <v>2</v>
      </c>
      <c r="J5">
        <v>2</v>
      </c>
      <c r="K5">
        <v>2</v>
      </c>
      <c r="L5">
        <v>1</v>
      </c>
      <c r="M5">
        <v>1</v>
      </c>
      <c r="N5">
        <v>1</v>
      </c>
      <c r="O5">
        <v>1</v>
      </c>
      <c r="P5">
        <v>2</v>
      </c>
      <c r="Q5">
        <v>2</v>
      </c>
      <c r="R5">
        <v>2</v>
      </c>
      <c r="S5">
        <v>2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2</v>
      </c>
      <c r="AP5">
        <v>2</v>
      </c>
      <c r="AQ5">
        <v>2</v>
      </c>
      <c r="AR5">
        <v>2</v>
      </c>
      <c r="AS5">
        <v>2</v>
      </c>
      <c r="AT5" s="1">
        <f t="shared" si="0"/>
        <v>1</v>
      </c>
      <c r="AU5" s="1">
        <f t="shared" si="1"/>
        <v>1</v>
      </c>
      <c r="AV5" s="1">
        <f t="shared" si="2"/>
        <v>1</v>
      </c>
      <c r="AW5" s="1">
        <f t="shared" si="3"/>
        <v>1</v>
      </c>
      <c r="AX5" s="1">
        <f t="shared" si="4"/>
        <v>1</v>
      </c>
      <c r="AY5" s="1">
        <f t="shared" si="5"/>
        <v>1</v>
      </c>
      <c r="AZ5" s="1">
        <f t="shared" si="6"/>
        <v>2</v>
      </c>
      <c r="BA5" s="1">
        <f t="shared" si="7"/>
        <v>1</v>
      </c>
    </row>
    <row r="6" spans="1:53" x14ac:dyDescent="0.25">
      <c r="A6" t="s">
        <v>36</v>
      </c>
      <c r="B6" t="s">
        <v>150</v>
      </c>
      <c r="C6" t="s">
        <v>102</v>
      </c>
      <c r="D6">
        <v>0</v>
      </c>
      <c r="E6">
        <v>0</v>
      </c>
      <c r="F6">
        <v>0</v>
      </c>
      <c r="G6">
        <v>0</v>
      </c>
      <c r="H6">
        <v>2</v>
      </c>
      <c r="I6">
        <v>2</v>
      </c>
      <c r="J6">
        <v>2</v>
      </c>
      <c r="K6">
        <v>0</v>
      </c>
      <c r="L6">
        <v>0</v>
      </c>
      <c r="M6">
        <v>2</v>
      </c>
      <c r="N6">
        <v>0</v>
      </c>
      <c r="O6">
        <v>0</v>
      </c>
      <c r="P6">
        <v>2</v>
      </c>
      <c r="Q6">
        <v>2</v>
      </c>
      <c r="R6">
        <v>2</v>
      </c>
      <c r="S6">
        <v>2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 s="1">
        <f t="shared" si="0"/>
        <v>0</v>
      </c>
      <c r="AU6" s="1">
        <f t="shared" si="1"/>
        <v>1</v>
      </c>
      <c r="AV6" s="1">
        <f t="shared" si="2"/>
        <v>1</v>
      </c>
      <c r="AW6" s="1">
        <f t="shared" si="3"/>
        <v>0</v>
      </c>
      <c r="AX6" s="1">
        <f t="shared" si="4"/>
        <v>0</v>
      </c>
      <c r="AY6" s="1">
        <f t="shared" si="5"/>
        <v>0</v>
      </c>
      <c r="AZ6" s="1">
        <f t="shared" si="6"/>
        <v>2</v>
      </c>
      <c r="BA6" s="1">
        <f t="shared" si="7"/>
        <v>0</v>
      </c>
    </row>
    <row r="7" spans="1:53" x14ac:dyDescent="0.25">
      <c r="A7" t="s">
        <v>37</v>
      </c>
      <c r="B7" t="s">
        <v>150</v>
      </c>
      <c r="C7" t="s">
        <v>103</v>
      </c>
      <c r="D7">
        <v>0</v>
      </c>
      <c r="E7">
        <v>0</v>
      </c>
      <c r="F7">
        <v>0</v>
      </c>
      <c r="G7">
        <v>0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2</v>
      </c>
      <c r="AQ7">
        <v>2</v>
      </c>
      <c r="AR7">
        <v>2</v>
      </c>
      <c r="AS7">
        <v>2</v>
      </c>
      <c r="AT7" s="1">
        <f t="shared" si="0"/>
        <v>0</v>
      </c>
      <c r="AU7" s="1">
        <f t="shared" si="1"/>
        <v>0</v>
      </c>
      <c r="AV7" s="1">
        <f t="shared" si="2"/>
        <v>1</v>
      </c>
      <c r="AW7" s="1">
        <f t="shared" si="3"/>
        <v>0</v>
      </c>
      <c r="AX7" s="1">
        <f t="shared" si="4"/>
        <v>0</v>
      </c>
      <c r="AY7" s="1">
        <f t="shared" si="5"/>
        <v>0</v>
      </c>
      <c r="AZ7" s="1">
        <f t="shared" si="6"/>
        <v>2</v>
      </c>
      <c r="BA7" s="1">
        <f t="shared" si="7"/>
        <v>0</v>
      </c>
    </row>
    <row r="8" spans="1:53" x14ac:dyDescent="0.25">
      <c r="A8" t="s">
        <v>38</v>
      </c>
      <c r="B8" t="s">
        <v>150</v>
      </c>
      <c r="C8" t="s">
        <v>104</v>
      </c>
      <c r="D8">
        <v>0</v>
      </c>
      <c r="E8">
        <v>1</v>
      </c>
      <c r="F8">
        <v>1</v>
      </c>
      <c r="G8">
        <v>1</v>
      </c>
      <c r="H8">
        <v>2</v>
      </c>
      <c r="I8">
        <v>2</v>
      </c>
      <c r="J8">
        <v>2</v>
      </c>
      <c r="K8">
        <v>1</v>
      </c>
      <c r="L8">
        <v>1</v>
      </c>
      <c r="M8">
        <v>2</v>
      </c>
      <c r="N8">
        <v>1</v>
      </c>
      <c r="O8">
        <v>1</v>
      </c>
      <c r="P8">
        <v>2</v>
      </c>
      <c r="Q8">
        <v>2</v>
      </c>
      <c r="R8">
        <v>2</v>
      </c>
      <c r="S8">
        <v>2</v>
      </c>
      <c r="T8">
        <v>1</v>
      </c>
      <c r="U8">
        <v>1</v>
      </c>
      <c r="V8">
        <v>2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 s="1">
        <f t="shared" si="0"/>
        <v>1</v>
      </c>
      <c r="AU8" s="1">
        <f t="shared" si="1"/>
        <v>2</v>
      </c>
      <c r="AV8" s="1">
        <f t="shared" si="2"/>
        <v>2</v>
      </c>
      <c r="AW8" s="1">
        <f t="shared" si="3"/>
        <v>1</v>
      </c>
      <c r="AX8" s="1">
        <f t="shared" si="4"/>
        <v>2</v>
      </c>
      <c r="AY8" s="1">
        <f t="shared" si="5"/>
        <v>1</v>
      </c>
      <c r="AZ8" s="1">
        <f t="shared" si="6"/>
        <v>2</v>
      </c>
      <c r="BA8" s="1">
        <f t="shared" si="7"/>
        <v>1</v>
      </c>
    </row>
    <row r="9" spans="1:53" x14ac:dyDescent="0.25">
      <c r="A9" t="s">
        <v>39</v>
      </c>
      <c r="B9" t="s">
        <v>150</v>
      </c>
      <c r="C9" t="s">
        <v>105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 s="1">
        <f t="shared" si="0"/>
        <v>0</v>
      </c>
      <c r="AU9" s="1">
        <f t="shared" si="1"/>
        <v>0</v>
      </c>
      <c r="AV9" s="1">
        <f t="shared" si="2"/>
        <v>1</v>
      </c>
      <c r="AW9" s="1">
        <f t="shared" si="3"/>
        <v>0</v>
      </c>
      <c r="AX9" s="1">
        <f t="shared" si="4"/>
        <v>0</v>
      </c>
      <c r="AY9" s="1">
        <f t="shared" si="5"/>
        <v>0</v>
      </c>
      <c r="AZ9" s="1">
        <f t="shared" si="6"/>
        <v>1</v>
      </c>
      <c r="BA9" s="1">
        <f t="shared" si="7"/>
        <v>0</v>
      </c>
    </row>
    <row r="10" spans="1:53" x14ac:dyDescent="0.25">
      <c r="A10" t="s">
        <v>40</v>
      </c>
      <c r="B10" t="s">
        <v>150</v>
      </c>
      <c r="C10" t="s">
        <v>106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s="1">
        <f t="shared" si="0"/>
        <v>0</v>
      </c>
      <c r="AU10" s="1">
        <f t="shared" si="1"/>
        <v>0</v>
      </c>
      <c r="AV10" s="1">
        <f t="shared" si="2"/>
        <v>1</v>
      </c>
      <c r="AW10" s="1">
        <f t="shared" si="3"/>
        <v>0</v>
      </c>
      <c r="AX10" s="1">
        <f t="shared" si="4"/>
        <v>0</v>
      </c>
      <c r="AY10" s="1">
        <f t="shared" si="5"/>
        <v>0</v>
      </c>
      <c r="AZ10" s="1">
        <f t="shared" si="6"/>
        <v>0</v>
      </c>
      <c r="BA10" s="1">
        <f t="shared" si="7"/>
        <v>0</v>
      </c>
    </row>
    <row r="11" spans="1:53" x14ac:dyDescent="0.25">
      <c r="A11" t="s">
        <v>41</v>
      </c>
      <c r="B11" t="s">
        <v>150</v>
      </c>
      <c r="C11" t="s">
        <v>107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 s="1">
        <f t="shared" si="0"/>
        <v>0</v>
      </c>
      <c r="AU11" s="1">
        <f t="shared" si="1"/>
        <v>0</v>
      </c>
      <c r="AV11" s="1">
        <f t="shared" si="2"/>
        <v>1</v>
      </c>
      <c r="AW11" s="1">
        <f t="shared" si="3"/>
        <v>0</v>
      </c>
      <c r="AX11" s="1">
        <f t="shared" si="4"/>
        <v>0</v>
      </c>
      <c r="AY11" s="1">
        <f t="shared" si="5"/>
        <v>0</v>
      </c>
      <c r="AZ11" s="1">
        <f t="shared" si="6"/>
        <v>0</v>
      </c>
      <c r="BA11" s="1">
        <f t="shared" si="7"/>
        <v>0</v>
      </c>
    </row>
    <row r="12" spans="1:53" x14ac:dyDescent="0.25">
      <c r="A12" t="s">
        <v>42</v>
      </c>
      <c r="B12" t="s">
        <v>151</v>
      </c>
      <c r="C12" t="s">
        <v>108</v>
      </c>
      <c r="D12">
        <v>0</v>
      </c>
      <c r="E12">
        <v>1</v>
      </c>
      <c r="F12">
        <v>1</v>
      </c>
      <c r="G12">
        <v>1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2</v>
      </c>
      <c r="AP12">
        <v>2</v>
      </c>
      <c r="AQ12">
        <v>2</v>
      </c>
      <c r="AR12">
        <v>2</v>
      </c>
      <c r="AS12">
        <v>2</v>
      </c>
      <c r="AT12" s="1">
        <f t="shared" si="0"/>
        <v>2</v>
      </c>
      <c r="AU12" s="1">
        <f t="shared" si="1"/>
        <v>1</v>
      </c>
      <c r="AV12" s="1">
        <f t="shared" si="2"/>
        <v>1</v>
      </c>
      <c r="AW12" s="1">
        <f t="shared" si="3"/>
        <v>1</v>
      </c>
      <c r="AX12" s="1">
        <f t="shared" si="4"/>
        <v>1</v>
      </c>
      <c r="AY12" s="1">
        <f t="shared" si="5"/>
        <v>1</v>
      </c>
      <c r="AZ12" s="1">
        <f t="shared" si="6"/>
        <v>2</v>
      </c>
      <c r="BA12" s="1">
        <f t="shared" si="7"/>
        <v>2</v>
      </c>
    </row>
    <row r="13" spans="1:53" x14ac:dyDescent="0.25">
      <c r="A13" t="s">
        <v>318</v>
      </c>
      <c r="B13" t="s">
        <v>318</v>
      </c>
      <c r="C13" s="44" t="s">
        <v>317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2</v>
      </c>
      <c r="S13">
        <v>2</v>
      </c>
      <c r="T13">
        <v>0</v>
      </c>
      <c r="U13">
        <v>0</v>
      </c>
      <c r="V13">
        <v>2</v>
      </c>
      <c r="W13">
        <v>2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P13">
        <v>2</v>
      </c>
      <c r="AQ13">
        <v>2</v>
      </c>
      <c r="AR13">
        <v>2</v>
      </c>
      <c r="AS13">
        <v>2</v>
      </c>
      <c r="AT13" s="1">
        <f>MAX(N13,O13)</f>
        <v>0</v>
      </c>
      <c r="AU13" s="1">
        <f>MAX(U13,V13)</f>
        <v>2</v>
      </c>
      <c r="AV13" s="1">
        <f>MAX(AH13,W13)</f>
        <v>2</v>
      </c>
      <c r="AW13" s="1">
        <f>MAX(T13,D13)</f>
        <v>0</v>
      </c>
      <c r="AX13" s="1">
        <f>MAX(V13,D13)</f>
        <v>2</v>
      </c>
      <c r="AY13" s="1">
        <f>MAX(G13,D13)</f>
        <v>0</v>
      </c>
      <c r="AZ13" s="1">
        <f>MAX(G13:M13)</f>
        <v>2</v>
      </c>
      <c r="BA13" s="1">
        <f>+L13</f>
        <v>0</v>
      </c>
    </row>
    <row r="14" spans="1:53" x14ac:dyDescent="0.25">
      <c r="A14" s="1" t="s">
        <v>315</v>
      </c>
      <c r="B14" s="1" t="s">
        <v>315</v>
      </c>
      <c r="C14" s="44" t="s">
        <v>316</v>
      </c>
      <c r="D14">
        <v>0</v>
      </c>
      <c r="E14">
        <v>0</v>
      </c>
      <c r="F14">
        <v>0</v>
      </c>
      <c r="G14">
        <v>0</v>
      </c>
      <c r="H14">
        <v>2</v>
      </c>
      <c r="I14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>
        <v>2</v>
      </c>
      <c r="T14">
        <v>0</v>
      </c>
      <c r="U14">
        <v>2</v>
      </c>
      <c r="V14">
        <v>2</v>
      </c>
      <c r="W14">
        <v>2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2</v>
      </c>
      <c r="AQ14">
        <v>2</v>
      </c>
      <c r="AR14">
        <v>2</v>
      </c>
      <c r="AS14">
        <v>2</v>
      </c>
      <c r="AT14" s="1">
        <f>MAX(N14,O14)</f>
        <v>0</v>
      </c>
      <c r="AU14" s="1">
        <f>MAX(U14,V14)</f>
        <v>2</v>
      </c>
      <c r="AV14" s="1">
        <f>MAX(AH14,W14)</f>
        <v>2</v>
      </c>
      <c r="AW14" s="1">
        <f>MAX(T14,D14)</f>
        <v>0</v>
      </c>
      <c r="AX14" s="1">
        <f>MAX(V14,D14)</f>
        <v>2</v>
      </c>
      <c r="AY14" s="1">
        <f>MAX(G14,D14)</f>
        <v>0</v>
      </c>
      <c r="AZ14" s="1">
        <f>MAX(G14:M14)</f>
        <v>2</v>
      </c>
      <c r="BA14" s="1">
        <f>+L14</f>
        <v>0</v>
      </c>
    </row>
    <row r="15" spans="1:53" x14ac:dyDescent="0.25">
      <c r="A15" t="s">
        <v>43</v>
      </c>
      <c r="B15" t="s">
        <v>151</v>
      </c>
      <c r="C15" t="s">
        <v>109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2</v>
      </c>
      <c r="K15">
        <v>2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2</v>
      </c>
      <c r="S15">
        <v>2</v>
      </c>
      <c r="T15">
        <v>0</v>
      </c>
      <c r="U15">
        <v>2</v>
      </c>
      <c r="V15">
        <v>2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1</v>
      </c>
      <c r="AN15">
        <v>1</v>
      </c>
      <c r="AO15">
        <v>2</v>
      </c>
      <c r="AP15">
        <v>2</v>
      </c>
      <c r="AQ15">
        <v>2</v>
      </c>
      <c r="AR15">
        <v>2</v>
      </c>
      <c r="AS15">
        <v>2</v>
      </c>
      <c r="AT15" s="1">
        <f t="shared" si="0"/>
        <v>0</v>
      </c>
      <c r="AU15" s="1">
        <f t="shared" si="1"/>
        <v>2</v>
      </c>
      <c r="AV15" s="1">
        <f t="shared" si="2"/>
        <v>1</v>
      </c>
      <c r="AW15" s="1">
        <f t="shared" si="3"/>
        <v>0</v>
      </c>
      <c r="AX15" s="1">
        <f t="shared" si="4"/>
        <v>2</v>
      </c>
      <c r="AY15" s="1">
        <f t="shared" si="5"/>
        <v>0</v>
      </c>
      <c r="AZ15" s="1">
        <f t="shared" si="6"/>
        <v>2</v>
      </c>
      <c r="BA15" s="1">
        <f t="shared" si="7"/>
        <v>0</v>
      </c>
    </row>
    <row r="16" spans="1:53" x14ac:dyDescent="0.25">
      <c r="A16" t="s">
        <v>44</v>
      </c>
      <c r="B16" t="s">
        <v>151</v>
      </c>
      <c r="C16" t="s">
        <v>110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1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 s="1">
        <f t="shared" si="0"/>
        <v>0</v>
      </c>
      <c r="AU16" s="1">
        <f t="shared" si="1"/>
        <v>0</v>
      </c>
      <c r="AV16" s="1">
        <v>0</v>
      </c>
      <c r="AW16" s="1">
        <f t="shared" si="3"/>
        <v>0</v>
      </c>
      <c r="AX16" s="1">
        <f t="shared" si="4"/>
        <v>0</v>
      </c>
      <c r="AY16" s="1">
        <f t="shared" si="5"/>
        <v>0</v>
      </c>
      <c r="AZ16" s="1">
        <v>0</v>
      </c>
      <c r="BA16" s="1">
        <f t="shared" si="7"/>
        <v>0</v>
      </c>
    </row>
    <row r="17" spans="1:53" x14ac:dyDescent="0.25">
      <c r="A17" t="s">
        <v>45</v>
      </c>
      <c r="B17" t="s">
        <v>151</v>
      </c>
      <c r="C17" t="s">
        <v>111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 s="1">
        <f t="shared" si="0"/>
        <v>1</v>
      </c>
      <c r="AU17" s="1">
        <f t="shared" si="1"/>
        <v>1</v>
      </c>
      <c r="AV17" s="1">
        <f t="shared" si="2"/>
        <v>1</v>
      </c>
      <c r="AW17" s="1">
        <f t="shared" si="3"/>
        <v>1</v>
      </c>
      <c r="AX17" s="1">
        <f t="shared" si="4"/>
        <v>1</v>
      </c>
      <c r="AY17" s="1">
        <f t="shared" si="5"/>
        <v>1</v>
      </c>
      <c r="AZ17" s="1">
        <f t="shared" si="6"/>
        <v>1</v>
      </c>
      <c r="BA17" s="1">
        <f t="shared" si="7"/>
        <v>1</v>
      </c>
    </row>
    <row r="18" spans="1:53" x14ac:dyDescent="0.25">
      <c r="A18" t="s">
        <v>46</v>
      </c>
      <c r="B18" t="s">
        <v>151</v>
      </c>
      <c r="C18" t="s">
        <v>112</v>
      </c>
      <c r="D18">
        <v>0</v>
      </c>
      <c r="E18">
        <v>1</v>
      </c>
      <c r="F18">
        <v>1</v>
      </c>
      <c r="G18">
        <v>1</v>
      </c>
      <c r="H18">
        <v>2</v>
      </c>
      <c r="I18">
        <v>1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 s="1">
        <f t="shared" si="0"/>
        <v>1</v>
      </c>
      <c r="AU18" s="1">
        <f t="shared" si="1"/>
        <v>1</v>
      </c>
      <c r="AV18" s="1">
        <f t="shared" si="2"/>
        <v>1</v>
      </c>
      <c r="AW18" s="1">
        <f t="shared" si="3"/>
        <v>1</v>
      </c>
      <c r="AX18" s="1">
        <f t="shared" si="4"/>
        <v>1</v>
      </c>
      <c r="AY18" s="1">
        <f t="shared" si="5"/>
        <v>1</v>
      </c>
      <c r="AZ18" s="1">
        <f t="shared" si="6"/>
        <v>2</v>
      </c>
      <c r="BA18" s="1">
        <f t="shared" si="7"/>
        <v>1</v>
      </c>
    </row>
    <row r="19" spans="1:53" x14ac:dyDescent="0.25">
      <c r="A19" t="s">
        <v>47</v>
      </c>
      <c r="B19" t="s">
        <v>47</v>
      </c>
      <c r="C19" t="s">
        <v>113</v>
      </c>
      <c r="D19">
        <v>0</v>
      </c>
      <c r="E19">
        <v>1</v>
      </c>
      <c r="F19">
        <v>1</v>
      </c>
      <c r="G19">
        <v>1</v>
      </c>
      <c r="H19">
        <v>2</v>
      </c>
      <c r="I19">
        <v>1</v>
      </c>
      <c r="J19">
        <v>2</v>
      </c>
      <c r="K19">
        <v>2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R19">
        <v>2</v>
      </c>
      <c r="S19">
        <v>2</v>
      </c>
      <c r="T19">
        <v>1</v>
      </c>
      <c r="U19">
        <v>1</v>
      </c>
      <c r="V19">
        <v>2</v>
      </c>
      <c r="W19">
        <v>1</v>
      </c>
      <c r="X19">
        <v>1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 s="1">
        <f t="shared" si="0"/>
        <v>1</v>
      </c>
      <c r="AU19" s="1">
        <f t="shared" si="1"/>
        <v>2</v>
      </c>
      <c r="AV19" s="1">
        <f t="shared" si="2"/>
        <v>1</v>
      </c>
      <c r="AW19" s="1">
        <f t="shared" si="3"/>
        <v>1</v>
      </c>
      <c r="AX19" s="1">
        <f t="shared" si="4"/>
        <v>2</v>
      </c>
      <c r="AY19" s="1">
        <f t="shared" si="5"/>
        <v>1</v>
      </c>
      <c r="AZ19" s="1">
        <f t="shared" si="6"/>
        <v>2</v>
      </c>
      <c r="BA19" s="1">
        <f t="shared" si="7"/>
        <v>1</v>
      </c>
    </row>
    <row r="20" spans="1:53" x14ac:dyDescent="0.25">
      <c r="A20" t="s">
        <v>48</v>
      </c>
      <c r="B20" t="s">
        <v>151</v>
      </c>
      <c r="C20" t="s">
        <v>114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 s="1">
        <f t="shared" si="0"/>
        <v>1</v>
      </c>
      <c r="AU20" s="1">
        <f t="shared" si="1"/>
        <v>1</v>
      </c>
      <c r="AV20" s="1">
        <f t="shared" si="2"/>
        <v>1</v>
      </c>
      <c r="AW20" s="1">
        <f t="shared" si="3"/>
        <v>1</v>
      </c>
      <c r="AX20" s="1">
        <f t="shared" si="4"/>
        <v>1</v>
      </c>
      <c r="AY20" s="1">
        <f t="shared" si="5"/>
        <v>1</v>
      </c>
      <c r="AZ20" s="1">
        <f t="shared" si="6"/>
        <v>1</v>
      </c>
      <c r="BA20" s="1">
        <f t="shared" si="7"/>
        <v>1</v>
      </c>
    </row>
    <row r="21" spans="1:53" x14ac:dyDescent="0.25">
      <c r="A21" t="s">
        <v>49</v>
      </c>
      <c r="B21" t="s">
        <v>152</v>
      </c>
      <c r="C21" t="s">
        <v>115</v>
      </c>
      <c r="D21">
        <v>0</v>
      </c>
      <c r="E21">
        <v>1</v>
      </c>
      <c r="F21">
        <v>1</v>
      </c>
      <c r="G21">
        <v>1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2</v>
      </c>
      <c r="R21">
        <v>2</v>
      </c>
      <c r="S21">
        <v>2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2</v>
      </c>
      <c r="AP21">
        <v>2</v>
      </c>
      <c r="AQ21">
        <v>2</v>
      </c>
      <c r="AR21">
        <v>2</v>
      </c>
      <c r="AS21">
        <v>2</v>
      </c>
      <c r="AT21" s="1">
        <f t="shared" si="0"/>
        <v>1</v>
      </c>
      <c r="AU21" s="1">
        <f t="shared" si="1"/>
        <v>1</v>
      </c>
      <c r="AV21" s="1">
        <f t="shared" si="2"/>
        <v>1</v>
      </c>
      <c r="AW21" s="1">
        <f t="shared" si="3"/>
        <v>1</v>
      </c>
      <c r="AX21" s="1">
        <f t="shared" si="4"/>
        <v>1</v>
      </c>
      <c r="AY21" s="1">
        <f t="shared" si="5"/>
        <v>1</v>
      </c>
      <c r="AZ21" s="1">
        <f t="shared" si="6"/>
        <v>2</v>
      </c>
      <c r="BA21" s="1">
        <f t="shared" si="7"/>
        <v>1</v>
      </c>
    </row>
    <row r="22" spans="1:53" x14ac:dyDescent="0.25">
      <c r="A22" t="s">
        <v>50</v>
      </c>
      <c r="B22" t="s">
        <v>151</v>
      </c>
      <c r="C22" t="s">
        <v>116</v>
      </c>
      <c r="D22">
        <v>0</v>
      </c>
      <c r="E22">
        <v>1</v>
      </c>
      <c r="F22">
        <v>1</v>
      </c>
      <c r="G22">
        <v>1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1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1</v>
      </c>
      <c r="X22">
        <v>1</v>
      </c>
      <c r="Y22">
        <v>0</v>
      </c>
      <c r="Z22">
        <v>1</v>
      </c>
      <c r="AA22">
        <v>1</v>
      </c>
      <c r="AB22">
        <v>1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 s="1">
        <f t="shared" si="0"/>
        <v>2</v>
      </c>
      <c r="AU22" s="1">
        <f t="shared" si="1"/>
        <v>2</v>
      </c>
      <c r="AV22" s="1">
        <f t="shared" si="2"/>
        <v>2</v>
      </c>
      <c r="AW22" s="1">
        <f t="shared" si="3"/>
        <v>2</v>
      </c>
      <c r="AX22" s="1">
        <f t="shared" si="4"/>
        <v>2</v>
      </c>
      <c r="AY22" s="1">
        <f t="shared" si="5"/>
        <v>1</v>
      </c>
      <c r="AZ22" s="1">
        <f t="shared" si="6"/>
        <v>2</v>
      </c>
      <c r="BA22" s="1">
        <f t="shared" si="7"/>
        <v>2</v>
      </c>
    </row>
    <row r="23" spans="1:53" x14ac:dyDescent="0.25">
      <c r="A23" t="s">
        <v>51</v>
      </c>
      <c r="B23" t="s">
        <v>152</v>
      </c>
      <c r="C23" t="s">
        <v>117</v>
      </c>
      <c r="D23">
        <v>0</v>
      </c>
      <c r="E23">
        <v>1</v>
      </c>
      <c r="F23">
        <v>1</v>
      </c>
      <c r="G23">
        <v>1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1</v>
      </c>
      <c r="O23">
        <v>2</v>
      </c>
      <c r="P23">
        <v>2</v>
      </c>
      <c r="Q23">
        <v>2</v>
      </c>
      <c r="R23">
        <v>2</v>
      </c>
      <c r="S23">
        <v>1</v>
      </c>
      <c r="T23">
        <v>2</v>
      </c>
      <c r="U23">
        <v>1</v>
      </c>
      <c r="V23">
        <v>2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2</v>
      </c>
      <c r="AT23" s="1">
        <f t="shared" si="0"/>
        <v>2</v>
      </c>
      <c r="AU23" s="1">
        <f t="shared" si="1"/>
        <v>2</v>
      </c>
      <c r="AV23" s="1">
        <f t="shared" si="2"/>
        <v>2</v>
      </c>
      <c r="AW23" s="1">
        <f t="shared" si="3"/>
        <v>2</v>
      </c>
      <c r="AX23" s="1">
        <f t="shared" si="4"/>
        <v>2</v>
      </c>
      <c r="AY23" s="1">
        <f t="shared" si="5"/>
        <v>1</v>
      </c>
      <c r="AZ23" s="1">
        <f t="shared" si="6"/>
        <v>2</v>
      </c>
      <c r="BA23" s="1">
        <f t="shared" si="7"/>
        <v>2</v>
      </c>
    </row>
    <row r="24" spans="1:53" x14ac:dyDescent="0.25">
      <c r="A24" t="s">
        <v>52</v>
      </c>
      <c r="B24" t="s">
        <v>151</v>
      </c>
      <c r="C24" t="s">
        <v>118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2</v>
      </c>
      <c r="AL24">
        <v>2</v>
      </c>
      <c r="AM24">
        <v>2</v>
      </c>
      <c r="AN24">
        <v>2</v>
      </c>
      <c r="AO24">
        <v>1</v>
      </c>
      <c r="AP24">
        <v>1</v>
      </c>
      <c r="AQ24">
        <v>1</v>
      </c>
      <c r="AR24">
        <v>1</v>
      </c>
      <c r="AS24">
        <v>1</v>
      </c>
      <c r="AT24" s="1">
        <f t="shared" si="0"/>
        <v>0</v>
      </c>
      <c r="AU24" s="1">
        <f t="shared" si="1"/>
        <v>1</v>
      </c>
      <c r="AV24" s="1">
        <f t="shared" si="2"/>
        <v>1</v>
      </c>
      <c r="AW24" s="1">
        <f t="shared" si="3"/>
        <v>0</v>
      </c>
      <c r="AX24" s="1">
        <f t="shared" si="4"/>
        <v>1</v>
      </c>
      <c r="AY24" s="1">
        <f t="shared" si="5"/>
        <v>0</v>
      </c>
      <c r="AZ24" s="1">
        <f t="shared" si="6"/>
        <v>0</v>
      </c>
      <c r="BA24" s="1">
        <f t="shared" si="7"/>
        <v>0</v>
      </c>
    </row>
    <row r="25" spans="1:53" x14ac:dyDescent="0.25">
      <c r="A25" t="s">
        <v>53</v>
      </c>
      <c r="B25" t="s">
        <v>151</v>
      </c>
      <c r="C25" t="s">
        <v>119</v>
      </c>
      <c r="D25">
        <v>0</v>
      </c>
      <c r="E25">
        <v>0</v>
      </c>
      <c r="F25">
        <v>0</v>
      </c>
      <c r="G25">
        <v>1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1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0</v>
      </c>
      <c r="V25">
        <v>2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2</v>
      </c>
      <c r="AQ25">
        <v>2</v>
      </c>
      <c r="AR25">
        <v>2</v>
      </c>
      <c r="AS25">
        <v>2</v>
      </c>
      <c r="AT25" s="1">
        <f t="shared" si="0"/>
        <v>2</v>
      </c>
      <c r="AU25" s="1">
        <f t="shared" si="1"/>
        <v>2</v>
      </c>
      <c r="AV25" s="1">
        <f t="shared" si="2"/>
        <v>1</v>
      </c>
      <c r="AW25" s="1">
        <f t="shared" si="3"/>
        <v>2</v>
      </c>
      <c r="AX25" s="1">
        <f t="shared" si="4"/>
        <v>2</v>
      </c>
      <c r="AY25" s="1">
        <f t="shared" si="5"/>
        <v>1</v>
      </c>
      <c r="AZ25" s="1">
        <f t="shared" si="6"/>
        <v>2</v>
      </c>
      <c r="BA25" s="1">
        <f t="shared" si="7"/>
        <v>2</v>
      </c>
    </row>
    <row r="26" spans="1:53" x14ac:dyDescent="0.25">
      <c r="A26" t="s">
        <v>54</v>
      </c>
      <c r="B26" t="s">
        <v>152</v>
      </c>
      <c r="C26" t="s">
        <v>120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2</v>
      </c>
      <c r="AQ26">
        <v>2</v>
      </c>
      <c r="AR26">
        <v>2</v>
      </c>
      <c r="AS26">
        <v>2</v>
      </c>
      <c r="AT26" s="1">
        <f t="shared" si="0"/>
        <v>0</v>
      </c>
      <c r="AU26" s="1">
        <f t="shared" si="1"/>
        <v>0</v>
      </c>
      <c r="AV26" s="1">
        <f t="shared" si="2"/>
        <v>1</v>
      </c>
      <c r="AW26" s="1">
        <f t="shared" si="3"/>
        <v>1</v>
      </c>
      <c r="AX26" s="1">
        <f t="shared" si="4"/>
        <v>0</v>
      </c>
      <c r="AY26" s="1">
        <f t="shared" si="5"/>
        <v>0</v>
      </c>
      <c r="AZ26" s="1">
        <f t="shared" si="6"/>
        <v>1</v>
      </c>
      <c r="BA26" s="1">
        <f t="shared" si="7"/>
        <v>0</v>
      </c>
    </row>
    <row r="27" spans="1:53" x14ac:dyDescent="0.25">
      <c r="A27" t="s">
        <v>55</v>
      </c>
      <c r="B27" t="s">
        <v>151</v>
      </c>
      <c r="C27" t="s">
        <v>121</v>
      </c>
      <c r="D27">
        <v>0</v>
      </c>
      <c r="E27">
        <v>1</v>
      </c>
      <c r="F27">
        <v>1</v>
      </c>
      <c r="G27">
        <v>1</v>
      </c>
      <c r="H27">
        <v>2</v>
      </c>
      <c r="I27">
        <v>2</v>
      </c>
      <c r="J27">
        <v>2</v>
      </c>
      <c r="K27">
        <v>1</v>
      </c>
      <c r="L27">
        <v>1</v>
      </c>
      <c r="M27">
        <v>2</v>
      </c>
      <c r="N27">
        <v>1</v>
      </c>
      <c r="O27">
        <v>1</v>
      </c>
      <c r="P27">
        <v>2</v>
      </c>
      <c r="Q27">
        <v>2</v>
      </c>
      <c r="R27">
        <v>1</v>
      </c>
      <c r="S27">
        <v>2</v>
      </c>
      <c r="T27">
        <v>1</v>
      </c>
      <c r="U27">
        <v>1</v>
      </c>
      <c r="V27">
        <v>2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 s="1">
        <f t="shared" si="0"/>
        <v>1</v>
      </c>
      <c r="AU27" s="1">
        <f t="shared" si="1"/>
        <v>2</v>
      </c>
      <c r="AV27" s="1">
        <f t="shared" si="2"/>
        <v>1</v>
      </c>
      <c r="AW27" s="1">
        <f t="shared" si="3"/>
        <v>1</v>
      </c>
      <c r="AX27" s="1">
        <f t="shared" si="4"/>
        <v>2</v>
      </c>
      <c r="AY27" s="1">
        <f t="shared" si="5"/>
        <v>1</v>
      </c>
      <c r="AZ27" s="1">
        <f t="shared" si="6"/>
        <v>2</v>
      </c>
      <c r="BA27" s="1">
        <f t="shared" si="7"/>
        <v>1</v>
      </c>
    </row>
    <row r="28" spans="1:53" x14ac:dyDescent="0.25">
      <c r="A28" t="s">
        <v>56</v>
      </c>
      <c r="B28" t="s">
        <v>151</v>
      </c>
      <c r="C28" t="s">
        <v>122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2</v>
      </c>
      <c r="AP28">
        <v>2</v>
      </c>
      <c r="AQ28">
        <v>2</v>
      </c>
      <c r="AR28">
        <v>2</v>
      </c>
      <c r="AS28">
        <v>2</v>
      </c>
      <c r="AT28" s="1">
        <f t="shared" si="0"/>
        <v>1</v>
      </c>
      <c r="AU28" s="1">
        <f t="shared" si="1"/>
        <v>1</v>
      </c>
      <c r="AV28" s="1">
        <f t="shared" si="2"/>
        <v>1</v>
      </c>
      <c r="AW28" s="1">
        <f t="shared" si="3"/>
        <v>1</v>
      </c>
      <c r="AX28" s="1">
        <f t="shared" si="4"/>
        <v>1</v>
      </c>
      <c r="AY28" s="1">
        <f t="shared" si="5"/>
        <v>1</v>
      </c>
      <c r="AZ28" s="1">
        <f t="shared" si="6"/>
        <v>1</v>
      </c>
      <c r="BA28" s="1">
        <f t="shared" si="7"/>
        <v>1</v>
      </c>
    </row>
    <row r="29" spans="1:53" x14ac:dyDescent="0.25">
      <c r="A29" t="s">
        <v>57</v>
      </c>
      <c r="B29" t="s">
        <v>151</v>
      </c>
      <c r="C29" t="s">
        <v>123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R29">
        <v>2</v>
      </c>
      <c r="S29">
        <v>2</v>
      </c>
      <c r="T29">
        <v>2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 s="1">
        <f t="shared" si="0"/>
        <v>1</v>
      </c>
      <c r="AU29" s="1">
        <f t="shared" si="1"/>
        <v>1</v>
      </c>
      <c r="AV29" s="1">
        <f t="shared" si="2"/>
        <v>1</v>
      </c>
      <c r="AW29" s="1">
        <f t="shared" si="3"/>
        <v>2</v>
      </c>
      <c r="AX29" s="1">
        <f t="shared" si="4"/>
        <v>1</v>
      </c>
      <c r="AY29" s="1">
        <f t="shared" si="5"/>
        <v>1</v>
      </c>
      <c r="AZ29" s="1">
        <f t="shared" si="6"/>
        <v>1</v>
      </c>
      <c r="BA29" s="1">
        <f t="shared" si="7"/>
        <v>1</v>
      </c>
    </row>
    <row r="30" spans="1:53" x14ac:dyDescent="0.25">
      <c r="A30" t="s">
        <v>58</v>
      </c>
      <c r="B30" t="s">
        <v>152</v>
      </c>
      <c r="C30" t="s">
        <v>124</v>
      </c>
      <c r="D30">
        <v>0</v>
      </c>
      <c r="E30">
        <v>1</v>
      </c>
      <c r="F30">
        <v>1</v>
      </c>
      <c r="G30">
        <v>1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1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1</v>
      </c>
      <c r="V30">
        <v>1</v>
      </c>
      <c r="W30">
        <v>1</v>
      </c>
      <c r="X30">
        <v>1</v>
      </c>
      <c r="Y30">
        <v>0</v>
      </c>
      <c r="Z30">
        <v>1</v>
      </c>
      <c r="AA30">
        <v>1</v>
      </c>
      <c r="AB30">
        <v>1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 s="1">
        <f t="shared" si="0"/>
        <v>2</v>
      </c>
      <c r="AU30" s="1">
        <f t="shared" si="1"/>
        <v>1</v>
      </c>
      <c r="AV30" s="1">
        <f t="shared" si="2"/>
        <v>2</v>
      </c>
      <c r="AW30" s="1">
        <f t="shared" si="3"/>
        <v>2</v>
      </c>
      <c r="AX30" s="1">
        <f t="shared" si="4"/>
        <v>1</v>
      </c>
      <c r="AY30" s="1">
        <f t="shared" si="5"/>
        <v>1</v>
      </c>
      <c r="AZ30" s="1">
        <f t="shared" si="6"/>
        <v>2</v>
      </c>
      <c r="BA30" s="1">
        <f t="shared" si="7"/>
        <v>2</v>
      </c>
    </row>
    <row r="31" spans="1:53" x14ac:dyDescent="0.25">
      <c r="A31" t="s">
        <v>59</v>
      </c>
      <c r="B31" t="s">
        <v>151</v>
      </c>
      <c r="C31" t="s">
        <v>125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s="1">
        <f t="shared" si="0"/>
        <v>0</v>
      </c>
      <c r="AU31" s="1">
        <f t="shared" si="1"/>
        <v>0</v>
      </c>
      <c r="AV31" s="1">
        <f t="shared" si="2"/>
        <v>1</v>
      </c>
      <c r="AW31" s="1">
        <f t="shared" si="3"/>
        <v>0</v>
      </c>
      <c r="AX31" s="1">
        <f t="shared" si="4"/>
        <v>0</v>
      </c>
      <c r="AY31" s="1">
        <f t="shared" si="5"/>
        <v>0</v>
      </c>
      <c r="AZ31" s="1">
        <f t="shared" si="6"/>
        <v>1</v>
      </c>
      <c r="BA31" s="1">
        <f t="shared" si="7"/>
        <v>0</v>
      </c>
    </row>
    <row r="32" spans="1:53" x14ac:dyDescent="0.25">
      <c r="A32" t="s">
        <v>60</v>
      </c>
      <c r="B32" t="s">
        <v>151</v>
      </c>
      <c r="C32" t="s">
        <v>126</v>
      </c>
      <c r="D32">
        <v>0</v>
      </c>
      <c r="E32">
        <v>1</v>
      </c>
      <c r="F32">
        <v>1</v>
      </c>
      <c r="G32">
        <v>0</v>
      </c>
      <c r="H32">
        <v>2</v>
      </c>
      <c r="I32">
        <v>0</v>
      </c>
      <c r="J32">
        <v>2</v>
      </c>
      <c r="K32">
        <v>2</v>
      </c>
      <c r="L32">
        <v>0</v>
      </c>
      <c r="M32">
        <v>2</v>
      </c>
      <c r="N32">
        <v>2</v>
      </c>
      <c r="O32">
        <v>2</v>
      </c>
      <c r="P32">
        <v>0</v>
      </c>
      <c r="Q32">
        <v>2</v>
      </c>
      <c r="R32">
        <v>2</v>
      </c>
      <c r="S32">
        <v>2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 s="1">
        <f t="shared" si="0"/>
        <v>2</v>
      </c>
      <c r="AU32" s="1">
        <f t="shared" si="1"/>
        <v>1</v>
      </c>
      <c r="AV32" s="1">
        <f t="shared" si="2"/>
        <v>1</v>
      </c>
      <c r="AW32" s="1">
        <f t="shared" si="3"/>
        <v>0</v>
      </c>
      <c r="AX32" s="1">
        <f t="shared" si="4"/>
        <v>1</v>
      </c>
      <c r="AY32" s="1">
        <f t="shared" si="5"/>
        <v>0</v>
      </c>
      <c r="AZ32" s="1">
        <f t="shared" si="6"/>
        <v>2</v>
      </c>
      <c r="BA32" s="1">
        <f t="shared" si="7"/>
        <v>0</v>
      </c>
    </row>
    <row r="33" spans="1:53" x14ac:dyDescent="0.25">
      <c r="A33" t="s">
        <v>61</v>
      </c>
      <c r="B33" t="s">
        <v>158</v>
      </c>
      <c r="C33" t="s">
        <v>127</v>
      </c>
      <c r="D33">
        <v>0</v>
      </c>
      <c r="E33">
        <v>1</v>
      </c>
      <c r="F33">
        <v>1</v>
      </c>
      <c r="G33">
        <v>1</v>
      </c>
      <c r="H33">
        <v>2</v>
      </c>
      <c r="I33">
        <v>1</v>
      </c>
      <c r="J33">
        <v>1</v>
      </c>
      <c r="K33">
        <v>2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R33">
        <v>2</v>
      </c>
      <c r="S33">
        <v>1</v>
      </c>
      <c r="T33">
        <v>2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2</v>
      </c>
      <c r="AP33">
        <v>2</v>
      </c>
      <c r="AQ33">
        <v>2</v>
      </c>
      <c r="AR33">
        <v>2</v>
      </c>
      <c r="AS33">
        <v>2</v>
      </c>
      <c r="AT33" s="1">
        <f t="shared" si="0"/>
        <v>1</v>
      </c>
      <c r="AU33" s="1">
        <f t="shared" si="1"/>
        <v>1</v>
      </c>
      <c r="AV33" s="1">
        <f t="shared" si="2"/>
        <v>1</v>
      </c>
      <c r="AW33" s="1">
        <f t="shared" si="3"/>
        <v>2</v>
      </c>
      <c r="AX33" s="1">
        <f t="shared" si="4"/>
        <v>1</v>
      </c>
      <c r="AY33" s="1">
        <f t="shared" si="5"/>
        <v>1</v>
      </c>
      <c r="AZ33" s="1">
        <f t="shared" si="6"/>
        <v>2</v>
      </c>
      <c r="BA33" s="1">
        <f t="shared" si="7"/>
        <v>1</v>
      </c>
    </row>
    <row r="34" spans="1:53" x14ac:dyDescent="0.25">
      <c r="A34" t="s">
        <v>62</v>
      </c>
      <c r="B34" t="s">
        <v>159</v>
      </c>
      <c r="C34" t="s">
        <v>128</v>
      </c>
      <c r="D34">
        <v>0</v>
      </c>
      <c r="E34">
        <v>1</v>
      </c>
      <c r="F34">
        <v>1</v>
      </c>
      <c r="G34">
        <v>1</v>
      </c>
      <c r="H34">
        <v>2</v>
      </c>
      <c r="I34">
        <v>1</v>
      </c>
      <c r="J34">
        <v>1</v>
      </c>
      <c r="K34">
        <v>1</v>
      </c>
      <c r="L34">
        <v>1</v>
      </c>
      <c r="M34">
        <v>1</v>
      </c>
      <c r="N34">
        <v>2</v>
      </c>
      <c r="O34">
        <v>2</v>
      </c>
      <c r="P34">
        <v>2</v>
      </c>
      <c r="Q34">
        <v>1</v>
      </c>
      <c r="R34">
        <v>2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2</v>
      </c>
      <c r="AP34">
        <v>2</v>
      </c>
      <c r="AQ34">
        <v>2</v>
      </c>
      <c r="AR34">
        <v>2</v>
      </c>
      <c r="AS34">
        <v>2</v>
      </c>
      <c r="AT34" s="1">
        <f t="shared" si="0"/>
        <v>2</v>
      </c>
      <c r="AU34" s="1">
        <f t="shared" si="1"/>
        <v>1</v>
      </c>
      <c r="AV34" s="1">
        <f t="shared" si="2"/>
        <v>1</v>
      </c>
      <c r="AW34" s="1">
        <f t="shared" si="3"/>
        <v>1</v>
      </c>
      <c r="AX34" s="1">
        <f t="shared" si="4"/>
        <v>1</v>
      </c>
      <c r="AY34" s="1">
        <f t="shared" si="5"/>
        <v>1</v>
      </c>
      <c r="AZ34" s="1">
        <f t="shared" si="6"/>
        <v>2</v>
      </c>
      <c r="BA34" s="1">
        <f t="shared" si="7"/>
        <v>1</v>
      </c>
    </row>
    <row r="35" spans="1:53" x14ac:dyDescent="0.25">
      <c r="A35" t="s">
        <v>63</v>
      </c>
      <c r="B35" t="s">
        <v>158</v>
      </c>
      <c r="C35" t="s">
        <v>129</v>
      </c>
      <c r="D35">
        <v>0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0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 s="1">
        <f t="shared" si="0"/>
        <v>2</v>
      </c>
      <c r="AU35" s="1">
        <f t="shared" si="1"/>
        <v>2</v>
      </c>
      <c r="AV35" s="1">
        <f t="shared" si="2"/>
        <v>2</v>
      </c>
      <c r="AW35" s="1">
        <f t="shared" si="3"/>
        <v>2</v>
      </c>
      <c r="AX35" s="1">
        <f t="shared" si="4"/>
        <v>2</v>
      </c>
      <c r="AY35" s="1">
        <f t="shared" si="5"/>
        <v>2</v>
      </c>
      <c r="AZ35" s="1">
        <f t="shared" si="6"/>
        <v>2</v>
      </c>
      <c r="BA35" s="1">
        <f t="shared" si="7"/>
        <v>2</v>
      </c>
    </row>
    <row r="36" spans="1:53" x14ac:dyDescent="0.25">
      <c r="A36" t="s">
        <v>64</v>
      </c>
      <c r="B36" t="s">
        <v>158</v>
      </c>
      <c r="C36" t="s">
        <v>130</v>
      </c>
      <c r="D36">
        <v>0</v>
      </c>
      <c r="E36">
        <v>1</v>
      </c>
      <c r="F36">
        <v>1</v>
      </c>
      <c r="G36">
        <v>1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1</v>
      </c>
      <c r="O36">
        <v>2</v>
      </c>
      <c r="P36">
        <v>2</v>
      </c>
      <c r="Q36">
        <v>2</v>
      </c>
      <c r="R36">
        <v>2</v>
      </c>
      <c r="S36">
        <v>2</v>
      </c>
      <c r="T36">
        <v>1</v>
      </c>
      <c r="U36">
        <v>1</v>
      </c>
      <c r="V36">
        <v>2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2</v>
      </c>
      <c r="AP36">
        <v>2</v>
      </c>
      <c r="AQ36">
        <v>2</v>
      </c>
      <c r="AR36">
        <v>2</v>
      </c>
      <c r="AS36">
        <v>2</v>
      </c>
      <c r="AT36" s="1">
        <f t="shared" si="0"/>
        <v>2</v>
      </c>
      <c r="AU36" s="1">
        <f t="shared" si="1"/>
        <v>2</v>
      </c>
      <c r="AV36" s="1">
        <f t="shared" si="2"/>
        <v>1</v>
      </c>
      <c r="AW36" s="1">
        <f t="shared" si="3"/>
        <v>1</v>
      </c>
      <c r="AX36" s="1">
        <f t="shared" si="4"/>
        <v>2</v>
      </c>
      <c r="AY36" s="1">
        <f t="shared" si="5"/>
        <v>1</v>
      </c>
      <c r="AZ36" s="1">
        <f t="shared" si="6"/>
        <v>2</v>
      </c>
      <c r="BA36" s="1">
        <f t="shared" si="7"/>
        <v>2</v>
      </c>
    </row>
    <row r="37" spans="1:53" x14ac:dyDescent="0.25">
      <c r="A37" t="s">
        <v>143</v>
      </c>
      <c r="B37" t="s">
        <v>158</v>
      </c>
      <c r="C37" t="s">
        <v>146</v>
      </c>
      <c r="D37">
        <v>0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0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 s="1">
        <f t="shared" si="0"/>
        <v>2</v>
      </c>
      <c r="AU37" s="1">
        <f t="shared" si="1"/>
        <v>2</v>
      </c>
      <c r="AV37" s="1">
        <f t="shared" si="2"/>
        <v>2</v>
      </c>
      <c r="AW37" s="1">
        <f t="shared" si="3"/>
        <v>2</v>
      </c>
      <c r="AX37" s="1">
        <f t="shared" si="4"/>
        <v>2</v>
      </c>
      <c r="AY37" s="1">
        <f t="shared" si="5"/>
        <v>2</v>
      </c>
      <c r="AZ37" s="1">
        <f t="shared" si="6"/>
        <v>2</v>
      </c>
      <c r="BA37" s="1">
        <f t="shared" si="7"/>
        <v>2</v>
      </c>
    </row>
    <row r="38" spans="1:53" x14ac:dyDescent="0.25">
      <c r="A38" t="s">
        <v>144</v>
      </c>
      <c r="B38" t="s">
        <v>158</v>
      </c>
      <c r="C38" t="s">
        <v>147</v>
      </c>
      <c r="D38">
        <v>0</v>
      </c>
      <c r="E38">
        <v>1</v>
      </c>
      <c r="F38">
        <v>1</v>
      </c>
      <c r="G38">
        <v>1</v>
      </c>
      <c r="H38">
        <v>2</v>
      </c>
      <c r="I38">
        <v>1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1</v>
      </c>
      <c r="V38">
        <v>2</v>
      </c>
      <c r="W38">
        <v>2</v>
      </c>
      <c r="X38">
        <v>2</v>
      </c>
      <c r="Y38">
        <v>0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 s="1">
        <f t="shared" si="0"/>
        <v>2</v>
      </c>
      <c r="AU38" s="1">
        <f t="shared" si="1"/>
        <v>2</v>
      </c>
      <c r="AV38" s="1">
        <f t="shared" si="2"/>
        <v>2</v>
      </c>
      <c r="AW38" s="1">
        <f t="shared" si="3"/>
        <v>2</v>
      </c>
      <c r="AX38" s="1">
        <f t="shared" si="4"/>
        <v>2</v>
      </c>
      <c r="AY38" s="1">
        <f t="shared" si="5"/>
        <v>1</v>
      </c>
      <c r="AZ38" s="1">
        <f t="shared" si="6"/>
        <v>2</v>
      </c>
      <c r="BA38" s="1">
        <f t="shared" si="7"/>
        <v>2</v>
      </c>
    </row>
    <row r="39" spans="1:53" x14ac:dyDescent="0.25">
      <c r="A39" t="s">
        <v>145</v>
      </c>
      <c r="B39" t="s">
        <v>158</v>
      </c>
      <c r="C39" t="s">
        <v>148</v>
      </c>
      <c r="D39">
        <v>0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0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 s="1">
        <f t="shared" si="0"/>
        <v>2</v>
      </c>
      <c r="AU39" s="1">
        <f t="shared" si="1"/>
        <v>2</v>
      </c>
      <c r="AV39" s="1">
        <f t="shared" si="2"/>
        <v>2</v>
      </c>
      <c r="AW39" s="1">
        <f t="shared" si="3"/>
        <v>2</v>
      </c>
      <c r="AX39" s="1">
        <f t="shared" si="4"/>
        <v>2</v>
      </c>
      <c r="AY39" s="1">
        <f t="shared" si="5"/>
        <v>2</v>
      </c>
      <c r="AZ39" s="1">
        <f t="shared" si="6"/>
        <v>2</v>
      </c>
      <c r="BA39" s="1">
        <f t="shared" si="7"/>
        <v>2</v>
      </c>
    </row>
    <row r="40" spans="1:53" x14ac:dyDescent="0.25">
      <c r="A40" t="s">
        <v>149</v>
      </c>
      <c r="B40" t="s">
        <v>159</v>
      </c>
      <c r="C40" t="s">
        <v>153</v>
      </c>
      <c r="D40">
        <v>0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0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2</v>
      </c>
      <c r="AT40" s="1">
        <f t="shared" si="0"/>
        <v>2</v>
      </c>
      <c r="AU40" s="1">
        <f t="shared" si="1"/>
        <v>2</v>
      </c>
      <c r="AV40" s="1">
        <f t="shared" si="2"/>
        <v>2</v>
      </c>
      <c r="AW40" s="1">
        <f t="shared" si="3"/>
        <v>2</v>
      </c>
      <c r="AX40" s="1">
        <f t="shared" si="4"/>
        <v>2</v>
      </c>
      <c r="AY40" s="1">
        <f t="shared" si="5"/>
        <v>2</v>
      </c>
      <c r="AZ40" s="1">
        <f t="shared" si="6"/>
        <v>2</v>
      </c>
      <c r="BA40" s="1">
        <f t="shared" si="7"/>
        <v>2</v>
      </c>
    </row>
    <row r="41" spans="1:53" x14ac:dyDescent="0.25">
      <c r="A41" s="1" t="s">
        <v>150</v>
      </c>
      <c r="B41" s="1" t="s">
        <v>154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T41" s="1">
        <v>0</v>
      </c>
      <c r="AU41" s="1">
        <f t="shared" si="1"/>
        <v>0</v>
      </c>
      <c r="AV41" s="1">
        <f t="shared" si="2"/>
        <v>0</v>
      </c>
      <c r="AW41" s="1">
        <f t="shared" si="3"/>
        <v>0</v>
      </c>
      <c r="AX41" s="1">
        <f t="shared" si="4"/>
        <v>0</v>
      </c>
      <c r="AY41" s="1">
        <f t="shared" si="5"/>
        <v>0</v>
      </c>
      <c r="AZ41" s="1">
        <f t="shared" si="6"/>
        <v>0</v>
      </c>
      <c r="BA41" s="1">
        <f t="shared" si="7"/>
        <v>0</v>
      </c>
    </row>
    <row r="42" spans="1:53" x14ac:dyDescent="0.25">
      <c r="A42" s="1" t="s">
        <v>151</v>
      </c>
      <c r="B42" s="1" t="s">
        <v>154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T42" s="1">
        <v>0</v>
      </c>
      <c r="AU42" s="1">
        <f t="shared" si="1"/>
        <v>0</v>
      </c>
      <c r="AV42" s="1">
        <f t="shared" si="2"/>
        <v>0</v>
      </c>
      <c r="AW42" s="1">
        <f t="shared" si="3"/>
        <v>0</v>
      </c>
      <c r="AX42" s="1">
        <f t="shared" si="4"/>
        <v>0</v>
      </c>
      <c r="AY42" s="1">
        <f t="shared" si="5"/>
        <v>0</v>
      </c>
      <c r="AZ42" s="1">
        <f t="shared" si="6"/>
        <v>0</v>
      </c>
      <c r="BA42" s="1">
        <f t="shared" si="7"/>
        <v>0</v>
      </c>
    </row>
    <row r="43" spans="1:53" x14ac:dyDescent="0.25">
      <c r="A43" s="1" t="s">
        <v>152</v>
      </c>
      <c r="B43" s="1" t="s">
        <v>154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T43" s="1">
        <v>0</v>
      </c>
      <c r="AU43" s="1">
        <f t="shared" si="1"/>
        <v>0</v>
      </c>
      <c r="AV43" s="1">
        <f t="shared" si="2"/>
        <v>0</v>
      </c>
      <c r="AW43" s="1">
        <f t="shared" si="3"/>
        <v>0</v>
      </c>
      <c r="AX43" s="1">
        <f t="shared" si="4"/>
        <v>0</v>
      </c>
      <c r="AY43" s="1">
        <f t="shared" si="5"/>
        <v>0</v>
      </c>
      <c r="AZ43" s="1">
        <f t="shared" si="6"/>
        <v>0</v>
      </c>
      <c r="BA43" s="1">
        <f t="shared" si="7"/>
        <v>0</v>
      </c>
    </row>
    <row r="44" spans="1:53" x14ac:dyDescent="0.25">
      <c r="A44" s="1" t="s">
        <v>310</v>
      </c>
      <c r="B44" s="1" t="s">
        <v>154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T44" s="1">
        <v>0</v>
      </c>
      <c r="AU44" s="1">
        <f t="shared" si="1"/>
        <v>0</v>
      </c>
      <c r="AV44" s="1">
        <f t="shared" si="2"/>
        <v>0</v>
      </c>
      <c r="AW44" s="1">
        <f t="shared" si="3"/>
        <v>0</v>
      </c>
      <c r="AX44" s="1">
        <f t="shared" si="4"/>
        <v>0</v>
      </c>
      <c r="AY44" s="1">
        <f t="shared" si="5"/>
        <v>0</v>
      </c>
      <c r="AZ44" s="1">
        <f t="shared" si="6"/>
        <v>0</v>
      </c>
      <c r="BA44" s="1">
        <f t="shared" si="7"/>
        <v>0</v>
      </c>
    </row>
    <row r="45" spans="1:53" x14ac:dyDescent="0.25">
      <c r="A45" s="1" t="s">
        <v>311</v>
      </c>
      <c r="B45" s="1" t="s">
        <v>154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T45" s="1">
        <v>0</v>
      </c>
      <c r="AU45" s="1">
        <f t="shared" si="1"/>
        <v>0</v>
      </c>
      <c r="AV45" s="1">
        <f t="shared" si="2"/>
        <v>0</v>
      </c>
      <c r="AW45" s="1">
        <f t="shared" si="3"/>
        <v>0</v>
      </c>
      <c r="AX45" s="1">
        <f t="shared" si="4"/>
        <v>0</v>
      </c>
      <c r="AY45" s="1">
        <f t="shared" si="5"/>
        <v>0</v>
      </c>
      <c r="AZ45" s="1">
        <f t="shared" si="6"/>
        <v>0</v>
      </c>
      <c r="BA45" s="1">
        <f t="shared" si="7"/>
        <v>0</v>
      </c>
    </row>
    <row r="46" spans="1:53" x14ac:dyDescent="0.25">
      <c r="A46" s="1" t="s">
        <v>312</v>
      </c>
      <c r="B46" s="1" t="s">
        <v>154</v>
      </c>
    </row>
    <row r="47" spans="1:53" x14ac:dyDescent="0.25">
      <c r="A47" s="1" t="s">
        <v>313</v>
      </c>
      <c r="B47" s="1" t="s">
        <v>154</v>
      </c>
    </row>
    <row r="48" spans="1:53" x14ac:dyDescent="0.25">
      <c r="A48" s="1" t="s">
        <v>188</v>
      </c>
      <c r="B48" s="1" t="s">
        <v>154</v>
      </c>
    </row>
    <row r="49" spans="1:2" x14ac:dyDescent="0.25">
      <c r="A49" s="1" t="s">
        <v>189</v>
      </c>
      <c r="B49" s="1" t="s">
        <v>154</v>
      </c>
    </row>
    <row r="50" spans="1:2" x14ac:dyDescent="0.25">
      <c r="A50" s="1" t="s">
        <v>192</v>
      </c>
      <c r="B50" s="1" t="s">
        <v>154</v>
      </c>
    </row>
    <row r="51" spans="1:2" x14ac:dyDescent="0.25">
      <c r="A51" s="1" t="s">
        <v>190</v>
      </c>
      <c r="B51" s="1" t="s">
        <v>154</v>
      </c>
    </row>
    <row r="52" spans="1:2" x14ac:dyDescent="0.25">
      <c r="A52" s="1" t="s">
        <v>191</v>
      </c>
      <c r="B52" s="1" t="s">
        <v>154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O101"/>
  <sheetViews>
    <sheetView showZeros="0" workbookViewId="0">
      <selection activeCell="E15" sqref="E15"/>
    </sheetView>
  </sheetViews>
  <sheetFormatPr defaultRowHeight="12.5" x14ac:dyDescent="0.25"/>
  <cols>
    <col min="1" max="1" width="8.54296875" customWidth="1"/>
    <col min="2" max="2" width="18.1796875" customWidth="1"/>
    <col min="3" max="3" width="28" customWidth="1"/>
    <col min="4" max="4" width="45.7265625" bestFit="1" customWidth="1"/>
    <col min="5" max="5" width="23.81640625" customWidth="1"/>
  </cols>
  <sheetData>
    <row r="1" spans="1:15" s="82" customFormat="1" ht="71.25" customHeight="1" x14ac:dyDescent="0.3">
      <c r="A1" s="86" t="s">
        <v>161</v>
      </c>
      <c r="B1" s="86" t="s">
        <v>162</v>
      </c>
      <c r="C1" s="92" t="str">
        <f ca="1">+Selection!D1</f>
        <v>Recurrent Expenditure (Euros) - Staff / Library Staff FTE - Total Staff</v>
      </c>
      <c r="D1" s="86" t="s">
        <v>169</v>
      </c>
    </row>
    <row r="2" spans="1:15" ht="13" x14ac:dyDescent="0.3">
      <c r="A2" s="96">
        <v>1</v>
      </c>
      <c r="B2" s="1" t="str">
        <f ca="1">IF(ISERR(Selection!D2),"",IF(ISNA(Selection!D2),"",Selection!F2))</f>
        <v>Luxembourg</v>
      </c>
      <c r="C2" s="83">
        <f ca="1">IF(ISERR(Selection!D2),"",IF(ISNA(Selection!D2),"",Selection!D2))</f>
        <v>48605.521739130432</v>
      </c>
      <c r="D2" s="87" t="str">
        <f ca="1">IF(C2="","",IF(Menus!$K$10="2001 Grossed",VLOOKUP(MAX(Selection!M2:N2),$N$2:$O$4,2),""))</f>
        <v>Apportioned or estimated from previous years returns</v>
      </c>
      <c r="E2" s="84" t="s">
        <v>165</v>
      </c>
      <c r="G2" s="84"/>
      <c r="N2">
        <v>0</v>
      </c>
      <c r="O2" t="s">
        <v>295</v>
      </c>
    </row>
    <row r="3" spans="1:15" ht="13" x14ac:dyDescent="0.3">
      <c r="A3" s="96">
        <f>1+A2</f>
        <v>2</v>
      </c>
      <c r="B3" s="1" t="str">
        <f ca="1">IF(ISERR(Selection!D3),"",IF(ISNA(Selection!D3),"",Selection!F3))</f>
        <v>Norway</v>
      </c>
      <c r="C3" s="83">
        <f ca="1">IF(ISERR(Selection!D3),"",IF(ISNA(Selection!D3),"",Selection!D3))</f>
        <v>40992.870122928914</v>
      </c>
      <c r="D3" s="87" t="str">
        <f ca="1">IF(C3="","",IF(Menus!$K$10="2001 Grossed",VLOOKUP(MAX(Selection!M3:N3),$N$2:$O$4,2),""))</f>
        <v>Returned Data for year 2001</v>
      </c>
      <c r="E3" s="4" t="s">
        <v>166</v>
      </c>
      <c r="G3" s="4"/>
      <c r="N3">
        <v>1</v>
      </c>
      <c r="O3" t="s">
        <v>163</v>
      </c>
    </row>
    <row r="4" spans="1:15" ht="13" x14ac:dyDescent="0.3">
      <c r="A4" s="96">
        <f t="shared" ref="A4:A67" si="0">1+A3</f>
        <v>3</v>
      </c>
      <c r="B4" s="1" t="str">
        <f ca="1">IF(ISERR(Selection!D4),"",IF(ISNA(Selection!D4),"",Selection!F4))</f>
        <v>Denmark</v>
      </c>
      <c r="C4" s="83">
        <f ca="1">IF(ISERR(Selection!D4),"",IF(ISNA(Selection!D4),"",Selection!D4))</f>
        <v>39875.619535250102</v>
      </c>
      <c r="D4" s="87" t="str">
        <f ca="1">IF(C4="","",IF(Menus!$K$10="2001 Grossed",VLOOKUP(MAX(Selection!M4:N4),$N$2:$O$4,2),""))</f>
        <v>Returned Data for year 2001</v>
      </c>
      <c r="E4" s="4" t="s">
        <v>167</v>
      </c>
      <c r="N4">
        <v>2</v>
      </c>
      <c r="O4" t="s">
        <v>164</v>
      </c>
    </row>
    <row r="5" spans="1:15" ht="13" x14ac:dyDescent="0.3">
      <c r="A5" s="96">
        <f t="shared" si="0"/>
        <v>4</v>
      </c>
      <c r="B5" s="1" t="str">
        <f ca="1">IF(ISERR(Selection!D5),"",IF(ISNA(Selection!D5),"",Selection!F5))</f>
        <v>Switzerland</v>
      </c>
      <c r="C5" s="83">
        <f ca="1">IF(ISERR(Selection!D5),"",IF(ISNA(Selection!D5),"",Selection!D5))</f>
        <v>36361.209328568744</v>
      </c>
      <c r="D5" s="87" t="str">
        <f ca="1">IF(C5="","",IF(Menus!$K$10="2001 Grossed",VLOOKUP(MAX(Selection!M5:N5),$N$2:$O$4,2),""))</f>
        <v>Grossed on regional averages</v>
      </c>
      <c r="E5" s="4" t="s">
        <v>168</v>
      </c>
    </row>
    <row r="6" spans="1:15" x14ac:dyDescent="0.25">
      <c r="A6" s="96">
        <f t="shared" si="0"/>
        <v>5</v>
      </c>
      <c r="B6" s="1" t="str">
        <f ca="1">IF(ISERR(Selection!D6),"",IF(ISNA(Selection!D6),"",Selection!F6))</f>
        <v>Liechtenstein</v>
      </c>
      <c r="C6" s="83">
        <f ca="1">IF(ISERR(Selection!D6),"",IF(ISNA(Selection!D6),"",Selection!D6))</f>
        <v>36155.800000000003</v>
      </c>
      <c r="D6" s="87" t="str">
        <f ca="1">IF(C6="","",IF(Menus!$K$10="2001 Grossed",VLOOKUP(MAX(Selection!M6:N6),$N$2:$O$4,2),""))</f>
        <v>Grossed on regional averages</v>
      </c>
      <c r="E6" s="85"/>
    </row>
    <row r="7" spans="1:15" x14ac:dyDescent="0.25">
      <c r="A7" s="96">
        <f t="shared" si="0"/>
        <v>6</v>
      </c>
      <c r="B7" s="1" t="str">
        <f ca="1">IF(ISERR(Selection!D7),"",IF(ISNA(Selection!D7),"",Selection!F7))</f>
        <v>Germany</v>
      </c>
      <c r="C7" s="83">
        <f ca="1">IF(ISERR(Selection!D7),"",IF(ISNA(Selection!D7),"",Selection!D7))</f>
        <v>35852.828981326857</v>
      </c>
      <c r="D7" s="87" t="str">
        <f ca="1">IF(C7="","",IF(Menus!$K$10="2001 Grossed",VLOOKUP(MAX(Selection!M7:N7),$N$2:$O$4,2),""))</f>
        <v>Apportioned or estimated from previous years returns</v>
      </c>
    </row>
    <row r="8" spans="1:15" x14ac:dyDescent="0.25">
      <c r="A8" s="96">
        <f t="shared" si="0"/>
        <v>7</v>
      </c>
      <c r="B8" s="1" t="str">
        <f ca="1">IF(ISERR(Selection!D8),"",IF(ISNA(Selection!D8),"",Selection!F8))</f>
        <v>Belgique-Communauté française</v>
      </c>
      <c r="C8" s="83">
        <f ca="1">IF(ISERR(Selection!D8),"",IF(ISNA(Selection!D8),"",Selection!D8))</f>
        <v>35754.381618381616</v>
      </c>
      <c r="D8" s="87" t="str">
        <f ca="1">IF(C8="","",IF(Menus!$K$10="2001 Grossed",VLOOKUP(MAX(Selection!M8:N8),$N$2:$O$4,2),""))</f>
        <v>Returned Data for year 2001</v>
      </c>
    </row>
    <row r="9" spans="1:15" x14ac:dyDescent="0.25">
      <c r="A9" s="96">
        <f t="shared" si="0"/>
        <v>8</v>
      </c>
      <c r="B9" s="1" t="str">
        <f ca="1">IF(ISERR(Selection!D9),"",IF(ISNA(Selection!D9),"",Selection!F9))</f>
        <v>Sweden</v>
      </c>
      <c r="C9" s="83">
        <f ca="1">IF(ISERR(Selection!D9),"",IF(ISNA(Selection!D9),"",Selection!D9))</f>
        <v>34658.724187282765</v>
      </c>
      <c r="D9" s="87" t="str">
        <f ca="1">IF(C9="","",IF(Menus!$K$10="2001 Grossed",VLOOKUP(MAX(Selection!M9:N9),$N$2:$O$4,2),""))</f>
        <v>Apportioned or estimated from previous years returns</v>
      </c>
    </row>
    <row r="10" spans="1:15" x14ac:dyDescent="0.25">
      <c r="A10" s="96">
        <f t="shared" si="0"/>
        <v>9</v>
      </c>
      <c r="B10" s="1" t="str">
        <f ca="1">IF(ISERR(Selection!D10),"",IF(ISNA(Selection!D10),"",Selection!F10))</f>
        <v>Belgium</v>
      </c>
      <c r="C10" s="83">
        <f ca="1">IF(ISERR(Selection!D10),"",IF(ISNA(Selection!D10),"",Selection!D10))</f>
        <v>34616.680172879525</v>
      </c>
      <c r="D10" s="87" t="str">
        <f ca="1">IF(C10="","",IF(Menus!$K$10="2001 Grossed",VLOOKUP(MAX(Selection!M10:N10),$N$2:$O$4,2),""))</f>
        <v>Returned Data for year 2001</v>
      </c>
    </row>
    <row r="11" spans="1:15" x14ac:dyDescent="0.25">
      <c r="A11" s="96">
        <f t="shared" si="0"/>
        <v>10</v>
      </c>
      <c r="B11" s="1" t="str">
        <f ca="1">IF(ISERR(Selection!D11),"",IF(ISNA(Selection!D11),"",Selection!F11))</f>
        <v>België Vlaamse Gemeenschap</v>
      </c>
      <c r="C11" s="83">
        <f ca="1">IF(ISERR(Selection!D11),"",IF(ISNA(Selection!D11),"",Selection!D11))</f>
        <v>34195.044057756386</v>
      </c>
      <c r="D11" s="87" t="str">
        <f ca="1">IF(C11="","",IF(Menus!$K$10="2001 Grossed",VLOOKUP(MAX(Selection!M11:N11),$N$2:$O$4,2),""))</f>
        <v>Returned Data for year 2001</v>
      </c>
    </row>
    <row r="12" spans="1:15" x14ac:dyDescent="0.25">
      <c r="A12" s="96">
        <f t="shared" si="0"/>
        <v>11</v>
      </c>
      <c r="B12" s="1" t="str">
        <f ca="1">IF(ISERR(Selection!D12),"",IF(ISNA(Selection!D12),"",Selection!F12))</f>
        <v>Finland</v>
      </c>
      <c r="C12" s="83">
        <f ca="1">IF(ISERR(Selection!D12),"",IF(ISNA(Selection!D12),"",Selection!D12))</f>
        <v>32199.390373044524</v>
      </c>
      <c r="D12" s="87" t="str">
        <f ca="1">IF(C12="","",IF(Menus!$K$10="2001 Grossed",VLOOKUP(MAX(Selection!M12:N12),$N$2:$O$4,2),""))</f>
        <v>Apportioned or estimated from previous years returns</v>
      </c>
    </row>
    <row r="13" spans="1:15" x14ac:dyDescent="0.25">
      <c r="A13" s="96">
        <f t="shared" si="0"/>
        <v>12</v>
      </c>
      <c r="B13" s="1" t="str">
        <f ca="1">IF(ISERR(Selection!D13),"",IF(ISNA(Selection!D13),"",Selection!F13))</f>
        <v>UK</v>
      </c>
      <c r="C13" s="83">
        <f ca="1">IF(ISERR(Selection!D13),"",IF(ISNA(Selection!D13),"",Selection!D13))</f>
        <v>32039.536162790697</v>
      </c>
      <c r="D13" s="87" t="str">
        <f ca="1">IF(C13="","",IF(Menus!$K$10="2001 Grossed",VLOOKUP(MAX(Selection!M13:N13),$N$2:$O$4,2),""))</f>
        <v>Returned Data for year 2001</v>
      </c>
    </row>
    <row r="14" spans="1:15" x14ac:dyDescent="0.25">
      <c r="A14" s="96">
        <f t="shared" si="0"/>
        <v>13</v>
      </c>
      <c r="B14" s="1" t="str">
        <f ca="1">IF(ISERR(Selection!D14),"",IF(ISNA(Selection!D14),"",Selection!F14))</f>
        <v>France</v>
      </c>
      <c r="C14" s="83">
        <f ca="1">IF(ISERR(Selection!D14),"",IF(ISNA(Selection!D14),"",Selection!D14))</f>
        <v>31861.623716847043</v>
      </c>
      <c r="D14" s="87" t="str">
        <f ca="1">IF(C14="","",IF(Menus!$K$10="2001 Grossed",VLOOKUP(MAX(Selection!M14:N14),$N$2:$O$4,2),""))</f>
        <v>Apportioned or estimated from previous years returns</v>
      </c>
    </row>
    <row r="15" spans="1:15" x14ac:dyDescent="0.25">
      <c r="A15" s="96">
        <f t="shared" si="0"/>
        <v>14</v>
      </c>
      <c r="B15" s="1" t="str">
        <f ca="1">IF(ISERR(Selection!D15),"",IF(ISNA(Selection!D15),"",Selection!F15))</f>
        <v>Netherlands</v>
      </c>
      <c r="C15" s="83">
        <f ca="1">IF(ISERR(Selection!D15),"",IF(ISNA(Selection!D15),"",Selection!D15))</f>
        <v>31432.683158896289</v>
      </c>
      <c r="D15" s="87" t="str">
        <f ca="1">IF(C15="","",IF(Menus!$K$10="2001 Grossed",VLOOKUP(MAX(Selection!M15:N15),$N$2:$O$4,2),""))</f>
        <v>Apportioned or estimated from previous years returns</v>
      </c>
    </row>
    <row r="16" spans="1:15" x14ac:dyDescent="0.25">
      <c r="A16" s="96">
        <f t="shared" si="0"/>
        <v>15</v>
      </c>
      <c r="B16" s="1" t="str">
        <f ca="1">IF(ISERR(Selection!D16),"",IF(ISNA(Selection!D16),"",Selection!F16))</f>
        <v>Austria</v>
      </c>
      <c r="C16" s="83">
        <f ca="1">IF(ISERR(Selection!D16),"",IF(ISNA(Selection!D16),"",Selection!D16))</f>
        <v>27859.859049207673</v>
      </c>
      <c r="D16" s="87" t="str">
        <f ca="1">IF(C16="","",IF(Menus!$K$10="2001 Grossed",VLOOKUP(MAX(Selection!M16:N16),$N$2:$O$4,2),""))</f>
        <v>Apportioned or estimated from previous years returns</v>
      </c>
    </row>
    <row r="17" spans="1:5" x14ac:dyDescent="0.25">
      <c r="A17" s="96">
        <f t="shared" si="0"/>
        <v>16</v>
      </c>
      <c r="B17" s="1" t="str">
        <f ca="1">IF(ISERR(Selection!D17),"",IF(ISNA(Selection!D17),"",Selection!F17))</f>
        <v>Italy</v>
      </c>
      <c r="C17" s="83">
        <f ca="1">IF(ISERR(Selection!D17),"",IF(ISNA(Selection!D17),"",Selection!D17))</f>
        <v>25803.269505033557</v>
      </c>
      <c r="D17" s="87" t="str">
        <f ca="1">IF(C17="","",IF(Menus!$K$10="2001 Grossed",VLOOKUP(MAX(Selection!M17:N17),$N$2:$O$4,2),""))</f>
        <v>Grossed on regional averages</v>
      </c>
    </row>
    <row r="18" spans="1:5" x14ac:dyDescent="0.25">
      <c r="A18" s="96">
        <f t="shared" si="0"/>
        <v>17</v>
      </c>
      <c r="B18" s="1" t="str">
        <f ca="1">IF(ISERR(Selection!D18),"",IF(ISNA(Selection!D18),"",Selection!F18))</f>
        <v>Ireland</v>
      </c>
      <c r="C18" s="83">
        <f ca="1">IF(ISERR(Selection!D18),"",IF(ISNA(Selection!D18),"",Selection!D18))</f>
        <v>24584.585714285713</v>
      </c>
      <c r="D18" s="87" t="str">
        <f ca="1">IF(C18="","",IF(Menus!$K$10="2001 Grossed",VLOOKUP(MAX(Selection!M18:N18),$N$2:$O$4,2),""))</f>
        <v>Apportioned or estimated from previous years returns</v>
      </c>
    </row>
    <row r="19" spans="1:5" x14ac:dyDescent="0.25">
      <c r="A19" s="96">
        <f t="shared" si="0"/>
        <v>18</v>
      </c>
      <c r="B19" s="1" t="str">
        <f ca="1">IF(ISERR(Selection!D19),"",IF(ISNA(Selection!D19),"",Selection!F19))</f>
        <v>Greece</v>
      </c>
      <c r="C19" s="83">
        <f ca="1">IF(ISERR(Selection!D19),"",IF(ISNA(Selection!D19),"",Selection!D19))</f>
        <v>22994.490185387131</v>
      </c>
      <c r="D19" s="87" t="str">
        <f ca="1">IF(C19="","",IF(Menus!$K$10="2001 Grossed",VLOOKUP(MAX(Selection!M19:N19),$N$2:$O$4,2),""))</f>
        <v>Apportioned or estimated from previous years returns</v>
      </c>
    </row>
    <row r="20" spans="1:5" x14ac:dyDescent="0.25">
      <c r="A20" s="96">
        <f t="shared" si="0"/>
        <v>19</v>
      </c>
      <c r="B20" s="1" t="str">
        <f ca="1">IF(ISERR(Selection!D20),"",IF(ISNA(Selection!D20),"",Selection!F20))</f>
        <v>Spain</v>
      </c>
      <c r="C20" s="83">
        <f ca="1">IF(ISERR(Selection!D20),"",IF(ISNA(Selection!D20),"",Selection!D20))</f>
        <v>20001.849424939468</v>
      </c>
      <c r="D20" s="87" t="str">
        <f ca="1">IF(C20="","",IF(Menus!$K$10="2001 Grossed",VLOOKUP(MAX(Selection!M20:N20),$N$2:$O$4,2),""))</f>
        <v>Apportioned or estimated from previous years returns</v>
      </c>
    </row>
    <row r="21" spans="1:5" x14ac:dyDescent="0.25">
      <c r="A21" s="96">
        <f t="shared" si="0"/>
        <v>20</v>
      </c>
      <c r="B21" s="1" t="str">
        <f ca="1">IF(ISERR(Selection!D21),"",IF(ISNA(Selection!D21),"",Selection!F21))</f>
        <v>Iceland</v>
      </c>
      <c r="C21" s="83">
        <f ca="1">IF(ISERR(Selection!D21),"",IF(ISNA(Selection!D21),"",Selection!D21))</f>
        <v>16922.39</v>
      </c>
      <c r="D21" s="87" t="str">
        <f ca="1">IF(C21="","",IF(Menus!$K$10="2001 Grossed",VLOOKUP(MAX(Selection!M21:N21),$N$2:$O$4,2),""))</f>
        <v>Apportioned or estimated from previous years returns</v>
      </c>
    </row>
    <row r="22" spans="1:5" x14ac:dyDescent="0.25">
      <c r="A22" s="96">
        <f t="shared" si="0"/>
        <v>21</v>
      </c>
      <c r="B22" s="1" t="str">
        <f ca="1">IF(ISERR(Selection!D22),"",IF(ISNA(Selection!D22),"",Selection!F22))</f>
        <v>Portugal</v>
      </c>
      <c r="C22" s="83">
        <f ca="1">IF(ISERR(Selection!D22),"",IF(ISNA(Selection!D22),"",Selection!D22))</f>
        <v>9902.0022675736964</v>
      </c>
      <c r="D22" s="87" t="str">
        <f ca="1">IF(C22="","",IF(Menus!$K$10="2001 Grossed",VLOOKUP(MAX(Selection!M22:N22),$N$2:$O$4,2),""))</f>
        <v>Apportioned or estimated from previous years returns</v>
      </c>
    </row>
    <row r="23" spans="1:5" x14ac:dyDescent="0.25">
      <c r="A23" s="96">
        <f t="shared" si="0"/>
        <v>22</v>
      </c>
      <c r="B23" s="1" t="str">
        <f ca="1">IF(ISERR(Selection!D23),"",IF(ISNA(Selection!D23),"",Selection!F23))</f>
        <v/>
      </c>
      <c r="C23" s="83" t="str">
        <f ca="1">IF(ISERR(Selection!D23),"",IF(ISNA(Selection!D23),"",Selection!D23))</f>
        <v/>
      </c>
      <c r="D23" s="87" t="str">
        <f ca="1">IF(C23="","",IF(Menus!$K$10="2001 Grossed",VLOOKUP(MAX(Selection!M23:N23),$N$2:$O$4,2),""))</f>
        <v/>
      </c>
    </row>
    <row r="24" spans="1:5" x14ac:dyDescent="0.25">
      <c r="A24" s="96">
        <f t="shared" si="0"/>
        <v>23</v>
      </c>
      <c r="B24" s="1" t="str">
        <f ca="1">IF(ISERR(Selection!D24),"",IF(ISNA(Selection!D24),"",Selection!F24))</f>
        <v/>
      </c>
      <c r="C24" s="83" t="str">
        <f ca="1">IF(ISERR(Selection!D24),"",IF(ISNA(Selection!D24),"",Selection!D24))</f>
        <v/>
      </c>
      <c r="D24" s="87" t="str">
        <f ca="1">IF(C24="","",IF(Menus!$K$10="2001 Grossed",VLOOKUP(MAX(Selection!M24:N24),$N$2:$O$4,2),""))</f>
        <v/>
      </c>
    </row>
    <row r="25" spans="1:5" x14ac:dyDescent="0.25">
      <c r="A25" s="96">
        <f t="shared" si="0"/>
        <v>24</v>
      </c>
      <c r="B25" s="1" t="str">
        <f ca="1">IF(ISERR(Selection!D25),"",IF(ISNA(Selection!D25),"",Selection!F25))</f>
        <v/>
      </c>
      <c r="C25" s="83" t="str">
        <f ca="1">IF(ISERR(Selection!D25),"",IF(ISNA(Selection!D25),"",Selection!D25))</f>
        <v/>
      </c>
      <c r="D25" s="87" t="str">
        <f ca="1">IF(C25="","",IF(Menus!$K$10="2001 Grossed",VLOOKUP(MAX(Selection!M25:N25),$N$2:$O$4,2),""))</f>
        <v/>
      </c>
    </row>
    <row r="26" spans="1:5" x14ac:dyDescent="0.25">
      <c r="A26" s="96">
        <f t="shared" si="0"/>
        <v>25</v>
      </c>
      <c r="B26" s="1" t="str">
        <f ca="1">IF(ISERR(Selection!D26),"",IF(ISNA(Selection!D26),"",Selection!F26))</f>
        <v/>
      </c>
      <c r="C26" s="83" t="str">
        <f ca="1">IF(ISERR(Selection!D26),"",IF(ISNA(Selection!D26),"",Selection!D26))</f>
        <v/>
      </c>
      <c r="D26" s="87" t="str">
        <f ca="1">IF(C26="","",IF(Menus!$K$10="2001 Grossed",VLOOKUP(MAX(Selection!M26:N26),$N$2:$O$4,2),""))</f>
        <v/>
      </c>
    </row>
    <row r="27" spans="1:5" x14ac:dyDescent="0.25">
      <c r="A27" s="96">
        <f t="shared" si="0"/>
        <v>26</v>
      </c>
      <c r="B27" s="1" t="str">
        <f ca="1">IF(ISERR(Selection!D27),"",IF(ISNA(Selection!D27),"",Selection!F27))</f>
        <v/>
      </c>
      <c r="C27" s="83" t="str">
        <f ca="1">IF(ISERR(Selection!D27),"",IF(ISNA(Selection!D27),"",Selection!D27))</f>
        <v/>
      </c>
      <c r="D27" s="87" t="str">
        <f ca="1">IF(C27="","",IF(Menus!$K$10="2001 Grossed",VLOOKUP(MAX(Selection!M27:N27),$N$2:$O$4,2),""))</f>
        <v/>
      </c>
    </row>
    <row r="28" spans="1:5" x14ac:dyDescent="0.25">
      <c r="A28" s="96">
        <f t="shared" si="0"/>
        <v>27</v>
      </c>
      <c r="B28" s="1" t="str">
        <f ca="1">IF(ISERR(Selection!D28),"",IF(ISNA(Selection!D28),"",Selection!F28))</f>
        <v/>
      </c>
      <c r="C28" s="83" t="str">
        <f ca="1">IF(ISERR(Selection!D28),"",IF(ISNA(Selection!D28),"",Selection!D28))</f>
        <v/>
      </c>
      <c r="D28" s="87" t="str">
        <f ca="1">IF(C28="","",IF(Menus!$K$10="2001 Grossed",VLOOKUP(MAX(Selection!M28:N28),$N$2:$O$4,2),""))</f>
        <v/>
      </c>
    </row>
    <row r="29" spans="1:5" x14ac:dyDescent="0.25">
      <c r="A29" s="96">
        <f t="shared" si="0"/>
        <v>28</v>
      </c>
      <c r="B29" s="1" t="str">
        <f ca="1">IF(ISERR(Selection!D29),"",IF(ISNA(Selection!D29),"",Selection!F29))</f>
        <v/>
      </c>
      <c r="C29" s="83" t="str">
        <f ca="1">IF(ISERR(Selection!D29),"",IF(ISNA(Selection!D29),"",Selection!D29))</f>
        <v/>
      </c>
      <c r="D29" s="87" t="str">
        <f ca="1">IF(C29="","",IF(Menus!$K$10="2001 Grossed",VLOOKUP(MAX(Selection!M29:N29),$N$2:$O$4,2),""))</f>
        <v/>
      </c>
    </row>
    <row r="30" spans="1:5" x14ac:dyDescent="0.25">
      <c r="A30" s="96">
        <f t="shared" si="0"/>
        <v>29</v>
      </c>
      <c r="B30" s="1" t="str">
        <f ca="1">IF(ISERR(Selection!D30),"",IF(ISNA(Selection!D30),"",Selection!F30))</f>
        <v/>
      </c>
      <c r="C30" s="83" t="str">
        <f ca="1">IF(ISERR(Selection!D30),"",IF(ISNA(Selection!D30),"",Selection!D30))</f>
        <v/>
      </c>
      <c r="D30" s="87" t="str">
        <f ca="1">IF(C30="","",IF(Menus!$K$10="2001 Grossed",VLOOKUP(MAX(Selection!M30:N30),$N$2:$O$4,2),""))</f>
        <v/>
      </c>
      <c r="E30" s="83"/>
    </row>
    <row r="31" spans="1:5" x14ac:dyDescent="0.25">
      <c r="A31" s="96">
        <f t="shared" si="0"/>
        <v>30</v>
      </c>
      <c r="B31" s="1" t="str">
        <f ca="1">IF(ISERR(Selection!D31),"",IF(ISNA(Selection!D31),"",Selection!F31))</f>
        <v/>
      </c>
      <c r="C31" s="83" t="str">
        <f ca="1">IF(ISERR(Selection!D31),"",IF(ISNA(Selection!D31),"",Selection!D31))</f>
        <v/>
      </c>
      <c r="D31" s="87" t="str">
        <f ca="1">IF(C31="","",IF(Menus!$K$10="2001 Grossed",VLOOKUP(MAX(Selection!M31:N31),$N$2:$O$4,2),""))</f>
        <v/>
      </c>
    </row>
    <row r="32" spans="1:5" x14ac:dyDescent="0.25">
      <c r="A32" s="96">
        <f t="shared" si="0"/>
        <v>31</v>
      </c>
      <c r="B32" s="1" t="str">
        <f ca="1">IF(ISERR(Selection!D32),"",IF(ISNA(Selection!D32),"",Selection!F32))</f>
        <v/>
      </c>
      <c r="C32" s="83" t="str">
        <f ca="1">IF(ISERR(Selection!D32),"",IF(ISNA(Selection!D32),"",Selection!D32))</f>
        <v/>
      </c>
      <c r="D32" s="87" t="str">
        <f ca="1">IF(C32="","",IF(Menus!$K$10="2001 Grossed",VLOOKUP(MAX(Selection!M32:N32),$N$2:$O$4,2),""))</f>
        <v/>
      </c>
    </row>
    <row r="33" spans="1:4" x14ac:dyDescent="0.25">
      <c r="A33" s="96">
        <f t="shared" si="0"/>
        <v>32</v>
      </c>
      <c r="B33" s="1" t="str">
        <f ca="1">IF(ISERR(Selection!D33),"",IF(ISNA(Selection!D33),"",Selection!F33))</f>
        <v/>
      </c>
      <c r="C33" s="83" t="str">
        <f ca="1">IF(ISERR(Selection!D33),"",IF(ISNA(Selection!D33),"",Selection!D33))</f>
        <v/>
      </c>
      <c r="D33" s="87" t="str">
        <f ca="1">IF(C33="","",IF(Menus!$K$10="2001 Grossed",VLOOKUP(MAX(Selection!M33:N33),$N$2:$O$4,2),""))</f>
        <v/>
      </c>
    </row>
    <row r="34" spans="1:4" x14ac:dyDescent="0.25">
      <c r="A34" s="96">
        <f t="shared" si="0"/>
        <v>33</v>
      </c>
      <c r="B34" s="1" t="str">
        <f ca="1">IF(ISERR(Selection!D34),"",IF(ISNA(Selection!D34),"",Selection!F34))</f>
        <v/>
      </c>
      <c r="C34" s="83" t="str">
        <f ca="1">IF(ISERR(Selection!D34),"",IF(ISNA(Selection!D34),"",Selection!D34))</f>
        <v/>
      </c>
      <c r="D34" s="87" t="str">
        <f ca="1">IF(C34="","",IF(Menus!$K$10="2001 Grossed",VLOOKUP(MAX(Selection!M34:N34),$N$2:$O$4,2),""))</f>
        <v/>
      </c>
    </row>
    <row r="35" spans="1:4" x14ac:dyDescent="0.25">
      <c r="A35" s="96">
        <f t="shared" si="0"/>
        <v>34</v>
      </c>
      <c r="B35" s="1" t="str">
        <f ca="1">IF(ISERR(Selection!D35),"",IF(ISNA(Selection!D35),"",Selection!F35))</f>
        <v/>
      </c>
      <c r="C35" s="83" t="str">
        <f ca="1">IF(ISERR(Selection!D35),"",IF(ISNA(Selection!D35),"",Selection!D35))</f>
        <v/>
      </c>
      <c r="D35" s="87" t="str">
        <f ca="1">IF(C35="","",IF(Menus!$K$10="2001 Grossed",VLOOKUP(MAX(Selection!M35:N35),$N$2:$O$4,2),""))</f>
        <v/>
      </c>
    </row>
    <row r="36" spans="1:4" x14ac:dyDescent="0.25">
      <c r="A36" s="96">
        <f t="shared" si="0"/>
        <v>35</v>
      </c>
      <c r="B36" s="1" t="str">
        <f ca="1">IF(ISERR(Selection!D36),"",IF(ISNA(Selection!D36),"",Selection!F36))</f>
        <v/>
      </c>
      <c r="C36" s="83" t="str">
        <f ca="1">IF(ISERR(Selection!D36),"",IF(ISNA(Selection!D36),"",Selection!D36))</f>
        <v/>
      </c>
      <c r="D36" s="87" t="str">
        <f ca="1">IF(C36="","",IF(Menus!$K$10="2001 Grossed",VLOOKUP(MAX(Selection!M36:N36),$N$2:$O$4,2),""))</f>
        <v/>
      </c>
    </row>
    <row r="37" spans="1:4" x14ac:dyDescent="0.25">
      <c r="A37" s="96">
        <f t="shared" si="0"/>
        <v>36</v>
      </c>
      <c r="B37" s="1" t="str">
        <f ca="1">IF(ISERR(Selection!D37),"",IF(ISNA(Selection!D37),"",Selection!F37))</f>
        <v/>
      </c>
      <c r="C37" s="83" t="str">
        <f ca="1">IF(ISERR(Selection!D37),"",IF(ISNA(Selection!D37),"",Selection!D37))</f>
        <v/>
      </c>
      <c r="D37" s="87" t="str">
        <f ca="1">IF(C37="","",IF(Menus!$K$10="2001 Grossed",VLOOKUP(MAX(Selection!M37:N37),$N$2:$O$4,2),""))</f>
        <v/>
      </c>
    </row>
    <row r="38" spans="1:4" x14ac:dyDescent="0.25">
      <c r="A38" s="96">
        <f t="shared" si="0"/>
        <v>37</v>
      </c>
      <c r="B38" s="1" t="str">
        <f ca="1">IF(ISERR(Selection!D38),"",IF(ISNA(Selection!D38),"",Selection!F38))</f>
        <v/>
      </c>
      <c r="C38" s="83" t="str">
        <f ca="1">IF(ISERR(Selection!D38),"",IF(ISNA(Selection!D38),"",Selection!D38))</f>
        <v/>
      </c>
      <c r="D38" s="87" t="str">
        <f ca="1">IF(C38="","",IF(Menus!$K$10="2001 Grossed",VLOOKUP(MAX(Selection!M38:N38),$N$2:$O$4,2),""))</f>
        <v/>
      </c>
    </row>
    <row r="39" spans="1:4" x14ac:dyDescent="0.25">
      <c r="A39" s="96">
        <f t="shared" si="0"/>
        <v>38</v>
      </c>
      <c r="B39" s="1" t="str">
        <f ca="1">IF(ISERR(Selection!D39),"",IF(ISNA(Selection!D39),"",Selection!F39))</f>
        <v/>
      </c>
      <c r="C39" s="83" t="str">
        <f ca="1">IF(ISERR(Selection!D39),"",IF(ISNA(Selection!D39),"",Selection!D39))</f>
        <v/>
      </c>
      <c r="D39" s="87" t="str">
        <f ca="1">IF(C39="","",IF(Menus!$K$10="2001 Grossed",VLOOKUP(MAX(Selection!M39:N39),$N$2:$O$4,2),""))</f>
        <v/>
      </c>
    </row>
    <row r="40" spans="1:4" x14ac:dyDescent="0.25">
      <c r="A40" s="96">
        <f t="shared" si="0"/>
        <v>39</v>
      </c>
      <c r="B40" s="1" t="str">
        <f ca="1">IF(ISERR(Selection!D40),"",IF(ISNA(Selection!D40),"",Selection!F40))</f>
        <v/>
      </c>
      <c r="C40" s="83" t="str">
        <f ca="1">IF(ISERR(Selection!D40),"",IF(ISNA(Selection!D40),"",Selection!D40))</f>
        <v/>
      </c>
      <c r="D40" s="87" t="str">
        <f ca="1">IF(C40="","",IF(Menus!$K$10="2001 Grossed",VLOOKUP(MAX(Selection!M40:N40),$N$2:$O$4,2),""))</f>
        <v/>
      </c>
    </row>
    <row r="41" spans="1:4" x14ac:dyDescent="0.25">
      <c r="A41" s="96">
        <f t="shared" si="0"/>
        <v>40</v>
      </c>
      <c r="B41" s="1" t="str">
        <f ca="1">IF(ISERR(Selection!D41),"",IF(ISNA(Selection!D41),"",Selection!F41))</f>
        <v/>
      </c>
      <c r="C41" s="83" t="str">
        <f ca="1">IF(ISERR(Selection!D41),"",IF(ISNA(Selection!D41),"",Selection!D41))</f>
        <v/>
      </c>
      <c r="D41" s="87" t="str">
        <f ca="1">IF(C41="","",IF(Menus!$K$10="2001 Grossed",VLOOKUP(MAX(Selection!M41:N41),$N$2:$O$4,2),""))</f>
        <v/>
      </c>
    </row>
    <row r="42" spans="1:4" x14ac:dyDescent="0.25">
      <c r="A42" s="96">
        <f t="shared" si="0"/>
        <v>41</v>
      </c>
      <c r="B42" s="1" t="str">
        <f ca="1">IF(ISERR(Selection!D42),"",IF(ISNA(Selection!D42),"",Selection!F42))</f>
        <v/>
      </c>
      <c r="C42" s="83" t="str">
        <f ca="1">IF(ISERR(Selection!D42),"",IF(ISNA(Selection!D42),"",Selection!D42))</f>
        <v/>
      </c>
      <c r="D42" s="87" t="str">
        <f ca="1">IF(C42="","",IF(Menus!$K$10="2001 Grossed",VLOOKUP(MAX(Selection!M42:N42),$N$2:$O$4,2),""))</f>
        <v/>
      </c>
    </row>
    <row r="43" spans="1:4" x14ac:dyDescent="0.25">
      <c r="A43" s="96">
        <f t="shared" si="0"/>
        <v>42</v>
      </c>
      <c r="B43" s="1" t="str">
        <f ca="1">IF(ISERR(Selection!D43),"",IF(ISNA(Selection!D43),"",Selection!F43))</f>
        <v/>
      </c>
      <c r="C43" s="83" t="str">
        <f ca="1">IF(ISERR(Selection!D43),"",IF(ISNA(Selection!D43),"",Selection!D43))</f>
        <v/>
      </c>
      <c r="D43" s="87" t="str">
        <f ca="1">IF(C43="","",IF(Menus!$K$10="2001 Grossed",VLOOKUP(MAX(Selection!M43:N43),$N$2:$O$4,2),""))</f>
        <v/>
      </c>
    </row>
    <row r="44" spans="1:4" x14ac:dyDescent="0.25">
      <c r="A44" s="96">
        <f t="shared" si="0"/>
        <v>43</v>
      </c>
      <c r="B44" s="1" t="str">
        <f ca="1">IF(ISERR(Selection!D44),"",IF(ISNA(Selection!D44),"",Selection!F44))</f>
        <v/>
      </c>
      <c r="C44" s="83" t="str">
        <f ca="1">IF(ISERR(Selection!D44),"",IF(ISNA(Selection!D44),"",Selection!D44))</f>
        <v/>
      </c>
      <c r="D44" s="87" t="str">
        <f ca="1">IF(C44="","",IF(Menus!$K$10="2001 Grossed",VLOOKUP(MAX(Selection!M44:N44),$N$2:$O$4,2),""))</f>
        <v/>
      </c>
    </row>
    <row r="45" spans="1:4" x14ac:dyDescent="0.25">
      <c r="A45" s="96">
        <f t="shared" si="0"/>
        <v>44</v>
      </c>
      <c r="B45" s="1" t="str">
        <f ca="1">IF(ISERR(Selection!D45),"",IF(ISNA(Selection!D45),"",Selection!F45))</f>
        <v/>
      </c>
      <c r="C45" s="83" t="str">
        <f ca="1">IF(ISERR(Selection!D45),"",IF(ISNA(Selection!D45),"",Selection!D45))</f>
        <v/>
      </c>
      <c r="D45" s="87" t="str">
        <f ca="1">IF(C45="","",IF(Menus!$K$10="2001 Grossed",VLOOKUP(MAX(Selection!M45:N45),$N$2:$O$4,2),""))</f>
        <v/>
      </c>
    </row>
    <row r="46" spans="1:4" x14ac:dyDescent="0.25">
      <c r="A46" s="96">
        <f t="shared" si="0"/>
        <v>45</v>
      </c>
      <c r="B46" s="1" t="str">
        <f ca="1">IF(ISERR(Selection!D46),"",IF(ISNA(Selection!D46),"",Selection!F46))</f>
        <v/>
      </c>
      <c r="C46" s="83" t="str">
        <f ca="1">IF(ISERR(Selection!D46),"",IF(ISNA(Selection!D46),"",Selection!D46))</f>
        <v/>
      </c>
      <c r="D46" s="87" t="str">
        <f ca="1">IF(C46="","",IF(Menus!$K$10="2001 Grossed",VLOOKUP(MAX(Selection!M46:N46),$N$2:$O$4,2),""))</f>
        <v/>
      </c>
    </row>
    <row r="47" spans="1:4" x14ac:dyDescent="0.25">
      <c r="A47" s="96">
        <f t="shared" si="0"/>
        <v>46</v>
      </c>
      <c r="B47" s="1" t="str">
        <f ca="1">IF(ISERR(Selection!D47),"",IF(ISNA(Selection!D47),"",Selection!F47))</f>
        <v/>
      </c>
      <c r="C47" s="83" t="str">
        <f ca="1">IF(ISERR(Selection!D47),"",IF(ISNA(Selection!D47),"",Selection!D47))</f>
        <v/>
      </c>
      <c r="D47" s="87" t="str">
        <f ca="1">IF(C47="","",IF(Menus!$K$10="2001 Grossed",VLOOKUP(MAX(Selection!M47:N47),$N$2:$O$4,2),""))</f>
        <v/>
      </c>
    </row>
    <row r="48" spans="1:4" x14ac:dyDescent="0.25">
      <c r="A48" s="96">
        <f t="shared" si="0"/>
        <v>47</v>
      </c>
      <c r="B48" s="1" t="str">
        <f ca="1">IF(ISERR(Selection!D48),"",IF(ISNA(Selection!D48),"",Selection!F48))</f>
        <v/>
      </c>
      <c r="C48" s="83" t="str">
        <f ca="1">IF(ISERR(Selection!D48),"",IF(ISNA(Selection!D48),"",Selection!D48))</f>
        <v/>
      </c>
      <c r="D48" s="87" t="str">
        <f ca="1">IF(C48="","",IF(Menus!$K$10="2001 Grossed",VLOOKUP(MAX(Selection!M48:N48),$N$2:$O$4,2),""))</f>
        <v/>
      </c>
    </row>
    <row r="49" spans="1:4" x14ac:dyDescent="0.25">
      <c r="A49" s="96">
        <f t="shared" si="0"/>
        <v>48</v>
      </c>
      <c r="B49" s="1" t="str">
        <f ca="1">IF(ISERR(Selection!D49),"",IF(ISNA(Selection!D49),"",Selection!F49))</f>
        <v/>
      </c>
      <c r="C49" s="83" t="str">
        <f ca="1">IF(ISERR(Selection!D49),"",IF(ISNA(Selection!D49),"",Selection!D49))</f>
        <v/>
      </c>
      <c r="D49" s="87" t="str">
        <f ca="1">IF(C49="","",IF(Menus!$K$10="2001 Grossed",VLOOKUP(MAX(Selection!M49:N49),$N$2:$O$4,2),""))</f>
        <v/>
      </c>
    </row>
    <row r="50" spans="1:4" x14ac:dyDescent="0.25">
      <c r="A50" s="96">
        <f t="shared" si="0"/>
        <v>49</v>
      </c>
      <c r="B50" s="1" t="str">
        <f ca="1">IF(ISERR(Selection!D50),"",IF(ISNA(Selection!D50),"",Selection!F50))</f>
        <v/>
      </c>
      <c r="C50" s="83" t="str">
        <f ca="1">IF(ISERR(Selection!D50),"",IF(ISNA(Selection!D50),"",Selection!D50))</f>
        <v/>
      </c>
      <c r="D50" s="87" t="str">
        <f ca="1">IF(C50="","",IF(Menus!$K$10="2001 Grossed",VLOOKUP(MAX(Selection!M50:N50),$N$2:$O$4,2),""))</f>
        <v/>
      </c>
    </row>
    <row r="51" spans="1:4" x14ac:dyDescent="0.25">
      <c r="A51" s="96">
        <f t="shared" si="0"/>
        <v>50</v>
      </c>
      <c r="B51" s="1" t="str">
        <f ca="1">IF(ISERR(Selection!D51),"",IF(ISNA(Selection!D51),"",Selection!F51))</f>
        <v/>
      </c>
      <c r="C51" s="83" t="str">
        <f ca="1">IF(ISERR(Selection!D51),"",IF(ISNA(Selection!D51),"",Selection!D51))</f>
        <v/>
      </c>
      <c r="D51" s="87" t="str">
        <f ca="1">IF(C51="","",IF(Menus!$K$10="2001 Grossed",VLOOKUP(MAX(Selection!M51:N51),$N$2:$O$4,2),""))</f>
        <v/>
      </c>
    </row>
    <row r="52" spans="1:4" x14ac:dyDescent="0.25">
      <c r="A52" s="96">
        <f t="shared" si="0"/>
        <v>51</v>
      </c>
      <c r="B52" s="1" t="str">
        <f ca="1">IF(ISERR(Selection!D52),"",IF(ISNA(Selection!D52),"",Selection!F52))</f>
        <v/>
      </c>
      <c r="C52" s="83" t="str">
        <f ca="1">IF(ISERR(Selection!D52),"",IF(ISNA(Selection!D52),"",Selection!D52))</f>
        <v/>
      </c>
      <c r="D52" s="87" t="str">
        <f ca="1">IF(C52="","",IF(Menus!$K$10="2001 Grossed",VLOOKUP(MAX(Selection!M52:N52),$N$2:$O$4,2),""))</f>
        <v/>
      </c>
    </row>
    <row r="53" spans="1:4" x14ac:dyDescent="0.25">
      <c r="A53" s="96">
        <f t="shared" si="0"/>
        <v>52</v>
      </c>
      <c r="B53" s="1" t="str">
        <f ca="1">IF(ISERR(Selection!D53),"",IF(ISNA(Selection!D53),"",Selection!F53))</f>
        <v/>
      </c>
      <c r="C53" s="83" t="str">
        <f ca="1">IF(ISERR(Selection!D53),"",IF(ISNA(Selection!D53),"",Selection!D53))</f>
        <v/>
      </c>
      <c r="D53" s="87" t="str">
        <f ca="1">IF(C53="","",IF(Menus!$K$10="2001 Grossed",VLOOKUP(MAX(Selection!M53:N53),$N$2:$O$4,2),""))</f>
        <v/>
      </c>
    </row>
    <row r="54" spans="1:4" x14ac:dyDescent="0.25">
      <c r="A54" s="96">
        <f t="shared" si="0"/>
        <v>53</v>
      </c>
      <c r="B54" s="1" t="str">
        <f ca="1">IF(ISERR(Selection!D54),"",IF(ISNA(Selection!D54),"",Selection!F54))</f>
        <v/>
      </c>
      <c r="C54" s="83" t="str">
        <f ca="1">IF(ISERR(Selection!D54),"",IF(ISNA(Selection!D54),"",Selection!D54))</f>
        <v/>
      </c>
      <c r="D54" s="87" t="str">
        <f ca="1">IF(C54="","",IF(Menus!$K$10="2001 Grossed",VLOOKUP(MAX(Selection!M54:N54),$N$2:$O$4,2),""))</f>
        <v/>
      </c>
    </row>
    <row r="55" spans="1:4" x14ac:dyDescent="0.25">
      <c r="A55" s="96">
        <f t="shared" si="0"/>
        <v>54</v>
      </c>
      <c r="B55" s="1" t="str">
        <f ca="1">IF(ISERR(Selection!D55),"",IF(ISNA(Selection!D55),"",Selection!F55))</f>
        <v/>
      </c>
      <c r="C55" s="83" t="str">
        <f ca="1">IF(ISERR(Selection!D55),"",IF(ISNA(Selection!D55),"",Selection!D55))</f>
        <v/>
      </c>
      <c r="D55" s="87" t="str">
        <f ca="1">IF(C55="","",IF(Menus!$K$10="2001 Grossed",VLOOKUP(MAX(Selection!M55:N55),$N$2:$O$4,2),""))</f>
        <v/>
      </c>
    </row>
    <row r="56" spans="1:4" x14ac:dyDescent="0.25">
      <c r="A56" s="96">
        <f t="shared" si="0"/>
        <v>55</v>
      </c>
      <c r="B56" s="1" t="str">
        <f ca="1">IF(ISERR(Selection!D56),"",IF(ISNA(Selection!D56),"",Selection!F56))</f>
        <v/>
      </c>
      <c r="C56" s="83" t="str">
        <f ca="1">IF(ISERR(Selection!D56),"",IF(ISNA(Selection!D56),"",Selection!D56))</f>
        <v/>
      </c>
      <c r="D56" s="87" t="str">
        <f ca="1">IF(C56="","",IF(Menus!$K$10="2001 Grossed",VLOOKUP(MAX(Selection!M56:N56),$N$2:$O$4,2),""))</f>
        <v/>
      </c>
    </row>
    <row r="57" spans="1:4" x14ac:dyDescent="0.25">
      <c r="A57" s="96">
        <f t="shared" si="0"/>
        <v>56</v>
      </c>
      <c r="B57" s="1" t="str">
        <f ca="1">IF(ISERR(Selection!D57),"",IF(ISNA(Selection!D57),"",Selection!F57))</f>
        <v/>
      </c>
      <c r="C57" s="83" t="str">
        <f ca="1">IF(ISERR(Selection!D57),"",IF(ISNA(Selection!D57),"",Selection!D57))</f>
        <v/>
      </c>
      <c r="D57" s="87" t="str">
        <f ca="1">IF(C57="","",IF(Menus!$K$10="2001 Grossed",VLOOKUP(MAX(Selection!M57:N57),$N$2:$O$4,2),""))</f>
        <v/>
      </c>
    </row>
    <row r="58" spans="1:4" x14ac:dyDescent="0.25">
      <c r="A58" s="96">
        <f t="shared" si="0"/>
        <v>57</v>
      </c>
      <c r="B58" s="1" t="str">
        <f ca="1">IF(ISERR(Selection!D58),"",IF(ISNA(Selection!D58),"",Selection!F58))</f>
        <v/>
      </c>
      <c r="C58" s="83" t="str">
        <f ca="1">IF(ISERR(Selection!D58),"",IF(ISNA(Selection!D58),"",Selection!D58))</f>
        <v/>
      </c>
      <c r="D58" s="87" t="str">
        <f ca="1">IF(C58="","",IF(Menus!$K$10="2001 Grossed",VLOOKUP(MAX(Selection!M58:N58),$N$2:$O$4,2),""))</f>
        <v/>
      </c>
    </row>
    <row r="59" spans="1:4" x14ac:dyDescent="0.25">
      <c r="A59" s="96">
        <f t="shared" si="0"/>
        <v>58</v>
      </c>
      <c r="B59" s="1" t="str">
        <f ca="1">IF(ISERR(Selection!D59),"",IF(ISNA(Selection!D59),"",Selection!F59))</f>
        <v/>
      </c>
      <c r="C59" s="83" t="str">
        <f ca="1">IF(ISERR(Selection!D59),"",IF(ISNA(Selection!D59),"",Selection!D59))</f>
        <v/>
      </c>
      <c r="D59" s="87" t="str">
        <f ca="1">IF(C59="","",IF(Menus!$K$10="2001 Grossed",VLOOKUP(MAX(Selection!M59:N59),$N$2:$O$4,2),""))</f>
        <v/>
      </c>
    </row>
    <row r="60" spans="1:4" x14ac:dyDescent="0.25">
      <c r="A60" s="96">
        <f t="shared" si="0"/>
        <v>59</v>
      </c>
      <c r="B60" s="1" t="str">
        <f ca="1">IF(ISERR(Selection!D60),"",IF(ISNA(Selection!D60),"",Selection!F60))</f>
        <v/>
      </c>
      <c r="C60" s="83" t="str">
        <f ca="1">IF(ISERR(Selection!D60),"",IF(ISNA(Selection!D60),"",Selection!D60))</f>
        <v/>
      </c>
      <c r="D60" s="87" t="str">
        <f ca="1">IF(C60="","",IF(Menus!$K$10="2001 Grossed",VLOOKUP(MAX(Selection!M60:N60),$N$2:$O$4,2),""))</f>
        <v/>
      </c>
    </row>
    <row r="61" spans="1:4" x14ac:dyDescent="0.25">
      <c r="A61" s="96">
        <f t="shared" si="0"/>
        <v>60</v>
      </c>
      <c r="B61" s="1" t="str">
        <f ca="1">IF(ISERR(Selection!D61),"",IF(ISNA(Selection!D61),"",Selection!F61))</f>
        <v/>
      </c>
      <c r="C61" s="83" t="str">
        <f ca="1">IF(ISERR(Selection!D61),"",IF(ISNA(Selection!D61),"",Selection!D61))</f>
        <v/>
      </c>
      <c r="D61" s="87" t="str">
        <f ca="1">IF(C61="","",IF(Menus!$K$10="2001 Grossed",VLOOKUP(MAX(Selection!M61:N61),$N$2:$O$4,2),""))</f>
        <v/>
      </c>
    </row>
    <row r="62" spans="1:4" x14ac:dyDescent="0.25">
      <c r="A62" s="96">
        <f t="shared" si="0"/>
        <v>61</v>
      </c>
      <c r="B62" s="1" t="str">
        <f ca="1">IF(ISERR(Selection!D62),"",IF(ISNA(Selection!D62),"",Selection!F62))</f>
        <v/>
      </c>
      <c r="C62" s="83" t="str">
        <f ca="1">IF(ISERR(Selection!D62),"",IF(ISNA(Selection!D62),"",Selection!D62))</f>
        <v/>
      </c>
      <c r="D62" s="87" t="str">
        <f ca="1">IF(C62="","",IF(Menus!$K$10="2001 Grossed",VLOOKUP(MAX(Selection!M62:N62),$N$2:$O$4,2),""))</f>
        <v/>
      </c>
    </row>
    <row r="63" spans="1:4" x14ac:dyDescent="0.25">
      <c r="A63" s="96">
        <f t="shared" si="0"/>
        <v>62</v>
      </c>
      <c r="B63" s="1" t="str">
        <f ca="1">IF(ISERR(Selection!D63),"",IF(ISNA(Selection!D63),"",Selection!F63))</f>
        <v/>
      </c>
      <c r="C63" s="83" t="str">
        <f ca="1">IF(ISERR(Selection!D63),"",IF(ISNA(Selection!D63),"",Selection!D63))</f>
        <v/>
      </c>
      <c r="D63" s="87" t="str">
        <f ca="1">IF(C63="","",IF(Menus!$K$10="2001 Grossed",VLOOKUP(MAX(Selection!M63:N63),$N$2:$O$4,2),""))</f>
        <v/>
      </c>
    </row>
    <row r="64" spans="1:4" x14ac:dyDescent="0.25">
      <c r="A64" s="96">
        <f t="shared" si="0"/>
        <v>63</v>
      </c>
      <c r="B64" s="1" t="str">
        <f ca="1">IF(ISERR(Selection!D64),"",IF(ISNA(Selection!D64),"",Selection!F64))</f>
        <v/>
      </c>
      <c r="C64" s="83" t="str">
        <f ca="1">IF(ISERR(Selection!D64),"",IF(ISNA(Selection!D64),"",Selection!D64))</f>
        <v/>
      </c>
      <c r="D64" s="87" t="str">
        <f ca="1">IF(C64="","",IF(Menus!$K$10="2001 Grossed",VLOOKUP(MAX(Selection!M64:N64),$N$2:$O$4,2),""))</f>
        <v/>
      </c>
    </row>
    <row r="65" spans="1:4" x14ac:dyDescent="0.25">
      <c r="A65" s="96">
        <f t="shared" si="0"/>
        <v>64</v>
      </c>
      <c r="B65" s="1" t="str">
        <f ca="1">IF(ISERR(Selection!D65),"",IF(ISNA(Selection!D65),"",Selection!F65))</f>
        <v/>
      </c>
      <c r="C65" s="83" t="str">
        <f ca="1">IF(ISERR(Selection!D65),"",IF(ISNA(Selection!D65),"",Selection!D65))</f>
        <v/>
      </c>
      <c r="D65" s="87" t="str">
        <f ca="1">IF(C65="","",IF(Menus!$K$10="2001 Grossed",VLOOKUP(MAX(Selection!M65:N65),$N$2:$O$4,2),""))</f>
        <v/>
      </c>
    </row>
    <row r="66" spans="1:4" x14ac:dyDescent="0.25">
      <c r="A66" s="96">
        <f t="shared" si="0"/>
        <v>65</v>
      </c>
      <c r="B66" s="1" t="str">
        <f ca="1">IF(ISERR(Selection!D66),"",IF(ISNA(Selection!D66),"",Selection!F66))</f>
        <v/>
      </c>
      <c r="C66" s="83" t="str">
        <f ca="1">IF(ISERR(Selection!D66),"",IF(ISNA(Selection!D66),"",Selection!D66))</f>
        <v/>
      </c>
      <c r="D66" s="87" t="str">
        <f ca="1">IF(C66="","",IF(Menus!$K$10="2001 Grossed",VLOOKUP(MAX(Selection!M66:N66),$N$2:$O$4,2),""))</f>
        <v/>
      </c>
    </row>
    <row r="67" spans="1:4" x14ac:dyDescent="0.25">
      <c r="A67" s="96">
        <f t="shared" si="0"/>
        <v>66</v>
      </c>
      <c r="B67" s="1" t="str">
        <f ca="1">IF(ISERR(Selection!D67),"",IF(ISNA(Selection!D67),"",Selection!F67))</f>
        <v/>
      </c>
      <c r="C67" s="83" t="str">
        <f ca="1">IF(ISERR(Selection!D67),"",IF(ISNA(Selection!D67),"",Selection!D67))</f>
        <v/>
      </c>
      <c r="D67" s="87" t="str">
        <f ca="1">IF(C67="","",IF(Menus!$K$10="2001 Grossed",VLOOKUP(MAX(Selection!M67:N67),$N$2:$O$4,2),""))</f>
        <v/>
      </c>
    </row>
    <row r="68" spans="1:4" x14ac:dyDescent="0.25">
      <c r="A68" s="96">
        <f t="shared" ref="A68:A101" si="1">1+A67</f>
        <v>67</v>
      </c>
      <c r="B68" s="1" t="str">
        <f ca="1">IF(ISERR(Selection!D68),"",IF(ISNA(Selection!D68),"",Selection!F68))</f>
        <v/>
      </c>
      <c r="C68" s="83" t="str">
        <f ca="1">IF(ISERR(Selection!D68),"",IF(ISNA(Selection!D68),"",Selection!D68))</f>
        <v/>
      </c>
      <c r="D68" s="87" t="str">
        <f ca="1">IF(C68="","",IF(Menus!$K$10="2001 Grossed",VLOOKUP(MAX(Selection!M68:N68),$N$2:$O$4,2),""))</f>
        <v/>
      </c>
    </row>
    <row r="69" spans="1:4" x14ac:dyDescent="0.25">
      <c r="A69" s="96">
        <f t="shared" si="1"/>
        <v>68</v>
      </c>
      <c r="B69" s="1" t="str">
        <f ca="1">IF(ISERR(Selection!D69),"",IF(ISNA(Selection!D69),"",Selection!F69))</f>
        <v/>
      </c>
      <c r="C69" s="83" t="str">
        <f ca="1">IF(ISERR(Selection!D69),"",IF(ISNA(Selection!D69),"",Selection!D69))</f>
        <v/>
      </c>
      <c r="D69" s="87" t="str">
        <f ca="1">IF(C69="","",IF(Menus!$K$10="2001 Grossed",VLOOKUP(MAX(Selection!M69:N69),$N$2:$O$4,2),""))</f>
        <v/>
      </c>
    </row>
    <row r="70" spans="1:4" x14ac:dyDescent="0.25">
      <c r="A70" s="96">
        <f t="shared" si="1"/>
        <v>69</v>
      </c>
      <c r="B70" s="1" t="str">
        <f ca="1">IF(ISERR(Selection!D70),"",IF(ISNA(Selection!D70),"",Selection!F70))</f>
        <v/>
      </c>
      <c r="C70" s="83" t="str">
        <f ca="1">IF(ISERR(Selection!D70),"",IF(ISNA(Selection!D70),"",Selection!D70))</f>
        <v/>
      </c>
      <c r="D70" s="87" t="str">
        <f ca="1">IF(C70="","",IF(Menus!$K$10="2001 Grossed",VLOOKUP(MAX(Selection!M70:N70),$N$2:$O$4,2),""))</f>
        <v/>
      </c>
    </row>
    <row r="71" spans="1:4" x14ac:dyDescent="0.25">
      <c r="A71" s="96">
        <f t="shared" si="1"/>
        <v>70</v>
      </c>
      <c r="B71" s="1" t="str">
        <f ca="1">IF(ISERR(Selection!D71),"",IF(ISNA(Selection!D71),"",Selection!F71))</f>
        <v/>
      </c>
      <c r="C71" s="83" t="str">
        <f ca="1">IF(ISERR(Selection!D71),"",IF(ISNA(Selection!D71),"",Selection!D71))</f>
        <v/>
      </c>
      <c r="D71" s="87" t="str">
        <f ca="1">IF(C71="","",IF(Menus!$K$10="2001 Grossed",VLOOKUP(MAX(Selection!M71:N71),$N$2:$O$4,2),""))</f>
        <v/>
      </c>
    </row>
    <row r="72" spans="1:4" x14ac:dyDescent="0.25">
      <c r="A72" s="96">
        <f t="shared" si="1"/>
        <v>71</v>
      </c>
      <c r="B72" s="1" t="str">
        <f ca="1">IF(ISERR(Selection!D72),"",IF(ISNA(Selection!D72),"",Selection!F72))</f>
        <v/>
      </c>
      <c r="C72" s="83" t="str">
        <f ca="1">IF(ISERR(Selection!D72),"",IF(ISNA(Selection!D72),"",Selection!D72))</f>
        <v/>
      </c>
      <c r="D72" s="87" t="str">
        <f ca="1">IF(C72="","",IF(Menus!$K$10="2001 Grossed",VLOOKUP(MAX(Selection!M72:N72),$N$2:$O$4,2),""))</f>
        <v/>
      </c>
    </row>
    <row r="73" spans="1:4" x14ac:dyDescent="0.25">
      <c r="A73" s="96">
        <f t="shared" si="1"/>
        <v>72</v>
      </c>
      <c r="B73" s="1" t="str">
        <f ca="1">IF(ISERR(Selection!D73),"",IF(ISNA(Selection!D73),"",Selection!F73))</f>
        <v/>
      </c>
      <c r="C73" s="83" t="str">
        <f ca="1">IF(ISERR(Selection!D73),"",IF(ISNA(Selection!D73),"",Selection!D73))</f>
        <v/>
      </c>
      <c r="D73" s="87" t="str">
        <f ca="1">IF(C73="","",IF(Menus!$K$10="2001 Grossed",VLOOKUP(MAX(Selection!M73:N73),$N$2:$O$4,2),""))</f>
        <v/>
      </c>
    </row>
    <row r="74" spans="1:4" x14ac:dyDescent="0.25">
      <c r="A74" s="96">
        <f t="shared" si="1"/>
        <v>73</v>
      </c>
      <c r="B74" s="1" t="str">
        <f ca="1">IF(ISERR(Selection!D74),"",IF(ISNA(Selection!D74),"",Selection!F74))</f>
        <v/>
      </c>
      <c r="C74" s="83" t="str">
        <f ca="1">IF(ISERR(Selection!D74),"",IF(ISNA(Selection!D74),"",Selection!D74))</f>
        <v/>
      </c>
      <c r="D74" s="87" t="str">
        <f ca="1">IF(C74="","",IF(Menus!$K$10="2001 Grossed",VLOOKUP(MAX(Selection!M74:N74),$N$2:$O$4,2),""))</f>
        <v/>
      </c>
    </row>
    <row r="75" spans="1:4" x14ac:dyDescent="0.25">
      <c r="A75" s="96">
        <f t="shared" si="1"/>
        <v>74</v>
      </c>
      <c r="B75" s="1" t="str">
        <f ca="1">IF(ISERR(Selection!D75),"",IF(ISNA(Selection!D75),"",Selection!F75))</f>
        <v/>
      </c>
      <c r="C75" s="83" t="str">
        <f ca="1">IF(ISERR(Selection!D75),"",IF(ISNA(Selection!D75),"",Selection!D75))</f>
        <v/>
      </c>
      <c r="D75" s="87" t="str">
        <f ca="1">IF(C75="","",IF(Menus!$K$10="2001 Grossed",VLOOKUP(MAX(Selection!M75:N75),$N$2:$O$4,2),""))</f>
        <v/>
      </c>
    </row>
    <row r="76" spans="1:4" x14ac:dyDescent="0.25">
      <c r="A76" s="96">
        <f t="shared" si="1"/>
        <v>75</v>
      </c>
      <c r="B76" s="1" t="str">
        <f ca="1">IF(ISERR(Selection!D76),"",IF(ISNA(Selection!D76),"",Selection!F76))</f>
        <v/>
      </c>
      <c r="C76" s="83" t="str">
        <f ca="1">IF(ISERR(Selection!D76),"",IF(ISNA(Selection!D76),"",Selection!D76))</f>
        <v/>
      </c>
      <c r="D76" s="87" t="str">
        <f ca="1">IF(C76="","",IF(Menus!$K$10="2001 Grossed",VLOOKUP(MAX(Selection!M76:N76),$N$2:$O$4,2),""))</f>
        <v/>
      </c>
    </row>
    <row r="77" spans="1:4" x14ac:dyDescent="0.25">
      <c r="A77" s="96">
        <f t="shared" si="1"/>
        <v>76</v>
      </c>
      <c r="B77" s="1" t="str">
        <f ca="1">IF(ISERR(Selection!D77),"",IF(ISNA(Selection!D77),"",Selection!F77))</f>
        <v/>
      </c>
      <c r="C77" s="83" t="str">
        <f ca="1">IF(ISERR(Selection!D77),"",IF(ISNA(Selection!D77),"",Selection!D77))</f>
        <v/>
      </c>
      <c r="D77" s="87" t="str">
        <f ca="1">IF(C77="","",IF(Menus!$K$10="2001 Grossed",VLOOKUP(MAX(Selection!M77:N77),$N$2:$O$4,2),""))</f>
        <v/>
      </c>
    </row>
    <row r="78" spans="1:4" x14ac:dyDescent="0.25">
      <c r="A78" s="96">
        <f t="shared" si="1"/>
        <v>77</v>
      </c>
      <c r="B78" s="1" t="str">
        <f ca="1">IF(ISERR(Selection!D78),"",IF(ISNA(Selection!D78),"",Selection!F78))</f>
        <v/>
      </c>
      <c r="C78" s="83" t="str">
        <f ca="1">IF(ISERR(Selection!D78),"",IF(ISNA(Selection!D78),"",Selection!D78))</f>
        <v/>
      </c>
      <c r="D78" s="87" t="str">
        <f ca="1">IF(C78="","",IF(Menus!$K$10="2001 Grossed",VLOOKUP(MAX(Selection!M78:N78),$N$2:$O$4,2),""))</f>
        <v/>
      </c>
    </row>
    <row r="79" spans="1:4" x14ac:dyDescent="0.25">
      <c r="A79" s="96">
        <f t="shared" si="1"/>
        <v>78</v>
      </c>
      <c r="B79" s="1" t="str">
        <f ca="1">IF(ISERR(Selection!D79),"",IF(ISNA(Selection!D79),"",Selection!F79))</f>
        <v/>
      </c>
      <c r="C79" s="83" t="str">
        <f ca="1">IF(ISERR(Selection!D79),"",IF(ISNA(Selection!D79),"",Selection!D79))</f>
        <v/>
      </c>
      <c r="D79" s="87" t="str">
        <f ca="1">IF(C79="","",IF(Menus!$K$10="2001 Grossed",VLOOKUP(MAX(Selection!M79:N79),$N$2:$O$4,2),""))</f>
        <v/>
      </c>
    </row>
    <row r="80" spans="1:4" x14ac:dyDescent="0.25">
      <c r="A80" s="96">
        <f t="shared" si="1"/>
        <v>79</v>
      </c>
      <c r="B80" s="1" t="str">
        <f ca="1">IF(ISERR(Selection!D80),"",IF(ISNA(Selection!D80),"",Selection!F80))</f>
        <v/>
      </c>
      <c r="C80" s="83" t="str">
        <f ca="1">IF(ISERR(Selection!D80),"",IF(ISNA(Selection!D80),"",Selection!D80))</f>
        <v/>
      </c>
      <c r="D80" s="87" t="str">
        <f ca="1">IF(C80="","",IF(Menus!$K$10="2001 Grossed",VLOOKUP(MAX(Selection!M80:N80),$N$2:$O$4,2),""))</f>
        <v/>
      </c>
    </row>
    <row r="81" spans="1:4" x14ac:dyDescent="0.25">
      <c r="A81" s="96">
        <f t="shared" si="1"/>
        <v>80</v>
      </c>
      <c r="B81" s="1" t="str">
        <f ca="1">IF(ISERR(Selection!D81),"",IF(ISNA(Selection!D81),"",Selection!F81))</f>
        <v/>
      </c>
      <c r="C81" s="83" t="str">
        <f ca="1">IF(ISERR(Selection!D81),"",IF(ISNA(Selection!D81),"",Selection!D81))</f>
        <v/>
      </c>
      <c r="D81" s="87" t="str">
        <f ca="1">IF(C81="","",IF(Menus!$K$10="2001 Grossed",VLOOKUP(MAX(Selection!M81:N81),$N$2:$O$4,2),""))</f>
        <v/>
      </c>
    </row>
    <row r="82" spans="1:4" x14ac:dyDescent="0.25">
      <c r="A82" s="96">
        <f t="shared" si="1"/>
        <v>81</v>
      </c>
      <c r="B82" s="1" t="str">
        <f ca="1">IF(ISERR(Selection!D82),"",IF(ISNA(Selection!D82),"",Selection!F82))</f>
        <v/>
      </c>
      <c r="C82" s="83" t="str">
        <f ca="1">IF(ISERR(Selection!D82),"",IF(ISNA(Selection!D82),"",Selection!D82))</f>
        <v/>
      </c>
      <c r="D82" s="87" t="str">
        <f ca="1">IF(C82="","",IF(Menus!$K$10="2001 Grossed",VLOOKUP(MAX(Selection!M82:N82),$N$2:$O$4,2),""))</f>
        <v/>
      </c>
    </row>
    <row r="83" spans="1:4" x14ac:dyDescent="0.25">
      <c r="A83" s="96">
        <f t="shared" si="1"/>
        <v>82</v>
      </c>
      <c r="B83" s="1" t="str">
        <f ca="1">IF(ISERR(Selection!D83),"",IF(ISNA(Selection!D83),"",Selection!F83))</f>
        <v/>
      </c>
      <c r="C83" s="83" t="str">
        <f ca="1">IF(ISERR(Selection!D83),"",IF(ISNA(Selection!D83),"",Selection!D83))</f>
        <v/>
      </c>
      <c r="D83" s="87" t="str">
        <f ca="1">IF(C83="","",IF(Menus!$K$10="2001 Grossed",VLOOKUP(MAX(Selection!M83:N83),$N$2:$O$4,2),""))</f>
        <v/>
      </c>
    </row>
    <row r="84" spans="1:4" x14ac:dyDescent="0.25">
      <c r="A84" s="96">
        <f t="shared" si="1"/>
        <v>83</v>
      </c>
      <c r="B84" s="1" t="str">
        <f ca="1">IF(ISERR(Selection!D84),"",IF(ISNA(Selection!D84),"",Selection!F84))</f>
        <v/>
      </c>
      <c r="C84" s="83" t="str">
        <f ca="1">IF(ISERR(Selection!D84),"",IF(ISNA(Selection!D84),"",Selection!D84))</f>
        <v/>
      </c>
      <c r="D84" s="87" t="str">
        <f ca="1">IF(C84="","",IF(Menus!$K$10="2001 Grossed",VLOOKUP(MAX(Selection!M84:N84),$N$2:$O$4,2),""))</f>
        <v/>
      </c>
    </row>
    <row r="85" spans="1:4" x14ac:dyDescent="0.25">
      <c r="A85" s="96">
        <f t="shared" si="1"/>
        <v>84</v>
      </c>
      <c r="B85" s="1" t="str">
        <f ca="1">IF(ISERR(Selection!D85),"",IF(ISNA(Selection!D85),"",Selection!F85))</f>
        <v/>
      </c>
      <c r="C85" s="83" t="str">
        <f ca="1">IF(ISERR(Selection!D85),"",IF(ISNA(Selection!D85),"",Selection!D85))</f>
        <v/>
      </c>
      <c r="D85" s="87" t="str">
        <f ca="1">IF(C85="","",IF(Menus!$K$10="2001 Grossed",VLOOKUP(MAX(Selection!M85:N85),$N$2:$O$4,2),""))</f>
        <v/>
      </c>
    </row>
    <row r="86" spans="1:4" x14ac:dyDescent="0.25">
      <c r="A86" s="96">
        <f t="shared" si="1"/>
        <v>85</v>
      </c>
      <c r="B86" s="1" t="str">
        <f ca="1">IF(ISERR(Selection!D86),"",IF(ISNA(Selection!D86),"",Selection!F86))</f>
        <v/>
      </c>
      <c r="C86" s="83" t="str">
        <f ca="1">IF(ISERR(Selection!D86),"",IF(ISNA(Selection!D86),"",Selection!D86))</f>
        <v/>
      </c>
      <c r="D86" s="87" t="str">
        <f ca="1">IF(C86="","",IF(Menus!$K$10="2001 Grossed",VLOOKUP(MAX(Selection!M86:N86),$N$2:$O$4,2),""))</f>
        <v/>
      </c>
    </row>
    <row r="87" spans="1:4" x14ac:dyDescent="0.25">
      <c r="A87" s="96">
        <f t="shared" si="1"/>
        <v>86</v>
      </c>
      <c r="B87" s="1" t="str">
        <f ca="1">IF(ISERR(Selection!D87),"",IF(ISNA(Selection!D87),"",Selection!F87))</f>
        <v/>
      </c>
      <c r="C87" s="83" t="str">
        <f ca="1">IF(ISERR(Selection!D87),"",IF(ISNA(Selection!D87),"",Selection!D87))</f>
        <v/>
      </c>
      <c r="D87" s="87" t="str">
        <f ca="1">IF(C87="","",IF(Menus!$K$10="2001 Grossed",VLOOKUP(MAX(Selection!M87:N87),$N$2:$O$4,2),""))</f>
        <v/>
      </c>
    </row>
    <row r="88" spans="1:4" x14ac:dyDescent="0.25">
      <c r="A88" s="96">
        <f t="shared" si="1"/>
        <v>87</v>
      </c>
      <c r="B88" s="1" t="str">
        <f ca="1">IF(ISERR(Selection!D88),"",IF(ISNA(Selection!D88),"",Selection!F88))</f>
        <v/>
      </c>
      <c r="C88" s="83" t="str">
        <f ca="1">IF(ISERR(Selection!D88),"",IF(ISNA(Selection!D88),"",Selection!D88))</f>
        <v/>
      </c>
      <c r="D88" s="87" t="str">
        <f ca="1">IF(C88="","",IF(Menus!$K$10="2001 Grossed",VLOOKUP(MAX(Selection!M88:N88),$N$2:$O$4,2),""))</f>
        <v/>
      </c>
    </row>
    <row r="89" spans="1:4" x14ac:dyDescent="0.25">
      <c r="A89" s="96">
        <f t="shared" si="1"/>
        <v>88</v>
      </c>
      <c r="B89" s="1" t="str">
        <f ca="1">IF(ISERR(Selection!D89),"",IF(ISNA(Selection!D89),"",Selection!F89))</f>
        <v/>
      </c>
      <c r="C89" s="83" t="str">
        <f ca="1">IF(ISERR(Selection!D89),"",IF(ISNA(Selection!D89),"",Selection!D89))</f>
        <v/>
      </c>
      <c r="D89" s="87" t="str">
        <f ca="1">IF(C89="","",IF(Menus!$K$10="2001 Grossed",VLOOKUP(MAX(Selection!M89:N89),$N$2:$O$4,2),""))</f>
        <v/>
      </c>
    </row>
    <row r="90" spans="1:4" x14ac:dyDescent="0.25">
      <c r="A90" s="96">
        <f t="shared" si="1"/>
        <v>89</v>
      </c>
      <c r="B90" s="1" t="str">
        <f ca="1">IF(ISERR(Selection!D90),"",IF(ISNA(Selection!D90),"",Selection!F90))</f>
        <v/>
      </c>
      <c r="C90" s="83" t="str">
        <f ca="1">IF(ISERR(Selection!D90),"",IF(ISNA(Selection!D90),"",Selection!D90))</f>
        <v/>
      </c>
      <c r="D90" s="87" t="str">
        <f ca="1">IF(C90="","",IF(Menus!$K$10="2001 Grossed",VLOOKUP(MAX(Selection!M90:N90),$N$2:$O$4,2),""))</f>
        <v/>
      </c>
    </row>
    <row r="91" spans="1:4" x14ac:dyDescent="0.25">
      <c r="A91" s="96">
        <f t="shared" si="1"/>
        <v>90</v>
      </c>
      <c r="B91" s="1" t="str">
        <f ca="1">IF(ISERR(Selection!D91),"",IF(ISNA(Selection!D91),"",Selection!F91))</f>
        <v/>
      </c>
      <c r="C91" s="83" t="str">
        <f ca="1">IF(ISERR(Selection!D91),"",IF(ISNA(Selection!D91),"",Selection!D91))</f>
        <v/>
      </c>
      <c r="D91" s="87" t="str">
        <f ca="1">IF(C91="","",IF(Menus!$K$10="2001 Grossed",VLOOKUP(MAX(Selection!M91:N91),$N$2:$O$4,2),""))</f>
        <v/>
      </c>
    </row>
    <row r="92" spans="1:4" x14ac:dyDescent="0.25">
      <c r="A92" s="96">
        <f t="shared" si="1"/>
        <v>91</v>
      </c>
      <c r="B92" s="1" t="str">
        <f ca="1">IF(ISERR(Selection!D92),"",IF(ISNA(Selection!D92),"",Selection!F92))</f>
        <v/>
      </c>
      <c r="C92" s="83" t="str">
        <f ca="1">IF(ISERR(Selection!D92),"",IF(ISNA(Selection!D92),"",Selection!D92))</f>
        <v/>
      </c>
      <c r="D92" s="87" t="str">
        <f ca="1">IF(C92="","",IF(Menus!$K$10="2001 Grossed",VLOOKUP(MAX(Selection!M92:N92),$N$2:$O$4,2),""))</f>
        <v/>
      </c>
    </row>
    <row r="93" spans="1:4" x14ac:dyDescent="0.25">
      <c r="A93" s="96">
        <f t="shared" si="1"/>
        <v>92</v>
      </c>
      <c r="B93" s="1" t="str">
        <f ca="1">IF(ISERR(Selection!D93),"",IF(ISNA(Selection!D93),"",Selection!F93))</f>
        <v/>
      </c>
      <c r="C93" s="83" t="str">
        <f ca="1">IF(ISERR(Selection!D93),"",IF(ISNA(Selection!D93),"",Selection!D93))</f>
        <v/>
      </c>
      <c r="D93" s="87" t="str">
        <f ca="1">IF(C93="","",IF(Menus!$K$10="2001 Grossed",VLOOKUP(MAX(Selection!M93:N93),$N$2:$O$4,2),""))</f>
        <v/>
      </c>
    </row>
    <row r="94" spans="1:4" x14ac:dyDescent="0.25">
      <c r="A94" s="96">
        <f t="shared" si="1"/>
        <v>93</v>
      </c>
      <c r="B94" s="1" t="str">
        <f ca="1">IF(ISERR(Selection!D94),"",IF(ISNA(Selection!D94),"",Selection!F94))</f>
        <v/>
      </c>
      <c r="C94" s="83" t="str">
        <f ca="1">IF(ISERR(Selection!D94),"",IF(ISNA(Selection!D94),"",Selection!D94))</f>
        <v/>
      </c>
      <c r="D94" s="87" t="str">
        <f ca="1">IF(C94="","",IF(Menus!$K$10="2001 Grossed",VLOOKUP(MAX(Selection!M94:N94),$N$2:$O$4,2),""))</f>
        <v/>
      </c>
    </row>
    <row r="95" spans="1:4" x14ac:dyDescent="0.25">
      <c r="A95" s="96">
        <f t="shared" si="1"/>
        <v>94</v>
      </c>
      <c r="B95" s="1" t="str">
        <f ca="1">IF(ISERR(Selection!D95),"",IF(ISNA(Selection!D95),"",Selection!F95))</f>
        <v/>
      </c>
      <c r="C95" s="83" t="str">
        <f ca="1">IF(ISERR(Selection!D95),"",IF(ISNA(Selection!D95),"",Selection!D95))</f>
        <v/>
      </c>
      <c r="D95" s="87" t="str">
        <f ca="1">IF(C95="","",IF(Menus!$K$10="2001 Grossed",VLOOKUP(MAX(Selection!M95:N95),$N$2:$O$4,2),""))</f>
        <v/>
      </c>
    </row>
    <row r="96" spans="1:4" x14ac:dyDescent="0.25">
      <c r="A96" s="96">
        <f t="shared" si="1"/>
        <v>95</v>
      </c>
      <c r="B96" s="1" t="str">
        <f ca="1">IF(ISERR(Selection!D96),"",IF(ISNA(Selection!D96),"",Selection!F96))</f>
        <v/>
      </c>
      <c r="C96" s="83" t="str">
        <f ca="1">IF(ISERR(Selection!D96),"",IF(ISNA(Selection!D96),"",Selection!D96))</f>
        <v/>
      </c>
      <c r="D96" s="87" t="str">
        <f ca="1">IF(C96="","",IF(Menus!$K$10="2001 Grossed",VLOOKUP(MAX(Selection!M96:N96),$N$2:$O$4,2),""))</f>
        <v/>
      </c>
    </row>
    <row r="97" spans="1:4" x14ac:dyDescent="0.25">
      <c r="A97" s="96">
        <f t="shared" si="1"/>
        <v>96</v>
      </c>
      <c r="B97" s="1" t="str">
        <f ca="1">IF(ISERR(Selection!D97),"",IF(ISNA(Selection!D97),"",Selection!F97))</f>
        <v/>
      </c>
      <c r="C97" s="83" t="str">
        <f ca="1">IF(ISERR(Selection!D97),"",IF(ISNA(Selection!D97),"",Selection!D97))</f>
        <v/>
      </c>
      <c r="D97" s="87" t="str">
        <f ca="1">IF(C97="","",IF(Menus!$K$10="2001 Grossed",VLOOKUP(MAX(Selection!M97:N97),$N$2:$O$4,2),""))</f>
        <v/>
      </c>
    </row>
    <row r="98" spans="1:4" x14ac:dyDescent="0.25">
      <c r="A98" s="96">
        <f t="shared" si="1"/>
        <v>97</v>
      </c>
      <c r="B98" s="1" t="str">
        <f ca="1">IF(ISERR(Selection!D98),"",IF(ISNA(Selection!D98),"",Selection!F98))</f>
        <v/>
      </c>
      <c r="C98" s="83" t="str">
        <f ca="1">IF(ISERR(Selection!D98),"",IF(ISNA(Selection!D98),"",Selection!D98))</f>
        <v/>
      </c>
      <c r="D98" s="87" t="str">
        <f ca="1">IF(C98="","",IF(Menus!$K$10="2001 Grossed",VLOOKUP(MAX(Selection!M98:N98),$N$2:$O$4,2),""))</f>
        <v/>
      </c>
    </row>
    <row r="99" spans="1:4" x14ac:dyDescent="0.25">
      <c r="A99" s="96">
        <f t="shared" si="1"/>
        <v>98</v>
      </c>
      <c r="B99" s="1" t="str">
        <f ca="1">IF(ISERR(Selection!D99),"",IF(ISNA(Selection!D99),"",Selection!F99))</f>
        <v/>
      </c>
      <c r="C99" s="83" t="str">
        <f ca="1">IF(ISERR(Selection!D99),"",IF(ISNA(Selection!D99),"",Selection!D99))</f>
        <v/>
      </c>
      <c r="D99" s="87" t="str">
        <f ca="1">IF(C99="","",IF(Menus!$K$10="2001 Grossed",VLOOKUP(MAX(Selection!M99:N99),$N$2:$O$4,2),""))</f>
        <v/>
      </c>
    </row>
    <row r="100" spans="1:4" x14ac:dyDescent="0.25">
      <c r="A100" s="96">
        <f t="shared" si="1"/>
        <v>99</v>
      </c>
      <c r="B100" s="1" t="str">
        <f ca="1">IF(ISERR(Selection!D100),"",IF(ISNA(Selection!D100),"",Selection!F100))</f>
        <v/>
      </c>
      <c r="C100" s="83" t="str">
        <f ca="1">IF(ISERR(Selection!D100),"",IF(ISNA(Selection!D100),"",Selection!D100))</f>
        <v/>
      </c>
      <c r="D100" s="87" t="str">
        <f ca="1">IF(C100="","",IF(Menus!$K$10="2001 Grossed",VLOOKUP(MAX(Selection!M100:N100),$N$2:$O$4,2),""))</f>
        <v/>
      </c>
    </row>
    <row r="101" spans="1:4" x14ac:dyDescent="0.25">
      <c r="A101" s="96">
        <f t="shared" si="1"/>
        <v>100</v>
      </c>
      <c r="B101" s="1" t="str">
        <f ca="1">IF(ISERR(Selection!D101),"",IF(ISNA(Selection!D101),"",Selection!F101))</f>
        <v/>
      </c>
      <c r="C101" s="83" t="str">
        <f ca="1">IF(ISERR(Selection!D101),"",IF(ISNA(Selection!D101),"",Selection!D101))</f>
        <v/>
      </c>
      <c r="D101" s="87" t="str">
        <f ca="1">IF(C101="","",IF(Menus!$K$10="2001 Grossed",VLOOKUP(MAX(Selection!M101:N101),$N$2:$O$4,2),""))</f>
        <v/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9953" r:id="rId4" name="Button 1">
              <controlPr defaultSize="0" print="0" autoFill="0" autoPict="0" macro="[0]!ShowDialogBox">
                <anchor moveWithCells="1" sizeWithCells="1">
                  <from>
                    <xdr:col>4</xdr:col>
                    <xdr:colOff>247650</xdr:colOff>
                    <xdr:row>0</xdr:row>
                    <xdr:rowOff>114300</xdr:rowOff>
                  </from>
                  <to>
                    <xdr:col>4</xdr:col>
                    <xdr:colOff>1435100</xdr:colOff>
                    <xdr:row>0</xdr:row>
                    <xdr:rowOff>774700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501"/>
  <sheetViews>
    <sheetView topLeftCell="G1" workbookViewId="0">
      <selection activeCell="A2" sqref="A2:IV501"/>
    </sheetView>
  </sheetViews>
  <sheetFormatPr defaultColWidth="11.7265625" defaultRowHeight="12.5" x14ac:dyDescent="0.25"/>
  <cols>
    <col min="1" max="1" width="8.7265625" customWidth="1"/>
    <col min="2" max="2" width="14.54296875" customWidth="1"/>
    <col min="3" max="3" width="12.54296875" customWidth="1"/>
    <col min="4" max="4" width="17" customWidth="1"/>
    <col min="5" max="5" width="16.453125" customWidth="1"/>
    <col min="6" max="6" width="35.7265625" customWidth="1"/>
    <col min="7" max="11" width="8.7265625" customWidth="1"/>
  </cols>
  <sheetData>
    <row r="1" spans="1:17" s="9" customFormat="1" ht="95.25" customHeight="1" thickBot="1" x14ac:dyDescent="0.3">
      <c r="A1" s="9" t="s">
        <v>24</v>
      </c>
      <c r="B1" s="9" t="s">
        <v>20</v>
      </c>
      <c r="C1" s="9" t="s">
        <v>21</v>
      </c>
      <c r="D1" s="79" t="str">
        <f ca="1">IF(Menus!$J$9,OFFSET(INDIRECT(ADDRESS(1,3,3,1,Menus!$K$10)),0,Menus!J$3)&amp;" / "&amp;OFFSET(INDIRECT(ADDRESS(1,3,3,1,Menus!$K$10)),0,Menus!J$4),OFFSET(INDIRECT(ADDRESS(1,3,3,1,Menus!$K$10)),0,Menus!J$3))</f>
        <v>Recurrent Expenditure (Euros) - Staff / Library Staff FTE - Total Staff</v>
      </c>
      <c r="E1" s="81" t="str">
        <f ca="1">OFFSET(INDIRECT(ADDRESS(1,3,3,1,Menus!$K$10)),0,Menus!J$4)</f>
        <v>Library Staff FTE - Total Staff</v>
      </c>
      <c r="F1" s="80" t="s">
        <v>3</v>
      </c>
      <c r="G1" s="8" t="str">
        <f>IF(Menus!$K$5=0,"(blank)",Menus!$K$5)</f>
        <v>EU</v>
      </c>
      <c r="H1" s="8" t="str">
        <f>IF(Menus!$K$6=0,"(blank)",Menus!$K$6)</f>
        <v>EFTA</v>
      </c>
      <c r="I1" s="8" t="str">
        <f>IF(Menus!$K$7=0,"(blank)",Menus!$K$7)</f>
        <v>Belgique-Communauté française</v>
      </c>
      <c r="J1" s="8" t="str">
        <f ca="1">IF(Menus!$K$8=0,"(blank)",Menus!$K$8)</f>
        <v>België Vlaamse Gemeenschap</v>
      </c>
      <c r="K1" s="9">
        <f ca="1">SUM(K2:K501)</f>
        <v>21</v>
      </c>
      <c r="M1" s="9" t="s">
        <v>171</v>
      </c>
      <c r="N1" s="9" t="s">
        <v>172</v>
      </c>
    </row>
    <row r="2" spans="1:17" x14ac:dyDescent="0.25">
      <c r="A2">
        <v>24</v>
      </c>
      <c r="B2" s="2">
        <f ca="1">OFFSET(INDIRECT(ADDRESS($A2,3,3,1,Menus!$K$10)),0,Menus!$J$4)</f>
        <v>23</v>
      </c>
      <c r="C2" s="2">
        <f ca="1">OFFSET(INDIRECT(ADDRESS($A2,3,3,1,Menus!$K$10)),0,Menus!$J$3)</f>
        <v>1117927</v>
      </c>
      <c r="D2" s="73">
        <f ca="1">IF(Menus!$J$9,C2/B2,C2)</f>
        <v>48605.521739130432</v>
      </c>
      <c r="E2" s="74">
        <f t="shared" ref="E2:E33" ca="1" si="0">IF($K2=1,VALUE(B2),#N/A)</f>
        <v>23</v>
      </c>
      <c r="F2" s="75" t="str">
        <f ca="1">INDIRECT(ADDRESS($A2,1,3,1,Menus!$K$10))</f>
        <v>Luxembourg</v>
      </c>
      <c r="G2" s="2">
        <f ca="1">IF(INDIRECT(ADDRESS($A2,2,3,1,Menus!$K$10))=G$1,$D2,#N/A)</f>
        <v>48605.521739130432</v>
      </c>
      <c r="H2" s="2" t="e">
        <f ca="1">IF(INDIRECT(ADDRESS($A2,2,3,1,Menus!$K$10))=H$1,$D2,#N/A)</f>
        <v>#N/A</v>
      </c>
      <c r="I2" s="2" t="e">
        <f ca="1">IF(INDIRECT(ADDRESS($A2,2,3,1,Menus!$K$10))=I$1,$D2,#N/A)</f>
        <v>#N/A</v>
      </c>
      <c r="J2" s="2" t="e">
        <f ca="1">IF(INDIRECT(ADDRESS($A2,1,3,1,Menus!$K$10))=T(J$1),$D2,#N/A)</f>
        <v>#N/A</v>
      </c>
      <c r="K2" s="10">
        <f t="shared" ref="K2:K65" ca="1" si="1">IF(OR(ISNUMBER($G2),ISNUMBER($H2),ISNUMBER($I2),ISNUMBER($J2)),1,0)</f>
        <v>1</v>
      </c>
      <c r="L2" s="2"/>
      <c r="M2" s="85">
        <f ca="1">OFFSET(INDIRECT(ADDRESS($A2,3,3,1,"Gross")),0,Menus!$J$4)</f>
        <v>1</v>
      </c>
      <c r="N2" s="85">
        <f ca="1">OFFSET(INDIRECT(ADDRESS($A2,3,3,1,"Gross")),0,Menus!$J$3)</f>
        <v>1</v>
      </c>
    </row>
    <row r="3" spans="1:17" x14ac:dyDescent="0.25">
      <c r="A3">
        <v>26</v>
      </c>
      <c r="B3" s="2">
        <f ca="1">OFFSET(INDIRECT(ADDRESS($A3,3,3,1,Menus!$K$10)),0,Menus!$J$4)</f>
        <v>1871</v>
      </c>
      <c r="C3" s="2">
        <f ca="1">OFFSET(INDIRECT(ADDRESS($A3,3,3,1,Menus!$K$10)),0,Menus!$J$3)</f>
        <v>76697660</v>
      </c>
      <c r="D3" s="73">
        <f ca="1">IF(Menus!$J$9,C3/B3,C3)</f>
        <v>40992.870122928914</v>
      </c>
      <c r="E3" s="74">
        <f t="shared" ca="1" si="0"/>
        <v>1871</v>
      </c>
      <c r="F3" s="75" t="str">
        <f ca="1">INDIRECT(ADDRESS($A3,1,3,1,Menus!$K$10))</f>
        <v>Norway</v>
      </c>
      <c r="G3" s="2" t="e">
        <f ca="1">IF(INDIRECT(ADDRESS($A3,2,3,1,Menus!$K$10))=G$1,$D3,#N/A)</f>
        <v>#N/A</v>
      </c>
      <c r="H3" s="2">
        <f ca="1">IF(INDIRECT(ADDRESS($A3,2,3,1,Menus!$K$10))=H$1,$D3,#N/A)</f>
        <v>40992.870122928914</v>
      </c>
      <c r="I3" s="2" t="e">
        <f ca="1">IF(INDIRECT(ADDRESS($A3,2,3,1,Menus!$K$10))=I$1,$D3,#N/A)</f>
        <v>#N/A</v>
      </c>
      <c r="J3" s="2" t="e">
        <f ca="1">IF(INDIRECT(ADDRESS($A3,1,3,1,Menus!$K$10))=T(J$1),$D3,#N/A)</f>
        <v>#N/A</v>
      </c>
      <c r="K3" s="10">
        <f t="shared" ca="1" si="1"/>
        <v>1</v>
      </c>
      <c r="L3" s="2"/>
      <c r="M3" s="85">
        <f ca="1">OFFSET(INDIRECT(ADDRESS($A3,3,3,1,"Gross")),0,Menus!$J$4)</f>
        <v>0</v>
      </c>
      <c r="N3" s="85">
        <f ca="1">OFFSET(INDIRECT(ADDRESS($A3,3,3,1,"Gross")),0,Menus!$J$3)</f>
        <v>0</v>
      </c>
    </row>
    <row r="4" spans="1:17" x14ac:dyDescent="0.25">
      <c r="A4">
        <v>16</v>
      </c>
      <c r="B4" s="2">
        <f ca="1">OFFSET(INDIRECT(ADDRESS($A4,3,3,1,Menus!$K$10)),0,Menus!$J$4)</f>
        <v>5078</v>
      </c>
      <c r="C4" s="2">
        <f ca="1">OFFSET(INDIRECT(ADDRESS($A4,3,3,1,Menus!$K$10)),0,Menus!$J$3)</f>
        <v>202488396</v>
      </c>
      <c r="D4" s="73">
        <f ca="1">IF(Menus!$J$9,C4/B4,C4)</f>
        <v>39875.619535250102</v>
      </c>
      <c r="E4" s="74">
        <f t="shared" ca="1" si="0"/>
        <v>5078</v>
      </c>
      <c r="F4" s="75" t="str">
        <f ca="1">INDIRECT(ADDRESS($A4,1,3,1,Menus!$K$10))</f>
        <v>Denmark</v>
      </c>
      <c r="G4" s="2">
        <f ca="1">IF(INDIRECT(ADDRESS($A4,2,3,1,Menus!$K$10))=G$1,$D4,#N/A)</f>
        <v>39875.619535250102</v>
      </c>
      <c r="H4" s="2" t="e">
        <f ca="1">IF(INDIRECT(ADDRESS($A4,2,3,1,Menus!$K$10))=H$1,$D4,#N/A)</f>
        <v>#N/A</v>
      </c>
      <c r="I4" s="2" t="e">
        <f ca="1">IF(INDIRECT(ADDRESS($A4,2,3,1,Menus!$K$10))=I$1,$D4,#N/A)</f>
        <v>#N/A</v>
      </c>
      <c r="J4" s="2" t="e">
        <f ca="1">IF(INDIRECT(ADDRESS($A4,1,3,1,Menus!$K$10))=T(J$1),$D4,#N/A)</f>
        <v>#N/A</v>
      </c>
      <c r="K4" s="10">
        <f t="shared" ca="1" si="1"/>
        <v>1</v>
      </c>
      <c r="L4" s="2"/>
      <c r="M4" s="85">
        <f ca="1">OFFSET(INDIRECT(ADDRESS($A4,3,3,1,"Gross")),0,Menus!$J$4)</f>
        <v>0</v>
      </c>
      <c r="N4" s="85">
        <f ca="1">OFFSET(INDIRECT(ADDRESS($A4,3,3,1,"Gross")),0,Menus!$J$3)</f>
        <v>0</v>
      </c>
      <c r="P4">
        <v>1</v>
      </c>
      <c r="Q4" t="s">
        <v>163</v>
      </c>
    </row>
    <row r="5" spans="1:17" x14ac:dyDescent="0.25">
      <c r="A5">
        <v>30</v>
      </c>
      <c r="B5" s="2">
        <f ca="1">OFFSET(INDIRECT(ADDRESS($A5,3,3,1,Menus!$K$10)),0,Menus!$J$4)</f>
        <v>5317</v>
      </c>
      <c r="C5" s="2">
        <f ca="1">OFFSET(INDIRECT(ADDRESS($A5,3,3,1,Menus!$K$10)),0,Menus!$J$3)</f>
        <v>193332550</v>
      </c>
      <c r="D5" s="73">
        <f ca="1">IF(Menus!$J$9,C5/B5,C5)</f>
        <v>36361.209328568744</v>
      </c>
      <c r="E5" s="74">
        <f t="shared" ca="1" si="0"/>
        <v>5317</v>
      </c>
      <c r="F5" s="75" t="str">
        <f ca="1">INDIRECT(ADDRESS($A5,1,3,1,Menus!$K$10))</f>
        <v>Switzerland</v>
      </c>
      <c r="G5" s="2" t="e">
        <f ca="1">IF(INDIRECT(ADDRESS($A5,2,3,1,Menus!$K$10))=G$1,$D5,#N/A)</f>
        <v>#N/A</v>
      </c>
      <c r="H5" s="2">
        <f ca="1">IF(INDIRECT(ADDRESS($A5,2,3,1,Menus!$K$10))=H$1,$D5,#N/A)</f>
        <v>36361.209328568744</v>
      </c>
      <c r="I5" s="2" t="e">
        <f ca="1">IF(INDIRECT(ADDRESS($A5,2,3,1,Menus!$K$10))=I$1,$D5,#N/A)</f>
        <v>#N/A</v>
      </c>
      <c r="J5" s="2" t="e">
        <f ca="1">IF(INDIRECT(ADDRESS($A5,1,3,1,Menus!$K$10))=T(J$1),$D5,#N/A)</f>
        <v>#N/A</v>
      </c>
      <c r="K5" s="10">
        <f t="shared" ca="1" si="1"/>
        <v>1</v>
      </c>
      <c r="L5" s="2"/>
      <c r="M5" s="85">
        <f ca="1">OFFSET(INDIRECT(ADDRESS($A5,3,3,1,"Gross")),0,Menus!$J$4)</f>
        <v>1</v>
      </c>
      <c r="N5" s="85">
        <f ca="1">OFFSET(INDIRECT(ADDRESS($A5,3,3,1,"Gross")),0,Menus!$J$3)</f>
        <v>2</v>
      </c>
    </row>
    <row r="6" spans="1:17" x14ac:dyDescent="0.25">
      <c r="A6">
        <v>23</v>
      </c>
      <c r="B6" s="2">
        <f ca="1">OFFSET(INDIRECT(ADDRESS($A6,3,3,1,Menus!$K$10)),0,Menus!$J$4)</f>
        <v>5</v>
      </c>
      <c r="C6" s="2">
        <f ca="1">OFFSET(INDIRECT(ADDRESS($A6,3,3,1,Menus!$K$10)),0,Menus!$J$3)</f>
        <v>180779</v>
      </c>
      <c r="D6" s="73">
        <f ca="1">IF(Menus!$J$9,C6/B6,C6)</f>
        <v>36155.800000000003</v>
      </c>
      <c r="E6" s="74">
        <f t="shared" ca="1" si="0"/>
        <v>5</v>
      </c>
      <c r="F6" s="75" t="str">
        <f ca="1">INDIRECT(ADDRESS($A6,1,3,1,Menus!$K$10))</f>
        <v>Liechtenstein</v>
      </c>
      <c r="G6" s="2" t="e">
        <f ca="1">IF(INDIRECT(ADDRESS($A6,2,3,1,Menus!$K$10))=G$1,$D6,#N/A)</f>
        <v>#N/A</v>
      </c>
      <c r="H6" s="2">
        <f ca="1">IF(INDIRECT(ADDRESS($A6,2,3,1,Menus!$K$10))=H$1,$D6,#N/A)</f>
        <v>36155.800000000003</v>
      </c>
      <c r="I6" s="2" t="e">
        <f ca="1">IF(INDIRECT(ADDRESS($A6,2,3,1,Menus!$K$10))=I$1,$D6,#N/A)</f>
        <v>#N/A</v>
      </c>
      <c r="J6" s="2" t="e">
        <f ca="1">IF(INDIRECT(ADDRESS($A6,1,3,1,Menus!$K$10))=T(J$1),$D6,#N/A)</f>
        <v>#N/A</v>
      </c>
      <c r="K6" s="10">
        <f t="shared" ca="1" si="1"/>
        <v>1</v>
      </c>
      <c r="L6" s="2"/>
      <c r="M6" s="85">
        <f ca="1">OFFSET(INDIRECT(ADDRESS($A6,3,3,1,"Gross")),0,Menus!$J$4)</f>
        <v>1</v>
      </c>
      <c r="N6" s="85">
        <f ca="1">OFFSET(INDIRECT(ADDRESS($A6,3,3,1,"Gross")),0,Menus!$J$3)</f>
        <v>2</v>
      </c>
    </row>
    <row r="7" spans="1:17" x14ac:dyDescent="0.25">
      <c r="A7">
        <v>32</v>
      </c>
      <c r="B7" s="2">
        <f ca="1">OFFSET(INDIRECT(ADDRESS($A7,3,3,1,Menus!$K$10)),0,Menus!$J$4)</f>
        <v>13174</v>
      </c>
      <c r="C7" s="2">
        <f ca="1">OFFSET(INDIRECT(ADDRESS($A7,3,3,1,Menus!$K$10)),0,Menus!$J$3)</f>
        <v>472325169</v>
      </c>
      <c r="D7" s="73">
        <f ca="1">IF(Menus!$J$9,C7/B7,C7)</f>
        <v>35852.828981326857</v>
      </c>
      <c r="E7" s="74">
        <f t="shared" ca="1" si="0"/>
        <v>13174</v>
      </c>
      <c r="F7" s="75" t="str">
        <f ca="1">INDIRECT(ADDRESS($A7,1,3,1,Menus!$K$10))</f>
        <v>Germany</v>
      </c>
      <c r="G7" s="2">
        <f ca="1">IF(INDIRECT(ADDRESS($A7,2,3,1,Menus!$K$10))=G$1,$D7,#N/A)</f>
        <v>35852.828981326857</v>
      </c>
      <c r="H7" s="2" t="e">
        <f ca="1">IF(INDIRECT(ADDRESS($A7,2,3,1,Menus!$K$10))=H$1,$D7,#N/A)</f>
        <v>#N/A</v>
      </c>
      <c r="I7" s="2" t="e">
        <f ca="1">IF(INDIRECT(ADDRESS($A7,2,3,1,Menus!$K$10))=I$1,$D7,#N/A)</f>
        <v>#N/A</v>
      </c>
      <c r="J7" s="2" t="e">
        <f ca="1">IF(INDIRECT(ADDRESS($A7,1,3,1,Menus!$K$10))=T(J$1),$D7,#N/A)</f>
        <v>#N/A</v>
      </c>
      <c r="K7" s="10">
        <f t="shared" ca="1" si="1"/>
        <v>1</v>
      </c>
      <c r="L7" s="2"/>
      <c r="M7" s="85">
        <f ca="1">OFFSET(INDIRECT(ADDRESS($A7,3,3,1,"Gross")),0,Menus!$J$4)</f>
        <v>1</v>
      </c>
      <c r="N7" s="85">
        <f ca="1">OFFSET(INDIRECT(ADDRESS($A7,3,3,1,"Gross")),0,Menus!$J$3)</f>
        <v>0</v>
      </c>
    </row>
    <row r="8" spans="1:17" x14ac:dyDescent="0.25">
      <c r="A8">
        <v>14</v>
      </c>
      <c r="B8" s="85">
        <f ca="1">OFFSET(INDIRECT(ADDRESS($A8,3,3,1,Menus!$K$10)),0,Menus!$J$4)</f>
        <v>1001</v>
      </c>
      <c r="C8" s="85">
        <f ca="1">OFFSET(INDIRECT(ADDRESS($A8,3,3,1,Menus!$K$10)),0,Menus!$J$3)</f>
        <v>35790136</v>
      </c>
      <c r="D8" s="73">
        <f ca="1">IF(Menus!$J$9,C8/B8,C8)</f>
        <v>35754.381618381616</v>
      </c>
      <c r="E8" s="74">
        <f t="shared" ca="1" si="0"/>
        <v>1001</v>
      </c>
      <c r="F8" s="75" t="str">
        <f ca="1">INDIRECT(ADDRESS($A8,1,3,1,Menus!$K$10))</f>
        <v>Belgique-Communauté française</v>
      </c>
      <c r="G8" s="2" t="e">
        <f ca="1">IF(INDIRECT(ADDRESS($A8,2,3,1,Menus!$K$10))=G$1,$D8,#N/A)</f>
        <v>#N/A</v>
      </c>
      <c r="H8" s="2" t="e">
        <f ca="1">IF(INDIRECT(ADDRESS($A8,2,3,1,Menus!$K$10))=H$1,$D8,#N/A)</f>
        <v>#N/A</v>
      </c>
      <c r="I8" s="2">
        <f ca="1">IF(INDIRECT(ADDRESS($A8,2,3,1,Menus!$K$10))=I$1,$D8,#N/A)</f>
        <v>35754.381618381616</v>
      </c>
      <c r="J8" s="2" t="e">
        <f ca="1">IF(INDIRECT(ADDRESS($A8,1,3,1,Menus!$K$10))=T(J$1),$D8,#N/A)</f>
        <v>#N/A</v>
      </c>
      <c r="K8" s="10">
        <f t="shared" ca="1" si="1"/>
        <v>1</v>
      </c>
      <c r="L8" s="2"/>
      <c r="M8" s="85">
        <f ca="1">OFFSET(INDIRECT(ADDRESS($A8,3,3,1,"Gross")),0,Menus!$J$4)</f>
        <v>0</v>
      </c>
      <c r="N8" s="85">
        <f ca="1">OFFSET(INDIRECT(ADDRESS($A8,3,3,1,"Gross")),0,Menus!$J$3)</f>
        <v>0</v>
      </c>
      <c r="P8">
        <v>0</v>
      </c>
      <c r="Q8" t="s">
        <v>170</v>
      </c>
    </row>
    <row r="9" spans="1:17" x14ac:dyDescent="0.25">
      <c r="A9">
        <v>29</v>
      </c>
      <c r="B9" s="2">
        <f ca="1">OFFSET(INDIRECT(ADDRESS($A9,3,3,1,Menus!$K$10)),0,Menus!$J$4)</f>
        <v>4891</v>
      </c>
      <c r="C9" s="2">
        <f ca="1">OFFSET(INDIRECT(ADDRESS($A9,3,3,1,Menus!$K$10)),0,Menus!$J$3)</f>
        <v>169515820</v>
      </c>
      <c r="D9" s="73">
        <f ca="1">IF(Menus!$J$9,C9/B9,C9)</f>
        <v>34658.724187282765</v>
      </c>
      <c r="E9" s="74">
        <f t="shared" ca="1" si="0"/>
        <v>4891</v>
      </c>
      <c r="F9" s="75" t="str">
        <f ca="1">INDIRECT(ADDRESS($A9,1,3,1,Menus!$K$10))</f>
        <v>Sweden</v>
      </c>
      <c r="G9" s="2">
        <f ca="1">IF(INDIRECT(ADDRESS($A9,2,3,1,Menus!$K$10))=G$1,$D9,#N/A)</f>
        <v>34658.724187282765</v>
      </c>
      <c r="H9" s="2" t="e">
        <f ca="1">IF(INDIRECT(ADDRESS($A9,2,3,1,Menus!$K$10))=H$1,$D9,#N/A)</f>
        <v>#N/A</v>
      </c>
      <c r="I9" s="2" t="e">
        <f ca="1">IF(INDIRECT(ADDRESS($A9,2,3,1,Menus!$K$10))=I$1,$D9,#N/A)</f>
        <v>#N/A</v>
      </c>
      <c r="J9" s="2" t="e">
        <f ca="1">IF(INDIRECT(ADDRESS($A9,1,3,1,Menus!$K$10))=T(J$1),$D9,#N/A)</f>
        <v>#N/A</v>
      </c>
      <c r="K9" s="10">
        <f t="shared" ca="1" si="1"/>
        <v>1</v>
      </c>
      <c r="L9" s="2"/>
      <c r="M9" s="85">
        <f ca="1">OFFSET(INDIRECT(ADDRESS($A9,3,3,1,"Gross")),0,Menus!$J$4)</f>
        <v>1</v>
      </c>
      <c r="N9" s="85">
        <f ca="1">OFFSET(INDIRECT(ADDRESS($A9,3,3,1,"Gross")),0,Menus!$J$3)</f>
        <v>1</v>
      </c>
    </row>
    <row r="10" spans="1:17" x14ac:dyDescent="0.25">
      <c r="A10">
        <v>15</v>
      </c>
      <c r="B10" s="2">
        <f ca="1">OFFSET(INDIRECT(ADDRESS($A10,3,3,1,Menus!$K$10)),0,Menus!$J$4)</f>
        <v>3702</v>
      </c>
      <c r="C10" s="2">
        <f ca="1">OFFSET(INDIRECT(ADDRESS($A10,3,3,1,Menus!$K$10)),0,Menus!$J$3)</f>
        <v>128150950</v>
      </c>
      <c r="D10" s="73">
        <f ca="1">IF(Menus!$J$9,C10/B10,C10)</f>
        <v>34616.680172879525</v>
      </c>
      <c r="E10" s="74">
        <f t="shared" ca="1" si="0"/>
        <v>3702</v>
      </c>
      <c r="F10" s="75" t="str">
        <f ca="1">INDIRECT(ADDRESS($A10,1,3,1,Menus!$K$10))</f>
        <v>Belgium</v>
      </c>
      <c r="G10" s="2">
        <f ca="1">IF(INDIRECT(ADDRESS($A10,2,3,1,Menus!$K$10))=G$1,$D10,#N/A)</f>
        <v>34616.680172879525</v>
      </c>
      <c r="H10" s="2" t="e">
        <f ca="1">IF(INDIRECT(ADDRESS($A10,2,3,1,Menus!$K$10))=H$1,$D10,#N/A)</f>
        <v>#N/A</v>
      </c>
      <c r="I10" s="2" t="e">
        <f ca="1">IF(INDIRECT(ADDRESS($A10,2,3,1,Menus!$K$10))=I$1,$D10,#N/A)</f>
        <v>#N/A</v>
      </c>
      <c r="J10" s="2" t="e">
        <f ca="1">IF(INDIRECT(ADDRESS($A10,1,3,1,Menus!$K$10))=T(J$1),$D10,#N/A)</f>
        <v>#N/A</v>
      </c>
      <c r="K10" s="10">
        <f t="shared" ca="1" si="1"/>
        <v>1</v>
      </c>
      <c r="L10" s="2"/>
      <c r="M10" s="85">
        <f ca="1">OFFSET(INDIRECT(ADDRESS($A10,3,3,1,"Gross")),0,Menus!$J$4)</f>
        <v>0</v>
      </c>
      <c r="N10" s="85">
        <f ca="1">OFFSET(INDIRECT(ADDRESS($A10,3,3,1,"Gross")),0,Menus!$J$3)</f>
        <v>0</v>
      </c>
    </row>
    <row r="11" spans="1:17" x14ac:dyDescent="0.25">
      <c r="A11">
        <v>13</v>
      </c>
      <c r="B11" s="2">
        <f ca="1">OFFSET(INDIRECT(ADDRESS($A11,3,3,1,Menus!$K$10)),0,Menus!$J$4)</f>
        <v>2701</v>
      </c>
      <c r="C11" s="2">
        <f ca="1">OFFSET(INDIRECT(ADDRESS($A11,3,3,1,Menus!$K$10)),0,Menus!$J$3)</f>
        <v>92360814</v>
      </c>
      <c r="D11" s="73">
        <f ca="1">IF(Menus!$J$9,C11/B11,C11)</f>
        <v>34195.044057756386</v>
      </c>
      <c r="E11" s="74">
        <f t="shared" ca="1" si="0"/>
        <v>2701</v>
      </c>
      <c r="F11" s="75" t="str">
        <f ca="1">INDIRECT(ADDRESS($A11,1,3,1,Menus!$K$10))</f>
        <v>België Vlaamse Gemeenschap</v>
      </c>
      <c r="G11" s="2" t="e">
        <f ca="1">IF(INDIRECT(ADDRESS($A11,2,3,1,Menus!$K$10))=G$1,$D11,#N/A)</f>
        <v>#N/A</v>
      </c>
      <c r="H11" s="2" t="e">
        <f ca="1">IF(INDIRECT(ADDRESS($A11,2,3,1,Menus!$K$10))=H$1,$D11,#N/A)</f>
        <v>#N/A</v>
      </c>
      <c r="I11" s="2" t="e">
        <f ca="1">IF(INDIRECT(ADDRESS($A11,2,3,1,Menus!$K$10))=I$1,$D11,#N/A)</f>
        <v>#N/A</v>
      </c>
      <c r="J11" s="2">
        <f ca="1">IF(INDIRECT(ADDRESS($A11,1,3,1,Menus!$K$10))=T(J$1),$D11,#N/A)</f>
        <v>34195.044057756386</v>
      </c>
      <c r="K11" s="10">
        <f t="shared" ca="1" si="1"/>
        <v>1</v>
      </c>
      <c r="L11" s="2"/>
      <c r="M11" s="85">
        <f ca="1">OFFSET(INDIRECT(ADDRESS($A11,3,3,1,"Gross")),0,Menus!$J$4)</f>
        <v>0</v>
      </c>
      <c r="N11" s="85">
        <f ca="1">OFFSET(INDIRECT(ADDRESS($A11,3,3,1,"Gross")),0,Menus!$J$3)</f>
        <v>0</v>
      </c>
    </row>
    <row r="12" spans="1:17" x14ac:dyDescent="0.25">
      <c r="A12">
        <v>18</v>
      </c>
      <c r="B12" s="2">
        <f ca="1">OFFSET(INDIRECT(ADDRESS($A12,3,3,1,Menus!$K$10)),0,Menus!$J$4)</f>
        <v>4155</v>
      </c>
      <c r="C12" s="2">
        <f ca="1">OFFSET(INDIRECT(ADDRESS($A12,3,3,1,Menus!$K$10)),0,Menus!$J$3)</f>
        <v>133788467</v>
      </c>
      <c r="D12" s="73">
        <f ca="1">IF(Menus!$J$9,C12/B12,C12)</f>
        <v>32199.390373044524</v>
      </c>
      <c r="E12" s="74">
        <f t="shared" ca="1" si="0"/>
        <v>4155</v>
      </c>
      <c r="F12" s="75" t="str">
        <f ca="1">INDIRECT(ADDRESS($A12,1,3,1,Menus!$K$10))</f>
        <v>Finland</v>
      </c>
      <c r="G12" s="2">
        <f ca="1">IF(INDIRECT(ADDRESS($A12,2,3,1,Menus!$K$10))=G$1,$D12,#N/A)</f>
        <v>32199.390373044524</v>
      </c>
      <c r="H12" s="2" t="e">
        <f ca="1">IF(INDIRECT(ADDRESS($A12,2,3,1,Menus!$K$10))=H$1,$D12,#N/A)</f>
        <v>#N/A</v>
      </c>
      <c r="I12" s="2" t="e">
        <f ca="1">IF(INDIRECT(ADDRESS($A12,2,3,1,Menus!$K$10))=I$1,$D12,#N/A)</f>
        <v>#N/A</v>
      </c>
      <c r="J12" s="2" t="e">
        <f ca="1">IF(INDIRECT(ADDRESS($A12,1,3,1,Menus!$K$10))=T(J$1),$D12,#N/A)</f>
        <v>#N/A</v>
      </c>
      <c r="K12" s="10">
        <f t="shared" ca="1" si="1"/>
        <v>1</v>
      </c>
      <c r="L12" s="2"/>
      <c r="M12" s="85">
        <f ca="1">OFFSET(INDIRECT(ADDRESS($A12,3,3,1,"Gross")),0,Menus!$J$4)</f>
        <v>1</v>
      </c>
      <c r="N12" s="85">
        <f ca="1">OFFSET(INDIRECT(ADDRESS($A12,3,3,1,"Gross")),0,Menus!$J$3)</f>
        <v>1</v>
      </c>
    </row>
    <row r="13" spans="1:17" x14ac:dyDescent="0.25">
      <c r="A13">
        <v>31</v>
      </c>
      <c r="B13" s="2">
        <f ca="1">OFFSET(INDIRECT(ADDRESS($A13,3,3,1,Menus!$K$10)),0,Menus!$J$4)</f>
        <v>25800</v>
      </c>
      <c r="C13" s="2">
        <f ca="1">OFFSET(INDIRECT(ADDRESS($A13,3,3,1,Menus!$K$10)),0,Menus!$J$3)</f>
        <v>826620033</v>
      </c>
      <c r="D13" s="73">
        <f ca="1">IF(Menus!$J$9,C13/B13,C13)</f>
        <v>32039.536162790697</v>
      </c>
      <c r="E13" s="74">
        <f t="shared" ca="1" si="0"/>
        <v>25800</v>
      </c>
      <c r="F13" s="75" t="str">
        <f ca="1">INDIRECT(ADDRESS($A13,1,3,1,Menus!$K$10))</f>
        <v>UK</v>
      </c>
      <c r="G13" s="2">
        <f ca="1">IF(INDIRECT(ADDRESS($A13,2,3,1,Menus!$K$10))=G$1,$D13,#N/A)</f>
        <v>32039.536162790697</v>
      </c>
      <c r="H13" s="2" t="e">
        <f ca="1">IF(INDIRECT(ADDRESS($A13,2,3,1,Menus!$K$10))=H$1,$D13,#N/A)</f>
        <v>#N/A</v>
      </c>
      <c r="I13" s="2" t="e">
        <f ca="1">IF(INDIRECT(ADDRESS($A13,2,3,1,Menus!$K$10))=I$1,$D13,#N/A)</f>
        <v>#N/A</v>
      </c>
      <c r="J13" s="2" t="e">
        <f ca="1">IF(INDIRECT(ADDRESS($A13,1,3,1,Menus!$K$10))=T(J$1),$D13,#N/A)</f>
        <v>#N/A</v>
      </c>
      <c r="K13" s="10">
        <f t="shared" ca="1" si="1"/>
        <v>1</v>
      </c>
      <c r="L13" s="2"/>
      <c r="M13" s="85">
        <f ca="1">OFFSET(INDIRECT(ADDRESS($A13,3,3,1,"Gross")),0,Menus!$J$4)</f>
        <v>0</v>
      </c>
      <c r="N13" s="85">
        <f ca="1">OFFSET(INDIRECT(ADDRESS($A13,3,3,1,"Gross")),0,Menus!$J$3)</f>
        <v>0</v>
      </c>
    </row>
    <row r="14" spans="1:17" x14ac:dyDescent="0.25">
      <c r="A14">
        <v>19</v>
      </c>
      <c r="B14" s="2">
        <f ca="1">OFFSET(INDIRECT(ADDRESS($A14,3,3,1,Menus!$K$10)),0,Menus!$J$4)</f>
        <v>21529</v>
      </c>
      <c r="C14" s="2">
        <f ca="1">OFFSET(INDIRECT(ADDRESS($A14,3,3,1,Menus!$K$10)),0,Menus!$J$3)</f>
        <v>685948897</v>
      </c>
      <c r="D14" s="73">
        <f ca="1">IF(Menus!$J$9,C14/B14,C14)</f>
        <v>31861.623716847043</v>
      </c>
      <c r="E14" s="74">
        <f t="shared" ca="1" si="0"/>
        <v>21529</v>
      </c>
      <c r="F14" s="75" t="str">
        <f ca="1">INDIRECT(ADDRESS($A14,1,3,1,Menus!$K$10))</f>
        <v>France</v>
      </c>
      <c r="G14" s="2">
        <f ca="1">IF(INDIRECT(ADDRESS($A14,2,3,1,Menus!$K$10))=G$1,$D14,#N/A)</f>
        <v>31861.623716847043</v>
      </c>
      <c r="H14" s="2" t="e">
        <f ca="1">IF(INDIRECT(ADDRESS($A14,2,3,1,Menus!$K$10))=H$1,$D14,#N/A)</f>
        <v>#N/A</v>
      </c>
      <c r="I14" s="2" t="e">
        <f ca="1">IF(INDIRECT(ADDRESS($A14,2,3,1,Menus!$K$10))=I$1,$D14,#N/A)</f>
        <v>#N/A</v>
      </c>
      <c r="J14" s="2" t="e">
        <f ca="1">IF(INDIRECT(ADDRESS($A14,1,3,1,Menus!$K$10))=T(J$1),$D14,#N/A)</f>
        <v>#N/A</v>
      </c>
      <c r="K14" s="10">
        <f t="shared" ca="1" si="1"/>
        <v>1</v>
      </c>
      <c r="L14" s="2"/>
      <c r="M14" s="85">
        <f ca="1">OFFSET(INDIRECT(ADDRESS($A14,3,3,1,"Gross")),0,Menus!$J$4)</f>
        <v>1</v>
      </c>
      <c r="N14" s="85">
        <f ca="1">OFFSET(INDIRECT(ADDRESS($A14,3,3,1,"Gross")),0,Menus!$J$3)</f>
        <v>1</v>
      </c>
    </row>
    <row r="15" spans="1:17" x14ac:dyDescent="0.25">
      <c r="A15">
        <v>25</v>
      </c>
      <c r="B15" s="2">
        <f ca="1">OFFSET(INDIRECT(ADDRESS($A15,3,3,1,Menus!$K$10)),0,Menus!$J$4)</f>
        <v>8408</v>
      </c>
      <c r="C15" s="2">
        <f ca="1">OFFSET(INDIRECT(ADDRESS($A15,3,3,1,Menus!$K$10)),0,Menus!$J$3)</f>
        <v>264286000</v>
      </c>
      <c r="D15" s="73">
        <f ca="1">IF(Menus!$J$9,C15/B15,C15)</f>
        <v>31432.683158896289</v>
      </c>
      <c r="E15" s="74">
        <f t="shared" ca="1" si="0"/>
        <v>8408</v>
      </c>
      <c r="F15" s="75" t="str">
        <f ca="1">INDIRECT(ADDRESS($A15,1,3,1,Menus!$K$10))</f>
        <v>Netherlands</v>
      </c>
      <c r="G15" s="2">
        <f ca="1">IF(INDIRECT(ADDRESS($A15,2,3,1,Menus!$K$10))=G$1,$D15,#N/A)</f>
        <v>31432.683158896289</v>
      </c>
      <c r="H15" s="2" t="e">
        <f ca="1">IF(INDIRECT(ADDRESS($A15,2,3,1,Menus!$K$10))=H$1,$D15,#N/A)</f>
        <v>#N/A</v>
      </c>
      <c r="I15" s="2" t="e">
        <f ca="1">IF(INDIRECT(ADDRESS($A15,2,3,1,Menus!$K$10))=I$1,$D15,#N/A)</f>
        <v>#N/A</v>
      </c>
      <c r="J15" s="2" t="e">
        <f ca="1">IF(INDIRECT(ADDRESS($A15,1,3,1,Menus!$K$10))=T(J$1),$D15,#N/A)</f>
        <v>#N/A</v>
      </c>
      <c r="K15" s="10">
        <f t="shared" ca="1" si="1"/>
        <v>1</v>
      </c>
      <c r="L15" s="2"/>
      <c r="M15" s="85">
        <f ca="1">OFFSET(INDIRECT(ADDRESS($A15,3,3,1,"Gross")),0,Menus!$J$4)</f>
        <v>1</v>
      </c>
      <c r="N15" s="85">
        <f ca="1">OFFSET(INDIRECT(ADDRESS($A15,3,3,1,"Gross")),0,Menus!$J$3)</f>
        <v>0</v>
      </c>
    </row>
    <row r="16" spans="1:17" x14ac:dyDescent="0.25">
      <c r="A16">
        <v>12</v>
      </c>
      <c r="B16" s="2">
        <f ca="1">OFFSET(INDIRECT(ADDRESS($A16,3,3,1,Menus!$K$10)),0,Menus!$J$4)</f>
        <v>1199</v>
      </c>
      <c r="C16" s="2">
        <f ca="1">OFFSET(INDIRECT(ADDRESS($A16,3,3,1,Menus!$K$10)),0,Menus!$J$3)</f>
        <v>33403971</v>
      </c>
      <c r="D16" s="73">
        <f ca="1">IF(Menus!$J$9,C16/B16,C16)</f>
        <v>27859.859049207673</v>
      </c>
      <c r="E16" s="74">
        <f t="shared" ca="1" si="0"/>
        <v>1199</v>
      </c>
      <c r="F16" s="75" t="str">
        <f ca="1">INDIRECT(ADDRESS($A16,1,3,1,Menus!$K$10))</f>
        <v>Austria</v>
      </c>
      <c r="G16" s="2">
        <f ca="1">IF(INDIRECT(ADDRESS($A16,2,3,1,Menus!$K$10))=G$1,$D16,#N/A)</f>
        <v>27859.859049207673</v>
      </c>
      <c r="H16" s="2" t="e">
        <f ca="1">IF(INDIRECT(ADDRESS($A16,2,3,1,Menus!$K$10))=H$1,$D16,#N/A)</f>
        <v>#N/A</v>
      </c>
      <c r="I16" s="2" t="e">
        <f ca="1">IF(INDIRECT(ADDRESS($A16,2,3,1,Menus!$K$10))=I$1,$D16,#N/A)</f>
        <v>#N/A</v>
      </c>
      <c r="J16" s="2" t="e">
        <f ca="1">IF(INDIRECT(ADDRESS($A16,1,3,1,Menus!$K$10))=T(J$1),$D16,#N/A)</f>
        <v>#N/A</v>
      </c>
      <c r="K16" s="10">
        <f t="shared" ca="1" si="1"/>
        <v>1</v>
      </c>
      <c r="L16" s="2"/>
      <c r="M16" s="85">
        <f ca="1">OFFSET(INDIRECT(ADDRESS($A16,3,3,1,"Gross")),0,Menus!$J$4)</f>
        <v>1</v>
      </c>
      <c r="N16" s="85">
        <f ca="1">OFFSET(INDIRECT(ADDRESS($A16,3,3,1,"Gross")),0,Menus!$J$3)</f>
        <v>1</v>
      </c>
    </row>
    <row r="17" spans="1:17" x14ac:dyDescent="0.25">
      <c r="A17">
        <v>22</v>
      </c>
      <c r="B17" s="2">
        <f ca="1">OFFSET(INDIRECT(ADDRESS($A17,3,3,1,Menus!$K$10)),0,Menus!$J$4)</f>
        <v>23840</v>
      </c>
      <c r="C17" s="2">
        <f ca="1">OFFSET(INDIRECT(ADDRESS($A17,3,3,1,Menus!$K$10)),0,Menus!$J$3)</f>
        <v>615149945</v>
      </c>
      <c r="D17" s="73">
        <f ca="1">IF(Menus!$J$9,C17/B17,C17)</f>
        <v>25803.269505033557</v>
      </c>
      <c r="E17" s="74">
        <f t="shared" ca="1" si="0"/>
        <v>23840</v>
      </c>
      <c r="F17" s="75" t="str">
        <f ca="1">INDIRECT(ADDRESS($A17,1,3,1,Menus!$K$10))</f>
        <v>Italy</v>
      </c>
      <c r="G17" s="2">
        <f ca="1">IF(INDIRECT(ADDRESS($A17,2,3,1,Menus!$K$10))=G$1,$D17,#N/A)</f>
        <v>25803.269505033557</v>
      </c>
      <c r="H17" s="2" t="e">
        <f ca="1">IF(INDIRECT(ADDRESS($A17,2,3,1,Menus!$K$10))=H$1,$D17,#N/A)</f>
        <v>#N/A</v>
      </c>
      <c r="I17" s="2" t="e">
        <f ca="1">IF(INDIRECT(ADDRESS($A17,2,3,1,Menus!$K$10))=I$1,$D17,#N/A)</f>
        <v>#N/A</v>
      </c>
      <c r="J17" s="2" t="e">
        <f ca="1">IF(INDIRECT(ADDRESS($A17,1,3,1,Menus!$K$10))=T(J$1),$D17,#N/A)</f>
        <v>#N/A</v>
      </c>
      <c r="K17" s="10">
        <f t="shared" ca="1" si="1"/>
        <v>1</v>
      </c>
      <c r="L17" s="2"/>
      <c r="M17" s="85">
        <f ca="1">OFFSET(INDIRECT(ADDRESS($A17,3,3,1,"Gross")),0,Menus!$J$4)</f>
        <v>1</v>
      </c>
      <c r="N17" s="85">
        <f ca="1">OFFSET(INDIRECT(ADDRESS($A17,3,3,1,"Gross")),0,Menus!$J$3)</f>
        <v>2</v>
      </c>
    </row>
    <row r="18" spans="1:17" x14ac:dyDescent="0.25">
      <c r="A18">
        <v>17</v>
      </c>
      <c r="B18" s="2">
        <f ca="1">OFFSET(INDIRECT(ADDRESS($A18,3,3,1,Menus!$K$10)),0,Menus!$J$4)</f>
        <v>1400</v>
      </c>
      <c r="C18" s="2">
        <f ca="1">OFFSET(INDIRECT(ADDRESS($A18,3,3,1,Menus!$K$10)),0,Menus!$J$3)</f>
        <v>34418420</v>
      </c>
      <c r="D18" s="73">
        <f ca="1">IF(Menus!$J$9,C18/B18,C18)</f>
        <v>24584.585714285713</v>
      </c>
      <c r="E18" s="74">
        <f t="shared" ca="1" si="0"/>
        <v>1400</v>
      </c>
      <c r="F18" s="75" t="str">
        <f ca="1">INDIRECT(ADDRESS($A18,1,3,1,Menus!$K$10))</f>
        <v>Ireland</v>
      </c>
      <c r="G18" s="2">
        <f ca="1">IF(INDIRECT(ADDRESS($A18,2,3,1,Menus!$K$10))=G$1,$D18,#N/A)</f>
        <v>24584.585714285713</v>
      </c>
      <c r="H18" s="2" t="e">
        <f ca="1">IF(INDIRECT(ADDRESS($A18,2,3,1,Menus!$K$10))=H$1,$D18,#N/A)</f>
        <v>#N/A</v>
      </c>
      <c r="I18" s="2" t="e">
        <f ca="1">IF(INDIRECT(ADDRESS($A18,2,3,1,Menus!$K$10))=I$1,$D18,#N/A)</f>
        <v>#N/A</v>
      </c>
      <c r="J18" s="2" t="e">
        <f ca="1">IF(INDIRECT(ADDRESS($A18,1,3,1,Menus!$K$10))=T(J$1),$D18,#N/A)</f>
        <v>#N/A</v>
      </c>
      <c r="K18" s="10">
        <f t="shared" ca="1" si="1"/>
        <v>1</v>
      </c>
      <c r="L18" s="2"/>
      <c r="M18" s="85">
        <f ca="1">OFFSET(INDIRECT(ADDRESS($A18,3,3,1,"Gross")),0,Menus!$J$4)</f>
        <v>1</v>
      </c>
      <c r="N18" s="85">
        <f ca="1">OFFSET(INDIRECT(ADDRESS($A18,3,3,1,"Gross")),0,Menus!$J$3)</f>
        <v>1</v>
      </c>
    </row>
    <row r="19" spans="1:17" x14ac:dyDescent="0.25">
      <c r="A19">
        <v>20</v>
      </c>
      <c r="B19" s="2">
        <f ca="1">OFFSET(INDIRECT(ADDRESS($A19,3,3,1,Menus!$K$10)),0,Menus!$J$4)</f>
        <v>1834</v>
      </c>
      <c r="C19" s="2">
        <f ca="1">OFFSET(INDIRECT(ADDRESS($A19,3,3,1,Menus!$K$10)),0,Menus!$J$3)</f>
        <v>42171895</v>
      </c>
      <c r="D19" s="73">
        <f ca="1">IF(Menus!$J$9,C19/B19,C19)</f>
        <v>22994.490185387131</v>
      </c>
      <c r="E19" s="74">
        <f t="shared" ca="1" si="0"/>
        <v>1834</v>
      </c>
      <c r="F19" s="75" t="str">
        <f ca="1">INDIRECT(ADDRESS($A19,1,3,1,Menus!$K$10))</f>
        <v>Greece</v>
      </c>
      <c r="G19" s="2">
        <f ca="1">IF(INDIRECT(ADDRESS($A19,2,3,1,Menus!$K$10))=G$1,$D19,#N/A)</f>
        <v>22994.490185387131</v>
      </c>
      <c r="H19" s="2" t="e">
        <f ca="1">IF(INDIRECT(ADDRESS($A19,2,3,1,Menus!$K$10))=H$1,$D19,#N/A)</f>
        <v>#N/A</v>
      </c>
      <c r="I19" s="2" t="e">
        <f ca="1">IF(INDIRECT(ADDRESS($A19,2,3,1,Menus!$K$10))=I$1,$D19,#N/A)</f>
        <v>#N/A</v>
      </c>
      <c r="J19" s="2" t="e">
        <f ca="1">IF(INDIRECT(ADDRESS($A19,1,3,1,Menus!$K$10))=T(J$1),$D19,#N/A)</f>
        <v>#N/A</v>
      </c>
      <c r="K19" s="10">
        <f t="shared" ca="1" si="1"/>
        <v>1</v>
      </c>
      <c r="L19" s="2"/>
      <c r="M19" s="85">
        <f ca="1">OFFSET(INDIRECT(ADDRESS($A19,3,3,1,"Gross")),0,Menus!$J$4)</f>
        <v>1</v>
      </c>
      <c r="N19" s="85">
        <f ca="1">OFFSET(INDIRECT(ADDRESS($A19,3,3,1,"Gross")),0,Menus!$J$3)</f>
        <v>1</v>
      </c>
    </row>
    <row r="20" spans="1:17" x14ac:dyDescent="0.25">
      <c r="A20">
        <v>28</v>
      </c>
      <c r="B20" s="2">
        <f ca="1">OFFSET(INDIRECT(ADDRESS($A20,3,3,1,Menus!$K$10)),0,Menus!$J$4)</f>
        <v>6608</v>
      </c>
      <c r="C20" s="2">
        <f ca="1">OFFSET(INDIRECT(ADDRESS($A20,3,3,1,Menus!$K$10)),0,Menus!$J$3)</f>
        <v>132172221</v>
      </c>
      <c r="D20" s="73">
        <f ca="1">IF(Menus!$J$9,C20/B20,C20)</f>
        <v>20001.849424939468</v>
      </c>
      <c r="E20" s="74">
        <f t="shared" ca="1" si="0"/>
        <v>6608</v>
      </c>
      <c r="F20" s="75" t="str">
        <f ca="1">INDIRECT(ADDRESS($A20,1,3,1,Menus!$K$10))</f>
        <v>Spain</v>
      </c>
      <c r="G20" s="2">
        <f ca="1">IF(INDIRECT(ADDRESS($A20,2,3,1,Menus!$K$10))=G$1,$D20,#N/A)</f>
        <v>20001.849424939468</v>
      </c>
      <c r="H20" s="2" t="e">
        <f ca="1">IF(INDIRECT(ADDRESS($A20,2,3,1,Menus!$K$10))=H$1,$D20,#N/A)</f>
        <v>#N/A</v>
      </c>
      <c r="I20" s="2" t="e">
        <f ca="1">IF(INDIRECT(ADDRESS($A20,2,3,1,Menus!$K$10))=I$1,$D20,#N/A)</f>
        <v>#N/A</v>
      </c>
      <c r="J20" s="2" t="e">
        <f ca="1">IF(INDIRECT(ADDRESS($A20,1,3,1,Menus!$K$10))=T(J$1),$D20,#N/A)</f>
        <v>#N/A</v>
      </c>
      <c r="K20" s="10">
        <f t="shared" ca="1" si="1"/>
        <v>1</v>
      </c>
      <c r="L20" s="2"/>
      <c r="M20" s="85">
        <f ca="1">OFFSET(INDIRECT(ADDRESS($A20,3,3,1,"Gross")),0,Menus!$J$4)</f>
        <v>1</v>
      </c>
      <c r="N20" s="85">
        <f ca="1">OFFSET(INDIRECT(ADDRESS($A20,3,3,1,"Gross")),0,Menus!$J$3)</f>
        <v>1</v>
      </c>
    </row>
    <row r="21" spans="1:17" x14ac:dyDescent="0.25">
      <c r="A21">
        <v>21</v>
      </c>
      <c r="B21" s="2">
        <f ca="1">OFFSET(INDIRECT(ADDRESS($A21,3,3,1,Menus!$K$10)),0,Menus!$J$4)</f>
        <v>300</v>
      </c>
      <c r="C21" s="2">
        <f ca="1">OFFSET(INDIRECT(ADDRESS($A21,3,3,1,Menus!$K$10)),0,Menus!$J$3)</f>
        <v>5076717</v>
      </c>
      <c r="D21" s="73">
        <f ca="1">IF(Menus!$J$9,C21/B21,C21)</f>
        <v>16922.39</v>
      </c>
      <c r="E21" s="74">
        <f t="shared" ca="1" si="0"/>
        <v>300</v>
      </c>
      <c r="F21" s="75" t="str">
        <f ca="1">INDIRECT(ADDRESS($A21,1,3,1,Menus!$K$10))</f>
        <v>Iceland</v>
      </c>
      <c r="G21" s="2" t="e">
        <f ca="1">IF(INDIRECT(ADDRESS($A21,2,3,1,Menus!$K$10))=G$1,$D21,#N/A)</f>
        <v>#N/A</v>
      </c>
      <c r="H21" s="2">
        <f ca="1">IF(INDIRECT(ADDRESS($A21,2,3,1,Menus!$K$10))=H$1,$D21,#N/A)</f>
        <v>16922.39</v>
      </c>
      <c r="I21" s="2" t="e">
        <f ca="1">IF(INDIRECT(ADDRESS($A21,2,3,1,Menus!$K$10))=I$1,$D21,#N/A)</f>
        <v>#N/A</v>
      </c>
      <c r="J21" s="2" t="e">
        <f ca="1">IF(INDIRECT(ADDRESS($A21,1,3,1,Menus!$K$10))=T(J$1),$D21,#N/A)</f>
        <v>#N/A</v>
      </c>
      <c r="K21" s="10">
        <f t="shared" ca="1" si="1"/>
        <v>1</v>
      </c>
      <c r="L21" s="2"/>
      <c r="M21" s="85">
        <f ca="1">OFFSET(INDIRECT(ADDRESS($A21,3,3,1,"Gross")),0,Menus!$J$4)</f>
        <v>1</v>
      </c>
      <c r="N21" s="85">
        <f ca="1">OFFSET(INDIRECT(ADDRESS($A21,3,3,1,"Gross")),0,Menus!$J$3)</f>
        <v>1</v>
      </c>
    </row>
    <row r="22" spans="1:17" x14ac:dyDescent="0.25">
      <c r="A22">
        <v>27</v>
      </c>
      <c r="B22" s="2">
        <f ca="1">OFFSET(INDIRECT(ADDRESS($A22,3,3,1,Menus!$K$10)),0,Menus!$J$4)</f>
        <v>1323</v>
      </c>
      <c r="C22" s="2">
        <f ca="1">OFFSET(INDIRECT(ADDRESS($A22,3,3,1,Menus!$K$10)),0,Menus!$J$3)</f>
        <v>13100349</v>
      </c>
      <c r="D22" s="73">
        <f ca="1">IF(Menus!$J$9,C22/B22,C22)</f>
        <v>9902.0022675736964</v>
      </c>
      <c r="E22" s="74">
        <f t="shared" ca="1" si="0"/>
        <v>1323</v>
      </c>
      <c r="F22" s="75" t="str">
        <f ca="1">INDIRECT(ADDRESS($A22,1,3,1,Menus!$K$10))</f>
        <v>Portugal</v>
      </c>
      <c r="G22" s="2">
        <f ca="1">IF(INDIRECT(ADDRESS($A22,2,3,1,Menus!$K$10))=G$1,$D22,#N/A)</f>
        <v>9902.0022675736964</v>
      </c>
      <c r="H22" s="2" t="e">
        <f ca="1">IF(INDIRECT(ADDRESS($A22,2,3,1,Menus!$K$10))=H$1,$D22,#N/A)</f>
        <v>#N/A</v>
      </c>
      <c r="I22" s="2" t="e">
        <f ca="1">IF(INDIRECT(ADDRESS($A22,2,3,1,Menus!$K$10))=I$1,$D22,#N/A)</f>
        <v>#N/A</v>
      </c>
      <c r="J22" s="2" t="e">
        <f ca="1">IF(INDIRECT(ADDRESS($A22,1,3,1,Menus!$K$10))=T(J$1),$D22,#N/A)</f>
        <v>#N/A</v>
      </c>
      <c r="K22" s="10">
        <f t="shared" ca="1" si="1"/>
        <v>1</v>
      </c>
      <c r="L22" s="2"/>
      <c r="M22" s="85">
        <f ca="1">OFFSET(INDIRECT(ADDRESS($A22,3,3,1,"Gross")),0,Menus!$J$4)</f>
        <v>1</v>
      </c>
      <c r="N22" s="85">
        <f ca="1">OFFSET(INDIRECT(ADDRESS($A22,3,3,1,"Gross")),0,Menus!$J$3)</f>
        <v>1</v>
      </c>
      <c r="P22">
        <v>2</v>
      </c>
      <c r="Q22" t="s">
        <v>164</v>
      </c>
    </row>
    <row r="23" spans="1:17" x14ac:dyDescent="0.25">
      <c r="A23">
        <v>176</v>
      </c>
      <c r="B23" s="2">
        <f ca="1">OFFSET(INDIRECT(ADDRESS($A23,3,3,1,Menus!$K$10)),0,Menus!$J$4)</f>
        <v>0</v>
      </c>
      <c r="C23" s="2">
        <f ca="1">OFFSET(INDIRECT(ADDRESS($A23,3,3,1,Menus!$K$10)),0,Menus!$J$3)</f>
        <v>0</v>
      </c>
      <c r="D23" s="73" t="e">
        <f ca="1">IF(Menus!$J$9,C23/B23,C23)</f>
        <v>#DIV/0!</v>
      </c>
      <c r="E23" s="74" t="e">
        <f t="shared" ca="1" si="0"/>
        <v>#N/A</v>
      </c>
      <c r="F23" s="75">
        <f ca="1">INDIRECT(ADDRESS($A23,1,3,1,Menus!$K$10))</f>
        <v>0</v>
      </c>
      <c r="G23" s="2" t="e">
        <f ca="1">IF(INDIRECT(ADDRESS($A23,2,3,1,Menus!$K$10))=G$1,$D23,#N/A)</f>
        <v>#N/A</v>
      </c>
      <c r="H23" s="2" t="e">
        <f ca="1">IF(INDIRECT(ADDRESS($A23,2,3,1,Menus!$K$10))=H$1,$D23,#N/A)</f>
        <v>#N/A</v>
      </c>
      <c r="I23" s="2" t="e">
        <f ca="1">IF(INDIRECT(ADDRESS($A23,2,3,1,Menus!$K$10))=I$1,$D23,#N/A)</f>
        <v>#N/A</v>
      </c>
      <c r="J23" s="2" t="e">
        <f ca="1">IF(INDIRECT(ADDRESS($A23,1,3,1,Menus!$K$10))=T(J$1),$D23,#N/A)</f>
        <v>#N/A</v>
      </c>
      <c r="K23" s="10">
        <f t="shared" ca="1" si="1"/>
        <v>0</v>
      </c>
      <c r="L23" s="2"/>
      <c r="M23" s="85">
        <f ca="1">OFFSET(INDIRECT(ADDRESS($A23,3,3,1,"Gross")),0,Menus!$J$4)</f>
        <v>0</v>
      </c>
      <c r="N23" s="85">
        <f ca="1">OFFSET(INDIRECT(ADDRESS($A23,3,3,1,"Gross")),0,Menus!$J$3)</f>
        <v>0</v>
      </c>
    </row>
    <row r="24" spans="1:17" x14ac:dyDescent="0.25">
      <c r="A24">
        <v>129</v>
      </c>
      <c r="B24" s="2">
        <f ca="1">OFFSET(INDIRECT(ADDRESS($A24,3,3,1,Menus!$K$10)),0,Menus!$J$4)</f>
        <v>0</v>
      </c>
      <c r="C24" s="2">
        <f ca="1">OFFSET(INDIRECT(ADDRESS($A24,3,3,1,Menus!$K$10)),0,Menus!$J$3)</f>
        <v>0</v>
      </c>
      <c r="D24" s="73" t="e">
        <f ca="1">IF(Menus!$J$9,C24/B24,C24)</f>
        <v>#DIV/0!</v>
      </c>
      <c r="E24" s="74" t="e">
        <f t="shared" ca="1" si="0"/>
        <v>#N/A</v>
      </c>
      <c r="F24" s="75">
        <f ca="1">INDIRECT(ADDRESS($A24,1,3,1,Menus!$K$10))</f>
        <v>0</v>
      </c>
      <c r="G24" s="2" t="e">
        <f ca="1">IF(INDIRECT(ADDRESS($A24,2,3,1,Menus!$K$10))=G$1,$D24,#N/A)</f>
        <v>#N/A</v>
      </c>
      <c r="H24" s="2" t="e">
        <f ca="1">IF(INDIRECT(ADDRESS($A24,2,3,1,Menus!$K$10))=H$1,$D24,#N/A)</f>
        <v>#N/A</v>
      </c>
      <c r="I24" s="2" t="e">
        <f ca="1">IF(INDIRECT(ADDRESS($A24,2,3,1,Menus!$K$10))=I$1,$D24,#N/A)</f>
        <v>#N/A</v>
      </c>
      <c r="J24" s="2" t="e">
        <f ca="1">IF(INDIRECT(ADDRESS($A24,1,3,1,Menus!$K$10))=T(J$1),$D24,#N/A)</f>
        <v>#N/A</v>
      </c>
      <c r="K24" s="10">
        <f t="shared" ca="1" si="1"/>
        <v>0</v>
      </c>
      <c r="L24" s="2"/>
      <c r="M24" s="85">
        <f ca="1">OFFSET(INDIRECT(ADDRESS($A24,3,3,1,"Gross")),0,Menus!$J$4)</f>
        <v>0</v>
      </c>
      <c r="N24" s="85">
        <f ca="1">OFFSET(INDIRECT(ADDRESS($A24,3,3,1,"Gross")),0,Menus!$J$3)</f>
        <v>0</v>
      </c>
    </row>
    <row r="25" spans="1:17" x14ac:dyDescent="0.25">
      <c r="A25">
        <v>125</v>
      </c>
      <c r="B25" s="2">
        <f ca="1">OFFSET(INDIRECT(ADDRESS($A25,3,3,1,Menus!$K$10)),0,Menus!$J$4)</f>
        <v>0</v>
      </c>
      <c r="C25" s="2">
        <f ca="1">OFFSET(INDIRECT(ADDRESS($A25,3,3,1,Menus!$K$10)),0,Menus!$J$3)</f>
        <v>0</v>
      </c>
      <c r="D25" s="73" t="e">
        <f ca="1">IF(Menus!$J$9,C25/B25,C25)</f>
        <v>#DIV/0!</v>
      </c>
      <c r="E25" s="74" t="e">
        <f t="shared" ca="1" si="0"/>
        <v>#N/A</v>
      </c>
      <c r="F25" s="75">
        <f ca="1">INDIRECT(ADDRESS($A25,1,3,1,Menus!$K$10))</f>
        <v>0</v>
      </c>
      <c r="G25" s="2" t="e">
        <f ca="1">IF(INDIRECT(ADDRESS($A25,2,3,1,Menus!$K$10))=G$1,$D25,#N/A)</f>
        <v>#N/A</v>
      </c>
      <c r="H25" s="2" t="e">
        <f ca="1">IF(INDIRECT(ADDRESS($A25,2,3,1,Menus!$K$10))=H$1,$D25,#N/A)</f>
        <v>#N/A</v>
      </c>
      <c r="I25" s="2" t="e">
        <f ca="1">IF(INDIRECT(ADDRESS($A25,2,3,1,Menus!$K$10))=I$1,$D25,#N/A)</f>
        <v>#N/A</v>
      </c>
      <c r="J25" s="2" t="e">
        <f ca="1">IF(INDIRECT(ADDRESS($A25,1,3,1,Menus!$K$10))=T(J$1),$D25,#N/A)</f>
        <v>#N/A</v>
      </c>
      <c r="K25" s="10">
        <f t="shared" ca="1" si="1"/>
        <v>0</v>
      </c>
      <c r="L25" s="2"/>
      <c r="M25" s="85">
        <f ca="1">OFFSET(INDIRECT(ADDRESS($A25,3,3,1,"Gross")),0,Menus!$J$4)</f>
        <v>0</v>
      </c>
      <c r="N25" s="85">
        <f ca="1">OFFSET(INDIRECT(ADDRESS($A25,3,3,1,"Gross")),0,Menus!$J$3)</f>
        <v>0</v>
      </c>
    </row>
    <row r="26" spans="1:17" x14ac:dyDescent="0.25">
      <c r="A26">
        <v>187</v>
      </c>
      <c r="B26" s="2">
        <f ca="1">OFFSET(INDIRECT(ADDRESS($A26,3,3,1,Menus!$K$10)),0,Menus!$J$4)</f>
        <v>0</v>
      </c>
      <c r="C26" s="2">
        <f ca="1">OFFSET(INDIRECT(ADDRESS($A26,3,3,1,Menus!$K$10)),0,Menus!$J$3)</f>
        <v>0</v>
      </c>
      <c r="D26" s="73" t="e">
        <f ca="1">IF(Menus!$J$9,C26/B26,C26)</f>
        <v>#DIV/0!</v>
      </c>
      <c r="E26" s="74" t="e">
        <f t="shared" ca="1" si="0"/>
        <v>#N/A</v>
      </c>
      <c r="F26" s="75">
        <f ca="1">INDIRECT(ADDRESS($A26,1,3,1,Menus!$K$10))</f>
        <v>0</v>
      </c>
      <c r="G26" s="2" t="e">
        <f ca="1">IF(INDIRECT(ADDRESS($A26,2,3,1,Menus!$K$10))=G$1,$D26,#N/A)</f>
        <v>#N/A</v>
      </c>
      <c r="H26" s="2" t="e">
        <f ca="1">IF(INDIRECT(ADDRESS($A26,2,3,1,Menus!$K$10))=H$1,$D26,#N/A)</f>
        <v>#N/A</v>
      </c>
      <c r="I26" s="2" t="e">
        <f ca="1">IF(INDIRECT(ADDRESS($A26,2,3,1,Menus!$K$10))=I$1,$D26,#N/A)</f>
        <v>#N/A</v>
      </c>
      <c r="J26" s="2" t="e">
        <f ca="1">IF(INDIRECT(ADDRESS($A26,1,3,1,Menus!$K$10))=T(J$1),$D26,#N/A)</f>
        <v>#N/A</v>
      </c>
      <c r="K26" s="10">
        <f t="shared" ca="1" si="1"/>
        <v>0</v>
      </c>
      <c r="L26" s="2"/>
      <c r="M26" s="85">
        <f ca="1">OFFSET(INDIRECT(ADDRESS($A26,3,3,1,"Gross")),0,Menus!$J$4)</f>
        <v>0</v>
      </c>
      <c r="N26" s="85">
        <f ca="1">OFFSET(INDIRECT(ADDRESS($A26,3,3,1,"Gross")),0,Menus!$J$3)</f>
        <v>0</v>
      </c>
    </row>
    <row r="27" spans="1:17" x14ac:dyDescent="0.25">
      <c r="A27">
        <v>122</v>
      </c>
      <c r="B27" s="2">
        <f ca="1">OFFSET(INDIRECT(ADDRESS($A27,3,3,1,Menus!$K$10)),0,Menus!$J$4)</f>
        <v>0</v>
      </c>
      <c r="C27" s="2">
        <f ca="1">OFFSET(INDIRECT(ADDRESS($A27,3,3,1,Menus!$K$10)),0,Menus!$J$3)</f>
        <v>0</v>
      </c>
      <c r="D27" s="73" t="e">
        <f ca="1">IF(Menus!$J$9,C27/B27,C27)</f>
        <v>#DIV/0!</v>
      </c>
      <c r="E27" s="74" t="e">
        <f t="shared" ca="1" si="0"/>
        <v>#N/A</v>
      </c>
      <c r="F27" s="75">
        <f ca="1">INDIRECT(ADDRESS($A27,1,3,1,Menus!$K$10))</f>
        <v>0</v>
      </c>
      <c r="G27" s="2" t="e">
        <f ca="1">IF(INDIRECT(ADDRESS($A27,2,3,1,Menus!$K$10))=G$1,$D27,#N/A)</f>
        <v>#N/A</v>
      </c>
      <c r="H27" s="2" t="e">
        <f ca="1">IF(INDIRECT(ADDRESS($A27,2,3,1,Menus!$K$10))=H$1,$D27,#N/A)</f>
        <v>#N/A</v>
      </c>
      <c r="I27" s="2" t="e">
        <f ca="1">IF(INDIRECT(ADDRESS($A27,2,3,1,Menus!$K$10))=I$1,$D27,#N/A)</f>
        <v>#N/A</v>
      </c>
      <c r="J27" s="2" t="e">
        <f ca="1">IF(INDIRECT(ADDRESS($A27,1,3,1,Menus!$K$10))=T(J$1),$D27,#N/A)</f>
        <v>#N/A</v>
      </c>
      <c r="K27" s="10">
        <f t="shared" ca="1" si="1"/>
        <v>0</v>
      </c>
      <c r="L27" s="2"/>
      <c r="M27" s="85">
        <f ca="1">OFFSET(INDIRECT(ADDRESS($A27,3,3,1,"Gross")),0,Menus!$J$4)</f>
        <v>0</v>
      </c>
      <c r="N27" s="85">
        <f ca="1">OFFSET(INDIRECT(ADDRESS($A27,3,3,1,"Gross")),0,Menus!$J$3)</f>
        <v>0</v>
      </c>
    </row>
    <row r="28" spans="1:17" x14ac:dyDescent="0.25">
      <c r="A28">
        <v>86</v>
      </c>
      <c r="B28" s="2">
        <f ca="1">OFFSET(INDIRECT(ADDRESS($A28,3,3,1,Menus!$K$10)),0,Menus!$J$4)</f>
        <v>0</v>
      </c>
      <c r="C28" s="2">
        <f ca="1">OFFSET(INDIRECT(ADDRESS($A28,3,3,1,Menus!$K$10)),0,Menus!$J$3)</f>
        <v>0</v>
      </c>
      <c r="D28" s="73" t="e">
        <f ca="1">IF(Menus!$J$9,C28/B28,C28)</f>
        <v>#DIV/0!</v>
      </c>
      <c r="E28" s="74" t="e">
        <f t="shared" ca="1" si="0"/>
        <v>#N/A</v>
      </c>
      <c r="F28" s="75">
        <f ca="1">INDIRECT(ADDRESS($A28,1,3,1,Menus!$K$10))</f>
        <v>0</v>
      </c>
      <c r="G28" s="2" t="e">
        <f ca="1">IF(INDIRECT(ADDRESS($A28,2,3,1,Menus!$K$10))=G$1,$D28,#N/A)</f>
        <v>#N/A</v>
      </c>
      <c r="H28" s="2" t="e">
        <f ca="1">IF(INDIRECT(ADDRESS($A28,2,3,1,Menus!$K$10))=H$1,$D28,#N/A)</f>
        <v>#N/A</v>
      </c>
      <c r="I28" s="2" t="e">
        <f ca="1">IF(INDIRECT(ADDRESS($A28,2,3,1,Menus!$K$10))=I$1,$D28,#N/A)</f>
        <v>#N/A</v>
      </c>
      <c r="J28" s="2" t="e">
        <f ca="1">IF(INDIRECT(ADDRESS($A28,1,3,1,Menus!$K$10))=T(J$1),$D28,#N/A)</f>
        <v>#N/A</v>
      </c>
      <c r="K28" s="10">
        <f t="shared" ca="1" si="1"/>
        <v>0</v>
      </c>
      <c r="L28" s="2"/>
      <c r="M28" s="85">
        <f ca="1">OFFSET(INDIRECT(ADDRESS($A28,3,3,1,"Gross")),0,Menus!$J$4)</f>
        <v>0</v>
      </c>
      <c r="N28" s="85">
        <f ca="1">OFFSET(INDIRECT(ADDRESS($A28,3,3,1,"Gross")),0,Menus!$J$3)</f>
        <v>0</v>
      </c>
    </row>
    <row r="29" spans="1:17" x14ac:dyDescent="0.25">
      <c r="A29">
        <v>167</v>
      </c>
      <c r="B29" s="2">
        <f ca="1">OFFSET(INDIRECT(ADDRESS($A29,3,3,1,Menus!$K$10)),0,Menus!$J$4)</f>
        <v>0</v>
      </c>
      <c r="C29" s="2">
        <f ca="1">OFFSET(INDIRECT(ADDRESS($A29,3,3,1,Menus!$K$10)),0,Menus!$J$3)</f>
        <v>0</v>
      </c>
      <c r="D29" s="73" t="e">
        <f ca="1">IF(Menus!$J$9,C29/B29,C29)</f>
        <v>#DIV/0!</v>
      </c>
      <c r="E29" s="74" t="e">
        <f t="shared" ca="1" si="0"/>
        <v>#N/A</v>
      </c>
      <c r="F29" s="75">
        <f ca="1">INDIRECT(ADDRESS($A29,1,3,1,Menus!$K$10))</f>
        <v>0</v>
      </c>
      <c r="G29" s="2" t="e">
        <f ca="1">IF(INDIRECT(ADDRESS($A29,2,3,1,Menus!$K$10))=G$1,$D29,#N/A)</f>
        <v>#N/A</v>
      </c>
      <c r="H29" s="2" t="e">
        <f ca="1">IF(INDIRECT(ADDRESS($A29,2,3,1,Menus!$K$10))=H$1,$D29,#N/A)</f>
        <v>#N/A</v>
      </c>
      <c r="I29" s="2" t="e">
        <f ca="1">IF(INDIRECT(ADDRESS($A29,2,3,1,Menus!$K$10))=I$1,$D29,#N/A)</f>
        <v>#N/A</v>
      </c>
      <c r="J29" s="2" t="e">
        <f ca="1">IF(INDIRECT(ADDRESS($A29,1,3,1,Menus!$K$10))=T(J$1),$D29,#N/A)</f>
        <v>#N/A</v>
      </c>
      <c r="K29" s="10">
        <f t="shared" ca="1" si="1"/>
        <v>0</v>
      </c>
      <c r="L29" s="2"/>
      <c r="M29" s="85">
        <f ca="1">OFFSET(INDIRECT(ADDRESS($A29,3,3,1,"Gross")),0,Menus!$J$4)</f>
        <v>0</v>
      </c>
      <c r="N29" s="85">
        <f ca="1">OFFSET(INDIRECT(ADDRESS($A29,3,3,1,"Gross")),0,Menus!$J$3)</f>
        <v>0</v>
      </c>
    </row>
    <row r="30" spans="1:17" x14ac:dyDescent="0.25">
      <c r="A30">
        <v>113</v>
      </c>
      <c r="B30" s="2">
        <f ca="1">OFFSET(INDIRECT(ADDRESS($A30,3,3,1,Menus!$K$10)),0,Menus!$J$4)</f>
        <v>0</v>
      </c>
      <c r="C30" s="2">
        <f ca="1">OFFSET(INDIRECT(ADDRESS($A30,3,3,1,Menus!$K$10)),0,Menus!$J$3)</f>
        <v>0</v>
      </c>
      <c r="D30" s="73" t="e">
        <f ca="1">IF(Menus!$J$9,C30/B30,C30)</f>
        <v>#DIV/0!</v>
      </c>
      <c r="E30" s="74" t="e">
        <f t="shared" ca="1" si="0"/>
        <v>#N/A</v>
      </c>
      <c r="F30" s="75">
        <f ca="1">INDIRECT(ADDRESS($A30,1,3,1,Menus!$K$10))</f>
        <v>0</v>
      </c>
      <c r="G30" s="2" t="e">
        <f ca="1">IF(INDIRECT(ADDRESS($A30,2,3,1,Menus!$K$10))=G$1,$D30,#N/A)</f>
        <v>#N/A</v>
      </c>
      <c r="H30" s="2" t="e">
        <f ca="1">IF(INDIRECT(ADDRESS($A30,2,3,1,Menus!$K$10))=H$1,$D30,#N/A)</f>
        <v>#N/A</v>
      </c>
      <c r="I30" s="2" t="e">
        <f ca="1">IF(INDIRECT(ADDRESS($A30,2,3,1,Menus!$K$10))=I$1,$D30,#N/A)</f>
        <v>#N/A</v>
      </c>
      <c r="J30" s="2" t="e">
        <f ca="1">IF(INDIRECT(ADDRESS($A30,1,3,1,Menus!$K$10))=T(J$1),$D30,#N/A)</f>
        <v>#N/A</v>
      </c>
      <c r="K30" s="10">
        <f t="shared" ca="1" si="1"/>
        <v>0</v>
      </c>
      <c r="L30" s="2"/>
      <c r="M30" s="85">
        <f ca="1">OFFSET(INDIRECT(ADDRESS($A30,3,3,1,"Gross")),0,Menus!$J$4)</f>
        <v>0</v>
      </c>
      <c r="N30" s="85">
        <f ca="1">OFFSET(INDIRECT(ADDRESS($A30,3,3,1,"Gross")),0,Menus!$J$3)</f>
        <v>0</v>
      </c>
    </row>
    <row r="31" spans="1:17" x14ac:dyDescent="0.25">
      <c r="A31">
        <v>119</v>
      </c>
      <c r="B31" s="2">
        <f ca="1">OFFSET(INDIRECT(ADDRESS($A31,3,3,1,Menus!$K$10)),0,Menus!$J$4)</f>
        <v>0</v>
      </c>
      <c r="C31" s="2">
        <f ca="1">OFFSET(INDIRECT(ADDRESS($A31,3,3,1,Menus!$K$10)),0,Menus!$J$3)</f>
        <v>0</v>
      </c>
      <c r="D31" s="73" t="e">
        <f ca="1">IF(Menus!$J$9,C31/B31,C31)</f>
        <v>#DIV/0!</v>
      </c>
      <c r="E31" s="74" t="e">
        <f t="shared" ca="1" si="0"/>
        <v>#N/A</v>
      </c>
      <c r="F31" s="75">
        <f ca="1">INDIRECT(ADDRESS($A31,1,3,1,Menus!$K$10))</f>
        <v>0</v>
      </c>
      <c r="G31" s="2" t="e">
        <f ca="1">IF(INDIRECT(ADDRESS($A31,2,3,1,Menus!$K$10))=G$1,$D31,#N/A)</f>
        <v>#N/A</v>
      </c>
      <c r="H31" s="2" t="e">
        <f ca="1">IF(INDIRECT(ADDRESS($A31,2,3,1,Menus!$K$10))=H$1,$D31,#N/A)</f>
        <v>#N/A</v>
      </c>
      <c r="I31" s="2" t="e">
        <f ca="1">IF(INDIRECT(ADDRESS($A31,2,3,1,Menus!$K$10))=I$1,$D31,#N/A)</f>
        <v>#N/A</v>
      </c>
      <c r="J31" s="2" t="e">
        <f ca="1">IF(INDIRECT(ADDRESS($A31,1,3,1,Menus!$K$10))=T(J$1),$D31,#N/A)</f>
        <v>#N/A</v>
      </c>
      <c r="K31" s="10">
        <f t="shared" ca="1" si="1"/>
        <v>0</v>
      </c>
      <c r="L31" s="2"/>
      <c r="M31" s="85">
        <f ca="1">OFFSET(INDIRECT(ADDRESS($A31,3,3,1,"Gross")),0,Menus!$J$4)</f>
        <v>0</v>
      </c>
      <c r="N31" s="85">
        <f ca="1">OFFSET(INDIRECT(ADDRESS($A31,3,3,1,"Gross")),0,Menus!$J$3)</f>
        <v>0</v>
      </c>
    </row>
    <row r="32" spans="1:17" x14ac:dyDescent="0.25">
      <c r="A32">
        <v>91</v>
      </c>
      <c r="B32" s="2">
        <f ca="1">OFFSET(INDIRECT(ADDRESS($A32,3,3,1,Menus!$K$10)),0,Menus!$J$4)</f>
        <v>0</v>
      </c>
      <c r="C32" s="2">
        <f ca="1">OFFSET(INDIRECT(ADDRESS($A32,3,3,1,Menus!$K$10)),0,Menus!$J$3)</f>
        <v>0</v>
      </c>
      <c r="D32" s="73" t="e">
        <f ca="1">IF(Menus!$J$9,C32/B32,C32)</f>
        <v>#DIV/0!</v>
      </c>
      <c r="E32" s="74" t="e">
        <f t="shared" ca="1" si="0"/>
        <v>#N/A</v>
      </c>
      <c r="F32" s="75">
        <f ca="1">INDIRECT(ADDRESS($A32,1,3,1,Menus!$K$10))</f>
        <v>0</v>
      </c>
      <c r="G32" s="2" t="e">
        <f ca="1">IF(INDIRECT(ADDRESS($A32,2,3,1,Menus!$K$10))=G$1,$D32,#N/A)</f>
        <v>#N/A</v>
      </c>
      <c r="H32" s="2" t="e">
        <f ca="1">IF(INDIRECT(ADDRESS($A32,2,3,1,Menus!$K$10))=H$1,$D32,#N/A)</f>
        <v>#N/A</v>
      </c>
      <c r="I32" s="2" t="e">
        <f ca="1">IF(INDIRECT(ADDRESS($A32,2,3,1,Menus!$K$10))=I$1,$D32,#N/A)</f>
        <v>#N/A</v>
      </c>
      <c r="J32" s="2" t="e">
        <f ca="1">IF(INDIRECT(ADDRESS($A32,1,3,1,Menus!$K$10))=T(J$1),$D32,#N/A)</f>
        <v>#N/A</v>
      </c>
      <c r="K32" s="10">
        <f t="shared" ca="1" si="1"/>
        <v>0</v>
      </c>
      <c r="L32" s="2"/>
      <c r="M32" s="85">
        <f ca="1">OFFSET(INDIRECT(ADDRESS($A32,3,3,1,"Gross")),0,Menus!$J$4)</f>
        <v>0</v>
      </c>
      <c r="N32" s="85">
        <f ca="1">OFFSET(INDIRECT(ADDRESS($A32,3,3,1,"Gross")),0,Menus!$J$3)</f>
        <v>0</v>
      </c>
    </row>
    <row r="33" spans="1:14" x14ac:dyDescent="0.25">
      <c r="A33">
        <v>75</v>
      </c>
      <c r="B33" s="2">
        <f ca="1">OFFSET(INDIRECT(ADDRESS($A33,3,3,1,Menus!$K$10)),0,Menus!$J$4)</f>
        <v>0</v>
      </c>
      <c r="C33" s="2">
        <f ca="1">OFFSET(INDIRECT(ADDRESS($A33,3,3,1,Menus!$K$10)),0,Menus!$J$3)</f>
        <v>0</v>
      </c>
      <c r="D33" s="73" t="e">
        <f ca="1">IF(Menus!$J$9,C33/B33,C33)</f>
        <v>#DIV/0!</v>
      </c>
      <c r="E33" s="74" t="e">
        <f t="shared" ca="1" si="0"/>
        <v>#N/A</v>
      </c>
      <c r="F33" s="75">
        <f ca="1">INDIRECT(ADDRESS($A33,1,3,1,Menus!$K$10))</f>
        <v>0</v>
      </c>
      <c r="G33" s="2" t="e">
        <f ca="1">IF(INDIRECT(ADDRESS($A33,2,3,1,Menus!$K$10))=G$1,$D33,#N/A)</f>
        <v>#N/A</v>
      </c>
      <c r="H33" s="2" t="e">
        <f ca="1">IF(INDIRECT(ADDRESS($A33,2,3,1,Menus!$K$10))=H$1,$D33,#N/A)</f>
        <v>#N/A</v>
      </c>
      <c r="I33" s="2" t="e">
        <f ca="1">IF(INDIRECT(ADDRESS($A33,2,3,1,Menus!$K$10))=I$1,$D33,#N/A)</f>
        <v>#N/A</v>
      </c>
      <c r="J33" s="2" t="e">
        <f ca="1">IF(INDIRECT(ADDRESS($A33,1,3,1,Menus!$K$10))=T(J$1),$D33,#N/A)</f>
        <v>#N/A</v>
      </c>
      <c r="K33" s="10">
        <f t="shared" ca="1" si="1"/>
        <v>0</v>
      </c>
      <c r="L33" s="2"/>
      <c r="M33" s="85">
        <f ca="1">OFFSET(INDIRECT(ADDRESS($A33,3,3,1,"Gross")),0,Menus!$J$4)</f>
        <v>0</v>
      </c>
      <c r="N33" s="85">
        <f ca="1">OFFSET(INDIRECT(ADDRESS($A33,3,3,1,"Gross")),0,Menus!$J$3)</f>
        <v>0</v>
      </c>
    </row>
    <row r="34" spans="1:14" x14ac:dyDescent="0.25">
      <c r="A34">
        <v>65</v>
      </c>
      <c r="B34" s="2">
        <f ca="1">OFFSET(INDIRECT(ADDRESS($A34,3,3,1,Menus!$K$10)),0,Menus!$J$4)</f>
        <v>0</v>
      </c>
      <c r="C34" s="2">
        <f ca="1">OFFSET(INDIRECT(ADDRESS($A34,3,3,1,Menus!$K$10)),0,Menus!$J$3)</f>
        <v>0</v>
      </c>
      <c r="D34" s="73" t="e">
        <f ca="1">IF(Menus!$J$9,C34/B34,C34)</f>
        <v>#DIV/0!</v>
      </c>
      <c r="E34" s="74" t="e">
        <f t="shared" ref="E34:E66" ca="1" si="2">IF($K34=1,VALUE(B34),#N/A)</f>
        <v>#N/A</v>
      </c>
      <c r="F34" s="75">
        <f ca="1">INDIRECT(ADDRESS($A34,1,3,1,Menus!$K$10))</f>
        <v>0</v>
      </c>
      <c r="G34" s="2" t="e">
        <f ca="1">IF(INDIRECT(ADDRESS($A34,2,3,1,Menus!$K$10))=G$1,$D34,#N/A)</f>
        <v>#N/A</v>
      </c>
      <c r="H34" s="2" t="e">
        <f ca="1">IF(INDIRECT(ADDRESS($A34,2,3,1,Menus!$K$10))=H$1,$D34,#N/A)</f>
        <v>#N/A</v>
      </c>
      <c r="I34" s="2" t="e">
        <f ca="1">IF(INDIRECT(ADDRESS($A34,2,3,1,Menus!$K$10))=I$1,$D34,#N/A)</f>
        <v>#N/A</v>
      </c>
      <c r="J34" s="2" t="e">
        <f ca="1">IF(INDIRECT(ADDRESS($A34,1,3,1,Menus!$K$10))=T(J$1),$D34,#N/A)</f>
        <v>#N/A</v>
      </c>
      <c r="K34" s="10">
        <f t="shared" ca="1" si="1"/>
        <v>0</v>
      </c>
      <c r="L34" s="2"/>
      <c r="M34" s="85">
        <f ca="1">OFFSET(INDIRECT(ADDRESS($A34,3,3,1,"Gross")),0,Menus!$J$4)</f>
        <v>0</v>
      </c>
      <c r="N34" s="85">
        <f ca="1">OFFSET(INDIRECT(ADDRESS($A34,3,3,1,"Gross")),0,Menus!$J$3)</f>
        <v>0</v>
      </c>
    </row>
    <row r="35" spans="1:14" x14ac:dyDescent="0.25">
      <c r="A35">
        <v>171</v>
      </c>
      <c r="B35" s="2">
        <f ca="1">OFFSET(INDIRECT(ADDRESS($A35,3,3,1,Menus!$K$10)),0,Menus!$J$4)</f>
        <v>0</v>
      </c>
      <c r="C35" s="2">
        <f ca="1">OFFSET(INDIRECT(ADDRESS($A35,3,3,1,Menus!$K$10)),0,Menus!$J$3)</f>
        <v>0</v>
      </c>
      <c r="D35" s="73" t="e">
        <f ca="1">IF(Menus!$J$9,C35/B35,C35)</f>
        <v>#DIV/0!</v>
      </c>
      <c r="E35" s="74" t="e">
        <f t="shared" ca="1" si="2"/>
        <v>#N/A</v>
      </c>
      <c r="F35" s="75">
        <f ca="1">INDIRECT(ADDRESS($A35,1,3,1,Menus!$K$10))</f>
        <v>0</v>
      </c>
      <c r="G35" s="2" t="e">
        <f ca="1">IF(INDIRECT(ADDRESS($A35,2,3,1,Menus!$K$10))=G$1,$D35,#N/A)</f>
        <v>#N/A</v>
      </c>
      <c r="H35" s="2" t="e">
        <f ca="1">IF(INDIRECT(ADDRESS($A35,2,3,1,Menus!$K$10))=H$1,$D35,#N/A)</f>
        <v>#N/A</v>
      </c>
      <c r="I35" s="2" t="e">
        <f ca="1">IF(INDIRECT(ADDRESS($A35,2,3,1,Menus!$K$10))=I$1,$D35,#N/A)</f>
        <v>#N/A</v>
      </c>
      <c r="J35" s="2" t="e">
        <f ca="1">IF(INDIRECT(ADDRESS($A35,1,3,1,Menus!$K$10))=T(J$1),$D35,#N/A)</f>
        <v>#N/A</v>
      </c>
      <c r="K35" s="10">
        <f t="shared" ca="1" si="1"/>
        <v>0</v>
      </c>
      <c r="L35" s="2"/>
      <c r="M35" s="85">
        <f ca="1">OFFSET(INDIRECT(ADDRESS($A35,3,3,1,"Gross")),0,Menus!$J$4)</f>
        <v>0</v>
      </c>
      <c r="N35" s="85">
        <f ca="1">OFFSET(INDIRECT(ADDRESS($A35,3,3,1,"Gross")),0,Menus!$J$3)</f>
        <v>0</v>
      </c>
    </row>
    <row r="36" spans="1:14" x14ac:dyDescent="0.25">
      <c r="A36">
        <v>138</v>
      </c>
      <c r="B36" s="2">
        <f ca="1">OFFSET(INDIRECT(ADDRESS($A36,3,3,1,Menus!$K$10)),0,Menus!$J$4)</f>
        <v>0</v>
      </c>
      <c r="C36" s="2">
        <f ca="1">OFFSET(INDIRECT(ADDRESS($A36,3,3,1,Menus!$K$10)),0,Menus!$J$3)</f>
        <v>0</v>
      </c>
      <c r="D36" s="73" t="e">
        <f ca="1">IF(Menus!$J$9,C36/B36,C36)</f>
        <v>#DIV/0!</v>
      </c>
      <c r="E36" s="74" t="e">
        <f t="shared" ca="1" si="2"/>
        <v>#N/A</v>
      </c>
      <c r="F36" s="75">
        <f ca="1">INDIRECT(ADDRESS($A36,1,3,1,Menus!$K$10))</f>
        <v>0</v>
      </c>
      <c r="G36" s="2" t="e">
        <f ca="1">IF(INDIRECT(ADDRESS($A36,2,3,1,Menus!$K$10))=G$1,$D36,#N/A)</f>
        <v>#N/A</v>
      </c>
      <c r="H36" s="2" t="e">
        <f ca="1">IF(INDIRECT(ADDRESS($A36,2,3,1,Menus!$K$10))=H$1,$D36,#N/A)</f>
        <v>#N/A</v>
      </c>
      <c r="I36" s="2" t="e">
        <f ca="1">IF(INDIRECT(ADDRESS($A36,2,3,1,Menus!$K$10))=I$1,$D36,#N/A)</f>
        <v>#N/A</v>
      </c>
      <c r="J36" s="2" t="e">
        <f ca="1">IF(INDIRECT(ADDRESS($A36,1,3,1,Menus!$K$10))=T(J$1),$D36,#N/A)</f>
        <v>#N/A</v>
      </c>
      <c r="K36" s="10">
        <f t="shared" ca="1" si="1"/>
        <v>0</v>
      </c>
      <c r="L36" s="2"/>
      <c r="M36" s="85">
        <f ca="1">OFFSET(INDIRECT(ADDRESS($A36,3,3,1,"Gross")),0,Menus!$J$4)</f>
        <v>0</v>
      </c>
      <c r="N36" s="85">
        <f ca="1">OFFSET(INDIRECT(ADDRESS($A36,3,3,1,"Gross")),0,Menus!$J$3)</f>
        <v>0</v>
      </c>
    </row>
    <row r="37" spans="1:14" x14ac:dyDescent="0.25">
      <c r="A37">
        <v>107</v>
      </c>
      <c r="B37" s="2">
        <f ca="1">OFFSET(INDIRECT(ADDRESS($A37,3,3,1,Menus!$K$10)),0,Menus!$J$4)</f>
        <v>0</v>
      </c>
      <c r="C37" s="2">
        <f ca="1">OFFSET(INDIRECT(ADDRESS($A37,3,3,1,Menus!$K$10)),0,Menus!$J$3)</f>
        <v>0</v>
      </c>
      <c r="D37" s="73" t="e">
        <f ca="1">IF(Menus!$J$9,C37/B37,C37)</f>
        <v>#DIV/0!</v>
      </c>
      <c r="E37" s="74" t="e">
        <f t="shared" ca="1" si="2"/>
        <v>#N/A</v>
      </c>
      <c r="F37" s="75">
        <f ca="1">INDIRECT(ADDRESS($A37,1,3,1,Menus!$K$10))</f>
        <v>0</v>
      </c>
      <c r="G37" s="2" t="e">
        <f ca="1">IF(INDIRECT(ADDRESS($A37,2,3,1,Menus!$K$10))=G$1,$D37,#N/A)</f>
        <v>#N/A</v>
      </c>
      <c r="H37" s="2" t="e">
        <f ca="1">IF(INDIRECT(ADDRESS($A37,2,3,1,Menus!$K$10))=H$1,$D37,#N/A)</f>
        <v>#N/A</v>
      </c>
      <c r="I37" s="2" t="e">
        <f ca="1">IF(INDIRECT(ADDRESS($A37,2,3,1,Menus!$K$10))=I$1,$D37,#N/A)</f>
        <v>#N/A</v>
      </c>
      <c r="J37" s="2" t="e">
        <f ca="1">IF(INDIRECT(ADDRESS($A37,1,3,1,Menus!$K$10))=T(J$1),$D37,#N/A)</f>
        <v>#N/A</v>
      </c>
      <c r="K37" s="10">
        <f t="shared" ca="1" si="1"/>
        <v>0</v>
      </c>
      <c r="L37" s="2"/>
      <c r="M37" s="85">
        <f ca="1">OFFSET(INDIRECT(ADDRESS($A37,3,3,1,"Gross")),0,Menus!$J$4)</f>
        <v>0</v>
      </c>
      <c r="N37" s="85">
        <f ca="1">OFFSET(INDIRECT(ADDRESS($A37,3,3,1,"Gross")),0,Menus!$J$3)</f>
        <v>0</v>
      </c>
    </row>
    <row r="38" spans="1:14" x14ac:dyDescent="0.25">
      <c r="A38">
        <v>67</v>
      </c>
      <c r="B38" s="2">
        <f ca="1">OFFSET(INDIRECT(ADDRESS($A38,3,3,1,Menus!$K$10)),0,Menus!$J$4)</f>
        <v>0</v>
      </c>
      <c r="C38" s="2">
        <f ca="1">OFFSET(INDIRECT(ADDRESS($A38,3,3,1,Menus!$K$10)),0,Menus!$J$3)</f>
        <v>0</v>
      </c>
      <c r="D38" s="73" t="e">
        <f ca="1">IF(Menus!$J$9,C38/B38,C38)</f>
        <v>#DIV/0!</v>
      </c>
      <c r="E38" s="74" t="e">
        <f t="shared" ca="1" si="2"/>
        <v>#N/A</v>
      </c>
      <c r="F38" s="75">
        <f ca="1">INDIRECT(ADDRESS($A38,1,3,1,Menus!$K$10))</f>
        <v>0</v>
      </c>
      <c r="G38" s="2" t="e">
        <f ca="1">IF(INDIRECT(ADDRESS($A38,2,3,1,Menus!$K$10))=G$1,$D38,#N/A)</f>
        <v>#N/A</v>
      </c>
      <c r="H38" s="2" t="e">
        <f ca="1">IF(INDIRECT(ADDRESS($A38,2,3,1,Menus!$K$10))=H$1,$D38,#N/A)</f>
        <v>#N/A</v>
      </c>
      <c r="I38" s="2" t="e">
        <f ca="1">IF(INDIRECT(ADDRESS($A38,2,3,1,Menus!$K$10))=I$1,$D38,#N/A)</f>
        <v>#N/A</v>
      </c>
      <c r="J38" s="2" t="e">
        <f ca="1">IF(INDIRECT(ADDRESS($A38,1,3,1,Menus!$K$10))=T(J$1),$D38,#N/A)</f>
        <v>#N/A</v>
      </c>
      <c r="K38" s="10">
        <f t="shared" ca="1" si="1"/>
        <v>0</v>
      </c>
      <c r="L38" s="2"/>
      <c r="M38" s="85">
        <f ca="1">OFFSET(INDIRECT(ADDRESS($A38,3,3,1,"Gross")),0,Menus!$J$4)</f>
        <v>0</v>
      </c>
      <c r="N38" s="85">
        <f ca="1">OFFSET(INDIRECT(ADDRESS($A38,3,3,1,"Gross")),0,Menus!$J$3)</f>
        <v>0</v>
      </c>
    </row>
    <row r="39" spans="1:14" x14ac:dyDescent="0.25">
      <c r="A39">
        <v>96</v>
      </c>
      <c r="B39" s="2">
        <f ca="1">OFFSET(INDIRECT(ADDRESS($A39,3,3,1,Menus!$K$10)),0,Menus!$J$4)</f>
        <v>0</v>
      </c>
      <c r="C39" s="2">
        <f ca="1">OFFSET(INDIRECT(ADDRESS($A39,3,3,1,Menus!$K$10)),0,Menus!$J$3)</f>
        <v>0</v>
      </c>
      <c r="D39" s="73" t="e">
        <f ca="1">IF(Menus!$J$9,C39/B39,C39)</f>
        <v>#DIV/0!</v>
      </c>
      <c r="E39" s="74" t="e">
        <f t="shared" ca="1" si="2"/>
        <v>#N/A</v>
      </c>
      <c r="F39" s="75">
        <f ca="1">INDIRECT(ADDRESS($A39,1,3,1,Menus!$K$10))</f>
        <v>0</v>
      </c>
      <c r="G39" s="2" t="e">
        <f ca="1">IF(INDIRECT(ADDRESS($A39,2,3,1,Menus!$K$10))=G$1,$D39,#N/A)</f>
        <v>#N/A</v>
      </c>
      <c r="H39" s="2" t="e">
        <f ca="1">IF(INDIRECT(ADDRESS($A39,2,3,1,Menus!$K$10))=H$1,$D39,#N/A)</f>
        <v>#N/A</v>
      </c>
      <c r="I39" s="2" t="e">
        <f ca="1">IF(INDIRECT(ADDRESS($A39,2,3,1,Menus!$K$10))=I$1,$D39,#N/A)</f>
        <v>#N/A</v>
      </c>
      <c r="J39" s="2" t="e">
        <f ca="1">IF(INDIRECT(ADDRESS($A39,1,3,1,Menus!$K$10))=T(J$1),$D39,#N/A)</f>
        <v>#N/A</v>
      </c>
      <c r="K39" s="10">
        <f t="shared" ca="1" si="1"/>
        <v>0</v>
      </c>
      <c r="L39" s="2"/>
      <c r="M39" s="85">
        <f ca="1">OFFSET(INDIRECT(ADDRESS($A39,3,3,1,"Gross")),0,Menus!$J$4)</f>
        <v>0</v>
      </c>
      <c r="N39" s="85">
        <f ca="1">OFFSET(INDIRECT(ADDRESS($A39,3,3,1,"Gross")),0,Menus!$J$3)</f>
        <v>0</v>
      </c>
    </row>
    <row r="40" spans="1:14" x14ac:dyDescent="0.25">
      <c r="A40">
        <v>186</v>
      </c>
      <c r="B40" s="2">
        <f ca="1">OFFSET(INDIRECT(ADDRESS($A40,3,3,1,Menus!$K$10)),0,Menus!$J$4)</f>
        <v>0</v>
      </c>
      <c r="C40" s="2">
        <f ca="1">OFFSET(INDIRECT(ADDRESS($A40,3,3,1,Menus!$K$10)),0,Menus!$J$3)</f>
        <v>0</v>
      </c>
      <c r="D40" s="73" t="e">
        <f ca="1">IF(Menus!$J$9,C40/B40,C40)</f>
        <v>#DIV/0!</v>
      </c>
      <c r="E40" s="74" t="e">
        <f t="shared" ca="1" si="2"/>
        <v>#N/A</v>
      </c>
      <c r="F40" s="75">
        <f ca="1">INDIRECT(ADDRESS($A40,1,3,1,Menus!$K$10))</f>
        <v>0</v>
      </c>
      <c r="G40" s="2" t="e">
        <f ca="1">IF(INDIRECT(ADDRESS($A40,2,3,1,Menus!$K$10))=G$1,$D40,#N/A)</f>
        <v>#N/A</v>
      </c>
      <c r="H40" s="2" t="e">
        <f ca="1">IF(INDIRECT(ADDRESS($A40,2,3,1,Menus!$K$10))=H$1,$D40,#N/A)</f>
        <v>#N/A</v>
      </c>
      <c r="I40" s="2" t="e">
        <f ca="1">IF(INDIRECT(ADDRESS($A40,2,3,1,Menus!$K$10))=I$1,$D40,#N/A)</f>
        <v>#N/A</v>
      </c>
      <c r="J40" s="2" t="e">
        <f ca="1">IF(INDIRECT(ADDRESS($A40,1,3,1,Menus!$K$10))=T(J$1),$D40,#N/A)</f>
        <v>#N/A</v>
      </c>
      <c r="K40" s="10">
        <f t="shared" ca="1" si="1"/>
        <v>0</v>
      </c>
      <c r="L40" s="2"/>
      <c r="M40" s="85">
        <f ca="1">OFFSET(INDIRECT(ADDRESS($A40,3,3,1,"Gross")),0,Menus!$J$4)</f>
        <v>0</v>
      </c>
      <c r="N40" s="85">
        <f ca="1">OFFSET(INDIRECT(ADDRESS($A40,3,3,1,"Gross")),0,Menus!$J$3)</f>
        <v>0</v>
      </c>
    </row>
    <row r="41" spans="1:14" x14ac:dyDescent="0.25">
      <c r="A41">
        <v>182</v>
      </c>
      <c r="B41" s="2">
        <f ca="1">OFFSET(INDIRECT(ADDRESS($A41,3,3,1,Menus!$K$10)),0,Menus!$J$4)</f>
        <v>0</v>
      </c>
      <c r="C41" s="2">
        <f ca="1">OFFSET(INDIRECT(ADDRESS($A41,3,3,1,Menus!$K$10)),0,Menus!$J$3)</f>
        <v>0</v>
      </c>
      <c r="D41" s="73" t="e">
        <f ca="1">IF(Menus!$J$9,C41/B41,C41)</f>
        <v>#DIV/0!</v>
      </c>
      <c r="E41" s="74" t="e">
        <f t="shared" ca="1" si="2"/>
        <v>#N/A</v>
      </c>
      <c r="F41" s="75">
        <f ca="1">INDIRECT(ADDRESS($A41,1,3,1,Menus!$K$10))</f>
        <v>0</v>
      </c>
      <c r="G41" s="2" t="e">
        <f ca="1">IF(INDIRECT(ADDRESS($A41,2,3,1,Menus!$K$10))=G$1,$D41,#N/A)</f>
        <v>#N/A</v>
      </c>
      <c r="H41" s="2" t="e">
        <f ca="1">IF(INDIRECT(ADDRESS($A41,2,3,1,Menus!$K$10))=H$1,$D41,#N/A)</f>
        <v>#N/A</v>
      </c>
      <c r="I41" s="2" t="e">
        <f ca="1">IF(INDIRECT(ADDRESS($A41,2,3,1,Menus!$K$10))=I$1,$D41,#N/A)</f>
        <v>#N/A</v>
      </c>
      <c r="J41" s="2" t="e">
        <f ca="1">IF(INDIRECT(ADDRESS($A41,1,3,1,Menus!$K$10))=T(J$1),$D41,#N/A)</f>
        <v>#N/A</v>
      </c>
      <c r="K41" s="10">
        <f t="shared" ca="1" si="1"/>
        <v>0</v>
      </c>
      <c r="L41" s="2"/>
      <c r="M41" s="85">
        <f ca="1">OFFSET(INDIRECT(ADDRESS($A41,3,3,1,"Gross")),0,Menus!$J$4)</f>
        <v>0</v>
      </c>
      <c r="N41" s="85">
        <f ca="1">OFFSET(INDIRECT(ADDRESS($A41,3,3,1,"Gross")),0,Menus!$J$3)</f>
        <v>0</v>
      </c>
    </row>
    <row r="42" spans="1:14" x14ac:dyDescent="0.25">
      <c r="A42">
        <v>56</v>
      </c>
      <c r="B42" s="2">
        <f ca="1">OFFSET(INDIRECT(ADDRESS($A42,3,3,1,Menus!$K$10)),0,Menus!$J$4)</f>
        <v>0</v>
      </c>
      <c r="C42" s="2">
        <f ca="1">OFFSET(INDIRECT(ADDRESS($A42,3,3,1,Menus!$K$10)),0,Menus!$J$3)</f>
        <v>0</v>
      </c>
      <c r="D42" s="73" t="e">
        <f ca="1">IF(Menus!$J$9,C42/B42,C42)</f>
        <v>#DIV/0!</v>
      </c>
      <c r="E42" s="74" t="e">
        <f t="shared" ca="1" si="2"/>
        <v>#N/A</v>
      </c>
      <c r="F42" s="75">
        <f ca="1">INDIRECT(ADDRESS($A42,1,3,1,Menus!$K$10))</f>
        <v>0</v>
      </c>
      <c r="G42" s="2" t="e">
        <f ca="1">IF(INDIRECT(ADDRESS($A42,2,3,1,Menus!$K$10))=G$1,$D42,#N/A)</f>
        <v>#N/A</v>
      </c>
      <c r="H42" s="2" t="e">
        <f ca="1">IF(INDIRECT(ADDRESS($A42,2,3,1,Menus!$K$10))=H$1,$D42,#N/A)</f>
        <v>#N/A</v>
      </c>
      <c r="I42" s="2" t="e">
        <f ca="1">IF(INDIRECT(ADDRESS($A42,2,3,1,Menus!$K$10))=I$1,$D42,#N/A)</f>
        <v>#N/A</v>
      </c>
      <c r="J42" s="2" t="e">
        <f ca="1">IF(INDIRECT(ADDRESS($A42,1,3,1,Menus!$K$10))=T(J$1),$D42,#N/A)</f>
        <v>#N/A</v>
      </c>
      <c r="K42" s="10">
        <f t="shared" ca="1" si="1"/>
        <v>0</v>
      </c>
      <c r="L42" s="2"/>
      <c r="M42" s="85">
        <f ca="1">OFFSET(INDIRECT(ADDRESS($A42,3,3,1,"Gross")),0,Menus!$J$4)</f>
        <v>0</v>
      </c>
      <c r="N42" s="85">
        <f ca="1">OFFSET(INDIRECT(ADDRESS($A42,3,3,1,"Gross")),0,Menus!$J$3)</f>
        <v>0</v>
      </c>
    </row>
    <row r="43" spans="1:14" x14ac:dyDescent="0.25">
      <c r="A43">
        <v>183</v>
      </c>
      <c r="B43" s="2">
        <f ca="1">OFFSET(INDIRECT(ADDRESS($A43,3,3,1,Menus!$K$10)),0,Menus!$J$4)</f>
        <v>0</v>
      </c>
      <c r="C43" s="2">
        <f ca="1">OFFSET(INDIRECT(ADDRESS($A43,3,3,1,Menus!$K$10)),0,Menus!$J$3)</f>
        <v>0</v>
      </c>
      <c r="D43" s="73" t="e">
        <f ca="1">IF(Menus!$J$9,C43/B43,C43)</f>
        <v>#DIV/0!</v>
      </c>
      <c r="E43" s="74" t="e">
        <f t="shared" ca="1" si="2"/>
        <v>#N/A</v>
      </c>
      <c r="F43" s="75">
        <f ca="1">INDIRECT(ADDRESS($A43,1,3,1,Menus!$K$10))</f>
        <v>0</v>
      </c>
      <c r="G43" s="2" t="e">
        <f ca="1">IF(INDIRECT(ADDRESS($A43,2,3,1,Menus!$K$10))=G$1,$D43,#N/A)</f>
        <v>#N/A</v>
      </c>
      <c r="H43" s="2" t="e">
        <f ca="1">IF(INDIRECT(ADDRESS($A43,2,3,1,Menus!$K$10))=H$1,$D43,#N/A)</f>
        <v>#N/A</v>
      </c>
      <c r="I43" s="2" t="e">
        <f ca="1">IF(INDIRECT(ADDRESS($A43,2,3,1,Menus!$K$10))=I$1,$D43,#N/A)</f>
        <v>#N/A</v>
      </c>
      <c r="J43" s="2" t="e">
        <f ca="1">IF(INDIRECT(ADDRESS($A43,1,3,1,Menus!$K$10))=T(J$1),$D43,#N/A)</f>
        <v>#N/A</v>
      </c>
      <c r="K43" s="10">
        <f t="shared" ca="1" si="1"/>
        <v>0</v>
      </c>
      <c r="L43" s="2"/>
      <c r="M43" s="85">
        <f ca="1">OFFSET(INDIRECT(ADDRESS($A43,3,3,1,"Gross")),0,Menus!$J$4)</f>
        <v>0</v>
      </c>
      <c r="N43" s="85">
        <f ca="1">OFFSET(INDIRECT(ADDRESS($A43,3,3,1,"Gross")),0,Menus!$J$3)</f>
        <v>0</v>
      </c>
    </row>
    <row r="44" spans="1:14" x14ac:dyDescent="0.25">
      <c r="A44">
        <v>99</v>
      </c>
      <c r="B44" s="2">
        <f ca="1">OFFSET(INDIRECT(ADDRESS($A44,3,3,1,Menus!$K$10)),0,Menus!$J$4)</f>
        <v>0</v>
      </c>
      <c r="C44" s="2">
        <f ca="1">OFFSET(INDIRECT(ADDRESS($A44,3,3,1,Menus!$K$10)),0,Menus!$J$3)</f>
        <v>0</v>
      </c>
      <c r="D44" s="73" t="e">
        <f ca="1">IF(Menus!$J$9,C44/B44,C44)</f>
        <v>#DIV/0!</v>
      </c>
      <c r="E44" s="74" t="e">
        <f t="shared" ca="1" si="2"/>
        <v>#N/A</v>
      </c>
      <c r="F44" s="75">
        <f ca="1">INDIRECT(ADDRESS($A44,1,3,1,Menus!$K$10))</f>
        <v>0</v>
      </c>
      <c r="G44" s="2" t="e">
        <f ca="1">IF(INDIRECT(ADDRESS($A44,2,3,1,Menus!$K$10))=G$1,$D44,#N/A)</f>
        <v>#N/A</v>
      </c>
      <c r="H44" s="2" t="e">
        <f ca="1">IF(INDIRECT(ADDRESS($A44,2,3,1,Menus!$K$10))=H$1,$D44,#N/A)</f>
        <v>#N/A</v>
      </c>
      <c r="I44" s="2" t="e">
        <f ca="1">IF(INDIRECT(ADDRESS($A44,2,3,1,Menus!$K$10))=I$1,$D44,#N/A)</f>
        <v>#N/A</v>
      </c>
      <c r="J44" s="2" t="e">
        <f ca="1">IF(INDIRECT(ADDRESS($A44,1,3,1,Menus!$K$10))=T(J$1),$D44,#N/A)</f>
        <v>#N/A</v>
      </c>
      <c r="K44" s="10">
        <f t="shared" ca="1" si="1"/>
        <v>0</v>
      </c>
      <c r="L44" s="2"/>
      <c r="M44" s="85">
        <f ca="1">OFFSET(INDIRECT(ADDRESS($A44,3,3,1,"Gross")),0,Menus!$J$4)</f>
        <v>0</v>
      </c>
      <c r="N44" s="85">
        <f ca="1">OFFSET(INDIRECT(ADDRESS($A44,3,3,1,"Gross")),0,Menus!$J$3)</f>
        <v>0</v>
      </c>
    </row>
    <row r="45" spans="1:14" x14ac:dyDescent="0.25">
      <c r="A45">
        <v>148</v>
      </c>
      <c r="B45" s="2">
        <f ca="1">OFFSET(INDIRECT(ADDRESS($A45,3,3,1,Menus!$K$10)),0,Menus!$J$4)</f>
        <v>0</v>
      </c>
      <c r="C45" s="2">
        <f ca="1">OFFSET(INDIRECT(ADDRESS($A45,3,3,1,Menus!$K$10)),0,Menus!$J$3)</f>
        <v>0</v>
      </c>
      <c r="D45" s="73" t="e">
        <f ca="1">IF(Menus!$J$9,C45/B45,C45)</f>
        <v>#DIV/0!</v>
      </c>
      <c r="E45" s="74" t="e">
        <f t="shared" ca="1" si="2"/>
        <v>#N/A</v>
      </c>
      <c r="F45" s="75">
        <f ca="1">INDIRECT(ADDRESS($A45,1,3,1,Menus!$K$10))</f>
        <v>0</v>
      </c>
      <c r="G45" s="2" t="e">
        <f ca="1">IF(INDIRECT(ADDRESS($A45,2,3,1,Menus!$K$10))=G$1,$D45,#N/A)</f>
        <v>#N/A</v>
      </c>
      <c r="H45" s="2" t="e">
        <f ca="1">IF(INDIRECT(ADDRESS($A45,2,3,1,Menus!$K$10))=H$1,$D45,#N/A)</f>
        <v>#N/A</v>
      </c>
      <c r="I45" s="2" t="e">
        <f ca="1">IF(INDIRECT(ADDRESS($A45,2,3,1,Menus!$K$10))=I$1,$D45,#N/A)</f>
        <v>#N/A</v>
      </c>
      <c r="J45" s="2" t="e">
        <f ca="1">IF(INDIRECT(ADDRESS($A45,1,3,1,Menus!$K$10))=T(J$1),$D45,#N/A)</f>
        <v>#N/A</v>
      </c>
      <c r="K45" s="10">
        <f t="shared" ca="1" si="1"/>
        <v>0</v>
      </c>
      <c r="L45" s="2"/>
      <c r="M45" s="85">
        <f ca="1">OFFSET(INDIRECT(ADDRESS($A45,3,3,1,"Gross")),0,Menus!$J$4)</f>
        <v>0</v>
      </c>
      <c r="N45" s="85">
        <f ca="1">OFFSET(INDIRECT(ADDRESS($A45,3,3,1,"Gross")),0,Menus!$J$3)</f>
        <v>0</v>
      </c>
    </row>
    <row r="46" spans="1:14" x14ac:dyDescent="0.25">
      <c r="A46">
        <v>94</v>
      </c>
      <c r="B46" s="2">
        <f ca="1">OFFSET(INDIRECT(ADDRESS($A46,3,3,1,Menus!$K$10)),0,Menus!$J$4)</f>
        <v>0</v>
      </c>
      <c r="C46" s="2">
        <f ca="1">OFFSET(INDIRECT(ADDRESS($A46,3,3,1,Menus!$K$10)),0,Menus!$J$3)</f>
        <v>0</v>
      </c>
      <c r="D46" s="73" t="e">
        <f ca="1">IF(Menus!$J$9,C46/B46,C46)</f>
        <v>#DIV/0!</v>
      </c>
      <c r="E46" s="74" t="e">
        <f t="shared" ca="1" si="2"/>
        <v>#N/A</v>
      </c>
      <c r="F46" s="75">
        <f ca="1">INDIRECT(ADDRESS($A46,1,3,1,Menus!$K$10))</f>
        <v>0</v>
      </c>
      <c r="G46" s="2" t="e">
        <f ca="1">IF(INDIRECT(ADDRESS($A46,2,3,1,Menus!$K$10))=G$1,$D46,#N/A)</f>
        <v>#N/A</v>
      </c>
      <c r="H46" s="2" t="e">
        <f ca="1">IF(INDIRECT(ADDRESS($A46,2,3,1,Menus!$K$10))=H$1,$D46,#N/A)</f>
        <v>#N/A</v>
      </c>
      <c r="I46" s="2" t="e">
        <f ca="1">IF(INDIRECT(ADDRESS($A46,2,3,1,Menus!$K$10))=I$1,$D46,#N/A)</f>
        <v>#N/A</v>
      </c>
      <c r="J46" s="2" t="e">
        <f ca="1">IF(INDIRECT(ADDRESS($A46,1,3,1,Menus!$K$10))=T(J$1),$D46,#N/A)</f>
        <v>#N/A</v>
      </c>
      <c r="K46" s="10">
        <f t="shared" ca="1" si="1"/>
        <v>0</v>
      </c>
      <c r="L46" s="2"/>
      <c r="M46" s="85">
        <f ca="1">OFFSET(INDIRECT(ADDRESS($A46,3,3,1,"Gross")),0,Menus!$J$4)</f>
        <v>0</v>
      </c>
      <c r="N46" s="85">
        <f ca="1">OFFSET(INDIRECT(ADDRESS($A46,3,3,1,"Gross")),0,Menus!$J$3)</f>
        <v>0</v>
      </c>
    </row>
    <row r="47" spans="1:14" x14ac:dyDescent="0.25">
      <c r="A47">
        <v>194</v>
      </c>
      <c r="B47" s="2">
        <f ca="1">OFFSET(INDIRECT(ADDRESS($A47,3,3,1,Menus!$K$10)),0,Menus!$J$4)</f>
        <v>0</v>
      </c>
      <c r="C47" s="2">
        <f ca="1">OFFSET(INDIRECT(ADDRESS($A47,3,3,1,Menus!$K$10)),0,Menus!$J$3)</f>
        <v>0</v>
      </c>
      <c r="D47" s="73" t="e">
        <f ca="1">IF(Menus!$J$9,C47/B47,C47)</f>
        <v>#DIV/0!</v>
      </c>
      <c r="E47" s="74" t="e">
        <f t="shared" ca="1" si="2"/>
        <v>#N/A</v>
      </c>
      <c r="F47" s="75">
        <f ca="1">INDIRECT(ADDRESS($A47,1,3,1,Menus!$K$10))</f>
        <v>0</v>
      </c>
      <c r="G47" s="2" t="e">
        <f ca="1">IF(INDIRECT(ADDRESS($A47,2,3,1,Menus!$K$10))=G$1,$D47,#N/A)</f>
        <v>#N/A</v>
      </c>
      <c r="H47" s="2" t="e">
        <f ca="1">IF(INDIRECT(ADDRESS($A47,2,3,1,Menus!$K$10))=H$1,$D47,#N/A)</f>
        <v>#N/A</v>
      </c>
      <c r="I47" s="2" t="e">
        <f ca="1">IF(INDIRECT(ADDRESS($A47,2,3,1,Menus!$K$10))=I$1,$D47,#N/A)</f>
        <v>#N/A</v>
      </c>
      <c r="J47" s="2" t="e">
        <f ca="1">IF(INDIRECT(ADDRESS($A47,1,3,1,Menus!$K$10))=T(J$1),$D47,#N/A)</f>
        <v>#N/A</v>
      </c>
      <c r="K47" s="10">
        <f t="shared" ca="1" si="1"/>
        <v>0</v>
      </c>
      <c r="L47" s="2"/>
      <c r="M47" s="85">
        <f ca="1">OFFSET(INDIRECT(ADDRESS($A47,3,3,1,"Gross")),0,Menus!$J$4)</f>
        <v>0</v>
      </c>
      <c r="N47" s="85">
        <f ca="1">OFFSET(INDIRECT(ADDRESS($A47,3,3,1,"Gross")),0,Menus!$J$3)</f>
        <v>0</v>
      </c>
    </row>
    <row r="48" spans="1:14" x14ac:dyDescent="0.25">
      <c r="A48">
        <v>136</v>
      </c>
      <c r="B48" s="2">
        <f ca="1">OFFSET(INDIRECT(ADDRESS($A48,3,3,1,Menus!$K$10)),0,Menus!$J$4)</f>
        <v>0</v>
      </c>
      <c r="C48" s="2">
        <f ca="1">OFFSET(INDIRECT(ADDRESS($A48,3,3,1,Menus!$K$10)),0,Menus!$J$3)</f>
        <v>0</v>
      </c>
      <c r="D48" s="73" t="e">
        <f ca="1">IF(Menus!$J$9,C48/B48,C48)</f>
        <v>#DIV/0!</v>
      </c>
      <c r="E48" s="74" t="e">
        <f t="shared" ca="1" si="2"/>
        <v>#N/A</v>
      </c>
      <c r="F48" s="75">
        <f ca="1">INDIRECT(ADDRESS($A48,1,3,1,Menus!$K$10))</f>
        <v>0</v>
      </c>
      <c r="G48" s="2" t="e">
        <f ca="1">IF(INDIRECT(ADDRESS($A48,2,3,1,Menus!$K$10))=G$1,$D48,#N/A)</f>
        <v>#N/A</v>
      </c>
      <c r="H48" s="2" t="e">
        <f ca="1">IF(INDIRECT(ADDRESS($A48,2,3,1,Menus!$K$10))=H$1,$D48,#N/A)</f>
        <v>#N/A</v>
      </c>
      <c r="I48" s="2" t="e">
        <f ca="1">IF(INDIRECT(ADDRESS($A48,2,3,1,Menus!$K$10))=I$1,$D48,#N/A)</f>
        <v>#N/A</v>
      </c>
      <c r="J48" s="2" t="e">
        <f ca="1">IF(INDIRECT(ADDRESS($A48,1,3,1,Menus!$K$10))=T(J$1),$D48,#N/A)</f>
        <v>#N/A</v>
      </c>
      <c r="K48" s="10">
        <f t="shared" ca="1" si="1"/>
        <v>0</v>
      </c>
      <c r="L48" s="2"/>
      <c r="M48" s="85">
        <f ca="1">OFFSET(INDIRECT(ADDRESS($A48,3,3,1,"Gross")),0,Menus!$J$4)</f>
        <v>0</v>
      </c>
      <c r="N48" s="85">
        <f ca="1">OFFSET(INDIRECT(ADDRESS($A48,3,3,1,"Gross")),0,Menus!$J$3)</f>
        <v>0</v>
      </c>
    </row>
    <row r="49" spans="1:14" x14ac:dyDescent="0.25">
      <c r="A49">
        <v>196</v>
      </c>
      <c r="B49" s="2">
        <f ca="1">OFFSET(INDIRECT(ADDRESS($A49,3,3,1,Menus!$K$10)),0,Menus!$J$4)</f>
        <v>0</v>
      </c>
      <c r="C49" s="2">
        <f ca="1">OFFSET(INDIRECT(ADDRESS($A49,3,3,1,Menus!$K$10)),0,Menus!$J$3)</f>
        <v>0</v>
      </c>
      <c r="D49" s="73" t="e">
        <f ca="1">IF(Menus!$J$9,C49/B49,C49)</f>
        <v>#DIV/0!</v>
      </c>
      <c r="E49" s="74" t="e">
        <f t="shared" ca="1" si="2"/>
        <v>#N/A</v>
      </c>
      <c r="F49" s="75">
        <f ca="1">INDIRECT(ADDRESS($A49,1,3,1,Menus!$K$10))</f>
        <v>0</v>
      </c>
      <c r="G49" s="2" t="e">
        <f ca="1">IF(INDIRECT(ADDRESS($A49,2,3,1,Menus!$K$10))=G$1,$D49,#N/A)</f>
        <v>#N/A</v>
      </c>
      <c r="H49" s="2" t="e">
        <f ca="1">IF(INDIRECT(ADDRESS($A49,2,3,1,Menus!$K$10))=H$1,$D49,#N/A)</f>
        <v>#N/A</v>
      </c>
      <c r="I49" s="2" t="e">
        <f ca="1">IF(INDIRECT(ADDRESS($A49,2,3,1,Menus!$K$10))=I$1,$D49,#N/A)</f>
        <v>#N/A</v>
      </c>
      <c r="J49" s="2" t="e">
        <f ca="1">IF(INDIRECT(ADDRESS($A49,1,3,1,Menus!$K$10))=T(J$1),$D49,#N/A)</f>
        <v>#N/A</v>
      </c>
      <c r="K49" s="10">
        <f t="shared" ca="1" si="1"/>
        <v>0</v>
      </c>
      <c r="L49" s="2"/>
      <c r="M49" s="85">
        <f ca="1">OFFSET(INDIRECT(ADDRESS($A49,3,3,1,"Gross")),0,Menus!$J$4)</f>
        <v>0</v>
      </c>
      <c r="N49" s="85">
        <f ca="1">OFFSET(INDIRECT(ADDRESS($A49,3,3,1,"Gross")),0,Menus!$J$3)</f>
        <v>0</v>
      </c>
    </row>
    <row r="50" spans="1:14" x14ac:dyDescent="0.25">
      <c r="A50">
        <v>179</v>
      </c>
      <c r="B50" s="2">
        <f ca="1">OFFSET(INDIRECT(ADDRESS($A50,3,3,1,Menus!$K$10)),0,Menus!$J$4)</f>
        <v>0</v>
      </c>
      <c r="C50" s="2">
        <f ca="1">OFFSET(INDIRECT(ADDRESS($A50,3,3,1,Menus!$K$10)),0,Menus!$J$3)</f>
        <v>0</v>
      </c>
      <c r="D50" s="73" t="e">
        <f ca="1">IF(Menus!$J$9,C50/B50,C50)</f>
        <v>#DIV/0!</v>
      </c>
      <c r="E50" s="74" t="e">
        <f t="shared" ca="1" si="2"/>
        <v>#N/A</v>
      </c>
      <c r="F50" s="75">
        <f ca="1">INDIRECT(ADDRESS($A50,1,3,1,Menus!$K$10))</f>
        <v>0</v>
      </c>
      <c r="G50" s="2" t="e">
        <f ca="1">IF(INDIRECT(ADDRESS($A50,2,3,1,Menus!$K$10))=G$1,$D50,#N/A)</f>
        <v>#N/A</v>
      </c>
      <c r="H50" s="2" t="e">
        <f ca="1">IF(INDIRECT(ADDRESS($A50,2,3,1,Menus!$K$10))=H$1,$D50,#N/A)</f>
        <v>#N/A</v>
      </c>
      <c r="I50" s="2" t="e">
        <f ca="1">IF(INDIRECT(ADDRESS($A50,2,3,1,Menus!$K$10))=I$1,$D50,#N/A)</f>
        <v>#N/A</v>
      </c>
      <c r="J50" s="2" t="e">
        <f ca="1">IF(INDIRECT(ADDRESS($A50,1,3,1,Menus!$K$10))=T(J$1),$D50,#N/A)</f>
        <v>#N/A</v>
      </c>
      <c r="K50" s="10">
        <f t="shared" ca="1" si="1"/>
        <v>0</v>
      </c>
      <c r="L50" s="2"/>
      <c r="M50" s="85">
        <f ca="1">OFFSET(INDIRECT(ADDRESS($A50,3,3,1,"Gross")),0,Menus!$J$4)</f>
        <v>0</v>
      </c>
      <c r="N50" s="85">
        <f ca="1">OFFSET(INDIRECT(ADDRESS($A50,3,3,1,"Gross")),0,Menus!$J$3)</f>
        <v>0</v>
      </c>
    </row>
    <row r="51" spans="1:14" x14ac:dyDescent="0.25">
      <c r="A51">
        <v>157</v>
      </c>
      <c r="B51" s="2">
        <f ca="1">OFFSET(INDIRECT(ADDRESS($A51,3,3,1,Menus!$K$10)),0,Menus!$J$4)</f>
        <v>0</v>
      </c>
      <c r="C51" s="2">
        <f ca="1">OFFSET(INDIRECT(ADDRESS($A51,3,3,1,Menus!$K$10)),0,Menus!$J$3)</f>
        <v>0</v>
      </c>
      <c r="D51" s="73" t="e">
        <f ca="1">IF(Menus!$J$9,C51/B51,C51)</f>
        <v>#DIV/0!</v>
      </c>
      <c r="E51" s="74" t="e">
        <f t="shared" ca="1" si="2"/>
        <v>#N/A</v>
      </c>
      <c r="F51" s="75">
        <f ca="1">INDIRECT(ADDRESS($A51,1,3,1,Menus!$K$10))</f>
        <v>0</v>
      </c>
      <c r="G51" s="2" t="e">
        <f ca="1">IF(INDIRECT(ADDRESS($A51,2,3,1,Menus!$K$10))=G$1,$D51,#N/A)</f>
        <v>#N/A</v>
      </c>
      <c r="H51" s="2" t="e">
        <f ca="1">IF(INDIRECT(ADDRESS($A51,2,3,1,Menus!$K$10))=H$1,$D51,#N/A)</f>
        <v>#N/A</v>
      </c>
      <c r="I51" s="2" t="e">
        <f ca="1">IF(INDIRECT(ADDRESS($A51,2,3,1,Menus!$K$10))=I$1,$D51,#N/A)</f>
        <v>#N/A</v>
      </c>
      <c r="J51" s="2" t="e">
        <f ca="1">IF(INDIRECT(ADDRESS($A51,1,3,1,Menus!$K$10))=T(J$1),$D51,#N/A)</f>
        <v>#N/A</v>
      </c>
      <c r="K51" s="10">
        <f t="shared" ca="1" si="1"/>
        <v>0</v>
      </c>
      <c r="L51" s="2"/>
      <c r="M51" s="85">
        <f ca="1">OFFSET(INDIRECT(ADDRESS($A51,3,3,1,"Gross")),0,Menus!$J$4)</f>
        <v>0</v>
      </c>
      <c r="N51" s="85">
        <f ca="1">OFFSET(INDIRECT(ADDRESS($A51,3,3,1,"Gross")),0,Menus!$J$3)</f>
        <v>0</v>
      </c>
    </row>
    <row r="52" spans="1:14" x14ac:dyDescent="0.25">
      <c r="A52">
        <v>159</v>
      </c>
      <c r="B52" s="2">
        <f ca="1">OFFSET(INDIRECT(ADDRESS($A52,3,3,1,Menus!$K$10)),0,Menus!$J$4)</f>
        <v>0</v>
      </c>
      <c r="C52" s="2">
        <f ca="1">OFFSET(INDIRECT(ADDRESS($A52,3,3,1,Menus!$K$10)),0,Menus!$J$3)</f>
        <v>0</v>
      </c>
      <c r="D52" s="73" t="e">
        <f ca="1">IF(Menus!$J$9,C52/B52,C52)</f>
        <v>#DIV/0!</v>
      </c>
      <c r="E52" s="74" t="e">
        <f t="shared" ca="1" si="2"/>
        <v>#N/A</v>
      </c>
      <c r="F52" s="75">
        <f ca="1">INDIRECT(ADDRESS($A52,1,3,1,Menus!$K$10))</f>
        <v>0</v>
      </c>
      <c r="G52" s="2" t="e">
        <f ca="1">IF(INDIRECT(ADDRESS($A52,2,3,1,Menus!$K$10))=G$1,$D52,#N/A)</f>
        <v>#N/A</v>
      </c>
      <c r="H52" s="2" t="e">
        <f ca="1">IF(INDIRECT(ADDRESS($A52,2,3,1,Menus!$K$10))=H$1,$D52,#N/A)</f>
        <v>#N/A</v>
      </c>
      <c r="I52" s="2" t="e">
        <f ca="1">IF(INDIRECT(ADDRESS($A52,2,3,1,Menus!$K$10))=I$1,$D52,#N/A)</f>
        <v>#N/A</v>
      </c>
      <c r="J52" s="2" t="e">
        <f ca="1">IF(INDIRECT(ADDRESS($A52,1,3,1,Menus!$K$10))=T(J$1),$D52,#N/A)</f>
        <v>#N/A</v>
      </c>
      <c r="K52" s="10">
        <f t="shared" ca="1" si="1"/>
        <v>0</v>
      </c>
      <c r="L52" s="2"/>
      <c r="M52" s="85">
        <f ca="1">OFFSET(INDIRECT(ADDRESS($A52,3,3,1,"Gross")),0,Menus!$J$4)</f>
        <v>0</v>
      </c>
      <c r="N52" s="85">
        <f ca="1">OFFSET(INDIRECT(ADDRESS($A52,3,3,1,"Gross")),0,Menus!$J$3)</f>
        <v>0</v>
      </c>
    </row>
    <row r="53" spans="1:14" x14ac:dyDescent="0.25">
      <c r="A53">
        <v>93</v>
      </c>
      <c r="B53" s="2">
        <f ca="1">OFFSET(INDIRECT(ADDRESS($A53,3,3,1,Menus!$K$10)),0,Menus!$J$4)</f>
        <v>0</v>
      </c>
      <c r="C53" s="2">
        <f ca="1">OFFSET(INDIRECT(ADDRESS($A53,3,3,1,Menus!$K$10)),0,Menus!$J$3)</f>
        <v>0</v>
      </c>
      <c r="D53" s="73" t="e">
        <f ca="1">IF(Menus!$J$9,C53/B53,C53)</f>
        <v>#DIV/0!</v>
      </c>
      <c r="E53" s="74" t="e">
        <f t="shared" ca="1" si="2"/>
        <v>#N/A</v>
      </c>
      <c r="F53" s="75">
        <f ca="1">INDIRECT(ADDRESS($A53,1,3,1,Menus!$K$10))</f>
        <v>0</v>
      </c>
      <c r="G53" s="2" t="e">
        <f ca="1">IF(INDIRECT(ADDRESS($A53,2,3,1,Menus!$K$10))=G$1,$D53,#N/A)</f>
        <v>#N/A</v>
      </c>
      <c r="H53" s="2" t="e">
        <f ca="1">IF(INDIRECT(ADDRESS($A53,2,3,1,Menus!$K$10))=H$1,$D53,#N/A)</f>
        <v>#N/A</v>
      </c>
      <c r="I53" s="2" t="e">
        <f ca="1">IF(INDIRECT(ADDRESS($A53,2,3,1,Menus!$K$10))=I$1,$D53,#N/A)</f>
        <v>#N/A</v>
      </c>
      <c r="J53" s="2" t="e">
        <f ca="1">IF(INDIRECT(ADDRESS($A53,1,3,1,Menus!$K$10))=T(J$1),$D53,#N/A)</f>
        <v>#N/A</v>
      </c>
      <c r="K53" s="10">
        <f t="shared" ca="1" si="1"/>
        <v>0</v>
      </c>
      <c r="L53" s="2"/>
      <c r="M53" s="85">
        <f ca="1">OFFSET(INDIRECT(ADDRESS($A53,3,3,1,"Gross")),0,Menus!$J$4)</f>
        <v>0</v>
      </c>
      <c r="N53" s="85">
        <f ca="1">OFFSET(INDIRECT(ADDRESS($A53,3,3,1,"Gross")),0,Menus!$J$3)</f>
        <v>0</v>
      </c>
    </row>
    <row r="54" spans="1:14" x14ac:dyDescent="0.25">
      <c r="A54">
        <v>79</v>
      </c>
      <c r="B54" s="2">
        <f ca="1">OFFSET(INDIRECT(ADDRESS($A54,3,3,1,Menus!$K$10)),0,Menus!$J$4)</f>
        <v>0</v>
      </c>
      <c r="C54" s="2">
        <f ca="1">OFFSET(INDIRECT(ADDRESS($A54,3,3,1,Menus!$K$10)),0,Menus!$J$3)</f>
        <v>0</v>
      </c>
      <c r="D54" s="73" t="e">
        <f ca="1">IF(Menus!$J$9,C54/B54,C54)</f>
        <v>#DIV/0!</v>
      </c>
      <c r="E54" s="74" t="e">
        <f t="shared" ca="1" si="2"/>
        <v>#N/A</v>
      </c>
      <c r="F54" s="75">
        <f ca="1">INDIRECT(ADDRESS($A54,1,3,1,Menus!$K$10))</f>
        <v>0</v>
      </c>
      <c r="G54" s="2" t="e">
        <f ca="1">IF(INDIRECT(ADDRESS($A54,2,3,1,Menus!$K$10))=G$1,$D54,#N/A)</f>
        <v>#N/A</v>
      </c>
      <c r="H54" s="2" t="e">
        <f ca="1">IF(INDIRECT(ADDRESS($A54,2,3,1,Menus!$K$10))=H$1,$D54,#N/A)</f>
        <v>#N/A</v>
      </c>
      <c r="I54" s="2" t="e">
        <f ca="1">IF(INDIRECT(ADDRESS($A54,2,3,1,Menus!$K$10))=I$1,$D54,#N/A)</f>
        <v>#N/A</v>
      </c>
      <c r="J54" s="2" t="e">
        <f ca="1">IF(INDIRECT(ADDRESS($A54,1,3,1,Menus!$K$10))=T(J$1),$D54,#N/A)</f>
        <v>#N/A</v>
      </c>
      <c r="K54" s="10">
        <f t="shared" ca="1" si="1"/>
        <v>0</v>
      </c>
      <c r="L54" s="2"/>
      <c r="M54" s="85">
        <f ca="1">OFFSET(INDIRECT(ADDRESS($A54,3,3,1,"Gross")),0,Menus!$J$4)</f>
        <v>0</v>
      </c>
      <c r="N54" s="85">
        <f ca="1">OFFSET(INDIRECT(ADDRESS($A54,3,3,1,"Gross")),0,Menus!$J$3)</f>
        <v>0</v>
      </c>
    </row>
    <row r="55" spans="1:14" x14ac:dyDescent="0.25">
      <c r="A55">
        <v>53</v>
      </c>
      <c r="B55" s="2">
        <f ca="1">OFFSET(INDIRECT(ADDRESS($A55,3,3,1,Menus!$K$10)),0,Menus!$J$4)</f>
        <v>0</v>
      </c>
      <c r="C55" s="2">
        <f ca="1">OFFSET(INDIRECT(ADDRESS($A55,3,3,1,Menus!$K$10)),0,Menus!$J$3)</f>
        <v>0</v>
      </c>
      <c r="D55" s="73" t="e">
        <f ca="1">IF(Menus!$J$9,C55/B55,C55)</f>
        <v>#DIV/0!</v>
      </c>
      <c r="E55" s="74" t="e">
        <f t="shared" ca="1" si="2"/>
        <v>#N/A</v>
      </c>
      <c r="F55" s="75">
        <f ca="1">INDIRECT(ADDRESS($A55,1,3,1,Menus!$K$10))</f>
        <v>0</v>
      </c>
      <c r="G55" s="2" t="e">
        <f ca="1">IF(INDIRECT(ADDRESS($A55,2,3,1,Menus!$K$10))=G$1,$D55,#N/A)</f>
        <v>#N/A</v>
      </c>
      <c r="H55" s="2" t="e">
        <f ca="1">IF(INDIRECT(ADDRESS($A55,2,3,1,Menus!$K$10))=H$1,$D55,#N/A)</f>
        <v>#N/A</v>
      </c>
      <c r="I55" s="2" t="e">
        <f ca="1">IF(INDIRECT(ADDRESS($A55,2,3,1,Menus!$K$10))=I$1,$D55,#N/A)</f>
        <v>#N/A</v>
      </c>
      <c r="J55" s="2" t="e">
        <f ca="1">IF(INDIRECT(ADDRESS($A55,1,3,1,Menus!$K$10))=T(J$1),$D55,#N/A)</f>
        <v>#N/A</v>
      </c>
      <c r="K55" s="10">
        <f t="shared" ca="1" si="1"/>
        <v>0</v>
      </c>
      <c r="L55" s="2"/>
      <c r="M55" s="85">
        <f ca="1">OFFSET(INDIRECT(ADDRESS($A55,3,3,1,"Gross")),0,Menus!$J$4)</f>
        <v>0</v>
      </c>
      <c r="N55" s="85">
        <f ca="1">OFFSET(INDIRECT(ADDRESS($A55,3,3,1,"Gross")),0,Menus!$J$3)</f>
        <v>0</v>
      </c>
    </row>
    <row r="56" spans="1:14" x14ac:dyDescent="0.25">
      <c r="A56">
        <v>124</v>
      </c>
      <c r="B56" s="2">
        <f ca="1">OFFSET(INDIRECT(ADDRESS($A56,3,3,1,Menus!$K$10)),0,Menus!$J$4)</f>
        <v>0</v>
      </c>
      <c r="C56" s="2">
        <f ca="1">OFFSET(INDIRECT(ADDRESS($A56,3,3,1,Menus!$K$10)),0,Menus!$J$3)</f>
        <v>0</v>
      </c>
      <c r="D56" s="73" t="e">
        <f ca="1">IF(Menus!$J$9,C56/B56,C56)</f>
        <v>#DIV/0!</v>
      </c>
      <c r="E56" s="74" t="e">
        <f t="shared" ca="1" si="2"/>
        <v>#N/A</v>
      </c>
      <c r="F56" s="75">
        <f ca="1">INDIRECT(ADDRESS($A56,1,3,1,Menus!$K$10))</f>
        <v>0</v>
      </c>
      <c r="G56" s="2" t="e">
        <f ca="1">IF(INDIRECT(ADDRESS($A56,2,3,1,Menus!$K$10))=G$1,$D56,#N/A)</f>
        <v>#N/A</v>
      </c>
      <c r="H56" s="2" t="e">
        <f ca="1">IF(INDIRECT(ADDRESS($A56,2,3,1,Menus!$K$10))=H$1,$D56,#N/A)</f>
        <v>#N/A</v>
      </c>
      <c r="I56" s="2" t="e">
        <f ca="1">IF(INDIRECT(ADDRESS($A56,2,3,1,Menus!$K$10))=I$1,$D56,#N/A)</f>
        <v>#N/A</v>
      </c>
      <c r="J56" s="2" t="e">
        <f ca="1">IF(INDIRECT(ADDRESS($A56,1,3,1,Menus!$K$10))=T(J$1),$D56,#N/A)</f>
        <v>#N/A</v>
      </c>
      <c r="K56" s="10">
        <f t="shared" ca="1" si="1"/>
        <v>0</v>
      </c>
      <c r="L56" s="2"/>
      <c r="M56" s="85">
        <f ca="1">OFFSET(INDIRECT(ADDRESS($A56,3,3,1,"Gross")),0,Menus!$J$4)</f>
        <v>0</v>
      </c>
      <c r="N56" s="85">
        <f ca="1">OFFSET(INDIRECT(ADDRESS($A56,3,3,1,"Gross")),0,Menus!$J$3)</f>
        <v>0</v>
      </c>
    </row>
    <row r="57" spans="1:14" x14ac:dyDescent="0.25">
      <c r="A57">
        <v>126</v>
      </c>
      <c r="B57" s="2">
        <f ca="1">OFFSET(INDIRECT(ADDRESS($A57,3,3,1,Menus!$K$10)),0,Menus!$J$4)</f>
        <v>0</v>
      </c>
      <c r="C57" s="2">
        <f ca="1">OFFSET(INDIRECT(ADDRESS($A57,3,3,1,Menus!$K$10)),0,Menus!$J$3)</f>
        <v>0</v>
      </c>
      <c r="D57" s="73" t="e">
        <f ca="1">IF(Menus!$J$9,C57/B57,C57)</f>
        <v>#DIV/0!</v>
      </c>
      <c r="E57" s="74" t="e">
        <f t="shared" ca="1" si="2"/>
        <v>#N/A</v>
      </c>
      <c r="F57" s="75">
        <f ca="1">INDIRECT(ADDRESS($A57,1,3,1,Menus!$K$10))</f>
        <v>0</v>
      </c>
      <c r="G57" s="2" t="e">
        <f ca="1">IF(INDIRECT(ADDRESS($A57,2,3,1,Menus!$K$10))=G$1,$D57,#N/A)</f>
        <v>#N/A</v>
      </c>
      <c r="H57" s="2" t="e">
        <f ca="1">IF(INDIRECT(ADDRESS($A57,2,3,1,Menus!$K$10))=H$1,$D57,#N/A)</f>
        <v>#N/A</v>
      </c>
      <c r="I57" s="2" t="e">
        <f ca="1">IF(INDIRECT(ADDRESS($A57,2,3,1,Menus!$K$10))=I$1,$D57,#N/A)</f>
        <v>#N/A</v>
      </c>
      <c r="J57" s="2" t="e">
        <f ca="1">IF(INDIRECT(ADDRESS($A57,1,3,1,Menus!$K$10))=T(J$1),$D57,#N/A)</f>
        <v>#N/A</v>
      </c>
      <c r="K57" s="10">
        <f t="shared" ca="1" si="1"/>
        <v>0</v>
      </c>
      <c r="L57" s="2"/>
      <c r="M57" s="85">
        <f ca="1">OFFSET(INDIRECT(ADDRESS($A57,3,3,1,"Gross")),0,Menus!$J$4)</f>
        <v>0</v>
      </c>
      <c r="N57" s="85">
        <f ca="1">OFFSET(INDIRECT(ADDRESS($A57,3,3,1,"Gross")),0,Menus!$J$3)</f>
        <v>0</v>
      </c>
    </row>
    <row r="58" spans="1:14" x14ac:dyDescent="0.25">
      <c r="A58">
        <v>162</v>
      </c>
      <c r="B58" s="2">
        <f ca="1">OFFSET(INDIRECT(ADDRESS($A58,3,3,1,Menus!$K$10)),0,Menus!$J$4)</f>
        <v>0</v>
      </c>
      <c r="C58" s="2">
        <f ca="1">OFFSET(INDIRECT(ADDRESS($A58,3,3,1,Menus!$K$10)),0,Menus!$J$3)</f>
        <v>0</v>
      </c>
      <c r="D58" s="73" t="e">
        <f ca="1">IF(Menus!$J$9,C58/B58,C58)</f>
        <v>#DIV/0!</v>
      </c>
      <c r="E58" s="74" t="e">
        <f t="shared" ca="1" si="2"/>
        <v>#N/A</v>
      </c>
      <c r="F58" s="75">
        <f ca="1">INDIRECT(ADDRESS($A58,1,3,1,Menus!$K$10))</f>
        <v>0</v>
      </c>
      <c r="G58" s="2" t="e">
        <f ca="1">IF(INDIRECT(ADDRESS($A58,2,3,1,Menus!$K$10))=G$1,$D58,#N/A)</f>
        <v>#N/A</v>
      </c>
      <c r="H58" s="2" t="e">
        <f ca="1">IF(INDIRECT(ADDRESS($A58,2,3,1,Menus!$K$10))=H$1,$D58,#N/A)</f>
        <v>#N/A</v>
      </c>
      <c r="I58" s="2" t="e">
        <f ca="1">IF(INDIRECT(ADDRESS($A58,2,3,1,Menus!$K$10))=I$1,$D58,#N/A)</f>
        <v>#N/A</v>
      </c>
      <c r="J58" s="2" t="e">
        <f ca="1">IF(INDIRECT(ADDRESS($A58,1,3,1,Menus!$K$10))=T(J$1),$D58,#N/A)</f>
        <v>#N/A</v>
      </c>
      <c r="K58" s="10">
        <f t="shared" ca="1" si="1"/>
        <v>0</v>
      </c>
      <c r="L58" s="2"/>
      <c r="M58" s="85">
        <f ca="1">OFFSET(INDIRECT(ADDRESS($A58,3,3,1,"Gross")),0,Menus!$J$4)</f>
        <v>0</v>
      </c>
      <c r="N58" s="85">
        <f ca="1">OFFSET(INDIRECT(ADDRESS($A58,3,3,1,"Gross")),0,Menus!$J$3)</f>
        <v>0</v>
      </c>
    </row>
    <row r="59" spans="1:14" x14ac:dyDescent="0.25">
      <c r="A59">
        <v>70</v>
      </c>
      <c r="B59" s="2">
        <f ca="1">OFFSET(INDIRECT(ADDRESS($A59,3,3,1,Menus!$K$10)),0,Menus!$J$4)</f>
        <v>0</v>
      </c>
      <c r="C59" s="2">
        <f ca="1">OFFSET(INDIRECT(ADDRESS($A59,3,3,1,Menus!$K$10)),0,Menus!$J$3)</f>
        <v>0</v>
      </c>
      <c r="D59" s="73" t="e">
        <f ca="1">IF(Menus!$J$9,C59/B59,C59)</f>
        <v>#DIV/0!</v>
      </c>
      <c r="E59" s="74" t="e">
        <f t="shared" ca="1" si="2"/>
        <v>#N/A</v>
      </c>
      <c r="F59" s="75">
        <f ca="1">INDIRECT(ADDRESS($A59,1,3,1,Menus!$K$10))</f>
        <v>0</v>
      </c>
      <c r="G59" s="2" t="e">
        <f ca="1">IF(INDIRECT(ADDRESS($A59,2,3,1,Menus!$K$10))=G$1,$D59,#N/A)</f>
        <v>#N/A</v>
      </c>
      <c r="H59" s="2" t="e">
        <f ca="1">IF(INDIRECT(ADDRESS($A59,2,3,1,Menus!$K$10))=H$1,$D59,#N/A)</f>
        <v>#N/A</v>
      </c>
      <c r="I59" s="2" t="e">
        <f ca="1">IF(INDIRECT(ADDRESS($A59,2,3,1,Menus!$K$10))=I$1,$D59,#N/A)</f>
        <v>#N/A</v>
      </c>
      <c r="J59" s="2" t="e">
        <f ca="1">IF(INDIRECT(ADDRESS($A59,1,3,1,Menus!$K$10))=T(J$1),$D59,#N/A)</f>
        <v>#N/A</v>
      </c>
      <c r="K59" s="10">
        <f t="shared" ca="1" si="1"/>
        <v>0</v>
      </c>
      <c r="L59" s="2"/>
      <c r="M59" s="85">
        <f ca="1">OFFSET(INDIRECT(ADDRESS($A59,3,3,1,"Gross")),0,Menus!$J$4)</f>
        <v>0</v>
      </c>
      <c r="N59" s="85">
        <f ca="1">OFFSET(INDIRECT(ADDRESS($A59,3,3,1,"Gross")),0,Menus!$J$3)</f>
        <v>0</v>
      </c>
    </row>
    <row r="60" spans="1:14" x14ac:dyDescent="0.25">
      <c r="A60">
        <v>58</v>
      </c>
      <c r="B60" s="2">
        <f ca="1">OFFSET(INDIRECT(ADDRESS($A60,3,3,1,Menus!$K$10)),0,Menus!$J$4)</f>
        <v>0</v>
      </c>
      <c r="C60" s="2">
        <f ca="1">OFFSET(INDIRECT(ADDRESS($A60,3,3,1,Menus!$K$10)),0,Menus!$J$3)</f>
        <v>0</v>
      </c>
      <c r="D60" s="73" t="e">
        <f ca="1">IF(Menus!$J$9,C60/B60,C60)</f>
        <v>#DIV/0!</v>
      </c>
      <c r="E60" s="74" t="e">
        <f t="shared" ca="1" si="2"/>
        <v>#N/A</v>
      </c>
      <c r="F60" s="75">
        <f ca="1">INDIRECT(ADDRESS($A60,1,3,1,Menus!$K$10))</f>
        <v>0</v>
      </c>
      <c r="G60" s="2" t="e">
        <f ca="1">IF(INDIRECT(ADDRESS($A60,2,3,1,Menus!$K$10))=G$1,$D60,#N/A)</f>
        <v>#N/A</v>
      </c>
      <c r="H60" s="2" t="e">
        <f ca="1">IF(INDIRECT(ADDRESS($A60,2,3,1,Menus!$K$10))=H$1,$D60,#N/A)</f>
        <v>#N/A</v>
      </c>
      <c r="I60" s="2" t="e">
        <f ca="1">IF(INDIRECT(ADDRESS($A60,2,3,1,Menus!$K$10))=I$1,$D60,#N/A)</f>
        <v>#N/A</v>
      </c>
      <c r="J60" s="2" t="e">
        <f ca="1">IF(INDIRECT(ADDRESS($A60,1,3,1,Menus!$K$10))=T(J$1),$D60,#N/A)</f>
        <v>#N/A</v>
      </c>
      <c r="K60" s="10">
        <f t="shared" ca="1" si="1"/>
        <v>0</v>
      </c>
      <c r="L60" s="2"/>
      <c r="M60" s="85">
        <f ca="1">OFFSET(INDIRECT(ADDRESS($A60,3,3,1,"Gross")),0,Menus!$J$4)</f>
        <v>0</v>
      </c>
      <c r="N60" s="85">
        <f ca="1">OFFSET(INDIRECT(ADDRESS($A60,3,3,1,"Gross")),0,Menus!$J$3)</f>
        <v>0</v>
      </c>
    </row>
    <row r="61" spans="1:14" x14ac:dyDescent="0.25">
      <c r="A61">
        <v>130</v>
      </c>
      <c r="B61" s="2">
        <f ca="1">OFFSET(INDIRECT(ADDRESS($A61,3,3,1,Menus!$K$10)),0,Menus!$J$4)</f>
        <v>0</v>
      </c>
      <c r="C61" s="2">
        <f ca="1">OFFSET(INDIRECT(ADDRESS($A61,3,3,1,Menus!$K$10)),0,Menus!$J$3)</f>
        <v>0</v>
      </c>
      <c r="D61" s="73" t="e">
        <f ca="1">IF(Menus!$J$9,C61/B61,C61)</f>
        <v>#DIV/0!</v>
      </c>
      <c r="E61" s="74" t="e">
        <f t="shared" ca="1" si="2"/>
        <v>#N/A</v>
      </c>
      <c r="F61" s="75">
        <f ca="1">INDIRECT(ADDRESS($A61,1,3,1,Menus!$K$10))</f>
        <v>0</v>
      </c>
      <c r="G61" s="2" t="e">
        <f ca="1">IF(INDIRECT(ADDRESS($A61,2,3,1,Menus!$K$10))=G$1,$D61,#N/A)</f>
        <v>#N/A</v>
      </c>
      <c r="H61" s="2" t="e">
        <f ca="1">IF(INDIRECT(ADDRESS($A61,2,3,1,Menus!$K$10))=H$1,$D61,#N/A)</f>
        <v>#N/A</v>
      </c>
      <c r="I61" s="2" t="e">
        <f ca="1">IF(INDIRECT(ADDRESS($A61,2,3,1,Menus!$K$10))=I$1,$D61,#N/A)</f>
        <v>#N/A</v>
      </c>
      <c r="J61" s="2" t="e">
        <f ca="1">IF(INDIRECT(ADDRESS($A61,1,3,1,Menus!$K$10))=T(J$1),$D61,#N/A)</f>
        <v>#N/A</v>
      </c>
      <c r="K61" s="10">
        <f t="shared" ca="1" si="1"/>
        <v>0</v>
      </c>
      <c r="L61" s="2"/>
      <c r="M61" s="85">
        <f ca="1">OFFSET(INDIRECT(ADDRESS($A61,3,3,1,"Gross")),0,Menus!$J$4)</f>
        <v>0</v>
      </c>
      <c r="N61" s="85">
        <f ca="1">OFFSET(INDIRECT(ADDRESS($A61,3,3,1,"Gross")),0,Menus!$J$3)</f>
        <v>0</v>
      </c>
    </row>
    <row r="62" spans="1:14" x14ac:dyDescent="0.25">
      <c r="A62">
        <v>115</v>
      </c>
      <c r="B62" s="2">
        <f ca="1">OFFSET(INDIRECT(ADDRESS($A62,3,3,1,Menus!$K$10)),0,Menus!$J$4)</f>
        <v>0</v>
      </c>
      <c r="C62" s="2">
        <f ca="1">OFFSET(INDIRECT(ADDRESS($A62,3,3,1,Menus!$K$10)),0,Menus!$J$3)</f>
        <v>0</v>
      </c>
      <c r="D62" s="73" t="e">
        <f ca="1">IF(Menus!$J$9,C62/B62,C62)</f>
        <v>#DIV/0!</v>
      </c>
      <c r="E62" s="74" t="e">
        <f t="shared" ca="1" si="2"/>
        <v>#N/A</v>
      </c>
      <c r="F62" s="75">
        <f ca="1">INDIRECT(ADDRESS($A62,1,3,1,Menus!$K$10))</f>
        <v>0</v>
      </c>
      <c r="G62" s="2" t="e">
        <f ca="1">IF(INDIRECT(ADDRESS($A62,2,3,1,Menus!$K$10))=G$1,$D62,#N/A)</f>
        <v>#N/A</v>
      </c>
      <c r="H62" s="2" t="e">
        <f ca="1">IF(INDIRECT(ADDRESS($A62,2,3,1,Menus!$K$10))=H$1,$D62,#N/A)</f>
        <v>#N/A</v>
      </c>
      <c r="I62" s="2" t="e">
        <f ca="1">IF(INDIRECT(ADDRESS($A62,2,3,1,Menus!$K$10))=I$1,$D62,#N/A)</f>
        <v>#N/A</v>
      </c>
      <c r="J62" s="2" t="e">
        <f ca="1">IF(INDIRECT(ADDRESS($A62,1,3,1,Menus!$K$10))=T(J$1),$D62,#N/A)</f>
        <v>#N/A</v>
      </c>
      <c r="K62" s="10">
        <f t="shared" ca="1" si="1"/>
        <v>0</v>
      </c>
      <c r="L62" s="2"/>
      <c r="M62" s="85">
        <f ca="1">OFFSET(INDIRECT(ADDRESS($A62,3,3,1,"Gross")),0,Menus!$J$4)</f>
        <v>0</v>
      </c>
      <c r="N62" s="85">
        <f ca="1">OFFSET(INDIRECT(ADDRESS($A62,3,3,1,"Gross")),0,Menus!$J$3)</f>
        <v>0</v>
      </c>
    </row>
    <row r="63" spans="1:14" x14ac:dyDescent="0.25">
      <c r="A63">
        <v>73</v>
      </c>
      <c r="B63" s="2">
        <f ca="1">OFFSET(INDIRECT(ADDRESS($A63,3,3,1,Menus!$K$10)),0,Menus!$J$4)</f>
        <v>0</v>
      </c>
      <c r="C63" s="2">
        <f ca="1">OFFSET(INDIRECT(ADDRESS($A63,3,3,1,Menus!$K$10)),0,Menus!$J$3)</f>
        <v>0</v>
      </c>
      <c r="D63" s="73" t="e">
        <f ca="1">IF(Menus!$J$9,C63/B63,C63)</f>
        <v>#DIV/0!</v>
      </c>
      <c r="E63" s="74" t="e">
        <f t="shared" ca="1" si="2"/>
        <v>#N/A</v>
      </c>
      <c r="F63" s="75">
        <f ca="1">INDIRECT(ADDRESS($A63,1,3,1,Menus!$K$10))</f>
        <v>0</v>
      </c>
      <c r="G63" s="2" t="e">
        <f ca="1">IF(INDIRECT(ADDRESS($A63,2,3,1,Menus!$K$10))=G$1,$D63,#N/A)</f>
        <v>#N/A</v>
      </c>
      <c r="H63" s="2" t="e">
        <f ca="1">IF(INDIRECT(ADDRESS($A63,2,3,1,Menus!$K$10))=H$1,$D63,#N/A)</f>
        <v>#N/A</v>
      </c>
      <c r="I63" s="2" t="e">
        <f ca="1">IF(INDIRECT(ADDRESS($A63,2,3,1,Menus!$K$10))=I$1,$D63,#N/A)</f>
        <v>#N/A</v>
      </c>
      <c r="J63" s="2" t="e">
        <f ca="1">IF(INDIRECT(ADDRESS($A63,1,3,1,Menus!$K$10))=T(J$1),$D63,#N/A)</f>
        <v>#N/A</v>
      </c>
      <c r="K63" s="10">
        <f t="shared" ca="1" si="1"/>
        <v>0</v>
      </c>
      <c r="L63" s="2"/>
      <c r="M63" s="85">
        <f ca="1">OFFSET(INDIRECT(ADDRESS($A63,3,3,1,"Gross")),0,Menus!$J$4)</f>
        <v>0</v>
      </c>
      <c r="N63" s="85">
        <f ca="1">OFFSET(INDIRECT(ADDRESS($A63,3,3,1,"Gross")),0,Menus!$J$3)</f>
        <v>0</v>
      </c>
    </row>
    <row r="64" spans="1:14" x14ac:dyDescent="0.25">
      <c r="A64">
        <v>100</v>
      </c>
      <c r="B64" s="2">
        <f ca="1">OFFSET(INDIRECT(ADDRESS($A64,3,3,1,Menus!$K$10)),0,Menus!$J$4)</f>
        <v>0</v>
      </c>
      <c r="C64" s="2">
        <f ca="1">OFFSET(INDIRECT(ADDRESS($A64,3,3,1,Menus!$K$10)),0,Menus!$J$3)</f>
        <v>0</v>
      </c>
      <c r="D64" s="73" t="e">
        <f ca="1">IF(Menus!$J$9,C64/B64,C64)</f>
        <v>#DIV/0!</v>
      </c>
      <c r="E64" s="74" t="e">
        <f t="shared" ca="1" si="2"/>
        <v>#N/A</v>
      </c>
      <c r="F64" s="75">
        <f ca="1">INDIRECT(ADDRESS($A64,1,3,1,Menus!$K$10))</f>
        <v>0</v>
      </c>
      <c r="G64" s="2" t="e">
        <f ca="1">IF(INDIRECT(ADDRESS($A64,2,3,1,Menus!$K$10))=G$1,$D64,#N/A)</f>
        <v>#N/A</v>
      </c>
      <c r="H64" s="2" t="e">
        <f ca="1">IF(INDIRECT(ADDRESS($A64,2,3,1,Menus!$K$10))=H$1,$D64,#N/A)</f>
        <v>#N/A</v>
      </c>
      <c r="I64" s="2" t="e">
        <f ca="1">IF(INDIRECT(ADDRESS($A64,2,3,1,Menus!$K$10))=I$1,$D64,#N/A)</f>
        <v>#N/A</v>
      </c>
      <c r="J64" s="2" t="e">
        <f ca="1">IF(INDIRECT(ADDRESS($A64,1,3,1,Menus!$K$10))=T(J$1),$D64,#N/A)</f>
        <v>#N/A</v>
      </c>
      <c r="K64" s="10">
        <f t="shared" ca="1" si="1"/>
        <v>0</v>
      </c>
      <c r="L64" s="2"/>
      <c r="M64" s="85">
        <f ca="1">OFFSET(INDIRECT(ADDRESS($A64,3,3,1,"Gross")),0,Menus!$J$4)</f>
        <v>0</v>
      </c>
      <c r="N64" s="85">
        <f ca="1">OFFSET(INDIRECT(ADDRESS($A64,3,3,1,"Gross")),0,Menus!$J$3)</f>
        <v>0</v>
      </c>
    </row>
    <row r="65" spans="1:14" x14ac:dyDescent="0.25">
      <c r="A65">
        <v>82</v>
      </c>
      <c r="B65" s="2">
        <f ca="1">OFFSET(INDIRECT(ADDRESS($A65,3,3,1,Menus!$K$10)),0,Menus!$J$4)</f>
        <v>0</v>
      </c>
      <c r="C65" s="2">
        <f ca="1">OFFSET(INDIRECT(ADDRESS($A65,3,3,1,Menus!$K$10)),0,Menus!$J$3)</f>
        <v>0</v>
      </c>
      <c r="D65" s="73" t="e">
        <f ca="1">IF(Menus!$J$9,C65/B65,C65)</f>
        <v>#DIV/0!</v>
      </c>
      <c r="E65" s="74" t="e">
        <f t="shared" ca="1" si="2"/>
        <v>#N/A</v>
      </c>
      <c r="F65" s="75">
        <f ca="1">INDIRECT(ADDRESS($A65,1,3,1,Menus!$K$10))</f>
        <v>0</v>
      </c>
      <c r="G65" s="2" t="e">
        <f ca="1">IF(INDIRECT(ADDRESS($A65,2,3,1,Menus!$K$10))=G$1,$D65,#N/A)</f>
        <v>#N/A</v>
      </c>
      <c r="H65" s="2" t="e">
        <f ca="1">IF(INDIRECT(ADDRESS($A65,2,3,1,Menus!$K$10))=H$1,$D65,#N/A)</f>
        <v>#N/A</v>
      </c>
      <c r="I65" s="2" t="e">
        <f ca="1">IF(INDIRECT(ADDRESS($A65,2,3,1,Menus!$K$10))=I$1,$D65,#N/A)</f>
        <v>#N/A</v>
      </c>
      <c r="J65" s="2" t="e">
        <f ca="1">IF(INDIRECT(ADDRESS($A65,1,3,1,Menus!$K$10))=T(J$1),$D65,#N/A)</f>
        <v>#N/A</v>
      </c>
      <c r="K65" s="10">
        <f t="shared" ca="1" si="1"/>
        <v>0</v>
      </c>
      <c r="L65" s="2"/>
      <c r="M65" s="85">
        <f ca="1">OFFSET(INDIRECT(ADDRESS($A65,3,3,1,"Gross")),0,Menus!$J$4)</f>
        <v>0</v>
      </c>
      <c r="N65" s="85">
        <f ca="1">OFFSET(INDIRECT(ADDRESS($A65,3,3,1,"Gross")),0,Menus!$J$3)</f>
        <v>0</v>
      </c>
    </row>
    <row r="66" spans="1:14" x14ac:dyDescent="0.25">
      <c r="A66">
        <v>178</v>
      </c>
      <c r="B66" s="2">
        <f ca="1">OFFSET(INDIRECT(ADDRESS($A66,3,3,1,Menus!$K$10)),0,Menus!$J$4)</f>
        <v>0</v>
      </c>
      <c r="C66" s="2">
        <f ca="1">OFFSET(INDIRECT(ADDRESS($A66,3,3,1,Menus!$K$10)),0,Menus!$J$3)</f>
        <v>0</v>
      </c>
      <c r="D66" s="73" t="e">
        <f ca="1">IF(Menus!$J$9,C66/B66,C66)</f>
        <v>#DIV/0!</v>
      </c>
      <c r="E66" s="74" t="e">
        <f t="shared" ca="1" si="2"/>
        <v>#N/A</v>
      </c>
      <c r="F66" s="75">
        <f ca="1">INDIRECT(ADDRESS($A66,1,3,1,Menus!$K$10))</f>
        <v>0</v>
      </c>
      <c r="G66" s="2" t="e">
        <f ca="1">IF(INDIRECT(ADDRESS($A66,2,3,1,Menus!$K$10))=G$1,$D66,#N/A)</f>
        <v>#N/A</v>
      </c>
      <c r="H66" s="2" t="e">
        <f ca="1">IF(INDIRECT(ADDRESS($A66,2,3,1,Menus!$K$10))=H$1,$D66,#N/A)</f>
        <v>#N/A</v>
      </c>
      <c r="I66" s="2" t="e">
        <f ca="1">IF(INDIRECT(ADDRESS($A66,2,3,1,Menus!$K$10))=I$1,$D66,#N/A)</f>
        <v>#N/A</v>
      </c>
      <c r="J66" s="2" t="e">
        <f ca="1">IF(INDIRECT(ADDRESS($A66,1,3,1,Menus!$K$10))=T(J$1),$D66,#N/A)</f>
        <v>#N/A</v>
      </c>
      <c r="K66" s="10">
        <f t="shared" ref="K66:K129" ca="1" si="3">IF(OR(ISNUMBER($G66),ISNUMBER($H66),ISNUMBER($I66),ISNUMBER($J66)),1,0)</f>
        <v>0</v>
      </c>
      <c r="L66" s="2"/>
      <c r="M66" s="85">
        <f ca="1">OFFSET(INDIRECT(ADDRESS($A66,3,3,1,"Gross")),0,Menus!$J$4)</f>
        <v>0</v>
      </c>
      <c r="N66" s="85">
        <f ca="1">OFFSET(INDIRECT(ADDRESS($A66,3,3,1,"Gross")),0,Menus!$J$3)</f>
        <v>0</v>
      </c>
    </row>
    <row r="67" spans="1:14" x14ac:dyDescent="0.25">
      <c r="A67">
        <v>117</v>
      </c>
      <c r="B67" s="2">
        <f ca="1">OFFSET(INDIRECT(ADDRESS($A67,3,3,1,Menus!$K$10)),0,Menus!$J$4)</f>
        <v>0</v>
      </c>
      <c r="C67" s="2">
        <f ca="1">OFFSET(INDIRECT(ADDRESS($A67,3,3,1,Menus!$K$10)),0,Menus!$J$3)</f>
        <v>0</v>
      </c>
      <c r="D67" s="73" t="e">
        <f ca="1">IF(Menus!$J$9,C67/B67,C67)</f>
        <v>#DIV/0!</v>
      </c>
      <c r="E67" s="74" t="e">
        <f t="shared" ref="E67:E130" ca="1" si="4">IF($K67=1,VALUE(B67),#N/A)</f>
        <v>#N/A</v>
      </c>
      <c r="F67" s="75">
        <f ca="1">INDIRECT(ADDRESS($A67,1,3,1,Menus!$K$10))</f>
        <v>0</v>
      </c>
      <c r="G67" s="2" t="e">
        <f ca="1">IF(INDIRECT(ADDRESS($A67,2,3,1,Menus!$K$10))=G$1,$D67,#N/A)</f>
        <v>#N/A</v>
      </c>
      <c r="H67" s="2" t="e">
        <f ca="1">IF(INDIRECT(ADDRESS($A67,2,3,1,Menus!$K$10))=H$1,$D67,#N/A)</f>
        <v>#N/A</v>
      </c>
      <c r="I67" s="2" t="e">
        <f ca="1">IF(INDIRECT(ADDRESS($A67,2,3,1,Menus!$K$10))=I$1,$D67,#N/A)</f>
        <v>#N/A</v>
      </c>
      <c r="J67" s="2" t="e">
        <f ca="1">IF(INDIRECT(ADDRESS($A67,1,3,1,Menus!$K$10))=T(J$1),$D67,#N/A)</f>
        <v>#N/A</v>
      </c>
      <c r="K67" s="10">
        <f t="shared" ca="1" si="3"/>
        <v>0</v>
      </c>
      <c r="L67" s="2"/>
      <c r="M67" s="85">
        <f ca="1">OFFSET(INDIRECT(ADDRESS($A67,3,3,1,"Gross")),0,Menus!$J$4)</f>
        <v>0</v>
      </c>
      <c r="N67" s="85">
        <f ca="1">OFFSET(INDIRECT(ADDRESS($A67,3,3,1,"Gross")),0,Menus!$J$3)</f>
        <v>0</v>
      </c>
    </row>
    <row r="68" spans="1:14" x14ac:dyDescent="0.25">
      <c r="A68">
        <v>150</v>
      </c>
      <c r="B68" s="2">
        <f ca="1">OFFSET(INDIRECT(ADDRESS($A68,3,3,1,Menus!$K$10)),0,Menus!$J$4)</f>
        <v>0</v>
      </c>
      <c r="C68" s="2">
        <f ca="1">OFFSET(INDIRECT(ADDRESS($A68,3,3,1,Menus!$K$10)),0,Menus!$J$3)</f>
        <v>0</v>
      </c>
      <c r="D68" s="73" t="e">
        <f ca="1">IF(Menus!$J$9,C68/B68,C68)</f>
        <v>#DIV/0!</v>
      </c>
      <c r="E68" s="74" t="e">
        <f t="shared" ca="1" si="4"/>
        <v>#N/A</v>
      </c>
      <c r="F68" s="75">
        <f ca="1">INDIRECT(ADDRESS($A68,1,3,1,Menus!$K$10))</f>
        <v>0</v>
      </c>
      <c r="G68" s="2" t="e">
        <f ca="1">IF(INDIRECT(ADDRESS($A68,2,3,1,Menus!$K$10))=G$1,$D68,#N/A)</f>
        <v>#N/A</v>
      </c>
      <c r="H68" s="2" t="e">
        <f ca="1">IF(INDIRECT(ADDRESS($A68,2,3,1,Menus!$K$10))=H$1,$D68,#N/A)</f>
        <v>#N/A</v>
      </c>
      <c r="I68" s="2" t="e">
        <f ca="1">IF(INDIRECT(ADDRESS($A68,2,3,1,Menus!$K$10))=I$1,$D68,#N/A)</f>
        <v>#N/A</v>
      </c>
      <c r="J68" s="2" t="e">
        <f ca="1">IF(INDIRECT(ADDRESS($A68,1,3,1,Menus!$K$10))=T(J$1),$D68,#N/A)</f>
        <v>#N/A</v>
      </c>
      <c r="K68" s="10">
        <f t="shared" ca="1" si="3"/>
        <v>0</v>
      </c>
      <c r="L68" s="2"/>
      <c r="M68" s="85">
        <f ca="1">OFFSET(INDIRECT(ADDRESS($A68,3,3,1,"Gross")),0,Menus!$J$4)</f>
        <v>0</v>
      </c>
      <c r="N68" s="85">
        <f ca="1">OFFSET(INDIRECT(ADDRESS($A68,3,3,1,"Gross")),0,Menus!$J$3)</f>
        <v>0</v>
      </c>
    </row>
    <row r="69" spans="1:14" x14ac:dyDescent="0.25">
      <c r="A69">
        <v>184</v>
      </c>
      <c r="B69" s="2">
        <f ca="1">OFFSET(INDIRECT(ADDRESS($A69,3,3,1,Menus!$K$10)),0,Menus!$J$4)</f>
        <v>0</v>
      </c>
      <c r="C69" s="2">
        <f ca="1">OFFSET(INDIRECT(ADDRESS($A69,3,3,1,Menus!$K$10)),0,Menus!$J$3)</f>
        <v>0</v>
      </c>
      <c r="D69" s="73" t="e">
        <f ca="1">IF(Menus!$J$9,C69/B69,C69)</f>
        <v>#DIV/0!</v>
      </c>
      <c r="E69" s="74" t="e">
        <f t="shared" ca="1" si="4"/>
        <v>#N/A</v>
      </c>
      <c r="F69" s="75">
        <f ca="1">INDIRECT(ADDRESS($A69,1,3,1,Menus!$K$10))</f>
        <v>0</v>
      </c>
      <c r="G69" s="2" t="e">
        <f ca="1">IF(INDIRECT(ADDRESS($A69,2,3,1,Menus!$K$10))=G$1,$D69,#N/A)</f>
        <v>#N/A</v>
      </c>
      <c r="H69" s="2" t="e">
        <f ca="1">IF(INDIRECT(ADDRESS($A69,2,3,1,Menus!$K$10))=H$1,$D69,#N/A)</f>
        <v>#N/A</v>
      </c>
      <c r="I69" s="2" t="e">
        <f ca="1">IF(INDIRECT(ADDRESS($A69,2,3,1,Menus!$K$10))=I$1,$D69,#N/A)</f>
        <v>#N/A</v>
      </c>
      <c r="J69" s="2" t="e">
        <f ca="1">IF(INDIRECT(ADDRESS($A69,1,3,1,Menus!$K$10))=T(J$1),$D69,#N/A)</f>
        <v>#N/A</v>
      </c>
      <c r="K69" s="10">
        <f t="shared" ca="1" si="3"/>
        <v>0</v>
      </c>
      <c r="L69" s="2"/>
      <c r="M69" s="85">
        <f ca="1">OFFSET(INDIRECT(ADDRESS($A69,3,3,1,"Gross")),0,Menus!$J$4)</f>
        <v>0</v>
      </c>
      <c r="N69" s="85">
        <f ca="1">OFFSET(INDIRECT(ADDRESS($A69,3,3,1,"Gross")),0,Menus!$J$3)</f>
        <v>0</v>
      </c>
    </row>
    <row r="70" spans="1:14" x14ac:dyDescent="0.25">
      <c r="A70">
        <v>143</v>
      </c>
      <c r="B70" s="2">
        <f ca="1">OFFSET(INDIRECT(ADDRESS($A70,3,3,1,Menus!$K$10)),0,Menus!$J$4)</f>
        <v>0</v>
      </c>
      <c r="C70" s="2">
        <f ca="1">OFFSET(INDIRECT(ADDRESS($A70,3,3,1,Menus!$K$10)),0,Menus!$J$3)</f>
        <v>0</v>
      </c>
      <c r="D70" s="73" t="e">
        <f ca="1">IF(Menus!$J$9,C70/B70,C70)</f>
        <v>#DIV/0!</v>
      </c>
      <c r="E70" s="74" t="e">
        <f t="shared" ca="1" si="4"/>
        <v>#N/A</v>
      </c>
      <c r="F70" s="75">
        <f ca="1">INDIRECT(ADDRESS($A70,1,3,1,Menus!$K$10))</f>
        <v>0</v>
      </c>
      <c r="G70" s="2" t="e">
        <f ca="1">IF(INDIRECT(ADDRESS($A70,2,3,1,Menus!$K$10))=G$1,$D70,#N/A)</f>
        <v>#N/A</v>
      </c>
      <c r="H70" s="2" t="e">
        <f ca="1">IF(INDIRECT(ADDRESS($A70,2,3,1,Menus!$K$10))=H$1,$D70,#N/A)</f>
        <v>#N/A</v>
      </c>
      <c r="I70" s="2" t="e">
        <f ca="1">IF(INDIRECT(ADDRESS($A70,2,3,1,Menus!$K$10))=I$1,$D70,#N/A)</f>
        <v>#N/A</v>
      </c>
      <c r="J70" s="2" t="e">
        <f ca="1">IF(INDIRECT(ADDRESS($A70,1,3,1,Menus!$K$10))=T(J$1),$D70,#N/A)</f>
        <v>#N/A</v>
      </c>
      <c r="K70" s="10">
        <f t="shared" ca="1" si="3"/>
        <v>0</v>
      </c>
      <c r="L70" s="2"/>
      <c r="M70" s="85">
        <f ca="1">OFFSET(INDIRECT(ADDRESS($A70,3,3,1,"Gross")),0,Menus!$J$4)</f>
        <v>0</v>
      </c>
      <c r="N70" s="85">
        <f ca="1">OFFSET(INDIRECT(ADDRESS($A70,3,3,1,"Gross")),0,Menus!$J$3)</f>
        <v>0</v>
      </c>
    </row>
    <row r="71" spans="1:14" x14ac:dyDescent="0.25">
      <c r="A71">
        <v>105</v>
      </c>
      <c r="B71" s="2">
        <f ca="1">OFFSET(INDIRECT(ADDRESS($A71,3,3,1,Menus!$K$10)),0,Menus!$J$4)</f>
        <v>0</v>
      </c>
      <c r="C71" s="2">
        <f ca="1">OFFSET(INDIRECT(ADDRESS($A71,3,3,1,Menus!$K$10)),0,Menus!$J$3)</f>
        <v>0</v>
      </c>
      <c r="D71" s="73" t="e">
        <f ca="1">IF(Menus!$J$9,C71/B71,C71)</f>
        <v>#DIV/0!</v>
      </c>
      <c r="E71" s="74" t="e">
        <f t="shared" ca="1" si="4"/>
        <v>#N/A</v>
      </c>
      <c r="F71" s="75">
        <f ca="1">INDIRECT(ADDRESS($A71,1,3,1,Menus!$K$10))</f>
        <v>0</v>
      </c>
      <c r="G71" s="2" t="e">
        <f ca="1">IF(INDIRECT(ADDRESS($A71,2,3,1,Menus!$K$10))=G$1,$D71,#N/A)</f>
        <v>#N/A</v>
      </c>
      <c r="H71" s="2" t="e">
        <f ca="1">IF(INDIRECT(ADDRESS($A71,2,3,1,Menus!$K$10))=H$1,$D71,#N/A)</f>
        <v>#N/A</v>
      </c>
      <c r="I71" s="2" t="e">
        <f ca="1">IF(INDIRECT(ADDRESS($A71,2,3,1,Menus!$K$10))=I$1,$D71,#N/A)</f>
        <v>#N/A</v>
      </c>
      <c r="J71" s="2" t="e">
        <f ca="1">IF(INDIRECT(ADDRESS($A71,1,3,1,Menus!$K$10))=T(J$1),$D71,#N/A)</f>
        <v>#N/A</v>
      </c>
      <c r="K71" s="10">
        <f t="shared" ca="1" si="3"/>
        <v>0</v>
      </c>
      <c r="L71" s="2"/>
      <c r="M71" s="85">
        <f ca="1">OFFSET(INDIRECT(ADDRESS($A71,3,3,1,"Gross")),0,Menus!$J$4)</f>
        <v>0</v>
      </c>
      <c r="N71" s="85">
        <f ca="1">OFFSET(INDIRECT(ADDRESS($A71,3,3,1,"Gross")),0,Menus!$J$3)</f>
        <v>0</v>
      </c>
    </row>
    <row r="72" spans="1:14" x14ac:dyDescent="0.25">
      <c r="A72">
        <v>146</v>
      </c>
      <c r="B72" s="2">
        <f ca="1">OFFSET(INDIRECT(ADDRESS($A72,3,3,1,Menus!$K$10)),0,Menus!$J$4)</f>
        <v>0</v>
      </c>
      <c r="C72" s="2">
        <f ca="1">OFFSET(INDIRECT(ADDRESS($A72,3,3,1,Menus!$K$10)),0,Menus!$J$3)</f>
        <v>0</v>
      </c>
      <c r="D72" s="73" t="e">
        <f ca="1">IF(Menus!$J$9,C72/B72,C72)</f>
        <v>#DIV/0!</v>
      </c>
      <c r="E72" s="74" t="e">
        <f t="shared" ca="1" si="4"/>
        <v>#N/A</v>
      </c>
      <c r="F72" s="75">
        <f ca="1">INDIRECT(ADDRESS($A72,1,3,1,Menus!$K$10))</f>
        <v>0</v>
      </c>
      <c r="G72" s="2" t="e">
        <f ca="1">IF(INDIRECT(ADDRESS($A72,2,3,1,Menus!$K$10))=G$1,$D72,#N/A)</f>
        <v>#N/A</v>
      </c>
      <c r="H72" s="2" t="e">
        <f ca="1">IF(INDIRECT(ADDRESS($A72,2,3,1,Menus!$K$10))=H$1,$D72,#N/A)</f>
        <v>#N/A</v>
      </c>
      <c r="I72" s="2" t="e">
        <f ca="1">IF(INDIRECT(ADDRESS($A72,2,3,1,Menus!$K$10))=I$1,$D72,#N/A)</f>
        <v>#N/A</v>
      </c>
      <c r="J72" s="2" t="e">
        <f ca="1">IF(INDIRECT(ADDRESS($A72,1,3,1,Menus!$K$10))=T(J$1),$D72,#N/A)</f>
        <v>#N/A</v>
      </c>
      <c r="K72" s="10">
        <f t="shared" ca="1" si="3"/>
        <v>0</v>
      </c>
      <c r="L72" s="2"/>
      <c r="M72" s="85">
        <f ca="1">OFFSET(INDIRECT(ADDRESS($A72,3,3,1,"Gross")),0,Menus!$J$4)</f>
        <v>0</v>
      </c>
      <c r="N72" s="85">
        <f ca="1">OFFSET(INDIRECT(ADDRESS($A72,3,3,1,"Gross")),0,Menus!$J$3)</f>
        <v>0</v>
      </c>
    </row>
    <row r="73" spans="1:14" x14ac:dyDescent="0.25">
      <c r="A73">
        <v>62</v>
      </c>
      <c r="B73" s="2">
        <f ca="1">OFFSET(INDIRECT(ADDRESS($A73,3,3,1,Menus!$K$10)),0,Menus!$J$4)</f>
        <v>0</v>
      </c>
      <c r="C73" s="2">
        <f ca="1">OFFSET(INDIRECT(ADDRESS($A73,3,3,1,Menus!$K$10)),0,Menus!$J$3)</f>
        <v>0</v>
      </c>
      <c r="D73" s="73" t="e">
        <f ca="1">IF(Menus!$J$9,C73/B73,C73)</f>
        <v>#DIV/0!</v>
      </c>
      <c r="E73" s="74" t="e">
        <f t="shared" ca="1" si="4"/>
        <v>#N/A</v>
      </c>
      <c r="F73" s="75">
        <f ca="1">INDIRECT(ADDRESS($A73,1,3,1,Menus!$K$10))</f>
        <v>0</v>
      </c>
      <c r="G73" s="2" t="e">
        <f ca="1">IF(INDIRECT(ADDRESS($A73,2,3,1,Menus!$K$10))=G$1,$D73,#N/A)</f>
        <v>#N/A</v>
      </c>
      <c r="H73" s="2" t="e">
        <f ca="1">IF(INDIRECT(ADDRESS($A73,2,3,1,Menus!$K$10))=H$1,$D73,#N/A)</f>
        <v>#N/A</v>
      </c>
      <c r="I73" s="2" t="e">
        <f ca="1">IF(INDIRECT(ADDRESS($A73,2,3,1,Menus!$K$10))=I$1,$D73,#N/A)</f>
        <v>#N/A</v>
      </c>
      <c r="J73" s="2" t="e">
        <f ca="1">IF(INDIRECT(ADDRESS($A73,1,3,1,Menus!$K$10))=T(J$1),$D73,#N/A)</f>
        <v>#N/A</v>
      </c>
      <c r="K73" s="10">
        <f t="shared" ca="1" si="3"/>
        <v>0</v>
      </c>
      <c r="L73" s="2"/>
      <c r="M73" s="85">
        <f ca="1">OFFSET(INDIRECT(ADDRESS($A73,3,3,1,"Gross")),0,Menus!$J$4)</f>
        <v>0</v>
      </c>
      <c r="N73" s="85">
        <f ca="1">OFFSET(INDIRECT(ADDRESS($A73,3,3,1,"Gross")),0,Menus!$J$3)</f>
        <v>0</v>
      </c>
    </row>
    <row r="74" spans="1:14" x14ac:dyDescent="0.25">
      <c r="A74">
        <v>154</v>
      </c>
      <c r="B74" s="2">
        <f ca="1">OFFSET(INDIRECT(ADDRESS($A74,3,3,1,Menus!$K$10)),0,Menus!$J$4)</f>
        <v>0</v>
      </c>
      <c r="C74" s="2">
        <f ca="1">OFFSET(INDIRECT(ADDRESS($A74,3,3,1,Menus!$K$10)),0,Menus!$J$3)</f>
        <v>0</v>
      </c>
      <c r="D74" s="73" t="e">
        <f ca="1">IF(Menus!$J$9,C74/B74,C74)</f>
        <v>#DIV/0!</v>
      </c>
      <c r="E74" s="74" t="e">
        <f t="shared" ca="1" si="4"/>
        <v>#N/A</v>
      </c>
      <c r="F74" s="75">
        <f ca="1">INDIRECT(ADDRESS($A74,1,3,1,Menus!$K$10))</f>
        <v>0</v>
      </c>
      <c r="G74" s="2" t="e">
        <f ca="1">IF(INDIRECT(ADDRESS($A74,2,3,1,Menus!$K$10))=G$1,$D74,#N/A)</f>
        <v>#N/A</v>
      </c>
      <c r="H74" s="2" t="e">
        <f ca="1">IF(INDIRECT(ADDRESS($A74,2,3,1,Menus!$K$10))=H$1,$D74,#N/A)</f>
        <v>#N/A</v>
      </c>
      <c r="I74" s="2" t="e">
        <f ca="1">IF(INDIRECT(ADDRESS($A74,2,3,1,Menus!$K$10))=I$1,$D74,#N/A)</f>
        <v>#N/A</v>
      </c>
      <c r="J74" s="2" t="e">
        <f ca="1">IF(INDIRECT(ADDRESS($A74,1,3,1,Menus!$K$10))=T(J$1),$D74,#N/A)</f>
        <v>#N/A</v>
      </c>
      <c r="K74" s="10">
        <f t="shared" ca="1" si="3"/>
        <v>0</v>
      </c>
      <c r="L74" s="2"/>
      <c r="M74" s="85">
        <f ca="1">OFFSET(INDIRECT(ADDRESS($A74,3,3,1,"Gross")),0,Menus!$J$4)</f>
        <v>0</v>
      </c>
      <c r="N74" s="85">
        <f ca="1">OFFSET(INDIRECT(ADDRESS($A74,3,3,1,"Gross")),0,Menus!$J$3)</f>
        <v>0</v>
      </c>
    </row>
    <row r="75" spans="1:14" x14ac:dyDescent="0.25">
      <c r="A75">
        <v>88</v>
      </c>
      <c r="B75" s="2">
        <f ca="1">OFFSET(INDIRECT(ADDRESS($A75,3,3,1,Menus!$K$10)),0,Menus!$J$4)</f>
        <v>0</v>
      </c>
      <c r="C75" s="2">
        <f ca="1">OFFSET(INDIRECT(ADDRESS($A75,3,3,1,Menus!$K$10)),0,Menus!$J$3)</f>
        <v>0</v>
      </c>
      <c r="D75" s="73" t="e">
        <f ca="1">IF(Menus!$J$9,C75/B75,C75)</f>
        <v>#DIV/0!</v>
      </c>
      <c r="E75" s="74" t="e">
        <f t="shared" ca="1" si="4"/>
        <v>#N/A</v>
      </c>
      <c r="F75" s="75">
        <f ca="1">INDIRECT(ADDRESS($A75,1,3,1,Menus!$K$10))</f>
        <v>0</v>
      </c>
      <c r="G75" s="2" t="e">
        <f ca="1">IF(INDIRECT(ADDRESS($A75,2,3,1,Menus!$K$10))=G$1,$D75,#N/A)</f>
        <v>#N/A</v>
      </c>
      <c r="H75" s="2" t="e">
        <f ca="1">IF(INDIRECT(ADDRESS($A75,2,3,1,Menus!$K$10))=H$1,$D75,#N/A)</f>
        <v>#N/A</v>
      </c>
      <c r="I75" s="2" t="e">
        <f ca="1">IF(INDIRECT(ADDRESS($A75,2,3,1,Menus!$K$10))=I$1,$D75,#N/A)</f>
        <v>#N/A</v>
      </c>
      <c r="J75" s="2" t="e">
        <f ca="1">IF(INDIRECT(ADDRESS($A75,1,3,1,Menus!$K$10))=T(J$1),$D75,#N/A)</f>
        <v>#N/A</v>
      </c>
      <c r="K75" s="10">
        <f t="shared" ca="1" si="3"/>
        <v>0</v>
      </c>
      <c r="L75" s="2"/>
      <c r="M75" s="85">
        <f ca="1">OFFSET(INDIRECT(ADDRESS($A75,3,3,1,"Gross")),0,Menus!$J$4)</f>
        <v>0</v>
      </c>
      <c r="N75" s="85">
        <f ca="1">OFFSET(INDIRECT(ADDRESS($A75,3,3,1,"Gross")),0,Menus!$J$3)</f>
        <v>0</v>
      </c>
    </row>
    <row r="76" spans="1:14" x14ac:dyDescent="0.25">
      <c r="A76">
        <v>109</v>
      </c>
      <c r="B76" s="2">
        <f ca="1">OFFSET(INDIRECT(ADDRESS($A76,3,3,1,Menus!$K$10)),0,Menus!$J$4)</f>
        <v>0</v>
      </c>
      <c r="C76" s="2">
        <f ca="1">OFFSET(INDIRECT(ADDRESS($A76,3,3,1,Menus!$K$10)),0,Menus!$J$3)</f>
        <v>0</v>
      </c>
      <c r="D76" s="73" t="e">
        <f ca="1">IF(Menus!$J$9,C76/B76,C76)</f>
        <v>#DIV/0!</v>
      </c>
      <c r="E76" s="74" t="e">
        <f t="shared" ca="1" si="4"/>
        <v>#N/A</v>
      </c>
      <c r="F76" s="75">
        <f ca="1">INDIRECT(ADDRESS($A76,1,3,1,Menus!$K$10))</f>
        <v>0</v>
      </c>
      <c r="G76" s="2" t="e">
        <f ca="1">IF(INDIRECT(ADDRESS($A76,2,3,1,Menus!$K$10))=G$1,$D76,#N/A)</f>
        <v>#N/A</v>
      </c>
      <c r="H76" s="2" t="e">
        <f ca="1">IF(INDIRECT(ADDRESS($A76,2,3,1,Menus!$K$10))=H$1,$D76,#N/A)</f>
        <v>#N/A</v>
      </c>
      <c r="I76" s="2" t="e">
        <f ca="1">IF(INDIRECT(ADDRESS($A76,2,3,1,Menus!$K$10))=I$1,$D76,#N/A)</f>
        <v>#N/A</v>
      </c>
      <c r="J76" s="2" t="e">
        <f ca="1">IF(INDIRECT(ADDRESS($A76,1,3,1,Menus!$K$10))=T(J$1),$D76,#N/A)</f>
        <v>#N/A</v>
      </c>
      <c r="K76" s="10">
        <f t="shared" ca="1" si="3"/>
        <v>0</v>
      </c>
      <c r="L76" s="2"/>
      <c r="M76" s="85">
        <f ca="1">OFFSET(INDIRECT(ADDRESS($A76,3,3,1,"Gross")),0,Menus!$J$4)</f>
        <v>0</v>
      </c>
      <c r="N76" s="85">
        <f ca="1">OFFSET(INDIRECT(ADDRESS($A76,3,3,1,"Gross")),0,Menus!$J$3)</f>
        <v>0</v>
      </c>
    </row>
    <row r="77" spans="1:14" x14ac:dyDescent="0.25">
      <c r="A77">
        <v>160</v>
      </c>
      <c r="B77" s="2">
        <f ca="1">OFFSET(INDIRECT(ADDRESS($A77,3,3,1,Menus!$K$10)),0,Menus!$J$4)</f>
        <v>0</v>
      </c>
      <c r="C77" s="2">
        <f ca="1">OFFSET(INDIRECT(ADDRESS($A77,3,3,1,Menus!$K$10)),0,Menus!$J$3)</f>
        <v>0</v>
      </c>
      <c r="D77" s="73" t="e">
        <f ca="1">IF(Menus!$J$9,C77/B77,C77)</f>
        <v>#DIV/0!</v>
      </c>
      <c r="E77" s="74" t="e">
        <f t="shared" ca="1" si="4"/>
        <v>#N/A</v>
      </c>
      <c r="F77" s="75">
        <f ca="1">INDIRECT(ADDRESS($A77,1,3,1,Menus!$K$10))</f>
        <v>0</v>
      </c>
      <c r="G77" s="2" t="e">
        <f ca="1">IF(INDIRECT(ADDRESS($A77,2,3,1,Menus!$K$10))=G$1,$D77,#N/A)</f>
        <v>#N/A</v>
      </c>
      <c r="H77" s="2" t="e">
        <f ca="1">IF(INDIRECT(ADDRESS($A77,2,3,1,Menus!$K$10))=H$1,$D77,#N/A)</f>
        <v>#N/A</v>
      </c>
      <c r="I77" s="2" t="e">
        <f ca="1">IF(INDIRECT(ADDRESS($A77,2,3,1,Menus!$K$10))=I$1,$D77,#N/A)</f>
        <v>#N/A</v>
      </c>
      <c r="J77" s="2" t="e">
        <f ca="1">IF(INDIRECT(ADDRESS($A77,1,3,1,Menus!$K$10))=T(J$1),$D77,#N/A)</f>
        <v>#N/A</v>
      </c>
      <c r="K77" s="10">
        <f t="shared" ca="1" si="3"/>
        <v>0</v>
      </c>
      <c r="L77" s="2"/>
      <c r="M77" s="85">
        <f ca="1">OFFSET(INDIRECT(ADDRESS($A77,3,3,1,"Gross")),0,Menus!$J$4)</f>
        <v>0</v>
      </c>
      <c r="N77" s="85">
        <f ca="1">OFFSET(INDIRECT(ADDRESS($A77,3,3,1,"Gross")),0,Menus!$J$3)</f>
        <v>0</v>
      </c>
    </row>
    <row r="78" spans="1:14" x14ac:dyDescent="0.25">
      <c r="A78">
        <v>81</v>
      </c>
      <c r="B78" s="2">
        <f ca="1">OFFSET(INDIRECT(ADDRESS($A78,3,3,1,Menus!$K$10)),0,Menus!$J$4)</f>
        <v>0</v>
      </c>
      <c r="C78" s="2">
        <f ca="1">OFFSET(INDIRECT(ADDRESS($A78,3,3,1,Menus!$K$10)),0,Menus!$J$3)</f>
        <v>0</v>
      </c>
      <c r="D78" s="73" t="e">
        <f ca="1">IF(Menus!$J$9,C78/B78,C78)</f>
        <v>#DIV/0!</v>
      </c>
      <c r="E78" s="74" t="e">
        <f t="shared" ca="1" si="4"/>
        <v>#N/A</v>
      </c>
      <c r="F78" s="75">
        <f ca="1">INDIRECT(ADDRESS($A78,1,3,1,Menus!$K$10))</f>
        <v>0</v>
      </c>
      <c r="G78" s="2" t="e">
        <f ca="1">IF(INDIRECT(ADDRESS($A78,2,3,1,Menus!$K$10))=G$1,$D78,#N/A)</f>
        <v>#N/A</v>
      </c>
      <c r="H78" s="2" t="e">
        <f ca="1">IF(INDIRECT(ADDRESS($A78,2,3,1,Menus!$K$10))=H$1,$D78,#N/A)</f>
        <v>#N/A</v>
      </c>
      <c r="I78" s="2" t="e">
        <f ca="1">IF(INDIRECT(ADDRESS($A78,2,3,1,Menus!$K$10))=I$1,$D78,#N/A)</f>
        <v>#N/A</v>
      </c>
      <c r="J78" s="2" t="e">
        <f ca="1">IF(INDIRECT(ADDRESS($A78,1,3,1,Menus!$K$10))=T(J$1),$D78,#N/A)</f>
        <v>#N/A</v>
      </c>
      <c r="K78" s="10">
        <f t="shared" ca="1" si="3"/>
        <v>0</v>
      </c>
      <c r="L78" s="2"/>
      <c r="M78" s="85">
        <f ca="1">OFFSET(INDIRECT(ADDRESS($A78,3,3,1,"Gross")),0,Menus!$J$4)</f>
        <v>0</v>
      </c>
      <c r="N78" s="85">
        <f ca="1">OFFSET(INDIRECT(ADDRESS($A78,3,3,1,"Gross")),0,Menus!$J$3)</f>
        <v>0</v>
      </c>
    </row>
    <row r="79" spans="1:14" x14ac:dyDescent="0.25">
      <c r="A79">
        <v>112</v>
      </c>
      <c r="B79" s="2">
        <f ca="1">OFFSET(INDIRECT(ADDRESS($A79,3,3,1,Menus!$K$10)),0,Menus!$J$4)</f>
        <v>0</v>
      </c>
      <c r="C79" s="2">
        <f ca="1">OFFSET(INDIRECT(ADDRESS($A79,3,3,1,Menus!$K$10)),0,Menus!$J$3)</f>
        <v>0</v>
      </c>
      <c r="D79" s="73" t="e">
        <f ca="1">IF(Menus!$J$9,C79/B79,C79)</f>
        <v>#DIV/0!</v>
      </c>
      <c r="E79" s="74" t="e">
        <f t="shared" ca="1" si="4"/>
        <v>#N/A</v>
      </c>
      <c r="F79" s="75">
        <f ca="1">INDIRECT(ADDRESS($A79,1,3,1,Menus!$K$10))</f>
        <v>0</v>
      </c>
      <c r="G79" s="2" t="e">
        <f ca="1">IF(INDIRECT(ADDRESS($A79,2,3,1,Menus!$K$10))=G$1,$D79,#N/A)</f>
        <v>#N/A</v>
      </c>
      <c r="H79" s="2" t="e">
        <f ca="1">IF(INDIRECT(ADDRESS($A79,2,3,1,Menus!$K$10))=H$1,$D79,#N/A)</f>
        <v>#N/A</v>
      </c>
      <c r="I79" s="2" t="e">
        <f ca="1">IF(INDIRECT(ADDRESS($A79,2,3,1,Menus!$K$10))=I$1,$D79,#N/A)</f>
        <v>#N/A</v>
      </c>
      <c r="J79" s="2" t="e">
        <f ca="1">IF(INDIRECT(ADDRESS($A79,1,3,1,Menus!$K$10))=T(J$1),$D79,#N/A)</f>
        <v>#N/A</v>
      </c>
      <c r="K79" s="10">
        <f t="shared" ca="1" si="3"/>
        <v>0</v>
      </c>
      <c r="L79" s="2"/>
      <c r="M79" s="85">
        <f ca="1">OFFSET(INDIRECT(ADDRESS($A79,3,3,1,"Gross")),0,Menus!$J$4)</f>
        <v>0</v>
      </c>
      <c r="N79" s="85">
        <f ca="1">OFFSET(INDIRECT(ADDRESS($A79,3,3,1,"Gross")),0,Menus!$J$3)</f>
        <v>0</v>
      </c>
    </row>
    <row r="80" spans="1:14" x14ac:dyDescent="0.25">
      <c r="A80">
        <v>68</v>
      </c>
      <c r="B80" s="2">
        <f ca="1">OFFSET(INDIRECT(ADDRESS($A80,3,3,1,Menus!$K$10)),0,Menus!$J$4)</f>
        <v>0</v>
      </c>
      <c r="C80" s="2">
        <f ca="1">OFFSET(INDIRECT(ADDRESS($A80,3,3,1,Menus!$K$10)),0,Menus!$J$3)</f>
        <v>0</v>
      </c>
      <c r="D80" s="73" t="e">
        <f ca="1">IF(Menus!$J$9,C80/B80,C80)</f>
        <v>#DIV/0!</v>
      </c>
      <c r="E80" s="74" t="e">
        <f t="shared" ca="1" si="4"/>
        <v>#N/A</v>
      </c>
      <c r="F80" s="75">
        <f ca="1">INDIRECT(ADDRESS($A80,1,3,1,Menus!$K$10))</f>
        <v>0</v>
      </c>
      <c r="G80" s="2" t="e">
        <f ca="1">IF(INDIRECT(ADDRESS($A80,2,3,1,Menus!$K$10))=G$1,$D80,#N/A)</f>
        <v>#N/A</v>
      </c>
      <c r="H80" s="2" t="e">
        <f ca="1">IF(INDIRECT(ADDRESS($A80,2,3,1,Menus!$K$10))=H$1,$D80,#N/A)</f>
        <v>#N/A</v>
      </c>
      <c r="I80" s="2" t="e">
        <f ca="1">IF(INDIRECT(ADDRESS($A80,2,3,1,Menus!$K$10))=I$1,$D80,#N/A)</f>
        <v>#N/A</v>
      </c>
      <c r="J80" s="2" t="e">
        <f ca="1">IF(INDIRECT(ADDRESS($A80,1,3,1,Menus!$K$10))=T(J$1),$D80,#N/A)</f>
        <v>#N/A</v>
      </c>
      <c r="K80" s="10">
        <f t="shared" ca="1" si="3"/>
        <v>0</v>
      </c>
      <c r="L80" s="2"/>
      <c r="M80" s="85">
        <f ca="1">OFFSET(INDIRECT(ADDRESS($A80,3,3,1,"Gross")),0,Menus!$J$4)</f>
        <v>0</v>
      </c>
      <c r="N80" s="85">
        <f ca="1">OFFSET(INDIRECT(ADDRESS($A80,3,3,1,"Gross")),0,Menus!$J$3)</f>
        <v>0</v>
      </c>
    </row>
    <row r="81" spans="1:14" x14ac:dyDescent="0.25">
      <c r="A81">
        <v>190</v>
      </c>
      <c r="B81" s="2">
        <f ca="1">OFFSET(INDIRECT(ADDRESS($A81,3,3,1,Menus!$K$10)),0,Menus!$J$4)</f>
        <v>0</v>
      </c>
      <c r="C81" s="2">
        <f ca="1">OFFSET(INDIRECT(ADDRESS($A81,3,3,1,Menus!$K$10)),0,Menus!$J$3)</f>
        <v>0</v>
      </c>
      <c r="D81" s="73" t="e">
        <f ca="1">IF(Menus!$J$9,C81/B81,C81)</f>
        <v>#DIV/0!</v>
      </c>
      <c r="E81" s="74" t="e">
        <f t="shared" ca="1" si="4"/>
        <v>#N/A</v>
      </c>
      <c r="F81" s="75">
        <f ca="1">INDIRECT(ADDRESS($A81,1,3,1,Menus!$K$10))</f>
        <v>0</v>
      </c>
      <c r="G81" s="2" t="e">
        <f ca="1">IF(INDIRECT(ADDRESS($A81,2,3,1,Menus!$K$10))=G$1,$D81,#N/A)</f>
        <v>#N/A</v>
      </c>
      <c r="H81" s="2" t="e">
        <f ca="1">IF(INDIRECT(ADDRESS($A81,2,3,1,Menus!$K$10))=H$1,$D81,#N/A)</f>
        <v>#N/A</v>
      </c>
      <c r="I81" s="2" t="e">
        <f ca="1">IF(INDIRECT(ADDRESS($A81,2,3,1,Menus!$K$10))=I$1,$D81,#N/A)</f>
        <v>#N/A</v>
      </c>
      <c r="J81" s="2" t="e">
        <f ca="1">IF(INDIRECT(ADDRESS($A81,1,3,1,Menus!$K$10))=T(J$1),$D81,#N/A)</f>
        <v>#N/A</v>
      </c>
      <c r="K81" s="10">
        <f t="shared" ca="1" si="3"/>
        <v>0</v>
      </c>
      <c r="L81" s="2"/>
      <c r="M81" s="85">
        <f ca="1">OFFSET(INDIRECT(ADDRESS($A81,3,3,1,"Gross")),0,Menus!$J$4)</f>
        <v>0</v>
      </c>
      <c r="N81" s="85">
        <f ca="1">OFFSET(INDIRECT(ADDRESS($A81,3,3,1,"Gross")),0,Menus!$J$3)</f>
        <v>0</v>
      </c>
    </row>
    <row r="82" spans="1:14" x14ac:dyDescent="0.25">
      <c r="A82">
        <v>69</v>
      </c>
      <c r="B82" s="2">
        <f ca="1">OFFSET(INDIRECT(ADDRESS($A82,3,3,1,Menus!$K$10)),0,Menus!$J$4)</f>
        <v>0</v>
      </c>
      <c r="C82" s="2">
        <f ca="1">OFFSET(INDIRECT(ADDRESS($A82,3,3,1,Menus!$K$10)),0,Menus!$J$3)</f>
        <v>0</v>
      </c>
      <c r="D82" s="73" t="e">
        <f ca="1">IF(Menus!$J$9,C82/B82,C82)</f>
        <v>#DIV/0!</v>
      </c>
      <c r="E82" s="74" t="e">
        <f t="shared" ca="1" si="4"/>
        <v>#N/A</v>
      </c>
      <c r="F82" s="75">
        <f ca="1">INDIRECT(ADDRESS($A82,1,3,1,Menus!$K$10))</f>
        <v>0</v>
      </c>
      <c r="G82" s="2" t="e">
        <f ca="1">IF(INDIRECT(ADDRESS($A82,2,3,1,Menus!$K$10))=G$1,$D82,#N/A)</f>
        <v>#N/A</v>
      </c>
      <c r="H82" s="2" t="e">
        <f ca="1">IF(INDIRECT(ADDRESS($A82,2,3,1,Menus!$K$10))=H$1,$D82,#N/A)</f>
        <v>#N/A</v>
      </c>
      <c r="I82" s="2" t="e">
        <f ca="1">IF(INDIRECT(ADDRESS($A82,2,3,1,Menus!$K$10))=I$1,$D82,#N/A)</f>
        <v>#N/A</v>
      </c>
      <c r="J82" s="2" t="e">
        <f ca="1">IF(INDIRECT(ADDRESS($A82,1,3,1,Menus!$K$10))=T(J$1),$D82,#N/A)</f>
        <v>#N/A</v>
      </c>
      <c r="K82" s="10">
        <f t="shared" ca="1" si="3"/>
        <v>0</v>
      </c>
      <c r="L82" s="2"/>
      <c r="M82" s="85">
        <f ca="1">OFFSET(INDIRECT(ADDRESS($A82,3,3,1,"Gross")),0,Menus!$J$4)</f>
        <v>0</v>
      </c>
      <c r="N82" s="85">
        <f ca="1">OFFSET(INDIRECT(ADDRESS($A82,3,3,1,"Gross")),0,Menus!$J$3)</f>
        <v>0</v>
      </c>
    </row>
    <row r="83" spans="1:14" x14ac:dyDescent="0.25">
      <c r="A83">
        <v>134</v>
      </c>
      <c r="B83" s="2">
        <f ca="1">OFFSET(INDIRECT(ADDRESS($A83,3,3,1,Menus!$K$10)),0,Menus!$J$4)</f>
        <v>0</v>
      </c>
      <c r="C83" s="2">
        <f ca="1">OFFSET(INDIRECT(ADDRESS($A83,3,3,1,Menus!$K$10)),0,Menus!$J$3)</f>
        <v>0</v>
      </c>
      <c r="D83" s="73" t="e">
        <f ca="1">IF(Menus!$J$9,C83/B83,C83)</f>
        <v>#DIV/0!</v>
      </c>
      <c r="E83" s="74" t="e">
        <f t="shared" ca="1" si="4"/>
        <v>#N/A</v>
      </c>
      <c r="F83" s="75">
        <f ca="1">INDIRECT(ADDRESS($A83,1,3,1,Menus!$K$10))</f>
        <v>0</v>
      </c>
      <c r="G83" s="2" t="e">
        <f ca="1">IF(INDIRECT(ADDRESS($A83,2,3,1,Menus!$K$10))=G$1,$D83,#N/A)</f>
        <v>#N/A</v>
      </c>
      <c r="H83" s="2" t="e">
        <f ca="1">IF(INDIRECT(ADDRESS($A83,2,3,1,Menus!$K$10))=H$1,$D83,#N/A)</f>
        <v>#N/A</v>
      </c>
      <c r="I83" s="2" t="e">
        <f ca="1">IF(INDIRECT(ADDRESS($A83,2,3,1,Menus!$K$10))=I$1,$D83,#N/A)</f>
        <v>#N/A</v>
      </c>
      <c r="J83" s="2" t="e">
        <f ca="1">IF(INDIRECT(ADDRESS($A83,1,3,1,Menus!$K$10))=T(J$1),$D83,#N/A)</f>
        <v>#N/A</v>
      </c>
      <c r="K83" s="10">
        <f t="shared" ca="1" si="3"/>
        <v>0</v>
      </c>
      <c r="L83" s="2"/>
      <c r="M83" s="85">
        <f ca="1">OFFSET(INDIRECT(ADDRESS($A83,3,3,1,"Gross")),0,Menus!$J$4)</f>
        <v>0</v>
      </c>
      <c r="N83" s="85">
        <f ca="1">OFFSET(INDIRECT(ADDRESS($A83,3,3,1,"Gross")),0,Menus!$J$3)</f>
        <v>0</v>
      </c>
    </row>
    <row r="84" spans="1:14" x14ac:dyDescent="0.25">
      <c r="A84">
        <v>135</v>
      </c>
      <c r="B84" s="2">
        <f ca="1">OFFSET(INDIRECT(ADDRESS($A84,3,3,1,Menus!$K$10)),0,Menus!$J$4)</f>
        <v>0</v>
      </c>
      <c r="C84" s="2">
        <f ca="1">OFFSET(INDIRECT(ADDRESS($A84,3,3,1,Menus!$K$10)),0,Menus!$J$3)</f>
        <v>0</v>
      </c>
      <c r="D84" s="73" t="e">
        <f ca="1">IF(Menus!$J$9,C84/B84,C84)</f>
        <v>#DIV/0!</v>
      </c>
      <c r="E84" s="74" t="e">
        <f t="shared" ca="1" si="4"/>
        <v>#N/A</v>
      </c>
      <c r="F84" s="75">
        <f ca="1">INDIRECT(ADDRESS($A84,1,3,1,Menus!$K$10))</f>
        <v>0</v>
      </c>
      <c r="G84" s="2" t="e">
        <f ca="1">IF(INDIRECT(ADDRESS($A84,2,3,1,Menus!$K$10))=G$1,$D84,#N/A)</f>
        <v>#N/A</v>
      </c>
      <c r="H84" s="2" t="e">
        <f ca="1">IF(INDIRECT(ADDRESS($A84,2,3,1,Menus!$K$10))=H$1,$D84,#N/A)</f>
        <v>#N/A</v>
      </c>
      <c r="I84" s="2" t="e">
        <f ca="1">IF(INDIRECT(ADDRESS($A84,2,3,1,Menus!$K$10))=I$1,$D84,#N/A)</f>
        <v>#N/A</v>
      </c>
      <c r="J84" s="2" t="e">
        <f ca="1">IF(INDIRECT(ADDRESS($A84,1,3,1,Menus!$K$10))=T(J$1),$D84,#N/A)</f>
        <v>#N/A</v>
      </c>
      <c r="K84" s="10">
        <f t="shared" ca="1" si="3"/>
        <v>0</v>
      </c>
      <c r="L84" s="2"/>
      <c r="M84" s="85">
        <f ca="1">OFFSET(INDIRECT(ADDRESS($A84,3,3,1,"Gross")),0,Menus!$J$4)</f>
        <v>0</v>
      </c>
      <c r="N84" s="85">
        <f ca="1">OFFSET(INDIRECT(ADDRESS($A84,3,3,1,"Gross")),0,Menus!$J$3)</f>
        <v>0</v>
      </c>
    </row>
    <row r="85" spans="1:14" x14ac:dyDescent="0.25">
      <c r="A85">
        <v>193</v>
      </c>
      <c r="B85" s="2">
        <f ca="1">OFFSET(INDIRECT(ADDRESS($A85,3,3,1,Menus!$K$10)),0,Menus!$J$4)</f>
        <v>0</v>
      </c>
      <c r="C85" s="2">
        <f ca="1">OFFSET(INDIRECT(ADDRESS($A85,3,3,1,Menus!$K$10)),0,Menus!$J$3)</f>
        <v>0</v>
      </c>
      <c r="D85" s="73" t="e">
        <f ca="1">IF(Menus!$J$9,C85/B85,C85)</f>
        <v>#DIV/0!</v>
      </c>
      <c r="E85" s="74" t="e">
        <f t="shared" ca="1" si="4"/>
        <v>#N/A</v>
      </c>
      <c r="F85" s="75">
        <f ca="1">INDIRECT(ADDRESS($A85,1,3,1,Menus!$K$10))</f>
        <v>0</v>
      </c>
      <c r="G85" s="2" t="e">
        <f ca="1">IF(INDIRECT(ADDRESS($A85,2,3,1,Menus!$K$10))=G$1,$D85,#N/A)</f>
        <v>#N/A</v>
      </c>
      <c r="H85" s="2" t="e">
        <f ca="1">IF(INDIRECT(ADDRESS($A85,2,3,1,Menus!$K$10))=H$1,$D85,#N/A)</f>
        <v>#N/A</v>
      </c>
      <c r="I85" s="2" t="e">
        <f ca="1">IF(INDIRECT(ADDRESS($A85,2,3,1,Menus!$K$10))=I$1,$D85,#N/A)</f>
        <v>#N/A</v>
      </c>
      <c r="J85" s="2" t="e">
        <f ca="1">IF(INDIRECT(ADDRESS($A85,1,3,1,Menus!$K$10))=T(J$1),$D85,#N/A)</f>
        <v>#N/A</v>
      </c>
      <c r="K85" s="10">
        <f t="shared" ca="1" si="3"/>
        <v>0</v>
      </c>
      <c r="L85" s="2"/>
      <c r="M85" s="85">
        <f ca="1">OFFSET(INDIRECT(ADDRESS($A85,3,3,1,"Gross")),0,Menus!$J$4)</f>
        <v>0</v>
      </c>
      <c r="N85" s="85">
        <f ca="1">OFFSET(INDIRECT(ADDRESS($A85,3,3,1,"Gross")),0,Menus!$J$3)</f>
        <v>0</v>
      </c>
    </row>
    <row r="86" spans="1:14" x14ac:dyDescent="0.25">
      <c r="A86">
        <v>55</v>
      </c>
      <c r="B86" s="2">
        <f ca="1">OFFSET(INDIRECT(ADDRESS($A86,3,3,1,Menus!$K$10)),0,Menus!$J$4)</f>
        <v>0</v>
      </c>
      <c r="C86" s="2">
        <f ca="1">OFFSET(INDIRECT(ADDRESS($A86,3,3,1,Menus!$K$10)),0,Menus!$J$3)</f>
        <v>0</v>
      </c>
      <c r="D86" s="73" t="e">
        <f ca="1">IF(Menus!$J$9,C86/B86,C86)</f>
        <v>#DIV/0!</v>
      </c>
      <c r="E86" s="74" t="e">
        <f t="shared" ca="1" si="4"/>
        <v>#N/A</v>
      </c>
      <c r="F86" s="75">
        <f ca="1">INDIRECT(ADDRESS($A86,1,3,1,Menus!$K$10))</f>
        <v>0</v>
      </c>
      <c r="G86" s="2" t="e">
        <f ca="1">IF(INDIRECT(ADDRESS($A86,2,3,1,Menus!$K$10))=G$1,$D86,#N/A)</f>
        <v>#N/A</v>
      </c>
      <c r="H86" s="2" t="e">
        <f ca="1">IF(INDIRECT(ADDRESS($A86,2,3,1,Menus!$K$10))=H$1,$D86,#N/A)</f>
        <v>#N/A</v>
      </c>
      <c r="I86" s="2" t="e">
        <f ca="1">IF(INDIRECT(ADDRESS($A86,2,3,1,Menus!$K$10))=I$1,$D86,#N/A)</f>
        <v>#N/A</v>
      </c>
      <c r="J86" s="2" t="e">
        <f ca="1">IF(INDIRECT(ADDRESS($A86,1,3,1,Menus!$K$10))=T(J$1),$D86,#N/A)</f>
        <v>#N/A</v>
      </c>
      <c r="K86" s="10">
        <f t="shared" ca="1" si="3"/>
        <v>0</v>
      </c>
      <c r="L86" s="2"/>
      <c r="M86" s="85">
        <f ca="1">OFFSET(INDIRECT(ADDRESS($A86,3,3,1,"Gross")),0,Menus!$J$4)</f>
        <v>0</v>
      </c>
      <c r="N86" s="85">
        <f ca="1">OFFSET(INDIRECT(ADDRESS($A86,3,3,1,"Gross")),0,Menus!$J$3)</f>
        <v>0</v>
      </c>
    </row>
    <row r="87" spans="1:14" x14ac:dyDescent="0.25">
      <c r="A87">
        <v>188</v>
      </c>
      <c r="B87" s="2">
        <f ca="1">OFFSET(INDIRECT(ADDRESS($A87,3,3,1,Menus!$K$10)),0,Menus!$J$4)</f>
        <v>0</v>
      </c>
      <c r="C87" s="2">
        <f ca="1">OFFSET(INDIRECT(ADDRESS($A87,3,3,1,Menus!$K$10)),0,Menus!$J$3)</f>
        <v>0</v>
      </c>
      <c r="D87" s="73" t="e">
        <f ca="1">IF(Menus!$J$9,C87/B87,C87)</f>
        <v>#DIV/0!</v>
      </c>
      <c r="E87" s="74" t="e">
        <f t="shared" ca="1" si="4"/>
        <v>#N/A</v>
      </c>
      <c r="F87" s="75">
        <f ca="1">INDIRECT(ADDRESS($A87,1,3,1,Menus!$K$10))</f>
        <v>0</v>
      </c>
      <c r="G87" s="2" t="e">
        <f ca="1">IF(INDIRECT(ADDRESS($A87,2,3,1,Menus!$K$10))=G$1,$D87,#N/A)</f>
        <v>#N/A</v>
      </c>
      <c r="H87" s="2" t="e">
        <f ca="1">IF(INDIRECT(ADDRESS($A87,2,3,1,Menus!$K$10))=H$1,$D87,#N/A)</f>
        <v>#N/A</v>
      </c>
      <c r="I87" s="2" t="e">
        <f ca="1">IF(INDIRECT(ADDRESS($A87,2,3,1,Menus!$K$10))=I$1,$D87,#N/A)</f>
        <v>#N/A</v>
      </c>
      <c r="J87" s="2" t="e">
        <f ca="1">IF(INDIRECT(ADDRESS($A87,1,3,1,Menus!$K$10))=T(J$1),$D87,#N/A)</f>
        <v>#N/A</v>
      </c>
      <c r="K87" s="10">
        <f t="shared" ca="1" si="3"/>
        <v>0</v>
      </c>
      <c r="L87" s="2"/>
      <c r="M87" s="85">
        <f ca="1">OFFSET(INDIRECT(ADDRESS($A87,3,3,1,"Gross")),0,Menus!$J$4)</f>
        <v>0</v>
      </c>
      <c r="N87" s="85">
        <f ca="1">OFFSET(INDIRECT(ADDRESS($A87,3,3,1,"Gross")),0,Menus!$J$3)</f>
        <v>0</v>
      </c>
    </row>
    <row r="88" spans="1:14" x14ac:dyDescent="0.25">
      <c r="A88">
        <v>116</v>
      </c>
      <c r="B88" s="2">
        <f ca="1">OFFSET(INDIRECT(ADDRESS($A88,3,3,1,Menus!$K$10)),0,Menus!$J$4)</f>
        <v>0</v>
      </c>
      <c r="C88" s="2">
        <f ca="1">OFFSET(INDIRECT(ADDRESS($A88,3,3,1,Menus!$K$10)),0,Menus!$J$3)</f>
        <v>0</v>
      </c>
      <c r="D88" s="73" t="e">
        <f ca="1">IF(Menus!$J$9,C88/B88,C88)</f>
        <v>#DIV/0!</v>
      </c>
      <c r="E88" s="74" t="e">
        <f t="shared" ca="1" si="4"/>
        <v>#N/A</v>
      </c>
      <c r="F88" s="75">
        <f ca="1">INDIRECT(ADDRESS($A88,1,3,1,Menus!$K$10))</f>
        <v>0</v>
      </c>
      <c r="G88" s="2" t="e">
        <f ca="1">IF(INDIRECT(ADDRESS($A88,2,3,1,Menus!$K$10))=G$1,$D88,#N/A)</f>
        <v>#N/A</v>
      </c>
      <c r="H88" s="2" t="e">
        <f ca="1">IF(INDIRECT(ADDRESS($A88,2,3,1,Menus!$K$10))=H$1,$D88,#N/A)</f>
        <v>#N/A</v>
      </c>
      <c r="I88" s="2" t="e">
        <f ca="1">IF(INDIRECT(ADDRESS($A88,2,3,1,Menus!$K$10))=I$1,$D88,#N/A)</f>
        <v>#N/A</v>
      </c>
      <c r="J88" s="2" t="e">
        <f ca="1">IF(INDIRECT(ADDRESS($A88,1,3,1,Menus!$K$10))=T(J$1),$D88,#N/A)</f>
        <v>#N/A</v>
      </c>
      <c r="K88" s="10">
        <f t="shared" ca="1" si="3"/>
        <v>0</v>
      </c>
      <c r="L88" s="2"/>
      <c r="M88" s="85">
        <f ca="1">OFFSET(INDIRECT(ADDRESS($A88,3,3,1,"Gross")),0,Menus!$J$4)</f>
        <v>0</v>
      </c>
      <c r="N88" s="85">
        <f ca="1">OFFSET(INDIRECT(ADDRESS($A88,3,3,1,"Gross")),0,Menus!$J$3)</f>
        <v>0</v>
      </c>
    </row>
    <row r="89" spans="1:14" x14ac:dyDescent="0.25">
      <c r="A89">
        <v>95</v>
      </c>
      <c r="B89" s="2">
        <f ca="1">OFFSET(INDIRECT(ADDRESS($A89,3,3,1,Menus!$K$10)),0,Menus!$J$4)</f>
        <v>0</v>
      </c>
      <c r="C89" s="2">
        <f ca="1">OFFSET(INDIRECT(ADDRESS($A89,3,3,1,Menus!$K$10)),0,Menus!$J$3)</f>
        <v>0</v>
      </c>
      <c r="D89" s="73" t="e">
        <f ca="1">IF(Menus!$J$9,C89/B89,C89)</f>
        <v>#DIV/0!</v>
      </c>
      <c r="E89" s="74" t="e">
        <f t="shared" ca="1" si="4"/>
        <v>#N/A</v>
      </c>
      <c r="F89" s="75">
        <f ca="1">INDIRECT(ADDRESS($A89,1,3,1,Menus!$K$10))</f>
        <v>0</v>
      </c>
      <c r="G89" s="2" t="e">
        <f ca="1">IF(INDIRECT(ADDRESS($A89,2,3,1,Menus!$K$10))=G$1,$D89,#N/A)</f>
        <v>#N/A</v>
      </c>
      <c r="H89" s="2" t="e">
        <f ca="1">IF(INDIRECT(ADDRESS($A89,2,3,1,Menus!$K$10))=H$1,$D89,#N/A)</f>
        <v>#N/A</v>
      </c>
      <c r="I89" s="2" t="e">
        <f ca="1">IF(INDIRECT(ADDRESS($A89,2,3,1,Menus!$K$10))=I$1,$D89,#N/A)</f>
        <v>#N/A</v>
      </c>
      <c r="J89" s="2" t="e">
        <f ca="1">IF(INDIRECT(ADDRESS($A89,1,3,1,Menus!$K$10))=T(J$1),$D89,#N/A)</f>
        <v>#N/A</v>
      </c>
      <c r="K89" s="10">
        <f t="shared" ca="1" si="3"/>
        <v>0</v>
      </c>
      <c r="L89" s="2"/>
      <c r="M89" s="85">
        <f ca="1">OFFSET(INDIRECT(ADDRESS($A89,3,3,1,"Gross")),0,Menus!$J$4)</f>
        <v>0</v>
      </c>
      <c r="N89" s="85">
        <f ca="1">OFFSET(INDIRECT(ADDRESS($A89,3,3,1,"Gross")),0,Menus!$J$3)</f>
        <v>0</v>
      </c>
    </row>
    <row r="90" spans="1:14" x14ac:dyDescent="0.25">
      <c r="A90">
        <v>181</v>
      </c>
      <c r="B90" s="2">
        <f ca="1">OFFSET(INDIRECT(ADDRESS($A90,3,3,1,Menus!$K$10)),0,Menus!$J$4)</f>
        <v>0</v>
      </c>
      <c r="C90" s="2">
        <f ca="1">OFFSET(INDIRECT(ADDRESS($A90,3,3,1,Menus!$K$10)),0,Menus!$J$3)</f>
        <v>0</v>
      </c>
      <c r="D90" s="73" t="e">
        <f ca="1">IF(Menus!$J$9,C90/B90,C90)</f>
        <v>#DIV/0!</v>
      </c>
      <c r="E90" s="74" t="e">
        <f t="shared" ca="1" si="4"/>
        <v>#N/A</v>
      </c>
      <c r="F90" s="75">
        <f ca="1">INDIRECT(ADDRESS($A90,1,3,1,Menus!$K$10))</f>
        <v>0</v>
      </c>
      <c r="G90" s="2" t="e">
        <f ca="1">IF(INDIRECT(ADDRESS($A90,2,3,1,Menus!$K$10))=G$1,$D90,#N/A)</f>
        <v>#N/A</v>
      </c>
      <c r="H90" s="2" t="e">
        <f ca="1">IF(INDIRECT(ADDRESS($A90,2,3,1,Menus!$K$10))=H$1,$D90,#N/A)</f>
        <v>#N/A</v>
      </c>
      <c r="I90" s="2" t="e">
        <f ca="1">IF(INDIRECT(ADDRESS($A90,2,3,1,Menus!$K$10))=I$1,$D90,#N/A)</f>
        <v>#N/A</v>
      </c>
      <c r="J90" s="2" t="e">
        <f ca="1">IF(INDIRECT(ADDRESS($A90,1,3,1,Menus!$K$10))=T(J$1),$D90,#N/A)</f>
        <v>#N/A</v>
      </c>
      <c r="K90" s="10">
        <f t="shared" ca="1" si="3"/>
        <v>0</v>
      </c>
      <c r="L90" s="2"/>
      <c r="M90" s="85">
        <f ca="1">OFFSET(INDIRECT(ADDRESS($A90,3,3,1,"Gross")),0,Menus!$J$4)</f>
        <v>0</v>
      </c>
      <c r="N90" s="85">
        <f ca="1">OFFSET(INDIRECT(ADDRESS($A90,3,3,1,"Gross")),0,Menus!$J$3)</f>
        <v>0</v>
      </c>
    </row>
    <row r="91" spans="1:14" x14ac:dyDescent="0.25">
      <c r="A91">
        <v>161</v>
      </c>
      <c r="B91" s="2">
        <f ca="1">OFFSET(INDIRECT(ADDRESS($A91,3,3,1,Menus!$K$10)),0,Menus!$J$4)</f>
        <v>0</v>
      </c>
      <c r="C91" s="2">
        <f ca="1">OFFSET(INDIRECT(ADDRESS($A91,3,3,1,Menus!$K$10)),0,Menus!$J$3)</f>
        <v>0</v>
      </c>
      <c r="D91" s="73" t="e">
        <f ca="1">IF(Menus!$J$9,C91/B91,C91)</f>
        <v>#DIV/0!</v>
      </c>
      <c r="E91" s="74" t="e">
        <f t="shared" ca="1" si="4"/>
        <v>#N/A</v>
      </c>
      <c r="F91" s="75">
        <f ca="1">INDIRECT(ADDRESS($A91,1,3,1,Menus!$K$10))</f>
        <v>0</v>
      </c>
      <c r="G91" s="2" t="e">
        <f ca="1">IF(INDIRECT(ADDRESS($A91,2,3,1,Menus!$K$10))=G$1,$D91,#N/A)</f>
        <v>#N/A</v>
      </c>
      <c r="H91" s="2" t="e">
        <f ca="1">IF(INDIRECT(ADDRESS($A91,2,3,1,Menus!$K$10))=H$1,$D91,#N/A)</f>
        <v>#N/A</v>
      </c>
      <c r="I91" s="2" t="e">
        <f ca="1">IF(INDIRECT(ADDRESS($A91,2,3,1,Menus!$K$10))=I$1,$D91,#N/A)</f>
        <v>#N/A</v>
      </c>
      <c r="J91" s="2" t="e">
        <f ca="1">IF(INDIRECT(ADDRESS($A91,1,3,1,Menus!$K$10))=T(J$1),$D91,#N/A)</f>
        <v>#N/A</v>
      </c>
      <c r="K91" s="10">
        <f t="shared" ca="1" si="3"/>
        <v>0</v>
      </c>
      <c r="L91" s="2"/>
      <c r="M91" s="85">
        <f ca="1">OFFSET(INDIRECT(ADDRESS($A91,3,3,1,"Gross")),0,Menus!$J$4)</f>
        <v>0</v>
      </c>
      <c r="N91" s="85">
        <f ca="1">OFFSET(INDIRECT(ADDRESS($A91,3,3,1,"Gross")),0,Menus!$J$3)</f>
        <v>0</v>
      </c>
    </row>
    <row r="92" spans="1:14" x14ac:dyDescent="0.25">
      <c r="A92">
        <v>145</v>
      </c>
      <c r="B92" s="2">
        <f ca="1">OFFSET(INDIRECT(ADDRESS($A92,3,3,1,Menus!$K$10)),0,Menus!$J$4)</f>
        <v>0</v>
      </c>
      <c r="C92" s="2">
        <f ca="1">OFFSET(INDIRECT(ADDRESS($A92,3,3,1,Menus!$K$10)),0,Menus!$J$3)</f>
        <v>0</v>
      </c>
      <c r="D92" s="73" t="e">
        <f ca="1">IF(Menus!$J$9,C92/B92,C92)</f>
        <v>#DIV/0!</v>
      </c>
      <c r="E92" s="74" t="e">
        <f t="shared" ca="1" si="4"/>
        <v>#N/A</v>
      </c>
      <c r="F92" s="75">
        <f ca="1">INDIRECT(ADDRESS($A92,1,3,1,Menus!$K$10))</f>
        <v>0</v>
      </c>
      <c r="G92" s="2" t="e">
        <f ca="1">IF(INDIRECT(ADDRESS($A92,2,3,1,Menus!$K$10))=G$1,$D92,#N/A)</f>
        <v>#N/A</v>
      </c>
      <c r="H92" s="2" t="e">
        <f ca="1">IF(INDIRECT(ADDRESS($A92,2,3,1,Menus!$K$10))=H$1,$D92,#N/A)</f>
        <v>#N/A</v>
      </c>
      <c r="I92" s="2" t="e">
        <f ca="1">IF(INDIRECT(ADDRESS($A92,2,3,1,Menus!$K$10))=I$1,$D92,#N/A)</f>
        <v>#N/A</v>
      </c>
      <c r="J92" s="2" t="e">
        <f ca="1">IF(INDIRECT(ADDRESS($A92,1,3,1,Menus!$K$10))=T(J$1),$D92,#N/A)</f>
        <v>#N/A</v>
      </c>
      <c r="K92" s="10">
        <f t="shared" ca="1" si="3"/>
        <v>0</v>
      </c>
      <c r="L92" s="2"/>
      <c r="M92" s="85">
        <f ca="1">OFFSET(INDIRECT(ADDRESS($A92,3,3,1,"Gross")),0,Menus!$J$4)</f>
        <v>0</v>
      </c>
      <c r="N92" s="85">
        <f ca="1">OFFSET(INDIRECT(ADDRESS($A92,3,3,1,"Gross")),0,Menus!$J$3)</f>
        <v>0</v>
      </c>
    </row>
    <row r="93" spans="1:14" x14ac:dyDescent="0.25">
      <c r="A93">
        <v>74</v>
      </c>
      <c r="B93" s="2">
        <f ca="1">OFFSET(INDIRECT(ADDRESS($A93,3,3,1,Menus!$K$10)),0,Menus!$J$4)</f>
        <v>0</v>
      </c>
      <c r="C93" s="2">
        <f ca="1">OFFSET(INDIRECT(ADDRESS($A93,3,3,1,Menus!$K$10)),0,Menus!$J$3)</f>
        <v>0</v>
      </c>
      <c r="D93" s="73" t="e">
        <f ca="1">IF(Menus!$J$9,C93/B93,C93)</f>
        <v>#DIV/0!</v>
      </c>
      <c r="E93" s="74" t="e">
        <f t="shared" ca="1" si="4"/>
        <v>#N/A</v>
      </c>
      <c r="F93" s="75">
        <f ca="1">INDIRECT(ADDRESS($A93,1,3,1,Menus!$K$10))</f>
        <v>0</v>
      </c>
      <c r="G93" s="2" t="e">
        <f ca="1">IF(INDIRECT(ADDRESS($A93,2,3,1,Menus!$K$10))=G$1,$D93,#N/A)</f>
        <v>#N/A</v>
      </c>
      <c r="H93" s="2" t="e">
        <f ca="1">IF(INDIRECT(ADDRESS($A93,2,3,1,Menus!$K$10))=H$1,$D93,#N/A)</f>
        <v>#N/A</v>
      </c>
      <c r="I93" s="2" t="e">
        <f ca="1">IF(INDIRECT(ADDRESS($A93,2,3,1,Menus!$K$10))=I$1,$D93,#N/A)</f>
        <v>#N/A</v>
      </c>
      <c r="J93" s="2" t="e">
        <f ca="1">IF(INDIRECT(ADDRESS($A93,1,3,1,Menus!$K$10))=T(J$1),$D93,#N/A)</f>
        <v>#N/A</v>
      </c>
      <c r="K93" s="10">
        <f t="shared" ca="1" si="3"/>
        <v>0</v>
      </c>
      <c r="L93" s="2"/>
      <c r="M93" s="85">
        <f ca="1">OFFSET(INDIRECT(ADDRESS($A93,3,3,1,"Gross")),0,Menus!$J$4)</f>
        <v>0</v>
      </c>
      <c r="N93" s="85">
        <f ca="1">OFFSET(INDIRECT(ADDRESS($A93,3,3,1,"Gross")),0,Menus!$J$3)</f>
        <v>0</v>
      </c>
    </row>
    <row r="94" spans="1:14" x14ac:dyDescent="0.25">
      <c r="A94">
        <v>163</v>
      </c>
      <c r="B94" s="2">
        <f ca="1">OFFSET(INDIRECT(ADDRESS($A94,3,3,1,Menus!$K$10)),0,Menus!$J$4)</f>
        <v>0</v>
      </c>
      <c r="C94" s="2">
        <f ca="1">OFFSET(INDIRECT(ADDRESS($A94,3,3,1,Menus!$K$10)),0,Menus!$J$3)</f>
        <v>0</v>
      </c>
      <c r="D94" s="73" t="e">
        <f ca="1">IF(Menus!$J$9,C94/B94,C94)</f>
        <v>#DIV/0!</v>
      </c>
      <c r="E94" s="74" t="e">
        <f t="shared" ca="1" si="4"/>
        <v>#N/A</v>
      </c>
      <c r="F94" s="75">
        <f ca="1">INDIRECT(ADDRESS($A94,1,3,1,Menus!$K$10))</f>
        <v>0</v>
      </c>
      <c r="G94" s="2" t="e">
        <f ca="1">IF(INDIRECT(ADDRESS($A94,2,3,1,Menus!$K$10))=G$1,$D94,#N/A)</f>
        <v>#N/A</v>
      </c>
      <c r="H94" s="2" t="e">
        <f ca="1">IF(INDIRECT(ADDRESS($A94,2,3,1,Menus!$K$10))=H$1,$D94,#N/A)</f>
        <v>#N/A</v>
      </c>
      <c r="I94" s="2" t="e">
        <f ca="1">IF(INDIRECT(ADDRESS($A94,2,3,1,Menus!$K$10))=I$1,$D94,#N/A)</f>
        <v>#N/A</v>
      </c>
      <c r="J94" s="2" t="e">
        <f ca="1">IF(INDIRECT(ADDRESS($A94,1,3,1,Menus!$K$10))=T(J$1),$D94,#N/A)</f>
        <v>#N/A</v>
      </c>
      <c r="K94" s="10">
        <f t="shared" ca="1" si="3"/>
        <v>0</v>
      </c>
      <c r="L94" s="2"/>
      <c r="M94" s="85">
        <f ca="1">OFFSET(INDIRECT(ADDRESS($A94,3,3,1,"Gross")),0,Menus!$J$4)</f>
        <v>0</v>
      </c>
      <c r="N94" s="85">
        <f ca="1">OFFSET(INDIRECT(ADDRESS($A94,3,3,1,"Gross")),0,Menus!$J$3)</f>
        <v>0</v>
      </c>
    </row>
    <row r="95" spans="1:14" x14ac:dyDescent="0.25">
      <c r="A95">
        <v>164</v>
      </c>
      <c r="B95" s="2">
        <f ca="1">OFFSET(INDIRECT(ADDRESS($A95,3,3,1,Menus!$K$10)),0,Menus!$J$4)</f>
        <v>0</v>
      </c>
      <c r="C95" s="2">
        <f ca="1">OFFSET(INDIRECT(ADDRESS($A95,3,3,1,Menus!$K$10)),0,Menus!$J$3)</f>
        <v>0</v>
      </c>
      <c r="D95" s="73" t="e">
        <f ca="1">IF(Menus!$J$9,C95/B95,C95)</f>
        <v>#DIV/0!</v>
      </c>
      <c r="E95" s="74" t="e">
        <f t="shared" ca="1" si="4"/>
        <v>#N/A</v>
      </c>
      <c r="F95" s="75">
        <f ca="1">INDIRECT(ADDRESS($A95,1,3,1,Menus!$K$10))</f>
        <v>0</v>
      </c>
      <c r="G95" s="2" t="e">
        <f ca="1">IF(INDIRECT(ADDRESS($A95,2,3,1,Menus!$K$10))=G$1,$D95,#N/A)</f>
        <v>#N/A</v>
      </c>
      <c r="H95" s="2" t="e">
        <f ca="1">IF(INDIRECT(ADDRESS($A95,2,3,1,Menus!$K$10))=H$1,$D95,#N/A)</f>
        <v>#N/A</v>
      </c>
      <c r="I95" s="2" t="e">
        <f ca="1">IF(INDIRECT(ADDRESS($A95,2,3,1,Menus!$K$10))=I$1,$D95,#N/A)</f>
        <v>#N/A</v>
      </c>
      <c r="J95" s="2" t="e">
        <f ca="1">IF(INDIRECT(ADDRESS($A95,1,3,1,Menus!$K$10))=T(J$1),$D95,#N/A)</f>
        <v>#N/A</v>
      </c>
      <c r="K95" s="10">
        <f t="shared" ca="1" si="3"/>
        <v>0</v>
      </c>
      <c r="L95" s="2"/>
      <c r="M95" s="85">
        <f ca="1">OFFSET(INDIRECT(ADDRESS($A95,3,3,1,"Gross")),0,Menus!$J$4)</f>
        <v>0</v>
      </c>
      <c r="N95" s="85">
        <f ca="1">OFFSET(INDIRECT(ADDRESS($A95,3,3,1,"Gross")),0,Menus!$J$3)</f>
        <v>0</v>
      </c>
    </row>
    <row r="96" spans="1:14" x14ac:dyDescent="0.25">
      <c r="A96">
        <v>155</v>
      </c>
      <c r="B96" s="2">
        <f ca="1">OFFSET(INDIRECT(ADDRESS($A96,3,3,1,Menus!$K$10)),0,Menus!$J$4)</f>
        <v>0</v>
      </c>
      <c r="C96" s="2">
        <f ca="1">OFFSET(INDIRECT(ADDRESS($A96,3,3,1,Menus!$K$10)),0,Menus!$J$3)</f>
        <v>0</v>
      </c>
      <c r="D96" s="73" t="e">
        <f ca="1">IF(Menus!$J$9,C96/B96,C96)</f>
        <v>#DIV/0!</v>
      </c>
      <c r="E96" s="74" t="e">
        <f t="shared" ca="1" si="4"/>
        <v>#N/A</v>
      </c>
      <c r="F96" s="75">
        <f ca="1">INDIRECT(ADDRESS($A96,1,3,1,Menus!$K$10))</f>
        <v>0</v>
      </c>
      <c r="G96" s="2" t="e">
        <f ca="1">IF(INDIRECT(ADDRESS($A96,2,3,1,Menus!$K$10))=G$1,$D96,#N/A)</f>
        <v>#N/A</v>
      </c>
      <c r="H96" s="2" t="e">
        <f ca="1">IF(INDIRECT(ADDRESS($A96,2,3,1,Menus!$K$10))=H$1,$D96,#N/A)</f>
        <v>#N/A</v>
      </c>
      <c r="I96" s="2" t="e">
        <f ca="1">IF(INDIRECT(ADDRESS($A96,2,3,1,Menus!$K$10))=I$1,$D96,#N/A)</f>
        <v>#N/A</v>
      </c>
      <c r="J96" s="2" t="e">
        <f ca="1">IF(INDIRECT(ADDRESS($A96,1,3,1,Menus!$K$10))=T(J$1),$D96,#N/A)</f>
        <v>#N/A</v>
      </c>
      <c r="K96" s="10">
        <f t="shared" ca="1" si="3"/>
        <v>0</v>
      </c>
      <c r="L96" s="2"/>
      <c r="M96" s="85">
        <f ca="1">OFFSET(INDIRECT(ADDRESS($A96,3,3,1,"Gross")),0,Menus!$J$4)</f>
        <v>0</v>
      </c>
      <c r="N96" s="85">
        <f ca="1">OFFSET(INDIRECT(ADDRESS($A96,3,3,1,"Gross")),0,Menus!$J$3)</f>
        <v>0</v>
      </c>
    </row>
    <row r="97" spans="1:14" x14ac:dyDescent="0.25">
      <c r="A97">
        <v>84</v>
      </c>
      <c r="B97" s="2">
        <f ca="1">OFFSET(INDIRECT(ADDRESS($A97,3,3,1,Menus!$K$10)),0,Menus!$J$4)</f>
        <v>0</v>
      </c>
      <c r="C97" s="2">
        <f ca="1">OFFSET(INDIRECT(ADDRESS($A97,3,3,1,Menus!$K$10)),0,Menus!$J$3)</f>
        <v>0</v>
      </c>
      <c r="D97" s="73" t="e">
        <f ca="1">IF(Menus!$J$9,C97/B97,C97)</f>
        <v>#DIV/0!</v>
      </c>
      <c r="E97" s="74" t="e">
        <f t="shared" ca="1" si="4"/>
        <v>#N/A</v>
      </c>
      <c r="F97" s="75">
        <f ca="1">INDIRECT(ADDRESS($A97,1,3,1,Menus!$K$10))</f>
        <v>0</v>
      </c>
      <c r="G97" s="2" t="e">
        <f ca="1">IF(INDIRECT(ADDRESS($A97,2,3,1,Menus!$K$10))=G$1,$D97,#N/A)</f>
        <v>#N/A</v>
      </c>
      <c r="H97" s="2" t="e">
        <f ca="1">IF(INDIRECT(ADDRESS($A97,2,3,1,Menus!$K$10))=H$1,$D97,#N/A)</f>
        <v>#N/A</v>
      </c>
      <c r="I97" s="2" t="e">
        <f ca="1">IF(INDIRECT(ADDRESS($A97,2,3,1,Menus!$K$10))=I$1,$D97,#N/A)</f>
        <v>#N/A</v>
      </c>
      <c r="J97" s="2" t="e">
        <f ca="1">IF(INDIRECT(ADDRESS($A97,1,3,1,Menus!$K$10))=T(J$1),$D97,#N/A)</f>
        <v>#N/A</v>
      </c>
      <c r="K97" s="10">
        <f t="shared" ca="1" si="3"/>
        <v>0</v>
      </c>
      <c r="L97" s="2"/>
      <c r="M97" s="85">
        <f ca="1">OFFSET(INDIRECT(ADDRESS($A97,3,3,1,"Gross")),0,Menus!$J$4)</f>
        <v>0</v>
      </c>
      <c r="N97" s="85">
        <f ca="1">OFFSET(INDIRECT(ADDRESS($A97,3,3,1,"Gross")),0,Menus!$J$3)</f>
        <v>0</v>
      </c>
    </row>
    <row r="98" spans="1:14" x14ac:dyDescent="0.25">
      <c r="A98">
        <v>85</v>
      </c>
      <c r="B98" s="2">
        <f ca="1">OFFSET(INDIRECT(ADDRESS($A98,3,3,1,Menus!$K$10)),0,Menus!$J$4)</f>
        <v>0</v>
      </c>
      <c r="C98" s="2">
        <f ca="1">OFFSET(INDIRECT(ADDRESS($A98,3,3,1,Menus!$K$10)),0,Menus!$J$3)</f>
        <v>0</v>
      </c>
      <c r="D98" s="73" t="e">
        <f ca="1">IF(Menus!$J$9,C98/B98,C98)</f>
        <v>#DIV/0!</v>
      </c>
      <c r="E98" s="74" t="e">
        <f t="shared" ca="1" si="4"/>
        <v>#N/A</v>
      </c>
      <c r="F98" s="75">
        <f ca="1">INDIRECT(ADDRESS($A98,1,3,1,Menus!$K$10))</f>
        <v>0</v>
      </c>
      <c r="G98" s="2" t="e">
        <f ca="1">IF(INDIRECT(ADDRESS($A98,2,3,1,Menus!$K$10))=G$1,$D98,#N/A)</f>
        <v>#N/A</v>
      </c>
      <c r="H98" s="2" t="e">
        <f ca="1">IF(INDIRECT(ADDRESS($A98,2,3,1,Menus!$K$10))=H$1,$D98,#N/A)</f>
        <v>#N/A</v>
      </c>
      <c r="I98" s="2" t="e">
        <f ca="1">IF(INDIRECT(ADDRESS($A98,2,3,1,Menus!$K$10))=I$1,$D98,#N/A)</f>
        <v>#N/A</v>
      </c>
      <c r="J98" s="2" t="e">
        <f ca="1">IF(INDIRECT(ADDRESS($A98,1,3,1,Menus!$K$10))=T(J$1),$D98,#N/A)</f>
        <v>#N/A</v>
      </c>
      <c r="K98" s="10">
        <f t="shared" ca="1" si="3"/>
        <v>0</v>
      </c>
      <c r="L98" s="2"/>
      <c r="M98" s="85">
        <f ca="1">OFFSET(INDIRECT(ADDRESS($A98,3,3,1,"Gross")),0,Menus!$J$4)</f>
        <v>0</v>
      </c>
      <c r="N98" s="85">
        <f ca="1">OFFSET(INDIRECT(ADDRESS($A98,3,3,1,"Gross")),0,Menus!$J$3)</f>
        <v>0</v>
      </c>
    </row>
    <row r="99" spans="1:14" x14ac:dyDescent="0.25">
      <c r="A99">
        <v>63</v>
      </c>
      <c r="B99" s="2">
        <f ca="1">OFFSET(INDIRECT(ADDRESS($A99,3,3,1,Menus!$K$10)),0,Menus!$J$4)</f>
        <v>0</v>
      </c>
      <c r="C99" s="2">
        <f ca="1">OFFSET(INDIRECT(ADDRESS($A99,3,3,1,Menus!$K$10)),0,Menus!$J$3)</f>
        <v>0</v>
      </c>
      <c r="D99" s="73" t="e">
        <f ca="1">IF(Menus!$J$9,C99/B99,C99)</f>
        <v>#DIV/0!</v>
      </c>
      <c r="E99" s="74" t="e">
        <f t="shared" ca="1" si="4"/>
        <v>#N/A</v>
      </c>
      <c r="F99" s="75">
        <f ca="1">INDIRECT(ADDRESS($A99,1,3,1,Menus!$K$10))</f>
        <v>0</v>
      </c>
      <c r="G99" s="2" t="e">
        <f ca="1">IF(INDIRECT(ADDRESS($A99,2,3,1,Menus!$K$10))=G$1,$D99,#N/A)</f>
        <v>#N/A</v>
      </c>
      <c r="H99" s="2" t="e">
        <f ca="1">IF(INDIRECT(ADDRESS($A99,2,3,1,Menus!$K$10))=H$1,$D99,#N/A)</f>
        <v>#N/A</v>
      </c>
      <c r="I99" s="2" t="e">
        <f ca="1">IF(INDIRECT(ADDRESS($A99,2,3,1,Menus!$K$10))=I$1,$D99,#N/A)</f>
        <v>#N/A</v>
      </c>
      <c r="J99" s="2" t="e">
        <f ca="1">IF(INDIRECT(ADDRESS($A99,1,3,1,Menus!$K$10))=T(J$1),$D99,#N/A)</f>
        <v>#N/A</v>
      </c>
      <c r="K99" s="10">
        <f t="shared" ca="1" si="3"/>
        <v>0</v>
      </c>
      <c r="L99" s="2"/>
      <c r="M99" s="85">
        <f ca="1">OFFSET(INDIRECT(ADDRESS($A99,3,3,1,"Gross")),0,Menus!$J$4)</f>
        <v>0</v>
      </c>
      <c r="N99" s="85">
        <f ca="1">OFFSET(INDIRECT(ADDRESS($A99,3,3,1,"Gross")),0,Menus!$J$3)</f>
        <v>0</v>
      </c>
    </row>
    <row r="100" spans="1:14" x14ac:dyDescent="0.25">
      <c r="A100">
        <v>80</v>
      </c>
      <c r="B100" s="2">
        <f ca="1">OFFSET(INDIRECT(ADDRESS($A100,3,3,1,Menus!$K$10)),0,Menus!$J$4)</f>
        <v>0</v>
      </c>
      <c r="C100" s="2">
        <f ca="1">OFFSET(INDIRECT(ADDRESS($A100,3,3,1,Menus!$K$10)),0,Menus!$J$3)</f>
        <v>0</v>
      </c>
      <c r="D100" s="73" t="e">
        <f ca="1">IF(Menus!$J$9,C100/B100,C100)</f>
        <v>#DIV/0!</v>
      </c>
      <c r="E100" s="74" t="e">
        <f t="shared" ca="1" si="4"/>
        <v>#N/A</v>
      </c>
      <c r="F100" s="75">
        <f ca="1">INDIRECT(ADDRESS($A100,1,3,1,Menus!$K$10))</f>
        <v>0</v>
      </c>
      <c r="G100" s="2" t="e">
        <f ca="1">IF(INDIRECT(ADDRESS($A100,2,3,1,Menus!$K$10))=G$1,$D100,#N/A)</f>
        <v>#N/A</v>
      </c>
      <c r="H100" s="2" t="e">
        <f ca="1">IF(INDIRECT(ADDRESS($A100,2,3,1,Menus!$K$10))=H$1,$D100,#N/A)</f>
        <v>#N/A</v>
      </c>
      <c r="I100" s="2" t="e">
        <f ca="1">IF(INDIRECT(ADDRESS($A100,2,3,1,Menus!$K$10))=I$1,$D100,#N/A)</f>
        <v>#N/A</v>
      </c>
      <c r="J100" s="2" t="e">
        <f ca="1">IF(INDIRECT(ADDRESS($A100,1,3,1,Menus!$K$10))=T(J$1),$D100,#N/A)</f>
        <v>#N/A</v>
      </c>
      <c r="K100" s="10">
        <f t="shared" ca="1" si="3"/>
        <v>0</v>
      </c>
      <c r="L100" s="2"/>
      <c r="M100" s="85">
        <f ca="1">OFFSET(INDIRECT(ADDRESS($A100,3,3,1,"Gross")),0,Menus!$J$4)</f>
        <v>0</v>
      </c>
      <c r="N100" s="85">
        <f ca="1">OFFSET(INDIRECT(ADDRESS($A100,3,3,1,"Gross")),0,Menus!$J$3)</f>
        <v>0</v>
      </c>
    </row>
    <row r="101" spans="1:14" x14ac:dyDescent="0.25">
      <c r="A101">
        <v>120</v>
      </c>
      <c r="B101" s="2">
        <f ca="1">OFFSET(INDIRECT(ADDRESS($A101,3,3,1,Menus!$K$10)),0,Menus!$J$4)</f>
        <v>0</v>
      </c>
      <c r="C101" s="2">
        <f ca="1">OFFSET(INDIRECT(ADDRESS($A101,3,3,1,Menus!$K$10)),0,Menus!$J$3)</f>
        <v>0</v>
      </c>
      <c r="D101" s="73" t="e">
        <f ca="1">IF(Menus!$J$9,C101/B101,C101)</f>
        <v>#DIV/0!</v>
      </c>
      <c r="E101" s="74" t="e">
        <f t="shared" ca="1" si="4"/>
        <v>#N/A</v>
      </c>
      <c r="F101" s="75">
        <f ca="1">INDIRECT(ADDRESS($A101,1,3,1,Menus!$K$10))</f>
        <v>0</v>
      </c>
      <c r="G101" s="2" t="e">
        <f ca="1">IF(INDIRECT(ADDRESS($A101,2,3,1,Menus!$K$10))=G$1,$D101,#N/A)</f>
        <v>#N/A</v>
      </c>
      <c r="H101" s="2" t="e">
        <f ca="1">IF(INDIRECT(ADDRESS($A101,2,3,1,Menus!$K$10))=H$1,$D101,#N/A)</f>
        <v>#N/A</v>
      </c>
      <c r="I101" s="2" t="e">
        <f ca="1">IF(INDIRECT(ADDRESS($A101,2,3,1,Menus!$K$10))=I$1,$D101,#N/A)</f>
        <v>#N/A</v>
      </c>
      <c r="J101" s="2" t="e">
        <f ca="1">IF(INDIRECT(ADDRESS($A101,1,3,1,Menus!$K$10))=T(J$1),$D101,#N/A)</f>
        <v>#N/A</v>
      </c>
      <c r="K101" s="10">
        <f t="shared" ca="1" si="3"/>
        <v>0</v>
      </c>
      <c r="L101" s="2"/>
      <c r="M101" s="85">
        <f ca="1">OFFSET(INDIRECT(ADDRESS($A101,3,3,1,"Gross")),0,Menus!$J$4)</f>
        <v>0</v>
      </c>
      <c r="N101" s="85">
        <f ca="1">OFFSET(INDIRECT(ADDRESS($A101,3,3,1,"Gross")),0,Menus!$J$3)</f>
        <v>0</v>
      </c>
    </row>
    <row r="102" spans="1:14" x14ac:dyDescent="0.25">
      <c r="A102">
        <v>149</v>
      </c>
      <c r="B102" s="2">
        <f ca="1">OFFSET(INDIRECT(ADDRESS($A102,3,3,1,Menus!$K$10)),0,Menus!$J$4)</f>
        <v>0</v>
      </c>
      <c r="C102" s="2">
        <f ca="1">OFFSET(INDIRECT(ADDRESS($A102,3,3,1,Menus!$K$10)),0,Menus!$J$3)</f>
        <v>0</v>
      </c>
      <c r="D102" s="73" t="e">
        <f ca="1">IF(Menus!$J$9,C102/B102,C102)</f>
        <v>#DIV/0!</v>
      </c>
      <c r="E102" s="74" t="e">
        <f t="shared" ca="1" si="4"/>
        <v>#N/A</v>
      </c>
      <c r="F102" s="75">
        <f ca="1">INDIRECT(ADDRESS($A102,1,3,1,Menus!$K$10))</f>
        <v>0</v>
      </c>
      <c r="G102" s="2" t="e">
        <f ca="1">IF(INDIRECT(ADDRESS($A102,2,3,1,Menus!$K$10))=G$1,$D102,#N/A)</f>
        <v>#N/A</v>
      </c>
      <c r="H102" s="2" t="e">
        <f ca="1">IF(INDIRECT(ADDRESS($A102,2,3,1,Menus!$K$10))=H$1,$D102,#N/A)</f>
        <v>#N/A</v>
      </c>
      <c r="I102" s="2" t="e">
        <f ca="1">IF(INDIRECT(ADDRESS($A102,2,3,1,Menus!$K$10))=I$1,$D102,#N/A)</f>
        <v>#N/A</v>
      </c>
      <c r="J102" s="2" t="e">
        <f ca="1">IF(INDIRECT(ADDRESS($A102,1,3,1,Menus!$K$10))=T(J$1),$D102,#N/A)</f>
        <v>#N/A</v>
      </c>
      <c r="K102" s="10">
        <f t="shared" ca="1" si="3"/>
        <v>0</v>
      </c>
      <c r="L102" s="2"/>
      <c r="M102" s="85">
        <f ca="1">OFFSET(INDIRECT(ADDRESS($A102,3,3,1,"Gross")),0,Menus!$J$4)</f>
        <v>0</v>
      </c>
      <c r="N102" s="85">
        <f ca="1">OFFSET(INDIRECT(ADDRESS($A102,3,3,1,"Gross")),0,Menus!$J$3)</f>
        <v>0</v>
      </c>
    </row>
    <row r="103" spans="1:14" x14ac:dyDescent="0.25">
      <c r="A103">
        <v>197</v>
      </c>
      <c r="B103" s="2">
        <f ca="1">OFFSET(INDIRECT(ADDRESS($A103,3,3,1,Menus!$K$10)),0,Menus!$J$4)</f>
        <v>0</v>
      </c>
      <c r="C103" s="2">
        <f ca="1">OFFSET(INDIRECT(ADDRESS($A103,3,3,1,Menus!$K$10)),0,Menus!$J$3)</f>
        <v>0</v>
      </c>
      <c r="D103" s="73" t="e">
        <f ca="1">IF(Menus!$J$9,C103/B103,C103)</f>
        <v>#DIV/0!</v>
      </c>
      <c r="E103" s="74" t="e">
        <f t="shared" ca="1" si="4"/>
        <v>#N/A</v>
      </c>
      <c r="F103" s="75">
        <f ca="1">INDIRECT(ADDRESS($A103,1,3,1,Menus!$K$10))</f>
        <v>0</v>
      </c>
      <c r="G103" s="2" t="e">
        <f ca="1">IF(INDIRECT(ADDRESS($A103,2,3,1,Menus!$K$10))=G$1,$D103,#N/A)</f>
        <v>#N/A</v>
      </c>
      <c r="H103" s="2" t="e">
        <f ca="1">IF(INDIRECT(ADDRESS($A103,2,3,1,Menus!$K$10))=H$1,$D103,#N/A)</f>
        <v>#N/A</v>
      </c>
      <c r="I103" s="2" t="e">
        <f ca="1">IF(INDIRECT(ADDRESS($A103,2,3,1,Menus!$K$10))=I$1,$D103,#N/A)</f>
        <v>#N/A</v>
      </c>
      <c r="J103" s="2" t="e">
        <f ca="1">IF(INDIRECT(ADDRESS($A103,1,3,1,Menus!$K$10))=T(J$1),$D103,#N/A)</f>
        <v>#N/A</v>
      </c>
      <c r="K103" s="10">
        <f t="shared" ca="1" si="3"/>
        <v>0</v>
      </c>
      <c r="L103" s="2"/>
      <c r="M103" s="85">
        <f ca="1">OFFSET(INDIRECT(ADDRESS($A103,3,3,1,"Gross")),0,Menus!$J$4)</f>
        <v>0</v>
      </c>
      <c r="N103" s="85">
        <f ca="1">OFFSET(INDIRECT(ADDRESS($A103,3,3,1,"Gross")),0,Menus!$J$3)</f>
        <v>0</v>
      </c>
    </row>
    <row r="104" spans="1:14" x14ac:dyDescent="0.25">
      <c r="A104">
        <v>104</v>
      </c>
      <c r="B104" s="2">
        <f ca="1">OFFSET(INDIRECT(ADDRESS($A104,3,3,1,Menus!$K$10)),0,Menus!$J$4)</f>
        <v>0</v>
      </c>
      <c r="C104" s="2">
        <f ca="1">OFFSET(INDIRECT(ADDRESS($A104,3,3,1,Menus!$K$10)),0,Menus!$J$3)</f>
        <v>0</v>
      </c>
      <c r="D104" s="73" t="e">
        <f ca="1">IF(Menus!$J$9,C104/B104,C104)</f>
        <v>#DIV/0!</v>
      </c>
      <c r="E104" s="74" t="e">
        <f t="shared" ca="1" si="4"/>
        <v>#N/A</v>
      </c>
      <c r="F104" s="75">
        <f ca="1">INDIRECT(ADDRESS($A104,1,3,1,Menus!$K$10))</f>
        <v>0</v>
      </c>
      <c r="G104" s="2" t="e">
        <f ca="1">IF(INDIRECT(ADDRESS($A104,2,3,1,Menus!$K$10))=G$1,$D104,#N/A)</f>
        <v>#N/A</v>
      </c>
      <c r="H104" s="2" t="e">
        <f ca="1">IF(INDIRECT(ADDRESS($A104,2,3,1,Menus!$K$10))=H$1,$D104,#N/A)</f>
        <v>#N/A</v>
      </c>
      <c r="I104" s="2" t="e">
        <f ca="1">IF(INDIRECT(ADDRESS($A104,2,3,1,Menus!$K$10))=I$1,$D104,#N/A)</f>
        <v>#N/A</v>
      </c>
      <c r="J104" s="2" t="e">
        <f ca="1">IF(INDIRECT(ADDRESS($A104,1,3,1,Menus!$K$10))=T(J$1),$D104,#N/A)</f>
        <v>#N/A</v>
      </c>
      <c r="K104" s="10">
        <f t="shared" ca="1" si="3"/>
        <v>0</v>
      </c>
      <c r="L104" s="2"/>
      <c r="M104" s="85">
        <f ca="1">OFFSET(INDIRECT(ADDRESS($A104,3,3,1,"Gross")),0,Menus!$J$4)</f>
        <v>0</v>
      </c>
      <c r="N104" s="85">
        <f ca="1">OFFSET(INDIRECT(ADDRESS($A104,3,3,1,"Gross")),0,Menus!$J$3)</f>
        <v>0</v>
      </c>
    </row>
    <row r="105" spans="1:14" x14ac:dyDescent="0.25">
      <c r="A105">
        <v>165</v>
      </c>
      <c r="B105" s="2">
        <f ca="1">OFFSET(INDIRECT(ADDRESS($A105,3,3,1,Menus!$K$10)),0,Menus!$J$4)</f>
        <v>0</v>
      </c>
      <c r="C105" s="2">
        <f ca="1">OFFSET(INDIRECT(ADDRESS($A105,3,3,1,Menus!$K$10)),0,Menus!$J$3)</f>
        <v>0</v>
      </c>
      <c r="D105" s="73" t="e">
        <f ca="1">IF(Menus!$J$9,C105/B105,C105)</f>
        <v>#DIV/0!</v>
      </c>
      <c r="E105" s="74" t="e">
        <f t="shared" ca="1" si="4"/>
        <v>#N/A</v>
      </c>
      <c r="F105" s="75">
        <f ca="1">INDIRECT(ADDRESS($A105,1,3,1,Menus!$K$10))</f>
        <v>0</v>
      </c>
      <c r="G105" s="2" t="e">
        <f ca="1">IF(INDIRECT(ADDRESS($A105,2,3,1,Menus!$K$10))=G$1,$D105,#N/A)</f>
        <v>#N/A</v>
      </c>
      <c r="H105" s="2" t="e">
        <f ca="1">IF(INDIRECT(ADDRESS($A105,2,3,1,Menus!$K$10))=H$1,$D105,#N/A)</f>
        <v>#N/A</v>
      </c>
      <c r="I105" s="2" t="e">
        <f ca="1">IF(INDIRECT(ADDRESS($A105,2,3,1,Menus!$K$10))=I$1,$D105,#N/A)</f>
        <v>#N/A</v>
      </c>
      <c r="J105" s="2" t="e">
        <f ca="1">IF(INDIRECT(ADDRESS($A105,1,3,1,Menus!$K$10))=T(J$1),$D105,#N/A)</f>
        <v>#N/A</v>
      </c>
      <c r="K105" s="10">
        <f t="shared" ca="1" si="3"/>
        <v>0</v>
      </c>
      <c r="L105" s="2"/>
      <c r="M105" s="85">
        <f ca="1">OFFSET(INDIRECT(ADDRESS($A105,3,3,1,"Gross")),0,Menus!$J$4)</f>
        <v>0</v>
      </c>
      <c r="N105" s="85">
        <f ca="1">OFFSET(INDIRECT(ADDRESS($A105,3,3,1,"Gross")),0,Menus!$J$3)</f>
        <v>0</v>
      </c>
    </row>
    <row r="106" spans="1:14" x14ac:dyDescent="0.25">
      <c r="A106">
        <v>189</v>
      </c>
      <c r="B106" s="2">
        <f ca="1">OFFSET(INDIRECT(ADDRESS($A106,3,3,1,Menus!$K$10)),0,Menus!$J$4)</f>
        <v>0</v>
      </c>
      <c r="C106" s="2">
        <f ca="1">OFFSET(INDIRECT(ADDRESS($A106,3,3,1,Menus!$K$10)),0,Menus!$J$3)</f>
        <v>0</v>
      </c>
      <c r="D106" s="73" t="e">
        <f ca="1">IF(Menus!$J$9,C106/B106,C106)</f>
        <v>#DIV/0!</v>
      </c>
      <c r="E106" s="74" t="e">
        <f t="shared" ca="1" si="4"/>
        <v>#N/A</v>
      </c>
      <c r="F106" s="75">
        <f ca="1">INDIRECT(ADDRESS($A106,1,3,1,Menus!$K$10))</f>
        <v>0</v>
      </c>
      <c r="G106" s="2" t="e">
        <f ca="1">IF(INDIRECT(ADDRESS($A106,2,3,1,Menus!$K$10))=G$1,$D106,#N/A)</f>
        <v>#N/A</v>
      </c>
      <c r="H106" s="2" t="e">
        <f ca="1">IF(INDIRECT(ADDRESS($A106,2,3,1,Menus!$K$10))=H$1,$D106,#N/A)</f>
        <v>#N/A</v>
      </c>
      <c r="I106" s="2" t="e">
        <f ca="1">IF(INDIRECT(ADDRESS($A106,2,3,1,Menus!$K$10))=I$1,$D106,#N/A)</f>
        <v>#N/A</v>
      </c>
      <c r="J106" s="2" t="e">
        <f ca="1">IF(INDIRECT(ADDRESS($A106,1,3,1,Menus!$K$10))=T(J$1),$D106,#N/A)</f>
        <v>#N/A</v>
      </c>
      <c r="K106" s="10">
        <f t="shared" ca="1" si="3"/>
        <v>0</v>
      </c>
      <c r="L106" s="2"/>
      <c r="M106" s="85">
        <f ca="1">OFFSET(INDIRECT(ADDRESS($A106,3,3,1,"Gross")),0,Menus!$J$4)</f>
        <v>0</v>
      </c>
      <c r="N106" s="85">
        <f ca="1">OFFSET(INDIRECT(ADDRESS($A106,3,3,1,"Gross")),0,Menus!$J$3)</f>
        <v>0</v>
      </c>
    </row>
    <row r="107" spans="1:14" x14ac:dyDescent="0.25">
      <c r="A107">
        <v>175</v>
      </c>
      <c r="B107" s="2">
        <f ca="1">OFFSET(INDIRECT(ADDRESS($A107,3,3,1,Menus!$K$10)),0,Menus!$J$4)</f>
        <v>0</v>
      </c>
      <c r="C107" s="2">
        <f ca="1">OFFSET(INDIRECT(ADDRESS($A107,3,3,1,Menus!$K$10)),0,Menus!$J$3)</f>
        <v>0</v>
      </c>
      <c r="D107" s="73" t="e">
        <f ca="1">IF(Menus!$J$9,C107/B107,C107)</f>
        <v>#DIV/0!</v>
      </c>
      <c r="E107" s="74" t="e">
        <f t="shared" ca="1" si="4"/>
        <v>#N/A</v>
      </c>
      <c r="F107" s="75">
        <f ca="1">INDIRECT(ADDRESS($A107,1,3,1,Menus!$K$10))</f>
        <v>0</v>
      </c>
      <c r="G107" s="2" t="e">
        <f ca="1">IF(INDIRECT(ADDRESS($A107,2,3,1,Menus!$K$10))=G$1,$D107,#N/A)</f>
        <v>#N/A</v>
      </c>
      <c r="H107" s="2" t="e">
        <f ca="1">IF(INDIRECT(ADDRESS($A107,2,3,1,Menus!$K$10))=H$1,$D107,#N/A)</f>
        <v>#N/A</v>
      </c>
      <c r="I107" s="2" t="e">
        <f ca="1">IF(INDIRECT(ADDRESS($A107,2,3,1,Menus!$K$10))=I$1,$D107,#N/A)</f>
        <v>#N/A</v>
      </c>
      <c r="J107" s="2" t="e">
        <f ca="1">IF(INDIRECT(ADDRESS($A107,1,3,1,Menus!$K$10))=T(J$1),$D107,#N/A)</f>
        <v>#N/A</v>
      </c>
      <c r="K107" s="10">
        <f t="shared" ca="1" si="3"/>
        <v>0</v>
      </c>
      <c r="L107" s="2"/>
      <c r="M107" s="85">
        <f ca="1">OFFSET(INDIRECT(ADDRESS($A107,3,3,1,"Gross")),0,Menus!$J$4)</f>
        <v>0</v>
      </c>
      <c r="N107" s="85">
        <f ca="1">OFFSET(INDIRECT(ADDRESS($A107,3,3,1,"Gross")),0,Menus!$J$3)</f>
        <v>0</v>
      </c>
    </row>
    <row r="108" spans="1:14" x14ac:dyDescent="0.25">
      <c r="A108">
        <v>66</v>
      </c>
      <c r="B108" s="2">
        <f ca="1">OFFSET(INDIRECT(ADDRESS($A108,3,3,1,Menus!$K$10)),0,Menus!$J$4)</f>
        <v>0</v>
      </c>
      <c r="C108" s="2">
        <f ca="1">OFFSET(INDIRECT(ADDRESS($A108,3,3,1,Menus!$K$10)),0,Menus!$J$3)</f>
        <v>0</v>
      </c>
      <c r="D108" s="73" t="e">
        <f ca="1">IF(Menus!$J$9,C108/B108,C108)</f>
        <v>#DIV/0!</v>
      </c>
      <c r="E108" s="74" t="e">
        <f t="shared" ca="1" si="4"/>
        <v>#N/A</v>
      </c>
      <c r="F108" s="75">
        <f ca="1">INDIRECT(ADDRESS($A108,1,3,1,Menus!$K$10))</f>
        <v>0</v>
      </c>
      <c r="G108" s="2" t="e">
        <f ca="1">IF(INDIRECT(ADDRESS($A108,2,3,1,Menus!$K$10))=G$1,$D108,#N/A)</f>
        <v>#N/A</v>
      </c>
      <c r="H108" s="2" t="e">
        <f ca="1">IF(INDIRECT(ADDRESS($A108,2,3,1,Menus!$K$10))=H$1,$D108,#N/A)</f>
        <v>#N/A</v>
      </c>
      <c r="I108" s="2" t="e">
        <f ca="1">IF(INDIRECT(ADDRESS($A108,2,3,1,Menus!$K$10))=I$1,$D108,#N/A)</f>
        <v>#N/A</v>
      </c>
      <c r="J108" s="2" t="e">
        <f ca="1">IF(INDIRECT(ADDRESS($A108,1,3,1,Menus!$K$10))=T(J$1),$D108,#N/A)</f>
        <v>#N/A</v>
      </c>
      <c r="K108" s="10">
        <f t="shared" ca="1" si="3"/>
        <v>0</v>
      </c>
      <c r="L108" s="2"/>
      <c r="M108" s="85">
        <f ca="1">OFFSET(INDIRECT(ADDRESS($A108,3,3,1,"Gross")),0,Menus!$J$4)</f>
        <v>0</v>
      </c>
      <c r="N108" s="85">
        <f ca="1">OFFSET(INDIRECT(ADDRESS($A108,3,3,1,"Gross")),0,Menus!$J$3)</f>
        <v>0</v>
      </c>
    </row>
    <row r="109" spans="1:14" x14ac:dyDescent="0.25">
      <c r="A109">
        <v>89</v>
      </c>
      <c r="B109" s="2">
        <f ca="1">OFFSET(INDIRECT(ADDRESS($A109,3,3,1,Menus!$K$10)),0,Menus!$J$4)</f>
        <v>0</v>
      </c>
      <c r="C109" s="2">
        <f ca="1">OFFSET(INDIRECT(ADDRESS($A109,3,3,1,Menus!$K$10)),0,Menus!$J$3)</f>
        <v>0</v>
      </c>
      <c r="D109" s="73" t="e">
        <f ca="1">IF(Menus!$J$9,C109/B109,C109)</f>
        <v>#DIV/0!</v>
      </c>
      <c r="E109" s="74" t="e">
        <f t="shared" ca="1" si="4"/>
        <v>#N/A</v>
      </c>
      <c r="F109" s="75">
        <f ca="1">INDIRECT(ADDRESS($A109,1,3,1,Menus!$K$10))</f>
        <v>0</v>
      </c>
      <c r="G109" s="2" t="e">
        <f ca="1">IF(INDIRECT(ADDRESS($A109,2,3,1,Menus!$K$10))=G$1,$D109,#N/A)</f>
        <v>#N/A</v>
      </c>
      <c r="H109" s="2" t="e">
        <f ca="1">IF(INDIRECT(ADDRESS($A109,2,3,1,Menus!$K$10))=H$1,$D109,#N/A)</f>
        <v>#N/A</v>
      </c>
      <c r="I109" s="2" t="e">
        <f ca="1">IF(INDIRECT(ADDRESS($A109,2,3,1,Menus!$K$10))=I$1,$D109,#N/A)</f>
        <v>#N/A</v>
      </c>
      <c r="J109" s="2" t="e">
        <f ca="1">IF(INDIRECT(ADDRESS($A109,1,3,1,Menus!$K$10))=T(J$1),$D109,#N/A)</f>
        <v>#N/A</v>
      </c>
      <c r="K109" s="10">
        <f t="shared" ca="1" si="3"/>
        <v>0</v>
      </c>
      <c r="L109" s="2"/>
      <c r="M109" s="85">
        <f ca="1">OFFSET(INDIRECT(ADDRESS($A109,3,3,1,"Gross")),0,Menus!$J$4)</f>
        <v>0</v>
      </c>
      <c r="N109" s="85">
        <f ca="1">OFFSET(INDIRECT(ADDRESS($A109,3,3,1,"Gross")),0,Menus!$J$3)</f>
        <v>0</v>
      </c>
    </row>
    <row r="110" spans="1:14" x14ac:dyDescent="0.25">
      <c r="A110">
        <v>92</v>
      </c>
      <c r="B110" s="2">
        <f ca="1">OFFSET(INDIRECT(ADDRESS($A110,3,3,1,Menus!$K$10)),0,Menus!$J$4)</f>
        <v>0</v>
      </c>
      <c r="C110" s="2">
        <f ca="1">OFFSET(INDIRECT(ADDRESS($A110,3,3,1,Menus!$K$10)),0,Menus!$J$3)</f>
        <v>0</v>
      </c>
      <c r="D110" s="73" t="e">
        <f ca="1">IF(Menus!$J$9,C110/B110,C110)</f>
        <v>#DIV/0!</v>
      </c>
      <c r="E110" s="74" t="e">
        <f t="shared" ca="1" si="4"/>
        <v>#N/A</v>
      </c>
      <c r="F110" s="75">
        <f ca="1">INDIRECT(ADDRESS($A110,1,3,1,Menus!$K$10))</f>
        <v>0</v>
      </c>
      <c r="G110" s="2" t="e">
        <f ca="1">IF(INDIRECT(ADDRESS($A110,2,3,1,Menus!$K$10))=G$1,$D110,#N/A)</f>
        <v>#N/A</v>
      </c>
      <c r="H110" s="2" t="e">
        <f ca="1">IF(INDIRECT(ADDRESS($A110,2,3,1,Menus!$K$10))=H$1,$D110,#N/A)</f>
        <v>#N/A</v>
      </c>
      <c r="I110" s="2" t="e">
        <f ca="1">IF(INDIRECT(ADDRESS($A110,2,3,1,Menus!$K$10))=I$1,$D110,#N/A)</f>
        <v>#N/A</v>
      </c>
      <c r="J110" s="2" t="e">
        <f ca="1">IF(INDIRECT(ADDRESS($A110,1,3,1,Menus!$K$10))=T(J$1),$D110,#N/A)</f>
        <v>#N/A</v>
      </c>
      <c r="K110" s="10">
        <f t="shared" ca="1" si="3"/>
        <v>0</v>
      </c>
      <c r="L110" s="2"/>
      <c r="M110" s="85">
        <f ca="1">OFFSET(INDIRECT(ADDRESS($A110,3,3,1,"Gross")),0,Menus!$J$4)</f>
        <v>0</v>
      </c>
      <c r="N110" s="85">
        <f ca="1">OFFSET(INDIRECT(ADDRESS($A110,3,3,1,"Gross")),0,Menus!$J$3)</f>
        <v>0</v>
      </c>
    </row>
    <row r="111" spans="1:14" x14ac:dyDescent="0.25">
      <c r="A111">
        <v>177</v>
      </c>
      <c r="B111" s="2">
        <f ca="1">OFFSET(INDIRECT(ADDRESS($A111,3,3,1,Menus!$K$10)),0,Menus!$J$4)</f>
        <v>0</v>
      </c>
      <c r="C111" s="2">
        <f ca="1">OFFSET(INDIRECT(ADDRESS($A111,3,3,1,Menus!$K$10)),0,Menus!$J$3)</f>
        <v>0</v>
      </c>
      <c r="D111" s="73" t="e">
        <f ca="1">IF(Menus!$J$9,C111/B111,C111)</f>
        <v>#DIV/0!</v>
      </c>
      <c r="E111" s="74" t="e">
        <f t="shared" ca="1" si="4"/>
        <v>#N/A</v>
      </c>
      <c r="F111" s="75">
        <f ca="1">INDIRECT(ADDRESS($A111,1,3,1,Menus!$K$10))</f>
        <v>0</v>
      </c>
      <c r="G111" s="2" t="e">
        <f ca="1">IF(INDIRECT(ADDRESS($A111,2,3,1,Menus!$K$10))=G$1,$D111,#N/A)</f>
        <v>#N/A</v>
      </c>
      <c r="H111" s="2" t="e">
        <f ca="1">IF(INDIRECT(ADDRESS($A111,2,3,1,Menus!$K$10))=H$1,$D111,#N/A)</f>
        <v>#N/A</v>
      </c>
      <c r="I111" s="2" t="e">
        <f ca="1">IF(INDIRECT(ADDRESS($A111,2,3,1,Menus!$K$10))=I$1,$D111,#N/A)</f>
        <v>#N/A</v>
      </c>
      <c r="J111" s="2" t="e">
        <f ca="1">IF(INDIRECT(ADDRESS($A111,1,3,1,Menus!$K$10))=T(J$1),$D111,#N/A)</f>
        <v>#N/A</v>
      </c>
      <c r="K111" s="10">
        <f t="shared" ca="1" si="3"/>
        <v>0</v>
      </c>
      <c r="L111" s="2"/>
      <c r="M111" s="85">
        <f ca="1">OFFSET(INDIRECT(ADDRESS($A111,3,3,1,"Gross")),0,Menus!$J$4)</f>
        <v>0</v>
      </c>
      <c r="N111" s="85">
        <f ca="1">OFFSET(INDIRECT(ADDRESS($A111,3,3,1,"Gross")),0,Menus!$J$3)</f>
        <v>0</v>
      </c>
    </row>
    <row r="112" spans="1:14" x14ac:dyDescent="0.25">
      <c r="A112">
        <v>169</v>
      </c>
      <c r="B112" s="2">
        <f ca="1">OFFSET(INDIRECT(ADDRESS($A112,3,3,1,Menus!$K$10)),0,Menus!$J$4)</f>
        <v>0</v>
      </c>
      <c r="C112" s="2">
        <f ca="1">OFFSET(INDIRECT(ADDRESS($A112,3,3,1,Menus!$K$10)),0,Menus!$J$3)</f>
        <v>0</v>
      </c>
      <c r="D112" s="73" t="e">
        <f ca="1">IF(Menus!$J$9,C112/B112,C112)</f>
        <v>#DIV/0!</v>
      </c>
      <c r="E112" s="74" t="e">
        <f t="shared" ca="1" si="4"/>
        <v>#N/A</v>
      </c>
      <c r="F112" s="75">
        <f ca="1">INDIRECT(ADDRESS($A112,1,3,1,Menus!$K$10))</f>
        <v>0</v>
      </c>
      <c r="G112" s="2" t="e">
        <f ca="1">IF(INDIRECT(ADDRESS($A112,2,3,1,Menus!$K$10))=G$1,$D112,#N/A)</f>
        <v>#N/A</v>
      </c>
      <c r="H112" s="2" t="e">
        <f ca="1">IF(INDIRECT(ADDRESS($A112,2,3,1,Menus!$K$10))=H$1,$D112,#N/A)</f>
        <v>#N/A</v>
      </c>
      <c r="I112" s="2" t="e">
        <f ca="1">IF(INDIRECT(ADDRESS($A112,2,3,1,Menus!$K$10))=I$1,$D112,#N/A)</f>
        <v>#N/A</v>
      </c>
      <c r="J112" s="2" t="e">
        <f ca="1">IF(INDIRECT(ADDRESS($A112,1,3,1,Menus!$K$10))=T(J$1),$D112,#N/A)</f>
        <v>#N/A</v>
      </c>
      <c r="K112" s="10">
        <f t="shared" ca="1" si="3"/>
        <v>0</v>
      </c>
      <c r="L112" s="2"/>
      <c r="M112" s="85">
        <f ca="1">OFFSET(INDIRECT(ADDRESS($A112,3,3,1,"Gross")),0,Menus!$J$4)</f>
        <v>0</v>
      </c>
      <c r="N112" s="85">
        <f ca="1">OFFSET(INDIRECT(ADDRESS($A112,3,3,1,"Gross")),0,Menus!$J$3)</f>
        <v>0</v>
      </c>
    </row>
    <row r="113" spans="1:14" x14ac:dyDescent="0.25">
      <c r="A113">
        <v>140</v>
      </c>
      <c r="B113" s="2">
        <f ca="1">OFFSET(INDIRECT(ADDRESS($A113,3,3,1,Menus!$K$10)),0,Menus!$J$4)</f>
        <v>0</v>
      </c>
      <c r="C113" s="2">
        <f ca="1">OFFSET(INDIRECT(ADDRESS($A113,3,3,1,Menus!$K$10)),0,Menus!$J$3)</f>
        <v>0</v>
      </c>
      <c r="D113" s="73" t="e">
        <f ca="1">IF(Menus!$J$9,C113/B113,C113)</f>
        <v>#DIV/0!</v>
      </c>
      <c r="E113" s="74" t="e">
        <f t="shared" ca="1" si="4"/>
        <v>#N/A</v>
      </c>
      <c r="F113" s="75">
        <f ca="1">INDIRECT(ADDRESS($A113,1,3,1,Menus!$K$10))</f>
        <v>0</v>
      </c>
      <c r="G113" s="2" t="e">
        <f ca="1">IF(INDIRECT(ADDRESS($A113,2,3,1,Menus!$K$10))=G$1,$D113,#N/A)</f>
        <v>#N/A</v>
      </c>
      <c r="H113" s="2" t="e">
        <f ca="1">IF(INDIRECT(ADDRESS($A113,2,3,1,Menus!$K$10))=H$1,$D113,#N/A)</f>
        <v>#N/A</v>
      </c>
      <c r="I113" s="2" t="e">
        <f ca="1">IF(INDIRECT(ADDRESS($A113,2,3,1,Menus!$K$10))=I$1,$D113,#N/A)</f>
        <v>#N/A</v>
      </c>
      <c r="J113" s="2" t="e">
        <f ca="1">IF(INDIRECT(ADDRESS($A113,1,3,1,Menus!$K$10))=T(J$1),$D113,#N/A)</f>
        <v>#N/A</v>
      </c>
      <c r="K113" s="10">
        <f t="shared" ca="1" si="3"/>
        <v>0</v>
      </c>
      <c r="L113" s="2"/>
      <c r="M113" s="85">
        <f ca="1">OFFSET(INDIRECT(ADDRESS($A113,3,3,1,"Gross")),0,Menus!$J$4)</f>
        <v>0</v>
      </c>
      <c r="N113" s="85">
        <f ca="1">OFFSET(INDIRECT(ADDRESS($A113,3,3,1,"Gross")),0,Menus!$J$3)</f>
        <v>0</v>
      </c>
    </row>
    <row r="114" spans="1:14" x14ac:dyDescent="0.25">
      <c r="A114">
        <v>166</v>
      </c>
      <c r="B114" s="2">
        <f ca="1">OFFSET(INDIRECT(ADDRESS($A114,3,3,1,Menus!$K$10)),0,Menus!$J$4)</f>
        <v>0</v>
      </c>
      <c r="C114" s="2">
        <f ca="1">OFFSET(INDIRECT(ADDRESS($A114,3,3,1,Menus!$K$10)),0,Menus!$J$3)</f>
        <v>0</v>
      </c>
      <c r="D114" s="73" t="e">
        <f ca="1">IF(Menus!$J$9,C114/B114,C114)</f>
        <v>#DIV/0!</v>
      </c>
      <c r="E114" s="74" t="e">
        <f t="shared" ca="1" si="4"/>
        <v>#N/A</v>
      </c>
      <c r="F114" s="75">
        <f ca="1">INDIRECT(ADDRESS($A114,1,3,1,Menus!$K$10))</f>
        <v>0</v>
      </c>
      <c r="G114" s="2" t="e">
        <f ca="1">IF(INDIRECT(ADDRESS($A114,2,3,1,Menus!$K$10))=G$1,$D114,#N/A)</f>
        <v>#N/A</v>
      </c>
      <c r="H114" s="2" t="e">
        <f ca="1">IF(INDIRECT(ADDRESS($A114,2,3,1,Menus!$K$10))=H$1,$D114,#N/A)</f>
        <v>#N/A</v>
      </c>
      <c r="I114" s="2" t="e">
        <f ca="1">IF(INDIRECT(ADDRESS($A114,2,3,1,Menus!$K$10))=I$1,$D114,#N/A)</f>
        <v>#N/A</v>
      </c>
      <c r="J114" s="2" t="e">
        <f ca="1">IF(INDIRECT(ADDRESS($A114,1,3,1,Menus!$K$10))=T(J$1),$D114,#N/A)</f>
        <v>#N/A</v>
      </c>
      <c r="K114" s="10">
        <f t="shared" ca="1" si="3"/>
        <v>0</v>
      </c>
      <c r="L114" s="2"/>
      <c r="M114" s="85">
        <f ca="1">OFFSET(INDIRECT(ADDRESS($A114,3,3,1,"Gross")),0,Menus!$J$4)</f>
        <v>0</v>
      </c>
      <c r="N114" s="85">
        <f ca="1">OFFSET(INDIRECT(ADDRESS($A114,3,3,1,"Gross")),0,Menus!$J$3)</f>
        <v>0</v>
      </c>
    </row>
    <row r="115" spans="1:14" x14ac:dyDescent="0.25">
      <c r="A115">
        <v>172</v>
      </c>
      <c r="B115" s="2">
        <f ca="1">OFFSET(INDIRECT(ADDRESS($A115,3,3,1,Menus!$K$10)),0,Menus!$J$4)</f>
        <v>0</v>
      </c>
      <c r="C115" s="2">
        <f ca="1">OFFSET(INDIRECT(ADDRESS($A115,3,3,1,Menus!$K$10)),0,Menus!$J$3)</f>
        <v>0</v>
      </c>
      <c r="D115" s="73" t="e">
        <f ca="1">IF(Menus!$J$9,C115/B115,C115)</f>
        <v>#DIV/0!</v>
      </c>
      <c r="E115" s="74" t="e">
        <f t="shared" ca="1" si="4"/>
        <v>#N/A</v>
      </c>
      <c r="F115" s="75">
        <f ca="1">INDIRECT(ADDRESS($A115,1,3,1,Menus!$K$10))</f>
        <v>0</v>
      </c>
      <c r="G115" s="2" t="e">
        <f ca="1">IF(INDIRECT(ADDRESS($A115,2,3,1,Menus!$K$10))=G$1,$D115,#N/A)</f>
        <v>#N/A</v>
      </c>
      <c r="H115" s="2" t="e">
        <f ca="1">IF(INDIRECT(ADDRESS($A115,2,3,1,Menus!$K$10))=H$1,$D115,#N/A)</f>
        <v>#N/A</v>
      </c>
      <c r="I115" s="2" t="e">
        <f ca="1">IF(INDIRECT(ADDRESS($A115,2,3,1,Menus!$K$10))=I$1,$D115,#N/A)</f>
        <v>#N/A</v>
      </c>
      <c r="J115" s="2" t="e">
        <f ca="1">IF(INDIRECT(ADDRESS($A115,1,3,1,Menus!$K$10))=T(J$1),$D115,#N/A)</f>
        <v>#N/A</v>
      </c>
      <c r="K115" s="10">
        <f t="shared" ca="1" si="3"/>
        <v>0</v>
      </c>
      <c r="L115" s="2"/>
      <c r="M115" s="85">
        <f ca="1">OFFSET(INDIRECT(ADDRESS($A115,3,3,1,"Gross")),0,Menus!$J$4)</f>
        <v>0</v>
      </c>
      <c r="N115" s="85">
        <f ca="1">OFFSET(INDIRECT(ADDRESS($A115,3,3,1,"Gross")),0,Menus!$J$3)</f>
        <v>0</v>
      </c>
    </row>
    <row r="116" spans="1:14" x14ac:dyDescent="0.25">
      <c r="A116">
        <v>110</v>
      </c>
      <c r="B116" s="2">
        <f ca="1">OFFSET(INDIRECT(ADDRESS($A116,3,3,1,Menus!$K$10)),0,Menus!$J$4)</f>
        <v>0</v>
      </c>
      <c r="C116" s="2">
        <f ca="1">OFFSET(INDIRECT(ADDRESS($A116,3,3,1,Menus!$K$10)),0,Menus!$J$3)</f>
        <v>0</v>
      </c>
      <c r="D116" s="73" t="e">
        <f ca="1">IF(Menus!$J$9,C116/B116,C116)</f>
        <v>#DIV/0!</v>
      </c>
      <c r="E116" s="74" t="e">
        <f t="shared" ca="1" si="4"/>
        <v>#N/A</v>
      </c>
      <c r="F116" s="75">
        <f ca="1">INDIRECT(ADDRESS($A116,1,3,1,Menus!$K$10))</f>
        <v>0</v>
      </c>
      <c r="G116" s="2" t="e">
        <f ca="1">IF(INDIRECT(ADDRESS($A116,2,3,1,Menus!$K$10))=G$1,$D116,#N/A)</f>
        <v>#N/A</v>
      </c>
      <c r="H116" s="2" t="e">
        <f ca="1">IF(INDIRECT(ADDRESS($A116,2,3,1,Menus!$K$10))=H$1,$D116,#N/A)</f>
        <v>#N/A</v>
      </c>
      <c r="I116" s="2" t="e">
        <f ca="1">IF(INDIRECT(ADDRESS($A116,2,3,1,Menus!$K$10))=I$1,$D116,#N/A)</f>
        <v>#N/A</v>
      </c>
      <c r="J116" s="2" t="e">
        <f ca="1">IF(INDIRECT(ADDRESS($A116,1,3,1,Menus!$K$10))=T(J$1),$D116,#N/A)</f>
        <v>#N/A</v>
      </c>
      <c r="K116" s="10">
        <f t="shared" ca="1" si="3"/>
        <v>0</v>
      </c>
      <c r="L116" s="2"/>
      <c r="M116" s="85">
        <f ca="1">OFFSET(INDIRECT(ADDRESS($A116,3,3,1,"Gross")),0,Menus!$J$4)</f>
        <v>0</v>
      </c>
      <c r="N116" s="85">
        <f ca="1">OFFSET(INDIRECT(ADDRESS($A116,3,3,1,"Gross")),0,Menus!$J$3)</f>
        <v>0</v>
      </c>
    </row>
    <row r="117" spans="1:14" x14ac:dyDescent="0.25">
      <c r="A117">
        <v>139</v>
      </c>
      <c r="B117" s="2">
        <f ca="1">OFFSET(INDIRECT(ADDRESS($A117,3,3,1,Menus!$K$10)),0,Menus!$J$4)</f>
        <v>0</v>
      </c>
      <c r="C117" s="2">
        <f ca="1">OFFSET(INDIRECT(ADDRESS($A117,3,3,1,Menus!$K$10)),0,Menus!$J$3)</f>
        <v>0</v>
      </c>
      <c r="D117" s="73" t="e">
        <f ca="1">IF(Menus!$J$9,C117/B117,C117)</f>
        <v>#DIV/0!</v>
      </c>
      <c r="E117" s="74" t="e">
        <f t="shared" ca="1" si="4"/>
        <v>#N/A</v>
      </c>
      <c r="F117" s="75">
        <f ca="1">INDIRECT(ADDRESS($A117,1,3,1,Menus!$K$10))</f>
        <v>0</v>
      </c>
      <c r="G117" s="2" t="e">
        <f ca="1">IF(INDIRECT(ADDRESS($A117,2,3,1,Menus!$K$10))=G$1,$D117,#N/A)</f>
        <v>#N/A</v>
      </c>
      <c r="H117" s="2" t="e">
        <f ca="1">IF(INDIRECT(ADDRESS($A117,2,3,1,Menus!$K$10))=H$1,$D117,#N/A)</f>
        <v>#N/A</v>
      </c>
      <c r="I117" s="2" t="e">
        <f ca="1">IF(INDIRECT(ADDRESS($A117,2,3,1,Menus!$K$10))=I$1,$D117,#N/A)</f>
        <v>#N/A</v>
      </c>
      <c r="J117" s="2" t="e">
        <f ca="1">IF(INDIRECT(ADDRESS($A117,1,3,1,Menus!$K$10))=T(J$1),$D117,#N/A)</f>
        <v>#N/A</v>
      </c>
      <c r="K117" s="10">
        <f t="shared" ca="1" si="3"/>
        <v>0</v>
      </c>
      <c r="L117" s="2"/>
      <c r="M117" s="85">
        <f ca="1">OFFSET(INDIRECT(ADDRESS($A117,3,3,1,"Gross")),0,Menus!$J$4)</f>
        <v>0</v>
      </c>
      <c r="N117" s="85">
        <f ca="1">OFFSET(INDIRECT(ADDRESS($A117,3,3,1,"Gross")),0,Menus!$J$3)</f>
        <v>0</v>
      </c>
    </row>
    <row r="118" spans="1:14" x14ac:dyDescent="0.25">
      <c r="A118">
        <v>156</v>
      </c>
      <c r="B118" s="2">
        <f ca="1">OFFSET(INDIRECT(ADDRESS($A118,3,3,1,Menus!$K$10)),0,Menus!$J$4)</f>
        <v>0</v>
      </c>
      <c r="C118" s="2">
        <f ca="1">OFFSET(INDIRECT(ADDRESS($A118,3,3,1,Menus!$K$10)),0,Menus!$J$3)</f>
        <v>0</v>
      </c>
      <c r="D118" s="73" t="e">
        <f ca="1">IF(Menus!$J$9,C118/B118,C118)</f>
        <v>#DIV/0!</v>
      </c>
      <c r="E118" s="74" t="e">
        <f t="shared" ca="1" si="4"/>
        <v>#N/A</v>
      </c>
      <c r="F118" s="75">
        <f ca="1">INDIRECT(ADDRESS($A118,1,3,1,Menus!$K$10))</f>
        <v>0</v>
      </c>
      <c r="G118" s="2" t="e">
        <f ca="1">IF(INDIRECT(ADDRESS($A118,2,3,1,Menus!$K$10))=G$1,$D118,#N/A)</f>
        <v>#N/A</v>
      </c>
      <c r="H118" s="2" t="e">
        <f ca="1">IF(INDIRECT(ADDRESS($A118,2,3,1,Menus!$K$10))=H$1,$D118,#N/A)</f>
        <v>#N/A</v>
      </c>
      <c r="I118" s="2" t="e">
        <f ca="1">IF(INDIRECT(ADDRESS($A118,2,3,1,Menus!$K$10))=I$1,$D118,#N/A)</f>
        <v>#N/A</v>
      </c>
      <c r="J118" s="2" t="e">
        <f ca="1">IF(INDIRECT(ADDRESS($A118,1,3,1,Menus!$K$10))=T(J$1),$D118,#N/A)</f>
        <v>#N/A</v>
      </c>
      <c r="K118" s="10">
        <f t="shared" ca="1" si="3"/>
        <v>0</v>
      </c>
      <c r="L118" s="2"/>
      <c r="M118" s="85">
        <f ca="1">OFFSET(INDIRECT(ADDRESS($A118,3,3,1,"Gross")),0,Menus!$J$4)</f>
        <v>0</v>
      </c>
      <c r="N118" s="85">
        <f ca="1">OFFSET(INDIRECT(ADDRESS($A118,3,3,1,"Gross")),0,Menus!$J$3)</f>
        <v>0</v>
      </c>
    </row>
    <row r="119" spans="1:14" x14ac:dyDescent="0.25">
      <c r="A119">
        <v>191</v>
      </c>
      <c r="B119" s="2">
        <f ca="1">OFFSET(INDIRECT(ADDRESS($A119,3,3,1,Menus!$K$10)),0,Menus!$J$4)</f>
        <v>0</v>
      </c>
      <c r="C119" s="2">
        <f ca="1">OFFSET(INDIRECT(ADDRESS($A119,3,3,1,Menus!$K$10)),0,Menus!$J$3)</f>
        <v>0</v>
      </c>
      <c r="D119" s="73" t="e">
        <f ca="1">IF(Menus!$J$9,C119/B119,C119)</f>
        <v>#DIV/0!</v>
      </c>
      <c r="E119" s="74" t="e">
        <f t="shared" ca="1" si="4"/>
        <v>#N/A</v>
      </c>
      <c r="F119" s="75">
        <f ca="1">INDIRECT(ADDRESS($A119,1,3,1,Menus!$K$10))</f>
        <v>0</v>
      </c>
      <c r="G119" s="2" t="e">
        <f ca="1">IF(INDIRECT(ADDRESS($A119,2,3,1,Menus!$K$10))=G$1,$D119,#N/A)</f>
        <v>#N/A</v>
      </c>
      <c r="H119" s="2" t="e">
        <f ca="1">IF(INDIRECT(ADDRESS($A119,2,3,1,Menus!$K$10))=H$1,$D119,#N/A)</f>
        <v>#N/A</v>
      </c>
      <c r="I119" s="2" t="e">
        <f ca="1">IF(INDIRECT(ADDRESS($A119,2,3,1,Menus!$K$10))=I$1,$D119,#N/A)</f>
        <v>#N/A</v>
      </c>
      <c r="J119" s="2" t="e">
        <f ca="1">IF(INDIRECT(ADDRESS($A119,1,3,1,Menus!$K$10))=T(J$1),$D119,#N/A)</f>
        <v>#N/A</v>
      </c>
      <c r="K119" s="10">
        <f t="shared" ca="1" si="3"/>
        <v>0</v>
      </c>
      <c r="L119" s="2"/>
      <c r="M119" s="85">
        <f ca="1">OFFSET(INDIRECT(ADDRESS($A119,3,3,1,"Gross")),0,Menus!$J$4)</f>
        <v>0</v>
      </c>
      <c r="N119" s="85">
        <f ca="1">OFFSET(INDIRECT(ADDRESS($A119,3,3,1,"Gross")),0,Menus!$J$3)</f>
        <v>0</v>
      </c>
    </row>
    <row r="120" spans="1:14" x14ac:dyDescent="0.25">
      <c r="A120">
        <v>192</v>
      </c>
      <c r="B120" s="2">
        <f ca="1">OFFSET(INDIRECT(ADDRESS($A120,3,3,1,Menus!$K$10)),0,Menus!$J$4)</f>
        <v>0</v>
      </c>
      <c r="C120" s="2">
        <f ca="1">OFFSET(INDIRECT(ADDRESS($A120,3,3,1,Menus!$K$10)),0,Menus!$J$3)</f>
        <v>0</v>
      </c>
      <c r="D120" s="73" t="e">
        <f ca="1">IF(Menus!$J$9,C120/B120,C120)</f>
        <v>#DIV/0!</v>
      </c>
      <c r="E120" s="74" t="e">
        <f t="shared" ca="1" si="4"/>
        <v>#N/A</v>
      </c>
      <c r="F120" s="75">
        <f ca="1">INDIRECT(ADDRESS($A120,1,3,1,Menus!$K$10))</f>
        <v>0</v>
      </c>
      <c r="G120" s="2" t="e">
        <f ca="1">IF(INDIRECT(ADDRESS($A120,2,3,1,Menus!$K$10))=G$1,$D120,#N/A)</f>
        <v>#N/A</v>
      </c>
      <c r="H120" s="2" t="e">
        <f ca="1">IF(INDIRECT(ADDRESS($A120,2,3,1,Menus!$K$10))=H$1,$D120,#N/A)</f>
        <v>#N/A</v>
      </c>
      <c r="I120" s="2" t="e">
        <f ca="1">IF(INDIRECT(ADDRESS($A120,2,3,1,Menus!$K$10))=I$1,$D120,#N/A)</f>
        <v>#N/A</v>
      </c>
      <c r="J120" s="2" t="e">
        <f ca="1">IF(INDIRECT(ADDRESS($A120,1,3,1,Menus!$K$10))=T(J$1),$D120,#N/A)</f>
        <v>#N/A</v>
      </c>
      <c r="K120" s="10">
        <f t="shared" ca="1" si="3"/>
        <v>0</v>
      </c>
      <c r="L120" s="2"/>
      <c r="M120" s="85">
        <f ca="1">OFFSET(INDIRECT(ADDRESS($A120,3,3,1,"Gross")),0,Menus!$J$4)</f>
        <v>0</v>
      </c>
      <c r="N120" s="85">
        <f ca="1">OFFSET(INDIRECT(ADDRESS($A120,3,3,1,"Gross")),0,Menus!$J$3)</f>
        <v>0</v>
      </c>
    </row>
    <row r="121" spans="1:14" x14ac:dyDescent="0.25">
      <c r="A121">
        <v>137</v>
      </c>
      <c r="B121" s="2">
        <f ca="1">OFFSET(INDIRECT(ADDRESS($A121,3,3,1,Menus!$K$10)),0,Menus!$J$4)</f>
        <v>0</v>
      </c>
      <c r="C121" s="2">
        <f ca="1">OFFSET(INDIRECT(ADDRESS($A121,3,3,1,Menus!$K$10)),0,Menus!$J$3)</f>
        <v>0</v>
      </c>
      <c r="D121" s="73" t="e">
        <f ca="1">IF(Menus!$J$9,C121/B121,C121)</f>
        <v>#DIV/0!</v>
      </c>
      <c r="E121" s="74" t="e">
        <f t="shared" ca="1" si="4"/>
        <v>#N/A</v>
      </c>
      <c r="F121" s="75">
        <f ca="1">INDIRECT(ADDRESS($A121,1,3,1,Menus!$K$10))</f>
        <v>0</v>
      </c>
      <c r="G121" s="2" t="e">
        <f ca="1">IF(INDIRECT(ADDRESS($A121,2,3,1,Menus!$K$10))=G$1,$D121,#N/A)</f>
        <v>#N/A</v>
      </c>
      <c r="H121" s="2" t="e">
        <f ca="1">IF(INDIRECT(ADDRESS($A121,2,3,1,Menus!$K$10))=H$1,$D121,#N/A)</f>
        <v>#N/A</v>
      </c>
      <c r="I121" s="2" t="e">
        <f ca="1">IF(INDIRECT(ADDRESS($A121,2,3,1,Menus!$K$10))=I$1,$D121,#N/A)</f>
        <v>#N/A</v>
      </c>
      <c r="J121" s="2" t="e">
        <f ca="1">IF(INDIRECT(ADDRESS($A121,1,3,1,Menus!$K$10))=T(J$1),$D121,#N/A)</f>
        <v>#N/A</v>
      </c>
      <c r="K121" s="10">
        <f t="shared" ca="1" si="3"/>
        <v>0</v>
      </c>
      <c r="L121" s="2"/>
      <c r="M121" s="85">
        <f ca="1">OFFSET(INDIRECT(ADDRESS($A121,3,3,1,"Gross")),0,Menus!$J$4)</f>
        <v>0</v>
      </c>
      <c r="N121" s="85">
        <f ca="1">OFFSET(INDIRECT(ADDRESS($A121,3,3,1,"Gross")),0,Menus!$J$3)</f>
        <v>0</v>
      </c>
    </row>
    <row r="122" spans="1:14" x14ac:dyDescent="0.25">
      <c r="A122">
        <v>83</v>
      </c>
      <c r="B122" s="2">
        <f ca="1">OFFSET(INDIRECT(ADDRESS($A122,3,3,1,Menus!$K$10)),0,Menus!$J$4)</f>
        <v>0</v>
      </c>
      <c r="C122" s="2">
        <f ca="1">OFFSET(INDIRECT(ADDRESS($A122,3,3,1,Menus!$K$10)),0,Menus!$J$3)</f>
        <v>0</v>
      </c>
      <c r="D122" s="73" t="e">
        <f ca="1">IF(Menus!$J$9,C122/B122,C122)</f>
        <v>#DIV/0!</v>
      </c>
      <c r="E122" s="74" t="e">
        <f t="shared" ca="1" si="4"/>
        <v>#N/A</v>
      </c>
      <c r="F122" s="75">
        <f ca="1">INDIRECT(ADDRESS($A122,1,3,1,Menus!$K$10))</f>
        <v>0</v>
      </c>
      <c r="G122" s="2" t="e">
        <f ca="1">IF(INDIRECT(ADDRESS($A122,2,3,1,Menus!$K$10))=G$1,$D122,#N/A)</f>
        <v>#N/A</v>
      </c>
      <c r="H122" s="2" t="e">
        <f ca="1">IF(INDIRECT(ADDRESS($A122,2,3,1,Menus!$K$10))=H$1,$D122,#N/A)</f>
        <v>#N/A</v>
      </c>
      <c r="I122" s="2" t="e">
        <f ca="1">IF(INDIRECT(ADDRESS($A122,2,3,1,Menus!$K$10))=I$1,$D122,#N/A)</f>
        <v>#N/A</v>
      </c>
      <c r="J122" s="2" t="e">
        <f ca="1">IF(INDIRECT(ADDRESS($A122,1,3,1,Menus!$K$10))=T(J$1),$D122,#N/A)</f>
        <v>#N/A</v>
      </c>
      <c r="K122" s="10">
        <f t="shared" ca="1" si="3"/>
        <v>0</v>
      </c>
      <c r="L122" s="2"/>
      <c r="M122" s="85">
        <f ca="1">OFFSET(INDIRECT(ADDRESS($A122,3,3,1,"Gross")),0,Menus!$J$4)</f>
        <v>0</v>
      </c>
      <c r="N122" s="85">
        <f ca="1">OFFSET(INDIRECT(ADDRESS($A122,3,3,1,"Gross")),0,Menus!$J$3)</f>
        <v>0</v>
      </c>
    </row>
    <row r="123" spans="1:14" x14ac:dyDescent="0.25">
      <c r="A123">
        <v>76</v>
      </c>
      <c r="B123" s="2">
        <f ca="1">OFFSET(INDIRECT(ADDRESS($A123,3,3,1,Menus!$K$10)),0,Menus!$J$4)</f>
        <v>0</v>
      </c>
      <c r="C123" s="2">
        <f ca="1">OFFSET(INDIRECT(ADDRESS($A123,3,3,1,Menus!$K$10)),0,Menus!$J$3)</f>
        <v>0</v>
      </c>
      <c r="D123" s="73" t="e">
        <f ca="1">IF(Menus!$J$9,C123/B123,C123)</f>
        <v>#DIV/0!</v>
      </c>
      <c r="E123" s="74" t="e">
        <f t="shared" ca="1" si="4"/>
        <v>#N/A</v>
      </c>
      <c r="F123" s="75">
        <f ca="1">INDIRECT(ADDRESS($A123,1,3,1,Menus!$K$10))</f>
        <v>0</v>
      </c>
      <c r="G123" s="2" t="e">
        <f ca="1">IF(INDIRECT(ADDRESS($A123,2,3,1,Menus!$K$10))=G$1,$D123,#N/A)</f>
        <v>#N/A</v>
      </c>
      <c r="H123" s="2" t="e">
        <f ca="1">IF(INDIRECT(ADDRESS($A123,2,3,1,Menus!$K$10))=H$1,$D123,#N/A)</f>
        <v>#N/A</v>
      </c>
      <c r="I123" s="2" t="e">
        <f ca="1">IF(INDIRECT(ADDRESS($A123,2,3,1,Menus!$K$10))=I$1,$D123,#N/A)</f>
        <v>#N/A</v>
      </c>
      <c r="J123" s="2" t="e">
        <f ca="1">IF(INDIRECT(ADDRESS($A123,1,3,1,Menus!$K$10))=T(J$1),$D123,#N/A)</f>
        <v>#N/A</v>
      </c>
      <c r="K123" s="10">
        <f t="shared" ca="1" si="3"/>
        <v>0</v>
      </c>
      <c r="L123" s="2"/>
      <c r="M123" s="85">
        <f ca="1">OFFSET(INDIRECT(ADDRESS($A123,3,3,1,"Gross")),0,Menus!$J$4)</f>
        <v>0</v>
      </c>
      <c r="N123" s="85">
        <f ca="1">OFFSET(INDIRECT(ADDRESS($A123,3,3,1,"Gross")),0,Menus!$J$3)</f>
        <v>0</v>
      </c>
    </row>
    <row r="124" spans="1:14" x14ac:dyDescent="0.25">
      <c r="A124">
        <v>61</v>
      </c>
      <c r="B124" s="2">
        <f ca="1">OFFSET(INDIRECT(ADDRESS($A124,3,3,1,Menus!$K$10)),0,Menus!$J$4)</f>
        <v>0</v>
      </c>
      <c r="C124" s="2">
        <f ca="1">OFFSET(INDIRECT(ADDRESS($A124,3,3,1,Menus!$K$10)),0,Menus!$J$3)</f>
        <v>0</v>
      </c>
      <c r="D124" s="73" t="e">
        <f ca="1">IF(Menus!$J$9,C124/B124,C124)</f>
        <v>#DIV/0!</v>
      </c>
      <c r="E124" s="74" t="e">
        <f t="shared" ca="1" si="4"/>
        <v>#N/A</v>
      </c>
      <c r="F124" s="75">
        <f ca="1">INDIRECT(ADDRESS($A124,1,3,1,Menus!$K$10))</f>
        <v>0</v>
      </c>
      <c r="G124" s="2" t="e">
        <f ca="1">IF(INDIRECT(ADDRESS($A124,2,3,1,Menus!$K$10))=G$1,$D124,#N/A)</f>
        <v>#N/A</v>
      </c>
      <c r="H124" s="2" t="e">
        <f ca="1">IF(INDIRECT(ADDRESS($A124,2,3,1,Menus!$K$10))=H$1,$D124,#N/A)</f>
        <v>#N/A</v>
      </c>
      <c r="I124" s="2" t="e">
        <f ca="1">IF(INDIRECT(ADDRESS($A124,2,3,1,Menus!$K$10))=I$1,$D124,#N/A)</f>
        <v>#N/A</v>
      </c>
      <c r="J124" s="2" t="e">
        <f ca="1">IF(INDIRECT(ADDRESS($A124,1,3,1,Menus!$K$10))=T(J$1),$D124,#N/A)</f>
        <v>#N/A</v>
      </c>
      <c r="K124" s="10">
        <f t="shared" ca="1" si="3"/>
        <v>0</v>
      </c>
      <c r="L124" s="2"/>
      <c r="M124" s="85">
        <f ca="1">OFFSET(INDIRECT(ADDRESS($A124,3,3,1,"Gross")),0,Menus!$J$4)</f>
        <v>0</v>
      </c>
      <c r="N124" s="85">
        <f ca="1">OFFSET(INDIRECT(ADDRESS($A124,3,3,1,"Gross")),0,Menus!$J$3)</f>
        <v>0</v>
      </c>
    </row>
    <row r="125" spans="1:14" x14ac:dyDescent="0.25">
      <c r="A125">
        <v>152</v>
      </c>
      <c r="B125" s="2">
        <f ca="1">OFFSET(INDIRECT(ADDRESS($A125,3,3,1,Menus!$K$10)),0,Menus!$J$4)</f>
        <v>0</v>
      </c>
      <c r="C125" s="2">
        <f ca="1">OFFSET(INDIRECT(ADDRESS($A125,3,3,1,Menus!$K$10)),0,Menus!$J$3)</f>
        <v>0</v>
      </c>
      <c r="D125" s="73" t="e">
        <f ca="1">IF(Menus!$J$9,C125/B125,C125)</f>
        <v>#DIV/0!</v>
      </c>
      <c r="E125" s="74" t="e">
        <f t="shared" ca="1" si="4"/>
        <v>#N/A</v>
      </c>
      <c r="F125" s="75">
        <f ca="1">INDIRECT(ADDRESS($A125,1,3,1,Menus!$K$10))</f>
        <v>0</v>
      </c>
      <c r="G125" s="2" t="e">
        <f ca="1">IF(INDIRECT(ADDRESS($A125,2,3,1,Menus!$K$10))=G$1,$D125,#N/A)</f>
        <v>#N/A</v>
      </c>
      <c r="H125" s="2" t="e">
        <f ca="1">IF(INDIRECT(ADDRESS($A125,2,3,1,Menus!$K$10))=H$1,$D125,#N/A)</f>
        <v>#N/A</v>
      </c>
      <c r="I125" s="2" t="e">
        <f ca="1">IF(INDIRECT(ADDRESS($A125,2,3,1,Menus!$K$10))=I$1,$D125,#N/A)</f>
        <v>#N/A</v>
      </c>
      <c r="J125" s="2" t="e">
        <f ca="1">IF(INDIRECT(ADDRESS($A125,1,3,1,Menus!$K$10))=T(J$1),$D125,#N/A)</f>
        <v>#N/A</v>
      </c>
      <c r="K125" s="10">
        <f t="shared" ca="1" si="3"/>
        <v>0</v>
      </c>
      <c r="L125" s="2"/>
      <c r="M125" s="85">
        <f ca="1">OFFSET(INDIRECT(ADDRESS($A125,3,3,1,"Gross")),0,Menus!$J$4)</f>
        <v>0</v>
      </c>
      <c r="N125" s="85">
        <f ca="1">OFFSET(INDIRECT(ADDRESS($A125,3,3,1,"Gross")),0,Menus!$J$3)</f>
        <v>0</v>
      </c>
    </row>
    <row r="126" spans="1:14" x14ac:dyDescent="0.25">
      <c r="A126">
        <v>78</v>
      </c>
      <c r="B126" s="2">
        <f ca="1">OFFSET(INDIRECT(ADDRESS($A126,3,3,1,Menus!$K$10)),0,Menus!$J$4)</f>
        <v>0</v>
      </c>
      <c r="C126" s="2">
        <f ca="1">OFFSET(INDIRECT(ADDRESS($A126,3,3,1,Menus!$K$10)),0,Menus!$J$3)</f>
        <v>0</v>
      </c>
      <c r="D126" s="73" t="e">
        <f ca="1">IF(Menus!$J$9,C126/B126,C126)</f>
        <v>#DIV/0!</v>
      </c>
      <c r="E126" s="74" t="e">
        <f t="shared" ca="1" si="4"/>
        <v>#N/A</v>
      </c>
      <c r="F126" s="75">
        <f ca="1">INDIRECT(ADDRESS($A126,1,3,1,Menus!$K$10))</f>
        <v>0</v>
      </c>
      <c r="G126" s="2" t="e">
        <f ca="1">IF(INDIRECT(ADDRESS($A126,2,3,1,Menus!$K$10))=G$1,$D126,#N/A)</f>
        <v>#N/A</v>
      </c>
      <c r="H126" s="2" t="e">
        <f ca="1">IF(INDIRECT(ADDRESS($A126,2,3,1,Menus!$K$10))=H$1,$D126,#N/A)</f>
        <v>#N/A</v>
      </c>
      <c r="I126" s="2" t="e">
        <f ca="1">IF(INDIRECT(ADDRESS($A126,2,3,1,Menus!$K$10))=I$1,$D126,#N/A)</f>
        <v>#N/A</v>
      </c>
      <c r="J126" s="2" t="e">
        <f ca="1">IF(INDIRECT(ADDRESS($A126,1,3,1,Menus!$K$10))=T(J$1),$D126,#N/A)</f>
        <v>#N/A</v>
      </c>
      <c r="K126" s="10">
        <f t="shared" ca="1" si="3"/>
        <v>0</v>
      </c>
      <c r="L126" s="2"/>
      <c r="M126" s="85">
        <f ca="1">OFFSET(INDIRECT(ADDRESS($A126,3,3,1,"Gross")),0,Menus!$J$4)</f>
        <v>0</v>
      </c>
      <c r="N126" s="85">
        <f ca="1">OFFSET(INDIRECT(ADDRESS($A126,3,3,1,"Gross")),0,Menus!$J$3)</f>
        <v>0</v>
      </c>
    </row>
    <row r="127" spans="1:14" x14ac:dyDescent="0.25">
      <c r="A127">
        <v>144</v>
      </c>
      <c r="B127" s="2">
        <f ca="1">OFFSET(INDIRECT(ADDRESS($A127,3,3,1,Menus!$K$10)),0,Menus!$J$4)</f>
        <v>0</v>
      </c>
      <c r="C127" s="2">
        <f ca="1">OFFSET(INDIRECT(ADDRESS($A127,3,3,1,Menus!$K$10)),0,Menus!$J$3)</f>
        <v>0</v>
      </c>
      <c r="D127" s="73" t="e">
        <f ca="1">IF(Menus!$J$9,C127/B127,C127)</f>
        <v>#DIV/0!</v>
      </c>
      <c r="E127" s="74" t="e">
        <f t="shared" ca="1" si="4"/>
        <v>#N/A</v>
      </c>
      <c r="F127" s="75">
        <f ca="1">INDIRECT(ADDRESS($A127,1,3,1,Menus!$K$10))</f>
        <v>0</v>
      </c>
      <c r="G127" s="2" t="e">
        <f ca="1">IF(INDIRECT(ADDRESS($A127,2,3,1,Menus!$K$10))=G$1,$D127,#N/A)</f>
        <v>#N/A</v>
      </c>
      <c r="H127" s="2" t="e">
        <f ca="1">IF(INDIRECT(ADDRESS($A127,2,3,1,Menus!$K$10))=H$1,$D127,#N/A)</f>
        <v>#N/A</v>
      </c>
      <c r="I127" s="2" t="e">
        <f ca="1">IF(INDIRECT(ADDRESS($A127,2,3,1,Menus!$K$10))=I$1,$D127,#N/A)</f>
        <v>#N/A</v>
      </c>
      <c r="J127" s="2" t="e">
        <f ca="1">IF(INDIRECT(ADDRESS($A127,1,3,1,Menus!$K$10))=T(J$1),$D127,#N/A)</f>
        <v>#N/A</v>
      </c>
      <c r="K127" s="10">
        <f t="shared" ca="1" si="3"/>
        <v>0</v>
      </c>
      <c r="L127" s="2"/>
      <c r="M127" s="85">
        <f ca="1">OFFSET(INDIRECT(ADDRESS($A127,3,3,1,"Gross")),0,Menus!$J$4)</f>
        <v>0</v>
      </c>
      <c r="N127" s="85">
        <f ca="1">OFFSET(INDIRECT(ADDRESS($A127,3,3,1,"Gross")),0,Menus!$J$3)</f>
        <v>0</v>
      </c>
    </row>
    <row r="128" spans="1:14" x14ac:dyDescent="0.25">
      <c r="A128">
        <v>153</v>
      </c>
      <c r="B128" s="2">
        <f ca="1">OFFSET(INDIRECT(ADDRESS($A128,3,3,1,Menus!$K$10)),0,Menus!$J$4)</f>
        <v>0</v>
      </c>
      <c r="C128" s="2">
        <f ca="1">OFFSET(INDIRECT(ADDRESS($A128,3,3,1,Menus!$K$10)),0,Menus!$J$3)</f>
        <v>0</v>
      </c>
      <c r="D128" s="73" t="e">
        <f ca="1">IF(Menus!$J$9,C128/B128,C128)</f>
        <v>#DIV/0!</v>
      </c>
      <c r="E128" s="74" t="e">
        <f t="shared" ca="1" si="4"/>
        <v>#N/A</v>
      </c>
      <c r="F128" s="75">
        <f ca="1">INDIRECT(ADDRESS($A128,1,3,1,Menus!$K$10))</f>
        <v>0</v>
      </c>
      <c r="G128" s="2" t="e">
        <f ca="1">IF(INDIRECT(ADDRESS($A128,2,3,1,Menus!$K$10))=G$1,$D128,#N/A)</f>
        <v>#N/A</v>
      </c>
      <c r="H128" s="2" t="e">
        <f ca="1">IF(INDIRECT(ADDRESS($A128,2,3,1,Menus!$K$10))=H$1,$D128,#N/A)</f>
        <v>#N/A</v>
      </c>
      <c r="I128" s="2" t="e">
        <f ca="1">IF(INDIRECT(ADDRESS($A128,2,3,1,Menus!$K$10))=I$1,$D128,#N/A)</f>
        <v>#N/A</v>
      </c>
      <c r="J128" s="2" t="e">
        <f ca="1">IF(INDIRECT(ADDRESS($A128,1,3,1,Menus!$K$10))=T(J$1),$D128,#N/A)</f>
        <v>#N/A</v>
      </c>
      <c r="K128" s="10">
        <f t="shared" ca="1" si="3"/>
        <v>0</v>
      </c>
      <c r="L128" s="2"/>
      <c r="M128" s="85">
        <f ca="1">OFFSET(INDIRECT(ADDRESS($A128,3,3,1,"Gross")),0,Menus!$J$4)</f>
        <v>0</v>
      </c>
      <c r="N128" s="85">
        <f ca="1">OFFSET(INDIRECT(ADDRESS($A128,3,3,1,"Gross")),0,Menus!$J$3)</f>
        <v>0</v>
      </c>
    </row>
    <row r="129" spans="1:14" x14ac:dyDescent="0.25">
      <c r="A129">
        <v>147</v>
      </c>
      <c r="B129" s="2">
        <f ca="1">OFFSET(INDIRECT(ADDRESS($A129,3,3,1,Menus!$K$10)),0,Menus!$J$4)</f>
        <v>0</v>
      </c>
      <c r="C129" s="2">
        <f ca="1">OFFSET(INDIRECT(ADDRESS($A129,3,3,1,Menus!$K$10)),0,Menus!$J$3)</f>
        <v>0</v>
      </c>
      <c r="D129" s="73" t="e">
        <f ca="1">IF(Menus!$J$9,C129/B129,C129)</f>
        <v>#DIV/0!</v>
      </c>
      <c r="E129" s="74" t="e">
        <f t="shared" ca="1" si="4"/>
        <v>#N/A</v>
      </c>
      <c r="F129" s="75">
        <f ca="1">INDIRECT(ADDRESS($A129,1,3,1,Menus!$K$10))</f>
        <v>0</v>
      </c>
      <c r="G129" s="2" t="e">
        <f ca="1">IF(INDIRECT(ADDRESS($A129,2,3,1,Menus!$K$10))=G$1,$D129,#N/A)</f>
        <v>#N/A</v>
      </c>
      <c r="H129" s="2" t="e">
        <f ca="1">IF(INDIRECT(ADDRESS($A129,2,3,1,Menus!$K$10))=H$1,$D129,#N/A)</f>
        <v>#N/A</v>
      </c>
      <c r="I129" s="2" t="e">
        <f ca="1">IF(INDIRECT(ADDRESS($A129,2,3,1,Menus!$K$10))=I$1,$D129,#N/A)</f>
        <v>#N/A</v>
      </c>
      <c r="J129" s="2" t="e">
        <f ca="1">IF(INDIRECT(ADDRESS($A129,1,3,1,Menus!$K$10))=T(J$1),$D129,#N/A)</f>
        <v>#N/A</v>
      </c>
      <c r="K129" s="10">
        <f t="shared" ca="1" si="3"/>
        <v>0</v>
      </c>
      <c r="L129" s="2"/>
      <c r="M129" s="85">
        <f ca="1">OFFSET(INDIRECT(ADDRESS($A129,3,3,1,"Gross")),0,Menus!$J$4)</f>
        <v>0</v>
      </c>
      <c r="N129" s="85">
        <f ca="1">OFFSET(INDIRECT(ADDRESS($A129,3,3,1,"Gross")),0,Menus!$J$3)</f>
        <v>0</v>
      </c>
    </row>
    <row r="130" spans="1:14" x14ac:dyDescent="0.25">
      <c r="A130">
        <v>132</v>
      </c>
      <c r="B130" s="2">
        <f ca="1">OFFSET(INDIRECT(ADDRESS($A130,3,3,1,Menus!$K$10)),0,Menus!$J$4)</f>
        <v>0</v>
      </c>
      <c r="C130" s="2">
        <f ca="1">OFFSET(INDIRECT(ADDRESS($A130,3,3,1,Menus!$K$10)),0,Menus!$J$3)</f>
        <v>0</v>
      </c>
      <c r="D130" s="73" t="e">
        <f ca="1">IF(Menus!$J$9,C130/B130,C130)</f>
        <v>#DIV/0!</v>
      </c>
      <c r="E130" s="74" t="e">
        <f t="shared" ca="1" si="4"/>
        <v>#N/A</v>
      </c>
      <c r="F130" s="75">
        <f ca="1">INDIRECT(ADDRESS($A130,1,3,1,Menus!$K$10))</f>
        <v>0</v>
      </c>
      <c r="G130" s="2" t="e">
        <f ca="1">IF(INDIRECT(ADDRESS($A130,2,3,1,Menus!$K$10))=G$1,$D130,#N/A)</f>
        <v>#N/A</v>
      </c>
      <c r="H130" s="2" t="e">
        <f ca="1">IF(INDIRECT(ADDRESS($A130,2,3,1,Menus!$K$10))=H$1,$D130,#N/A)</f>
        <v>#N/A</v>
      </c>
      <c r="I130" s="2" t="e">
        <f ca="1">IF(INDIRECT(ADDRESS($A130,2,3,1,Menus!$K$10))=I$1,$D130,#N/A)</f>
        <v>#N/A</v>
      </c>
      <c r="J130" s="2" t="e">
        <f ca="1">IF(INDIRECT(ADDRESS($A130,1,3,1,Menus!$K$10))=T(J$1),$D130,#N/A)</f>
        <v>#N/A</v>
      </c>
      <c r="K130" s="10">
        <f t="shared" ref="K130:K193" ca="1" si="5">IF(OR(ISNUMBER($G130),ISNUMBER($H130),ISNUMBER($I130),ISNUMBER($J130)),1,0)</f>
        <v>0</v>
      </c>
      <c r="L130" s="2"/>
      <c r="M130" s="85">
        <f ca="1">OFFSET(INDIRECT(ADDRESS($A130,3,3,1,"Gross")),0,Menus!$J$4)</f>
        <v>0</v>
      </c>
      <c r="N130" s="85">
        <f ca="1">OFFSET(INDIRECT(ADDRESS($A130,3,3,1,"Gross")),0,Menus!$J$3)</f>
        <v>0</v>
      </c>
    </row>
    <row r="131" spans="1:14" x14ac:dyDescent="0.25">
      <c r="A131">
        <v>90</v>
      </c>
      <c r="B131" s="2">
        <f ca="1">OFFSET(INDIRECT(ADDRESS($A131,3,3,1,Menus!$K$10)),0,Menus!$J$4)</f>
        <v>0</v>
      </c>
      <c r="C131" s="2">
        <f ca="1">OFFSET(INDIRECT(ADDRESS($A131,3,3,1,Menus!$K$10)),0,Menus!$J$3)</f>
        <v>0</v>
      </c>
      <c r="D131" s="73" t="e">
        <f ca="1">IF(Menus!$J$9,C131/B131,C131)</f>
        <v>#DIV/0!</v>
      </c>
      <c r="E131" s="74" t="e">
        <f t="shared" ref="E131:E194" ca="1" si="6">IF($K131=1,VALUE(B131),#N/A)</f>
        <v>#N/A</v>
      </c>
      <c r="F131" s="75">
        <f ca="1">INDIRECT(ADDRESS($A131,1,3,1,Menus!$K$10))</f>
        <v>0</v>
      </c>
      <c r="G131" s="2" t="e">
        <f ca="1">IF(INDIRECT(ADDRESS($A131,2,3,1,Menus!$K$10))=G$1,$D131,#N/A)</f>
        <v>#N/A</v>
      </c>
      <c r="H131" s="2" t="e">
        <f ca="1">IF(INDIRECT(ADDRESS($A131,2,3,1,Menus!$K$10))=H$1,$D131,#N/A)</f>
        <v>#N/A</v>
      </c>
      <c r="I131" s="2" t="e">
        <f ca="1">IF(INDIRECT(ADDRESS($A131,2,3,1,Menus!$K$10))=I$1,$D131,#N/A)</f>
        <v>#N/A</v>
      </c>
      <c r="J131" s="2" t="e">
        <f ca="1">IF(INDIRECT(ADDRESS($A131,1,3,1,Menus!$K$10))=T(J$1),$D131,#N/A)</f>
        <v>#N/A</v>
      </c>
      <c r="K131" s="10">
        <f t="shared" ca="1" si="5"/>
        <v>0</v>
      </c>
      <c r="L131" s="2"/>
      <c r="M131" s="85">
        <f ca="1">OFFSET(INDIRECT(ADDRESS($A131,3,3,1,"Gross")),0,Menus!$J$4)</f>
        <v>0</v>
      </c>
      <c r="N131" s="85">
        <f ca="1">OFFSET(INDIRECT(ADDRESS($A131,3,3,1,"Gross")),0,Menus!$J$3)</f>
        <v>0</v>
      </c>
    </row>
    <row r="132" spans="1:14" x14ac:dyDescent="0.25">
      <c r="A132">
        <v>128</v>
      </c>
      <c r="B132" s="2">
        <f ca="1">OFFSET(INDIRECT(ADDRESS($A132,3,3,1,Menus!$K$10)),0,Menus!$J$4)</f>
        <v>0</v>
      </c>
      <c r="C132" s="2">
        <f ca="1">OFFSET(INDIRECT(ADDRESS($A132,3,3,1,Menus!$K$10)),0,Menus!$J$3)</f>
        <v>0</v>
      </c>
      <c r="D132" s="73" t="e">
        <f ca="1">IF(Menus!$J$9,C132/B132,C132)</f>
        <v>#DIV/0!</v>
      </c>
      <c r="E132" s="74" t="e">
        <f t="shared" ca="1" si="6"/>
        <v>#N/A</v>
      </c>
      <c r="F132" s="75">
        <f ca="1">INDIRECT(ADDRESS($A132,1,3,1,Menus!$K$10))</f>
        <v>0</v>
      </c>
      <c r="G132" s="2" t="e">
        <f ca="1">IF(INDIRECT(ADDRESS($A132,2,3,1,Menus!$K$10))=G$1,$D132,#N/A)</f>
        <v>#N/A</v>
      </c>
      <c r="H132" s="2" t="e">
        <f ca="1">IF(INDIRECT(ADDRESS($A132,2,3,1,Menus!$K$10))=H$1,$D132,#N/A)</f>
        <v>#N/A</v>
      </c>
      <c r="I132" s="2" t="e">
        <f ca="1">IF(INDIRECT(ADDRESS($A132,2,3,1,Menus!$K$10))=I$1,$D132,#N/A)</f>
        <v>#N/A</v>
      </c>
      <c r="J132" s="2" t="e">
        <f ca="1">IF(INDIRECT(ADDRESS($A132,1,3,1,Menus!$K$10))=T(J$1),$D132,#N/A)</f>
        <v>#N/A</v>
      </c>
      <c r="K132" s="10">
        <f t="shared" ca="1" si="5"/>
        <v>0</v>
      </c>
      <c r="L132" s="2"/>
      <c r="M132" s="85">
        <f ca="1">OFFSET(INDIRECT(ADDRESS($A132,3,3,1,"Gross")),0,Menus!$J$4)</f>
        <v>0</v>
      </c>
      <c r="N132" s="85">
        <f ca="1">OFFSET(INDIRECT(ADDRESS($A132,3,3,1,"Gross")),0,Menus!$J$3)</f>
        <v>0</v>
      </c>
    </row>
    <row r="133" spans="1:14" x14ac:dyDescent="0.25">
      <c r="A133">
        <v>57</v>
      </c>
      <c r="B133" s="2">
        <f ca="1">OFFSET(INDIRECT(ADDRESS($A133,3,3,1,Menus!$K$10)),0,Menus!$J$4)</f>
        <v>0</v>
      </c>
      <c r="C133" s="2">
        <f ca="1">OFFSET(INDIRECT(ADDRESS($A133,3,3,1,Menus!$K$10)),0,Menus!$J$3)</f>
        <v>0</v>
      </c>
      <c r="D133" s="73" t="e">
        <f ca="1">IF(Menus!$J$9,C133/B133,C133)</f>
        <v>#DIV/0!</v>
      </c>
      <c r="E133" s="74" t="e">
        <f t="shared" ca="1" si="6"/>
        <v>#N/A</v>
      </c>
      <c r="F133" s="75">
        <f ca="1">INDIRECT(ADDRESS($A133,1,3,1,Menus!$K$10))</f>
        <v>0</v>
      </c>
      <c r="G133" s="2" t="e">
        <f ca="1">IF(INDIRECT(ADDRESS($A133,2,3,1,Menus!$K$10))=G$1,$D133,#N/A)</f>
        <v>#N/A</v>
      </c>
      <c r="H133" s="2" t="e">
        <f ca="1">IF(INDIRECT(ADDRESS($A133,2,3,1,Menus!$K$10))=H$1,$D133,#N/A)</f>
        <v>#N/A</v>
      </c>
      <c r="I133" s="2" t="e">
        <f ca="1">IF(INDIRECT(ADDRESS($A133,2,3,1,Menus!$K$10))=I$1,$D133,#N/A)</f>
        <v>#N/A</v>
      </c>
      <c r="J133" s="2" t="e">
        <f ca="1">IF(INDIRECT(ADDRESS($A133,1,3,1,Menus!$K$10))=T(J$1),$D133,#N/A)</f>
        <v>#N/A</v>
      </c>
      <c r="K133" s="10">
        <f t="shared" ca="1" si="5"/>
        <v>0</v>
      </c>
      <c r="L133" s="2"/>
      <c r="M133" s="85">
        <f ca="1">OFFSET(INDIRECT(ADDRESS($A133,3,3,1,"Gross")),0,Menus!$J$4)</f>
        <v>0</v>
      </c>
      <c r="N133" s="85">
        <f ca="1">OFFSET(INDIRECT(ADDRESS($A133,3,3,1,"Gross")),0,Menus!$J$3)</f>
        <v>0</v>
      </c>
    </row>
    <row r="134" spans="1:14" x14ac:dyDescent="0.25">
      <c r="A134">
        <v>71</v>
      </c>
      <c r="B134" s="2">
        <f ca="1">OFFSET(INDIRECT(ADDRESS($A134,3,3,1,Menus!$K$10)),0,Menus!$J$4)</f>
        <v>0</v>
      </c>
      <c r="C134" s="2">
        <f ca="1">OFFSET(INDIRECT(ADDRESS($A134,3,3,1,Menus!$K$10)),0,Menus!$J$3)</f>
        <v>0</v>
      </c>
      <c r="D134" s="73" t="e">
        <f ca="1">IF(Menus!$J$9,C134/B134,C134)</f>
        <v>#DIV/0!</v>
      </c>
      <c r="E134" s="74" t="e">
        <f t="shared" ca="1" si="6"/>
        <v>#N/A</v>
      </c>
      <c r="F134" s="75">
        <f ca="1">INDIRECT(ADDRESS($A134,1,3,1,Menus!$K$10))</f>
        <v>0</v>
      </c>
      <c r="G134" s="2" t="e">
        <f ca="1">IF(INDIRECT(ADDRESS($A134,2,3,1,Menus!$K$10))=G$1,$D134,#N/A)</f>
        <v>#N/A</v>
      </c>
      <c r="H134" s="2" t="e">
        <f ca="1">IF(INDIRECT(ADDRESS($A134,2,3,1,Menus!$K$10))=H$1,$D134,#N/A)</f>
        <v>#N/A</v>
      </c>
      <c r="I134" s="2" t="e">
        <f ca="1">IF(INDIRECT(ADDRESS($A134,2,3,1,Menus!$K$10))=I$1,$D134,#N/A)</f>
        <v>#N/A</v>
      </c>
      <c r="J134" s="2" t="e">
        <f ca="1">IF(INDIRECT(ADDRESS($A134,1,3,1,Menus!$K$10))=T(J$1),$D134,#N/A)</f>
        <v>#N/A</v>
      </c>
      <c r="K134" s="10">
        <f t="shared" ca="1" si="5"/>
        <v>0</v>
      </c>
      <c r="L134" s="2"/>
      <c r="M134" s="85">
        <f ca="1">OFFSET(INDIRECT(ADDRESS($A134,3,3,1,"Gross")),0,Menus!$J$4)</f>
        <v>0</v>
      </c>
      <c r="N134" s="85">
        <f ca="1">OFFSET(INDIRECT(ADDRESS($A134,3,3,1,"Gross")),0,Menus!$J$3)</f>
        <v>0</v>
      </c>
    </row>
    <row r="135" spans="1:14" x14ac:dyDescent="0.25">
      <c r="A135">
        <v>168</v>
      </c>
      <c r="B135" s="2">
        <f ca="1">OFFSET(INDIRECT(ADDRESS($A135,3,3,1,Menus!$K$10)),0,Menus!$J$4)</f>
        <v>0</v>
      </c>
      <c r="C135" s="2">
        <f ca="1">OFFSET(INDIRECT(ADDRESS($A135,3,3,1,Menus!$K$10)),0,Menus!$J$3)</f>
        <v>0</v>
      </c>
      <c r="D135" s="73" t="e">
        <f ca="1">IF(Menus!$J$9,C135/B135,C135)</f>
        <v>#DIV/0!</v>
      </c>
      <c r="E135" s="74" t="e">
        <f t="shared" ca="1" si="6"/>
        <v>#N/A</v>
      </c>
      <c r="F135" s="75">
        <f ca="1">INDIRECT(ADDRESS($A135,1,3,1,Menus!$K$10))</f>
        <v>0</v>
      </c>
      <c r="G135" s="2" t="e">
        <f ca="1">IF(INDIRECT(ADDRESS($A135,2,3,1,Menus!$K$10))=G$1,$D135,#N/A)</f>
        <v>#N/A</v>
      </c>
      <c r="H135" s="2" t="e">
        <f ca="1">IF(INDIRECT(ADDRESS($A135,2,3,1,Menus!$K$10))=H$1,$D135,#N/A)</f>
        <v>#N/A</v>
      </c>
      <c r="I135" s="2" t="e">
        <f ca="1">IF(INDIRECT(ADDRESS($A135,2,3,1,Menus!$K$10))=I$1,$D135,#N/A)</f>
        <v>#N/A</v>
      </c>
      <c r="J135" s="2" t="e">
        <f ca="1">IF(INDIRECT(ADDRESS($A135,1,3,1,Menus!$K$10))=T(J$1),$D135,#N/A)</f>
        <v>#N/A</v>
      </c>
      <c r="K135" s="10">
        <f t="shared" ca="1" si="5"/>
        <v>0</v>
      </c>
      <c r="L135" s="2"/>
      <c r="M135" s="85">
        <f ca="1">OFFSET(INDIRECT(ADDRESS($A135,3,3,1,"Gross")),0,Menus!$J$4)</f>
        <v>0</v>
      </c>
      <c r="N135" s="85">
        <f ca="1">OFFSET(INDIRECT(ADDRESS($A135,3,3,1,"Gross")),0,Menus!$J$3)</f>
        <v>0</v>
      </c>
    </row>
    <row r="136" spans="1:14" x14ac:dyDescent="0.25">
      <c r="A136">
        <v>106</v>
      </c>
      <c r="B136" s="2">
        <f ca="1">OFFSET(INDIRECT(ADDRESS($A136,3,3,1,Menus!$K$10)),0,Menus!$J$4)</f>
        <v>0</v>
      </c>
      <c r="C136" s="2">
        <f ca="1">OFFSET(INDIRECT(ADDRESS($A136,3,3,1,Menus!$K$10)),0,Menus!$J$3)</f>
        <v>0</v>
      </c>
      <c r="D136" s="73" t="e">
        <f ca="1">IF(Menus!$J$9,C136/B136,C136)</f>
        <v>#DIV/0!</v>
      </c>
      <c r="E136" s="74" t="e">
        <f t="shared" ca="1" si="6"/>
        <v>#N/A</v>
      </c>
      <c r="F136" s="75">
        <f ca="1">INDIRECT(ADDRESS($A136,1,3,1,Menus!$K$10))</f>
        <v>0</v>
      </c>
      <c r="G136" s="2" t="e">
        <f ca="1">IF(INDIRECT(ADDRESS($A136,2,3,1,Menus!$K$10))=G$1,$D136,#N/A)</f>
        <v>#N/A</v>
      </c>
      <c r="H136" s="2" t="e">
        <f ca="1">IF(INDIRECT(ADDRESS($A136,2,3,1,Menus!$K$10))=H$1,$D136,#N/A)</f>
        <v>#N/A</v>
      </c>
      <c r="I136" s="2" t="e">
        <f ca="1">IF(INDIRECT(ADDRESS($A136,2,3,1,Menus!$K$10))=I$1,$D136,#N/A)</f>
        <v>#N/A</v>
      </c>
      <c r="J136" s="2" t="e">
        <f ca="1">IF(INDIRECT(ADDRESS($A136,1,3,1,Menus!$K$10))=T(J$1),$D136,#N/A)</f>
        <v>#N/A</v>
      </c>
      <c r="K136" s="10">
        <f t="shared" ca="1" si="5"/>
        <v>0</v>
      </c>
      <c r="L136" s="2"/>
      <c r="M136" s="85">
        <f ca="1">OFFSET(INDIRECT(ADDRESS($A136,3,3,1,"Gross")),0,Menus!$J$4)</f>
        <v>0</v>
      </c>
      <c r="N136" s="85">
        <f ca="1">OFFSET(INDIRECT(ADDRESS($A136,3,3,1,"Gross")),0,Menus!$J$3)</f>
        <v>0</v>
      </c>
    </row>
    <row r="137" spans="1:14" x14ac:dyDescent="0.25">
      <c r="A137">
        <v>111</v>
      </c>
      <c r="B137" s="2">
        <f ca="1">OFFSET(INDIRECT(ADDRESS($A137,3,3,1,Menus!$K$10)),0,Menus!$J$4)</f>
        <v>0</v>
      </c>
      <c r="C137" s="2">
        <f ca="1">OFFSET(INDIRECT(ADDRESS($A137,3,3,1,Menus!$K$10)),0,Menus!$J$3)</f>
        <v>0</v>
      </c>
      <c r="D137" s="73" t="e">
        <f ca="1">IF(Menus!$J$9,C137/B137,C137)</f>
        <v>#DIV/0!</v>
      </c>
      <c r="E137" s="74" t="e">
        <f t="shared" ca="1" si="6"/>
        <v>#N/A</v>
      </c>
      <c r="F137" s="75">
        <f ca="1">INDIRECT(ADDRESS($A137,1,3,1,Menus!$K$10))</f>
        <v>0</v>
      </c>
      <c r="G137" s="2" t="e">
        <f ca="1">IF(INDIRECT(ADDRESS($A137,2,3,1,Menus!$K$10))=G$1,$D137,#N/A)</f>
        <v>#N/A</v>
      </c>
      <c r="H137" s="2" t="e">
        <f ca="1">IF(INDIRECT(ADDRESS($A137,2,3,1,Menus!$K$10))=H$1,$D137,#N/A)</f>
        <v>#N/A</v>
      </c>
      <c r="I137" s="2" t="e">
        <f ca="1">IF(INDIRECT(ADDRESS($A137,2,3,1,Menus!$K$10))=I$1,$D137,#N/A)</f>
        <v>#N/A</v>
      </c>
      <c r="J137" s="2" t="e">
        <f ca="1">IF(INDIRECT(ADDRESS($A137,1,3,1,Menus!$K$10))=T(J$1),$D137,#N/A)</f>
        <v>#N/A</v>
      </c>
      <c r="K137" s="10">
        <f t="shared" ca="1" si="5"/>
        <v>0</v>
      </c>
      <c r="L137" s="2"/>
      <c r="M137" s="85">
        <f ca="1">OFFSET(INDIRECT(ADDRESS($A137,3,3,1,"Gross")),0,Menus!$J$4)</f>
        <v>0</v>
      </c>
      <c r="N137" s="85">
        <f ca="1">OFFSET(INDIRECT(ADDRESS($A137,3,3,1,"Gross")),0,Menus!$J$3)</f>
        <v>0</v>
      </c>
    </row>
    <row r="138" spans="1:14" x14ac:dyDescent="0.25">
      <c r="A138">
        <v>133</v>
      </c>
      <c r="B138" s="2">
        <f ca="1">OFFSET(INDIRECT(ADDRESS($A138,3,3,1,Menus!$K$10)),0,Menus!$J$4)</f>
        <v>0</v>
      </c>
      <c r="C138" s="2">
        <f ca="1">OFFSET(INDIRECT(ADDRESS($A138,3,3,1,Menus!$K$10)),0,Menus!$J$3)</f>
        <v>0</v>
      </c>
      <c r="D138" s="73" t="e">
        <f ca="1">IF(Menus!$J$9,C138/B138,C138)</f>
        <v>#DIV/0!</v>
      </c>
      <c r="E138" s="74" t="e">
        <f t="shared" ca="1" si="6"/>
        <v>#N/A</v>
      </c>
      <c r="F138" s="75">
        <f ca="1">INDIRECT(ADDRESS($A138,1,3,1,Menus!$K$10))</f>
        <v>0</v>
      </c>
      <c r="G138" s="2" t="e">
        <f ca="1">IF(INDIRECT(ADDRESS($A138,2,3,1,Menus!$K$10))=G$1,$D138,#N/A)</f>
        <v>#N/A</v>
      </c>
      <c r="H138" s="2" t="e">
        <f ca="1">IF(INDIRECT(ADDRESS($A138,2,3,1,Menus!$K$10))=H$1,$D138,#N/A)</f>
        <v>#N/A</v>
      </c>
      <c r="I138" s="2" t="e">
        <f ca="1">IF(INDIRECT(ADDRESS($A138,2,3,1,Menus!$K$10))=I$1,$D138,#N/A)</f>
        <v>#N/A</v>
      </c>
      <c r="J138" s="2" t="e">
        <f ca="1">IF(INDIRECT(ADDRESS($A138,1,3,1,Menus!$K$10))=T(J$1),$D138,#N/A)</f>
        <v>#N/A</v>
      </c>
      <c r="K138" s="10">
        <f t="shared" ca="1" si="5"/>
        <v>0</v>
      </c>
      <c r="L138" s="2"/>
      <c r="M138" s="85">
        <f ca="1">OFFSET(INDIRECT(ADDRESS($A138,3,3,1,"Gross")),0,Menus!$J$4)</f>
        <v>0</v>
      </c>
      <c r="N138" s="85">
        <f ca="1">OFFSET(INDIRECT(ADDRESS($A138,3,3,1,"Gross")),0,Menus!$J$3)</f>
        <v>0</v>
      </c>
    </row>
    <row r="139" spans="1:14" x14ac:dyDescent="0.25">
      <c r="A139">
        <v>101</v>
      </c>
      <c r="B139" s="2">
        <f ca="1">OFFSET(INDIRECT(ADDRESS($A139,3,3,1,Menus!$K$10)),0,Menus!$J$4)</f>
        <v>0</v>
      </c>
      <c r="C139" s="2">
        <f ca="1">OFFSET(INDIRECT(ADDRESS($A139,3,3,1,Menus!$K$10)),0,Menus!$J$3)</f>
        <v>0</v>
      </c>
      <c r="D139" s="73" t="e">
        <f ca="1">IF(Menus!$J$9,C139/B139,C139)</f>
        <v>#DIV/0!</v>
      </c>
      <c r="E139" s="74" t="e">
        <f t="shared" ca="1" si="6"/>
        <v>#N/A</v>
      </c>
      <c r="F139" s="75">
        <f ca="1">INDIRECT(ADDRESS($A139,1,3,1,Menus!$K$10))</f>
        <v>0</v>
      </c>
      <c r="G139" s="2" t="e">
        <f ca="1">IF(INDIRECT(ADDRESS($A139,2,3,1,Menus!$K$10))=G$1,$D139,#N/A)</f>
        <v>#N/A</v>
      </c>
      <c r="H139" s="2" t="e">
        <f ca="1">IF(INDIRECT(ADDRESS($A139,2,3,1,Menus!$K$10))=H$1,$D139,#N/A)</f>
        <v>#N/A</v>
      </c>
      <c r="I139" s="2" t="e">
        <f ca="1">IF(INDIRECT(ADDRESS($A139,2,3,1,Menus!$K$10))=I$1,$D139,#N/A)</f>
        <v>#N/A</v>
      </c>
      <c r="J139" s="2" t="e">
        <f ca="1">IF(INDIRECT(ADDRESS($A139,1,3,1,Menus!$K$10))=T(J$1),$D139,#N/A)</f>
        <v>#N/A</v>
      </c>
      <c r="K139" s="10">
        <f t="shared" ca="1" si="5"/>
        <v>0</v>
      </c>
      <c r="L139" s="2"/>
      <c r="M139" s="85">
        <f ca="1">OFFSET(INDIRECT(ADDRESS($A139,3,3,1,"Gross")),0,Menus!$J$4)</f>
        <v>0</v>
      </c>
      <c r="N139" s="85">
        <f ca="1">OFFSET(INDIRECT(ADDRESS($A139,3,3,1,"Gross")),0,Menus!$J$3)</f>
        <v>0</v>
      </c>
    </row>
    <row r="140" spans="1:14" x14ac:dyDescent="0.25">
      <c r="A140">
        <v>102</v>
      </c>
      <c r="B140" s="2">
        <f ca="1">OFFSET(INDIRECT(ADDRESS($A140,3,3,1,Menus!$K$10)),0,Menus!$J$4)</f>
        <v>0</v>
      </c>
      <c r="C140" s="2">
        <f ca="1">OFFSET(INDIRECT(ADDRESS($A140,3,3,1,Menus!$K$10)),0,Menus!$J$3)</f>
        <v>0</v>
      </c>
      <c r="D140" s="73" t="e">
        <f ca="1">IF(Menus!$J$9,C140/B140,C140)</f>
        <v>#DIV/0!</v>
      </c>
      <c r="E140" s="74" t="e">
        <f t="shared" ca="1" si="6"/>
        <v>#N/A</v>
      </c>
      <c r="F140" s="75">
        <f ca="1">INDIRECT(ADDRESS($A140,1,3,1,Menus!$K$10))</f>
        <v>0</v>
      </c>
      <c r="G140" s="2" t="e">
        <f ca="1">IF(INDIRECT(ADDRESS($A140,2,3,1,Menus!$K$10))=G$1,$D140,#N/A)</f>
        <v>#N/A</v>
      </c>
      <c r="H140" s="2" t="e">
        <f ca="1">IF(INDIRECT(ADDRESS($A140,2,3,1,Menus!$K$10))=H$1,$D140,#N/A)</f>
        <v>#N/A</v>
      </c>
      <c r="I140" s="2" t="e">
        <f ca="1">IF(INDIRECT(ADDRESS($A140,2,3,1,Menus!$K$10))=I$1,$D140,#N/A)</f>
        <v>#N/A</v>
      </c>
      <c r="J140" s="2" t="e">
        <f ca="1">IF(INDIRECT(ADDRESS($A140,1,3,1,Menus!$K$10))=T(J$1),$D140,#N/A)</f>
        <v>#N/A</v>
      </c>
      <c r="K140" s="10">
        <f t="shared" ca="1" si="5"/>
        <v>0</v>
      </c>
      <c r="L140" s="2"/>
      <c r="M140" s="85">
        <f ca="1">OFFSET(INDIRECT(ADDRESS($A140,3,3,1,"Gross")),0,Menus!$J$4)</f>
        <v>0</v>
      </c>
      <c r="N140" s="85">
        <f ca="1">OFFSET(INDIRECT(ADDRESS($A140,3,3,1,"Gross")),0,Menus!$J$3)</f>
        <v>0</v>
      </c>
    </row>
    <row r="141" spans="1:14" x14ac:dyDescent="0.25">
      <c r="A141">
        <v>185</v>
      </c>
      <c r="B141" s="2">
        <f ca="1">OFFSET(INDIRECT(ADDRESS($A141,3,3,1,Menus!$K$10)),0,Menus!$J$4)</f>
        <v>0</v>
      </c>
      <c r="C141" s="2">
        <f ca="1">OFFSET(INDIRECT(ADDRESS($A141,3,3,1,Menus!$K$10)),0,Menus!$J$3)</f>
        <v>0</v>
      </c>
      <c r="D141" s="73" t="e">
        <f ca="1">IF(Menus!$J$9,C141/B141,C141)</f>
        <v>#DIV/0!</v>
      </c>
      <c r="E141" s="74" t="e">
        <f t="shared" ca="1" si="6"/>
        <v>#N/A</v>
      </c>
      <c r="F141" s="75">
        <f ca="1">INDIRECT(ADDRESS($A141,1,3,1,Menus!$K$10))</f>
        <v>0</v>
      </c>
      <c r="G141" s="2" t="e">
        <f ca="1">IF(INDIRECT(ADDRESS($A141,2,3,1,Menus!$K$10))=G$1,$D141,#N/A)</f>
        <v>#N/A</v>
      </c>
      <c r="H141" s="2" t="e">
        <f ca="1">IF(INDIRECT(ADDRESS($A141,2,3,1,Menus!$K$10))=H$1,$D141,#N/A)</f>
        <v>#N/A</v>
      </c>
      <c r="I141" s="2" t="e">
        <f ca="1">IF(INDIRECT(ADDRESS($A141,2,3,1,Menus!$K$10))=I$1,$D141,#N/A)</f>
        <v>#N/A</v>
      </c>
      <c r="J141" s="2" t="e">
        <f ca="1">IF(INDIRECT(ADDRESS($A141,1,3,1,Menus!$K$10))=T(J$1),$D141,#N/A)</f>
        <v>#N/A</v>
      </c>
      <c r="K141" s="10">
        <f t="shared" ca="1" si="5"/>
        <v>0</v>
      </c>
      <c r="L141" s="2"/>
      <c r="M141" s="85">
        <f ca="1">OFFSET(INDIRECT(ADDRESS($A141,3,3,1,"Gross")),0,Menus!$J$4)</f>
        <v>0</v>
      </c>
      <c r="N141" s="85">
        <f ca="1">OFFSET(INDIRECT(ADDRESS($A141,3,3,1,"Gross")),0,Menus!$J$3)</f>
        <v>0</v>
      </c>
    </row>
    <row r="142" spans="1:14" x14ac:dyDescent="0.25">
      <c r="A142">
        <v>170</v>
      </c>
      <c r="B142" s="2">
        <f ca="1">OFFSET(INDIRECT(ADDRESS($A142,3,3,1,Menus!$K$10)),0,Menus!$J$4)</f>
        <v>0</v>
      </c>
      <c r="C142" s="2">
        <f ca="1">OFFSET(INDIRECT(ADDRESS($A142,3,3,1,Menus!$K$10)),0,Menus!$J$3)</f>
        <v>0</v>
      </c>
      <c r="D142" s="73" t="e">
        <f ca="1">IF(Menus!$J$9,C142/B142,C142)</f>
        <v>#DIV/0!</v>
      </c>
      <c r="E142" s="74" t="e">
        <f t="shared" ca="1" si="6"/>
        <v>#N/A</v>
      </c>
      <c r="F142" s="75">
        <f ca="1">INDIRECT(ADDRESS($A142,1,3,1,Menus!$K$10))</f>
        <v>0</v>
      </c>
      <c r="G142" s="2" t="e">
        <f ca="1">IF(INDIRECT(ADDRESS($A142,2,3,1,Menus!$K$10))=G$1,$D142,#N/A)</f>
        <v>#N/A</v>
      </c>
      <c r="H142" s="2" t="e">
        <f ca="1">IF(INDIRECT(ADDRESS($A142,2,3,1,Menus!$K$10))=H$1,$D142,#N/A)</f>
        <v>#N/A</v>
      </c>
      <c r="I142" s="2" t="e">
        <f ca="1">IF(INDIRECT(ADDRESS($A142,2,3,1,Menus!$K$10))=I$1,$D142,#N/A)</f>
        <v>#N/A</v>
      </c>
      <c r="J142" s="2" t="e">
        <f ca="1">IF(INDIRECT(ADDRESS($A142,1,3,1,Menus!$K$10))=T(J$1),$D142,#N/A)</f>
        <v>#N/A</v>
      </c>
      <c r="K142" s="10">
        <f t="shared" ca="1" si="5"/>
        <v>0</v>
      </c>
      <c r="L142" s="2"/>
      <c r="M142" s="85">
        <f ca="1">OFFSET(INDIRECT(ADDRESS($A142,3,3,1,"Gross")),0,Menus!$J$4)</f>
        <v>0</v>
      </c>
      <c r="N142" s="85">
        <f ca="1">OFFSET(INDIRECT(ADDRESS($A142,3,3,1,"Gross")),0,Menus!$J$3)</f>
        <v>0</v>
      </c>
    </row>
    <row r="143" spans="1:14" x14ac:dyDescent="0.25">
      <c r="A143">
        <v>151</v>
      </c>
      <c r="B143" s="2">
        <f ca="1">OFFSET(INDIRECT(ADDRESS($A143,3,3,1,Menus!$K$10)),0,Menus!$J$4)</f>
        <v>0</v>
      </c>
      <c r="C143" s="2">
        <f ca="1">OFFSET(INDIRECT(ADDRESS($A143,3,3,1,Menus!$K$10)),0,Menus!$J$3)</f>
        <v>0</v>
      </c>
      <c r="D143" s="73" t="e">
        <f ca="1">IF(Menus!$J$9,C143/B143,C143)</f>
        <v>#DIV/0!</v>
      </c>
      <c r="E143" s="74" t="e">
        <f t="shared" ca="1" si="6"/>
        <v>#N/A</v>
      </c>
      <c r="F143" s="75">
        <f ca="1">INDIRECT(ADDRESS($A143,1,3,1,Menus!$K$10))</f>
        <v>0</v>
      </c>
      <c r="G143" s="2" t="e">
        <f ca="1">IF(INDIRECT(ADDRESS($A143,2,3,1,Menus!$K$10))=G$1,$D143,#N/A)</f>
        <v>#N/A</v>
      </c>
      <c r="H143" s="2" t="e">
        <f ca="1">IF(INDIRECT(ADDRESS($A143,2,3,1,Menus!$K$10))=H$1,$D143,#N/A)</f>
        <v>#N/A</v>
      </c>
      <c r="I143" s="2" t="e">
        <f ca="1">IF(INDIRECT(ADDRESS($A143,2,3,1,Menus!$K$10))=I$1,$D143,#N/A)</f>
        <v>#N/A</v>
      </c>
      <c r="J143" s="2" t="e">
        <f ca="1">IF(INDIRECT(ADDRESS($A143,1,3,1,Menus!$K$10))=T(J$1),$D143,#N/A)</f>
        <v>#N/A</v>
      </c>
      <c r="K143" s="10">
        <f t="shared" ca="1" si="5"/>
        <v>0</v>
      </c>
      <c r="L143" s="2"/>
      <c r="M143" s="85">
        <f ca="1">OFFSET(INDIRECT(ADDRESS($A143,3,3,1,"Gross")),0,Menus!$J$4)</f>
        <v>0</v>
      </c>
      <c r="N143" s="85">
        <f ca="1">OFFSET(INDIRECT(ADDRESS($A143,3,3,1,"Gross")),0,Menus!$J$3)</f>
        <v>0</v>
      </c>
    </row>
    <row r="144" spans="1:14" x14ac:dyDescent="0.25">
      <c r="A144">
        <v>174</v>
      </c>
      <c r="B144" s="2">
        <f ca="1">OFFSET(INDIRECT(ADDRESS($A144,3,3,1,Menus!$K$10)),0,Menus!$J$4)</f>
        <v>0</v>
      </c>
      <c r="C144" s="2">
        <f ca="1">OFFSET(INDIRECT(ADDRESS($A144,3,3,1,Menus!$K$10)),0,Menus!$J$3)</f>
        <v>0</v>
      </c>
      <c r="D144" s="73" t="e">
        <f ca="1">IF(Menus!$J$9,C144/B144,C144)</f>
        <v>#DIV/0!</v>
      </c>
      <c r="E144" s="74" t="e">
        <f t="shared" ca="1" si="6"/>
        <v>#N/A</v>
      </c>
      <c r="F144" s="75">
        <f ca="1">INDIRECT(ADDRESS($A144,1,3,1,Menus!$K$10))</f>
        <v>0</v>
      </c>
      <c r="G144" s="2" t="e">
        <f ca="1">IF(INDIRECT(ADDRESS($A144,2,3,1,Menus!$K$10))=G$1,$D144,#N/A)</f>
        <v>#N/A</v>
      </c>
      <c r="H144" s="2" t="e">
        <f ca="1">IF(INDIRECT(ADDRESS($A144,2,3,1,Menus!$K$10))=H$1,$D144,#N/A)</f>
        <v>#N/A</v>
      </c>
      <c r="I144" s="2" t="e">
        <f ca="1">IF(INDIRECT(ADDRESS($A144,2,3,1,Menus!$K$10))=I$1,$D144,#N/A)</f>
        <v>#N/A</v>
      </c>
      <c r="J144" s="2" t="e">
        <f ca="1">IF(INDIRECT(ADDRESS($A144,1,3,1,Menus!$K$10))=T(J$1),$D144,#N/A)</f>
        <v>#N/A</v>
      </c>
      <c r="K144" s="10">
        <f t="shared" ca="1" si="5"/>
        <v>0</v>
      </c>
      <c r="L144" s="2"/>
      <c r="M144" s="85">
        <f ca="1">OFFSET(INDIRECT(ADDRESS($A144,3,3,1,"Gross")),0,Menus!$J$4)</f>
        <v>0</v>
      </c>
      <c r="N144" s="85">
        <f ca="1">OFFSET(INDIRECT(ADDRESS($A144,3,3,1,"Gross")),0,Menus!$J$3)</f>
        <v>0</v>
      </c>
    </row>
    <row r="145" spans="1:14" x14ac:dyDescent="0.25">
      <c r="A145">
        <v>142</v>
      </c>
      <c r="B145" s="2">
        <f ca="1">OFFSET(INDIRECT(ADDRESS($A145,3,3,1,Menus!$K$10)),0,Menus!$J$4)</f>
        <v>0</v>
      </c>
      <c r="C145" s="2">
        <f ca="1">OFFSET(INDIRECT(ADDRESS($A145,3,3,1,Menus!$K$10)),0,Menus!$J$3)</f>
        <v>0</v>
      </c>
      <c r="D145" s="73" t="e">
        <f ca="1">IF(Menus!$J$9,C145/B145,C145)</f>
        <v>#DIV/0!</v>
      </c>
      <c r="E145" s="74" t="e">
        <f t="shared" ca="1" si="6"/>
        <v>#N/A</v>
      </c>
      <c r="F145" s="75">
        <f ca="1">INDIRECT(ADDRESS($A145,1,3,1,Menus!$K$10))</f>
        <v>0</v>
      </c>
      <c r="G145" s="2" t="e">
        <f ca="1">IF(INDIRECT(ADDRESS($A145,2,3,1,Menus!$K$10))=G$1,$D145,#N/A)</f>
        <v>#N/A</v>
      </c>
      <c r="H145" s="2" t="e">
        <f ca="1">IF(INDIRECT(ADDRESS($A145,2,3,1,Menus!$K$10))=H$1,$D145,#N/A)</f>
        <v>#N/A</v>
      </c>
      <c r="I145" s="2" t="e">
        <f ca="1">IF(INDIRECT(ADDRESS($A145,2,3,1,Menus!$K$10))=I$1,$D145,#N/A)</f>
        <v>#N/A</v>
      </c>
      <c r="J145" s="2" t="e">
        <f ca="1">IF(INDIRECT(ADDRESS($A145,1,3,1,Menus!$K$10))=T(J$1),$D145,#N/A)</f>
        <v>#N/A</v>
      </c>
      <c r="K145" s="10">
        <f t="shared" ca="1" si="5"/>
        <v>0</v>
      </c>
      <c r="L145" s="2"/>
      <c r="M145" s="85">
        <f ca="1">OFFSET(INDIRECT(ADDRESS($A145,3,3,1,"Gross")),0,Menus!$J$4)</f>
        <v>0</v>
      </c>
      <c r="N145" s="85">
        <f ca="1">OFFSET(INDIRECT(ADDRESS($A145,3,3,1,"Gross")),0,Menus!$J$3)</f>
        <v>0</v>
      </c>
    </row>
    <row r="146" spans="1:14" x14ac:dyDescent="0.25">
      <c r="A146">
        <v>59</v>
      </c>
      <c r="B146" s="2">
        <f ca="1">OFFSET(INDIRECT(ADDRESS($A146,3,3,1,Menus!$K$10)),0,Menus!$J$4)</f>
        <v>0</v>
      </c>
      <c r="C146" s="2">
        <f ca="1">OFFSET(INDIRECT(ADDRESS($A146,3,3,1,Menus!$K$10)),0,Menus!$J$3)</f>
        <v>0</v>
      </c>
      <c r="D146" s="73" t="e">
        <f ca="1">IF(Menus!$J$9,C146/B146,C146)</f>
        <v>#DIV/0!</v>
      </c>
      <c r="E146" s="74" t="e">
        <f t="shared" ca="1" si="6"/>
        <v>#N/A</v>
      </c>
      <c r="F146" s="75">
        <f ca="1">INDIRECT(ADDRESS($A146,1,3,1,Menus!$K$10))</f>
        <v>0</v>
      </c>
      <c r="G146" s="2" t="e">
        <f ca="1">IF(INDIRECT(ADDRESS($A146,2,3,1,Menus!$K$10))=G$1,$D146,#N/A)</f>
        <v>#N/A</v>
      </c>
      <c r="H146" s="2" t="e">
        <f ca="1">IF(INDIRECT(ADDRESS($A146,2,3,1,Menus!$K$10))=H$1,$D146,#N/A)</f>
        <v>#N/A</v>
      </c>
      <c r="I146" s="2" t="e">
        <f ca="1">IF(INDIRECT(ADDRESS($A146,2,3,1,Menus!$K$10))=I$1,$D146,#N/A)</f>
        <v>#N/A</v>
      </c>
      <c r="J146" s="2" t="e">
        <f ca="1">IF(INDIRECT(ADDRESS($A146,1,3,1,Menus!$K$10))=T(J$1),$D146,#N/A)</f>
        <v>#N/A</v>
      </c>
      <c r="K146" s="10">
        <f t="shared" ca="1" si="5"/>
        <v>0</v>
      </c>
      <c r="L146" s="2"/>
      <c r="M146" s="85">
        <f ca="1">OFFSET(INDIRECT(ADDRESS($A146,3,3,1,"Gross")),0,Menus!$J$4)</f>
        <v>0</v>
      </c>
      <c r="N146" s="85">
        <f ca="1">OFFSET(INDIRECT(ADDRESS($A146,3,3,1,"Gross")),0,Menus!$J$3)</f>
        <v>0</v>
      </c>
    </row>
    <row r="147" spans="1:14" x14ac:dyDescent="0.25">
      <c r="A147">
        <v>108</v>
      </c>
      <c r="B147" s="2">
        <f ca="1">OFFSET(INDIRECT(ADDRESS($A147,3,3,1,Menus!$K$10)),0,Menus!$J$4)</f>
        <v>0</v>
      </c>
      <c r="C147" s="2">
        <f ca="1">OFFSET(INDIRECT(ADDRESS($A147,3,3,1,Menus!$K$10)),0,Menus!$J$3)</f>
        <v>0</v>
      </c>
      <c r="D147" s="73" t="e">
        <f ca="1">IF(Menus!$J$9,C147/B147,C147)</f>
        <v>#DIV/0!</v>
      </c>
      <c r="E147" s="74" t="e">
        <f t="shared" ca="1" si="6"/>
        <v>#N/A</v>
      </c>
      <c r="F147" s="75">
        <f ca="1">INDIRECT(ADDRESS($A147,1,3,1,Menus!$K$10))</f>
        <v>0</v>
      </c>
      <c r="G147" s="2" t="e">
        <f ca="1">IF(INDIRECT(ADDRESS($A147,2,3,1,Menus!$K$10))=G$1,$D147,#N/A)</f>
        <v>#N/A</v>
      </c>
      <c r="H147" s="2" t="e">
        <f ca="1">IF(INDIRECT(ADDRESS($A147,2,3,1,Menus!$K$10))=H$1,$D147,#N/A)</f>
        <v>#N/A</v>
      </c>
      <c r="I147" s="2" t="e">
        <f ca="1">IF(INDIRECT(ADDRESS($A147,2,3,1,Menus!$K$10))=I$1,$D147,#N/A)</f>
        <v>#N/A</v>
      </c>
      <c r="J147" s="2" t="e">
        <f ca="1">IF(INDIRECT(ADDRESS($A147,1,3,1,Menus!$K$10))=T(J$1),$D147,#N/A)</f>
        <v>#N/A</v>
      </c>
      <c r="K147" s="10">
        <f t="shared" ca="1" si="5"/>
        <v>0</v>
      </c>
      <c r="L147" s="2"/>
      <c r="M147" s="85">
        <f ca="1">OFFSET(INDIRECT(ADDRESS($A147,3,3,1,"Gross")),0,Menus!$J$4)</f>
        <v>0</v>
      </c>
      <c r="N147" s="85">
        <f ca="1">OFFSET(INDIRECT(ADDRESS($A147,3,3,1,"Gross")),0,Menus!$J$3)</f>
        <v>0</v>
      </c>
    </row>
    <row r="148" spans="1:14" x14ac:dyDescent="0.25">
      <c r="A148">
        <v>173</v>
      </c>
      <c r="B148" s="2">
        <f ca="1">OFFSET(INDIRECT(ADDRESS($A148,3,3,1,Menus!$K$10)),0,Menus!$J$4)</f>
        <v>0</v>
      </c>
      <c r="C148" s="2">
        <f ca="1">OFFSET(INDIRECT(ADDRESS($A148,3,3,1,Menus!$K$10)),0,Menus!$J$3)</f>
        <v>0</v>
      </c>
      <c r="D148" s="73" t="e">
        <f ca="1">IF(Menus!$J$9,C148/B148,C148)</f>
        <v>#DIV/0!</v>
      </c>
      <c r="E148" s="74" t="e">
        <f t="shared" ca="1" si="6"/>
        <v>#N/A</v>
      </c>
      <c r="F148" s="75">
        <f ca="1">INDIRECT(ADDRESS($A148,1,3,1,Menus!$K$10))</f>
        <v>0</v>
      </c>
      <c r="G148" s="2" t="e">
        <f ca="1">IF(INDIRECT(ADDRESS($A148,2,3,1,Menus!$K$10))=G$1,$D148,#N/A)</f>
        <v>#N/A</v>
      </c>
      <c r="H148" s="2" t="e">
        <f ca="1">IF(INDIRECT(ADDRESS($A148,2,3,1,Menus!$K$10))=H$1,$D148,#N/A)</f>
        <v>#N/A</v>
      </c>
      <c r="I148" s="2" t="e">
        <f ca="1">IF(INDIRECT(ADDRESS($A148,2,3,1,Menus!$K$10))=I$1,$D148,#N/A)</f>
        <v>#N/A</v>
      </c>
      <c r="J148" s="2" t="e">
        <f ca="1">IF(INDIRECT(ADDRESS($A148,1,3,1,Menus!$K$10))=T(J$1),$D148,#N/A)</f>
        <v>#N/A</v>
      </c>
      <c r="K148" s="10">
        <f t="shared" ca="1" si="5"/>
        <v>0</v>
      </c>
      <c r="L148" s="2"/>
      <c r="M148" s="85">
        <f ca="1">OFFSET(INDIRECT(ADDRESS($A148,3,3,1,"Gross")),0,Menus!$J$4)</f>
        <v>0</v>
      </c>
      <c r="N148" s="85">
        <f ca="1">OFFSET(INDIRECT(ADDRESS($A148,3,3,1,"Gross")),0,Menus!$J$3)</f>
        <v>0</v>
      </c>
    </row>
    <row r="149" spans="1:14" x14ac:dyDescent="0.25">
      <c r="A149">
        <v>64</v>
      </c>
      <c r="B149" s="2">
        <f ca="1">OFFSET(INDIRECT(ADDRESS($A149,3,3,1,Menus!$K$10)),0,Menus!$J$4)</f>
        <v>0</v>
      </c>
      <c r="C149" s="2">
        <f ca="1">OFFSET(INDIRECT(ADDRESS($A149,3,3,1,Menus!$K$10)),0,Menus!$J$3)</f>
        <v>0</v>
      </c>
      <c r="D149" s="73" t="e">
        <f ca="1">IF(Menus!$J$9,C149/B149,C149)</f>
        <v>#DIV/0!</v>
      </c>
      <c r="E149" s="74" t="e">
        <f t="shared" ca="1" si="6"/>
        <v>#N/A</v>
      </c>
      <c r="F149" s="75">
        <f ca="1">INDIRECT(ADDRESS($A149,1,3,1,Menus!$K$10))</f>
        <v>0</v>
      </c>
      <c r="G149" s="2" t="e">
        <f ca="1">IF(INDIRECT(ADDRESS($A149,2,3,1,Menus!$K$10))=G$1,$D149,#N/A)</f>
        <v>#N/A</v>
      </c>
      <c r="H149" s="2" t="e">
        <f ca="1">IF(INDIRECT(ADDRESS($A149,2,3,1,Menus!$K$10))=H$1,$D149,#N/A)</f>
        <v>#N/A</v>
      </c>
      <c r="I149" s="2" t="e">
        <f ca="1">IF(INDIRECT(ADDRESS($A149,2,3,1,Menus!$K$10))=I$1,$D149,#N/A)</f>
        <v>#N/A</v>
      </c>
      <c r="J149" s="2" t="e">
        <f ca="1">IF(INDIRECT(ADDRESS($A149,1,3,1,Menus!$K$10))=T(J$1),$D149,#N/A)</f>
        <v>#N/A</v>
      </c>
      <c r="K149" s="10">
        <f t="shared" ca="1" si="5"/>
        <v>0</v>
      </c>
      <c r="L149" s="2"/>
      <c r="M149" s="85">
        <f ca="1">OFFSET(INDIRECT(ADDRESS($A149,3,3,1,"Gross")),0,Menus!$J$4)</f>
        <v>0</v>
      </c>
      <c r="N149" s="85">
        <f ca="1">OFFSET(INDIRECT(ADDRESS($A149,3,3,1,"Gross")),0,Menus!$J$3)</f>
        <v>0</v>
      </c>
    </row>
    <row r="150" spans="1:14" x14ac:dyDescent="0.25">
      <c r="A150">
        <v>121</v>
      </c>
      <c r="B150" s="2">
        <f ca="1">OFFSET(INDIRECT(ADDRESS($A150,3,3,1,Menus!$K$10)),0,Menus!$J$4)</f>
        <v>0</v>
      </c>
      <c r="C150" s="2">
        <f ca="1">OFFSET(INDIRECT(ADDRESS($A150,3,3,1,Menus!$K$10)),0,Menus!$J$3)</f>
        <v>0</v>
      </c>
      <c r="D150" s="73" t="e">
        <f ca="1">IF(Menus!$J$9,C150/B150,C150)</f>
        <v>#DIV/0!</v>
      </c>
      <c r="E150" s="74" t="e">
        <f t="shared" ca="1" si="6"/>
        <v>#N/A</v>
      </c>
      <c r="F150" s="75">
        <f ca="1">INDIRECT(ADDRESS($A150,1,3,1,Menus!$K$10))</f>
        <v>0</v>
      </c>
      <c r="G150" s="2" t="e">
        <f ca="1">IF(INDIRECT(ADDRESS($A150,2,3,1,Menus!$K$10))=G$1,$D150,#N/A)</f>
        <v>#N/A</v>
      </c>
      <c r="H150" s="2" t="e">
        <f ca="1">IF(INDIRECT(ADDRESS($A150,2,3,1,Menus!$K$10))=H$1,$D150,#N/A)</f>
        <v>#N/A</v>
      </c>
      <c r="I150" s="2" t="e">
        <f ca="1">IF(INDIRECT(ADDRESS($A150,2,3,1,Menus!$K$10))=I$1,$D150,#N/A)</f>
        <v>#N/A</v>
      </c>
      <c r="J150" s="2" t="e">
        <f ca="1">IF(INDIRECT(ADDRESS($A150,1,3,1,Menus!$K$10))=T(J$1),$D150,#N/A)</f>
        <v>#N/A</v>
      </c>
      <c r="K150" s="10">
        <f t="shared" ca="1" si="5"/>
        <v>0</v>
      </c>
      <c r="L150" s="2"/>
      <c r="M150" s="85">
        <f ca="1">OFFSET(INDIRECT(ADDRESS($A150,3,3,1,"Gross")),0,Menus!$J$4)</f>
        <v>0</v>
      </c>
      <c r="N150" s="85">
        <f ca="1">OFFSET(INDIRECT(ADDRESS($A150,3,3,1,"Gross")),0,Menus!$J$3)</f>
        <v>0</v>
      </c>
    </row>
    <row r="151" spans="1:14" x14ac:dyDescent="0.25">
      <c r="A151">
        <v>141</v>
      </c>
      <c r="B151" s="2">
        <f ca="1">OFFSET(INDIRECT(ADDRESS($A151,3,3,1,Menus!$K$10)),0,Menus!$J$4)</f>
        <v>0</v>
      </c>
      <c r="C151" s="2">
        <f ca="1">OFFSET(INDIRECT(ADDRESS($A151,3,3,1,Menus!$K$10)),0,Menus!$J$3)</f>
        <v>0</v>
      </c>
      <c r="D151" s="73" t="e">
        <f ca="1">IF(Menus!$J$9,C151/B151,C151)</f>
        <v>#DIV/0!</v>
      </c>
      <c r="E151" s="74" t="e">
        <f t="shared" ca="1" si="6"/>
        <v>#N/A</v>
      </c>
      <c r="F151" s="75">
        <f ca="1">INDIRECT(ADDRESS($A151,1,3,1,Menus!$K$10))</f>
        <v>0</v>
      </c>
      <c r="G151" s="2" t="e">
        <f ca="1">IF(INDIRECT(ADDRESS($A151,2,3,1,Menus!$K$10))=G$1,$D151,#N/A)</f>
        <v>#N/A</v>
      </c>
      <c r="H151" s="2" t="e">
        <f ca="1">IF(INDIRECT(ADDRESS($A151,2,3,1,Menus!$K$10))=H$1,$D151,#N/A)</f>
        <v>#N/A</v>
      </c>
      <c r="I151" s="2" t="e">
        <f ca="1">IF(INDIRECT(ADDRESS($A151,2,3,1,Menus!$K$10))=I$1,$D151,#N/A)</f>
        <v>#N/A</v>
      </c>
      <c r="J151" s="2" t="e">
        <f ca="1">IF(INDIRECT(ADDRESS($A151,1,3,1,Menus!$K$10))=T(J$1),$D151,#N/A)</f>
        <v>#N/A</v>
      </c>
      <c r="K151" s="10">
        <f t="shared" ca="1" si="5"/>
        <v>0</v>
      </c>
      <c r="L151" s="2"/>
      <c r="M151" s="85">
        <f ca="1">OFFSET(INDIRECT(ADDRESS($A151,3,3,1,"Gross")),0,Menus!$J$4)</f>
        <v>0</v>
      </c>
      <c r="N151" s="85">
        <f ca="1">OFFSET(INDIRECT(ADDRESS($A151,3,3,1,"Gross")),0,Menus!$J$3)</f>
        <v>0</v>
      </c>
    </row>
    <row r="152" spans="1:14" x14ac:dyDescent="0.25">
      <c r="A152">
        <v>114</v>
      </c>
      <c r="B152" s="2">
        <f ca="1">OFFSET(INDIRECT(ADDRESS($A152,3,3,1,Menus!$K$10)),0,Menus!$J$4)</f>
        <v>0</v>
      </c>
      <c r="C152" s="2">
        <f ca="1">OFFSET(INDIRECT(ADDRESS($A152,3,3,1,Menus!$K$10)),0,Menus!$J$3)</f>
        <v>0</v>
      </c>
      <c r="D152" s="73" t="e">
        <f ca="1">IF(Menus!$J$9,C152/B152,C152)</f>
        <v>#DIV/0!</v>
      </c>
      <c r="E152" s="74" t="e">
        <f t="shared" ca="1" si="6"/>
        <v>#N/A</v>
      </c>
      <c r="F152" s="75">
        <f ca="1">INDIRECT(ADDRESS($A152,1,3,1,Menus!$K$10))</f>
        <v>0</v>
      </c>
      <c r="G152" s="2" t="e">
        <f ca="1">IF(INDIRECT(ADDRESS($A152,2,3,1,Menus!$K$10))=G$1,$D152,#N/A)</f>
        <v>#N/A</v>
      </c>
      <c r="H152" s="2" t="e">
        <f ca="1">IF(INDIRECT(ADDRESS($A152,2,3,1,Menus!$K$10))=H$1,$D152,#N/A)</f>
        <v>#N/A</v>
      </c>
      <c r="I152" s="2" t="e">
        <f ca="1">IF(INDIRECT(ADDRESS($A152,2,3,1,Menus!$K$10))=I$1,$D152,#N/A)</f>
        <v>#N/A</v>
      </c>
      <c r="J152" s="2" t="e">
        <f ca="1">IF(INDIRECT(ADDRESS($A152,1,3,1,Menus!$K$10))=T(J$1),$D152,#N/A)</f>
        <v>#N/A</v>
      </c>
      <c r="K152" s="10">
        <f t="shared" ca="1" si="5"/>
        <v>0</v>
      </c>
      <c r="L152" s="2"/>
      <c r="M152" s="85">
        <f ca="1">OFFSET(INDIRECT(ADDRESS($A152,3,3,1,"Gross")),0,Menus!$J$4)</f>
        <v>0</v>
      </c>
      <c r="N152" s="85">
        <f ca="1">OFFSET(INDIRECT(ADDRESS($A152,3,3,1,"Gross")),0,Menus!$J$3)</f>
        <v>0</v>
      </c>
    </row>
    <row r="153" spans="1:14" x14ac:dyDescent="0.25">
      <c r="A153">
        <v>180</v>
      </c>
      <c r="B153" s="2">
        <f ca="1">OFFSET(INDIRECT(ADDRESS($A153,3,3,1,Menus!$K$10)),0,Menus!$J$4)</f>
        <v>0</v>
      </c>
      <c r="C153" s="2">
        <f ca="1">OFFSET(INDIRECT(ADDRESS($A153,3,3,1,Menus!$K$10)),0,Menus!$J$3)</f>
        <v>0</v>
      </c>
      <c r="D153" s="73" t="e">
        <f ca="1">IF(Menus!$J$9,C153/B153,C153)</f>
        <v>#DIV/0!</v>
      </c>
      <c r="E153" s="74" t="e">
        <f t="shared" ca="1" si="6"/>
        <v>#N/A</v>
      </c>
      <c r="F153" s="75">
        <f ca="1">INDIRECT(ADDRESS($A153,1,3,1,Menus!$K$10))</f>
        <v>0</v>
      </c>
      <c r="G153" s="2" t="e">
        <f ca="1">IF(INDIRECT(ADDRESS($A153,2,3,1,Menus!$K$10))=G$1,$D153,#N/A)</f>
        <v>#N/A</v>
      </c>
      <c r="H153" s="2" t="e">
        <f ca="1">IF(INDIRECT(ADDRESS($A153,2,3,1,Menus!$K$10))=H$1,$D153,#N/A)</f>
        <v>#N/A</v>
      </c>
      <c r="I153" s="2" t="e">
        <f ca="1">IF(INDIRECT(ADDRESS($A153,2,3,1,Menus!$K$10))=I$1,$D153,#N/A)</f>
        <v>#N/A</v>
      </c>
      <c r="J153" s="2" t="e">
        <f ca="1">IF(INDIRECT(ADDRESS($A153,1,3,1,Menus!$K$10))=T(J$1),$D153,#N/A)</f>
        <v>#N/A</v>
      </c>
      <c r="K153" s="10">
        <f t="shared" ca="1" si="5"/>
        <v>0</v>
      </c>
      <c r="L153" s="2"/>
      <c r="M153" s="85">
        <f ca="1">OFFSET(INDIRECT(ADDRESS($A153,3,3,1,"Gross")),0,Menus!$J$4)</f>
        <v>0</v>
      </c>
      <c r="N153" s="85">
        <f ca="1">OFFSET(INDIRECT(ADDRESS($A153,3,3,1,"Gross")),0,Menus!$J$3)</f>
        <v>0</v>
      </c>
    </row>
    <row r="154" spans="1:14" x14ac:dyDescent="0.25">
      <c r="A154">
        <v>60</v>
      </c>
      <c r="B154" s="2">
        <f ca="1">OFFSET(INDIRECT(ADDRESS($A154,3,3,1,Menus!$K$10)),0,Menus!$J$4)</f>
        <v>0</v>
      </c>
      <c r="C154" s="2">
        <f ca="1">OFFSET(INDIRECT(ADDRESS($A154,3,3,1,Menus!$K$10)),0,Menus!$J$3)</f>
        <v>0</v>
      </c>
      <c r="D154" s="73" t="e">
        <f ca="1">IF(Menus!$J$9,C154/B154,C154)</f>
        <v>#DIV/0!</v>
      </c>
      <c r="E154" s="74" t="e">
        <f t="shared" ca="1" si="6"/>
        <v>#N/A</v>
      </c>
      <c r="F154" s="75">
        <f ca="1">INDIRECT(ADDRESS($A154,1,3,1,Menus!$K$10))</f>
        <v>0</v>
      </c>
      <c r="G154" s="2" t="e">
        <f ca="1">IF(INDIRECT(ADDRESS($A154,2,3,1,Menus!$K$10))=G$1,$D154,#N/A)</f>
        <v>#N/A</v>
      </c>
      <c r="H154" s="2" t="e">
        <f ca="1">IF(INDIRECT(ADDRESS($A154,2,3,1,Menus!$K$10))=H$1,$D154,#N/A)</f>
        <v>#N/A</v>
      </c>
      <c r="I154" s="2" t="e">
        <f ca="1">IF(INDIRECT(ADDRESS($A154,2,3,1,Menus!$K$10))=I$1,$D154,#N/A)</f>
        <v>#N/A</v>
      </c>
      <c r="J154" s="2" t="e">
        <f ca="1">IF(INDIRECT(ADDRESS($A154,1,3,1,Menus!$K$10))=T(J$1),$D154,#N/A)</f>
        <v>#N/A</v>
      </c>
      <c r="K154" s="10">
        <f t="shared" ca="1" si="5"/>
        <v>0</v>
      </c>
      <c r="L154" s="2"/>
      <c r="M154" s="85">
        <f ca="1">OFFSET(INDIRECT(ADDRESS($A154,3,3,1,"Gross")),0,Menus!$J$4)</f>
        <v>0</v>
      </c>
      <c r="N154" s="85">
        <f ca="1">OFFSET(INDIRECT(ADDRESS($A154,3,3,1,"Gross")),0,Menus!$J$3)</f>
        <v>0</v>
      </c>
    </row>
    <row r="155" spans="1:14" x14ac:dyDescent="0.25">
      <c r="A155">
        <v>72</v>
      </c>
      <c r="B155" s="2">
        <f ca="1">OFFSET(INDIRECT(ADDRESS($A155,3,3,1,Menus!$K$10)),0,Menus!$J$4)</f>
        <v>0</v>
      </c>
      <c r="C155" s="2">
        <f ca="1">OFFSET(INDIRECT(ADDRESS($A155,3,3,1,Menus!$K$10)),0,Menus!$J$3)</f>
        <v>0</v>
      </c>
      <c r="D155" s="73" t="e">
        <f ca="1">IF(Menus!$J$9,C155/B155,C155)</f>
        <v>#DIV/0!</v>
      </c>
      <c r="E155" s="74" t="e">
        <f t="shared" ca="1" si="6"/>
        <v>#N/A</v>
      </c>
      <c r="F155" s="75">
        <f ca="1">INDIRECT(ADDRESS($A155,1,3,1,Menus!$K$10))</f>
        <v>0</v>
      </c>
      <c r="G155" s="2" t="e">
        <f ca="1">IF(INDIRECT(ADDRESS($A155,2,3,1,Menus!$K$10))=G$1,$D155,#N/A)</f>
        <v>#N/A</v>
      </c>
      <c r="H155" s="2" t="e">
        <f ca="1">IF(INDIRECT(ADDRESS($A155,2,3,1,Menus!$K$10))=H$1,$D155,#N/A)</f>
        <v>#N/A</v>
      </c>
      <c r="I155" s="2" t="e">
        <f ca="1">IF(INDIRECT(ADDRESS($A155,2,3,1,Menus!$K$10))=I$1,$D155,#N/A)</f>
        <v>#N/A</v>
      </c>
      <c r="J155" s="2" t="e">
        <f ca="1">IF(INDIRECT(ADDRESS($A155,1,3,1,Menus!$K$10))=T(J$1),$D155,#N/A)</f>
        <v>#N/A</v>
      </c>
      <c r="K155" s="10">
        <f t="shared" ca="1" si="5"/>
        <v>0</v>
      </c>
      <c r="L155" s="2"/>
      <c r="M155" s="85">
        <f ca="1">OFFSET(INDIRECT(ADDRESS($A155,3,3,1,"Gross")),0,Menus!$J$4)</f>
        <v>0</v>
      </c>
      <c r="N155" s="85">
        <f ca="1">OFFSET(INDIRECT(ADDRESS($A155,3,3,1,"Gross")),0,Menus!$J$3)</f>
        <v>0</v>
      </c>
    </row>
    <row r="156" spans="1:14" x14ac:dyDescent="0.25">
      <c r="A156">
        <v>198</v>
      </c>
      <c r="B156" s="2">
        <f ca="1">OFFSET(INDIRECT(ADDRESS($A156,3,3,1,Menus!$K$10)),0,Menus!$J$4)</f>
        <v>0</v>
      </c>
      <c r="C156" s="2">
        <f ca="1">OFFSET(INDIRECT(ADDRESS($A156,3,3,1,Menus!$K$10)),0,Menus!$J$3)</f>
        <v>0</v>
      </c>
      <c r="D156" s="73" t="e">
        <f ca="1">IF(Menus!$J$9,C156/B156,C156)</f>
        <v>#DIV/0!</v>
      </c>
      <c r="E156" s="74" t="e">
        <f t="shared" ca="1" si="6"/>
        <v>#N/A</v>
      </c>
      <c r="F156" s="75">
        <f ca="1">INDIRECT(ADDRESS($A156,1,3,1,Menus!$K$10))</f>
        <v>0</v>
      </c>
      <c r="G156" s="2" t="e">
        <f ca="1">IF(INDIRECT(ADDRESS($A156,2,3,1,Menus!$K$10))=G$1,$D156,#N/A)</f>
        <v>#N/A</v>
      </c>
      <c r="H156" s="2" t="e">
        <f ca="1">IF(INDIRECT(ADDRESS($A156,2,3,1,Menus!$K$10))=H$1,$D156,#N/A)</f>
        <v>#N/A</v>
      </c>
      <c r="I156" s="2" t="e">
        <f ca="1">IF(INDIRECT(ADDRESS($A156,2,3,1,Menus!$K$10))=I$1,$D156,#N/A)</f>
        <v>#N/A</v>
      </c>
      <c r="J156" s="2" t="e">
        <f ca="1">IF(INDIRECT(ADDRESS($A156,1,3,1,Menus!$K$10))=T(J$1),$D156,#N/A)</f>
        <v>#N/A</v>
      </c>
      <c r="K156" s="10">
        <f t="shared" ca="1" si="5"/>
        <v>0</v>
      </c>
      <c r="L156" s="2"/>
      <c r="M156" s="85">
        <f ca="1">OFFSET(INDIRECT(ADDRESS($A156,3,3,1,"Gross")),0,Menus!$J$4)</f>
        <v>0</v>
      </c>
      <c r="N156" s="85">
        <f ca="1">OFFSET(INDIRECT(ADDRESS($A156,3,3,1,"Gross")),0,Menus!$J$3)</f>
        <v>0</v>
      </c>
    </row>
    <row r="157" spans="1:14" x14ac:dyDescent="0.25">
      <c r="A157">
        <v>199</v>
      </c>
      <c r="B157" s="2">
        <f ca="1">OFFSET(INDIRECT(ADDRESS($A157,3,3,1,Menus!$K$10)),0,Menus!$J$4)</f>
        <v>0</v>
      </c>
      <c r="C157" s="2">
        <f ca="1">OFFSET(INDIRECT(ADDRESS($A157,3,3,1,Menus!$K$10)),0,Menus!$J$3)</f>
        <v>0</v>
      </c>
      <c r="D157" s="73" t="e">
        <f ca="1">IF(Menus!$J$9,C157/B157,C157)</f>
        <v>#DIV/0!</v>
      </c>
      <c r="E157" s="74" t="e">
        <f t="shared" ca="1" si="6"/>
        <v>#N/A</v>
      </c>
      <c r="F157" s="75">
        <f ca="1">INDIRECT(ADDRESS($A157,1,3,1,Menus!$K$10))</f>
        <v>0</v>
      </c>
      <c r="G157" s="2" t="e">
        <f ca="1">IF(INDIRECT(ADDRESS($A157,2,3,1,Menus!$K$10))=G$1,$D157,#N/A)</f>
        <v>#N/A</v>
      </c>
      <c r="H157" s="2" t="e">
        <f ca="1">IF(INDIRECT(ADDRESS($A157,2,3,1,Menus!$K$10))=H$1,$D157,#N/A)</f>
        <v>#N/A</v>
      </c>
      <c r="I157" s="2" t="e">
        <f ca="1">IF(INDIRECT(ADDRESS($A157,2,3,1,Menus!$K$10))=I$1,$D157,#N/A)</f>
        <v>#N/A</v>
      </c>
      <c r="J157" s="2" t="e">
        <f ca="1">IF(INDIRECT(ADDRESS($A157,1,3,1,Menus!$K$10))=T(J$1),$D157,#N/A)</f>
        <v>#N/A</v>
      </c>
      <c r="K157" s="10">
        <f t="shared" ca="1" si="5"/>
        <v>0</v>
      </c>
      <c r="L157" s="2"/>
      <c r="M157" s="85">
        <f ca="1">OFFSET(INDIRECT(ADDRESS($A157,3,3,1,"Gross")),0,Menus!$J$4)</f>
        <v>0</v>
      </c>
      <c r="N157" s="85">
        <f ca="1">OFFSET(INDIRECT(ADDRESS($A157,3,3,1,"Gross")),0,Menus!$J$3)</f>
        <v>0</v>
      </c>
    </row>
    <row r="158" spans="1:14" x14ac:dyDescent="0.25">
      <c r="A158">
        <v>200</v>
      </c>
      <c r="B158" s="2">
        <f ca="1">OFFSET(INDIRECT(ADDRESS($A158,3,3,1,Menus!$K$10)),0,Menus!$J$4)</f>
        <v>0</v>
      </c>
      <c r="C158" s="2">
        <f ca="1">OFFSET(INDIRECT(ADDRESS($A158,3,3,1,Menus!$K$10)),0,Menus!$J$3)</f>
        <v>0</v>
      </c>
      <c r="D158" s="73" t="e">
        <f ca="1">IF(Menus!$J$9,C158/B158,C158)</f>
        <v>#DIV/0!</v>
      </c>
      <c r="E158" s="74" t="e">
        <f t="shared" ca="1" si="6"/>
        <v>#N/A</v>
      </c>
      <c r="F158" s="75">
        <f ca="1">INDIRECT(ADDRESS($A158,1,3,1,Menus!$K$10))</f>
        <v>0</v>
      </c>
      <c r="G158" s="2" t="e">
        <f ca="1">IF(INDIRECT(ADDRESS($A158,2,3,1,Menus!$K$10))=G$1,$D158,#N/A)</f>
        <v>#N/A</v>
      </c>
      <c r="H158" s="2" t="e">
        <f ca="1">IF(INDIRECT(ADDRESS($A158,2,3,1,Menus!$K$10))=H$1,$D158,#N/A)</f>
        <v>#N/A</v>
      </c>
      <c r="I158" s="2" t="e">
        <f ca="1">IF(INDIRECT(ADDRESS($A158,2,3,1,Menus!$K$10))=I$1,$D158,#N/A)</f>
        <v>#N/A</v>
      </c>
      <c r="J158" s="2" t="e">
        <f ca="1">IF(INDIRECT(ADDRESS($A158,1,3,1,Menus!$K$10))=T(J$1),$D158,#N/A)</f>
        <v>#N/A</v>
      </c>
      <c r="K158" s="10">
        <f t="shared" ca="1" si="5"/>
        <v>0</v>
      </c>
      <c r="L158" s="2"/>
      <c r="M158" s="85">
        <f ca="1">OFFSET(INDIRECT(ADDRESS($A158,3,3,1,"Gross")),0,Menus!$J$4)</f>
        <v>0</v>
      </c>
      <c r="N158" s="85">
        <f ca="1">OFFSET(INDIRECT(ADDRESS($A158,3,3,1,"Gross")),0,Menus!$J$3)</f>
        <v>0</v>
      </c>
    </row>
    <row r="159" spans="1:14" x14ac:dyDescent="0.25">
      <c r="A159">
        <v>201</v>
      </c>
      <c r="B159" s="2">
        <f ca="1">OFFSET(INDIRECT(ADDRESS($A159,3,3,1,Menus!$K$10)),0,Menus!$J$4)</f>
        <v>0</v>
      </c>
      <c r="C159" s="2">
        <f ca="1">OFFSET(INDIRECT(ADDRESS($A159,3,3,1,Menus!$K$10)),0,Menus!$J$3)</f>
        <v>0</v>
      </c>
      <c r="D159" s="73" t="e">
        <f ca="1">IF(Menus!$J$9,C159/B159,C159)</f>
        <v>#DIV/0!</v>
      </c>
      <c r="E159" s="74" t="e">
        <f t="shared" ca="1" si="6"/>
        <v>#N/A</v>
      </c>
      <c r="F159" s="75">
        <f ca="1">INDIRECT(ADDRESS($A159,1,3,1,Menus!$K$10))</f>
        <v>0</v>
      </c>
      <c r="G159" s="2" t="e">
        <f ca="1">IF(INDIRECT(ADDRESS($A159,2,3,1,Menus!$K$10))=G$1,$D159,#N/A)</f>
        <v>#N/A</v>
      </c>
      <c r="H159" s="2" t="e">
        <f ca="1">IF(INDIRECT(ADDRESS($A159,2,3,1,Menus!$K$10))=H$1,$D159,#N/A)</f>
        <v>#N/A</v>
      </c>
      <c r="I159" s="2" t="e">
        <f ca="1">IF(INDIRECT(ADDRESS($A159,2,3,1,Menus!$K$10))=I$1,$D159,#N/A)</f>
        <v>#N/A</v>
      </c>
      <c r="J159" s="2" t="e">
        <f ca="1">IF(INDIRECT(ADDRESS($A159,1,3,1,Menus!$K$10))=T(J$1),$D159,#N/A)</f>
        <v>#N/A</v>
      </c>
      <c r="K159" s="10">
        <f t="shared" ca="1" si="5"/>
        <v>0</v>
      </c>
      <c r="L159" s="2"/>
      <c r="M159" s="85">
        <f ca="1">OFFSET(INDIRECT(ADDRESS($A159,3,3,1,"Gross")),0,Menus!$J$4)</f>
        <v>0</v>
      </c>
      <c r="N159" s="85">
        <f ca="1">OFFSET(INDIRECT(ADDRESS($A159,3,3,1,"Gross")),0,Menus!$J$3)</f>
        <v>0</v>
      </c>
    </row>
    <row r="160" spans="1:14" x14ac:dyDescent="0.25">
      <c r="A160">
        <v>202</v>
      </c>
      <c r="B160" s="2">
        <f ca="1">OFFSET(INDIRECT(ADDRESS($A160,3,3,1,Menus!$K$10)),0,Menus!$J$4)</f>
        <v>0</v>
      </c>
      <c r="C160" s="2">
        <f ca="1">OFFSET(INDIRECT(ADDRESS($A160,3,3,1,Menus!$K$10)),0,Menus!$J$3)</f>
        <v>0</v>
      </c>
      <c r="D160" s="73" t="e">
        <f ca="1">IF(Menus!$J$9,C160/B160,C160)</f>
        <v>#DIV/0!</v>
      </c>
      <c r="E160" s="74" t="e">
        <f t="shared" ca="1" si="6"/>
        <v>#N/A</v>
      </c>
      <c r="F160" s="75">
        <f ca="1">INDIRECT(ADDRESS($A160,1,3,1,Menus!$K$10))</f>
        <v>0</v>
      </c>
      <c r="G160" s="2" t="e">
        <f ca="1">IF(INDIRECT(ADDRESS($A160,2,3,1,Menus!$K$10))=G$1,$D160,#N/A)</f>
        <v>#N/A</v>
      </c>
      <c r="H160" s="2" t="e">
        <f ca="1">IF(INDIRECT(ADDRESS($A160,2,3,1,Menus!$K$10))=H$1,$D160,#N/A)</f>
        <v>#N/A</v>
      </c>
      <c r="I160" s="2" t="e">
        <f ca="1">IF(INDIRECT(ADDRESS($A160,2,3,1,Menus!$K$10))=I$1,$D160,#N/A)</f>
        <v>#N/A</v>
      </c>
      <c r="J160" s="2" t="e">
        <f ca="1">IF(INDIRECT(ADDRESS($A160,1,3,1,Menus!$K$10))=T(J$1),$D160,#N/A)</f>
        <v>#N/A</v>
      </c>
      <c r="K160" s="10">
        <f t="shared" ca="1" si="5"/>
        <v>0</v>
      </c>
      <c r="L160" s="2"/>
      <c r="M160" s="85">
        <f ca="1">OFFSET(INDIRECT(ADDRESS($A160,3,3,1,"Gross")),0,Menus!$J$4)</f>
        <v>0</v>
      </c>
      <c r="N160" s="85">
        <f ca="1">OFFSET(INDIRECT(ADDRESS($A160,3,3,1,"Gross")),0,Menus!$J$3)</f>
        <v>0</v>
      </c>
    </row>
    <row r="161" spans="1:14" x14ac:dyDescent="0.25">
      <c r="A161">
        <v>203</v>
      </c>
      <c r="B161" s="2">
        <f ca="1">OFFSET(INDIRECT(ADDRESS($A161,3,3,1,Menus!$K$10)),0,Menus!$J$4)</f>
        <v>0</v>
      </c>
      <c r="C161" s="2">
        <f ca="1">OFFSET(INDIRECT(ADDRESS($A161,3,3,1,Menus!$K$10)),0,Menus!$J$3)</f>
        <v>0</v>
      </c>
      <c r="D161" s="73" t="e">
        <f ca="1">IF(Menus!$J$9,C161/B161,C161)</f>
        <v>#DIV/0!</v>
      </c>
      <c r="E161" s="74" t="e">
        <f t="shared" ca="1" si="6"/>
        <v>#N/A</v>
      </c>
      <c r="F161" s="75">
        <f ca="1">INDIRECT(ADDRESS($A161,1,3,1,Menus!$K$10))</f>
        <v>0</v>
      </c>
      <c r="G161" s="2" t="e">
        <f ca="1">IF(INDIRECT(ADDRESS($A161,2,3,1,Menus!$K$10))=G$1,$D161,#N/A)</f>
        <v>#N/A</v>
      </c>
      <c r="H161" s="2" t="e">
        <f ca="1">IF(INDIRECT(ADDRESS($A161,2,3,1,Menus!$K$10))=H$1,$D161,#N/A)</f>
        <v>#N/A</v>
      </c>
      <c r="I161" s="2" t="e">
        <f ca="1">IF(INDIRECT(ADDRESS($A161,2,3,1,Menus!$K$10))=I$1,$D161,#N/A)</f>
        <v>#N/A</v>
      </c>
      <c r="J161" s="2" t="e">
        <f ca="1">IF(INDIRECT(ADDRESS($A161,1,3,1,Menus!$K$10))=T(J$1),$D161,#N/A)</f>
        <v>#N/A</v>
      </c>
      <c r="K161" s="10">
        <f t="shared" ca="1" si="5"/>
        <v>0</v>
      </c>
      <c r="L161" s="2"/>
      <c r="M161" s="85">
        <f ca="1">OFFSET(INDIRECT(ADDRESS($A161,3,3,1,"Gross")),0,Menus!$J$4)</f>
        <v>0</v>
      </c>
      <c r="N161" s="85">
        <f ca="1">OFFSET(INDIRECT(ADDRESS($A161,3,3,1,"Gross")),0,Menus!$J$3)</f>
        <v>0</v>
      </c>
    </row>
    <row r="162" spans="1:14" x14ac:dyDescent="0.25">
      <c r="A162">
        <v>204</v>
      </c>
      <c r="B162" s="2">
        <f ca="1">OFFSET(INDIRECT(ADDRESS($A162,3,3,1,Menus!$K$10)),0,Menus!$J$4)</f>
        <v>0</v>
      </c>
      <c r="C162" s="2">
        <f ca="1">OFFSET(INDIRECT(ADDRESS($A162,3,3,1,Menus!$K$10)),0,Menus!$J$3)</f>
        <v>0</v>
      </c>
      <c r="D162" s="73" t="e">
        <f ca="1">IF(Menus!$J$9,C162/B162,C162)</f>
        <v>#DIV/0!</v>
      </c>
      <c r="E162" s="74" t="e">
        <f t="shared" ca="1" si="6"/>
        <v>#N/A</v>
      </c>
      <c r="F162" s="75">
        <f ca="1">INDIRECT(ADDRESS($A162,1,3,1,Menus!$K$10))</f>
        <v>0</v>
      </c>
      <c r="G162" s="2" t="e">
        <f ca="1">IF(INDIRECT(ADDRESS($A162,2,3,1,Menus!$K$10))=G$1,$D162,#N/A)</f>
        <v>#N/A</v>
      </c>
      <c r="H162" s="2" t="e">
        <f ca="1">IF(INDIRECT(ADDRESS($A162,2,3,1,Menus!$K$10))=H$1,$D162,#N/A)</f>
        <v>#N/A</v>
      </c>
      <c r="I162" s="2" t="e">
        <f ca="1">IF(INDIRECT(ADDRESS($A162,2,3,1,Menus!$K$10))=I$1,$D162,#N/A)</f>
        <v>#N/A</v>
      </c>
      <c r="J162" s="2" t="e">
        <f ca="1">IF(INDIRECT(ADDRESS($A162,1,3,1,Menus!$K$10))=T(J$1),$D162,#N/A)</f>
        <v>#N/A</v>
      </c>
      <c r="K162" s="10">
        <f t="shared" ca="1" si="5"/>
        <v>0</v>
      </c>
      <c r="L162" s="2"/>
      <c r="M162" s="85">
        <f ca="1">OFFSET(INDIRECT(ADDRESS($A162,3,3,1,"Gross")),0,Menus!$J$4)</f>
        <v>0</v>
      </c>
      <c r="N162" s="85">
        <f ca="1">OFFSET(INDIRECT(ADDRESS($A162,3,3,1,"Gross")),0,Menus!$J$3)</f>
        <v>0</v>
      </c>
    </row>
    <row r="163" spans="1:14" x14ac:dyDescent="0.25">
      <c r="A163">
        <v>205</v>
      </c>
      <c r="B163" s="2">
        <f ca="1">OFFSET(INDIRECT(ADDRESS($A163,3,3,1,Menus!$K$10)),0,Menus!$J$4)</f>
        <v>0</v>
      </c>
      <c r="C163" s="2">
        <f ca="1">OFFSET(INDIRECT(ADDRESS($A163,3,3,1,Menus!$K$10)),0,Menus!$J$3)</f>
        <v>0</v>
      </c>
      <c r="D163" s="73" t="e">
        <f ca="1">IF(Menus!$J$9,C163/B163,C163)</f>
        <v>#DIV/0!</v>
      </c>
      <c r="E163" s="74" t="e">
        <f t="shared" ca="1" si="6"/>
        <v>#N/A</v>
      </c>
      <c r="F163" s="75">
        <f ca="1">INDIRECT(ADDRESS($A163,1,3,1,Menus!$K$10))</f>
        <v>0</v>
      </c>
      <c r="G163" s="2" t="e">
        <f ca="1">IF(INDIRECT(ADDRESS($A163,2,3,1,Menus!$K$10))=G$1,$D163,#N/A)</f>
        <v>#N/A</v>
      </c>
      <c r="H163" s="2" t="e">
        <f ca="1">IF(INDIRECT(ADDRESS($A163,2,3,1,Menus!$K$10))=H$1,$D163,#N/A)</f>
        <v>#N/A</v>
      </c>
      <c r="I163" s="2" t="e">
        <f ca="1">IF(INDIRECT(ADDRESS($A163,2,3,1,Menus!$K$10))=I$1,$D163,#N/A)</f>
        <v>#N/A</v>
      </c>
      <c r="J163" s="2" t="e">
        <f ca="1">IF(INDIRECT(ADDRESS($A163,1,3,1,Menus!$K$10))=T(J$1),$D163,#N/A)</f>
        <v>#N/A</v>
      </c>
      <c r="K163" s="10">
        <f t="shared" ca="1" si="5"/>
        <v>0</v>
      </c>
      <c r="L163" s="2"/>
      <c r="M163" s="85">
        <f ca="1">OFFSET(INDIRECT(ADDRESS($A163,3,3,1,"Gross")),0,Menus!$J$4)</f>
        <v>0</v>
      </c>
      <c r="N163" s="85">
        <f ca="1">OFFSET(INDIRECT(ADDRESS($A163,3,3,1,"Gross")),0,Menus!$J$3)</f>
        <v>0</v>
      </c>
    </row>
    <row r="164" spans="1:14" x14ac:dyDescent="0.25">
      <c r="A164">
        <v>206</v>
      </c>
      <c r="B164" s="2">
        <f ca="1">OFFSET(INDIRECT(ADDRESS($A164,3,3,1,Menus!$K$10)),0,Menus!$J$4)</f>
        <v>0</v>
      </c>
      <c r="C164" s="2">
        <f ca="1">OFFSET(INDIRECT(ADDRESS($A164,3,3,1,Menus!$K$10)),0,Menus!$J$3)</f>
        <v>0</v>
      </c>
      <c r="D164" s="73" t="e">
        <f ca="1">IF(Menus!$J$9,C164/B164,C164)</f>
        <v>#DIV/0!</v>
      </c>
      <c r="E164" s="74" t="e">
        <f t="shared" ca="1" si="6"/>
        <v>#N/A</v>
      </c>
      <c r="F164" s="75">
        <f ca="1">INDIRECT(ADDRESS($A164,1,3,1,Menus!$K$10))</f>
        <v>0</v>
      </c>
      <c r="G164" s="2" t="e">
        <f ca="1">IF(INDIRECT(ADDRESS($A164,2,3,1,Menus!$K$10))=G$1,$D164,#N/A)</f>
        <v>#N/A</v>
      </c>
      <c r="H164" s="2" t="e">
        <f ca="1">IF(INDIRECT(ADDRESS($A164,2,3,1,Menus!$K$10))=H$1,$D164,#N/A)</f>
        <v>#N/A</v>
      </c>
      <c r="I164" s="2" t="e">
        <f ca="1">IF(INDIRECT(ADDRESS($A164,2,3,1,Menus!$K$10))=I$1,$D164,#N/A)</f>
        <v>#N/A</v>
      </c>
      <c r="J164" s="2" t="e">
        <f ca="1">IF(INDIRECT(ADDRESS($A164,1,3,1,Menus!$K$10))=T(J$1),$D164,#N/A)</f>
        <v>#N/A</v>
      </c>
      <c r="K164" s="10">
        <f t="shared" ca="1" si="5"/>
        <v>0</v>
      </c>
      <c r="L164" s="2"/>
      <c r="M164" s="85">
        <f ca="1">OFFSET(INDIRECT(ADDRESS($A164,3,3,1,"Gross")),0,Menus!$J$4)</f>
        <v>0</v>
      </c>
      <c r="N164" s="85">
        <f ca="1">OFFSET(INDIRECT(ADDRESS($A164,3,3,1,"Gross")),0,Menus!$J$3)</f>
        <v>0</v>
      </c>
    </row>
    <row r="165" spans="1:14" x14ac:dyDescent="0.25">
      <c r="A165">
        <v>207</v>
      </c>
      <c r="B165" s="2">
        <f ca="1">OFFSET(INDIRECT(ADDRESS($A165,3,3,1,Menus!$K$10)),0,Menus!$J$4)</f>
        <v>0</v>
      </c>
      <c r="C165" s="2">
        <f ca="1">OFFSET(INDIRECT(ADDRESS($A165,3,3,1,Menus!$K$10)),0,Menus!$J$3)</f>
        <v>0</v>
      </c>
      <c r="D165" s="73" t="e">
        <f ca="1">IF(Menus!$J$9,C165/B165,C165)</f>
        <v>#DIV/0!</v>
      </c>
      <c r="E165" s="74" t="e">
        <f t="shared" ca="1" si="6"/>
        <v>#N/A</v>
      </c>
      <c r="F165" s="75">
        <f ca="1">INDIRECT(ADDRESS($A165,1,3,1,Menus!$K$10))</f>
        <v>0</v>
      </c>
      <c r="G165" s="2" t="e">
        <f ca="1">IF(INDIRECT(ADDRESS($A165,2,3,1,Menus!$K$10))=G$1,$D165,#N/A)</f>
        <v>#N/A</v>
      </c>
      <c r="H165" s="2" t="e">
        <f ca="1">IF(INDIRECT(ADDRESS($A165,2,3,1,Menus!$K$10))=H$1,$D165,#N/A)</f>
        <v>#N/A</v>
      </c>
      <c r="I165" s="2" t="e">
        <f ca="1">IF(INDIRECT(ADDRESS($A165,2,3,1,Menus!$K$10))=I$1,$D165,#N/A)</f>
        <v>#N/A</v>
      </c>
      <c r="J165" s="2" t="e">
        <f ca="1">IF(INDIRECT(ADDRESS($A165,1,3,1,Menus!$K$10))=T(J$1),$D165,#N/A)</f>
        <v>#N/A</v>
      </c>
      <c r="K165" s="10">
        <f t="shared" ca="1" si="5"/>
        <v>0</v>
      </c>
      <c r="L165" s="2"/>
      <c r="M165" s="85">
        <f ca="1">OFFSET(INDIRECT(ADDRESS($A165,3,3,1,"Gross")),0,Menus!$J$4)</f>
        <v>0</v>
      </c>
      <c r="N165" s="85">
        <f ca="1">OFFSET(INDIRECT(ADDRESS($A165,3,3,1,"Gross")),0,Menus!$J$3)</f>
        <v>0</v>
      </c>
    </row>
    <row r="166" spans="1:14" x14ac:dyDescent="0.25">
      <c r="A166">
        <v>208</v>
      </c>
      <c r="B166" s="2">
        <f ca="1">OFFSET(INDIRECT(ADDRESS($A166,3,3,1,Menus!$K$10)),0,Menus!$J$4)</f>
        <v>0</v>
      </c>
      <c r="C166" s="2">
        <f ca="1">OFFSET(INDIRECT(ADDRESS($A166,3,3,1,Menus!$K$10)),0,Menus!$J$3)</f>
        <v>0</v>
      </c>
      <c r="D166" s="73" t="e">
        <f ca="1">IF(Menus!$J$9,C166/B166,C166)</f>
        <v>#DIV/0!</v>
      </c>
      <c r="E166" s="74" t="e">
        <f t="shared" ca="1" si="6"/>
        <v>#N/A</v>
      </c>
      <c r="F166" s="75">
        <f ca="1">INDIRECT(ADDRESS($A166,1,3,1,Menus!$K$10))</f>
        <v>0</v>
      </c>
      <c r="G166" s="2" t="e">
        <f ca="1">IF(INDIRECT(ADDRESS($A166,2,3,1,Menus!$K$10))=G$1,$D166,#N/A)</f>
        <v>#N/A</v>
      </c>
      <c r="H166" s="2" t="e">
        <f ca="1">IF(INDIRECT(ADDRESS($A166,2,3,1,Menus!$K$10))=H$1,$D166,#N/A)</f>
        <v>#N/A</v>
      </c>
      <c r="I166" s="2" t="e">
        <f ca="1">IF(INDIRECT(ADDRESS($A166,2,3,1,Menus!$K$10))=I$1,$D166,#N/A)</f>
        <v>#N/A</v>
      </c>
      <c r="J166" s="2" t="e">
        <f ca="1">IF(INDIRECT(ADDRESS($A166,1,3,1,Menus!$K$10))=T(J$1),$D166,#N/A)</f>
        <v>#N/A</v>
      </c>
      <c r="K166" s="10">
        <f t="shared" ca="1" si="5"/>
        <v>0</v>
      </c>
      <c r="L166" s="2"/>
      <c r="M166" s="85">
        <f ca="1">OFFSET(INDIRECT(ADDRESS($A166,3,3,1,"Gross")),0,Menus!$J$4)</f>
        <v>0</v>
      </c>
      <c r="N166" s="85">
        <f ca="1">OFFSET(INDIRECT(ADDRESS($A166,3,3,1,"Gross")),0,Menus!$J$3)</f>
        <v>0</v>
      </c>
    </row>
    <row r="167" spans="1:14" x14ac:dyDescent="0.25">
      <c r="A167">
        <v>209</v>
      </c>
      <c r="B167" s="2">
        <f ca="1">OFFSET(INDIRECT(ADDRESS($A167,3,3,1,Menus!$K$10)),0,Menus!$J$4)</f>
        <v>0</v>
      </c>
      <c r="C167" s="2">
        <f ca="1">OFFSET(INDIRECT(ADDRESS($A167,3,3,1,Menus!$K$10)),0,Menus!$J$3)</f>
        <v>0</v>
      </c>
      <c r="D167" s="73" t="e">
        <f ca="1">IF(Menus!$J$9,C167/B167,C167)</f>
        <v>#DIV/0!</v>
      </c>
      <c r="E167" s="74" t="e">
        <f t="shared" ca="1" si="6"/>
        <v>#N/A</v>
      </c>
      <c r="F167" s="75">
        <f ca="1">INDIRECT(ADDRESS($A167,1,3,1,Menus!$K$10))</f>
        <v>0</v>
      </c>
      <c r="G167" s="2" t="e">
        <f ca="1">IF(INDIRECT(ADDRESS($A167,2,3,1,Menus!$K$10))=G$1,$D167,#N/A)</f>
        <v>#N/A</v>
      </c>
      <c r="H167" s="2" t="e">
        <f ca="1">IF(INDIRECT(ADDRESS($A167,2,3,1,Menus!$K$10))=H$1,$D167,#N/A)</f>
        <v>#N/A</v>
      </c>
      <c r="I167" s="2" t="e">
        <f ca="1">IF(INDIRECT(ADDRESS($A167,2,3,1,Menus!$K$10))=I$1,$D167,#N/A)</f>
        <v>#N/A</v>
      </c>
      <c r="J167" s="2" t="e">
        <f ca="1">IF(INDIRECT(ADDRESS($A167,1,3,1,Menus!$K$10))=T(J$1),$D167,#N/A)</f>
        <v>#N/A</v>
      </c>
      <c r="K167" s="10">
        <f t="shared" ca="1" si="5"/>
        <v>0</v>
      </c>
      <c r="L167" s="2"/>
      <c r="M167" s="85">
        <f ca="1">OFFSET(INDIRECT(ADDRESS($A167,3,3,1,"Gross")),0,Menus!$J$4)</f>
        <v>0</v>
      </c>
      <c r="N167" s="85">
        <f ca="1">OFFSET(INDIRECT(ADDRESS($A167,3,3,1,"Gross")),0,Menus!$J$3)</f>
        <v>0</v>
      </c>
    </row>
    <row r="168" spans="1:14" x14ac:dyDescent="0.25">
      <c r="A168">
        <v>210</v>
      </c>
      <c r="B168" s="2">
        <f ca="1">OFFSET(INDIRECT(ADDRESS($A168,3,3,1,Menus!$K$10)),0,Menus!$J$4)</f>
        <v>0</v>
      </c>
      <c r="C168" s="2">
        <f ca="1">OFFSET(INDIRECT(ADDRESS($A168,3,3,1,Menus!$K$10)),0,Menus!$J$3)</f>
        <v>0</v>
      </c>
      <c r="D168" s="73" t="e">
        <f ca="1">IF(Menus!$J$9,C168/B168,C168)</f>
        <v>#DIV/0!</v>
      </c>
      <c r="E168" s="74" t="e">
        <f t="shared" ca="1" si="6"/>
        <v>#N/A</v>
      </c>
      <c r="F168" s="75">
        <f ca="1">INDIRECT(ADDRESS($A168,1,3,1,Menus!$K$10))</f>
        <v>0</v>
      </c>
      <c r="G168" s="2" t="e">
        <f ca="1">IF(INDIRECT(ADDRESS($A168,2,3,1,Menus!$K$10))=G$1,$D168,#N/A)</f>
        <v>#N/A</v>
      </c>
      <c r="H168" s="2" t="e">
        <f ca="1">IF(INDIRECT(ADDRESS($A168,2,3,1,Menus!$K$10))=H$1,$D168,#N/A)</f>
        <v>#N/A</v>
      </c>
      <c r="I168" s="2" t="e">
        <f ca="1">IF(INDIRECT(ADDRESS($A168,2,3,1,Menus!$K$10))=I$1,$D168,#N/A)</f>
        <v>#N/A</v>
      </c>
      <c r="J168" s="2" t="e">
        <f ca="1">IF(INDIRECT(ADDRESS($A168,1,3,1,Menus!$K$10))=T(J$1),$D168,#N/A)</f>
        <v>#N/A</v>
      </c>
      <c r="K168" s="10">
        <f t="shared" ca="1" si="5"/>
        <v>0</v>
      </c>
      <c r="L168" s="2"/>
      <c r="M168" s="85">
        <f ca="1">OFFSET(INDIRECT(ADDRESS($A168,3,3,1,"Gross")),0,Menus!$J$4)</f>
        <v>0</v>
      </c>
      <c r="N168" s="85">
        <f ca="1">OFFSET(INDIRECT(ADDRESS($A168,3,3,1,"Gross")),0,Menus!$J$3)</f>
        <v>0</v>
      </c>
    </row>
    <row r="169" spans="1:14" x14ac:dyDescent="0.25">
      <c r="A169">
        <v>211</v>
      </c>
      <c r="B169" s="2">
        <f ca="1">OFFSET(INDIRECT(ADDRESS($A169,3,3,1,Menus!$K$10)),0,Menus!$J$4)</f>
        <v>0</v>
      </c>
      <c r="C169" s="2">
        <f ca="1">OFFSET(INDIRECT(ADDRESS($A169,3,3,1,Menus!$K$10)),0,Menus!$J$3)</f>
        <v>0</v>
      </c>
      <c r="D169" s="73" t="e">
        <f ca="1">IF(Menus!$J$9,C169/B169,C169)</f>
        <v>#DIV/0!</v>
      </c>
      <c r="E169" s="74" t="e">
        <f t="shared" ca="1" si="6"/>
        <v>#N/A</v>
      </c>
      <c r="F169" s="75">
        <f ca="1">INDIRECT(ADDRESS($A169,1,3,1,Menus!$K$10))</f>
        <v>0</v>
      </c>
      <c r="G169" s="2" t="e">
        <f ca="1">IF(INDIRECT(ADDRESS($A169,2,3,1,Menus!$K$10))=G$1,$D169,#N/A)</f>
        <v>#N/A</v>
      </c>
      <c r="H169" s="2" t="e">
        <f ca="1">IF(INDIRECT(ADDRESS($A169,2,3,1,Menus!$K$10))=H$1,$D169,#N/A)</f>
        <v>#N/A</v>
      </c>
      <c r="I169" s="2" t="e">
        <f ca="1">IF(INDIRECT(ADDRESS($A169,2,3,1,Menus!$K$10))=I$1,$D169,#N/A)</f>
        <v>#N/A</v>
      </c>
      <c r="J169" s="2" t="e">
        <f ca="1">IF(INDIRECT(ADDRESS($A169,1,3,1,Menus!$K$10))=T(J$1),$D169,#N/A)</f>
        <v>#N/A</v>
      </c>
      <c r="K169" s="10">
        <f t="shared" ca="1" si="5"/>
        <v>0</v>
      </c>
      <c r="L169" s="2"/>
      <c r="M169" s="85">
        <f ca="1">OFFSET(INDIRECT(ADDRESS($A169,3,3,1,"Gross")),0,Menus!$J$4)</f>
        <v>0</v>
      </c>
      <c r="N169" s="85">
        <f ca="1">OFFSET(INDIRECT(ADDRESS($A169,3,3,1,"Gross")),0,Menus!$J$3)</f>
        <v>0</v>
      </c>
    </row>
    <row r="170" spans="1:14" x14ac:dyDescent="0.25">
      <c r="A170">
        <v>212</v>
      </c>
      <c r="B170" s="2">
        <f ca="1">OFFSET(INDIRECT(ADDRESS($A170,3,3,1,Menus!$K$10)),0,Menus!$J$4)</f>
        <v>0</v>
      </c>
      <c r="C170" s="2">
        <f ca="1">OFFSET(INDIRECT(ADDRESS($A170,3,3,1,Menus!$K$10)),0,Menus!$J$3)</f>
        <v>0</v>
      </c>
      <c r="D170" s="73" t="e">
        <f ca="1">IF(Menus!$J$9,C170/B170,C170)</f>
        <v>#DIV/0!</v>
      </c>
      <c r="E170" s="74" t="e">
        <f t="shared" ca="1" si="6"/>
        <v>#N/A</v>
      </c>
      <c r="F170" s="75">
        <f ca="1">INDIRECT(ADDRESS($A170,1,3,1,Menus!$K$10))</f>
        <v>0</v>
      </c>
      <c r="G170" s="2" t="e">
        <f ca="1">IF(INDIRECT(ADDRESS($A170,2,3,1,Menus!$K$10))=G$1,$D170,#N/A)</f>
        <v>#N/A</v>
      </c>
      <c r="H170" s="2" t="e">
        <f ca="1">IF(INDIRECT(ADDRESS($A170,2,3,1,Menus!$K$10))=H$1,$D170,#N/A)</f>
        <v>#N/A</v>
      </c>
      <c r="I170" s="2" t="e">
        <f ca="1">IF(INDIRECT(ADDRESS($A170,2,3,1,Menus!$K$10))=I$1,$D170,#N/A)</f>
        <v>#N/A</v>
      </c>
      <c r="J170" s="2" t="e">
        <f ca="1">IF(INDIRECT(ADDRESS($A170,1,3,1,Menus!$K$10))=T(J$1),$D170,#N/A)</f>
        <v>#N/A</v>
      </c>
      <c r="K170" s="10">
        <f t="shared" ca="1" si="5"/>
        <v>0</v>
      </c>
      <c r="L170" s="2"/>
      <c r="M170" s="85">
        <f ca="1">OFFSET(INDIRECT(ADDRESS($A170,3,3,1,"Gross")),0,Menus!$J$4)</f>
        <v>0</v>
      </c>
      <c r="N170" s="85">
        <f ca="1">OFFSET(INDIRECT(ADDRESS($A170,3,3,1,"Gross")),0,Menus!$J$3)</f>
        <v>0</v>
      </c>
    </row>
    <row r="171" spans="1:14" x14ac:dyDescent="0.25">
      <c r="A171">
        <v>213</v>
      </c>
      <c r="B171" s="2">
        <f ca="1">OFFSET(INDIRECT(ADDRESS($A171,3,3,1,Menus!$K$10)),0,Menus!$J$4)</f>
        <v>0</v>
      </c>
      <c r="C171" s="2">
        <f ca="1">OFFSET(INDIRECT(ADDRESS($A171,3,3,1,Menus!$K$10)),0,Menus!$J$3)</f>
        <v>0</v>
      </c>
      <c r="D171" s="73" t="e">
        <f ca="1">IF(Menus!$J$9,C171/B171,C171)</f>
        <v>#DIV/0!</v>
      </c>
      <c r="E171" s="74" t="e">
        <f t="shared" ca="1" si="6"/>
        <v>#N/A</v>
      </c>
      <c r="F171" s="75">
        <f ca="1">INDIRECT(ADDRESS($A171,1,3,1,Menus!$K$10))</f>
        <v>0</v>
      </c>
      <c r="G171" s="2" t="e">
        <f ca="1">IF(INDIRECT(ADDRESS($A171,2,3,1,Menus!$K$10))=G$1,$D171,#N/A)</f>
        <v>#N/A</v>
      </c>
      <c r="H171" s="2" t="e">
        <f ca="1">IF(INDIRECT(ADDRESS($A171,2,3,1,Menus!$K$10))=H$1,$D171,#N/A)</f>
        <v>#N/A</v>
      </c>
      <c r="I171" s="2" t="e">
        <f ca="1">IF(INDIRECT(ADDRESS($A171,2,3,1,Menus!$K$10))=I$1,$D171,#N/A)</f>
        <v>#N/A</v>
      </c>
      <c r="J171" s="2" t="e">
        <f ca="1">IF(INDIRECT(ADDRESS($A171,1,3,1,Menus!$K$10))=T(J$1),$D171,#N/A)</f>
        <v>#N/A</v>
      </c>
      <c r="K171" s="10">
        <f t="shared" ca="1" si="5"/>
        <v>0</v>
      </c>
      <c r="L171" s="2"/>
      <c r="M171" s="85">
        <f ca="1">OFFSET(INDIRECT(ADDRESS($A171,3,3,1,"Gross")),0,Menus!$J$4)</f>
        <v>0</v>
      </c>
      <c r="N171" s="85">
        <f ca="1">OFFSET(INDIRECT(ADDRESS($A171,3,3,1,"Gross")),0,Menus!$J$3)</f>
        <v>0</v>
      </c>
    </row>
    <row r="172" spans="1:14" x14ac:dyDescent="0.25">
      <c r="A172">
        <v>214</v>
      </c>
      <c r="B172" s="2">
        <f ca="1">OFFSET(INDIRECT(ADDRESS($A172,3,3,1,Menus!$K$10)),0,Menus!$J$4)</f>
        <v>0</v>
      </c>
      <c r="C172" s="2">
        <f ca="1">OFFSET(INDIRECT(ADDRESS($A172,3,3,1,Menus!$K$10)),0,Menus!$J$3)</f>
        <v>0</v>
      </c>
      <c r="D172" s="73" t="e">
        <f ca="1">IF(Menus!$J$9,C172/B172,C172)</f>
        <v>#DIV/0!</v>
      </c>
      <c r="E172" s="74" t="e">
        <f t="shared" ca="1" si="6"/>
        <v>#N/A</v>
      </c>
      <c r="F172" s="75">
        <f ca="1">INDIRECT(ADDRESS($A172,1,3,1,Menus!$K$10))</f>
        <v>0</v>
      </c>
      <c r="G172" s="2" t="e">
        <f ca="1">IF(INDIRECT(ADDRESS($A172,2,3,1,Menus!$K$10))=G$1,$D172,#N/A)</f>
        <v>#N/A</v>
      </c>
      <c r="H172" s="2" t="e">
        <f ca="1">IF(INDIRECT(ADDRESS($A172,2,3,1,Menus!$K$10))=H$1,$D172,#N/A)</f>
        <v>#N/A</v>
      </c>
      <c r="I172" s="2" t="e">
        <f ca="1">IF(INDIRECT(ADDRESS($A172,2,3,1,Menus!$K$10))=I$1,$D172,#N/A)</f>
        <v>#N/A</v>
      </c>
      <c r="J172" s="2" t="e">
        <f ca="1">IF(INDIRECT(ADDRESS($A172,1,3,1,Menus!$K$10))=T(J$1),$D172,#N/A)</f>
        <v>#N/A</v>
      </c>
      <c r="K172" s="10">
        <f t="shared" ca="1" si="5"/>
        <v>0</v>
      </c>
      <c r="L172" s="2"/>
      <c r="M172" s="85">
        <f ca="1">OFFSET(INDIRECT(ADDRESS($A172,3,3,1,"Gross")),0,Menus!$J$4)</f>
        <v>0</v>
      </c>
      <c r="N172" s="85">
        <f ca="1">OFFSET(INDIRECT(ADDRESS($A172,3,3,1,"Gross")),0,Menus!$J$3)</f>
        <v>0</v>
      </c>
    </row>
    <row r="173" spans="1:14" x14ac:dyDescent="0.25">
      <c r="A173">
        <v>215</v>
      </c>
      <c r="B173" s="2">
        <f ca="1">OFFSET(INDIRECT(ADDRESS($A173,3,3,1,Menus!$K$10)),0,Menus!$J$4)</f>
        <v>0</v>
      </c>
      <c r="C173" s="2">
        <f ca="1">OFFSET(INDIRECT(ADDRESS($A173,3,3,1,Menus!$K$10)),0,Menus!$J$3)</f>
        <v>0</v>
      </c>
      <c r="D173" s="73" t="e">
        <f ca="1">IF(Menus!$J$9,C173/B173,C173)</f>
        <v>#DIV/0!</v>
      </c>
      <c r="E173" s="74" t="e">
        <f t="shared" ca="1" si="6"/>
        <v>#N/A</v>
      </c>
      <c r="F173" s="75">
        <f ca="1">INDIRECT(ADDRESS($A173,1,3,1,Menus!$K$10))</f>
        <v>0</v>
      </c>
      <c r="G173" s="2" t="e">
        <f ca="1">IF(INDIRECT(ADDRESS($A173,2,3,1,Menus!$K$10))=G$1,$D173,#N/A)</f>
        <v>#N/A</v>
      </c>
      <c r="H173" s="2" t="e">
        <f ca="1">IF(INDIRECT(ADDRESS($A173,2,3,1,Menus!$K$10))=H$1,$D173,#N/A)</f>
        <v>#N/A</v>
      </c>
      <c r="I173" s="2" t="e">
        <f ca="1">IF(INDIRECT(ADDRESS($A173,2,3,1,Menus!$K$10))=I$1,$D173,#N/A)</f>
        <v>#N/A</v>
      </c>
      <c r="J173" s="2" t="e">
        <f ca="1">IF(INDIRECT(ADDRESS($A173,1,3,1,Menus!$K$10))=T(J$1),$D173,#N/A)</f>
        <v>#N/A</v>
      </c>
      <c r="K173" s="10">
        <f t="shared" ca="1" si="5"/>
        <v>0</v>
      </c>
      <c r="L173" s="2"/>
      <c r="M173" s="85">
        <f ca="1">OFFSET(INDIRECT(ADDRESS($A173,3,3,1,"Gross")),0,Menus!$J$4)</f>
        <v>0</v>
      </c>
      <c r="N173" s="85">
        <f ca="1">OFFSET(INDIRECT(ADDRESS($A173,3,3,1,"Gross")),0,Menus!$J$3)</f>
        <v>0</v>
      </c>
    </row>
    <row r="174" spans="1:14" x14ac:dyDescent="0.25">
      <c r="A174">
        <v>216</v>
      </c>
      <c r="B174" s="2">
        <f ca="1">OFFSET(INDIRECT(ADDRESS($A174,3,3,1,Menus!$K$10)),0,Menus!$J$4)</f>
        <v>0</v>
      </c>
      <c r="C174" s="2">
        <f ca="1">OFFSET(INDIRECT(ADDRESS($A174,3,3,1,Menus!$K$10)),0,Menus!$J$3)</f>
        <v>0</v>
      </c>
      <c r="D174" s="73" t="e">
        <f ca="1">IF(Menus!$J$9,C174/B174,C174)</f>
        <v>#DIV/0!</v>
      </c>
      <c r="E174" s="74" t="e">
        <f t="shared" ca="1" si="6"/>
        <v>#N/A</v>
      </c>
      <c r="F174" s="75">
        <f ca="1">INDIRECT(ADDRESS($A174,1,3,1,Menus!$K$10))</f>
        <v>0</v>
      </c>
      <c r="G174" s="2" t="e">
        <f ca="1">IF(INDIRECT(ADDRESS($A174,2,3,1,Menus!$K$10))=G$1,$D174,#N/A)</f>
        <v>#N/A</v>
      </c>
      <c r="H174" s="2" t="e">
        <f ca="1">IF(INDIRECT(ADDRESS($A174,2,3,1,Menus!$K$10))=H$1,$D174,#N/A)</f>
        <v>#N/A</v>
      </c>
      <c r="I174" s="2" t="e">
        <f ca="1">IF(INDIRECT(ADDRESS($A174,2,3,1,Menus!$K$10))=I$1,$D174,#N/A)</f>
        <v>#N/A</v>
      </c>
      <c r="J174" s="2" t="e">
        <f ca="1">IF(INDIRECT(ADDRESS($A174,1,3,1,Menus!$K$10))=T(J$1),$D174,#N/A)</f>
        <v>#N/A</v>
      </c>
      <c r="K174" s="10">
        <f t="shared" ca="1" si="5"/>
        <v>0</v>
      </c>
      <c r="L174" s="2"/>
      <c r="M174" s="85">
        <f ca="1">OFFSET(INDIRECT(ADDRESS($A174,3,3,1,"Gross")),0,Menus!$J$4)</f>
        <v>0</v>
      </c>
      <c r="N174" s="85">
        <f ca="1">OFFSET(INDIRECT(ADDRESS($A174,3,3,1,"Gross")),0,Menus!$J$3)</f>
        <v>0</v>
      </c>
    </row>
    <row r="175" spans="1:14" x14ac:dyDescent="0.25">
      <c r="A175">
        <v>217</v>
      </c>
      <c r="B175" s="2">
        <f ca="1">OFFSET(INDIRECT(ADDRESS($A175,3,3,1,Menus!$K$10)),0,Menus!$J$4)</f>
        <v>0</v>
      </c>
      <c r="C175" s="2">
        <f ca="1">OFFSET(INDIRECT(ADDRESS($A175,3,3,1,Menus!$K$10)),0,Menus!$J$3)</f>
        <v>0</v>
      </c>
      <c r="D175" s="73" t="e">
        <f ca="1">IF(Menus!$J$9,C175/B175,C175)</f>
        <v>#DIV/0!</v>
      </c>
      <c r="E175" s="74" t="e">
        <f t="shared" ca="1" si="6"/>
        <v>#N/A</v>
      </c>
      <c r="F175" s="75">
        <f ca="1">INDIRECT(ADDRESS($A175,1,3,1,Menus!$K$10))</f>
        <v>0</v>
      </c>
      <c r="G175" s="2" t="e">
        <f ca="1">IF(INDIRECT(ADDRESS($A175,2,3,1,Menus!$K$10))=G$1,$D175,#N/A)</f>
        <v>#N/A</v>
      </c>
      <c r="H175" s="2" t="e">
        <f ca="1">IF(INDIRECT(ADDRESS($A175,2,3,1,Menus!$K$10))=H$1,$D175,#N/A)</f>
        <v>#N/A</v>
      </c>
      <c r="I175" s="2" t="e">
        <f ca="1">IF(INDIRECT(ADDRESS($A175,2,3,1,Menus!$K$10))=I$1,$D175,#N/A)</f>
        <v>#N/A</v>
      </c>
      <c r="J175" s="2" t="e">
        <f ca="1">IF(INDIRECT(ADDRESS($A175,1,3,1,Menus!$K$10))=T(J$1),$D175,#N/A)</f>
        <v>#N/A</v>
      </c>
      <c r="K175" s="10">
        <f t="shared" ca="1" si="5"/>
        <v>0</v>
      </c>
      <c r="L175" s="2"/>
      <c r="M175" s="85">
        <f ca="1">OFFSET(INDIRECT(ADDRESS($A175,3,3,1,"Gross")),0,Menus!$J$4)</f>
        <v>0</v>
      </c>
      <c r="N175" s="85">
        <f ca="1">OFFSET(INDIRECT(ADDRESS($A175,3,3,1,"Gross")),0,Menus!$J$3)</f>
        <v>0</v>
      </c>
    </row>
    <row r="176" spans="1:14" x14ac:dyDescent="0.25">
      <c r="A176">
        <v>218</v>
      </c>
      <c r="B176" s="2">
        <f ca="1">OFFSET(INDIRECT(ADDRESS($A176,3,3,1,Menus!$K$10)),0,Menus!$J$4)</f>
        <v>0</v>
      </c>
      <c r="C176" s="2">
        <f ca="1">OFFSET(INDIRECT(ADDRESS($A176,3,3,1,Menus!$K$10)),0,Menus!$J$3)</f>
        <v>0</v>
      </c>
      <c r="D176" s="73" t="e">
        <f ca="1">IF(Menus!$J$9,C176/B176,C176)</f>
        <v>#DIV/0!</v>
      </c>
      <c r="E176" s="74" t="e">
        <f t="shared" ca="1" si="6"/>
        <v>#N/A</v>
      </c>
      <c r="F176" s="75">
        <f ca="1">INDIRECT(ADDRESS($A176,1,3,1,Menus!$K$10))</f>
        <v>0</v>
      </c>
      <c r="G176" s="2" t="e">
        <f ca="1">IF(INDIRECT(ADDRESS($A176,2,3,1,Menus!$K$10))=G$1,$D176,#N/A)</f>
        <v>#N/A</v>
      </c>
      <c r="H176" s="2" t="e">
        <f ca="1">IF(INDIRECT(ADDRESS($A176,2,3,1,Menus!$K$10))=H$1,$D176,#N/A)</f>
        <v>#N/A</v>
      </c>
      <c r="I176" s="2" t="e">
        <f ca="1">IF(INDIRECT(ADDRESS($A176,2,3,1,Menus!$K$10))=I$1,$D176,#N/A)</f>
        <v>#N/A</v>
      </c>
      <c r="J176" s="2" t="e">
        <f ca="1">IF(INDIRECT(ADDRESS($A176,1,3,1,Menus!$K$10))=T(J$1),$D176,#N/A)</f>
        <v>#N/A</v>
      </c>
      <c r="K176" s="10">
        <f t="shared" ca="1" si="5"/>
        <v>0</v>
      </c>
      <c r="L176" s="2"/>
      <c r="M176" s="85">
        <f ca="1">OFFSET(INDIRECT(ADDRESS($A176,3,3,1,"Gross")),0,Menus!$J$4)</f>
        <v>0</v>
      </c>
      <c r="N176" s="85">
        <f ca="1">OFFSET(INDIRECT(ADDRESS($A176,3,3,1,"Gross")),0,Menus!$J$3)</f>
        <v>0</v>
      </c>
    </row>
    <row r="177" spans="1:14" x14ac:dyDescent="0.25">
      <c r="A177">
        <v>219</v>
      </c>
      <c r="B177" s="2">
        <f ca="1">OFFSET(INDIRECT(ADDRESS($A177,3,3,1,Menus!$K$10)),0,Menus!$J$4)</f>
        <v>0</v>
      </c>
      <c r="C177" s="2">
        <f ca="1">OFFSET(INDIRECT(ADDRESS($A177,3,3,1,Menus!$K$10)),0,Menus!$J$3)</f>
        <v>0</v>
      </c>
      <c r="D177" s="73" t="e">
        <f ca="1">IF(Menus!$J$9,C177/B177,C177)</f>
        <v>#DIV/0!</v>
      </c>
      <c r="E177" s="74" t="e">
        <f t="shared" ca="1" si="6"/>
        <v>#N/A</v>
      </c>
      <c r="F177" s="75">
        <f ca="1">INDIRECT(ADDRESS($A177,1,3,1,Menus!$K$10))</f>
        <v>0</v>
      </c>
      <c r="G177" s="2" t="e">
        <f ca="1">IF(INDIRECT(ADDRESS($A177,2,3,1,Menus!$K$10))=G$1,$D177,#N/A)</f>
        <v>#N/A</v>
      </c>
      <c r="H177" s="2" t="e">
        <f ca="1">IF(INDIRECT(ADDRESS($A177,2,3,1,Menus!$K$10))=H$1,$D177,#N/A)</f>
        <v>#N/A</v>
      </c>
      <c r="I177" s="2" t="e">
        <f ca="1">IF(INDIRECT(ADDRESS($A177,2,3,1,Menus!$K$10))=I$1,$D177,#N/A)</f>
        <v>#N/A</v>
      </c>
      <c r="J177" s="2" t="e">
        <f ca="1">IF(INDIRECT(ADDRESS($A177,1,3,1,Menus!$K$10))=T(J$1),$D177,#N/A)</f>
        <v>#N/A</v>
      </c>
      <c r="K177" s="10">
        <f t="shared" ca="1" si="5"/>
        <v>0</v>
      </c>
      <c r="L177" s="2"/>
      <c r="M177" s="85">
        <f ca="1">OFFSET(INDIRECT(ADDRESS($A177,3,3,1,"Gross")),0,Menus!$J$4)</f>
        <v>0</v>
      </c>
      <c r="N177" s="85">
        <f ca="1">OFFSET(INDIRECT(ADDRESS($A177,3,3,1,"Gross")),0,Menus!$J$3)</f>
        <v>0</v>
      </c>
    </row>
    <row r="178" spans="1:14" x14ac:dyDescent="0.25">
      <c r="A178">
        <v>220</v>
      </c>
      <c r="B178" s="2">
        <f ca="1">OFFSET(INDIRECT(ADDRESS($A178,3,3,1,Menus!$K$10)),0,Menus!$J$4)</f>
        <v>0</v>
      </c>
      <c r="C178" s="2">
        <f ca="1">OFFSET(INDIRECT(ADDRESS($A178,3,3,1,Menus!$K$10)),0,Menus!$J$3)</f>
        <v>0</v>
      </c>
      <c r="D178" s="73" t="e">
        <f ca="1">IF(Menus!$J$9,C178/B178,C178)</f>
        <v>#DIV/0!</v>
      </c>
      <c r="E178" s="74" t="e">
        <f t="shared" ca="1" si="6"/>
        <v>#N/A</v>
      </c>
      <c r="F178" s="75">
        <f ca="1">INDIRECT(ADDRESS($A178,1,3,1,Menus!$K$10))</f>
        <v>0</v>
      </c>
      <c r="G178" s="2" t="e">
        <f ca="1">IF(INDIRECT(ADDRESS($A178,2,3,1,Menus!$K$10))=G$1,$D178,#N/A)</f>
        <v>#N/A</v>
      </c>
      <c r="H178" s="2" t="e">
        <f ca="1">IF(INDIRECT(ADDRESS($A178,2,3,1,Menus!$K$10))=H$1,$D178,#N/A)</f>
        <v>#N/A</v>
      </c>
      <c r="I178" s="2" t="e">
        <f ca="1">IF(INDIRECT(ADDRESS($A178,2,3,1,Menus!$K$10))=I$1,$D178,#N/A)</f>
        <v>#N/A</v>
      </c>
      <c r="J178" s="2" t="e">
        <f ca="1">IF(INDIRECT(ADDRESS($A178,1,3,1,Menus!$K$10))=T(J$1),$D178,#N/A)</f>
        <v>#N/A</v>
      </c>
      <c r="K178" s="10">
        <f t="shared" ca="1" si="5"/>
        <v>0</v>
      </c>
      <c r="L178" s="2"/>
      <c r="M178" s="85">
        <f ca="1">OFFSET(INDIRECT(ADDRESS($A178,3,3,1,"Gross")),0,Menus!$J$4)</f>
        <v>0</v>
      </c>
      <c r="N178" s="85">
        <f ca="1">OFFSET(INDIRECT(ADDRESS($A178,3,3,1,"Gross")),0,Menus!$J$3)</f>
        <v>0</v>
      </c>
    </row>
    <row r="179" spans="1:14" x14ac:dyDescent="0.25">
      <c r="A179">
        <v>221</v>
      </c>
      <c r="B179" s="2">
        <f ca="1">OFFSET(INDIRECT(ADDRESS($A179,3,3,1,Menus!$K$10)),0,Menus!$J$4)</f>
        <v>0</v>
      </c>
      <c r="C179" s="2">
        <f ca="1">OFFSET(INDIRECT(ADDRESS($A179,3,3,1,Menus!$K$10)),0,Menus!$J$3)</f>
        <v>0</v>
      </c>
      <c r="D179" s="73" t="e">
        <f ca="1">IF(Menus!$J$9,C179/B179,C179)</f>
        <v>#DIV/0!</v>
      </c>
      <c r="E179" s="74" t="e">
        <f t="shared" ca="1" si="6"/>
        <v>#N/A</v>
      </c>
      <c r="F179" s="75">
        <f ca="1">INDIRECT(ADDRESS($A179,1,3,1,Menus!$K$10))</f>
        <v>0</v>
      </c>
      <c r="G179" s="2" t="e">
        <f ca="1">IF(INDIRECT(ADDRESS($A179,2,3,1,Menus!$K$10))=G$1,$D179,#N/A)</f>
        <v>#N/A</v>
      </c>
      <c r="H179" s="2" t="e">
        <f ca="1">IF(INDIRECT(ADDRESS($A179,2,3,1,Menus!$K$10))=H$1,$D179,#N/A)</f>
        <v>#N/A</v>
      </c>
      <c r="I179" s="2" t="e">
        <f ca="1">IF(INDIRECT(ADDRESS($A179,2,3,1,Menus!$K$10))=I$1,$D179,#N/A)</f>
        <v>#N/A</v>
      </c>
      <c r="J179" s="2" t="e">
        <f ca="1">IF(INDIRECT(ADDRESS($A179,1,3,1,Menus!$K$10))=T(J$1),$D179,#N/A)</f>
        <v>#N/A</v>
      </c>
      <c r="K179" s="10">
        <f t="shared" ca="1" si="5"/>
        <v>0</v>
      </c>
      <c r="L179" s="2"/>
      <c r="M179" s="85">
        <f ca="1">OFFSET(INDIRECT(ADDRESS($A179,3,3,1,"Gross")),0,Menus!$J$4)</f>
        <v>0</v>
      </c>
      <c r="N179" s="85">
        <f ca="1">OFFSET(INDIRECT(ADDRESS($A179,3,3,1,"Gross")),0,Menus!$J$3)</f>
        <v>0</v>
      </c>
    </row>
    <row r="180" spans="1:14" x14ac:dyDescent="0.25">
      <c r="A180">
        <v>222</v>
      </c>
      <c r="B180" s="2">
        <f ca="1">OFFSET(INDIRECT(ADDRESS($A180,3,3,1,Menus!$K$10)),0,Menus!$J$4)</f>
        <v>0</v>
      </c>
      <c r="C180" s="2">
        <f ca="1">OFFSET(INDIRECT(ADDRESS($A180,3,3,1,Menus!$K$10)),0,Menus!$J$3)</f>
        <v>0</v>
      </c>
      <c r="D180" s="73" t="e">
        <f ca="1">IF(Menus!$J$9,C180/B180,C180)</f>
        <v>#DIV/0!</v>
      </c>
      <c r="E180" s="74" t="e">
        <f t="shared" ca="1" si="6"/>
        <v>#N/A</v>
      </c>
      <c r="F180" s="75">
        <f ca="1">INDIRECT(ADDRESS($A180,1,3,1,Menus!$K$10))</f>
        <v>0</v>
      </c>
      <c r="G180" s="2" t="e">
        <f ca="1">IF(INDIRECT(ADDRESS($A180,2,3,1,Menus!$K$10))=G$1,$D180,#N/A)</f>
        <v>#N/A</v>
      </c>
      <c r="H180" s="2" t="e">
        <f ca="1">IF(INDIRECT(ADDRESS($A180,2,3,1,Menus!$K$10))=H$1,$D180,#N/A)</f>
        <v>#N/A</v>
      </c>
      <c r="I180" s="2" t="e">
        <f ca="1">IF(INDIRECT(ADDRESS($A180,2,3,1,Menus!$K$10))=I$1,$D180,#N/A)</f>
        <v>#N/A</v>
      </c>
      <c r="J180" s="2" t="e">
        <f ca="1">IF(INDIRECT(ADDRESS($A180,1,3,1,Menus!$K$10))=T(J$1),$D180,#N/A)</f>
        <v>#N/A</v>
      </c>
      <c r="K180" s="10">
        <f t="shared" ca="1" si="5"/>
        <v>0</v>
      </c>
      <c r="L180" s="2"/>
      <c r="M180" s="85">
        <f ca="1">OFFSET(INDIRECT(ADDRESS($A180,3,3,1,"Gross")),0,Menus!$J$4)</f>
        <v>0</v>
      </c>
      <c r="N180" s="85">
        <f ca="1">OFFSET(INDIRECT(ADDRESS($A180,3,3,1,"Gross")),0,Menus!$J$3)</f>
        <v>0</v>
      </c>
    </row>
    <row r="181" spans="1:14" x14ac:dyDescent="0.25">
      <c r="A181">
        <v>223</v>
      </c>
      <c r="B181" s="2">
        <f ca="1">OFFSET(INDIRECT(ADDRESS($A181,3,3,1,Menus!$K$10)),0,Menus!$J$4)</f>
        <v>0</v>
      </c>
      <c r="C181" s="2">
        <f ca="1">OFFSET(INDIRECT(ADDRESS($A181,3,3,1,Menus!$K$10)),0,Menus!$J$3)</f>
        <v>0</v>
      </c>
      <c r="D181" s="73" t="e">
        <f ca="1">IF(Menus!$J$9,C181/B181,C181)</f>
        <v>#DIV/0!</v>
      </c>
      <c r="E181" s="74" t="e">
        <f t="shared" ca="1" si="6"/>
        <v>#N/A</v>
      </c>
      <c r="F181" s="75">
        <f ca="1">INDIRECT(ADDRESS($A181,1,3,1,Menus!$K$10))</f>
        <v>0</v>
      </c>
      <c r="G181" s="2" t="e">
        <f ca="1">IF(INDIRECT(ADDRESS($A181,2,3,1,Menus!$K$10))=G$1,$D181,#N/A)</f>
        <v>#N/A</v>
      </c>
      <c r="H181" s="2" t="e">
        <f ca="1">IF(INDIRECT(ADDRESS($A181,2,3,1,Menus!$K$10))=H$1,$D181,#N/A)</f>
        <v>#N/A</v>
      </c>
      <c r="I181" s="2" t="e">
        <f ca="1">IF(INDIRECT(ADDRESS($A181,2,3,1,Menus!$K$10))=I$1,$D181,#N/A)</f>
        <v>#N/A</v>
      </c>
      <c r="J181" s="2" t="e">
        <f ca="1">IF(INDIRECT(ADDRESS($A181,1,3,1,Menus!$K$10))=T(J$1),$D181,#N/A)</f>
        <v>#N/A</v>
      </c>
      <c r="K181" s="10">
        <f t="shared" ca="1" si="5"/>
        <v>0</v>
      </c>
      <c r="L181" s="2"/>
      <c r="M181" s="85">
        <f ca="1">OFFSET(INDIRECT(ADDRESS($A181,3,3,1,"Gross")),0,Menus!$J$4)</f>
        <v>0</v>
      </c>
      <c r="N181" s="85">
        <f ca="1">OFFSET(INDIRECT(ADDRESS($A181,3,3,1,"Gross")),0,Menus!$J$3)</f>
        <v>0</v>
      </c>
    </row>
    <row r="182" spans="1:14" x14ac:dyDescent="0.25">
      <c r="A182">
        <v>224</v>
      </c>
      <c r="B182" s="2">
        <f ca="1">OFFSET(INDIRECT(ADDRESS($A182,3,3,1,Menus!$K$10)),0,Menus!$J$4)</f>
        <v>0</v>
      </c>
      <c r="C182" s="2">
        <f ca="1">OFFSET(INDIRECT(ADDRESS($A182,3,3,1,Menus!$K$10)),0,Menus!$J$3)</f>
        <v>0</v>
      </c>
      <c r="D182" s="73" t="e">
        <f ca="1">IF(Menus!$J$9,C182/B182,C182)</f>
        <v>#DIV/0!</v>
      </c>
      <c r="E182" s="74" t="e">
        <f t="shared" ca="1" si="6"/>
        <v>#N/A</v>
      </c>
      <c r="F182" s="75">
        <f ca="1">INDIRECT(ADDRESS($A182,1,3,1,Menus!$K$10))</f>
        <v>0</v>
      </c>
      <c r="G182" s="2" t="e">
        <f ca="1">IF(INDIRECT(ADDRESS($A182,2,3,1,Menus!$K$10))=G$1,$D182,#N/A)</f>
        <v>#N/A</v>
      </c>
      <c r="H182" s="2" t="e">
        <f ca="1">IF(INDIRECT(ADDRESS($A182,2,3,1,Menus!$K$10))=H$1,$D182,#N/A)</f>
        <v>#N/A</v>
      </c>
      <c r="I182" s="2" t="e">
        <f ca="1">IF(INDIRECT(ADDRESS($A182,2,3,1,Menus!$K$10))=I$1,$D182,#N/A)</f>
        <v>#N/A</v>
      </c>
      <c r="J182" s="2" t="e">
        <f ca="1">IF(INDIRECT(ADDRESS($A182,1,3,1,Menus!$K$10))=T(J$1),$D182,#N/A)</f>
        <v>#N/A</v>
      </c>
      <c r="K182" s="10">
        <f t="shared" ca="1" si="5"/>
        <v>0</v>
      </c>
      <c r="L182" s="2"/>
      <c r="M182" s="85">
        <f ca="1">OFFSET(INDIRECT(ADDRESS($A182,3,3,1,"Gross")),0,Menus!$J$4)</f>
        <v>0</v>
      </c>
      <c r="N182" s="85">
        <f ca="1">OFFSET(INDIRECT(ADDRESS($A182,3,3,1,"Gross")),0,Menus!$J$3)</f>
        <v>0</v>
      </c>
    </row>
    <row r="183" spans="1:14" x14ac:dyDescent="0.25">
      <c r="A183">
        <v>225</v>
      </c>
      <c r="B183" s="2">
        <f ca="1">OFFSET(INDIRECT(ADDRESS($A183,3,3,1,Menus!$K$10)),0,Menus!$J$4)</f>
        <v>0</v>
      </c>
      <c r="C183" s="2">
        <f ca="1">OFFSET(INDIRECT(ADDRESS($A183,3,3,1,Menus!$K$10)),0,Menus!$J$3)</f>
        <v>0</v>
      </c>
      <c r="D183" s="73" t="e">
        <f ca="1">IF(Menus!$J$9,C183/B183,C183)</f>
        <v>#DIV/0!</v>
      </c>
      <c r="E183" s="74" t="e">
        <f t="shared" ca="1" si="6"/>
        <v>#N/A</v>
      </c>
      <c r="F183" s="75">
        <f ca="1">INDIRECT(ADDRESS($A183,1,3,1,Menus!$K$10))</f>
        <v>0</v>
      </c>
      <c r="G183" s="2" t="e">
        <f ca="1">IF(INDIRECT(ADDRESS($A183,2,3,1,Menus!$K$10))=G$1,$D183,#N/A)</f>
        <v>#N/A</v>
      </c>
      <c r="H183" s="2" t="e">
        <f ca="1">IF(INDIRECT(ADDRESS($A183,2,3,1,Menus!$K$10))=H$1,$D183,#N/A)</f>
        <v>#N/A</v>
      </c>
      <c r="I183" s="2" t="e">
        <f ca="1">IF(INDIRECT(ADDRESS($A183,2,3,1,Menus!$K$10))=I$1,$D183,#N/A)</f>
        <v>#N/A</v>
      </c>
      <c r="J183" s="2" t="e">
        <f ca="1">IF(INDIRECT(ADDRESS($A183,1,3,1,Menus!$K$10))=T(J$1),$D183,#N/A)</f>
        <v>#N/A</v>
      </c>
      <c r="K183" s="10">
        <f t="shared" ca="1" si="5"/>
        <v>0</v>
      </c>
      <c r="L183" s="2"/>
      <c r="M183" s="85">
        <f ca="1">OFFSET(INDIRECT(ADDRESS($A183,3,3,1,"Gross")),0,Menus!$J$4)</f>
        <v>0</v>
      </c>
      <c r="N183" s="85">
        <f ca="1">OFFSET(INDIRECT(ADDRESS($A183,3,3,1,"Gross")),0,Menus!$J$3)</f>
        <v>0</v>
      </c>
    </row>
    <row r="184" spans="1:14" x14ac:dyDescent="0.25">
      <c r="A184">
        <v>226</v>
      </c>
      <c r="B184" s="2">
        <f ca="1">OFFSET(INDIRECT(ADDRESS($A184,3,3,1,Menus!$K$10)),0,Menus!$J$4)</f>
        <v>0</v>
      </c>
      <c r="C184" s="2">
        <f ca="1">OFFSET(INDIRECT(ADDRESS($A184,3,3,1,Menus!$K$10)),0,Menus!$J$3)</f>
        <v>0</v>
      </c>
      <c r="D184" s="73" t="e">
        <f ca="1">IF(Menus!$J$9,C184/B184,C184)</f>
        <v>#DIV/0!</v>
      </c>
      <c r="E184" s="74" t="e">
        <f t="shared" ca="1" si="6"/>
        <v>#N/A</v>
      </c>
      <c r="F184" s="75">
        <f ca="1">INDIRECT(ADDRESS($A184,1,3,1,Menus!$K$10))</f>
        <v>0</v>
      </c>
      <c r="G184" s="2" t="e">
        <f ca="1">IF(INDIRECT(ADDRESS($A184,2,3,1,Menus!$K$10))=G$1,$D184,#N/A)</f>
        <v>#N/A</v>
      </c>
      <c r="H184" s="2" t="e">
        <f ca="1">IF(INDIRECT(ADDRESS($A184,2,3,1,Menus!$K$10))=H$1,$D184,#N/A)</f>
        <v>#N/A</v>
      </c>
      <c r="I184" s="2" t="e">
        <f ca="1">IF(INDIRECT(ADDRESS($A184,2,3,1,Menus!$K$10))=I$1,$D184,#N/A)</f>
        <v>#N/A</v>
      </c>
      <c r="J184" s="2" t="e">
        <f ca="1">IF(INDIRECT(ADDRESS($A184,1,3,1,Menus!$K$10))=T(J$1),$D184,#N/A)</f>
        <v>#N/A</v>
      </c>
      <c r="K184" s="10">
        <f t="shared" ca="1" si="5"/>
        <v>0</v>
      </c>
      <c r="L184" s="2"/>
      <c r="M184" s="85">
        <f ca="1">OFFSET(INDIRECT(ADDRESS($A184,3,3,1,"Gross")),0,Menus!$J$4)</f>
        <v>0</v>
      </c>
      <c r="N184" s="85">
        <f ca="1">OFFSET(INDIRECT(ADDRESS($A184,3,3,1,"Gross")),0,Menus!$J$3)</f>
        <v>0</v>
      </c>
    </row>
    <row r="185" spans="1:14" x14ac:dyDescent="0.25">
      <c r="A185">
        <v>227</v>
      </c>
      <c r="B185" s="2">
        <f ca="1">OFFSET(INDIRECT(ADDRESS($A185,3,3,1,Menus!$K$10)),0,Menus!$J$4)</f>
        <v>0</v>
      </c>
      <c r="C185" s="2">
        <f ca="1">OFFSET(INDIRECT(ADDRESS($A185,3,3,1,Menus!$K$10)),0,Menus!$J$3)</f>
        <v>0</v>
      </c>
      <c r="D185" s="73" t="e">
        <f ca="1">IF(Menus!$J$9,C185/B185,C185)</f>
        <v>#DIV/0!</v>
      </c>
      <c r="E185" s="74" t="e">
        <f t="shared" ca="1" si="6"/>
        <v>#N/A</v>
      </c>
      <c r="F185" s="75">
        <f ca="1">INDIRECT(ADDRESS($A185,1,3,1,Menus!$K$10))</f>
        <v>0</v>
      </c>
      <c r="G185" s="2" t="e">
        <f ca="1">IF(INDIRECT(ADDRESS($A185,2,3,1,Menus!$K$10))=G$1,$D185,#N/A)</f>
        <v>#N/A</v>
      </c>
      <c r="H185" s="2" t="e">
        <f ca="1">IF(INDIRECT(ADDRESS($A185,2,3,1,Menus!$K$10))=H$1,$D185,#N/A)</f>
        <v>#N/A</v>
      </c>
      <c r="I185" s="2" t="e">
        <f ca="1">IF(INDIRECT(ADDRESS($A185,2,3,1,Menus!$K$10))=I$1,$D185,#N/A)</f>
        <v>#N/A</v>
      </c>
      <c r="J185" s="2" t="e">
        <f ca="1">IF(INDIRECT(ADDRESS($A185,1,3,1,Menus!$K$10))=T(J$1),$D185,#N/A)</f>
        <v>#N/A</v>
      </c>
      <c r="K185" s="10">
        <f t="shared" ca="1" si="5"/>
        <v>0</v>
      </c>
      <c r="L185" s="2"/>
      <c r="M185" s="85">
        <f ca="1">OFFSET(INDIRECT(ADDRESS($A185,3,3,1,"Gross")),0,Menus!$J$4)</f>
        <v>0</v>
      </c>
      <c r="N185" s="85">
        <f ca="1">OFFSET(INDIRECT(ADDRESS($A185,3,3,1,"Gross")),0,Menus!$J$3)</f>
        <v>0</v>
      </c>
    </row>
    <row r="186" spans="1:14" x14ac:dyDescent="0.25">
      <c r="A186">
        <v>228</v>
      </c>
      <c r="B186" s="2">
        <f ca="1">OFFSET(INDIRECT(ADDRESS($A186,3,3,1,Menus!$K$10)),0,Menus!$J$4)</f>
        <v>0</v>
      </c>
      <c r="C186" s="2">
        <f ca="1">OFFSET(INDIRECT(ADDRESS($A186,3,3,1,Menus!$K$10)),0,Menus!$J$3)</f>
        <v>0</v>
      </c>
      <c r="D186" s="73" t="e">
        <f ca="1">IF(Menus!$J$9,C186/B186,C186)</f>
        <v>#DIV/0!</v>
      </c>
      <c r="E186" s="74" t="e">
        <f t="shared" ca="1" si="6"/>
        <v>#N/A</v>
      </c>
      <c r="F186" s="75">
        <f ca="1">INDIRECT(ADDRESS($A186,1,3,1,Menus!$K$10))</f>
        <v>0</v>
      </c>
      <c r="G186" s="2" t="e">
        <f ca="1">IF(INDIRECT(ADDRESS($A186,2,3,1,Menus!$K$10))=G$1,$D186,#N/A)</f>
        <v>#N/A</v>
      </c>
      <c r="H186" s="2" t="e">
        <f ca="1">IF(INDIRECT(ADDRESS($A186,2,3,1,Menus!$K$10))=H$1,$D186,#N/A)</f>
        <v>#N/A</v>
      </c>
      <c r="I186" s="2" t="e">
        <f ca="1">IF(INDIRECT(ADDRESS($A186,2,3,1,Menus!$K$10))=I$1,$D186,#N/A)</f>
        <v>#N/A</v>
      </c>
      <c r="J186" s="2" t="e">
        <f ca="1">IF(INDIRECT(ADDRESS($A186,1,3,1,Menus!$K$10))=T(J$1),$D186,#N/A)</f>
        <v>#N/A</v>
      </c>
      <c r="K186" s="10">
        <f t="shared" ca="1" si="5"/>
        <v>0</v>
      </c>
      <c r="L186" s="2"/>
      <c r="M186" s="85">
        <f ca="1">OFFSET(INDIRECT(ADDRESS($A186,3,3,1,"Gross")),0,Menus!$J$4)</f>
        <v>0</v>
      </c>
      <c r="N186" s="85">
        <f ca="1">OFFSET(INDIRECT(ADDRESS($A186,3,3,1,"Gross")),0,Menus!$J$3)</f>
        <v>0</v>
      </c>
    </row>
    <row r="187" spans="1:14" x14ac:dyDescent="0.25">
      <c r="A187">
        <v>229</v>
      </c>
      <c r="B187" s="2">
        <f ca="1">OFFSET(INDIRECT(ADDRESS($A187,3,3,1,Menus!$K$10)),0,Menus!$J$4)</f>
        <v>0</v>
      </c>
      <c r="C187" s="2">
        <f ca="1">OFFSET(INDIRECT(ADDRESS($A187,3,3,1,Menus!$K$10)),0,Menus!$J$3)</f>
        <v>0</v>
      </c>
      <c r="D187" s="73" t="e">
        <f ca="1">IF(Menus!$J$9,C187/B187,C187)</f>
        <v>#DIV/0!</v>
      </c>
      <c r="E187" s="74" t="e">
        <f t="shared" ca="1" si="6"/>
        <v>#N/A</v>
      </c>
      <c r="F187" s="75">
        <f ca="1">INDIRECT(ADDRESS($A187,1,3,1,Menus!$K$10))</f>
        <v>0</v>
      </c>
      <c r="G187" s="2" t="e">
        <f ca="1">IF(INDIRECT(ADDRESS($A187,2,3,1,Menus!$K$10))=G$1,$D187,#N/A)</f>
        <v>#N/A</v>
      </c>
      <c r="H187" s="2" t="e">
        <f ca="1">IF(INDIRECT(ADDRESS($A187,2,3,1,Menus!$K$10))=H$1,$D187,#N/A)</f>
        <v>#N/A</v>
      </c>
      <c r="I187" s="2" t="e">
        <f ca="1">IF(INDIRECT(ADDRESS($A187,2,3,1,Menus!$K$10))=I$1,$D187,#N/A)</f>
        <v>#N/A</v>
      </c>
      <c r="J187" s="2" t="e">
        <f ca="1">IF(INDIRECT(ADDRESS($A187,1,3,1,Menus!$K$10))=T(J$1),$D187,#N/A)</f>
        <v>#N/A</v>
      </c>
      <c r="K187" s="10">
        <f t="shared" ca="1" si="5"/>
        <v>0</v>
      </c>
      <c r="L187" s="2"/>
      <c r="M187" s="85">
        <f ca="1">OFFSET(INDIRECT(ADDRESS($A187,3,3,1,"Gross")),0,Menus!$J$4)</f>
        <v>0</v>
      </c>
      <c r="N187" s="85">
        <f ca="1">OFFSET(INDIRECT(ADDRESS($A187,3,3,1,"Gross")),0,Menus!$J$3)</f>
        <v>0</v>
      </c>
    </row>
    <row r="188" spans="1:14" x14ac:dyDescent="0.25">
      <c r="A188">
        <v>230</v>
      </c>
      <c r="B188" s="2">
        <f ca="1">OFFSET(INDIRECT(ADDRESS($A188,3,3,1,Menus!$K$10)),0,Menus!$J$4)</f>
        <v>0</v>
      </c>
      <c r="C188" s="2">
        <f ca="1">OFFSET(INDIRECT(ADDRESS($A188,3,3,1,Menus!$K$10)),0,Menus!$J$3)</f>
        <v>0</v>
      </c>
      <c r="D188" s="73" t="e">
        <f ca="1">IF(Menus!$J$9,C188/B188,C188)</f>
        <v>#DIV/0!</v>
      </c>
      <c r="E188" s="74" t="e">
        <f t="shared" ca="1" si="6"/>
        <v>#N/A</v>
      </c>
      <c r="F188" s="75">
        <f ca="1">INDIRECT(ADDRESS($A188,1,3,1,Menus!$K$10))</f>
        <v>0</v>
      </c>
      <c r="G188" s="2" t="e">
        <f ca="1">IF(INDIRECT(ADDRESS($A188,2,3,1,Menus!$K$10))=G$1,$D188,#N/A)</f>
        <v>#N/A</v>
      </c>
      <c r="H188" s="2" t="e">
        <f ca="1">IF(INDIRECT(ADDRESS($A188,2,3,1,Menus!$K$10))=H$1,$D188,#N/A)</f>
        <v>#N/A</v>
      </c>
      <c r="I188" s="2" t="e">
        <f ca="1">IF(INDIRECT(ADDRESS($A188,2,3,1,Menus!$K$10))=I$1,$D188,#N/A)</f>
        <v>#N/A</v>
      </c>
      <c r="J188" s="2" t="e">
        <f ca="1">IF(INDIRECT(ADDRESS($A188,1,3,1,Menus!$K$10))=T(J$1),$D188,#N/A)</f>
        <v>#N/A</v>
      </c>
      <c r="K188" s="10">
        <f t="shared" ca="1" si="5"/>
        <v>0</v>
      </c>
      <c r="L188" s="2"/>
      <c r="M188" s="85">
        <f ca="1">OFFSET(INDIRECT(ADDRESS($A188,3,3,1,"Gross")),0,Menus!$J$4)</f>
        <v>0</v>
      </c>
      <c r="N188" s="85">
        <f ca="1">OFFSET(INDIRECT(ADDRESS($A188,3,3,1,"Gross")),0,Menus!$J$3)</f>
        <v>0</v>
      </c>
    </row>
    <row r="189" spans="1:14" x14ac:dyDescent="0.25">
      <c r="A189">
        <v>231</v>
      </c>
      <c r="B189" s="2">
        <f ca="1">OFFSET(INDIRECT(ADDRESS($A189,3,3,1,Menus!$K$10)),0,Menus!$J$4)</f>
        <v>0</v>
      </c>
      <c r="C189" s="2">
        <f ca="1">OFFSET(INDIRECT(ADDRESS($A189,3,3,1,Menus!$K$10)),0,Menus!$J$3)</f>
        <v>0</v>
      </c>
      <c r="D189" s="73" t="e">
        <f ca="1">IF(Menus!$J$9,C189/B189,C189)</f>
        <v>#DIV/0!</v>
      </c>
      <c r="E189" s="74" t="e">
        <f t="shared" ca="1" si="6"/>
        <v>#N/A</v>
      </c>
      <c r="F189" s="75">
        <f ca="1">INDIRECT(ADDRESS($A189,1,3,1,Menus!$K$10))</f>
        <v>0</v>
      </c>
      <c r="G189" s="2" t="e">
        <f ca="1">IF(INDIRECT(ADDRESS($A189,2,3,1,Menus!$K$10))=G$1,$D189,#N/A)</f>
        <v>#N/A</v>
      </c>
      <c r="H189" s="2" t="e">
        <f ca="1">IF(INDIRECT(ADDRESS($A189,2,3,1,Menus!$K$10))=H$1,$D189,#N/A)</f>
        <v>#N/A</v>
      </c>
      <c r="I189" s="2" t="e">
        <f ca="1">IF(INDIRECT(ADDRESS($A189,2,3,1,Menus!$K$10))=I$1,$D189,#N/A)</f>
        <v>#N/A</v>
      </c>
      <c r="J189" s="2" t="e">
        <f ca="1">IF(INDIRECT(ADDRESS($A189,1,3,1,Menus!$K$10))=T(J$1),$D189,#N/A)</f>
        <v>#N/A</v>
      </c>
      <c r="K189" s="10">
        <f t="shared" ca="1" si="5"/>
        <v>0</v>
      </c>
      <c r="L189" s="2"/>
      <c r="M189" s="85">
        <f ca="1">OFFSET(INDIRECT(ADDRESS($A189,3,3,1,"Gross")),0,Menus!$J$4)</f>
        <v>0</v>
      </c>
      <c r="N189" s="85">
        <f ca="1">OFFSET(INDIRECT(ADDRESS($A189,3,3,1,"Gross")),0,Menus!$J$3)</f>
        <v>0</v>
      </c>
    </row>
    <row r="190" spans="1:14" x14ac:dyDescent="0.25">
      <c r="A190">
        <v>232</v>
      </c>
      <c r="B190" s="2">
        <f ca="1">OFFSET(INDIRECT(ADDRESS($A190,3,3,1,Menus!$K$10)),0,Menus!$J$4)</f>
        <v>0</v>
      </c>
      <c r="C190" s="2">
        <f ca="1">OFFSET(INDIRECT(ADDRESS($A190,3,3,1,Menus!$K$10)),0,Menus!$J$3)</f>
        <v>0</v>
      </c>
      <c r="D190" s="73" t="e">
        <f ca="1">IF(Menus!$J$9,C190/B190,C190)</f>
        <v>#DIV/0!</v>
      </c>
      <c r="E190" s="74" t="e">
        <f t="shared" ca="1" si="6"/>
        <v>#N/A</v>
      </c>
      <c r="F190" s="75">
        <f ca="1">INDIRECT(ADDRESS($A190,1,3,1,Menus!$K$10))</f>
        <v>0</v>
      </c>
      <c r="G190" s="2" t="e">
        <f ca="1">IF(INDIRECT(ADDRESS($A190,2,3,1,Menus!$K$10))=G$1,$D190,#N/A)</f>
        <v>#N/A</v>
      </c>
      <c r="H190" s="2" t="e">
        <f ca="1">IF(INDIRECT(ADDRESS($A190,2,3,1,Menus!$K$10))=H$1,$D190,#N/A)</f>
        <v>#N/A</v>
      </c>
      <c r="I190" s="2" t="e">
        <f ca="1">IF(INDIRECT(ADDRESS($A190,2,3,1,Menus!$K$10))=I$1,$D190,#N/A)</f>
        <v>#N/A</v>
      </c>
      <c r="J190" s="2" t="e">
        <f ca="1">IF(INDIRECT(ADDRESS($A190,1,3,1,Menus!$K$10))=T(J$1),$D190,#N/A)</f>
        <v>#N/A</v>
      </c>
      <c r="K190" s="10">
        <f t="shared" ca="1" si="5"/>
        <v>0</v>
      </c>
      <c r="L190" s="2"/>
      <c r="M190" s="85">
        <f ca="1">OFFSET(INDIRECT(ADDRESS($A190,3,3,1,"Gross")),0,Menus!$J$4)</f>
        <v>0</v>
      </c>
      <c r="N190" s="85">
        <f ca="1">OFFSET(INDIRECT(ADDRESS($A190,3,3,1,"Gross")),0,Menus!$J$3)</f>
        <v>0</v>
      </c>
    </row>
    <row r="191" spans="1:14" x14ac:dyDescent="0.25">
      <c r="A191">
        <v>233</v>
      </c>
      <c r="B191" s="2">
        <f ca="1">OFFSET(INDIRECT(ADDRESS($A191,3,3,1,Menus!$K$10)),0,Menus!$J$4)</f>
        <v>0</v>
      </c>
      <c r="C191" s="2">
        <f ca="1">OFFSET(INDIRECT(ADDRESS($A191,3,3,1,Menus!$K$10)),0,Menus!$J$3)</f>
        <v>0</v>
      </c>
      <c r="D191" s="73" t="e">
        <f ca="1">IF(Menus!$J$9,C191/B191,C191)</f>
        <v>#DIV/0!</v>
      </c>
      <c r="E191" s="74" t="e">
        <f t="shared" ca="1" si="6"/>
        <v>#N/A</v>
      </c>
      <c r="F191" s="75">
        <f ca="1">INDIRECT(ADDRESS($A191,1,3,1,Menus!$K$10))</f>
        <v>0</v>
      </c>
      <c r="G191" s="2" t="e">
        <f ca="1">IF(INDIRECT(ADDRESS($A191,2,3,1,Menus!$K$10))=G$1,$D191,#N/A)</f>
        <v>#N/A</v>
      </c>
      <c r="H191" s="2" t="e">
        <f ca="1">IF(INDIRECT(ADDRESS($A191,2,3,1,Menus!$K$10))=H$1,$D191,#N/A)</f>
        <v>#N/A</v>
      </c>
      <c r="I191" s="2" t="e">
        <f ca="1">IF(INDIRECT(ADDRESS($A191,2,3,1,Menus!$K$10))=I$1,$D191,#N/A)</f>
        <v>#N/A</v>
      </c>
      <c r="J191" s="2" t="e">
        <f ca="1">IF(INDIRECT(ADDRESS($A191,1,3,1,Menus!$K$10))=T(J$1),$D191,#N/A)</f>
        <v>#N/A</v>
      </c>
      <c r="K191" s="10">
        <f t="shared" ca="1" si="5"/>
        <v>0</v>
      </c>
      <c r="L191" s="2"/>
      <c r="M191" s="85">
        <f ca="1">OFFSET(INDIRECT(ADDRESS($A191,3,3,1,"Gross")),0,Menus!$J$4)</f>
        <v>0</v>
      </c>
      <c r="N191" s="85">
        <f ca="1">OFFSET(INDIRECT(ADDRESS($A191,3,3,1,"Gross")),0,Menus!$J$3)</f>
        <v>0</v>
      </c>
    </row>
    <row r="192" spans="1:14" x14ac:dyDescent="0.25">
      <c r="A192">
        <v>234</v>
      </c>
      <c r="B192" s="2">
        <f ca="1">OFFSET(INDIRECT(ADDRESS($A192,3,3,1,Menus!$K$10)),0,Menus!$J$4)</f>
        <v>0</v>
      </c>
      <c r="C192" s="2">
        <f ca="1">OFFSET(INDIRECT(ADDRESS($A192,3,3,1,Menus!$K$10)),0,Menus!$J$3)</f>
        <v>0</v>
      </c>
      <c r="D192" s="73" t="e">
        <f ca="1">IF(Menus!$J$9,C192/B192,C192)</f>
        <v>#DIV/0!</v>
      </c>
      <c r="E192" s="74" t="e">
        <f t="shared" ca="1" si="6"/>
        <v>#N/A</v>
      </c>
      <c r="F192" s="75">
        <f ca="1">INDIRECT(ADDRESS($A192,1,3,1,Menus!$K$10))</f>
        <v>0</v>
      </c>
      <c r="G192" s="2" t="e">
        <f ca="1">IF(INDIRECT(ADDRESS($A192,2,3,1,Menus!$K$10))=G$1,$D192,#N/A)</f>
        <v>#N/A</v>
      </c>
      <c r="H192" s="2" t="e">
        <f ca="1">IF(INDIRECT(ADDRESS($A192,2,3,1,Menus!$K$10))=H$1,$D192,#N/A)</f>
        <v>#N/A</v>
      </c>
      <c r="I192" s="2" t="e">
        <f ca="1">IF(INDIRECT(ADDRESS($A192,2,3,1,Menus!$K$10))=I$1,$D192,#N/A)</f>
        <v>#N/A</v>
      </c>
      <c r="J192" s="2" t="e">
        <f ca="1">IF(INDIRECT(ADDRESS($A192,1,3,1,Menus!$K$10))=T(J$1),$D192,#N/A)</f>
        <v>#N/A</v>
      </c>
      <c r="K192" s="10">
        <f t="shared" ca="1" si="5"/>
        <v>0</v>
      </c>
      <c r="L192" s="2"/>
      <c r="M192" s="85">
        <f ca="1">OFFSET(INDIRECT(ADDRESS($A192,3,3,1,"Gross")),0,Menus!$J$4)</f>
        <v>0</v>
      </c>
      <c r="N192" s="85">
        <f ca="1">OFFSET(INDIRECT(ADDRESS($A192,3,3,1,"Gross")),0,Menus!$J$3)</f>
        <v>0</v>
      </c>
    </row>
    <row r="193" spans="1:14" x14ac:dyDescent="0.25">
      <c r="A193">
        <v>235</v>
      </c>
      <c r="B193" s="2">
        <f ca="1">OFFSET(INDIRECT(ADDRESS($A193,3,3,1,Menus!$K$10)),0,Menus!$J$4)</f>
        <v>0</v>
      </c>
      <c r="C193" s="2">
        <f ca="1">OFFSET(INDIRECT(ADDRESS($A193,3,3,1,Menus!$K$10)),0,Menus!$J$3)</f>
        <v>0</v>
      </c>
      <c r="D193" s="73" t="e">
        <f ca="1">IF(Menus!$J$9,C193/B193,C193)</f>
        <v>#DIV/0!</v>
      </c>
      <c r="E193" s="74" t="e">
        <f t="shared" ca="1" si="6"/>
        <v>#N/A</v>
      </c>
      <c r="F193" s="75">
        <f ca="1">INDIRECT(ADDRESS($A193,1,3,1,Menus!$K$10))</f>
        <v>0</v>
      </c>
      <c r="G193" s="2" t="e">
        <f ca="1">IF(INDIRECT(ADDRESS($A193,2,3,1,Menus!$K$10))=G$1,$D193,#N/A)</f>
        <v>#N/A</v>
      </c>
      <c r="H193" s="2" t="e">
        <f ca="1">IF(INDIRECT(ADDRESS($A193,2,3,1,Menus!$K$10))=H$1,$D193,#N/A)</f>
        <v>#N/A</v>
      </c>
      <c r="I193" s="2" t="e">
        <f ca="1">IF(INDIRECT(ADDRESS($A193,2,3,1,Menus!$K$10))=I$1,$D193,#N/A)</f>
        <v>#N/A</v>
      </c>
      <c r="J193" s="2" t="e">
        <f ca="1">IF(INDIRECT(ADDRESS($A193,1,3,1,Menus!$K$10))=T(J$1),$D193,#N/A)</f>
        <v>#N/A</v>
      </c>
      <c r="K193" s="10">
        <f t="shared" ca="1" si="5"/>
        <v>0</v>
      </c>
      <c r="L193" s="2"/>
      <c r="M193" s="85">
        <f ca="1">OFFSET(INDIRECT(ADDRESS($A193,3,3,1,"Gross")),0,Menus!$J$4)</f>
        <v>0</v>
      </c>
      <c r="N193" s="85">
        <f ca="1">OFFSET(INDIRECT(ADDRESS($A193,3,3,1,"Gross")),0,Menus!$J$3)</f>
        <v>0</v>
      </c>
    </row>
    <row r="194" spans="1:14" x14ac:dyDescent="0.25">
      <c r="A194">
        <v>236</v>
      </c>
      <c r="B194" s="2">
        <f ca="1">OFFSET(INDIRECT(ADDRESS($A194,3,3,1,Menus!$K$10)),0,Menus!$J$4)</f>
        <v>0</v>
      </c>
      <c r="C194" s="2">
        <f ca="1">OFFSET(INDIRECT(ADDRESS($A194,3,3,1,Menus!$K$10)),0,Menus!$J$3)</f>
        <v>0</v>
      </c>
      <c r="D194" s="73" t="e">
        <f ca="1">IF(Menus!$J$9,C194/B194,C194)</f>
        <v>#DIV/0!</v>
      </c>
      <c r="E194" s="74" t="e">
        <f t="shared" ca="1" si="6"/>
        <v>#N/A</v>
      </c>
      <c r="F194" s="75">
        <f ca="1">INDIRECT(ADDRESS($A194,1,3,1,Menus!$K$10))</f>
        <v>0</v>
      </c>
      <c r="G194" s="2" t="e">
        <f ca="1">IF(INDIRECT(ADDRESS($A194,2,3,1,Menus!$K$10))=G$1,$D194,#N/A)</f>
        <v>#N/A</v>
      </c>
      <c r="H194" s="2" t="e">
        <f ca="1">IF(INDIRECT(ADDRESS($A194,2,3,1,Menus!$K$10))=H$1,$D194,#N/A)</f>
        <v>#N/A</v>
      </c>
      <c r="I194" s="2" t="e">
        <f ca="1">IF(INDIRECT(ADDRESS($A194,2,3,1,Menus!$K$10))=I$1,$D194,#N/A)</f>
        <v>#N/A</v>
      </c>
      <c r="J194" s="2" t="e">
        <f ca="1">IF(INDIRECT(ADDRESS($A194,1,3,1,Menus!$K$10))=T(J$1),$D194,#N/A)</f>
        <v>#N/A</v>
      </c>
      <c r="K194" s="10">
        <f t="shared" ref="K194:K257" ca="1" si="7">IF(OR(ISNUMBER($G194),ISNUMBER($H194),ISNUMBER($I194),ISNUMBER($J194)),1,0)</f>
        <v>0</v>
      </c>
      <c r="L194" s="2"/>
      <c r="M194" s="85">
        <f ca="1">OFFSET(INDIRECT(ADDRESS($A194,3,3,1,"Gross")),0,Menus!$J$4)</f>
        <v>0</v>
      </c>
      <c r="N194" s="85">
        <f ca="1">OFFSET(INDIRECT(ADDRESS($A194,3,3,1,"Gross")),0,Menus!$J$3)</f>
        <v>0</v>
      </c>
    </row>
    <row r="195" spans="1:14" x14ac:dyDescent="0.25">
      <c r="A195">
        <v>237</v>
      </c>
      <c r="B195" s="2">
        <f ca="1">OFFSET(INDIRECT(ADDRESS($A195,3,3,1,Menus!$K$10)),0,Menus!$J$4)</f>
        <v>0</v>
      </c>
      <c r="C195" s="2">
        <f ca="1">OFFSET(INDIRECT(ADDRESS($A195,3,3,1,Menus!$K$10)),0,Menus!$J$3)</f>
        <v>0</v>
      </c>
      <c r="D195" s="73" t="e">
        <f ca="1">IF(Menus!$J$9,C195/B195,C195)</f>
        <v>#DIV/0!</v>
      </c>
      <c r="E195" s="74" t="e">
        <f t="shared" ref="E195:E258" ca="1" si="8">IF($K195=1,VALUE(B195),#N/A)</f>
        <v>#N/A</v>
      </c>
      <c r="F195" s="75">
        <f ca="1">INDIRECT(ADDRESS($A195,1,3,1,Menus!$K$10))</f>
        <v>0</v>
      </c>
      <c r="G195" s="2" t="e">
        <f ca="1">IF(INDIRECT(ADDRESS($A195,2,3,1,Menus!$K$10))=G$1,$D195,#N/A)</f>
        <v>#N/A</v>
      </c>
      <c r="H195" s="2" t="e">
        <f ca="1">IF(INDIRECT(ADDRESS($A195,2,3,1,Menus!$K$10))=H$1,$D195,#N/A)</f>
        <v>#N/A</v>
      </c>
      <c r="I195" s="2" t="e">
        <f ca="1">IF(INDIRECT(ADDRESS($A195,2,3,1,Menus!$K$10))=I$1,$D195,#N/A)</f>
        <v>#N/A</v>
      </c>
      <c r="J195" s="2" t="e">
        <f ca="1">IF(INDIRECT(ADDRESS($A195,1,3,1,Menus!$K$10))=T(J$1),$D195,#N/A)</f>
        <v>#N/A</v>
      </c>
      <c r="K195" s="10">
        <f t="shared" ca="1" si="7"/>
        <v>0</v>
      </c>
      <c r="L195" s="2"/>
      <c r="M195" s="85">
        <f ca="1">OFFSET(INDIRECT(ADDRESS($A195,3,3,1,"Gross")),0,Menus!$J$4)</f>
        <v>0</v>
      </c>
      <c r="N195" s="85">
        <f ca="1">OFFSET(INDIRECT(ADDRESS($A195,3,3,1,"Gross")),0,Menus!$J$3)</f>
        <v>0</v>
      </c>
    </row>
    <row r="196" spans="1:14" x14ac:dyDescent="0.25">
      <c r="A196">
        <v>238</v>
      </c>
      <c r="B196" s="2">
        <f ca="1">OFFSET(INDIRECT(ADDRESS($A196,3,3,1,Menus!$K$10)),0,Menus!$J$4)</f>
        <v>0</v>
      </c>
      <c r="C196" s="2">
        <f ca="1">OFFSET(INDIRECT(ADDRESS($A196,3,3,1,Menus!$K$10)),0,Menus!$J$3)</f>
        <v>0</v>
      </c>
      <c r="D196" s="73" t="e">
        <f ca="1">IF(Menus!$J$9,C196/B196,C196)</f>
        <v>#DIV/0!</v>
      </c>
      <c r="E196" s="74" t="e">
        <f t="shared" ca="1" si="8"/>
        <v>#N/A</v>
      </c>
      <c r="F196" s="75">
        <f ca="1">INDIRECT(ADDRESS($A196,1,3,1,Menus!$K$10))</f>
        <v>0</v>
      </c>
      <c r="G196" s="2" t="e">
        <f ca="1">IF(INDIRECT(ADDRESS($A196,2,3,1,Menus!$K$10))=G$1,$D196,#N/A)</f>
        <v>#N/A</v>
      </c>
      <c r="H196" s="2" t="e">
        <f ca="1">IF(INDIRECT(ADDRESS($A196,2,3,1,Menus!$K$10))=H$1,$D196,#N/A)</f>
        <v>#N/A</v>
      </c>
      <c r="I196" s="2" t="e">
        <f ca="1">IF(INDIRECT(ADDRESS($A196,2,3,1,Menus!$K$10))=I$1,$D196,#N/A)</f>
        <v>#N/A</v>
      </c>
      <c r="J196" s="2" t="e">
        <f ca="1">IF(INDIRECT(ADDRESS($A196,1,3,1,Menus!$K$10))=T(J$1),$D196,#N/A)</f>
        <v>#N/A</v>
      </c>
      <c r="K196" s="10">
        <f t="shared" ca="1" si="7"/>
        <v>0</v>
      </c>
      <c r="L196" s="2"/>
      <c r="M196" s="85">
        <f ca="1">OFFSET(INDIRECT(ADDRESS($A196,3,3,1,"Gross")),0,Menus!$J$4)</f>
        <v>0</v>
      </c>
      <c r="N196" s="85">
        <f ca="1">OFFSET(INDIRECT(ADDRESS($A196,3,3,1,"Gross")),0,Menus!$J$3)</f>
        <v>0</v>
      </c>
    </row>
    <row r="197" spans="1:14" x14ac:dyDescent="0.25">
      <c r="A197">
        <v>239</v>
      </c>
      <c r="B197" s="2">
        <f ca="1">OFFSET(INDIRECT(ADDRESS($A197,3,3,1,Menus!$K$10)),0,Menus!$J$4)</f>
        <v>0</v>
      </c>
      <c r="C197" s="2">
        <f ca="1">OFFSET(INDIRECT(ADDRESS($A197,3,3,1,Menus!$K$10)),0,Menus!$J$3)</f>
        <v>0</v>
      </c>
      <c r="D197" s="73" t="e">
        <f ca="1">IF(Menus!$J$9,C197/B197,C197)</f>
        <v>#DIV/0!</v>
      </c>
      <c r="E197" s="74" t="e">
        <f t="shared" ca="1" si="8"/>
        <v>#N/A</v>
      </c>
      <c r="F197" s="75">
        <f ca="1">INDIRECT(ADDRESS($A197,1,3,1,Menus!$K$10))</f>
        <v>0</v>
      </c>
      <c r="G197" s="2" t="e">
        <f ca="1">IF(INDIRECT(ADDRESS($A197,2,3,1,Menus!$K$10))=G$1,$D197,#N/A)</f>
        <v>#N/A</v>
      </c>
      <c r="H197" s="2" t="e">
        <f ca="1">IF(INDIRECT(ADDRESS($A197,2,3,1,Menus!$K$10))=H$1,$D197,#N/A)</f>
        <v>#N/A</v>
      </c>
      <c r="I197" s="2" t="e">
        <f ca="1">IF(INDIRECT(ADDRESS($A197,2,3,1,Menus!$K$10))=I$1,$D197,#N/A)</f>
        <v>#N/A</v>
      </c>
      <c r="J197" s="2" t="e">
        <f ca="1">IF(INDIRECT(ADDRESS($A197,1,3,1,Menus!$K$10))=T(J$1),$D197,#N/A)</f>
        <v>#N/A</v>
      </c>
      <c r="K197" s="10">
        <f t="shared" ca="1" si="7"/>
        <v>0</v>
      </c>
      <c r="L197" s="2"/>
      <c r="M197" s="85">
        <f ca="1">OFFSET(INDIRECT(ADDRESS($A197,3,3,1,"Gross")),0,Menus!$J$4)</f>
        <v>0</v>
      </c>
      <c r="N197" s="85">
        <f ca="1">OFFSET(INDIRECT(ADDRESS($A197,3,3,1,"Gross")),0,Menus!$J$3)</f>
        <v>0</v>
      </c>
    </row>
    <row r="198" spans="1:14" x14ac:dyDescent="0.25">
      <c r="A198">
        <v>240</v>
      </c>
      <c r="B198" s="2">
        <f ca="1">OFFSET(INDIRECT(ADDRESS($A198,3,3,1,Menus!$K$10)),0,Menus!$J$4)</f>
        <v>0</v>
      </c>
      <c r="C198" s="2">
        <f ca="1">OFFSET(INDIRECT(ADDRESS($A198,3,3,1,Menus!$K$10)),0,Menus!$J$3)</f>
        <v>0</v>
      </c>
      <c r="D198" s="73" t="e">
        <f ca="1">IF(Menus!$J$9,C198/B198,C198)</f>
        <v>#DIV/0!</v>
      </c>
      <c r="E198" s="74" t="e">
        <f t="shared" ca="1" si="8"/>
        <v>#N/A</v>
      </c>
      <c r="F198" s="75">
        <f ca="1">INDIRECT(ADDRESS($A198,1,3,1,Menus!$K$10))</f>
        <v>0</v>
      </c>
      <c r="G198" s="2" t="e">
        <f ca="1">IF(INDIRECT(ADDRESS($A198,2,3,1,Menus!$K$10))=G$1,$D198,#N/A)</f>
        <v>#N/A</v>
      </c>
      <c r="H198" s="2" t="e">
        <f ca="1">IF(INDIRECT(ADDRESS($A198,2,3,1,Menus!$K$10))=H$1,$D198,#N/A)</f>
        <v>#N/A</v>
      </c>
      <c r="I198" s="2" t="e">
        <f ca="1">IF(INDIRECT(ADDRESS($A198,2,3,1,Menus!$K$10))=I$1,$D198,#N/A)</f>
        <v>#N/A</v>
      </c>
      <c r="J198" s="2" t="e">
        <f ca="1">IF(INDIRECT(ADDRESS($A198,1,3,1,Menus!$K$10))=T(J$1),$D198,#N/A)</f>
        <v>#N/A</v>
      </c>
      <c r="K198" s="10">
        <f t="shared" ca="1" si="7"/>
        <v>0</v>
      </c>
      <c r="L198" s="2"/>
      <c r="M198" s="85">
        <f ca="1">OFFSET(INDIRECT(ADDRESS($A198,3,3,1,"Gross")),0,Menus!$J$4)</f>
        <v>0</v>
      </c>
      <c r="N198" s="85">
        <f ca="1">OFFSET(INDIRECT(ADDRESS($A198,3,3,1,"Gross")),0,Menus!$J$3)</f>
        <v>0</v>
      </c>
    </row>
    <row r="199" spans="1:14" x14ac:dyDescent="0.25">
      <c r="A199">
        <v>241</v>
      </c>
      <c r="B199" s="2">
        <f ca="1">OFFSET(INDIRECT(ADDRESS($A199,3,3,1,Menus!$K$10)),0,Menus!$J$4)</f>
        <v>0</v>
      </c>
      <c r="C199" s="2">
        <f ca="1">OFFSET(INDIRECT(ADDRESS($A199,3,3,1,Menus!$K$10)),0,Menus!$J$3)</f>
        <v>0</v>
      </c>
      <c r="D199" s="73" t="e">
        <f ca="1">IF(Menus!$J$9,C199/B199,C199)</f>
        <v>#DIV/0!</v>
      </c>
      <c r="E199" s="74" t="e">
        <f t="shared" ca="1" si="8"/>
        <v>#N/A</v>
      </c>
      <c r="F199" s="75">
        <f ca="1">INDIRECT(ADDRESS($A199,1,3,1,Menus!$K$10))</f>
        <v>0</v>
      </c>
      <c r="G199" s="2" t="e">
        <f ca="1">IF(INDIRECT(ADDRESS($A199,2,3,1,Menus!$K$10))=G$1,$D199,#N/A)</f>
        <v>#N/A</v>
      </c>
      <c r="H199" s="2" t="e">
        <f ca="1">IF(INDIRECT(ADDRESS($A199,2,3,1,Menus!$K$10))=H$1,$D199,#N/A)</f>
        <v>#N/A</v>
      </c>
      <c r="I199" s="2" t="e">
        <f ca="1">IF(INDIRECT(ADDRESS($A199,2,3,1,Menus!$K$10))=I$1,$D199,#N/A)</f>
        <v>#N/A</v>
      </c>
      <c r="J199" s="2" t="e">
        <f ca="1">IF(INDIRECT(ADDRESS($A199,1,3,1,Menus!$K$10))=T(J$1),$D199,#N/A)</f>
        <v>#N/A</v>
      </c>
      <c r="K199" s="10">
        <f t="shared" ca="1" si="7"/>
        <v>0</v>
      </c>
      <c r="L199" s="2"/>
      <c r="M199" s="85">
        <f ca="1">OFFSET(INDIRECT(ADDRESS($A199,3,3,1,"Gross")),0,Menus!$J$4)</f>
        <v>0</v>
      </c>
      <c r="N199" s="85">
        <f ca="1">OFFSET(INDIRECT(ADDRESS($A199,3,3,1,"Gross")),0,Menus!$J$3)</f>
        <v>0</v>
      </c>
    </row>
    <row r="200" spans="1:14" x14ac:dyDescent="0.25">
      <c r="A200">
        <v>242</v>
      </c>
      <c r="B200" s="2">
        <f ca="1">OFFSET(INDIRECT(ADDRESS($A200,3,3,1,Menus!$K$10)),0,Menus!$J$4)</f>
        <v>0</v>
      </c>
      <c r="C200" s="2">
        <f ca="1">OFFSET(INDIRECT(ADDRESS($A200,3,3,1,Menus!$K$10)),0,Menus!$J$3)</f>
        <v>0</v>
      </c>
      <c r="D200" s="73" t="e">
        <f ca="1">IF(Menus!$J$9,C200/B200,C200)</f>
        <v>#DIV/0!</v>
      </c>
      <c r="E200" s="74" t="e">
        <f t="shared" ca="1" si="8"/>
        <v>#N/A</v>
      </c>
      <c r="F200" s="75">
        <f ca="1">INDIRECT(ADDRESS($A200,1,3,1,Menus!$K$10))</f>
        <v>0</v>
      </c>
      <c r="G200" s="2" t="e">
        <f ca="1">IF(INDIRECT(ADDRESS($A200,2,3,1,Menus!$K$10))=G$1,$D200,#N/A)</f>
        <v>#N/A</v>
      </c>
      <c r="H200" s="2" t="e">
        <f ca="1">IF(INDIRECT(ADDRESS($A200,2,3,1,Menus!$K$10))=H$1,$D200,#N/A)</f>
        <v>#N/A</v>
      </c>
      <c r="I200" s="2" t="e">
        <f ca="1">IF(INDIRECT(ADDRESS($A200,2,3,1,Menus!$K$10))=I$1,$D200,#N/A)</f>
        <v>#N/A</v>
      </c>
      <c r="J200" s="2" t="e">
        <f ca="1">IF(INDIRECT(ADDRESS($A200,1,3,1,Menus!$K$10))=T(J$1),$D200,#N/A)</f>
        <v>#N/A</v>
      </c>
      <c r="K200" s="10">
        <f t="shared" ca="1" si="7"/>
        <v>0</v>
      </c>
      <c r="L200" s="2"/>
      <c r="M200" s="85">
        <f ca="1">OFFSET(INDIRECT(ADDRESS($A200,3,3,1,"Gross")),0,Menus!$J$4)</f>
        <v>0</v>
      </c>
      <c r="N200" s="85">
        <f ca="1">OFFSET(INDIRECT(ADDRESS($A200,3,3,1,"Gross")),0,Menus!$J$3)</f>
        <v>0</v>
      </c>
    </row>
    <row r="201" spans="1:14" x14ac:dyDescent="0.25">
      <c r="A201">
        <v>243</v>
      </c>
      <c r="B201" s="2">
        <f ca="1">OFFSET(INDIRECT(ADDRESS($A201,3,3,1,Menus!$K$10)),0,Menus!$J$4)</f>
        <v>0</v>
      </c>
      <c r="C201" s="2">
        <f ca="1">OFFSET(INDIRECT(ADDRESS($A201,3,3,1,Menus!$K$10)),0,Menus!$J$3)</f>
        <v>0</v>
      </c>
      <c r="D201" s="73" t="e">
        <f ca="1">IF(Menus!$J$9,C201/B201,C201)</f>
        <v>#DIV/0!</v>
      </c>
      <c r="E201" s="74" t="e">
        <f t="shared" ca="1" si="8"/>
        <v>#N/A</v>
      </c>
      <c r="F201" s="75">
        <f ca="1">INDIRECT(ADDRESS($A201,1,3,1,Menus!$K$10))</f>
        <v>0</v>
      </c>
      <c r="G201" s="2" t="e">
        <f ca="1">IF(INDIRECT(ADDRESS($A201,2,3,1,Menus!$K$10))=G$1,$D201,#N/A)</f>
        <v>#N/A</v>
      </c>
      <c r="H201" s="2" t="e">
        <f ca="1">IF(INDIRECT(ADDRESS($A201,2,3,1,Menus!$K$10))=H$1,$D201,#N/A)</f>
        <v>#N/A</v>
      </c>
      <c r="I201" s="2" t="e">
        <f ca="1">IF(INDIRECT(ADDRESS($A201,2,3,1,Menus!$K$10))=I$1,$D201,#N/A)</f>
        <v>#N/A</v>
      </c>
      <c r="J201" s="2" t="e">
        <f ca="1">IF(INDIRECT(ADDRESS($A201,1,3,1,Menus!$K$10))=T(J$1),$D201,#N/A)</f>
        <v>#N/A</v>
      </c>
      <c r="K201" s="10">
        <f t="shared" ca="1" si="7"/>
        <v>0</v>
      </c>
      <c r="L201" s="2"/>
      <c r="M201" s="85">
        <f ca="1">OFFSET(INDIRECT(ADDRESS($A201,3,3,1,"Gross")),0,Menus!$J$4)</f>
        <v>0</v>
      </c>
      <c r="N201" s="85">
        <f ca="1">OFFSET(INDIRECT(ADDRESS($A201,3,3,1,"Gross")),0,Menus!$J$3)</f>
        <v>0</v>
      </c>
    </row>
    <row r="202" spans="1:14" x14ac:dyDescent="0.25">
      <c r="A202">
        <v>244</v>
      </c>
      <c r="B202" s="2">
        <f ca="1">OFFSET(INDIRECT(ADDRESS($A202,3,3,1,Menus!$K$10)),0,Menus!$J$4)</f>
        <v>0</v>
      </c>
      <c r="C202" s="2">
        <f ca="1">OFFSET(INDIRECT(ADDRESS($A202,3,3,1,Menus!$K$10)),0,Menus!$J$3)</f>
        <v>0</v>
      </c>
      <c r="D202" s="73" t="e">
        <f ca="1">IF(Menus!$J$9,C202/B202,C202)</f>
        <v>#DIV/0!</v>
      </c>
      <c r="E202" s="74" t="e">
        <f t="shared" ca="1" si="8"/>
        <v>#N/A</v>
      </c>
      <c r="F202" s="75">
        <f ca="1">INDIRECT(ADDRESS($A202,1,3,1,Menus!$K$10))</f>
        <v>0</v>
      </c>
      <c r="G202" s="2" t="e">
        <f ca="1">IF(INDIRECT(ADDRESS($A202,2,3,1,Menus!$K$10))=G$1,$D202,#N/A)</f>
        <v>#N/A</v>
      </c>
      <c r="H202" s="2" t="e">
        <f ca="1">IF(INDIRECT(ADDRESS($A202,2,3,1,Menus!$K$10))=H$1,$D202,#N/A)</f>
        <v>#N/A</v>
      </c>
      <c r="I202" s="2" t="e">
        <f ca="1">IF(INDIRECT(ADDRESS($A202,2,3,1,Menus!$K$10))=I$1,$D202,#N/A)</f>
        <v>#N/A</v>
      </c>
      <c r="J202" s="2" t="e">
        <f ca="1">IF(INDIRECT(ADDRESS($A202,1,3,1,Menus!$K$10))=T(J$1),$D202,#N/A)</f>
        <v>#N/A</v>
      </c>
      <c r="K202" s="10">
        <f t="shared" ca="1" si="7"/>
        <v>0</v>
      </c>
      <c r="L202" s="2"/>
      <c r="M202" s="85">
        <f ca="1">OFFSET(INDIRECT(ADDRESS($A202,3,3,1,"Gross")),0,Menus!$J$4)</f>
        <v>0</v>
      </c>
      <c r="N202" s="85">
        <f ca="1">OFFSET(INDIRECT(ADDRESS($A202,3,3,1,"Gross")),0,Menus!$J$3)</f>
        <v>0</v>
      </c>
    </row>
    <row r="203" spans="1:14" x14ac:dyDescent="0.25">
      <c r="A203">
        <v>245</v>
      </c>
      <c r="B203" s="2">
        <f ca="1">OFFSET(INDIRECT(ADDRESS($A203,3,3,1,Menus!$K$10)),0,Menus!$J$4)</f>
        <v>0</v>
      </c>
      <c r="C203" s="2">
        <f ca="1">OFFSET(INDIRECT(ADDRESS($A203,3,3,1,Menus!$K$10)),0,Menus!$J$3)</f>
        <v>0</v>
      </c>
      <c r="D203" s="73" t="e">
        <f ca="1">IF(Menus!$J$9,C203/B203,C203)</f>
        <v>#DIV/0!</v>
      </c>
      <c r="E203" s="74" t="e">
        <f t="shared" ca="1" si="8"/>
        <v>#N/A</v>
      </c>
      <c r="F203" s="75">
        <f ca="1">INDIRECT(ADDRESS($A203,1,3,1,Menus!$K$10))</f>
        <v>0</v>
      </c>
      <c r="G203" s="2" t="e">
        <f ca="1">IF(INDIRECT(ADDRESS($A203,2,3,1,Menus!$K$10))=G$1,$D203,#N/A)</f>
        <v>#N/A</v>
      </c>
      <c r="H203" s="2" t="e">
        <f ca="1">IF(INDIRECT(ADDRESS($A203,2,3,1,Menus!$K$10))=H$1,$D203,#N/A)</f>
        <v>#N/A</v>
      </c>
      <c r="I203" s="2" t="e">
        <f ca="1">IF(INDIRECT(ADDRESS($A203,2,3,1,Menus!$K$10))=I$1,$D203,#N/A)</f>
        <v>#N/A</v>
      </c>
      <c r="J203" s="2" t="e">
        <f ca="1">IF(INDIRECT(ADDRESS($A203,1,3,1,Menus!$K$10))=T(J$1),$D203,#N/A)</f>
        <v>#N/A</v>
      </c>
      <c r="K203" s="10">
        <f t="shared" ca="1" si="7"/>
        <v>0</v>
      </c>
      <c r="L203" s="2"/>
      <c r="M203" s="85">
        <f ca="1">OFFSET(INDIRECT(ADDRESS($A203,3,3,1,"Gross")),0,Menus!$J$4)</f>
        <v>0</v>
      </c>
      <c r="N203" s="85">
        <f ca="1">OFFSET(INDIRECT(ADDRESS($A203,3,3,1,"Gross")),0,Menus!$J$3)</f>
        <v>0</v>
      </c>
    </row>
    <row r="204" spans="1:14" x14ac:dyDescent="0.25">
      <c r="A204">
        <v>246</v>
      </c>
      <c r="B204" s="2">
        <f ca="1">OFFSET(INDIRECT(ADDRESS($A204,3,3,1,Menus!$K$10)),0,Menus!$J$4)</f>
        <v>0</v>
      </c>
      <c r="C204" s="2">
        <f ca="1">OFFSET(INDIRECT(ADDRESS($A204,3,3,1,Menus!$K$10)),0,Menus!$J$3)</f>
        <v>0</v>
      </c>
      <c r="D204" s="73" t="e">
        <f ca="1">IF(Menus!$J$9,C204/B204,C204)</f>
        <v>#DIV/0!</v>
      </c>
      <c r="E204" s="74" t="e">
        <f t="shared" ca="1" si="8"/>
        <v>#N/A</v>
      </c>
      <c r="F204" s="75">
        <f ca="1">INDIRECT(ADDRESS($A204,1,3,1,Menus!$K$10))</f>
        <v>0</v>
      </c>
      <c r="G204" s="2" t="e">
        <f ca="1">IF(INDIRECT(ADDRESS($A204,2,3,1,Menus!$K$10))=G$1,$D204,#N/A)</f>
        <v>#N/A</v>
      </c>
      <c r="H204" s="2" t="e">
        <f ca="1">IF(INDIRECT(ADDRESS($A204,2,3,1,Menus!$K$10))=H$1,$D204,#N/A)</f>
        <v>#N/A</v>
      </c>
      <c r="I204" s="2" t="e">
        <f ca="1">IF(INDIRECT(ADDRESS($A204,2,3,1,Menus!$K$10))=I$1,$D204,#N/A)</f>
        <v>#N/A</v>
      </c>
      <c r="J204" s="2" t="e">
        <f ca="1">IF(INDIRECT(ADDRESS($A204,1,3,1,Menus!$K$10))=T(J$1),$D204,#N/A)</f>
        <v>#N/A</v>
      </c>
      <c r="K204" s="10">
        <f t="shared" ca="1" si="7"/>
        <v>0</v>
      </c>
      <c r="L204" s="2"/>
      <c r="M204" s="85">
        <f ca="1">OFFSET(INDIRECT(ADDRESS($A204,3,3,1,"Gross")),0,Menus!$J$4)</f>
        <v>0</v>
      </c>
      <c r="N204" s="85">
        <f ca="1">OFFSET(INDIRECT(ADDRESS($A204,3,3,1,"Gross")),0,Menus!$J$3)</f>
        <v>0</v>
      </c>
    </row>
    <row r="205" spans="1:14" x14ac:dyDescent="0.25">
      <c r="A205">
        <v>247</v>
      </c>
      <c r="B205" s="2">
        <f ca="1">OFFSET(INDIRECT(ADDRESS($A205,3,3,1,Menus!$K$10)),0,Menus!$J$4)</f>
        <v>0</v>
      </c>
      <c r="C205" s="2">
        <f ca="1">OFFSET(INDIRECT(ADDRESS($A205,3,3,1,Menus!$K$10)),0,Menus!$J$3)</f>
        <v>0</v>
      </c>
      <c r="D205" s="73" t="e">
        <f ca="1">IF(Menus!$J$9,C205/B205,C205)</f>
        <v>#DIV/0!</v>
      </c>
      <c r="E205" s="74" t="e">
        <f t="shared" ca="1" si="8"/>
        <v>#N/A</v>
      </c>
      <c r="F205" s="75">
        <f ca="1">INDIRECT(ADDRESS($A205,1,3,1,Menus!$K$10))</f>
        <v>0</v>
      </c>
      <c r="G205" s="2" t="e">
        <f ca="1">IF(INDIRECT(ADDRESS($A205,2,3,1,Menus!$K$10))=G$1,$D205,#N/A)</f>
        <v>#N/A</v>
      </c>
      <c r="H205" s="2" t="e">
        <f ca="1">IF(INDIRECT(ADDRESS($A205,2,3,1,Menus!$K$10))=H$1,$D205,#N/A)</f>
        <v>#N/A</v>
      </c>
      <c r="I205" s="2" t="e">
        <f ca="1">IF(INDIRECT(ADDRESS($A205,2,3,1,Menus!$K$10))=I$1,$D205,#N/A)</f>
        <v>#N/A</v>
      </c>
      <c r="J205" s="2" t="e">
        <f ca="1">IF(INDIRECT(ADDRESS($A205,1,3,1,Menus!$K$10))=T(J$1),$D205,#N/A)</f>
        <v>#N/A</v>
      </c>
      <c r="K205" s="10">
        <f t="shared" ca="1" si="7"/>
        <v>0</v>
      </c>
      <c r="L205" s="2"/>
      <c r="M205" s="85">
        <f ca="1">OFFSET(INDIRECT(ADDRESS($A205,3,3,1,"Gross")),0,Menus!$J$4)</f>
        <v>0</v>
      </c>
      <c r="N205" s="85">
        <f ca="1">OFFSET(INDIRECT(ADDRESS($A205,3,3,1,"Gross")),0,Menus!$J$3)</f>
        <v>0</v>
      </c>
    </row>
    <row r="206" spans="1:14" x14ac:dyDescent="0.25">
      <c r="A206">
        <v>248</v>
      </c>
      <c r="B206" s="2">
        <f ca="1">OFFSET(INDIRECT(ADDRESS($A206,3,3,1,Menus!$K$10)),0,Menus!$J$4)</f>
        <v>0</v>
      </c>
      <c r="C206" s="2">
        <f ca="1">OFFSET(INDIRECT(ADDRESS($A206,3,3,1,Menus!$K$10)),0,Menus!$J$3)</f>
        <v>0</v>
      </c>
      <c r="D206" s="73" t="e">
        <f ca="1">IF(Menus!$J$9,C206/B206,C206)</f>
        <v>#DIV/0!</v>
      </c>
      <c r="E206" s="74" t="e">
        <f t="shared" ca="1" si="8"/>
        <v>#N/A</v>
      </c>
      <c r="F206" s="75">
        <f ca="1">INDIRECT(ADDRESS($A206,1,3,1,Menus!$K$10))</f>
        <v>0</v>
      </c>
      <c r="G206" s="2" t="e">
        <f ca="1">IF(INDIRECT(ADDRESS($A206,2,3,1,Menus!$K$10))=G$1,$D206,#N/A)</f>
        <v>#N/A</v>
      </c>
      <c r="H206" s="2" t="e">
        <f ca="1">IF(INDIRECT(ADDRESS($A206,2,3,1,Menus!$K$10))=H$1,$D206,#N/A)</f>
        <v>#N/A</v>
      </c>
      <c r="I206" s="2" t="e">
        <f ca="1">IF(INDIRECT(ADDRESS($A206,2,3,1,Menus!$K$10))=I$1,$D206,#N/A)</f>
        <v>#N/A</v>
      </c>
      <c r="J206" s="2" t="e">
        <f ca="1">IF(INDIRECT(ADDRESS($A206,1,3,1,Menus!$K$10))=T(J$1),$D206,#N/A)</f>
        <v>#N/A</v>
      </c>
      <c r="K206" s="10">
        <f t="shared" ca="1" si="7"/>
        <v>0</v>
      </c>
      <c r="L206" s="2"/>
      <c r="M206" s="85">
        <f ca="1">OFFSET(INDIRECT(ADDRESS($A206,3,3,1,"Gross")),0,Menus!$J$4)</f>
        <v>0</v>
      </c>
      <c r="N206" s="85">
        <f ca="1">OFFSET(INDIRECT(ADDRESS($A206,3,3,1,"Gross")),0,Menus!$J$3)</f>
        <v>0</v>
      </c>
    </row>
    <row r="207" spans="1:14" x14ac:dyDescent="0.25">
      <c r="A207">
        <v>249</v>
      </c>
      <c r="B207" s="2">
        <f ca="1">OFFSET(INDIRECT(ADDRESS($A207,3,3,1,Menus!$K$10)),0,Menus!$J$4)</f>
        <v>0</v>
      </c>
      <c r="C207" s="2">
        <f ca="1">OFFSET(INDIRECT(ADDRESS($A207,3,3,1,Menus!$K$10)),0,Menus!$J$3)</f>
        <v>0</v>
      </c>
      <c r="D207" s="73" t="e">
        <f ca="1">IF(Menus!$J$9,C207/B207,C207)</f>
        <v>#DIV/0!</v>
      </c>
      <c r="E207" s="74" t="e">
        <f t="shared" ca="1" si="8"/>
        <v>#N/A</v>
      </c>
      <c r="F207" s="75">
        <f ca="1">INDIRECT(ADDRESS($A207,1,3,1,Menus!$K$10))</f>
        <v>0</v>
      </c>
      <c r="G207" s="2" t="e">
        <f ca="1">IF(INDIRECT(ADDRESS($A207,2,3,1,Menus!$K$10))=G$1,$D207,#N/A)</f>
        <v>#N/A</v>
      </c>
      <c r="H207" s="2" t="e">
        <f ca="1">IF(INDIRECT(ADDRESS($A207,2,3,1,Menus!$K$10))=H$1,$D207,#N/A)</f>
        <v>#N/A</v>
      </c>
      <c r="I207" s="2" t="e">
        <f ca="1">IF(INDIRECT(ADDRESS($A207,2,3,1,Menus!$K$10))=I$1,$D207,#N/A)</f>
        <v>#N/A</v>
      </c>
      <c r="J207" s="2" t="e">
        <f ca="1">IF(INDIRECT(ADDRESS($A207,1,3,1,Menus!$K$10))=T(J$1),$D207,#N/A)</f>
        <v>#N/A</v>
      </c>
      <c r="K207" s="10">
        <f t="shared" ca="1" si="7"/>
        <v>0</v>
      </c>
      <c r="L207" s="2"/>
      <c r="M207" s="85">
        <f ca="1">OFFSET(INDIRECT(ADDRESS($A207,3,3,1,"Gross")),0,Menus!$J$4)</f>
        <v>0</v>
      </c>
      <c r="N207" s="85">
        <f ca="1">OFFSET(INDIRECT(ADDRESS($A207,3,3,1,"Gross")),0,Menus!$J$3)</f>
        <v>0</v>
      </c>
    </row>
    <row r="208" spans="1:14" x14ac:dyDescent="0.25">
      <c r="A208">
        <v>250</v>
      </c>
      <c r="B208" s="2">
        <f ca="1">OFFSET(INDIRECT(ADDRESS($A208,3,3,1,Menus!$K$10)),0,Menus!$J$4)</f>
        <v>0</v>
      </c>
      <c r="C208" s="2">
        <f ca="1">OFFSET(INDIRECT(ADDRESS($A208,3,3,1,Menus!$K$10)),0,Menus!$J$3)</f>
        <v>0</v>
      </c>
      <c r="D208" s="73" t="e">
        <f ca="1">IF(Menus!$J$9,C208/B208,C208)</f>
        <v>#DIV/0!</v>
      </c>
      <c r="E208" s="74" t="e">
        <f t="shared" ca="1" si="8"/>
        <v>#N/A</v>
      </c>
      <c r="F208" s="75">
        <f ca="1">INDIRECT(ADDRESS($A208,1,3,1,Menus!$K$10))</f>
        <v>0</v>
      </c>
      <c r="G208" s="2" t="e">
        <f ca="1">IF(INDIRECT(ADDRESS($A208,2,3,1,Menus!$K$10))=G$1,$D208,#N/A)</f>
        <v>#N/A</v>
      </c>
      <c r="H208" s="2" t="e">
        <f ca="1">IF(INDIRECT(ADDRESS($A208,2,3,1,Menus!$K$10))=H$1,$D208,#N/A)</f>
        <v>#N/A</v>
      </c>
      <c r="I208" s="2" t="e">
        <f ca="1">IF(INDIRECT(ADDRESS($A208,2,3,1,Menus!$K$10))=I$1,$D208,#N/A)</f>
        <v>#N/A</v>
      </c>
      <c r="J208" s="2" t="e">
        <f ca="1">IF(INDIRECT(ADDRESS($A208,1,3,1,Menus!$K$10))=T(J$1),$D208,#N/A)</f>
        <v>#N/A</v>
      </c>
      <c r="K208" s="10">
        <f t="shared" ca="1" si="7"/>
        <v>0</v>
      </c>
      <c r="L208" s="2"/>
      <c r="M208" s="85">
        <f ca="1">OFFSET(INDIRECT(ADDRESS($A208,3,3,1,"Gross")),0,Menus!$J$4)</f>
        <v>0</v>
      </c>
      <c r="N208" s="85">
        <f ca="1">OFFSET(INDIRECT(ADDRESS($A208,3,3,1,"Gross")),0,Menus!$J$3)</f>
        <v>0</v>
      </c>
    </row>
    <row r="209" spans="1:14" x14ac:dyDescent="0.25">
      <c r="A209">
        <v>251</v>
      </c>
      <c r="B209" s="2">
        <f ca="1">OFFSET(INDIRECT(ADDRESS($A209,3,3,1,Menus!$K$10)),0,Menus!$J$4)</f>
        <v>0</v>
      </c>
      <c r="C209" s="2">
        <f ca="1">OFFSET(INDIRECT(ADDRESS($A209,3,3,1,Menus!$K$10)),0,Menus!$J$3)</f>
        <v>0</v>
      </c>
      <c r="D209" s="73" t="e">
        <f ca="1">IF(Menus!$J$9,C209/B209,C209)</f>
        <v>#DIV/0!</v>
      </c>
      <c r="E209" s="74" t="e">
        <f t="shared" ca="1" si="8"/>
        <v>#N/A</v>
      </c>
      <c r="F209" s="75">
        <f ca="1">INDIRECT(ADDRESS($A209,1,3,1,Menus!$K$10))</f>
        <v>0</v>
      </c>
      <c r="G209" s="2" t="e">
        <f ca="1">IF(INDIRECT(ADDRESS($A209,2,3,1,Menus!$K$10))=G$1,$D209,#N/A)</f>
        <v>#N/A</v>
      </c>
      <c r="H209" s="2" t="e">
        <f ca="1">IF(INDIRECT(ADDRESS($A209,2,3,1,Menus!$K$10))=H$1,$D209,#N/A)</f>
        <v>#N/A</v>
      </c>
      <c r="I209" s="2" t="e">
        <f ca="1">IF(INDIRECT(ADDRESS($A209,2,3,1,Menus!$K$10))=I$1,$D209,#N/A)</f>
        <v>#N/A</v>
      </c>
      <c r="J209" s="2" t="e">
        <f ca="1">IF(INDIRECT(ADDRESS($A209,1,3,1,Menus!$K$10))=T(J$1),$D209,#N/A)</f>
        <v>#N/A</v>
      </c>
      <c r="K209" s="10">
        <f t="shared" ca="1" si="7"/>
        <v>0</v>
      </c>
      <c r="L209" s="2"/>
      <c r="M209" s="85">
        <f ca="1">OFFSET(INDIRECT(ADDRESS($A209,3,3,1,"Gross")),0,Menus!$J$4)</f>
        <v>0</v>
      </c>
      <c r="N209" s="85">
        <f ca="1">OFFSET(INDIRECT(ADDRESS($A209,3,3,1,"Gross")),0,Menus!$J$3)</f>
        <v>0</v>
      </c>
    </row>
    <row r="210" spans="1:14" x14ac:dyDescent="0.25">
      <c r="A210">
        <v>252</v>
      </c>
      <c r="B210" s="2">
        <f ca="1">OFFSET(INDIRECT(ADDRESS($A210,3,3,1,Menus!$K$10)),0,Menus!$J$4)</f>
        <v>0</v>
      </c>
      <c r="C210" s="2">
        <f ca="1">OFFSET(INDIRECT(ADDRESS($A210,3,3,1,Menus!$K$10)),0,Menus!$J$3)</f>
        <v>0</v>
      </c>
      <c r="D210" s="73" t="e">
        <f ca="1">IF(Menus!$J$9,C210/B210,C210)</f>
        <v>#DIV/0!</v>
      </c>
      <c r="E210" s="74" t="e">
        <f t="shared" ca="1" si="8"/>
        <v>#N/A</v>
      </c>
      <c r="F210" s="75">
        <f ca="1">INDIRECT(ADDRESS($A210,1,3,1,Menus!$K$10))</f>
        <v>0</v>
      </c>
      <c r="G210" s="2" t="e">
        <f ca="1">IF(INDIRECT(ADDRESS($A210,2,3,1,Menus!$K$10))=G$1,$D210,#N/A)</f>
        <v>#N/A</v>
      </c>
      <c r="H210" s="2" t="e">
        <f ca="1">IF(INDIRECT(ADDRESS($A210,2,3,1,Menus!$K$10))=H$1,$D210,#N/A)</f>
        <v>#N/A</v>
      </c>
      <c r="I210" s="2" t="e">
        <f ca="1">IF(INDIRECT(ADDRESS($A210,2,3,1,Menus!$K$10))=I$1,$D210,#N/A)</f>
        <v>#N/A</v>
      </c>
      <c r="J210" s="2" t="e">
        <f ca="1">IF(INDIRECT(ADDRESS($A210,1,3,1,Menus!$K$10))=T(J$1),$D210,#N/A)</f>
        <v>#N/A</v>
      </c>
      <c r="K210" s="10">
        <f t="shared" ca="1" si="7"/>
        <v>0</v>
      </c>
      <c r="L210" s="2"/>
      <c r="M210" s="85">
        <f ca="1">OFFSET(INDIRECT(ADDRESS($A210,3,3,1,"Gross")),0,Menus!$J$4)</f>
        <v>0</v>
      </c>
      <c r="N210" s="85">
        <f ca="1">OFFSET(INDIRECT(ADDRESS($A210,3,3,1,"Gross")),0,Menus!$J$3)</f>
        <v>0</v>
      </c>
    </row>
    <row r="211" spans="1:14" x14ac:dyDescent="0.25">
      <c r="A211">
        <v>253</v>
      </c>
      <c r="B211" s="2">
        <f ca="1">OFFSET(INDIRECT(ADDRESS($A211,3,3,1,Menus!$K$10)),0,Menus!$J$4)</f>
        <v>0</v>
      </c>
      <c r="C211" s="2">
        <f ca="1">OFFSET(INDIRECT(ADDRESS($A211,3,3,1,Menus!$K$10)),0,Menus!$J$3)</f>
        <v>0</v>
      </c>
      <c r="D211" s="73" t="e">
        <f ca="1">IF(Menus!$J$9,C211/B211,C211)</f>
        <v>#DIV/0!</v>
      </c>
      <c r="E211" s="74" t="e">
        <f t="shared" ca="1" si="8"/>
        <v>#N/A</v>
      </c>
      <c r="F211" s="75">
        <f ca="1">INDIRECT(ADDRESS($A211,1,3,1,Menus!$K$10))</f>
        <v>0</v>
      </c>
      <c r="G211" s="2" t="e">
        <f ca="1">IF(INDIRECT(ADDRESS($A211,2,3,1,Menus!$K$10))=G$1,$D211,#N/A)</f>
        <v>#N/A</v>
      </c>
      <c r="H211" s="2" t="e">
        <f ca="1">IF(INDIRECT(ADDRESS($A211,2,3,1,Menus!$K$10))=H$1,$D211,#N/A)</f>
        <v>#N/A</v>
      </c>
      <c r="I211" s="2" t="e">
        <f ca="1">IF(INDIRECT(ADDRESS($A211,2,3,1,Menus!$K$10))=I$1,$D211,#N/A)</f>
        <v>#N/A</v>
      </c>
      <c r="J211" s="2" t="e">
        <f ca="1">IF(INDIRECT(ADDRESS($A211,1,3,1,Menus!$K$10))=T(J$1),$D211,#N/A)</f>
        <v>#N/A</v>
      </c>
      <c r="K211" s="10">
        <f t="shared" ca="1" si="7"/>
        <v>0</v>
      </c>
      <c r="L211" s="2"/>
      <c r="M211" s="85">
        <f ca="1">OFFSET(INDIRECT(ADDRESS($A211,3,3,1,"Gross")),0,Menus!$J$4)</f>
        <v>0</v>
      </c>
      <c r="N211" s="85">
        <f ca="1">OFFSET(INDIRECT(ADDRESS($A211,3,3,1,"Gross")),0,Menus!$J$3)</f>
        <v>0</v>
      </c>
    </row>
    <row r="212" spans="1:14" x14ac:dyDescent="0.25">
      <c r="A212">
        <v>254</v>
      </c>
      <c r="B212" s="2">
        <f ca="1">OFFSET(INDIRECT(ADDRESS($A212,3,3,1,Menus!$K$10)),0,Menus!$J$4)</f>
        <v>0</v>
      </c>
      <c r="C212" s="2">
        <f ca="1">OFFSET(INDIRECT(ADDRESS($A212,3,3,1,Menus!$K$10)),0,Menus!$J$3)</f>
        <v>0</v>
      </c>
      <c r="D212" s="73" t="e">
        <f ca="1">IF(Menus!$J$9,C212/B212,C212)</f>
        <v>#DIV/0!</v>
      </c>
      <c r="E212" s="74" t="e">
        <f t="shared" ca="1" si="8"/>
        <v>#N/A</v>
      </c>
      <c r="F212" s="75">
        <f ca="1">INDIRECT(ADDRESS($A212,1,3,1,Menus!$K$10))</f>
        <v>0</v>
      </c>
      <c r="G212" s="2" t="e">
        <f ca="1">IF(INDIRECT(ADDRESS($A212,2,3,1,Menus!$K$10))=G$1,$D212,#N/A)</f>
        <v>#N/A</v>
      </c>
      <c r="H212" s="2" t="e">
        <f ca="1">IF(INDIRECT(ADDRESS($A212,2,3,1,Menus!$K$10))=H$1,$D212,#N/A)</f>
        <v>#N/A</v>
      </c>
      <c r="I212" s="2" t="e">
        <f ca="1">IF(INDIRECT(ADDRESS($A212,2,3,1,Menus!$K$10))=I$1,$D212,#N/A)</f>
        <v>#N/A</v>
      </c>
      <c r="J212" s="2" t="e">
        <f ca="1">IF(INDIRECT(ADDRESS($A212,1,3,1,Menus!$K$10))=T(J$1),$D212,#N/A)</f>
        <v>#N/A</v>
      </c>
      <c r="K212" s="10">
        <f t="shared" ca="1" si="7"/>
        <v>0</v>
      </c>
      <c r="L212" s="2"/>
      <c r="M212" s="85">
        <f ca="1">OFFSET(INDIRECT(ADDRESS($A212,3,3,1,"Gross")),0,Menus!$J$4)</f>
        <v>0</v>
      </c>
      <c r="N212" s="85">
        <f ca="1">OFFSET(INDIRECT(ADDRESS($A212,3,3,1,"Gross")),0,Menus!$J$3)</f>
        <v>0</v>
      </c>
    </row>
    <row r="213" spans="1:14" x14ac:dyDescent="0.25">
      <c r="A213">
        <v>255</v>
      </c>
      <c r="B213" s="2">
        <f ca="1">OFFSET(INDIRECT(ADDRESS($A213,3,3,1,Menus!$K$10)),0,Menus!$J$4)</f>
        <v>0</v>
      </c>
      <c r="C213" s="2">
        <f ca="1">OFFSET(INDIRECT(ADDRESS($A213,3,3,1,Menus!$K$10)),0,Menus!$J$3)</f>
        <v>0</v>
      </c>
      <c r="D213" s="73" t="e">
        <f ca="1">IF(Menus!$J$9,C213/B213,C213)</f>
        <v>#DIV/0!</v>
      </c>
      <c r="E213" s="74" t="e">
        <f t="shared" ca="1" si="8"/>
        <v>#N/A</v>
      </c>
      <c r="F213" s="75">
        <f ca="1">INDIRECT(ADDRESS($A213,1,3,1,Menus!$K$10))</f>
        <v>0</v>
      </c>
      <c r="G213" s="2" t="e">
        <f ca="1">IF(INDIRECT(ADDRESS($A213,2,3,1,Menus!$K$10))=G$1,$D213,#N/A)</f>
        <v>#N/A</v>
      </c>
      <c r="H213" s="2" t="e">
        <f ca="1">IF(INDIRECT(ADDRESS($A213,2,3,1,Menus!$K$10))=H$1,$D213,#N/A)</f>
        <v>#N/A</v>
      </c>
      <c r="I213" s="2" t="e">
        <f ca="1">IF(INDIRECT(ADDRESS($A213,2,3,1,Menus!$K$10))=I$1,$D213,#N/A)</f>
        <v>#N/A</v>
      </c>
      <c r="J213" s="2" t="e">
        <f ca="1">IF(INDIRECT(ADDRESS($A213,1,3,1,Menus!$K$10))=T(J$1),$D213,#N/A)</f>
        <v>#N/A</v>
      </c>
      <c r="K213" s="10">
        <f t="shared" ca="1" si="7"/>
        <v>0</v>
      </c>
      <c r="L213" s="2"/>
      <c r="M213" s="85">
        <f ca="1">OFFSET(INDIRECT(ADDRESS($A213,3,3,1,"Gross")),0,Menus!$J$4)</f>
        <v>0</v>
      </c>
      <c r="N213" s="85">
        <f ca="1">OFFSET(INDIRECT(ADDRESS($A213,3,3,1,"Gross")),0,Menus!$J$3)</f>
        <v>0</v>
      </c>
    </row>
    <row r="214" spans="1:14" x14ac:dyDescent="0.25">
      <c r="A214">
        <v>256</v>
      </c>
      <c r="B214" s="2">
        <f ca="1">OFFSET(INDIRECT(ADDRESS($A214,3,3,1,Menus!$K$10)),0,Menus!$J$4)</f>
        <v>0</v>
      </c>
      <c r="C214" s="2">
        <f ca="1">OFFSET(INDIRECT(ADDRESS($A214,3,3,1,Menus!$K$10)),0,Menus!$J$3)</f>
        <v>0</v>
      </c>
      <c r="D214" s="73" t="e">
        <f ca="1">IF(Menus!$J$9,C214/B214,C214)</f>
        <v>#DIV/0!</v>
      </c>
      <c r="E214" s="74" t="e">
        <f t="shared" ca="1" si="8"/>
        <v>#N/A</v>
      </c>
      <c r="F214" s="75">
        <f ca="1">INDIRECT(ADDRESS($A214,1,3,1,Menus!$K$10))</f>
        <v>0</v>
      </c>
      <c r="G214" s="2" t="e">
        <f ca="1">IF(INDIRECT(ADDRESS($A214,2,3,1,Menus!$K$10))=G$1,$D214,#N/A)</f>
        <v>#N/A</v>
      </c>
      <c r="H214" s="2" t="e">
        <f ca="1">IF(INDIRECT(ADDRESS($A214,2,3,1,Menus!$K$10))=H$1,$D214,#N/A)</f>
        <v>#N/A</v>
      </c>
      <c r="I214" s="2" t="e">
        <f ca="1">IF(INDIRECT(ADDRESS($A214,2,3,1,Menus!$K$10))=I$1,$D214,#N/A)</f>
        <v>#N/A</v>
      </c>
      <c r="J214" s="2" t="e">
        <f ca="1">IF(INDIRECT(ADDRESS($A214,1,3,1,Menus!$K$10))=T(J$1),$D214,#N/A)</f>
        <v>#N/A</v>
      </c>
      <c r="K214" s="10">
        <f t="shared" ca="1" si="7"/>
        <v>0</v>
      </c>
      <c r="L214" s="2"/>
      <c r="M214" s="85">
        <f ca="1">OFFSET(INDIRECT(ADDRESS($A214,3,3,1,"Gross")),0,Menus!$J$4)</f>
        <v>0</v>
      </c>
      <c r="N214" s="85">
        <f ca="1">OFFSET(INDIRECT(ADDRESS($A214,3,3,1,"Gross")),0,Menus!$J$3)</f>
        <v>0</v>
      </c>
    </row>
    <row r="215" spans="1:14" x14ac:dyDescent="0.25">
      <c r="A215">
        <v>257</v>
      </c>
      <c r="B215" s="2">
        <f ca="1">OFFSET(INDIRECT(ADDRESS($A215,3,3,1,Menus!$K$10)),0,Menus!$J$4)</f>
        <v>0</v>
      </c>
      <c r="C215" s="2">
        <f ca="1">OFFSET(INDIRECT(ADDRESS($A215,3,3,1,Menus!$K$10)),0,Menus!$J$3)</f>
        <v>0</v>
      </c>
      <c r="D215" s="73" t="e">
        <f ca="1">IF(Menus!$J$9,C215/B215,C215)</f>
        <v>#DIV/0!</v>
      </c>
      <c r="E215" s="74" t="e">
        <f t="shared" ca="1" si="8"/>
        <v>#N/A</v>
      </c>
      <c r="F215" s="75">
        <f ca="1">INDIRECT(ADDRESS($A215,1,3,1,Menus!$K$10))</f>
        <v>0</v>
      </c>
      <c r="G215" s="2" t="e">
        <f ca="1">IF(INDIRECT(ADDRESS($A215,2,3,1,Menus!$K$10))=G$1,$D215,#N/A)</f>
        <v>#N/A</v>
      </c>
      <c r="H215" s="2" t="e">
        <f ca="1">IF(INDIRECT(ADDRESS($A215,2,3,1,Menus!$K$10))=H$1,$D215,#N/A)</f>
        <v>#N/A</v>
      </c>
      <c r="I215" s="2" t="e">
        <f ca="1">IF(INDIRECT(ADDRESS($A215,2,3,1,Menus!$K$10))=I$1,$D215,#N/A)</f>
        <v>#N/A</v>
      </c>
      <c r="J215" s="2" t="e">
        <f ca="1">IF(INDIRECT(ADDRESS($A215,1,3,1,Menus!$K$10))=T(J$1),$D215,#N/A)</f>
        <v>#N/A</v>
      </c>
      <c r="K215" s="10">
        <f t="shared" ca="1" si="7"/>
        <v>0</v>
      </c>
      <c r="L215" s="2"/>
      <c r="M215" s="85">
        <f ca="1">OFFSET(INDIRECT(ADDRESS($A215,3,3,1,"Gross")),0,Menus!$J$4)</f>
        <v>0</v>
      </c>
      <c r="N215" s="85">
        <f ca="1">OFFSET(INDIRECT(ADDRESS($A215,3,3,1,"Gross")),0,Menus!$J$3)</f>
        <v>0</v>
      </c>
    </row>
    <row r="216" spans="1:14" x14ac:dyDescent="0.25">
      <c r="A216">
        <v>258</v>
      </c>
      <c r="B216" s="2">
        <f ca="1">OFFSET(INDIRECT(ADDRESS($A216,3,3,1,Menus!$K$10)),0,Menus!$J$4)</f>
        <v>0</v>
      </c>
      <c r="C216" s="2">
        <f ca="1">OFFSET(INDIRECT(ADDRESS($A216,3,3,1,Menus!$K$10)),0,Menus!$J$3)</f>
        <v>0</v>
      </c>
      <c r="D216" s="73" t="e">
        <f ca="1">IF(Menus!$J$9,C216/B216,C216)</f>
        <v>#DIV/0!</v>
      </c>
      <c r="E216" s="74" t="e">
        <f t="shared" ca="1" si="8"/>
        <v>#N/A</v>
      </c>
      <c r="F216" s="75">
        <f ca="1">INDIRECT(ADDRESS($A216,1,3,1,Menus!$K$10))</f>
        <v>0</v>
      </c>
      <c r="G216" s="2" t="e">
        <f ca="1">IF(INDIRECT(ADDRESS($A216,2,3,1,Menus!$K$10))=G$1,$D216,#N/A)</f>
        <v>#N/A</v>
      </c>
      <c r="H216" s="2" t="e">
        <f ca="1">IF(INDIRECT(ADDRESS($A216,2,3,1,Menus!$K$10))=H$1,$D216,#N/A)</f>
        <v>#N/A</v>
      </c>
      <c r="I216" s="2" t="e">
        <f ca="1">IF(INDIRECT(ADDRESS($A216,2,3,1,Menus!$K$10))=I$1,$D216,#N/A)</f>
        <v>#N/A</v>
      </c>
      <c r="J216" s="2" t="e">
        <f ca="1">IF(INDIRECT(ADDRESS($A216,1,3,1,Menus!$K$10))=T(J$1),$D216,#N/A)</f>
        <v>#N/A</v>
      </c>
      <c r="K216" s="10">
        <f t="shared" ca="1" si="7"/>
        <v>0</v>
      </c>
      <c r="L216" s="2"/>
      <c r="M216" s="85">
        <f ca="1">OFFSET(INDIRECT(ADDRESS($A216,3,3,1,"Gross")),0,Menus!$J$4)</f>
        <v>0</v>
      </c>
      <c r="N216" s="85">
        <f ca="1">OFFSET(INDIRECT(ADDRESS($A216,3,3,1,"Gross")),0,Menus!$J$3)</f>
        <v>0</v>
      </c>
    </row>
    <row r="217" spans="1:14" x14ac:dyDescent="0.25">
      <c r="A217">
        <v>259</v>
      </c>
      <c r="B217" s="2">
        <f ca="1">OFFSET(INDIRECT(ADDRESS($A217,3,3,1,Menus!$K$10)),0,Menus!$J$4)</f>
        <v>0</v>
      </c>
      <c r="C217" s="2">
        <f ca="1">OFFSET(INDIRECT(ADDRESS($A217,3,3,1,Menus!$K$10)),0,Menus!$J$3)</f>
        <v>0</v>
      </c>
      <c r="D217" s="73" t="e">
        <f ca="1">IF(Menus!$J$9,C217/B217,C217)</f>
        <v>#DIV/0!</v>
      </c>
      <c r="E217" s="74" t="e">
        <f t="shared" ca="1" si="8"/>
        <v>#N/A</v>
      </c>
      <c r="F217" s="75">
        <f ca="1">INDIRECT(ADDRESS($A217,1,3,1,Menus!$K$10))</f>
        <v>0</v>
      </c>
      <c r="G217" s="2" t="e">
        <f ca="1">IF(INDIRECT(ADDRESS($A217,2,3,1,Menus!$K$10))=G$1,$D217,#N/A)</f>
        <v>#N/A</v>
      </c>
      <c r="H217" s="2" t="e">
        <f ca="1">IF(INDIRECT(ADDRESS($A217,2,3,1,Menus!$K$10))=H$1,$D217,#N/A)</f>
        <v>#N/A</v>
      </c>
      <c r="I217" s="2" t="e">
        <f ca="1">IF(INDIRECT(ADDRESS($A217,2,3,1,Menus!$K$10))=I$1,$D217,#N/A)</f>
        <v>#N/A</v>
      </c>
      <c r="J217" s="2" t="e">
        <f ca="1">IF(INDIRECT(ADDRESS($A217,1,3,1,Menus!$K$10))=T(J$1),$D217,#N/A)</f>
        <v>#N/A</v>
      </c>
      <c r="K217" s="10">
        <f t="shared" ca="1" si="7"/>
        <v>0</v>
      </c>
      <c r="L217" s="2"/>
      <c r="M217" s="85">
        <f ca="1">OFFSET(INDIRECT(ADDRESS($A217,3,3,1,"Gross")),0,Menus!$J$4)</f>
        <v>0</v>
      </c>
      <c r="N217" s="85">
        <f ca="1">OFFSET(INDIRECT(ADDRESS($A217,3,3,1,"Gross")),0,Menus!$J$3)</f>
        <v>0</v>
      </c>
    </row>
    <row r="218" spans="1:14" x14ac:dyDescent="0.25">
      <c r="A218">
        <v>260</v>
      </c>
      <c r="B218" s="2">
        <f ca="1">OFFSET(INDIRECT(ADDRESS($A218,3,3,1,Menus!$K$10)),0,Menus!$J$4)</f>
        <v>0</v>
      </c>
      <c r="C218" s="2">
        <f ca="1">OFFSET(INDIRECT(ADDRESS($A218,3,3,1,Menus!$K$10)),0,Menus!$J$3)</f>
        <v>0</v>
      </c>
      <c r="D218" s="73" t="e">
        <f ca="1">IF(Menus!$J$9,C218/B218,C218)</f>
        <v>#DIV/0!</v>
      </c>
      <c r="E218" s="74" t="e">
        <f t="shared" ca="1" si="8"/>
        <v>#N/A</v>
      </c>
      <c r="F218" s="75">
        <f ca="1">INDIRECT(ADDRESS($A218,1,3,1,Menus!$K$10))</f>
        <v>0</v>
      </c>
      <c r="G218" s="2" t="e">
        <f ca="1">IF(INDIRECT(ADDRESS($A218,2,3,1,Menus!$K$10))=G$1,$D218,#N/A)</f>
        <v>#N/A</v>
      </c>
      <c r="H218" s="2" t="e">
        <f ca="1">IF(INDIRECT(ADDRESS($A218,2,3,1,Menus!$K$10))=H$1,$D218,#N/A)</f>
        <v>#N/A</v>
      </c>
      <c r="I218" s="2" t="e">
        <f ca="1">IF(INDIRECT(ADDRESS($A218,2,3,1,Menus!$K$10))=I$1,$D218,#N/A)</f>
        <v>#N/A</v>
      </c>
      <c r="J218" s="2" t="e">
        <f ca="1">IF(INDIRECT(ADDRESS($A218,1,3,1,Menus!$K$10))=T(J$1),$D218,#N/A)</f>
        <v>#N/A</v>
      </c>
      <c r="K218" s="10">
        <f t="shared" ca="1" si="7"/>
        <v>0</v>
      </c>
      <c r="L218" s="2"/>
      <c r="M218" s="85">
        <f ca="1">OFFSET(INDIRECT(ADDRESS($A218,3,3,1,"Gross")),0,Menus!$J$4)</f>
        <v>0</v>
      </c>
      <c r="N218" s="85">
        <f ca="1">OFFSET(INDIRECT(ADDRESS($A218,3,3,1,"Gross")),0,Menus!$J$3)</f>
        <v>0</v>
      </c>
    </row>
    <row r="219" spans="1:14" x14ac:dyDescent="0.25">
      <c r="A219">
        <v>261</v>
      </c>
      <c r="B219" s="2">
        <f ca="1">OFFSET(INDIRECT(ADDRESS($A219,3,3,1,Menus!$K$10)),0,Menus!$J$4)</f>
        <v>0</v>
      </c>
      <c r="C219" s="2">
        <f ca="1">OFFSET(INDIRECT(ADDRESS($A219,3,3,1,Menus!$K$10)),0,Menus!$J$3)</f>
        <v>0</v>
      </c>
      <c r="D219" s="73" t="e">
        <f ca="1">IF(Menus!$J$9,C219/B219,C219)</f>
        <v>#DIV/0!</v>
      </c>
      <c r="E219" s="74" t="e">
        <f t="shared" ca="1" si="8"/>
        <v>#N/A</v>
      </c>
      <c r="F219" s="75">
        <f ca="1">INDIRECT(ADDRESS($A219,1,3,1,Menus!$K$10))</f>
        <v>0</v>
      </c>
      <c r="G219" s="2" t="e">
        <f ca="1">IF(INDIRECT(ADDRESS($A219,2,3,1,Menus!$K$10))=G$1,$D219,#N/A)</f>
        <v>#N/A</v>
      </c>
      <c r="H219" s="2" t="e">
        <f ca="1">IF(INDIRECT(ADDRESS($A219,2,3,1,Menus!$K$10))=H$1,$D219,#N/A)</f>
        <v>#N/A</v>
      </c>
      <c r="I219" s="2" t="e">
        <f ca="1">IF(INDIRECT(ADDRESS($A219,2,3,1,Menus!$K$10))=I$1,$D219,#N/A)</f>
        <v>#N/A</v>
      </c>
      <c r="J219" s="2" t="e">
        <f ca="1">IF(INDIRECT(ADDRESS($A219,1,3,1,Menus!$K$10))=T(J$1),$D219,#N/A)</f>
        <v>#N/A</v>
      </c>
      <c r="K219" s="10">
        <f t="shared" ca="1" si="7"/>
        <v>0</v>
      </c>
      <c r="L219" s="2"/>
      <c r="M219" s="85">
        <f ca="1">OFFSET(INDIRECT(ADDRESS($A219,3,3,1,"Gross")),0,Menus!$J$4)</f>
        <v>0</v>
      </c>
      <c r="N219" s="85">
        <f ca="1">OFFSET(INDIRECT(ADDRESS($A219,3,3,1,"Gross")),0,Menus!$J$3)</f>
        <v>0</v>
      </c>
    </row>
    <row r="220" spans="1:14" x14ac:dyDescent="0.25">
      <c r="A220">
        <v>262</v>
      </c>
      <c r="B220" s="2">
        <f ca="1">OFFSET(INDIRECT(ADDRESS($A220,3,3,1,Menus!$K$10)),0,Menus!$J$4)</f>
        <v>0</v>
      </c>
      <c r="C220" s="2">
        <f ca="1">OFFSET(INDIRECT(ADDRESS($A220,3,3,1,Menus!$K$10)),0,Menus!$J$3)</f>
        <v>0</v>
      </c>
      <c r="D220" s="73" t="e">
        <f ca="1">IF(Menus!$J$9,C220/B220,C220)</f>
        <v>#DIV/0!</v>
      </c>
      <c r="E220" s="74" t="e">
        <f t="shared" ca="1" si="8"/>
        <v>#N/A</v>
      </c>
      <c r="F220" s="75">
        <f ca="1">INDIRECT(ADDRESS($A220,1,3,1,Menus!$K$10))</f>
        <v>0</v>
      </c>
      <c r="G220" s="2" t="e">
        <f ca="1">IF(INDIRECT(ADDRESS($A220,2,3,1,Menus!$K$10))=G$1,$D220,#N/A)</f>
        <v>#N/A</v>
      </c>
      <c r="H220" s="2" t="e">
        <f ca="1">IF(INDIRECT(ADDRESS($A220,2,3,1,Menus!$K$10))=H$1,$D220,#N/A)</f>
        <v>#N/A</v>
      </c>
      <c r="I220" s="2" t="e">
        <f ca="1">IF(INDIRECT(ADDRESS($A220,2,3,1,Menus!$K$10))=I$1,$D220,#N/A)</f>
        <v>#N/A</v>
      </c>
      <c r="J220" s="2" t="e">
        <f ca="1">IF(INDIRECT(ADDRESS($A220,1,3,1,Menus!$K$10))=T(J$1),$D220,#N/A)</f>
        <v>#N/A</v>
      </c>
      <c r="K220" s="10">
        <f t="shared" ca="1" si="7"/>
        <v>0</v>
      </c>
      <c r="L220" s="2"/>
      <c r="M220" s="85">
        <f ca="1">OFFSET(INDIRECT(ADDRESS($A220,3,3,1,"Gross")),0,Menus!$J$4)</f>
        <v>0</v>
      </c>
      <c r="N220" s="85">
        <f ca="1">OFFSET(INDIRECT(ADDRESS($A220,3,3,1,"Gross")),0,Menus!$J$3)</f>
        <v>0</v>
      </c>
    </row>
    <row r="221" spans="1:14" x14ac:dyDescent="0.25">
      <c r="A221">
        <v>263</v>
      </c>
      <c r="B221" s="2">
        <f ca="1">OFFSET(INDIRECT(ADDRESS($A221,3,3,1,Menus!$K$10)),0,Menus!$J$4)</f>
        <v>0</v>
      </c>
      <c r="C221" s="2">
        <f ca="1">OFFSET(INDIRECT(ADDRESS($A221,3,3,1,Menus!$K$10)),0,Menus!$J$3)</f>
        <v>0</v>
      </c>
      <c r="D221" s="73" t="e">
        <f ca="1">IF(Menus!$J$9,C221/B221,C221)</f>
        <v>#DIV/0!</v>
      </c>
      <c r="E221" s="74" t="e">
        <f t="shared" ca="1" si="8"/>
        <v>#N/A</v>
      </c>
      <c r="F221" s="75">
        <f ca="1">INDIRECT(ADDRESS($A221,1,3,1,Menus!$K$10))</f>
        <v>0</v>
      </c>
      <c r="G221" s="2" t="e">
        <f ca="1">IF(INDIRECT(ADDRESS($A221,2,3,1,Menus!$K$10))=G$1,$D221,#N/A)</f>
        <v>#N/A</v>
      </c>
      <c r="H221" s="2" t="e">
        <f ca="1">IF(INDIRECT(ADDRESS($A221,2,3,1,Menus!$K$10))=H$1,$D221,#N/A)</f>
        <v>#N/A</v>
      </c>
      <c r="I221" s="2" t="e">
        <f ca="1">IF(INDIRECT(ADDRESS($A221,2,3,1,Menus!$K$10))=I$1,$D221,#N/A)</f>
        <v>#N/A</v>
      </c>
      <c r="J221" s="2" t="e">
        <f ca="1">IF(INDIRECT(ADDRESS($A221,1,3,1,Menus!$K$10))=T(J$1),$D221,#N/A)</f>
        <v>#N/A</v>
      </c>
      <c r="K221" s="10">
        <f t="shared" ca="1" si="7"/>
        <v>0</v>
      </c>
      <c r="L221" s="2"/>
      <c r="M221" s="85">
        <f ca="1">OFFSET(INDIRECT(ADDRESS($A221,3,3,1,"Gross")),0,Menus!$J$4)</f>
        <v>0</v>
      </c>
      <c r="N221" s="85">
        <f ca="1">OFFSET(INDIRECT(ADDRESS($A221,3,3,1,"Gross")),0,Menus!$J$3)</f>
        <v>0</v>
      </c>
    </row>
    <row r="222" spans="1:14" x14ac:dyDescent="0.25">
      <c r="A222">
        <v>264</v>
      </c>
      <c r="B222" s="2">
        <f ca="1">OFFSET(INDIRECT(ADDRESS($A222,3,3,1,Menus!$K$10)),0,Menus!$J$4)</f>
        <v>0</v>
      </c>
      <c r="C222" s="2">
        <f ca="1">OFFSET(INDIRECT(ADDRESS($A222,3,3,1,Menus!$K$10)),0,Menus!$J$3)</f>
        <v>0</v>
      </c>
      <c r="D222" s="73" t="e">
        <f ca="1">IF(Menus!$J$9,C222/B222,C222)</f>
        <v>#DIV/0!</v>
      </c>
      <c r="E222" s="74" t="e">
        <f t="shared" ca="1" si="8"/>
        <v>#N/A</v>
      </c>
      <c r="F222" s="75">
        <f ca="1">INDIRECT(ADDRESS($A222,1,3,1,Menus!$K$10))</f>
        <v>0</v>
      </c>
      <c r="G222" s="2" t="e">
        <f ca="1">IF(INDIRECT(ADDRESS($A222,2,3,1,Menus!$K$10))=G$1,$D222,#N/A)</f>
        <v>#N/A</v>
      </c>
      <c r="H222" s="2" t="e">
        <f ca="1">IF(INDIRECT(ADDRESS($A222,2,3,1,Menus!$K$10))=H$1,$D222,#N/A)</f>
        <v>#N/A</v>
      </c>
      <c r="I222" s="2" t="e">
        <f ca="1">IF(INDIRECT(ADDRESS($A222,2,3,1,Menus!$K$10))=I$1,$D222,#N/A)</f>
        <v>#N/A</v>
      </c>
      <c r="J222" s="2" t="e">
        <f ca="1">IF(INDIRECT(ADDRESS($A222,1,3,1,Menus!$K$10))=T(J$1),$D222,#N/A)</f>
        <v>#N/A</v>
      </c>
      <c r="K222" s="10">
        <f t="shared" ca="1" si="7"/>
        <v>0</v>
      </c>
      <c r="L222" s="2"/>
      <c r="M222" s="85">
        <f ca="1">OFFSET(INDIRECT(ADDRESS($A222,3,3,1,"Gross")),0,Menus!$J$4)</f>
        <v>0</v>
      </c>
      <c r="N222" s="85">
        <f ca="1">OFFSET(INDIRECT(ADDRESS($A222,3,3,1,"Gross")),0,Menus!$J$3)</f>
        <v>0</v>
      </c>
    </row>
    <row r="223" spans="1:14" x14ac:dyDescent="0.25">
      <c r="A223">
        <v>265</v>
      </c>
      <c r="B223" s="2">
        <f ca="1">OFFSET(INDIRECT(ADDRESS($A223,3,3,1,Menus!$K$10)),0,Menus!$J$4)</f>
        <v>0</v>
      </c>
      <c r="C223" s="2">
        <f ca="1">OFFSET(INDIRECT(ADDRESS($A223,3,3,1,Menus!$K$10)),0,Menus!$J$3)</f>
        <v>0</v>
      </c>
      <c r="D223" s="73" t="e">
        <f ca="1">IF(Menus!$J$9,C223/B223,C223)</f>
        <v>#DIV/0!</v>
      </c>
      <c r="E223" s="74" t="e">
        <f t="shared" ca="1" si="8"/>
        <v>#N/A</v>
      </c>
      <c r="F223" s="75">
        <f ca="1">INDIRECT(ADDRESS($A223,1,3,1,Menus!$K$10))</f>
        <v>0</v>
      </c>
      <c r="G223" s="2" t="e">
        <f ca="1">IF(INDIRECT(ADDRESS($A223,2,3,1,Menus!$K$10))=G$1,$D223,#N/A)</f>
        <v>#N/A</v>
      </c>
      <c r="H223" s="2" t="e">
        <f ca="1">IF(INDIRECT(ADDRESS($A223,2,3,1,Menus!$K$10))=H$1,$D223,#N/A)</f>
        <v>#N/A</v>
      </c>
      <c r="I223" s="2" t="e">
        <f ca="1">IF(INDIRECT(ADDRESS($A223,2,3,1,Menus!$K$10))=I$1,$D223,#N/A)</f>
        <v>#N/A</v>
      </c>
      <c r="J223" s="2" t="e">
        <f ca="1">IF(INDIRECT(ADDRESS($A223,1,3,1,Menus!$K$10))=T(J$1),$D223,#N/A)</f>
        <v>#N/A</v>
      </c>
      <c r="K223" s="10">
        <f t="shared" ca="1" si="7"/>
        <v>0</v>
      </c>
      <c r="L223" s="2"/>
      <c r="M223" s="85">
        <f ca="1">OFFSET(INDIRECT(ADDRESS($A223,3,3,1,"Gross")),0,Menus!$J$4)</f>
        <v>0</v>
      </c>
      <c r="N223" s="85">
        <f ca="1">OFFSET(INDIRECT(ADDRESS($A223,3,3,1,"Gross")),0,Menus!$J$3)</f>
        <v>0</v>
      </c>
    </row>
    <row r="224" spans="1:14" x14ac:dyDescent="0.25">
      <c r="A224">
        <v>266</v>
      </c>
      <c r="B224" s="2">
        <f ca="1">OFFSET(INDIRECT(ADDRESS($A224,3,3,1,Menus!$K$10)),0,Menus!$J$4)</f>
        <v>0</v>
      </c>
      <c r="C224" s="2">
        <f ca="1">OFFSET(INDIRECT(ADDRESS($A224,3,3,1,Menus!$K$10)),0,Menus!$J$3)</f>
        <v>0</v>
      </c>
      <c r="D224" s="73" t="e">
        <f ca="1">IF(Menus!$J$9,C224/B224,C224)</f>
        <v>#DIV/0!</v>
      </c>
      <c r="E224" s="74" t="e">
        <f t="shared" ca="1" si="8"/>
        <v>#N/A</v>
      </c>
      <c r="F224" s="75">
        <f ca="1">INDIRECT(ADDRESS($A224,1,3,1,Menus!$K$10))</f>
        <v>0</v>
      </c>
      <c r="G224" s="2" t="e">
        <f ca="1">IF(INDIRECT(ADDRESS($A224,2,3,1,Menus!$K$10))=G$1,$D224,#N/A)</f>
        <v>#N/A</v>
      </c>
      <c r="H224" s="2" t="e">
        <f ca="1">IF(INDIRECT(ADDRESS($A224,2,3,1,Menus!$K$10))=H$1,$D224,#N/A)</f>
        <v>#N/A</v>
      </c>
      <c r="I224" s="2" t="e">
        <f ca="1">IF(INDIRECT(ADDRESS($A224,2,3,1,Menus!$K$10))=I$1,$D224,#N/A)</f>
        <v>#N/A</v>
      </c>
      <c r="J224" s="2" t="e">
        <f ca="1">IF(INDIRECT(ADDRESS($A224,1,3,1,Menus!$K$10))=T(J$1),$D224,#N/A)</f>
        <v>#N/A</v>
      </c>
      <c r="K224" s="10">
        <f t="shared" ca="1" si="7"/>
        <v>0</v>
      </c>
      <c r="L224" s="2"/>
      <c r="M224" s="85">
        <f ca="1">OFFSET(INDIRECT(ADDRESS($A224,3,3,1,"Gross")),0,Menus!$J$4)</f>
        <v>0</v>
      </c>
      <c r="N224" s="85">
        <f ca="1">OFFSET(INDIRECT(ADDRESS($A224,3,3,1,"Gross")),0,Menus!$J$3)</f>
        <v>0</v>
      </c>
    </row>
    <row r="225" spans="1:14" x14ac:dyDescent="0.25">
      <c r="A225">
        <v>267</v>
      </c>
      <c r="B225" s="2">
        <f ca="1">OFFSET(INDIRECT(ADDRESS($A225,3,3,1,Menus!$K$10)),0,Menus!$J$4)</f>
        <v>0</v>
      </c>
      <c r="C225" s="2">
        <f ca="1">OFFSET(INDIRECT(ADDRESS($A225,3,3,1,Menus!$K$10)),0,Menus!$J$3)</f>
        <v>0</v>
      </c>
      <c r="D225" s="73" t="e">
        <f ca="1">IF(Menus!$J$9,C225/B225,C225)</f>
        <v>#DIV/0!</v>
      </c>
      <c r="E225" s="74" t="e">
        <f t="shared" ca="1" si="8"/>
        <v>#N/A</v>
      </c>
      <c r="F225" s="75">
        <f ca="1">INDIRECT(ADDRESS($A225,1,3,1,Menus!$K$10))</f>
        <v>0</v>
      </c>
      <c r="G225" s="2" t="e">
        <f ca="1">IF(INDIRECT(ADDRESS($A225,2,3,1,Menus!$K$10))=G$1,$D225,#N/A)</f>
        <v>#N/A</v>
      </c>
      <c r="H225" s="2" t="e">
        <f ca="1">IF(INDIRECT(ADDRESS($A225,2,3,1,Menus!$K$10))=H$1,$D225,#N/A)</f>
        <v>#N/A</v>
      </c>
      <c r="I225" s="2" t="e">
        <f ca="1">IF(INDIRECT(ADDRESS($A225,2,3,1,Menus!$K$10))=I$1,$D225,#N/A)</f>
        <v>#N/A</v>
      </c>
      <c r="J225" s="2" t="e">
        <f ca="1">IF(INDIRECT(ADDRESS($A225,1,3,1,Menus!$K$10))=T(J$1),$D225,#N/A)</f>
        <v>#N/A</v>
      </c>
      <c r="K225" s="10">
        <f t="shared" ca="1" si="7"/>
        <v>0</v>
      </c>
      <c r="L225" s="2"/>
      <c r="M225" s="85">
        <f ca="1">OFFSET(INDIRECT(ADDRESS($A225,3,3,1,"Gross")),0,Menus!$J$4)</f>
        <v>0</v>
      </c>
      <c r="N225" s="85">
        <f ca="1">OFFSET(INDIRECT(ADDRESS($A225,3,3,1,"Gross")),0,Menus!$J$3)</f>
        <v>0</v>
      </c>
    </row>
    <row r="226" spans="1:14" x14ac:dyDescent="0.25">
      <c r="A226">
        <v>268</v>
      </c>
      <c r="B226" s="2">
        <f ca="1">OFFSET(INDIRECT(ADDRESS($A226,3,3,1,Menus!$K$10)),0,Menus!$J$4)</f>
        <v>0</v>
      </c>
      <c r="C226" s="2">
        <f ca="1">OFFSET(INDIRECT(ADDRESS($A226,3,3,1,Menus!$K$10)),0,Menus!$J$3)</f>
        <v>0</v>
      </c>
      <c r="D226" s="73" t="e">
        <f ca="1">IF(Menus!$J$9,C226/B226,C226)</f>
        <v>#DIV/0!</v>
      </c>
      <c r="E226" s="74" t="e">
        <f t="shared" ca="1" si="8"/>
        <v>#N/A</v>
      </c>
      <c r="F226" s="75">
        <f ca="1">INDIRECT(ADDRESS($A226,1,3,1,Menus!$K$10))</f>
        <v>0</v>
      </c>
      <c r="G226" s="2" t="e">
        <f ca="1">IF(INDIRECT(ADDRESS($A226,2,3,1,Menus!$K$10))=G$1,$D226,#N/A)</f>
        <v>#N/A</v>
      </c>
      <c r="H226" s="2" t="e">
        <f ca="1">IF(INDIRECT(ADDRESS($A226,2,3,1,Menus!$K$10))=H$1,$D226,#N/A)</f>
        <v>#N/A</v>
      </c>
      <c r="I226" s="2" t="e">
        <f ca="1">IF(INDIRECT(ADDRESS($A226,2,3,1,Menus!$K$10))=I$1,$D226,#N/A)</f>
        <v>#N/A</v>
      </c>
      <c r="J226" s="2" t="e">
        <f ca="1">IF(INDIRECT(ADDRESS($A226,1,3,1,Menus!$K$10))=T(J$1),$D226,#N/A)</f>
        <v>#N/A</v>
      </c>
      <c r="K226" s="10">
        <f t="shared" ca="1" si="7"/>
        <v>0</v>
      </c>
      <c r="L226" s="2"/>
      <c r="M226" s="85">
        <f ca="1">OFFSET(INDIRECT(ADDRESS($A226,3,3,1,"Gross")),0,Menus!$J$4)</f>
        <v>0</v>
      </c>
      <c r="N226" s="85">
        <f ca="1">OFFSET(INDIRECT(ADDRESS($A226,3,3,1,"Gross")),0,Menus!$J$3)</f>
        <v>0</v>
      </c>
    </row>
    <row r="227" spans="1:14" x14ac:dyDescent="0.25">
      <c r="A227">
        <v>269</v>
      </c>
      <c r="B227" s="2">
        <f ca="1">OFFSET(INDIRECT(ADDRESS($A227,3,3,1,Menus!$K$10)),0,Menus!$J$4)</f>
        <v>0</v>
      </c>
      <c r="C227" s="2">
        <f ca="1">OFFSET(INDIRECT(ADDRESS($A227,3,3,1,Menus!$K$10)),0,Menus!$J$3)</f>
        <v>0</v>
      </c>
      <c r="D227" s="73" t="e">
        <f ca="1">IF(Menus!$J$9,C227/B227,C227)</f>
        <v>#DIV/0!</v>
      </c>
      <c r="E227" s="74" t="e">
        <f t="shared" ca="1" si="8"/>
        <v>#N/A</v>
      </c>
      <c r="F227" s="75">
        <f ca="1">INDIRECT(ADDRESS($A227,1,3,1,Menus!$K$10))</f>
        <v>0</v>
      </c>
      <c r="G227" s="2" t="e">
        <f ca="1">IF(INDIRECT(ADDRESS($A227,2,3,1,Menus!$K$10))=G$1,$D227,#N/A)</f>
        <v>#N/A</v>
      </c>
      <c r="H227" s="2" t="e">
        <f ca="1">IF(INDIRECT(ADDRESS($A227,2,3,1,Menus!$K$10))=H$1,$D227,#N/A)</f>
        <v>#N/A</v>
      </c>
      <c r="I227" s="2" t="e">
        <f ca="1">IF(INDIRECT(ADDRESS($A227,2,3,1,Menus!$K$10))=I$1,$D227,#N/A)</f>
        <v>#N/A</v>
      </c>
      <c r="J227" s="2" t="e">
        <f ca="1">IF(INDIRECT(ADDRESS($A227,1,3,1,Menus!$K$10))=T(J$1),$D227,#N/A)</f>
        <v>#N/A</v>
      </c>
      <c r="K227" s="10">
        <f t="shared" ca="1" si="7"/>
        <v>0</v>
      </c>
      <c r="L227" s="2"/>
      <c r="M227" s="85">
        <f ca="1">OFFSET(INDIRECT(ADDRESS($A227,3,3,1,"Gross")),0,Menus!$J$4)</f>
        <v>0</v>
      </c>
      <c r="N227" s="85">
        <f ca="1">OFFSET(INDIRECT(ADDRESS($A227,3,3,1,"Gross")),0,Menus!$J$3)</f>
        <v>0</v>
      </c>
    </row>
    <row r="228" spans="1:14" x14ac:dyDescent="0.25">
      <c r="A228">
        <v>270</v>
      </c>
      <c r="B228" s="2">
        <f ca="1">OFFSET(INDIRECT(ADDRESS($A228,3,3,1,Menus!$K$10)),0,Menus!$J$4)</f>
        <v>0</v>
      </c>
      <c r="C228" s="2">
        <f ca="1">OFFSET(INDIRECT(ADDRESS($A228,3,3,1,Menus!$K$10)),0,Menus!$J$3)</f>
        <v>0</v>
      </c>
      <c r="D228" s="73" t="e">
        <f ca="1">IF(Menus!$J$9,C228/B228,C228)</f>
        <v>#DIV/0!</v>
      </c>
      <c r="E228" s="74" t="e">
        <f t="shared" ca="1" si="8"/>
        <v>#N/A</v>
      </c>
      <c r="F228" s="75">
        <f ca="1">INDIRECT(ADDRESS($A228,1,3,1,Menus!$K$10))</f>
        <v>0</v>
      </c>
      <c r="G228" s="2" t="e">
        <f ca="1">IF(INDIRECT(ADDRESS($A228,2,3,1,Menus!$K$10))=G$1,$D228,#N/A)</f>
        <v>#N/A</v>
      </c>
      <c r="H228" s="2" t="e">
        <f ca="1">IF(INDIRECT(ADDRESS($A228,2,3,1,Menus!$K$10))=H$1,$D228,#N/A)</f>
        <v>#N/A</v>
      </c>
      <c r="I228" s="2" t="e">
        <f ca="1">IF(INDIRECT(ADDRESS($A228,2,3,1,Menus!$K$10))=I$1,$D228,#N/A)</f>
        <v>#N/A</v>
      </c>
      <c r="J228" s="2" t="e">
        <f ca="1">IF(INDIRECT(ADDRESS($A228,1,3,1,Menus!$K$10))=T(J$1),$D228,#N/A)</f>
        <v>#N/A</v>
      </c>
      <c r="K228" s="10">
        <f t="shared" ca="1" si="7"/>
        <v>0</v>
      </c>
      <c r="L228" s="2"/>
      <c r="M228" s="85">
        <f ca="1">OFFSET(INDIRECT(ADDRESS($A228,3,3,1,"Gross")),0,Menus!$J$4)</f>
        <v>0</v>
      </c>
      <c r="N228" s="85">
        <f ca="1">OFFSET(INDIRECT(ADDRESS($A228,3,3,1,"Gross")),0,Menus!$J$3)</f>
        <v>0</v>
      </c>
    </row>
    <row r="229" spans="1:14" x14ac:dyDescent="0.25">
      <c r="A229">
        <v>271</v>
      </c>
      <c r="B229" s="2">
        <f ca="1">OFFSET(INDIRECT(ADDRESS($A229,3,3,1,Menus!$K$10)),0,Menus!$J$4)</f>
        <v>0</v>
      </c>
      <c r="C229" s="2">
        <f ca="1">OFFSET(INDIRECT(ADDRESS($A229,3,3,1,Menus!$K$10)),0,Menus!$J$3)</f>
        <v>0</v>
      </c>
      <c r="D229" s="73" t="e">
        <f ca="1">IF(Menus!$J$9,C229/B229,C229)</f>
        <v>#DIV/0!</v>
      </c>
      <c r="E229" s="74" t="e">
        <f t="shared" ca="1" si="8"/>
        <v>#N/A</v>
      </c>
      <c r="F229" s="75">
        <f ca="1">INDIRECT(ADDRESS($A229,1,3,1,Menus!$K$10))</f>
        <v>0</v>
      </c>
      <c r="G229" s="2" t="e">
        <f ca="1">IF(INDIRECT(ADDRESS($A229,2,3,1,Menus!$K$10))=G$1,$D229,#N/A)</f>
        <v>#N/A</v>
      </c>
      <c r="H229" s="2" t="e">
        <f ca="1">IF(INDIRECT(ADDRESS($A229,2,3,1,Menus!$K$10))=H$1,$D229,#N/A)</f>
        <v>#N/A</v>
      </c>
      <c r="I229" s="2" t="e">
        <f ca="1">IF(INDIRECT(ADDRESS($A229,2,3,1,Menus!$K$10))=I$1,$D229,#N/A)</f>
        <v>#N/A</v>
      </c>
      <c r="J229" s="2" t="e">
        <f ca="1">IF(INDIRECT(ADDRESS($A229,1,3,1,Menus!$K$10))=T(J$1),$D229,#N/A)</f>
        <v>#N/A</v>
      </c>
      <c r="K229" s="10">
        <f t="shared" ca="1" si="7"/>
        <v>0</v>
      </c>
      <c r="L229" s="2"/>
      <c r="M229" s="85">
        <f ca="1">OFFSET(INDIRECT(ADDRESS($A229,3,3,1,"Gross")),0,Menus!$J$4)</f>
        <v>0</v>
      </c>
      <c r="N229" s="85">
        <f ca="1">OFFSET(INDIRECT(ADDRESS($A229,3,3,1,"Gross")),0,Menus!$J$3)</f>
        <v>0</v>
      </c>
    </row>
    <row r="230" spans="1:14" x14ac:dyDescent="0.25">
      <c r="A230">
        <v>272</v>
      </c>
      <c r="B230" s="2">
        <f ca="1">OFFSET(INDIRECT(ADDRESS($A230,3,3,1,Menus!$K$10)),0,Menus!$J$4)</f>
        <v>0</v>
      </c>
      <c r="C230" s="2">
        <f ca="1">OFFSET(INDIRECT(ADDRESS($A230,3,3,1,Menus!$K$10)),0,Menus!$J$3)</f>
        <v>0</v>
      </c>
      <c r="D230" s="73" t="e">
        <f ca="1">IF(Menus!$J$9,C230/B230,C230)</f>
        <v>#DIV/0!</v>
      </c>
      <c r="E230" s="74" t="e">
        <f t="shared" ca="1" si="8"/>
        <v>#N/A</v>
      </c>
      <c r="F230" s="75">
        <f ca="1">INDIRECT(ADDRESS($A230,1,3,1,Menus!$K$10))</f>
        <v>0</v>
      </c>
      <c r="G230" s="2" t="e">
        <f ca="1">IF(INDIRECT(ADDRESS($A230,2,3,1,Menus!$K$10))=G$1,$D230,#N/A)</f>
        <v>#N/A</v>
      </c>
      <c r="H230" s="2" t="e">
        <f ca="1">IF(INDIRECT(ADDRESS($A230,2,3,1,Menus!$K$10))=H$1,$D230,#N/A)</f>
        <v>#N/A</v>
      </c>
      <c r="I230" s="2" t="e">
        <f ca="1">IF(INDIRECT(ADDRESS($A230,2,3,1,Menus!$K$10))=I$1,$D230,#N/A)</f>
        <v>#N/A</v>
      </c>
      <c r="J230" s="2" t="e">
        <f ca="1">IF(INDIRECT(ADDRESS($A230,1,3,1,Menus!$K$10))=T(J$1),$D230,#N/A)</f>
        <v>#N/A</v>
      </c>
      <c r="K230" s="10">
        <f t="shared" ca="1" si="7"/>
        <v>0</v>
      </c>
      <c r="L230" s="2"/>
      <c r="M230" s="85">
        <f ca="1">OFFSET(INDIRECT(ADDRESS($A230,3,3,1,"Gross")),0,Menus!$J$4)</f>
        <v>0</v>
      </c>
      <c r="N230" s="85">
        <f ca="1">OFFSET(INDIRECT(ADDRESS($A230,3,3,1,"Gross")),0,Menus!$J$3)</f>
        <v>0</v>
      </c>
    </row>
    <row r="231" spans="1:14" x14ac:dyDescent="0.25">
      <c r="A231">
        <v>273</v>
      </c>
      <c r="B231" s="2">
        <f ca="1">OFFSET(INDIRECT(ADDRESS($A231,3,3,1,Menus!$K$10)),0,Menus!$J$4)</f>
        <v>0</v>
      </c>
      <c r="C231" s="2">
        <f ca="1">OFFSET(INDIRECT(ADDRESS($A231,3,3,1,Menus!$K$10)),0,Menus!$J$3)</f>
        <v>0</v>
      </c>
      <c r="D231" s="73" t="e">
        <f ca="1">IF(Menus!$J$9,C231/B231,C231)</f>
        <v>#DIV/0!</v>
      </c>
      <c r="E231" s="74" t="e">
        <f t="shared" ca="1" si="8"/>
        <v>#N/A</v>
      </c>
      <c r="F231" s="75">
        <f ca="1">INDIRECT(ADDRESS($A231,1,3,1,Menus!$K$10))</f>
        <v>0</v>
      </c>
      <c r="G231" s="2" t="e">
        <f ca="1">IF(INDIRECT(ADDRESS($A231,2,3,1,Menus!$K$10))=G$1,$D231,#N/A)</f>
        <v>#N/A</v>
      </c>
      <c r="H231" s="2" t="e">
        <f ca="1">IF(INDIRECT(ADDRESS($A231,2,3,1,Menus!$K$10))=H$1,$D231,#N/A)</f>
        <v>#N/A</v>
      </c>
      <c r="I231" s="2" t="e">
        <f ca="1">IF(INDIRECT(ADDRESS($A231,2,3,1,Menus!$K$10))=I$1,$D231,#N/A)</f>
        <v>#N/A</v>
      </c>
      <c r="J231" s="2" t="e">
        <f ca="1">IF(INDIRECT(ADDRESS($A231,1,3,1,Menus!$K$10))=T(J$1),$D231,#N/A)</f>
        <v>#N/A</v>
      </c>
      <c r="K231" s="10">
        <f t="shared" ca="1" si="7"/>
        <v>0</v>
      </c>
      <c r="L231" s="2"/>
      <c r="M231" s="85">
        <f ca="1">OFFSET(INDIRECT(ADDRESS($A231,3,3,1,"Gross")),0,Menus!$J$4)</f>
        <v>0</v>
      </c>
      <c r="N231" s="85">
        <f ca="1">OFFSET(INDIRECT(ADDRESS($A231,3,3,1,"Gross")),0,Menus!$J$3)</f>
        <v>0</v>
      </c>
    </row>
    <row r="232" spans="1:14" x14ac:dyDescent="0.25">
      <c r="A232">
        <v>274</v>
      </c>
      <c r="B232" s="2">
        <f ca="1">OFFSET(INDIRECT(ADDRESS($A232,3,3,1,Menus!$K$10)),0,Menus!$J$4)</f>
        <v>0</v>
      </c>
      <c r="C232" s="2">
        <f ca="1">OFFSET(INDIRECT(ADDRESS($A232,3,3,1,Menus!$K$10)),0,Menus!$J$3)</f>
        <v>0</v>
      </c>
      <c r="D232" s="73" t="e">
        <f ca="1">IF(Menus!$J$9,C232/B232,C232)</f>
        <v>#DIV/0!</v>
      </c>
      <c r="E232" s="74" t="e">
        <f t="shared" ca="1" si="8"/>
        <v>#N/A</v>
      </c>
      <c r="F232" s="75">
        <f ca="1">INDIRECT(ADDRESS($A232,1,3,1,Menus!$K$10))</f>
        <v>0</v>
      </c>
      <c r="G232" s="2" t="e">
        <f ca="1">IF(INDIRECT(ADDRESS($A232,2,3,1,Menus!$K$10))=G$1,$D232,#N/A)</f>
        <v>#N/A</v>
      </c>
      <c r="H232" s="2" t="e">
        <f ca="1">IF(INDIRECT(ADDRESS($A232,2,3,1,Menus!$K$10))=H$1,$D232,#N/A)</f>
        <v>#N/A</v>
      </c>
      <c r="I232" s="2" t="e">
        <f ca="1">IF(INDIRECT(ADDRESS($A232,2,3,1,Menus!$K$10))=I$1,$D232,#N/A)</f>
        <v>#N/A</v>
      </c>
      <c r="J232" s="2" t="e">
        <f ca="1">IF(INDIRECT(ADDRESS($A232,1,3,1,Menus!$K$10))=T(J$1),$D232,#N/A)</f>
        <v>#N/A</v>
      </c>
      <c r="K232" s="10">
        <f t="shared" ca="1" si="7"/>
        <v>0</v>
      </c>
      <c r="L232" s="2"/>
      <c r="M232" s="85">
        <f ca="1">OFFSET(INDIRECT(ADDRESS($A232,3,3,1,"Gross")),0,Menus!$J$4)</f>
        <v>0</v>
      </c>
      <c r="N232" s="85">
        <f ca="1">OFFSET(INDIRECT(ADDRESS($A232,3,3,1,"Gross")),0,Menus!$J$3)</f>
        <v>0</v>
      </c>
    </row>
    <row r="233" spans="1:14" x14ac:dyDescent="0.25">
      <c r="A233">
        <v>275</v>
      </c>
      <c r="B233" s="2">
        <f ca="1">OFFSET(INDIRECT(ADDRESS($A233,3,3,1,Menus!$K$10)),0,Menus!$J$4)</f>
        <v>0</v>
      </c>
      <c r="C233" s="2">
        <f ca="1">OFFSET(INDIRECT(ADDRESS($A233,3,3,1,Menus!$K$10)),0,Menus!$J$3)</f>
        <v>0</v>
      </c>
      <c r="D233" s="73" t="e">
        <f ca="1">IF(Menus!$J$9,C233/B233,C233)</f>
        <v>#DIV/0!</v>
      </c>
      <c r="E233" s="74" t="e">
        <f t="shared" ca="1" si="8"/>
        <v>#N/A</v>
      </c>
      <c r="F233" s="75">
        <f ca="1">INDIRECT(ADDRESS($A233,1,3,1,Menus!$K$10))</f>
        <v>0</v>
      </c>
      <c r="G233" s="2" t="e">
        <f ca="1">IF(INDIRECT(ADDRESS($A233,2,3,1,Menus!$K$10))=G$1,$D233,#N/A)</f>
        <v>#N/A</v>
      </c>
      <c r="H233" s="2" t="e">
        <f ca="1">IF(INDIRECT(ADDRESS($A233,2,3,1,Menus!$K$10))=H$1,$D233,#N/A)</f>
        <v>#N/A</v>
      </c>
      <c r="I233" s="2" t="e">
        <f ca="1">IF(INDIRECT(ADDRESS($A233,2,3,1,Menus!$K$10))=I$1,$D233,#N/A)</f>
        <v>#N/A</v>
      </c>
      <c r="J233" s="2" t="e">
        <f ca="1">IF(INDIRECT(ADDRESS($A233,1,3,1,Menus!$K$10))=T(J$1),$D233,#N/A)</f>
        <v>#N/A</v>
      </c>
      <c r="K233" s="10">
        <f t="shared" ca="1" si="7"/>
        <v>0</v>
      </c>
      <c r="L233" s="2"/>
      <c r="M233" s="85">
        <f ca="1">OFFSET(INDIRECT(ADDRESS($A233,3,3,1,"Gross")),0,Menus!$J$4)</f>
        <v>0</v>
      </c>
      <c r="N233" s="85">
        <f ca="1">OFFSET(INDIRECT(ADDRESS($A233,3,3,1,"Gross")),0,Menus!$J$3)</f>
        <v>0</v>
      </c>
    </row>
    <row r="234" spans="1:14" x14ac:dyDescent="0.25">
      <c r="A234">
        <v>276</v>
      </c>
      <c r="B234" s="2">
        <f ca="1">OFFSET(INDIRECT(ADDRESS($A234,3,3,1,Menus!$K$10)),0,Menus!$J$4)</f>
        <v>0</v>
      </c>
      <c r="C234" s="2">
        <f ca="1">OFFSET(INDIRECT(ADDRESS($A234,3,3,1,Menus!$K$10)),0,Menus!$J$3)</f>
        <v>0</v>
      </c>
      <c r="D234" s="73" t="e">
        <f ca="1">IF(Menus!$J$9,C234/B234,C234)</f>
        <v>#DIV/0!</v>
      </c>
      <c r="E234" s="74" t="e">
        <f t="shared" ca="1" si="8"/>
        <v>#N/A</v>
      </c>
      <c r="F234" s="75">
        <f ca="1">INDIRECT(ADDRESS($A234,1,3,1,Menus!$K$10))</f>
        <v>0</v>
      </c>
      <c r="G234" s="2" t="e">
        <f ca="1">IF(INDIRECT(ADDRESS($A234,2,3,1,Menus!$K$10))=G$1,$D234,#N/A)</f>
        <v>#N/A</v>
      </c>
      <c r="H234" s="2" t="e">
        <f ca="1">IF(INDIRECT(ADDRESS($A234,2,3,1,Menus!$K$10))=H$1,$D234,#N/A)</f>
        <v>#N/A</v>
      </c>
      <c r="I234" s="2" t="e">
        <f ca="1">IF(INDIRECT(ADDRESS($A234,2,3,1,Menus!$K$10))=I$1,$D234,#N/A)</f>
        <v>#N/A</v>
      </c>
      <c r="J234" s="2" t="e">
        <f ca="1">IF(INDIRECT(ADDRESS($A234,1,3,1,Menus!$K$10))=T(J$1),$D234,#N/A)</f>
        <v>#N/A</v>
      </c>
      <c r="K234" s="10">
        <f t="shared" ca="1" si="7"/>
        <v>0</v>
      </c>
      <c r="L234" s="2"/>
      <c r="M234" s="85">
        <f ca="1">OFFSET(INDIRECT(ADDRESS($A234,3,3,1,"Gross")),0,Menus!$J$4)</f>
        <v>0</v>
      </c>
      <c r="N234" s="85">
        <f ca="1">OFFSET(INDIRECT(ADDRESS($A234,3,3,1,"Gross")),0,Menus!$J$3)</f>
        <v>0</v>
      </c>
    </row>
    <row r="235" spans="1:14" x14ac:dyDescent="0.25">
      <c r="A235">
        <v>277</v>
      </c>
      <c r="B235" s="2">
        <f ca="1">OFFSET(INDIRECT(ADDRESS($A235,3,3,1,Menus!$K$10)),0,Menus!$J$4)</f>
        <v>0</v>
      </c>
      <c r="C235" s="2">
        <f ca="1">OFFSET(INDIRECT(ADDRESS($A235,3,3,1,Menus!$K$10)),0,Menus!$J$3)</f>
        <v>0</v>
      </c>
      <c r="D235" s="73" t="e">
        <f ca="1">IF(Menus!$J$9,C235/B235,C235)</f>
        <v>#DIV/0!</v>
      </c>
      <c r="E235" s="74" t="e">
        <f t="shared" ca="1" si="8"/>
        <v>#N/A</v>
      </c>
      <c r="F235" s="75">
        <f ca="1">INDIRECT(ADDRESS($A235,1,3,1,Menus!$K$10))</f>
        <v>0</v>
      </c>
      <c r="G235" s="2" t="e">
        <f ca="1">IF(INDIRECT(ADDRESS($A235,2,3,1,Menus!$K$10))=G$1,$D235,#N/A)</f>
        <v>#N/A</v>
      </c>
      <c r="H235" s="2" t="e">
        <f ca="1">IF(INDIRECT(ADDRESS($A235,2,3,1,Menus!$K$10))=H$1,$D235,#N/A)</f>
        <v>#N/A</v>
      </c>
      <c r="I235" s="2" t="e">
        <f ca="1">IF(INDIRECT(ADDRESS($A235,2,3,1,Menus!$K$10))=I$1,$D235,#N/A)</f>
        <v>#N/A</v>
      </c>
      <c r="J235" s="2" t="e">
        <f ca="1">IF(INDIRECT(ADDRESS($A235,1,3,1,Menus!$K$10))=T(J$1),$D235,#N/A)</f>
        <v>#N/A</v>
      </c>
      <c r="K235" s="10">
        <f t="shared" ca="1" si="7"/>
        <v>0</v>
      </c>
      <c r="L235" s="2"/>
      <c r="M235" s="85">
        <f ca="1">OFFSET(INDIRECT(ADDRESS($A235,3,3,1,"Gross")),0,Menus!$J$4)</f>
        <v>0</v>
      </c>
      <c r="N235" s="85">
        <f ca="1">OFFSET(INDIRECT(ADDRESS($A235,3,3,1,"Gross")),0,Menus!$J$3)</f>
        <v>0</v>
      </c>
    </row>
    <row r="236" spans="1:14" x14ac:dyDescent="0.25">
      <c r="A236">
        <v>278</v>
      </c>
      <c r="B236" s="2">
        <f ca="1">OFFSET(INDIRECT(ADDRESS($A236,3,3,1,Menus!$K$10)),0,Menus!$J$4)</f>
        <v>0</v>
      </c>
      <c r="C236" s="2">
        <f ca="1">OFFSET(INDIRECT(ADDRESS($A236,3,3,1,Menus!$K$10)),0,Menus!$J$3)</f>
        <v>0</v>
      </c>
      <c r="D236" s="73" t="e">
        <f ca="1">IF(Menus!$J$9,C236/B236,C236)</f>
        <v>#DIV/0!</v>
      </c>
      <c r="E236" s="74" t="e">
        <f t="shared" ca="1" si="8"/>
        <v>#N/A</v>
      </c>
      <c r="F236" s="75">
        <f ca="1">INDIRECT(ADDRESS($A236,1,3,1,Menus!$K$10))</f>
        <v>0</v>
      </c>
      <c r="G236" s="2" t="e">
        <f ca="1">IF(INDIRECT(ADDRESS($A236,2,3,1,Menus!$K$10))=G$1,$D236,#N/A)</f>
        <v>#N/A</v>
      </c>
      <c r="H236" s="2" t="e">
        <f ca="1">IF(INDIRECT(ADDRESS($A236,2,3,1,Menus!$K$10))=H$1,$D236,#N/A)</f>
        <v>#N/A</v>
      </c>
      <c r="I236" s="2" t="e">
        <f ca="1">IF(INDIRECT(ADDRESS($A236,2,3,1,Menus!$K$10))=I$1,$D236,#N/A)</f>
        <v>#N/A</v>
      </c>
      <c r="J236" s="2" t="e">
        <f ca="1">IF(INDIRECT(ADDRESS($A236,1,3,1,Menus!$K$10))=T(J$1),$D236,#N/A)</f>
        <v>#N/A</v>
      </c>
      <c r="K236" s="10">
        <f t="shared" ca="1" si="7"/>
        <v>0</v>
      </c>
      <c r="L236" s="2"/>
      <c r="M236" s="85">
        <f ca="1">OFFSET(INDIRECT(ADDRESS($A236,3,3,1,"Gross")),0,Menus!$J$4)</f>
        <v>0</v>
      </c>
      <c r="N236" s="85">
        <f ca="1">OFFSET(INDIRECT(ADDRESS($A236,3,3,1,"Gross")),0,Menus!$J$3)</f>
        <v>0</v>
      </c>
    </row>
    <row r="237" spans="1:14" x14ac:dyDescent="0.25">
      <c r="A237">
        <v>279</v>
      </c>
      <c r="B237" s="2">
        <f ca="1">OFFSET(INDIRECT(ADDRESS($A237,3,3,1,Menus!$K$10)),0,Menus!$J$4)</f>
        <v>0</v>
      </c>
      <c r="C237" s="2">
        <f ca="1">OFFSET(INDIRECT(ADDRESS($A237,3,3,1,Menus!$K$10)),0,Menus!$J$3)</f>
        <v>0</v>
      </c>
      <c r="D237" s="73" t="e">
        <f ca="1">IF(Menus!$J$9,C237/B237,C237)</f>
        <v>#DIV/0!</v>
      </c>
      <c r="E237" s="74" t="e">
        <f t="shared" ca="1" si="8"/>
        <v>#N/A</v>
      </c>
      <c r="F237" s="75">
        <f ca="1">INDIRECT(ADDRESS($A237,1,3,1,Menus!$K$10))</f>
        <v>0</v>
      </c>
      <c r="G237" s="2" t="e">
        <f ca="1">IF(INDIRECT(ADDRESS($A237,2,3,1,Menus!$K$10))=G$1,$D237,#N/A)</f>
        <v>#N/A</v>
      </c>
      <c r="H237" s="2" t="e">
        <f ca="1">IF(INDIRECT(ADDRESS($A237,2,3,1,Menus!$K$10))=H$1,$D237,#N/A)</f>
        <v>#N/A</v>
      </c>
      <c r="I237" s="2" t="e">
        <f ca="1">IF(INDIRECT(ADDRESS($A237,2,3,1,Menus!$K$10))=I$1,$D237,#N/A)</f>
        <v>#N/A</v>
      </c>
      <c r="J237" s="2" t="e">
        <f ca="1">IF(INDIRECT(ADDRESS($A237,1,3,1,Menus!$K$10))=T(J$1),$D237,#N/A)</f>
        <v>#N/A</v>
      </c>
      <c r="K237" s="10">
        <f t="shared" ca="1" si="7"/>
        <v>0</v>
      </c>
      <c r="L237" s="2"/>
      <c r="M237" s="85">
        <f ca="1">OFFSET(INDIRECT(ADDRESS($A237,3,3,1,"Gross")),0,Menus!$J$4)</f>
        <v>0</v>
      </c>
      <c r="N237" s="85">
        <f ca="1">OFFSET(INDIRECT(ADDRESS($A237,3,3,1,"Gross")),0,Menus!$J$3)</f>
        <v>0</v>
      </c>
    </row>
    <row r="238" spans="1:14" x14ac:dyDescent="0.25">
      <c r="A238">
        <v>280</v>
      </c>
      <c r="B238" s="2">
        <f ca="1">OFFSET(INDIRECT(ADDRESS($A238,3,3,1,Menus!$K$10)),0,Menus!$J$4)</f>
        <v>0</v>
      </c>
      <c r="C238" s="2">
        <f ca="1">OFFSET(INDIRECT(ADDRESS($A238,3,3,1,Menus!$K$10)),0,Menus!$J$3)</f>
        <v>0</v>
      </c>
      <c r="D238" s="73" t="e">
        <f ca="1">IF(Menus!$J$9,C238/B238,C238)</f>
        <v>#DIV/0!</v>
      </c>
      <c r="E238" s="74" t="e">
        <f t="shared" ca="1" si="8"/>
        <v>#N/A</v>
      </c>
      <c r="F238" s="75">
        <f ca="1">INDIRECT(ADDRESS($A238,1,3,1,Menus!$K$10))</f>
        <v>0</v>
      </c>
      <c r="G238" s="2" t="e">
        <f ca="1">IF(INDIRECT(ADDRESS($A238,2,3,1,Menus!$K$10))=G$1,$D238,#N/A)</f>
        <v>#N/A</v>
      </c>
      <c r="H238" s="2" t="e">
        <f ca="1">IF(INDIRECT(ADDRESS($A238,2,3,1,Menus!$K$10))=H$1,$D238,#N/A)</f>
        <v>#N/A</v>
      </c>
      <c r="I238" s="2" t="e">
        <f ca="1">IF(INDIRECT(ADDRESS($A238,2,3,1,Menus!$K$10))=I$1,$D238,#N/A)</f>
        <v>#N/A</v>
      </c>
      <c r="J238" s="2" t="e">
        <f ca="1">IF(INDIRECT(ADDRESS($A238,1,3,1,Menus!$K$10))=T(J$1),$D238,#N/A)</f>
        <v>#N/A</v>
      </c>
      <c r="K238" s="10">
        <f t="shared" ca="1" si="7"/>
        <v>0</v>
      </c>
      <c r="L238" s="2"/>
      <c r="M238" s="85">
        <f ca="1">OFFSET(INDIRECT(ADDRESS($A238,3,3,1,"Gross")),0,Menus!$J$4)</f>
        <v>0</v>
      </c>
      <c r="N238" s="85">
        <f ca="1">OFFSET(INDIRECT(ADDRESS($A238,3,3,1,"Gross")),0,Menus!$J$3)</f>
        <v>0</v>
      </c>
    </row>
    <row r="239" spans="1:14" x14ac:dyDescent="0.25">
      <c r="A239">
        <v>281</v>
      </c>
      <c r="B239" s="2">
        <f ca="1">OFFSET(INDIRECT(ADDRESS($A239,3,3,1,Menus!$K$10)),0,Menus!$J$4)</f>
        <v>0</v>
      </c>
      <c r="C239" s="2">
        <f ca="1">OFFSET(INDIRECT(ADDRESS($A239,3,3,1,Menus!$K$10)),0,Menus!$J$3)</f>
        <v>0</v>
      </c>
      <c r="D239" s="73" t="e">
        <f ca="1">IF(Menus!$J$9,C239/B239,C239)</f>
        <v>#DIV/0!</v>
      </c>
      <c r="E239" s="74" t="e">
        <f t="shared" ca="1" si="8"/>
        <v>#N/A</v>
      </c>
      <c r="F239" s="75">
        <f ca="1">INDIRECT(ADDRESS($A239,1,3,1,Menus!$K$10))</f>
        <v>0</v>
      </c>
      <c r="G239" s="2" t="e">
        <f ca="1">IF(INDIRECT(ADDRESS($A239,2,3,1,Menus!$K$10))=G$1,$D239,#N/A)</f>
        <v>#N/A</v>
      </c>
      <c r="H239" s="2" t="e">
        <f ca="1">IF(INDIRECT(ADDRESS($A239,2,3,1,Menus!$K$10))=H$1,$D239,#N/A)</f>
        <v>#N/A</v>
      </c>
      <c r="I239" s="2" t="e">
        <f ca="1">IF(INDIRECT(ADDRESS($A239,2,3,1,Menus!$K$10))=I$1,$D239,#N/A)</f>
        <v>#N/A</v>
      </c>
      <c r="J239" s="2" t="e">
        <f ca="1">IF(INDIRECT(ADDRESS($A239,1,3,1,Menus!$K$10))=T(J$1),$D239,#N/A)</f>
        <v>#N/A</v>
      </c>
      <c r="K239" s="10">
        <f t="shared" ca="1" si="7"/>
        <v>0</v>
      </c>
      <c r="L239" s="2"/>
      <c r="M239" s="85">
        <f ca="1">OFFSET(INDIRECT(ADDRESS($A239,3,3,1,"Gross")),0,Menus!$J$4)</f>
        <v>0</v>
      </c>
      <c r="N239" s="85">
        <f ca="1">OFFSET(INDIRECT(ADDRESS($A239,3,3,1,"Gross")),0,Menus!$J$3)</f>
        <v>0</v>
      </c>
    </row>
    <row r="240" spans="1:14" x14ac:dyDescent="0.25">
      <c r="A240">
        <v>282</v>
      </c>
      <c r="B240" s="2">
        <f ca="1">OFFSET(INDIRECT(ADDRESS($A240,3,3,1,Menus!$K$10)),0,Menus!$J$4)</f>
        <v>0</v>
      </c>
      <c r="C240" s="2">
        <f ca="1">OFFSET(INDIRECT(ADDRESS($A240,3,3,1,Menus!$K$10)),0,Menus!$J$3)</f>
        <v>0</v>
      </c>
      <c r="D240" s="73" t="e">
        <f ca="1">IF(Menus!$J$9,C240/B240,C240)</f>
        <v>#DIV/0!</v>
      </c>
      <c r="E240" s="74" t="e">
        <f t="shared" ca="1" si="8"/>
        <v>#N/A</v>
      </c>
      <c r="F240" s="75">
        <f ca="1">INDIRECT(ADDRESS($A240,1,3,1,Menus!$K$10))</f>
        <v>0</v>
      </c>
      <c r="G240" s="2" t="e">
        <f ca="1">IF(INDIRECT(ADDRESS($A240,2,3,1,Menus!$K$10))=G$1,$D240,#N/A)</f>
        <v>#N/A</v>
      </c>
      <c r="H240" s="2" t="e">
        <f ca="1">IF(INDIRECT(ADDRESS($A240,2,3,1,Menus!$K$10))=H$1,$D240,#N/A)</f>
        <v>#N/A</v>
      </c>
      <c r="I240" s="2" t="e">
        <f ca="1">IF(INDIRECT(ADDRESS($A240,2,3,1,Menus!$K$10))=I$1,$D240,#N/A)</f>
        <v>#N/A</v>
      </c>
      <c r="J240" s="2" t="e">
        <f ca="1">IF(INDIRECT(ADDRESS($A240,1,3,1,Menus!$K$10))=T(J$1),$D240,#N/A)</f>
        <v>#N/A</v>
      </c>
      <c r="K240" s="10">
        <f t="shared" ca="1" si="7"/>
        <v>0</v>
      </c>
      <c r="L240" s="2"/>
      <c r="M240" s="85">
        <f ca="1">OFFSET(INDIRECT(ADDRESS($A240,3,3,1,"Gross")),0,Menus!$J$4)</f>
        <v>0</v>
      </c>
      <c r="N240" s="85">
        <f ca="1">OFFSET(INDIRECT(ADDRESS($A240,3,3,1,"Gross")),0,Menus!$J$3)</f>
        <v>0</v>
      </c>
    </row>
    <row r="241" spans="1:14" x14ac:dyDescent="0.25">
      <c r="A241">
        <v>283</v>
      </c>
      <c r="B241" s="2">
        <f ca="1">OFFSET(INDIRECT(ADDRESS($A241,3,3,1,Menus!$K$10)),0,Menus!$J$4)</f>
        <v>0</v>
      </c>
      <c r="C241" s="2">
        <f ca="1">OFFSET(INDIRECT(ADDRESS($A241,3,3,1,Menus!$K$10)),0,Menus!$J$3)</f>
        <v>0</v>
      </c>
      <c r="D241" s="73" t="e">
        <f ca="1">IF(Menus!$J$9,C241/B241,C241)</f>
        <v>#DIV/0!</v>
      </c>
      <c r="E241" s="74" t="e">
        <f t="shared" ca="1" si="8"/>
        <v>#N/A</v>
      </c>
      <c r="F241" s="75">
        <f ca="1">INDIRECT(ADDRESS($A241,1,3,1,Menus!$K$10))</f>
        <v>0</v>
      </c>
      <c r="G241" s="2" t="e">
        <f ca="1">IF(INDIRECT(ADDRESS($A241,2,3,1,Menus!$K$10))=G$1,$D241,#N/A)</f>
        <v>#N/A</v>
      </c>
      <c r="H241" s="2" t="e">
        <f ca="1">IF(INDIRECT(ADDRESS($A241,2,3,1,Menus!$K$10))=H$1,$D241,#N/A)</f>
        <v>#N/A</v>
      </c>
      <c r="I241" s="2" t="e">
        <f ca="1">IF(INDIRECT(ADDRESS($A241,2,3,1,Menus!$K$10))=I$1,$D241,#N/A)</f>
        <v>#N/A</v>
      </c>
      <c r="J241" s="2" t="e">
        <f ca="1">IF(INDIRECT(ADDRESS($A241,1,3,1,Menus!$K$10))=T(J$1),$D241,#N/A)</f>
        <v>#N/A</v>
      </c>
      <c r="K241" s="10">
        <f t="shared" ca="1" si="7"/>
        <v>0</v>
      </c>
      <c r="L241" s="2"/>
      <c r="M241" s="85">
        <f ca="1">OFFSET(INDIRECT(ADDRESS($A241,3,3,1,"Gross")),0,Menus!$J$4)</f>
        <v>0</v>
      </c>
      <c r="N241" s="85">
        <f ca="1">OFFSET(INDIRECT(ADDRESS($A241,3,3,1,"Gross")),0,Menus!$J$3)</f>
        <v>0</v>
      </c>
    </row>
    <row r="242" spans="1:14" x14ac:dyDescent="0.25">
      <c r="A242">
        <v>284</v>
      </c>
      <c r="B242" s="2">
        <f ca="1">OFFSET(INDIRECT(ADDRESS($A242,3,3,1,Menus!$K$10)),0,Menus!$J$4)</f>
        <v>0</v>
      </c>
      <c r="C242" s="2">
        <f ca="1">OFFSET(INDIRECT(ADDRESS($A242,3,3,1,Menus!$K$10)),0,Menus!$J$3)</f>
        <v>0</v>
      </c>
      <c r="D242" s="73" t="e">
        <f ca="1">IF(Menus!$J$9,C242/B242,C242)</f>
        <v>#DIV/0!</v>
      </c>
      <c r="E242" s="74" t="e">
        <f t="shared" ca="1" si="8"/>
        <v>#N/A</v>
      </c>
      <c r="F242" s="75">
        <f ca="1">INDIRECT(ADDRESS($A242,1,3,1,Menus!$K$10))</f>
        <v>0</v>
      </c>
      <c r="G242" s="2" t="e">
        <f ca="1">IF(INDIRECT(ADDRESS($A242,2,3,1,Menus!$K$10))=G$1,$D242,#N/A)</f>
        <v>#N/A</v>
      </c>
      <c r="H242" s="2" t="e">
        <f ca="1">IF(INDIRECT(ADDRESS($A242,2,3,1,Menus!$K$10))=H$1,$D242,#N/A)</f>
        <v>#N/A</v>
      </c>
      <c r="I242" s="2" t="e">
        <f ca="1">IF(INDIRECT(ADDRESS($A242,2,3,1,Menus!$K$10))=I$1,$D242,#N/A)</f>
        <v>#N/A</v>
      </c>
      <c r="J242" s="2" t="e">
        <f ca="1">IF(INDIRECT(ADDRESS($A242,1,3,1,Menus!$K$10))=T(J$1),$D242,#N/A)</f>
        <v>#N/A</v>
      </c>
      <c r="K242" s="10">
        <f t="shared" ca="1" si="7"/>
        <v>0</v>
      </c>
      <c r="L242" s="2"/>
      <c r="M242" s="85">
        <f ca="1">OFFSET(INDIRECT(ADDRESS($A242,3,3,1,"Gross")),0,Menus!$J$4)</f>
        <v>0</v>
      </c>
      <c r="N242" s="85">
        <f ca="1">OFFSET(INDIRECT(ADDRESS($A242,3,3,1,"Gross")),0,Menus!$J$3)</f>
        <v>0</v>
      </c>
    </row>
    <row r="243" spans="1:14" x14ac:dyDescent="0.25">
      <c r="A243">
        <v>285</v>
      </c>
      <c r="B243" s="2">
        <f ca="1">OFFSET(INDIRECT(ADDRESS($A243,3,3,1,Menus!$K$10)),0,Menus!$J$4)</f>
        <v>0</v>
      </c>
      <c r="C243" s="2">
        <f ca="1">OFFSET(INDIRECT(ADDRESS($A243,3,3,1,Menus!$K$10)),0,Menus!$J$3)</f>
        <v>0</v>
      </c>
      <c r="D243" s="73" t="e">
        <f ca="1">IF(Menus!$J$9,C243/B243,C243)</f>
        <v>#DIV/0!</v>
      </c>
      <c r="E243" s="74" t="e">
        <f t="shared" ca="1" si="8"/>
        <v>#N/A</v>
      </c>
      <c r="F243" s="75">
        <f ca="1">INDIRECT(ADDRESS($A243,1,3,1,Menus!$K$10))</f>
        <v>0</v>
      </c>
      <c r="G243" s="2" t="e">
        <f ca="1">IF(INDIRECT(ADDRESS($A243,2,3,1,Menus!$K$10))=G$1,$D243,#N/A)</f>
        <v>#N/A</v>
      </c>
      <c r="H243" s="2" t="e">
        <f ca="1">IF(INDIRECT(ADDRESS($A243,2,3,1,Menus!$K$10))=H$1,$D243,#N/A)</f>
        <v>#N/A</v>
      </c>
      <c r="I243" s="2" t="e">
        <f ca="1">IF(INDIRECT(ADDRESS($A243,2,3,1,Menus!$K$10))=I$1,$D243,#N/A)</f>
        <v>#N/A</v>
      </c>
      <c r="J243" s="2" t="e">
        <f ca="1">IF(INDIRECT(ADDRESS($A243,1,3,1,Menus!$K$10))=T(J$1),$D243,#N/A)</f>
        <v>#N/A</v>
      </c>
      <c r="K243" s="10">
        <f t="shared" ca="1" si="7"/>
        <v>0</v>
      </c>
      <c r="L243" s="2"/>
      <c r="M243" s="85">
        <f ca="1">OFFSET(INDIRECT(ADDRESS($A243,3,3,1,"Gross")),0,Menus!$J$4)</f>
        <v>0</v>
      </c>
      <c r="N243" s="85">
        <f ca="1">OFFSET(INDIRECT(ADDRESS($A243,3,3,1,"Gross")),0,Menus!$J$3)</f>
        <v>0</v>
      </c>
    </row>
    <row r="244" spans="1:14" x14ac:dyDescent="0.25">
      <c r="A244">
        <v>286</v>
      </c>
      <c r="B244" s="2">
        <f ca="1">OFFSET(INDIRECT(ADDRESS($A244,3,3,1,Menus!$K$10)),0,Menus!$J$4)</f>
        <v>0</v>
      </c>
      <c r="C244" s="2">
        <f ca="1">OFFSET(INDIRECT(ADDRESS($A244,3,3,1,Menus!$K$10)),0,Menus!$J$3)</f>
        <v>0</v>
      </c>
      <c r="D244" s="73" t="e">
        <f ca="1">IF(Menus!$J$9,C244/B244,C244)</f>
        <v>#DIV/0!</v>
      </c>
      <c r="E244" s="74" t="e">
        <f t="shared" ca="1" si="8"/>
        <v>#N/A</v>
      </c>
      <c r="F244" s="75">
        <f ca="1">INDIRECT(ADDRESS($A244,1,3,1,Menus!$K$10))</f>
        <v>0</v>
      </c>
      <c r="G244" s="2" t="e">
        <f ca="1">IF(INDIRECT(ADDRESS($A244,2,3,1,Menus!$K$10))=G$1,$D244,#N/A)</f>
        <v>#N/A</v>
      </c>
      <c r="H244" s="2" t="e">
        <f ca="1">IF(INDIRECT(ADDRESS($A244,2,3,1,Menus!$K$10))=H$1,$D244,#N/A)</f>
        <v>#N/A</v>
      </c>
      <c r="I244" s="2" t="e">
        <f ca="1">IF(INDIRECT(ADDRESS($A244,2,3,1,Menus!$K$10))=I$1,$D244,#N/A)</f>
        <v>#N/A</v>
      </c>
      <c r="J244" s="2" t="e">
        <f ca="1">IF(INDIRECT(ADDRESS($A244,1,3,1,Menus!$K$10))=T(J$1),$D244,#N/A)</f>
        <v>#N/A</v>
      </c>
      <c r="K244" s="10">
        <f t="shared" ca="1" si="7"/>
        <v>0</v>
      </c>
      <c r="L244" s="2"/>
      <c r="M244" s="85">
        <f ca="1">OFFSET(INDIRECT(ADDRESS($A244,3,3,1,"Gross")),0,Menus!$J$4)</f>
        <v>0</v>
      </c>
      <c r="N244" s="85">
        <f ca="1">OFFSET(INDIRECT(ADDRESS($A244,3,3,1,"Gross")),0,Menus!$J$3)</f>
        <v>0</v>
      </c>
    </row>
    <row r="245" spans="1:14" x14ac:dyDescent="0.25">
      <c r="A245">
        <v>287</v>
      </c>
      <c r="B245" s="2">
        <f ca="1">OFFSET(INDIRECT(ADDRESS($A245,3,3,1,Menus!$K$10)),0,Menus!$J$4)</f>
        <v>0</v>
      </c>
      <c r="C245" s="2">
        <f ca="1">OFFSET(INDIRECT(ADDRESS($A245,3,3,1,Menus!$K$10)),0,Menus!$J$3)</f>
        <v>0</v>
      </c>
      <c r="D245" s="73" t="e">
        <f ca="1">IF(Menus!$J$9,C245/B245,C245)</f>
        <v>#DIV/0!</v>
      </c>
      <c r="E245" s="74" t="e">
        <f t="shared" ca="1" si="8"/>
        <v>#N/A</v>
      </c>
      <c r="F245" s="75">
        <f ca="1">INDIRECT(ADDRESS($A245,1,3,1,Menus!$K$10))</f>
        <v>0</v>
      </c>
      <c r="G245" s="2" t="e">
        <f ca="1">IF(INDIRECT(ADDRESS($A245,2,3,1,Menus!$K$10))=G$1,$D245,#N/A)</f>
        <v>#N/A</v>
      </c>
      <c r="H245" s="2" t="e">
        <f ca="1">IF(INDIRECT(ADDRESS($A245,2,3,1,Menus!$K$10))=H$1,$D245,#N/A)</f>
        <v>#N/A</v>
      </c>
      <c r="I245" s="2" t="e">
        <f ca="1">IF(INDIRECT(ADDRESS($A245,2,3,1,Menus!$K$10))=I$1,$D245,#N/A)</f>
        <v>#N/A</v>
      </c>
      <c r="J245" s="2" t="e">
        <f ca="1">IF(INDIRECT(ADDRESS($A245,1,3,1,Menus!$K$10))=T(J$1),$D245,#N/A)</f>
        <v>#N/A</v>
      </c>
      <c r="K245" s="10">
        <f t="shared" ca="1" si="7"/>
        <v>0</v>
      </c>
      <c r="L245" s="2"/>
      <c r="M245" s="85">
        <f ca="1">OFFSET(INDIRECT(ADDRESS($A245,3,3,1,"Gross")),0,Menus!$J$4)</f>
        <v>0</v>
      </c>
      <c r="N245" s="85">
        <f ca="1">OFFSET(INDIRECT(ADDRESS($A245,3,3,1,"Gross")),0,Menus!$J$3)</f>
        <v>0</v>
      </c>
    </row>
    <row r="246" spans="1:14" x14ac:dyDescent="0.25">
      <c r="A246">
        <v>288</v>
      </c>
      <c r="B246" s="2">
        <f ca="1">OFFSET(INDIRECT(ADDRESS($A246,3,3,1,Menus!$K$10)),0,Menus!$J$4)</f>
        <v>0</v>
      </c>
      <c r="C246" s="2">
        <f ca="1">OFFSET(INDIRECT(ADDRESS($A246,3,3,1,Menus!$K$10)),0,Menus!$J$3)</f>
        <v>0</v>
      </c>
      <c r="D246" s="73" t="e">
        <f ca="1">IF(Menus!$J$9,C246/B246,C246)</f>
        <v>#DIV/0!</v>
      </c>
      <c r="E246" s="74" t="e">
        <f t="shared" ca="1" si="8"/>
        <v>#N/A</v>
      </c>
      <c r="F246" s="75">
        <f ca="1">INDIRECT(ADDRESS($A246,1,3,1,Menus!$K$10))</f>
        <v>0</v>
      </c>
      <c r="G246" s="2" t="e">
        <f ca="1">IF(INDIRECT(ADDRESS($A246,2,3,1,Menus!$K$10))=G$1,$D246,#N/A)</f>
        <v>#N/A</v>
      </c>
      <c r="H246" s="2" t="e">
        <f ca="1">IF(INDIRECT(ADDRESS($A246,2,3,1,Menus!$K$10))=H$1,$D246,#N/A)</f>
        <v>#N/A</v>
      </c>
      <c r="I246" s="2" t="e">
        <f ca="1">IF(INDIRECT(ADDRESS($A246,2,3,1,Menus!$K$10))=I$1,$D246,#N/A)</f>
        <v>#N/A</v>
      </c>
      <c r="J246" s="2" t="e">
        <f ca="1">IF(INDIRECT(ADDRESS($A246,1,3,1,Menus!$K$10))=T(J$1),$D246,#N/A)</f>
        <v>#N/A</v>
      </c>
      <c r="K246" s="10">
        <f t="shared" ca="1" si="7"/>
        <v>0</v>
      </c>
      <c r="L246" s="2"/>
      <c r="M246" s="85">
        <f ca="1">OFFSET(INDIRECT(ADDRESS($A246,3,3,1,"Gross")),0,Menus!$J$4)</f>
        <v>0</v>
      </c>
      <c r="N246" s="85">
        <f ca="1">OFFSET(INDIRECT(ADDRESS($A246,3,3,1,"Gross")),0,Menus!$J$3)</f>
        <v>0</v>
      </c>
    </row>
    <row r="247" spans="1:14" x14ac:dyDescent="0.25">
      <c r="A247">
        <v>289</v>
      </c>
      <c r="B247" s="2">
        <f ca="1">OFFSET(INDIRECT(ADDRESS($A247,3,3,1,Menus!$K$10)),0,Menus!$J$4)</f>
        <v>0</v>
      </c>
      <c r="C247" s="2">
        <f ca="1">OFFSET(INDIRECT(ADDRESS($A247,3,3,1,Menus!$K$10)),0,Menus!$J$3)</f>
        <v>0</v>
      </c>
      <c r="D247" s="73" t="e">
        <f ca="1">IF(Menus!$J$9,C247/B247,C247)</f>
        <v>#DIV/0!</v>
      </c>
      <c r="E247" s="74" t="e">
        <f t="shared" ca="1" si="8"/>
        <v>#N/A</v>
      </c>
      <c r="F247" s="75">
        <f ca="1">INDIRECT(ADDRESS($A247,1,3,1,Menus!$K$10))</f>
        <v>0</v>
      </c>
      <c r="G247" s="2" t="e">
        <f ca="1">IF(INDIRECT(ADDRESS($A247,2,3,1,Menus!$K$10))=G$1,$D247,#N/A)</f>
        <v>#N/A</v>
      </c>
      <c r="H247" s="2" t="e">
        <f ca="1">IF(INDIRECT(ADDRESS($A247,2,3,1,Menus!$K$10))=H$1,$D247,#N/A)</f>
        <v>#N/A</v>
      </c>
      <c r="I247" s="2" t="e">
        <f ca="1">IF(INDIRECT(ADDRESS($A247,2,3,1,Menus!$K$10))=I$1,$D247,#N/A)</f>
        <v>#N/A</v>
      </c>
      <c r="J247" s="2" t="e">
        <f ca="1">IF(INDIRECT(ADDRESS($A247,1,3,1,Menus!$K$10))=T(J$1),$D247,#N/A)</f>
        <v>#N/A</v>
      </c>
      <c r="K247" s="10">
        <f t="shared" ca="1" si="7"/>
        <v>0</v>
      </c>
      <c r="L247" s="2"/>
      <c r="M247" s="85">
        <f ca="1">OFFSET(INDIRECT(ADDRESS($A247,3,3,1,"Gross")),0,Menus!$J$4)</f>
        <v>0</v>
      </c>
      <c r="N247" s="85">
        <f ca="1">OFFSET(INDIRECT(ADDRESS($A247,3,3,1,"Gross")),0,Menus!$J$3)</f>
        <v>0</v>
      </c>
    </row>
    <row r="248" spans="1:14" x14ac:dyDescent="0.25">
      <c r="A248">
        <v>290</v>
      </c>
      <c r="B248" s="2">
        <f ca="1">OFFSET(INDIRECT(ADDRESS($A248,3,3,1,Menus!$K$10)),0,Menus!$J$4)</f>
        <v>0</v>
      </c>
      <c r="C248" s="2">
        <f ca="1">OFFSET(INDIRECT(ADDRESS($A248,3,3,1,Menus!$K$10)),0,Menus!$J$3)</f>
        <v>0</v>
      </c>
      <c r="D248" s="73" t="e">
        <f ca="1">IF(Menus!$J$9,C248/B248,C248)</f>
        <v>#DIV/0!</v>
      </c>
      <c r="E248" s="74" t="e">
        <f t="shared" ca="1" si="8"/>
        <v>#N/A</v>
      </c>
      <c r="F248" s="75">
        <f ca="1">INDIRECT(ADDRESS($A248,1,3,1,Menus!$K$10))</f>
        <v>0</v>
      </c>
      <c r="G248" s="2" t="e">
        <f ca="1">IF(INDIRECT(ADDRESS($A248,2,3,1,Menus!$K$10))=G$1,$D248,#N/A)</f>
        <v>#N/A</v>
      </c>
      <c r="H248" s="2" t="e">
        <f ca="1">IF(INDIRECT(ADDRESS($A248,2,3,1,Menus!$K$10))=H$1,$D248,#N/A)</f>
        <v>#N/A</v>
      </c>
      <c r="I248" s="2" t="e">
        <f ca="1">IF(INDIRECT(ADDRESS($A248,2,3,1,Menus!$K$10))=I$1,$D248,#N/A)</f>
        <v>#N/A</v>
      </c>
      <c r="J248" s="2" t="e">
        <f ca="1">IF(INDIRECT(ADDRESS($A248,1,3,1,Menus!$K$10))=T(J$1),$D248,#N/A)</f>
        <v>#N/A</v>
      </c>
      <c r="K248" s="10">
        <f t="shared" ca="1" si="7"/>
        <v>0</v>
      </c>
      <c r="L248" s="2"/>
      <c r="M248" s="85">
        <f ca="1">OFFSET(INDIRECT(ADDRESS($A248,3,3,1,"Gross")),0,Menus!$J$4)</f>
        <v>0</v>
      </c>
      <c r="N248" s="85">
        <f ca="1">OFFSET(INDIRECT(ADDRESS($A248,3,3,1,"Gross")),0,Menus!$J$3)</f>
        <v>0</v>
      </c>
    </row>
    <row r="249" spans="1:14" x14ac:dyDescent="0.25">
      <c r="A249">
        <v>291</v>
      </c>
      <c r="B249" s="2">
        <f ca="1">OFFSET(INDIRECT(ADDRESS($A249,3,3,1,Menus!$K$10)),0,Menus!$J$4)</f>
        <v>0</v>
      </c>
      <c r="C249" s="2">
        <f ca="1">OFFSET(INDIRECT(ADDRESS($A249,3,3,1,Menus!$K$10)),0,Menus!$J$3)</f>
        <v>0</v>
      </c>
      <c r="D249" s="73" t="e">
        <f ca="1">IF(Menus!$J$9,C249/B249,C249)</f>
        <v>#DIV/0!</v>
      </c>
      <c r="E249" s="74" t="e">
        <f t="shared" ca="1" si="8"/>
        <v>#N/A</v>
      </c>
      <c r="F249" s="75">
        <f ca="1">INDIRECT(ADDRESS($A249,1,3,1,Menus!$K$10))</f>
        <v>0</v>
      </c>
      <c r="G249" s="2" t="e">
        <f ca="1">IF(INDIRECT(ADDRESS($A249,2,3,1,Menus!$K$10))=G$1,$D249,#N/A)</f>
        <v>#N/A</v>
      </c>
      <c r="H249" s="2" t="e">
        <f ca="1">IF(INDIRECT(ADDRESS($A249,2,3,1,Menus!$K$10))=H$1,$D249,#N/A)</f>
        <v>#N/A</v>
      </c>
      <c r="I249" s="2" t="e">
        <f ca="1">IF(INDIRECT(ADDRESS($A249,2,3,1,Menus!$K$10))=I$1,$D249,#N/A)</f>
        <v>#N/A</v>
      </c>
      <c r="J249" s="2" t="e">
        <f ca="1">IF(INDIRECT(ADDRESS($A249,1,3,1,Menus!$K$10))=T(J$1),$D249,#N/A)</f>
        <v>#N/A</v>
      </c>
      <c r="K249" s="10">
        <f t="shared" ca="1" si="7"/>
        <v>0</v>
      </c>
      <c r="L249" s="2"/>
      <c r="M249" s="85">
        <f ca="1">OFFSET(INDIRECT(ADDRESS($A249,3,3,1,"Gross")),0,Menus!$J$4)</f>
        <v>0</v>
      </c>
      <c r="N249" s="85">
        <f ca="1">OFFSET(INDIRECT(ADDRESS($A249,3,3,1,"Gross")),0,Menus!$J$3)</f>
        <v>0</v>
      </c>
    </row>
    <row r="250" spans="1:14" x14ac:dyDescent="0.25">
      <c r="A250">
        <v>292</v>
      </c>
      <c r="B250" s="2">
        <f ca="1">OFFSET(INDIRECT(ADDRESS($A250,3,3,1,Menus!$K$10)),0,Menus!$J$4)</f>
        <v>0</v>
      </c>
      <c r="C250" s="2">
        <f ca="1">OFFSET(INDIRECT(ADDRESS($A250,3,3,1,Menus!$K$10)),0,Menus!$J$3)</f>
        <v>0</v>
      </c>
      <c r="D250" s="73" t="e">
        <f ca="1">IF(Menus!$J$9,C250/B250,C250)</f>
        <v>#DIV/0!</v>
      </c>
      <c r="E250" s="74" t="e">
        <f t="shared" ca="1" si="8"/>
        <v>#N/A</v>
      </c>
      <c r="F250" s="75">
        <f ca="1">INDIRECT(ADDRESS($A250,1,3,1,Menus!$K$10))</f>
        <v>0</v>
      </c>
      <c r="G250" s="2" t="e">
        <f ca="1">IF(INDIRECT(ADDRESS($A250,2,3,1,Menus!$K$10))=G$1,$D250,#N/A)</f>
        <v>#N/A</v>
      </c>
      <c r="H250" s="2" t="e">
        <f ca="1">IF(INDIRECT(ADDRESS($A250,2,3,1,Menus!$K$10))=H$1,$D250,#N/A)</f>
        <v>#N/A</v>
      </c>
      <c r="I250" s="2" t="e">
        <f ca="1">IF(INDIRECT(ADDRESS($A250,2,3,1,Menus!$K$10))=I$1,$D250,#N/A)</f>
        <v>#N/A</v>
      </c>
      <c r="J250" s="2" t="e">
        <f ca="1">IF(INDIRECT(ADDRESS($A250,1,3,1,Menus!$K$10))=T(J$1),$D250,#N/A)</f>
        <v>#N/A</v>
      </c>
      <c r="K250" s="10">
        <f t="shared" ca="1" si="7"/>
        <v>0</v>
      </c>
      <c r="L250" s="2"/>
      <c r="M250" s="85">
        <f ca="1">OFFSET(INDIRECT(ADDRESS($A250,3,3,1,"Gross")),0,Menus!$J$4)</f>
        <v>0</v>
      </c>
      <c r="N250" s="85">
        <f ca="1">OFFSET(INDIRECT(ADDRESS($A250,3,3,1,"Gross")),0,Menus!$J$3)</f>
        <v>0</v>
      </c>
    </row>
    <row r="251" spans="1:14" x14ac:dyDescent="0.25">
      <c r="A251">
        <v>293</v>
      </c>
      <c r="B251" s="2">
        <f ca="1">OFFSET(INDIRECT(ADDRESS($A251,3,3,1,Menus!$K$10)),0,Menus!$J$4)</f>
        <v>0</v>
      </c>
      <c r="C251" s="2">
        <f ca="1">OFFSET(INDIRECT(ADDRESS($A251,3,3,1,Menus!$K$10)),0,Menus!$J$3)</f>
        <v>0</v>
      </c>
      <c r="D251" s="73" t="e">
        <f ca="1">IF(Menus!$J$9,C251/B251,C251)</f>
        <v>#DIV/0!</v>
      </c>
      <c r="E251" s="74" t="e">
        <f t="shared" ca="1" si="8"/>
        <v>#N/A</v>
      </c>
      <c r="F251" s="75">
        <f ca="1">INDIRECT(ADDRESS($A251,1,3,1,Menus!$K$10))</f>
        <v>0</v>
      </c>
      <c r="G251" s="2" t="e">
        <f ca="1">IF(INDIRECT(ADDRESS($A251,2,3,1,Menus!$K$10))=G$1,$D251,#N/A)</f>
        <v>#N/A</v>
      </c>
      <c r="H251" s="2" t="e">
        <f ca="1">IF(INDIRECT(ADDRESS($A251,2,3,1,Menus!$K$10))=H$1,$D251,#N/A)</f>
        <v>#N/A</v>
      </c>
      <c r="I251" s="2" t="e">
        <f ca="1">IF(INDIRECT(ADDRESS($A251,2,3,1,Menus!$K$10))=I$1,$D251,#N/A)</f>
        <v>#N/A</v>
      </c>
      <c r="J251" s="2" t="e">
        <f ca="1">IF(INDIRECT(ADDRESS($A251,1,3,1,Menus!$K$10))=T(J$1),$D251,#N/A)</f>
        <v>#N/A</v>
      </c>
      <c r="K251" s="10">
        <f t="shared" ca="1" si="7"/>
        <v>0</v>
      </c>
      <c r="L251" s="2"/>
      <c r="M251" s="85">
        <f ca="1">OFFSET(INDIRECT(ADDRESS($A251,3,3,1,"Gross")),0,Menus!$J$4)</f>
        <v>0</v>
      </c>
      <c r="N251" s="85">
        <f ca="1">OFFSET(INDIRECT(ADDRESS($A251,3,3,1,"Gross")),0,Menus!$J$3)</f>
        <v>0</v>
      </c>
    </row>
    <row r="252" spans="1:14" x14ac:dyDescent="0.25">
      <c r="A252">
        <v>294</v>
      </c>
      <c r="B252" s="2">
        <f ca="1">OFFSET(INDIRECT(ADDRESS($A252,3,3,1,Menus!$K$10)),0,Menus!$J$4)</f>
        <v>0</v>
      </c>
      <c r="C252" s="2">
        <f ca="1">OFFSET(INDIRECT(ADDRESS($A252,3,3,1,Menus!$K$10)),0,Menus!$J$3)</f>
        <v>0</v>
      </c>
      <c r="D252" s="73" t="e">
        <f ca="1">IF(Menus!$J$9,C252/B252,C252)</f>
        <v>#DIV/0!</v>
      </c>
      <c r="E252" s="74" t="e">
        <f t="shared" ca="1" si="8"/>
        <v>#N/A</v>
      </c>
      <c r="F252" s="75">
        <f ca="1">INDIRECT(ADDRESS($A252,1,3,1,Menus!$K$10))</f>
        <v>0</v>
      </c>
      <c r="G252" s="2" t="e">
        <f ca="1">IF(INDIRECT(ADDRESS($A252,2,3,1,Menus!$K$10))=G$1,$D252,#N/A)</f>
        <v>#N/A</v>
      </c>
      <c r="H252" s="2" t="e">
        <f ca="1">IF(INDIRECT(ADDRESS($A252,2,3,1,Menus!$K$10))=H$1,$D252,#N/A)</f>
        <v>#N/A</v>
      </c>
      <c r="I252" s="2" t="e">
        <f ca="1">IF(INDIRECT(ADDRESS($A252,2,3,1,Menus!$K$10))=I$1,$D252,#N/A)</f>
        <v>#N/A</v>
      </c>
      <c r="J252" s="2" t="e">
        <f ca="1">IF(INDIRECT(ADDRESS($A252,1,3,1,Menus!$K$10))=T(J$1),$D252,#N/A)</f>
        <v>#N/A</v>
      </c>
      <c r="K252" s="10">
        <f t="shared" ca="1" si="7"/>
        <v>0</v>
      </c>
      <c r="L252" s="2"/>
      <c r="M252" s="85">
        <f ca="1">OFFSET(INDIRECT(ADDRESS($A252,3,3,1,"Gross")),0,Menus!$J$4)</f>
        <v>0</v>
      </c>
      <c r="N252" s="85">
        <f ca="1">OFFSET(INDIRECT(ADDRESS($A252,3,3,1,"Gross")),0,Menus!$J$3)</f>
        <v>0</v>
      </c>
    </row>
    <row r="253" spans="1:14" x14ac:dyDescent="0.25">
      <c r="A253">
        <v>295</v>
      </c>
      <c r="B253" s="2">
        <f ca="1">OFFSET(INDIRECT(ADDRESS($A253,3,3,1,Menus!$K$10)),0,Menus!$J$4)</f>
        <v>0</v>
      </c>
      <c r="C253" s="2">
        <f ca="1">OFFSET(INDIRECT(ADDRESS($A253,3,3,1,Menus!$K$10)),0,Menus!$J$3)</f>
        <v>0</v>
      </c>
      <c r="D253" s="73" t="e">
        <f ca="1">IF(Menus!$J$9,C253/B253,C253)</f>
        <v>#DIV/0!</v>
      </c>
      <c r="E253" s="74" t="e">
        <f t="shared" ca="1" si="8"/>
        <v>#N/A</v>
      </c>
      <c r="F253" s="75">
        <f ca="1">INDIRECT(ADDRESS($A253,1,3,1,Menus!$K$10))</f>
        <v>0</v>
      </c>
      <c r="G253" s="2" t="e">
        <f ca="1">IF(INDIRECT(ADDRESS($A253,2,3,1,Menus!$K$10))=G$1,$D253,#N/A)</f>
        <v>#N/A</v>
      </c>
      <c r="H253" s="2" t="e">
        <f ca="1">IF(INDIRECT(ADDRESS($A253,2,3,1,Menus!$K$10))=H$1,$D253,#N/A)</f>
        <v>#N/A</v>
      </c>
      <c r="I253" s="2" t="e">
        <f ca="1">IF(INDIRECT(ADDRESS($A253,2,3,1,Menus!$K$10))=I$1,$D253,#N/A)</f>
        <v>#N/A</v>
      </c>
      <c r="J253" s="2" t="e">
        <f ca="1">IF(INDIRECT(ADDRESS($A253,1,3,1,Menus!$K$10))=T(J$1),$D253,#N/A)</f>
        <v>#N/A</v>
      </c>
      <c r="K253" s="10">
        <f t="shared" ca="1" si="7"/>
        <v>0</v>
      </c>
      <c r="L253" s="2"/>
      <c r="M253" s="85">
        <f ca="1">OFFSET(INDIRECT(ADDRESS($A253,3,3,1,"Gross")),0,Menus!$J$4)</f>
        <v>0</v>
      </c>
      <c r="N253" s="85">
        <f ca="1">OFFSET(INDIRECT(ADDRESS($A253,3,3,1,"Gross")),0,Menus!$J$3)</f>
        <v>0</v>
      </c>
    </row>
    <row r="254" spans="1:14" x14ac:dyDescent="0.25">
      <c r="A254">
        <v>296</v>
      </c>
      <c r="B254" s="2">
        <f ca="1">OFFSET(INDIRECT(ADDRESS($A254,3,3,1,Menus!$K$10)),0,Menus!$J$4)</f>
        <v>0</v>
      </c>
      <c r="C254" s="2">
        <f ca="1">OFFSET(INDIRECT(ADDRESS($A254,3,3,1,Menus!$K$10)),0,Menus!$J$3)</f>
        <v>0</v>
      </c>
      <c r="D254" s="73" t="e">
        <f ca="1">IF(Menus!$J$9,C254/B254,C254)</f>
        <v>#DIV/0!</v>
      </c>
      <c r="E254" s="74" t="e">
        <f t="shared" ca="1" si="8"/>
        <v>#N/A</v>
      </c>
      <c r="F254" s="75">
        <f ca="1">INDIRECT(ADDRESS($A254,1,3,1,Menus!$K$10))</f>
        <v>0</v>
      </c>
      <c r="G254" s="2" t="e">
        <f ca="1">IF(INDIRECT(ADDRESS($A254,2,3,1,Menus!$K$10))=G$1,$D254,#N/A)</f>
        <v>#N/A</v>
      </c>
      <c r="H254" s="2" t="e">
        <f ca="1">IF(INDIRECT(ADDRESS($A254,2,3,1,Menus!$K$10))=H$1,$D254,#N/A)</f>
        <v>#N/A</v>
      </c>
      <c r="I254" s="2" t="e">
        <f ca="1">IF(INDIRECT(ADDRESS($A254,2,3,1,Menus!$K$10))=I$1,$D254,#N/A)</f>
        <v>#N/A</v>
      </c>
      <c r="J254" s="2" t="e">
        <f ca="1">IF(INDIRECT(ADDRESS($A254,1,3,1,Menus!$K$10))=T(J$1),$D254,#N/A)</f>
        <v>#N/A</v>
      </c>
      <c r="K254" s="10">
        <f t="shared" ca="1" si="7"/>
        <v>0</v>
      </c>
      <c r="L254" s="2"/>
      <c r="M254" s="85">
        <f ca="1">OFFSET(INDIRECT(ADDRESS($A254,3,3,1,"Gross")),0,Menus!$J$4)</f>
        <v>0</v>
      </c>
      <c r="N254" s="85">
        <f ca="1">OFFSET(INDIRECT(ADDRESS($A254,3,3,1,"Gross")),0,Menus!$J$3)</f>
        <v>0</v>
      </c>
    </row>
    <row r="255" spans="1:14" x14ac:dyDescent="0.25">
      <c r="A255">
        <v>297</v>
      </c>
      <c r="B255" s="2">
        <f ca="1">OFFSET(INDIRECT(ADDRESS($A255,3,3,1,Menus!$K$10)),0,Menus!$J$4)</f>
        <v>0</v>
      </c>
      <c r="C255" s="2">
        <f ca="1">OFFSET(INDIRECT(ADDRESS($A255,3,3,1,Menus!$K$10)),0,Menus!$J$3)</f>
        <v>0</v>
      </c>
      <c r="D255" s="73" t="e">
        <f ca="1">IF(Menus!$J$9,C255/B255,C255)</f>
        <v>#DIV/0!</v>
      </c>
      <c r="E255" s="74" t="e">
        <f t="shared" ca="1" si="8"/>
        <v>#N/A</v>
      </c>
      <c r="F255" s="75">
        <f ca="1">INDIRECT(ADDRESS($A255,1,3,1,Menus!$K$10))</f>
        <v>0</v>
      </c>
      <c r="G255" s="2" t="e">
        <f ca="1">IF(INDIRECT(ADDRESS($A255,2,3,1,Menus!$K$10))=G$1,$D255,#N/A)</f>
        <v>#N/A</v>
      </c>
      <c r="H255" s="2" t="e">
        <f ca="1">IF(INDIRECT(ADDRESS($A255,2,3,1,Menus!$K$10))=H$1,$D255,#N/A)</f>
        <v>#N/A</v>
      </c>
      <c r="I255" s="2" t="e">
        <f ca="1">IF(INDIRECT(ADDRESS($A255,2,3,1,Menus!$K$10))=I$1,$D255,#N/A)</f>
        <v>#N/A</v>
      </c>
      <c r="J255" s="2" t="e">
        <f ca="1">IF(INDIRECT(ADDRESS($A255,1,3,1,Menus!$K$10))=T(J$1),$D255,#N/A)</f>
        <v>#N/A</v>
      </c>
      <c r="K255" s="10">
        <f t="shared" ca="1" si="7"/>
        <v>0</v>
      </c>
      <c r="L255" s="2"/>
      <c r="M255" s="85">
        <f ca="1">OFFSET(INDIRECT(ADDRESS($A255,3,3,1,"Gross")),0,Menus!$J$4)</f>
        <v>0</v>
      </c>
      <c r="N255" s="85">
        <f ca="1">OFFSET(INDIRECT(ADDRESS($A255,3,3,1,"Gross")),0,Menus!$J$3)</f>
        <v>0</v>
      </c>
    </row>
    <row r="256" spans="1:14" x14ac:dyDescent="0.25">
      <c r="A256">
        <v>298</v>
      </c>
      <c r="B256" s="2">
        <f ca="1">OFFSET(INDIRECT(ADDRESS($A256,3,3,1,Menus!$K$10)),0,Menus!$J$4)</f>
        <v>0</v>
      </c>
      <c r="C256" s="2">
        <f ca="1">OFFSET(INDIRECT(ADDRESS($A256,3,3,1,Menus!$K$10)),0,Menus!$J$3)</f>
        <v>0</v>
      </c>
      <c r="D256" s="73" t="e">
        <f ca="1">IF(Menus!$J$9,C256/B256,C256)</f>
        <v>#DIV/0!</v>
      </c>
      <c r="E256" s="74" t="e">
        <f t="shared" ca="1" si="8"/>
        <v>#N/A</v>
      </c>
      <c r="F256" s="75">
        <f ca="1">INDIRECT(ADDRESS($A256,1,3,1,Menus!$K$10))</f>
        <v>0</v>
      </c>
      <c r="G256" s="2" t="e">
        <f ca="1">IF(INDIRECT(ADDRESS($A256,2,3,1,Menus!$K$10))=G$1,$D256,#N/A)</f>
        <v>#N/A</v>
      </c>
      <c r="H256" s="2" t="e">
        <f ca="1">IF(INDIRECT(ADDRESS($A256,2,3,1,Menus!$K$10))=H$1,$D256,#N/A)</f>
        <v>#N/A</v>
      </c>
      <c r="I256" s="2" t="e">
        <f ca="1">IF(INDIRECT(ADDRESS($A256,2,3,1,Menus!$K$10))=I$1,$D256,#N/A)</f>
        <v>#N/A</v>
      </c>
      <c r="J256" s="2" t="e">
        <f ca="1">IF(INDIRECT(ADDRESS($A256,1,3,1,Menus!$K$10))=T(J$1),$D256,#N/A)</f>
        <v>#N/A</v>
      </c>
      <c r="K256" s="10">
        <f t="shared" ca="1" si="7"/>
        <v>0</v>
      </c>
      <c r="L256" s="2"/>
      <c r="M256" s="85">
        <f ca="1">OFFSET(INDIRECT(ADDRESS($A256,3,3,1,"Gross")),0,Menus!$J$4)</f>
        <v>0</v>
      </c>
      <c r="N256" s="85">
        <f ca="1">OFFSET(INDIRECT(ADDRESS($A256,3,3,1,"Gross")),0,Menus!$J$3)</f>
        <v>0</v>
      </c>
    </row>
    <row r="257" spans="1:14" x14ac:dyDescent="0.25">
      <c r="A257">
        <v>299</v>
      </c>
      <c r="B257" s="2">
        <f ca="1">OFFSET(INDIRECT(ADDRESS($A257,3,3,1,Menus!$K$10)),0,Menus!$J$4)</f>
        <v>0</v>
      </c>
      <c r="C257" s="2">
        <f ca="1">OFFSET(INDIRECT(ADDRESS($A257,3,3,1,Menus!$K$10)),0,Menus!$J$3)</f>
        <v>0</v>
      </c>
      <c r="D257" s="73" t="e">
        <f ca="1">IF(Menus!$J$9,C257/B257,C257)</f>
        <v>#DIV/0!</v>
      </c>
      <c r="E257" s="74" t="e">
        <f t="shared" ca="1" si="8"/>
        <v>#N/A</v>
      </c>
      <c r="F257" s="75">
        <f ca="1">INDIRECT(ADDRESS($A257,1,3,1,Menus!$K$10))</f>
        <v>0</v>
      </c>
      <c r="G257" s="2" t="e">
        <f ca="1">IF(INDIRECT(ADDRESS($A257,2,3,1,Menus!$K$10))=G$1,$D257,#N/A)</f>
        <v>#N/A</v>
      </c>
      <c r="H257" s="2" t="e">
        <f ca="1">IF(INDIRECT(ADDRESS($A257,2,3,1,Menus!$K$10))=H$1,$D257,#N/A)</f>
        <v>#N/A</v>
      </c>
      <c r="I257" s="2" t="e">
        <f ca="1">IF(INDIRECT(ADDRESS($A257,2,3,1,Menus!$K$10))=I$1,$D257,#N/A)</f>
        <v>#N/A</v>
      </c>
      <c r="J257" s="2" t="e">
        <f ca="1">IF(INDIRECT(ADDRESS($A257,1,3,1,Menus!$K$10))=T(J$1),$D257,#N/A)</f>
        <v>#N/A</v>
      </c>
      <c r="K257" s="10">
        <f t="shared" ca="1" si="7"/>
        <v>0</v>
      </c>
      <c r="L257" s="2"/>
      <c r="M257" s="85">
        <f ca="1">OFFSET(INDIRECT(ADDRESS($A257,3,3,1,"Gross")),0,Menus!$J$4)</f>
        <v>0</v>
      </c>
      <c r="N257" s="85">
        <f ca="1">OFFSET(INDIRECT(ADDRESS($A257,3,3,1,"Gross")),0,Menus!$J$3)</f>
        <v>0</v>
      </c>
    </row>
    <row r="258" spans="1:14" x14ac:dyDescent="0.25">
      <c r="A258">
        <v>300</v>
      </c>
      <c r="B258" s="2">
        <f ca="1">OFFSET(INDIRECT(ADDRESS($A258,3,3,1,Menus!$K$10)),0,Menus!$J$4)</f>
        <v>0</v>
      </c>
      <c r="C258" s="2">
        <f ca="1">OFFSET(INDIRECT(ADDRESS($A258,3,3,1,Menus!$K$10)),0,Menus!$J$3)</f>
        <v>0</v>
      </c>
      <c r="D258" s="73" t="e">
        <f ca="1">IF(Menus!$J$9,C258/B258,C258)</f>
        <v>#DIV/0!</v>
      </c>
      <c r="E258" s="74" t="e">
        <f t="shared" ca="1" si="8"/>
        <v>#N/A</v>
      </c>
      <c r="F258" s="75">
        <f ca="1">INDIRECT(ADDRESS($A258,1,3,1,Menus!$K$10))</f>
        <v>0</v>
      </c>
      <c r="G258" s="2" t="e">
        <f ca="1">IF(INDIRECT(ADDRESS($A258,2,3,1,Menus!$K$10))=G$1,$D258,#N/A)</f>
        <v>#N/A</v>
      </c>
      <c r="H258" s="2" t="e">
        <f ca="1">IF(INDIRECT(ADDRESS($A258,2,3,1,Menus!$K$10))=H$1,$D258,#N/A)</f>
        <v>#N/A</v>
      </c>
      <c r="I258" s="2" t="e">
        <f ca="1">IF(INDIRECT(ADDRESS($A258,2,3,1,Menus!$K$10))=I$1,$D258,#N/A)</f>
        <v>#N/A</v>
      </c>
      <c r="J258" s="2" t="e">
        <f ca="1">IF(INDIRECT(ADDRESS($A258,1,3,1,Menus!$K$10))=T(J$1),$D258,#N/A)</f>
        <v>#N/A</v>
      </c>
      <c r="K258" s="10">
        <f t="shared" ref="K258:K321" ca="1" si="9">IF(OR(ISNUMBER($G258),ISNUMBER($H258),ISNUMBER($I258),ISNUMBER($J258)),1,0)</f>
        <v>0</v>
      </c>
      <c r="L258" s="2"/>
      <c r="M258" s="85">
        <f ca="1">OFFSET(INDIRECT(ADDRESS($A258,3,3,1,"Gross")),0,Menus!$J$4)</f>
        <v>0</v>
      </c>
      <c r="N258" s="85">
        <f ca="1">OFFSET(INDIRECT(ADDRESS($A258,3,3,1,"Gross")),0,Menus!$J$3)</f>
        <v>0</v>
      </c>
    </row>
    <row r="259" spans="1:14" x14ac:dyDescent="0.25">
      <c r="A259">
        <v>301</v>
      </c>
      <c r="B259" s="2">
        <f ca="1">OFFSET(INDIRECT(ADDRESS($A259,3,3,1,Menus!$K$10)),0,Menus!$J$4)</f>
        <v>0</v>
      </c>
      <c r="C259" s="2">
        <f ca="1">OFFSET(INDIRECT(ADDRESS($A259,3,3,1,Menus!$K$10)),0,Menus!$J$3)</f>
        <v>0</v>
      </c>
      <c r="D259" s="73" t="e">
        <f ca="1">IF(Menus!$J$9,C259/B259,C259)</f>
        <v>#DIV/0!</v>
      </c>
      <c r="E259" s="74" t="e">
        <f t="shared" ref="E259:E322" ca="1" si="10">IF($K259=1,VALUE(B259),#N/A)</f>
        <v>#N/A</v>
      </c>
      <c r="F259" s="75">
        <f ca="1">INDIRECT(ADDRESS($A259,1,3,1,Menus!$K$10))</f>
        <v>0</v>
      </c>
      <c r="G259" s="2" t="e">
        <f ca="1">IF(INDIRECT(ADDRESS($A259,2,3,1,Menus!$K$10))=G$1,$D259,#N/A)</f>
        <v>#N/A</v>
      </c>
      <c r="H259" s="2" t="e">
        <f ca="1">IF(INDIRECT(ADDRESS($A259,2,3,1,Menus!$K$10))=H$1,$D259,#N/A)</f>
        <v>#N/A</v>
      </c>
      <c r="I259" s="2" t="e">
        <f ca="1">IF(INDIRECT(ADDRESS($A259,2,3,1,Menus!$K$10))=I$1,$D259,#N/A)</f>
        <v>#N/A</v>
      </c>
      <c r="J259" s="2" t="e">
        <f ca="1">IF(INDIRECT(ADDRESS($A259,1,3,1,Menus!$K$10))=T(J$1),$D259,#N/A)</f>
        <v>#N/A</v>
      </c>
      <c r="K259" s="10">
        <f t="shared" ca="1" si="9"/>
        <v>0</v>
      </c>
      <c r="L259" s="2"/>
      <c r="M259" s="85">
        <f ca="1">OFFSET(INDIRECT(ADDRESS($A259,3,3,1,"Gross")),0,Menus!$J$4)</f>
        <v>0</v>
      </c>
      <c r="N259" s="85">
        <f ca="1">OFFSET(INDIRECT(ADDRESS($A259,3,3,1,"Gross")),0,Menus!$J$3)</f>
        <v>0</v>
      </c>
    </row>
    <row r="260" spans="1:14" x14ac:dyDescent="0.25">
      <c r="A260">
        <v>302</v>
      </c>
      <c r="B260" s="2">
        <f ca="1">OFFSET(INDIRECT(ADDRESS($A260,3,3,1,Menus!$K$10)),0,Menus!$J$4)</f>
        <v>0</v>
      </c>
      <c r="C260" s="2">
        <f ca="1">OFFSET(INDIRECT(ADDRESS($A260,3,3,1,Menus!$K$10)),0,Menus!$J$3)</f>
        <v>0</v>
      </c>
      <c r="D260" s="73" t="e">
        <f ca="1">IF(Menus!$J$9,C260/B260,C260)</f>
        <v>#DIV/0!</v>
      </c>
      <c r="E260" s="74" t="e">
        <f t="shared" ca="1" si="10"/>
        <v>#N/A</v>
      </c>
      <c r="F260" s="75">
        <f ca="1">INDIRECT(ADDRESS($A260,1,3,1,Menus!$K$10))</f>
        <v>0</v>
      </c>
      <c r="G260" s="2" t="e">
        <f ca="1">IF(INDIRECT(ADDRESS($A260,2,3,1,Menus!$K$10))=G$1,$D260,#N/A)</f>
        <v>#N/A</v>
      </c>
      <c r="H260" s="2" t="e">
        <f ca="1">IF(INDIRECT(ADDRESS($A260,2,3,1,Menus!$K$10))=H$1,$D260,#N/A)</f>
        <v>#N/A</v>
      </c>
      <c r="I260" s="2" t="e">
        <f ca="1">IF(INDIRECT(ADDRESS($A260,2,3,1,Menus!$K$10))=I$1,$D260,#N/A)</f>
        <v>#N/A</v>
      </c>
      <c r="J260" s="2" t="e">
        <f ca="1">IF(INDIRECT(ADDRESS($A260,1,3,1,Menus!$K$10))=T(J$1),$D260,#N/A)</f>
        <v>#N/A</v>
      </c>
      <c r="K260" s="10">
        <f t="shared" ca="1" si="9"/>
        <v>0</v>
      </c>
      <c r="L260" s="2"/>
      <c r="M260" s="85">
        <f ca="1">OFFSET(INDIRECT(ADDRESS($A260,3,3,1,"Gross")),0,Menus!$J$4)</f>
        <v>0</v>
      </c>
      <c r="N260" s="85">
        <f ca="1">OFFSET(INDIRECT(ADDRESS($A260,3,3,1,"Gross")),0,Menus!$J$3)</f>
        <v>0</v>
      </c>
    </row>
    <row r="261" spans="1:14" x14ac:dyDescent="0.25">
      <c r="A261">
        <v>303</v>
      </c>
      <c r="B261" s="2">
        <f ca="1">OFFSET(INDIRECT(ADDRESS($A261,3,3,1,Menus!$K$10)),0,Menus!$J$4)</f>
        <v>0</v>
      </c>
      <c r="C261" s="2">
        <f ca="1">OFFSET(INDIRECT(ADDRESS($A261,3,3,1,Menus!$K$10)),0,Menus!$J$3)</f>
        <v>0</v>
      </c>
      <c r="D261" s="73" t="e">
        <f ca="1">IF(Menus!$J$9,C261/B261,C261)</f>
        <v>#DIV/0!</v>
      </c>
      <c r="E261" s="74" t="e">
        <f t="shared" ca="1" si="10"/>
        <v>#N/A</v>
      </c>
      <c r="F261" s="75">
        <f ca="1">INDIRECT(ADDRESS($A261,1,3,1,Menus!$K$10))</f>
        <v>0</v>
      </c>
      <c r="G261" s="2" t="e">
        <f ca="1">IF(INDIRECT(ADDRESS($A261,2,3,1,Menus!$K$10))=G$1,$D261,#N/A)</f>
        <v>#N/A</v>
      </c>
      <c r="H261" s="2" t="e">
        <f ca="1">IF(INDIRECT(ADDRESS($A261,2,3,1,Menus!$K$10))=H$1,$D261,#N/A)</f>
        <v>#N/A</v>
      </c>
      <c r="I261" s="2" t="e">
        <f ca="1">IF(INDIRECT(ADDRESS($A261,2,3,1,Menus!$K$10))=I$1,$D261,#N/A)</f>
        <v>#N/A</v>
      </c>
      <c r="J261" s="2" t="e">
        <f ca="1">IF(INDIRECT(ADDRESS($A261,1,3,1,Menus!$K$10))=T(J$1),$D261,#N/A)</f>
        <v>#N/A</v>
      </c>
      <c r="K261" s="10">
        <f t="shared" ca="1" si="9"/>
        <v>0</v>
      </c>
      <c r="L261" s="2"/>
      <c r="M261" s="85">
        <f ca="1">OFFSET(INDIRECT(ADDRESS($A261,3,3,1,"Gross")),0,Menus!$J$4)</f>
        <v>0</v>
      </c>
      <c r="N261" s="85">
        <f ca="1">OFFSET(INDIRECT(ADDRESS($A261,3,3,1,"Gross")),0,Menus!$J$3)</f>
        <v>0</v>
      </c>
    </row>
    <row r="262" spans="1:14" x14ac:dyDescent="0.25">
      <c r="A262">
        <v>304</v>
      </c>
      <c r="B262" s="2">
        <f ca="1">OFFSET(INDIRECT(ADDRESS($A262,3,3,1,Menus!$K$10)),0,Menus!$J$4)</f>
        <v>0</v>
      </c>
      <c r="C262" s="2">
        <f ca="1">OFFSET(INDIRECT(ADDRESS($A262,3,3,1,Menus!$K$10)),0,Menus!$J$3)</f>
        <v>0</v>
      </c>
      <c r="D262" s="73" t="e">
        <f ca="1">IF(Menus!$J$9,C262/B262,C262)</f>
        <v>#DIV/0!</v>
      </c>
      <c r="E262" s="74" t="e">
        <f t="shared" ca="1" si="10"/>
        <v>#N/A</v>
      </c>
      <c r="F262" s="75">
        <f ca="1">INDIRECT(ADDRESS($A262,1,3,1,Menus!$K$10))</f>
        <v>0</v>
      </c>
      <c r="G262" s="2" t="e">
        <f ca="1">IF(INDIRECT(ADDRESS($A262,2,3,1,Menus!$K$10))=G$1,$D262,#N/A)</f>
        <v>#N/A</v>
      </c>
      <c r="H262" s="2" t="e">
        <f ca="1">IF(INDIRECT(ADDRESS($A262,2,3,1,Menus!$K$10))=H$1,$D262,#N/A)</f>
        <v>#N/A</v>
      </c>
      <c r="I262" s="2" t="e">
        <f ca="1">IF(INDIRECT(ADDRESS($A262,2,3,1,Menus!$K$10))=I$1,$D262,#N/A)</f>
        <v>#N/A</v>
      </c>
      <c r="J262" s="2" t="e">
        <f ca="1">IF(INDIRECT(ADDRESS($A262,1,3,1,Menus!$K$10))=T(J$1),$D262,#N/A)</f>
        <v>#N/A</v>
      </c>
      <c r="K262" s="10">
        <f t="shared" ca="1" si="9"/>
        <v>0</v>
      </c>
      <c r="L262" s="2"/>
      <c r="M262" s="85">
        <f ca="1">OFFSET(INDIRECT(ADDRESS($A262,3,3,1,"Gross")),0,Menus!$J$4)</f>
        <v>0</v>
      </c>
      <c r="N262" s="85">
        <f ca="1">OFFSET(INDIRECT(ADDRESS($A262,3,3,1,"Gross")),0,Menus!$J$3)</f>
        <v>0</v>
      </c>
    </row>
    <row r="263" spans="1:14" x14ac:dyDescent="0.25">
      <c r="A263">
        <v>305</v>
      </c>
      <c r="B263" s="2">
        <f ca="1">OFFSET(INDIRECT(ADDRESS($A263,3,3,1,Menus!$K$10)),0,Menus!$J$4)</f>
        <v>0</v>
      </c>
      <c r="C263" s="2">
        <f ca="1">OFFSET(INDIRECT(ADDRESS($A263,3,3,1,Menus!$K$10)),0,Menus!$J$3)</f>
        <v>0</v>
      </c>
      <c r="D263" s="73" t="e">
        <f ca="1">IF(Menus!$J$9,C263/B263,C263)</f>
        <v>#DIV/0!</v>
      </c>
      <c r="E263" s="74" t="e">
        <f t="shared" ca="1" si="10"/>
        <v>#N/A</v>
      </c>
      <c r="F263" s="75">
        <f ca="1">INDIRECT(ADDRESS($A263,1,3,1,Menus!$K$10))</f>
        <v>0</v>
      </c>
      <c r="G263" s="2" t="e">
        <f ca="1">IF(INDIRECT(ADDRESS($A263,2,3,1,Menus!$K$10))=G$1,$D263,#N/A)</f>
        <v>#N/A</v>
      </c>
      <c r="H263" s="2" t="e">
        <f ca="1">IF(INDIRECT(ADDRESS($A263,2,3,1,Menus!$K$10))=H$1,$D263,#N/A)</f>
        <v>#N/A</v>
      </c>
      <c r="I263" s="2" t="e">
        <f ca="1">IF(INDIRECT(ADDRESS($A263,2,3,1,Menus!$K$10))=I$1,$D263,#N/A)</f>
        <v>#N/A</v>
      </c>
      <c r="J263" s="2" t="e">
        <f ca="1">IF(INDIRECT(ADDRESS($A263,1,3,1,Menus!$K$10))=T(J$1),$D263,#N/A)</f>
        <v>#N/A</v>
      </c>
      <c r="K263" s="10">
        <f t="shared" ca="1" si="9"/>
        <v>0</v>
      </c>
      <c r="L263" s="2"/>
      <c r="M263" s="85">
        <f ca="1">OFFSET(INDIRECT(ADDRESS($A263,3,3,1,"Gross")),0,Menus!$J$4)</f>
        <v>0</v>
      </c>
      <c r="N263" s="85">
        <f ca="1">OFFSET(INDIRECT(ADDRESS($A263,3,3,1,"Gross")),0,Menus!$J$3)</f>
        <v>0</v>
      </c>
    </row>
    <row r="264" spans="1:14" x14ac:dyDescent="0.25">
      <c r="A264">
        <v>306</v>
      </c>
      <c r="B264" s="2">
        <f ca="1">OFFSET(INDIRECT(ADDRESS($A264,3,3,1,Menus!$K$10)),0,Menus!$J$4)</f>
        <v>0</v>
      </c>
      <c r="C264" s="2">
        <f ca="1">OFFSET(INDIRECT(ADDRESS($A264,3,3,1,Menus!$K$10)),0,Menus!$J$3)</f>
        <v>0</v>
      </c>
      <c r="D264" s="73" t="e">
        <f ca="1">IF(Menus!$J$9,C264/B264,C264)</f>
        <v>#DIV/0!</v>
      </c>
      <c r="E264" s="74" t="e">
        <f t="shared" ca="1" si="10"/>
        <v>#N/A</v>
      </c>
      <c r="F264" s="75">
        <f ca="1">INDIRECT(ADDRESS($A264,1,3,1,Menus!$K$10))</f>
        <v>0</v>
      </c>
      <c r="G264" s="2" t="e">
        <f ca="1">IF(INDIRECT(ADDRESS($A264,2,3,1,Menus!$K$10))=G$1,$D264,#N/A)</f>
        <v>#N/A</v>
      </c>
      <c r="H264" s="2" t="e">
        <f ca="1">IF(INDIRECT(ADDRESS($A264,2,3,1,Menus!$K$10))=H$1,$D264,#N/A)</f>
        <v>#N/A</v>
      </c>
      <c r="I264" s="2" t="e">
        <f ca="1">IF(INDIRECT(ADDRESS($A264,2,3,1,Menus!$K$10))=I$1,$D264,#N/A)</f>
        <v>#N/A</v>
      </c>
      <c r="J264" s="2" t="e">
        <f ca="1">IF(INDIRECT(ADDRESS($A264,1,3,1,Menus!$K$10))=T(J$1),$D264,#N/A)</f>
        <v>#N/A</v>
      </c>
      <c r="K264" s="10">
        <f t="shared" ca="1" si="9"/>
        <v>0</v>
      </c>
      <c r="L264" s="2"/>
      <c r="M264" s="85">
        <f ca="1">OFFSET(INDIRECT(ADDRESS($A264,3,3,1,"Gross")),0,Menus!$J$4)</f>
        <v>0</v>
      </c>
      <c r="N264" s="85">
        <f ca="1">OFFSET(INDIRECT(ADDRESS($A264,3,3,1,"Gross")),0,Menus!$J$3)</f>
        <v>0</v>
      </c>
    </row>
    <row r="265" spans="1:14" x14ac:dyDescent="0.25">
      <c r="A265">
        <v>307</v>
      </c>
      <c r="B265" s="2">
        <f ca="1">OFFSET(INDIRECT(ADDRESS($A265,3,3,1,Menus!$K$10)),0,Menus!$J$4)</f>
        <v>0</v>
      </c>
      <c r="C265" s="2">
        <f ca="1">OFFSET(INDIRECT(ADDRESS($A265,3,3,1,Menus!$K$10)),0,Menus!$J$3)</f>
        <v>0</v>
      </c>
      <c r="D265" s="73" t="e">
        <f ca="1">IF(Menus!$J$9,C265/B265,C265)</f>
        <v>#DIV/0!</v>
      </c>
      <c r="E265" s="74" t="e">
        <f t="shared" ca="1" si="10"/>
        <v>#N/A</v>
      </c>
      <c r="F265" s="75">
        <f ca="1">INDIRECT(ADDRESS($A265,1,3,1,Menus!$K$10))</f>
        <v>0</v>
      </c>
      <c r="G265" s="2" t="e">
        <f ca="1">IF(INDIRECT(ADDRESS($A265,2,3,1,Menus!$K$10))=G$1,$D265,#N/A)</f>
        <v>#N/A</v>
      </c>
      <c r="H265" s="2" t="e">
        <f ca="1">IF(INDIRECT(ADDRESS($A265,2,3,1,Menus!$K$10))=H$1,$D265,#N/A)</f>
        <v>#N/A</v>
      </c>
      <c r="I265" s="2" t="e">
        <f ca="1">IF(INDIRECT(ADDRESS($A265,2,3,1,Menus!$K$10))=I$1,$D265,#N/A)</f>
        <v>#N/A</v>
      </c>
      <c r="J265" s="2" t="e">
        <f ca="1">IF(INDIRECT(ADDRESS($A265,1,3,1,Menus!$K$10))=T(J$1),$D265,#N/A)</f>
        <v>#N/A</v>
      </c>
      <c r="K265" s="10">
        <f t="shared" ca="1" si="9"/>
        <v>0</v>
      </c>
      <c r="L265" s="2"/>
      <c r="M265" s="85">
        <f ca="1">OFFSET(INDIRECT(ADDRESS($A265,3,3,1,"Gross")),0,Menus!$J$4)</f>
        <v>0</v>
      </c>
      <c r="N265" s="85">
        <f ca="1">OFFSET(INDIRECT(ADDRESS($A265,3,3,1,"Gross")),0,Menus!$J$3)</f>
        <v>0</v>
      </c>
    </row>
    <row r="266" spans="1:14" x14ac:dyDescent="0.25">
      <c r="A266">
        <v>308</v>
      </c>
      <c r="B266" s="2">
        <f ca="1">OFFSET(INDIRECT(ADDRESS($A266,3,3,1,Menus!$K$10)),0,Menus!$J$4)</f>
        <v>0</v>
      </c>
      <c r="C266" s="2">
        <f ca="1">OFFSET(INDIRECT(ADDRESS($A266,3,3,1,Menus!$K$10)),0,Menus!$J$3)</f>
        <v>0</v>
      </c>
      <c r="D266" s="73" t="e">
        <f ca="1">IF(Menus!$J$9,C266/B266,C266)</f>
        <v>#DIV/0!</v>
      </c>
      <c r="E266" s="74" t="e">
        <f t="shared" ca="1" si="10"/>
        <v>#N/A</v>
      </c>
      <c r="F266" s="75">
        <f ca="1">INDIRECT(ADDRESS($A266,1,3,1,Menus!$K$10))</f>
        <v>0</v>
      </c>
      <c r="G266" s="2" t="e">
        <f ca="1">IF(INDIRECT(ADDRESS($A266,2,3,1,Menus!$K$10))=G$1,$D266,#N/A)</f>
        <v>#N/A</v>
      </c>
      <c r="H266" s="2" t="e">
        <f ca="1">IF(INDIRECT(ADDRESS($A266,2,3,1,Menus!$K$10))=H$1,$D266,#N/A)</f>
        <v>#N/A</v>
      </c>
      <c r="I266" s="2" t="e">
        <f ca="1">IF(INDIRECT(ADDRESS($A266,2,3,1,Menus!$K$10))=I$1,$D266,#N/A)</f>
        <v>#N/A</v>
      </c>
      <c r="J266" s="2" t="e">
        <f ca="1">IF(INDIRECT(ADDRESS($A266,1,3,1,Menus!$K$10))=T(J$1),$D266,#N/A)</f>
        <v>#N/A</v>
      </c>
      <c r="K266" s="10">
        <f t="shared" ca="1" si="9"/>
        <v>0</v>
      </c>
      <c r="L266" s="2"/>
      <c r="M266" s="85">
        <f ca="1">OFFSET(INDIRECT(ADDRESS($A266,3,3,1,"Gross")),0,Menus!$J$4)</f>
        <v>0</v>
      </c>
      <c r="N266" s="85">
        <f ca="1">OFFSET(INDIRECT(ADDRESS($A266,3,3,1,"Gross")),0,Menus!$J$3)</f>
        <v>0</v>
      </c>
    </row>
    <row r="267" spans="1:14" x14ac:dyDescent="0.25">
      <c r="A267">
        <v>309</v>
      </c>
      <c r="B267" s="2">
        <f ca="1">OFFSET(INDIRECT(ADDRESS($A267,3,3,1,Menus!$K$10)),0,Menus!$J$4)</f>
        <v>0</v>
      </c>
      <c r="C267" s="2">
        <f ca="1">OFFSET(INDIRECT(ADDRESS($A267,3,3,1,Menus!$K$10)),0,Menus!$J$3)</f>
        <v>0</v>
      </c>
      <c r="D267" s="73" t="e">
        <f ca="1">IF(Menus!$J$9,C267/B267,C267)</f>
        <v>#DIV/0!</v>
      </c>
      <c r="E267" s="74" t="e">
        <f t="shared" ca="1" si="10"/>
        <v>#N/A</v>
      </c>
      <c r="F267" s="75">
        <f ca="1">INDIRECT(ADDRESS($A267,1,3,1,Menus!$K$10))</f>
        <v>0</v>
      </c>
      <c r="G267" s="2" t="e">
        <f ca="1">IF(INDIRECT(ADDRESS($A267,2,3,1,Menus!$K$10))=G$1,$D267,#N/A)</f>
        <v>#N/A</v>
      </c>
      <c r="H267" s="2" t="e">
        <f ca="1">IF(INDIRECT(ADDRESS($A267,2,3,1,Menus!$K$10))=H$1,$D267,#N/A)</f>
        <v>#N/A</v>
      </c>
      <c r="I267" s="2" t="e">
        <f ca="1">IF(INDIRECT(ADDRESS($A267,2,3,1,Menus!$K$10))=I$1,$D267,#N/A)</f>
        <v>#N/A</v>
      </c>
      <c r="J267" s="2" t="e">
        <f ca="1">IF(INDIRECT(ADDRESS($A267,1,3,1,Menus!$K$10))=T(J$1),$D267,#N/A)</f>
        <v>#N/A</v>
      </c>
      <c r="K267" s="10">
        <f t="shared" ca="1" si="9"/>
        <v>0</v>
      </c>
      <c r="L267" s="2"/>
      <c r="M267" s="85">
        <f ca="1">OFFSET(INDIRECT(ADDRESS($A267,3,3,1,"Gross")),0,Menus!$J$4)</f>
        <v>0</v>
      </c>
      <c r="N267" s="85">
        <f ca="1">OFFSET(INDIRECT(ADDRESS($A267,3,3,1,"Gross")),0,Menus!$J$3)</f>
        <v>0</v>
      </c>
    </row>
    <row r="268" spans="1:14" x14ac:dyDescent="0.25">
      <c r="A268">
        <v>310</v>
      </c>
      <c r="B268" s="2">
        <f ca="1">OFFSET(INDIRECT(ADDRESS($A268,3,3,1,Menus!$K$10)),0,Menus!$J$4)</f>
        <v>0</v>
      </c>
      <c r="C268" s="2">
        <f ca="1">OFFSET(INDIRECT(ADDRESS($A268,3,3,1,Menus!$K$10)),0,Menus!$J$3)</f>
        <v>0</v>
      </c>
      <c r="D268" s="73" t="e">
        <f ca="1">IF(Menus!$J$9,C268/B268,C268)</f>
        <v>#DIV/0!</v>
      </c>
      <c r="E268" s="74" t="e">
        <f t="shared" ca="1" si="10"/>
        <v>#N/A</v>
      </c>
      <c r="F268" s="75">
        <f ca="1">INDIRECT(ADDRESS($A268,1,3,1,Menus!$K$10))</f>
        <v>0</v>
      </c>
      <c r="G268" s="2" t="e">
        <f ca="1">IF(INDIRECT(ADDRESS($A268,2,3,1,Menus!$K$10))=G$1,$D268,#N/A)</f>
        <v>#N/A</v>
      </c>
      <c r="H268" s="2" t="e">
        <f ca="1">IF(INDIRECT(ADDRESS($A268,2,3,1,Menus!$K$10))=H$1,$D268,#N/A)</f>
        <v>#N/A</v>
      </c>
      <c r="I268" s="2" t="e">
        <f ca="1">IF(INDIRECT(ADDRESS($A268,2,3,1,Menus!$K$10))=I$1,$D268,#N/A)</f>
        <v>#N/A</v>
      </c>
      <c r="J268" s="2" t="e">
        <f ca="1">IF(INDIRECT(ADDRESS($A268,1,3,1,Menus!$K$10))=T(J$1),$D268,#N/A)</f>
        <v>#N/A</v>
      </c>
      <c r="K268" s="10">
        <f t="shared" ca="1" si="9"/>
        <v>0</v>
      </c>
      <c r="L268" s="2"/>
      <c r="M268" s="85">
        <f ca="1">OFFSET(INDIRECT(ADDRESS($A268,3,3,1,"Gross")),0,Menus!$J$4)</f>
        <v>0</v>
      </c>
      <c r="N268" s="85">
        <f ca="1">OFFSET(INDIRECT(ADDRESS($A268,3,3,1,"Gross")),0,Menus!$J$3)</f>
        <v>0</v>
      </c>
    </row>
    <row r="269" spans="1:14" x14ac:dyDescent="0.25">
      <c r="A269">
        <v>311</v>
      </c>
      <c r="B269" s="2">
        <f ca="1">OFFSET(INDIRECT(ADDRESS($A269,3,3,1,Menus!$K$10)),0,Menus!$J$4)</f>
        <v>0</v>
      </c>
      <c r="C269" s="2">
        <f ca="1">OFFSET(INDIRECT(ADDRESS($A269,3,3,1,Menus!$K$10)),0,Menus!$J$3)</f>
        <v>0</v>
      </c>
      <c r="D269" s="73" t="e">
        <f ca="1">IF(Menus!$J$9,C269/B269,C269)</f>
        <v>#DIV/0!</v>
      </c>
      <c r="E269" s="74" t="e">
        <f t="shared" ca="1" si="10"/>
        <v>#N/A</v>
      </c>
      <c r="F269" s="75">
        <f ca="1">INDIRECT(ADDRESS($A269,1,3,1,Menus!$K$10))</f>
        <v>0</v>
      </c>
      <c r="G269" s="2" t="e">
        <f ca="1">IF(INDIRECT(ADDRESS($A269,2,3,1,Menus!$K$10))=G$1,$D269,#N/A)</f>
        <v>#N/A</v>
      </c>
      <c r="H269" s="2" t="e">
        <f ca="1">IF(INDIRECT(ADDRESS($A269,2,3,1,Menus!$K$10))=H$1,$D269,#N/A)</f>
        <v>#N/A</v>
      </c>
      <c r="I269" s="2" t="e">
        <f ca="1">IF(INDIRECT(ADDRESS($A269,2,3,1,Menus!$K$10))=I$1,$D269,#N/A)</f>
        <v>#N/A</v>
      </c>
      <c r="J269" s="2" t="e">
        <f ca="1">IF(INDIRECT(ADDRESS($A269,1,3,1,Menus!$K$10))=T(J$1),$D269,#N/A)</f>
        <v>#N/A</v>
      </c>
      <c r="K269" s="10">
        <f t="shared" ca="1" si="9"/>
        <v>0</v>
      </c>
      <c r="L269" s="2"/>
      <c r="M269" s="85">
        <f ca="1">OFFSET(INDIRECT(ADDRESS($A269,3,3,1,"Gross")),0,Menus!$J$4)</f>
        <v>0</v>
      </c>
      <c r="N269" s="85">
        <f ca="1">OFFSET(INDIRECT(ADDRESS($A269,3,3,1,"Gross")),0,Menus!$J$3)</f>
        <v>0</v>
      </c>
    </row>
    <row r="270" spans="1:14" x14ac:dyDescent="0.25">
      <c r="A270">
        <v>312</v>
      </c>
      <c r="B270" s="2">
        <f ca="1">OFFSET(INDIRECT(ADDRESS($A270,3,3,1,Menus!$K$10)),0,Menus!$J$4)</f>
        <v>0</v>
      </c>
      <c r="C270" s="2">
        <f ca="1">OFFSET(INDIRECT(ADDRESS($A270,3,3,1,Menus!$K$10)),0,Menus!$J$3)</f>
        <v>0</v>
      </c>
      <c r="D270" s="73" t="e">
        <f ca="1">IF(Menus!$J$9,C270/B270,C270)</f>
        <v>#DIV/0!</v>
      </c>
      <c r="E270" s="74" t="e">
        <f t="shared" ca="1" si="10"/>
        <v>#N/A</v>
      </c>
      <c r="F270" s="75">
        <f ca="1">INDIRECT(ADDRESS($A270,1,3,1,Menus!$K$10))</f>
        <v>0</v>
      </c>
      <c r="G270" s="2" t="e">
        <f ca="1">IF(INDIRECT(ADDRESS($A270,2,3,1,Menus!$K$10))=G$1,$D270,#N/A)</f>
        <v>#N/A</v>
      </c>
      <c r="H270" s="2" t="e">
        <f ca="1">IF(INDIRECT(ADDRESS($A270,2,3,1,Menus!$K$10))=H$1,$D270,#N/A)</f>
        <v>#N/A</v>
      </c>
      <c r="I270" s="2" t="e">
        <f ca="1">IF(INDIRECT(ADDRESS($A270,2,3,1,Menus!$K$10))=I$1,$D270,#N/A)</f>
        <v>#N/A</v>
      </c>
      <c r="J270" s="2" t="e">
        <f ca="1">IF(INDIRECT(ADDRESS($A270,1,3,1,Menus!$K$10))=T(J$1),$D270,#N/A)</f>
        <v>#N/A</v>
      </c>
      <c r="K270" s="10">
        <f t="shared" ca="1" si="9"/>
        <v>0</v>
      </c>
      <c r="L270" s="2"/>
      <c r="M270" s="85">
        <f ca="1">OFFSET(INDIRECT(ADDRESS($A270,3,3,1,"Gross")),0,Menus!$J$4)</f>
        <v>0</v>
      </c>
      <c r="N270" s="85">
        <f ca="1">OFFSET(INDIRECT(ADDRESS($A270,3,3,1,"Gross")),0,Menus!$J$3)</f>
        <v>0</v>
      </c>
    </row>
    <row r="271" spans="1:14" x14ac:dyDescent="0.25">
      <c r="A271">
        <v>313</v>
      </c>
      <c r="B271" s="2">
        <f ca="1">OFFSET(INDIRECT(ADDRESS($A271,3,3,1,Menus!$K$10)),0,Menus!$J$4)</f>
        <v>0</v>
      </c>
      <c r="C271" s="2">
        <f ca="1">OFFSET(INDIRECT(ADDRESS($A271,3,3,1,Menus!$K$10)),0,Menus!$J$3)</f>
        <v>0</v>
      </c>
      <c r="D271" s="73" t="e">
        <f ca="1">IF(Menus!$J$9,C271/B271,C271)</f>
        <v>#DIV/0!</v>
      </c>
      <c r="E271" s="74" t="e">
        <f t="shared" ca="1" si="10"/>
        <v>#N/A</v>
      </c>
      <c r="F271" s="75">
        <f ca="1">INDIRECT(ADDRESS($A271,1,3,1,Menus!$K$10))</f>
        <v>0</v>
      </c>
      <c r="G271" s="2" t="e">
        <f ca="1">IF(INDIRECT(ADDRESS($A271,2,3,1,Menus!$K$10))=G$1,$D271,#N/A)</f>
        <v>#N/A</v>
      </c>
      <c r="H271" s="2" t="e">
        <f ca="1">IF(INDIRECT(ADDRESS($A271,2,3,1,Menus!$K$10))=H$1,$D271,#N/A)</f>
        <v>#N/A</v>
      </c>
      <c r="I271" s="2" t="e">
        <f ca="1">IF(INDIRECT(ADDRESS($A271,2,3,1,Menus!$K$10))=I$1,$D271,#N/A)</f>
        <v>#N/A</v>
      </c>
      <c r="J271" s="2" t="e">
        <f ca="1">IF(INDIRECT(ADDRESS($A271,1,3,1,Menus!$K$10))=T(J$1),$D271,#N/A)</f>
        <v>#N/A</v>
      </c>
      <c r="K271" s="10">
        <f t="shared" ca="1" si="9"/>
        <v>0</v>
      </c>
      <c r="L271" s="2"/>
      <c r="M271" s="85">
        <f ca="1">OFFSET(INDIRECT(ADDRESS($A271,3,3,1,"Gross")),0,Menus!$J$4)</f>
        <v>0</v>
      </c>
      <c r="N271" s="85">
        <f ca="1">OFFSET(INDIRECT(ADDRESS($A271,3,3,1,"Gross")),0,Menus!$J$3)</f>
        <v>0</v>
      </c>
    </row>
    <row r="272" spans="1:14" x14ac:dyDescent="0.25">
      <c r="A272">
        <v>314</v>
      </c>
      <c r="B272" s="2">
        <f ca="1">OFFSET(INDIRECT(ADDRESS($A272,3,3,1,Menus!$K$10)),0,Menus!$J$4)</f>
        <v>0</v>
      </c>
      <c r="C272" s="2">
        <f ca="1">OFFSET(INDIRECT(ADDRESS($A272,3,3,1,Menus!$K$10)),0,Menus!$J$3)</f>
        <v>0</v>
      </c>
      <c r="D272" s="73" t="e">
        <f ca="1">IF(Menus!$J$9,C272/B272,C272)</f>
        <v>#DIV/0!</v>
      </c>
      <c r="E272" s="74" t="e">
        <f t="shared" ca="1" si="10"/>
        <v>#N/A</v>
      </c>
      <c r="F272" s="75">
        <f ca="1">INDIRECT(ADDRESS($A272,1,3,1,Menus!$K$10))</f>
        <v>0</v>
      </c>
      <c r="G272" s="2" t="e">
        <f ca="1">IF(INDIRECT(ADDRESS($A272,2,3,1,Menus!$K$10))=G$1,$D272,#N/A)</f>
        <v>#N/A</v>
      </c>
      <c r="H272" s="2" t="e">
        <f ca="1">IF(INDIRECT(ADDRESS($A272,2,3,1,Menus!$K$10))=H$1,$D272,#N/A)</f>
        <v>#N/A</v>
      </c>
      <c r="I272" s="2" t="e">
        <f ca="1">IF(INDIRECT(ADDRESS($A272,2,3,1,Menus!$K$10))=I$1,$D272,#N/A)</f>
        <v>#N/A</v>
      </c>
      <c r="J272" s="2" t="e">
        <f ca="1">IF(INDIRECT(ADDRESS($A272,1,3,1,Menus!$K$10))=T(J$1),$D272,#N/A)</f>
        <v>#N/A</v>
      </c>
      <c r="K272" s="10">
        <f t="shared" ca="1" si="9"/>
        <v>0</v>
      </c>
      <c r="L272" s="2"/>
      <c r="M272" s="85">
        <f ca="1">OFFSET(INDIRECT(ADDRESS($A272,3,3,1,"Gross")),0,Menus!$J$4)</f>
        <v>0</v>
      </c>
      <c r="N272" s="85">
        <f ca="1">OFFSET(INDIRECT(ADDRESS($A272,3,3,1,"Gross")),0,Menus!$J$3)</f>
        <v>0</v>
      </c>
    </row>
    <row r="273" spans="1:14" x14ac:dyDescent="0.25">
      <c r="A273">
        <v>315</v>
      </c>
      <c r="B273" s="2">
        <f ca="1">OFFSET(INDIRECT(ADDRESS($A273,3,3,1,Menus!$K$10)),0,Menus!$J$4)</f>
        <v>0</v>
      </c>
      <c r="C273" s="2">
        <f ca="1">OFFSET(INDIRECT(ADDRESS($A273,3,3,1,Menus!$K$10)),0,Menus!$J$3)</f>
        <v>0</v>
      </c>
      <c r="D273" s="73" t="e">
        <f ca="1">IF(Menus!$J$9,C273/B273,C273)</f>
        <v>#DIV/0!</v>
      </c>
      <c r="E273" s="74" t="e">
        <f t="shared" ca="1" si="10"/>
        <v>#N/A</v>
      </c>
      <c r="F273" s="75">
        <f ca="1">INDIRECT(ADDRESS($A273,1,3,1,Menus!$K$10))</f>
        <v>0</v>
      </c>
      <c r="G273" s="2" t="e">
        <f ca="1">IF(INDIRECT(ADDRESS($A273,2,3,1,Menus!$K$10))=G$1,$D273,#N/A)</f>
        <v>#N/A</v>
      </c>
      <c r="H273" s="2" t="e">
        <f ca="1">IF(INDIRECT(ADDRESS($A273,2,3,1,Menus!$K$10))=H$1,$D273,#N/A)</f>
        <v>#N/A</v>
      </c>
      <c r="I273" s="2" t="e">
        <f ca="1">IF(INDIRECT(ADDRESS($A273,2,3,1,Menus!$K$10))=I$1,$D273,#N/A)</f>
        <v>#N/A</v>
      </c>
      <c r="J273" s="2" t="e">
        <f ca="1">IF(INDIRECT(ADDRESS($A273,1,3,1,Menus!$K$10))=T(J$1),$D273,#N/A)</f>
        <v>#N/A</v>
      </c>
      <c r="K273" s="10">
        <f t="shared" ca="1" si="9"/>
        <v>0</v>
      </c>
      <c r="L273" s="2"/>
      <c r="M273" s="85">
        <f ca="1">OFFSET(INDIRECT(ADDRESS($A273,3,3,1,"Gross")),0,Menus!$J$4)</f>
        <v>0</v>
      </c>
      <c r="N273" s="85">
        <f ca="1">OFFSET(INDIRECT(ADDRESS($A273,3,3,1,"Gross")),0,Menus!$J$3)</f>
        <v>0</v>
      </c>
    </row>
    <row r="274" spans="1:14" x14ac:dyDescent="0.25">
      <c r="A274">
        <v>316</v>
      </c>
      <c r="B274" s="2">
        <f ca="1">OFFSET(INDIRECT(ADDRESS($A274,3,3,1,Menus!$K$10)),0,Menus!$J$4)</f>
        <v>0</v>
      </c>
      <c r="C274" s="2">
        <f ca="1">OFFSET(INDIRECT(ADDRESS($A274,3,3,1,Menus!$K$10)),0,Menus!$J$3)</f>
        <v>0</v>
      </c>
      <c r="D274" s="73" t="e">
        <f ca="1">IF(Menus!$J$9,C274/B274,C274)</f>
        <v>#DIV/0!</v>
      </c>
      <c r="E274" s="74" t="e">
        <f t="shared" ca="1" si="10"/>
        <v>#N/A</v>
      </c>
      <c r="F274" s="75">
        <f ca="1">INDIRECT(ADDRESS($A274,1,3,1,Menus!$K$10))</f>
        <v>0</v>
      </c>
      <c r="G274" s="2" t="e">
        <f ca="1">IF(INDIRECT(ADDRESS($A274,2,3,1,Menus!$K$10))=G$1,$D274,#N/A)</f>
        <v>#N/A</v>
      </c>
      <c r="H274" s="2" t="e">
        <f ca="1">IF(INDIRECT(ADDRESS($A274,2,3,1,Menus!$K$10))=H$1,$D274,#N/A)</f>
        <v>#N/A</v>
      </c>
      <c r="I274" s="2" t="e">
        <f ca="1">IF(INDIRECT(ADDRESS($A274,2,3,1,Menus!$K$10))=I$1,$D274,#N/A)</f>
        <v>#N/A</v>
      </c>
      <c r="J274" s="2" t="e">
        <f ca="1">IF(INDIRECT(ADDRESS($A274,1,3,1,Menus!$K$10))=T(J$1),$D274,#N/A)</f>
        <v>#N/A</v>
      </c>
      <c r="K274" s="10">
        <f t="shared" ca="1" si="9"/>
        <v>0</v>
      </c>
      <c r="L274" s="2"/>
      <c r="M274" s="85">
        <f ca="1">OFFSET(INDIRECT(ADDRESS($A274,3,3,1,"Gross")),0,Menus!$J$4)</f>
        <v>0</v>
      </c>
      <c r="N274" s="85">
        <f ca="1">OFFSET(INDIRECT(ADDRESS($A274,3,3,1,"Gross")),0,Menus!$J$3)</f>
        <v>0</v>
      </c>
    </row>
    <row r="275" spans="1:14" x14ac:dyDescent="0.25">
      <c r="A275">
        <v>317</v>
      </c>
      <c r="B275" s="2">
        <f ca="1">OFFSET(INDIRECT(ADDRESS($A275,3,3,1,Menus!$K$10)),0,Menus!$J$4)</f>
        <v>0</v>
      </c>
      <c r="C275" s="2">
        <f ca="1">OFFSET(INDIRECT(ADDRESS($A275,3,3,1,Menus!$K$10)),0,Menus!$J$3)</f>
        <v>0</v>
      </c>
      <c r="D275" s="73" t="e">
        <f ca="1">IF(Menus!$J$9,C275/B275,C275)</f>
        <v>#DIV/0!</v>
      </c>
      <c r="E275" s="74" t="e">
        <f t="shared" ca="1" si="10"/>
        <v>#N/A</v>
      </c>
      <c r="F275" s="75">
        <f ca="1">INDIRECT(ADDRESS($A275,1,3,1,Menus!$K$10))</f>
        <v>0</v>
      </c>
      <c r="G275" s="2" t="e">
        <f ca="1">IF(INDIRECT(ADDRESS($A275,2,3,1,Menus!$K$10))=G$1,$D275,#N/A)</f>
        <v>#N/A</v>
      </c>
      <c r="H275" s="2" t="e">
        <f ca="1">IF(INDIRECT(ADDRESS($A275,2,3,1,Menus!$K$10))=H$1,$D275,#N/A)</f>
        <v>#N/A</v>
      </c>
      <c r="I275" s="2" t="e">
        <f ca="1">IF(INDIRECT(ADDRESS($A275,2,3,1,Menus!$K$10))=I$1,$D275,#N/A)</f>
        <v>#N/A</v>
      </c>
      <c r="J275" s="2" t="e">
        <f ca="1">IF(INDIRECT(ADDRESS($A275,1,3,1,Menus!$K$10))=T(J$1),$D275,#N/A)</f>
        <v>#N/A</v>
      </c>
      <c r="K275" s="10">
        <f t="shared" ca="1" si="9"/>
        <v>0</v>
      </c>
      <c r="L275" s="2"/>
      <c r="M275" s="85">
        <f ca="1">OFFSET(INDIRECT(ADDRESS($A275,3,3,1,"Gross")),0,Menus!$J$4)</f>
        <v>0</v>
      </c>
      <c r="N275" s="85">
        <f ca="1">OFFSET(INDIRECT(ADDRESS($A275,3,3,1,"Gross")),0,Menus!$J$3)</f>
        <v>0</v>
      </c>
    </row>
    <row r="276" spans="1:14" x14ac:dyDescent="0.25">
      <c r="A276">
        <v>318</v>
      </c>
      <c r="B276" s="2">
        <f ca="1">OFFSET(INDIRECT(ADDRESS($A276,3,3,1,Menus!$K$10)),0,Menus!$J$4)</f>
        <v>0</v>
      </c>
      <c r="C276" s="2">
        <f ca="1">OFFSET(INDIRECT(ADDRESS($A276,3,3,1,Menus!$K$10)),0,Menus!$J$3)</f>
        <v>0</v>
      </c>
      <c r="D276" s="73" t="e">
        <f ca="1">IF(Menus!$J$9,C276/B276,C276)</f>
        <v>#DIV/0!</v>
      </c>
      <c r="E276" s="74" t="e">
        <f t="shared" ca="1" si="10"/>
        <v>#N/A</v>
      </c>
      <c r="F276" s="75">
        <f ca="1">INDIRECT(ADDRESS($A276,1,3,1,Menus!$K$10))</f>
        <v>0</v>
      </c>
      <c r="G276" s="2" t="e">
        <f ca="1">IF(INDIRECT(ADDRESS($A276,2,3,1,Menus!$K$10))=G$1,$D276,#N/A)</f>
        <v>#N/A</v>
      </c>
      <c r="H276" s="2" t="e">
        <f ca="1">IF(INDIRECT(ADDRESS($A276,2,3,1,Menus!$K$10))=H$1,$D276,#N/A)</f>
        <v>#N/A</v>
      </c>
      <c r="I276" s="2" t="e">
        <f ca="1">IF(INDIRECT(ADDRESS($A276,2,3,1,Menus!$K$10))=I$1,$D276,#N/A)</f>
        <v>#N/A</v>
      </c>
      <c r="J276" s="2" t="e">
        <f ca="1">IF(INDIRECT(ADDRESS($A276,1,3,1,Menus!$K$10))=T(J$1),$D276,#N/A)</f>
        <v>#N/A</v>
      </c>
      <c r="K276" s="10">
        <f t="shared" ca="1" si="9"/>
        <v>0</v>
      </c>
      <c r="L276" s="2"/>
      <c r="M276" s="85">
        <f ca="1">OFFSET(INDIRECT(ADDRESS($A276,3,3,1,"Gross")),0,Menus!$J$4)</f>
        <v>0</v>
      </c>
      <c r="N276" s="85">
        <f ca="1">OFFSET(INDIRECT(ADDRESS($A276,3,3,1,"Gross")),0,Menus!$J$3)</f>
        <v>0</v>
      </c>
    </row>
    <row r="277" spans="1:14" x14ac:dyDescent="0.25">
      <c r="A277">
        <v>319</v>
      </c>
      <c r="B277" s="2">
        <f ca="1">OFFSET(INDIRECT(ADDRESS($A277,3,3,1,Menus!$K$10)),0,Menus!$J$4)</f>
        <v>0</v>
      </c>
      <c r="C277" s="2">
        <f ca="1">OFFSET(INDIRECT(ADDRESS($A277,3,3,1,Menus!$K$10)),0,Menus!$J$3)</f>
        <v>0</v>
      </c>
      <c r="D277" s="73" t="e">
        <f ca="1">IF(Menus!$J$9,C277/B277,C277)</f>
        <v>#DIV/0!</v>
      </c>
      <c r="E277" s="74" t="e">
        <f t="shared" ca="1" si="10"/>
        <v>#N/A</v>
      </c>
      <c r="F277" s="75">
        <f ca="1">INDIRECT(ADDRESS($A277,1,3,1,Menus!$K$10))</f>
        <v>0</v>
      </c>
      <c r="G277" s="2" t="e">
        <f ca="1">IF(INDIRECT(ADDRESS($A277,2,3,1,Menus!$K$10))=G$1,$D277,#N/A)</f>
        <v>#N/A</v>
      </c>
      <c r="H277" s="2" t="e">
        <f ca="1">IF(INDIRECT(ADDRESS($A277,2,3,1,Menus!$K$10))=H$1,$D277,#N/A)</f>
        <v>#N/A</v>
      </c>
      <c r="I277" s="2" t="e">
        <f ca="1">IF(INDIRECT(ADDRESS($A277,2,3,1,Menus!$K$10))=I$1,$D277,#N/A)</f>
        <v>#N/A</v>
      </c>
      <c r="J277" s="2" t="e">
        <f ca="1">IF(INDIRECT(ADDRESS($A277,1,3,1,Menus!$K$10))=T(J$1),$D277,#N/A)</f>
        <v>#N/A</v>
      </c>
      <c r="K277" s="10">
        <f t="shared" ca="1" si="9"/>
        <v>0</v>
      </c>
      <c r="L277" s="2"/>
      <c r="M277" s="85">
        <f ca="1">OFFSET(INDIRECT(ADDRESS($A277,3,3,1,"Gross")),0,Menus!$J$4)</f>
        <v>0</v>
      </c>
      <c r="N277" s="85">
        <f ca="1">OFFSET(INDIRECT(ADDRESS($A277,3,3,1,"Gross")),0,Menus!$J$3)</f>
        <v>0</v>
      </c>
    </row>
    <row r="278" spans="1:14" x14ac:dyDescent="0.25">
      <c r="A278">
        <v>320</v>
      </c>
      <c r="B278" s="2">
        <f ca="1">OFFSET(INDIRECT(ADDRESS($A278,3,3,1,Menus!$K$10)),0,Menus!$J$4)</f>
        <v>0</v>
      </c>
      <c r="C278" s="2">
        <f ca="1">OFFSET(INDIRECT(ADDRESS($A278,3,3,1,Menus!$K$10)),0,Menus!$J$3)</f>
        <v>0</v>
      </c>
      <c r="D278" s="73" t="e">
        <f ca="1">IF(Menus!$J$9,C278/B278,C278)</f>
        <v>#DIV/0!</v>
      </c>
      <c r="E278" s="74" t="e">
        <f t="shared" ca="1" si="10"/>
        <v>#N/A</v>
      </c>
      <c r="F278" s="75">
        <f ca="1">INDIRECT(ADDRESS($A278,1,3,1,Menus!$K$10))</f>
        <v>0</v>
      </c>
      <c r="G278" s="2" t="e">
        <f ca="1">IF(INDIRECT(ADDRESS($A278,2,3,1,Menus!$K$10))=G$1,$D278,#N/A)</f>
        <v>#N/A</v>
      </c>
      <c r="H278" s="2" t="e">
        <f ca="1">IF(INDIRECT(ADDRESS($A278,2,3,1,Menus!$K$10))=H$1,$D278,#N/A)</f>
        <v>#N/A</v>
      </c>
      <c r="I278" s="2" t="e">
        <f ca="1">IF(INDIRECT(ADDRESS($A278,2,3,1,Menus!$K$10))=I$1,$D278,#N/A)</f>
        <v>#N/A</v>
      </c>
      <c r="J278" s="2" t="e">
        <f ca="1">IF(INDIRECT(ADDRESS($A278,1,3,1,Menus!$K$10))=T(J$1),$D278,#N/A)</f>
        <v>#N/A</v>
      </c>
      <c r="K278" s="10">
        <f t="shared" ca="1" si="9"/>
        <v>0</v>
      </c>
      <c r="L278" s="2"/>
      <c r="M278" s="85">
        <f ca="1">OFFSET(INDIRECT(ADDRESS($A278,3,3,1,"Gross")),0,Menus!$J$4)</f>
        <v>0</v>
      </c>
      <c r="N278" s="85">
        <f ca="1">OFFSET(INDIRECT(ADDRESS($A278,3,3,1,"Gross")),0,Menus!$J$3)</f>
        <v>0</v>
      </c>
    </row>
    <row r="279" spans="1:14" x14ac:dyDescent="0.25">
      <c r="A279">
        <v>321</v>
      </c>
      <c r="B279" s="2">
        <f ca="1">OFFSET(INDIRECT(ADDRESS($A279,3,3,1,Menus!$K$10)),0,Menus!$J$4)</f>
        <v>0</v>
      </c>
      <c r="C279" s="2">
        <f ca="1">OFFSET(INDIRECT(ADDRESS($A279,3,3,1,Menus!$K$10)),0,Menus!$J$3)</f>
        <v>0</v>
      </c>
      <c r="D279" s="73" t="e">
        <f ca="1">IF(Menus!$J$9,C279/B279,C279)</f>
        <v>#DIV/0!</v>
      </c>
      <c r="E279" s="74" t="e">
        <f t="shared" ca="1" si="10"/>
        <v>#N/A</v>
      </c>
      <c r="F279" s="75">
        <f ca="1">INDIRECT(ADDRESS($A279,1,3,1,Menus!$K$10))</f>
        <v>0</v>
      </c>
      <c r="G279" s="2" t="e">
        <f ca="1">IF(INDIRECT(ADDRESS($A279,2,3,1,Menus!$K$10))=G$1,$D279,#N/A)</f>
        <v>#N/A</v>
      </c>
      <c r="H279" s="2" t="e">
        <f ca="1">IF(INDIRECT(ADDRESS($A279,2,3,1,Menus!$K$10))=H$1,$D279,#N/A)</f>
        <v>#N/A</v>
      </c>
      <c r="I279" s="2" t="e">
        <f ca="1">IF(INDIRECT(ADDRESS($A279,2,3,1,Menus!$K$10))=I$1,$D279,#N/A)</f>
        <v>#N/A</v>
      </c>
      <c r="J279" s="2" t="e">
        <f ca="1">IF(INDIRECT(ADDRESS($A279,1,3,1,Menus!$K$10))=T(J$1),$D279,#N/A)</f>
        <v>#N/A</v>
      </c>
      <c r="K279" s="10">
        <f t="shared" ca="1" si="9"/>
        <v>0</v>
      </c>
      <c r="L279" s="2"/>
      <c r="M279" s="85">
        <f ca="1">OFFSET(INDIRECT(ADDRESS($A279,3,3,1,"Gross")),0,Menus!$J$4)</f>
        <v>0</v>
      </c>
      <c r="N279" s="85">
        <f ca="1">OFFSET(INDIRECT(ADDRESS($A279,3,3,1,"Gross")),0,Menus!$J$3)</f>
        <v>0</v>
      </c>
    </row>
    <row r="280" spans="1:14" x14ac:dyDescent="0.25">
      <c r="A280">
        <v>322</v>
      </c>
      <c r="B280" s="2">
        <f ca="1">OFFSET(INDIRECT(ADDRESS($A280,3,3,1,Menus!$K$10)),0,Menus!$J$4)</f>
        <v>0</v>
      </c>
      <c r="C280" s="2">
        <f ca="1">OFFSET(INDIRECT(ADDRESS($A280,3,3,1,Menus!$K$10)),0,Menus!$J$3)</f>
        <v>0</v>
      </c>
      <c r="D280" s="73" t="e">
        <f ca="1">IF(Menus!$J$9,C280/B280,C280)</f>
        <v>#DIV/0!</v>
      </c>
      <c r="E280" s="74" t="e">
        <f t="shared" ca="1" si="10"/>
        <v>#N/A</v>
      </c>
      <c r="F280" s="75">
        <f ca="1">INDIRECT(ADDRESS($A280,1,3,1,Menus!$K$10))</f>
        <v>0</v>
      </c>
      <c r="G280" s="2" t="e">
        <f ca="1">IF(INDIRECT(ADDRESS($A280,2,3,1,Menus!$K$10))=G$1,$D280,#N/A)</f>
        <v>#N/A</v>
      </c>
      <c r="H280" s="2" t="e">
        <f ca="1">IF(INDIRECT(ADDRESS($A280,2,3,1,Menus!$K$10))=H$1,$D280,#N/A)</f>
        <v>#N/A</v>
      </c>
      <c r="I280" s="2" t="e">
        <f ca="1">IF(INDIRECT(ADDRESS($A280,2,3,1,Menus!$K$10))=I$1,$D280,#N/A)</f>
        <v>#N/A</v>
      </c>
      <c r="J280" s="2" t="e">
        <f ca="1">IF(INDIRECT(ADDRESS($A280,1,3,1,Menus!$K$10))=T(J$1),$D280,#N/A)</f>
        <v>#N/A</v>
      </c>
      <c r="K280" s="10">
        <f t="shared" ca="1" si="9"/>
        <v>0</v>
      </c>
      <c r="L280" s="2"/>
      <c r="M280" s="85">
        <f ca="1">OFFSET(INDIRECT(ADDRESS($A280,3,3,1,"Gross")),0,Menus!$J$4)</f>
        <v>0</v>
      </c>
      <c r="N280" s="85">
        <f ca="1">OFFSET(INDIRECT(ADDRESS($A280,3,3,1,"Gross")),0,Menus!$J$3)</f>
        <v>0</v>
      </c>
    </row>
    <row r="281" spans="1:14" x14ac:dyDescent="0.25">
      <c r="A281">
        <v>323</v>
      </c>
      <c r="B281" s="2">
        <f ca="1">OFFSET(INDIRECT(ADDRESS($A281,3,3,1,Menus!$K$10)),0,Menus!$J$4)</f>
        <v>0</v>
      </c>
      <c r="C281" s="2">
        <f ca="1">OFFSET(INDIRECT(ADDRESS($A281,3,3,1,Menus!$K$10)),0,Menus!$J$3)</f>
        <v>0</v>
      </c>
      <c r="D281" s="73" t="e">
        <f ca="1">IF(Menus!$J$9,C281/B281,C281)</f>
        <v>#DIV/0!</v>
      </c>
      <c r="E281" s="74" t="e">
        <f t="shared" ca="1" si="10"/>
        <v>#N/A</v>
      </c>
      <c r="F281" s="75">
        <f ca="1">INDIRECT(ADDRESS($A281,1,3,1,Menus!$K$10))</f>
        <v>0</v>
      </c>
      <c r="G281" s="2" t="e">
        <f ca="1">IF(INDIRECT(ADDRESS($A281,2,3,1,Menus!$K$10))=G$1,$D281,#N/A)</f>
        <v>#N/A</v>
      </c>
      <c r="H281" s="2" t="e">
        <f ca="1">IF(INDIRECT(ADDRESS($A281,2,3,1,Menus!$K$10))=H$1,$D281,#N/A)</f>
        <v>#N/A</v>
      </c>
      <c r="I281" s="2" t="e">
        <f ca="1">IF(INDIRECT(ADDRESS($A281,2,3,1,Menus!$K$10))=I$1,$D281,#N/A)</f>
        <v>#N/A</v>
      </c>
      <c r="J281" s="2" t="e">
        <f ca="1">IF(INDIRECT(ADDRESS($A281,1,3,1,Menus!$K$10))=T(J$1),$D281,#N/A)</f>
        <v>#N/A</v>
      </c>
      <c r="K281" s="10">
        <f t="shared" ca="1" si="9"/>
        <v>0</v>
      </c>
      <c r="L281" s="2"/>
      <c r="M281" s="85">
        <f ca="1">OFFSET(INDIRECT(ADDRESS($A281,3,3,1,"Gross")),0,Menus!$J$4)</f>
        <v>0</v>
      </c>
      <c r="N281" s="85">
        <f ca="1">OFFSET(INDIRECT(ADDRESS($A281,3,3,1,"Gross")),0,Menus!$J$3)</f>
        <v>0</v>
      </c>
    </row>
    <row r="282" spans="1:14" x14ac:dyDescent="0.25">
      <c r="A282">
        <v>324</v>
      </c>
      <c r="B282" s="2">
        <f ca="1">OFFSET(INDIRECT(ADDRESS($A282,3,3,1,Menus!$K$10)),0,Menus!$J$4)</f>
        <v>0</v>
      </c>
      <c r="C282" s="2">
        <f ca="1">OFFSET(INDIRECT(ADDRESS($A282,3,3,1,Menus!$K$10)),0,Menus!$J$3)</f>
        <v>0</v>
      </c>
      <c r="D282" s="73" t="e">
        <f ca="1">IF(Menus!$J$9,C282/B282,C282)</f>
        <v>#DIV/0!</v>
      </c>
      <c r="E282" s="74" t="e">
        <f t="shared" ca="1" si="10"/>
        <v>#N/A</v>
      </c>
      <c r="F282" s="75">
        <f ca="1">INDIRECT(ADDRESS($A282,1,3,1,Menus!$K$10))</f>
        <v>0</v>
      </c>
      <c r="G282" s="2" t="e">
        <f ca="1">IF(INDIRECT(ADDRESS($A282,2,3,1,Menus!$K$10))=G$1,$D282,#N/A)</f>
        <v>#N/A</v>
      </c>
      <c r="H282" s="2" t="e">
        <f ca="1">IF(INDIRECT(ADDRESS($A282,2,3,1,Menus!$K$10))=H$1,$D282,#N/A)</f>
        <v>#N/A</v>
      </c>
      <c r="I282" s="2" t="e">
        <f ca="1">IF(INDIRECT(ADDRESS($A282,2,3,1,Menus!$K$10))=I$1,$D282,#N/A)</f>
        <v>#N/A</v>
      </c>
      <c r="J282" s="2" t="e">
        <f ca="1">IF(INDIRECT(ADDRESS($A282,1,3,1,Menus!$K$10))=T(J$1),$D282,#N/A)</f>
        <v>#N/A</v>
      </c>
      <c r="K282" s="10">
        <f t="shared" ca="1" si="9"/>
        <v>0</v>
      </c>
      <c r="L282" s="2"/>
      <c r="M282" s="85">
        <f ca="1">OFFSET(INDIRECT(ADDRESS($A282,3,3,1,"Gross")),0,Menus!$J$4)</f>
        <v>0</v>
      </c>
      <c r="N282" s="85">
        <f ca="1">OFFSET(INDIRECT(ADDRESS($A282,3,3,1,"Gross")),0,Menus!$J$3)</f>
        <v>0</v>
      </c>
    </row>
    <row r="283" spans="1:14" x14ac:dyDescent="0.25">
      <c r="A283">
        <v>325</v>
      </c>
      <c r="B283" s="2">
        <f ca="1">OFFSET(INDIRECT(ADDRESS($A283,3,3,1,Menus!$K$10)),0,Menus!$J$4)</f>
        <v>0</v>
      </c>
      <c r="C283" s="2">
        <f ca="1">OFFSET(INDIRECT(ADDRESS($A283,3,3,1,Menus!$K$10)),0,Menus!$J$3)</f>
        <v>0</v>
      </c>
      <c r="D283" s="73" t="e">
        <f ca="1">IF(Menus!$J$9,C283/B283,C283)</f>
        <v>#DIV/0!</v>
      </c>
      <c r="E283" s="74" t="e">
        <f t="shared" ca="1" si="10"/>
        <v>#N/A</v>
      </c>
      <c r="F283" s="75">
        <f ca="1">INDIRECT(ADDRESS($A283,1,3,1,Menus!$K$10))</f>
        <v>0</v>
      </c>
      <c r="G283" s="2" t="e">
        <f ca="1">IF(INDIRECT(ADDRESS($A283,2,3,1,Menus!$K$10))=G$1,$D283,#N/A)</f>
        <v>#N/A</v>
      </c>
      <c r="H283" s="2" t="e">
        <f ca="1">IF(INDIRECT(ADDRESS($A283,2,3,1,Menus!$K$10))=H$1,$D283,#N/A)</f>
        <v>#N/A</v>
      </c>
      <c r="I283" s="2" t="e">
        <f ca="1">IF(INDIRECT(ADDRESS($A283,2,3,1,Menus!$K$10))=I$1,$D283,#N/A)</f>
        <v>#N/A</v>
      </c>
      <c r="J283" s="2" t="e">
        <f ca="1">IF(INDIRECT(ADDRESS($A283,1,3,1,Menus!$K$10))=T(J$1),$D283,#N/A)</f>
        <v>#N/A</v>
      </c>
      <c r="K283" s="10">
        <f t="shared" ca="1" si="9"/>
        <v>0</v>
      </c>
      <c r="L283" s="2"/>
      <c r="M283" s="85">
        <f ca="1">OFFSET(INDIRECT(ADDRESS($A283,3,3,1,"Gross")),0,Menus!$J$4)</f>
        <v>0</v>
      </c>
      <c r="N283" s="85">
        <f ca="1">OFFSET(INDIRECT(ADDRESS($A283,3,3,1,"Gross")),0,Menus!$J$3)</f>
        <v>0</v>
      </c>
    </row>
    <row r="284" spans="1:14" x14ac:dyDescent="0.25">
      <c r="A284">
        <v>326</v>
      </c>
      <c r="B284" s="2">
        <f ca="1">OFFSET(INDIRECT(ADDRESS($A284,3,3,1,Menus!$K$10)),0,Menus!$J$4)</f>
        <v>0</v>
      </c>
      <c r="C284" s="2">
        <f ca="1">OFFSET(INDIRECT(ADDRESS($A284,3,3,1,Menus!$K$10)),0,Menus!$J$3)</f>
        <v>0</v>
      </c>
      <c r="D284" s="73" t="e">
        <f ca="1">IF(Menus!$J$9,C284/B284,C284)</f>
        <v>#DIV/0!</v>
      </c>
      <c r="E284" s="74" t="e">
        <f t="shared" ca="1" si="10"/>
        <v>#N/A</v>
      </c>
      <c r="F284" s="75">
        <f ca="1">INDIRECT(ADDRESS($A284,1,3,1,Menus!$K$10))</f>
        <v>0</v>
      </c>
      <c r="G284" s="2" t="e">
        <f ca="1">IF(INDIRECT(ADDRESS($A284,2,3,1,Menus!$K$10))=G$1,$D284,#N/A)</f>
        <v>#N/A</v>
      </c>
      <c r="H284" s="2" t="e">
        <f ca="1">IF(INDIRECT(ADDRESS($A284,2,3,1,Menus!$K$10))=H$1,$D284,#N/A)</f>
        <v>#N/A</v>
      </c>
      <c r="I284" s="2" t="e">
        <f ca="1">IF(INDIRECT(ADDRESS($A284,2,3,1,Menus!$K$10))=I$1,$D284,#N/A)</f>
        <v>#N/A</v>
      </c>
      <c r="J284" s="2" t="e">
        <f ca="1">IF(INDIRECT(ADDRESS($A284,1,3,1,Menus!$K$10))=T(J$1),$D284,#N/A)</f>
        <v>#N/A</v>
      </c>
      <c r="K284" s="10">
        <f t="shared" ca="1" si="9"/>
        <v>0</v>
      </c>
      <c r="L284" s="2"/>
      <c r="M284" s="85">
        <f ca="1">OFFSET(INDIRECT(ADDRESS($A284,3,3,1,"Gross")),0,Menus!$J$4)</f>
        <v>0</v>
      </c>
      <c r="N284" s="85">
        <f ca="1">OFFSET(INDIRECT(ADDRESS($A284,3,3,1,"Gross")),0,Menus!$J$3)</f>
        <v>0</v>
      </c>
    </row>
    <row r="285" spans="1:14" x14ac:dyDescent="0.25">
      <c r="A285">
        <v>327</v>
      </c>
      <c r="B285" s="2">
        <f ca="1">OFFSET(INDIRECT(ADDRESS($A285,3,3,1,Menus!$K$10)),0,Menus!$J$4)</f>
        <v>0</v>
      </c>
      <c r="C285" s="2">
        <f ca="1">OFFSET(INDIRECT(ADDRESS($A285,3,3,1,Menus!$K$10)),0,Menus!$J$3)</f>
        <v>0</v>
      </c>
      <c r="D285" s="73" t="e">
        <f ca="1">IF(Menus!$J$9,C285/B285,C285)</f>
        <v>#DIV/0!</v>
      </c>
      <c r="E285" s="74" t="e">
        <f t="shared" ca="1" si="10"/>
        <v>#N/A</v>
      </c>
      <c r="F285" s="75">
        <f ca="1">INDIRECT(ADDRESS($A285,1,3,1,Menus!$K$10))</f>
        <v>0</v>
      </c>
      <c r="G285" s="2" t="e">
        <f ca="1">IF(INDIRECT(ADDRESS($A285,2,3,1,Menus!$K$10))=G$1,$D285,#N/A)</f>
        <v>#N/A</v>
      </c>
      <c r="H285" s="2" t="e">
        <f ca="1">IF(INDIRECT(ADDRESS($A285,2,3,1,Menus!$K$10))=H$1,$D285,#N/A)</f>
        <v>#N/A</v>
      </c>
      <c r="I285" s="2" t="e">
        <f ca="1">IF(INDIRECT(ADDRESS($A285,2,3,1,Menus!$K$10))=I$1,$D285,#N/A)</f>
        <v>#N/A</v>
      </c>
      <c r="J285" s="2" t="e">
        <f ca="1">IF(INDIRECT(ADDRESS($A285,1,3,1,Menus!$K$10))=T(J$1),$D285,#N/A)</f>
        <v>#N/A</v>
      </c>
      <c r="K285" s="10">
        <f t="shared" ca="1" si="9"/>
        <v>0</v>
      </c>
      <c r="L285" s="2"/>
      <c r="M285" s="85">
        <f ca="1">OFFSET(INDIRECT(ADDRESS($A285,3,3,1,"Gross")),0,Menus!$J$4)</f>
        <v>0</v>
      </c>
      <c r="N285" s="85">
        <f ca="1">OFFSET(INDIRECT(ADDRESS($A285,3,3,1,"Gross")),0,Menus!$J$3)</f>
        <v>0</v>
      </c>
    </row>
    <row r="286" spans="1:14" x14ac:dyDescent="0.25">
      <c r="A286">
        <v>328</v>
      </c>
      <c r="B286" s="2">
        <f ca="1">OFFSET(INDIRECT(ADDRESS($A286,3,3,1,Menus!$K$10)),0,Menus!$J$4)</f>
        <v>0</v>
      </c>
      <c r="C286" s="2">
        <f ca="1">OFFSET(INDIRECT(ADDRESS($A286,3,3,1,Menus!$K$10)),0,Menus!$J$3)</f>
        <v>0</v>
      </c>
      <c r="D286" s="73" t="e">
        <f ca="1">IF(Menus!$J$9,C286/B286,C286)</f>
        <v>#DIV/0!</v>
      </c>
      <c r="E286" s="74" t="e">
        <f t="shared" ca="1" si="10"/>
        <v>#N/A</v>
      </c>
      <c r="F286" s="75">
        <f ca="1">INDIRECT(ADDRESS($A286,1,3,1,Menus!$K$10))</f>
        <v>0</v>
      </c>
      <c r="G286" s="2" t="e">
        <f ca="1">IF(INDIRECT(ADDRESS($A286,2,3,1,Menus!$K$10))=G$1,$D286,#N/A)</f>
        <v>#N/A</v>
      </c>
      <c r="H286" s="2" t="e">
        <f ca="1">IF(INDIRECT(ADDRESS($A286,2,3,1,Menus!$K$10))=H$1,$D286,#N/A)</f>
        <v>#N/A</v>
      </c>
      <c r="I286" s="2" t="e">
        <f ca="1">IF(INDIRECT(ADDRESS($A286,2,3,1,Menus!$K$10))=I$1,$D286,#N/A)</f>
        <v>#N/A</v>
      </c>
      <c r="J286" s="2" t="e">
        <f ca="1">IF(INDIRECT(ADDRESS($A286,1,3,1,Menus!$K$10))=T(J$1),$D286,#N/A)</f>
        <v>#N/A</v>
      </c>
      <c r="K286" s="10">
        <f t="shared" ca="1" si="9"/>
        <v>0</v>
      </c>
      <c r="L286" s="2"/>
      <c r="M286" s="85">
        <f ca="1">OFFSET(INDIRECT(ADDRESS($A286,3,3,1,"Gross")),0,Menus!$J$4)</f>
        <v>0</v>
      </c>
      <c r="N286" s="85">
        <f ca="1">OFFSET(INDIRECT(ADDRESS($A286,3,3,1,"Gross")),0,Menus!$J$3)</f>
        <v>0</v>
      </c>
    </row>
    <row r="287" spans="1:14" x14ac:dyDescent="0.25">
      <c r="A287">
        <v>329</v>
      </c>
      <c r="B287" s="2">
        <f ca="1">OFFSET(INDIRECT(ADDRESS($A287,3,3,1,Menus!$K$10)),0,Menus!$J$4)</f>
        <v>0</v>
      </c>
      <c r="C287" s="2">
        <f ca="1">OFFSET(INDIRECT(ADDRESS($A287,3,3,1,Menus!$K$10)),0,Menus!$J$3)</f>
        <v>0</v>
      </c>
      <c r="D287" s="73" t="e">
        <f ca="1">IF(Menus!$J$9,C287/B287,C287)</f>
        <v>#DIV/0!</v>
      </c>
      <c r="E287" s="74" t="e">
        <f t="shared" ca="1" si="10"/>
        <v>#N/A</v>
      </c>
      <c r="F287" s="75">
        <f ca="1">INDIRECT(ADDRESS($A287,1,3,1,Menus!$K$10))</f>
        <v>0</v>
      </c>
      <c r="G287" s="2" t="e">
        <f ca="1">IF(INDIRECT(ADDRESS($A287,2,3,1,Menus!$K$10))=G$1,$D287,#N/A)</f>
        <v>#N/A</v>
      </c>
      <c r="H287" s="2" t="e">
        <f ca="1">IF(INDIRECT(ADDRESS($A287,2,3,1,Menus!$K$10))=H$1,$D287,#N/A)</f>
        <v>#N/A</v>
      </c>
      <c r="I287" s="2" t="e">
        <f ca="1">IF(INDIRECT(ADDRESS($A287,2,3,1,Menus!$K$10))=I$1,$D287,#N/A)</f>
        <v>#N/A</v>
      </c>
      <c r="J287" s="2" t="e">
        <f ca="1">IF(INDIRECT(ADDRESS($A287,1,3,1,Menus!$K$10))=T(J$1),$D287,#N/A)</f>
        <v>#N/A</v>
      </c>
      <c r="K287" s="10">
        <f t="shared" ca="1" si="9"/>
        <v>0</v>
      </c>
      <c r="L287" s="2"/>
      <c r="M287" s="85">
        <f ca="1">OFFSET(INDIRECT(ADDRESS($A287,3,3,1,"Gross")),0,Menus!$J$4)</f>
        <v>0</v>
      </c>
      <c r="N287" s="85">
        <f ca="1">OFFSET(INDIRECT(ADDRESS($A287,3,3,1,"Gross")),0,Menus!$J$3)</f>
        <v>0</v>
      </c>
    </row>
    <row r="288" spans="1:14" x14ac:dyDescent="0.25">
      <c r="A288">
        <v>330</v>
      </c>
      <c r="B288" s="2">
        <f ca="1">OFFSET(INDIRECT(ADDRESS($A288,3,3,1,Menus!$K$10)),0,Menus!$J$4)</f>
        <v>0</v>
      </c>
      <c r="C288" s="2">
        <f ca="1">OFFSET(INDIRECT(ADDRESS($A288,3,3,1,Menus!$K$10)),0,Menus!$J$3)</f>
        <v>0</v>
      </c>
      <c r="D288" s="73" t="e">
        <f ca="1">IF(Menus!$J$9,C288/B288,C288)</f>
        <v>#DIV/0!</v>
      </c>
      <c r="E288" s="74" t="e">
        <f t="shared" ca="1" si="10"/>
        <v>#N/A</v>
      </c>
      <c r="F288" s="75">
        <f ca="1">INDIRECT(ADDRESS($A288,1,3,1,Menus!$K$10))</f>
        <v>0</v>
      </c>
      <c r="G288" s="2" t="e">
        <f ca="1">IF(INDIRECT(ADDRESS($A288,2,3,1,Menus!$K$10))=G$1,$D288,#N/A)</f>
        <v>#N/A</v>
      </c>
      <c r="H288" s="2" t="e">
        <f ca="1">IF(INDIRECT(ADDRESS($A288,2,3,1,Menus!$K$10))=H$1,$D288,#N/A)</f>
        <v>#N/A</v>
      </c>
      <c r="I288" s="2" t="e">
        <f ca="1">IF(INDIRECT(ADDRESS($A288,2,3,1,Menus!$K$10))=I$1,$D288,#N/A)</f>
        <v>#N/A</v>
      </c>
      <c r="J288" s="2" t="e">
        <f ca="1">IF(INDIRECT(ADDRESS($A288,1,3,1,Menus!$K$10))=T(J$1),$D288,#N/A)</f>
        <v>#N/A</v>
      </c>
      <c r="K288" s="10">
        <f t="shared" ca="1" si="9"/>
        <v>0</v>
      </c>
      <c r="L288" s="2"/>
      <c r="M288" s="85">
        <f ca="1">OFFSET(INDIRECT(ADDRESS($A288,3,3,1,"Gross")),0,Menus!$J$4)</f>
        <v>0</v>
      </c>
      <c r="N288" s="85">
        <f ca="1">OFFSET(INDIRECT(ADDRESS($A288,3,3,1,"Gross")),0,Menus!$J$3)</f>
        <v>0</v>
      </c>
    </row>
    <row r="289" spans="1:14" x14ac:dyDescent="0.25">
      <c r="A289">
        <v>331</v>
      </c>
      <c r="B289" s="2">
        <f ca="1">OFFSET(INDIRECT(ADDRESS($A289,3,3,1,Menus!$K$10)),0,Menus!$J$4)</f>
        <v>0</v>
      </c>
      <c r="C289" s="2">
        <f ca="1">OFFSET(INDIRECT(ADDRESS($A289,3,3,1,Menus!$K$10)),0,Menus!$J$3)</f>
        <v>0</v>
      </c>
      <c r="D289" s="73" t="e">
        <f ca="1">IF(Menus!$J$9,C289/B289,C289)</f>
        <v>#DIV/0!</v>
      </c>
      <c r="E289" s="74" t="e">
        <f t="shared" ca="1" si="10"/>
        <v>#N/A</v>
      </c>
      <c r="F289" s="75">
        <f ca="1">INDIRECT(ADDRESS($A289,1,3,1,Menus!$K$10))</f>
        <v>0</v>
      </c>
      <c r="G289" s="2" t="e">
        <f ca="1">IF(INDIRECT(ADDRESS($A289,2,3,1,Menus!$K$10))=G$1,$D289,#N/A)</f>
        <v>#N/A</v>
      </c>
      <c r="H289" s="2" t="e">
        <f ca="1">IF(INDIRECT(ADDRESS($A289,2,3,1,Menus!$K$10))=H$1,$D289,#N/A)</f>
        <v>#N/A</v>
      </c>
      <c r="I289" s="2" t="e">
        <f ca="1">IF(INDIRECT(ADDRESS($A289,2,3,1,Menus!$K$10))=I$1,$D289,#N/A)</f>
        <v>#N/A</v>
      </c>
      <c r="J289" s="2" t="e">
        <f ca="1">IF(INDIRECT(ADDRESS($A289,1,3,1,Menus!$K$10))=T(J$1),$D289,#N/A)</f>
        <v>#N/A</v>
      </c>
      <c r="K289" s="10">
        <f t="shared" ca="1" si="9"/>
        <v>0</v>
      </c>
      <c r="L289" s="2"/>
      <c r="M289" s="85">
        <f ca="1">OFFSET(INDIRECT(ADDRESS($A289,3,3,1,"Gross")),0,Menus!$J$4)</f>
        <v>0</v>
      </c>
      <c r="N289" s="85">
        <f ca="1">OFFSET(INDIRECT(ADDRESS($A289,3,3,1,"Gross")),0,Menus!$J$3)</f>
        <v>0</v>
      </c>
    </row>
    <row r="290" spans="1:14" x14ac:dyDescent="0.25">
      <c r="A290">
        <v>332</v>
      </c>
      <c r="B290" s="2">
        <f ca="1">OFFSET(INDIRECT(ADDRESS($A290,3,3,1,Menus!$K$10)),0,Menus!$J$4)</f>
        <v>0</v>
      </c>
      <c r="C290" s="2">
        <f ca="1">OFFSET(INDIRECT(ADDRESS($A290,3,3,1,Menus!$K$10)),0,Menus!$J$3)</f>
        <v>0</v>
      </c>
      <c r="D290" s="73" t="e">
        <f ca="1">IF(Menus!$J$9,C290/B290,C290)</f>
        <v>#DIV/0!</v>
      </c>
      <c r="E290" s="74" t="e">
        <f t="shared" ca="1" si="10"/>
        <v>#N/A</v>
      </c>
      <c r="F290" s="75">
        <f ca="1">INDIRECT(ADDRESS($A290,1,3,1,Menus!$K$10))</f>
        <v>0</v>
      </c>
      <c r="G290" s="2" t="e">
        <f ca="1">IF(INDIRECT(ADDRESS($A290,2,3,1,Menus!$K$10))=G$1,$D290,#N/A)</f>
        <v>#N/A</v>
      </c>
      <c r="H290" s="2" t="e">
        <f ca="1">IF(INDIRECT(ADDRESS($A290,2,3,1,Menus!$K$10))=H$1,$D290,#N/A)</f>
        <v>#N/A</v>
      </c>
      <c r="I290" s="2" t="e">
        <f ca="1">IF(INDIRECT(ADDRESS($A290,2,3,1,Menus!$K$10))=I$1,$D290,#N/A)</f>
        <v>#N/A</v>
      </c>
      <c r="J290" s="2" t="e">
        <f ca="1">IF(INDIRECT(ADDRESS($A290,1,3,1,Menus!$K$10))=T(J$1),$D290,#N/A)</f>
        <v>#N/A</v>
      </c>
      <c r="K290" s="10">
        <f t="shared" ca="1" si="9"/>
        <v>0</v>
      </c>
      <c r="L290" s="2"/>
      <c r="M290" s="85">
        <f ca="1">OFFSET(INDIRECT(ADDRESS($A290,3,3,1,"Gross")),0,Menus!$J$4)</f>
        <v>0</v>
      </c>
      <c r="N290" s="85">
        <f ca="1">OFFSET(INDIRECT(ADDRESS($A290,3,3,1,"Gross")),0,Menus!$J$3)</f>
        <v>0</v>
      </c>
    </row>
    <row r="291" spans="1:14" x14ac:dyDescent="0.25">
      <c r="A291">
        <v>333</v>
      </c>
      <c r="B291" s="2">
        <f ca="1">OFFSET(INDIRECT(ADDRESS($A291,3,3,1,Menus!$K$10)),0,Menus!$J$4)</f>
        <v>0</v>
      </c>
      <c r="C291" s="2">
        <f ca="1">OFFSET(INDIRECT(ADDRESS($A291,3,3,1,Menus!$K$10)),0,Menus!$J$3)</f>
        <v>0</v>
      </c>
      <c r="D291" s="73" t="e">
        <f ca="1">IF(Menus!$J$9,C291/B291,C291)</f>
        <v>#DIV/0!</v>
      </c>
      <c r="E291" s="74" t="e">
        <f t="shared" ca="1" si="10"/>
        <v>#N/A</v>
      </c>
      <c r="F291" s="75">
        <f ca="1">INDIRECT(ADDRESS($A291,1,3,1,Menus!$K$10))</f>
        <v>0</v>
      </c>
      <c r="G291" s="2" t="e">
        <f ca="1">IF(INDIRECT(ADDRESS($A291,2,3,1,Menus!$K$10))=G$1,$D291,#N/A)</f>
        <v>#N/A</v>
      </c>
      <c r="H291" s="2" t="e">
        <f ca="1">IF(INDIRECT(ADDRESS($A291,2,3,1,Menus!$K$10))=H$1,$D291,#N/A)</f>
        <v>#N/A</v>
      </c>
      <c r="I291" s="2" t="e">
        <f ca="1">IF(INDIRECT(ADDRESS($A291,2,3,1,Menus!$K$10))=I$1,$D291,#N/A)</f>
        <v>#N/A</v>
      </c>
      <c r="J291" s="2" t="e">
        <f ca="1">IF(INDIRECT(ADDRESS($A291,1,3,1,Menus!$K$10))=T(J$1),$D291,#N/A)</f>
        <v>#N/A</v>
      </c>
      <c r="K291" s="10">
        <f t="shared" ca="1" si="9"/>
        <v>0</v>
      </c>
      <c r="L291" s="2"/>
      <c r="M291" s="85">
        <f ca="1">OFFSET(INDIRECT(ADDRESS($A291,3,3,1,"Gross")),0,Menus!$J$4)</f>
        <v>0</v>
      </c>
      <c r="N291" s="85">
        <f ca="1">OFFSET(INDIRECT(ADDRESS($A291,3,3,1,"Gross")),0,Menus!$J$3)</f>
        <v>0</v>
      </c>
    </row>
    <row r="292" spans="1:14" x14ac:dyDescent="0.25">
      <c r="A292">
        <v>334</v>
      </c>
      <c r="B292" s="2">
        <f ca="1">OFFSET(INDIRECT(ADDRESS($A292,3,3,1,Menus!$K$10)),0,Menus!$J$4)</f>
        <v>0</v>
      </c>
      <c r="C292" s="2">
        <f ca="1">OFFSET(INDIRECT(ADDRESS($A292,3,3,1,Menus!$K$10)),0,Menus!$J$3)</f>
        <v>0</v>
      </c>
      <c r="D292" s="73" t="e">
        <f ca="1">IF(Menus!$J$9,C292/B292,C292)</f>
        <v>#DIV/0!</v>
      </c>
      <c r="E292" s="74" t="e">
        <f t="shared" ca="1" si="10"/>
        <v>#N/A</v>
      </c>
      <c r="F292" s="75">
        <f ca="1">INDIRECT(ADDRESS($A292,1,3,1,Menus!$K$10))</f>
        <v>0</v>
      </c>
      <c r="G292" s="2" t="e">
        <f ca="1">IF(INDIRECT(ADDRESS($A292,2,3,1,Menus!$K$10))=G$1,$D292,#N/A)</f>
        <v>#N/A</v>
      </c>
      <c r="H292" s="2" t="e">
        <f ca="1">IF(INDIRECT(ADDRESS($A292,2,3,1,Menus!$K$10))=H$1,$D292,#N/A)</f>
        <v>#N/A</v>
      </c>
      <c r="I292" s="2" t="e">
        <f ca="1">IF(INDIRECT(ADDRESS($A292,2,3,1,Menus!$K$10))=I$1,$D292,#N/A)</f>
        <v>#N/A</v>
      </c>
      <c r="J292" s="2" t="e">
        <f ca="1">IF(INDIRECT(ADDRESS($A292,1,3,1,Menus!$K$10))=T(J$1),$D292,#N/A)</f>
        <v>#N/A</v>
      </c>
      <c r="K292" s="10">
        <f t="shared" ca="1" si="9"/>
        <v>0</v>
      </c>
      <c r="L292" s="2"/>
      <c r="M292" s="85">
        <f ca="1">OFFSET(INDIRECT(ADDRESS($A292,3,3,1,"Gross")),0,Menus!$J$4)</f>
        <v>0</v>
      </c>
      <c r="N292" s="85">
        <f ca="1">OFFSET(INDIRECT(ADDRESS($A292,3,3,1,"Gross")),0,Menus!$J$3)</f>
        <v>0</v>
      </c>
    </row>
    <row r="293" spans="1:14" x14ac:dyDescent="0.25">
      <c r="A293">
        <v>335</v>
      </c>
      <c r="B293" s="2">
        <f ca="1">OFFSET(INDIRECT(ADDRESS($A293,3,3,1,Menus!$K$10)),0,Menus!$J$4)</f>
        <v>0</v>
      </c>
      <c r="C293" s="2">
        <f ca="1">OFFSET(INDIRECT(ADDRESS($A293,3,3,1,Menus!$K$10)),0,Menus!$J$3)</f>
        <v>0</v>
      </c>
      <c r="D293" s="73" t="e">
        <f ca="1">IF(Menus!$J$9,C293/B293,C293)</f>
        <v>#DIV/0!</v>
      </c>
      <c r="E293" s="74" t="e">
        <f t="shared" ca="1" si="10"/>
        <v>#N/A</v>
      </c>
      <c r="F293" s="75">
        <f ca="1">INDIRECT(ADDRESS($A293,1,3,1,Menus!$K$10))</f>
        <v>0</v>
      </c>
      <c r="G293" s="2" t="e">
        <f ca="1">IF(INDIRECT(ADDRESS($A293,2,3,1,Menus!$K$10))=G$1,$D293,#N/A)</f>
        <v>#N/A</v>
      </c>
      <c r="H293" s="2" t="e">
        <f ca="1">IF(INDIRECT(ADDRESS($A293,2,3,1,Menus!$K$10))=H$1,$D293,#N/A)</f>
        <v>#N/A</v>
      </c>
      <c r="I293" s="2" t="e">
        <f ca="1">IF(INDIRECT(ADDRESS($A293,2,3,1,Menus!$K$10))=I$1,$D293,#N/A)</f>
        <v>#N/A</v>
      </c>
      <c r="J293" s="2" t="e">
        <f ca="1">IF(INDIRECT(ADDRESS($A293,1,3,1,Menus!$K$10))=T(J$1),$D293,#N/A)</f>
        <v>#N/A</v>
      </c>
      <c r="K293" s="10">
        <f t="shared" ca="1" si="9"/>
        <v>0</v>
      </c>
      <c r="L293" s="2"/>
      <c r="M293" s="85">
        <f ca="1">OFFSET(INDIRECT(ADDRESS($A293,3,3,1,"Gross")),0,Menus!$J$4)</f>
        <v>0</v>
      </c>
      <c r="N293" s="85">
        <f ca="1">OFFSET(INDIRECT(ADDRESS($A293,3,3,1,"Gross")),0,Menus!$J$3)</f>
        <v>0</v>
      </c>
    </row>
    <row r="294" spans="1:14" x14ac:dyDescent="0.25">
      <c r="A294">
        <v>336</v>
      </c>
      <c r="B294" s="2">
        <f ca="1">OFFSET(INDIRECT(ADDRESS($A294,3,3,1,Menus!$K$10)),0,Menus!$J$4)</f>
        <v>0</v>
      </c>
      <c r="C294" s="2">
        <f ca="1">OFFSET(INDIRECT(ADDRESS($A294,3,3,1,Menus!$K$10)),0,Menus!$J$3)</f>
        <v>0</v>
      </c>
      <c r="D294" s="73" t="e">
        <f ca="1">IF(Menus!$J$9,C294/B294,C294)</f>
        <v>#DIV/0!</v>
      </c>
      <c r="E294" s="74" t="e">
        <f t="shared" ca="1" si="10"/>
        <v>#N/A</v>
      </c>
      <c r="F294" s="75">
        <f ca="1">INDIRECT(ADDRESS($A294,1,3,1,Menus!$K$10))</f>
        <v>0</v>
      </c>
      <c r="G294" s="2" t="e">
        <f ca="1">IF(INDIRECT(ADDRESS($A294,2,3,1,Menus!$K$10))=G$1,$D294,#N/A)</f>
        <v>#N/A</v>
      </c>
      <c r="H294" s="2" t="e">
        <f ca="1">IF(INDIRECT(ADDRESS($A294,2,3,1,Menus!$K$10))=H$1,$D294,#N/A)</f>
        <v>#N/A</v>
      </c>
      <c r="I294" s="2" t="e">
        <f ca="1">IF(INDIRECT(ADDRESS($A294,2,3,1,Menus!$K$10))=I$1,$D294,#N/A)</f>
        <v>#N/A</v>
      </c>
      <c r="J294" s="2" t="e">
        <f ca="1">IF(INDIRECT(ADDRESS($A294,1,3,1,Menus!$K$10))=T(J$1),$D294,#N/A)</f>
        <v>#N/A</v>
      </c>
      <c r="K294" s="10">
        <f t="shared" ca="1" si="9"/>
        <v>0</v>
      </c>
      <c r="L294" s="2"/>
      <c r="M294" s="85">
        <f ca="1">OFFSET(INDIRECT(ADDRESS($A294,3,3,1,"Gross")),0,Menus!$J$4)</f>
        <v>0</v>
      </c>
      <c r="N294" s="85">
        <f ca="1">OFFSET(INDIRECT(ADDRESS($A294,3,3,1,"Gross")),0,Menus!$J$3)</f>
        <v>0</v>
      </c>
    </row>
    <row r="295" spans="1:14" x14ac:dyDescent="0.25">
      <c r="A295">
        <v>337</v>
      </c>
      <c r="B295" s="2">
        <f ca="1">OFFSET(INDIRECT(ADDRESS($A295,3,3,1,Menus!$K$10)),0,Menus!$J$4)</f>
        <v>0</v>
      </c>
      <c r="C295" s="2">
        <f ca="1">OFFSET(INDIRECT(ADDRESS($A295,3,3,1,Menus!$K$10)),0,Menus!$J$3)</f>
        <v>0</v>
      </c>
      <c r="D295" s="73" t="e">
        <f ca="1">IF(Menus!$J$9,C295/B295,C295)</f>
        <v>#DIV/0!</v>
      </c>
      <c r="E295" s="74" t="e">
        <f t="shared" ca="1" si="10"/>
        <v>#N/A</v>
      </c>
      <c r="F295" s="75">
        <f ca="1">INDIRECT(ADDRESS($A295,1,3,1,Menus!$K$10))</f>
        <v>0</v>
      </c>
      <c r="G295" s="2" t="e">
        <f ca="1">IF(INDIRECT(ADDRESS($A295,2,3,1,Menus!$K$10))=G$1,$D295,#N/A)</f>
        <v>#N/A</v>
      </c>
      <c r="H295" s="2" t="e">
        <f ca="1">IF(INDIRECT(ADDRESS($A295,2,3,1,Menus!$K$10))=H$1,$D295,#N/A)</f>
        <v>#N/A</v>
      </c>
      <c r="I295" s="2" t="e">
        <f ca="1">IF(INDIRECT(ADDRESS($A295,2,3,1,Menus!$K$10))=I$1,$D295,#N/A)</f>
        <v>#N/A</v>
      </c>
      <c r="J295" s="2" t="e">
        <f ca="1">IF(INDIRECT(ADDRESS($A295,1,3,1,Menus!$K$10))=T(J$1),$D295,#N/A)</f>
        <v>#N/A</v>
      </c>
      <c r="K295" s="10">
        <f t="shared" ca="1" si="9"/>
        <v>0</v>
      </c>
      <c r="L295" s="2"/>
      <c r="M295" s="85">
        <f ca="1">OFFSET(INDIRECT(ADDRESS($A295,3,3,1,"Gross")),0,Menus!$J$4)</f>
        <v>0</v>
      </c>
      <c r="N295" s="85">
        <f ca="1">OFFSET(INDIRECT(ADDRESS($A295,3,3,1,"Gross")),0,Menus!$J$3)</f>
        <v>0</v>
      </c>
    </row>
    <row r="296" spans="1:14" x14ac:dyDescent="0.25">
      <c r="A296">
        <v>338</v>
      </c>
      <c r="B296" s="2">
        <f ca="1">OFFSET(INDIRECT(ADDRESS($A296,3,3,1,Menus!$K$10)),0,Menus!$J$4)</f>
        <v>0</v>
      </c>
      <c r="C296" s="2">
        <f ca="1">OFFSET(INDIRECT(ADDRESS($A296,3,3,1,Menus!$K$10)),0,Menus!$J$3)</f>
        <v>0</v>
      </c>
      <c r="D296" s="73" t="e">
        <f ca="1">IF(Menus!$J$9,C296/B296,C296)</f>
        <v>#DIV/0!</v>
      </c>
      <c r="E296" s="74" t="e">
        <f t="shared" ca="1" si="10"/>
        <v>#N/A</v>
      </c>
      <c r="F296" s="75">
        <f ca="1">INDIRECT(ADDRESS($A296,1,3,1,Menus!$K$10))</f>
        <v>0</v>
      </c>
      <c r="G296" s="2" t="e">
        <f ca="1">IF(INDIRECT(ADDRESS($A296,2,3,1,Menus!$K$10))=G$1,$D296,#N/A)</f>
        <v>#N/A</v>
      </c>
      <c r="H296" s="2" t="e">
        <f ca="1">IF(INDIRECT(ADDRESS($A296,2,3,1,Menus!$K$10))=H$1,$D296,#N/A)</f>
        <v>#N/A</v>
      </c>
      <c r="I296" s="2" t="e">
        <f ca="1">IF(INDIRECT(ADDRESS($A296,2,3,1,Menus!$K$10))=I$1,$D296,#N/A)</f>
        <v>#N/A</v>
      </c>
      <c r="J296" s="2" t="e">
        <f ca="1">IF(INDIRECT(ADDRESS($A296,1,3,1,Menus!$K$10))=T(J$1),$D296,#N/A)</f>
        <v>#N/A</v>
      </c>
      <c r="K296" s="10">
        <f t="shared" ca="1" si="9"/>
        <v>0</v>
      </c>
      <c r="L296" s="2"/>
      <c r="M296" s="85">
        <f ca="1">OFFSET(INDIRECT(ADDRESS($A296,3,3,1,"Gross")),0,Menus!$J$4)</f>
        <v>0</v>
      </c>
      <c r="N296" s="85">
        <f ca="1">OFFSET(INDIRECT(ADDRESS($A296,3,3,1,"Gross")),0,Menus!$J$3)</f>
        <v>0</v>
      </c>
    </row>
    <row r="297" spans="1:14" x14ac:dyDescent="0.25">
      <c r="A297">
        <v>339</v>
      </c>
      <c r="B297" s="2">
        <f ca="1">OFFSET(INDIRECT(ADDRESS($A297,3,3,1,Menus!$K$10)),0,Menus!$J$4)</f>
        <v>0</v>
      </c>
      <c r="C297" s="2">
        <f ca="1">OFFSET(INDIRECT(ADDRESS($A297,3,3,1,Menus!$K$10)),0,Menus!$J$3)</f>
        <v>0</v>
      </c>
      <c r="D297" s="73" t="e">
        <f ca="1">IF(Menus!$J$9,C297/B297,C297)</f>
        <v>#DIV/0!</v>
      </c>
      <c r="E297" s="74" t="e">
        <f t="shared" ca="1" si="10"/>
        <v>#N/A</v>
      </c>
      <c r="F297" s="75">
        <f ca="1">INDIRECT(ADDRESS($A297,1,3,1,Menus!$K$10))</f>
        <v>0</v>
      </c>
      <c r="G297" s="2" t="e">
        <f ca="1">IF(INDIRECT(ADDRESS($A297,2,3,1,Menus!$K$10))=G$1,$D297,#N/A)</f>
        <v>#N/A</v>
      </c>
      <c r="H297" s="2" t="e">
        <f ca="1">IF(INDIRECT(ADDRESS($A297,2,3,1,Menus!$K$10))=H$1,$D297,#N/A)</f>
        <v>#N/A</v>
      </c>
      <c r="I297" s="2" t="e">
        <f ca="1">IF(INDIRECT(ADDRESS($A297,2,3,1,Menus!$K$10))=I$1,$D297,#N/A)</f>
        <v>#N/A</v>
      </c>
      <c r="J297" s="2" t="e">
        <f ca="1">IF(INDIRECT(ADDRESS($A297,1,3,1,Menus!$K$10))=T(J$1),$D297,#N/A)</f>
        <v>#N/A</v>
      </c>
      <c r="K297" s="10">
        <f t="shared" ca="1" si="9"/>
        <v>0</v>
      </c>
      <c r="L297" s="2"/>
      <c r="M297" s="85">
        <f ca="1">OFFSET(INDIRECT(ADDRESS($A297,3,3,1,"Gross")),0,Menus!$J$4)</f>
        <v>0</v>
      </c>
      <c r="N297" s="85">
        <f ca="1">OFFSET(INDIRECT(ADDRESS($A297,3,3,1,"Gross")),0,Menus!$J$3)</f>
        <v>0</v>
      </c>
    </row>
    <row r="298" spans="1:14" x14ac:dyDescent="0.25">
      <c r="A298">
        <v>340</v>
      </c>
      <c r="B298" s="2">
        <f ca="1">OFFSET(INDIRECT(ADDRESS($A298,3,3,1,Menus!$K$10)),0,Menus!$J$4)</f>
        <v>0</v>
      </c>
      <c r="C298" s="2">
        <f ca="1">OFFSET(INDIRECT(ADDRESS($A298,3,3,1,Menus!$K$10)),0,Menus!$J$3)</f>
        <v>0</v>
      </c>
      <c r="D298" s="73" t="e">
        <f ca="1">IF(Menus!$J$9,C298/B298,C298)</f>
        <v>#DIV/0!</v>
      </c>
      <c r="E298" s="74" t="e">
        <f t="shared" ca="1" si="10"/>
        <v>#N/A</v>
      </c>
      <c r="F298" s="75">
        <f ca="1">INDIRECT(ADDRESS($A298,1,3,1,Menus!$K$10))</f>
        <v>0</v>
      </c>
      <c r="G298" s="2" t="e">
        <f ca="1">IF(INDIRECT(ADDRESS($A298,2,3,1,Menus!$K$10))=G$1,$D298,#N/A)</f>
        <v>#N/A</v>
      </c>
      <c r="H298" s="2" t="e">
        <f ca="1">IF(INDIRECT(ADDRESS($A298,2,3,1,Menus!$K$10))=H$1,$D298,#N/A)</f>
        <v>#N/A</v>
      </c>
      <c r="I298" s="2" t="e">
        <f ca="1">IF(INDIRECT(ADDRESS($A298,2,3,1,Menus!$K$10))=I$1,$D298,#N/A)</f>
        <v>#N/A</v>
      </c>
      <c r="J298" s="2" t="e">
        <f ca="1">IF(INDIRECT(ADDRESS($A298,1,3,1,Menus!$K$10))=T(J$1),$D298,#N/A)</f>
        <v>#N/A</v>
      </c>
      <c r="K298" s="10">
        <f t="shared" ca="1" si="9"/>
        <v>0</v>
      </c>
      <c r="L298" s="2"/>
      <c r="M298" s="85">
        <f ca="1">OFFSET(INDIRECT(ADDRESS($A298,3,3,1,"Gross")),0,Menus!$J$4)</f>
        <v>0</v>
      </c>
      <c r="N298" s="85">
        <f ca="1">OFFSET(INDIRECT(ADDRESS($A298,3,3,1,"Gross")),0,Menus!$J$3)</f>
        <v>0</v>
      </c>
    </row>
    <row r="299" spans="1:14" x14ac:dyDescent="0.25">
      <c r="A299">
        <v>341</v>
      </c>
      <c r="B299" s="2">
        <f ca="1">OFFSET(INDIRECT(ADDRESS($A299,3,3,1,Menus!$K$10)),0,Menus!$J$4)</f>
        <v>0</v>
      </c>
      <c r="C299" s="2">
        <f ca="1">OFFSET(INDIRECT(ADDRESS($A299,3,3,1,Menus!$K$10)),0,Menus!$J$3)</f>
        <v>0</v>
      </c>
      <c r="D299" s="73" t="e">
        <f ca="1">IF(Menus!$J$9,C299/B299,C299)</f>
        <v>#DIV/0!</v>
      </c>
      <c r="E299" s="74" t="e">
        <f t="shared" ca="1" si="10"/>
        <v>#N/A</v>
      </c>
      <c r="F299" s="75">
        <f ca="1">INDIRECT(ADDRESS($A299,1,3,1,Menus!$K$10))</f>
        <v>0</v>
      </c>
      <c r="G299" s="2" t="e">
        <f ca="1">IF(INDIRECT(ADDRESS($A299,2,3,1,Menus!$K$10))=G$1,$D299,#N/A)</f>
        <v>#N/A</v>
      </c>
      <c r="H299" s="2" t="e">
        <f ca="1">IF(INDIRECT(ADDRESS($A299,2,3,1,Menus!$K$10))=H$1,$D299,#N/A)</f>
        <v>#N/A</v>
      </c>
      <c r="I299" s="2" t="e">
        <f ca="1">IF(INDIRECT(ADDRESS($A299,2,3,1,Menus!$K$10))=I$1,$D299,#N/A)</f>
        <v>#N/A</v>
      </c>
      <c r="J299" s="2" t="e">
        <f ca="1">IF(INDIRECT(ADDRESS($A299,1,3,1,Menus!$K$10))=T(J$1),$D299,#N/A)</f>
        <v>#N/A</v>
      </c>
      <c r="K299" s="10">
        <f t="shared" ca="1" si="9"/>
        <v>0</v>
      </c>
      <c r="L299" s="2"/>
      <c r="M299" s="85">
        <f ca="1">OFFSET(INDIRECT(ADDRESS($A299,3,3,1,"Gross")),0,Menus!$J$4)</f>
        <v>0</v>
      </c>
      <c r="N299" s="85">
        <f ca="1">OFFSET(INDIRECT(ADDRESS($A299,3,3,1,"Gross")),0,Menus!$J$3)</f>
        <v>0</v>
      </c>
    </row>
    <row r="300" spans="1:14" x14ac:dyDescent="0.25">
      <c r="A300">
        <v>342</v>
      </c>
      <c r="B300" s="2">
        <f ca="1">OFFSET(INDIRECT(ADDRESS($A300,3,3,1,Menus!$K$10)),0,Menus!$J$4)</f>
        <v>0</v>
      </c>
      <c r="C300" s="2">
        <f ca="1">OFFSET(INDIRECT(ADDRESS($A300,3,3,1,Menus!$K$10)),0,Menus!$J$3)</f>
        <v>0</v>
      </c>
      <c r="D300" s="73" t="e">
        <f ca="1">IF(Menus!$J$9,C300/B300,C300)</f>
        <v>#DIV/0!</v>
      </c>
      <c r="E300" s="74" t="e">
        <f t="shared" ca="1" si="10"/>
        <v>#N/A</v>
      </c>
      <c r="F300" s="75">
        <f ca="1">INDIRECT(ADDRESS($A300,1,3,1,Menus!$K$10))</f>
        <v>0</v>
      </c>
      <c r="G300" s="2" t="e">
        <f ca="1">IF(INDIRECT(ADDRESS($A300,2,3,1,Menus!$K$10))=G$1,$D300,#N/A)</f>
        <v>#N/A</v>
      </c>
      <c r="H300" s="2" t="e">
        <f ca="1">IF(INDIRECT(ADDRESS($A300,2,3,1,Menus!$K$10))=H$1,$D300,#N/A)</f>
        <v>#N/A</v>
      </c>
      <c r="I300" s="2" t="e">
        <f ca="1">IF(INDIRECT(ADDRESS($A300,2,3,1,Menus!$K$10))=I$1,$D300,#N/A)</f>
        <v>#N/A</v>
      </c>
      <c r="J300" s="2" t="e">
        <f ca="1">IF(INDIRECT(ADDRESS($A300,1,3,1,Menus!$K$10))=T(J$1),$D300,#N/A)</f>
        <v>#N/A</v>
      </c>
      <c r="K300" s="10">
        <f t="shared" ca="1" si="9"/>
        <v>0</v>
      </c>
      <c r="L300" s="2"/>
      <c r="M300" s="85">
        <f ca="1">OFFSET(INDIRECT(ADDRESS($A300,3,3,1,"Gross")),0,Menus!$J$4)</f>
        <v>0</v>
      </c>
      <c r="N300" s="85">
        <f ca="1">OFFSET(INDIRECT(ADDRESS($A300,3,3,1,"Gross")),0,Menus!$J$3)</f>
        <v>0</v>
      </c>
    </row>
    <row r="301" spans="1:14" x14ac:dyDescent="0.25">
      <c r="A301">
        <v>343</v>
      </c>
      <c r="B301" s="2">
        <f ca="1">OFFSET(INDIRECT(ADDRESS($A301,3,3,1,Menus!$K$10)),0,Menus!$J$4)</f>
        <v>0</v>
      </c>
      <c r="C301" s="2">
        <f ca="1">OFFSET(INDIRECT(ADDRESS($A301,3,3,1,Menus!$K$10)),0,Menus!$J$3)</f>
        <v>0</v>
      </c>
      <c r="D301" s="73" t="e">
        <f ca="1">IF(Menus!$J$9,C301/B301,C301)</f>
        <v>#DIV/0!</v>
      </c>
      <c r="E301" s="74" t="e">
        <f t="shared" ca="1" si="10"/>
        <v>#N/A</v>
      </c>
      <c r="F301" s="75">
        <f ca="1">INDIRECT(ADDRESS($A301,1,3,1,Menus!$K$10))</f>
        <v>0</v>
      </c>
      <c r="G301" s="2" t="e">
        <f ca="1">IF(INDIRECT(ADDRESS($A301,2,3,1,Menus!$K$10))=G$1,$D301,#N/A)</f>
        <v>#N/A</v>
      </c>
      <c r="H301" s="2" t="e">
        <f ca="1">IF(INDIRECT(ADDRESS($A301,2,3,1,Menus!$K$10))=H$1,$D301,#N/A)</f>
        <v>#N/A</v>
      </c>
      <c r="I301" s="2" t="e">
        <f ca="1">IF(INDIRECT(ADDRESS($A301,2,3,1,Menus!$K$10))=I$1,$D301,#N/A)</f>
        <v>#N/A</v>
      </c>
      <c r="J301" s="2" t="e">
        <f ca="1">IF(INDIRECT(ADDRESS($A301,1,3,1,Menus!$K$10))=T(J$1),$D301,#N/A)</f>
        <v>#N/A</v>
      </c>
      <c r="K301" s="10">
        <f t="shared" ca="1" si="9"/>
        <v>0</v>
      </c>
      <c r="L301" s="2"/>
      <c r="M301" s="85">
        <f ca="1">OFFSET(INDIRECT(ADDRESS($A301,3,3,1,"Gross")),0,Menus!$J$4)</f>
        <v>0</v>
      </c>
      <c r="N301" s="85">
        <f ca="1">OFFSET(INDIRECT(ADDRESS($A301,3,3,1,"Gross")),0,Menus!$J$3)</f>
        <v>0</v>
      </c>
    </row>
    <row r="302" spans="1:14" x14ac:dyDescent="0.25">
      <c r="A302">
        <v>344</v>
      </c>
      <c r="B302" s="2">
        <f ca="1">OFFSET(INDIRECT(ADDRESS($A302,3,3,1,Menus!$K$10)),0,Menus!$J$4)</f>
        <v>0</v>
      </c>
      <c r="C302" s="2">
        <f ca="1">OFFSET(INDIRECT(ADDRESS($A302,3,3,1,Menus!$K$10)),0,Menus!$J$3)</f>
        <v>0</v>
      </c>
      <c r="D302" s="73" t="e">
        <f ca="1">IF(Menus!$J$9,C302/B302,C302)</f>
        <v>#DIV/0!</v>
      </c>
      <c r="E302" s="74" t="e">
        <f t="shared" ca="1" si="10"/>
        <v>#N/A</v>
      </c>
      <c r="F302" s="75">
        <f ca="1">INDIRECT(ADDRESS($A302,1,3,1,Menus!$K$10))</f>
        <v>0</v>
      </c>
      <c r="G302" s="2" t="e">
        <f ca="1">IF(INDIRECT(ADDRESS($A302,2,3,1,Menus!$K$10))=G$1,$D302,#N/A)</f>
        <v>#N/A</v>
      </c>
      <c r="H302" s="2" t="e">
        <f ca="1">IF(INDIRECT(ADDRESS($A302,2,3,1,Menus!$K$10))=H$1,$D302,#N/A)</f>
        <v>#N/A</v>
      </c>
      <c r="I302" s="2" t="e">
        <f ca="1">IF(INDIRECT(ADDRESS($A302,2,3,1,Menus!$K$10))=I$1,$D302,#N/A)</f>
        <v>#N/A</v>
      </c>
      <c r="J302" s="2" t="e">
        <f ca="1">IF(INDIRECT(ADDRESS($A302,1,3,1,Menus!$K$10))=T(J$1),$D302,#N/A)</f>
        <v>#N/A</v>
      </c>
      <c r="K302" s="10">
        <f t="shared" ca="1" si="9"/>
        <v>0</v>
      </c>
      <c r="L302" s="2"/>
      <c r="M302" s="85">
        <f ca="1">OFFSET(INDIRECT(ADDRESS($A302,3,3,1,"Gross")),0,Menus!$J$4)</f>
        <v>0</v>
      </c>
      <c r="N302" s="85">
        <f ca="1">OFFSET(INDIRECT(ADDRESS($A302,3,3,1,"Gross")),0,Menus!$J$3)</f>
        <v>0</v>
      </c>
    </row>
    <row r="303" spans="1:14" x14ac:dyDescent="0.25">
      <c r="A303">
        <v>345</v>
      </c>
      <c r="B303" s="2">
        <f ca="1">OFFSET(INDIRECT(ADDRESS($A303,3,3,1,Menus!$K$10)),0,Menus!$J$4)</f>
        <v>0</v>
      </c>
      <c r="C303" s="2">
        <f ca="1">OFFSET(INDIRECT(ADDRESS($A303,3,3,1,Menus!$K$10)),0,Menus!$J$3)</f>
        <v>0</v>
      </c>
      <c r="D303" s="73" t="e">
        <f ca="1">IF(Menus!$J$9,C303/B303,C303)</f>
        <v>#DIV/0!</v>
      </c>
      <c r="E303" s="74" t="e">
        <f t="shared" ca="1" si="10"/>
        <v>#N/A</v>
      </c>
      <c r="F303" s="75">
        <f ca="1">INDIRECT(ADDRESS($A303,1,3,1,Menus!$K$10))</f>
        <v>0</v>
      </c>
      <c r="G303" s="2" t="e">
        <f ca="1">IF(INDIRECT(ADDRESS($A303,2,3,1,Menus!$K$10))=G$1,$D303,#N/A)</f>
        <v>#N/A</v>
      </c>
      <c r="H303" s="2" t="e">
        <f ca="1">IF(INDIRECT(ADDRESS($A303,2,3,1,Menus!$K$10))=H$1,$D303,#N/A)</f>
        <v>#N/A</v>
      </c>
      <c r="I303" s="2" t="e">
        <f ca="1">IF(INDIRECT(ADDRESS($A303,2,3,1,Menus!$K$10))=I$1,$D303,#N/A)</f>
        <v>#N/A</v>
      </c>
      <c r="J303" s="2" t="e">
        <f ca="1">IF(INDIRECT(ADDRESS($A303,1,3,1,Menus!$K$10))=T(J$1),$D303,#N/A)</f>
        <v>#N/A</v>
      </c>
      <c r="K303" s="10">
        <f t="shared" ca="1" si="9"/>
        <v>0</v>
      </c>
      <c r="L303" s="2"/>
      <c r="M303" s="85">
        <f ca="1">OFFSET(INDIRECT(ADDRESS($A303,3,3,1,"Gross")),0,Menus!$J$4)</f>
        <v>0</v>
      </c>
      <c r="N303" s="85">
        <f ca="1">OFFSET(INDIRECT(ADDRESS($A303,3,3,1,"Gross")),0,Menus!$J$3)</f>
        <v>0</v>
      </c>
    </row>
    <row r="304" spans="1:14" x14ac:dyDescent="0.25">
      <c r="A304">
        <v>346</v>
      </c>
      <c r="B304" s="2">
        <f ca="1">OFFSET(INDIRECT(ADDRESS($A304,3,3,1,Menus!$K$10)),0,Menus!$J$4)</f>
        <v>0</v>
      </c>
      <c r="C304" s="2">
        <f ca="1">OFFSET(INDIRECT(ADDRESS($A304,3,3,1,Menus!$K$10)),0,Menus!$J$3)</f>
        <v>0</v>
      </c>
      <c r="D304" s="73" t="e">
        <f ca="1">IF(Menus!$J$9,C304/B304,C304)</f>
        <v>#DIV/0!</v>
      </c>
      <c r="E304" s="74" t="e">
        <f t="shared" ca="1" si="10"/>
        <v>#N/A</v>
      </c>
      <c r="F304" s="75">
        <f ca="1">INDIRECT(ADDRESS($A304,1,3,1,Menus!$K$10))</f>
        <v>0</v>
      </c>
      <c r="G304" s="2" t="e">
        <f ca="1">IF(INDIRECT(ADDRESS($A304,2,3,1,Menus!$K$10))=G$1,$D304,#N/A)</f>
        <v>#N/A</v>
      </c>
      <c r="H304" s="2" t="e">
        <f ca="1">IF(INDIRECT(ADDRESS($A304,2,3,1,Menus!$K$10))=H$1,$D304,#N/A)</f>
        <v>#N/A</v>
      </c>
      <c r="I304" s="2" t="e">
        <f ca="1">IF(INDIRECT(ADDRESS($A304,2,3,1,Menus!$K$10))=I$1,$D304,#N/A)</f>
        <v>#N/A</v>
      </c>
      <c r="J304" s="2" t="e">
        <f ca="1">IF(INDIRECT(ADDRESS($A304,1,3,1,Menus!$K$10))=T(J$1),$D304,#N/A)</f>
        <v>#N/A</v>
      </c>
      <c r="K304" s="10">
        <f t="shared" ca="1" si="9"/>
        <v>0</v>
      </c>
      <c r="L304" s="2"/>
      <c r="M304" s="85">
        <f ca="1">OFFSET(INDIRECT(ADDRESS($A304,3,3,1,"Gross")),0,Menus!$J$4)</f>
        <v>0</v>
      </c>
      <c r="N304" s="85">
        <f ca="1">OFFSET(INDIRECT(ADDRESS($A304,3,3,1,"Gross")),0,Menus!$J$3)</f>
        <v>0</v>
      </c>
    </row>
    <row r="305" spans="1:14" x14ac:dyDescent="0.25">
      <c r="A305">
        <v>347</v>
      </c>
      <c r="B305" s="2">
        <f ca="1">OFFSET(INDIRECT(ADDRESS($A305,3,3,1,Menus!$K$10)),0,Menus!$J$4)</f>
        <v>0</v>
      </c>
      <c r="C305" s="2">
        <f ca="1">OFFSET(INDIRECT(ADDRESS($A305,3,3,1,Menus!$K$10)),0,Menus!$J$3)</f>
        <v>0</v>
      </c>
      <c r="D305" s="73" t="e">
        <f ca="1">IF(Menus!$J$9,C305/B305,C305)</f>
        <v>#DIV/0!</v>
      </c>
      <c r="E305" s="74" t="e">
        <f t="shared" ca="1" si="10"/>
        <v>#N/A</v>
      </c>
      <c r="F305" s="75">
        <f ca="1">INDIRECT(ADDRESS($A305,1,3,1,Menus!$K$10))</f>
        <v>0</v>
      </c>
      <c r="G305" s="2" t="e">
        <f ca="1">IF(INDIRECT(ADDRESS($A305,2,3,1,Menus!$K$10))=G$1,$D305,#N/A)</f>
        <v>#N/A</v>
      </c>
      <c r="H305" s="2" t="e">
        <f ca="1">IF(INDIRECT(ADDRESS($A305,2,3,1,Menus!$K$10))=H$1,$D305,#N/A)</f>
        <v>#N/A</v>
      </c>
      <c r="I305" s="2" t="e">
        <f ca="1">IF(INDIRECT(ADDRESS($A305,2,3,1,Menus!$K$10))=I$1,$D305,#N/A)</f>
        <v>#N/A</v>
      </c>
      <c r="J305" s="2" t="e">
        <f ca="1">IF(INDIRECT(ADDRESS($A305,1,3,1,Menus!$K$10))=T(J$1),$D305,#N/A)</f>
        <v>#N/A</v>
      </c>
      <c r="K305" s="10">
        <f t="shared" ca="1" si="9"/>
        <v>0</v>
      </c>
      <c r="L305" s="2"/>
      <c r="M305" s="85">
        <f ca="1">OFFSET(INDIRECT(ADDRESS($A305,3,3,1,"Gross")),0,Menus!$J$4)</f>
        <v>0</v>
      </c>
      <c r="N305" s="85">
        <f ca="1">OFFSET(INDIRECT(ADDRESS($A305,3,3,1,"Gross")),0,Menus!$J$3)</f>
        <v>0</v>
      </c>
    </row>
    <row r="306" spans="1:14" x14ac:dyDescent="0.25">
      <c r="A306">
        <v>348</v>
      </c>
      <c r="B306" s="2">
        <f ca="1">OFFSET(INDIRECT(ADDRESS($A306,3,3,1,Menus!$K$10)),0,Menus!$J$4)</f>
        <v>0</v>
      </c>
      <c r="C306" s="2">
        <f ca="1">OFFSET(INDIRECT(ADDRESS($A306,3,3,1,Menus!$K$10)),0,Menus!$J$3)</f>
        <v>0</v>
      </c>
      <c r="D306" s="73" t="e">
        <f ca="1">IF(Menus!$J$9,C306/B306,C306)</f>
        <v>#DIV/0!</v>
      </c>
      <c r="E306" s="74" t="e">
        <f t="shared" ca="1" si="10"/>
        <v>#N/A</v>
      </c>
      <c r="F306" s="75">
        <f ca="1">INDIRECT(ADDRESS($A306,1,3,1,Menus!$K$10))</f>
        <v>0</v>
      </c>
      <c r="G306" s="2" t="e">
        <f ca="1">IF(INDIRECT(ADDRESS($A306,2,3,1,Menus!$K$10))=G$1,$D306,#N/A)</f>
        <v>#N/A</v>
      </c>
      <c r="H306" s="2" t="e">
        <f ca="1">IF(INDIRECT(ADDRESS($A306,2,3,1,Menus!$K$10))=H$1,$D306,#N/A)</f>
        <v>#N/A</v>
      </c>
      <c r="I306" s="2" t="e">
        <f ca="1">IF(INDIRECT(ADDRESS($A306,2,3,1,Menus!$K$10))=I$1,$D306,#N/A)</f>
        <v>#N/A</v>
      </c>
      <c r="J306" s="2" t="e">
        <f ca="1">IF(INDIRECT(ADDRESS($A306,1,3,1,Menus!$K$10))=T(J$1),$D306,#N/A)</f>
        <v>#N/A</v>
      </c>
      <c r="K306" s="10">
        <f t="shared" ca="1" si="9"/>
        <v>0</v>
      </c>
      <c r="L306" s="2"/>
      <c r="M306" s="85">
        <f ca="1">OFFSET(INDIRECT(ADDRESS($A306,3,3,1,"Gross")),0,Menus!$J$4)</f>
        <v>0</v>
      </c>
      <c r="N306" s="85">
        <f ca="1">OFFSET(INDIRECT(ADDRESS($A306,3,3,1,"Gross")),0,Menus!$J$3)</f>
        <v>0</v>
      </c>
    </row>
    <row r="307" spans="1:14" x14ac:dyDescent="0.25">
      <c r="A307">
        <v>349</v>
      </c>
      <c r="B307" s="2">
        <f ca="1">OFFSET(INDIRECT(ADDRESS($A307,3,3,1,Menus!$K$10)),0,Menus!$J$4)</f>
        <v>0</v>
      </c>
      <c r="C307" s="2">
        <f ca="1">OFFSET(INDIRECT(ADDRESS($A307,3,3,1,Menus!$K$10)),0,Menus!$J$3)</f>
        <v>0</v>
      </c>
      <c r="D307" s="73" t="e">
        <f ca="1">IF(Menus!$J$9,C307/B307,C307)</f>
        <v>#DIV/0!</v>
      </c>
      <c r="E307" s="74" t="e">
        <f t="shared" ca="1" si="10"/>
        <v>#N/A</v>
      </c>
      <c r="F307" s="75">
        <f ca="1">INDIRECT(ADDRESS($A307,1,3,1,Menus!$K$10))</f>
        <v>0</v>
      </c>
      <c r="G307" s="2" t="e">
        <f ca="1">IF(INDIRECT(ADDRESS($A307,2,3,1,Menus!$K$10))=G$1,$D307,#N/A)</f>
        <v>#N/A</v>
      </c>
      <c r="H307" s="2" t="e">
        <f ca="1">IF(INDIRECT(ADDRESS($A307,2,3,1,Menus!$K$10))=H$1,$D307,#N/A)</f>
        <v>#N/A</v>
      </c>
      <c r="I307" s="2" t="e">
        <f ca="1">IF(INDIRECT(ADDRESS($A307,2,3,1,Menus!$K$10))=I$1,$D307,#N/A)</f>
        <v>#N/A</v>
      </c>
      <c r="J307" s="2" t="e">
        <f ca="1">IF(INDIRECT(ADDRESS($A307,1,3,1,Menus!$K$10))=T(J$1),$D307,#N/A)</f>
        <v>#N/A</v>
      </c>
      <c r="K307" s="10">
        <f t="shared" ca="1" si="9"/>
        <v>0</v>
      </c>
      <c r="L307" s="2"/>
      <c r="M307" s="85">
        <f ca="1">OFFSET(INDIRECT(ADDRESS($A307,3,3,1,"Gross")),0,Menus!$J$4)</f>
        <v>0</v>
      </c>
      <c r="N307" s="85">
        <f ca="1">OFFSET(INDIRECT(ADDRESS($A307,3,3,1,"Gross")),0,Menus!$J$3)</f>
        <v>0</v>
      </c>
    </row>
    <row r="308" spans="1:14" x14ac:dyDescent="0.25">
      <c r="A308">
        <v>350</v>
      </c>
      <c r="B308" s="2">
        <f ca="1">OFFSET(INDIRECT(ADDRESS($A308,3,3,1,Menus!$K$10)),0,Menus!$J$4)</f>
        <v>0</v>
      </c>
      <c r="C308" s="2">
        <f ca="1">OFFSET(INDIRECT(ADDRESS($A308,3,3,1,Menus!$K$10)),0,Menus!$J$3)</f>
        <v>0</v>
      </c>
      <c r="D308" s="73" t="e">
        <f ca="1">IF(Menus!$J$9,C308/B308,C308)</f>
        <v>#DIV/0!</v>
      </c>
      <c r="E308" s="74" t="e">
        <f t="shared" ca="1" si="10"/>
        <v>#N/A</v>
      </c>
      <c r="F308" s="75">
        <f ca="1">INDIRECT(ADDRESS($A308,1,3,1,Menus!$K$10))</f>
        <v>0</v>
      </c>
      <c r="G308" s="2" t="e">
        <f ca="1">IF(INDIRECT(ADDRESS($A308,2,3,1,Menus!$K$10))=G$1,$D308,#N/A)</f>
        <v>#N/A</v>
      </c>
      <c r="H308" s="2" t="e">
        <f ca="1">IF(INDIRECT(ADDRESS($A308,2,3,1,Menus!$K$10))=H$1,$D308,#N/A)</f>
        <v>#N/A</v>
      </c>
      <c r="I308" s="2" t="e">
        <f ca="1">IF(INDIRECT(ADDRESS($A308,2,3,1,Menus!$K$10))=I$1,$D308,#N/A)</f>
        <v>#N/A</v>
      </c>
      <c r="J308" s="2" t="e">
        <f ca="1">IF(INDIRECT(ADDRESS($A308,1,3,1,Menus!$K$10))=T(J$1),$D308,#N/A)</f>
        <v>#N/A</v>
      </c>
      <c r="K308" s="10">
        <f t="shared" ca="1" si="9"/>
        <v>0</v>
      </c>
      <c r="L308" s="2"/>
      <c r="M308" s="85">
        <f ca="1">OFFSET(INDIRECT(ADDRESS($A308,3,3,1,"Gross")),0,Menus!$J$4)</f>
        <v>0</v>
      </c>
      <c r="N308" s="85">
        <f ca="1">OFFSET(INDIRECT(ADDRESS($A308,3,3,1,"Gross")),0,Menus!$J$3)</f>
        <v>0</v>
      </c>
    </row>
    <row r="309" spans="1:14" x14ac:dyDescent="0.25">
      <c r="A309">
        <v>351</v>
      </c>
      <c r="B309" s="2">
        <f ca="1">OFFSET(INDIRECT(ADDRESS($A309,3,3,1,Menus!$K$10)),0,Menus!$J$4)</f>
        <v>0</v>
      </c>
      <c r="C309" s="2">
        <f ca="1">OFFSET(INDIRECT(ADDRESS($A309,3,3,1,Menus!$K$10)),0,Menus!$J$3)</f>
        <v>0</v>
      </c>
      <c r="D309" s="73" t="e">
        <f ca="1">IF(Menus!$J$9,C309/B309,C309)</f>
        <v>#DIV/0!</v>
      </c>
      <c r="E309" s="74" t="e">
        <f t="shared" ca="1" si="10"/>
        <v>#N/A</v>
      </c>
      <c r="F309" s="75">
        <f ca="1">INDIRECT(ADDRESS($A309,1,3,1,Menus!$K$10))</f>
        <v>0</v>
      </c>
      <c r="G309" s="2" t="e">
        <f ca="1">IF(INDIRECT(ADDRESS($A309,2,3,1,Menus!$K$10))=G$1,$D309,#N/A)</f>
        <v>#N/A</v>
      </c>
      <c r="H309" s="2" t="e">
        <f ca="1">IF(INDIRECT(ADDRESS($A309,2,3,1,Menus!$K$10))=H$1,$D309,#N/A)</f>
        <v>#N/A</v>
      </c>
      <c r="I309" s="2" t="e">
        <f ca="1">IF(INDIRECT(ADDRESS($A309,2,3,1,Menus!$K$10))=I$1,$D309,#N/A)</f>
        <v>#N/A</v>
      </c>
      <c r="J309" s="2" t="e">
        <f ca="1">IF(INDIRECT(ADDRESS($A309,1,3,1,Menus!$K$10))=T(J$1),$D309,#N/A)</f>
        <v>#N/A</v>
      </c>
      <c r="K309" s="10">
        <f t="shared" ca="1" si="9"/>
        <v>0</v>
      </c>
      <c r="L309" s="2"/>
      <c r="M309" s="85">
        <f ca="1">OFFSET(INDIRECT(ADDRESS($A309,3,3,1,"Gross")),0,Menus!$J$4)</f>
        <v>0</v>
      </c>
      <c r="N309" s="85">
        <f ca="1">OFFSET(INDIRECT(ADDRESS($A309,3,3,1,"Gross")),0,Menus!$J$3)</f>
        <v>0</v>
      </c>
    </row>
    <row r="310" spans="1:14" x14ac:dyDescent="0.25">
      <c r="A310">
        <v>352</v>
      </c>
      <c r="B310" s="2">
        <f ca="1">OFFSET(INDIRECT(ADDRESS($A310,3,3,1,Menus!$K$10)),0,Menus!$J$4)</f>
        <v>0</v>
      </c>
      <c r="C310" s="2">
        <f ca="1">OFFSET(INDIRECT(ADDRESS($A310,3,3,1,Menus!$K$10)),0,Menus!$J$3)</f>
        <v>0</v>
      </c>
      <c r="D310" s="73" t="e">
        <f ca="1">IF(Menus!$J$9,C310/B310,C310)</f>
        <v>#DIV/0!</v>
      </c>
      <c r="E310" s="74" t="e">
        <f t="shared" ca="1" si="10"/>
        <v>#N/A</v>
      </c>
      <c r="F310" s="75">
        <f ca="1">INDIRECT(ADDRESS($A310,1,3,1,Menus!$K$10))</f>
        <v>0</v>
      </c>
      <c r="G310" s="2" t="e">
        <f ca="1">IF(INDIRECT(ADDRESS($A310,2,3,1,Menus!$K$10))=G$1,$D310,#N/A)</f>
        <v>#N/A</v>
      </c>
      <c r="H310" s="2" t="e">
        <f ca="1">IF(INDIRECT(ADDRESS($A310,2,3,1,Menus!$K$10))=H$1,$D310,#N/A)</f>
        <v>#N/A</v>
      </c>
      <c r="I310" s="2" t="e">
        <f ca="1">IF(INDIRECT(ADDRESS($A310,2,3,1,Menus!$K$10))=I$1,$D310,#N/A)</f>
        <v>#N/A</v>
      </c>
      <c r="J310" s="2" t="e">
        <f ca="1">IF(INDIRECT(ADDRESS($A310,1,3,1,Menus!$K$10))=T(J$1),$D310,#N/A)</f>
        <v>#N/A</v>
      </c>
      <c r="K310" s="10">
        <f t="shared" ca="1" si="9"/>
        <v>0</v>
      </c>
      <c r="L310" s="2"/>
      <c r="M310" s="85">
        <f ca="1">OFFSET(INDIRECT(ADDRESS($A310,3,3,1,"Gross")),0,Menus!$J$4)</f>
        <v>0</v>
      </c>
      <c r="N310" s="85">
        <f ca="1">OFFSET(INDIRECT(ADDRESS($A310,3,3,1,"Gross")),0,Menus!$J$3)</f>
        <v>0</v>
      </c>
    </row>
    <row r="311" spans="1:14" x14ac:dyDescent="0.25">
      <c r="A311">
        <v>353</v>
      </c>
      <c r="B311" s="2">
        <f ca="1">OFFSET(INDIRECT(ADDRESS($A311,3,3,1,Menus!$K$10)),0,Menus!$J$4)</f>
        <v>0</v>
      </c>
      <c r="C311" s="2">
        <f ca="1">OFFSET(INDIRECT(ADDRESS($A311,3,3,1,Menus!$K$10)),0,Menus!$J$3)</f>
        <v>0</v>
      </c>
      <c r="D311" s="73" t="e">
        <f ca="1">IF(Menus!$J$9,C311/B311,C311)</f>
        <v>#DIV/0!</v>
      </c>
      <c r="E311" s="74" t="e">
        <f t="shared" ca="1" si="10"/>
        <v>#N/A</v>
      </c>
      <c r="F311" s="75">
        <f ca="1">INDIRECT(ADDRESS($A311,1,3,1,Menus!$K$10))</f>
        <v>0</v>
      </c>
      <c r="G311" s="2" t="e">
        <f ca="1">IF(INDIRECT(ADDRESS($A311,2,3,1,Menus!$K$10))=G$1,$D311,#N/A)</f>
        <v>#N/A</v>
      </c>
      <c r="H311" s="2" t="e">
        <f ca="1">IF(INDIRECT(ADDRESS($A311,2,3,1,Menus!$K$10))=H$1,$D311,#N/A)</f>
        <v>#N/A</v>
      </c>
      <c r="I311" s="2" t="e">
        <f ca="1">IF(INDIRECT(ADDRESS($A311,2,3,1,Menus!$K$10))=I$1,$D311,#N/A)</f>
        <v>#N/A</v>
      </c>
      <c r="J311" s="2" t="e">
        <f ca="1">IF(INDIRECT(ADDRESS($A311,1,3,1,Menus!$K$10))=T(J$1),$D311,#N/A)</f>
        <v>#N/A</v>
      </c>
      <c r="K311" s="10">
        <f t="shared" ca="1" si="9"/>
        <v>0</v>
      </c>
      <c r="L311" s="2"/>
      <c r="M311" s="85">
        <f ca="1">OFFSET(INDIRECT(ADDRESS($A311,3,3,1,"Gross")),0,Menus!$J$4)</f>
        <v>0</v>
      </c>
      <c r="N311" s="85">
        <f ca="1">OFFSET(INDIRECT(ADDRESS($A311,3,3,1,"Gross")),0,Menus!$J$3)</f>
        <v>0</v>
      </c>
    </row>
    <row r="312" spans="1:14" x14ac:dyDescent="0.25">
      <c r="A312">
        <v>354</v>
      </c>
      <c r="B312" s="2">
        <f ca="1">OFFSET(INDIRECT(ADDRESS($A312,3,3,1,Menus!$K$10)),0,Menus!$J$4)</f>
        <v>0</v>
      </c>
      <c r="C312" s="2">
        <f ca="1">OFFSET(INDIRECT(ADDRESS($A312,3,3,1,Menus!$K$10)),0,Menus!$J$3)</f>
        <v>0</v>
      </c>
      <c r="D312" s="73" t="e">
        <f ca="1">IF(Menus!$J$9,C312/B312,C312)</f>
        <v>#DIV/0!</v>
      </c>
      <c r="E312" s="74" t="e">
        <f t="shared" ca="1" si="10"/>
        <v>#N/A</v>
      </c>
      <c r="F312" s="75">
        <f ca="1">INDIRECT(ADDRESS($A312,1,3,1,Menus!$K$10))</f>
        <v>0</v>
      </c>
      <c r="G312" s="2" t="e">
        <f ca="1">IF(INDIRECT(ADDRESS($A312,2,3,1,Menus!$K$10))=G$1,$D312,#N/A)</f>
        <v>#N/A</v>
      </c>
      <c r="H312" s="2" t="e">
        <f ca="1">IF(INDIRECT(ADDRESS($A312,2,3,1,Menus!$K$10))=H$1,$D312,#N/A)</f>
        <v>#N/A</v>
      </c>
      <c r="I312" s="2" t="e">
        <f ca="1">IF(INDIRECT(ADDRESS($A312,2,3,1,Menus!$K$10))=I$1,$D312,#N/A)</f>
        <v>#N/A</v>
      </c>
      <c r="J312" s="2" t="e">
        <f ca="1">IF(INDIRECT(ADDRESS($A312,1,3,1,Menus!$K$10))=T(J$1),$D312,#N/A)</f>
        <v>#N/A</v>
      </c>
      <c r="K312" s="10">
        <f t="shared" ca="1" si="9"/>
        <v>0</v>
      </c>
      <c r="L312" s="2"/>
      <c r="M312" s="85">
        <f ca="1">OFFSET(INDIRECT(ADDRESS($A312,3,3,1,"Gross")),0,Menus!$J$4)</f>
        <v>0</v>
      </c>
      <c r="N312" s="85">
        <f ca="1">OFFSET(INDIRECT(ADDRESS($A312,3,3,1,"Gross")),0,Menus!$J$3)</f>
        <v>0</v>
      </c>
    </row>
    <row r="313" spans="1:14" x14ac:dyDescent="0.25">
      <c r="A313">
        <v>355</v>
      </c>
      <c r="B313" s="2">
        <f ca="1">OFFSET(INDIRECT(ADDRESS($A313,3,3,1,Menus!$K$10)),0,Menus!$J$4)</f>
        <v>0</v>
      </c>
      <c r="C313" s="2">
        <f ca="1">OFFSET(INDIRECT(ADDRESS($A313,3,3,1,Menus!$K$10)),0,Menus!$J$3)</f>
        <v>0</v>
      </c>
      <c r="D313" s="73" t="e">
        <f ca="1">IF(Menus!$J$9,C313/B313,C313)</f>
        <v>#DIV/0!</v>
      </c>
      <c r="E313" s="74" t="e">
        <f t="shared" ca="1" si="10"/>
        <v>#N/A</v>
      </c>
      <c r="F313" s="75">
        <f ca="1">INDIRECT(ADDRESS($A313,1,3,1,Menus!$K$10))</f>
        <v>0</v>
      </c>
      <c r="G313" s="2" t="e">
        <f ca="1">IF(INDIRECT(ADDRESS($A313,2,3,1,Menus!$K$10))=G$1,$D313,#N/A)</f>
        <v>#N/A</v>
      </c>
      <c r="H313" s="2" t="e">
        <f ca="1">IF(INDIRECT(ADDRESS($A313,2,3,1,Menus!$K$10))=H$1,$D313,#N/A)</f>
        <v>#N/A</v>
      </c>
      <c r="I313" s="2" t="e">
        <f ca="1">IF(INDIRECT(ADDRESS($A313,2,3,1,Menus!$K$10))=I$1,$D313,#N/A)</f>
        <v>#N/A</v>
      </c>
      <c r="J313" s="2" t="e">
        <f ca="1">IF(INDIRECT(ADDRESS($A313,1,3,1,Menus!$K$10))=T(J$1),$D313,#N/A)</f>
        <v>#N/A</v>
      </c>
      <c r="K313" s="10">
        <f t="shared" ca="1" si="9"/>
        <v>0</v>
      </c>
      <c r="L313" s="2"/>
      <c r="M313" s="85">
        <f ca="1">OFFSET(INDIRECT(ADDRESS($A313,3,3,1,"Gross")),0,Menus!$J$4)</f>
        <v>0</v>
      </c>
      <c r="N313" s="85">
        <f ca="1">OFFSET(INDIRECT(ADDRESS($A313,3,3,1,"Gross")),0,Menus!$J$3)</f>
        <v>0</v>
      </c>
    </row>
    <row r="314" spans="1:14" x14ac:dyDescent="0.25">
      <c r="A314">
        <v>356</v>
      </c>
      <c r="B314" s="2">
        <f ca="1">OFFSET(INDIRECT(ADDRESS($A314,3,3,1,Menus!$K$10)),0,Menus!$J$4)</f>
        <v>0</v>
      </c>
      <c r="C314" s="2">
        <f ca="1">OFFSET(INDIRECT(ADDRESS($A314,3,3,1,Menus!$K$10)),0,Menus!$J$3)</f>
        <v>0</v>
      </c>
      <c r="D314" s="73" t="e">
        <f ca="1">IF(Menus!$J$9,C314/B314,C314)</f>
        <v>#DIV/0!</v>
      </c>
      <c r="E314" s="74" t="e">
        <f t="shared" ca="1" si="10"/>
        <v>#N/A</v>
      </c>
      <c r="F314" s="75">
        <f ca="1">INDIRECT(ADDRESS($A314,1,3,1,Menus!$K$10))</f>
        <v>0</v>
      </c>
      <c r="G314" s="2" t="e">
        <f ca="1">IF(INDIRECT(ADDRESS($A314,2,3,1,Menus!$K$10))=G$1,$D314,#N/A)</f>
        <v>#N/A</v>
      </c>
      <c r="H314" s="2" t="e">
        <f ca="1">IF(INDIRECT(ADDRESS($A314,2,3,1,Menus!$K$10))=H$1,$D314,#N/A)</f>
        <v>#N/A</v>
      </c>
      <c r="I314" s="2" t="e">
        <f ca="1">IF(INDIRECT(ADDRESS($A314,2,3,1,Menus!$K$10))=I$1,$D314,#N/A)</f>
        <v>#N/A</v>
      </c>
      <c r="J314" s="2" t="e">
        <f ca="1">IF(INDIRECT(ADDRESS($A314,1,3,1,Menus!$K$10))=T(J$1),$D314,#N/A)</f>
        <v>#N/A</v>
      </c>
      <c r="K314" s="10">
        <f t="shared" ca="1" si="9"/>
        <v>0</v>
      </c>
      <c r="L314" s="2"/>
      <c r="M314" s="85">
        <f ca="1">OFFSET(INDIRECT(ADDRESS($A314,3,3,1,"Gross")),0,Menus!$J$4)</f>
        <v>0</v>
      </c>
      <c r="N314" s="85">
        <f ca="1">OFFSET(INDIRECT(ADDRESS($A314,3,3,1,"Gross")),0,Menus!$J$3)</f>
        <v>0</v>
      </c>
    </row>
    <row r="315" spans="1:14" x14ac:dyDescent="0.25">
      <c r="A315">
        <v>357</v>
      </c>
      <c r="B315" s="2">
        <f ca="1">OFFSET(INDIRECT(ADDRESS($A315,3,3,1,Menus!$K$10)),0,Menus!$J$4)</f>
        <v>0</v>
      </c>
      <c r="C315" s="2">
        <f ca="1">OFFSET(INDIRECT(ADDRESS($A315,3,3,1,Menus!$K$10)),0,Menus!$J$3)</f>
        <v>0</v>
      </c>
      <c r="D315" s="73" t="e">
        <f ca="1">IF(Menus!$J$9,C315/B315,C315)</f>
        <v>#DIV/0!</v>
      </c>
      <c r="E315" s="74" t="e">
        <f t="shared" ca="1" si="10"/>
        <v>#N/A</v>
      </c>
      <c r="F315" s="75">
        <f ca="1">INDIRECT(ADDRESS($A315,1,3,1,Menus!$K$10))</f>
        <v>0</v>
      </c>
      <c r="G315" s="2" t="e">
        <f ca="1">IF(INDIRECT(ADDRESS($A315,2,3,1,Menus!$K$10))=G$1,$D315,#N/A)</f>
        <v>#N/A</v>
      </c>
      <c r="H315" s="2" t="e">
        <f ca="1">IF(INDIRECT(ADDRESS($A315,2,3,1,Menus!$K$10))=H$1,$D315,#N/A)</f>
        <v>#N/A</v>
      </c>
      <c r="I315" s="2" t="e">
        <f ca="1">IF(INDIRECT(ADDRESS($A315,2,3,1,Menus!$K$10))=I$1,$D315,#N/A)</f>
        <v>#N/A</v>
      </c>
      <c r="J315" s="2" t="e">
        <f ca="1">IF(INDIRECT(ADDRESS($A315,1,3,1,Menus!$K$10))=T(J$1),$D315,#N/A)</f>
        <v>#N/A</v>
      </c>
      <c r="K315" s="10">
        <f t="shared" ca="1" si="9"/>
        <v>0</v>
      </c>
      <c r="L315" s="2"/>
      <c r="M315" s="85">
        <f ca="1">OFFSET(INDIRECT(ADDRESS($A315,3,3,1,"Gross")),0,Menus!$J$4)</f>
        <v>0</v>
      </c>
      <c r="N315" s="85">
        <f ca="1">OFFSET(INDIRECT(ADDRESS($A315,3,3,1,"Gross")),0,Menus!$J$3)</f>
        <v>0</v>
      </c>
    </row>
    <row r="316" spans="1:14" x14ac:dyDescent="0.25">
      <c r="A316">
        <v>358</v>
      </c>
      <c r="B316" s="2">
        <f ca="1">OFFSET(INDIRECT(ADDRESS($A316,3,3,1,Menus!$K$10)),0,Menus!$J$4)</f>
        <v>0</v>
      </c>
      <c r="C316" s="2">
        <f ca="1">OFFSET(INDIRECT(ADDRESS($A316,3,3,1,Menus!$K$10)),0,Menus!$J$3)</f>
        <v>0</v>
      </c>
      <c r="D316" s="73" t="e">
        <f ca="1">IF(Menus!$J$9,C316/B316,C316)</f>
        <v>#DIV/0!</v>
      </c>
      <c r="E316" s="74" t="e">
        <f t="shared" ca="1" si="10"/>
        <v>#N/A</v>
      </c>
      <c r="F316" s="75">
        <f ca="1">INDIRECT(ADDRESS($A316,1,3,1,Menus!$K$10))</f>
        <v>0</v>
      </c>
      <c r="G316" s="2" t="e">
        <f ca="1">IF(INDIRECT(ADDRESS($A316,2,3,1,Menus!$K$10))=G$1,$D316,#N/A)</f>
        <v>#N/A</v>
      </c>
      <c r="H316" s="2" t="e">
        <f ca="1">IF(INDIRECT(ADDRESS($A316,2,3,1,Menus!$K$10))=H$1,$D316,#N/A)</f>
        <v>#N/A</v>
      </c>
      <c r="I316" s="2" t="e">
        <f ca="1">IF(INDIRECT(ADDRESS($A316,2,3,1,Menus!$K$10))=I$1,$D316,#N/A)</f>
        <v>#N/A</v>
      </c>
      <c r="J316" s="2" t="e">
        <f ca="1">IF(INDIRECT(ADDRESS($A316,1,3,1,Menus!$K$10))=T(J$1),$D316,#N/A)</f>
        <v>#N/A</v>
      </c>
      <c r="K316" s="10">
        <f t="shared" ca="1" si="9"/>
        <v>0</v>
      </c>
      <c r="L316" s="2"/>
      <c r="M316" s="85">
        <f ca="1">OFFSET(INDIRECT(ADDRESS($A316,3,3,1,"Gross")),0,Menus!$J$4)</f>
        <v>0</v>
      </c>
      <c r="N316" s="85">
        <f ca="1">OFFSET(INDIRECT(ADDRESS($A316,3,3,1,"Gross")),0,Menus!$J$3)</f>
        <v>0</v>
      </c>
    </row>
    <row r="317" spans="1:14" x14ac:dyDescent="0.25">
      <c r="A317">
        <v>359</v>
      </c>
      <c r="B317" s="2">
        <f ca="1">OFFSET(INDIRECT(ADDRESS($A317,3,3,1,Menus!$K$10)),0,Menus!$J$4)</f>
        <v>0</v>
      </c>
      <c r="C317" s="2">
        <f ca="1">OFFSET(INDIRECT(ADDRESS($A317,3,3,1,Menus!$K$10)),0,Menus!$J$3)</f>
        <v>0</v>
      </c>
      <c r="D317" s="73" t="e">
        <f ca="1">IF(Menus!$J$9,C317/B317,C317)</f>
        <v>#DIV/0!</v>
      </c>
      <c r="E317" s="74" t="e">
        <f t="shared" ca="1" si="10"/>
        <v>#N/A</v>
      </c>
      <c r="F317" s="75">
        <f ca="1">INDIRECT(ADDRESS($A317,1,3,1,Menus!$K$10))</f>
        <v>0</v>
      </c>
      <c r="G317" s="2" t="e">
        <f ca="1">IF(INDIRECT(ADDRESS($A317,2,3,1,Menus!$K$10))=G$1,$D317,#N/A)</f>
        <v>#N/A</v>
      </c>
      <c r="H317" s="2" t="e">
        <f ca="1">IF(INDIRECT(ADDRESS($A317,2,3,1,Menus!$K$10))=H$1,$D317,#N/A)</f>
        <v>#N/A</v>
      </c>
      <c r="I317" s="2" t="e">
        <f ca="1">IF(INDIRECT(ADDRESS($A317,2,3,1,Menus!$K$10))=I$1,$D317,#N/A)</f>
        <v>#N/A</v>
      </c>
      <c r="J317" s="2" t="e">
        <f ca="1">IF(INDIRECT(ADDRESS($A317,1,3,1,Menus!$K$10))=T(J$1),$D317,#N/A)</f>
        <v>#N/A</v>
      </c>
      <c r="K317" s="10">
        <f t="shared" ca="1" si="9"/>
        <v>0</v>
      </c>
      <c r="L317" s="2"/>
      <c r="M317" s="85">
        <f ca="1">OFFSET(INDIRECT(ADDRESS($A317,3,3,1,"Gross")),0,Menus!$J$4)</f>
        <v>0</v>
      </c>
      <c r="N317" s="85">
        <f ca="1">OFFSET(INDIRECT(ADDRESS($A317,3,3,1,"Gross")),0,Menus!$J$3)</f>
        <v>0</v>
      </c>
    </row>
    <row r="318" spans="1:14" x14ac:dyDescent="0.25">
      <c r="A318">
        <v>360</v>
      </c>
      <c r="B318" s="2">
        <f ca="1">OFFSET(INDIRECT(ADDRESS($A318,3,3,1,Menus!$K$10)),0,Menus!$J$4)</f>
        <v>0</v>
      </c>
      <c r="C318" s="2">
        <f ca="1">OFFSET(INDIRECT(ADDRESS($A318,3,3,1,Menus!$K$10)),0,Menus!$J$3)</f>
        <v>0</v>
      </c>
      <c r="D318" s="73" t="e">
        <f ca="1">IF(Menus!$J$9,C318/B318,C318)</f>
        <v>#DIV/0!</v>
      </c>
      <c r="E318" s="74" t="e">
        <f t="shared" ca="1" si="10"/>
        <v>#N/A</v>
      </c>
      <c r="F318" s="75">
        <f ca="1">INDIRECT(ADDRESS($A318,1,3,1,Menus!$K$10))</f>
        <v>0</v>
      </c>
      <c r="G318" s="2" t="e">
        <f ca="1">IF(INDIRECT(ADDRESS($A318,2,3,1,Menus!$K$10))=G$1,$D318,#N/A)</f>
        <v>#N/A</v>
      </c>
      <c r="H318" s="2" t="e">
        <f ca="1">IF(INDIRECT(ADDRESS($A318,2,3,1,Menus!$K$10))=H$1,$D318,#N/A)</f>
        <v>#N/A</v>
      </c>
      <c r="I318" s="2" t="e">
        <f ca="1">IF(INDIRECT(ADDRESS($A318,2,3,1,Menus!$K$10))=I$1,$D318,#N/A)</f>
        <v>#N/A</v>
      </c>
      <c r="J318" s="2" t="e">
        <f ca="1">IF(INDIRECT(ADDRESS($A318,1,3,1,Menus!$K$10))=T(J$1),$D318,#N/A)</f>
        <v>#N/A</v>
      </c>
      <c r="K318" s="10">
        <f t="shared" ca="1" si="9"/>
        <v>0</v>
      </c>
      <c r="L318" s="2"/>
      <c r="M318" s="85">
        <f ca="1">OFFSET(INDIRECT(ADDRESS($A318,3,3,1,"Gross")),0,Menus!$J$4)</f>
        <v>0</v>
      </c>
      <c r="N318" s="85">
        <f ca="1">OFFSET(INDIRECT(ADDRESS($A318,3,3,1,"Gross")),0,Menus!$J$3)</f>
        <v>0</v>
      </c>
    </row>
    <row r="319" spans="1:14" x14ac:dyDescent="0.25">
      <c r="A319">
        <v>361</v>
      </c>
      <c r="B319" s="2">
        <f ca="1">OFFSET(INDIRECT(ADDRESS($A319,3,3,1,Menus!$K$10)),0,Menus!$J$4)</f>
        <v>0</v>
      </c>
      <c r="C319" s="2">
        <f ca="1">OFFSET(INDIRECT(ADDRESS($A319,3,3,1,Menus!$K$10)),0,Menus!$J$3)</f>
        <v>0</v>
      </c>
      <c r="D319" s="73" t="e">
        <f ca="1">IF(Menus!$J$9,C319/B319,C319)</f>
        <v>#DIV/0!</v>
      </c>
      <c r="E319" s="74" t="e">
        <f t="shared" ca="1" si="10"/>
        <v>#N/A</v>
      </c>
      <c r="F319" s="75">
        <f ca="1">INDIRECT(ADDRESS($A319,1,3,1,Menus!$K$10))</f>
        <v>0</v>
      </c>
      <c r="G319" s="2" t="e">
        <f ca="1">IF(INDIRECT(ADDRESS($A319,2,3,1,Menus!$K$10))=G$1,$D319,#N/A)</f>
        <v>#N/A</v>
      </c>
      <c r="H319" s="2" t="e">
        <f ca="1">IF(INDIRECT(ADDRESS($A319,2,3,1,Menus!$K$10))=H$1,$D319,#N/A)</f>
        <v>#N/A</v>
      </c>
      <c r="I319" s="2" t="e">
        <f ca="1">IF(INDIRECT(ADDRESS($A319,2,3,1,Menus!$K$10))=I$1,$D319,#N/A)</f>
        <v>#N/A</v>
      </c>
      <c r="J319" s="2" t="e">
        <f ca="1">IF(INDIRECT(ADDRESS($A319,1,3,1,Menus!$K$10))=T(J$1),$D319,#N/A)</f>
        <v>#N/A</v>
      </c>
      <c r="K319" s="10">
        <f t="shared" ca="1" si="9"/>
        <v>0</v>
      </c>
      <c r="L319" s="2"/>
      <c r="M319" s="85">
        <f ca="1">OFFSET(INDIRECT(ADDRESS($A319,3,3,1,"Gross")),0,Menus!$J$4)</f>
        <v>0</v>
      </c>
      <c r="N319" s="85">
        <f ca="1">OFFSET(INDIRECT(ADDRESS($A319,3,3,1,"Gross")),0,Menus!$J$3)</f>
        <v>0</v>
      </c>
    </row>
    <row r="320" spans="1:14" x14ac:dyDescent="0.25">
      <c r="A320">
        <v>362</v>
      </c>
      <c r="B320" s="2">
        <f ca="1">OFFSET(INDIRECT(ADDRESS($A320,3,3,1,Menus!$K$10)),0,Menus!$J$4)</f>
        <v>0</v>
      </c>
      <c r="C320" s="2">
        <f ca="1">OFFSET(INDIRECT(ADDRESS($A320,3,3,1,Menus!$K$10)),0,Menus!$J$3)</f>
        <v>0</v>
      </c>
      <c r="D320" s="73" t="e">
        <f ca="1">IF(Menus!$J$9,C320/B320,C320)</f>
        <v>#DIV/0!</v>
      </c>
      <c r="E320" s="74" t="e">
        <f t="shared" ca="1" si="10"/>
        <v>#N/A</v>
      </c>
      <c r="F320" s="75">
        <f ca="1">INDIRECT(ADDRESS($A320,1,3,1,Menus!$K$10))</f>
        <v>0</v>
      </c>
      <c r="G320" s="2" t="e">
        <f ca="1">IF(INDIRECT(ADDRESS($A320,2,3,1,Menus!$K$10))=G$1,$D320,#N/A)</f>
        <v>#N/A</v>
      </c>
      <c r="H320" s="2" t="e">
        <f ca="1">IF(INDIRECT(ADDRESS($A320,2,3,1,Menus!$K$10))=H$1,$D320,#N/A)</f>
        <v>#N/A</v>
      </c>
      <c r="I320" s="2" t="e">
        <f ca="1">IF(INDIRECT(ADDRESS($A320,2,3,1,Menus!$K$10))=I$1,$D320,#N/A)</f>
        <v>#N/A</v>
      </c>
      <c r="J320" s="2" t="e">
        <f ca="1">IF(INDIRECT(ADDRESS($A320,1,3,1,Menus!$K$10))=T(J$1),$D320,#N/A)</f>
        <v>#N/A</v>
      </c>
      <c r="K320" s="10">
        <f t="shared" ca="1" si="9"/>
        <v>0</v>
      </c>
      <c r="L320" s="2"/>
      <c r="M320" s="85">
        <f ca="1">OFFSET(INDIRECT(ADDRESS($A320,3,3,1,"Gross")),0,Menus!$J$4)</f>
        <v>0</v>
      </c>
      <c r="N320" s="85">
        <f ca="1">OFFSET(INDIRECT(ADDRESS($A320,3,3,1,"Gross")),0,Menus!$J$3)</f>
        <v>0</v>
      </c>
    </row>
    <row r="321" spans="1:14" x14ac:dyDescent="0.25">
      <c r="A321">
        <v>363</v>
      </c>
      <c r="B321" s="2">
        <f ca="1">OFFSET(INDIRECT(ADDRESS($A321,3,3,1,Menus!$K$10)),0,Menus!$J$4)</f>
        <v>0</v>
      </c>
      <c r="C321" s="2">
        <f ca="1">OFFSET(INDIRECT(ADDRESS($A321,3,3,1,Menus!$K$10)),0,Menus!$J$3)</f>
        <v>0</v>
      </c>
      <c r="D321" s="73" t="e">
        <f ca="1">IF(Menus!$J$9,C321/B321,C321)</f>
        <v>#DIV/0!</v>
      </c>
      <c r="E321" s="74" t="e">
        <f t="shared" ca="1" si="10"/>
        <v>#N/A</v>
      </c>
      <c r="F321" s="75">
        <f ca="1">INDIRECT(ADDRESS($A321,1,3,1,Menus!$K$10))</f>
        <v>0</v>
      </c>
      <c r="G321" s="2" t="e">
        <f ca="1">IF(INDIRECT(ADDRESS($A321,2,3,1,Menus!$K$10))=G$1,$D321,#N/A)</f>
        <v>#N/A</v>
      </c>
      <c r="H321" s="2" t="e">
        <f ca="1">IF(INDIRECT(ADDRESS($A321,2,3,1,Menus!$K$10))=H$1,$D321,#N/A)</f>
        <v>#N/A</v>
      </c>
      <c r="I321" s="2" t="e">
        <f ca="1">IF(INDIRECT(ADDRESS($A321,2,3,1,Menus!$K$10))=I$1,$D321,#N/A)</f>
        <v>#N/A</v>
      </c>
      <c r="J321" s="2" t="e">
        <f ca="1">IF(INDIRECT(ADDRESS($A321,1,3,1,Menus!$K$10))=T(J$1),$D321,#N/A)</f>
        <v>#N/A</v>
      </c>
      <c r="K321" s="10">
        <f t="shared" ca="1" si="9"/>
        <v>0</v>
      </c>
      <c r="L321" s="2"/>
      <c r="M321" s="85">
        <f ca="1">OFFSET(INDIRECT(ADDRESS($A321,3,3,1,"Gross")),0,Menus!$J$4)</f>
        <v>0</v>
      </c>
      <c r="N321" s="85">
        <f ca="1">OFFSET(INDIRECT(ADDRESS($A321,3,3,1,"Gross")),0,Menus!$J$3)</f>
        <v>0</v>
      </c>
    </row>
    <row r="322" spans="1:14" x14ac:dyDescent="0.25">
      <c r="A322">
        <v>364</v>
      </c>
      <c r="B322" s="2">
        <f ca="1">OFFSET(INDIRECT(ADDRESS($A322,3,3,1,Menus!$K$10)),0,Menus!$J$4)</f>
        <v>0</v>
      </c>
      <c r="C322" s="2">
        <f ca="1">OFFSET(INDIRECT(ADDRESS($A322,3,3,1,Menus!$K$10)),0,Menus!$J$3)</f>
        <v>0</v>
      </c>
      <c r="D322" s="73" t="e">
        <f ca="1">IF(Menus!$J$9,C322/B322,C322)</f>
        <v>#DIV/0!</v>
      </c>
      <c r="E322" s="74" t="e">
        <f t="shared" ca="1" si="10"/>
        <v>#N/A</v>
      </c>
      <c r="F322" s="75">
        <f ca="1">INDIRECT(ADDRESS($A322,1,3,1,Menus!$K$10))</f>
        <v>0</v>
      </c>
      <c r="G322" s="2" t="e">
        <f ca="1">IF(INDIRECT(ADDRESS($A322,2,3,1,Menus!$K$10))=G$1,$D322,#N/A)</f>
        <v>#N/A</v>
      </c>
      <c r="H322" s="2" t="e">
        <f ca="1">IF(INDIRECT(ADDRESS($A322,2,3,1,Menus!$K$10))=H$1,$D322,#N/A)</f>
        <v>#N/A</v>
      </c>
      <c r="I322" s="2" t="e">
        <f ca="1">IF(INDIRECT(ADDRESS($A322,2,3,1,Menus!$K$10))=I$1,$D322,#N/A)</f>
        <v>#N/A</v>
      </c>
      <c r="J322" s="2" t="e">
        <f ca="1">IF(INDIRECT(ADDRESS($A322,1,3,1,Menus!$K$10))=T(J$1),$D322,#N/A)</f>
        <v>#N/A</v>
      </c>
      <c r="K322" s="10">
        <f t="shared" ref="K322:K385" ca="1" si="11">IF(OR(ISNUMBER($G322),ISNUMBER($H322),ISNUMBER($I322),ISNUMBER($J322)),1,0)</f>
        <v>0</v>
      </c>
      <c r="L322" s="2"/>
      <c r="M322" s="85">
        <f ca="1">OFFSET(INDIRECT(ADDRESS($A322,3,3,1,"Gross")),0,Menus!$J$4)</f>
        <v>0</v>
      </c>
      <c r="N322" s="85">
        <f ca="1">OFFSET(INDIRECT(ADDRESS($A322,3,3,1,"Gross")),0,Menus!$J$3)</f>
        <v>0</v>
      </c>
    </row>
    <row r="323" spans="1:14" x14ac:dyDescent="0.25">
      <c r="A323">
        <v>365</v>
      </c>
      <c r="B323" s="2">
        <f ca="1">OFFSET(INDIRECT(ADDRESS($A323,3,3,1,Menus!$K$10)),0,Menus!$J$4)</f>
        <v>0</v>
      </c>
      <c r="C323" s="2">
        <f ca="1">OFFSET(INDIRECT(ADDRESS($A323,3,3,1,Menus!$K$10)),0,Menus!$J$3)</f>
        <v>0</v>
      </c>
      <c r="D323" s="73" t="e">
        <f ca="1">IF(Menus!$J$9,C323/B323,C323)</f>
        <v>#DIV/0!</v>
      </c>
      <c r="E323" s="74" t="e">
        <f t="shared" ref="E323:E386" ca="1" si="12">IF($K323=1,VALUE(B323),#N/A)</f>
        <v>#N/A</v>
      </c>
      <c r="F323" s="75">
        <f ca="1">INDIRECT(ADDRESS($A323,1,3,1,Menus!$K$10))</f>
        <v>0</v>
      </c>
      <c r="G323" s="2" t="e">
        <f ca="1">IF(INDIRECT(ADDRESS($A323,2,3,1,Menus!$K$10))=G$1,$D323,#N/A)</f>
        <v>#N/A</v>
      </c>
      <c r="H323" s="2" t="e">
        <f ca="1">IF(INDIRECT(ADDRESS($A323,2,3,1,Menus!$K$10))=H$1,$D323,#N/A)</f>
        <v>#N/A</v>
      </c>
      <c r="I323" s="2" t="e">
        <f ca="1">IF(INDIRECT(ADDRESS($A323,2,3,1,Menus!$K$10))=I$1,$D323,#N/A)</f>
        <v>#N/A</v>
      </c>
      <c r="J323" s="2" t="e">
        <f ca="1">IF(INDIRECT(ADDRESS($A323,1,3,1,Menus!$K$10))=T(J$1),$D323,#N/A)</f>
        <v>#N/A</v>
      </c>
      <c r="K323" s="10">
        <f t="shared" ca="1" si="11"/>
        <v>0</v>
      </c>
      <c r="L323" s="2"/>
      <c r="M323" s="85">
        <f ca="1">OFFSET(INDIRECT(ADDRESS($A323,3,3,1,"Gross")),0,Menus!$J$4)</f>
        <v>0</v>
      </c>
      <c r="N323" s="85">
        <f ca="1">OFFSET(INDIRECT(ADDRESS($A323,3,3,1,"Gross")),0,Menus!$J$3)</f>
        <v>0</v>
      </c>
    </row>
    <row r="324" spans="1:14" x14ac:dyDescent="0.25">
      <c r="A324">
        <v>366</v>
      </c>
      <c r="B324" s="2">
        <f ca="1">OFFSET(INDIRECT(ADDRESS($A324,3,3,1,Menus!$K$10)),0,Menus!$J$4)</f>
        <v>0</v>
      </c>
      <c r="C324" s="2">
        <f ca="1">OFFSET(INDIRECT(ADDRESS($A324,3,3,1,Menus!$K$10)),0,Menus!$J$3)</f>
        <v>0</v>
      </c>
      <c r="D324" s="73" t="e">
        <f ca="1">IF(Menus!$J$9,C324/B324,C324)</f>
        <v>#DIV/0!</v>
      </c>
      <c r="E324" s="74" t="e">
        <f t="shared" ca="1" si="12"/>
        <v>#N/A</v>
      </c>
      <c r="F324" s="75">
        <f ca="1">INDIRECT(ADDRESS($A324,1,3,1,Menus!$K$10))</f>
        <v>0</v>
      </c>
      <c r="G324" s="2" t="e">
        <f ca="1">IF(INDIRECT(ADDRESS($A324,2,3,1,Menus!$K$10))=G$1,$D324,#N/A)</f>
        <v>#N/A</v>
      </c>
      <c r="H324" s="2" t="e">
        <f ca="1">IF(INDIRECT(ADDRESS($A324,2,3,1,Menus!$K$10))=H$1,$D324,#N/A)</f>
        <v>#N/A</v>
      </c>
      <c r="I324" s="2" t="e">
        <f ca="1">IF(INDIRECT(ADDRESS($A324,2,3,1,Menus!$K$10))=I$1,$D324,#N/A)</f>
        <v>#N/A</v>
      </c>
      <c r="J324" s="2" t="e">
        <f ca="1">IF(INDIRECT(ADDRESS($A324,1,3,1,Menus!$K$10))=T(J$1),$D324,#N/A)</f>
        <v>#N/A</v>
      </c>
      <c r="K324" s="10">
        <f t="shared" ca="1" si="11"/>
        <v>0</v>
      </c>
      <c r="L324" s="2"/>
      <c r="M324" s="85">
        <f ca="1">OFFSET(INDIRECT(ADDRESS($A324,3,3,1,"Gross")),0,Menus!$J$4)</f>
        <v>0</v>
      </c>
      <c r="N324" s="85">
        <f ca="1">OFFSET(INDIRECT(ADDRESS($A324,3,3,1,"Gross")),0,Menus!$J$3)</f>
        <v>0</v>
      </c>
    </row>
    <row r="325" spans="1:14" x14ac:dyDescent="0.25">
      <c r="A325">
        <v>367</v>
      </c>
      <c r="B325" s="2">
        <f ca="1">OFFSET(INDIRECT(ADDRESS($A325,3,3,1,Menus!$K$10)),0,Menus!$J$4)</f>
        <v>0</v>
      </c>
      <c r="C325" s="2">
        <f ca="1">OFFSET(INDIRECT(ADDRESS($A325,3,3,1,Menus!$K$10)),0,Menus!$J$3)</f>
        <v>0</v>
      </c>
      <c r="D325" s="73" t="e">
        <f ca="1">IF(Menus!$J$9,C325/B325,C325)</f>
        <v>#DIV/0!</v>
      </c>
      <c r="E325" s="74" t="e">
        <f t="shared" ca="1" si="12"/>
        <v>#N/A</v>
      </c>
      <c r="F325" s="75">
        <f ca="1">INDIRECT(ADDRESS($A325,1,3,1,Menus!$K$10))</f>
        <v>0</v>
      </c>
      <c r="G325" s="2" t="e">
        <f ca="1">IF(INDIRECT(ADDRESS($A325,2,3,1,Menus!$K$10))=G$1,$D325,#N/A)</f>
        <v>#N/A</v>
      </c>
      <c r="H325" s="2" t="e">
        <f ca="1">IF(INDIRECT(ADDRESS($A325,2,3,1,Menus!$K$10))=H$1,$D325,#N/A)</f>
        <v>#N/A</v>
      </c>
      <c r="I325" s="2" t="e">
        <f ca="1">IF(INDIRECT(ADDRESS($A325,2,3,1,Menus!$K$10))=I$1,$D325,#N/A)</f>
        <v>#N/A</v>
      </c>
      <c r="J325" s="2" t="e">
        <f ca="1">IF(INDIRECT(ADDRESS($A325,1,3,1,Menus!$K$10))=T(J$1),$D325,#N/A)</f>
        <v>#N/A</v>
      </c>
      <c r="K325" s="10">
        <f t="shared" ca="1" si="11"/>
        <v>0</v>
      </c>
      <c r="L325" s="2"/>
      <c r="M325" s="85">
        <f ca="1">OFFSET(INDIRECT(ADDRESS($A325,3,3,1,"Gross")),0,Menus!$J$4)</f>
        <v>0</v>
      </c>
      <c r="N325" s="85">
        <f ca="1">OFFSET(INDIRECT(ADDRESS($A325,3,3,1,"Gross")),0,Menus!$J$3)</f>
        <v>0</v>
      </c>
    </row>
    <row r="326" spans="1:14" x14ac:dyDescent="0.25">
      <c r="A326">
        <v>368</v>
      </c>
      <c r="B326" s="2">
        <f ca="1">OFFSET(INDIRECT(ADDRESS($A326,3,3,1,Menus!$K$10)),0,Menus!$J$4)</f>
        <v>0</v>
      </c>
      <c r="C326" s="2">
        <f ca="1">OFFSET(INDIRECT(ADDRESS($A326,3,3,1,Menus!$K$10)),0,Menus!$J$3)</f>
        <v>0</v>
      </c>
      <c r="D326" s="73" t="e">
        <f ca="1">IF(Menus!$J$9,C326/B326,C326)</f>
        <v>#DIV/0!</v>
      </c>
      <c r="E326" s="74" t="e">
        <f t="shared" ca="1" si="12"/>
        <v>#N/A</v>
      </c>
      <c r="F326" s="75">
        <f ca="1">INDIRECT(ADDRESS($A326,1,3,1,Menus!$K$10))</f>
        <v>0</v>
      </c>
      <c r="G326" s="2" t="e">
        <f ca="1">IF(INDIRECT(ADDRESS($A326,2,3,1,Menus!$K$10))=G$1,$D326,#N/A)</f>
        <v>#N/A</v>
      </c>
      <c r="H326" s="2" t="e">
        <f ca="1">IF(INDIRECT(ADDRESS($A326,2,3,1,Menus!$K$10))=H$1,$D326,#N/A)</f>
        <v>#N/A</v>
      </c>
      <c r="I326" s="2" t="e">
        <f ca="1">IF(INDIRECT(ADDRESS($A326,2,3,1,Menus!$K$10))=I$1,$D326,#N/A)</f>
        <v>#N/A</v>
      </c>
      <c r="J326" s="2" t="e">
        <f ca="1">IF(INDIRECT(ADDRESS($A326,1,3,1,Menus!$K$10))=T(J$1),$D326,#N/A)</f>
        <v>#N/A</v>
      </c>
      <c r="K326" s="10">
        <f t="shared" ca="1" si="11"/>
        <v>0</v>
      </c>
      <c r="L326" s="2"/>
      <c r="M326" s="85">
        <f ca="1">OFFSET(INDIRECT(ADDRESS($A326,3,3,1,"Gross")),0,Menus!$J$4)</f>
        <v>0</v>
      </c>
      <c r="N326" s="85">
        <f ca="1">OFFSET(INDIRECT(ADDRESS($A326,3,3,1,"Gross")),0,Menus!$J$3)</f>
        <v>0</v>
      </c>
    </row>
    <row r="327" spans="1:14" x14ac:dyDescent="0.25">
      <c r="A327">
        <v>369</v>
      </c>
      <c r="B327" s="2">
        <f ca="1">OFFSET(INDIRECT(ADDRESS($A327,3,3,1,Menus!$K$10)),0,Menus!$J$4)</f>
        <v>0</v>
      </c>
      <c r="C327" s="2">
        <f ca="1">OFFSET(INDIRECT(ADDRESS($A327,3,3,1,Menus!$K$10)),0,Menus!$J$3)</f>
        <v>0</v>
      </c>
      <c r="D327" s="73" t="e">
        <f ca="1">IF(Menus!$J$9,C327/B327,C327)</f>
        <v>#DIV/0!</v>
      </c>
      <c r="E327" s="74" t="e">
        <f t="shared" ca="1" si="12"/>
        <v>#N/A</v>
      </c>
      <c r="F327" s="75">
        <f ca="1">INDIRECT(ADDRESS($A327,1,3,1,Menus!$K$10))</f>
        <v>0</v>
      </c>
      <c r="G327" s="2" t="e">
        <f ca="1">IF(INDIRECT(ADDRESS($A327,2,3,1,Menus!$K$10))=G$1,$D327,#N/A)</f>
        <v>#N/A</v>
      </c>
      <c r="H327" s="2" t="e">
        <f ca="1">IF(INDIRECT(ADDRESS($A327,2,3,1,Menus!$K$10))=H$1,$D327,#N/A)</f>
        <v>#N/A</v>
      </c>
      <c r="I327" s="2" t="e">
        <f ca="1">IF(INDIRECT(ADDRESS($A327,2,3,1,Menus!$K$10))=I$1,$D327,#N/A)</f>
        <v>#N/A</v>
      </c>
      <c r="J327" s="2" t="e">
        <f ca="1">IF(INDIRECT(ADDRESS($A327,1,3,1,Menus!$K$10))=T(J$1),$D327,#N/A)</f>
        <v>#N/A</v>
      </c>
      <c r="K327" s="10">
        <f t="shared" ca="1" si="11"/>
        <v>0</v>
      </c>
      <c r="L327" s="2"/>
      <c r="M327" s="85">
        <f ca="1">OFFSET(INDIRECT(ADDRESS($A327,3,3,1,"Gross")),0,Menus!$J$4)</f>
        <v>0</v>
      </c>
      <c r="N327" s="85">
        <f ca="1">OFFSET(INDIRECT(ADDRESS($A327,3,3,1,"Gross")),0,Menus!$J$3)</f>
        <v>0</v>
      </c>
    </row>
    <row r="328" spans="1:14" x14ac:dyDescent="0.25">
      <c r="A328">
        <v>370</v>
      </c>
      <c r="B328" s="2">
        <f ca="1">OFFSET(INDIRECT(ADDRESS($A328,3,3,1,Menus!$K$10)),0,Menus!$J$4)</f>
        <v>0</v>
      </c>
      <c r="C328" s="2">
        <f ca="1">OFFSET(INDIRECT(ADDRESS($A328,3,3,1,Menus!$K$10)),0,Menus!$J$3)</f>
        <v>0</v>
      </c>
      <c r="D328" s="73" t="e">
        <f ca="1">IF(Menus!$J$9,C328/B328,C328)</f>
        <v>#DIV/0!</v>
      </c>
      <c r="E328" s="74" t="e">
        <f t="shared" ca="1" si="12"/>
        <v>#N/A</v>
      </c>
      <c r="F328" s="75">
        <f ca="1">INDIRECT(ADDRESS($A328,1,3,1,Menus!$K$10))</f>
        <v>0</v>
      </c>
      <c r="G328" s="2" t="e">
        <f ca="1">IF(INDIRECT(ADDRESS($A328,2,3,1,Menus!$K$10))=G$1,$D328,#N/A)</f>
        <v>#N/A</v>
      </c>
      <c r="H328" s="2" t="e">
        <f ca="1">IF(INDIRECT(ADDRESS($A328,2,3,1,Menus!$K$10))=H$1,$D328,#N/A)</f>
        <v>#N/A</v>
      </c>
      <c r="I328" s="2" t="e">
        <f ca="1">IF(INDIRECT(ADDRESS($A328,2,3,1,Menus!$K$10))=I$1,$D328,#N/A)</f>
        <v>#N/A</v>
      </c>
      <c r="J328" s="2" t="e">
        <f ca="1">IF(INDIRECT(ADDRESS($A328,1,3,1,Menus!$K$10))=T(J$1),$D328,#N/A)</f>
        <v>#N/A</v>
      </c>
      <c r="K328" s="10">
        <f t="shared" ca="1" si="11"/>
        <v>0</v>
      </c>
      <c r="L328" s="2"/>
      <c r="M328" s="85">
        <f ca="1">OFFSET(INDIRECT(ADDRESS($A328,3,3,1,"Gross")),0,Menus!$J$4)</f>
        <v>0</v>
      </c>
      <c r="N328" s="85">
        <f ca="1">OFFSET(INDIRECT(ADDRESS($A328,3,3,1,"Gross")),0,Menus!$J$3)</f>
        <v>0</v>
      </c>
    </row>
    <row r="329" spans="1:14" x14ac:dyDescent="0.25">
      <c r="A329">
        <v>371</v>
      </c>
      <c r="B329" s="2">
        <f ca="1">OFFSET(INDIRECT(ADDRESS($A329,3,3,1,Menus!$K$10)),0,Menus!$J$4)</f>
        <v>0</v>
      </c>
      <c r="C329" s="2">
        <f ca="1">OFFSET(INDIRECT(ADDRESS($A329,3,3,1,Menus!$K$10)),0,Menus!$J$3)</f>
        <v>0</v>
      </c>
      <c r="D329" s="73" t="e">
        <f ca="1">IF(Menus!$J$9,C329/B329,C329)</f>
        <v>#DIV/0!</v>
      </c>
      <c r="E329" s="74" t="e">
        <f t="shared" ca="1" si="12"/>
        <v>#N/A</v>
      </c>
      <c r="F329" s="75">
        <f ca="1">INDIRECT(ADDRESS($A329,1,3,1,Menus!$K$10))</f>
        <v>0</v>
      </c>
      <c r="G329" s="2" t="e">
        <f ca="1">IF(INDIRECT(ADDRESS($A329,2,3,1,Menus!$K$10))=G$1,$D329,#N/A)</f>
        <v>#N/A</v>
      </c>
      <c r="H329" s="2" t="e">
        <f ca="1">IF(INDIRECT(ADDRESS($A329,2,3,1,Menus!$K$10))=H$1,$D329,#N/A)</f>
        <v>#N/A</v>
      </c>
      <c r="I329" s="2" t="e">
        <f ca="1">IF(INDIRECT(ADDRESS($A329,2,3,1,Menus!$K$10))=I$1,$D329,#N/A)</f>
        <v>#N/A</v>
      </c>
      <c r="J329" s="2" t="e">
        <f ca="1">IF(INDIRECT(ADDRESS($A329,1,3,1,Menus!$K$10))=T(J$1),$D329,#N/A)</f>
        <v>#N/A</v>
      </c>
      <c r="K329" s="10">
        <f t="shared" ca="1" si="11"/>
        <v>0</v>
      </c>
      <c r="L329" s="2"/>
      <c r="M329" s="85">
        <f ca="1">OFFSET(INDIRECT(ADDRESS($A329,3,3,1,"Gross")),0,Menus!$J$4)</f>
        <v>0</v>
      </c>
      <c r="N329" s="85">
        <f ca="1">OFFSET(INDIRECT(ADDRESS($A329,3,3,1,"Gross")),0,Menus!$J$3)</f>
        <v>0</v>
      </c>
    </row>
    <row r="330" spans="1:14" x14ac:dyDescent="0.25">
      <c r="A330">
        <v>372</v>
      </c>
      <c r="B330" s="2">
        <f ca="1">OFFSET(INDIRECT(ADDRESS($A330,3,3,1,Menus!$K$10)),0,Menus!$J$4)</f>
        <v>0</v>
      </c>
      <c r="C330" s="2">
        <f ca="1">OFFSET(INDIRECT(ADDRESS($A330,3,3,1,Menus!$K$10)),0,Menus!$J$3)</f>
        <v>0</v>
      </c>
      <c r="D330" s="73" t="e">
        <f ca="1">IF(Menus!$J$9,C330/B330,C330)</f>
        <v>#DIV/0!</v>
      </c>
      <c r="E330" s="74" t="e">
        <f t="shared" ca="1" si="12"/>
        <v>#N/A</v>
      </c>
      <c r="F330" s="75">
        <f ca="1">INDIRECT(ADDRESS($A330,1,3,1,Menus!$K$10))</f>
        <v>0</v>
      </c>
      <c r="G330" s="2" t="e">
        <f ca="1">IF(INDIRECT(ADDRESS($A330,2,3,1,Menus!$K$10))=G$1,$D330,#N/A)</f>
        <v>#N/A</v>
      </c>
      <c r="H330" s="2" t="e">
        <f ca="1">IF(INDIRECT(ADDRESS($A330,2,3,1,Menus!$K$10))=H$1,$D330,#N/A)</f>
        <v>#N/A</v>
      </c>
      <c r="I330" s="2" t="e">
        <f ca="1">IF(INDIRECT(ADDRESS($A330,2,3,1,Menus!$K$10))=I$1,$D330,#N/A)</f>
        <v>#N/A</v>
      </c>
      <c r="J330" s="2" t="e">
        <f ca="1">IF(INDIRECT(ADDRESS($A330,1,3,1,Menus!$K$10))=T(J$1),$D330,#N/A)</f>
        <v>#N/A</v>
      </c>
      <c r="K330" s="10">
        <f t="shared" ca="1" si="11"/>
        <v>0</v>
      </c>
      <c r="L330" s="2"/>
      <c r="M330" s="85">
        <f ca="1">OFFSET(INDIRECT(ADDRESS($A330,3,3,1,"Gross")),0,Menus!$J$4)</f>
        <v>0</v>
      </c>
      <c r="N330" s="85">
        <f ca="1">OFFSET(INDIRECT(ADDRESS($A330,3,3,1,"Gross")),0,Menus!$J$3)</f>
        <v>0</v>
      </c>
    </row>
    <row r="331" spans="1:14" x14ac:dyDescent="0.25">
      <c r="A331">
        <v>373</v>
      </c>
      <c r="B331" s="2">
        <f ca="1">OFFSET(INDIRECT(ADDRESS($A331,3,3,1,Menus!$K$10)),0,Menus!$J$4)</f>
        <v>0</v>
      </c>
      <c r="C331" s="2">
        <f ca="1">OFFSET(INDIRECT(ADDRESS($A331,3,3,1,Menus!$K$10)),0,Menus!$J$3)</f>
        <v>0</v>
      </c>
      <c r="D331" s="73" t="e">
        <f ca="1">IF(Menus!$J$9,C331/B331,C331)</f>
        <v>#DIV/0!</v>
      </c>
      <c r="E331" s="74" t="e">
        <f t="shared" ca="1" si="12"/>
        <v>#N/A</v>
      </c>
      <c r="F331" s="75">
        <f ca="1">INDIRECT(ADDRESS($A331,1,3,1,Menus!$K$10))</f>
        <v>0</v>
      </c>
      <c r="G331" s="2" t="e">
        <f ca="1">IF(INDIRECT(ADDRESS($A331,2,3,1,Menus!$K$10))=G$1,$D331,#N/A)</f>
        <v>#N/A</v>
      </c>
      <c r="H331" s="2" t="e">
        <f ca="1">IF(INDIRECT(ADDRESS($A331,2,3,1,Menus!$K$10))=H$1,$D331,#N/A)</f>
        <v>#N/A</v>
      </c>
      <c r="I331" s="2" t="e">
        <f ca="1">IF(INDIRECT(ADDRESS($A331,2,3,1,Menus!$K$10))=I$1,$D331,#N/A)</f>
        <v>#N/A</v>
      </c>
      <c r="J331" s="2" t="e">
        <f ca="1">IF(INDIRECT(ADDRESS($A331,1,3,1,Menus!$K$10))=T(J$1),$D331,#N/A)</f>
        <v>#N/A</v>
      </c>
      <c r="K331" s="10">
        <f t="shared" ca="1" si="11"/>
        <v>0</v>
      </c>
      <c r="L331" s="2"/>
      <c r="M331" s="85">
        <f ca="1">OFFSET(INDIRECT(ADDRESS($A331,3,3,1,"Gross")),0,Menus!$J$4)</f>
        <v>0</v>
      </c>
      <c r="N331" s="85">
        <f ca="1">OFFSET(INDIRECT(ADDRESS($A331,3,3,1,"Gross")),0,Menus!$J$3)</f>
        <v>0</v>
      </c>
    </row>
    <row r="332" spans="1:14" x14ac:dyDescent="0.25">
      <c r="A332">
        <v>374</v>
      </c>
      <c r="B332" s="2">
        <f ca="1">OFFSET(INDIRECT(ADDRESS($A332,3,3,1,Menus!$K$10)),0,Menus!$J$4)</f>
        <v>0</v>
      </c>
      <c r="C332" s="2">
        <f ca="1">OFFSET(INDIRECT(ADDRESS($A332,3,3,1,Menus!$K$10)),0,Menus!$J$3)</f>
        <v>0</v>
      </c>
      <c r="D332" s="73" t="e">
        <f ca="1">IF(Menus!$J$9,C332/B332,C332)</f>
        <v>#DIV/0!</v>
      </c>
      <c r="E332" s="74" t="e">
        <f t="shared" ca="1" si="12"/>
        <v>#N/A</v>
      </c>
      <c r="F332" s="75">
        <f ca="1">INDIRECT(ADDRESS($A332,1,3,1,Menus!$K$10))</f>
        <v>0</v>
      </c>
      <c r="G332" s="2" t="e">
        <f ca="1">IF(INDIRECT(ADDRESS($A332,2,3,1,Menus!$K$10))=G$1,$D332,#N/A)</f>
        <v>#N/A</v>
      </c>
      <c r="H332" s="2" t="e">
        <f ca="1">IF(INDIRECT(ADDRESS($A332,2,3,1,Menus!$K$10))=H$1,$D332,#N/A)</f>
        <v>#N/A</v>
      </c>
      <c r="I332" s="2" t="e">
        <f ca="1">IF(INDIRECT(ADDRESS($A332,2,3,1,Menus!$K$10))=I$1,$D332,#N/A)</f>
        <v>#N/A</v>
      </c>
      <c r="J332" s="2" t="e">
        <f ca="1">IF(INDIRECT(ADDRESS($A332,1,3,1,Menus!$K$10))=T(J$1),$D332,#N/A)</f>
        <v>#N/A</v>
      </c>
      <c r="K332" s="10">
        <f t="shared" ca="1" si="11"/>
        <v>0</v>
      </c>
      <c r="L332" s="2"/>
      <c r="M332" s="85">
        <f ca="1">OFFSET(INDIRECT(ADDRESS($A332,3,3,1,"Gross")),0,Menus!$J$4)</f>
        <v>0</v>
      </c>
      <c r="N332" s="85">
        <f ca="1">OFFSET(INDIRECT(ADDRESS($A332,3,3,1,"Gross")),0,Menus!$J$3)</f>
        <v>0</v>
      </c>
    </row>
    <row r="333" spans="1:14" x14ac:dyDescent="0.25">
      <c r="A333">
        <v>375</v>
      </c>
      <c r="B333" s="2">
        <f ca="1">OFFSET(INDIRECT(ADDRESS($A333,3,3,1,Menus!$K$10)),0,Menus!$J$4)</f>
        <v>0</v>
      </c>
      <c r="C333" s="2">
        <f ca="1">OFFSET(INDIRECT(ADDRESS($A333,3,3,1,Menus!$K$10)),0,Menus!$J$3)</f>
        <v>0</v>
      </c>
      <c r="D333" s="73" t="e">
        <f ca="1">IF(Menus!$J$9,C333/B333,C333)</f>
        <v>#DIV/0!</v>
      </c>
      <c r="E333" s="74" t="e">
        <f t="shared" ca="1" si="12"/>
        <v>#N/A</v>
      </c>
      <c r="F333" s="75">
        <f ca="1">INDIRECT(ADDRESS($A333,1,3,1,Menus!$K$10))</f>
        <v>0</v>
      </c>
      <c r="G333" s="2" t="e">
        <f ca="1">IF(INDIRECT(ADDRESS($A333,2,3,1,Menus!$K$10))=G$1,$D333,#N/A)</f>
        <v>#N/A</v>
      </c>
      <c r="H333" s="2" t="e">
        <f ca="1">IF(INDIRECT(ADDRESS($A333,2,3,1,Menus!$K$10))=H$1,$D333,#N/A)</f>
        <v>#N/A</v>
      </c>
      <c r="I333" s="2" t="e">
        <f ca="1">IF(INDIRECT(ADDRESS($A333,2,3,1,Menus!$K$10))=I$1,$D333,#N/A)</f>
        <v>#N/A</v>
      </c>
      <c r="J333" s="2" t="e">
        <f ca="1">IF(INDIRECT(ADDRESS($A333,1,3,1,Menus!$K$10))=T(J$1),$D333,#N/A)</f>
        <v>#N/A</v>
      </c>
      <c r="K333" s="10">
        <f t="shared" ca="1" si="11"/>
        <v>0</v>
      </c>
      <c r="L333" s="2"/>
      <c r="M333" s="85">
        <f ca="1">OFFSET(INDIRECT(ADDRESS($A333,3,3,1,"Gross")),0,Menus!$J$4)</f>
        <v>0</v>
      </c>
      <c r="N333" s="85">
        <f ca="1">OFFSET(INDIRECT(ADDRESS($A333,3,3,1,"Gross")),0,Menus!$J$3)</f>
        <v>0</v>
      </c>
    </row>
    <row r="334" spans="1:14" x14ac:dyDescent="0.25">
      <c r="A334">
        <v>376</v>
      </c>
      <c r="B334" s="2">
        <f ca="1">OFFSET(INDIRECT(ADDRESS($A334,3,3,1,Menus!$K$10)),0,Menus!$J$4)</f>
        <v>0</v>
      </c>
      <c r="C334" s="2">
        <f ca="1">OFFSET(INDIRECT(ADDRESS($A334,3,3,1,Menus!$K$10)),0,Menus!$J$3)</f>
        <v>0</v>
      </c>
      <c r="D334" s="73" t="e">
        <f ca="1">IF(Menus!$J$9,C334/B334,C334)</f>
        <v>#DIV/0!</v>
      </c>
      <c r="E334" s="74" t="e">
        <f t="shared" ca="1" si="12"/>
        <v>#N/A</v>
      </c>
      <c r="F334" s="75">
        <f ca="1">INDIRECT(ADDRESS($A334,1,3,1,Menus!$K$10))</f>
        <v>0</v>
      </c>
      <c r="G334" s="2" t="e">
        <f ca="1">IF(INDIRECT(ADDRESS($A334,2,3,1,Menus!$K$10))=G$1,$D334,#N/A)</f>
        <v>#N/A</v>
      </c>
      <c r="H334" s="2" t="e">
        <f ca="1">IF(INDIRECT(ADDRESS($A334,2,3,1,Menus!$K$10))=H$1,$D334,#N/A)</f>
        <v>#N/A</v>
      </c>
      <c r="I334" s="2" t="e">
        <f ca="1">IF(INDIRECT(ADDRESS($A334,2,3,1,Menus!$K$10))=I$1,$D334,#N/A)</f>
        <v>#N/A</v>
      </c>
      <c r="J334" s="2" t="e">
        <f ca="1">IF(INDIRECT(ADDRESS($A334,1,3,1,Menus!$K$10))=T(J$1),$D334,#N/A)</f>
        <v>#N/A</v>
      </c>
      <c r="K334" s="10">
        <f t="shared" ca="1" si="11"/>
        <v>0</v>
      </c>
      <c r="L334" s="2"/>
      <c r="M334" s="85">
        <f ca="1">OFFSET(INDIRECT(ADDRESS($A334,3,3,1,"Gross")),0,Menus!$J$4)</f>
        <v>0</v>
      </c>
      <c r="N334" s="85">
        <f ca="1">OFFSET(INDIRECT(ADDRESS($A334,3,3,1,"Gross")),0,Menus!$J$3)</f>
        <v>0</v>
      </c>
    </row>
    <row r="335" spans="1:14" x14ac:dyDescent="0.25">
      <c r="A335">
        <v>377</v>
      </c>
      <c r="B335" s="2">
        <f ca="1">OFFSET(INDIRECT(ADDRESS($A335,3,3,1,Menus!$K$10)),0,Menus!$J$4)</f>
        <v>0</v>
      </c>
      <c r="C335" s="2">
        <f ca="1">OFFSET(INDIRECT(ADDRESS($A335,3,3,1,Menus!$K$10)),0,Menus!$J$3)</f>
        <v>0</v>
      </c>
      <c r="D335" s="73" t="e">
        <f ca="1">IF(Menus!$J$9,C335/B335,C335)</f>
        <v>#DIV/0!</v>
      </c>
      <c r="E335" s="74" t="e">
        <f t="shared" ca="1" si="12"/>
        <v>#N/A</v>
      </c>
      <c r="F335" s="75">
        <f ca="1">INDIRECT(ADDRESS($A335,1,3,1,Menus!$K$10))</f>
        <v>0</v>
      </c>
      <c r="G335" s="2" t="e">
        <f ca="1">IF(INDIRECT(ADDRESS($A335,2,3,1,Menus!$K$10))=G$1,$D335,#N/A)</f>
        <v>#N/A</v>
      </c>
      <c r="H335" s="2" t="e">
        <f ca="1">IF(INDIRECT(ADDRESS($A335,2,3,1,Menus!$K$10))=H$1,$D335,#N/A)</f>
        <v>#N/A</v>
      </c>
      <c r="I335" s="2" t="e">
        <f ca="1">IF(INDIRECT(ADDRESS($A335,2,3,1,Menus!$K$10))=I$1,$D335,#N/A)</f>
        <v>#N/A</v>
      </c>
      <c r="J335" s="2" t="e">
        <f ca="1">IF(INDIRECT(ADDRESS($A335,1,3,1,Menus!$K$10))=T(J$1),$D335,#N/A)</f>
        <v>#N/A</v>
      </c>
      <c r="K335" s="10">
        <f t="shared" ca="1" si="11"/>
        <v>0</v>
      </c>
      <c r="L335" s="2"/>
      <c r="M335" s="85">
        <f ca="1">OFFSET(INDIRECT(ADDRESS($A335,3,3,1,"Gross")),0,Menus!$J$4)</f>
        <v>0</v>
      </c>
      <c r="N335" s="85">
        <f ca="1">OFFSET(INDIRECT(ADDRESS($A335,3,3,1,"Gross")),0,Menus!$J$3)</f>
        <v>0</v>
      </c>
    </row>
    <row r="336" spans="1:14" x14ac:dyDescent="0.25">
      <c r="A336">
        <v>378</v>
      </c>
      <c r="B336" s="2">
        <f ca="1">OFFSET(INDIRECT(ADDRESS($A336,3,3,1,Menus!$K$10)),0,Menus!$J$4)</f>
        <v>0</v>
      </c>
      <c r="C336" s="2">
        <f ca="1">OFFSET(INDIRECT(ADDRESS($A336,3,3,1,Menus!$K$10)),0,Menus!$J$3)</f>
        <v>0</v>
      </c>
      <c r="D336" s="73" t="e">
        <f ca="1">IF(Menus!$J$9,C336/B336,C336)</f>
        <v>#DIV/0!</v>
      </c>
      <c r="E336" s="74" t="e">
        <f t="shared" ca="1" si="12"/>
        <v>#N/A</v>
      </c>
      <c r="F336" s="75">
        <f ca="1">INDIRECT(ADDRESS($A336,1,3,1,Menus!$K$10))</f>
        <v>0</v>
      </c>
      <c r="G336" s="2" t="e">
        <f ca="1">IF(INDIRECT(ADDRESS($A336,2,3,1,Menus!$K$10))=G$1,$D336,#N/A)</f>
        <v>#N/A</v>
      </c>
      <c r="H336" s="2" t="e">
        <f ca="1">IF(INDIRECT(ADDRESS($A336,2,3,1,Menus!$K$10))=H$1,$D336,#N/A)</f>
        <v>#N/A</v>
      </c>
      <c r="I336" s="2" t="e">
        <f ca="1">IF(INDIRECT(ADDRESS($A336,2,3,1,Menus!$K$10))=I$1,$D336,#N/A)</f>
        <v>#N/A</v>
      </c>
      <c r="J336" s="2" t="e">
        <f ca="1">IF(INDIRECT(ADDRESS($A336,1,3,1,Menus!$K$10))=T(J$1),$D336,#N/A)</f>
        <v>#N/A</v>
      </c>
      <c r="K336" s="10">
        <f t="shared" ca="1" si="11"/>
        <v>0</v>
      </c>
      <c r="L336" s="2"/>
      <c r="M336" s="85">
        <f ca="1">OFFSET(INDIRECT(ADDRESS($A336,3,3,1,"Gross")),0,Menus!$J$4)</f>
        <v>0</v>
      </c>
      <c r="N336" s="85">
        <f ca="1">OFFSET(INDIRECT(ADDRESS($A336,3,3,1,"Gross")),0,Menus!$J$3)</f>
        <v>0</v>
      </c>
    </row>
    <row r="337" spans="1:14" x14ac:dyDescent="0.25">
      <c r="A337">
        <v>379</v>
      </c>
      <c r="B337" s="2">
        <f ca="1">OFFSET(INDIRECT(ADDRESS($A337,3,3,1,Menus!$K$10)),0,Menus!$J$4)</f>
        <v>0</v>
      </c>
      <c r="C337" s="2">
        <f ca="1">OFFSET(INDIRECT(ADDRESS($A337,3,3,1,Menus!$K$10)),0,Menus!$J$3)</f>
        <v>0</v>
      </c>
      <c r="D337" s="73" t="e">
        <f ca="1">IF(Menus!$J$9,C337/B337,C337)</f>
        <v>#DIV/0!</v>
      </c>
      <c r="E337" s="74" t="e">
        <f t="shared" ca="1" si="12"/>
        <v>#N/A</v>
      </c>
      <c r="F337" s="75">
        <f ca="1">INDIRECT(ADDRESS($A337,1,3,1,Menus!$K$10))</f>
        <v>0</v>
      </c>
      <c r="G337" s="2" t="e">
        <f ca="1">IF(INDIRECT(ADDRESS($A337,2,3,1,Menus!$K$10))=G$1,$D337,#N/A)</f>
        <v>#N/A</v>
      </c>
      <c r="H337" s="2" t="e">
        <f ca="1">IF(INDIRECT(ADDRESS($A337,2,3,1,Menus!$K$10))=H$1,$D337,#N/A)</f>
        <v>#N/A</v>
      </c>
      <c r="I337" s="2" t="e">
        <f ca="1">IF(INDIRECT(ADDRESS($A337,2,3,1,Menus!$K$10))=I$1,$D337,#N/A)</f>
        <v>#N/A</v>
      </c>
      <c r="J337" s="2" t="e">
        <f ca="1">IF(INDIRECT(ADDRESS($A337,1,3,1,Menus!$K$10))=T(J$1),$D337,#N/A)</f>
        <v>#N/A</v>
      </c>
      <c r="K337" s="10">
        <f t="shared" ca="1" si="11"/>
        <v>0</v>
      </c>
      <c r="L337" s="2"/>
      <c r="M337" s="85">
        <f ca="1">OFFSET(INDIRECT(ADDRESS($A337,3,3,1,"Gross")),0,Menus!$J$4)</f>
        <v>0</v>
      </c>
      <c r="N337" s="85">
        <f ca="1">OFFSET(INDIRECT(ADDRESS($A337,3,3,1,"Gross")),0,Menus!$J$3)</f>
        <v>0</v>
      </c>
    </row>
    <row r="338" spans="1:14" x14ac:dyDescent="0.25">
      <c r="A338">
        <v>380</v>
      </c>
      <c r="B338" s="2">
        <f ca="1">OFFSET(INDIRECT(ADDRESS($A338,3,3,1,Menus!$K$10)),0,Menus!$J$4)</f>
        <v>0</v>
      </c>
      <c r="C338" s="2">
        <f ca="1">OFFSET(INDIRECT(ADDRESS($A338,3,3,1,Menus!$K$10)),0,Menus!$J$3)</f>
        <v>0</v>
      </c>
      <c r="D338" s="73" t="e">
        <f ca="1">IF(Menus!$J$9,C338/B338,C338)</f>
        <v>#DIV/0!</v>
      </c>
      <c r="E338" s="74" t="e">
        <f t="shared" ca="1" si="12"/>
        <v>#N/A</v>
      </c>
      <c r="F338" s="75">
        <f ca="1">INDIRECT(ADDRESS($A338,1,3,1,Menus!$K$10))</f>
        <v>0</v>
      </c>
      <c r="G338" s="2" t="e">
        <f ca="1">IF(INDIRECT(ADDRESS($A338,2,3,1,Menus!$K$10))=G$1,$D338,#N/A)</f>
        <v>#N/A</v>
      </c>
      <c r="H338" s="2" t="e">
        <f ca="1">IF(INDIRECT(ADDRESS($A338,2,3,1,Menus!$K$10))=H$1,$D338,#N/A)</f>
        <v>#N/A</v>
      </c>
      <c r="I338" s="2" t="e">
        <f ca="1">IF(INDIRECT(ADDRESS($A338,2,3,1,Menus!$K$10))=I$1,$D338,#N/A)</f>
        <v>#N/A</v>
      </c>
      <c r="J338" s="2" t="e">
        <f ca="1">IF(INDIRECT(ADDRESS($A338,1,3,1,Menus!$K$10))=T(J$1),$D338,#N/A)</f>
        <v>#N/A</v>
      </c>
      <c r="K338" s="10">
        <f t="shared" ca="1" si="11"/>
        <v>0</v>
      </c>
      <c r="L338" s="2"/>
      <c r="M338" s="85">
        <f ca="1">OFFSET(INDIRECT(ADDRESS($A338,3,3,1,"Gross")),0,Menus!$J$4)</f>
        <v>0</v>
      </c>
      <c r="N338" s="85">
        <f ca="1">OFFSET(INDIRECT(ADDRESS($A338,3,3,1,"Gross")),0,Menus!$J$3)</f>
        <v>0</v>
      </c>
    </row>
    <row r="339" spans="1:14" x14ac:dyDescent="0.25">
      <c r="A339">
        <v>381</v>
      </c>
      <c r="B339" s="2">
        <f ca="1">OFFSET(INDIRECT(ADDRESS($A339,3,3,1,Menus!$K$10)),0,Menus!$J$4)</f>
        <v>0</v>
      </c>
      <c r="C339" s="2">
        <f ca="1">OFFSET(INDIRECT(ADDRESS($A339,3,3,1,Menus!$K$10)),0,Menus!$J$3)</f>
        <v>0</v>
      </c>
      <c r="D339" s="73" t="e">
        <f ca="1">IF(Menus!$J$9,C339/B339,C339)</f>
        <v>#DIV/0!</v>
      </c>
      <c r="E339" s="74" t="e">
        <f t="shared" ca="1" si="12"/>
        <v>#N/A</v>
      </c>
      <c r="F339" s="75">
        <f ca="1">INDIRECT(ADDRESS($A339,1,3,1,Menus!$K$10))</f>
        <v>0</v>
      </c>
      <c r="G339" s="2" t="e">
        <f ca="1">IF(INDIRECT(ADDRESS($A339,2,3,1,Menus!$K$10))=G$1,$D339,#N/A)</f>
        <v>#N/A</v>
      </c>
      <c r="H339" s="2" t="e">
        <f ca="1">IF(INDIRECT(ADDRESS($A339,2,3,1,Menus!$K$10))=H$1,$D339,#N/A)</f>
        <v>#N/A</v>
      </c>
      <c r="I339" s="2" t="e">
        <f ca="1">IF(INDIRECT(ADDRESS($A339,2,3,1,Menus!$K$10))=I$1,$D339,#N/A)</f>
        <v>#N/A</v>
      </c>
      <c r="J339" s="2" t="e">
        <f ca="1">IF(INDIRECT(ADDRESS($A339,1,3,1,Menus!$K$10))=T(J$1),$D339,#N/A)</f>
        <v>#N/A</v>
      </c>
      <c r="K339" s="10">
        <f t="shared" ca="1" si="11"/>
        <v>0</v>
      </c>
      <c r="L339" s="2"/>
      <c r="M339" s="85">
        <f ca="1">OFFSET(INDIRECT(ADDRESS($A339,3,3,1,"Gross")),0,Menus!$J$4)</f>
        <v>0</v>
      </c>
      <c r="N339" s="85">
        <f ca="1">OFFSET(INDIRECT(ADDRESS($A339,3,3,1,"Gross")),0,Menus!$J$3)</f>
        <v>0</v>
      </c>
    </row>
    <row r="340" spans="1:14" x14ac:dyDescent="0.25">
      <c r="A340">
        <v>382</v>
      </c>
      <c r="B340" s="2">
        <f ca="1">OFFSET(INDIRECT(ADDRESS($A340,3,3,1,Menus!$K$10)),0,Menus!$J$4)</f>
        <v>0</v>
      </c>
      <c r="C340" s="2">
        <f ca="1">OFFSET(INDIRECT(ADDRESS($A340,3,3,1,Menus!$K$10)),0,Menus!$J$3)</f>
        <v>0</v>
      </c>
      <c r="D340" s="73" t="e">
        <f ca="1">IF(Menus!$J$9,C340/B340,C340)</f>
        <v>#DIV/0!</v>
      </c>
      <c r="E340" s="74" t="e">
        <f t="shared" ca="1" si="12"/>
        <v>#N/A</v>
      </c>
      <c r="F340" s="75">
        <f ca="1">INDIRECT(ADDRESS($A340,1,3,1,Menus!$K$10))</f>
        <v>0</v>
      </c>
      <c r="G340" s="2" t="e">
        <f ca="1">IF(INDIRECT(ADDRESS($A340,2,3,1,Menus!$K$10))=G$1,$D340,#N/A)</f>
        <v>#N/A</v>
      </c>
      <c r="H340" s="2" t="e">
        <f ca="1">IF(INDIRECT(ADDRESS($A340,2,3,1,Menus!$K$10))=H$1,$D340,#N/A)</f>
        <v>#N/A</v>
      </c>
      <c r="I340" s="2" t="e">
        <f ca="1">IF(INDIRECT(ADDRESS($A340,2,3,1,Menus!$K$10))=I$1,$D340,#N/A)</f>
        <v>#N/A</v>
      </c>
      <c r="J340" s="2" t="e">
        <f ca="1">IF(INDIRECT(ADDRESS($A340,1,3,1,Menus!$K$10))=T(J$1),$D340,#N/A)</f>
        <v>#N/A</v>
      </c>
      <c r="K340" s="10">
        <f t="shared" ca="1" si="11"/>
        <v>0</v>
      </c>
      <c r="L340" s="2"/>
      <c r="M340" s="85">
        <f ca="1">OFFSET(INDIRECT(ADDRESS($A340,3,3,1,"Gross")),0,Menus!$J$4)</f>
        <v>0</v>
      </c>
      <c r="N340" s="85">
        <f ca="1">OFFSET(INDIRECT(ADDRESS($A340,3,3,1,"Gross")),0,Menus!$J$3)</f>
        <v>0</v>
      </c>
    </row>
    <row r="341" spans="1:14" x14ac:dyDescent="0.25">
      <c r="A341">
        <v>383</v>
      </c>
      <c r="B341" s="2">
        <f ca="1">OFFSET(INDIRECT(ADDRESS($A341,3,3,1,Menus!$K$10)),0,Menus!$J$4)</f>
        <v>0</v>
      </c>
      <c r="C341" s="2">
        <f ca="1">OFFSET(INDIRECT(ADDRESS($A341,3,3,1,Menus!$K$10)),0,Menus!$J$3)</f>
        <v>0</v>
      </c>
      <c r="D341" s="73" t="e">
        <f ca="1">IF(Menus!$J$9,C341/B341,C341)</f>
        <v>#DIV/0!</v>
      </c>
      <c r="E341" s="74" t="e">
        <f t="shared" ca="1" si="12"/>
        <v>#N/A</v>
      </c>
      <c r="F341" s="75">
        <f ca="1">INDIRECT(ADDRESS($A341,1,3,1,Menus!$K$10))</f>
        <v>0</v>
      </c>
      <c r="G341" s="2" t="e">
        <f ca="1">IF(INDIRECT(ADDRESS($A341,2,3,1,Menus!$K$10))=G$1,$D341,#N/A)</f>
        <v>#N/A</v>
      </c>
      <c r="H341" s="2" t="e">
        <f ca="1">IF(INDIRECT(ADDRESS($A341,2,3,1,Menus!$K$10))=H$1,$D341,#N/A)</f>
        <v>#N/A</v>
      </c>
      <c r="I341" s="2" t="e">
        <f ca="1">IF(INDIRECT(ADDRESS($A341,2,3,1,Menus!$K$10))=I$1,$D341,#N/A)</f>
        <v>#N/A</v>
      </c>
      <c r="J341" s="2" t="e">
        <f ca="1">IF(INDIRECT(ADDRESS($A341,1,3,1,Menus!$K$10))=T(J$1),$D341,#N/A)</f>
        <v>#N/A</v>
      </c>
      <c r="K341" s="10">
        <f t="shared" ca="1" si="11"/>
        <v>0</v>
      </c>
      <c r="L341" s="2"/>
      <c r="M341" s="85">
        <f ca="1">OFFSET(INDIRECT(ADDRESS($A341,3,3,1,"Gross")),0,Menus!$J$4)</f>
        <v>0</v>
      </c>
      <c r="N341" s="85">
        <f ca="1">OFFSET(INDIRECT(ADDRESS($A341,3,3,1,"Gross")),0,Menus!$J$3)</f>
        <v>0</v>
      </c>
    </row>
    <row r="342" spans="1:14" x14ac:dyDescent="0.25">
      <c r="A342">
        <v>384</v>
      </c>
      <c r="B342" s="2">
        <f ca="1">OFFSET(INDIRECT(ADDRESS($A342,3,3,1,Menus!$K$10)),0,Menus!$J$4)</f>
        <v>0</v>
      </c>
      <c r="C342" s="2">
        <f ca="1">OFFSET(INDIRECT(ADDRESS($A342,3,3,1,Menus!$K$10)),0,Menus!$J$3)</f>
        <v>0</v>
      </c>
      <c r="D342" s="73" t="e">
        <f ca="1">IF(Menus!$J$9,C342/B342,C342)</f>
        <v>#DIV/0!</v>
      </c>
      <c r="E342" s="74" t="e">
        <f t="shared" ca="1" si="12"/>
        <v>#N/A</v>
      </c>
      <c r="F342" s="75">
        <f ca="1">INDIRECT(ADDRESS($A342,1,3,1,Menus!$K$10))</f>
        <v>0</v>
      </c>
      <c r="G342" s="2" t="e">
        <f ca="1">IF(INDIRECT(ADDRESS($A342,2,3,1,Menus!$K$10))=G$1,$D342,#N/A)</f>
        <v>#N/A</v>
      </c>
      <c r="H342" s="2" t="e">
        <f ca="1">IF(INDIRECT(ADDRESS($A342,2,3,1,Menus!$K$10))=H$1,$D342,#N/A)</f>
        <v>#N/A</v>
      </c>
      <c r="I342" s="2" t="e">
        <f ca="1">IF(INDIRECT(ADDRESS($A342,2,3,1,Menus!$K$10))=I$1,$D342,#N/A)</f>
        <v>#N/A</v>
      </c>
      <c r="J342" s="2" t="e">
        <f ca="1">IF(INDIRECT(ADDRESS($A342,1,3,1,Menus!$K$10))=T(J$1),$D342,#N/A)</f>
        <v>#N/A</v>
      </c>
      <c r="K342" s="10">
        <f t="shared" ca="1" si="11"/>
        <v>0</v>
      </c>
      <c r="L342" s="2"/>
      <c r="M342" s="85">
        <f ca="1">OFFSET(INDIRECT(ADDRESS($A342,3,3,1,"Gross")),0,Menus!$J$4)</f>
        <v>0</v>
      </c>
      <c r="N342" s="85">
        <f ca="1">OFFSET(INDIRECT(ADDRESS($A342,3,3,1,"Gross")),0,Menus!$J$3)</f>
        <v>0</v>
      </c>
    </row>
    <row r="343" spans="1:14" x14ac:dyDescent="0.25">
      <c r="A343">
        <v>385</v>
      </c>
      <c r="B343" s="2">
        <f ca="1">OFFSET(INDIRECT(ADDRESS($A343,3,3,1,Menus!$K$10)),0,Menus!$J$4)</f>
        <v>0</v>
      </c>
      <c r="C343" s="2">
        <f ca="1">OFFSET(INDIRECT(ADDRESS($A343,3,3,1,Menus!$K$10)),0,Menus!$J$3)</f>
        <v>0</v>
      </c>
      <c r="D343" s="73" t="e">
        <f ca="1">IF(Menus!$J$9,C343/B343,C343)</f>
        <v>#DIV/0!</v>
      </c>
      <c r="E343" s="74" t="e">
        <f t="shared" ca="1" si="12"/>
        <v>#N/A</v>
      </c>
      <c r="F343" s="75">
        <f ca="1">INDIRECT(ADDRESS($A343,1,3,1,Menus!$K$10))</f>
        <v>0</v>
      </c>
      <c r="G343" s="2" t="e">
        <f ca="1">IF(INDIRECT(ADDRESS($A343,2,3,1,Menus!$K$10))=G$1,$D343,#N/A)</f>
        <v>#N/A</v>
      </c>
      <c r="H343" s="2" t="e">
        <f ca="1">IF(INDIRECT(ADDRESS($A343,2,3,1,Menus!$K$10))=H$1,$D343,#N/A)</f>
        <v>#N/A</v>
      </c>
      <c r="I343" s="2" t="e">
        <f ca="1">IF(INDIRECT(ADDRESS($A343,2,3,1,Menus!$K$10))=I$1,$D343,#N/A)</f>
        <v>#N/A</v>
      </c>
      <c r="J343" s="2" t="e">
        <f ca="1">IF(INDIRECT(ADDRESS($A343,1,3,1,Menus!$K$10))=T(J$1),$D343,#N/A)</f>
        <v>#N/A</v>
      </c>
      <c r="K343" s="10">
        <f t="shared" ca="1" si="11"/>
        <v>0</v>
      </c>
      <c r="L343" s="2"/>
      <c r="M343" s="85">
        <f ca="1">OFFSET(INDIRECT(ADDRESS($A343,3,3,1,"Gross")),0,Menus!$J$4)</f>
        <v>0</v>
      </c>
      <c r="N343" s="85">
        <f ca="1">OFFSET(INDIRECT(ADDRESS($A343,3,3,1,"Gross")),0,Menus!$J$3)</f>
        <v>0</v>
      </c>
    </row>
    <row r="344" spans="1:14" x14ac:dyDescent="0.25">
      <c r="A344">
        <v>386</v>
      </c>
      <c r="B344" s="2">
        <f ca="1">OFFSET(INDIRECT(ADDRESS($A344,3,3,1,Menus!$K$10)),0,Menus!$J$4)</f>
        <v>0</v>
      </c>
      <c r="C344" s="2">
        <f ca="1">OFFSET(INDIRECT(ADDRESS($A344,3,3,1,Menus!$K$10)),0,Menus!$J$3)</f>
        <v>0</v>
      </c>
      <c r="D344" s="73" t="e">
        <f ca="1">IF(Menus!$J$9,C344/B344,C344)</f>
        <v>#DIV/0!</v>
      </c>
      <c r="E344" s="74" t="e">
        <f t="shared" ca="1" si="12"/>
        <v>#N/A</v>
      </c>
      <c r="F344" s="75">
        <f ca="1">INDIRECT(ADDRESS($A344,1,3,1,Menus!$K$10))</f>
        <v>0</v>
      </c>
      <c r="G344" s="2" t="e">
        <f ca="1">IF(INDIRECT(ADDRESS($A344,2,3,1,Menus!$K$10))=G$1,$D344,#N/A)</f>
        <v>#N/A</v>
      </c>
      <c r="H344" s="2" t="e">
        <f ca="1">IF(INDIRECT(ADDRESS($A344,2,3,1,Menus!$K$10))=H$1,$D344,#N/A)</f>
        <v>#N/A</v>
      </c>
      <c r="I344" s="2" t="e">
        <f ca="1">IF(INDIRECT(ADDRESS($A344,2,3,1,Menus!$K$10))=I$1,$D344,#N/A)</f>
        <v>#N/A</v>
      </c>
      <c r="J344" s="2" t="e">
        <f ca="1">IF(INDIRECT(ADDRESS($A344,1,3,1,Menus!$K$10))=T(J$1),$D344,#N/A)</f>
        <v>#N/A</v>
      </c>
      <c r="K344" s="10">
        <f t="shared" ca="1" si="11"/>
        <v>0</v>
      </c>
      <c r="L344" s="2"/>
      <c r="M344" s="85">
        <f ca="1">OFFSET(INDIRECT(ADDRESS($A344,3,3,1,"Gross")),0,Menus!$J$4)</f>
        <v>0</v>
      </c>
      <c r="N344" s="85">
        <f ca="1">OFFSET(INDIRECT(ADDRESS($A344,3,3,1,"Gross")),0,Menus!$J$3)</f>
        <v>0</v>
      </c>
    </row>
    <row r="345" spans="1:14" x14ac:dyDescent="0.25">
      <c r="A345">
        <v>387</v>
      </c>
      <c r="B345" s="2">
        <f ca="1">OFFSET(INDIRECT(ADDRESS($A345,3,3,1,Menus!$K$10)),0,Menus!$J$4)</f>
        <v>0</v>
      </c>
      <c r="C345" s="2">
        <f ca="1">OFFSET(INDIRECT(ADDRESS($A345,3,3,1,Menus!$K$10)),0,Menus!$J$3)</f>
        <v>0</v>
      </c>
      <c r="D345" s="73" t="e">
        <f ca="1">IF(Menus!$J$9,C345/B345,C345)</f>
        <v>#DIV/0!</v>
      </c>
      <c r="E345" s="74" t="e">
        <f t="shared" ca="1" si="12"/>
        <v>#N/A</v>
      </c>
      <c r="F345" s="75">
        <f ca="1">INDIRECT(ADDRESS($A345,1,3,1,Menus!$K$10))</f>
        <v>0</v>
      </c>
      <c r="G345" s="2" t="e">
        <f ca="1">IF(INDIRECT(ADDRESS($A345,2,3,1,Menus!$K$10))=G$1,$D345,#N/A)</f>
        <v>#N/A</v>
      </c>
      <c r="H345" s="2" t="e">
        <f ca="1">IF(INDIRECT(ADDRESS($A345,2,3,1,Menus!$K$10))=H$1,$D345,#N/A)</f>
        <v>#N/A</v>
      </c>
      <c r="I345" s="2" t="e">
        <f ca="1">IF(INDIRECT(ADDRESS($A345,2,3,1,Menus!$K$10))=I$1,$D345,#N/A)</f>
        <v>#N/A</v>
      </c>
      <c r="J345" s="2" t="e">
        <f ca="1">IF(INDIRECT(ADDRESS($A345,1,3,1,Menus!$K$10))=T(J$1),$D345,#N/A)</f>
        <v>#N/A</v>
      </c>
      <c r="K345" s="10">
        <f t="shared" ca="1" si="11"/>
        <v>0</v>
      </c>
      <c r="L345" s="2"/>
      <c r="M345" s="85">
        <f ca="1">OFFSET(INDIRECT(ADDRESS($A345,3,3,1,"Gross")),0,Menus!$J$4)</f>
        <v>0</v>
      </c>
      <c r="N345" s="85">
        <f ca="1">OFFSET(INDIRECT(ADDRESS($A345,3,3,1,"Gross")),0,Menus!$J$3)</f>
        <v>0</v>
      </c>
    </row>
    <row r="346" spans="1:14" x14ac:dyDescent="0.25">
      <c r="A346">
        <v>388</v>
      </c>
      <c r="B346" s="2">
        <f ca="1">OFFSET(INDIRECT(ADDRESS($A346,3,3,1,Menus!$K$10)),0,Menus!$J$4)</f>
        <v>0</v>
      </c>
      <c r="C346" s="2">
        <f ca="1">OFFSET(INDIRECT(ADDRESS($A346,3,3,1,Menus!$K$10)),0,Menus!$J$3)</f>
        <v>0</v>
      </c>
      <c r="D346" s="73" t="e">
        <f ca="1">IF(Menus!$J$9,C346/B346,C346)</f>
        <v>#DIV/0!</v>
      </c>
      <c r="E346" s="74" t="e">
        <f t="shared" ca="1" si="12"/>
        <v>#N/A</v>
      </c>
      <c r="F346" s="75">
        <f ca="1">INDIRECT(ADDRESS($A346,1,3,1,Menus!$K$10))</f>
        <v>0</v>
      </c>
      <c r="G346" s="2" t="e">
        <f ca="1">IF(INDIRECT(ADDRESS($A346,2,3,1,Menus!$K$10))=G$1,$D346,#N/A)</f>
        <v>#N/A</v>
      </c>
      <c r="H346" s="2" t="e">
        <f ca="1">IF(INDIRECT(ADDRESS($A346,2,3,1,Menus!$K$10))=H$1,$D346,#N/A)</f>
        <v>#N/A</v>
      </c>
      <c r="I346" s="2" t="e">
        <f ca="1">IF(INDIRECT(ADDRESS($A346,2,3,1,Menus!$K$10))=I$1,$D346,#N/A)</f>
        <v>#N/A</v>
      </c>
      <c r="J346" s="2" t="e">
        <f ca="1">IF(INDIRECT(ADDRESS($A346,1,3,1,Menus!$K$10))=T(J$1),$D346,#N/A)</f>
        <v>#N/A</v>
      </c>
      <c r="K346" s="10">
        <f t="shared" ca="1" si="11"/>
        <v>0</v>
      </c>
      <c r="L346" s="2"/>
      <c r="M346" s="85">
        <f ca="1">OFFSET(INDIRECT(ADDRESS($A346,3,3,1,"Gross")),0,Menus!$J$4)</f>
        <v>0</v>
      </c>
      <c r="N346" s="85">
        <f ca="1">OFFSET(INDIRECT(ADDRESS($A346,3,3,1,"Gross")),0,Menus!$J$3)</f>
        <v>0</v>
      </c>
    </row>
    <row r="347" spans="1:14" x14ac:dyDescent="0.25">
      <c r="A347">
        <v>389</v>
      </c>
      <c r="B347" s="2">
        <f ca="1">OFFSET(INDIRECT(ADDRESS($A347,3,3,1,Menus!$K$10)),0,Menus!$J$4)</f>
        <v>0</v>
      </c>
      <c r="C347" s="2">
        <f ca="1">OFFSET(INDIRECT(ADDRESS($A347,3,3,1,Menus!$K$10)),0,Menus!$J$3)</f>
        <v>0</v>
      </c>
      <c r="D347" s="73" t="e">
        <f ca="1">IF(Menus!$J$9,C347/B347,C347)</f>
        <v>#DIV/0!</v>
      </c>
      <c r="E347" s="74" t="e">
        <f t="shared" ca="1" si="12"/>
        <v>#N/A</v>
      </c>
      <c r="F347" s="75">
        <f ca="1">INDIRECT(ADDRESS($A347,1,3,1,Menus!$K$10))</f>
        <v>0</v>
      </c>
      <c r="G347" s="2" t="e">
        <f ca="1">IF(INDIRECT(ADDRESS($A347,2,3,1,Menus!$K$10))=G$1,$D347,#N/A)</f>
        <v>#N/A</v>
      </c>
      <c r="H347" s="2" t="e">
        <f ca="1">IF(INDIRECT(ADDRESS($A347,2,3,1,Menus!$K$10))=H$1,$D347,#N/A)</f>
        <v>#N/A</v>
      </c>
      <c r="I347" s="2" t="e">
        <f ca="1">IF(INDIRECT(ADDRESS($A347,2,3,1,Menus!$K$10))=I$1,$D347,#N/A)</f>
        <v>#N/A</v>
      </c>
      <c r="J347" s="2" t="e">
        <f ca="1">IF(INDIRECT(ADDRESS($A347,1,3,1,Menus!$K$10))=T(J$1),$D347,#N/A)</f>
        <v>#N/A</v>
      </c>
      <c r="K347" s="10">
        <f t="shared" ca="1" si="11"/>
        <v>0</v>
      </c>
      <c r="L347" s="2"/>
      <c r="M347" s="85">
        <f ca="1">OFFSET(INDIRECT(ADDRESS($A347,3,3,1,"Gross")),0,Menus!$J$4)</f>
        <v>0</v>
      </c>
      <c r="N347" s="85">
        <f ca="1">OFFSET(INDIRECT(ADDRESS($A347,3,3,1,"Gross")),0,Menus!$J$3)</f>
        <v>0</v>
      </c>
    </row>
    <row r="348" spans="1:14" x14ac:dyDescent="0.25">
      <c r="A348">
        <v>390</v>
      </c>
      <c r="B348" s="2">
        <f ca="1">OFFSET(INDIRECT(ADDRESS($A348,3,3,1,Menus!$K$10)),0,Menus!$J$4)</f>
        <v>0</v>
      </c>
      <c r="C348" s="2">
        <f ca="1">OFFSET(INDIRECT(ADDRESS($A348,3,3,1,Menus!$K$10)),0,Menus!$J$3)</f>
        <v>0</v>
      </c>
      <c r="D348" s="73" t="e">
        <f ca="1">IF(Menus!$J$9,C348/B348,C348)</f>
        <v>#DIV/0!</v>
      </c>
      <c r="E348" s="74" t="e">
        <f t="shared" ca="1" si="12"/>
        <v>#N/A</v>
      </c>
      <c r="F348" s="75">
        <f ca="1">INDIRECT(ADDRESS($A348,1,3,1,Menus!$K$10))</f>
        <v>0</v>
      </c>
      <c r="G348" s="2" t="e">
        <f ca="1">IF(INDIRECT(ADDRESS($A348,2,3,1,Menus!$K$10))=G$1,$D348,#N/A)</f>
        <v>#N/A</v>
      </c>
      <c r="H348" s="2" t="e">
        <f ca="1">IF(INDIRECT(ADDRESS($A348,2,3,1,Menus!$K$10))=H$1,$D348,#N/A)</f>
        <v>#N/A</v>
      </c>
      <c r="I348" s="2" t="e">
        <f ca="1">IF(INDIRECT(ADDRESS($A348,2,3,1,Menus!$K$10))=I$1,$D348,#N/A)</f>
        <v>#N/A</v>
      </c>
      <c r="J348" s="2" t="e">
        <f ca="1">IF(INDIRECT(ADDRESS($A348,1,3,1,Menus!$K$10))=T(J$1),$D348,#N/A)</f>
        <v>#N/A</v>
      </c>
      <c r="K348" s="10">
        <f t="shared" ca="1" si="11"/>
        <v>0</v>
      </c>
      <c r="L348" s="2"/>
      <c r="M348" s="85">
        <f ca="1">OFFSET(INDIRECT(ADDRESS($A348,3,3,1,"Gross")),0,Menus!$J$4)</f>
        <v>0</v>
      </c>
      <c r="N348" s="85">
        <f ca="1">OFFSET(INDIRECT(ADDRESS($A348,3,3,1,"Gross")),0,Menus!$J$3)</f>
        <v>0</v>
      </c>
    </row>
    <row r="349" spans="1:14" x14ac:dyDescent="0.25">
      <c r="A349">
        <v>391</v>
      </c>
      <c r="B349" s="2">
        <f ca="1">OFFSET(INDIRECT(ADDRESS($A349,3,3,1,Menus!$K$10)),0,Menus!$J$4)</f>
        <v>0</v>
      </c>
      <c r="C349" s="2">
        <f ca="1">OFFSET(INDIRECT(ADDRESS($A349,3,3,1,Menus!$K$10)),0,Menus!$J$3)</f>
        <v>0</v>
      </c>
      <c r="D349" s="73" t="e">
        <f ca="1">IF(Menus!$J$9,C349/B349,C349)</f>
        <v>#DIV/0!</v>
      </c>
      <c r="E349" s="74" t="e">
        <f t="shared" ca="1" si="12"/>
        <v>#N/A</v>
      </c>
      <c r="F349" s="75">
        <f ca="1">INDIRECT(ADDRESS($A349,1,3,1,Menus!$K$10))</f>
        <v>0</v>
      </c>
      <c r="G349" s="2" t="e">
        <f ca="1">IF(INDIRECT(ADDRESS($A349,2,3,1,Menus!$K$10))=G$1,$D349,#N/A)</f>
        <v>#N/A</v>
      </c>
      <c r="H349" s="2" t="e">
        <f ca="1">IF(INDIRECT(ADDRESS($A349,2,3,1,Menus!$K$10))=H$1,$D349,#N/A)</f>
        <v>#N/A</v>
      </c>
      <c r="I349" s="2" t="e">
        <f ca="1">IF(INDIRECT(ADDRESS($A349,2,3,1,Menus!$K$10))=I$1,$D349,#N/A)</f>
        <v>#N/A</v>
      </c>
      <c r="J349" s="2" t="e">
        <f ca="1">IF(INDIRECT(ADDRESS($A349,1,3,1,Menus!$K$10))=T(J$1),$D349,#N/A)</f>
        <v>#N/A</v>
      </c>
      <c r="K349" s="10">
        <f t="shared" ca="1" si="11"/>
        <v>0</v>
      </c>
      <c r="L349" s="2"/>
      <c r="M349" s="85">
        <f ca="1">OFFSET(INDIRECT(ADDRESS($A349,3,3,1,"Gross")),0,Menus!$J$4)</f>
        <v>0</v>
      </c>
      <c r="N349" s="85">
        <f ca="1">OFFSET(INDIRECT(ADDRESS($A349,3,3,1,"Gross")),0,Menus!$J$3)</f>
        <v>0</v>
      </c>
    </row>
    <row r="350" spans="1:14" x14ac:dyDescent="0.25">
      <c r="A350">
        <v>392</v>
      </c>
      <c r="B350" s="2">
        <f ca="1">OFFSET(INDIRECT(ADDRESS($A350,3,3,1,Menus!$K$10)),0,Menus!$J$4)</f>
        <v>0</v>
      </c>
      <c r="C350" s="2">
        <f ca="1">OFFSET(INDIRECT(ADDRESS($A350,3,3,1,Menus!$K$10)),0,Menus!$J$3)</f>
        <v>0</v>
      </c>
      <c r="D350" s="73" t="e">
        <f ca="1">IF(Menus!$J$9,C350/B350,C350)</f>
        <v>#DIV/0!</v>
      </c>
      <c r="E350" s="74" t="e">
        <f t="shared" ca="1" si="12"/>
        <v>#N/A</v>
      </c>
      <c r="F350" s="75">
        <f ca="1">INDIRECT(ADDRESS($A350,1,3,1,Menus!$K$10))</f>
        <v>0</v>
      </c>
      <c r="G350" s="2" t="e">
        <f ca="1">IF(INDIRECT(ADDRESS($A350,2,3,1,Menus!$K$10))=G$1,$D350,#N/A)</f>
        <v>#N/A</v>
      </c>
      <c r="H350" s="2" t="e">
        <f ca="1">IF(INDIRECT(ADDRESS($A350,2,3,1,Menus!$K$10))=H$1,$D350,#N/A)</f>
        <v>#N/A</v>
      </c>
      <c r="I350" s="2" t="e">
        <f ca="1">IF(INDIRECT(ADDRESS($A350,2,3,1,Menus!$K$10))=I$1,$D350,#N/A)</f>
        <v>#N/A</v>
      </c>
      <c r="J350" s="2" t="e">
        <f ca="1">IF(INDIRECT(ADDRESS($A350,1,3,1,Menus!$K$10))=T(J$1),$D350,#N/A)</f>
        <v>#N/A</v>
      </c>
      <c r="K350" s="10">
        <f t="shared" ca="1" si="11"/>
        <v>0</v>
      </c>
      <c r="L350" s="2"/>
      <c r="M350" s="85">
        <f ca="1">OFFSET(INDIRECT(ADDRESS($A350,3,3,1,"Gross")),0,Menus!$J$4)</f>
        <v>0</v>
      </c>
      <c r="N350" s="85">
        <f ca="1">OFFSET(INDIRECT(ADDRESS($A350,3,3,1,"Gross")),0,Menus!$J$3)</f>
        <v>0</v>
      </c>
    </row>
    <row r="351" spans="1:14" x14ac:dyDescent="0.25">
      <c r="A351">
        <v>393</v>
      </c>
      <c r="B351" s="2">
        <f ca="1">OFFSET(INDIRECT(ADDRESS($A351,3,3,1,Menus!$K$10)),0,Menus!$J$4)</f>
        <v>0</v>
      </c>
      <c r="C351" s="2">
        <f ca="1">OFFSET(INDIRECT(ADDRESS($A351,3,3,1,Menus!$K$10)),0,Menus!$J$3)</f>
        <v>0</v>
      </c>
      <c r="D351" s="73" t="e">
        <f ca="1">IF(Menus!$J$9,C351/B351,C351)</f>
        <v>#DIV/0!</v>
      </c>
      <c r="E351" s="74" t="e">
        <f t="shared" ca="1" si="12"/>
        <v>#N/A</v>
      </c>
      <c r="F351" s="75">
        <f ca="1">INDIRECT(ADDRESS($A351,1,3,1,Menus!$K$10))</f>
        <v>0</v>
      </c>
      <c r="G351" s="2" t="e">
        <f ca="1">IF(INDIRECT(ADDRESS($A351,2,3,1,Menus!$K$10))=G$1,$D351,#N/A)</f>
        <v>#N/A</v>
      </c>
      <c r="H351" s="2" t="e">
        <f ca="1">IF(INDIRECT(ADDRESS($A351,2,3,1,Menus!$K$10))=H$1,$D351,#N/A)</f>
        <v>#N/A</v>
      </c>
      <c r="I351" s="2" t="e">
        <f ca="1">IF(INDIRECT(ADDRESS($A351,2,3,1,Menus!$K$10))=I$1,$D351,#N/A)</f>
        <v>#N/A</v>
      </c>
      <c r="J351" s="2" t="e">
        <f ca="1">IF(INDIRECT(ADDRESS($A351,1,3,1,Menus!$K$10))=T(J$1),$D351,#N/A)</f>
        <v>#N/A</v>
      </c>
      <c r="K351" s="10">
        <f t="shared" ca="1" si="11"/>
        <v>0</v>
      </c>
      <c r="L351" s="2"/>
      <c r="M351" s="85">
        <f ca="1">OFFSET(INDIRECT(ADDRESS($A351,3,3,1,"Gross")),0,Menus!$J$4)</f>
        <v>0</v>
      </c>
      <c r="N351" s="85">
        <f ca="1">OFFSET(INDIRECT(ADDRESS($A351,3,3,1,"Gross")),0,Menus!$J$3)</f>
        <v>0</v>
      </c>
    </row>
    <row r="352" spans="1:14" x14ac:dyDescent="0.25">
      <c r="A352">
        <v>394</v>
      </c>
      <c r="B352" s="2">
        <f ca="1">OFFSET(INDIRECT(ADDRESS($A352,3,3,1,Menus!$K$10)),0,Menus!$J$4)</f>
        <v>0</v>
      </c>
      <c r="C352" s="2">
        <f ca="1">OFFSET(INDIRECT(ADDRESS($A352,3,3,1,Menus!$K$10)),0,Menus!$J$3)</f>
        <v>0</v>
      </c>
      <c r="D352" s="73" t="e">
        <f ca="1">IF(Menus!$J$9,C352/B352,C352)</f>
        <v>#DIV/0!</v>
      </c>
      <c r="E352" s="74" t="e">
        <f t="shared" ca="1" si="12"/>
        <v>#N/A</v>
      </c>
      <c r="F352" s="75">
        <f ca="1">INDIRECT(ADDRESS($A352,1,3,1,Menus!$K$10))</f>
        <v>0</v>
      </c>
      <c r="G352" s="2" t="e">
        <f ca="1">IF(INDIRECT(ADDRESS($A352,2,3,1,Menus!$K$10))=G$1,$D352,#N/A)</f>
        <v>#N/A</v>
      </c>
      <c r="H352" s="2" t="e">
        <f ca="1">IF(INDIRECT(ADDRESS($A352,2,3,1,Menus!$K$10))=H$1,$D352,#N/A)</f>
        <v>#N/A</v>
      </c>
      <c r="I352" s="2" t="e">
        <f ca="1">IF(INDIRECT(ADDRESS($A352,2,3,1,Menus!$K$10))=I$1,$D352,#N/A)</f>
        <v>#N/A</v>
      </c>
      <c r="J352" s="2" t="e">
        <f ca="1">IF(INDIRECT(ADDRESS($A352,1,3,1,Menus!$K$10))=T(J$1),$D352,#N/A)</f>
        <v>#N/A</v>
      </c>
      <c r="K352" s="10">
        <f t="shared" ca="1" si="11"/>
        <v>0</v>
      </c>
      <c r="L352" s="2"/>
      <c r="M352" s="85">
        <f ca="1">OFFSET(INDIRECT(ADDRESS($A352,3,3,1,"Gross")),0,Menus!$J$4)</f>
        <v>0</v>
      </c>
      <c r="N352" s="85">
        <f ca="1">OFFSET(INDIRECT(ADDRESS($A352,3,3,1,"Gross")),0,Menus!$J$3)</f>
        <v>0</v>
      </c>
    </row>
    <row r="353" spans="1:14" x14ac:dyDescent="0.25">
      <c r="A353">
        <v>395</v>
      </c>
      <c r="B353" s="2">
        <f ca="1">OFFSET(INDIRECT(ADDRESS($A353,3,3,1,Menus!$K$10)),0,Menus!$J$4)</f>
        <v>0</v>
      </c>
      <c r="C353" s="2">
        <f ca="1">OFFSET(INDIRECT(ADDRESS($A353,3,3,1,Menus!$K$10)),0,Menus!$J$3)</f>
        <v>0</v>
      </c>
      <c r="D353" s="73" t="e">
        <f ca="1">IF(Menus!$J$9,C353/B353,C353)</f>
        <v>#DIV/0!</v>
      </c>
      <c r="E353" s="74" t="e">
        <f t="shared" ca="1" si="12"/>
        <v>#N/A</v>
      </c>
      <c r="F353" s="75">
        <f ca="1">INDIRECT(ADDRESS($A353,1,3,1,Menus!$K$10))</f>
        <v>0</v>
      </c>
      <c r="G353" s="2" t="e">
        <f ca="1">IF(INDIRECT(ADDRESS($A353,2,3,1,Menus!$K$10))=G$1,$D353,#N/A)</f>
        <v>#N/A</v>
      </c>
      <c r="H353" s="2" t="e">
        <f ca="1">IF(INDIRECT(ADDRESS($A353,2,3,1,Menus!$K$10))=H$1,$D353,#N/A)</f>
        <v>#N/A</v>
      </c>
      <c r="I353" s="2" t="e">
        <f ca="1">IF(INDIRECT(ADDRESS($A353,2,3,1,Menus!$K$10))=I$1,$D353,#N/A)</f>
        <v>#N/A</v>
      </c>
      <c r="J353" s="2" t="e">
        <f ca="1">IF(INDIRECT(ADDRESS($A353,1,3,1,Menus!$K$10))=T(J$1),$D353,#N/A)</f>
        <v>#N/A</v>
      </c>
      <c r="K353" s="10">
        <f t="shared" ca="1" si="11"/>
        <v>0</v>
      </c>
      <c r="L353" s="2"/>
      <c r="M353" s="85">
        <f ca="1">OFFSET(INDIRECT(ADDRESS($A353,3,3,1,"Gross")),0,Menus!$J$4)</f>
        <v>0</v>
      </c>
      <c r="N353" s="85">
        <f ca="1">OFFSET(INDIRECT(ADDRESS($A353,3,3,1,"Gross")),0,Menus!$J$3)</f>
        <v>0</v>
      </c>
    </row>
    <row r="354" spans="1:14" x14ac:dyDescent="0.25">
      <c r="A354">
        <v>396</v>
      </c>
      <c r="B354" s="2">
        <f ca="1">OFFSET(INDIRECT(ADDRESS($A354,3,3,1,Menus!$K$10)),0,Menus!$J$4)</f>
        <v>0</v>
      </c>
      <c r="C354" s="2">
        <f ca="1">OFFSET(INDIRECT(ADDRESS($A354,3,3,1,Menus!$K$10)),0,Menus!$J$3)</f>
        <v>0</v>
      </c>
      <c r="D354" s="73" t="e">
        <f ca="1">IF(Menus!$J$9,C354/B354,C354)</f>
        <v>#DIV/0!</v>
      </c>
      <c r="E354" s="74" t="e">
        <f t="shared" ca="1" si="12"/>
        <v>#N/A</v>
      </c>
      <c r="F354" s="75">
        <f ca="1">INDIRECT(ADDRESS($A354,1,3,1,Menus!$K$10))</f>
        <v>0</v>
      </c>
      <c r="G354" s="2" t="e">
        <f ca="1">IF(INDIRECT(ADDRESS($A354,2,3,1,Menus!$K$10))=G$1,$D354,#N/A)</f>
        <v>#N/A</v>
      </c>
      <c r="H354" s="2" t="e">
        <f ca="1">IF(INDIRECT(ADDRESS($A354,2,3,1,Menus!$K$10))=H$1,$D354,#N/A)</f>
        <v>#N/A</v>
      </c>
      <c r="I354" s="2" t="e">
        <f ca="1">IF(INDIRECT(ADDRESS($A354,2,3,1,Menus!$K$10))=I$1,$D354,#N/A)</f>
        <v>#N/A</v>
      </c>
      <c r="J354" s="2" t="e">
        <f ca="1">IF(INDIRECT(ADDRESS($A354,1,3,1,Menus!$K$10))=T(J$1),$D354,#N/A)</f>
        <v>#N/A</v>
      </c>
      <c r="K354" s="10">
        <f t="shared" ca="1" si="11"/>
        <v>0</v>
      </c>
      <c r="L354" s="2"/>
      <c r="M354" s="85">
        <f ca="1">OFFSET(INDIRECT(ADDRESS($A354,3,3,1,"Gross")),0,Menus!$J$4)</f>
        <v>0</v>
      </c>
      <c r="N354" s="85">
        <f ca="1">OFFSET(INDIRECT(ADDRESS($A354,3,3,1,"Gross")),0,Menus!$J$3)</f>
        <v>0</v>
      </c>
    </row>
    <row r="355" spans="1:14" x14ac:dyDescent="0.25">
      <c r="A355">
        <v>397</v>
      </c>
      <c r="B355" s="2">
        <f ca="1">OFFSET(INDIRECT(ADDRESS($A355,3,3,1,Menus!$K$10)),0,Menus!$J$4)</f>
        <v>0</v>
      </c>
      <c r="C355" s="2">
        <f ca="1">OFFSET(INDIRECT(ADDRESS($A355,3,3,1,Menus!$K$10)),0,Menus!$J$3)</f>
        <v>0</v>
      </c>
      <c r="D355" s="73" t="e">
        <f ca="1">IF(Menus!$J$9,C355/B355,C355)</f>
        <v>#DIV/0!</v>
      </c>
      <c r="E355" s="74" t="e">
        <f t="shared" ca="1" si="12"/>
        <v>#N/A</v>
      </c>
      <c r="F355" s="75">
        <f ca="1">INDIRECT(ADDRESS($A355,1,3,1,Menus!$K$10))</f>
        <v>0</v>
      </c>
      <c r="G355" s="2" t="e">
        <f ca="1">IF(INDIRECT(ADDRESS($A355,2,3,1,Menus!$K$10))=G$1,$D355,#N/A)</f>
        <v>#N/A</v>
      </c>
      <c r="H355" s="2" t="e">
        <f ca="1">IF(INDIRECT(ADDRESS($A355,2,3,1,Menus!$K$10))=H$1,$D355,#N/A)</f>
        <v>#N/A</v>
      </c>
      <c r="I355" s="2" t="e">
        <f ca="1">IF(INDIRECT(ADDRESS($A355,2,3,1,Menus!$K$10))=I$1,$D355,#N/A)</f>
        <v>#N/A</v>
      </c>
      <c r="J355" s="2" t="e">
        <f ca="1">IF(INDIRECT(ADDRESS($A355,1,3,1,Menus!$K$10))=T(J$1),$D355,#N/A)</f>
        <v>#N/A</v>
      </c>
      <c r="K355" s="10">
        <f t="shared" ca="1" si="11"/>
        <v>0</v>
      </c>
      <c r="L355" s="2"/>
      <c r="M355" s="85">
        <f ca="1">OFFSET(INDIRECT(ADDRESS($A355,3,3,1,"Gross")),0,Menus!$J$4)</f>
        <v>0</v>
      </c>
      <c r="N355" s="85">
        <f ca="1">OFFSET(INDIRECT(ADDRESS($A355,3,3,1,"Gross")),0,Menus!$J$3)</f>
        <v>0</v>
      </c>
    </row>
    <row r="356" spans="1:14" x14ac:dyDescent="0.25">
      <c r="A356">
        <v>398</v>
      </c>
      <c r="B356" s="2">
        <f ca="1">OFFSET(INDIRECT(ADDRESS($A356,3,3,1,Menus!$K$10)),0,Menus!$J$4)</f>
        <v>0</v>
      </c>
      <c r="C356" s="2">
        <f ca="1">OFFSET(INDIRECT(ADDRESS($A356,3,3,1,Menus!$K$10)),0,Menus!$J$3)</f>
        <v>0</v>
      </c>
      <c r="D356" s="73" t="e">
        <f ca="1">IF(Menus!$J$9,C356/B356,C356)</f>
        <v>#DIV/0!</v>
      </c>
      <c r="E356" s="74" t="e">
        <f t="shared" ca="1" si="12"/>
        <v>#N/A</v>
      </c>
      <c r="F356" s="75">
        <f ca="1">INDIRECT(ADDRESS($A356,1,3,1,Menus!$K$10))</f>
        <v>0</v>
      </c>
      <c r="G356" s="2" t="e">
        <f ca="1">IF(INDIRECT(ADDRESS($A356,2,3,1,Menus!$K$10))=G$1,$D356,#N/A)</f>
        <v>#N/A</v>
      </c>
      <c r="H356" s="2" t="e">
        <f ca="1">IF(INDIRECT(ADDRESS($A356,2,3,1,Menus!$K$10))=H$1,$D356,#N/A)</f>
        <v>#N/A</v>
      </c>
      <c r="I356" s="2" t="e">
        <f ca="1">IF(INDIRECT(ADDRESS($A356,2,3,1,Menus!$K$10))=I$1,$D356,#N/A)</f>
        <v>#N/A</v>
      </c>
      <c r="J356" s="2" t="e">
        <f ca="1">IF(INDIRECT(ADDRESS($A356,1,3,1,Menus!$K$10))=T(J$1),$D356,#N/A)</f>
        <v>#N/A</v>
      </c>
      <c r="K356" s="10">
        <f t="shared" ca="1" si="11"/>
        <v>0</v>
      </c>
      <c r="L356" s="2"/>
      <c r="M356" s="85">
        <f ca="1">OFFSET(INDIRECT(ADDRESS($A356,3,3,1,"Gross")),0,Menus!$J$4)</f>
        <v>0</v>
      </c>
      <c r="N356" s="85">
        <f ca="1">OFFSET(INDIRECT(ADDRESS($A356,3,3,1,"Gross")),0,Menus!$J$3)</f>
        <v>0</v>
      </c>
    </row>
    <row r="357" spans="1:14" x14ac:dyDescent="0.25">
      <c r="A357">
        <v>399</v>
      </c>
      <c r="B357" s="2">
        <f ca="1">OFFSET(INDIRECT(ADDRESS($A357,3,3,1,Menus!$K$10)),0,Menus!$J$4)</f>
        <v>0</v>
      </c>
      <c r="C357" s="2">
        <f ca="1">OFFSET(INDIRECT(ADDRESS($A357,3,3,1,Menus!$K$10)),0,Menus!$J$3)</f>
        <v>0</v>
      </c>
      <c r="D357" s="73" t="e">
        <f ca="1">IF(Menus!$J$9,C357/B357,C357)</f>
        <v>#DIV/0!</v>
      </c>
      <c r="E357" s="74" t="e">
        <f t="shared" ca="1" si="12"/>
        <v>#N/A</v>
      </c>
      <c r="F357" s="75">
        <f ca="1">INDIRECT(ADDRESS($A357,1,3,1,Menus!$K$10))</f>
        <v>0</v>
      </c>
      <c r="G357" s="2" t="e">
        <f ca="1">IF(INDIRECT(ADDRESS($A357,2,3,1,Menus!$K$10))=G$1,$D357,#N/A)</f>
        <v>#N/A</v>
      </c>
      <c r="H357" s="2" t="e">
        <f ca="1">IF(INDIRECT(ADDRESS($A357,2,3,1,Menus!$K$10))=H$1,$D357,#N/A)</f>
        <v>#N/A</v>
      </c>
      <c r="I357" s="2" t="e">
        <f ca="1">IF(INDIRECT(ADDRESS($A357,2,3,1,Menus!$K$10))=I$1,$D357,#N/A)</f>
        <v>#N/A</v>
      </c>
      <c r="J357" s="2" t="e">
        <f ca="1">IF(INDIRECT(ADDRESS($A357,1,3,1,Menus!$K$10))=T(J$1),$D357,#N/A)</f>
        <v>#N/A</v>
      </c>
      <c r="K357" s="10">
        <f t="shared" ca="1" si="11"/>
        <v>0</v>
      </c>
      <c r="L357" s="2"/>
      <c r="M357" s="85">
        <f ca="1">OFFSET(INDIRECT(ADDRESS($A357,3,3,1,"Gross")),0,Menus!$J$4)</f>
        <v>0</v>
      </c>
      <c r="N357" s="85">
        <f ca="1">OFFSET(INDIRECT(ADDRESS($A357,3,3,1,"Gross")),0,Menus!$J$3)</f>
        <v>0</v>
      </c>
    </row>
    <row r="358" spans="1:14" x14ac:dyDescent="0.25">
      <c r="A358">
        <v>400</v>
      </c>
      <c r="B358" s="2">
        <f ca="1">OFFSET(INDIRECT(ADDRESS($A358,3,3,1,Menus!$K$10)),0,Menus!$J$4)</f>
        <v>0</v>
      </c>
      <c r="C358" s="2">
        <f ca="1">OFFSET(INDIRECT(ADDRESS($A358,3,3,1,Menus!$K$10)),0,Menus!$J$3)</f>
        <v>0</v>
      </c>
      <c r="D358" s="73" t="e">
        <f ca="1">IF(Menus!$J$9,C358/B358,C358)</f>
        <v>#DIV/0!</v>
      </c>
      <c r="E358" s="74" t="e">
        <f t="shared" ca="1" si="12"/>
        <v>#N/A</v>
      </c>
      <c r="F358" s="75">
        <f ca="1">INDIRECT(ADDRESS($A358,1,3,1,Menus!$K$10))</f>
        <v>0</v>
      </c>
      <c r="G358" s="2" t="e">
        <f ca="1">IF(INDIRECT(ADDRESS($A358,2,3,1,Menus!$K$10))=G$1,$D358,#N/A)</f>
        <v>#N/A</v>
      </c>
      <c r="H358" s="2" t="e">
        <f ca="1">IF(INDIRECT(ADDRESS($A358,2,3,1,Menus!$K$10))=H$1,$D358,#N/A)</f>
        <v>#N/A</v>
      </c>
      <c r="I358" s="2" t="e">
        <f ca="1">IF(INDIRECT(ADDRESS($A358,2,3,1,Menus!$K$10))=I$1,$D358,#N/A)</f>
        <v>#N/A</v>
      </c>
      <c r="J358" s="2" t="e">
        <f ca="1">IF(INDIRECT(ADDRESS($A358,1,3,1,Menus!$K$10))=T(J$1),$D358,#N/A)</f>
        <v>#N/A</v>
      </c>
      <c r="K358" s="10">
        <f t="shared" ca="1" si="11"/>
        <v>0</v>
      </c>
      <c r="L358" s="2"/>
      <c r="M358" s="85">
        <f ca="1">OFFSET(INDIRECT(ADDRESS($A358,3,3,1,"Gross")),0,Menus!$J$4)</f>
        <v>0</v>
      </c>
      <c r="N358" s="85">
        <f ca="1">OFFSET(INDIRECT(ADDRESS($A358,3,3,1,"Gross")),0,Menus!$J$3)</f>
        <v>0</v>
      </c>
    </row>
    <row r="359" spans="1:14" x14ac:dyDescent="0.25">
      <c r="A359">
        <v>401</v>
      </c>
      <c r="B359" s="2">
        <f ca="1">OFFSET(INDIRECT(ADDRESS($A359,3,3,1,Menus!$K$10)),0,Menus!$J$4)</f>
        <v>0</v>
      </c>
      <c r="C359" s="2">
        <f ca="1">OFFSET(INDIRECT(ADDRESS($A359,3,3,1,Menus!$K$10)),0,Menus!$J$3)</f>
        <v>0</v>
      </c>
      <c r="D359" s="73" t="e">
        <f ca="1">IF(Menus!$J$9,C359/B359,C359)</f>
        <v>#DIV/0!</v>
      </c>
      <c r="E359" s="74" t="e">
        <f t="shared" ca="1" si="12"/>
        <v>#N/A</v>
      </c>
      <c r="F359" s="75">
        <f ca="1">INDIRECT(ADDRESS($A359,1,3,1,Menus!$K$10))</f>
        <v>0</v>
      </c>
      <c r="G359" s="2" t="e">
        <f ca="1">IF(INDIRECT(ADDRESS($A359,2,3,1,Menus!$K$10))=G$1,$D359,#N/A)</f>
        <v>#N/A</v>
      </c>
      <c r="H359" s="2" t="e">
        <f ca="1">IF(INDIRECT(ADDRESS($A359,2,3,1,Menus!$K$10))=H$1,$D359,#N/A)</f>
        <v>#N/A</v>
      </c>
      <c r="I359" s="2" t="e">
        <f ca="1">IF(INDIRECT(ADDRESS($A359,2,3,1,Menus!$K$10))=I$1,$D359,#N/A)</f>
        <v>#N/A</v>
      </c>
      <c r="J359" s="2" t="e">
        <f ca="1">IF(INDIRECT(ADDRESS($A359,1,3,1,Menus!$K$10))=T(J$1),$D359,#N/A)</f>
        <v>#N/A</v>
      </c>
      <c r="K359" s="10">
        <f t="shared" ca="1" si="11"/>
        <v>0</v>
      </c>
      <c r="L359" s="2"/>
      <c r="M359" s="85">
        <f ca="1">OFFSET(INDIRECT(ADDRESS($A359,3,3,1,"Gross")),0,Menus!$J$4)</f>
        <v>0</v>
      </c>
      <c r="N359" s="85">
        <f ca="1">OFFSET(INDIRECT(ADDRESS($A359,3,3,1,"Gross")),0,Menus!$J$3)</f>
        <v>0</v>
      </c>
    </row>
    <row r="360" spans="1:14" x14ac:dyDescent="0.25">
      <c r="A360">
        <v>402</v>
      </c>
      <c r="B360" s="2">
        <f ca="1">OFFSET(INDIRECT(ADDRESS($A360,3,3,1,Menus!$K$10)),0,Menus!$J$4)</f>
        <v>0</v>
      </c>
      <c r="C360" s="2">
        <f ca="1">OFFSET(INDIRECT(ADDRESS($A360,3,3,1,Menus!$K$10)),0,Menus!$J$3)</f>
        <v>0</v>
      </c>
      <c r="D360" s="73" t="e">
        <f ca="1">IF(Menus!$J$9,C360/B360,C360)</f>
        <v>#DIV/0!</v>
      </c>
      <c r="E360" s="74" t="e">
        <f t="shared" ca="1" si="12"/>
        <v>#N/A</v>
      </c>
      <c r="F360" s="75">
        <f ca="1">INDIRECT(ADDRESS($A360,1,3,1,Menus!$K$10))</f>
        <v>0</v>
      </c>
      <c r="G360" s="2" t="e">
        <f ca="1">IF(INDIRECT(ADDRESS($A360,2,3,1,Menus!$K$10))=G$1,$D360,#N/A)</f>
        <v>#N/A</v>
      </c>
      <c r="H360" s="2" t="e">
        <f ca="1">IF(INDIRECT(ADDRESS($A360,2,3,1,Menus!$K$10))=H$1,$D360,#N/A)</f>
        <v>#N/A</v>
      </c>
      <c r="I360" s="2" t="e">
        <f ca="1">IF(INDIRECT(ADDRESS($A360,2,3,1,Menus!$K$10))=I$1,$D360,#N/A)</f>
        <v>#N/A</v>
      </c>
      <c r="J360" s="2" t="e">
        <f ca="1">IF(INDIRECT(ADDRESS($A360,1,3,1,Menus!$K$10))=T(J$1),$D360,#N/A)</f>
        <v>#N/A</v>
      </c>
      <c r="K360" s="10">
        <f t="shared" ca="1" si="11"/>
        <v>0</v>
      </c>
      <c r="L360" s="2"/>
      <c r="M360" s="85">
        <f ca="1">OFFSET(INDIRECT(ADDRESS($A360,3,3,1,"Gross")),0,Menus!$J$4)</f>
        <v>0</v>
      </c>
      <c r="N360" s="85">
        <f ca="1">OFFSET(INDIRECT(ADDRESS($A360,3,3,1,"Gross")),0,Menus!$J$3)</f>
        <v>0</v>
      </c>
    </row>
    <row r="361" spans="1:14" x14ac:dyDescent="0.25">
      <c r="A361">
        <v>403</v>
      </c>
      <c r="B361" s="2">
        <f ca="1">OFFSET(INDIRECT(ADDRESS($A361,3,3,1,Menus!$K$10)),0,Menus!$J$4)</f>
        <v>0</v>
      </c>
      <c r="C361" s="2">
        <f ca="1">OFFSET(INDIRECT(ADDRESS($A361,3,3,1,Menus!$K$10)),0,Menus!$J$3)</f>
        <v>0</v>
      </c>
      <c r="D361" s="73" t="e">
        <f ca="1">IF(Menus!$J$9,C361/B361,C361)</f>
        <v>#DIV/0!</v>
      </c>
      <c r="E361" s="74" t="e">
        <f t="shared" ca="1" si="12"/>
        <v>#N/A</v>
      </c>
      <c r="F361" s="75">
        <f ca="1">INDIRECT(ADDRESS($A361,1,3,1,Menus!$K$10))</f>
        <v>0</v>
      </c>
      <c r="G361" s="2" t="e">
        <f ca="1">IF(INDIRECT(ADDRESS($A361,2,3,1,Menus!$K$10))=G$1,$D361,#N/A)</f>
        <v>#N/A</v>
      </c>
      <c r="H361" s="2" t="e">
        <f ca="1">IF(INDIRECT(ADDRESS($A361,2,3,1,Menus!$K$10))=H$1,$D361,#N/A)</f>
        <v>#N/A</v>
      </c>
      <c r="I361" s="2" t="e">
        <f ca="1">IF(INDIRECT(ADDRESS($A361,2,3,1,Menus!$K$10))=I$1,$D361,#N/A)</f>
        <v>#N/A</v>
      </c>
      <c r="J361" s="2" t="e">
        <f ca="1">IF(INDIRECT(ADDRESS($A361,1,3,1,Menus!$K$10))=T(J$1),$D361,#N/A)</f>
        <v>#N/A</v>
      </c>
      <c r="K361" s="10">
        <f t="shared" ca="1" si="11"/>
        <v>0</v>
      </c>
      <c r="L361" s="2"/>
      <c r="M361" s="85">
        <f ca="1">OFFSET(INDIRECT(ADDRESS($A361,3,3,1,"Gross")),0,Menus!$J$4)</f>
        <v>0</v>
      </c>
      <c r="N361" s="85">
        <f ca="1">OFFSET(INDIRECT(ADDRESS($A361,3,3,1,"Gross")),0,Menus!$J$3)</f>
        <v>0</v>
      </c>
    </row>
    <row r="362" spans="1:14" x14ac:dyDescent="0.25">
      <c r="A362">
        <v>404</v>
      </c>
      <c r="B362" s="2">
        <f ca="1">OFFSET(INDIRECT(ADDRESS($A362,3,3,1,Menus!$K$10)),0,Menus!$J$4)</f>
        <v>0</v>
      </c>
      <c r="C362" s="2">
        <f ca="1">OFFSET(INDIRECT(ADDRESS($A362,3,3,1,Menus!$K$10)),0,Menus!$J$3)</f>
        <v>0</v>
      </c>
      <c r="D362" s="73" t="e">
        <f ca="1">IF(Menus!$J$9,C362/B362,C362)</f>
        <v>#DIV/0!</v>
      </c>
      <c r="E362" s="74" t="e">
        <f t="shared" ca="1" si="12"/>
        <v>#N/A</v>
      </c>
      <c r="F362" s="75">
        <f ca="1">INDIRECT(ADDRESS($A362,1,3,1,Menus!$K$10))</f>
        <v>0</v>
      </c>
      <c r="G362" s="2" t="e">
        <f ca="1">IF(INDIRECT(ADDRESS($A362,2,3,1,Menus!$K$10))=G$1,$D362,#N/A)</f>
        <v>#N/A</v>
      </c>
      <c r="H362" s="2" t="e">
        <f ca="1">IF(INDIRECT(ADDRESS($A362,2,3,1,Menus!$K$10))=H$1,$D362,#N/A)</f>
        <v>#N/A</v>
      </c>
      <c r="I362" s="2" t="e">
        <f ca="1">IF(INDIRECT(ADDRESS($A362,2,3,1,Menus!$K$10))=I$1,$D362,#N/A)</f>
        <v>#N/A</v>
      </c>
      <c r="J362" s="2" t="e">
        <f ca="1">IF(INDIRECT(ADDRESS($A362,1,3,1,Menus!$K$10))=T(J$1),$D362,#N/A)</f>
        <v>#N/A</v>
      </c>
      <c r="K362" s="10">
        <f t="shared" ca="1" si="11"/>
        <v>0</v>
      </c>
      <c r="L362" s="2"/>
      <c r="M362" s="85">
        <f ca="1">OFFSET(INDIRECT(ADDRESS($A362,3,3,1,"Gross")),0,Menus!$J$4)</f>
        <v>0</v>
      </c>
      <c r="N362" s="85">
        <f ca="1">OFFSET(INDIRECT(ADDRESS($A362,3,3,1,"Gross")),0,Menus!$J$3)</f>
        <v>0</v>
      </c>
    </row>
    <row r="363" spans="1:14" x14ac:dyDescent="0.25">
      <c r="A363">
        <v>405</v>
      </c>
      <c r="B363" s="2">
        <f ca="1">OFFSET(INDIRECT(ADDRESS($A363,3,3,1,Menus!$K$10)),0,Menus!$J$4)</f>
        <v>0</v>
      </c>
      <c r="C363" s="2">
        <f ca="1">OFFSET(INDIRECT(ADDRESS($A363,3,3,1,Menus!$K$10)),0,Menus!$J$3)</f>
        <v>0</v>
      </c>
      <c r="D363" s="73" t="e">
        <f ca="1">IF(Menus!$J$9,C363/B363,C363)</f>
        <v>#DIV/0!</v>
      </c>
      <c r="E363" s="74" t="e">
        <f t="shared" ca="1" si="12"/>
        <v>#N/A</v>
      </c>
      <c r="F363" s="75">
        <f ca="1">INDIRECT(ADDRESS($A363,1,3,1,Menus!$K$10))</f>
        <v>0</v>
      </c>
      <c r="G363" s="2" t="e">
        <f ca="1">IF(INDIRECT(ADDRESS($A363,2,3,1,Menus!$K$10))=G$1,$D363,#N/A)</f>
        <v>#N/A</v>
      </c>
      <c r="H363" s="2" t="e">
        <f ca="1">IF(INDIRECT(ADDRESS($A363,2,3,1,Menus!$K$10))=H$1,$D363,#N/A)</f>
        <v>#N/A</v>
      </c>
      <c r="I363" s="2" t="e">
        <f ca="1">IF(INDIRECT(ADDRESS($A363,2,3,1,Menus!$K$10))=I$1,$D363,#N/A)</f>
        <v>#N/A</v>
      </c>
      <c r="J363" s="2" t="e">
        <f ca="1">IF(INDIRECT(ADDRESS($A363,1,3,1,Menus!$K$10))=T(J$1),$D363,#N/A)</f>
        <v>#N/A</v>
      </c>
      <c r="K363" s="10">
        <f t="shared" ca="1" si="11"/>
        <v>0</v>
      </c>
      <c r="L363" s="2"/>
      <c r="M363" s="85">
        <f ca="1">OFFSET(INDIRECT(ADDRESS($A363,3,3,1,"Gross")),0,Menus!$J$4)</f>
        <v>0</v>
      </c>
      <c r="N363" s="85">
        <f ca="1">OFFSET(INDIRECT(ADDRESS($A363,3,3,1,"Gross")),0,Menus!$J$3)</f>
        <v>0</v>
      </c>
    </row>
    <row r="364" spans="1:14" x14ac:dyDescent="0.25">
      <c r="A364">
        <v>406</v>
      </c>
      <c r="B364" s="2">
        <f ca="1">OFFSET(INDIRECT(ADDRESS($A364,3,3,1,Menus!$K$10)),0,Menus!$J$4)</f>
        <v>0</v>
      </c>
      <c r="C364" s="2">
        <f ca="1">OFFSET(INDIRECT(ADDRESS($A364,3,3,1,Menus!$K$10)),0,Menus!$J$3)</f>
        <v>0</v>
      </c>
      <c r="D364" s="73" t="e">
        <f ca="1">IF(Menus!$J$9,C364/B364,C364)</f>
        <v>#DIV/0!</v>
      </c>
      <c r="E364" s="74" t="e">
        <f t="shared" ca="1" si="12"/>
        <v>#N/A</v>
      </c>
      <c r="F364" s="75">
        <f ca="1">INDIRECT(ADDRESS($A364,1,3,1,Menus!$K$10))</f>
        <v>0</v>
      </c>
      <c r="G364" s="2" t="e">
        <f ca="1">IF(INDIRECT(ADDRESS($A364,2,3,1,Menus!$K$10))=G$1,$D364,#N/A)</f>
        <v>#N/A</v>
      </c>
      <c r="H364" s="2" t="e">
        <f ca="1">IF(INDIRECT(ADDRESS($A364,2,3,1,Menus!$K$10))=H$1,$D364,#N/A)</f>
        <v>#N/A</v>
      </c>
      <c r="I364" s="2" t="e">
        <f ca="1">IF(INDIRECT(ADDRESS($A364,2,3,1,Menus!$K$10))=I$1,$D364,#N/A)</f>
        <v>#N/A</v>
      </c>
      <c r="J364" s="2" t="e">
        <f ca="1">IF(INDIRECT(ADDRESS($A364,1,3,1,Menus!$K$10))=T(J$1),$D364,#N/A)</f>
        <v>#N/A</v>
      </c>
      <c r="K364" s="10">
        <f t="shared" ca="1" si="11"/>
        <v>0</v>
      </c>
      <c r="L364" s="2"/>
      <c r="M364" s="85">
        <f ca="1">OFFSET(INDIRECT(ADDRESS($A364,3,3,1,"Gross")),0,Menus!$J$4)</f>
        <v>0</v>
      </c>
      <c r="N364" s="85">
        <f ca="1">OFFSET(INDIRECT(ADDRESS($A364,3,3,1,"Gross")),0,Menus!$J$3)</f>
        <v>0</v>
      </c>
    </row>
    <row r="365" spans="1:14" x14ac:dyDescent="0.25">
      <c r="A365">
        <v>407</v>
      </c>
      <c r="B365" s="2">
        <f ca="1">OFFSET(INDIRECT(ADDRESS($A365,3,3,1,Menus!$K$10)),0,Menus!$J$4)</f>
        <v>0</v>
      </c>
      <c r="C365" s="2">
        <f ca="1">OFFSET(INDIRECT(ADDRESS($A365,3,3,1,Menus!$K$10)),0,Menus!$J$3)</f>
        <v>0</v>
      </c>
      <c r="D365" s="73" t="e">
        <f ca="1">IF(Menus!$J$9,C365/B365,C365)</f>
        <v>#DIV/0!</v>
      </c>
      <c r="E365" s="74" t="e">
        <f t="shared" ca="1" si="12"/>
        <v>#N/A</v>
      </c>
      <c r="F365" s="75">
        <f ca="1">INDIRECT(ADDRESS($A365,1,3,1,Menus!$K$10))</f>
        <v>0</v>
      </c>
      <c r="G365" s="2" t="e">
        <f ca="1">IF(INDIRECT(ADDRESS($A365,2,3,1,Menus!$K$10))=G$1,$D365,#N/A)</f>
        <v>#N/A</v>
      </c>
      <c r="H365" s="2" t="e">
        <f ca="1">IF(INDIRECT(ADDRESS($A365,2,3,1,Menus!$K$10))=H$1,$D365,#N/A)</f>
        <v>#N/A</v>
      </c>
      <c r="I365" s="2" t="e">
        <f ca="1">IF(INDIRECT(ADDRESS($A365,2,3,1,Menus!$K$10))=I$1,$D365,#N/A)</f>
        <v>#N/A</v>
      </c>
      <c r="J365" s="2" t="e">
        <f ca="1">IF(INDIRECT(ADDRESS($A365,1,3,1,Menus!$K$10))=T(J$1),$D365,#N/A)</f>
        <v>#N/A</v>
      </c>
      <c r="K365" s="10">
        <f t="shared" ca="1" si="11"/>
        <v>0</v>
      </c>
      <c r="L365" s="2"/>
      <c r="M365" s="85">
        <f ca="1">OFFSET(INDIRECT(ADDRESS($A365,3,3,1,"Gross")),0,Menus!$J$4)</f>
        <v>0</v>
      </c>
      <c r="N365" s="85">
        <f ca="1">OFFSET(INDIRECT(ADDRESS($A365,3,3,1,"Gross")),0,Menus!$J$3)</f>
        <v>0</v>
      </c>
    </row>
    <row r="366" spans="1:14" x14ac:dyDescent="0.25">
      <c r="A366">
        <v>408</v>
      </c>
      <c r="B366" s="2">
        <f ca="1">OFFSET(INDIRECT(ADDRESS($A366,3,3,1,Menus!$K$10)),0,Menus!$J$4)</f>
        <v>0</v>
      </c>
      <c r="C366" s="2">
        <f ca="1">OFFSET(INDIRECT(ADDRESS($A366,3,3,1,Menus!$K$10)),0,Menus!$J$3)</f>
        <v>0</v>
      </c>
      <c r="D366" s="73" t="e">
        <f ca="1">IF(Menus!$J$9,C366/B366,C366)</f>
        <v>#DIV/0!</v>
      </c>
      <c r="E366" s="74" t="e">
        <f t="shared" ca="1" si="12"/>
        <v>#N/A</v>
      </c>
      <c r="F366" s="75">
        <f ca="1">INDIRECT(ADDRESS($A366,1,3,1,Menus!$K$10))</f>
        <v>0</v>
      </c>
      <c r="G366" s="2" t="e">
        <f ca="1">IF(INDIRECT(ADDRESS($A366,2,3,1,Menus!$K$10))=G$1,$D366,#N/A)</f>
        <v>#N/A</v>
      </c>
      <c r="H366" s="2" t="e">
        <f ca="1">IF(INDIRECT(ADDRESS($A366,2,3,1,Menus!$K$10))=H$1,$D366,#N/A)</f>
        <v>#N/A</v>
      </c>
      <c r="I366" s="2" t="e">
        <f ca="1">IF(INDIRECT(ADDRESS($A366,2,3,1,Menus!$K$10))=I$1,$D366,#N/A)</f>
        <v>#N/A</v>
      </c>
      <c r="J366" s="2" t="e">
        <f ca="1">IF(INDIRECT(ADDRESS($A366,1,3,1,Menus!$K$10))=T(J$1),$D366,#N/A)</f>
        <v>#N/A</v>
      </c>
      <c r="K366" s="10">
        <f t="shared" ca="1" si="11"/>
        <v>0</v>
      </c>
      <c r="L366" s="2"/>
      <c r="M366" s="85">
        <f ca="1">OFFSET(INDIRECT(ADDRESS($A366,3,3,1,"Gross")),0,Menus!$J$4)</f>
        <v>0</v>
      </c>
      <c r="N366" s="85">
        <f ca="1">OFFSET(INDIRECT(ADDRESS($A366,3,3,1,"Gross")),0,Menus!$J$3)</f>
        <v>0</v>
      </c>
    </row>
    <row r="367" spans="1:14" x14ac:dyDescent="0.25">
      <c r="A367">
        <v>409</v>
      </c>
      <c r="B367" s="2">
        <f ca="1">OFFSET(INDIRECT(ADDRESS($A367,3,3,1,Menus!$K$10)),0,Menus!$J$4)</f>
        <v>0</v>
      </c>
      <c r="C367" s="2">
        <f ca="1">OFFSET(INDIRECT(ADDRESS($A367,3,3,1,Menus!$K$10)),0,Menus!$J$3)</f>
        <v>0</v>
      </c>
      <c r="D367" s="73" t="e">
        <f ca="1">IF(Menus!$J$9,C367/B367,C367)</f>
        <v>#DIV/0!</v>
      </c>
      <c r="E367" s="74" t="e">
        <f t="shared" ca="1" si="12"/>
        <v>#N/A</v>
      </c>
      <c r="F367" s="75">
        <f ca="1">INDIRECT(ADDRESS($A367,1,3,1,Menus!$K$10))</f>
        <v>0</v>
      </c>
      <c r="G367" s="2" t="e">
        <f ca="1">IF(INDIRECT(ADDRESS($A367,2,3,1,Menus!$K$10))=G$1,$D367,#N/A)</f>
        <v>#N/A</v>
      </c>
      <c r="H367" s="2" t="e">
        <f ca="1">IF(INDIRECT(ADDRESS($A367,2,3,1,Menus!$K$10))=H$1,$D367,#N/A)</f>
        <v>#N/A</v>
      </c>
      <c r="I367" s="2" t="e">
        <f ca="1">IF(INDIRECT(ADDRESS($A367,2,3,1,Menus!$K$10))=I$1,$D367,#N/A)</f>
        <v>#N/A</v>
      </c>
      <c r="J367" s="2" t="e">
        <f ca="1">IF(INDIRECT(ADDRESS($A367,1,3,1,Menus!$K$10))=T(J$1),$D367,#N/A)</f>
        <v>#N/A</v>
      </c>
      <c r="K367" s="10">
        <f t="shared" ca="1" si="11"/>
        <v>0</v>
      </c>
      <c r="L367" s="2"/>
      <c r="M367" s="85">
        <f ca="1">OFFSET(INDIRECT(ADDRESS($A367,3,3,1,"Gross")),0,Menus!$J$4)</f>
        <v>0</v>
      </c>
      <c r="N367" s="85">
        <f ca="1">OFFSET(INDIRECT(ADDRESS($A367,3,3,1,"Gross")),0,Menus!$J$3)</f>
        <v>0</v>
      </c>
    </row>
    <row r="368" spans="1:14" x14ac:dyDescent="0.25">
      <c r="A368">
        <v>410</v>
      </c>
      <c r="B368" s="2">
        <f ca="1">OFFSET(INDIRECT(ADDRESS($A368,3,3,1,Menus!$K$10)),0,Menus!$J$4)</f>
        <v>0</v>
      </c>
      <c r="C368" s="2">
        <f ca="1">OFFSET(INDIRECT(ADDRESS($A368,3,3,1,Menus!$K$10)),0,Menus!$J$3)</f>
        <v>0</v>
      </c>
      <c r="D368" s="73" t="e">
        <f ca="1">IF(Menus!$J$9,C368/B368,C368)</f>
        <v>#DIV/0!</v>
      </c>
      <c r="E368" s="74" t="e">
        <f t="shared" ca="1" si="12"/>
        <v>#N/A</v>
      </c>
      <c r="F368" s="75">
        <f ca="1">INDIRECT(ADDRESS($A368,1,3,1,Menus!$K$10))</f>
        <v>0</v>
      </c>
      <c r="G368" s="2" t="e">
        <f ca="1">IF(INDIRECT(ADDRESS($A368,2,3,1,Menus!$K$10))=G$1,$D368,#N/A)</f>
        <v>#N/A</v>
      </c>
      <c r="H368" s="2" t="e">
        <f ca="1">IF(INDIRECT(ADDRESS($A368,2,3,1,Menus!$K$10))=H$1,$D368,#N/A)</f>
        <v>#N/A</v>
      </c>
      <c r="I368" s="2" t="e">
        <f ca="1">IF(INDIRECT(ADDRESS($A368,2,3,1,Menus!$K$10))=I$1,$D368,#N/A)</f>
        <v>#N/A</v>
      </c>
      <c r="J368" s="2" t="e">
        <f ca="1">IF(INDIRECT(ADDRESS($A368,1,3,1,Menus!$K$10))=T(J$1),$D368,#N/A)</f>
        <v>#N/A</v>
      </c>
      <c r="K368" s="10">
        <f t="shared" ca="1" si="11"/>
        <v>0</v>
      </c>
      <c r="L368" s="2"/>
      <c r="M368" s="85">
        <f ca="1">OFFSET(INDIRECT(ADDRESS($A368,3,3,1,"Gross")),0,Menus!$J$4)</f>
        <v>0</v>
      </c>
      <c r="N368" s="85">
        <f ca="1">OFFSET(INDIRECT(ADDRESS($A368,3,3,1,"Gross")),0,Menus!$J$3)</f>
        <v>0</v>
      </c>
    </row>
    <row r="369" spans="1:14" x14ac:dyDescent="0.25">
      <c r="A369">
        <v>411</v>
      </c>
      <c r="B369" s="2">
        <f ca="1">OFFSET(INDIRECT(ADDRESS($A369,3,3,1,Menus!$K$10)),0,Menus!$J$4)</f>
        <v>0</v>
      </c>
      <c r="C369" s="2">
        <f ca="1">OFFSET(INDIRECT(ADDRESS($A369,3,3,1,Menus!$K$10)),0,Menus!$J$3)</f>
        <v>0</v>
      </c>
      <c r="D369" s="73" t="e">
        <f ca="1">IF(Menus!$J$9,C369/B369,C369)</f>
        <v>#DIV/0!</v>
      </c>
      <c r="E369" s="74" t="e">
        <f t="shared" ca="1" si="12"/>
        <v>#N/A</v>
      </c>
      <c r="F369" s="75">
        <f ca="1">INDIRECT(ADDRESS($A369,1,3,1,Menus!$K$10))</f>
        <v>0</v>
      </c>
      <c r="G369" s="2" t="e">
        <f ca="1">IF(INDIRECT(ADDRESS($A369,2,3,1,Menus!$K$10))=G$1,$D369,#N/A)</f>
        <v>#N/A</v>
      </c>
      <c r="H369" s="2" t="e">
        <f ca="1">IF(INDIRECT(ADDRESS($A369,2,3,1,Menus!$K$10))=H$1,$D369,#N/A)</f>
        <v>#N/A</v>
      </c>
      <c r="I369" s="2" t="e">
        <f ca="1">IF(INDIRECT(ADDRESS($A369,2,3,1,Menus!$K$10))=I$1,$D369,#N/A)</f>
        <v>#N/A</v>
      </c>
      <c r="J369" s="2" t="e">
        <f ca="1">IF(INDIRECT(ADDRESS($A369,1,3,1,Menus!$K$10))=T(J$1),$D369,#N/A)</f>
        <v>#N/A</v>
      </c>
      <c r="K369" s="10">
        <f t="shared" ca="1" si="11"/>
        <v>0</v>
      </c>
      <c r="L369" s="2"/>
      <c r="M369" s="85">
        <f ca="1">OFFSET(INDIRECT(ADDRESS($A369,3,3,1,"Gross")),0,Menus!$J$4)</f>
        <v>0</v>
      </c>
      <c r="N369" s="85">
        <f ca="1">OFFSET(INDIRECT(ADDRESS($A369,3,3,1,"Gross")),0,Menus!$J$3)</f>
        <v>0</v>
      </c>
    </row>
    <row r="370" spans="1:14" x14ac:dyDescent="0.25">
      <c r="A370">
        <v>412</v>
      </c>
      <c r="B370" s="2">
        <f ca="1">OFFSET(INDIRECT(ADDRESS($A370,3,3,1,Menus!$K$10)),0,Menus!$J$4)</f>
        <v>0</v>
      </c>
      <c r="C370" s="2">
        <f ca="1">OFFSET(INDIRECT(ADDRESS($A370,3,3,1,Menus!$K$10)),0,Menus!$J$3)</f>
        <v>0</v>
      </c>
      <c r="D370" s="73" t="e">
        <f ca="1">IF(Menus!$J$9,C370/B370,C370)</f>
        <v>#DIV/0!</v>
      </c>
      <c r="E370" s="74" t="e">
        <f t="shared" ca="1" si="12"/>
        <v>#N/A</v>
      </c>
      <c r="F370" s="75">
        <f ca="1">INDIRECT(ADDRESS($A370,1,3,1,Menus!$K$10))</f>
        <v>0</v>
      </c>
      <c r="G370" s="2" t="e">
        <f ca="1">IF(INDIRECT(ADDRESS($A370,2,3,1,Menus!$K$10))=G$1,$D370,#N/A)</f>
        <v>#N/A</v>
      </c>
      <c r="H370" s="2" t="e">
        <f ca="1">IF(INDIRECT(ADDRESS($A370,2,3,1,Menus!$K$10))=H$1,$D370,#N/A)</f>
        <v>#N/A</v>
      </c>
      <c r="I370" s="2" t="e">
        <f ca="1">IF(INDIRECT(ADDRESS($A370,2,3,1,Menus!$K$10))=I$1,$D370,#N/A)</f>
        <v>#N/A</v>
      </c>
      <c r="J370" s="2" t="e">
        <f ca="1">IF(INDIRECT(ADDRESS($A370,1,3,1,Menus!$K$10))=T(J$1),$D370,#N/A)</f>
        <v>#N/A</v>
      </c>
      <c r="K370" s="10">
        <f t="shared" ca="1" si="11"/>
        <v>0</v>
      </c>
      <c r="L370" s="2"/>
      <c r="M370" s="85">
        <f ca="1">OFFSET(INDIRECT(ADDRESS($A370,3,3,1,"Gross")),0,Menus!$J$4)</f>
        <v>0</v>
      </c>
      <c r="N370" s="85">
        <f ca="1">OFFSET(INDIRECT(ADDRESS($A370,3,3,1,"Gross")),0,Menus!$J$3)</f>
        <v>0</v>
      </c>
    </row>
    <row r="371" spans="1:14" x14ac:dyDescent="0.25">
      <c r="A371">
        <v>413</v>
      </c>
      <c r="B371" s="2">
        <f ca="1">OFFSET(INDIRECT(ADDRESS($A371,3,3,1,Menus!$K$10)),0,Menus!$J$4)</f>
        <v>0</v>
      </c>
      <c r="C371" s="2">
        <f ca="1">OFFSET(INDIRECT(ADDRESS($A371,3,3,1,Menus!$K$10)),0,Menus!$J$3)</f>
        <v>0</v>
      </c>
      <c r="D371" s="73" t="e">
        <f ca="1">IF(Menus!$J$9,C371/B371,C371)</f>
        <v>#DIV/0!</v>
      </c>
      <c r="E371" s="74" t="e">
        <f t="shared" ca="1" si="12"/>
        <v>#N/A</v>
      </c>
      <c r="F371" s="75">
        <f ca="1">INDIRECT(ADDRESS($A371,1,3,1,Menus!$K$10))</f>
        <v>0</v>
      </c>
      <c r="G371" s="2" t="e">
        <f ca="1">IF(INDIRECT(ADDRESS($A371,2,3,1,Menus!$K$10))=G$1,$D371,#N/A)</f>
        <v>#N/A</v>
      </c>
      <c r="H371" s="2" t="e">
        <f ca="1">IF(INDIRECT(ADDRESS($A371,2,3,1,Menus!$K$10))=H$1,$D371,#N/A)</f>
        <v>#N/A</v>
      </c>
      <c r="I371" s="2" t="e">
        <f ca="1">IF(INDIRECT(ADDRESS($A371,2,3,1,Menus!$K$10))=I$1,$D371,#N/A)</f>
        <v>#N/A</v>
      </c>
      <c r="J371" s="2" t="e">
        <f ca="1">IF(INDIRECT(ADDRESS($A371,1,3,1,Menus!$K$10))=T(J$1),$D371,#N/A)</f>
        <v>#N/A</v>
      </c>
      <c r="K371" s="10">
        <f t="shared" ca="1" si="11"/>
        <v>0</v>
      </c>
      <c r="L371" s="2"/>
      <c r="M371" s="85">
        <f ca="1">OFFSET(INDIRECT(ADDRESS($A371,3,3,1,"Gross")),0,Menus!$J$4)</f>
        <v>0</v>
      </c>
      <c r="N371" s="85">
        <f ca="1">OFFSET(INDIRECT(ADDRESS($A371,3,3,1,"Gross")),0,Menus!$J$3)</f>
        <v>0</v>
      </c>
    </row>
    <row r="372" spans="1:14" x14ac:dyDescent="0.25">
      <c r="A372">
        <v>414</v>
      </c>
      <c r="B372" s="2">
        <f ca="1">OFFSET(INDIRECT(ADDRESS($A372,3,3,1,Menus!$K$10)),0,Menus!$J$4)</f>
        <v>0</v>
      </c>
      <c r="C372" s="2">
        <f ca="1">OFFSET(INDIRECT(ADDRESS($A372,3,3,1,Menus!$K$10)),0,Menus!$J$3)</f>
        <v>0</v>
      </c>
      <c r="D372" s="73" t="e">
        <f ca="1">IF(Menus!$J$9,C372/B372,C372)</f>
        <v>#DIV/0!</v>
      </c>
      <c r="E372" s="74" t="e">
        <f t="shared" ca="1" si="12"/>
        <v>#N/A</v>
      </c>
      <c r="F372" s="75">
        <f ca="1">INDIRECT(ADDRESS($A372,1,3,1,Menus!$K$10))</f>
        <v>0</v>
      </c>
      <c r="G372" s="2" t="e">
        <f ca="1">IF(INDIRECT(ADDRESS($A372,2,3,1,Menus!$K$10))=G$1,$D372,#N/A)</f>
        <v>#N/A</v>
      </c>
      <c r="H372" s="2" t="e">
        <f ca="1">IF(INDIRECT(ADDRESS($A372,2,3,1,Menus!$K$10))=H$1,$D372,#N/A)</f>
        <v>#N/A</v>
      </c>
      <c r="I372" s="2" t="e">
        <f ca="1">IF(INDIRECT(ADDRESS($A372,2,3,1,Menus!$K$10))=I$1,$D372,#N/A)</f>
        <v>#N/A</v>
      </c>
      <c r="J372" s="2" t="e">
        <f ca="1">IF(INDIRECT(ADDRESS($A372,1,3,1,Menus!$K$10))=T(J$1),$D372,#N/A)</f>
        <v>#N/A</v>
      </c>
      <c r="K372" s="10">
        <f t="shared" ca="1" si="11"/>
        <v>0</v>
      </c>
      <c r="L372" s="2"/>
      <c r="M372" s="85">
        <f ca="1">OFFSET(INDIRECT(ADDRESS($A372,3,3,1,"Gross")),0,Menus!$J$4)</f>
        <v>0</v>
      </c>
      <c r="N372" s="85">
        <f ca="1">OFFSET(INDIRECT(ADDRESS($A372,3,3,1,"Gross")),0,Menus!$J$3)</f>
        <v>0</v>
      </c>
    </row>
    <row r="373" spans="1:14" x14ac:dyDescent="0.25">
      <c r="A373">
        <v>415</v>
      </c>
      <c r="B373" s="2">
        <f ca="1">OFFSET(INDIRECT(ADDRESS($A373,3,3,1,Menus!$K$10)),0,Menus!$J$4)</f>
        <v>0</v>
      </c>
      <c r="C373" s="2">
        <f ca="1">OFFSET(INDIRECT(ADDRESS($A373,3,3,1,Menus!$K$10)),0,Menus!$J$3)</f>
        <v>0</v>
      </c>
      <c r="D373" s="73" t="e">
        <f ca="1">IF(Menus!$J$9,C373/B373,C373)</f>
        <v>#DIV/0!</v>
      </c>
      <c r="E373" s="74" t="e">
        <f t="shared" ca="1" si="12"/>
        <v>#N/A</v>
      </c>
      <c r="F373" s="75">
        <f ca="1">INDIRECT(ADDRESS($A373,1,3,1,Menus!$K$10))</f>
        <v>0</v>
      </c>
      <c r="G373" s="2" t="e">
        <f ca="1">IF(INDIRECT(ADDRESS($A373,2,3,1,Menus!$K$10))=G$1,$D373,#N/A)</f>
        <v>#N/A</v>
      </c>
      <c r="H373" s="2" t="e">
        <f ca="1">IF(INDIRECT(ADDRESS($A373,2,3,1,Menus!$K$10))=H$1,$D373,#N/A)</f>
        <v>#N/A</v>
      </c>
      <c r="I373" s="2" t="e">
        <f ca="1">IF(INDIRECT(ADDRESS($A373,2,3,1,Menus!$K$10))=I$1,$D373,#N/A)</f>
        <v>#N/A</v>
      </c>
      <c r="J373" s="2" t="e">
        <f ca="1">IF(INDIRECT(ADDRESS($A373,1,3,1,Menus!$K$10))=T(J$1),$D373,#N/A)</f>
        <v>#N/A</v>
      </c>
      <c r="K373" s="10">
        <f t="shared" ca="1" si="11"/>
        <v>0</v>
      </c>
      <c r="L373" s="2"/>
      <c r="M373" s="85">
        <f ca="1">OFFSET(INDIRECT(ADDRESS($A373,3,3,1,"Gross")),0,Menus!$J$4)</f>
        <v>0</v>
      </c>
      <c r="N373" s="85">
        <f ca="1">OFFSET(INDIRECT(ADDRESS($A373,3,3,1,"Gross")),0,Menus!$J$3)</f>
        <v>0</v>
      </c>
    </row>
    <row r="374" spans="1:14" x14ac:dyDescent="0.25">
      <c r="A374">
        <v>416</v>
      </c>
      <c r="B374" s="2">
        <f ca="1">OFFSET(INDIRECT(ADDRESS($A374,3,3,1,Menus!$K$10)),0,Menus!$J$4)</f>
        <v>0</v>
      </c>
      <c r="C374" s="2">
        <f ca="1">OFFSET(INDIRECT(ADDRESS($A374,3,3,1,Menus!$K$10)),0,Menus!$J$3)</f>
        <v>0</v>
      </c>
      <c r="D374" s="73" t="e">
        <f ca="1">IF(Menus!$J$9,C374/B374,C374)</f>
        <v>#DIV/0!</v>
      </c>
      <c r="E374" s="74" t="e">
        <f t="shared" ca="1" si="12"/>
        <v>#N/A</v>
      </c>
      <c r="F374" s="75">
        <f ca="1">INDIRECT(ADDRESS($A374,1,3,1,Menus!$K$10))</f>
        <v>0</v>
      </c>
      <c r="G374" s="2" t="e">
        <f ca="1">IF(INDIRECT(ADDRESS($A374,2,3,1,Menus!$K$10))=G$1,$D374,#N/A)</f>
        <v>#N/A</v>
      </c>
      <c r="H374" s="2" t="e">
        <f ca="1">IF(INDIRECT(ADDRESS($A374,2,3,1,Menus!$K$10))=H$1,$D374,#N/A)</f>
        <v>#N/A</v>
      </c>
      <c r="I374" s="2" t="e">
        <f ca="1">IF(INDIRECT(ADDRESS($A374,2,3,1,Menus!$K$10))=I$1,$D374,#N/A)</f>
        <v>#N/A</v>
      </c>
      <c r="J374" s="2" t="e">
        <f ca="1">IF(INDIRECT(ADDRESS($A374,1,3,1,Menus!$K$10))=T(J$1),$D374,#N/A)</f>
        <v>#N/A</v>
      </c>
      <c r="K374" s="10">
        <f t="shared" ca="1" si="11"/>
        <v>0</v>
      </c>
      <c r="L374" s="2"/>
      <c r="M374" s="85">
        <f ca="1">OFFSET(INDIRECT(ADDRESS($A374,3,3,1,"Gross")),0,Menus!$J$4)</f>
        <v>0</v>
      </c>
      <c r="N374" s="85">
        <f ca="1">OFFSET(INDIRECT(ADDRESS($A374,3,3,1,"Gross")),0,Menus!$J$3)</f>
        <v>0</v>
      </c>
    </row>
    <row r="375" spans="1:14" x14ac:dyDescent="0.25">
      <c r="A375">
        <v>417</v>
      </c>
      <c r="B375" s="2">
        <f ca="1">OFFSET(INDIRECT(ADDRESS($A375,3,3,1,Menus!$K$10)),0,Menus!$J$4)</f>
        <v>0</v>
      </c>
      <c r="C375" s="2">
        <f ca="1">OFFSET(INDIRECT(ADDRESS($A375,3,3,1,Menus!$K$10)),0,Menus!$J$3)</f>
        <v>0</v>
      </c>
      <c r="D375" s="73" t="e">
        <f ca="1">IF(Menus!$J$9,C375/B375,C375)</f>
        <v>#DIV/0!</v>
      </c>
      <c r="E375" s="74" t="e">
        <f t="shared" ca="1" si="12"/>
        <v>#N/A</v>
      </c>
      <c r="F375" s="75">
        <f ca="1">INDIRECT(ADDRESS($A375,1,3,1,Menus!$K$10))</f>
        <v>0</v>
      </c>
      <c r="G375" s="2" t="e">
        <f ca="1">IF(INDIRECT(ADDRESS($A375,2,3,1,Menus!$K$10))=G$1,$D375,#N/A)</f>
        <v>#N/A</v>
      </c>
      <c r="H375" s="2" t="e">
        <f ca="1">IF(INDIRECT(ADDRESS($A375,2,3,1,Menus!$K$10))=H$1,$D375,#N/A)</f>
        <v>#N/A</v>
      </c>
      <c r="I375" s="2" t="e">
        <f ca="1">IF(INDIRECT(ADDRESS($A375,2,3,1,Menus!$K$10))=I$1,$D375,#N/A)</f>
        <v>#N/A</v>
      </c>
      <c r="J375" s="2" t="e">
        <f ca="1">IF(INDIRECT(ADDRESS($A375,1,3,1,Menus!$K$10))=T(J$1),$D375,#N/A)</f>
        <v>#N/A</v>
      </c>
      <c r="K375" s="10">
        <f t="shared" ca="1" si="11"/>
        <v>0</v>
      </c>
      <c r="L375" s="2"/>
      <c r="M375" s="85">
        <f ca="1">OFFSET(INDIRECT(ADDRESS($A375,3,3,1,"Gross")),0,Menus!$J$4)</f>
        <v>0</v>
      </c>
      <c r="N375" s="85">
        <f ca="1">OFFSET(INDIRECT(ADDRESS($A375,3,3,1,"Gross")),0,Menus!$J$3)</f>
        <v>0</v>
      </c>
    </row>
    <row r="376" spans="1:14" x14ac:dyDescent="0.25">
      <c r="A376">
        <v>418</v>
      </c>
      <c r="B376" s="2">
        <f ca="1">OFFSET(INDIRECT(ADDRESS($A376,3,3,1,Menus!$K$10)),0,Menus!$J$4)</f>
        <v>0</v>
      </c>
      <c r="C376" s="2">
        <f ca="1">OFFSET(INDIRECT(ADDRESS($A376,3,3,1,Menus!$K$10)),0,Menus!$J$3)</f>
        <v>0</v>
      </c>
      <c r="D376" s="73" t="e">
        <f ca="1">IF(Menus!$J$9,C376/B376,C376)</f>
        <v>#DIV/0!</v>
      </c>
      <c r="E376" s="74" t="e">
        <f t="shared" ca="1" si="12"/>
        <v>#N/A</v>
      </c>
      <c r="F376" s="75">
        <f ca="1">INDIRECT(ADDRESS($A376,1,3,1,Menus!$K$10))</f>
        <v>0</v>
      </c>
      <c r="G376" s="2" t="e">
        <f ca="1">IF(INDIRECT(ADDRESS($A376,2,3,1,Menus!$K$10))=G$1,$D376,#N/A)</f>
        <v>#N/A</v>
      </c>
      <c r="H376" s="2" t="e">
        <f ca="1">IF(INDIRECT(ADDRESS($A376,2,3,1,Menus!$K$10))=H$1,$D376,#N/A)</f>
        <v>#N/A</v>
      </c>
      <c r="I376" s="2" t="e">
        <f ca="1">IF(INDIRECT(ADDRESS($A376,2,3,1,Menus!$K$10))=I$1,$D376,#N/A)</f>
        <v>#N/A</v>
      </c>
      <c r="J376" s="2" t="e">
        <f ca="1">IF(INDIRECT(ADDRESS($A376,1,3,1,Menus!$K$10))=T(J$1),$D376,#N/A)</f>
        <v>#N/A</v>
      </c>
      <c r="K376" s="10">
        <f t="shared" ca="1" si="11"/>
        <v>0</v>
      </c>
      <c r="L376" s="2"/>
      <c r="M376" s="85">
        <f ca="1">OFFSET(INDIRECT(ADDRESS($A376,3,3,1,"Gross")),0,Menus!$J$4)</f>
        <v>0</v>
      </c>
      <c r="N376" s="85">
        <f ca="1">OFFSET(INDIRECT(ADDRESS($A376,3,3,1,"Gross")),0,Menus!$J$3)</f>
        <v>0</v>
      </c>
    </row>
    <row r="377" spans="1:14" x14ac:dyDescent="0.25">
      <c r="A377">
        <v>419</v>
      </c>
      <c r="B377" s="2">
        <f ca="1">OFFSET(INDIRECT(ADDRESS($A377,3,3,1,Menus!$K$10)),0,Menus!$J$4)</f>
        <v>0</v>
      </c>
      <c r="C377" s="2">
        <f ca="1">OFFSET(INDIRECT(ADDRESS($A377,3,3,1,Menus!$K$10)),0,Menus!$J$3)</f>
        <v>0</v>
      </c>
      <c r="D377" s="73" t="e">
        <f ca="1">IF(Menus!$J$9,C377/B377,C377)</f>
        <v>#DIV/0!</v>
      </c>
      <c r="E377" s="74" t="e">
        <f t="shared" ca="1" si="12"/>
        <v>#N/A</v>
      </c>
      <c r="F377" s="75">
        <f ca="1">INDIRECT(ADDRESS($A377,1,3,1,Menus!$K$10))</f>
        <v>0</v>
      </c>
      <c r="G377" s="2" t="e">
        <f ca="1">IF(INDIRECT(ADDRESS($A377,2,3,1,Menus!$K$10))=G$1,$D377,#N/A)</f>
        <v>#N/A</v>
      </c>
      <c r="H377" s="2" t="e">
        <f ca="1">IF(INDIRECT(ADDRESS($A377,2,3,1,Menus!$K$10))=H$1,$D377,#N/A)</f>
        <v>#N/A</v>
      </c>
      <c r="I377" s="2" t="e">
        <f ca="1">IF(INDIRECT(ADDRESS($A377,2,3,1,Menus!$K$10))=I$1,$D377,#N/A)</f>
        <v>#N/A</v>
      </c>
      <c r="J377" s="2" t="e">
        <f ca="1">IF(INDIRECT(ADDRESS($A377,1,3,1,Menus!$K$10))=T(J$1),$D377,#N/A)</f>
        <v>#N/A</v>
      </c>
      <c r="K377" s="10">
        <f t="shared" ca="1" si="11"/>
        <v>0</v>
      </c>
      <c r="L377" s="2"/>
      <c r="M377" s="85">
        <f ca="1">OFFSET(INDIRECT(ADDRESS($A377,3,3,1,"Gross")),0,Menus!$J$4)</f>
        <v>0</v>
      </c>
      <c r="N377" s="85">
        <f ca="1">OFFSET(INDIRECT(ADDRESS($A377,3,3,1,"Gross")),0,Menus!$J$3)</f>
        <v>0</v>
      </c>
    </row>
    <row r="378" spans="1:14" x14ac:dyDescent="0.25">
      <c r="A378">
        <v>420</v>
      </c>
      <c r="B378" s="2">
        <f ca="1">OFFSET(INDIRECT(ADDRESS($A378,3,3,1,Menus!$K$10)),0,Menus!$J$4)</f>
        <v>0</v>
      </c>
      <c r="C378" s="2">
        <f ca="1">OFFSET(INDIRECT(ADDRESS($A378,3,3,1,Menus!$K$10)),0,Menus!$J$3)</f>
        <v>0</v>
      </c>
      <c r="D378" s="73" t="e">
        <f ca="1">IF(Menus!$J$9,C378/B378,C378)</f>
        <v>#DIV/0!</v>
      </c>
      <c r="E378" s="74" t="e">
        <f t="shared" ca="1" si="12"/>
        <v>#N/A</v>
      </c>
      <c r="F378" s="75">
        <f ca="1">INDIRECT(ADDRESS($A378,1,3,1,Menus!$K$10))</f>
        <v>0</v>
      </c>
      <c r="G378" s="2" t="e">
        <f ca="1">IF(INDIRECT(ADDRESS($A378,2,3,1,Menus!$K$10))=G$1,$D378,#N/A)</f>
        <v>#N/A</v>
      </c>
      <c r="H378" s="2" t="e">
        <f ca="1">IF(INDIRECT(ADDRESS($A378,2,3,1,Menus!$K$10))=H$1,$D378,#N/A)</f>
        <v>#N/A</v>
      </c>
      <c r="I378" s="2" t="e">
        <f ca="1">IF(INDIRECT(ADDRESS($A378,2,3,1,Menus!$K$10))=I$1,$D378,#N/A)</f>
        <v>#N/A</v>
      </c>
      <c r="J378" s="2" t="e">
        <f ca="1">IF(INDIRECT(ADDRESS($A378,1,3,1,Menus!$K$10))=T(J$1),$D378,#N/A)</f>
        <v>#N/A</v>
      </c>
      <c r="K378" s="10">
        <f t="shared" ca="1" si="11"/>
        <v>0</v>
      </c>
      <c r="L378" s="2"/>
      <c r="M378" s="85">
        <f ca="1">OFFSET(INDIRECT(ADDRESS($A378,3,3,1,"Gross")),0,Menus!$J$4)</f>
        <v>0</v>
      </c>
      <c r="N378" s="85">
        <f ca="1">OFFSET(INDIRECT(ADDRESS($A378,3,3,1,"Gross")),0,Menus!$J$3)</f>
        <v>0</v>
      </c>
    </row>
    <row r="379" spans="1:14" x14ac:dyDescent="0.25">
      <c r="A379">
        <v>421</v>
      </c>
      <c r="B379" s="2">
        <f ca="1">OFFSET(INDIRECT(ADDRESS($A379,3,3,1,Menus!$K$10)),0,Menus!$J$4)</f>
        <v>0</v>
      </c>
      <c r="C379" s="2">
        <f ca="1">OFFSET(INDIRECT(ADDRESS($A379,3,3,1,Menus!$K$10)),0,Menus!$J$3)</f>
        <v>0</v>
      </c>
      <c r="D379" s="73" t="e">
        <f ca="1">IF(Menus!$J$9,C379/B379,C379)</f>
        <v>#DIV/0!</v>
      </c>
      <c r="E379" s="74" t="e">
        <f t="shared" ca="1" si="12"/>
        <v>#N/A</v>
      </c>
      <c r="F379" s="75">
        <f ca="1">INDIRECT(ADDRESS($A379,1,3,1,Menus!$K$10))</f>
        <v>0</v>
      </c>
      <c r="G379" s="2" t="e">
        <f ca="1">IF(INDIRECT(ADDRESS($A379,2,3,1,Menus!$K$10))=G$1,$D379,#N/A)</f>
        <v>#N/A</v>
      </c>
      <c r="H379" s="2" t="e">
        <f ca="1">IF(INDIRECT(ADDRESS($A379,2,3,1,Menus!$K$10))=H$1,$D379,#N/A)</f>
        <v>#N/A</v>
      </c>
      <c r="I379" s="2" t="e">
        <f ca="1">IF(INDIRECT(ADDRESS($A379,2,3,1,Menus!$K$10))=I$1,$D379,#N/A)</f>
        <v>#N/A</v>
      </c>
      <c r="J379" s="2" t="e">
        <f ca="1">IF(INDIRECT(ADDRESS($A379,1,3,1,Menus!$K$10))=T(J$1),$D379,#N/A)</f>
        <v>#N/A</v>
      </c>
      <c r="K379" s="10">
        <f t="shared" ca="1" si="11"/>
        <v>0</v>
      </c>
      <c r="L379" s="2"/>
      <c r="M379" s="85">
        <f ca="1">OFFSET(INDIRECT(ADDRESS($A379,3,3,1,"Gross")),0,Menus!$J$4)</f>
        <v>0</v>
      </c>
      <c r="N379" s="85">
        <f ca="1">OFFSET(INDIRECT(ADDRESS($A379,3,3,1,"Gross")),0,Menus!$J$3)</f>
        <v>0</v>
      </c>
    </row>
    <row r="380" spans="1:14" x14ac:dyDescent="0.25">
      <c r="A380">
        <v>422</v>
      </c>
      <c r="B380" s="2">
        <f ca="1">OFFSET(INDIRECT(ADDRESS($A380,3,3,1,Menus!$K$10)),0,Menus!$J$4)</f>
        <v>0</v>
      </c>
      <c r="C380" s="2">
        <f ca="1">OFFSET(INDIRECT(ADDRESS($A380,3,3,1,Menus!$K$10)),0,Menus!$J$3)</f>
        <v>0</v>
      </c>
      <c r="D380" s="73" t="e">
        <f ca="1">IF(Menus!$J$9,C380/B380,C380)</f>
        <v>#DIV/0!</v>
      </c>
      <c r="E380" s="74" t="e">
        <f t="shared" ca="1" si="12"/>
        <v>#N/A</v>
      </c>
      <c r="F380" s="75">
        <f ca="1">INDIRECT(ADDRESS($A380,1,3,1,Menus!$K$10))</f>
        <v>0</v>
      </c>
      <c r="G380" s="2" t="e">
        <f ca="1">IF(INDIRECT(ADDRESS($A380,2,3,1,Menus!$K$10))=G$1,$D380,#N/A)</f>
        <v>#N/A</v>
      </c>
      <c r="H380" s="2" t="e">
        <f ca="1">IF(INDIRECT(ADDRESS($A380,2,3,1,Menus!$K$10))=H$1,$D380,#N/A)</f>
        <v>#N/A</v>
      </c>
      <c r="I380" s="2" t="e">
        <f ca="1">IF(INDIRECT(ADDRESS($A380,2,3,1,Menus!$K$10))=I$1,$D380,#N/A)</f>
        <v>#N/A</v>
      </c>
      <c r="J380" s="2" t="e">
        <f ca="1">IF(INDIRECT(ADDRESS($A380,1,3,1,Menus!$K$10))=T(J$1),$D380,#N/A)</f>
        <v>#N/A</v>
      </c>
      <c r="K380" s="10">
        <f t="shared" ca="1" si="11"/>
        <v>0</v>
      </c>
      <c r="L380" s="2"/>
      <c r="M380" s="85">
        <f ca="1">OFFSET(INDIRECT(ADDRESS($A380,3,3,1,"Gross")),0,Menus!$J$4)</f>
        <v>0</v>
      </c>
      <c r="N380" s="85">
        <f ca="1">OFFSET(INDIRECT(ADDRESS($A380,3,3,1,"Gross")),0,Menus!$J$3)</f>
        <v>0</v>
      </c>
    </row>
    <row r="381" spans="1:14" x14ac:dyDescent="0.25">
      <c r="A381">
        <v>423</v>
      </c>
      <c r="B381" s="2">
        <f ca="1">OFFSET(INDIRECT(ADDRESS($A381,3,3,1,Menus!$K$10)),0,Menus!$J$4)</f>
        <v>0</v>
      </c>
      <c r="C381" s="2">
        <f ca="1">OFFSET(INDIRECT(ADDRESS($A381,3,3,1,Menus!$K$10)),0,Menus!$J$3)</f>
        <v>0</v>
      </c>
      <c r="D381" s="73" t="e">
        <f ca="1">IF(Menus!$J$9,C381/B381,C381)</f>
        <v>#DIV/0!</v>
      </c>
      <c r="E381" s="74" t="e">
        <f t="shared" ca="1" si="12"/>
        <v>#N/A</v>
      </c>
      <c r="F381" s="75">
        <f ca="1">INDIRECT(ADDRESS($A381,1,3,1,Menus!$K$10))</f>
        <v>0</v>
      </c>
      <c r="G381" s="2" t="e">
        <f ca="1">IF(INDIRECT(ADDRESS($A381,2,3,1,Menus!$K$10))=G$1,$D381,#N/A)</f>
        <v>#N/A</v>
      </c>
      <c r="H381" s="2" t="e">
        <f ca="1">IF(INDIRECT(ADDRESS($A381,2,3,1,Menus!$K$10))=H$1,$D381,#N/A)</f>
        <v>#N/A</v>
      </c>
      <c r="I381" s="2" t="e">
        <f ca="1">IF(INDIRECT(ADDRESS($A381,2,3,1,Menus!$K$10))=I$1,$D381,#N/A)</f>
        <v>#N/A</v>
      </c>
      <c r="J381" s="2" t="e">
        <f ca="1">IF(INDIRECT(ADDRESS($A381,1,3,1,Menus!$K$10))=T(J$1),$D381,#N/A)</f>
        <v>#N/A</v>
      </c>
      <c r="K381" s="10">
        <f t="shared" ca="1" si="11"/>
        <v>0</v>
      </c>
      <c r="L381" s="2"/>
      <c r="M381" s="85">
        <f ca="1">OFFSET(INDIRECT(ADDRESS($A381,3,3,1,"Gross")),0,Menus!$J$4)</f>
        <v>0</v>
      </c>
      <c r="N381" s="85">
        <f ca="1">OFFSET(INDIRECT(ADDRESS($A381,3,3,1,"Gross")),0,Menus!$J$3)</f>
        <v>0</v>
      </c>
    </row>
    <row r="382" spans="1:14" x14ac:dyDescent="0.25">
      <c r="A382">
        <v>424</v>
      </c>
      <c r="B382" s="2">
        <f ca="1">OFFSET(INDIRECT(ADDRESS($A382,3,3,1,Menus!$K$10)),0,Menus!$J$4)</f>
        <v>0</v>
      </c>
      <c r="C382" s="2">
        <f ca="1">OFFSET(INDIRECT(ADDRESS($A382,3,3,1,Menus!$K$10)),0,Menus!$J$3)</f>
        <v>0</v>
      </c>
      <c r="D382" s="73" t="e">
        <f ca="1">IF(Menus!$J$9,C382/B382,C382)</f>
        <v>#DIV/0!</v>
      </c>
      <c r="E382" s="74" t="e">
        <f t="shared" ca="1" si="12"/>
        <v>#N/A</v>
      </c>
      <c r="F382" s="75">
        <f ca="1">INDIRECT(ADDRESS($A382,1,3,1,Menus!$K$10))</f>
        <v>0</v>
      </c>
      <c r="G382" s="2" t="e">
        <f ca="1">IF(INDIRECT(ADDRESS($A382,2,3,1,Menus!$K$10))=G$1,$D382,#N/A)</f>
        <v>#N/A</v>
      </c>
      <c r="H382" s="2" t="e">
        <f ca="1">IF(INDIRECT(ADDRESS($A382,2,3,1,Menus!$K$10))=H$1,$D382,#N/A)</f>
        <v>#N/A</v>
      </c>
      <c r="I382" s="2" t="e">
        <f ca="1">IF(INDIRECT(ADDRESS($A382,2,3,1,Menus!$K$10))=I$1,$D382,#N/A)</f>
        <v>#N/A</v>
      </c>
      <c r="J382" s="2" t="e">
        <f ca="1">IF(INDIRECT(ADDRESS($A382,1,3,1,Menus!$K$10))=T(J$1),$D382,#N/A)</f>
        <v>#N/A</v>
      </c>
      <c r="K382" s="10">
        <f t="shared" ca="1" si="11"/>
        <v>0</v>
      </c>
      <c r="L382" s="2"/>
      <c r="M382" s="85">
        <f ca="1">OFFSET(INDIRECT(ADDRESS($A382,3,3,1,"Gross")),0,Menus!$J$4)</f>
        <v>0</v>
      </c>
      <c r="N382" s="85">
        <f ca="1">OFFSET(INDIRECT(ADDRESS($A382,3,3,1,"Gross")),0,Menus!$J$3)</f>
        <v>0</v>
      </c>
    </row>
    <row r="383" spans="1:14" x14ac:dyDescent="0.25">
      <c r="A383">
        <v>425</v>
      </c>
      <c r="B383" s="2">
        <f ca="1">OFFSET(INDIRECT(ADDRESS($A383,3,3,1,Menus!$K$10)),0,Menus!$J$4)</f>
        <v>0</v>
      </c>
      <c r="C383" s="2">
        <f ca="1">OFFSET(INDIRECT(ADDRESS($A383,3,3,1,Menus!$K$10)),0,Menus!$J$3)</f>
        <v>0</v>
      </c>
      <c r="D383" s="73" t="e">
        <f ca="1">IF(Menus!$J$9,C383/B383,C383)</f>
        <v>#DIV/0!</v>
      </c>
      <c r="E383" s="74" t="e">
        <f t="shared" ca="1" si="12"/>
        <v>#N/A</v>
      </c>
      <c r="F383" s="75">
        <f ca="1">INDIRECT(ADDRESS($A383,1,3,1,Menus!$K$10))</f>
        <v>0</v>
      </c>
      <c r="G383" s="2" t="e">
        <f ca="1">IF(INDIRECT(ADDRESS($A383,2,3,1,Menus!$K$10))=G$1,$D383,#N/A)</f>
        <v>#N/A</v>
      </c>
      <c r="H383" s="2" t="e">
        <f ca="1">IF(INDIRECT(ADDRESS($A383,2,3,1,Menus!$K$10))=H$1,$D383,#N/A)</f>
        <v>#N/A</v>
      </c>
      <c r="I383" s="2" t="e">
        <f ca="1">IF(INDIRECT(ADDRESS($A383,2,3,1,Menus!$K$10))=I$1,$D383,#N/A)</f>
        <v>#N/A</v>
      </c>
      <c r="J383" s="2" t="e">
        <f ca="1">IF(INDIRECT(ADDRESS($A383,1,3,1,Menus!$K$10))=T(J$1),$D383,#N/A)</f>
        <v>#N/A</v>
      </c>
      <c r="K383" s="10">
        <f t="shared" ca="1" si="11"/>
        <v>0</v>
      </c>
      <c r="L383" s="2"/>
      <c r="M383" s="85">
        <f ca="1">OFFSET(INDIRECT(ADDRESS($A383,3,3,1,"Gross")),0,Menus!$J$4)</f>
        <v>0</v>
      </c>
      <c r="N383" s="85">
        <f ca="1">OFFSET(INDIRECT(ADDRESS($A383,3,3,1,"Gross")),0,Menus!$J$3)</f>
        <v>0</v>
      </c>
    </row>
    <row r="384" spans="1:14" x14ac:dyDescent="0.25">
      <c r="A384">
        <v>426</v>
      </c>
      <c r="B384" s="2">
        <f ca="1">OFFSET(INDIRECT(ADDRESS($A384,3,3,1,Menus!$K$10)),0,Menus!$J$4)</f>
        <v>0</v>
      </c>
      <c r="C384" s="2">
        <f ca="1">OFFSET(INDIRECT(ADDRESS($A384,3,3,1,Menus!$K$10)),0,Menus!$J$3)</f>
        <v>0</v>
      </c>
      <c r="D384" s="73" t="e">
        <f ca="1">IF(Menus!$J$9,C384/B384,C384)</f>
        <v>#DIV/0!</v>
      </c>
      <c r="E384" s="74" t="e">
        <f t="shared" ca="1" si="12"/>
        <v>#N/A</v>
      </c>
      <c r="F384" s="75">
        <f ca="1">INDIRECT(ADDRESS($A384,1,3,1,Menus!$K$10))</f>
        <v>0</v>
      </c>
      <c r="G384" s="2" t="e">
        <f ca="1">IF(INDIRECT(ADDRESS($A384,2,3,1,Menus!$K$10))=G$1,$D384,#N/A)</f>
        <v>#N/A</v>
      </c>
      <c r="H384" s="2" t="e">
        <f ca="1">IF(INDIRECT(ADDRESS($A384,2,3,1,Menus!$K$10))=H$1,$D384,#N/A)</f>
        <v>#N/A</v>
      </c>
      <c r="I384" s="2" t="e">
        <f ca="1">IF(INDIRECT(ADDRESS($A384,2,3,1,Menus!$K$10))=I$1,$D384,#N/A)</f>
        <v>#N/A</v>
      </c>
      <c r="J384" s="2" t="e">
        <f ca="1">IF(INDIRECT(ADDRESS($A384,1,3,1,Menus!$K$10))=T(J$1),$D384,#N/A)</f>
        <v>#N/A</v>
      </c>
      <c r="K384" s="10">
        <f t="shared" ca="1" si="11"/>
        <v>0</v>
      </c>
      <c r="L384" s="2"/>
      <c r="M384" s="85">
        <f ca="1">OFFSET(INDIRECT(ADDRESS($A384,3,3,1,"Gross")),0,Menus!$J$4)</f>
        <v>0</v>
      </c>
      <c r="N384" s="85">
        <f ca="1">OFFSET(INDIRECT(ADDRESS($A384,3,3,1,"Gross")),0,Menus!$J$3)</f>
        <v>0</v>
      </c>
    </row>
    <row r="385" spans="1:14" x14ac:dyDescent="0.25">
      <c r="A385">
        <v>427</v>
      </c>
      <c r="B385" s="2">
        <f ca="1">OFFSET(INDIRECT(ADDRESS($A385,3,3,1,Menus!$K$10)),0,Menus!$J$4)</f>
        <v>0</v>
      </c>
      <c r="C385" s="2">
        <f ca="1">OFFSET(INDIRECT(ADDRESS($A385,3,3,1,Menus!$K$10)),0,Menus!$J$3)</f>
        <v>0</v>
      </c>
      <c r="D385" s="73" t="e">
        <f ca="1">IF(Menus!$J$9,C385/B385,C385)</f>
        <v>#DIV/0!</v>
      </c>
      <c r="E385" s="74" t="e">
        <f t="shared" ca="1" si="12"/>
        <v>#N/A</v>
      </c>
      <c r="F385" s="75">
        <f ca="1">INDIRECT(ADDRESS($A385,1,3,1,Menus!$K$10))</f>
        <v>0</v>
      </c>
      <c r="G385" s="2" t="e">
        <f ca="1">IF(INDIRECT(ADDRESS($A385,2,3,1,Menus!$K$10))=G$1,$D385,#N/A)</f>
        <v>#N/A</v>
      </c>
      <c r="H385" s="2" t="e">
        <f ca="1">IF(INDIRECT(ADDRESS($A385,2,3,1,Menus!$K$10))=H$1,$D385,#N/A)</f>
        <v>#N/A</v>
      </c>
      <c r="I385" s="2" t="e">
        <f ca="1">IF(INDIRECT(ADDRESS($A385,2,3,1,Menus!$K$10))=I$1,$D385,#N/A)</f>
        <v>#N/A</v>
      </c>
      <c r="J385" s="2" t="e">
        <f ca="1">IF(INDIRECT(ADDRESS($A385,1,3,1,Menus!$K$10))=T(J$1),$D385,#N/A)</f>
        <v>#N/A</v>
      </c>
      <c r="K385" s="10">
        <f t="shared" ca="1" si="11"/>
        <v>0</v>
      </c>
      <c r="L385" s="2"/>
      <c r="M385" s="85">
        <f ca="1">OFFSET(INDIRECT(ADDRESS($A385,3,3,1,"Gross")),0,Menus!$J$4)</f>
        <v>0</v>
      </c>
      <c r="N385" s="85">
        <f ca="1">OFFSET(INDIRECT(ADDRESS($A385,3,3,1,"Gross")),0,Menus!$J$3)</f>
        <v>0</v>
      </c>
    </row>
    <row r="386" spans="1:14" x14ac:dyDescent="0.25">
      <c r="A386">
        <v>428</v>
      </c>
      <c r="B386" s="2">
        <f ca="1">OFFSET(INDIRECT(ADDRESS($A386,3,3,1,Menus!$K$10)),0,Menus!$J$4)</f>
        <v>0</v>
      </c>
      <c r="C386" s="2">
        <f ca="1">OFFSET(INDIRECT(ADDRESS($A386,3,3,1,Menus!$K$10)),0,Menus!$J$3)</f>
        <v>0</v>
      </c>
      <c r="D386" s="73" t="e">
        <f ca="1">IF(Menus!$J$9,C386/B386,C386)</f>
        <v>#DIV/0!</v>
      </c>
      <c r="E386" s="74" t="e">
        <f t="shared" ca="1" si="12"/>
        <v>#N/A</v>
      </c>
      <c r="F386" s="75">
        <f ca="1">INDIRECT(ADDRESS($A386,1,3,1,Menus!$K$10))</f>
        <v>0</v>
      </c>
      <c r="G386" s="2" t="e">
        <f ca="1">IF(INDIRECT(ADDRESS($A386,2,3,1,Menus!$K$10))=G$1,$D386,#N/A)</f>
        <v>#N/A</v>
      </c>
      <c r="H386" s="2" t="e">
        <f ca="1">IF(INDIRECT(ADDRESS($A386,2,3,1,Menus!$K$10))=H$1,$D386,#N/A)</f>
        <v>#N/A</v>
      </c>
      <c r="I386" s="2" t="e">
        <f ca="1">IF(INDIRECT(ADDRESS($A386,2,3,1,Menus!$K$10))=I$1,$D386,#N/A)</f>
        <v>#N/A</v>
      </c>
      <c r="J386" s="2" t="e">
        <f ca="1">IF(INDIRECT(ADDRESS($A386,1,3,1,Menus!$K$10))=T(J$1),$D386,#N/A)</f>
        <v>#N/A</v>
      </c>
      <c r="K386" s="10">
        <f t="shared" ref="K386:K449" ca="1" si="13">IF(OR(ISNUMBER($G386),ISNUMBER($H386),ISNUMBER($I386),ISNUMBER($J386)),1,0)</f>
        <v>0</v>
      </c>
      <c r="L386" s="2"/>
      <c r="M386" s="85">
        <f ca="1">OFFSET(INDIRECT(ADDRESS($A386,3,3,1,"Gross")),0,Menus!$J$4)</f>
        <v>0</v>
      </c>
      <c r="N386" s="85">
        <f ca="1">OFFSET(INDIRECT(ADDRESS($A386,3,3,1,"Gross")),0,Menus!$J$3)</f>
        <v>0</v>
      </c>
    </row>
    <row r="387" spans="1:14" x14ac:dyDescent="0.25">
      <c r="A387">
        <v>429</v>
      </c>
      <c r="B387" s="2">
        <f ca="1">OFFSET(INDIRECT(ADDRESS($A387,3,3,1,Menus!$K$10)),0,Menus!$J$4)</f>
        <v>0</v>
      </c>
      <c r="C387" s="2">
        <f ca="1">OFFSET(INDIRECT(ADDRESS($A387,3,3,1,Menus!$K$10)),0,Menus!$J$3)</f>
        <v>0</v>
      </c>
      <c r="D387" s="73" t="e">
        <f ca="1">IF(Menus!$J$9,C387/B387,C387)</f>
        <v>#DIV/0!</v>
      </c>
      <c r="E387" s="74" t="e">
        <f t="shared" ref="E387:E450" ca="1" si="14">IF($K387=1,VALUE(B387),#N/A)</f>
        <v>#N/A</v>
      </c>
      <c r="F387" s="75">
        <f ca="1">INDIRECT(ADDRESS($A387,1,3,1,Menus!$K$10))</f>
        <v>0</v>
      </c>
      <c r="G387" s="2" t="e">
        <f ca="1">IF(INDIRECT(ADDRESS($A387,2,3,1,Menus!$K$10))=G$1,$D387,#N/A)</f>
        <v>#N/A</v>
      </c>
      <c r="H387" s="2" t="e">
        <f ca="1">IF(INDIRECT(ADDRESS($A387,2,3,1,Menus!$K$10))=H$1,$D387,#N/A)</f>
        <v>#N/A</v>
      </c>
      <c r="I387" s="2" t="e">
        <f ca="1">IF(INDIRECT(ADDRESS($A387,2,3,1,Menus!$K$10))=I$1,$D387,#N/A)</f>
        <v>#N/A</v>
      </c>
      <c r="J387" s="2" t="e">
        <f ca="1">IF(INDIRECT(ADDRESS($A387,1,3,1,Menus!$K$10))=T(J$1),$D387,#N/A)</f>
        <v>#N/A</v>
      </c>
      <c r="K387" s="10">
        <f t="shared" ca="1" si="13"/>
        <v>0</v>
      </c>
      <c r="L387" s="2"/>
      <c r="M387" s="85">
        <f ca="1">OFFSET(INDIRECT(ADDRESS($A387,3,3,1,"Gross")),0,Menus!$J$4)</f>
        <v>0</v>
      </c>
      <c r="N387" s="85">
        <f ca="1">OFFSET(INDIRECT(ADDRESS($A387,3,3,1,"Gross")),0,Menus!$J$3)</f>
        <v>0</v>
      </c>
    </row>
    <row r="388" spans="1:14" x14ac:dyDescent="0.25">
      <c r="A388">
        <v>430</v>
      </c>
      <c r="B388" s="2">
        <f ca="1">OFFSET(INDIRECT(ADDRESS($A388,3,3,1,Menus!$K$10)),0,Menus!$J$4)</f>
        <v>0</v>
      </c>
      <c r="C388" s="2">
        <f ca="1">OFFSET(INDIRECT(ADDRESS($A388,3,3,1,Menus!$K$10)),0,Menus!$J$3)</f>
        <v>0</v>
      </c>
      <c r="D388" s="73" t="e">
        <f ca="1">IF(Menus!$J$9,C388/B388,C388)</f>
        <v>#DIV/0!</v>
      </c>
      <c r="E388" s="74" t="e">
        <f t="shared" ca="1" si="14"/>
        <v>#N/A</v>
      </c>
      <c r="F388" s="75">
        <f ca="1">INDIRECT(ADDRESS($A388,1,3,1,Menus!$K$10))</f>
        <v>0</v>
      </c>
      <c r="G388" s="2" t="e">
        <f ca="1">IF(INDIRECT(ADDRESS($A388,2,3,1,Menus!$K$10))=G$1,$D388,#N/A)</f>
        <v>#N/A</v>
      </c>
      <c r="H388" s="2" t="e">
        <f ca="1">IF(INDIRECT(ADDRESS($A388,2,3,1,Menus!$K$10))=H$1,$D388,#N/A)</f>
        <v>#N/A</v>
      </c>
      <c r="I388" s="2" t="e">
        <f ca="1">IF(INDIRECT(ADDRESS($A388,2,3,1,Menus!$K$10))=I$1,$D388,#N/A)</f>
        <v>#N/A</v>
      </c>
      <c r="J388" s="2" t="e">
        <f ca="1">IF(INDIRECT(ADDRESS($A388,1,3,1,Menus!$K$10))=T(J$1),$D388,#N/A)</f>
        <v>#N/A</v>
      </c>
      <c r="K388" s="10">
        <f t="shared" ca="1" si="13"/>
        <v>0</v>
      </c>
      <c r="L388" s="2"/>
      <c r="M388" s="85">
        <f ca="1">OFFSET(INDIRECT(ADDRESS($A388,3,3,1,"Gross")),0,Menus!$J$4)</f>
        <v>0</v>
      </c>
      <c r="N388" s="85">
        <f ca="1">OFFSET(INDIRECT(ADDRESS($A388,3,3,1,"Gross")),0,Menus!$J$3)</f>
        <v>0</v>
      </c>
    </row>
    <row r="389" spans="1:14" x14ac:dyDescent="0.25">
      <c r="A389">
        <v>431</v>
      </c>
      <c r="B389" s="2">
        <f ca="1">OFFSET(INDIRECT(ADDRESS($A389,3,3,1,Menus!$K$10)),0,Menus!$J$4)</f>
        <v>0</v>
      </c>
      <c r="C389" s="2">
        <f ca="1">OFFSET(INDIRECT(ADDRESS($A389,3,3,1,Menus!$K$10)),0,Menus!$J$3)</f>
        <v>0</v>
      </c>
      <c r="D389" s="73" t="e">
        <f ca="1">IF(Menus!$J$9,C389/B389,C389)</f>
        <v>#DIV/0!</v>
      </c>
      <c r="E389" s="74" t="e">
        <f t="shared" ca="1" si="14"/>
        <v>#N/A</v>
      </c>
      <c r="F389" s="75">
        <f ca="1">INDIRECT(ADDRESS($A389,1,3,1,Menus!$K$10))</f>
        <v>0</v>
      </c>
      <c r="G389" s="2" t="e">
        <f ca="1">IF(INDIRECT(ADDRESS($A389,2,3,1,Menus!$K$10))=G$1,$D389,#N/A)</f>
        <v>#N/A</v>
      </c>
      <c r="H389" s="2" t="e">
        <f ca="1">IF(INDIRECT(ADDRESS($A389,2,3,1,Menus!$K$10))=H$1,$D389,#N/A)</f>
        <v>#N/A</v>
      </c>
      <c r="I389" s="2" t="e">
        <f ca="1">IF(INDIRECT(ADDRESS($A389,2,3,1,Menus!$K$10))=I$1,$D389,#N/A)</f>
        <v>#N/A</v>
      </c>
      <c r="J389" s="2" t="e">
        <f ca="1">IF(INDIRECT(ADDRESS($A389,1,3,1,Menus!$K$10))=T(J$1),$D389,#N/A)</f>
        <v>#N/A</v>
      </c>
      <c r="K389" s="10">
        <f t="shared" ca="1" si="13"/>
        <v>0</v>
      </c>
      <c r="L389" s="2"/>
      <c r="M389" s="85">
        <f ca="1">OFFSET(INDIRECT(ADDRESS($A389,3,3,1,"Gross")),0,Menus!$J$4)</f>
        <v>0</v>
      </c>
      <c r="N389" s="85">
        <f ca="1">OFFSET(INDIRECT(ADDRESS($A389,3,3,1,"Gross")),0,Menus!$J$3)</f>
        <v>0</v>
      </c>
    </row>
    <row r="390" spans="1:14" x14ac:dyDescent="0.25">
      <c r="A390">
        <v>432</v>
      </c>
      <c r="B390" s="2">
        <f ca="1">OFFSET(INDIRECT(ADDRESS($A390,3,3,1,Menus!$K$10)),0,Menus!$J$4)</f>
        <v>0</v>
      </c>
      <c r="C390" s="2">
        <f ca="1">OFFSET(INDIRECT(ADDRESS($A390,3,3,1,Menus!$K$10)),0,Menus!$J$3)</f>
        <v>0</v>
      </c>
      <c r="D390" s="73" t="e">
        <f ca="1">IF(Menus!$J$9,C390/B390,C390)</f>
        <v>#DIV/0!</v>
      </c>
      <c r="E390" s="74" t="e">
        <f t="shared" ca="1" si="14"/>
        <v>#N/A</v>
      </c>
      <c r="F390" s="75">
        <f ca="1">INDIRECT(ADDRESS($A390,1,3,1,Menus!$K$10))</f>
        <v>0</v>
      </c>
      <c r="G390" s="2" t="e">
        <f ca="1">IF(INDIRECT(ADDRESS($A390,2,3,1,Menus!$K$10))=G$1,$D390,#N/A)</f>
        <v>#N/A</v>
      </c>
      <c r="H390" s="2" t="e">
        <f ca="1">IF(INDIRECT(ADDRESS($A390,2,3,1,Menus!$K$10))=H$1,$D390,#N/A)</f>
        <v>#N/A</v>
      </c>
      <c r="I390" s="2" t="e">
        <f ca="1">IF(INDIRECT(ADDRESS($A390,2,3,1,Menus!$K$10))=I$1,$D390,#N/A)</f>
        <v>#N/A</v>
      </c>
      <c r="J390" s="2" t="e">
        <f ca="1">IF(INDIRECT(ADDRESS($A390,1,3,1,Menus!$K$10))=T(J$1),$D390,#N/A)</f>
        <v>#N/A</v>
      </c>
      <c r="K390" s="10">
        <f t="shared" ca="1" si="13"/>
        <v>0</v>
      </c>
      <c r="L390" s="2"/>
      <c r="M390" s="85">
        <f ca="1">OFFSET(INDIRECT(ADDRESS($A390,3,3,1,"Gross")),0,Menus!$J$4)</f>
        <v>0</v>
      </c>
      <c r="N390" s="85">
        <f ca="1">OFFSET(INDIRECT(ADDRESS($A390,3,3,1,"Gross")),0,Menus!$J$3)</f>
        <v>0</v>
      </c>
    </row>
    <row r="391" spans="1:14" x14ac:dyDescent="0.25">
      <c r="A391">
        <v>433</v>
      </c>
      <c r="B391" s="2">
        <f ca="1">OFFSET(INDIRECT(ADDRESS($A391,3,3,1,Menus!$K$10)),0,Menus!$J$4)</f>
        <v>0</v>
      </c>
      <c r="C391" s="2">
        <f ca="1">OFFSET(INDIRECT(ADDRESS($A391,3,3,1,Menus!$K$10)),0,Menus!$J$3)</f>
        <v>0</v>
      </c>
      <c r="D391" s="73" t="e">
        <f ca="1">IF(Menus!$J$9,C391/B391,C391)</f>
        <v>#DIV/0!</v>
      </c>
      <c r="E391" s="74" t="e">
        <f t="shared" ca="1" si="14"/>
        <v>#N/A</v>
      </c>
      <c r="F391" s="75">
        <f ca="1">INDIRECT(ADDRESS($A391,1,3,1,Menus!$K$10))</f>
        <v>0</v>
      </c>
      <c r="G391" s="2" t="e">
        <f ca="1">IF(INDIRECT(ADDRESS($A391,2,3,1,Menus!$K$10))=G$1,$D391,#N/A)</f>
        <v>#N/A</v>
      </c>
      <c r="H391" s="2" t="e">
        <f ca="1">IF(INDIRECT(ADDRESS($A391,2,3,1,Menus!$K$10))=H$1,$D391,#N/A)</f>
        <v>#N/A</v>
      </c>
      <c r="I391" s="2" t="e">
        <f ca="1">IF(INDIRECT(ADDRESS($A391,2,3,1,Menus!$K$10))=I$1,$D391,#N/A)</f>
        <v>#N/A</v>
      </c>
      <c r="J391" s="2" t="e">
        <f ca="1">IF(INDIRECT(ADDRESS($A391,1,3,1,Menus!$K$10))=T(J$1),$D391,#N/A)</f>
        <v>#N/A</v>
      </c>
      <c r="K391" s="10">
        <f t="shared" ca="1" si="13"/>
        <v>0</v>
      </c>
      <c r="L391" s="2"/>
      <c r="M391" s="85">
        <f ca="1">OFFSET(INDIRECT(ADDRESS($A391,3,3,1,"Gross")),0,Menus!$J$4)</f>
        <v>0</v>
      </c>
      <c r="N391" s="85">
        <f ca="1">OFFSET(INDIRECT(ADDRESS($A391,3,3,1,"Gross")),0,Menus!$J$3)</f>
        <v>0</v>
      </c>
    </row>
    <row r="392" spans="1:14" x14ac:dyDescent="0.25">
      <c r="A392">
        <v>434</v>
      </c>
      <c r="B392" s="2">
        <f ca="1">OFFSET(INDIRECT(ADDRESS($A392,3,3,1,Menus!$K$10)),0,Menus!$J$4)</f>
        <v>0</v>
      </c>
      <c r="C392" s="2">
        <f ca="1">OFFSET(INDIRECT(ADDRESS($A392,3,3,1,Menus!$K$10)),0,Menus!$J$3)</f>
        <v>0</v>
      </c>
      <c r="D392" s="73" t="e">
        <f ca="1">IF(Menus!$J$9,C392/B392,C392)</f>
        <v>#DIV/0!</v>
      </c>
      <c r="E392" s="74" t="e">
        <f t="shared" ca="1" si="14"/>
        <v>#N/A</v>
      </c>
      <c r="F392" s="75">
        <f ca="1">INDIRECT(ADDRESS($A392,1,3,1,Menus!$K$10))</f>
        <v>0</v>
      </c>
      <c r="G392" s="2" t="e">
        <f ca="1">IF(INDIRECT(ADDRESS($A392,2,3,1,Menus!$K$10))=G$1,$D392,#N/A)</f>
        <v>#N/A</v>
      </c>
      <c r="H392" s="2" t="e">
        <f ca="1">IF(INDIRECT(ADDRESS($A392,2,3,1,Menus!$K$10))=H$1,$D392,#N/A)</f>
        <v>#N/A</v>
      </c>
      <c r="I392" s="2" t="e">
        <f ca="1">IF(INDIRECT(ADDRESS($A392,2,3,1,Menus!$K$10))=I$1,$D392,#N/A)</f>
        <v>#N/A</v>
      </c>
      <c r="J392" s="2" t="e">
        <f ca="1">IF(INDIRECT(ADDRESS($A392,1,3,1,Menus!$K$10))=T(J$1),$D392,#N/A)</f>
        <v>#N/A</v>
      </c>
      <c r="K392" s="10">
        <f t="shared" ca="1" si="13"/>
        <v>0</v>
      </c>
      <c r="L392" s="2"/>
      <c r="M392" s="85">
        <f ca="1">OFFSET(INDIRECT(ADDRESS($A392,3,3,1,"Gross")),0,Menus!$J$4)</f>
        <v>0</v>
      </c>
      <c r="N392" s="85">
        <f ca="1">OFFSET(INDIRECT(ADDRESS($A392,3,3,1,"Gross")),0,Menus!$J$3)</f>
        <v>0</v>
      </c>
    </row>
    <row r="393" spans="1:14" x14ac:dyDescent="0.25">
      <c r="A393">
        <v>435</v>
      </c>
      <c r="B393" s="2">
        <f ca="1">OFFSET(INDIRECT(ADDRESS($A393,3,3,1,Menus!$K$10)),0,Menus!$J$4)</f>
        <v>0</v>
      </c>
      <c r="C393" s="2">
        <f ca="1">OFFSET(INDIRECT(ADDRESS($A393,3,3,1,Menus!$K$10)),0,Menus!$J$3)</f>
        <v>0</v>
      </c>
      <c r="D393" s="73" t="e">
        <f ca="1">IF(Menus!$J$9,C393/B393,C393)</f>
        <v>#DIV/0!</v>
      </c>
      <c r="E393" s="74" t="e">
        <f t="shared" ca="1" si="14"/>
        <v>#N/A</v>
      </c>
      <c r="F393" s="75">
        <f ca="1">INDIRECT(ADDRESS($A393,1,3,1,Menus!$K$10))</f>
        <v>0</v>
      </c>
      <c r="G393" s="2" t="e">
        <f ca="1">IF(INDIRECT(ADDRESS($A393,2,3,1,Menus!$K$10))=G$1,$D393,#N/A)</f>
        <v>#N/A</v>
      </c>
      <c r="H393" s="2" t="e">
        <f ca="1">IF(INDIRECT(ADDRESS($A393,2,3,1,Menus!$K$10))=H$1,$D393,#N/A)</f>
        <v>#N/A</v>
      </c>
      <c r="I393" s="2" t="e">
        <f ca="1">IF(INDIRECT(ADDRESS($A393,2,3,1,Menus!$K$10))=I$1,$D393,#N/A)</f>
        <v>#N/A</v>
      </c>
      <c r="J393" s="2" t="e">
        <f ca="1">IF(INDIRECT(ADDRESS($A393,1,3,1,Menus!$K$10))=T(J$1),$D393,#N/A)</f>
        <v>#N/A</v>
      </c>
      <c r="K393" s="10">
        <f t="shared" ca="1" si="13"/>
        <v>0</v>
      </c>
      <c r="L393" s="2"/>
      <c r="M393" s="85">
        <f ca="1">OFFSET(INDIRECT(ADDRESS($A393,3,3,1,"Gross")),0,Menus!$J$4)</f>
        <v>0</v>
      </c>
      <c r="N393" s="85">
        <f ca="1">OFFSET(INDIRECT(ADDRESS($A393,3,3,1,"Gross")),0,Menus!$J$3)</f>
        <v>0</v>
      </c>
    </row>
    <row r="394" spans="1:14" x14ac:dyDescent="0.25">
      <c r="A394">
        <v>436</v>
      </c>
      <c r="B394" s="2">
        <f ca="1">OFFSET(INDIRECT(ADDRESS($A394,3,3,1,Menus!$K$10)),0,Menus!$J$4)</f>
        <v>0</v>
      </c>
      <c r="C394" s="2">
        <f ca="1">OFFSET(INDIRECT(ADDRESS($A394,3,3,1,Menus!$K$10)),0,Menus!$J$3)</f>
        <v>0</v>
      </c>
      <c r="D394" s="73" t="e">
        <f ca="1">IF(Menus!$J$9,C394/B394,C394)</f>
        <v>#DIV/0!</v>
      </c>
      <c r="E394" s="74" t="e">
        <f t="shared" ca="1" si="14"/>
        <v>#N/A</v>
      </c>
      <c r="F394" s="75">
        <f ca="1">INDIRECT(ADDRESS($A394,1,3,1,Menus!$K$10))</f>
        <v>0</v>
      </c>
      <c r="G394" s="2" t="e">
        <f ca="1">IF(INDIRECT(ADDRESS($A394,2,3,1,Menus!$K$10))=G$1,$D394,#N/A)</f>
        <v>#N/A</v>
      </c>
      <c r="H394" s="2" t="e">
        <f ca="1">IF(INDIRECT(ADDRESS($A394,2,3,1,Menus!$K$10))=H$1,$D394,#N/A)</f>
        <v>#N/A</v>
      </c>
      <c r="I394" s="2" t="e">
        <f ca="1">IF(INDIRECT(ADDRESS($A394,2,3,1,Menus!$K$10))=I$1,$D394,#N/A)</f>
        <v>#N/A</v>
      </c>
      <c r="J394" s="2" t="e">
        <f ca="1">IF(INDIRECT(ADDRESS($A394,1,3,1,Menus!$K$10))=T(J$1),$D394,#N/A)</f>
        <v>#N/A</v>
      </c>
      <c r="K394" s="10">
        <f t="shared" ca="1" si="13"/>
        <v>0</v>
      </c>
      <c r="L394" s="2"/>
      <c r="M394" s="85">
        <f ca="1">OFFSET(INDIRECT(ADDRESS($A394,3,3,1,"Gross")),0,Menus!$J$4)</f>
        <v>0</v>
      </c>
      <c r="N394" s="85">
        <f ca="1">OFFSET(INDIRECT(ADDRESS($A394,3,3,1,"Gross")),0,Menus!$J$3)</f>
        <v>0</v>
      </c>
    </row>
    <row r="395" spans="1:14" x14ac:dyDescent="0.25">
      <c r="A395">
        <v>437</v>
      </c>
      <c r="B395" s="2">
        <f ca="1">OFFSET(INDIRECT(ADDRESS($A395,3,3,1,Menus!$K$10)),0,Menus!$J$4)</f>
        <v>0</v>
      </c>
      <c r="C395" s="2">
        <f ca="1">OFFSET(INDIRECT(ADDRESS($A395,3,3,1,Menus!$K$10)),0,Menus!$J$3)</f>
        <v>0</v>
      </c>
      <c r="D395" s="73" t="e">
        <f ca="1">IF(Menus!$J$9,C395/B395,C395)</f>
        <v>#DIV/0!</v>
      </c>
      <c r="E395" s="74" t="e">
        <f t="shared" ca="1" si="14"/>
        <v>#N/A</v>
      </c>
      <c r="F395" s="75">
        <f ca="1">INDIRECT(ADDRESS($A395,1,3,1,Menus!$K$10))</f>
        <v>0</v>
      </c>
      <c r="G395" s="2" t="e">
        <f ca="1">IF(INDIRECT(ADDRESS($A395,2,3,1,Menus!$K$10))=G$1,$D395,#N/A)</f>
        <v>#N/A</v>
      </c>
      <c r="H395" s="2" t="e">
        <f ca="1">IF(INDIRECT(ADDRESS($A395,2,3,1,Menus!$K$10))=H$1,$D395,#N/A)</f>
        <v>#N/A</v>
      </c>
      <c r="I395" s="2" t="e">
        <f ca="1">IF(INDIRECT(ADDRESS($A395,2,3,1,Menus!$K$10))=I$1,$D395,#N/A)</f>
        <v>#N/A</v>
      </c>
      <c r="J395" s="2" t="e">
        <f ca="1">IF(INDIRECT(ADDRESS($A395,1,3,1,Menus!$K$10))=T(J$1),$D395,#N/A)</f>
        <v>#N/A</v>
      </c>
      <c r="K395" s="10">
        <f t="shared" ca="1" si="13"/>
        <v>0</v>
      </c>
      <c r="L395" s="2"/>
      <c r="M395" s="85">
        <f ca="1">OFFSET(INDIRECT(ADDRESS($A395,3,3,1,"Gross")),0,Menus!$J$4)</f>
        <v>0</v>
      </c>
      <c r="N395" s="85">
        <f ca="1">OFFSET(INDIRECT(ADDRESS($A395,3,3,1,"Gross")),0,Menus!$J$3)</f>
        <v>0</v>
      </c>
    </row>
    <row r="396" spans="1:14" x14ac:dyDescent="0.25">
      <c r="A396">
        <v>438</v>
      </c>
      <c r="B396" s="2">
        <f ca="1">OFFSET(INDIRECT(ADDRESS($A396,3,3,1,Menus!$K$10)),0,Menus!$J$4)</f>
        <v>0</v>
      </c>
      <c r="C396" s="2">
        <f ca="1">OFFSET(INDIRECT(ADDRESS($A396,3,3,1,Menus!$K$10)),0,Menus!$J$3)</f>
        <v>0</v>
      </c>
      <c r="D396" s="73" t="e">
        <f ca="1">IF(Menus!$J$9,C396/B396,C396)</f>
        <v>#DIV/0!</v>
      </c>
      <c r="E396" s="74" t="e">
        <f t="shared" ca="1" si="14"/>
        <v>#N/A</v>
      </c>
      <c r="F396" s="75">
        <f ca="1">INDIRECT(ADDRESS($A396,1,3,1,Menus!$K$10))</f>
        <v>0</v>
      </c>
      <c r="G396" s="2" t="e">
        <f ca="1">IF(INDIRECT(ADDRESS($A396,2,3,1,Menus!$K$10))=G$1,$D396,#N/A)</f>
        <v>#N/A</v>
      </c>
      <c r="H396" s="2" t="e">
        <f ca="1">IF(INDIRECT(ADDRESS($A396,2,3,1,Menus!$K$10))=H$1,$D396,#N/A)</f>
        <v>#N/A</v>
      </c>
      <c r="I396" s="2" t="e">
        <f ca="1">IF(INDIRECT(ADDRESS($A396,2,3,1,Menus!$K$10))=I$1,$D396,#N/A)</f>
        <v>#N/A</v>
      </c>
      <c r="J396" s="2" t="e">
        <f ca="1">IF(INDIRECT(ADDRESS($A396,1,3,1,Menus!$K$10))=T(J$1),$D396,#N/A)</f>
        <v>#N/A</v>
      </c>
      <c r="K396" s="10">
        <f t="shared" ca="1" si="13"/>
        <v>0</v>
      </c>
      <c r="L396" s="2"/>
      <c r="M396" s="85">
        <f ca="1">OFFSET(INDIRECT(ADDRESS($A396,3,3,1,"Gross")),0,Menus!$J$4)</f>
        <v>0</v>
      </c>
      <c r="N396" s="85">
        <f ca="1">OFFSET(INDIRECT(ADDRESS($A396,3,3,1,"Gross")),0,Menus!$J$3)</f>
        <v>0</v>
      </c>
    </row>
    <row r="397" spans="1:14" x14ac:dyDescent="0.25">
      <c r="A397">
        <v>439</v>
      </c>
      <c r="B397" s="2">
        <f ca="1">OFFSET(INDIRECT(ADDRESS($A397,3,3,1,Menus!$K$10)),0,Menus!$J$4)</f>
        <v>0</v>
      </c>
      <c r="C397" s="2">
        <f ca="1">OFFSET(INDIRECT(ADDRESS($A397,3,3,1,Menus!$K$10)),0,Menus!$J$3)</f>
        <v>0</v>
      </c>
      <c r="D397" s="73" t="e">
        <f ca="1">IF(Menus!$J$9,C397/B397,C397)</f>
        <v>#DIV/0!</v>
      </c>
      <c r="E397" s="74" t="e">
        <f t="shared" ca="1" si="14"/>
        <v>#N/A</v>
      </c>
      <c r="F397" s="75">
        <f ca="1">INDIRECT(ADDRESS($A397,1,3,1,Menus!$K$10))</f>
        <v>0</v>
      </c>
      <c r="G397" s="2" t="e">
        <f ca="1">IF(INDIRECT(ADDRESS($A397,2,3,1,Menus!$K$10))=G$1,$D397,#N/A)</f>
        <v>#N/A</v>
      </c>
      <c r="H397" s="2" t="e">
        <f ca="1">IF(INDIRECT(ADDRESS($A397,2,3,1,Menus!$K$10))=H$1,$D397,#N/A)</f>
        <v>#N/A</v>
      </c>
      <c r="I397" s="2" t="e">
        <f ca="1">IF(INDIRECT(ADDRESS($A397,2,3,1,Menus!$K$10))=I$1,$D397,#N/A)</f>
        <v>#N/A</v>
      </c>
      <c r="J397" s="2" t="e">
        <f ca="1">IF(INDIRECT(ADDRESS($A397,1,3,1,Menus!$K$10))=T(J$1),$D397,#N/A)</f>
        <v>#N/A</v>
      </c>
      <c r="K397" s="10">
        <f t="shared" ca="1" si="13"/>
        <v>0</v>
      </c>
      <c r="L397" s="2"/>
      <c r="M397" s="85">
        <f ca="1">OFFSET(INDIRECT(ADDRESS($A397,3,3,1,"Gross")),0,Menus!$J$4)</f>
        <v>0</v>
      </c>
      <c r="N397" s="85">
        <f ca="1">OFFSET(INDIRECT(ADDRESS($A397,3,3,1,"Gross")),0,Menus!$J$3)</f>
        <v>0</v>
      </c>
    </row>
    <row r="398" spans="1:14" x14ac:dyDescent="0.25">
      <c r="A398">
        <v>440</v>
      </c>
      <c r="B398" s="2">
        <f ca="1">OFFSET(INDIRECT(ADDRESS($A398,3,3,1,Menus!$K$10)),0,Menus!$J$4)</f>
        <v>0</v>
      </c>
      <c r="C398" s="2">
        <f ca="1">OFFSET(INDIRECT(ADDRESS($A398,3,3,1,Menus!$K$10)),0,Menus!$J$3)</f>
        <v>0</v>
      </c>
      <c r="D398" s="73" t="e">
        <f ca="1">IF(Menus!$J$9,C398/B398,C398)</f>
        <v>#DIV/0!</v>
      </c>
      <c r="E398" s="74" t="e">
        <f t="shared" ca="1" si="14"/>
        <v>#N/A</v>
      </c>
      <c r="F398" s="75">
        <f ca="1">INDIRECT(ADDRESS($A398,1,3,1,Menus!$K$10))</f>
        <v>0</v>
      </c>
      <c r="G398" s="2" t="e">
        <f ca="1">IF(INDIRECT(ADDRESS($A398,2,3,1,Menus!$K$10))=G$1,$D398,#N/A)</f>
        <v>#N/A</v>
      </c>
      <c r="H398" s="2" t="e">
        <f ca="1">IF(INDIRECT(ADDRESS($A398,2,3,1,Menus!$K$10))=H$1,$D398,#N/A)</f>
        <v>#N/A</v>
      </c>
      <c r="I398" s="2" t="e">
        <f ca="1">IF(INDIRECT(ADDRESS($A398,2,3,1,Menus!$K$10))=I$1,$D398,#N/A)</f>
        <v>#N/A</v>
      </c>
      <c r="J398" s="2" t="e">
        <f ca="1">IF(INDIRECT(ADDRESS($A398,1,3,1,Menus!$K$10))=T(J$1),$D398,#N/A)</f>
        <v>#N/A</v>
      </c>
      <c r="K398" s="10">
        <f t="shared" ca="1" si="13"/>
        <v>0</v>
      </c>
      <c r="L398" s="2"/>
      <c r="M398" s="85">
        <f ca="1">OFFSET(INDIRECT(ADDRESS($A398,3,3,1,"Gross")),0,Menus!$J$4)</f>
        <v>0</v>
      </c>
      <c r="N398" s="85">
        <f ca="1">OFFSET(INDIRECT(ADDRESS($A398,3,3,1,"Gross")),0,Menus!$J$3)</f>
        <v>0</v>
      </c>
    </row>
    <row r="399" spans="1:14" x14ac:dyDescent="0.25">
      <c r="A399">
        <v>441</v>
      </c>
      <c r="B399" s="2">
        <f ca="1">OFFSET(INDIRECT(ADDRESS($A399,3,3,1,Menus!$K$10)),0,Menus!$J$4)</f>
        <v>0</v>
      </c>
      <c r="C399" s="2">
        <f ca="1">OFFSET(INDIRECT(ADDRESS($A399,3,3,1,Menus!$K$10)),0,Menus!$J$3)</f>
        <v>0</v>
      </c>
      <c r="D399" s="73" t="e">
        <f ca="1">IF(Menus!$J$9,C399/B399,C399)</f>
        <v>#DIV/0!</v>
      </c>
      <c r="E399" s="74" t="e">
        <f t="shared" ca="1" si="14"/>
        <v>#N/A</v>
      </c>
      <c r="F399" s="75">
        <f ca="1">INDIRECT(ADDRESS($A399,1,3,1,Menus!$K$10))</f>
        <v>0</v>
      </c>
      <c r="G399" s="2" t="e">
        <f ca="1">IF(INDIRECT(ADDRESS($A399,2,3,1,Menus!$K$10))=G$1,$D399,#N/A)</f>
        <v>#N/A</v>
      </c>
      <c r="H399" s="2" t="e">
        <f ca="1">IF(INDIRECT(ADDRESS($A399,2,3,1,Menus!$K$10))=H$1,$D399,#N/A)</f>
        <v>#N/A</v>
      </c>
      <c r="I399" s="2" t="e">
        <f ca="1">IF(INDIRECT(ADDRESS($A399,2,3,1,Menus!$K$10))=I$1,$D399,#N/A)</f>
        <v>#N/A</v>
      </c>
      <c r="J399" s="2" t="e">
        <f ca="1">IF(INDIRECT(ADDRESS($A399,1,3,1,Menus!$K$10))=T(J$1),$D399,#N/A)</f>
        <v>#N/A</v>
      </c>
      <c r="K399" s="10">
        <f t="shared" ca="1" si="13"/>
        <v>0</v>
      </c>
      <c r="L399" s="2"/>
      <c r="M399" s="85">
        <f ca="1">OFFSET(INDIRECT(ADDRESS($A399,3,3,1,"Gross")),0,Menus!$J$4)</f>
        <v>0</v>
      </c>
      <c r="N399" s="85">
        <f ca="1">OFFSET(INDIRECT(ADDRESS($A399,3,3,1,"Gross")),0,Menus!$J$3)</f>
        <v>0</v>
      </c>
    </row>
    <row r="400" spans="1:14" x14ac:dyDescent="0.25">
      <c r="A400">
        <v>442</v>
      </c>
      <c r="B400" s="2">
        <f ca="1">OFFSET(INDIRECT(ADDRESS($A400,3,3,1,Menus!$K$10)),0,Menus!$J$4)</f>
        <v>0</v>
      </c>
      <c r="C400" s="2">
        <f ca="1">OFFSET(INDIRECT(ADDRESS($A400,3,3,1,Menus!$K$10)),0,Menus!$J$3)</f>
        <v>0</v>
      </c>
      <c r="D400" s="73" t="e">
        <f ca="1">IF(Menus!$J$9,C400/B400,C400)</f>
        <v>#DIV/0!</v>
      </c>
      <c r="E400" s="74" t="e">
        <f t="shared" ca="1" si="14"/>
        <v>#N/A</v>
      </c>
      <c r="F400" s="75">
        <f ca="1">INDIRECT(ADDRESS($A400,1,3,1,Menus!$K$10))</f>
        <v>0</v>
      </c>
      <c r="G400" s="2" t="e">
        <f ca="1">IF(INDIRECT(ADDRESS($A400,2,3,1,Menus!$K$10))=G$1,$D400,#N/A)</f>
        <v>#N/A</v>
      </c>
      <c r="H400" s="2" t="e">
        <f ca="1">IF(INDIRECT(ADDRESS($A400,2,3,1,Menus!$K$10))=H$1,$D400,#N/A)</f>
        <v>#N/A</v>
      </c>
      <c r="I400" s="2" t="e">
        <f ca="1">IF(INDIRECT(ADDRESS($A400,2,3,1,Menus!$K$10))=I$1,$D400,#N/A)</f>
        <v>#N/A</v>
      </c>
      <c r="J400" s="2" t="e">
        <f ca="1">IF(INDIRECT(ADDRESS($A400,1,3,1,Menus!$K$10))=T(J$1),$D400,#N/A)</f>
        <v>#N/A</v>
      </c>
      <c r="K400" s="10">
        <f t="shared" ca="1" si="13"/>
        <v>0</v>
      </c>
      <c r="L400" s="2"/>
      <c r="M400" s="85">
        <f ca="1">OFFSET(INDIRECT(ADDRESS($A400,3,3,1,"Gross")),0,Menus!$J$4)</f>
        <v>0</v>
      </c>
      <c r="N400" s="85">
        <f ca="1">OFFSET(INDIRECT(ADDRESS($A400,3,3,1,"Gross")),0,Menus!$J$3)</f>
        <v>0</v>
      </c>
    </row>
    <row r="401" spans="1:14" x14ac:dyDescent="0.25">
      <c r="A401">
        <v>443</v>
      </c>
      <c r="B401" s="2">
        <f ca="1">OFFSET(INDIRECT(ADDRESS($A401,3,3,1,Menus!$K$10)),0,Menus!$J$4)</f>
        <v>0</v>
      </c>
      <c r="C401" s="2">
        <f ca="1">OFFSET(INDIRECT(ADDRESS($A401,3,3,1,Menus!$K$10)),0,Menus!$J$3)</f>
        <v>0</v>
      </c>
      <c r="D401" s="73" t="e">
        <f ca="1">IF(Menus!$J$9,C401/B401,C401)</f>
        <v>#DIV/0!</v>
      </c>
      <c r="E401" s="74" t="e">
        <f t="shared" ca="1" si="14"/>
        <v>#N/A</v>
      </c>
      <c r="F401" s="75">
        <f ca="1">INDIRECT(ADDRESS($A401,1,3,1,Menus!$K$10))</f>
        <v>0</v>
      </c>
      <c r="G401" s="2" t="e">
        <f ca="1">IF(INDIRECT(ADDRESS($A401,2,3,1,Menus!$K$10))=G$1,$D401,#N/A)</f>
        <v>#N/A</v>
      </c>
      <c r="H401" s="2" t="e">
        <f ca="1">IF(INDIRECT(ADDRESS($A401,2,3,1,Menus!$K$10))=H$1,$D401,#N/A)</f>
        <v>#N/A</v>
      </c>
      <c r="I401" s="2" t="e">
        <f ca="1">IF(INDIRECT(ADDRESS($A401,2,3,1,Menus!$K$10))=I$1,$D401,#N/A)</f>
        <v>#N/A</v>
      </c>
      <c r="J401" s="2" t="e">
        <f ca="1">IF(INDIRECT(ADDRESS($A401,1,3,1,Menus!$K$10))=T(J$1),$D401,#N/A)</f>
        <v>#N/A</v>
      </c>
      <c r="K401" s="10">
        <f t="shared" ca="1" si="13"/>
        <v>0</v>
      </c>
      <c r="L401" s="2"/>
      <c r="M401" s="85">
        <f ca="1">OFFSET(INDIRECT(ADDRESS($A401,3,3,1,"Gross")),0,Menus!$J$4)</f>
        <v>0</v>
      </c>
      <c r="N401" s="85">
        <f ca="1">OFFSET(INDIRECT(ADDRESS($A401,3,3,1,"Gross")),0,Menus!$J$3)</f>
        <v>0</v>
      </c>
    </row>
    <row r="402" spans="1:14" x14ac:dyDescent="0.25">
      <c r="A402">
        <v>444</v>
      </c>
      <c r="B402" s="2">
        <f ca="1">OFFSET(INDIRECT(ADDRESS($A402,3,3,1,Menus!$K$10)),0,Menus!$J$4)</f>
        <v>0</v>
      </c>
      <c r="C402" s="2">
        <f ca="1">OFFSET(INDIRECT(ADDRESS($A402,3,3,1,Menus!$K$10)),0,Menus!$J$3)</f>
        <v>0</v>
      </c>
      <c r="D402" s="73" t="e">
        <f ca="1">IF(Menus!$J$9,C402/B402,C402)</f>
        <v>#DIV/0!</v>
      </c>
      <c r="E402" s="74" t="e">
        <f t="shared" ca="1" si="14"/>
        <v>#N/A</v>
      </c>
      <c r="F402" s="75">
        <f ca="1">INDIRECT(ADDRESS($A402,1,3,1,Menus!$K$10))</f>
        <v>0</v>
      </c>
      <c r="G402" s="2" t="e">
        <f ca="1">IF(INDIRECT(ADDRESS($A402,2,3,1,Menus!$K$10))=G$1,$D402,#N/A)</f>
        <v>#N/A</v>
      </c>
      <c r="H402" s="2" t="e">
        <f ca="1">IF(INDIRECT(ADDRESS($A402,2,3,1,Menus!$K$10))=H$1,$D402,#N/A)</f>
        <v>#N/A</v>
      </c>
      <c r="I402" s="2" t="e">
        <f ca="1">IF(INDIRECT(ADDRESS($A402,2,3,1,Menus!$K$10))=I$1,$D402,#N/A)</f>
        <v>#N/A</v>
      </c>
      <c r="J402" s="2" t="e">
        <f ca="1">IF(INDIRECT(ADDRESS($A402,1,3,1,Menus!$K$10))=T(J$1),$D402,#N/A)</f>
        <v>#N/A</v>
      </c>
      <c r="K402" s="10">
        <f t="shared" ca="1" si="13"/>
        <v>0</v>
      </c>
      <c r="L402" s="2"/>
      <c r="M402" s="85">
        <f ca="1">OFFSET(INDIRECT(ADDRESS($A402,3,3,1,"Gross")),0,Menus!$J$4)</f>
        <v>0</v>
      </c>
      <c r="N402" s="85">
        <f ca="1">OFFSET(INDIRECT(ADDRESS($A402,3,3,1,"Gross")),0,Menus!$J$3)</f>
        <v>0</v>
      </c>
    </row>
    <row r="403" spans="1:14" x14ac:dyDescent="0.25">
      <c r="A403">
        <v>445</v>
      </c>
      <c r="B403" s="2">
        <f ca="1">OFFSET(INDIRECT(ADDRESS($A403,3,3,1,Menus!$K$10)),0,Menus!$J$4)</f>
        <v>0</v>
      </c>
      <c r="C403" s="2">
        <f ca="1">OFFSET(INDIRECT(ADDRESS($A403,3,3,1,Menus!$K$10)),0,Menus!$J$3)</f>
        <v>0</v>
      </c>
      <c r="D403" s="73" t="e">
        <f ca="1">IF(Menus!$J$9,C403/B403,C403)</f>
        <v>#DIV/0!</v>
      </c>
      <c r="E403" s="74" t="e">
        <f t="shared" ca="1" si="14"/>
        <v>#N/A</v>
      </c>
      <c r="F403" s="75">
        <f ca="1">INDIRECT(ADDRESS($A403,1,3,1,Menus!$K$10))</f>
        <v>0</v>
      </c>
      <c r="G403" s="2" t="e">
        <f ca="1">IF(INDIRECT(ADDRESS($A403,2,3,1,Menus!$K$10))=G$1,$D403,#N/A)</f>
        <v>#N/A</v>
      </c>
      <c r="H403" s="2" t="e">
        <f ca="1">IF(INDIRECT(ADDRESS($A403,2,3,1,Menus!$K$10))=H$1,$D403,#N/A)</f>
        <v>#N/A</v>
      </c>
      <c r="I403" s="2" t="e">
        <f ca="1">IF(INDIRECT(ADDRESS($A403,2,3,1,Menus!$K$10))=I$1,$D403,#N/A)</f>
        <v>#N/A</v>
      </c>
      <c r="J403" s="2" t="e">
        <f ca="1">IF(INDIRECT(ADDRESS($A403,1,3,1,Menus!$K$10))=T(J$1),$D403,#N/A)</f>
        <v>#N/A</v>
      </c>
      <c r="K403" s="10">
        <f t="shared" ca="1" si="13"/>
        <v>0</v>
      </c>
      <c r="L403" s="2"/>
      <c r="M403" s="85">
        <f ca="1">OFFSET(INDIRECT(ADDRESS($A403,3,3,1,"Gross")),0,Menus!$J$4)</f>
        <v>0</v>
      </c>
      <c r="N403" s="85">
        <f ca="1">OFFSET(INDIRECT(ADDRESS($A403,3,3,1,"Gross")),0,Menus!$J$3)</f>
        <v>0</v>
      </c>
    </row>
    <row r="404" spans="1:14" x14ac:dyDescent="0.25">
      <c r="A404">
        <v>446</v>
      </c>
      <c r="B404" s="2">
        <f ca="1">OFFSET(INDIRECT(ADDRESS($A404,3,3,1,Menus!$K$10)),0,Menus!$J$4)</f>
        <v>0</v>
      </c>
      <c r="C404" s="2">
        <f ca="1">OFFSET(INDIRECT(ADDRESS($A404,3,3,1,Menus!$K$10)),0,Menus!$J$3)</f>
        <v>0</v>
      </c>
      <c r="D404" s="73" t="e">
        <f ca="1">IF(Menus!$J$9,C404/B404,C404)</f>
        <v>#DIV/0!</v>
      </c>
      <c r="E404" s="74" t="e">
        <f t="shared" ca="1" si="14"/>
        <v>#N/A</v>
      </c>
      <c r="F404" s="75">
        <f ca="1">INDIRECT(ADDRESS($A404,1,3,1,Menus!$K$10))</f>
        <v>0</v>
      </c>
      <c r="G404" s="2" t="e">
        <f ca="1">IF(INDIRECT(ADDRESS($A404,2,3,1,Menus!$K$10))=G$1,$D404,#N/A)</f>
        <v>#N/A</v>
      </c>
      <c r="H404" s="2" t="e">
        <f ca="1">IF(INDIRECT(ADDRESS($A404,2,3,1,Menus!$K$10))=H$1,$D404,#N/A)</f>
        <v>#N/A</v>
      </c>
      <c r="I404" s="2" t="e">
        <f ca="1">IF(INDIRECT(ADDRESS($A404,2,3,1,Menus!$K$10))=I$1,$D404,#N/A)</f>
        <v>#N/A</v>
      </c>
      <c r="J404" s="2" t="e">
        <f ca="1">IF(INDIRECT(ADDRESS($A404,1,3,1,Menus!$K$10))=T(J$1),$D404,#N/A)</f>
        <v>#N/A</v>
      </c>
      <c r="K404" s="10">
        <f t="shared" ca="1" si="13"/>
        <v>0</v>
      </c>
      <c r="L404" s="2"/>
      <c r="M404" s="85">
        <f ca="1">OFFSET(INDIRECT(ADDRESS($A404,3,3,1,"Gross")),0,Menus!$J$4)</f>
        <v>0</v>
      </c>
      <c r="N404" s="85">
        <f ca="1">OFFSET(INDIRECT(ADDRESS($A404,3,3,1,"Gross")),0,Menus!$J$3)</f>
        <v>0</v>
      </c>
    </row>
    <row r="405" spans="1:14" x14ac:dyDescent="0.25">
      <c r="A405">
        <v>447</v>
      </c>
      <c r="B405" s="2">
        <f ca="1">OFFSET(INDIRECT(ADDRESS($A405,3,3,1,Menus!$K$10)),0,Menus!$J$4)</f>
        <v>0</v>
      </c>
      <c r="C405" s="2">
        <f ca="1">OFFSET(INDIRECT(ADDRESS($A405,3,3,1,Menus!$K$10)),0,Menus!$J$3)</f>
        <v>0</v>
      </c>
      <c r="D405" s="73" t="e">
        <f ca="1">IF(Menus!$J$9,C405/B405,C405)</f>
        <v>#DIV/0!</v>
      </c>
      <c r="E405" s="74" t="e">
        <f t="shared" ca="1" si="14"/>
        <v>#N/A</v>
      </c>
      <c r="F405" s="75">
        <f ca="1">INDIRECT(ADDRESS($A405,1,3,1,Menus!$K$10))</f>
        <v>0</v>
      </c>
      <c r="G405" s="2" t="e">
        <f ca="1">IF(INDIRECT(ADDRESS($A405,2,3,1,Menus!$K$10))=G$1,$D405,#N/A)</f>
        <v>#N/A</v>
      </c>
      <c r="H405" s="2" t="e">
        <f ca="1">IF(INDIRECT(ADDRESS($A405,2,3,1,Menus!$K$10))=H$1,$D405,#N/A)</f>
        <v>#N/A</v>
      </c>
      <c r="I405" s="2" t="e">
        <f ca="1">IF(INDIRECT(ADDRESS($A405,2,3,1,Menus!$K$10))=I$1,$D405,#N/A)</f>
        <v>#N/A</v>
      </c>
      <c r="J405" s="2" t="e">
        <f ca="1">IF(INDIRECT(ADDRESS($A405,1,3,1,Menus!$K$10))=T(J$1),$D405,#N/A)</f>
        <v>#N/A</v>
      </c>
      <c r="K405" s="10">
        <f t="shared" ca="1" si="13"/>
        <v>0</v>
      </c>
      <c r="L405" s="2"/>
      <c r="M405" s="85">
        <f ca="1">OFFSET(INDIRECT(ADDRESS($A405,3,3,1,"Gross")),0,Menus!$J$4)</f>
        <v>0</v>
      </c>
      <c r="N405" s="85">
        <f ca="1">OFFSET(INDIRECT(ADDRESS($A405,3,3,1,"Gross")),0,Menus!$J$3)</f>
        <v>0</v>
      </c>
    </row>
    <row r="406" spans="1:14" x14ac:dyDescent="0.25">
      <c r="A406">
        <v>448</v>
      </c>
      <c r="B406" s="2">
        <f ca="1">OFFSET(INDIRECT(ADDRESS($A406,3,3,1,Menus!$K$10)),0,Menus!$J$4)</f>
        <v>0</v>
      </c>
      <c r="C406" s="2">
        <f ca="1">OFFSET(INDIRECT(ADDRESS($A406,3,3,1,Menus!$K$10)),0,Menus!$J$3)</f>
        <v>0</v>
      </c>
      <c r="D406" s="73" t="e">
        <f ca="1">IF(Menus!$J$9,C406/B406,C406)</f>
        <v>#DIV/0!</v>
      </c>
      <c r="E406" s="74" t="e">
        <f t="shared" ca="1" si="14"/>
        <v>#N/A</v>
      </c>
      <c r="F406" s="75">
        <f ca="1">INDIRECT(ADDRESS($A406,1,3,1,Menus!$K$10))</f>
        <v>0</v>
      </c>
      <c r="G406" s="2" t="e">
        <f ca="1">IF(INDIRECT(ADDRESS($A406,2,3,1,Menus!$K$10))=G$1,$D406,#N/A)</f>
        <v>#N/A</v>
      </c>
      <c r="H406" s="2" t="e">
        <f ca="1">IF(INDIRECT(ADDRESS($A406,2,3,1,Menus!$K$10))=H$1,$D406,#N/A)</f>
        <v>#N/A</v>
      </c>
      <c r="I406" s="2" t="e">
        <f ca="1">IF(INDIRECT(ADDRESS($A406,2,3,1,Menus!$K$10))=I$1,$D406,#N/A)</f>
        <v>#N/A</v>
      </c>
      <c r="J406" s="2" t="e">
        <f ca="1">IF(INDIRECT(ADDRESS($A406,1,3,1,Menus!$K$10))=T(J$1),$D406,#N/A)</f>
        <v>#N/A</v>
      </c>
      <c r="K406" s="10">
        <f t="shared" ca="1" si="13"/>
        <v>0</v>
      </c>
      <c r="L406" s="2"/>
      <c r="M406" s="85">
        <f ca="1">OFFSET(INDIRECT(ADDRESS($A406,3,3,1,"Gross")),0,Menus!$J$4)</f>
        <v>0</v>
      </c>
      <c r="N406" s="85">
        <f ca="1">OFFSET(INDIRECT(ADDRESS($A406,3,3,1,"Gross")),0,Menus!$J$3)</f>
        <v>0</v>
      </c>
    </row>
    <row r="407" spans="1:14" x14ac:dyDescent="0.25">
      <c r="A407">
        <v>449</v>
      </c>
      <c r="B407" s="2">
        <f ca="1">OFFSET(INDIRECT(ADDRESS($A407,3,3,1,Menus!$K$10)),0,Menus!$J$4)</f>
        <v>0</v>
      </c>
      <c r="C407" s="2">
        <f ca="1">OFFSET(INDIRECT(ADDRESS($A407,3,3,1,Menus!$K$10)),0,Menus!$J$3)</f>
        <v>0</v>
      </c>
      <c r="D407" s="73" t="e">
        <f ca="1">IF(Menus!$J$9,C407/B407,C407)</f>
        <v>#DIV/0!</v>
      </c>
      <c r="E407" s="74" t="e">
        <f t="shared" ca="1" si="14"/>
        <v>#N/A</v>
      </c>
      <c r="F407" s="75">
        <f ca="1">INDIRECT(ADDRESS($A407,1,3,1,Menus!$K$10))</f>
        <v>0</v>
      </c>
      <c r="G407" s="2" t="e">
        <f ca="1">IF(INDIRECT(ADDRESS($A407,2,3,1,Menus!$K$10))=G$1,$D407,#N/A)</f>
        <v>#N/A</v>
      </c>
      <c r="H407" s="2" t="e">
        <f ca="1">IF(INDIRECT(ADDRESS($A407,2,3,1,Menus!$K$10))=H$1,$D407,#N/A)</f>
        <v>#N/A</v>
      </c>
      <c r="I407" s="2" t="e">
        <f ca="1">IF(INDIRECT(ADDRESS($A407,2,3,1,Menus!$K$10))=I$1,$D407,#N/A)</f>
        <v>#N/A</v>
      </c>
      <c r="J407" s="2" t="e">
        <f ca="1">IF(INDIRECT(ADDRESS($A407,1,3,1,Menus!$K$10))=T(J$1),$D407,#N/A)</f>
        <v>#N/A</v>
      </c>
      <c r="K407" s="10">
        <f t="shared" ca="1" si="13"/>
        <v>0</v>
      </c>
      <c r="L407" s="2"/>
      <c r="M407" s="85">
        <f ca="1">OFFSET(INDIRECT(ADDRESS($A407,3,3,1,"Gross")),0,Menus!$J$4)</f>
        <v>0</v>
      </c>
      <c r="N407" s="85">
        <f ca="1">OFFSET(INDIRECT(ADDRESS($A407,3,3,1,"Gross")),0,Menus!$J$3)</f>
        <v>0</v>
      </c>
    </row>
    <row r="408" spans="1:14" x14ac:dyDescent="0.25">
      <c r="A408">
        <v>450</v>
      </c>
      <c r="B408" s="2">
        <f ca="1">OFFSET(INDIRECT(ADDRESS($A408,3,3,1,Menus!$K$10)),0,Menus!$J$4)</f>
        <v>0</v>
      </c>
      <c r="C408" s="2">
        <f ca="1">OFFSET(INDIRECT(ADDRESS($A408,3,3,1,Menus!$K$10)),0,Menus!$J$3)</f>
        <v>0</v>
      </c>
      <c r="D408" s="73" t="e">
        <f ca="1">IF(Menus!$J$9,C408/B408,C408)</f>
        <v>#DIV/0!</v>
      </c>
      <c r="E408" s="74" t="e">
        <f t="shared" ca="1" si="14"/>
        <v>#N/A</v>
      </c>
      <c r="F408" s="75">
        <f ca="1">INDIRECT(ADDRESS($A408,1,3,1,Menus!$K$10))</f>
        <v>0</v>
      </c>
      <c r="G408" s="2" t="e">
        <f ca="1">IF(INDIRECT(ADDRESS($A408,2,3,1,Menus!$K$10))=G$1,$D408,#N/A)</f>
        <v>#N/A</v>
      </c>
      <c r="H408" s="2" t="e">
        <f ca="1">IF(INDIRECT(ADDRESS($A408,2,3,1,Menus!$K$10))=H$1,$D408,#N/A)</f>
        <v>#N/A</v>
      </c>
      <c r="I408" s="2" t="e">
        <f ca="1">IF(INDIRECT(ADDRESS($A408,2,3,1,Menus!$K$10))=I$1,$D408,#N/A)</f>
        <v>#N/A</v>
      </c>
      <c r="J408" s="2" t="e">
        <f ca="1">IF(INDIRECT(ADDRESS($A408,1,3,1,Menus!$K$10))=T(J$1),$D408,#N/A)</f>
        <v>#N/A</v>
      </c>
      <c r="K408" s="10">
        <f t="shared" ca="1" si="13"/>
        <v>0</v>
      </c>
      <c r="L408" s="2"/>
      <c r="M408" s="85">
        <f ca="1">OFFSET(INDIRECT(ADDRESS($A408,3,3,1,"Gross")),0,Menus!$J$4)</f>
        <v>0</v>
      </c>
      <c r="N408" s="85">
        <f ca="1">OFFSET(INDIRECT(ADDRESS($A408,3,3,1,"Gross")),0,Menus!$J$3)</f>
        <v>0</v>
      </c>
    </row>
    <row r="409" spans="1:14" x14ac:dyDescent="0.25">
      <c r="A409">
        <v>451</v>
      </c>
      <c r="B409" s="2">
        <f ca="1">OFFSET(INDIRECT(ADDRESS($A409,3,3,1,Menus!$K$10)),0,Menus!$J$4)</f>
        <v>0</v>
      </c>
      <c r="C409" s="2">
        <f ca="1">OFFSET(INDIRECT(ADDRESS($A409,3,3,1,Menus!$K$10)),0,Menus!$J$3)</f>
        <v>0</v>
      </c>
      <c r="D409" s="73" t="e">
        <f ca="1">IF(Menus!$J$9,C409/B409,C409)</f>
        <v>#DIV/0!</v>
      </c>
      <c r="E409" s="74" t="e">
        <f t="shared" ca="1" si="14"/>
        <v>#N/A</v>
      </c>
      <c r="F409" s="75">
        <f ca="1">INDIRECT(ADDRESS($A409,1,3,1,Menus!$K$10))</f>
        <v>0</v>
      </c>
      <c r="G409" s="2" t="e">
        <f ca="1">IF(INDIRECT(ADDRESS($A409,2,3,1,Menus!$K$10))=G$1,$D409,#N/A)</f>
        <v>#N/A</v>
      </c>
      <c r="H409" s="2" t="e">
        <f ca="1">IF(INDIRECT(ADDRESS($A409,2,3,1,Menus!$K$10))=H$1,$D409,#N/A)</f>
        <v>#N/A</v>
      </c>
      <c r="I409" s="2" t="e">
        <f ca="1">IF(INDIRECT(ADDRESS($A409,2,3,1,Menus!$K$10))=I$1,$D409,#N/A)</f>
        <v>#N/A</v>
      </c>
      <c r="J409" s="2" t="e">
        <f ca="1">IF(INDIRECT(ADDRESS($A409,1,3,1,Menus!$K$10))=T(J$1),$D409,#N/A)</f>
        <v>#N/A</v>
      </c>
      <c r="K409" s="10">
        <f t="shared" ca="1" si="13"/>
        <v>0</v>
      </c>
      <c r="L409" s="2"/>
      <c r="M409" s="85">
        <f ca="1">OFFSET(INDIRECT(ADDRESS($A409,3,3,1,"Gross")),0,Menus!$J$4)</f>
        <v>0</v>
      </c>
      <c r="N409" s="85">
        <f ca="1">OFFSET(INDIRECT(ADDRESS($A409,3,3,1,"Gross")),0,Menus!$J$3)</f>
        <v>0</v>
      </c>
    </row>
    <row r="410" spans="1:14" x14ac:dyDescent="0.25">
      <c r="A410">
        <v>452</v>
      </c>
      <c r="B410" s="2">
        <f ca="1">OFFSET(INDIRECT(ADDRESS($A410,3,3,1,Menus!$K$10)),0,Menus!$J$4)</f>
        <v>0</v>
      </c>
      <c r="C410" s="2">
        <f ca="1">OFFSET(INDIRECT(ADDRESS($A410,3,3,1,Menus!$K$10)),0,Menus!$J$3)</f>
        <v>0</v>
      </c>
      <c r="D410" s="73" t="e">
        <f ca="1">IF(Menus!$J$9,C410/B410,C410)</f>
        <v>#DIV/0!</v>
      </c>
      <c r="E410" s="74" t="e">
        <f t="shared" ca="1" si="14"/>
        <v>#N/A</v>
      </c>
      <c r="F410" s="75">
        <f ca="1">INDIRECT(ADDRESS($A410,1,3,1,Menus!$K$10))</f>
        <v>0</v>
      </c>
      <c r="G410" s="2" t="e">
        <f ca="1">IF(INDIRECT(ADDRESS($A410,2,3,1,Menus!$K$10))=G$1,$D410,#N/A)</f>
        <v>#N/A</v>
      </c>
      <c r="H410" s="2" t="e">
        <f ca="1">IF(INDIRECT(ADDRESS($A410,2,3,1,Menus!$K$10))=H$1,$D410,#N/A)</f>
        <v>#N/A</v>
      </c>
      <c r="I410" s="2" t="e">
        <f ca="1">IF(INDIRECT(ADDRESS($A410,2,3,1,Menus!$K$10))=I$1,$D410,#N/A)</f>
        <v>#N/A</v>
      </c>
      <c r="J410" s="2" t="e">
        <f ca="1">IF(INDIRECT(ADDRESS($A410,1,3,1,Menus!$K$10))=T(J$1),$D410,#N/A)</f>
        <v>#N/A</v>
      </c>
      <c r="K410" s="10">
        <f t="shared" ca="1" si="13"/>
        <v>0</v>
      </c>
      <c r="L410" s="2"/>
      <c r="M410" s="85">
        <f ca="1">OFFSET(INDIRECT(ADDRESS($A410,3,3,1,"Gross")),0,Menus!$J$4)</f>
        <v>0</v>
      </c>
      <c r="N410" s="85">
        <f ca="1">OFFSET(INDIRECT(ADDRESS($A410,3,3,1,"Gross")),0,Menus!$J$3)</f>
        <v>0</v>
      </c>
    </row>
    <row r="411" spans="1:14" x14ac:dyDescent="0.25">
      <c r="A411">
        <v>453</v>
      </c>
      <c r="B411" s="2">
        <f ca="1">OFFSET(INDIRECT(ADDRESS($A411,3,3,1,Menus!$K$10)),0,Menus!$J$4)</f>
        <v>0</v>
      </c>
      <c r="C411" s="2">
        <f ca="1">OFFSET(INDIRECT(ADDRESS($A411,3,3,1,Menus!$K$10)),0,Menus!$J$3)</f>
        <v>0</v>
      </c>
      <c r="D411" s="73" t="e">
        <f ca="1">IF(Menus!$J$9,C411/B411,C411)</f>
        <v>#DIV/0!</v>
      </c>
      <c r="E411" s="74" t="e">
        <f t="shared" ca="1" si="14"/>
        <v>#N/A</v>
      </c>
      <c r="F411" s="75">
        <f ca="1">INDIRECT(ADDRESS($A411,1,3,1,Menus!$K$10))</f>
        <v>0</v>
      </c>
      <c r="G411" s="2" t="e">
        <f ca="1">IF(INDIRECT(ADDRESS($A411,2,3,1,Menus!$K$10))=G$1,$D411,#N/A)</f>
        <v>#N/A</v>
      </c>
      <c r="H411" s="2" t="e">
        <f ca="1">IF(INDIRECT(ADDRESS($A411,2,3,1,Menus!$K$10))=H$1,$D411,#N/A)</f>
        <v>#N/A</v>
      </c>
      <c r="I411" s="2" t="e">
        <f ca="1">IF(INDIRECT(ADDRESS($A411,2,3,1,Menus!$K$10))=I$1,$D411,#N/A)</f>
        <v>#N/A</v>
      </c>
      <c r="J411" s="2" t="e">
        <f ca="1">IF(INDIRECT(ADDRESS($A411,1,3,1,Menus!$K$10))=T(J$1),$D411,#N/A)</f>
        <v>#N/A</v>
      </c>
      <c r="K411" s="10">
        <f t="shared" ca="1" si="13"/>
        <v>0</v>
      </c>
      <c r="L411" s="2"/>
      <c r="M411" s="85">
        <f ca="1">OFFSET(INDIRECT(ADDRESS($A411,3,3,1,"Gross")),0,Menus!$J$4)</f>
        <v>0</v>
      </c>
      <c r="N411" s="85">
        <f ca="1">OFFSET(INDIRECT(ADDRESS($A411,3,3,1,"Gross")),0,Menus!$J$3)</f>
        <v>0</v>
      </c>
    </row>
    <row r="412" spans="1:14" x14ac:dyDescent="0.25">
      <c r="A412">
        <v>454</v>
      </c>
      <c r="B412" s="2">
        <f ca="1">OFFSET(INDIRECT(ADDRESS($A412,3,3,1,Menus!$K$10)),0,Menus!$J$4)</f>
        <v>0</v>
      </c>
      <c r="C412" s="2">
        <f ca="1">OFFSET(INDIRECT(ADDRESS($A412,3,3,1,Menus!$K$10)),0,Menus!$J$3)</f>
        <v>0</v>
      </c>
      <c r="D412" s="73" t="e">
        <f ca="1">IF(Menus!$J$9,C412/B412,C412)</f>
        <v>#DIV/0!</v>
      </c>
      <c r="E412" s="74" t="e">
        <f t="shared" ca="1" si="14"/>
        <v>#N/A</v>
      </c>
      <c r="F412" s="75">
        <f ca="1">INDIRECT(ADDRESS($A412,1,3,1,Menus!$K$10))</f>
        <v>0</v>
      </c>
      <c r="G412" s="2" t="e">
        <f ca="1">IF(INDIRECT(ADDRESS($A412,2,3,1,Menus!$K$10))=G$1,$D412,#N/A)</f>
        <v>#N/A</v>
      </c>
      <c r="H412" s="2" t="e">
        <f ca="1">IF(INDIRECT(ADDRESS($A412,2,3,1,Menus!$K$10))=H$1,$D412,#N/A)</f>
        <v>#N/A</v>
      </c>
      <c r="I412" s="2" t="e">
        <f ca="1">IF(INDIRECT(ADDRESS($A412,2,3,1,Menus!$K$10))=I$1,$D412,#N/A)</f>
        <v>#N/A</v>
      </c>
      <c r="J412" s="2" t="e">
        <f ca="1">IF(INDIRECT(ADDRESS($A412,1,3,1,Menus!$K$10))=T(J$1),$D412,#N/A)</f>
        <v>#N/A</v>
      </c>
      <c r="K412" s="10">
        <f t="shared" ca="1" si="13"/>
        <v>0</v>
      </c>
      <c r="L412" s="2"/>
      <c r="M412" s="85">
        <f ca="1">OFFSET(INDIRECT(ADDRESS($A412,3,3,1,"Gross")),0,Menus!$J$4)</f>
        <v>0</v>
      </c>
      <c r="N412" s="85">
        <f ca="1">OFFSET(INDIRECT(ADDRESS($A412,3,3,1,"Gross")),0,Menus!$J$3)</f>
        <v>0</v>
      </c>
    </row>
    <row r="413" spans="1:14" x14ac:dyDescent="0.25">
      <c r="A413">
        <v>455</v>
      </c>
      <c r="B413" s="2">
        <f ca="1">OFFSET(INDIRECT(ADDRESS($A413,3,3,1,Menus!$K$10)),0,Menus!$J$4)</f>
        <v>0</v>
      </c>
      <c r="C413" s="2">
        <f ca="1">OFFSET(INDIRECT(ADDRESS($A413,3,3,1,Menus!$K$10)),0,Menus!$J$3)</f>
        <v>0</v>
      </c>
      <c r="D413" s="73" t="e">
        <f ca="1">IF(Menus!$J$9,C413/B413,C413)</f>
        <v>#DIV/0!</v>
      </c>
      <c r="E413" s="74" t="e">
        <f t="shared" ca="1" si="14"/>
        <v>#N/A</v>
      </c>
      <c r="F413" s="75">
        <f ca="1">INDIRECT(ADDRESS($A413,1,3,1,Menus!$K$10))</f>
        <v>0</v>
      </c>
      <c r="G413" s="2" t="e">
        <f ca="1">IF(INDIRECT(ADDRESS($A413,2,3,1,Menus!$K$10))=G$1,$D413,#N/A)</f>
        <v>#N/A</v>
      </c>
      <c r="H413" s="2" t="e">
        <f ca="1">IF(INDIRECT(ADDRESS($A413,2,3,1,Menus!$K$10))=H$1,$D413,#N/A)</f>
        <v>#N/A</v>
      </c>
      <c r="I413" s="2" t="e">
        <f ca="1">IF(INDIRECT(ADDRESS($A413,2,3,1,Menus!$K$10))=I$1,$D413,#N/A)</f>
        <v>#N/A</v>
      </c>
      <c r="J413" s="2" t="e">
        <f ca="1">IF(INDIRECT(ADDRESS($A413,1,3,1,Menus!$K$10))=T(J$1),$D413,#N/A)</f>
        <v>#N/A</v>
      </c>
      <c r="K413" s="10">
        <f t="shared" ca="1" si="13"/>
        <v>0</v>
      </c>
      <c r="L413" s="2"/>
      <c r="M413" s="85">
        <f ca="1">OFFSET(INDIRECT(ADDRESS($A413,3,3,1,"Gross")),0,Menus!$J$4)</f>
        <v>0</v>
      </c>
      <c r="N413" s="85">
        <f ca="1">OFFSET(INDIRECT(ADDRESS($A413,3,3,1,"Gross")),0,Menus!$J$3)</f>
        <v>0</v>
      </c>
    </row>
    <row r="414" spans="1:14" x14ac:dyDescent="0.25">
      <c r="A414">
        <v>456</v>
      </c>
      <c r="B414" s="2">
        <f ca="1">OFFSET(INDIRECT(ADDRESS($A414,3,3,1,Menus!$K$10)),0,Menus!$J$4)</f>
        <v>0</v>
      </c>
      <c r="C414" s="2">
        <f ca="1">OFFSET(INDIRECT(ADDRESS($A414,3,3,1,Menus!$K$10)),0,Menus!$J$3)</f>
        <v>0</v>
      </c>
      <c r="D414" s="73" t="e">
        <f ca="1">IF(Menus!$J$9,C414/B414,C414)</f>
        <v>#DIV/0!</v>
      </c>
      <c r="E414" s="74" t="e">
        <f t="shared" ca="1" si="14"/>
        <v>#N/A</v>
      </c>
      <c r="F414" s="75">
        <f ca="1">INDIRECT(ADDRESS($A414,1,3,1,Menus!$K$10))</f>
        <v>0</v>
      </c>
      <c r="G414" s="2" t="e">
        <f ca="1">IF(INDIRECT(ADDRESS($A414,2,3,1,Menus!$K$10))=G$1,$D414,#N/A)</f>
        <v>#N/A</v>
      </c>
      <c r="H414" s="2" t="e">
        <f ca="1">IF(INDIRECT(ADDRESS($A414,2,3,1,Menus!$K$10))=H$1,$D414,#N/A)</f>
        <v>#N/A</v>
      </c>
      <c r="I414" s="2" t="e">
        <f ca="1">IF(INDIRECT(ADDRESS($A414,2,3,1,Menus!$K$10))=I$1,$D414,#N/A)</f>
        <v>#N/A</v>
      </c>
      <c r="J414" s="2" t="e">
        <f ca="1">IF(INDIRECT(ADDRESS($A414,1,3,1,Menus!$K$10))=T(J$1),$D414,#N/A)</f>
        <v>#N/A</v>
      </c>
      <c r="K414" s="10">
        <f t="shared" ca="1" si="13"/>
        <v>0</v>
      </c>
      <c r="L414" s="2"/>
      <c r="M414" s="85">
        <f ca="1">OFFSET(INDIRECT(ADDRESS($A414,3,3,1,"Gross")),0,Menus!$J$4)</f>
        <v>0</v>
      </c>
      <c r="N414" s="85">
        <f ca="1">OFFSET(INDIRECT(ADDRESS($A414,3,3,1,"Gross")),0,Menus!$J$3)</f>
        <v>0</v>
      </c>
    </row>
    <row r="415" spans="1:14" x14ac:dyDescent="0.25">
      <c r="A415">
        <v>457</v>
      </c>
      <c r="B415" s="2">
        <f ca="1">OFFSET(INDIRECT(ADDRESS($A415,3,3,1,Menus!$K$10)),0,Menus!$J$4)</f>
        <v>0</v>
      </c>
      <c r="C415" s="2">
        <f ca="1">OFFSET(INDIRECT(ADDRESS($A415,3,3,1,Menus!$K$10)),0,Menus!$J$3)</f>
        <v>0</v>
      </c>
      <c r="D415" s="73" t="e">
        <f ca="1">IF(Menus!$J$9,C415/B415,C415)</f>
        <v>#DIV/0!</v>
      </c>
      <c r="E415" s="74" t="e">
        <f t="shared" ca="1" si="14"/>
        <v>#N/A</v>
      </c>
      <c r="F415" s="75">
        <f ca="1">INDIRECT(ADDRESS($A415,1,3,1,Menus!$K$10))</f>
        <v>0</v>
      </c>
      <c r="G415" s="2" t="e">
        <f ca="1">IF(INDIRECT(ADDRESS($A415,2,3,1,Menus!$K$10))=G$1,$D415,#N/A)</f>
        <v>#N/A</v>
      </c>
      <c r="H415" s="2" t="e">
        <f ca="1">IF(INDIRECT(ADDRESS($A415,2,3,1,Menus!$K$10))=H$1,$D415,#N/A)</f>
        <v>#N/A</v>
      </c>
      <c r="I415" s="2" t="e">
        <f ca="1">IF(INDIRECT(ADDRESS($A415,2,3,1,Menus!$K$10))=I$1,$D415,#N/A)</f>
        <v>#N/A</v>
      </c>
      <c r="J415" s="2" t="e">
        <f ca="1">IF(INDIRECT(ADDRESS($A415,1,3,1,Menus!$K$10))=T(J$1),$D415,#N/A)</f>
        <v>#N/A</v>
      </c>
      <c r="K415" s="10">
        <f t="shared" ca="1" si="13"/>
        <v>0</v>
      </c>
      <c r="L415" s="2"/>
      <c r="M415" s="85">
        <f ca="1">OFFSET(INDIRECT(ADDRESS($A415,3,3,1,"Gross")),0,Menus!$J$4)</f>
        <v>0</v>
      </c>
      <c r="N415" s="85">
        <f ca="1">OFFSET(INDIRECT(ADDRESS($A415,3,3,1,"Gross")),0,Menus!$J$3)</f>
        <v>0</v>
      </c>
    </row>
    <row r="416" spans="1:14" x14ac:dyDescent="0.25">
      <c r="A416">
        <v>458</v>
      </c>
      <c r="B416" s="2">
        <f ca="1">OFFSET(INDIRECT(ADDRESS($A416,3,3,1,Menus!$K$10)),0,Menus!$J$4)</f>
        <v>0</v>
      </c>
      <c r="C416" s="2">
        <f ca="1">OFFSET(INDIRECT(ADDRESS($A416,3,3,1,Menus!$K$10)),0,Menus!$J$3)</f>
        <v>0</v>
      </c>
      <c r="D416" s="73" t="e">
        <f ca="1">IF(Menus!$J$9,C416/B416,C416)</f>
        <v>#DIV/0!</v>
      </c>
      <c r="E416" s="74" t="e">
        <f t="shared" ca="1" si="14"/>
        <v>#N/A</v>
      </c>
      <c r="F416" s="75">
        <f ca="1">INDIRECT(ADDRESS($A416,1,3,1,Menus!$K$10))</f>
        <v>0</v>
      </c>
      <c r="G416" s="2" t="e">
        <f ca="1">IF(INDIRECT(ADDRESS($A416,2,3,1,Menus!$K$10))=G$1,$D416,#N/A)</f>
        <v>#N/A</v>
      </c>
      <c r="H416" s="2" t="e">
        <f ca="1">IF(INDIRECT(ADDRESS($A416,2,3,1,Menus!$K$10))=H$1,$D416,#N/A)</f>
        <v>#N/A</v>
      </c>
      <c r="I416" s="2" t="e">
        <f ca="1">IF(INDIRECT(ADDRESS($A416,2,3,1,Menus!$K$10))=I$1,$D416,#N/A)</f>
        <v>#N/A</v>
      </c>
      <c r="J416" s="2" t="e">
        <f ca="1">IF(INDIRECT(ADDRESS($A416,1,3,1,Menus!$K$10))=T(J$1),$D416,#N/A)</f>
        <v>#N/A</v>
      </c>
      <c r="K416" s="10">
        <f t="shared" ca="1" si="13"/>
        <v>0</v>
      </c>
      <c r="L416" s="2"/>
      <c r="M416" s="85">
        <f ca="1">OFFSET(INDIRECT(ADDRESS($A416,3,3,1,"Gross")),0,Menus!$J$4)</f>
        <v>0</v>
      </c>
      <c r="N416" s="85">
        <f ca="1">OFFSET(INDIRECT(ADDRESS($A416,3,3,1,"Gross")),0,Menus!$J$3)</f>
        <v>0</v>
      </c>
    </row>
    <row r="417" spans="1:14" x14ac:dyDescent="0.25">
      <c r="A417">
        <v>459</v>
      </c>
      <c r="B417" s="2">
        <f ca="1">OFFSET(INDIRECT(ADDRESS($A417,3,3,1,Menus!$K$10)),0,Menus!$J$4)</f>
        <v>0</v>
      </c>
      <c r="C417" s="2">
        <f ca="1">OFFSET(INDIRECT(ADDRESS($A417,3,3,1,Menus!$K$10)),0,Menus!$J$3)</f>
        <v>0</v>
      </c>
      <c r="D417" s="73" t="e">
        <f ca="1">IF(Menus!$J$9,C417/B417,C417)</f>
        <v>#DIV/0!</v>
      </c>
      <c r="E417" s="74" t="e">
        <f t="shared" ca="1" si="14"/>
        <v>#N/A</v>
      </c>
      <c r="F417" s="75">
        <f ca="1">INDIRECT(ADDRESS($A417,1,3,1,Menus!$K$10))</f>
        <v>0</v>
      </c>
      <c r="G417" s="2" t="e">
        <f ca="1">IF(INDIRECT(ADDRESS($A417,2,3,1,Menus!$K$10))=G$1,$D417,#N/A)</f>
        <v>#N/A</v>
      </c>
      <c r="H417" s="2" t="e">
        <f ca="1">IF(INDIRECT(ADDRESS($A417,2,3,1,Menus!$K$10))=H$1,$D417,#N/A)</f>
        <v>#N/A</v>
      </c>
      <c r="I417" s="2" t="e">
        <f ca="1">IF(INDIRECT(ADDRESS($A417,2,3,1,Menus!$K$10))=I$1,$D417,#N/A)</f>
        <v>#N/A</v>
      </c>
      <c r="J417" s="2" t="e">
        <f ca="1">IF(INDIRECT(ADDRESS($A417,1,3,1,Menus!$K$10))=T(J$1),$D417,#N/A)</f>
        <v>#N/A</v>
      </c>
      <c r="K417" s="10">
        <f t="shared" ca="1" si="13"/>
        <v>0</v>
      </c>
      <c r="L417" s="2"/>
      <c r="M417" s="85">
        <f ca="1">OFFSET(INDIRECT(ADDRESS($A417,3,3,1,"Gross")),0,Menus!$J$4)</f>
        <v>0</v>
      </c>
      <c r="N417" s="85">
        <f ca="1">OFFSET(INDIRECT(ADDRESS($A417,3,3,1,"Gross")),0,Menus!$J$3)</f>
        <v>0</v>
      </c>
    </row>
    <row r="418" spans="1:14" x14ac:dyDescent="0.25">
      <c r="A418">
        <v>460</v>
      </c>
      <c r="B418" s="2">
        <f ca="1">OFFSET(INDIRECT(ADDRESS($A418,3,3,1,Menus!$K$10)),0,Menus!$J$4)</f>
        <v>0</v>
      </c>
      <c r="C418" s="2">
        <f ca="1">OFFSET(INDIRECT(ADDRESS($A418,3,3,1,Menus!$K$10)),0,Menus!$J$3)</f>
        <v>0</v>
      </c>
      <c r="D418" s="73" t="e">
        <f ca="1">IF(Menus!$J$9,C418/B418,C418)</f>
        <v>#DIV/0!</v>
      </c>
      <c r="E418" s="74" t="e">
        <f t="shared" ca="1" si="14"/>
        <v>#N/A</v>
      </c>
      <c r="F418" s="75">
        <f ca="1">INDIRECT(ADDRESS($A418,1,3,1,Menus!$K$10))</f>
        <v>0</v>
      </c>
      <c r="G418" s="2" t="e">
        <f ca="1">IF(INDIRECT(ADDRESS($A418,2,3,1,Menus!$K$10))=G$1,$D418,#N/A)</f>
        <v>#N/A</v>
      </c>
      <c r="H418" s="2" t="e">
        <f ca="1">IF(INDIRECT(ADDRESS($A418,2,3,1,Menus!$K$10))=H$1,$D418,#N/A)</f>
        <v>#N/A</v>
      </c>
      <c r="I418" s="2" t="e">
        <f ca="1">IF(INDIRECT(ADDRESS($A418,2,3,1,Menus!$K$10))=I$1,$D418,#N/A)</f>
        <v>#N/A</v>
      </c>
      <c r="J418" s="2" t="e">
        <f ca="1">IF(INDIRECT(ADDRESS($A418,1,3,1,Menus!$K$10))=T(J$1),$D418,#N/A)</f>
        <v>#N/A</v>
      </c>
      <c r="K418" s="10">
        <f t="shared" ca="1" si="13"/>
        <v>0</v>
      </c>
      <c r="L418" s="2"/>
      <c r="M418" s="85">
        <f ca="1">OFFSET(INDIRECT(ADDRESS($A418,3,3,1,"Gross")),0,Menus!$J$4)</f>
        <v>0</v>
      </c>
      <c r="N418" s="85">
        <f ca="1">OFFSET(INDIRECT(ADDRESS($A418,3,3,1,"Gross")),0,Menus!$J$3)</f>
        <v>0</v>
      </c>
    </row>
    <row r="419" spans="1:14" x14ac:dyDescent="0.25">
      <c r="A419">
        <v>461</v>
      </c>
      <c r="B419" s="2">
        <f ca="1">OFFSET(INDIRECT(ADDRESS($A419,3,3,1,Menus!$K$10)),0,Menus!$J$4)</f>
        <v>0</v>
      </c>
      <c r="C419" s="2">
        <f ca="1">OFFSET(INDIRECT(ADDRESS($A419,3,3,1,Menus!$K$10)),0,Menus!$J$3)</f>
        <v>0</v>
      </c>
      <c r="D419" s="73" t="e">
        <f ca="1">IF(Menus!$J$9,C419/B419,C419)</f>
        <v>#DIV/0!</v>
      </c>
      <c r="E419" s="74" t="e">
        <f t="shared" ca="1" si="14"/>
        <v>#N/A</v>
      </c>
      <c r="F419" s="75">
        <f ca="1">INDIRECT(ADDRESS($A419,1,3,1,Menus!$K$10))</f>
        <v>0</v>
      </c>
      <c r="G419" s="2" t="e">
        <f ca="1">IF(INDIRECT(ADDRESS($A419,2,3,1,Menus!$K$10))=G$1,$D419,#N/A)</f>
        <v>#N/A</v>
      </c>
      <c r="H419" s="2" t="e">
        <f ca="1">IF(INDIRECT(ADDRESS($A419,2,3,1,Menus!$K$10))=H$1,$D419,#N/A)</f>
        <v>#N/A</v>
      </c>
      <c r="I419" s="2" t="e">
        <f ca="1">IF(INDIRECT(ADDRESS($A419,2,3,1,Menus!$K$10))=I$1,$D419,#N/A)</f>
        <v>#N/A</v>
      </c>
      <c r="J419" s="2" t="e">
        <f ca="1">IF(INDIRECT(ADDRESS($A419,1,3,1,Menus!$K$10))=T(J$1),$D419,#N/A)</f>
        <v>#N/A</v>
      </c>
      <c r="K419" s="10">
        <f t="shared" ca="1" si="13"/>
        <v>0</v>
      </c>
      <c r="L419" s="2"/>
      <c r="M419" s="85">
        <f ca="1">OFFSET(INDIRECT(ADDRESS($A419,3,3,1,"Gross")),0,Menus!$J$4)</f>
        <v>0</v>
      </c>
      <c r="N419" s="85">
        <f ca="1">OFFSET(INDIRECT(ADDRESS($A419,3,3,1,"Gross")),0,Menus!$J$3)</f>
        <v>0</v>
      </c>
    </row>
    <row r="420" spans="1:14" x14ac:dyDescent="0.25">
      <c r="A420">
        <v>462</v>
      </c>
      <c r="B420" s="2">
        <f ca="1">OFFSET(INDIRECT(ADDRESS($A420,3,3,1,Menus!$K$10)),0,Menus!$J$4)</f>
        <v>0</v>
      </c>
      <c r="C420" s="2">
        <f ca="1">OFFSET(INDIRECT(ADDRESS($A420,3,3,1,Menus!$K$10)),0,Menus!$J$3)</f>
        <v>0</v>
      </c>
      <c r="D420" s="73" t="e">
        <f ca="1">IF(Menus!$J$9,C420/B420,C420)</f>
        <v>#DIV/0!</v>
      </c>
      <c r="E420" s="74" t="e">
        <f t="shared" ca="1" si="14"/>
        <v>#N/A</v>
      </c>
      <c r="F420" s="75">
        <f ca="1">INDIRECT(ADDRESS($A420,1,3,1,Menus!$K$10))</f>
        <v>0</v>
      </c>
      <c r="G420" s="2" t="e">
        <f ca="1">IF(INDIRECT(ADDRESS($A420,2,3,1,Menus!$K$10))=G$1,$D420,#N/A)</f>
        <v>#N/A</v>
      </c>
      <c r="H420" s="2" t="e">
        <f ca="1">IF(INDIRECT(ADDRESS($A420,2,3,1,Menus!$K$10))=H$1,$D420,#N/A)</f>
        <v>#N/A</v>
      </c>
      <c r="I420" s="2" t="e">
        <f ca="1">IF(INDIRECT(ADDRESS($A420,2,3,1,Menus!$K$10))=I$1,$D420,#N/A)</f>
        <v>#N/A</v>
      </c>
      <c r="J420" s="2" t="e">
        <f ca="1">IF(INDIRECT(ADDRESS($A420,1,3,1,Menus!$K$10))=T(J$1),$D420,#N/A)</f>
        <v>#N/A</v>
      </c>
      <c r="K420" s="10">
        <f t="shared" ca="1" si="13"/>
        <v>0</v>
      </c>
      <c r="L420" s="2"/>
      <c r="M420" s="85">
        <f ca="1">OFFSET(INDIRECT(ADDRESS($A420,3,3,1,"Gross")),0,Menus!$J$4)</f>
        <v>0</v>
      </c>
      <c r="N420" s="85">
        <f ca="1">OFFSET(INDIRECT(ADDRESS($A420,3,3,1,"Gross")),0,Menus!$J$3)</f>
        <v>0</v>
      </c>
    </row>
    <row r="421" spans="1:14" x14ac:dyDescent="0.25">
      <c r="A421">
        <v>463</v>
      </c>
      <c r="B421" s="2">
        <f ca="1">OFFSET(INDIRECT(ADDRESS($A421,3,3,1,Menus!$K$10)),0,Menus!$J$4)</f>
        <v>0</v>
      </c>
      <c r="C421" s="2">
        <f ca="1">OFFSET(INDIRECT(ADDRESS($A421,3,3,1,Menus!$K$10)),0,Menus!$J$3)</f>
        <v>0</v>
      </c>
      <c r="D421" s="73" t="e">
        <f ca="1">IF(Menus!$J$9,C421/B421,C421)</f>
        <v>#DIV/0!</v>
      </c>
      <c r="E421" s="74" t="e">
        <f t="shared" ca="1" si="14"/>
        <v>#N/A</v>
      </c>
      <c r="F421" s="75">
        <f ca="1">INDIRECT(ADDRESS($A421,1,3,1,Menus!$K$10))</f>
        <v>0</v>
      </c>
      <c r="G421" s="2" t="e">
        <f ca="1">IF(INDIRECT(ADDRESS($A421,2,3,1,Menus!$K$10))=G$1,$D421,#N/A)</f>
        <v>#N/A</v>
      </c>
      <c r="H421" s="2" t="e">
        <f ca="1">IF(INDIRECT(ADDRESS($A421,2,3,1,Menus!$K$10))=H$1,$D421,#N/A)</f>
        <v>#N/A</v>
      </c>
      <c r="I421" s="2" t="e">
        <f ca="1">IF(INDIRECT(ADDRESS($A421,2,3,1,Menus!$K$10))=I$1,$D421,#N/A)</f>
        <v>#N/A</v>
      </c>
      <c r="J421" s="2" t="e">
        <f ca="1">IF(INDIRECT(ADDRESS($A421,1,3,1,Menus!$K$10))=T(J$1),$D421,#N/A)</f>
        <v>#N/A</v>
      </c>
      <c r="K421" s="10">
        <f t="shared" ca="1" si="13"/>
        <v>0</v>
      </c>
      <c r="L421" s="2"/>
      <c r="M421" s="85">
        <f ca="1">OFFSET(INDIRECT(ADDRESS($A421,3,3,1,"Gross")),0,Menus!$J$4)</f>
        <v>0</v>
      </c>
      <c r="N421" s="85">
        <f ca="1">OFFSET(INDIRECT(ADDRESS($A421,3,3,1,"Gross")),0,Menus!$J$3)</f>
        <v>0</v>
      </c>
    </row>
    <row r="422" spans="1:14" x14ac:dyDescent="0.25">
      <c r="A422">
        <v>464</v>
      </c>
      <c r="B422" s="2">
        <f ca="1">OFFSET(INDIRECT(ADDRESS($A422,3,3,1,Menus!$K$10)),0,Menus!$J$4)</f>
        <v>0</v>
      </c>
      <c r="C422" s="2">
        <f ca="1">OFFSET(INDIRECT(ADDRESS($A422,3,3,1,Menus!$K$10)),0,Menus!$J$3)</f>
        <v>0</v>
      </c>
      <c r="D422" s="73" t="e">
        <f ca="1">IF(Menus!$J$9,C422/B422,C422)</f>
        <v>#DIV/0!</v>
      </c>
      <c r="E422" s="74" t="e">
        <f t="shared" ca="1" si="14"/>
        <v>#N/A</v>
      </c>
      <c r="F422" s="75">
        <f ca="1">INDIRECT(ADDRESS($A422,1,3,1,Menus!$K$10))</f>
        <v>0</v>
      </c>
      <c r="G422" s="2" t="e">
        <f ca="1">IF(INDIRECT(ADDRESS($A422,2,3,1,Menus!$K$10))=G$1,$D422,#N/A)</f>
        <v>#N/A</v>
      </c>
      <c r="H422" s="2" t="e">
        <f ca="1">IF(INDIRECT(ADDRESS($A422,2,3,1,Menus!$K$10))=H$1,$D422,#N/A)</f>
        <v>#N/A</v>
      </c>
      <c r="I422" s="2" t="e">
        <f ca="1">IF(INDIRECT(ADDRESS($A422,2,3,1,Menus!$K$10))=I$1,$D422,#N/A)</f>
        <v>#N/A</v>
      </c>
      <c r="J422" s="2" t="e">
        <f ca="1">IF(INDIRECT(ADDRESS($A422,1,3,1,Menus!$K$10))=T(J$1),$D422,#N/A)</f>
        <v>#N/A</v>
      </c>
      <c r="K422" s="10">
        <f t="shared" ca="1" si="13"/>
        <v>0</v>
      </c>
      <c r="L422" s="2"/>
      <c r="M422" s="85">
        <f ca="1">OFFSET(INDIRECT(ADDRESS($A422,3,3,1,"Gross")),0,Menus!$J$4)</f>
        <v>0</v>
      </c>
      <c r="N422" s="85">
        <f ca="1">OFFSET(INDIRECT(ADDRESS($A422,3,3,1,"Gross")),0,Menus!$J$3)</f>
        <v>0</v>
      </c>
    </row>
    <row r="423" spans="1:14" x14ac:dyDescent="0.25">
      <c r="A423">
        <v>465</v>
      </c>
      <c r="B423" s="2">
        <f ca="1">OFFSET(INDIRECT(ADDRESS($A423,3,3,1,Menus!$K$10)),0,Menus!$J$4)</f>
        <v>0</v>
      </c>
      <c r="C423" s="2">
        <f ca="1">OFFSET(INDIRECT(ADDRESS($A423,3,3,1,Menus!$K$10)),0,Menus!$J$3)</f>
        <v>0</v>
      </c>
      <c r="D423" s="73" t="e">
        <f ca="1">IF(Menus!$J$9,C423/B423,C423)</f>
        <v>#DIV/0!</v>
      </c>
      <c r="E423" s="74" t="e">
        <f t="shared" ca="1" si="14"/>
        <v>#N/A</v>
      </c>
      <c r="F423" s="75">
        <f ca="1">INDIRECT(ADDRESS($A423,1,3,1,Menus!$K$10))</f>
        <v>0</v>
      </c>
      <c r="G423" s="2" t="e">
        <f ca="1">IF(INDIRECT(ADDRESS($A423,2,3,1,Menus!$K$10))=G$1,$D423,#N/A)</f>
        <v>#N/A</v>
      </c>
      <c r="H423" s="2" t="e">
        <f ca="1">IF(INDIRECT(ADDRESS($A423,2,3,1,Menus!$K$10))=H$1,$D423,#N/A)</f>
        <v>#N/A</v>
      </c>
      <c r="I423" s="2" t="e">
        <f ca="1">IF(INDIRECT(ADDRESS($A423,2,3,1,Menus!$K$10))=I$1,$D423,#N/A)</f>
        <v>#N/A</v>
      </c>
      <c r="J423" s="2" t="e">
        <f ca="1">IF(INDIRECT(ADDRESS($A423,1,3,1,Menus!$K$10))=T(J$1),$D423,#N/A)</f>
        <v>#N/A</v>
      </c>
      <c r="K423" s="10">
        <f t="shared" ca="1" si="13"/>
        <v>0</v>
      </c>
      <c r="L423" s="2"/>
      <c r="M423" s="85">
        <f ca="1">OFFSET(INDIRECT(ADDRESS($A423,3,3,1,"Gross")),0,Menus!$J$4)</f>
        <v>0</v>
      </c>
      <c r="N423" s="85">
        <f ca="1">OFFSET(INDIRECT(ADDRESS($A423,3,3,1,"Gross")),0,Menus!$J$3)</f>
        <v>0</v>
      </c>
    </row>
    <row r="424" spans="1:14" x14ac:dyDescent="0.25">
      <c r="A424">
        <v>466</v>
      </c>
      <c r="B424" s="2">
        <f ca="1">OFFSET(INDIRECT(ADDRESS($A424,3,3,1,Menus!$K$10)),0,Menus!$J$4)</f>
        <v>0</v>
      </c>
      <c r="C424" s="2">
        <f ca="1">OFFSET(INDIRECT(ADDRESS($A424,3,3,1,Menus!$K$10)),0,Menus!$J$3)</f>
        <v>0</v>
      </c>
      <c r="D424" s="73" t="e">
        <f ca="1">IF(Menus!$J$9,C424/B424,C424)</f>
        <v>#DIV/0!</v>
      </c>
      <c r="E424" s="74" t="e">
        <f t="shared" ca="1" si="14"/>
        <v>#N/A</v>
      </c>
      <c r="F424" s="75">
        <f ca="1">INDIRECT(ADDRESS($A424,1,3,1,Menus!$K$10))</f>
        <v>0</v>
      </c>
      <c r="G424" s="2" t="e">
        <f ca="1">IF(INDIRECT(ADDRESS($A424,2,3,1,Menus!$K$10))=G$1,$D424,#N/A)</f>
        <v>#N/A</v>
      </c>
      <c r="H424" s="2" t="e">
        <f ca="1">IF(INDIRECT(ADDRESS($A424,2,3,1,Menus!$K$10))=H$1,$D424,#N/A)</f>
        <v>#N/A</v>
      </c>
      <c r="I424" s="2" t="e">
        <f ca="1">IF(INDIRECT(ADDRESS($A424,2,3,1,Menus!$K$10))=I$1,$D424,#N/A)</f>
        <v>#N/A</v>
      </c>
      <c r="J424" s="2" t="e">
        <f ca="1">IF(INDIRECT(ADDRESS($A424,1,3,1,Menus!$K$10))=T(J$1),$D424,#N/A)</f>
        <v>#N/A</v>
      </c>
      <c r="K424" s="10">
        <f t="shared" ca="1" si="13"/>
        <v>0</v>
      </c>
      <c r="L424" s="2"/>
      <c r="M424" s="85">
        <f ca="1">OFFSET(INDIRECT(ADDRESS($A424,3,3,1,"Gross")),0,Menus!$J$4)</f>
        <v>0</v>
      </c>
      <c r="N424" s="85">
        <f ca="1">OFFSET(INDIRECT(ADDRESS($A424,3,3,1,"Gross")),0,Menus!$J$3)</f>
        <v>0</v>
      </c>
    </row>
    <row r="425" spans="1:14" x14ac:dyDescent="0.25">
      <c r="A425">
        <v>467</v>
      </c>
      <c r="B425" s="2">
        <f ca="1">OFFSET(INDIRECT(ADDRESS($A425,3,3,1,Menus!$K$10)),0,Menus!$J$4)</f>
        <v>0</v>
      </c>
      <c r="C425" s="2">
        <f ca="1">OFFSET(INDIRECT(ADDRESS($A425,3,3,1,Menus!$K$10)),0,Menus!$J$3)</f>
        <v>0</v>
      </c>
      <c r="D425" s="73" t="e">
        <f ca="1">IF(Menus!$J$9,C425/B425,C425)</f>
        <v>#DIV/0!</v>
      </c>
      <c r="E425" s="74" t="e">
        <f t="shared" ca="1" si="14"/>
        <v>#N/A</v>
      </c>
      <c r="F425" s="75">
        <f ca="1">INDIRECT(ADDRESS($A425,1,3,1,Menus!$K$10))</f>
        <v>0</v>
      </c>
      <c r="G425" s="2" t="e">
        <f ca="1">IF(INDIRECT(ADDRESS($A425,2,3,1,Menus!$K$10))=G$1,$D425,#N/A)</f>
        <v>#N/A</v>
      </c>
      <c r="H425" s="2" t="e">
        <f ca="1">IF(INDIRECT(ADDRESS($A425,2,3,1,Menus!$K$10))=H$1,$D425,#N/A)</f>
        <v>#N/A</v>
      </c>
      <c r="I425" s="2" t="e">
        <f ca="1">IF(INDIRECT(ADDRESS($A425,2,3,1,Menus!$K$10))=I$1,$D425,#N/A)</f>
        <v>#N/A</v>
      </c>
      <c r="J425" s="2" t="e">
        <f ca="1">IF(INDIRECT(ADDRESS($A425,1,3,1,Menus!$K$10))=T(J$1),$D425,#N/A)</f>
        <v>#N/A</v>
      </c>
      <c r="K425" s="10">
        <f t="shared" ca="1" si="13"/>
        <v>0</v>
      </c>
      <c r="L425" s="2"/>
      <c r="M425" s="85">
        <f ca="1">OFFSET(INDIRECT(ADDRESS($A425,3,3,1,"Gross")),0,Menus!$J$4)</f>
        <v>0</v>
      </c>
      <c r="N425" s="85">
        <f ca="1">OFFSET(INDIRECT(ADDRESS($A425,3,3,1,"Gross")),0,Menus!$J$3)</f>
        <v>0</v>
      </c>
    </row>
    <row r="426" spans="1:14" x14ac:dyDescent="0.25">
      <c r="A426">
        <v>468</v>
      </c>
      <c r="B426" s="2">
        <f ca="1">OFFSET(INDIRECT(ADDRESS($A426,3,3,1,Menus!$K$10)),0,Menus!$J$4)</f>
        <v>0</v>
      </c>
      <c r="C426" s="2">
        <f ca="1">OFFSET(INDIRECT(ADDRESS($A426,3,3,1,Menus!$K$10)),0,Menus!$J$3)</f>
        <v>0</v>
      </c>
      <c r="D426" s="73" t="e">
        <f ca="1">IF(Menus!$J$9,C426/B426,C426)</f>
        <v>#DIV/0!</v>
      </c>
      <c r="E426" s="74" t="e">
        <f t="shared" ca="1" si="14"/>
        <v>#N/A</v>
      </c>
      <c r="F426" s="75">
        <f ca="1">INDIRECT(ADDRESS($A426,1,3,1,Menus!$K$10))</f>
        <v>0</v>
      </c>
      <c r="G426" s="2" t="e">
        <f ca="1">IF(INDIRECT(ADDRESS($A426,2,3,1,Menus!$K$10))=G$1,$D426,#N/A)</f>
        <v>#N/A</v>
      </c>
      <c r="H426" s="2" t="e">
        <f ca="1">IF(INDIRECT(ADDRESS($A426,2,3,1,Menus!$K$10))=H$1,$D426,#N/A)</f>
        <v>#N/A</v>
      </c>
      <c r="I426" s="2" t="e">
        <f ca="1">IF(INDIRECT(ADDRESS($A426,2,3,1,Menus!$K$10))=I$1,$D426,#N/A)</f>
        <v>#N/A</v>
      </c>
      <c r="J426" s="2" t="e">
        <f ca="1">IF(INDIRECT(ADDRESS($A426,1,3,1,Menus!$K$10))=T(J$1),$D426,#N/A)</f>
        <v>#N/A</v>
      </c>
      <c r="K426" s="10">
        <f t="shared" ca="1" si="13"/>
        <v>0</v>
      </c>
      <c r="L426" s="2"/>
      <c r="M426" s="85">
        <f ca="1">OFFSET(INDIRECT(ADDRESS($A426,3,3,1,"Gross")),0,Menus!$J$4)</f>
        <v>0</v>
      </c>
      <c r="N426" s="85">
        <f ca="1">OFFSET(INDIRECT(ADDRESS($A426,3,3,1,"Gross")),0,Menus!$J$3)</f>
        <v>0</v>
      </c>
    </row>
    <row r="427" spans="1:14" x14ac:dyDescent="0.25">
      <c r="A427">
        <v>469</v>
      </c>
      <c r="B427" s="2">
        <f ca="1">OFFSET(INDIRECT(ADDRESS($A427,3,3,1,Menus!$K$10)),0,Menus!$J$4)</f>
        <v>0</v>
      </c>
      <c r="C427" s="2">
        <f ca="1">OFFSET(INDIRECT(ADDRESS($A427,3,3,1,Menus!$K$10)),0,Menus!$J$3)</f>
        <v>0</v>
      </c>
      <c r="D427" s="73" t="e">
        <f ca="1">IF(Menus!$J$9,C427/B427,C427)</f>
        <v>#DIV/0!</v>
      </c>
      <c r="E427" s="74" t="e">
        <f t="shared" ca="1" si="14"/>
        <v>#N/A</v>
      </c>
      <c r="F427" s="75">
        <f ca="1">INDIRECT(ADDRESS($A427,1,3,1,Menus!$K$10))</f>
        <v>0</v>
      </c>
      <c r="G427" s="2" t="e">
        <f ca="1">IF(INDIRECT(ADDRESS($A427,2,3,1,Menus!$K$10))=G$1,$D427,#N/A)</f>
        <v>#N/A</v>
      </c>
      <c r="H427" s="2" t="e">
        <f ca="1">IF(INDIRECT(ADDRESS($A427,2,3,1,Menus!$K$10))=H$1,$D427,#N/A)</f>
        <v>#N/A</v>
      </c>
      <c r="I427" s="2" t="e">
        <f ca="1">IF(INDIRECT(ADDRESS($A427,2,3,1,Menus!$K$10))=I$1,$D427,#N/A)</f>
        <v>#N/A</v>
      </c>
      <c r="J427" s="2" t="e">
        <f ca="1">IF(INDIRECT(ADDRESS($A427,1,3,1,Menus!$K$10))=T(J$1),$D427,#N/A)</f>
        <v>#N/A</v>
      </c>
      <c r="K427" s="10">
        <f t="shared" ca="1" si="13"/>
        <v>0</v>
      </c>
      <c r="L427" s="2"/>
      <c r="M427" s="85">
        <f ca="1">OFFSET(INDIRECT(ADDRESS($A427,3,3,1,"Gross")),0,Menus!$J$4)</f>
        <v>0</v>
      </c>
      <c r="N427" s="85">
        <f ca="1">OFFSET(INDIRECT(ADDRESS($A427,3,3,1,"Gross")),0,Menus!$J$3)</f>
        <v>0</v>
      </c>
    </row>
    <row r="428" spans="1:14" x14ac:dyDescent="0.25">
      <c r="A428">
        <v>470</v>
      </c>
      <c r="B428" s="2">
        <f ca="1">OFFSET(INDIRECT(ADDRESS($A428,3,3,1,Menus!$K$10)),0,Menus!$J$4)</f>
        <v>0</v>
      </c>
      <c r="C428" s="2">
        <f ca="1">OFFSET(INDIRECT(ADDRESS($A428,3,3,1,Menus!$K$10)),0,Menus!$J$3)</f>
        <v>0</v>
      </c>
      <c r="D428" s="73" t="e">
        <f ca="1">IF(Menus!$J$9,C428/B428,C428)</f>
        <v>#DIV/0!</v>
      </c>
      <c r="E428" s="74" t="e">
        <f t="shared" ca="1" si="14"/>
        <v>#N/A</v>
      </c>
      <c r="F428" s="75">
        <f ca="1">INDIRECT(ADDRESS($A428,1,3,1,Menus!$K$10))</f>
        <v>0</v>
      </c>
      <c r="G428" s="2" t="e">
        <f ca="1">IF(INDIRECT(ADDRESS($A428,2,3,1,Menus!$K$10))=G$1,$D428,#N/A)</f>
        <v>#N/A</v>
      </c>
      <c r="H428" s="2" t="e">
        <f ca="1">IF(INDIRECT(ADDRESS($A428,2,3,1,Menus!$K$10))=H$1,$D428,#N/A)</f>
        <v>#N/A</v>
      </c>
      <c r="I428" s="2" t="e">
        <f ca="1">IF(INDIRECT(ADDRESS($A428,2,3,1,Menus!$K$10))=I$1,$D428,#N/A)</f>
        <v>#N/A</v>
      </c>
      <c r="J428" s="2" t="e">
        <f ca="1">IF(INDIRECT(ADDRESS($A428,1,3,1,Menus!$K$10))=T(J$1),$D428,#N/A)</f>
        <v>#N/A</v>
      </c>
      <c r="K428" s="10">
        <f t="shared" ca="1" si="13"/>
        <v>0</v>
      </c>
      <c r="L428" s="2"/>
      <c r="M428" s="85">
        <f ca="1">OFFSET(INDIRECT(ADDRESS($A428,3,3,1,"Gross")),0,Menus!$J$4)</f>
        <v>0</v>
      </c>
      <c r="N428" s="85">
        <f ca="1">OFFSET(INDIRECT(ADDRESS($A428,3,3,1,"Gross")),0,Menus!$J$3)</f>
        <v>0</v>
      </c>
    </row>
    <row r="429" spans="1:14" x14ac:dyDescent="0.25">
      <c r="A429">
        <v>471</v>
      </c>
      <c r="B429" s="2">
        <f ca="1">OFFSET(INDIRECT(ADDRESS($A429,3,3,1,Menus!$K$10)),0,Menus!$J$4)</f>
        <v>0</v>
      </c>
      <c r="C429" s="2">
        <f ca="1">OFFSET(INDIRECT(ADDRESS($A429,3,3,1,Menus!$K$10)),0,Menus!$J$3)</f>
        <v>0</v>
      </c>
      <c r="D429" s="73" t="e">
        <f ca="1">IF(Menus!$J$9,C429/B429,C429)</f>
        <v>#DIV/0!</v>
      </c>
      <c r="E429" s="74" t="e">
        <f t="shared" ca="1" si="14"/>
        <v>#N/A</v>
      </c>
      <c r="F429" s="75">
        <f ca="1">INDIRECT(ADDRESS($A429,1,3,1,Menus!$K$10))</f>
        <v>0</v>
      </c>
      <c r="G429" s="2" t="e">
        <f ca="1">IF(INDIRECT(ADDRESS($A429,2,3,1,Menus!$K$10))=G$1,$D429,#N/A)</f>
        <v>#N/A</v>
      </c>
      <c r="H429" s="2" t="e">
        <f ca="1">IF(INDIRECT(ADDRESS($A429,2,3,1,Menus!$K$10))=H$1,$D429,#N/A)</f>
        <v>#N/A</v>
      </c>
      <c r="I429" s="2" t="e">
        <f ca="1">IF(INDIRECT(ADDRESS($A429,2,3,1,Menus!$K$10))=I$1,$D429,#N/A)</f>
        <v>#N/A</v>
      </c>
      <c r="J429" s="2" t="e">
        <f ca="1">IF(INDIRECT(ADDRESS($A429,1,3,1,Menus!$K$10))=T(J$1),$D429,#N/A)</f>
        <v>#N/A</v>
      </c>
      <c r="K429" s="10">
        <f t="shared" ca="1" si="13"/>
        <v>0</v>
      </c>
      <c r="L429" s="2"/>
      <c r="M429" s="85">
        <f ca="1">OFFSET(INDIRECT(ADDRESS($A429,3,3,1,"Gross")),0,Menus!$J$4)</f>
        <v>0</v>
      </c>
      <c r="N429" s="85">
        <f ca="1">OFFSET(INDIRECT(ADDRESS($A429,3,3,1,"Gross")),0,Menus!$J$3)</f>
        <v>0</v>
      </c>
    </row>
    <row r="430" spans="1:14" x14ac:dyDescent="0.25">
      <c r="A430">
        <v>472</v>
      </c>
      <c r="B430" s="2">
        <f ca="1">OFFSET(INDIRECT(ADDRESS($A430,3,3,1,Menus!$K$10)),0,Menus!$J$4)</f>
        <v>0</v>
      </c>
      <c r="C430" s="2">
        <f ca="1">OFFSET(INDIRECT(ADDRESS($A430,3,3,1,Menus!$K$10)),0,Menus!$J$3)</f>
        <v>0</v>
      </c>
      <c r="D430" s="73" t="e">
        <f ca="1">IF(Menus!$J$9,C430/B430,C430)</f>
        <v>#DIV/0!</v>
      </c>
      <c r="E430" s="74" t="e">
        <f t="shared" ca="1" si="14"/>
        <v>#N/A</v>
      </c>
      <c r="F430" s="75">
        <f ca="1">INDIRECT(ADDRESS($A430,1,3,1,Menus!$K$10))</f>
        <v>0</v>
      </c>
      <c r="G430" s="2" t="e">
        <f ca="1">IF(INDIRECT(ADDRESS($A430,2,3,1,Menus!$K$10))=G$1,$D430,#N/A)</f>
        <v>#N/A</v>
      </c>
      <c r="H430" s="2" t="e">
        <f ca="1">IF(INDIRECT(ADDRESS($A430,2,3,1,Menus!$K$10))=H$1,$D430,#N/A)</f>
        <v>#N/A</v>
      </c>
      <c r="I430" s="2" t="e">
        <f ca="1">IF(INDIRECT(ADDRESS($A430,2,3,1,Menus!$K$10))=I$1,$D430,#N/A)</f>
        <v>#N/A</v>
      </c>
      <c r="J430" s="2" t="e">
        <f ca="1">IF(INDIRECT(ADDRESS($A430,1,3,1,Menus!$K$10))=T(J$1),$D430,#N/A)</f>
        <v>#N/A</v>
      </c>
      <c r="K430" s="10">
        <f t="shared" ca="1" si="13"/>
        <v>0</v>
      </c>
      <c r="L430" s="2"/>
      <c r="M430" s="85">
        <f ca="1">OFFSET(INDIRECT(ADDRESS($A430,3,3,1,"Gross")),0,Menus!$J$4)</f>
        <v>0</v>
      </c>
      <c r="N430" s="85">
        <f ca="1">OFFSET(INDIRECT(ADDRESS($A430,3,3,1,"Gross")),0,Menus!$J$3)</f>
        <v>0</v>
      </c>
    </row>
    <row r="431" spans="1:14" x14ac:dyDescent="0.25">
      <c r="A431">
        <v>473</v>
      </c>
      <c r="B431" s="2">
        <f ca="1">OFFSET(INDIRECT(ADDRESS($A431,3,3,1,Menus!$K$10)),0,Menus!$J$4)</f>
        <v>0</v>
      </c>
      <c r="C431" s="2">
        <f ca="1">OFFSET(INDIRECT(ADDRESS($A431,3,3,1,Menus!$K$10)),0,Menus!$J$3)</f>
        <v>0</v>
      </c>
      <c r="D431" s="73" t="e">
        <f ca="1">IF(Menus!$J$9,C431/B431,C431)</f>
        <v>#DIV/0!</v>
      </c>
      <c r="E431" s="74" t="e">
        <f t="shared" ca="1" si="14"/>
        <v>#N/A</v>
      </c>
      <c r="F431" s="75">
        <f ca="1">INDIRECT(ADDRESS($A431,1,3,1,Menus!$K$10))</f>
        <v>0</v>
      </c>
      <c r="G431" s="2" t="e">
        <f ca="1">IF(INDIRECT(ADDRESS($A431,2,3,1,Menus!$K$10))=G$1,$D431,#N/A)</f>
        <v>#N/A</v>
      </c>
      <c r="H431" s="2" t="e">
        <f ca="1">IF(INDIRECT(ADDRESS($A431,2,3,1,Menus!$K$10))=H$1,$D431,#N/A)</f>
        <v>#N/A</v>
      </c>
      <c r="I431" s="2" t="e">
        <f ca="1">IF(INDIRECT(ADDRESS($A431,2,3,1,Menus!$K$10))=I$1,$D431,#N/A)</f>
        <v>#N/A</v>
      </c>
      <c r="J431" s="2" t="e">
        <f ca="1">IF(INDIRECT(ADDRESS($A431,1,3,1,Menus!$K$10))=T(J$1),$D431,#N/A)</f>
        <v>#N/A</v>
      </c>
      <c r="K431" s="10">
        <f t="shared" ca="1" si="13"/>
        <v>0</v>
      </c>
      <c r="L431" s="2"/>
      <c r="M431" s="85">
        <f ca="1">OFFSET(INDIRECT(ADDRESS($A431,3,3,1,"Gross")),0,Menus!$J$4)</f>
        <v>0</v>
      </c>
      <c r="N431" s="85">
        <f ca="1">OFFSET(INDIRECT(ADDRESS($A431,3,3,1,"Gross")),0,Menus!$J$3)</f>
        <v>0</v>
      </c>
    </row>
    <row r="432" spans="1:14" x14ac:dyDescent="0.25">
      <c r="A432">
        <v>474</v>
      </c>
      <c r="B432" s="2">
        <f ca="1">OFFSET(INDIRECT(ADDRESS($A432,3,3,1,Menus!$K$10)),0,Menus!$J$4)</f>
        <v>0</v>
      </c>
      <c r="C432" s="2">
        <f ca="1">OFFSET(INDIRECT(ADDRESS($A432,3,3,1,Menus!$K$10)),0,Menus!$J$3)</f>
        <v>0</v>
      </c>
      <c r="D432" s="73" t="e">
        <f ca="1">IF(Menus!$J$9,C432/B432,C432)</f>
        <v>#DIV/0!</v>
      </c>
      <c r="E432" s="74" t="e">
        <f t="shared" ca="1" si="14"/>
        <v>#N/A</v>
      </c>
      <c r="F432" s="75">
        <f ca="1">INDIRECT(ADDRESS($A432,1,3,1,Menus!$K$10))</f>
        <v>0</v>
      </c>
      <c r="G432" s="2" t="e">
        <f ca="1">IF(INDIRECT(ADDRESS($A432,2,3,1,Menus!$K$10))=G$1,$D432,#N/A)</f>
        <v>#N/A</v>
      </c>
      <c r="H432" s="2" t="e">
        <f ca="1">IF(INDIRECT(ADDRESS($A432,2,3,1,Menus!$K$10))=H$1,$D432,#N/A)</f>
        <v>#N/A</v>
      </c>
      <c r="I432" s="2" t="e">
        <f ca="1">IF(INDIRECT(ADDRESS($A432,2,3,1,Menus!$K$10))=I$1,$D432,#N/A)</f>
        <v>#N/A</v>
      </c>
      <c r="J432" s="2" t="e">
        <f ca="1">IF(INDIRECT(ADDRESS($A432,1,3,1,Menus!$K$10))=T(J$1),$D432,#N/A)</f>
        <v>#N/A</v>
      </c>
      <c r="K432" s="10">
        <f t="shared" ca="1" si="13"/>
        <v>0</v>
      </c>
      <c r="L432" s="2"/>
      <c r="M432" s="85">
        <f ca="1">OFFSET(INDIRECT(ADDRESS($A432,3,3,1,"Gross")),0,Menus!$J$4)</f>
        <v>0</v>
      </c>
      <c r="N432" s="85">
        <f ca="1">OFFSET(INDIRECT(ADDRESS($A432,3,3,1,"Gross")),0,Menus!$J$3)</f>
        <v>0</v>
      </c>
    </row>
    <row r="433" spans="1:14" x14ac:dyDescent="0.25">
      <c r="A433">
        <v>475</v>
      </c>
      <c r="B433" s="2">
        <f ca="1">OFFSET(INDIRECT(ADDRESS($A433,3,3,1,Menus!$K$10)),0,Menus!$J$4)</f>
        <v>0</v>
      </c>
      <c r="C433" s="2">
        <f ca="1">OFFSET(INDIRECT(ADDRESS($A433,3,3,1,Menus!$K$10)),0,Menus!$J$3)</f>
        <v>0</v>
      </c>
      <c r="D433" s="73" t="e">
        <f ca="1">IF(Menus!$J$9,C433/B433,C433)</f>
        <v>#DIV/0!</v>
      </c>
      <c r="E433" s="74" t="e">
        <f t="shared" ca="1" si="14"/>
        <v>#N/A</v>
      </c>
      <c r="F433" s="75">
        <f ca="1">INDIRECT(ADDRESS($A433,1,3,1,Menus!$K$10))</f>
        <v>0</v>
      </c>
      <c r="G433" s="2" t="e">
        <f ca="1">IF(INDIRECT(ADDRESS($A433,2,3,1,Menus!$K$10))=G$1,$D433,#N/A)</f>
        <v>#N/A</v>
      </c>
      <c r="H433" s="2" t="e">
        <f ca="1">IF(INDIRECT(ADDRESS($A433,2,3,1,Menus!$K$10))=H$1,$D433,#N/A)</f>
        <v>#N/A</v>
      </c>
      <c r="I433" s="2" t="e">
        <f ca="1">IF(INDIRECT(ADDRESS($A433,2,3,1,Menus!$K$10))=I$1,$D433,#N/A)</f>
        <v>#N/A</v>
      </c>
      <c r="J433" s="2" t="e">
        <f ca="1">IF(INDIRECT(ADDRESS($A433,1,3,1,Menus!$K$10))=T(J$1),$D433,#N/A)</f>
        <v>#N/A</v>
      </c>
      <c r="K433" s="10">
        <f t="shared" ca="1" si="13"/>
        <v>0</v>
      </c>
      <c r="L433" s="2"/>
      <c r="M433" s="85">
        <f ca="1">OFFSET(INDIRECT(ADDRESS($A433,3,3,1,"Gross")),0,Menus!$J$4)</f>
        <v>0</v>
      </c>
      <c r="N433" s="85">
        <f ca="1">OFFSET(INDIRECT(ADDRESS($A433,3,3,1,"Gross")),0,Menus!$J$3)</f>
        <v>0</v>
      </c>
    </row>
    <row r="434" spans="1:14" x14ac:dyDescent="0.25">
      <c r="A434">
        <v>476</v>
      </c>
      <c r="B434" s="2">
        <f ca="1">OFFSET(INDIRECT(ADDRESS($A434,3,3,1,Menus!$K$10)),0,Menus!$J$4)</f>
        <v>0</v>
      </c>
      <c r="C434" s="2">
        <f ca="1">OFFSET(INDIRECT(ADDRESS($A434,3,3,1,Menus!$K$10)),0,Menus!$J$3)</f>
        <v>0</v>
      </c>
      <c r="D434" s="73" t="e">
        <f ca="1">IF(Menus!$J$9,C434/B434,C434)</f>
        <v>#DIV/0!</v>
      </c>
      <c r="E434" s="74" t="e">
        <f t="shared" ca="1" si="14"/>
        <v>#N/A</v>
      </c>
      <c r="F434" s="75">
        <f ca="1">INDIRECT(ADDRESS($A434,1,3,1,Menus!$K$10))</f>
        <v>0</v>
      </c>
      <c r="G434" s="2" t="e">
        <f ca="1">IF(INDIRECT(ADDRESS($A434,2,3,1,Menus!$K$10))=G$1,$D434,#N/A)</f>
        <v>#N/A</v>
      </c>
      <c r="H434" s="2" t="e">
        <f ca="1">IF(INDIRECT(ADDRESS($A434,2,3,1,Menus!$K$10))=H$1,$D434,#N/A)</f>
        <v>#N/A</v>
      </c>
      <c r="I434" s="2" t="e">
        <f ca="1">IF(INDIRECT(ADDRESS($A434,2,3,1,Menus!$K$10))=I$1,$D434,#N/A)</f>
        <v>#N/A</v>
      </c>
      <c r="J434" s="2" t="e">
        <f ca="1">IF(INDIRECT(ADDRESS($A434,1,3,1,Menus!$K$10))=T(J$1),$D434,#N/A)</f>
        <v>#N/A</v>
      </c>
      <c r="K434" s="10">
        <f t="shared" ca="1" si="13"/>
        <v>0</v>
      </c>
      <c r="L434" s="2"/>
      <c r="M434" s="85">
        <f ca="1">OFFSET(INDIRECT(ADDRESS($A434,3,3,1,"Gross")),0,Menus!$J$4)</f>
        <v>0</v>
      </c>
      <c r="N434" s="85">
        <f ca="1">OFFSET(INDIRECT(ADDRESS($A434,3,3,1,"Gross")),0,Menus!$J$3)</f>
        <v>0</v>
      </c>
    </row>
    <row r="435" spans="1:14" x14ac:dyDescent="0.25">
      <c r="A435">
        <v>477</v>
      </c>
      <c r="B435" s="2">
        <f ca="1">OFFSET(INDIRECT(ADDRESS($A435,3,3,1,Menus!$K$10)),0,Menus!$J$4)</f>
        <v>0</v>
      </c>
      <c r="C435" s="2">
        <f ca="1">OFFSET(INDIRECT(ADDRESS($A435,3,3,1,Menus!$K$10)),0,Menus!$J$3)</f>
        <v>0</v>
      </c>
      <c r="D435" s="73" t="e">
        <f ca="1">IF(Menus!$J$9,C435/B435,C435)</f>
        <v>#DIV/0!</v>
      </c>
      <c r="E435" s="74" t="e">
        <f t="shared" ca="1" si="14"/>
        <v>#N/A</v>
      </c>
      <c r="F435" s="75">
        <f ca="1">INDIRECT(ADDRESS($A435,1,3,1,Menus!$K$10))</f>
        <v>0</v>
      </c>
      <c r="G435" s="2" t="e">
        <f ca="1">IF(INDIRECT(ADDRESS($A435,2,3,1,Menus!$K$10))=G$1,$D435,#N/A)</f>
        <v>#N/A</v>
      </c>
      <c r="H435" s="2" t="e">
        <f ca="1">IF(INDIRECT(ADDRESS($A435,2,3,1,Menus!$K$10))=H$1,$D435,#N/A)</f>
        <v>#N/A</v>
      </c>
      <c r="I435" s="2" t="e">
        <f ca="1">IF(INDIRECT(ADDRESS($A435,2,3,1,Menus!$K$10))=I$1,$D435,#N/A)</f>
        <v>#N/A</v>
      </c>
      <c r="J435" s="2" t="e">
        <f ca="1">IF(INDIRECT(ADDRESS($A435,1,3,1,Menus!$K$10))=T(J$1),$D435,#N/A)</f>
        <v>#N/A</v>
      </c>
      <c r="K435" s="10">
        <f t="shared" ca="1" si="13"/>
        <v>0</v>
      </c>
      <c r="L435" s="2"/>
      <c r="M435" s="85">
        <f ca="1">OFFSET(INDIRECT(ADDRESS($A435,3,3,1,"Gross")),0,Menus!$J$4)</f>
        <v>0</v>
      </c>
      <c r="N435" s="85">
        <f ca="1">OFFSET(INDIRECT(ADDRESS($A435,3,3,1,"Gross")),0,Menus!$J$3)</f>
        <v>0</v>
      </c>
    </row>
    <row r="436" spans="1:14" x14ac:dyDescent="0.25">
      <c r="A436">
        <v>478</v>
      </c>
      <c r="B436" s="2">
        <f ca="1">OFFSET(INDIRECT(ADDRESS($A436,3,3,1,Menus!$K$10)),0,Menus!$J$4)</f>
        <v>0</v>
      </c>
      <c r="C436" s="2">
        <f ca="1">OFFSET(INDIRECT(ADDRESS($A436,3,3,1,Menus!$K$10)),0,Menus!$J$3)</f>
        <v>0</v>
      </c>
      <c r="D436" s="73" t="e">
        <f ca="1">IF(Menus!$J$9,C436/B436,C436)</f>
        <v>#DIV/0!</v>
      </c>
      <c r="E436" s="74" t="e">
        <f t="shared" ca="1" si="14"/>
        <v>#N/A</v>
      </c>
      <c r="F436" s="75">
        <f ca="1">INDIRECT(ADDRESS($A436,1,3,1,Menus!$K$10))</f>
        <v>0</v>
      </c>
      <c r="G436" s="2" t="e">
        <f ca="1">IF(INDIRECT(ADDRESS($A436,2,3,1,Menus!$K$10))=G$1,$D436,#N/A)</f>
        <v>#N/A</v>
      </c>
      <c r="H436" s="2" t="e">
        <f ca="1">IF(INDIRECT(ADDRESS($A436,2,3,1,Menus!$K$10))=H$1,$D436,#N/A)</f>
        <v>#N/A</v>
      </c>
      <c r="I436" s="2" t="e">
        <f ca="1">IF(INDIRECT(ADDRESS($A436,2,3,1,Menus!$K$10))=I$1,$D436,#N/A)</f>
        <v>#N/A</v>
      </c>
      <c r="J436" s="2" t="e">
        <f ca="1">IF(INDIRECT(ADDRESS($A436,1,3,1,Menus!$K$10))=T(J$1),$D436,#N/A)</f>
        <v>#N/A</v>
      </c>
      <c r="K436" s="10">
        <f t="shared" ca="1" si="13"/>
        <v>0</v>
      </c>
      <c r="L436" s="2"/>
      <c r="M436" s="85">
        <f ca="1">OFFSET(INDIRECT(ADDRESS($A436,3,3,1,"Gross")),0,Menus!$J$4)</f>
        <v>0</v>
      </c>
      <c r="N436" s="85">
        <f ca="1">OFFSET(INDIRECT(ADDRESS($A436,3,3,1,"Gross")),0,Menus!$J$3)</f>
        <v>0</v>
      </c>
    </row>
    <row r="437" spans="1:14" x14ac:dyDescent="0.25">
      <c r="A437">
        <v>479</v>
      </c>
      <c r="B437" s="2">
        <f ca="1">OFFSET(INDIRECT(ADDRESS($A437,3,3,1,Menus!$K$10)),0,Menus!$J$4)</f>
        <v>0</v>
      </c>
      <c r="C437" s="2">
        <f ca="1">OFFSET(INDIRECT(ADDRESS($A437,3,3,1,Menus!$K$10)),0,Menus!$J$3)</f>
        <v>0</v>
      </c>
      <c r="D437" s="73" t="e">
        <f ca="1">IF(Menus!$J$9,C437/B437,C437)</f>
        <v>#DIV/0!</v>
      </c>
      <c r="E437" s="74" t="e">
        <f t="shared" ca="1" si="14"/>
        <v>#N/A</v>
      </c>
      <c r="F437" s="75">
        <f ca="1">INDIRECT(ADDRESS($A437,1,3,1,Menus!$K$10))</f>
        <v>0</v>
      </c>
      <c r="G437" s="2" t="e">
        <f ca="1">IF(INDIRECT(ADDRESS($A437,2,3,1,Menus!$K$10))=G$1,$D437,#N/A)</f>
        <v>#N/A</v>
      </c>
      <c r="H437" s="2" t="e">
        <f ca="1">IF(INDIRECT(ADDRESS($A437,2,3,1,Menus!$K$10))=H$1,$D437,#N/A)</f>
        <v>#N/A</v>
      </c>
      <c r="I437" s="2" t="e">
        <f ca="1">IF(INDIRECT(ADDRESS($A437,2,3,1,Menus!$K$10))=I$1,$D437,#N/A)</f>
        <v>#N/A</v>
      </c>
      <c r="J437" s="2" t="e">
        <f ca="1">IF(INDIRECT(ADDRESS($A437,1,3,1,Menus!$K$10))=T(J$1),$D437,#N/A)</f>
        <v>#N/A</v>
      </c>
      <c r="K437" s="10">
        <f t="shared" ca="1" si="13"/>
        <v>0</v>
      </c>
      <c r="L437" s="2"/>
      <c r="M437" s="85">
        <f ca="1">OFFSET(INDIRECT(ADDRESS($A437,3,3,1,"Gross")),0,Menus!$J$4)</f>
        <v>0</v>
      </c>
      <c r="N437" s="85">
        <f ca="1">OFFSET(INDIRECT(ADDRESS($A437,3,3,1,"Gross")),0,Menus!$J$3)</f>
        <v>0</v>
      </c>
    </row>
    <row r="438" spans="1:14" x14ac:dyDescent="0.25">
      <c r="A438">
        <v>480</v>
      </c>
      <c r="B438" s="2">
        <f ca="1">OFFSET(INDIRECT(ADDRESS($A438,3,3,1,Menus!$K$10)),0,Menus!$J$4)</f>
        <v>0</v>
      </c>
      <c r="C438" s="2">
        <f ca="1">OFFSET(INDIRECT(ADDRESS($A438,3,3,1,Menus!$K$10)),0,Menus!$J$3)</f>
        <v>0</v>
      </c>
      <c r="D438" s="73" t="e">
        <f ca="1">IF(Menus!$J$9,C438/B438,C438)</f>
        <v>#DIV/0!</v>
      </c>
      <c r="E438" s="74" t="e">
        <f t="shared" ca="1" si="14"/>
        <v>#N/A</v>
      </c>
      <c r="F438" s="75">
        <f ca="1">INDIRECT(ADDRESS($A438,1,3,1,Menus!$K$10))</f>
        <v>0</v>
      </c>
      <c r="G438" s="2" t="e">
        <f ca="1">IF(INDIRECT(ADDRESS($A438,2,3,1,Menus!$K$10))=G$1,$D438,#N/A)</f>
        <v>#N/A</v>
      </c>
      <c r="H438" s="2" t="e">
        <f ca="1">IF(INDIRECT(ADDRESS($A438,2,3,1,Menus!$K$10))=H$1,$D438,#N/A)</f>
        <v>#N/A</v>
      </c>
      <c r="I438" s="2" t="e">
        <f ca="1">IF(INDIRECT(ADDRESS($A438,2,3,1,Menus!$K$10))=I$1,$D438,#N/A)</f>
        <v>#N/A</v>
      </c>
      <c r="J438" s="2" t="e">
        <f ca="1">IF(INDIRECT(ADDRESS($A438,1,3,1,Menus!$K$10))=T(J$1),$D438,#N/A)</f>
        <v>#N/A</v>
      </c>
      <c r="K438" s="10">
        <f t="shared" ca="1" si="13"/>
        <v>0</v>
      </c>
      <c r="L438" s="2"/>
      <c r="M438" s="85">
        <f ca="1">OFFSET(INDIRECT(ADDRESS($A438,3,3,1,"Gross")),0,Menus!$J$4)</f>
        <v>0</v>
      </c>
      <c r="N438" s="85">
        <f ca="1">OFFSET(INDIRECT(ADDRESS($A438,3,3,1,"Gross")),0,Menus!$J$3)</f>
        <v>0</v>
      </c>
    </row>
    <row r="439" spans="1:14" x14ac:dyDescent="0.25">
      <c r="A439">
        <v>481</v>
      </c>
      <c r="B439" s="2">
        <f ca="1">OFFSET(INDIRECT(ADDRESS($A439,3,3,1,Menus!$K$10)),0,Menus!$J$4)</f>
        <v>0</v>
      </c>
      <c r="C439" s="2">
        <f ca="1">OFFSET(INDIRECT(ADDRESS($A439,3,3,1,Menus!$K$10)),0,Menus!$J$3)</f>
        <v>0</v>
      </c>
      <c r="D439" s="73" t="e">
        <f ca="1">IF(Menus!$J$9,C439/B439,C439)</f>
        <v>#DIV/0!</v>
      </c>
      <c r="E439" s="74" t="e">
        <f t="shared" ca="1" si="14"/>
        <v>#N/A</v>
      </c>
      <c r="F439" s="75">
        <f ca="1">INDIRECT(ADDRESS($A439,1,3,1,Menus!$K$10))</f>
        <v>0</v>
      </c>
      <c r="G439" s="2" t="e">
        <f ca="1">IF(INDIRECT(ADDRESS($A439,2,3,1,Menus!$K$10))=G$1,$D439,#N/A)</f>
        <v>#N/A</v>
      </c>
      <c r="H439" s="2" t="e">
        <f ca="1">IF(INDIRECT(ADDRESS($A439,2,3,1,Menus!$K$10))=H$1,$D439,#N/A)</f>
        <v>#N/A</v>
      </c>
      <c r="I439" s="2" t="e">
        <f ca="1">IF(INDIRECT(ADDRESS($A439,2,3,1,Menus!$K$10))=I$1,$D439,#N/A)</f>
        <v>#N/A</v>
      </c>
      <c r="J439" s="2" t="e">
        <f ca="1">IF(INDIRECT(ADDRESS($A439,1,3,1,Menus!$K$10))=T(J$1),$D439,#N/A)</f>
        <v>#N/A</v>
      </c>
      <c r="K439" s="10">
        <f t="shared" ca="1" si="13"/>
        <v>0</v>
      </c>
      <c r="L439" s="2"/>
      <c r="M439" s="85">
        <f ca="1">OFFSET(INDIRECT(ADDRESS($A439,3,3,1,"Gross")),0,Menus!$J$4)</f>
        <v>0</v>
      </c>
      <c r="N439" s="85">
        <f ca="1">OFFSET(INDIRECT(ADDRESS($A439,3,3,1,"Gross")),0,Menus!$J$3)</f>
        <v>0</v>
      </c>
    </row>
    <row r="440" spans="1:14" x14ac:dyDescent="0.25">
      <c r="A440">
        <v>482</v>
      </c>
      <c r="B440" s="2">
        <f ca="1">OFFSET(INDIRECT(ADDRESS($A440,3,3,1,Menus!$K$10)),0,Menus!$J$4)</f>
        <v>0</v>
      </c>
      <c r="C440" s="2">
        <f ca="1">OFFSET(INDIRECT(ADDRESS($A440,3,3,1,Menus!$K$10)),0,Menus!$J$3)</f>
        <v>0</v>
      </c>
      <c r="D440" s="73" t="e">
        <f ca="1">IF(Menus!$J$9,C440/B440,C440)</f>
        <v>#DIV/0!</v>
      </c>
      <c r="E440" s="74" t="e">
        <f t="shared" ca="1" si="14"/>
        <v>#N/A</v>
      </c>
      <c r="F440" s="75">
        <f ca="1">INDIRECT(ADDRESS($A440,1,3,1,Menus!$K$10))</f>
        <v>0</v>
      </c>
      <c r="G440" s="2" t="e">
        <f ca="1">IF(INDIRECT(ADDRESS($A440,2,3,1,Menus!$K$10))=G$1,$D440,#N/A)</f>
        <v>#N/A</v>
      </c>
      <c r="H440" s="2" t="e">
        <f ca="1">IF(INDIRECT(ADDRESS($A440,2,3,1,Menus!$K$10))=H$1,$D440,#N/A)</f>
        <v>#N/A</v>
      </c>
      <c r="I440" s="2" t="e">
        <f ca="1">IF(INDIRECT(ADDRESS($A440,2,3,1,Menus!$K$10))=I$1,$D440,#N/A)</f>
        <v>#N/A</v>
      </c>
      <c r="J440" s="2" t="e">
        <f ca="1">IF(INDIRECT(ADDRESS($A440,1,3,1,Menus!$K$10))=T(J$1),$D440,#N/A)</f>
        <v>#N/A</v>
      </c>
      <c r="K440" s="10">
        <f t="shared" ca="1" si="13"/>
        <v>0</v>
      </c>
      <c r="L440" s="2"/>
      <c r="M440" s="85">
        <f ca="1">OFFSET(INDIRECT(ADDRESS($A440,3,3,1,"Gross")),0,Menus!$J$4)</f>
        <v>0</v>
      </c>
      <c r="N440" s="85">
        <f ca="1">OFFSET(INDIRECT(ADDRESS($A440,3,3,1,"Gross")),0,Menus!$J$3)</f>
        <v>0</v>
      </c>
    </row>
    <row r="441" spans="1:14" x14ac:dyDescent="0.25">
      <c r="A441">
        <v>483</v>
      </c>
      <c r="B441" s="2">
        <f ca="1">OFFSET(INDIRECT(ADDRESS($A441,3,3,1,Menus!$K$10)),0,Menus!$J$4)</f>
        <v>0</v>
      </c>
      <c r="C441" s="2">
        <f ca="1">OFFSET(INDIRECT(ADDRESS($A441,3,3,1,Menus!$K$10)),0,Menus!$J$3)</f>
        <v>0</v>
      </c>
      <c r="D441" s="73" t="e">
        <f ca="1">IF(Menus!$J$9,C441/B441,C441)</f>
        <v>#DIV/0!</v>
      </c>
      <c r="E441" s="74" t="e">
        <f t="shared" ca="1" si="14"/>
        <v>#N/A</v>
      </c>
      <c r="F441" s="75">
        <f ca="1">INDIRECT(ADDRESS($A441,1,3,1,Menus!$K$10))</f>
        <v>0</v>
      </c>
      <c r="G441" s="2" t="e">
        <f ca="1">IF(INDIRECT(ADDRESS($A441,2,3,1,Menus!$K$10))=G$1,$D441,#N/A)</f>
        <v>#N/A</v>
      </c>
      <c r="H441" s="2" t="e">
        <f ca="1">IF(INDIRECT(ADDRESS($A441,2,3,1,Menus!$K$10))=H$1,$D441,#N/A)</f>
        <v>#N/A</v>
      </c>
      <c r="I441" s="2" t="e">
        <f ca="1">IF(INDIRECT(ADDRESS($A441,2,3,1,Menus!$K$10))=I$1,$D441,#N/A)</f>
        <v>#N/A</v>
      </c>
      <c r="J441" s="2" t="e">
        <f ca="1">IF(INDIRECT(ADDRESS($A441,1,3,1,Menus!$K$10))=T(J$1),$D441,#N/A)</f>
        <v>#N/A</v>
      </c>
      <c r="K441" s="10">
        <f t="shared" ca="1" si="13"/>
        <v>0</v>
      </c>
      <c r="L441" s="2"/>
      <c r="M441" s="85">
        <f ca="1">OFFSET(INDIRECT(ADDRESS($A441,3,3,1,"Gross")),0,Menus!$J$4)</f>
        <v>0</v>
      </c>
      <c r="N441" s="85">
        <f ca="1">OFFSET(INDIRECT(ADDRESS($A441,3,3,1,"Gross")),0,Menus!$J$3)</f>
        <v>0</v>
      </c>
    </row>
    <row r="442" spans="1:14" x14ac:dyDescent="0.25">
      <c r="A442">
        <v>484</v>
      </c>
      <c r="B442" s="2">
        <f ca="1">OFFSET(INDIRECT(ADDRESS($A442,3,3,1,Menus!$K$10)),0,Menus!$J$4)</f>
        <v>0</v>
      </c>
      <c r="C442" s="2">
        <f ca="1">OFFSET(INDIRECT(ADDRESS($A442,3,3,1,Menus!$K$10)),0,Menus!$J$3)</f>
        <v>0</v>
      </c>
      <c r="D442" s="73" t="e">
        <f ca="1">IF(Menus!$J$9,C442/B442,C442)</f>
        <v>#DIV/0!</v>
      </c>
      <c r="E442" s="74" t="e">
        <f t="shared" ca="1" si="14"/>
        <v>#N/A</v>
      </c>
      <c r="F442" s="75">
        <f ca="1">INDIRECT(ADDRESS($A442,1,3,1,Menus!$K$10))</f>
        <v>0</v>
      </c>
      <c r="G442" s="2" t="e">
        <f ca="1">IF(INDIRECT(ADDRESS($A442,2,3,1,Menus!$K$10))=G$1,$D442,#N/A)</f>
        <v>#N/A</v>
      </c>
      <c r="H442" s="2" t="e">
        <f ca="1">IF(INDIRECT(ADDRESS($A442,2,3,1,Menus!$K$10))=H$1,$D442,#N/A)</f>
        <v>#N/A</v>
      </c>
      <c r="I442" s="2" t="e">
        <f ca="1">IF(INDIRECT(ADDRESS($A442,2,3,1,Menus!$K$10))=I$1,$D442,#N/A)</f>
        <v>#N/A</v>
      </c>
      <c r="J442" s="2" t="e">
        <f ca="1">IF(INDIRECT(ADDRESS($A442,1,3,1,Menus!$K$10))=T(J$1),$D442,#N/A)</f>
        <v>#N/A</v>
      </c>
      <c r="K442" s="10">
        <f t="shared" ca="1" si="13"/>
        <v>0</v>
      </c>
      <c r="L442" s="2"/>
      <c r="M442" s="85">
        <f ca="1">OFFSET(INDIRECT(ADDRESS($A442,3,3,1,"Gross")),0,Menus!$J$4)</f>
        <v>0</v>
      </c>
      <c r="N442" s="85">
        <f ca="1">OFFSET(INDIRECT(ADDRESS($A442,3,3,1,"Gross")),0,Menus!$J$3)</f>
        <v>0</v>
      </c>
    </row>
    <row r="443" spans="1:14" x14ac:dyDescent="0.25">
      <c r="A443">
        <v>485</v>
      </c>
      <c r="B443" s="2">
        <f ca="1">OFFSET(INDIRECT(ADDRESS($A443,3,3,1,Menus!$K$10)),0,Menus!$J$4)</f>
        <v>0</v>
      </c>
      <c r="C443" s="2">
        <f ca="1">OFFSET(INDIRECT(ADDRESS($A443,3,3,1,Menus!$K$10)),0,Menus!$J$3)</f>
        <v>0</v>
      </c>
      <c r="D443" s="73" t="e">
        <f ca="1">IF(Menus!$J$9,C443/B443,C443)</f>
        <v>#DIV/0!</v>
      </c>
      <c r="E443" s="74" t="e">
        <f t="shared" ca="1" si="14"/>
        <v>#N/A</v>
      </c>
      <c r="F443" s="75">
        <f ca="1">INDIRECT(ADDRESS($A443,1,3,1,Menus!$K$10))</f>
        <v>0</v>
      </c>
      <c r="G443" s="2" t="e">
        <f ca="1">IF(INDIRECT(ADDRESS($A443,2,3,1,Menus!$K$10))=G$1,$D443,#N/A)</f>
        <v>#N/A</v>
      </c>
      <c r="H443" s="2" t="e">
        <f ca="1">IF(INDIRECT(ADDRESS($A443,2,3,1,Menus!$K$10))=H$1,$D443,#N/A)</f>
        <v>#N/A</v>
      </c>
      <c r="I443" s="2" t="e">
        <f ca="1">IF(INDIRECT(ADDRESS($A443,2,3,1,Menus!$K$10))=I$1,$D443,#N/A)</f>
        <v>#N/A</v>
      </c>
      <c r="J443" s="2" t="e">
        <f ca="1">IF(INDIRECT(ADDRESS($A443,1,3,1,Menus!$K$10))=T(J$1),$D443,#N/A)</f>
        <v>#N/A</v>
      </c>
      <c r="K443" s="10">
        <f t="shared" ca="1" si="13"/>
        <v>0</v>
      </c>
      <c r="L443" s="2"/>
      <c r="M443" s="85">
        <f ca="1">OFFSET(INDIRECT(ADDRESS($A443,3,3,1,"Gross")),0,Menus!$J$4)</f>
        <v>0</v>
      </c>
      <c r="N443" s="85">
        <f ca="1">OFFSET(INDIRECT(ADDRESS($A443,3,3,1,"Gross")),0,Menus!$J$3)</f>
        <v>0</v>
      </c>
    </row>
    <row r="444" spans="1:14" x14ac:dyDescent="0.25">
      <c r="A444">
        <v>486</v>
      </c>
      <c r="B444" s="2">
        <f ca="1">OFFSET(INDIRECT(ADDRESS($A444,3,3,1,Menus!$K$10)),0,Menus!$J$4)</f>
        <v>0</v>
      </c>
      <c r="C444" s="2">
        <f ca="1">OFFSET(INDIRECT(ADDRESS($A444,3,3,1,Menus!$K$10)),0,Menus!$J$3)</f>
        <v>0</v>
      </c>
      <c r="D444" s="73" t="e">
        <f ca="1">IF(Menus!$J$9,C444/B444,C444)</f>
        <v>#DIV/0!</v>
      </c>
      <c r="E444" s="74" t="e">
        <f t="shared" ca="1" si="14"/>
        <v>#N/A</v>
      </c>
      <c r="F444" s="75">
        <f ca="1">INDIRECT(ADDRESS($A444,1,3,1,Menus!$K$10))</f>
        <v>0</v>
      </c>
      <c r="G444" s="2" t="e">
        <f ca="1">IF(INDIRECT(ADDRESS($A444,2,3,1,Menus!$K$10))=G$1,$D444,#N/A)</f>
        <v>#N/A</v>
      </c>
      <c r="H444" s="2" t="e">
        <f ca="1">IF(INDIRECT(ADDRESS($A444,2,3,1,Menus!$K$10))=H$1,$D444,#N/A)</f>
        <v>#N/A</v>
      </c>
      <c r="I444" s="2" t="e">
        <f ca="1">IF(INDIRECT(ADDRESS($A444,2,3,1,Menus!$K$10))=I$1,$D444,#N/A)</f>
        <v>#N/A</v>
      </c>
      <c r="J444" s="2" t="e">
        <f ca="1">IF(INDIRECT(ADDRESS($A444,1,3,1,Menus!$K$10))=T(J$1),$D444,#N/A)</f>
        <v>#N/A</v>
      </c>
      <c r="K444" s="10">
        <f t="shared" ca="1" si="13"/>
        <v>0</v>
      </c>
      <c r="L444" s="2"/>
      <c r="M444" s="85">
        <f ca="1">OFFSET(INDIRECT(ADDRESS($A444,3,3,1,"Gross")),0,Menus!$J$4)</f>
        <v>0</v>
      </c>
      <c r="N444" s="85">
        <f ca="1">OFFSET(INDIRECT(ADDRESS($A444,3,3,1,"Gross")),0,Menus!$J$3)</f>
        <v>0</v>
      </c>
    </row>
    <row r="445" spans="1:14" x14ac:dyDescent="0.25">
      <c r="A445">
        <v>487</v>
      </c>
      <c r="B445" s="2">
        <f ca="1">OFFSET(INDIRECT(ADDRESS($A445,3,3,1,Menus!$K$10)),0,Menus!$J$4)</f>
        <v>0</v>
      </c>
      <c r="C445" s="2">
        <f ca="1">OFFSET(INDIRECT(ADDRESS($A445,3,3,1,Menus!$K$10)),0,Menus!$J$3)</f>
        <v>0</v>
      </c>
      <c r="D445" s="73" t="e">
        <f ca="1">IF(Menus!$J$9,C445/B445,C445)</f>
        <v>#DIV/0!</v>
      </c>
      <c r="E445" s="74" t="e">
        <f t="shared" ca="1" si="14"/>
        <v>#N/A</v>
      </c>
      <c r="F445" s="75">
        <f ca="1">INDIRECT(ADDRESS($A445,1,3,1,Menus!$K$10))</f>
        <v>0</v>
      </c>
      <c r="G445" s="2" t="e">
        <f ca="1">IF(INDIRECT(ADDRESS($A445,2,3,1,Menus!$K$10))=G$1,$D445,#N/A)</f>
        <v>#N/A</v>
      </c>
      <c r="H445" s="2" t="e">
        <f ca="1">IF(INDIRECT(ADDRESS($A445,2,3,1,Menus!$K$10))=H$1,$D445,#N/A)</f>
        <v>#N/A</v>
      </c>
      <c r="I445" s="2" t="e">
        <f ca="1">IF(INDIRECT(ADDRESS($A445,2,3,1,Menus!$K$10))=I$1,$D445,#N/A)</f>
        <v>#N/A</v>
      </c>
      <c r="J445" s="2" t="e">
        <f ca="1">IF(INDIRECT(ADDRESS($A445,1,3,1,Menus!$K$10))=T(J$1),$D445,#N/A)</f>
        <v>#N/A</v>
      </c>
      <c r="K445" s="10">
        <f t="shared" ca="1" si="13"/>
        <v>0</v>
      </c>
      <c r="L445" s="2"/>
      <c r="M445" s="85">
        <f ca="1">OFFSET(INDIRECT(ADDRESS($A445,3,3,1,"Gross")),0,Menus!$J$4)</f>
        <v>0</v>
      </c>
      <c r="N445" s="85">
        <f ca="1">OFFSET(INDIRECT(ADDRESS($A445,3,3,1,"Gross")),0,Menus!$J$3)</f>
        <v>0</v>
      </c>
    </row>
    <row r="446" spans="1:14" x14ac:dyDescent="0.25">
      <c r="A446">
        <v>488</v>
      </c>
      <c r="B446" s="2">
        <f ca="1">OFFSET(INDIRECT(ADDRESS($A446,3,3,1,Menus!$K$10)),0,Menus!$J$4)</f>
        <v>0</v>
      </c>
      <c r="C446" s="2">
        <f ca="1">OFFSET(INDIRECT(ADDRESS($A446,3,3,1,Menus!$K$10)),0,Menus!$J$3)</f>
        <v>0</v>
      </c>
      <c r="D446" s="73" t="e">
        <f ca="1">IF(Menus!$J$9,C446/B446,C446)</f>
        <v>#DIV/0!</v>
      </c>
      <c r="E446" s="74" t="e">
        <f t="shared" ca="1" si="14"/>
        <v>#N/A</v>
      </c>
      <c r="F446" s="75">
        <f ca="1">INDIRECT(ADDRESS($A446,1,3,1,Menus!$K$10))</f>
        <v>0</v>
      </c>
      <c r="G446" s="2" t="e">
        <f ca="1">IF(INDIRECT(ADDRESS($A446,2,3,1,Menus!$K$10))=G$1,$D446,#N/A)</f>
        <v>#N/A</v>
      </c>
      <c r="H446" s="2" t="e">
        <f ca="1">IF(INDIRECT(ADDRESS($A446,2,3,1,Menus!$K$10))=H$1,$D446,#N/A)</f>
        <v>#N/A</v>
      </c>
      <c r="I446" s="2" t="e">
        <f ca="1">IF(INDIRECT(ADDRESS($A446,2,3,1,Menus!$K$10))=I$1,$D446,#N/A)</f>
        <v>#N/A</v>
      </c>
      <c r="J446" s="2" t="e">
        <f ca="1">IF(INDIRECT(ADDRESS($A446,1,3,1,Menus!$K$10))=T(J$1),$D446,#N/A)</f>
        <v>#N/A</v>
      </c>
      <c r="K446" s="10">
        <f t="shared" ca="1" si="13"/>
        <v>0</v>
      </c>
      <c r="L446" s="2"/>
      <c r="M446" s="85">
        <f ca="1">OFFSET(INDIRECT(ADDRESS($A446,3,3,1,"Gross")),0,Menus!$J$4)</f>
        <v>0</v>
      </c>
      <c r="N446" s="85">
        <f ca="1">OFFSET(INDIRECT(ADDRESS($A446,3,3,1,"Gross")),0,Menus!$J$3)</f>
        <v>0</v>
      </c>
    </row>
    <row r="447" spans="1:14" x14ac:dyDescent="0.25">
      <c r="A447">
        <v>489</v>
      </c>
      <c r="B447" s="2">
        <f ca="1">OFFSET(INDIRECT(ADDRESS($A447,3,3,1,Menus!$K$10)),0,Menus!$J$4)</f>
        <v>0</v>
      </c>
      <c r="C447" s="2">
        <f ca="1">OFFSET(INDIRECT(ADDRESS($A447,3,3,1,Menus!$K$10)),0,Menus!$J$3)</f>
        <v>0</v>
      </c>
      <c r="D447" s="73" t="e">
        <f ca="1">IF(Menus!$J$9,C447/B447,C447)</f>
        <v>#DIV/0!</v>
      </c>
      <c r="E447" s="74" t="e">
        <f t="shared" ca="1" si="14"/>
        <v>#N/A</v>
      </c>
      <c r="F447" s="75">
        <f ca="1">INDIRECT(ADDRESS($A447,1,3,1,Menus!$K$10))</f>
        <v>0</v>
      </c>
      <c r="G447" s="2" t="e">
        <f ca="1">IF(INDIRECT(ADDRESS($A447,2,3,1,Menus!$K$10))=G$1,$D447,#N/A)</f>
        <v>#N/A</v>
      </c>
      <c r="H447" s="2" t="e">
        <f ca="1">IF(INDIRECT(ADDRESS($A447,2,3,1,Menus!$K$10))=H$1,$D447,#N/A)</f>
        <v>#N/A</v>
      </c>
      <c r="I447" s="2" t="e">
        <f ca="1">IF(INDIRECT(ADDRESS($A447,2,3,1,Menus!$K$10))=I$1,$D447,#N/A)</f>
        <v>#N/A</v>
      </c>
      <c r="J447" s="2" t="e">
        <f ca="1">IF(INDIRECT(ADDRESS($A447,1,3,1,Menus!$K$10))=T(J$1),$D447,#N/A)</f>
        <v>#N/A</v>
      </c>
      <c r="K447" s="10">
        <f t="shared" ca="1" si="13"/>
        <v>0</v>
      </c>
      <c r="L447" s="2"/>
      <c r="M447" s="85">
        <f ca="1">OFFSET(INDIRECT(ADDRESS($A447,3,3,1,"Gross")),0,Menus!$J$4)</f>
        <v>0</v>
      </c>
      <c r="N447" s="85">
        <f ca="1">OFFSET(INDIRECT(ADDRESS($A447,3,3,1,"Gross")),0,Menus!$J$3)</f>
        <v>0</v>
      </c>
    </row>
    <row r="448" spans="1:14" x14ac:dyDescent="0.25">
      <c r="A448">
        <v>490</v>
      </c>
      <c r="B448" s="2">
        <f ca="1">OFFSET(INDIRECT(ADDRESS($A448,3,3,1,Menus!$K$10)),0,Menus!$J$4)</f>
        <v>0</v>
      </c>
      <c r="C448" s="2">
        <f ca="1">OFFSET(INDIRECT(ADDRESS($A448,3,3,1,Menus!$K$10)),0,Menus!$J$3)</f>
        <v>0</v>
      </c>
      <c r="D448" s="73" t="e">
        <f ca="1">IF(Menus!$J$9,C448/B448,C448)</f>
        <v>#DIV/0!</v>
      </c>
      <c r="E448" s="74" t="e">
        <f t="shared" ca="1" si="14"/>
        <v>#N/A</v>
      </c>
      <c r="F448" s="75">
        <f ca="1">INDIRECT(ADDRESS($A448,1,3,1,Menus!$K$10))</f>
        <v>0</v>
      </c>
      <c r="G448" s="2" t="e">
        <f ca="1">IF(INDIRECT(ADDRESS($A448,2,3,1,Menus!$K$10))=G$1,$D448,#N/A)</f>
        <v>#N/A</v>
      </c>
      <c r="H448" s="2" t="e">
        <f ca="1">IF(INDIRECT(ADDRESS($A448,2,3,1,Menus!$K$10))=H$1,$D448,#N/A)</f>
        <v>#N/A</v>
      </c>
      <c r="I448" s="2" t="e">
        <f ca="1">IF(INDIRECT(ADDRESS($A448,2,3,1,Menus!$K$10))=I$1,$D448,#N/A)</f>
        <v>#N/A</v>
      </c>
      <c r="J448" s="2" t="e">
        <f ca="1">IF(INDIRECT(ADDRESS($A448,1,3,1,Menus!$K$10))=T(J$1),$D448,#N/A)</f>
        <v>#N/A</v>
      </c>
      <c r="K448" s="10">
        <f t="shared" ca="1" si="13"/>
        <v>0</v>
      </c>
      <c r="L448" s="2"/>
      <c r="M448" s="85">
        <f ca="1">OFFSET(INDIRECT(ADDRESS($A448,3,3,1,"Gross")),0,Menus!$J$4)</f>
        <v>0</v>
      </c>
      <c r="N448" s="85">
        <f ca="1">OFFSET(INDIRECT(ADDRESS($A448,3,3,1,"Gross")),0,Menus!$J$3)</f>
        <v>0</v>
      </c>
    </row>
    <row r="449" spans="1:14" x14ac:dyDescent="0.25">
      <c r="A449">
        <v>491</v>
      </c>
      <c r="B449" s="2">
        <f ca="1">OFFSET(INDIRECT(ADDRESS($A449,3,3,1,Menus!$K$10)),0,Menus!$J$4)</f>
        <v>0</v>
      </c>
      <c r="C449" s="2">
        <f ca="1">OFFSET(INDIRECT(ADDRESS($A449,3,3,1,Menus!$K$10)),0,Menus!$J$3)</f>
        <v>0</v>
      </c>
      <c r="D449" s="73" t="e">
        <f ca="1">IF(Menus!$J$9,C449/B449,C449)</f>
        <v>#DIV/0!</v>
      </c>
      <c r="E449" s="74" t="e">
        <f t="shared" ca="1" si="14"/>
        <v>#N/A</v>
      </c>
      <c r="F449" s="75">
        <f ca="1">INDIRECT(ADDRESS($A449,1,3,1,Menus!$K$10))</f>
        <v>0</v>
      </c>
      <c r="G449" s="2" t="e">
        <f ca="1">IF(INDIRECT(ADDRESS($A449,2,3,1,Menus!$K$10))=G$1,$D449,#N/A)</f>
        <v>#N/A</v>
      </c>
      <c r="H449" s="2" t="e">
        <f ca="1">IF(INDIRECT(ADDRESS($A449,2,3,1,Menus!$K$10))=H$1,$D449,#N/A)</f>
        <v>#N/A</v>
      </c>
      <c r="I449" s="2" t="e">
        <f ca="1">IF(INDIRECT(ADDRESS($A449,2,3,1,Menus!$K$10))=I$1,$D449,#N/A)</f>
        <v>#N/A</v>
      </c>
      <c r="J449" s="2" t="e">
        <f ca="1">IF(INDIRECT(ADDRESS($A449,1,3,1,Menus!$K$10))=T(J$1),$D449,#N/A)</f>
        <v>#N/A</v>
      </c>
      <c r="K449" s="10">
        <f t="shared" ca="1" si="13"/>
        <v>0</v>
      </c>
      <c r="L449" s="2"/>
      <c r="M449" s="85">
        <f ca="1">OFFSET(INDIRECT(ADDRESS($A449,3,3,1,"Gross")),0,Menus!$J$4)</f>
        <v>0</v>
      </c>
      <c r="N449" s="85">
        <f ca="1">OFFSET(INDIRECT(ADDRESS($A449,3,3,1,"Gross")),0,Menus!$J$3)</f>
        <v>0</v>
      </c>
    </row>
    <row r="450" spans="1:14" x14ac:dyDescent="0.25">
      <c r="A450">
        <v>492</v>
      </c>
      <c r="B450" s="2">
        <f ca="1">OFFSET(INDIRECT(ADDRESS($A450,3,3,1,Menus!$K$10)),0,Menus!$J$4)</f>
        <v>0</v>
      </c>
      <c r="C450" s="2">
        <f ca="1">OFFSET(INDIRECT(ADDRESS($A450,3,3,1,Menus!$K$10)),0,Menus!$J$3)</f>
        <v>0</v>
      </c>
      <c r="D450" s="73" t="e">
        <f ca="1">IF(Menus!$J$9,C450/B450,C450)</f>
        <v>#DIV/0!</v>
      </c>
      <c r="E450" s="74" t="e">
        <f t="shared" ca="1" si="14"/>
        <v>#N/A</v>
      </c>
      <c r="F450" s="75">
        <f ca="1">INDIRECT(ADDRESS($A450,1,3,1,Menus!$K$10))</f>
        <v>0</v>
      </c>
      <c r="G450" s="2" t="e">
        <f ca="1">IF(INDIRECT(ADDRESS($A450,2,3,1,Menus!$K$10))=G$1,$D450,#N/A)</f>
        <v>#N/A</v>
      </c>
      <c r="H450" s="2" t="e">
        <f ca="1">IF(INDIRECT(ADDRESS($A450,2,3,1,Menus!$K$10))=H$1,$D450,#N/A)</f>
        <v>#N/A</v>
      </c>
      <c r="I450" s="2" t="e">
        <f ca="1">IF(INDIRECT(ADDRESS($A450,2,3,1,Menus!$K$10))=I$1,$D450,#N/A)</f>
        <v>#N/A</v>
      </c>
      <c r="J450" s="2" t="e">
        <f ca="1">IF(INDIRECT(ADDRESS($A450,1,3,1,Menus!$K$10))=T(J$1),$D450,#N/A)</f>
        <v>#N/A</v>
      </c>
      <c r="K450" s="10">
        <f t="shared" ref="K450:K501" ca="1" si="15">IF(OR(ISNUMBER($G450),ISNUMBER($H450),ISNUMBER($I450),ISNUMBER($J450)),1,0)</f>
        <v>0</v>
      </c>
      <c r="L450" s="2"/>
      <c r="M450" s="85">
        <f ca="1">OFFSET(INDIRECT(ADDRESS($A450,3,3,1,"Gross")),0,Menus!$J$4)</f>
        <v>0</v>
      </c>
      <c r="N450" s="85">
        <f ca="1">OFFSET(INDIRECT(ADDRESS($A450,3,3,1,"Gross")),0,Menus!$J$3)</f>
        <v>0</v>
      </c>
    </row>
    <row r="451" spans="1:14" x14ac:dyDescent="0.25">
      <c r="A451">
        <v>493</v>
      </c>
      <c r="B451" s="2">
        <f ca="1">OFFSET(INDIRECT(ADDRESS($A451,3,3,1,Menus!$K$10)),0,Menus!$J$4)</f>
        <v>0</v>
      </c>
      <c r="C451" s="2">
        <f ca="1">OFFSET(INDIRECT(ADDRESS($A451,3,3,1,Menus!$K$10)),0,Menus!$J$3)</f>
        <v>0</v>
      </c>
      <c r="D451" s="73" t="e">
        <f ca="1">IF(Menus!$J$9,C451/B451,C451)</f>
        <v>#DIV/0!</v>
      </c>
      <c r="E451" s="74" t="e">
        <f t="shared" ref="E451:E482" ca="1" si="16">IF($K451=1,VALUE(B451),#N/A)</f>
        <v>#N/A</v>
      </c>
      <c r="F451" s="75">
        <f ca="1">INDIRECT(ADDRESS($A451,1,3,1,Menus!$K$10))</f>
        <v>0</v>
      </c>
      <c r="G451" s="2" t="e">
        <f ca="1">IF(INDIRECT(ADDRESS($A451,2,3,1,Menus!$K$10))=G$1,$D451,#N/A)</f>
        <v>#N/A</v>
      </c>
      <c r="H451" s="2" t="e">
        <f ca="1">IF(INDIRECT(ADDRESS($A451,2,3,1,Menus!$K$10))=H$1,$D451,#N/A)</f>
        <v>#N/A</v>
      </c>
      <c r="I451" s="2" t="e">
        <f ca="1">IF(INDIRECT(ADDRESS($A451,2,3,1,Menus!$K$10))=I$1,$D451,#N/A)</f>
        <v>#N/A</v>
      </c>
      <c r="J451" s="2" t="e">
        <f ca="1">IF(INDIRECT(ADDRESS($A451,1,3,1,Menus!$K$10))=T(J$1),$D451,#N/A)</f>
        <v>#N/A</v>
      </c>
      <c r="K451" s="10">
        <f t="shared" ca="1" si="15"/>
        <v>0</v>
      </c>
      <c r="L451" s="2"/>
      <c r="M451" s="85">
        <f ca="1">OFFSET(INDIRECT(ADDRESS($A451,3,3,1,"Gross")),0,Menus!$J$4)</f>
        <v>0</v>
      </c>
      <c r="N451" s="85">
        <f ca="1">OFFSET(INDIRECT(ADDRESS($A451,3,3,1,"Gross")),0,Menus!$J$3)</f>
        <v>0</v>
      </c>
    </row>
    <row r="452" spans="1:14" x14ac:dyDescent="0.25">
      <c r="A452">
        <v>494</v>
      </c>
      <c r="B452" s="2">
        <f ca="1">OFFSET(INDIRECT(ADDRESS($A452,3,3,1,Menus!$K$10)),0,Menus!$J$4)</f>
        <v>0</v>
      </c>
      <c r="C452" s="2">
        <f ca="1">OFFSET(INDIRECT(ADDRESS($A452,3,3,1,Menus!$K$10)),0,Menus!$J$3)</f>
        <v>0</v>
      </c>
      <c r="D452" s="73" t="e">
        <f ca="1">IF(Menus!$J$9,C452/B452,C452)</f>
        <v>#DIV/0!</v>
      </c>
      <c r="E452" s="74" t="e">
        <f t="shared" ca="1" si="16"/>
        <v>#N/A</v>
      </c>
      <c r="F452" s="75">
        <f ca="1">INDIRECT(ADDRESS($A452,1,3,1,Menus!$K$10))</f>
        <v>0</v>
      </c>
      <c r="G452" s="2" t="e">
        <f ca="1">IF(INDIRECT(ADDRESS($A452,2,3,1,Menus!$K$10))=G$1,$D452,#N/A)</f>
        <v>#N/A</v>
      </c>
      <c r="H452" s="2" t="e">
        <f ca="1">IF(INDIRECT(ADDRESS($A452,2,3,1,Menus!$K$10))=H$1,$D452,#N/A)</f>
        <v>#N/A</v>
      </c>
      <c r="I452" s="2" t="e">
        <f ca="1">IF(INDIRECT(ADDRESS($A452,2,3,1,Menus!$K$10))=I$1,$D452,#N/A)</f>
        <v>#N/A</v>
      </c>
      <c r="J452" s="2" t="e">
        <f ca="1">IF(INDIRECT(ADDRESS($A452,1,3,1,Menus!$K$10))=T(J$1),$D452,#N/A)</f>
        <v>#N/A</v>
      </c>
      <c r="K452" s="10">
        <f t="shared" ca="1" si="15"/>
        <v>0</v>
      </c>
      <c r="L452" s="2"/>
      <c r="M452" s="85">
        <f ca="1">OFFSET(INDIRECT(ADDRESS($A452,3,3,1,"Gross")),0,Menus!$J$4)</f>
        <v>0</v>
      </c>
      <c r="N452" s="85">
        <f ca="1">OFFSET(INDIRECT(ADDRESS($A452,3,3,1,"Gross")),0,Menus!$J$3)</f>
        <v>0</v>
      </c>
    </row>
    <row r="453" spans="1:14" x14ac:dyDescent="0.25">
      <c r="A453">
        <v>495</v>
      </c>
      <c r="B453" s="2">
        <f ca="1">OFFSET(INDIRECT(ADDRESS($A453,3,3,1,Menus!$K$10)),0,Menus!$J$4)</f>
        <v>0</v>
      </c>
      <c r="C453" s="2">
        <f ca="1">OFFSET(INDIRECT(ADDRESS($A453,3,3,1,Menus!$K$10)),0,Menus!$J$3)</f>
        <v>0</v>
      </c>
      <c r="D453" s="73" t="e">
        <f ca="1">IF(Menus!$J$9,C453/B453,C453)</f>
        <v>#DIV/0!</v>
      </c>
      <c r="E453" s="74" t="e">
        <f t="shared" ca="1" si="16"/>
        <v>#N/A</v>
      </c>
      <c r="F453" s="75">
        <f ca="1">INDIRECT(ADDRESS($A453,1,3,1,Menus!$K$10))</f>
        <v>0</v>
      </c>
      <c r="G453" s="2" t="e">
        <f ca="1">IF(INDIRECT(ADDRESS($A453,2,3,1,Menus!$K$10))=G$1,$D453,#N/A)</f>
        <v>#N/A</v>
      </c>
      <c r="H453" s="2" t="e">
        <f ca="1">IF(INDIRECT(ADDRESS($A453,2,3,1,Menus!$K$10))=H$1,$D453,#N/A)</f>
        <v>#N/A</v>
      </c>
      <c r="I453" s="2" t="e">
        <f ca="1">IF(INDIRECT(ADDRESS($A453,2,3,1,Menus!$K$10))=I$1,$D453,#N/A)</f>
        <v>#N/A</v>
      </c>
      <c r="J453" s="2" t="e">
        <f ca="1">IF(INDIRECT(ADDRESS($A453,1,3,1,Menus!$K$10))=T(J$1),$D453,#N/A)</f>
        <v>#N/A</v>
      </c>
      <c r="K453" s="10">
        <f t="shared" ca="1" si="15"/>
        <v>0</v>
      </c>
      <c r="L453" s="2"/>
      <c r="M453" s="85">
        <f ca="1">OFFSET(INDIRECT(ADDRESS($A453,3,3,1,"Gross")),0,Menus!$J$4)</f>
        <v>0</v>
      </c>
      <c r="N453" s="85">
        <f ca="1">OFFSET(INDIRECT(ADDRESS($A453,3,3,1,"Gross")),0,Menus!$J$3)</f>
        <v>0</v>
      </c>
    </row>
    <row r="454" spans="1:14" x14ac:dyDescent="0.25">
      <c r="A454">
        <v>496</v>
      </c>
      <c r="B454" s="2">
        <f ca="1">OFFSET(INDIRECT(ADDRESS($A454,3,3,1,Menus!$K$10)),0,Menus!$J$4)</f>
        <v>0</v>
      </c>
      <c r="C454" s="2">
        <f ca="1">OFFSET(INDIRECT(ADDRESS($A454,3,3,1,Menus!$K$10)),0,Menus!$J$3)</f>
        <v>0</v>
      </c>
      <c r="D454" s="73" t="e">
        <f ca="1">IF(Menus!$J$9,C454/B454,C454)</f>
        <v>#DIV/0!</v>
      </c>
      <c r="E454" s="74" t="e">
        <f t="shared" ca="1" si="16"/>
        <v>#N/A</v>
      </c>
      <c r="F454" s="75">
        <f ca="1">INDIRECT(ADDRESS($A454,1,3,1,Menus!$K$10))</f>
        <v>0</v>
      </c>
      <c r="G454" s="2" t="e">
        <f ca="1">IF(INDIRECT(ADDRESS($A454,2,3,1,Menus!$K$10))=G$1,$D454,#N/A)</f>
        <v>#N/A</v>
      </c>
      <c r="H454" s="2" t="e">
        <f ca="1">IF(INDIRECT(ADDRESS($A454,2,3,1,Menus!$K$10))=H$1,$D454,#N/A)</f>
        <v>#N/A</v>
      </c>
      <c r="I454" s="2" t="e">
        <f ca="1">IF(INDIRECT(ADDRESS($A454,2,3,1,Menus!$K$10))=I$1,$D454,#N/A)</f>
        <v>#N/A</v>
      </c>
      <c r="J454" s="2" t="e">
        <f ca="1">IF(INDIRECT(ADDRESS($A454,1,3,1,Menus!$K$10))=T(J$1),$D454,#N/A)</f>
        <v>#N/A</v>
      </c>
      <c r="K454" s="10">
        <f t="shared" ca="1" si="15"/>
        <v>0</v>
      </c>
      <c r="L454" s="2"/>
      <c r="M454" s="85">
        <f ca="1">OFFSET(INDIRECT(ADDRESS($A454,3,3,1,"Gross")),0,Menus!$J$4)</f>
        <v>0</v>
      </c>
      <c r="N454" s="85">
        <f ca="1">OFFSET(INDIRECT(ADDRESS($A454,3,3,1,"Gross")),0,Menus!$J$3)</f>
        <v>0</v>
      </c>
    </row>
    <row r="455" spans="1:14" x14ac:dyDescent="0.25">
      <c r="A455">
        <v>497</v>
      </c>
      <c r="B455" s="2">
        <f ca="1">OFFSET(INDIRECT(ADDRESS($A455,3,3,1,Menus!$K$10)),0,Menus!$J$4)</f>
        <v>0</v>
      </c>
      <c r="C455" s="2">
        <f ca="1">OFFSET(INDIRECT(ADDRESS($A455,3,3,1,Menus!$K$10)),0,Menus!$J$3)</f>
        <v>0</v>
      </c>
      <c r="D455" s="73" t="e">
        <f ca="1">IF(Menus!$J$9,C455/B455,C455)</f>
        <v>#DIV/0!</v>
      </c>
      <c r="E455" s="74" t="e">
        <f t="shared" ca="1" si="16"/>
        <v>#N/A</v>
      </c>
      <c r="F455" s="75">
        <f ca="1">INDIRECT(ADDRESS($A455,1,3,1,Menus!$K$10))</f>
        <v>0</v>
      </c>
      <c r="G455" s="2" t="e">
        <f ca="1">IF(INDIRECT(ADDRESS($A455,2,3,1,Menus!$K$10))=G$1,$D455,#N/A)</f>
        <v>#N/A</v>
      </c>
      <c r="H455" s="2" t="e">
        <f ca="1">IF(INDIRECT(ADDRESS($A455,2,3,1,Menus!$K$10))=H$1,$D455,#N/A)</f>
        <v>#N/A</v>
      </c>
      <c r="I455" s="2" t="e">
        <f ca="1">IF(INDIRECT(ADDRESS($A455,2,3,1,Menus!$K$10))=I$1,$D455,#N/A)</f>
        <v>#N/A</v>
      </c>
      <c r="J455" s="2" t="e">
        <f ca="1">IF(INDIRECT(ADDRESS($A455,1,3,1,Menus!$K$10))=T(J$1),$D455,#N/A)</f>
        <v>#N/A</v>
      </c>
      <c r="K455" s="10">
        <f t="shared" ca="1" si="15"/>
        <v>0</v>
      </c>
      <c r="L455" s="2"/>
      <c r="M455" s="85">
        <f ca="1">OFFSET(INDIRECT(ADDRESS($A455,3,3,1,"Gross")),0,Menus!$J$4)</f>
        <v>0</v>
      </c>
      <c r="N455" s="85">
        <f ca="1">OFFSET(INDIRECT(ADDRESS($A455,3,3,1,"Gross")),0,Menus!$J$3)</f>
        <v>0</v>
      </c>
    </row>
    <row r="456" spans="1:14" x14ac:dyDescent="0.25">
      <c r="A456">
        <v>498</v>
      </c>
      <c r="B456" s="2">
        <f ca="1">OFFSET(INDIRECT(ADDRESS($A456,3,3,1,Menus!$K$10)),0,Menus!$J$4)</f>
        <v>0</v>
      </c>
      <c r="C456" s="2">
        <f ca="1">OFFSET(INDIRECT(ADDRESS($A456,3,3,1,Menus!$K$10)),0,Menus!$J$3)</f>
        <v>0</v>
      </c>
      <c r="D456" s="73" t="e">
        <f ca="1">IF(Menus!$J$9,C456/B456,C456)</f>
        <v>#DIV/0!</v>
      </c>
      <c r="E456" s="74" t="e">
        <f t="shared" ca="1" si="16"/>
        <v>#N/A</v>
      </c>
      <c r="F456" s="75">
        <f ca="1">INDIRECT(ADDRESS($A456,1,3,1,Menus!$K$10))</f>
        <v>0</v>
      </c>
      <c r="G456" s="2" t="e">
        <f ca="1">IF(INDIRECT(ADDRESS($A456,2,3,1,Menus!$K$10))=G$1,$D456,#N/A)</f>
        <v>#N/A</v>
      </c>
      <c r="H456" s="2" t="e">
        <f ca="1">IF(INDIRECT(ADDRESS($A456,2,3,1,Menus!$K$10))=H$1,$D456,#N/A)</f>
        <v>#N/A</v>
      </c>
      <c r="I456" s="2" t="e">
        <f ca="1">IF(INDIRECT(ADDRESS($A456,2,3,1,Menus!$K$10))=I$1,$D456,#N/A)</f>
        <v>#N/A</v>
      </c>
      <c r="J456" s="2" t="e">
        <f ca="1">IF(INDIRECT(ADDRESS($A456,1,3,1,Menus!$K$10))=T(J$1),$D456,#N/A)</f>
        <v>#N/A</v>
      </c>
      <c r="K456" s="10">
        <f t="shared" ca="1" si="15"/>
        <v>0</v>
      </c>
      <c r="L456" s="2"/>
      <c r="M456" s="85">
        <f ca="1">OFFSET(INDIRECT(ADDRESS($A456,3,3,1,"Gross")),0,Menus!$J$4)</f>
        <v>0</v>
      </c>
      <c r="N456" s="85">
        <f ca="1">OFFSET(INDIRECT(ADDRESS($A456,3,3,1,"Gross")),0,Menus!$J$3)</f>
        <v>0</v>
      </c>
    </row>
    <row r="457" spans="1:14" x14ac:dyDescent="0.25">
      <c r="A457">
        <v>499</v>
      </c>
      <c r="B457" s="2">
        <f ca="1">OFFSET(INDIRECT(ADDRESS($A457,3,3,1,Menus!$K$10)),0,Menus!$J$4)</f>
        <v>0</v>
      </c>
      <c r="C457" s="2">
        <f ca="1">OFFSET(INDIRECT(ADDRESS($A457,3,3,1,Menus!$K$10)),0,Menus!$J$3)</f>
        <v>0</v>
      </c>
      <c r="D457" s="73" t="e">
        <f ca="1">IF(Menus!$J$9,C457/B457,C457)</f>
        <v>#DIV/0!</v>
      </c>
      <c r="E457" s="74" t="e">
        <f t="shared" ca="1" si="16"/>
        <v>#N/A</v>
      </c>
      <c r="F457" s="75">
        <f ca="1">INDIRECT(ADDRESS($A457,1,3,1,Menus!$K$10))</f>
        <v>0</v>
      </c>
      <c r="G457" s="2" t="e">
        <f ca="1">IF(INDIRECT(ADDRESS($A457,2,3,1,Menus!$K$10))=G$1,$D457,#N/A)</f>
        <v>#N/A</v>
      </c>
      <c r="H457" s="2" t="e">
        <f ca="1">IF(INDIRECT(ADDRESS($A457,2,3,1,Menus!$K$10))=H$1,$D457,#N/A)</f>
        <v>#N/A</v>
      </c>
      <c r="I457" s="2" t="e">
        <f ca="1">IF(INDIRECT(ADDRESS($A457,2,3,1,Menus!$K$10))=I$1,$D457,#N/A)</f>
        <v>#N/A</v>
      </c>
      <c r="J457" s="2" t="e">
        <f ca="1">IF(INDIRECT(ADDRESS($A457,1,3,1,Menus!$K$10))=T(J$1),$D457,#N/A)</f>
        <v>#N/A</v>
      </c>
      <c r="K457" s="10">
        <f t="shared" ca="1" si="15"/>
        <v>0</v>
      </c>
      <c r="L457" s="2"/>
      <c r="M457" s="85">
        <f ca="1">OFFSET(INDIRECT(ADDRESS($A457,3,3,1,"Gross")),0,Menus!$J$4)</f>
        <v>0</v>
      </c>
      <c r="N457" s="85">
        <f ca="1">OFFSET(INDIRECT(ADDRESS($A457,3,3,1,"Gross")),0,Menus!$J$3)</f>
        <v>0</v>
      </c>
    </row>
    <row r="458" spans="1:14" x14ac:dyDescent="0.25">
      <c r="A458">
        <v>500</v>
      </c>
      <c r="B458" s="2">
        <f ca="1">OFFSET(INDIRECT(ADDRESS($A458,3,3,1,Menus!$K$10)),0,Menus!$J$4)</f>
        <v>0</v>
      </c>
      <c r="C458" s="2">
        <f ca="1">OFFSET(INDIRECT(ADDRESS($A458,3,3,1,Menus!$K$10)),0,Menus!$J$3)</f>
        <v>0</v>
      </c>
      <c r="D458" s="73" t="e">
        <f ca="1">IF(Menus!$J$9,C458/B458,C458)</f>
        <v>#DIV/0!</v>
      </c>
      <c r="E458" s="74" t="e">
        <f t="shared" ca="1" si="16"/>
        <v>#N/A</v>
      </c>
      <c r="F458" s="75">
        <f ca="1">INDIRECT(ADDRESS($A458,1,3,1,Menus!$K$10))</f>
        <v>0</v>
      </c>
      <c r="G458" s="2" t="e">
        <f ca="1">IF(INDIRECT(ADDRESS($A458,2,3,1,Menus!$K$10))=G$1,$D458,#N/A)</f>
        <v>#N/A</v>
      </c>
      <c r="H458" s="2" t="e">
        <f ca="1">IF(INDIRECT(ADDRESS($A458,2,3,1,Menus!$K$10))=H$1,$D458,#N/A)</f>
        <v>#N/A</v>
      </c>
      <c r="I458" s="2" t="e">
        <f ca="1">IF(INDIRECT(ADDRESS($A458,2,3,1,Menus!$K$10))=I$1,$D458,#N/A)</f>
        <v>#N/A</v>
      </c>
      <c r="J458" s="2" t="e">
        <f ca="1">IF(INDIRECT(ADDRESS($A458,1,3,1,Menus!$K$10))=T(J$1),$D458,#N/A)</f>
        <v>#N/A</v>
      </c>
      <c r="K458" s="10">
        <f t="shared" ca="1" si="15"/>
        <v>0</v>
      </c>
      <c r="L458" s="2"/>
      <c r="M458" s="85">
        <f ca="1">OFFSET(INDIRECT(ADDRESS($A458,3,3,1,"Gross")),0,Menus!$J$4)</f>
        <v>0</v>
      </c>
      <c r="N458" s="85">
        <f ca="1">OFFSET(INDIRECT(ADDRESS($A458,3,3,1,"Gross")),0,Menus!$J$3)</f>
        <v>0</v>
      </c>
    </row>
    <row r="459" spans="1:14" x14ac:dyDescent="0.25">
      <c r="A459">
        <v>501</v>
      </c>
      <c r="B459" s="2">
        <f ca="1">OFFSET(INDIRECT(ADDRESS($A459,3,3,1,Menus!$K$10)),0,Menus!$J$4)</f>
        <v>0</v>
      </c>
      <c r="C459" s="2">
        <f ca="1">OFFSET(INDIRECT(ADDRESS($A459,3,3,1,Menus!$K$10)),0,Menus!$J$3)</f>
        <v>0</v>
      </c>
      <c r="D459" s="73" t="e">
        <f ca="1">IF(Menus!$J$9,C459/B459,C459)</f>
        <v>#DIV/0!</v>
      </c>
      <c r="E459" s="74" t="e">
        <f t="shared" ca="1" si="16"/>
        <v>#N/A</v>
      </c>
      <c r="F459" s="75">
        <f ca="1">INDIRECT(ADDRESS($A459,1,3,1,Menus!$K$10))</f>
        <v>0</v>
      </c>
      <c r="G459" s="2" t="e">
        <f ca="1">IF(INDIRECT(ADDRESS($A459,2,3,1,Menus!$K$10))=G$1,$D459,#N/A)</f>
        <v>#N/A</v>
      </c>
      <c r="H459" s="2" t="e">
        <f ca="1">IF(INDIRECT(ADDRESS($A459,2,3,1,Menus!$K$10))=H$1,$D459,#N/A)</f>
        <v>#N/A</v>
      </c>
      <c r="I459" s="2" t="e">
        <f ca="1">IF(INDIRECT(ADDRESS($A459,2,3,1,Menus!$K$10))=I$1,$D459,#N/A)</f>
        <v>#N/A</v>
      </c>
      <c r="J459" s="2" t="e">
        <f ca="1">IF(INDIRECT(ADDRESS($A459,1,3,1,Menus!$K$10))=T(J$1),$D459,#N/A)</f>
        <v>#N/A</v>
      </c>
      <c r="K459" s="10">
        <f t="shared" ca="1" si="15"/>
        <v>0</v>
      </c>
      <c r="L459" s="2"/>
      <c r="M459" s="85">
        <f ca="1">OFFSET(INDIRECT(ADDRESS($A459,3,3,1,"Gross")),0,Menus!$J$4)</f>
        <v>0</v>
      </c>
      <c r="N459" s="85">
        <f ca="1">OFFSET(INDIRECT(ADDRESS($A459,3,3,1,"Gross")),0,Menus!$J$3)</f>
        <v>0</v>
      </c>
    </row>
    <row r="460" spans="1:14" x14ac:dyDescent="0.25">
      <c r="A460">
        <v>195</v>
      </c>
      <c r="B460" s="2">
        <f ca="1">OFFSET(INDIRECT(ADDRESS($A460,3,3,1,Menus!$K$10)),0,Menus!$J$4)</f>
        <v>0</v>
      </c>
      <c r="C460" s="2">
        <f ca="1">OFFSET(INDIRECT(ADDRESS($A460,3,3,1,Menus!$K$10)),0,Menus!$J$3)</f>
        <v>0</v>
      </c>
      <c r="D460" s="73" t="e">
        <f ca="1">IF(Menus!$J$9,C460/B460,C460)</f>
        <v>#DIV/0!</v>
      </c>
      <c r="E460" s="74" t="e">
        <f t="shared" ca="1" si="16"/>
        <v>#N/A</v>
      </c>
      <c r="F460" s="75">
        <f ca="1">INDIRECT(ADDRESS($A460,1,3,1,Menus!$K$10))</f>
        <v>0</v>
      </c>
      <c r="G460" s="2" t="e">
        <f ca="1">IF(INDIRECT(ADDRESS($A460,2,3,1,Menus!$K$10))=G$1,$D460,#N/A)</f>
        <v>#N/A</v>
      </c>
      <c r="H460" s="2" t="e">
        <f ca="1">IF(INDIRECT(ADDRESS($A460,2,3,1,Menus!$K$10))=H$1,$D460,#N/A)</f>
        <v>#N/A</v>
      </c>
      <c r="I460" s="2" t="e">
        <f ca="1">IF(INDIRECT(ADDRESS($A460,2,3,1,Menus!$K$10))=I$1,$D460,#N/A)</f>
        <v>#N/A</v>
      </c>
      <c r="J460" s="2" t="e">
        <f ca="1">IF(INDIRECT(ADDRESS($A460,1,3,1,Menus!$K$10))=T(J$1),$D460,#N/A)</f>
        <v>#N/A</v>
      </c>
      <c r="K460" s="10">
        <f t="shared" ca="1" si="15"/>
        <v>0</v>
      </c>
      <c r="L460" s="2"/>
      <c r="M460" s="85">
        <f ca="1">OFFSET(INDIRECT(ADDRESS($A460,3,3,1,"Gross")),0,Menus!$J$4)</f>
        <v>0</v>
      </c>
      <c r="N460" s="85">
        <f ca="1">OFFSET(INDIRECT(ADDRESS($A460,3,3,1,"Gross")),0,Menus!$J$3)</f>
        <v>0</v>
      </c>
    </row>
    <row r="461" spans="1:14" x14ac:dyDescent="0.25">
      <c r="A461">
        <v>103</v>
      </c>
      <c r="B461" s="2">
        <f ca="1">OFFSET(INDIRECT(ADDRESS($A461,3,3,1,Menus!$K$10)),0,Menus!$J$4)</f>
        <v>0</v>
      </c>
      <c r="C461" s="2">
        <f ca="1">OFFSET(INDIRECT(ADDRESS($A461,3,3,1,Menus!$K$10)),0,Menus!$J$3)</f>
        <v>0</v>
      </c>
      <c r="D461" s="73" t="e">
        <f ca="1">IF(Menus!$J$9,C461/B461,C461)</f>
        <v>#DIV/0!</v>
      </c>
      <c r="E461" s="74" t="e">
        <f t="shared" ca="1" si="16"/>
        <v>#N/A</v>
      </c>
      <c r="F461" s="75">
        <f ca="1">INDIRECT(ADDRESS($A461,1,3,1,Menus!$K$10))</f>
        <v>0</v>
      </c>
      <c r="G461" s="2" t="e">
        <f ca="1">IF(INDIRECT(ADDRESS($A461,2,3,1,Menus!$K$10))=G$1,$D461,#N/A)</f>
        <v>#N/A</v>
      </c>
      <c r="H461" s="2" t="e">
        <f ca="1">IF(INDIRECT(ADDRESS($A461,2,3,1,Menus!$K$10))=H$1,$D461,#N/A)</f>
        <v>#N/A</v>
      </c>
      <c r="I461" s="2" t="e">
        <f ca="1">IF(INDIRECT(ADDRESS($A461,2,3,1,Menus!$K$10))=I$1,$D461,#N/A)</f>
        <v>#N/A</v>
      </c>
      <c r="J461" s="2" t="e">
        <f ca="1">IF(INDIRECT(ADDRESS($A461,1,3,1,Menus!$K$10))=T(J$1),$D461,#N/A)</f>
        <v>#N/A</v>
      </c>
      <c r="K461" s="10">
        <f t="shared" ca="1" si="15"/>
        <v>0</v>
      </c>
      <c r="L461" s="2"/>
      <c r="M461" s="85">
        <f ca="1">OFFSET(INDIRECT(ADDRESS($A461,3,3,1,"Gross")),0,Menus!$J$4)</f>
        <v>0</v>
      </c>
      <c r="N461" s="85">
        <f ca="1">OFFSET(INDIRECT(ADDRESS($A461,3,3,1,"Gross")),0,Menus!$J$3)</f>
        <v>0</v>
      </c>
    </row>
    <row r="462" spans="1:14" x14ac:dyDescent="0.25">
      <c r="A462">
        <v>158</v>
      </c>
      <c r="B462" s="2">
        <f ca="1">OFFSET(INDIRECT(ADDRESS($A462,3,3,1,Menus!$K$10)),0,Menus!$J$4)</f>
        <v>0</v>
      </c>
      <c r="C462" s="2">
        <f ca="1">OFFSET(INDIRECT(ADDRESS($A462,3,3,1,Menus!$K$10)),0,Menus!$J$3)</f>
        <v>0</v>
      </c>
      <c r="D462" s="73" t="e">
        <f ca="1">IF(Menus!$J$9,C462/B462,C462)</f>
        <v>#DIV/0!</v>
      </c>
      <c r="E462" s="74" t="e">
        <f t="shared" ca="1" si="16"/>
        <v>#N/A</v>
      </c>
      <c r="F462" s="75">
        <f ca="1">INDIRECT(ADDRESS($A462,1,3,1,Menus!$K$10))</f>
        <v>0</v>
      </c>
      <c r="G462" s="2" t="e">
        <f ca="1">IF(INDIRECT(ADDRESS($A462,2,3,1,Menus!$K$10))=G$1,$D462,#N/A)</f>
        <v>#N/A</v>
      </c>
      <c r="H462" s="2" t="e">
        <f ca="1">IF(INDIRECT(ADDRESS($A462,2,3,1,Menus!$K$10))=H$1,$D462,#N/A)</f>
        <v>#N/A</v>
      </c>
      <c r="I462" s="2" t="e">
        <f ca="1">IF(INDIRECT(ADDRESS($A462,2,3,1,Menus!$K$10))=I$1,$D462,#N/A)</f>
        <v>#N/A</v>
      </c>
      <c r="J462" s="2" t="e">
        <f ca="1">IF(INDIRECT(ADDRESS($A462,1,3,1,Menus!$K$10))=T(J$1),$D462,#N/A)</f>
        <v>#N/A</v>
      </c>
      <c r="K462" s="10">
        <f t="shared" ca="1" si="15"/>
        <v>0</v>
      </c>
      <c r="L462" s="2"/>
      <c r="M462" s="85">
        <f ca="1">OFFSET(INDIRECT(ADDRESS($A462,3,3,1,"Gross")),0,Menus!$J$4)</f>
        <v>0</v>
      </c>
      <c r="N462" s="85">
        <f ca="1">OFFSET(INDIRECT(ADDRESS($A462,3,3,1,"Gross")),0,Menus!$J$3)</f>
        <v>0</v>
      </c>
    </row>
    <row r="463" spans="1:14" x14ac:dyDescent="0.25">
      <c r="A463">
        <v>77</v>
      </c>
      <c r="B463" s="2">
        <f ca="1">OFFSET(INDIRECT(ADDRESS($A463,3,3,1,Menus!$K$10)),0,Menus!$J$4)</f>
        <v>0</v>
      </c>
      <c r="C463" s="2">
        <f ca="1">OFFSET(INDIRECT(ADDRESS($A463,3,3,1,Menus!$K$10)),0,Menus!$J$3)</f>
        <v>0</v>
      </c>
      <c r="D463" s="73" t="e">
        <f ca="1">IF(Menus!$J$9,C463/B463,C463)</f>
        <v>#DIV/0!</v>
      </c>
      <c r="E463" s="74" t="e">
        <f t="shared" ca="1" si="16"/>
        <v>#N/A</v>
      </c>
      <c r="F463" s="75">
        <f ca="1">INDIRECT(ADDRESS($A463,1,3,1,Menus!$K$10))</f>
        <v>0</v>
      </c>
      <c r="G463" s="2" t="e">
        <f ca="1">IF(INDIRECT(ADDRESS($A463,2,3,1,Menus!$K$10))=G$1,$D463,#N/A)</f>
        <v>#N/A</v>
      </c>
      <c r="H463" s="2" t="e">
        <f ca="1">IF(INDIRECT(ADDRESS($A463,2,3,1,Menus!$K$10))=H$1,$D463,#N/A)</f>
        <v>#N/A</v>
      </c>
      <c r="I463" s="2" t="e">
        <f ca="1">IF(INDIRECT(ADDRESS($A463,2,3,1,Menus!$K$10))=I$1,$D463,#N/A)</f>
        <v>#N/A</v>
      </c>
      <c r="J463" s="2" t="e">
        <f ca="1">IF(INDIRECT(ADDRESS($A463,1,3,1,Menus!$K$10))=T(J$1),$D463,#N/A)</f>
        <v>#N/A</v>
      </c>
      <c r="K463" s="10">
        <f t="shared" ca="1" si="15"/>
        <v>0</v>
      </c>
      <c r="L463" s="2"/>
      <c r="M463" s="85">
        <f ca="1">OFFSET(INDIRECT(ADDRESS($A463,3,3,1,"Gross")),0,Menus!$J$4)</f>
        <v>0</v>
      </c>
      <c r="N463" s="85">
        <f ca="1">OFFSET(INDIRECT(ADDRESS($A463,3,3,1,"Gross")),0,Menus!$J$3)</f>
        <v>0</v>
      </c>
    </row>
    <row r="464" spans="1:14" x14ac:dyDescent="0.25">
      <c r="A464">
        <v>54</v>
      </c>
      <c r="B464" s="2">
        <f ca="1">OFFSET(INDIRECT(ADDRESS($A464,3,3,1,Menus!$K$10)),0,Menus!$J$4)</f>
        <v>0</v>
      </c>
      <c r="C464" s="2">
        <f ca="1">OFFSET(INDIRECT(ADDRESS($A464,3,3,1,Menus!$K$10)),0,Menus!$J$3)</f>
        <v>0</v>
      </c>
      <c r="D464" s="73" t="e">
        <f ca="1">IF(Menus!$J$9,C464/B464,C464)</f>
        <v>#DIV/0!</v>
      </c>
      <c r="E464" s="74" t="e">
        <f t="shared" ca="1" si="16"/>
        <v>#N/A</v>
      </c>
      <c r="F464" s="75">
        <f ca="1">INDIRECT(ADDRESS($A464,1,3,1,Menus!$K$10))</f>
        <v>0</v>
      </c>
      <c r="G464" s="2" t="e">
        <f ca="1">IF(INDIRECT(ADDRESS($A464,2,3,1,Menus!$K$10))=G$1,$D464,#N/A)</f>
        <v>#N/A</v>
      </c>
      <c r="H464" s="2" t="e">
        <f ca="1">IF(INDIRECT(ADDRESS($A464,2,3,1,Menus!$K$10))=H$1,$D464,#N/A)</f>
        <v>#N/A</v>
      </c>
      <c r="I464" s="2" t="e">
        <f ca="1">IF(INDIRECT(ADDRESS($A464,2,3,1,Menus!$K$10))=I$1,$D464,#N/A)</f>
        <v>#N/A</v>
      </c>
      <c r="J464" s="2" t="e">
        <f ca="1">IF(INDIRECT(ADDRESS($A464,1,3,1,Menus!$K$10))=T(J$1),$D464,#N/A)</f>
        <v>#N/A</v>
      </c>
      <c r="K464" s="10">
        <f t="shared" ca="1" si="15"/>
        <v>0</v>
      </c>
      <c r="L464" s="2"/>
      <c r="M464" s="85">
        <f ca="1">OFFSET(INDIRECT(ADDRESS($A464,3,3,1,"Gross")),0,Menus!$J$4)</f>
        <v>0</v>
      </c>
      <c r="N464" s="85">
        <f ca="1">OFFSET(INDIRECT(ADDRESS($A464,3,3,1,"Gross")),0,Menus!$J$3)</f>
        <v>0</v>
      </c>
    </row>
    <row r="465" spans="1:14" x14ac:dyDescent="0.25">
      <c r="A465">
        <v>97</v>
      </c>
      <c r="B465" s="2">
        <f ca="1">OFFSET(INDIRECT(ADDRESS($A465,3,3,1,Menus!$K$10)),0,Menus!$J$4)</f>
        <v>0</v>
      </c>
      <c r="C465" s="2">
        <f ca="1">OFFSET(INDIRECT(ADDRESS($A465,3,3,1,Menus!$K$10)),0,Menus!$J$3)</f>
        <v>0</v>
      </c>
      <c r="D465" s="73" t="e">
        <f ca="1">IF(Menus!$J$9,C465/B465,C465)</f>
        <v>#DIV/0!</v>
      </c>
      <c r="E465" s="74" t="e">
        <f t="shared" ca="1" si="16"/>
        <v>#N/A</v>
      </c>
      <c r="F465" s="75">
        <f ca="1">INDIRECT(ADDRESS($A465,1,3,1,Menus!$K$10))</f>
        <v>0</v>
      </c>
      <c r="G465" s="2" t="e">
        <f ca="1">IF(INDIRECT(ADDRESS($A465,2,3,1,Menus!$K$10))=G$1,$D465,#N/A)</f>
        <v>#N/A</v>
      </c>
      <c r="H465" s="2" t="e">
        <f ca="1">IF(INDIRECT(ADDRESS($A465,2,3,1,Menus!$K$10))=H$1,$D465,#N/A)</f>
        <v>#N/A</v>
      </c>
      <c r="I465" s="2" t="e">
        <f ca="1">IF(INDIRECT(ADDRESS($A465,2,3,1,Menus!$K$10))=I$1,$D465,#N/A)</f>
        <v>#N/A</v>
      </c>
      <c r="J465" s="2" t="e">
        <f ca="1">IF(INDIRECT(ADDRESS($A465,1,3,1,Menus!$K$10))=T(J$1),$D465,#N/A)</f>
        <v>#N/A</v>
      </c>
      <c r="K465" s="10">
        <f t="shared" ca="1" si="15"/>
        <v>0</v>
      </c>
      <c r="L465" s="2"/>
      <c r="M465" s="85">
        <f ca="1">OFFSET(INDIRECT(ADDRESS($A465,3,3,1,"Gross")),0,Menus!$J$4)</f>
        <v>0</v>
      </c>
      <c r="N465" s="85">
        <f ca="1">OFFSET(INDIRECT(ADDRESS($A465,3,3,1,"Gross")),0,Menus!$J$3)</f>
        <v>0</v>
      </c>
    </row>
    <row r="466" spans="1:14" x14ac:dyDescent="0.25">
      <c r="A466">
        <v>87</v>
      </c>
      <c r="B466" s="2">
        <f ca="1">OFFSET(INDIRECT(ADDRESS($A466,3,3,1,Menus!$K$10)),0,Menus!$J$4)</f>
        <v>0</v>
      </c>
      <c r="C466" s="2">
        <f ca="1">OFFSET(INDIRECT(ADDRESS($A466,3,3,1,Menus!$K$10)),0,Menus!$J$3)</f>
        <v>0</v>
      </c>
      <c r="D466" s="73" t="e">
        <f ca="1">IF(Menus!$J$9,C466/B466,C466)</f>
        <v>#DIV/0!</v>
      </c>
      <c r="E466" s="74" t="e">
        <f t="shared" ca="1" si="16"/>
        <v>#N/A</v>
      </c>
      <c r="F466" s="75">
        <f ca="1">INDIRECT(ADDRESS($A466,1,3,1,Menus!$K$10))</f>
        <v>0</v>
      </c>
      <c r="G466" s="2" t="e">
        <f ca="1">IF(INDIRECT(ADDRESS($A466,2,3,1,Menus!$K$10))=G$1,$D466,#N/A)</f>
        <v>#N/A</v>
      </c>
      <c r="H466" s="2" t="e">
        <f ca="1">IF(INDIRECT(ADDRESS($A466,2,3,1,Menus!$K$10))=H$1,$D466,#N/A)</f>
        <v>#N/A</v>
      </c>
      <c r="I466" s="2" t="e">
        <f ca="1">IF(INDIRECT(ADDRESS($A466,2,3,1,Menus!$K$10))=I$1,$D466,#N/A)</f>
        <v>#N/A</v>
      </c>
      <c r="J466" s="2" t="e">
        <f ca="1">IF(INDIRECT(ADDRESS($A466,1,3,1,Menus!$K$10))=T(J$1),$D466,#N/A)</f>
        <v>#N/A</v>
      </c>
      <c r="K466" s="10">
        <f t="shared" ca="1" si="15"/>
        <v>0</v>
      </c>
      <c r="L466" s="2"/>
      <c r="M466" s="85">
        <f ca="1">OFFSET(INDIRECT(ADDRESS($A466,3,3,1,"Gross")),0,Menus!$J$4)</f>
        <v>0</v>
      </c>
      <c r="N466" s="85">
        <f ca="1">OFFSET(INDIRECT(ADDRESS($A466,3,3,1,"Gross")),0,Menus!$J$3)</f>
        <v>0</v>
      </c>
    </row>
    <row r="467" spans="1:14" x14ac:dyDescent="0.25">
      <c r="A467">
        <v>123</v>
      </c>
      <c r="B467" s="2">
        <f ca="1">OFFSET(INDIRECT(ADDRESS($A467,3,3,1,Menus!$K$10)),0,Menus!$J$4)</f>
        <v>0</v>
      </c>
      <c r="C467" s="2">
        <f ca="1">OFFSET(INDIRECT(ADDRESS($A467,3,3,1,Menus!$K$10)),0,Menus!$J$3)</f>
        <v>0</v>
      </c>
      <c r="D467" s="73" t="e">
        <f ca="1">IF(Menus!$J$9,C467/B467,C467)</f>
        <v>#DIV/0!</v>
      </c>
      <c r="E467" s="74" t="e">
        <f t="shared" ca="1" si="16"/>
        <v>#N/A</v>
      </c>
      <c r="F467" s="75">
        <f ca="1">INDIRECT(ADDRESS($A467,1,3,1,Menus!$K$10))</f>
        <v>0</v>
      </c>
      <c r="G467" s="2" t="e">
        <f ca="1">IF(INDIRECT(ADDRESS($A467,2,3,1,Menus!$K$10))=G$1,$D467,#N/A)</f>
        <v>#N/A</v>
      </c>
      <c r="H467" s="2" t="e">
        <f ca="1">IF(INDIRECT(ADDRESS($A467,2,3,1,Menus!$K$10))=H$1,$D467,#N/A)</f>
        <v>#N/A</v>
      </c>
      <c r="I467" s="2" t="e">
        <f ca="1">IF(INDIRECT(ADDRESS($A467,2,3,1,Menus!$K$10))=I$1,$D467,#N/A)</f>
        <v>#N/A</v>
      </c>
      <c r="J467" s="2" t="e">
        <f ca="1">IF(INDIRECT(ADDRESS($A467,1,3,1,Menus!$K$10))=T(J$1),$D467,#N/A)</f>
        <v>#N/A</v>
      </c>
      <c r="K467" s="10">
        <f t="shared" ca="1" si="15"/>
        <v>0</v>
      </c>
      <c r="L467" s="2"/>
      <c r="M467" s="85">
        <f ca="1">OFFSET(INDIRECT(ADDRESS($A467,3,3,1,"Gross")),0,Menus!$J$4)</f>
        <v>0</v>
      </c>
      <c r="N467" s="85">
        <f ca="1">OFFSET(INDIRECT(ADDRESS($A467,3,3,1,"Gross")),0,Menus!$J$3)</f>
        <v>0</v>
      </c>
    </row>
    <row r="468" spans="1:14" x14ac:dyDescent="0.25">
      <c r="A468">
        <v>131</v>
      </c>
      <c r="B468" s="2">
        <f ca="1">OFFSET(INDIRECT(ADDRESS($A468,3,3,1,Menus!$K$10)),0,Menus!$J$4)</f>
        <v>0</v>
      </c>
      <c r="C468" s="2">
        <f ca="1">OFFSET(INDIRECT(ADDRESS($A468,3,3,1,Menus!$K$10)),0,Menus!$J$3)</f>
        <v>0</v>
      </c>
      <c r="D468" s="73" t="e">
        <f ca="1">IF(Menus!$J$9,C468/B468,C468)</f>
        <v>#DIV/0!</v>
      </c>
      <c r="E468" s="74" t="e">
        <f t="shared" ca="1" si="16"/>
        <v>#N/A</v>
      </c>
      <c r="F468" s="75">
        <f ca="1">INDIRECT(ADDRESS($A468,1,3,1,Menus!$K$10))</f>
        <v>0</v>
      </c>
      <c r="G468" s="2" t="e">
        <f ca="1">IF(INDIRECT(ADDRESS($A468,2,3,1,Menus!$K$10))=G$1,$D468,#N/A)</f>
        <v>#N/A</v>
      </c>
      <c r="H468" s="2" t="e">
        <f ca="1">IF(INDIRECT(ADDRESS($A468,2,3,1,Menus!$K$10))=H$1,$D468,#N/A)</f>
        <v>#N/A</v>
      </c>
      <c r="I468" s="2" t="e">
        <f ca="1">IF(INDIRECT(ADDRESS($A468,2,3,1,Menus!$K$10))=I$1,$D468,#N/A)</f>
        <v>#N/A</v>
      </c>
      <c r="J468" s="2" t="e">
        <f ca="1">IF(INDIRECT(ADDRESS($A468,1,3,1,Menus!$K$10))=T(J$1),$D468,#N/A)</f>
        <v>#N/A</v>
      </c>
      <c r="K468" s="10">
        <f t="shared" ca="1" si="15"/>
        <v>0</v>
      </c>
      <c r="L468" s="2"/>
      <c r="M468" s="85">
        <f ca="1">OFFSET(INDIRECT(ADDRESS($A468,3,3,1,"Gross")),0,Menus!$J$4)</f>
        <v>0</v>
      </c>
      <c r="N468" s="85">
        <f ca="1">OFFSET(INDIRECT(ADDRESS($A468,3,3,1,"Gross")),0,Menus!$J$3)</f>
        <v>0</v>
      </c>
    </row>
    <row r="469" spans="1:14" x14ac:dyDescent="0.25">
      <c r="A469">
        <v>127</v>
      </c>
      <c r="B469" s="2">
        <f ca="1">OFFSET(INDIRECT(ADDRESS($A469,3,3,1,Menus!$K$10)),0,Menus!$J$4)</f>
        <v>0</v>
      </c>
      <c r="C469" s="2">
        <f ca="1">OFFSET(INDIRECT(ADDRESS($A469,3,3,1,Menus!$K$10)),0,Menus!$J$3)</f>
        <v>0</v>
      </c>
      <c r="D469" s="73" t="e">
        <f ca="1">IF(Menus!$J$9,C469/B469,C469)</f>
        <v>#DIV/0!</v>
      </c>
      <c r="E469" s="74" t="e">
        <f t="shared" ca="1" si="16"/>
        <v>#N/A</v>
      </c>
      <c r="F469" s="75">
        <f ca="1">INDIRECT(ADDRESS($A469,1,3,1,Menus!$K$10))</f>
        <v>0</v>
      </c>
      <c r="G469" s="2" t="e">
        <f ca="1">IF(INDIRECT(ADDRESS($A469,2,3,1,Menus!$K$10))=G$1,$D469,#N/A)</f>
        <v>#N/A</v>
      </c>
      <c r="H469" s="2" t="e">
        <f ca="1">IF(INDIRECT(ADDRESS($A469,2,3,1,Menus!$K$10))=H$1,$D469,#N/A)</f>
        <v>#N/A</v>
      </c>
      <c r="I469" s="2" t="e">
        <f ca="1">IF(INDIRECT(ADDRESS($A469,2,3,1,Menus!$K$10))=I$1,$D469,#N/A)</f>
        <v>#N/A</v>
      </c>
      <c r="J469" s="2" t="e">
        <f ca="1">IF(INDIRECT(ADDRESS($A469,1,3,1,Menus!$K$10))=T(J$1),$D469,#N/A)</f>
        <v>#N/A</v>
      </c>
      <c r="K469" s="10">
        <f t="shared" ca="1" si="15"/>
        <v>0</v>
      </c>
      <c r="L469" s="2"/>
      <c r="M469" s="85">
        <f ca="1">OFFSET(INDIRECT(ADDRESS($A469,3,3,1,"Gross")),0,Menus!$J$4)</f>
        <v>0</v>
      </c>
      <c r="N469" s="85">
        <f ca="1">OFFSET(INDIRECT(ADDRESS($A469,3,3,1,"Gross")),0,Menus!$J$3)</f>
        <v>0</v>
      </c>
    </row>
    <row r="470" spans="1:14" x14ac:dyDescent="0.25">
      <c r="A470">
        <v>98</v>
      </c>
      <c r="B470" s="2">
        <f ca="1">OFFSET(INDIRECT(ADDRESS($A470,3,3,1,Menus!$K$10)),0,Menus!$J$4)</f>
        <v>0</v>
      </c>
      <c r="C470" s="2">
        <f ca="1">OFFSET(INDIRECT(ADDRESS($A470,3,3,1,Menus!$K$10)),0,Menus!$J$3)</f>
        <v>0</v>
      </c>
      <c r="D470" s="73" t="e">
        <f ca="1">IF(Menus!$J$9,C470/B470,C470)</f>
        <v>#DIV/0!</v>
      </c>
      <c r="E470" s="74" t="e">
        <f t="shared" ca="1" si="16"/>
        <v>#N/A</v>
      </c>
      <c r="F470" s="75">
        <f ca="1">INDIRECT(ADDRESS($A470,1,3,1,Menus!$K$10))</f>
        <v>0</v>
      </c>
      <c r="G470" s="2" t="e">
        <f ca="1">IF(INDIRECT(ADDRESS($A470,2,3,1,Menus!$K$10))=G$1,$D470,#N/A)</f>
        <v>#N/A</v>
      </c>
      <c r="H470" s="2" t="e">
        <f ca="1">IF(INDIRECT(ADDRESS($A470,2,3,1,Menus!$K$10))=H$1,$D470,#N/A)</f>
        <v>#N/A</v>
      </c>
      <c r="I470" s="2" t="e">
        <f ca="1">IF(INDIRECT(ADDRESS($A470,2,3,1,Menus!$K$10))=I$1,$D470,#N/A)</f>
        <v>#N/A</v>
      </c>
      <c r="J470" s="2" t="e">
        <f ca="1">IF(INDIRECT(ADDRESS($A470,1,3,1,Menus!$K$10))=T(J$1),$D470,#N/A)</f>
        <v>#N/A</v>
      </c>
      <c r="K470" s="10">
        <f t="shared" ca="1" si="15"/>
        <v>0</v>
      </c>
      <c r="L470" s="2"/>
      <c r="M470" s="85">
        <f ca="1">OFFSET(INDIRECT(ADDRESS($A470,3,3,1,"Gross")),0,Menus!$J$4)</f>
        <v>0</v>
      </c>
      <c r="N470" s="85">
        <f ca="1">OFFSET(INDIRECT(ADDRESS($A470,3,3,1,"Gross")),0,Menus!$J$3)</f>
        <v>0</v>
      </c>
    </row>
    <row r="471" spans="1:14" x14ac:dyDescent="0.25">
      <c r="A471">
        <v>118</v>
      </c>
      <c r="B471" s="2">
        <f ca="1">OFFSET(INDIRECT(ADDRESS($A471,3,3,1,Menus!$K$10)),0,Menus!$J$4)</f>
        <v>0</v>
      </c>
      <c r="C471" s="2">
        <f ca="1">OFFSET(INDIRECT(ADDRESS($A471,3,3,1,Menus!$K$10)),0,Menus!$J$3)</f>
        <v>0</v>
      </c>
      <c r="D471" s="73" t="e">
        <f ca="1">IF(Menus!$J$9,C471/B471,C471)</f>
        <v>#DIV/0!</v>
      </c>
      <c r="E471" s="74" t="e">
        <f t="shared" ca="1" si="16"/>
        <v>#N/A</v>
      </c>
      <c r="F471" s="75">
        <f ca="1">INDIRECT(ADDRESS($A471,1,3,1,Menus!$K$10))</f>
        <v>0</v>
      </c>
      <c r="G471" s="2" t="e">
        <f ca="1">IF(INDIRECT(ADDRESS($A471,2,3,1,Menus!$K$10))=G$1,$D471,#N/A)</f>
        <v>#N/A</v>
      </c>
      <c r="H471" s="2" t="e">
        <f ca="1">IF(INDIRECT(ADDRESS($A471,2,3,1,Menus!$K$10))=H$1,$D471,#N/A)</f>
        <v>#N/A</v>
      </c>
      <c r="I471" s="2" t="e">
        <f ca="1">IF(INDIRECT(ADDRESS($A471,2,3,1,Menus!$K$10))=I$1,$D471,#N/A)</f>
        <v>#N/A</v>
      </c>
      <c r="J471" s="2" t="e">
        <f ca="1">IF(INDIRECT(ADDRESS($A471,1,3,1,Menus!$K$10))=T(J$1),$D471,#N/A)</f>
        <v>#N/A</v>
      </c>
      <c r="K471" s="10">
        <f t="shared" ca="1" si="15"/>
        <v>0</v>
      </c>
      <c r="L471" s="2"/>
      <c r="M471" s="85">
        <f ca="1">OFFSET(INDIRECT(ADDRESS($A471,3,3,1,"Gross")),0,Menus!$J$4)</f>
        <v>0</v>
      </c>
      <c r="N471" s="85">
        <f ca="1">OFFSET(INDIRECT(ADDRESS($A471,3,3,1,"Gross")),0,Menus!$J$3)</f>
        <v>0</v>
      </c>
    </row>
    <row r="472" spans="1:14" x14ac:dyDescent="0.25">
      <c r="A472">
        <v>39</v>
      </c>
      <c r="B472" s="2">
        <f ca="1">OFFSET(INDIRECT(ADDRESS($A472,3,3,1,Menus!$K$10)),0,Menus!$J$4)</f>
        <v>1310</v>
      </c>
      <c r="C472" s="2">
        <f ca="1">OFFSET(INDIRECT(ADDRESS($A472,3,3,1,Menus!$K$10)),0,Menus!$J$3)</f>
        <v>57552928</v>
      </c>
      <c r="D472" s="73">
        <f ca="1">IF(Menus!$J$9,C472/B472,C472)</f>
        <v>43933.532824427479</v>
      </c>
      <c r="E472" s="74" t="e">
        <f t="shared" ca="1" si="16"/>
        <v>#N/A</v>
      </c>
      <c r="F472" s="75" t="str">
        <f ca="1">INDIRECT(ADDRESS($A472,1,3,1,Menus!$K$10))</f>
        <v>New Zealand</v>
      </c>
      <c r="G472" s="2" t="e">
        <f ca="1">IF(INDIRECT(ADDRESS($A472,2,3,1,Menus!$K$10))=G$1,$D472,#N/A)</f>
        <v>#N/A</v>
      </c>
      <c r="H472" s="2" t="e">
        <f ca="1">IF(INDIRECT(ADDRESS($A472,2,3,1,Menus!$K$10))=H$1,$D472,#N/A)</f>
        <v>#N/A</v>
      </c>
      <c r="I472" s="2" t="e">
        <f ca="1">IF(INDIRECT(ADDRESS($A472,2,3,1,Menus!$K$10))=I$1,$D472,#N/A)</f>
        <v>#N/A</v>
      </c>
      <c r="J472" s="2" t="e">
        <f ca="1">IF(INDIRECT(ADDRESS($A472,1,3,1,Menus!$K$10))=T(J$1),$D472,#N/A)</f>
        <v>#N/A</v>
      </c>
      <c r="K472" s="10">
        <f t="shared" ca="1" si="15"/>
        <v>0</v>
      </c>
      <c r="L472" s="2"/>
      <c r="M472" s="85">
        <f ca="1">OFFSET(INDIRECT(ADDRESS($A472,3,3,1,"Gross")),0,Menus!$J$4)</f>
        <v>2</v>
      </c>
      <c r="N472" s="85">
        <f ca="1">OFFSET(INDIRECT(ADDRESS($A472,3,3,1,"Gross")),0,Menus!$J$3)</f>
        <v>2</v>
      </c>
    </row>
    <row r="473" spans="1:14" x14ac:dyDescent="0.25">
      <c r="A473">
        <v>35</v>
      </c>
      <c r="B473" s="2">
        <f ca="1">OFFSET(INDIRECT(ADDRESS($A473,3,3,1,Menus!$K$10)),0,Menus!$J$4)</f>
        <v>6422</v>
      </c>
      <c r="C473" s="2">
        <f ca="1">OFFSET(INDIRECT(ADDRESS($A473,3,3,1,Menus!$K$10)),0,Menus!$J$3)</f>
        <v>282009919</v>
      </c>
      <c r="D473" s="73">
        <f ca="1">IF(Menus!$J$9,C473/B473,C473)</f>
        <v>43913.09856742448</v>
      </c>
      <c r="E473" s="74" t="e">
        <f t="shared" ca="1" si="16"/>
        <v>#N/A</v>
      </c>
      <c r="F473" s="75" t="str">
        <f ca="1">INDIRECT(ADDRESS($A473,1,3,1,Menus!$K$10))</f>
        <v>Australia</v>
      </c>
      <c r="G473" s="2" t="e">
        <f ca="1">IF(INDIRECT(ADDRESS($A473,2,3,1,Menus!$K$10))=G$1,$D473,#N/A)</f>
        <v>#N/A</v>
      </c>
      <c r="H473" s="2" t="e">
        <f ca="1">IF(INDIRECT(ADDRESS($A473,2,3,1,Menus!$K$10))=H$1,$D473,#N/A)</f>
        <v>#N/A</v>
      </c>
      <c r="I473" s="2" t="e">
        <f ca="1">IF(INDIRECT(ADDRESS($A473,2,3,1,Menus!$K$10))=I$1,$D473,#N/A)</f>
        <v>#N/A</v>
      </c>
      <c r="J473" s="2" t="e">
        <f ca="1">IF(INDIRECT(ADDRESS($A473,1,3,1,Menus!$K$10))=T(J$1),$D473,#N/A)</f>
        <v>#N/A</v>
      </c>
      <c r="K473" s="10">
        <f t="shared" ca="1" si="15"/>
        <v>0</v>
      </c>
      <c r="L473" s="2"/>
      <c r="M473" s="85">
        <f ca="1">OFFSET(INDIRECT(ADDRESS($A473,3,3,1,"Gross")),0,Menus!$J$4)</f>
        <v>2</v>
      </c>
      <c r="N473" s="85">
        <f ca="1">OFFSET(INDIRECT(ADDRESS($A473,3,3,1,"Gross")),0,Menus!$J$3)</f>
        <v>2</v>
      </c>
    </row>
    <row r="474" spans="1:14" x14ac:dyDescent="0.25">
      <c r="A474">
        <v>43</v>
      </c>
      <c r="B474" s="2">
        <f ca="1">OFFSET(INDIRECT(ADDRESS($A474,3,3,1,Menus!$K$10)),0,Menus!$J$4)</f>
        <v>7493</v>
      </c>
      <c r="C474" s="2">
        <f ca="1">OFFSET(INDIRECT(ADDRESS($A474,3,3,1,Menus!$K$10)),0,Menus!$J$3)</f>
        <v>275287706</v>
      </c>
      <c r="D474" s="73">
        <f ca="1">IF(Menus!$J$9,C474/B474,C474)</f>
        <v>36739.31749632991</v>
      </c>
      <c r="E474" s="74" t="e">
        <f t="shared" ca="1" si="16"/>
        <v>#N/A</v>
      </c>
      <c r="F474" s="75" t="str">
        <f ca="1">INDIRECT(ADDRESS($A474,1,3,1,Menus!$K$10))</f>
        <v>EFTA</v>
      </c>
      <c r="G474" s="2" t="e">
        <f ca="1">IF(INDIRECT(ADDRESS($A474,2,3,1,Menus!$K$10))=G$1,$D474,#N/A)</f>
        <v>#N/A</v>
      </c>
      <c r="H474" s="2" t="e">
        <f ca="1">IF(INDIRECT(ADDRESS($A474,2,3,1,Menus!$K$10))=H$1,$D474,#N/A)</f>
        <v>#N/A</v>
      </c>
      <c r="I474" s="2" t="e">
        <f ca="1">IF(INDIRECT(ADDRESS($A474,2,3,1,Menus!$K$10))=I$1,$D474,#N/A)</f>
        <v>#N/A</v>
      </c>
      <c r="J474" s="2" t="e">
        <f ca="1">IF(INDIRECT(ADDRESS($A474,1,3,1,Menus!$K$10))=T(J$1),$D474,#N/A)</f>
        <v>#N/A</v>
      </c>
      <c r="K474" s="10">
        <f t="shared" ca="1" si="15"/>
        <v>0</v>
      </c>
      <c r="L474" s="2"/>
      <c r="M474" s="85">
        <f ca="1">OFFSET(INDIRECT(ADDRESS($A474,3,3,1,"Gross")),0,Menus!$J$4)</f>
        <v>0</v>
      </c>
      <c r="N474" s="85">
        <f ca="1">OFFSET(INDIRECT(ADDRESS($A474,3,3,1,"Gross")),0,Menus!$J$3)</f>
        <v>0</v>
      </c>
    </row>
    <row r="475" spans="1:14" x14ac:dyDescent="0.25">
      <c r="A475">
        <v>51</v>
      </c>
      <c r="B475" s="2">
        <f ca="1">OFFSET(INDIRECT(ADDRESS($A475,3,3,1,Menus!$K$10)),0,Menus!$J$4)</f>
        <v>16295</v>
      </c>
      <c r="C475" s="2">
        <f ca="1">OFFSET(INDIRECT(ADDRESS($A475,3,3,1,Menus!$K$10)),0,Menus!$J$3)</f>
        <v>587567060</v>
      </c>
      <c r="D475" s="73">
        <f ca="1">IF(Menus!$J$9,C475/B475,C475)</f>
        <v>36058.119668610001</v>
      </c>
      <c r="E475" s="74" t="e">
        <f t="shared" ca="1" si="16"/>
        <v>#N/A</v>
      </c>
      <c r="F475" s="75" t="str">
        <f ca="1">INDIRECT(ADDRESS($A475,1,3,1,Menus!$K$10))</f>
        <v>Northern Europe</v>
      </c>
      <c r="G475" s="2" t="e">
        <f ca="1">IF(INDIRECT(ADDRESS($A475,2,3,1,Menus!$K$10))=G$1,$D475,#N/A)</f>
        <v>#N/A</v>
      </c>
      <c r="H475" s="2" t="e">
        <f ca="1">IF(INDIRECT(ADDRESS($A475,2,3,1,Menus!$K$10))=H$1,$D475,#N/A)</f>
        <v>#N/A</v>
      </c>
      <c r="I475" s="2" t="e">
        <f ca="1">IF(INDIRECT(ADDRESS($A475,2,3,1,Menus!$K$10))=I$1,$D475,#N/A)</f>
        <v>#N/A</v>
      </c>
      <c r="J475" s="2" t="e">
        <f ca="1">IF(INDIRECT(ADDRESS($A475,1,3,1,Menus!$K$10))=T(J$1),$D475,#N/A)</f>
        <v>#N/A</v>
      </c>
      <c r="K475" s="10">
        <f t="shared" ca="1" si="15"/>
        <v>0</v>
      </c>
      <c r="L475" s="2"/>
      <c r="M475" s="85">
        <f ca="1">OFFSET(INDIRECT(ADDRESS($A475,3,3,1,"Gross")),0,Menus!$J$4)</f>
        <v>0</v>
      </c>
      <c r="N475" s="85">
        <f ca="1">OFFSET(INDIRECT(ADDRESS($A475,3,3,1,"Gross")),0,Menus!$J$3)</f>
        <v>0</v>
      </c>
    </row>
    <row r="476" spans="1:14" x14ac:dyDescent="0.25">
      <c r="A476">
        <v>50</v>
      </c>
      <c r="B476" s="2">
        <f ca="1">OFFSET(INDIRECT(ADDRESS($A476,3,3,1,Menus!$K$10)),0,Menus!$J$4)</f>
        <v>80557</v>
      </c>
      <c r="C476" s="2">
        <f ca="1">OFFSET(INDIRECT(ADDRESS($A476,3,3,1,Menus!$K$10)),0,Menus!$J$3)</f>
        <v>2639784696</v>
      </c>
      <c r="D476" s="73">
        <f ca="1">IF(Menus!$J$9,C476/B476,C476)</f>
        <v>32769.153468972283</v>
      </c>
      <c r="E476" s="74" t="e">
        <f t="shared" ca="1" si="16"/>
        <v>#N/A</v>
      </c>
      <c r="F476" s="75" t="str">
        <f ca="1">INDIRECT(ADDRESS($A476,1,3,1,Menus!$K$10))</f>
        <v>Central Europe</v>
      </c>
      <c r="G476" s="2" t="e">
        <f ca="1">IF(INDIRECT(ADDRESS($A476,2,3,1,Menus!$K$10))=G$1,$D476,#N/A)</f>
        <v>#N/A</v>
      </c>
      <c r="H476" s="2" t="e">
        <f ca="1">IF(INDIRECT(ADDRESS($A476,2,3,1,Menus!$K$10))=H$1,$D476,#N/A)</f>
        <v>#N/A</v>
      </c>
      <c r="I476" s="2" t="e">
        <f ca="1">IF(INDIRECT(ADDRESS($A476,2,3,1,Menus!$K$10))=I$1,$D476,#N/A)</f>
        <v>#N/A</v>
      </c>
      <c r="J476" s="2" t="e">
        <f ca="1">IF(INDIRECT(ADDRESS($A476,1,3,1,Menus!$K$10))=T(J$1),$D476,#N/A)</f>
        <v>#N/A</v>
      </c>
      <c r="K476" s="10">
        <f t="shared" ca="1" si="15"/>
        <v>0</v>
      </c>
      <c r="L476" s="2"/>
      <c r="M476" s="85">
        <f ca="1">OFFSET(INDIRECT(ADDRESS($A476,3,3,1,"Gross")),0,Menus!$J$4)</f>
        <v>0</v>
      </c>
      <c r="N476" s="85">
        <f ca="1">OFFSET(INDIRECT(ADDRESS($A476,3,3,1,"Gross")),0,Menus!$J$3)</f>
        <v>0</v>
      </c>
    </row>
    <row r="477" spans="1:14" x14ac:dyDescent="0.25">
      <c r="A477">
        <v>33</v>
      </c>
      <c r="B477" s="2">
        <f ca="1">OFFSET(INDIRECT(ADDRESS($A477,3,3,1,Menus!$K$10)),0,Menus!$J$4)</f>
        <v>126489</v>
      </c>
      <c r="C477" s="2">
        <f ca="1">OFFSET(INDIRECT(ADDRESS($A477,3,3,1,Menus!$K$10)),0,Menus!$J$3)</f>
        <v>4036684649</v>
      </c>
      <c r="D477" s="73">
        <f ca="1">IF(Menus!$J$9,C477/B477,C477)</f>
        <v>31913.32565677648</v>
      </c>
      <c r="E477" s="74" t="e">
        <f t="shared" ca="1" si="16"/>
        <v>#N/A</v>
      </c>
      <c r="F477" s="75" t="str">
        <f ca="1">INDIRECT(ADDRESS($A477,1,3,1,Menus!$K$10))</f>
        <v>USA</v>
      </c>
      <c r="G477" s="2" t="e">
        <f ca="1">IF(INDIRECT(ADDRESS($A477,2,3,1,Menus!$K$10))=G$1,$D477,#N/A)</f>
        <v>#N/A</v>
      </c>
      <c r="H477" s="2" t="e">
        <f ca="1">IF(INDIRECT(ADDRESS($A477,2,3,1,Menus!$K$10))=H$1,$D477,#N/A)</f>
        <v>#N/A</v>
      </c>
      <c r="I477" s="2" t="e">
        <f ca="1">IF(INDIRECT(ADDRESS($A477,2,3,1,Menus!$K$10))=I$1,$D477,#N/A)</f>
        <v>#N/A</v>
      </c>
      <c r="J477" s="2" t="e">
        <f ca="1">IF(INDIRECT(ADDRESS($A477,1,3,1,Menus!$K$10))=T(J$1),$D477,#N/A)</f>
        <v>#N/A</v>
      </c>
      <c r="K477" s="10">
        <f t="shared" ca="1" si="15"/>
        <v>0</v>
      </c>
      <c r="L477" s="2"/>
      <c r="M477" s="85">
        <f ca="1">OFFSET(INDIRECT(ADDRESS($A477,3,3,1,"Gross")),0,Menus!$J$4)</f>
        <v>1</v>
      </c>
      <c r="N477" s="85">
        <f ca="1">OFFSET(INDIRECT(ADDRESS($A477,3,3,1,"Gross")),0,Menus!$J$3)</f>
        <v>1</v>
      </c>
    </row>
    <row r="478" spans="1:14" x14ac:dyDescent="0.25">
      <c r="A478">
        <v>44</v>
      </c>
      <c r="B478" s="2">
        <f ca="1">OFFSET(INDIRECT(ADDRESS($A478,3,3,1,Menus!$K$10)),0,Menus!$J$4)</f>
        <v>185326</v>
      </c>
      <c r="C478" s="2">
        <f ca="1">OFFSET(INDIRECT(ADDRESS($A478,3,3,1,Menus!$K$10)),0,Menus!$J$3)</f>
        <v>5705330144</v>
      </c>
      <c r="D478" s="73">
        <f ca="1">IF(Menus!$J$9,C478/B478,C478)</f>
        <v>30785.373579530125</v>
      </c>
      <c r="E478" s="74" t="e">
        <f t="shared" ca="1" si="16"/>
        <v>#N/A</v>
      </c>
      <c r="F478" s="75" t="str">
        <f ca="1">INDIRECT(ADDRESS($A478,1,3,1,Menus!$K$10))</f>
        <v>World A</v>
      </c>
      <c r="G478" s="2" t="e">
        <f ca="1">IF(INDIRECT(ADDRESS($A478,2,3,1,Menus!$K$10))=G$1,$D478,#N/A)</f>
        <v>#N/A</v>
      </c>
      <c r="H478" s="2" t="e">
        <f ca="1">IF(INDIRECT(ADDRESS($A478,2,3,1,Menus!$K$10))=H$1,$D478,#N/A)</f>
        <v>#N/A</v>
      </c>
      <c r="I478" s="2" t="e">
        <f ca="1">IF(INDIRECT(ADDRESS($A478,2,3,1,Menus!$K$10))=I$1,$D478,#N/A)</f>
        <v>#N/A</v>
      </c>
      <c r="J478" s="2" t="e">
        <f ca="1">IF(INDIRECT(ADDRESS($A478,1,3,1,Menus!$K$10))=T(J$1),$D478,#N/A)</f>
        <v>#N/A</v>
      </c>
      <c r="K478" s="10">
        <f t="shared" ca="1" si="15"/>
        <v>0</v>
      </c>
      <c r="L478" s="2"/>
      <c r="M478" s="85">
        <f ca="1">OFFSET(INDIRECT(ADDRESS($A478,3,3,1,"Gross")),0,Menus!$J$4)</f>
        <v>0</v>
      </c>
      <c r="N478" s="85">
        <f ca="1">OFFSET(INDIRECT(ADDRESS($A478,3,3,1,"Gross")),0,Menus!$J$3)</f>
        <v>0</v>
      </c>
    </row>
    <row r="479" spans="1:14" x14ac:dyDescent="0.25">
      <c r="A479">
        <v>42</v>
      </c>
      <c r="B479" s="2">
        <f ca="1">OFFSET(INDIRECT(ADDRESS($A479,3,3,1,Menus!$K$10)),0,Menus!$J$4)</f>
        <v>122964</v>
      </c>
      <c r="C479" s="2">
        <f ca="1">OFFSET(INDIRECT(ADDRESS($A479,3,3,1,Menus!$K$10)),0,Menus!$J$3)</f>
        <v>3754658460</v>
      </c>
      <c r="D479" s="73">
        <f ca="1">IF(Menus!$J$9,C479/B479,C479)</f>
        <v>30534.6154972187</v>
      </c>
      <c r="E479" s="74" t="e">
        <f t="shared" ca="1" si="16"/>
        <v>#N/A</v>
      </c>
      <c r="F479" s="75" t="str">
        <f ca="1">INDIRECT(ADDRESS($A479,1,3,1,Menus!$K$10))</f>
        <v>EU</v>
      </c>
      <c r="G479" s="2" t="e">
        <f ca="1">IF(INDIRECT(ADDRESS($A479,2,3,1,Menus!$K$10))=G$1,$D479,#N/A)</f>
        <v>#N/A</v>
      </c>
      <c r="H479" s="2" t="e">
        <f ca="1">IF(INDIRECT(ADDRESS($A479,2,3,1,Menus!$K$10))=H$1,$D479,#N/A)</f>
        <v>#N/A</v>
      </c>
      <c r="I479" s="2" t="e">
        <f ca="1">IF(INDIRECT(ADDRESS($A479,2,3,1,Menus!$K$10))=I$1,$D479,#N/A)</f>
        <v>#N/A</v>
      </c>
      <c r="J479" s="2" t="e">
        <f ca="1">IF(INDIRECT(ADDRESS($A479,1,3,1,Menus!$K$10))=T(J$1),$D479,#N/A)</f>
        <v>#N/A</v>
      </c>
      <c r="K479" s="10">
        <f t="shared" ca="1" si="15"/>
        <v>0</v>
      </c>
      <c r="L479" s="2"/>
      <c r="M479" s="85">
        <f ca="1">OFFSET(INDIRECT(ADDRESS($A479,3,3,1,"Gross")),0,Menus!$J$4)</f>
        <v>0</v>
      </c>
      <c r="N479" s="85">
        <f ca="1">OFFSET(INDIRECT(ADDRESS($A479,3,3,1,"Gross")),0,Menus!$J$3)</f>
        <v>0</v>
      </c>
    </row>
    <row r="480" spans="1:14" x14ac:dyDescent="0.25">
      <c r="A480">
        <v>36</v>
      </c>
      <c r="B480" s="2">
        <f ca="1">OFFSET(INDIRECT(ADDRESS($A480,3,3,1,Menus!$K$10)),0,Menus!$J$4)</f>
        <v>27239</v>
      </c>
      <c r="C480" s="2">
        <f ca="1">OFFSET(INDIRECT(ADDRESS($A480,3,3,1,Menus!$K$10)),0,Menus!$J$3)</f>
        <v>805959446</v>
      </c>
      <c r="D480" s="73">
        <f ca="1">IF(Menus!$J$9,C480/B480,C480)</f>
        <v>29588.437387569295</v>
      </c>
      <c r="E480" s="74" t="e">
        <f t="shared" ca="1" si="16"/>
        <v>#N/A</v>
      </c>
      <c r="F480" s="75" t="str">
        <f ca="1">INDIRECT(ADDRESS($A480,1,3,1,Menus!$K$10))</f>
        <v>Japan</v>
      </c>
      <c r="G480" s="2" t="e">
        <f ca="1">IF(INDIRECT(ADDRESS($A480,2,3,1,Menus!$K$10))=G$1,$D480,#N/A)</f>
        <v>#N/A</v>
      </c>
      <c r="H480" s="2" t="e">
        <f ca="1">IF(INDIRECT(ADDRESS($A480,2,3,1,Menus!$K$10))=H$1,$D480,#N/A)</f>
        <v>#N/A</v>
      </c>
      <c r="I480" s="2" t="e">
        <f ca="1">IF(INDIRECT(ADDRESS($A480,2,3,1,Menus!$K$10))=I$1,$D480,#N/A)</f>
        <v>#N/A</v>
      </c>
      <c r="J480" s="2" t="e">
        <f ca="1">IF(INDIRECT(ADDRESS($A480,1,3,1,Menus!$K$10))=T(J$1),$D480,#N/A)</f>
        <v>#N/A</v>
      </c>
      <c r="K480" s="10">
        <f t="shared" ca="1" si="15"/>
        <v>0</v>
      </c>
      <c r="L480" s="2"/>
      <c r="M480" s="85">
        <f ca="1">OFFSET(INDIRECT(ADDRESS($A480,3,3,1,"Gross")),0,Menus!$J$4)</f>
        <v>1</v>
      </c>
      <c r="N480" s="85">
        <f ca="1">OFFSET(INDIRECT(ADDRESS($A480,3,3,1,"Gross")),0,Menus!$J$3)</f>
        <v>1</v>
      </c>
    </row>
    <row r="481" spans="1:14" x14ac:dyDescent="0.25">
      <c r="A481">
        <v>37</v>
      </c>
      <c r="B481" s="2">
        <f ca="1">OFFSET(INDIRECT(ADDRESS($A481,3,3,1,Menus!$K$10)),0,Menus!$J$4)</f>
        <v>10517</v>
      </c>
      <c r="C481" s="2">
        <f ca="1">OFFSET(INDIRECT(ADDRESS($A481,3,3,1,Menus!$K$10)),0,Menus!$J$3)</f>
        <v>311007758</v>
      </c>
      <c r="D481" s="73">
        <f ca="1">IF(Menus!$J$9,C481/B481,C481)</f>
        <v>29571.908148711609</v>
      </c>
      <c r="E481" s="74" t="e">
        <f t="shared" ca="1" si="16"/>
        <v>#N/A</v>
      </c>
      <c r="F481" s="75" t="str">
        <f ca="1">INDIRECT(ADDRESS($A481,1,3,1,Menus!$K$10))</f>
        <v>Korea</v>
      </c>
      <c r="G481" s="2" t="e">
        <f ca="1">IF(INDIRECT(ADDRESS($A481,2,3,1,Menus!$K$10))=G$1,$D481,#N/A)</f>
        <v>#N/A</v>
      </c>
      <c r="H481" s="2" t="e">
        <f ca="1">IF(INDIRECT(ADDRESS($A481,2,3,1,Menus!$K$10))=H$1,$D481,#N/A)</f>
        <v>#N/A</v>
      </c>
      <c r="I481" s="2" t="e">
        <f ca="1">IF(INDIRECT(ADDRESS($A481,2,3,1,Menus!$K$10))=I$1,$D481,#N/A)</f>
        <v>#N/A</v>
      </c>
      <c r="J481" s="2" t="e">
        <f ca="1">IF(INDIRECT(ADDRESS($A481,1,3,1,Menus!$K$10))=T(J$1),$D481,#N/A)</f>
        <v>#N/A</v>
      </c>
      <c r="K481" s="10">
        <f t="shared" ca="1" si="15"/>
        <v>0</v>
      </c>
      <c r="L481" s="2"/>
      <c r="M481" s="85">
        <f ca="1">OFFSET(INDIRECT(ADDRESS($A481,3,3,1,"Gross")),0,Menus!$J$4)</f>
        <v>2</v>
      </c>
      <c r="N481" s="85">
        <f ca="1">OFFSET(INDIRECT(ADDRESS($A481,3,3,1,"Gross")),0,Menus!$J$3)</f>
        <v>2</v>
      </c>
    </row>
    <row r="482" spans="1:14" x14ac:dyDescent="0.25">
      <c r="A482">
        <v>52</v>
      </c>
      <c r="B482" s="2">
        <f ca="1">OFFSET(INDIRECT(ADDRESS($A482,3,3,1,Menus!$K$10)),0,Menus!$J$4)</f>
        <v>33605</v>
      </c>
      <c r="C482" s="2">
        <f ca="1">OFFSET(INDIRECT(ADDRESS($A482,3,3,1,Menus!$K$10)),0,Menus!$J$3)</f>
        <v>802594410</v>
      </c>
      <c r="D482" s="73">
        <f ca="1">IF(Menus!$J$9,C482/B482,C482)</f>
        <v>23883.184347567327</v>
      </c>
      <c r="E482" s="74" t="e">
        <f t="shared" ca="1" si="16"/>
        <v>#N/A</v>
      </c>
      <c r="F482" s="75" t="str">
        <f ca="1">INDIRECT(ADDRESS($A482,1,3,1,Menus!$K$10))</f>
        <v>Southern Europe</v>
      </c>
      <c r="G482" s="2" t="e">
        <f ca="1">IF(INDIRECT(ADDRESS($A482,2,3,1,Menus!$K$10))=G$1,$D482,#N/A)</f>
        <v>#N/A</v>
      </c>
      <c r="H482" s="2" t="e">
        <f ca="1">IF(INDIRECT(ADDRESS($A482,2,3,1,Menus!$K$10))=H$1,$D482,#N/A)</f>
        <v>#N/A</v>
      </c>
      <c r="I482" s="2" t="e">
        <f ca="1">IF(INDIRECT(ADDRESS($A482,2,3,1,Menus!$K$10))=I$1,$D482,#N/A)</f>
        <v>#N/A</v>
      </c>
      <c r="J482" s="2" t="e">
        <f ca="1">IF(INDIRECT(ADDRESS($A482,1,3,1,Menus!$K$10))=T(J$1),$D482,#N/A)</f>
        <v>#N/A</v>
      </c>
      <c r="K482" s="10">
        <f t="shared" ca="1" si="15"/>
        <v>0</v>
      </c>
      <c r="L482" s="2"/>
      <c r="M482" s="85">
        <f ca="1">OFFSET(INDIRECT(ADDRESS($A482,3,3,1,"Gross")),0,Menus!$J$4)</f>
        <v>0</v>
      </c>
      <c r="N482" s="85">
        <f ca="1">OFFSET(INDIRECT(ADDRESS($A482,3,3,1,"Gross")),0,Menus!$J$3)</f>
        <v>0</v>
      </c>
    </row>
    <row r="483" spans="1:14" x14ac:dyDescent="0.25">
      <c r="A483">
        <v>47</v>
      </c>
      <c r="B483" s="2">
        <f ca="1">OFFSET(INDIRECT(ADDRESS($A483,3,3,1,Menus!$K$10)),0,Menus!$J$4)</f>
        <v>177613</v>
      </c>
      <c r="C483" s="2">
        <f ca="1">OFFSET(INDIRECT(ADDRESS($A483,3,3,1,Menus!$K$10)),0,Menus!$J$3)</f>
        <v>4197575878</v>
      </c>
      <c r="D483" s="73">
        <f ca="1">IF(Menus!$J$9,C483/B483,C483)</f>
        <v>23633.269400325426</v>
      </c>
      <c r="E483" s="74" t="e">
        <f t="shared" ref="E483:E501" ca="1" si="17">IF($K483=1,VALUE(B483),#N/A)</f>
        <v>#N/A</v>
      </c>
      <c r="F483" s="75" t="str">
        <f ca="1">INDIRECT(ADDRESS($A483,1,3,1,Menus!$K$10))</f>
        <v>Europe (Excl. Malta &amp; Cyprus)</v>
      </c>
      <c r="G483" s="2" t="e">
        <f ca="1">IF(INDIRECT(ADDRESS($A483,2,3,1,Menus!$K$10))=G$1,$D483,#N/A)</f>
        <v>#N/A</v>
      </c>
      <c r="H483" s="2" t="e">
        <f ca="1">IF(INDIRECT(ADDRESS($A483,2,3,1,Menus!$K$10))=H$1,$D483,#N/A)</f>
        <v>#N/A</v>
      </c>
      <c r="I483" s="2" t="e">
        <f ca="1">IF(INDIRECT(ADDRESS($A483,2,3,1,Menus!$K$10))=I$1,$D483,#N/A)</f>
        <v>#N/A</v>
      </c>
      <c r="J483" s="2" t="e">
        <f ca="1">IF(INDIRECT(ADDRESS($A483,1,3,1,Menus!$K$10))=T(J$1),$D483,#N/A)</f>
        <v>#N/A</v>
      </c>
      <c r="K483" s="10">
        <f t="shared" ca="1" si="15"/>
        <v>0</v>
      </c>
      <c r="L483" s="2"/>
      <c r="M483" s="85">
        <f ca="1">OFFSET(INDIRECT(ADDRESS($A483,3,3,1,"Gross")),0,Menus!$J$4)</f>
        <v>0</v>
      </c>
      <c r="N483" s="85">
        <f ca="1">OFFSET(INDIRECT(ADDRESS($A483,3,3,1,"Gross")),0,Menus!$J$3)</f>
        <v>0</v>
      </c>
    </row>
    <row r="484" spans="1:14" x14ac:dyDescent="0.25">
      <c r="A484">
        <v>11</v>
      </c>
      <c r="B484" s="2">
        <f ca="1">OFFSET(INDIRECT(ADDRESS($A484,3,3,1,Menus!$K$10)),0,Menus!$J$4)</f>
        <v>868</v>
      </c>
      <c r="C484" s="2">
        <f ca="1">OFFSET(INDIRECT(ADDRESS($A484,3,3,1,Menus!$K$10)),0,Menus!$J$3)</f>
        <v>15399404</v>
      </c>
      <c r="D484" s="73">
        <f ca="1">IF(Menus!$J$9,C484/B484,C484)</f>
        <v>17741.248847926268</v>
      </c>
      <c r="E484" s="74" t="e">
        <f t="shared" ca="1" si="17"/>
        <v>#N/A</v>
      </c>
      <c r="F484" s="75" t="str">
        <f ca="1">INDIRECT(ADDRESS($A484,1,3,1,Menus!$K$10))</f>
        <v>Slovenia</v>
      </c>
      <c r="G484" s="2" t="e">
        <f ca="1">IF(INDIRECT(ADDRESS($A484,2,3,1,Menus!$K$10))=G$1,$D484,#N/A)</f>
        <v>#N/A</v>
      </c>
      <c r="H484" s="2" t="e">
        <f ca="1">IF(INDIRECT(ADDRESS($A484,2,3,1,Menus!$K$10))=H$1,$D484,#N/A)</f>
        <v>#N/A</v>
      </c>
      <c r="I484" s="2" t="e">
        <f ca="1">IF(INDIRECT(ADDRESS($A484,2,3,1,Menus!$K$10))=I$1,$D484,#N/A)</f>
        <v>#N/A</v>
      </c>
      <c r="J484" s="2" t="e">
        <f ca="1">IF(INDIRECT(ADDRESS($A484,1,3,1,Menus!$K$10))=T(J$1),$D484,#N/A)</f>
        <v>#N/A</v>
      </c>
      <c r="K484" s="10">
        <f t="shared" ca="1" si="15"/>
        <v>0</v>
      </c>
      <c r="L484" s="2"/>
      <c r="M484" s="85">
        <f ca="1">OFFSET(INDIRECT(ADDRESS($A484,3,3,1,"Gross")),0,Menus!$J$4)</f>
        <v>0</v>
      </c>
      <c r="N484" s="85">
        <f ca="1">OFFSET(INDIRECT(ADDRESS($A484,3,3,1,"Gross")),0,Menus!$J$3)</f>
        <v>0</v>
      </c>
    </row>
    <row r="485" spans="1:14" x14ac:dyDescent="0.25">
      <c r="A485">
        <v>38</v>
      </c>
      <c r="B485" s="2">
        <f ca="1">OFFSET(INDIRECT(ADDRESS($A485,3,3,1,Menus!$K$10)),0,Menus!$J$4)</f>
        <v>13349</v>
      </c>
      <c r="C485" s="2">
        <f ca="1">OFFSET(INDIRECT(ADDRESS($A485,3,3,1,Menus!$K$10)),0,Menus!$J$3)</f>
        <v>212115444</v>
      </c>
      <c r="D485" s="73">
        <f ca="1">IF(Menus!$J$9,C485/B485,C485)</f>
        <v>15889.987564611582</v>
      </c>
      <c r="E485" s="74" t="e">
        <f t="shared" ca="1" si="17"/>
        <v>#N/A</v>
      </c>
      <c r="F485" s="75" t="str">
        <f ca="1">INDIRECT(ADDRESS($A485,1,3,1,Menus!$K$10))</f>
        <v>Canada</v>
      </c>
      <c r="G485" s="2" t="e">
        <f ca="1">IF(INDIRECT(ADDRESS($A485,2,3,1,Menus!$K$10))=G$1,$D485,#N/A)</f>
        <v>#N/A</v>
      </c>
      <c r="H485" s="2" t="e">
        <f ca="1">IF(INDIRECT(ADDRESS($A485,2,3,1,Menus!$K$10))=H$1,$D485,#N/A)</f>
        <v>#N/A</v>
      </c>
      <c r="I485" s="2" t="e">
        <f ca="1">IF(INDIRECT(ADDRESS($A485,2,3,1,Menus!$K$10))=I$1,$D485,#N/A)</f>
        <v>#N/A</v>
      </c>
      <c r="J485" s="2" t="e">
        <f ca="1">IF(INDIRECT(ADDRESS($A485,1,3,1,Menus!$K$10))=T(J$1),$D485,#N/A)</f>
        <v>#N/A</v>
      </c>
      <c r="K485" s="10">
        <f t="shared" ca="1" si="15"/>
        <v>0</v>
      </c>
      <c r="L485" s="2"/>
      <c r="M485" s="85">
        <f ca="1">OFFSET(INDIRECT(ADDRESS($A485,3,3,1,"Gross")),0,Menus!$J$4)</f>
        <v>1</v>
      </c>
      <c r="N485" s="85">
        <f ca="1">OFFSET(INDIRECT(ADDRESS($A485,3,3,1,"Gross")),0,Menus!$J$3)</f>
        <v>0</v>
      </c>
    </row>
    <row r="486" spans="1:14" x14ac:dyDescent="0.25">
      <c r="A486">
        <v>34</v>
      </c>
      <c r="B486" s="2">
        <f ca="1">OFFSET(INDIRECT(ADDRESS($A486,3,3,1,Menus!$K$10)),0,Menus!$J$4)</f>
        <v>2843</v>
      </c>
      <c r="C486" s="2">
        <f ca="1">OFFSET(INDIRECT(ADDRESS($A486,3,3,1,Menus!$K$10)),0,Menus!$J$3)</f>
        <v>16227540</v>
      </c>
      <c r="D486" s="73">
        <f ca="1">IF(Menus!$J$9,C486/B486,C486)</f>
        <v>5707.8930706999645</v>
      </c>
      <c r="E486" s="74" t="e">
        <f t="shared" ca="1" si="17"/>
        <v>#N/A</v>
      </c>
      <c r="F486" s="75" t="str">
        <f ca="1">INDIRECT(ADDRESS($A486,1,3,1,Menus!$K$10))</f>
        <v>Turkey</v>
      </c>
      <c r="G486" s="2" t="e">
        <f ca="1">IF(INDIRECT(ADDRESS($A486,2,3,1,Menus!$K$10))=G$1,$D486,#N/A)</f>
        <v>#N/A</v>
      </c>
      <c r="H486" s="2" t="e">
        <f ca="1">IF(INDIRECT(ADDRESS($A486,2,3,1,Menus!$K$10))=H$1,$D486,#N/A)</f>
        <v>#N/A</v>
      </c>
      <c r="I486" s="2" t="e">
        <f ca="1">IF(INDIRECT(ADDRESS($A486,2,3,1,Menus!$K$10))=I$1,$D486,#N/A)</f>
        <v>#N/A</v>
      </c>
      <c r="J486" s="2" t="e">
        <f ca="1">IF(INDIRECT(ADDRESS($A486,1,3,1,Menus!$K$10))=T(J$1),$D486,#N/A)</f>
        <v>#N/A</v>
      </c>
      <c r="K486" s="10">
        <f t="shared" ca="1" si="15"/>
        <v>0</v>
      </c>
      <c r="L486" s="2"/>
      <c r="M486" s="85">
        <f ca="1">OFFSET(INDIRECT(ADDRESS($A486,3,3,1,"Gross")),0,Menus!$J$4)</f>
        <v>1</v>
      </c>
      <c r="N486" s="85">
        <f ca="1">OFFSET(INDIRECT(ADDRESS($A486,3,3,1,"Gross")),0,Menus!$J$3)</f>
        <v>1</v>
      </c>
    </row>
    <row r="487" spans="1:14" x14ac:dyDescent="0.25">
      <c r="A487">
        <v>45</v>
      </c>
      <c r="B487" s="2">
        <f ca="1">OFFSET(INDIRECT(ADDRESS($A487,3,3,1,Menus!$K$10)),0,Menus!$J$4)</f>
        <v>6404</v>
      </c>
      <c r="C487" s="2">
        <f ca="1">OFFSET(INDIRECT(ADDRESS($A487,3,3,1,Menus!$K$10)),0,Menus!$J$3)</f>
        <v>36552133</v>
      </c>
      <c r="D487" s="73">
        <f ca="1">IF(Menus!$J$9,C487/B487,C487)</f>
        <v>5707.7034665833853</v>
      </c>
      <c r="E487" s="74" t="e">
        <f t="shared" ca="1" si="17"/>
        <v>#N/A</v>
      </c>
      <c r="F487" s="75" t="str">
        <f ca="1">INDIRECT(ADDRESS($A487,1,3,1,Menus!$K$10))</f>
        <v>World B</v>
      </c>
      <c r="G487" s="2" t="e">
        <f ca="1">IF(INDIRECT(ADDRESS($A487,2,3,1,Menus!$K$10))=G$1,$D487,#N/A)</f>
        <v>#N/A</v>
      </c>
      <c r="H487" s="2" t="e">
        <f ca="1">IF(INDIRECT(ADDRESS($A487,2,3,1,Menus!$K$10))=H$1,$D487,#N/A)</f>
        <v>#N/A</v>
      </c>
      <c r="I487" s="2" t="e">
        <f ca="1">IF(INDIRECT(ADDRESS($A487,2,3,1,Menus!$K$10))=I$1,$D487,#N/A)</f>
        <v>#N/A</v>
      </c>
      <c r="J487" s="2" t="e">
        <f ca="1">IF(INDIRECT(ADDRESS($A487,1,3,1,Menus!$K$10))=T(J$1),$D487,#N/A)</f>
        <v>#N/A</v>
      </c>
      <c r="K487" s="10">
        <f t="shared" ca="1" si="15"/>
        <v>0</v>
      </c>
      <c r="L487" s="2"/>
      <c r="M487" s="85">
        <f ca="1">OFFSET(INDIRECT(ADDRESS($A487,3,3,1,"Gross")),0,Menus!$J$4)</f>
        <v>0</v>
      </c>
      <c r="N487" s="85">
        <f ca="1">OFFSET(INDIRECT(ADDRESS($A487,3,3,1,"Gross")),0,Menus!$J$3)</f>
        <v>0</v>
      </c>
    </row>
    <row r="488" spans="1:14" x14ac:dyDescent="0.25">
      <c r="A488">
        <v>40</v>
      </c>
      <c r="B488" s="2">
        <f ca="1">OFFSET(INDIRECT(ADDRESS($A488,3,3,1,Menus!$K$10)),0,Menus!$J$4)</f>
        <v>3561</v>
      </c>
      <c r="C488" s="2">
        <f ca="1">OFFSET(INDIRECT(ADDRESS($A488,3,3,1,Menus!$K$10)),0,Menus!$J$3)</f>
        <v>20324593</v>
      </c>
      <c r="D488" s="73">
        <f ca="1">IF(Menus!$J$9,C488/B488,C488)</f>
        <v>5707.5520921089583</v>
      </c>
      <c r="E488" s="74" t="e">
        <f t="shared" ca="1" si="17"/>
        <v>#N/A</v>
      </c>
      <c r="F488" s="75" t="str">
        <f ca="1">INDIRECT(ADDRESS($A488,1,3,1,Menus!$K$10))</f>
        <v>Mexico</v>
      </c>
      <c r="G488" s="2" t="e">
        <f ca="1">IF(INDIRECT(ADDRESS($A488,2,3,1,Menus!$K$10))=G$1,$D488,#N/A)</f>
        <v>#N/A</v>
      </c>
      <c r="H488" s="2" t="e">
        <f ca="1">IF(INDIRECT(ADDRESS($A488,2,3,1,Menus!$K$10))=H$1,$D488,#N/A)</f>
        <v>#N/A</v>
      </c>
      <c r="I488" s="2" t="e">
        <f ca="1">IF(INDIRECT(ADDRESS($A488,2,3,1,Menus!$K$10))=I$1,$D488,#N/A)</f>
        <v>#N/A</v>
      </c>
      <c r="J488" s="2" t="e">
        <f ca="1">IF(INDIRECT(ADDRESS($A488,1,3,1,Menus!$K$10))=T(J$1),$D488,#N/A)</f>
        <v>#N/A</v>
      </c>
      <c r="K488" s="10">
        <f t="shared" ca="1" si="15"/>
        <v>0</v>
      </c>
      <c r="L488" s="2"/>
      <c r="M488" s="85">
        <f ca="1">OFFSET(INDIRECT(ADDRESS($A488,3,3,1,"Gross")),0,Menus!$J$4)</f>
        <v>2</v>
      </c>
      <c r="N488" s="85">
        <f ca="1">OFFSET(INDIRECT(ADDRESS($A488,3,3,1,"Gross")),0,Menus!$J$3)</f>
        <v>2</v>
      </c>
    </row>
    <row r="489" spans="1:14" x14ac:dyDescent="0.25">
      <c r="A489">
        <v>3</v>
      </c>
      <c r="B489" s="2">
        <f ca="1">OFFSET(INDIRECT(ADDRESS($A489,3,3,1,Menus!$K$10)),0,Menus!$J$4)</f>
        <v>4401</v>
      </c>
      <c r="C489" s="2">
        <f ca="1">OFFSET(INDIRECT(ADDRESS($A489,3,3,1,Menus!$K$10)),0,Menus!$J$3)</f>
        <v>22656487</v>
      </c>
      <c r="D489" s="73">
        <f ca="1">IF(Menus!$J$9,C489/B489,C489)</f>
        <v>5148.0315837309699</v>
      </c>
      <c r="E489" s="74" t="e">
        <f t="shared" ca="1" si="17"/>
        <v>#N/A</v>
      </c>
      <c r="F489" s="75" t="str">
        <f ca="1">INDIRECT(ADDRESS($A489,1,3,1,Menus!$K$10))</f>
        <v>Czech Republic</v>
      </c>
      <c r="G489" s="2" t="e">
        <f ca="1">IF(INDIRECT(ADDRESS($A489,2,3,1,Menus!$K$10))=G$1,$D489,#N/A)</f>
        <v>#N/A</v>
      </c>
      <c r="H489" s="2" t="e">
        <f ca="1">IF(INDIRECT(ADDRESS($A489,2,3,1,Menus!$K$10))=H$1,$D489,#N/A)</f>
        <v>#N/A</v>
      </c>
      <c r="I489" s="2" t="e">
        <f ca="1">IF(INDIRECT(ADDRESS($A489,2,3,1,Menus!$K$10))=I$1,$D489,#N/A)</f>
        <v>#N/A</v>
      </c>
      <c r="J489" s="2" t="e">
        <f ca="1">IF(INDIRECT(ADDRESS($A489,1,3,1,Menus!$K$10))=T(J$1),$D489,#N/A)</f>
        <v>#N/A</v>
      </c>
      <c r="K489" s="10">
        <f t="shared" ca="1" si="15"/>
        <v>0</v>
      </c>
      <c r="L489" s="2"/>
      <c r="M489" s="85">
        <f ca="1">OFFSET(INDIRECT(ADDRESS($A489,3,3,1,"Gross")),0,Menus!$J$4)</f>
        <v>0</v>
      </c>
      <c r="N489" s="85">
        <f ca="1">OFFSET(INDIRECT(ADDRESS($A489,3,3,1,"Gross")),0,Menus!$J$3)</f>
        <v>0</v>
      </c>
    </row>
    <row r="490" spans="1:14" x14ac:dyDescent="0.25">
      <c r="A490">
        <v>46</v>
      </c>
      <c r="B490" s="2">
        <f ca="1">OFFSET(INDIRECT(ADDRESS($A490,3,3,1,Menus!$K$10)),0,Menus!$J$4)</f>
        <v>38755</v>
      </c>
      <c r="C490" s="2">
        <f ca="1">OFFSET(INDIRECT(ADDRESS($A490,3,3,1,Menus!$K$10)),0,Menus!$J$3)</f>
        <v>157305954</v>
      </c>
      <c r="D490" s="73">
        <f ca="1">IF(Menus!$J$9,C490/B490,C490)</f>
        <v>4058.9847503547931</v>
      </c>
      <c r="E490" s="74" t="e">
        <f t="shared" ca="1" si="17"/>
        <v>#N/A</v>
      </c>
      <c r="F490" s="75" t="str">
        <f ca="1">INDIRECT(ADDRESS($A490,1,3,1,Menus!$K$10))</f>
        <v>EU Accession Countries</v>
      </c>
      <c r="G490" s="2" t="e">
        <f ca="1">IF(INDIRECT(ADDRESS($A490,2,3,1,Menus!$K$10))=G$1,$D490,#N/A)</f>
        <v>#N/A</v>
      </c>
      <c r="H490" s="2" t="e">
        <f ca="1">IF(INDIRECT(ADDRESS($A490,2,3,1,Menus!$K$10))=H$1,$D490,#N/A)</f>
        <v>#N/A</v>
      </c>
      <c r="I490" s="2" t="e">
        <f ca="1">IF(INDIRECT(ADDRESS($A490,2,3,1,Menus!$K$10))=I$1,$D490,#N/A)</f>
        <v>#N/A</v>
      </c>
      <c r="J490" s="2" t="e">
        <f ca="1">IF(INDIRECT(ADDRESS($A490,1,3,1,Menus!$K$10))=T(J$1),$D490,#N/A)</f>
        <v>#N/A</v>
      </c>
      <c r="K490" s="10">
        <f t="shared" ca="1" si="15"/>
        <v>0</v>
      </c>
      <c r="L490" s="2"/>
      <c r="M490" s="85">
        <f ca="1">OFFSET(INDIRECT(ADDRESS($A490,3,3,1,"Gross")),0,Menus!$J$4)</f>
        <v>0</v>
      </c>
      <c r="N490" s="85">
        <f ca="1">OFFSET(INDIRECT(ADDRESS($A490,3,3,1,"Gross")),0,Menus!$J$3)</f>
        <v>0</v>
      </c>
    </row>
    <row r="491" spans="1:14" x14ac:dyDescent="0.25">
      <c r="A491">
        <v>8</v>
      </c>
      <c r="B491" s="2">
        <f ca="1">OFFSET(INDIRECT(ADDRESS($A491,3,3,1,Menus!$K$10)),0,Menus!$J$4)</f>
        <v>17821</v>
      </c>
      <c r="C491" s="2">
        <f ca="1">OFFSET(INDIRECT(ADDRESS($A491,3,3,1,Menus!$K$10)),0,Menus!$J$3)</f>
        <v>70362317</v>
      </c>
      <c r="D491" s="73">
        <f ca="1">IF(Menus!$J$9,C491/B491,C491)</f>
        <v>3948.2810728915324</v>
      </c>
      <c r="E491" s="74" t="e">
        <f t="shared" ca="1" si="17"/>
        <v>#N/A</v>
      </c>
      <c r="F491" s="75" t="str">
        <f ca="1">INDIRECT(ADDRESS($A491,1,3,1,Menus!$K$10))</f>
        <v>Poland</v>
      </c>
      <c r="G491" s="2" t="e">
        <f ca="1">IF(INDIRECT(ADDRESS($A491,2,3,1,Menus!$K$10))=G$1,$D491,#N/A)</f>
        <v>#N/A</v>
      </c>
      <c r="H491" s="2" t="e">
        <f ca="1">IF(INDIRECT(ADDRESS($A491,2,3,1,Menus!$K$10))=H$1,$D491,#N/A)</f>
        <v>#N/A</v>
      </c>
      <c r="I491" s="2" t="e">
        <f ca="1">IF(INDIRECT(ADDRESS($A491,2,3,1,Menus!$K$10))=I$1,$D491,#N/A)</f>
        <v>#N/A</v>
      </c>
      <c r="J491" s="2" t="e">
        <f ca="1">IF(INDIRECT(ADDRESS($A491,1,3,1,Menus!$K$10))=T(J$1),$D491,#N/A)</f>
        <v>#N/A</v>
      </c>
      <c r="K491" s="10">
        <f t="shared" ca="1" si="15"/>
        <v>0</v>
      </c>
      <c r="L491" s="2"/>
      <c r="M491" s="85">
        <f ca="1">OFFSET(INDIRECT(ADDRESS($A491,3,3,1,"Gross")),0,Menus!$J$4)</f>
        <v>1</v>
      </c>
      <c r="N491" s="85">
        <f ca="1">OFFSET(INDIRECT(ADDRESS($A491,3,3,1,"Gross")),0,Menus!$J$3)</f>
        <v>2</v>
      </c>
    </row>
    <row r="492" spans="1:14" x14ac:dyDescent="0.25">
      <c r="A492">
        <v>48</v>
      </c>
      <c r="B492" s="2">
        <f ca="1">OFFSET(INDIRECT(ADDRESS($A492,3,3,1,Menus!$K$10)),0,Menus!$J$4)</f>
        <v>39196</v>
      </c>
      <c r="C492" s="2">
        <f ca="1">OFFSET(INDIRECT(ADDRESS($A492,3,3,1,Menus!$K$10)),0,Menus!$J$3)</f>
        <v>147646030</v>
      </c>
      <c r="D492" s="73">
        <f ca="1">IF(Menus!$J$9,C492/B492,C492)</f>
        <v>3766.8647310950096</v>
      </c>
      <c r="E492" s="74" t="e">
        <f t="shared" ca="1" si="17"/>
        <v>#N/A</v>
      </c>
      <c r="F492" s="75" t="str">
        <f ca="1">INDIRECT(ADDRESS($A492,1,3,1,Menus!$K$10))</f>
        <v>Eastern Europe</v>
      </c>
      <c r="G492" s="2" t="e">
        <f ca="1">IF(INDIRECT(ADDRESS($A492,2,3,1,Menus!$K$10))=G$1,$D492,#N/A)</f>
        <v>#N/A</v>
      </c>
      <c r="H492" s="2" t="e">
        <f ca="1">IF(INDIRECT(ADDRESS($A492,2,3,1,Menus!$K$10))=H$1,$D492,#N/A)</f>
        <v>#N/A</v>
      </c>
      <c r="I492" s="2" t="e">
        <f ca="1">IF(INDIRECT(ADDRESS($A492,2,3,1,Menus!$K$10))=I$1,$D492,#N/A)</f>
        <v>#N/A</v>
      </c>
      <c r="J492" s="2" t="e">
        <f ca="1">IF(INDIRECT(ADDRESS($A492,1,3,1,Menus!$K$10))=T(J$1),$D492,#N/A)</f>
        <v>#N/A</v>
      </c>
      <c r="K492" s="10">
        <f t="shared" ca="1" si="15"/>
        <v>0</v>
      </c>
      <c r="L492" s="2"/>
      <c r="M492" s="85">
        <f ca="1">OFFSET(INDIRECT(ADDRESS($A492,3,3,1,"Gross")),0,Menus!$J$4)</f>
        <v>0</v>
      </c>
      <c r="N492" s="85">
        <f ca="1">OFFSET(INDIRECT(ADDRESS($A492,3,3,1,"Gross")),0,Menus!$J$3)</f>
        <v>0</v>
      </c>
    </row>
    <row r="493" spans="1:14" x14ac:dyDescent="0.25">
      <c r="A493">
        <v>5</v>
      </c>
      <c r="B493" s="2">
        <f ca="1">OFFSET(INDIRECT(ADDRESS($A493,3,3,1,Menus!$K$10)),0,Menus!$J$4)</f>
        <v>5732</v>
      </c>
      <c r="C493" s="2">
        <f ca="1">OFFSET(INDIRECT(ADDRESS($A493,3,3,1,Menus!$K$10)),0,Menus!$J$3)</f>
        <v>21484399</v>
      </c>
      <c r="D493" s="73">
        <f ca="1">IF(Menus!$J$9,C493/B493,C493)</f>
        <v>3748.1505582693649</v>
      </c>
      <c r="E493" s="74" t="e">
        <f t="shared" ca="1" si="17"/>
        <v>#N/A</v>
      </c>
      <c r="F493" s="75" t="str">
        <f ca="1">INDIRECT(ADDRESS($A493,1,3,1,Menus!$K$10))</f>
        <v>Hungary</v>
      </c>
      <c r="G493" s="2" t="e">
        <f ca="1">IF(INDIRECT(ADDRESS($A493,2,3,1,Menus!$K$10))=G$1,$D493,#N/A)</f>
        <v>#N/A</v>
      </c>
      <c r="H493" s="2" t="e">
        <f ca="1">IF(INDIRECT(ADDRESS($A493,2,3,1,Menus!$K$10))=H$1,$D493,#N/A)</f>
        <v>#N/A</v>
      </c>
      <c r="I493" s="2" t="e">
        <f ca="1">IF(INDIRECT(ADDRESS($A493,2,3,1,Menus!$K$10))=I$1,$D493,#N/A)</f>
        <v>#N/A</v>
      </c>
      <c r="J493" s="2" t="e">
        <f ca="1">IF(INDIRECT(ADDRESS($A493,1,3,1,Menus!$K$10))=T(J$1),$D493,#N/A)</f>
        <v>#N/A</v>
      </c>
      <c r="K493" s="10">
        <f t="shared" ca="1" si="15"/>
        <v>0</v>
      </c>
      <c r="L493" s="2"/>
      <c r="M493" s="85">
        <f ca="1">OFFSET(INDIRECT(ADDRESS($A493,3,3,1,"Gross")),0,Menus!$J$4)</f>
        <v>1</v>
      </c>
      <c r="N493" s="85">
        <f ca="1">OFFSET(INDIRECT(ADDRESS($A493,3,3,1,"Gross")),0,Menus!$J$3)</f>
        <v>1</v>
      </c>
    </row>
    <row r="494" spans="1:14" x14ac:dyDescent="0.25">
      <c r="A494">
        <v>41</v>
      </c>
      <c r="B494" s="2">
        <f ca="1">OFFSET(INDIRECT(ADDRESS($A494,3,3,1,Menus!$K$10)),0,Menus!$J$4)</f>
        <v>47156</v>
      </c>
      <c r="C494" s="2">
        <f ca="1">OFFSET(INDIRECT(ADDRESS($A494,3,3,1,Menus!$K$10)),0,Menus!$J$3)</f>
        <v>167629712</v>
      </c>
      <c r="D494" s="73">
        <f ca="1">IF(Menus!$J$9,C494/B494,C494)</f>
        <v>3554.7907371278311</v>
      </c>
      <c r="E494" s="74" t="e">
        <f t="shared" ca="1" si="17"/>
        <v>#N/A</v>
      </c>
      <c r="F494" s="75" t="str">
        <f ca="1">INDIRECT(ADDRESS($A494,1,3,1,Menus!$K$10))</f>
        <v>CEE</v>
      </c>
      <c r="G494" s="2" t="e">
        <f ca="1">IF(INDIRECT(ADDRESS($A494,2,3,1,Menus!$K$10))=G$1,$D494,#N/A)</f>
        <v>#N/A</v>
      </c>
      <c r="H494" s="2" t="e">
        <f ca="1">IF(INDIRECT(ADDRESS($A494,2,3,1,Menus!$K$10))=H$1,$D494,#N/A)</f>
        <v>#N/A</v>
      </c>
      <c r="I494" s="2" t="e">
        <f ca="1">IF(INDIRECT(ADDRESS($A494,2,3,1,Menus!$K$10))=I$1,$D494,#N/A)</f>
        <v>#N/A</v>
      </c>
      <c r="J494" s="2" t="e">
        <f ca="1">IF(INDIRECT(ADDRESS($A494,1,3,1,Menus!$K$10))=T(J$1),$D494,#N/A)</f>
        <v>#N/A</v>
      </c>
      <c r="K494" s="10">
        <f t="shared" ca="1" si="15"/>
        <v>0</v>
      </c>
      <c r="L494" s="2"/>
      <c r="M494" s="85">
        <f ca="1">OFFSET(INDIRECT(ADDRESS($A494,3,3,1,"Gross")),0,Menus!$J$4)</f>
        <v>0</v>
      </c>
      <c r="N494" s="85">
        <f ca="1">OFFSET(INDIRECT(ADDRESS($A494,3,3,1,"Gross")),0,Menus!$J$3)</f>
        <v>0</v>
      </c>
    </row>
    <row r="495" spans="1:14" x14ac:dyDescent="0.25">
      <c r="A495">
        <v>4</v>
      </c>
      <c r="B495" s="2">
        <f ca="1">OFFSET(INDIRECT(ADDRESS($A495,3,3,1,Menus!$K$10)),0,Menus!$J$4)</f>
        <v>1481</v>
      </c>
      <c r="C495" s="2">
        <f ca="1">OFFSET(INDIRECT(ADDRESS($A495,3,3,1,Menus!$K$10)),0,Menus!$J$3)</f>
        <v>5053889</v>
      </c>
      <c r="D495" s="73">
        <f ca="1">IF(Menus!$J$9,C495/B495,C495)</f>
        <v>3412.4841323430114</v>
      </c>
      <c r="E495" s="74" t="e">
        <f t="shared" ca="1" si="17"/>
        <v>#N/A</v>
      </c>
      <c r="F495" s="75" t="str">
        <f ca="1">INDIRECT(ADDRESS($A495,1,3,1,Menus!$K$10))</f>
        <v>Estonia</v>
      </c>
      <c r="G495" s="2" t="e">
        <f ca="1">IF(INDIRECT(ADDRESS($A495,2,3,1,Menus!$K$10))=G$1,$D495,#N/A)</f>
        <v>#N/A</v>
      </c>
      <c r="H495" s="2" t="e">
        <f ca="1">IF(INDIRECT(ADDRESS($A495,2,3,1,Menus!$K$10))=H$1,$D495,#N/A)</f>
        <v>#N/A</v>
      </c>
      <c r="I495" s="2" t="e">
        <f ca="1">IF(INDIRECT(ADDRESS($A495,2,3,1,Menus!$K$10))=I$1,$D495,#N/A)</f>
        <v>#N/A</v>
      </c>
      <c r="J495" s="2" t="e">
        <f ca="1">IF(INDIRECT(ADDRESS($A495,1,3,1,Menus!$K$10))=T(J$1),$D495,#N/A)</f>
        <v>#N/A</v>
      </c>
      <c r="K495" s="10">
        <f t="shared" ca="1" si="15"/>
        <v>0</v>
      </c>
      <c r="L495" s="2"/>
      <c r="M495" s="85">
        <f ca="1">OFFSET(INDIRECT(ADDRESS($A495,3,3,1,"Gross")),0,Menus!$J$4)</f>
        <v>0</v>
      </c>
      <c r="N495" s="85">
        <f ca="1">OFFSET(INDIRECT(ADDRESS($A495,3,3,1,"Gross")),0,Menus!$J$3)</f>
        <v>0</v>
      </c>
    </row>
    <row r="496" spans="1:14" x14ac:dyDescent="0.25">
      <c r="A496">
        <v>49</v>
      </c>
      <c r="B496" s="2">
        <f ca="1">OFFSET(INDIRECT(ADDRESS($A496,3,3,1,Menus!$K$10)),0,Menus!$J$4)</f>
        <v>7960</v>
      </c>
      <c r="C496" s="2">
        <f ca="1">OFFSET(INDIRECT(ADDRESS($A496,3,3,1,Menus!$K$10)),0,Menus!$J$3)</f>
        <v>19983682</v>
      </c>
      <c r="D496" s="73">
        <f ca="1">IF(Menus!$J$9,C496/B496,C496)</f>
        <v>2510.5128140703519</v>
      </c>
      <c r="E496" s="74" t="e">
        <f t="shared" ca="1" si="17"/>
        <v>#N/A</v>
      </c>
      <c r="F496" s="75" t="str">
        <f ca="1">INDIRECT(ADDRESS($A496,1,3,1,Menus!$K$10))</f>
        <v>Baltic States</v>
      </c>
      <c r="G496" s="2" t="e">
        <f ca="1">IF(INDIRECT(ADDRESS($A496,2,3,1,Menus!$K$10))=G$1,$D496,#N/A)</f>
        <v>#N/A</v>
      </c>
      <c r="H496" s="2" t="e">
        <f ca="1">IF(INDIRECT(ADDRESS($A496,2,3,1,Menus!$K$10))=H$1,$D496,#N/A)</f>
        <v>#N/A</v>
      </c>
      <c r="I496" s="2" t="e">
        <f ca="1">IF(INDIRECT(ADDRESS($A496,2,3,1,Menus!$K$10))=I$1,$D496,#N/A)</f>
        <v>#N/A</v>
      </c>
      <c r="J496" s="2" t="e">
        <f ca="1">IF(INDIRECT(ADDRESS($A496,1,3,1,Menus!$K$10))=T(J$1),$D496,#N/A)</f>
        <v>#N/A</v>
      </c>
      <c r="K496" s="10">
        <f t="shared" ca="1" si="15"/>
        <v>0</v>
      </c>
      <c r="L496" s="2"/>
      <c r="M496" s="85">
        <f ca="1">OFFSET(INDIRECT(ADDRESS($A496,3,3,1,"Gross")),0,Menus!$J$4)</f>
        <v>0</v>
      </c>
      <c r="N496" s="85">
        <f ca="1">OFFSET(INDIRECT(ADDRESS($A496,3,3,1,"Gross")),0,Menus!$J$3)</f>
        <v>0</v>
      </c>
    </row>
    <row r="497" spans="1:14" x14ac:dyDescent="0.25">
      <c r="A497">
        <v>7</v>
      </c>
      <c r="B497" s="2">
        <f ca="1">OFFSET(INDIRECT(ADDRESS($A497,3,3,1,Menus!$K$10)),0,Menus!$J$4)</f>
        <v>3996</v>
      </c>
      <c r="C497" s="2">
        <f ca="1">OFFSET(INDIRECT(ADDRESS($A497,3,3,1,Menus!$K$10)),0,Menus!$J$3)</f>
        <v>9291103</v>
      </c>
      <c r="D497" s="73">
        <f ca="1">IF(Menus!$J$9,C497/B497,C497)</f>
        <v>2325.1008508508507</v>
      </c>
      <c r="E497" s="74" t="e">
        <f t="shared" ca="1" si="17"/>
        <v>#N/A</v>
      </c>
      <c r="F497" s="75" t="str">
        <f ca="1">INDIRECT(ADDRESS($A497,1,3,1,Menus!$K$10))</f>
        <v>Lithuania</v>
      </c>
      <c r="G497" s="2" t="e">
        <f ca="1">IF(INDIRECT(ADDRESS($A497,2,3,1,Menus!$K$10))=G$1,$D497,#N/A)</f>
        <v>#N/A</v>
      </c>
      <c r="H497" s="2" t="e">
        <f ca="1">IF(INDIRECT(ADDRESS($A497,2,3,1,Menus!$K$10))=H$1,$D497,#N/A)</f>
        <v>#N/A</v>
      </c>
      <c r="I497" s="2" t="e">
        <f ca="1">IF(INDIRECT(ADDRESS($A497,2,3,1,Menus!$K$10))=I$1,$D497,#N/A)</f>
        <v>#N/A</v>
      </c>
      <c r="J497" s="2" t="e">
        <f ca="1">IF(INDIRECT(ADDRESS($A497,1,3,1,Menus!$K$10))=T(J$1),$D497,#N/A)</f>
        <v>#N/A</v>
      </c>
      <c r="K497" s="10">
        <f t="shared" ca="1" si="15"/>
        <v>0</v>
      </c>
      <c r="L497" s="2"/>
      <c r="M497" s="85">
        <f ca="1">OFFSET(INDIRECT(ADDRESS($A497,3,3,1,"Gross")),0,Menus!$J$4)</f>
        <v>0</v>
      </c>
      <c r="N497" s="85">
        <f ca="1">OFFSET(INDIRECT(ADDRESS($A497,3,3,1,"Gross")),0,Menus!$J$3)</f>
        <v>0</v>
      </c>
    </row>
    <row r="498" spans="1:14" x14ac:dyDescent="0.25">
      <c r="A498">
        <v>6</v>
      </c>
      <c r="B498" s="2">
        <f ca="1">OFFSET(INDIRECT(ADDRESS($A498,3,3,1,Menus!$K$10)),0,Menus!$J$4)</f>
        <v>2483</v>
      </c>
      <c r="C498" s="2">
        <f ca="1">OFFSET(INDIRECT(ADDRESS($A498,3,3,1,Menus!$K$10)),0,Menus!$J$3)</f>
        <v>5638690</v>
      </c>
      <c r="D498" s="73">
        <f ca="1">IF(Menus!$J$9,C498/B498,C498)</f>
        <v>2270.9182440596055</v>
      </c>
      <c r="E498" s="74" t="e">
        <f t="shared" ca="1" si="17"/>
        <v>#N/A</v>
      </c>
      <c r="F498" s="75" t="str">
        <f ca="1">INDIRECT(ADDRESS($A498,1,3,1,Menus!$K$10))</f>
        <v>Latvia</v>
      </c>
      <c r="G498" s="2" t="e">
        <f ca="1">IF(INDIRECT(ADDRESS($A498,2,3,1,Menus!$K$10))=G$1,$D498,#N/A)</f>
        <v>#N/A</v>
      </c>
      <c r="H498" s="2" t="e">
        <f ca="1">IF(INDIRECT(ADDRESS($A498,2,3,1,Menus!$K$10))=H$1,$D498,#N/A)</f>
        <v>#N/A</v>
      </c>
      <c r="I498" s="2" t="e">
        <f ca="1">IF(INDIRECT(ADDRESS($A498,2,3,1,Menus!$K$10))=I$1,$D498,#N/A)</f>
        <v>#N/A</v>
      </c>
      <c r="J498" s="2" t="e">
        <f ca="1">IF(INDIRECT(ADDRESS($A498,1,3,1,Menus!$K$10))=T(J$1),$D498,#N/A)</f>
        <v>#N/A</v>
      </c>
      <c r="K498" s="10">
        <f t="shared" ca="1" si="15"/>
        <v>0</v>
      </c>
      <c r="L498" s="2"/>
      <c r="M498" s="85">
        <f ca="1">OFFSET(INDIRECT(ADDRESS($A498,3,3,1,"Gross")),0,Menus!$J$4)</f>
        <v>0</v>
      </c>
      <c r="N498" s="85">
        <f ca="1">OFFSET(INDIRECT(ADDRESS($A498,3,3,1,"Gross")),0,Menus!$J$3)</f>
        <v>0</v>
      </c>
    </row>
    <row r="499" spans="1:14" x14ac:dyDescent="0.25">
      <c r="A499">
        <v>10</v>
      </c>
      <c r="B499" s="2">
        <f ca="1">OFFSET(INDIRECT(ADDRESS($A499,3,3,1,Menus!$K$10)),0,Menus!$J$4)</f>
        <v>1796</v>
      </c>
      <c r="C499" s="2">
        <f ca="1">OFFSET(INDIRECT(ADDRESS($A499,3,3,1,Menus!$K$10)),0,Menus!$J$3)</f>
        <v>4007711</v>
      </c>
      <c r="D499" s="73">
        <f ca="1">IF(Menus!$J$9,C499/B499,C499)</f>
        <v>2231.4649220489978</v>
      </c>
      <c r="E499" s="74" t="e">
        <f t="shared" ca="1" si="17"/>
        <v>#N/A</v>
      </c>
      <c r="F499" s="75" t="str">
        <f ca="1">INDIRECT(ADDRESS($A499,1,3,1,Menus!$K$10))</f>
        <v>Slovak Rep</v>
      </c>
      <c r="G499" s="2" t="e">
        <f ca="1">IF(INDIRECT(ADDRESS($A499,2,3,1,Menus!$K$10))=G$1,$D499,#N/A)</f>
        <v>#N/A</v>
      </c>
      <c r="H499" s="2" t="e">
        <f ca="1">IF(INDIRECT(ADDRESS($A499,2,3,1,Menus!$K$10))=H$1,$D499,#N/A)</f>
        <v>#N/A</v>
      </c>
      <c r="I499" s="2" t="e">
        <f ca="1">IF(INDIRECT(ADDRESS($A499,2,3,1,Menus!$K$10))=I$1,$D499,#N/A)</f>
        <v>#N/A</v>
      </c>
      <c r="J499" s="2" t="e">
        <f ca="1">IF(INDIRECT(ADDRESS($A499,1,3,1,Menus!$K$10))=T(J$1),$D499,#N/A)</f>
        <v>#N/A</v>
      </c>
      <c r="K499" s="10">
        <f t="shared" ca="1" si="15"/>
        <v>0</v>
      </c>
      <c r="L499" s="2"/>
      <c r="M499" s="85">
        <f ca="1">OFFSET(INDIRECT(ADDRESS($A499,3,3,1,"Gross")),0,Menus!$J$4)</f>
        <v>0</v>
      </c>
      <c r="N499" s="85">
        <f ca="1">OFFSET(INDIRECT(ADDRESS($A499,3,3,1,"Gross")),0,Menus!$J$3)</f>
        <v>0</v>
      </c>
    </row>
    <row r="500" spans="1:14" x14ac:dyDescent="0.25">
      <c r="A500">
        <v>9</v>
      </c>
      <c r="B500" s="2">
        <f ca="1">OFFSET(INDIRECT(ADDRESS($A500,3,3,1,Menus!$K$10)),0,Menus!$J$4)</f>
        <v>5257</v>
      </c>
      <c r="C500" s="2">
        <f ca="1">OFFSET(INDIRECT(ADDRESS($A500,3,3,1,Menus!$K$10)),0,Menus!$J$3)</f>
        <v>9775415</v>
      </c>
      <c r="D500" s="73">
        <f ca="1">IF(Menus!$J$9,C500/B500,C500)</f>
        <v>1859.5044702301693</v>
      </c>
      <c r="E500" s="74" t="e">
        <f t="shared" ca="1" si="17"/>
        <v>#N/A</v>
      </c>
      <c r="F500" s="75" t="str">
        <f ca="1">INDIRECT(ADDRESS($A500,1,3,1,Menus!$K$10))</f>
        <v>Romania</v>
      </c>
      <c r="G500" s="2" t="e">
        <f ca="1">IF(INDIRECT(ADDRESS($A500,2,3,1,Menus!$K$10))=G$1,$D500,#N/A)</f>
        <v>#N/A</v>
      </c>
      <c r="H500" s="2" t="e">
        <f ca="1">IF(INDIRECT(ADDRESS($A500,2,3,1,Menus!$K$10))=H$1,$D500,#N/A)</f>
        <v>#N/A</v>
      </c>
      <c r="I500" s="2" t="e">
        <f ca="1">IF(INDIRECT(ADDRESS($A500,2,3,1,Menus!$K$10))=I$1,$D500,#N/A)</f>
        <v>#N/A</v>
      </c>
      <c r="J500" s="2" t="e">
        <f ca="1">IF(INDIRECT(ADDRESS($A500,1,3,1,Menus!$K$10))=T(J$1),$D500,#N/A)</f>
        <v>#N/A</v>
      </c>
      <c r="K500" s="10">
        <f t="shared" ca="1" si="15"/>
        <v>0</v>
      </c>
      <c r="L500" s="2"/>
      <c r="M500" s="85">
        <f ca="1">OFFSET(INDIRECT(ADDRESS($A500,3,3,1,"Gross")),0,Menus!$J$4)</f>
        <v>0</v>
      </c>
      <c r="N500" s="85">
        <f ca="1">OFFSET(INDIRECT(ADDRESS($A500,3,3,1,"Gross")),0,Menus!$J$3)</f>
        <v>0</v>
      </c>
    </row>
    <row r="501" spans="1:14" ht="13" thickBot="1" x14ac:dyDescent="0.3">
      <c r="A501">
        <v>2</v>
      </c>
      <c r="B501" s="2">
        <f ca="1">OFFSET(INDIRECT(ADDRESS($A501,3,3,1,Menus!$K$10)),0,Menus!$J$4)</f>
        <v>3321</v>
      </c>
      <c r="C501" s="2">
        <f ca="1">OFFSET(INDIRECT(ADDRESS($A501,3,3,1,Menus!$K$10)),0,Menus!$J$3)</f>
        <v>3960297</v>
      </c>
      <c r="D501" s="76">
        <f ca="1">IF(Menus!$J$9,C501/B501,C501)</f>
        <v>1192.5013550135502</v>
      </c>
      <c r="E501" s="77" t="e">
        <f t="shared" ca="1" si="17"/>
        <v>#N/A</v>
      </c>
      <c r="F501" s="78" t="str">
        <f ca="1">INDIRECT(ADDRESS($A501,1,3,1,Menus!$K$10))</f>
        <v>Bulgaria</v>
      </c>
      <c r="G501" s="2" t="e">
        <f ca="1">IF(INDIRECT(ADDRESS($A501,2,3,1,Menus!$K$10))=G$1,$D501,#N/A)</f>
        <v>#N/A</v>
      </c>
      <c r="H501" s="2" t="e">
        <f ca="1">IF(INDIRECT(ADDRESS($A501,2,3,1,Menus!$K$10))=H$1,$D501,#N/A)</f>
        <v>#N/A</v>
      </c>
      <c r="I501" s="2" t="e">
        <f ca="1">IF(INDIRECT(ADDRESS($A501,2,3,1,Menus!$K$10))=I$1,$D501,#N/A)</f>
        <v>#N/A</v>
      </c>
      <c r="J501" s="2" t="e">
        <f ca="1">IF(INDIRECT(ADDRESS($A501,1,3,1,Menus!$K$10))=T(J$1),$D501,#N/A)</f>
        <v>#N/A</v>
      </c>
      <c r="K501" s="10">
        <f t="shared" ca="1" si="15"/>
        <v>0</v>
      </c>
      <c r="L501" s="2"/>
      <c r="M501" s="85">
        <f ca="1">OFFSET(INDIRECT(ADDRESS($A501,3,3,1,"Gross")),0,Menus!$J$4)</f>
        <v>1</v>
      </c>
      <c r="N501" s="85">
        <f ca="1">OFFSET(INDIRECT(ADDRESS($A501,3,3,1,"Gross")),0,Menus!$J$3)</f>
        <v>1</v>
      </c>
    </row>
  </sheetData>
  <sheetCalcPr fullCalcOnLoad="1"/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C5:J20"/>
  <sheetViews>
    <sheetView showGridLines="0" showRowColHeaders="0" showZeros="0" tabSelected="1" zoomScale="125" workbookViewId="0">
      <selection activeCell="A2" sqref="A2"/>
    </sheetView>
  </sheetViews>
  <sheetFormatPr defaultRowHeight="12.5" x14ac:dyDescent="0.25"/>
  <cols>
    <col min="4" max="4" width="9.26953125" bestFit="1" customWidth="1"/>
  </cols>
  <sheetData>
    <row r="5" spans="3:10" x14ac:dyDescent="0.25">
      <c r="C5" s="22"/>
      <c r="D5" s="22"/>
      <c r="E5" s="22"/>
      <c r="F5" s="22"/>
      <c r="G5" s="22"/>
      <c r="H5" s="22"/>
      <c r="I5" s="22"/>
      <c r="J5" s="22"/>
    </row>
    <row r="6" spans="3:10" ht="13.5" x14ac:dyDescent="0.3">
      <c r="C6" s="57"/>
      <c r="D6" s="58"/>
      <c r="E6" s="59"/>
      <c r="F6" s="58"/>
      <c r="G6" s="58"/>
      <c r="H6" s="58"/>
      <c r="I6" s="60"/>
      <c r="J6" s="22"/>
    </row>
    <row r="7" spans="3:10" ht="13.5" x14ac:dyDescent="0.3">
      <c r="C7" s="61"/>
      <c r="D7" s="70" t="s">
        <v>156</v>
      </c>
      <c r="E7" s="70"/>
      <c r="F7" s="70"/>
      <c r="G7" s="71"/>
      <c r="H7" s="62"/>
      <c r="I7" s="63"/>
      <c r="J7" s="22"/>
    </row>
    <row r="8" spans="3:10" ht="13.5" x14ac:dyDescent="0.3">
      <c r="C8" s="61"/>
      <c r="D8" s="62"/>
      <c r="E8" s="62"/>
      <c r="F8" s="62"/>
      <c r="G8" s="62"/>
      <c r="H8" s="62"/>
      <c r="I8" s="63"/>
      <c r="J8" s="22"/>
    </row>
    <row r="9" spans="3:10" ht="13.5" x14ac:dyDescent="0.3">
      <c r="C9" s="61"/>
      <c r="D9" s="62" t="s">
        <v>10</v>
      </c>
      <c r="E9" s="62"/>
      <c r="F9" s="62"/>
      <c r="G9" s="62"/>
      <c r="H9" s="62"/>
      <c r="I9" s="63"/>
      <c r="J9" s="22"/>
    </row>
    <row r="10" spans="3:10" ht="13.5" x14ac:dyDescent="0.3">
      <c r="C10" s="61"/>
      <c r="D10" s="62" t="s">
        <v>314</v>
      </c>
      <c r="E10" s="62"/>
      <c r="F10" s="62"/>
      <c r="G10" s="62"/>
      <c r="H10" s="62"/>
      <c r="I10" s="63"/>
      <c r="J10" s="22"/>
    </row>
    <row r="11" spans="3:10" ht="13.5" x14ac:dyDescent="0.3">
      <c r="C11" s="61"/>
      <c r="D11" s="62" t="s">
        <v>308</v>
      </c>
      <c r="E11" s="62"/>
      <c r="F11" s="62"/>
      <c r="G11" s="62"/>
      <c r="H11" s="62"/>
      <c r="I11" s="63"/>
      <c r="J11" s="22"/>
    </row>
    <row r="12" spans="3:10" ht="13.5" x14ac:dyDescent="0.3">
      <c r="C12" s="61"/>
      <c r="D12" s="62"/>
      <c r="E12" s="62"/>
      <c r="F12" s="62"/>
      <c r="G12" s="62"/>
      <c r="H12" s="62"/>
      <c r="I12" s="63"/>
      <c r="J12" s="22"/>
    </row>
    <row r="13" spans="3:10" ht="13.5" x14ac:dyDescent="0.3">
      <c r="C13" s="61"/>
      <c r="D13" s="62" t="s">
        <v>296</v>
      </c>
      <c r="E13" s="62"/>
      <c r="F13" s="62"/>
      <c r="G13" s="62"/>
      <c r="H13" s="62"/>
      <c r="I13" s="63"/>
      <c r="J13" s="22"/>
    </row>
    <row r="14" spans="3:10" ht="13.5" x14ac:dyDescent="0.3">
      <c r="C14" s="61"/>
      <c r="D14" s="62" t="s">
        <v>297</v>
      </c>
      <c r="E14" s="62"/>
      <c r="F14" s="62"/>
      <c r="G14" s="62"/>
      <c r="H14" s="62"/>
      <c r="I14" s="63"/>
      <c r="J14" s="22"/>
    </row>
    <row r="15" spans="3:10" ht="13.5" x14ac:dyDescent="0.3">
      <c r="C15" s="61"/>
      <c r="D15" s="62" t="s">
        <v>298</v>
      </c>
      <c r="E15" s="62"/>
      <c r="F15" s="62"/>
      <c r="G15" s="62"/>
      <c r="H15" s="62"/>
      <c r="I15" s="63"/>
      <c r="J15" s="22"/>
    </row>
    <row r="16" spans="3:10" ht="13.5" x14ac:dyDescent="0.3">
      <c r="C16" s="61"/>
      <c r="D16" s="62"/>
      <c r="E16" s="62"/>
      <c r="F16" s="62"/>
      <c r="G16" s="62"/>
      <c r="H16" s="62"/>
      <c r="I16" s="63"/>
      <c r="J16" s="22"/>
    </row>
    <row r="17" spans="3:10" ht="13.5" x14ac:dyDescent="0.3">
      <c r="C17" s="61"/>
      <c r="D17" s="62" t="s">
        <v>131</v>
      </c>
      <c r="E17" s="62"/>
      <c r="F17" s="62"/>
      <c r="G17" s="62"/>
      <c r="H17" s="62"/>
      <c r="I17" s="63"/>
      <c r="J17" s="22"/>
    </row>
    <row r="18" spans="3:10" ht="13.5" x14ac:dyDescent="0.3">
      <c r="C18" s="61"/>
      <c r="D18" s="69" t="s">
        <v>299</v>
      </c>
      <c r="E18" s="62"/>
      <c r="F18" s="62"/>
      <c r="G18" s="62"/>
      <c r="H18" s="62"/>
      <c r="I18" s="63"/>
      <c r="J18" s="22"/>
    </row>
    <row r="19" spans="3:10" ht="13.5" x14ac:dyDescent="0.3">
      <c r="C19" s="64"/>
      <c r="D19" s="65"/>
      <c r="E19" s="65"/>
      <c r="F19" s="65"/>
      <c r="G19" s="65"/>
      <c r="H19" s="66"/>
      <c r="I19" s="67"/>
      <c r="J19" s="22"/>
    </row>
    <row r="20" spans="3:10" x14ac:dyDescent="0.25">
      <c r="C20" s="22"/>
      <c r="D20" s="22"/>
      <c r="E20" s="22"/>
      <c r="F20" s="22"/>
      <c r="G20" s="22"/>
      <c r="H20" s="22"/>
      <c r="I20" s="22"/>
      <c r="J20" s="22"/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Button 4">
              <controlPr defaultSize="0" print="0" autoFill="0" autoPict="0" macro="[0]!ShowDialogBox">
                <anchor moveWithCells="1" sizeWithCells="1">
                  <from>
                    <xdr:col>7</xdr:col>
                    <xdr:colOff>266700</xdr:colOff>
                    <xdr:row>16</xdr:row>
                    <xdr:rowOff>101600</xdr:rowOff>
                  </from>
                  <to>
                    <xdr:col>8</xdr:col>
                    <xdr:colOff>476250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5" name="Button 5">
              <controlPr defaultSize="0" print="0" autoFill="0" autoPict="0" macro="[0]!ShowDialogBox">
                <anchor moveWithCells="1" sizeWithCells="1">
                  <from>
                    <xdr:col>7</xdr:col>
                    <xdr:colOff>266700</xdr:colOff>
                    <xdr:row>16</xdr:row>
                    <xdr:rowOff>101600</xdr:rowOff>
                  </from>
                  <to>
                    <xdr:col>8</xdr:col>
                    <xdr:colOff>476250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Button 6">
              <controlPr defaultSize="0" print="0" autoFill="0" autoPict="0" macro="[0]!Button54_Click">
                <anchor moveWithCells="1" sizeWithCells="1">
                  <from>
                    <xdr:col>7</xdr:col>
                    <xdr:colOff>374650</xdr:colOff>
                    <xdr:row>6</xdr:row>
                    <xdr:rowOff>114300</xdr:rowOff>
                  </from>
                  <to>
                    <xdr:col>8</xdr:col>
                    <xdr:colOff>514350</xdr:colOff>
                    <xdr:row>12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3:J70"/>
  <sheetViews>
    <sheetView showGridLines="0" showRowColHeaders="0" zoomScaleNormal="100" workbookViewId="0"/>
  </sheetViews>
  <sheetFormatPr defaultColWidth="9.7265625" defaultRowHeight="12.5" x14ac:dyDescent="0.25"/>
  <sheetData>
    <row r="3" spans="2:10" x14ac:dyDescent="0.25">
      <c r="B3" s="45"/>
      <c r="C3" s="46"/>
      <c r="D3" s="46"/>
      <c r="E3" s="46"/>
      <c r="F3" s="46"/>
      <c r="G3" s="46"/>
      <c r="H3" s="46"/>
      <c r="I3" s="46"/>
      <c r="J3" s="47"/>
    </row>
    <row r="4" spans="2:10" x14ac:dyDescent="0.25">
      <c r="B4" s="48"/>
      <c r="C4" s="49"/>
      <c r="D4" s="49"/>
      <c r="E4" s="49"/>
      <c r="F4" s="49"/>
      <c r="G4" s="49"/>
      <c r="H4" s="49"/>
      <c r="I4" s="49"/>
      <c r="J4" s="50"/>
    </row>
    <row r="5" spans="2:10" x14ac:dyDescent="0.25">
      <c r="B5" s="48"/>
      <c r="C5" s="49"/>
      <c r="D5" s="49"/>
      <c r="E5" s="49"/>
      <c r="F5" s="49"/>
      <c r="G5" s="49"/>
      <c r="H5" s="49"/>
      <c r="I5" s="49"/>
      <c r="J5" s="50"/>
    </row>
    <row r="6" spans="2:10" x14ac:dyDescent="0.25">
      <c r="B6" s="48"/>
      <c r="C6" s="49"/>
      <c r="D6" s="49"/>
      <c r="E6" s="49"/>
      <c r="F6" s="49"/>
      <c r="G6" s="49"/>
      <c r="H6" s="49"/>
      <c r="I6" s="49"/>
      <c r="J6" s="50"/>
    </row>
    <row r="7" spans="2:10" x14ac:dyDescent="0.25">
      <c r="B7" s="48"/>
      <c r="C7" s="49"/>
      <c r="D7" s="49"/>
      <c r="E7" s="49"/>
      <c r="F7" s="49"/>
      <c r="G7" s="49"/>
      <c r="H7" s="49"/>
      <c r="I7" s="49"/>
      <c r="J7" s="50"/>
    </row>
    <row r="8" spans="2:10" x14ac:dyDescent="0.25">
      <c r="B8" s="48"/>
      <c r="C8" s="49"/>
      <c r="D8" s="49"/>
      <c r="E8" s="49"/>
      <c r="F8" s="49"/>
      <c r="G8" s="49"/>
      <c r="H8" s="49"/>
      <c r="I8" s="49"/>
      <c r="J8" s="50"/>
    </row>
    <row r="9" spans="2:10" x14ac:dyDescent="0.25">
      <c r="B9" s="48"/>
      <c r="C9" s="49"/>
      <c r="D9" s="49"/>
      <c r="E9" s="49"/>
      <c r="F9" s="49"/>
      <c r="G9" s="49"/>
      <c r="H9" s="49"/>
      <c r="I9" s="49"/>
      <c r="J9" s="50"/>
    </row>
    <row r="10" spans="2:10" x14ac:dyDescent="0.25">
      <c r="B10" s="48"/>
      <c r="C10" s="49"/>
      <c r="D10" s="49"/>
      <c r="E10" s="49"/>
      <c r="F10" s="49"/>
      <c r="G10" s="49"/>
      <c r="H10" s="49"/>
      <c r="I10" s="49"/>
      <c r="J10" s="50"/>
    </row>
    <row r="11" spans="2:10" x14ac:dyDescent="0.25">
      <c r="B11" s="48"/>
      <c r="C11" s="49"/>
      <c r="D11" s="49"/>
      <c r="E11" s="49"/>
      <c r="F11" s="49"/>
      <c r="G11" s="49"/>
      <c r="H11" s="49"/>
      <c r="I11" s="49"/>
      <c r="J11" s="50"/>
    </row>
    <row r="12" spans="2:10" x14ac:dyDescent="0.25">
      <c r="B12" s="48"/>
      <c r="C12" s="49"/>
      <c r="D12" s="49"/>
      <c r="E12" s="49"/>
      <c r="F12" s="49"/>
      <c r="G12" s="49"/>
      <c r="H12" s="49"/>
      <c r="I12" s="49"/>
      <c r="J12" s="50"/>
    </row>
    <row r="13" spans="2:10" x14ac:dyDescent="0.25">
      <c r="B13" s="48"/>
      <c r="C13" s="49"/>
      <c r="D13" s="49"/>
      <c r="E13" s="49"/>
      <c r="F13" s="49"/>
      <c r="G13" s="49"/>
      <c r="H13" s="49"/>
      <c r="I13" s="49"/>
      <c r="J13" s="50"/>
    </row>
    <row r="14" spans="2:10" x14ac:dyDescent="0.25">
      <c r="B14" s="48"/>
      <c r="C14" s="49"/>
      <c r="D14" s="49"/>
      <c r="E14" s="49"/>
      <c r="F14" s="49"/>
      <c r="G14" s="49"/>
      <c r="H14" s="49"/>
      <c r="I14" s="49"/>
      <c r="J14" s="50"/>
    </row>
    <row r="15" spans="2:10" x14ac:dyDescent="0.25">
      <c r="B15" s="48"/>
      <c r="C15" s="49"/>
      <c r="D15" s="49"/>
      <c r="E15" s="49"/>
      <c r="F15" s="49"/>
      <c r="G15" s="49"/>
      <c r="H15" s="49"/>
      <c r="I15" s="49"/>
      <c r="J15" s="50"/>
    </row>
    <row r="16" spans="2:10" x14ac:dyDescent="0.25">
      <c r="B16" s="48"/>
      <c r="C16" s="49"/>
      <c r="D16" s="49"/>
      <c r="E16" s="49"/>
      <c r="F16" s="49"/>
      <c r="G16" s="49"/>
      <c r="H16" s="49"/>
      <c r="I16" s="49"/>
      <c r="J16" s="50"/>
    </row>
    <row r="17" spans="2:10" x14ac:dyDescent="0.25">
      <c r="B17" s="48"/>
      <c r="C17" s="49"/>
      <c r="D17" s="49"/>
      <c r="E17" s="49"/>
      <c r="F17" s="49"/>
      <c r="G17" s="49"/>
      <c r="H17" s="49"/>
      <c r="I17" s="49"/>
      <c r="J17" s="50"/>
    </row>
    <row r="18" spans="2:10" x14ac:dyDescent="0.25">
      <c r="B18" s="48"/>
      <c r="C18" s="49"/>
      <c r="D18" s="49"/>
      <c r="E18" s="49"/>
      <c r="F18" s="49"/>
      <c r="G18" s="49"/>
      <c r="H18" s="49"/>
      <c r="I18" s="49"/>
      <c r="J18" s="50"/>
    </row>
    <row r="19" spans="2:10" x14ac:dyDescent="0.25">
      <c r="B19" s="48"/>
      <c r="C19" s="49"/>
      <c r="D19" s="49"/>
      <c r="E19" s="49"/>
      <c r="F19" s="49"/>
      <c r="G19" s="49"/>
      <c r="H19" s="49"/>
      <c r="I19" s="49"/>
      <c r="J19" s="50"/>
    </row>
    <row r="20" spans="2:10" x14ac:dyDescent="0.25">
      <c r="B20" s="51"/>
      <c r="C20" s="52"/>
      <c r="D20" s="52"/>
      <c r="E20" s="52"/>
      <c r="F20" s="52"/>
      <c r="G20" s="52"/>
      <c r="H20" s="52"/>
      <c r="I20" s="52"/>
      <c r="J20" s="53"/>
    </row>
    <row r="21" spans="2:10" x14ac:dyDescent="0.25">
      <c r="B21" s="51"/>
      <c r="C21" s="52"/>
      <c r="D21" s="52"/>
      <c r="E21" s="52"/>
      <c r="F21" s="52"/>
      <c r="G21" s="52"/>
      <c r="H21" s="52"/>
      <c r="I21" s="52"/>
      <c r="J21" s="53"/>
    </row>
    <row r="22" spans="2:10" x14ac:dyDescent="0.25">
      <c r="B22" s="54"/>
      <c r="C22" s="55"/>
      <c r="D22" s="55"/>
      <c r="E22" s="55"/>
      <c r="F22" s="55"/>
      <c r="G22" s="55"/>
      <c r="H22" s="55"/>
      <c r="I22" s="55"/>
      <c r="J22" s="56"/>
    </row>
    <row r="24" spans="2:10" ht="13" x14ac:dyDescent="0.3">
      <c r="B24" s="4" t="s">
        <v>155</v>
      </c>
    </row>
    <row r="25" spans="2:10" x14ac:dyDescent="0.25">
      <c r="B25" t="s">
        <v>300</v>
      </c>
    </row>
    <row r="26" spans="2:10" x14ac:dyDescent="0.25">
      <c r="B26" t="s">
        <v>275</v>
      </c>
    </row>
    <row r="27" spans="2:10" x14ac:dyDescent="0.25">
      <c r="B27" t="s">
        <v>274</v>
      </c>
    </row>
    <row r="28" spans="2:10" x14ac:dyDescent="0.25">
      <c r="B28" t="s">
        <v>309</v>
      </c>
    </row>
    <row r="30" spans="2:10" ht="14" x14ac:dyDescent="0.3">
      <c r="B30" s="106" t="s">
        <v>319</v>
      </c>
      <c r="C30" s="103"/>
      <c r="D30" s="103"/>
      <c r="E30" s="103"/>
      <c r="F30" s="103"/>
      <c r="G30" s="103"/>
      <c r="H30" s="103"/>
      <c r="I30" s="103"/>
      <c r="J30" s="103"/>
    </row>
    <row r="31" spans="2:10" ht="14" x14ac:dyDescent="0.3">
      <c r="B31" s="106" t="s">
        <v>320</v>
      </c>
      <c r="C31" s="103"/>
      <c r="D31" s="103"/>
      <c r="E31" s="103"/>
      <c r="F31" s="103"/>
      <c r="G31" s="103"/>
      <c r="H31" s="103"/>
      <c r="I31" s="103"/>
      <c r="J31" s="103"/>
    </row>
    <row r="32" spans="2:10" ht="14" x14ac:dyDescent="0.3">
      <c r="B32" s="106" t="s">
        <v>321</v>
      </c>
      <c r="C32" s="103"/>
      <c r="D32" s="103"/>
      <c r="E32" s="103"/>
      <c r="F32" s="103"/>
      <c r="G32" s="103"/>
      <c r="H32" s="103"/>
      <c r="I32" s="103"/>
      <c r="J32" s="103"/>
    </row>
    <row r="33" spans="2:10" ht="14" x14ac:dyDescent="0.3">
      <c r="B33" s="107" t="s">
        <v>322</v>
      </c>
      <c r="C33" s="103"/>
      <c r="D33" s="103"/>
      <c r="E33" s="103"/>
      <c r="F33" s="103"/>
      <c r="G33" s="103"/>
      <c r="H33" s="103"/>
      <c r="I33" s="103"/>
      <c r="J33" s="103"/>
    </row>
    <row r="34" spans="2:10" ht="14" x14ac:dyDescent="0.3">
      <c r="B34" s="107" t="s">
        <v>323</v>
      </c>
      <c r="C34" s="103"/>
      <c r="D34" s="103"/>
      <c r="E34" s="103"/>
      <c r="F34" s="103"/>
      <c r="G34" s="103"/>
      <c r="H34" s="103"/>
      <c r="I34" s="103"/>
      <c r="J34" s="103"/>
    </row>
    <row r="35" spans="2:10" ht="14" x14ac:dyDescent="0.3">
      <c r="B35" s="107" t="s">
        <v>324</v>
      </c>
      <c r="C35" s="103"/>
      <c r="D35" s="103"/>
      <c r="E35" s="103"/>
      <c r="F35" s="103"/>
      <c r="G35" s="103"/>
      <c r="H35" s="103"/>
      <c r="I35" s="103"/>
      <c r="J35" s="103"/>
    </row>
    <row r="36" spans="2:10" ht="14" x14ac:dyDescent="0.3">
      <c r="B36" s="107" t="s">
        <v>325</v>
      </c>
      <c r="C36" s="103"/>
      <c r="D36" s="103"/>
      <c r="E36" s="103"/>
      <c r="F36" s="103"/>
      <c r="G36" s="103"/>
      <c r="H36" s="103"/>
      <c r="I36" s="103"/>
      <c r="J36" s="103"/>
    </row>
    <row r="37" spans="2:10" ht="14" x14ac:dyDescent="0.3">
      <c r="B37" s="107" t="s">
        <v>326</v>
      </c>
      <c r="C37" s="103"/>
      <c r="D37" s="103"/>
      <c r="E37" s="103"/>
      <c r="F37" s="103"/>
      <c r="G37" s="103"/>
      <c r="H37" s="103"/>
      <c r="I37" s="103"/>
      <c r="J37" s="103"/>
    </row>
    <row r="38" spans="2:10" ht="14" x14ac:dyDescent="0.3">
      <c r="B38" s="107" t="s">
        <v>327</v>
      </c>
      <c r="C38" s="103"/>
      <c r="D38" s="103"/>
      <c r="E38" s="103"/>
      <c r="F38" s="103"/>
      <c r="G38" s="103"/>
      <c r="H38" s="103"/>
      <c r="I38" s="103"/>
      <c r="J38" s="103"/>
    </row>
    <row r="39" spans="2:10" ht="14" x14ac:dyDescent="0.3">
      <c r="B39" s="107" t="s">
        <v>328</v>
      </c>
      <c r="C39" s="103"/>
      <c r="D39" s="103"/>
      <c r="E39" s="103"/>
      <c r="F39" s="103"/>
      <c r="G39" s="103"/>
      <c r="H39" s="103"/>
      <c r="I39" s="103"/>
      <c r="J39" s="103"/>
    </row>
    <row r="40" spans="2:10" ht="14" x14ac:dyDescent="0.3">
      <c r="B40" s="107" t="s">
        <v>329</v>
      </c>
      <c r="C40" s="103"/>
      <c r="D40" s="103"/>
      <c r="E40" s="103"/>
      <c r="F40" s="103"/>
      <c r="G40" s="103"/>
      <c r="H40" s="103"/>
      <c r="I40" s="103"/>
      <c r="J40" s="103"/>
    </row>
    <row r="41" spans="2:10" ht="15.5" x14ac:dyDescent="0.35">
      <c r="B41" s="108"/>
      <c r="C41" s="103"/>
      <c r="D41" s="103"/>
      <c r="E41" s="103"/>
      <c r="F41" s="103"/>
      <c r="G41" s="103"/>
      <c r="H41" s="103"/>
      <c r="I41" s="103"/>
      <c r="J41" s="103"/>
    </row>
    <row r="42" spans="2:10" ht="14" x14ac:dyDescent="0.3">
      <c r="B42" s="107" t="s">
        <v>330</v>
      </c>
      <c r="C42" s="103"/>
      <c r="D42" s="103"/>
      <c r="E42" s="103"/>
      <c r="F42" s="103"/>
      <c r="G42" s="103"/>
      <c r="H42" s="103"/>
      <c r="I42" s="103"/>
      <c r="J42" s="103"/>
    </row>
    <row r="43" spans="2:10" ht="14" x14ac:dyDescent="0.3">
      <c r="B43" s="107" t="s">
        <v>331</v>
      </c>
      <c r="C43" s="103"/>
      <c r="D43" s="103"/>
      <c r="E43" s="103"/>
      <c r="F43" s="103"/>
      <c r="G43" s="103"/>
      <c r="H43" s="103"/>
      <c r="I43" s="103"/>
      <c r="J43" s="103"/>
    </row>
    <row r="44" spans="2:10" ht="14" x14ac:dyDescent="0.3">
      <c r="B44" s="107" t="s">
        <v>332</v>
      </c>
      <c r="C44" s="103"/>
      <c r="D44" s="103"/>
      <c r="E44" s="103"/>
      <c r="F44" s="103"/>
      <c r="G44" s="103"/>
      <c r="H44" s="103"/>
      <c r="I44" s="103"/>
      <c r="J44" s="103"/>
    </row>
    <row r="45" spans="2:10" ht="15.5" x14ac:dyDescent="0.35">
      <c r="B45" s="108"/>
      <c r="C45" s="103"/>
      <c r="D45" s="103"/>
      <c r="E45" s="103"/>
      <c r="F45" s="103"/>
      <c r="G45" s="103"/>
      <c r="H45" s="103"/>
      <c r="I45" s="103"/>
      <c r="J45" s="103"/>
    </row>
    <row r="46" spans="2:10" ht="14" x14ac:dyDescent="0.3">
      <c r="B46" s="107" t="s">
        <v>333</v>
      </c>
      <c r="C46" s="103"/>
      <c r="D46" s="103"/>
      <c r="E46" s="103"/>
      <c r="F46" s="103"/>
      <c r="G46" s="103"/>
      <c r="H46" s="103"/>
      <c r="I46" s="103"/>
      <c r="J46" s="103"/>
    </row>
    <row r="47" spans="2:10" ht="14" x14ac:dyDescent="0.3">
      <c r="B47" s="107" t="s">
        <v>334</v>
      </c>
      <c r="C47" s="103"/>
      <c r="D47" s="103"/>
      <c r="E47" s="103"/>
      <c r="F47" s="103"/>
      <c r="G47" s="103"/>
      <c r="H47" s="103"/>
      <c r="I47" s="103"/>
      <c r="J47" s="103"/>
    </row>
    <row r="48" spans="2:10" ht="14" x14ac:dyDescent="0.3">
      <c r="B48" s="107" t="s">
        <v>335</v>
      </c>
      <c r="C48" s="103"/>
      <c r="D48" s="103"/>
      <c r="E48" s="103"/>
      <c r="F48" s="103"/>
      <c r="G48" s="103"/>
      <c r="H48" s="103"/>
      <c r="I48" s="103"/>
      <c r="J48" s="103"/>
    </row>
    <row r="49" spans="2:10" ht="14" x14ac:dyDescent="0.3">
      <c r="B49" s="107" t="s">
        <v>336</v>
      </c>
      <c r="C49" s="103"/>
      <c r="D49" s="103"/>
      <c r="E49" s="103"/>
      <c r="F49" s="103"/>
      <c r="G49" s="103"/>
      <c r="H49" s="103"/>
      <c r="I49" s="103"/>
      <c r="J49" s="103"/>
    </row>
    <row r="50" spans="2:10" ht="14" x14ac:dyDescent="0.3">
      <c r="B50" s="107" t="s">
        <v>337</v>
      </c>
      <c r="C50" s="103"/>
      <c r="D50" s="103"/>
      <c r="E50" s="103"/>
      <c r="F50" s="103"/>
      <c r="G50" s="103"/>
      <c r="H50" s="103"/>
      <c r="I50" s="103"/>
      <c r="J50" s="103"/>
    </row>
    <row r="51" spans="2:10" ht="14" x14ac:dyDescent="0.3">
      <c r="B51" s="107" t="s">
        <v>338</v>
      </c>
      <c r="C51" s="103"/>
      <c r="D51" s="103"/>
      <c r="E51" s="103"/>
      <c r="F51" s="103"/>
      <c r="G51" s="103"/>
      <c r="H51" s="103"/>
      <c r="I51" s="103"/>
      <c r="J51" s="103"/>
    </row>
    <row r="52" spans="2:10" ht="14" x14ac:dyDescent="0.3">
      <c r="B52" s="107" t="s">
        <v>339</v>
      </c>
      <c r="C52" s="103"/>
      <c r="D52" s="103"/>
      <c r="E52" s="103"/>
      <c r="F52" s="103"/>
      <c r="G52" s="103"/>
      <c r="H52" s="103"/>
      <c r="I52" s="103"/>
      <c r="J52" s="103"/>
    </row>
    <row r="53" spans="2:10" ht="14" x14ac:dyDescent="0.3">
      <c r="B53" s="107" t="s">
        <v>340</v>
      </c>
      <c r="C53" s="103"/>
      <c r="D53" s="103"/>
      <c r="E53" s="103"/>
      <c r="F53" s="103"/>
      <c r="G53" s="103"/>
      <c r="H53" s="103"/>
      <c r="I53" s="103"/>
      <c r="J53" s="103"/>
    </row>
    <row r="54" spans="2:10" ht="14" x14ac:dyDescent="0.3">
      <c r="B54" s="107" t="s">
        <v>341</v>
      </c>
      <c r="C54" s="103"/>
      <c r="D54" s="103"/>
      <c r="E54" s="103"/>
      <c r="F54" s="103"/>
      <c r="G54" s="103"/>
      <c r="H54" s="103"/>
      <c r="I54" s="103"/>
      <c r="J54" s="103"/>
    </row>
    <row r="55" spans="2:10" ht="14" x14ac:dyDescent="0.3">
      <c r="B55" s="107"/>
      <c r="C55" s="103"/>
      <c r="D55" s="103"/>
      <c r="E55" s="103"/>
      <c r="F55" s="103"/>
      <c r="G55" s="103"/>
      <c r="H55" s="103"/>
      <c r="I55" s="103"/>
      <c r="J55" s="103"/>
    </row>
    <row r="56" spans="2:10" ht="14" x14ac:dyDescent="0.3">
      <c r="B56" s="106" t="s">
        <v>342</v>
      </c>
      <c r="C56" s="103"/>
      <c r="D56" s="103"/>
      <c r="E56" s="103"/>
      <c r="F56" s="103"/>
      <c r="G56" s="103"/>
      <c r="H56" s="103"/>
      <c r="I56" s="103"/>
      <c r="J56" s="103"/>
    </row>
    <row r="57" spans="2:10" ht="14" x14ac:dyDescent="0.3">
      <c r="B57" s="109" t="s">
        <v>343</v>
      </c>
      <c r="C57" s="110"/>
      <c r="D57" s="110"/>
      <c r="E57" s="110"/>
      <c r="F57" s="110"/>
      <c r="G57" s="110"/>
      <c r="H57" s="110"/>
      <c r="I57" s="110"/>
      <c r="J57" s="103"/>
    </row>
    <row r="58" spans="2:10" ht="14" x14ac:dyDescent="0.3">
      <c r="B58" s="109" t="s">
        <v>344</v>
      </c>
      <c r="C58" s="110"/>
      <c r="D58" s="110"/>
      <c r="E58" s="110"/>
      <c r="F58" s="110"/>
      <c r="G58" s="110"/>
      <c r="H58" s="110"/>
      <c r="I58" s="110"/>
      <c r="J58" s="103"/>
    </row>
    <row r="59" spans="2:10" ht="14" x14ac:dyDescent="0.3">
      <c r="B59" s="109" t="s">
        <v>345</v>
      </c>
      <c r="C59" s="110"/>
      <c r="D59" s="110"/>
      <c r="E59" s="110"/>
      <c r="F59" s="110"/>
      <c r="G59" s="110"/>
      <c r="H59" s="110"/>
      <c r="I59" s="110"/>
      <c r="J59" s="103"/>
    </row>
    <row r="60" spans="2:10" ht="14" x14ac:dyDescent="0.3">
      <c r="B60" s="109" t="s">
        <v>346</v>
      </c>
      <c r="C60" s="110"/>
      <c r="D60" s="110"/>
      <c r="E60" s="110"/>
      <c r="F60" s="110"/>
      <c r="G60" s="110"/>
      <c r="H60" s="110"/>
      <c r="I60" s="110"/>
      <c r="J60" s="103"/>
    </row>
    <row r="61" spans="2:10" ht="14" x14ac:dyDescent="0.3">
      <c r="B61" s="109" t="s">
        <v>347</v>
      </c>
      <c r="C61" s="110"/>
      <c r="D61" s="110"/>
      <c r="E61" s="110"/>
      <c r="F61" s="110"/>
      <c r="G61" s="110"/>
      <c r="H61" s="110"/>
      <c r="I61" s="110"/>
      <c r="J61" s="103"/>
    </row>
    <row r="62" spans="2:10" ht="15.5" x14ac:dyDescent="0.35">
      <c r="B62" s="111"/>
      <c r="C62" s="110"/>
      <c r="D62" s="110"/>
      <c r="E62" s="110"/>
      <c r="F62" s="110"/>
      <c r="G62" s="110"/>
      <c r="H62" s="110"/>
      <c r="I62" s="110"/>
      <c r="J62" s="103"/>
    </row>
    <row r="63" spans="2:10" ht="14" x14ac:dyDescent="0.3">
      <c r="B63" s="109" t="s">
        <v>348</v>
      </c>
      <c r="C63" s="110"/>
      <c r="D63" s="110"/>
      <c r="E63" s="110"/>
      <c r="F63" s="110"/>
      <c r="G63" s="110"/>
      <c r="H63" s="110"/>
      <c r="I63" s="110"/>
      <c r="J63" s="103"/>
    </row>
    <row r="64" spans="2:10" ht="14" x14ac:dyDescent="0.3">
      <c r="B64" s="109" t="s">
        <v>349</v>
      </c>
      <c r="C64" s="110"/>
      <c r="D64" s="110"/>
      <c r="E64" s="110"/>
      <c r="F64" s="110"/>
      <c r="G64" s="110"/>
      <c r="H64" s="110"/>
      <c r="I64" s="110"/>
      <c r="J64" s="103"/>
    </row>
    <row r="65" spans="2:10" ht="14" x14ac:dyDescent="0.3">
      <c r="B65" s="109" t="s">
        <v>350</v>
      </c>
      <c r="C65" s="110"/>
      <c r="D65" s="110"/>
      <c r="E65" s="110"/>
      <c r="F65" s="110"/>
      <c r="G65" s="110"/>
      <c r="H65" s="110"/>
      <c r="I65" s="110"/>
      <c r="J65" s="103"/>
    </row>
    <row r="66" spans="2:10" ht="14" x14ac:dyDescent="0.3">
      <c r="B66" s="109" t="s">
        <v>351</v>
      </c>
      <c r="C66" s="110"/>
      <c r="D66" s="110"/>
      <c r="E66" s="110"/>
      <c r="F66" s="110"/>
      <c r="G66" s="110"/>
      <c r="H66" s="110"/>
      <c r="I66" s="110"/>
      <c r="J66" s="103"/>
    </row>
    <row r="67" spans="2:10" ht="15.5" x14ac:dyDescent="0.35">
      <c r="B67" s="112"/>
      <c r="C67" s="110"/>
      <c r="D67" s="110"/>
      <c r="E67" s="110"/>
      <c r="F67" s="110"/>
      <c r="G67" s="110"/>
      <c r="H67" s="110"/>
      <c r="I67" s="110"/>
      <c r="J67" s="103"/>
    </row>
    <row r="68" spans="2:10" ht="14" x14ac:dyDescent="0.3">
      <c r="B68" s="107" t="s">
        <v>352</v>
      </c>
      <c r="C68" s="103"/>
      <c r="D68" s="103"/>
      <c r="E68" s="103"/>
      <c r="F68" s="103"/>
      <c r="G68" s="103"/>
      <c r="H68" s="103"/>
      <c r="I68" s="103"/>
      <c r="J68" s="103"/>
    </row>
    <row r="69" spans="2:10" ht="14" x14ac:dyDescent="0.3">
      <c r="B69" s="107" t="s">
        <v>353</v>
      </c>
      <c r="C69" s="103"/>
      <c r="D69" s="103"/>
      <c r="E69" s="103"/>
      <c r="F69" s="103"/>
      <c r="G69" s="103"/>
      <c r="H69" s="103"/>
      <c r="I69" s="103"/>
      <c r="J69" s="103"/>
    </row>
    <row r="70" spans="2:10" ht="14" x14ac:dyDescent="0.3">
      <c r="B70" s="107" t="s">
        <v>354</v>
      </c>
      <c r="C70" s="103"/>
      <c r="D70" s="103"/>
      <c r="E70" s="103"/>
      <c r="F70" s="103"/>
      <c r="G70" s="103"/>
      <c r="H70" s="103"/>
      <c r="I70" s="103"/>
      <c r="J70" s="103"/>
    </row>
  </sheetData>
  <phoneticPr fontId="0" type="noConversion"/>
  <pageMargins left="0.75" right="0.75" top="1" bottom="1" header="0.5" footer="0.5"/>
  <pageSetup paperSize="9" scale="50" orientation="portrait" r:id="rId1"/>
  <headerFooter alignWithMargins="0"/>
  <colBreaks count="1" manualBreakCount="1">
    <brk id="18" max="26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83" r:id="rId4" name="Drop Down 23">
              <controlPr defaultSize="0" autoLine="0" autoPict="0">
                <anchor moveWithCells="1" sizeWithCells="1">
                  <from>
                    <xdr:col>1</xdr:col>
                    <xdr:colOff>361950</xdr:colOff>
                    <xdr:row>5</xdr:row>
                    <xdr:rowOff>114300</xdr:rowOff>
                  </from>
                  <to>
                    <xdr:col>7</xdr:col>
                    <xdr:colOff>222250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5" name="Drop Down 24">
              <controlPr defaultSize="0" autoLine="0" autoPict="0">
                <anchor moveWithCells="1" sizeWithCells="1">
                  <from>
                    <xdr:col>1</xdr:col>
                    <xdr:colOff>361950</xdr:colOff>
                    <xdr:row>9</xdr:row>
                    <xdr:rowOff>114300</xdr:rowOff>
                  </from>
                  <to>
                    <xdr:col>7</xdr:col>
                    <xdr:colOff>222250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6" name="Drop Down 25">
              <controlPr defaultSize="0" autoLine="0" autoPict="0">
                <anchor moveWithCells="1" sizeWithCells="1">
                  <from>
                    <xdr:col>1</xdr:col>
                    <xdr:colOff>361950</xdr:colOff>
                    <xdr:row>13</xdr:row>
                    <xdr:rowOff>82550</xdr:rowOff>
                  </from>
                  <to>
                    <xdr:col>7</xdr:col>
                    <xdr:colOff>222250</xdr:colOff>
                    <xdr:row>14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7" name="Drop Down 26">
              <controlPr defaultSize="0" autoLine="0" autoPict="0">
                <anchor moveWithCells="1" sizeWithCells="1">
                  <from>
                    <xdr:col>1</xdr:col>
                    <xdr:colOff>387350</xdr:colOff>
                    <xdr:row>17</xdr:row>
                    <xdr:rowOff>6350</xdr:rowOff>
                  </from>
                  <to>
                    <xdr:col>4</xdr:col>
                    <xdr:colOff>247650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8" name="Drop Down 27">
              <controlPr defaultSize="0" autoLine="0" autoPict="0">
                <anchor moveWithCells="1" sizeWithCells="1">
                  <from>
                    <xdr:col>4</xdr:col>
                    <xdr:colOff>292100</xdr:colOff>
                    <xdr:row>17</xdr:row>
                    <xdr:rowOff>6350</xdr:rowOff>
                  </from>
                  <to>
                    <xdr:col>7</xdr:col>
                    <xdr:colOff>139700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9" name="Drop Down 28">
              <controlPr defaultSize="0" autoLine="0" autoPict="0">
                <anchor moveWithCells="1" sizeWithCells="1">
                  <from>
                    <xdr:col>7</xdr:col>
                    <xdr:colOff>190500</xdr:colOff>
                    <xdr:row>17</xdr:row>
                    <xdr:rowOff>6350</xdr:rowOff>
                  </from>
                  <to>
                    <xdr:col>9</xdr:col>
                    <xdr:colOff>628650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10" name="Button 29">
              <controlPr defaultSize="0" print="0" autoFill="0" autoPict="0" macro="[0]!ShowScatter">
                <anchor moveWithCells="1" sizeWithCells="1">
                  <from>
                    <xdr:col>7</xdr:col>
                    <xdr:colOff>647700</xdr:colOff>
                    <xdr:row>7</xdr:row>
                    <xdr:rowOff>6350</xdr:rowOff>
                  </from>
                  <to>
                    <xdr:col>9</xdr:col>
                    <xdr:colOff>387350</xdr:colOff>
                    <xdr:row>10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11" name="Button 30">
              <controlPr defaultSize="0" print="0" autoFill="0" autoPict="0" macro="[0]!ShowHistogram">
                <anchor moveWithCells="1" sizeWithCells="1">
                  <from>
                    <xdr:col>7</xdr:col>
                    <xdr:colOff>660400</xdr:colOff>
                    <xdr:row>11</xdr:row>
                    <xdr:rowOff>38100</xdr:rowOff>
                  </from>
                  <to>
                    <xdr:col>9</xdr:col>
                    <xdr:colOff>400050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12" name="Label 34">
              <controlPr defaultSize="0" autoFill="0" autoLine="0" autoPict="0">
                <anchor moveWithCells="1" sizeWithCells="1">
                  <from>
                    <xdr:col>1</xdr:col>
                    <xdr:colOff>361950</xdr:colOff>
                    <xdr:row>4</xdr:row>
                    <xdr:rowOff>120650</xdr:rowOff>
                  </from>
                  <to>
                    <xdr:col>2</xdr:col>
                    <xdr:colOff>387350</xdr:colOff>
                    <xdr:row>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5" r:id="rId13" name="Label 35">
              <controlPr defaultSize="0" autoFill="0" autoLine="0" autoPict="0">
                <anchor moveWithCells="1" sizeWithCells="1">
                  <from>
                    <xdr:col>1</xdr:col>
                    <xdr:colOff>431800</xdr:colOff>
                    <xdr:row>15</xdr:row>
                    <xdr:rowOff>139700</xdr:rowOff>
                  </from>
                  <to>
                    <xdr:col>3</xdr:col>
                    <xdr:colOff>107950</xdr:colOff>
                    <xdr:row>16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6" r:id="rId14" name="Label 36">
              <controlPr defaultSize="0" autoFill="0" autoLine="0" autoPict="0">
                <anchor moveWithCells="1" sizeWithCells="1">
                  <from>
                    <xdr:col>1</xdr:col>
                    <xdr:colOff>361950</xdr:colOff>
                    <xdr:row>8</xdr:row>
                    <xdr:rowOff>101600</xdr:rowOff>
                  </from>
                  <to>
                    <xdr:col>5</xdr:col>
                    <xdr:colOff>57150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7" r:id="rId15" name="Label 37">
              <controlPr defaultSize="0" autoFill="0" autoLine="0" autoPict="0">
                <anchor moveWithCells="1" sizeWithCells="1">
                  <from>
                    <xdr:col>1</xdr:col>
                    <xdr:colOff>381000</xdr:colOff>
                    <xdr:row>12</xdr:row>
                    <xdr:rowOff>95250</xdr:rowOff>
                  </from>
                  <to>
                    <xdr:col>2</xdr:col>
                    <xdr:colOff>342900</xdr:colOff>
                    <xdr:row>13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8" r:id="rId16" name="Label 38">
              <controlPr defaultSize="0" autoFill="0" autoLine="0" autoPict="0">
                <anchor moveWithCells="1" sizeWithCells="1">
                  <from>
                    <xdr:col>4</xdr:col>
                    <xdr:colOff>311150</xdr:colOff>
                    <xdr:row>15</xdr:row>
                    <xdr:rowOff>152400</xdr:rowOff>
                  </from>
                  <to>
                    <xdr:col>6</xdr:col>
                    <xdr:colOff>419100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9" r:id="rId17" name="Label 39">
              <controlPr defaultSize="0" autoFill="0" autoLine="0" autoPict="0">
                <anchor moveWithCells="1" sizeWithCells="1">
                  <from>
                    <xdr:col>7</xdr:col>
                    <xdr:colOff>196850</xdr:colOff>
                    <xdr:row>15</xdr:row>
                    <xdr:rowOff>139700</xdr:rowOff>
                  </from>
                  <to>
                    <xdr:col>9</xdr:col>
                    <xdr:colOff>260350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4" r:id="rId18" name="Check Box 44">
              <controlPr defaultSize="0" autoFill="0" autoLine="0" autoPict="0">
                <anchor moveWithCells="1">
                  <from>
                    <xdr:col>7</xdr:col>
                    <xdr:colOff>622300</xdr:colOff>
                    <xdr:row>5</xdr:row>
                    <xdr:rowOff>38100</xdr:rowOff>
                  </from>
                  <to>
                    <xdr:col>9</xdr:col>
                    <xdr:colOff>330200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7" r:id="rId19" name="Drop Down 47">
              <controlPr defaultSize="0" autoLine="0" autoPict="0" macro="[0]!UpdateTypeList">
                <anchor moveWithCells="1">
                  <from>
                    <xdr:col>4</xdr:col>
                    <xdr:colOff>527050</xdr:colOff>
                    <xdr:row>3</xdr:row>
                    <xdr:rowOff>6350</xdr:rowOff>
                  </from>
                  <to>
                    <xdr:col>7</xdr:col>
                    <xdr:colOff>209550</xdr:colOff>
                    <xdr:row>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8" r:id="rId20" name="Label 48">
              <controlPr defaultSize="0" autoFill="0" autoLine="0" autoPict="0">
                <anchor moveWithCells="1">
                  <from>
                    <xdr:col>2</xdr:col>
                    <xdr:colOff>107950</xdr:colOff>
                    <xdr:row>3</xdr:row>
                    <xdr:rowOff>44450</xdr:rowOff>
                  </from>
                  <to>
                    <xdr:col>4</xdr:col>
                    <xdr:colOff>438150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2" r:id="rId21" name="Button 52">
              <controlPr defaultSize="0" print="0" autoFill="0" autoPict="0" macro="[0]!UpdateTypeList">
                <anchor moveWithCells="1" sizeWithCells="1">
                  <from>
                    <xdr:col>7</xdr:col>
                    <xdr:colOff>666750</xdr:colOff>
                    <xdr:row>19</xdr:row>
                    <xdr:rowOff>19050</xdr:rowOff>
                  </from>
                  <to>
                    <xdr:col>9</xdr:col>
                    <xdr:colOff>406400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3" r:id="rId22" name="Button 53">
              <controlPr defaultSize="0" print="0" autoFill="0" autoPict="0" macro="[0]!ShowHelp">
                <anchor moveWithCells="1" sizeWithCells="1">
                  <from>
                    <xdr:col>1</xdr:col>
                    <xdr:colOff>120650</xdr:colOff>
                    <xdr:row>19</xdr:row>
                    <xdr:rowOff>76200</xdr:rowOff>
                  </from>
                  <to>
                    <xdr:col>2</xdr:col>
                    <xdr:colOff>539750</xdr:colOff>
                    <xdr:row>21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B1:J131"/>
  <sheetViews>
    <sheetView showGridLines="0" topLeftCell="A92" zoomScaleNormal="100" workbookViewId="0">
      <selection activeCell="D95" sqref="D95:D131"/>
    </sheetView>
  </sheetViews>
  <sheetFormatPr defaultRowHeight="12.5" x14ac:dyDescent="0.25"/>
  <cols>
    <col min="2" max="2" width="84.7265625" customWidth="1"/>
    <col min="3" max="3" width="10" customWidth="1"/>
    <col min="4" max="4" width="10.1796875" customWidth="1"/>
    <col min="9" max="9" width="2.453125" customWidth="1"/>
  </cols>
  <sheetData>
    <row r="1" spans="2:10" ht="13" x14ac:dyDescent="0.3">
      <c r="J1" s="93" t="s">
        <v>246</v>
      </c>
    </row>
    <row r="3" spans="2:10" ht="13" x14ac:dyDescent="0.3">
      <c r="B3" s="97" t="s">
        <v>17</v>
      </c>
      <c r="J3" s="7" t="s">
        <v>247</v>
      </c>
    </row>
    <row r="4" spans="2:10" x14ac:dyDescent="0.25">
      <c r="B4" s="24"/>
    </row>
    <row r="5" spans="2:10" ht="13" x14ac:dyDescent="0.3">
      <c r="B5" s="24" t="s">
        <v>157</v>
      </c>
      <c r="J5" t="s">
        <v>250</v>
      </c>
    </row>
    <row r="6" spans="2:10" x14ac:dyDescent="0.25">
      <c r="B6" s="24" t="s">
        <v>304</v>
      </c>
    </row>
    <row r="7" spans="2:10" ht="13" x14ac:dyDescent="0.3">
      <c r="B7" s="24" t="s">
        <v>251</v>
      </c>
      <c r="J7" s="93" t="s">
        <v>245</v>
      </c>
    </row>
    <row r="8" spans="2:10" ht="13" x14ac:dyDescent="0.3">
      <c r="B8" s="24" t="s">
        <v>260</v>
      </c>
    </row>
    <row r="9" spans="2:10" x14ac:dyDescent="0.25">
      <c r="B9" s="24" t="s">
        <v>176</v>
      </c>
      <c r="J9" s="7" t="s">
        <v>248</v>
      </c>
    </row>
    <row r="10" spans="2:10" x14ac:dyDescent="0.25">
      <c r="B10" s="24"/>
    </row>
    <row r="11" spans="2:10" x14ac:dyDescent="0.25">
      <c r="B11" s="24" t="s">
        <v>140</v>
      </c>
      <c r="I11" t="s">
        <v>242</v>
      </c>
    </row>
    <row r="12" spans="2:10" x14ac:dyDescent="0.25">
      <c r="B12" s="24" t="s">
        <v>183</v>
      </c>
      <c r="J12" t="s">
        <v>241</v>
      </c>
    </row>
    <row r="13" spans="2:10" ht="13" x14ac:dyDescent="0.3">
      <c r="B13" s="24" t="s">
        <v>252</v>
      </c>
      <c r="J13" t="s">
        <v>240</v>
      </c>
    </row>
    <row r="14" spans="2:10" x14ac:dyDescent="0.25">
      <c r="B14" s="24" t="s">
        <v>173</v>
      </c>
    </row>
    <row r="15" spans="2:10" ht="13" x14ac:dyDescent="0.3">
      <c r="B15" s="24" t="s">
        <v>276</v>
      </c>
      <c r="I15" t="s">
        <v>239</v>
      </c>
    </row>
    <row r="16" spans="2:10" x14ac:dyDescent="0.25">
      <c r="B16" s="24"/>
      <c r="J16" t="s">
        <v>232</v>
      </c>
    </row>
    <row r="17" spans="2:10" ht="13" x14ac:dyDescent="0.3">
      <c r="B17" s="24" t="s">
        <v>253</v>
      </c>
      <c r="J17" t="s">
        <v>238</v>
      </c>
    </row>
    <row r="18" spans="2:10" ht="13" x14ac:dyDescent="0.3">
      <c r="B18" s="24" t="s">
        <v>254</v>
      </c>
      <c r="J18" t="s">
        <v>237</v>
      </c>
    </row>
    <row r="19" spans="2:10" x14ac:dyDescent="0.25">
      <c r="B19" s="24" t="s">
        <v>141</v>
      </c>
      <c r="J19" t="s">
        <v>236</v>
      </c>
    </row>
    <row r="20" spans="2:10" ht="13" x14ac:dyDescent="0.3">
      <c r="B20" s="24" t="s">
        <v>255</v>
      </c>
      <c r="J20" t="s">
        <v>235</v>
      </c>
    </row>
    <row r="21" spans="2:10" x14ac:dyDescent="0.25">
      <c r="B21" s="24"/>
      <c r="J21" t="s">
        <v>231</v>
      </c>
    </row>
    <row r="22" spans="2:10" ht="13" x14ac:dyDescent="0.3">
      <c r="B22" s="24" t="s">
        <v>256</v>
      </c>
      <c r="J22" t="s">
        <v>234</v>
      </c>
    </row>
    <row r="23" spans="2:10" x14ac:dyDescent="0.25">
      <c r="B23" s="68" t="s">
        <v>257</v>
      </c>
    </row>
    <row r="24" spans="2:10" x14ac:dyDescent="0.25">
      <c r="B24" s="68"/>
      <c r="I24" t="s">
        <v>233</v>
      </c>
    </row>
    <row r="25" spans="2:10" ht="13" x14ac:dyDescent="0.3">
      <c r="B25" s="90" t="s">
        <v>258</v>
      </c>
      <c r="J25" t="s">
        <v>232</v>
      </c>
    </row>
    <row r="26" spans="2:10" x14ac:dyDescent="0.25">
      <c r="B26" s="24" t="s">
        <v>197</v>
      </c>
      <c r="J26" t="s">
        <v>231</v>
      </c>
    </row>
    <row r="27" spans="2:10" x14ac:dyDescent="0.25">
      <c r="B27" s="24"/>
    </row>
    <row r="28" spans="2:10" x14ac:dyDescent="0.25">
      <c r="B28" s="12"/>
      <c r="I28" t="s">
        <v>230</v>
      </c>
    </row>
    <row r="29" spans="2:10" x14ac:dyDescent="0.25">
      <c r="B29" s="91"/>
      <c r="J29" t="s">
        <v>229</v>
      </c>
    </row>
    <row r="30" spans="2:10" ht="13" x14ac:dyDescent="0.3">
      <c r="B30" s="90" t="s">
        <v>184</v>
      </c>
      <c r="J30" t="s">
        <v>228</v>
      </c>
    </row>
    <row r="31" spans="2:10" x14ac:dyDescent="0.25">
      <c r="B31" s="24"/>
      <c r="J31" t="s">
        <v>227</v>
      </c>
    </row>
    <row r="32" spans="2:10" ht="13" x14ac:dyDescent="0.3">
      <c r="B32" s="24" t="s">
        <v>306</v>
      </c>
      <c r="I32" s="88"/>
      <c r="J32" s="94" t="s">
        <v>226</v>
      </c>
    </row>
    <row r="33" spans="2:10" x14ac:dyDescent="0.25">
      <c r="B33" s="24" t="s">
        <v>185</v>
      </c>
    </row>
    <row r="34" spans="2:10" x14ac:dyDescent="0.25">
      <c r="B34" s="24" t="s">
        <v>160</v>
      </c>
      <c r="I34" t="s">
        <v>225</v>
      </c>
    </row>
    <row r="35" spans="2:10" x14ac:dyDescent="0.25">
      <c r="B35" s="24"/>
      <c r="J35" t="s">
        <v>224</v>
      </c>
    </row>
    <row r="36" spans="2:10" x14ac:dyDescent="0.25">
      <c r="B36" s="24" t="s">
        <v>186</v>
      </c>
      <c r="J36" t="s">
        <v>223</v>
      </c>
    </row>
    <row r="37" spans="2:10" x14ac:dyDescent="0.25">
      <c r="B37" s="24" t="s">
        <v>187</v>
      </c>
      <c r="J37" t="s">
        <v>222</v>
      </c>
    </row>
    <row r="38" spans="2:10" ht="13" x14ac:dyDescent="0.3">
      <c r="B38" s="24"/>
      <c r="J38" t="s">
        <v>221</v>
      </c>
    </row>
    <row r="39" spans="2:10" ht="13" x14ac:dyDescent="0.3">
      <c r="B39" s="24" t="s">
        <v>272</v>
      </c>
      <c r="J39" t="s">
        <v>220</v>
      </c>
    </row>
    <row r="40" spans="2:10" ht="13" x14ac:dyDescent="0.3">
      <c r="B40" s="24" t="s">
        <v>307</v>
      </c>
      <c r="J40" t="s">
        <v>219</v>
      </c>
    </row>
    <row r="41" spans="2:10" ht="13" x14ac:dyDescent="0.3">
      <c r="B41" s="24" t="s">
        <v>273</v>
      </c>
    </row>
    <row r="42" spans="2:10" ht="13" x14ac:dyDescent="0.3">
      <c r="B42" s="25"/>
      <c r="J42" s="93" t="s">
        <v>244</v>
      </c>
    </row>
    <row r="44" spans="2:10" x14ac:dyDescent="0.25">
      <c r="B44" s="91"/>
      <c r="I44" t="s">
        <v>218</v>
      </c>
    </row>
    <row r="45" spans="2:10" ht="13" x14ac:dyDescent="0.3">
      <c r="B45" s="98" t="s">
        <v>18</v>
      </c>
      <c r="J45" t="s">
        <v>217</v>
      </c>
    </row>
    <row r="46" spans="2:10" x14ac:dyDescent="0.25">
      <c r="B46" s="26"/>
      <c r="J46" t="s">
        <v>216</v>
      </c>
    </row>
    <row r="47" spans="2:10" ht="13" x14ac:dyDescent="0.3">
      <c r="B47" s="26" t="s">
        <v>259</v>
      </c>
      <c r="J47" t="s">
        <v>215</v>
      </c>
    </row>
    <row r="48" spans="2:10" ht="13" x14ac:dyDescent="0.3">
      <c r="B48" s="26" t="s">
        <v>281</v>
      </c>
    </row>
    <row r="49" spans="2:10" ht="13" x14ac:dyDescent="0.3">
      <c r="B49" s="26" t="s">
        <v>282</v>
      </c>
      <c r="I49" s="4"/>
      <c r="J49" s="93" t="s">
        <v>243</v>
      </c>
    </row>
    <row r="50" spans="2:10" ht="13" x14ac:dyDescent="0.3">
      <c r="B50" s="26" t="s">
        <v>284</v>
      </c>
      <c r="I50" s="4"/>
      <c r="J50" s="93"/>
    </row>
    <row r="51" spans="2:10" ht="13" x14ac:dyDescent="0.3">
      <c r="B51" s="26" t="s">
        <v>285</v>
      </c>
    </row>
    <row r="52" spans="2:10" ht="12.75" customHeight="1" x14ac:dyDescent="0.25">
      <c r="B52" s="26" t="s">
        <v>283</v>
      </c>
      <c r="I52" t="s">
        <v>214</v>
      </c>
    </row>
    <row r="53" spans="2:10" x14ac:dyDescent="0.25">
      <c r="B53" s="27"/>
      <c r="J53" t="s">
        <v>213</v>
      </c>
    </row>
    <row r="54" spans="2:10" x14ac:dyDescent="0.25">
      <c r="B54" s="28"/>
      <c r="J54" t="s">
        <v>201</v>
      </c>
    </row>
    <row r="55" spans="2:10" x14ac:dyDescent="0.25">
      <c r="J55" t="s">
        <v>212</v>
      </c>
    </row>
    <row r="56" spans="2:10" ht="13" x14ac:dyDescent="0.3">
      <c r="B56" s="99" t="s">
        <v>175</v>
      </c>
      <c r="J56" t="s">
        <v>200</v>
      </c>
    </row>
    <row r="57" spans="2:10" x14ac:dyDescent="0.25">
      <c r="B57" s="24"/>
      <c r="J57" t="s">
        <v>211</v>
      </c>
    </row>
    <row r="58" spans="2:10" x14ac:dyDescent="0.25">
      <c r="B58" s="24" t="s">
        <v>177</v>
      </c>
      <c r="J58" t="s">
        <v>202</v>
      </c>
    </row>
    <row r="59" spans="2:10" ht="13" x14ac:dyDescent="0.3">
      <c r="B59" s="24" t="s">
        <v>179</v>
      </c>
      <c r="J59" t="s">
        <v>210</v>
      </c>
    </row>
    <row r="60" spans="2:10" x14ac:dyDescent="0.25">
      <c r="B60" s="24" t="s">
        <v>305</v>
      </c>
      <c r="J60" t="s">
        <v>209</v>
      </c>
    </row>
    <row r="61" spans="2:10" x14ac:dyDescent="0.25">
      <c r="B61" s="24"/>
    </row>
    <row r="62" spans="2:10" x14ac:dyDescent="0.25">
      <c r="B62" s="24" t="s">
        <v>302</v>
      </c>
      <c r="I62" t="s">
        <v>208</v>
      </c>
    </row>
    <row r="63" spans="2:10" ht="13" x14ac:dyDescent="0.3">
      <c r="B63" s="90" t="s">
        <v>180</v>
      </c>
      <c r="J63" t="s">
        <v>207</v>
      </c>
    </row>
    <row r="64" spans="2:10" x14ac:dyDescent="0.25">
      <c r="B64" s="24" t="s">
        <v>178</v>
      </c>
      <c r="J64" t="s">
        <v>206</v>
      </c>
    </row>
    <row r="65" spans="2:10" x14ac:dyDescent="0.25">
      <c r="B65" s="24" t="s">
        <v>303</v>
      </c>
      <c r="J65" t="s">
        <v>205</v>
      </c>
    </row>
    <row r="66" spans="2:10" x14ac:dyDescent="0.25">
      <c r="B66" s="24" t="s">
        <v>279</v>
      </c>
      <c r="J66" t="s">
        <v>204</v>
      </c>
    </row>
    <row r="67" spans="2:10" ht="13" x14ac:dyDescent="0.3">
      <c r="B67" s="24" t="s">
        <v>181</v>
      </c>
    </row>
    <row r="68" spans="2:10" x14ac:dyDescent="0.25">
      <c r="B68" s="24" t="s">
        <v>182</v>
      </c>
      <c r="I68" t="s">
        <v>203</v>
      </c>
    </row>
    <row r="69" spans="2:10" x14ac:dyDescent="0.25">
      <c r="B69" s="24" t="s">
        <v>277</v>
      </c>
      <c r="J69" t="s">
        <v>202</v>
      </c>
    </row>
    <row r="70" spans="2:10" x14ac:dyDescent="0.25">
      <c r="B70" s="24" t="s">
        <v>278</v>
      </c>
    </row>
    <row r="71" spans="2:10" x14ac:dyDescent="0.25">
      <c r="B71" s="24"/>
      <c r="J71" t="s">
        <v>201</v>
      </c>
    </row>
    <row r="72" spans="2:10" ht="13" x14ac:dyDescent="0.3">
      <c r="B72" s="100" t="s">
        <v>261</v>
      </c>
      <c r="J72" t="s">
        <v>200</v>
      </c>
    </row>
    <row r="73" spans="2:10" ht="13" x14ac:dyDescent="0.3">
      <c r="B73" s="100" t="s">
        <v>262</v>
      </c>
      <c r="J73" t="s">
        <v>199</v>
      </c>
    </row>
    <row r="74" spans="2:10" ht="13" x14ac:dyDescent="0.3">
      <c r="B74" s="101" t="s">
        <v>263</v>
      </c>
      <c r="J74" t="s">
        <v>198</v>
      </c>
    </row>
    <row r="75" spans="2:10" x14ac:dyDescent="0.25">
      <c r="B75" s="25"/>
    </row>
    <row r="78" spans="2:10" ht="13" x14ac:dyDescent="0.3">
      <c r="B78" s="99" t="s">
        <v>271</v>
      </c>
    </row>
    <row r="79" spans="2:10" x14ac:dyDescent="0.25">
      <c r="B79" s="24"/>
    </row>
    <row r="80" spans="2:10" x14ac:dyDescent="0.25">
      <c r="B80" s="24" t="s">
        <v>264</v>
      </c>
    </row>
    <row r="81" spans="2:4" x14ac:dyDescent="0.25">
      <c r="B81" s="24"/>
    </row>
    <row r="82" spans="2:4" x14ac:dyDescent="0.25">
      <c r="B82" s="102" t="s">
        <v>265</v>
      </c>
    </row>
    <row r="83" spans="2:4" x14ac:dyDescent="0.25">
      <c r="B83" s="24"/>
    </row>
    <row r="84" spans="2:4" x14ac:dyDescent="0.25">
      <c r="B84" s="24" t="s">
        <v>266</v>
      </c>
    </row>
    <row r="85" spans="2:4" x14ac:dyDescent="0.25">
      <c r="B85" s="24" t="s">
        <v>267</v>
      </c>
    </row>
    <row r="86" spans="2:4" x14ac:dyDescent="0.25">
      <c r="B86" s="24" t="s">
        <v>268</v>
      </c>
    </row>
    <row r="87" spans="2:4" x14ac:dyDescent="0.25">
      <c r="B87" s="24" t="s">
        <v>269</v>
      </c>
    </row>
    <row r="88" spans="2:4" x14ac:dyDescent="0.25">
      <c r="B88" s="24" t="s">
        <v>270</v>
      </c>
    </row>
    <row r="89" spans="2:4" x14ac:dyDescent="0.25">
      <c r="B89" s="24" t="s">
        <v>59</v>
      </c>
    </row>
    <row r="90" spans="2:4" x14ac:dyDescent="0.25">
      <c r="B90" s="24"/>
    </row>
    <row r="91" spans="2:4" x14ac:dyDescent="0.25">
      <c r="B91" s="24" t="s">
        <v>280</v>
      </c>
    </row>
    <row r="92" spans="2:4" x14ac:dyDescent="0.25">
      <c r="B92" s="25"/>
    </row>
    <row r="94" spans="2:4" ht="26" x14ac:dyDescent="0.3">
      <c r="B94" s="89" t="s">
        <v>174</v>
      </c>
      <c r="C94" s="95" t="s">
        <v>0</v>
      </c>
      <c r="D94" s="86" t="s">
        <v>249</v>
      </c>
    </row>
    <row r="95" spans="2:4" x14ac:dyDescent="0.25">
      <c r="B95" s="88" t="s">
        <v>32</v>
      </c>
      <c r="C95" s="96" t="s">
        <v>150</v>
      </c>
      <c r="D95" s="103" t="s">
        <v>188</v>
      </c>
    </row>
    <row r="96" spans="2:4" x14ac:dyDescent="0.25">
      <c r="B96" s="88" t="s">
        <v>33</v>
      </c>
      <c r="C96" s="96" t="s">
        <v>150</v>
      </c>
      <c r="D96" s="103" t="s">
        <v>188</v>
      </c>
    </row>
    <row r="97" spans="2:4" x14ac:dyDescent="0.25">
      <c r="B97" s="88" t="s">
        <v>34</v>
      </c>
      <c r="C97" s="96" t="s">
        <v>150</v>
      </c>
      <c r="D97" s="103" t="s">
        <v>189</v>
      </c>
    </row>
    <row r="98" spans="2:4" x14ac:dyDescent="0.25">
      <c r="B98" s="88" t="s">
        <v>35</v>
      </c>
      <c r="C98" s="96" t="s">
        <v>150</v>
      </c>
      <c r="D98" s="103" t="s">
        <v>188</v>
      </c>
    </row>
    <row r="99" spans="2:4" x14ac:dyDescent="0.25">
      <c r="B99" s="88" t="s">
        <v>36</v>
      </c>
      <c r="C99" s="96" t="s">
        <v>150</v>
      </c>
      <c r="D99" s="103" t="s">
        <v>189</v>
      </c>
    </row>
    <row r="100" spans="2:4" x14ac:dyDescent="0.25">
      <c r="B100" s="88" t="s">
        <v>37</v>
      </c>
      <c r="C100" s="96" t="s">
        <v>150</v>
      </c>
      <c r="D100" s="103" t="s">
        <v>189</v>
      </c>
    </row>
    <row r="101" spans="2:4" x14ac:dyDescent="0.25">
      <c r="B101" s="88" t="s">
        <v>38</v>
      </c>
      <c r="C101" s="96" t="s">
        <v>150</v>
      </c>
      <c r="D101" s="103" t="s">
        <v>188</v>
      </c>
    </row>
    <row r="102" spans="2:4" x14ac:dyDescent="0.25">
      <c r="B102" s="88" t="s">
        <v>39</v>
      </c>
      <c r="C102" s="96" t="s">
        <v>150</v>
      </c>
      <c r="D102" s="103" t="s">
        <v>188</v>
      </c>
    </row>
    <row r="103" spans="2:4" x14ac:dyDescent="0.25">
      <c r="B103" s="88" t="s">
        <v>40</v>
      </c>
      <c r="C103" s="96" t="s">
        <v>150</v>
      </c>
      <c r="D103" s="103" t="s">
        <v>188</v>
      </c>
    </row>
    <row r="104" spans="2:4" x14ac:dyDescent="0.25">
      <c r="B104" s="88" t="s">
        <v>41</v>
      </c>
      <c r="C104" s="96" t="s">
        <v>150</v>
      </c>
      <c r="D104" s="103" t="s">
        <v>188</v>
      </c>
    </row>
    <row r="105" spans="2:4" x14ac:dyDescent="0.25">
      <c r="B105" s="88" t="s">
        <v>49</v>
      </c>
      <c r="C105" s="96" t="s">
        <v>152</v>
      </c>
      <c r="D105" s="103" t="s">
        <v>190</v>
      </c>
    </row>
    <row r="106" spans="2:4" x14ac:dyDescent="0.25">
      <c r="B106" s="88" t="s">
        <v>51</v>
      </c>
      <c r="C106" s="96" t="s">
        <v>152</v>
      </c>
      <c r="D106" s="103" t="s">
        <v>192</v>
      </c>
    </row>
    <row r="107" spans="2:4" x14ac:dyDescent="0.25">
      <c r="B107" s="88" t="s">
        <v>54</v>
      </c>
      <c r="C107" s="96" t="s">
        <v>152</v>
      </c>
      <c r="D107" s="103" t="s">
        <v>190</v>
      </c>
    </row>
    <row r="108" spans="2:4" x14ac:dyDescent="0.25">
      <c r="B108" s="88" t="s">
        <v>58</v>
      </c>
      <c r="C108" s="96" t="s">
        <v>152</v>
      </c>
      <c r="D108" s="103" t="s">
        <v>192</v>
      </c>
    </row>
    <row r="109" spans="2:4" x14ac:dyDescent="0.25">
      <c r="B109" s="88" t="s">
        <v>42</v>
      </c>
      <c r="C109" s="96" t="s">
        <v>151</v>
      </c>
      <c r="D109" s="103" t="s">
        <v>192</v>
      </c>
    </row>
    <row r="110" spans="2:4" x14ac:dyDescent="0.25">
      <c r="B110" s="88" t="s">
        <v>43</v>
      </c>
      <c r="C110" s="96" t="s">
        <v>151</v>
      </c>
      <c r="D110" s="103" t="s">
        <v>192</v>
      </c>
    </row>
    <row r="111" spans="2:4" x14ac:dyDescent="0.25">
      <c r="B111" s="88" t="s">
        <v>44</v>
      </c>
      <c r="C111" s="96" t="s">
        <v>151</v>
      </c>
      <c r="D111" s="103" t="s">
        <v>190</v>
      </c>
    </row>
    <row r="112" spans="2:4" x14ac:dyDescent="0.25">
      <c r="B112" s="88" t="s">
        <v>45</v>
      </c>
      <c r="C112" s="96" t="s">
        <v>151</v>
      </c>
      <c r="D112" s="103" t="s">
        <v>192</v>
      </c>
    </row>
    <row r="113" spans="2:4" x14ac:dyDescent="0.25">
      <c r="B113" s="88" t="s">
        <v>46</v>
      </c>
      <c r="C113" s="96" t="s">
        <v>151</v>
      </c>
      <c r="D113" s="103" t="s">
        <v>190</v>
      </c>
    </row>
    <row r="114" spans="2:4" x14ac:dyDescent="0.25">
      <c r="B114" s="88" t="s">
        <v>47</v>
      </c>
      <c r="C114" s="96" t="s">
        <v>151</v>
      </c>
      <c r="D114" s="103" t="s">
        <v>192</v>
      </c>
    </row>
    <row r="115" spans="2:4" x14ac:dyDescent="0.25">
      <c r="B115" s="88" t="s">
        <v>60</v>
      </c>
      <c r="C115" s="96" t="s">
        <v>151</v>
      </c>
      <c r="D115" s="103" t="s">
        <v>192</v>
      </c>
    </row>
    <row r="116" spans="2:4" x14ac:dyDescent="0.25">
      <c r="B116" s="88" t="s">
        <v>48</v>
      </c>
      <c r="C116" s="96" t="s">
        <v>151</v>
      </c>
      <c r="D116" s="103" t="s">
        <v>191</v>
      </c>
    </row>
    <row r="117" spans="2:4" x14ac:dyDescent="0.25">
      <c r="B117" s="88" t="s">
        <v>50</v>
      </c>
      <c r="C117" s="96" t="s">
        <v>151</v>
      </c>
      <c r="D117" s="103" t="s">
        <v>191</v>
      </c>
    </row>
    <row r="118" spans="2:4" x14ac:dyDescent="0.25">
      <c r="B118" s="88" t="s">
        <v>52</v>
      </c>
      <c r="C118" s="96" t="s">
        <v>151</v>
      </c>
      <c r="D118" s="103" t="s">
        <v>192</v>
      </c>
    </row>
    <row r="119" spans="2:4" x14ac:dyDescent="0.25">
      <c r="B119" s="88" t="s">
        <v>53</v>
      </c>
      <c r="C119" s="96" t="s">
        <v>151</v>
      </c>
      <c r="D119" s="103" t="s">
        <v>192</v>
      </c>
    </row>
    <row r="120" spans="2:4" x14ac:dyDescent="0.25">
      <c r="B120" s="88" t="s">
        <v>55</v>
      </c>
      <c r="C120" s="96" t="s">
        <v>151</v>
      </c>
      <c r="D120" s="103" t="s">
        <v>191</v>
      </c>
    </row>
    <row r="121" spans="2:4" x14ac:dyDescent="0.25">
      <c r="B121" s="88" t="s">
        <v>56</v>
      </c>
      <c r="C121" s="96" t="s">
        <v>151</v>
      </c>
      <c r="D121" s="103" t="s">
        <v>191</v>
      </c>
    </row>
    <row r="122" spans="2:4" x14ac:dyDescent="0.25">
      <c r="B122" s="88" t="s">
        <v>57</v>
      </c>
      <c r="C122" s="96" t="s">
        <v>151</v>
      </c>
      <c r="D122" s="103" t="s">
        <v>190</v>
      </c>
    </row>
    <row r="123" spans="2:4" x14ac:dyDescent="0.25">
      <c r="B123" s="88" t="s">
        <v>59</v>
      </c>
      <c r="C123" s="96" t="s">
        <v>151</v>
      </c>
      <c r="D123" s="103" t="s">
        <v>192</v>
      </c>
    </row>
    <row r="124" spans="2:4" x14ac:dyDescent="0.25">
      <c r="B124" s="88" t="s">
        <v>63</v>
      </c>
      <c r="C124" s="96" t="s">
        <v>158</v>
      </c>
      <c r="D124" s="103" t="s">
        <v>193</v>
      </c>
    </row>
    <row r="125" spans="2:4" x14ac:dyDescent="0.25">
      <c r="B125" s="88" t="s">
        <v>144</v>
      </c>
      <c r="C125" s="96" t="s">
        <v>158</v>
      </c>
      <c r="D125" s="103" t="s">
        <v>194</v>
      </c>
    </row>
    <row r="126" spans="2:4" x14ac:dyDescent="0.25">
      <c r="B126" s="88" t="s">
        <v>64</v>
      </c>
      <c r="C126" s="96" t="s">
        <v>158</v>
      </c>
      <c r="D126" s="103" t="s">
        <v>195</v>
      </c>
    </row>
    <row r="127" spans="2:4" x14ac:dyDescent="0.25">
      <c r="B127" s="88" t="s">
        <v>143</v>
      </c>
      <c r="C127" s="96" t="s">
        <v>158</v>
      </c>
      <c r="D127" s="103" t="s">
        <v>195</v>
      </c>
    </row>
    <row r="128" spans="2:4" x14ac:dyDescent="0.25">
      <c r="B128" s="88" t="s">
        <v>145</v>
      </c>
      <c r="C128" s="96" t="s">
        <v>158</v>
      </c>
      <c r="D128" s="103" t="s">
        <v>193</v>
      </c>
    </row>
    <row r="129" spans="2:4" x14ac:dyDescent="0.25">
      <c r="B129" s="88" t="s">
        <v>61</v>
      </c>
      <c r="C129" s="96" t="s">
        <v>158</v>
      </c>
      <c r="D129" s="103" t="s">
        <v>194</v>
      </c>
    </row>
    <row r="130" spans="2:4" x14ac:dyDescent="0.25">
      <c r="B130" s="88" t="s">
        <v>149</v>
      </c>
      <c r="C130" s="96" t="s">
        <v>159</v>
      </c>
      <c r="D130" s="103" t="s">
        <v>196</v>
      </c>
    </row>
    <row r="131" spans="2:4" x14ac:dyDescent="0.25">
      <c r="B131" s="88" t="s">
        <v>62</v>
      </c>
      <c r="C131" s="96" t="s">
        <v>159</v>
      </c>
      <c r="D131" s="103" t="s">
        <v>196</v>
      </c>
    </row>
  </sheetData>
  <phoneticPr fontId="0" type="noConversion"/>
  <hyperlinks>
    <hyperlink ref="B82" r:id="rId1" display="martin.jennings@ipf.co.uk"/>
  </hyperlinks>
  <pageMargins left="0.75" right="0.75" top="1" bottom="1" header="0.5" footer="0.5"/>
  <pageSetup paperSize="9" orientation="portrait" r:id="rId2"/>
  <headerFooter alignWithMargins="0"/>
  <rowBreaks count="1" manualBreakCount="1">
    <brk id="54" min="1" max="1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5" name="Button 3">
              <controlPr defaultSize="0" print="0" autoFill="0" autoPict="0" macro="[0]!Button3_Click">
                <anchor moveWithCells="1" sizeWithCells="1">
                  <from>
                    <xdr:col>1</xdr:col>
                    <xdr:colOff>3200400</xdr:colOff>
                    <xdr:row>13</xdr:row>
                    <xdr:rowOff>0</xdr:rowOff>
                  </from>
                  <to>
                    <xdr:col>1</xdr:col>
                    <xdr:colOff>5708650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Button 4">
              <controlPr defaultSize="0" print="0" autoFill="0" autoPict="0" macro="[0]!Button4_Click">
                <anchor moveWithCells="1" sizeWithCells="1">
                  <from>
                    <xdr:col>1</xdr:col>
                    <xdr:colOff>3771900</xdr:colOff>
                    <xdr:row>8</xdr:row>
                    <xdr:rowOff>6350</xdr:rowOff>
                  </from>
                  <to>
                    <xdr:col>1</xdr:col>
                    <xdr:colOff>5708650</xdr:colOff>
                    <xdr:row>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Button 5">
              <controlPr defaultSize="0" print="0" autoFill="0" autoPict="0" macro="[0]!ShowDialogBox">
                <anchor moveWithCells="1" sizeWithCells="1">
                  <from>
                    <xdr:col>2</xdr:col>
                    <xdr:colOff>330200</xdr:colOff>
                    <xdr:row>0</xdr:row>
                    <xdr:rowOff>31750</xdr:rowOff>
                  </from>
                  <to>
                    <xdr:col>3</xdr:col>
                    <xdr:colOff>590550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Button 6">
              <controlPr defaultSize="0" print="0" autoFill="0" autoPict="0" macro="[0]!ShowStructure">
                <anchor moveWithCells="1" sizeWithCells="1">
                  <from>
                    <xdr:col>1</xdr:col>
                    <xdr:colOff>4102100</xdr:colOff>
                    <xdr:row>3</xdr:row>
                    <xdr:rowOff>101600</xdr:rowOff>
                  </from>
                  <to>
                    <xdr:col>1</xdr:col>
                    <xdr:colOff>5683250</xdr:colOff>
                    <xdr:row>4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Button 7">
              <controlPr defaultSize="0" print="0" autoFill="0" autoPict="0" macro="[0]!ShowExample">
                <anchor moveWithCells="1" sizeWithCells="1">
                  <from>
                    <xdr:col>1</xdr:col>
                    <xdr:colOff>4591050</xdr:colOff>
                    <xdr:row>38</xdr:row>
                    <xdr:rowOff>31750</xdr:rowOff>
                  </from>
                  <to>
                    <xdr:col>1</xdr:col>
                    <xdr:colOff>5810250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Button 8">
              <controlPr defaultSize="0" print="0" autoFill="0" autoPict="0" macro="[0]!ShowChange">
                <anchor moveWithCells="1" sizeWithCells="1">
                  <from>
                    <xdr:col>4</xdr:col>
                    <xdr:colOff>381000</xdr:colOff>
                    <xdr:row>94</xdr:row>
                    <xdr:rowOff>0</xdr:rowOff>
                  </from>
                  <to>
                    <xdr:col>6</xdr:col>
                    <xdr:colOff>361950</xdr:colOff>
                    <xdr:row>96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501"/>
  <sheetViews>
    <sheetView showZeros="0" workbookViewId="0">
      <selection activeCell="N8" sqref="N8"/>
    </sheetView>
  </sheetViews>
  <sheetFormatPr defaultRowHeight="12.5" x14ac:dyDescent="0.25"/>
  <cols>
    <col min="1" max="1" width="9.54296875" customWidth="1"/>
    <col min="2" max="2" width="4.1796875" customWidth="1"/>
    <col min="3" max="4" width="9.54296875" customWidth="1"/>
    <col min="5" max="5" width="3.26953125" customWidth="1"/>
    <col min="6" max="6" width="36.453125" customWidth="1"/>
    <col min="7" max="8" width="5" customWidth="1"/>
    <col min="11" max="11" width="9.1796875" style="7" customWidth="1"/>
    <col min="12" max="12" width="17.54296875" customWidth="1"/>
  </cols>
  <sheetData>
    <row r="1" spans="1:14" ht="13" x14ac:dyDescent="0.3">
      <c r="A1" s="3" t="s">
        <v>1</v>
      </c>
      <c r="B1" s="4" t="s">
        <v>23</v>
      </c>
      <c r="C1" s="4" t="s">
        <v>28</v>
      </c>
      <c r="D1" s="4" t="s">
        <v>29</v>
      </c>
      <c r="E1" s="4"/>
      <c r="F1" s="4" t="s">
        <v>31</v>
      </c>
      <c r="I1" s="4" t="s">
        <v>9</v>
      </c>
      <c r="N1" s="4" t="s">
        <v>25</v>
      </c>
    </row>
    <row r="2" spans="1:14" x14ac:dyDescent="0.25">
      <c r="A2" t="str">
        <f t="array" aca="1" ref="A2:A254" ca="1">TRANSPOSE(INDIRECT(ADDRESS(1,4,3,1,Menus!$K$10)):INDIRECT(ADDRESS(1,256,3,1,Menus!$K$10)))</f>
        <v>Population '000s</v>
      </c>
      <c r="B2" s="7">
        <v>2</v>
      </c>
      <c r="C2" t="str">
        <f ca="1">INDIRECT(ADDRESS($B2,1,3,1,Menus!$K$10))</f>
        <v>Bulgaria</v>
      </c>
      <c r="D2" t="str">
        <f ca="1">INDIRECT(ADDRESS($B2,2,3,1,Menus!$K$10))</f>
        <v>CEE</v>
      </c>
      <c r="F2" s="34" t="s">
        <v>30</v>
      </c>
      <c r="G2" s="6"/>
      <c r="H2" s="32"/>
      <c r="I2" s="11" t="s">
        <v>4</v>
      </c>
      <c r="J2" s="12" t="s">
        <v>5</v>
      </c>
      <c r="K2" s="13"/>
      <c r="L2" s="14"/>
      <c r="N2" s="7">
        <v>2001</v>
      </c>
    </row>
    <row r="3" spans="1:14" s="4" customFormat="1" ht="13" x14ac:dyDescent="0.3">
      <c r="A3" t="str">
        <f ca="1"/>
        <v>Libraries - Total Administrative Units</v>
      </c>
      <c r="B3" s="7">
        <v>3</v>
      </c>
      <c r="C3" t="str">
        <f ca="1">INDIRECT(ADDRESS($B3,1,3,1,Menus!$K$10))</f>
        <v>Czech Republic</v>
      </c>
      <c r="D3" t="str">
        <f ca="1">INDIRECT(ADDRESS($B3,2,3,1,Menus!$K$10))</f>
        <v>CEE</v>
      </c>
      <c r="E3"/>
      <c r="F3" s="34" t="s">
        <v>29</v>
      </c>
      <c r="G3" s="6" t="s">
        <v>2</v>
      </c>
      <c r="H3" s="32"/>
      <c r="I3" s="15" t="s">
        <v>6</v>
      </c>
      <c r="J3" s="16">
        <v>26</v>
      </c>
      <c r="K3" s="17"/>
      <c r="L3" s="23" t="s">
        <v>8</v>
      </c>
      <c r="N3" s="7">
        <v>2000</v>
      </c>
    </row>
    <row r="4" spans="1:14" ht="13" x14ac:dyDescent="0.3">
      <c r="A4" t="str">
        <f ca="1"/>
        <v>Libraries - Service Points</v>
      </c>
      <c r="B4">
        <v>4</v>
      </c>
      <c r="C4" t="str">
        <f ca="1">INDIRECT(ADDRESS($B4,1,3,1,Menus!$K$10))</f>
        <v>Estonia</v>
      </c>
      <c r="D4" t="str">
        <f ca="1">INDIRECT(ADDRESS($B4,2,3,1,Menus!$K$10))</f>
        <v>CEE</v>
      </c>
      <c r="F4" s="5">
        <v>0</v>
      </c>
      <c r="G4" s="39">
        <v>449</v>
      </c>
      <c r="H4" s="33"/>
      <c r="I4" s="15" t="s">
        <v>7</v>
      </c>
      <c r="J4" s="16">
        <v>25</v>
      </c>
      <c r="K4" s="17"/>
      <c r="L4" s="18" t="s">
        <v>8</v>
      </c>
      <c r="N4" s="7">
        <v>1999</v>
      </c>
    </row>
    <row r="5" spans="1:14" ht="13" x14ac:dyDescent="0.3">
      <c r="A5" t="str">
        <f ca="1"/>
        <v>Collections - Books &amp; Bound Periodicals</v>
      </c>
      <c r="B5">
        <v>5</v>
      </c>
      <c r="C5" t="str">
        <f ca="1">INDIRECT(ADDRESS($B5,1,3,1,Menus!$K$10))</f>
        <v>Hungary</v>
      </c>
      <c r="D5" t="str">
        <f ca="1">INDIRECT(ADDRESS($B5,2,3,1,Menus!$K$10))</f>
        <v>CEE</v>
      </c>
      <c r="F5" s="40" t="s">
        <v>154</v>
      </c>
      <c r="G5" s="41">
        <v>12</v>
      </c>
      <c r="H5" s="33"/>
      <c r="I5" s="15" t="s">
        <v>11</v>
      </c>
      <c r="J5" s="16">
        <v>5</v>
      </c>
      <c r="K5" s="17" t="str">
        <f>INDEX(F4:F54,J5)</f>
        <v>EU</v>
      </c>
      <c r="L5" s="18" t="s">
        <v>15</v>
      </c>
      <c r="N5" s="7">
        <v>1998</v>
      </c>
    </row>
    <row r="6" spans="1:14" ht="13" x14ac:dyDescent="0.3">
      <c r="A6" t="str">
        <f ca="1"/>
        <v>Collections - Current Periodicals - Titles</v>
      </c>
      <c r="B6">
        <v>6</v>
      </c>
      <c r="C6" t="str">
        <f ca="1">INDIRECT(ADDRESS($B6,1,3,1,Menus!$K$10))</f>
        <v>Latvia</v>
      </c>
      <c r="D6" t="str">
        <f ca="1">INDIRECT(ADDRESS($B6,2,3,1,Menus!$K$10))</f>
        <v>CEE</v>
      </c>
      <c r="F6" s="40" t="s">
        <v>150</v>
      </c>
      <c r="G6" s="41">
        <v>10</v>
      </c>
      <c r="H6" s="33"/>
      <c r="I6" s="15" t="s">
        <v>12</v>
      </c>
      <c r="J6" s="16">
        <v>4</v>
      </c>
      <c r="K6" s="17" t="str">
        <f>INDEX(F4:F54,J6)</f>
        <v>EFTA</v>
      </c>
      <c r="L6" s="18" t="s">
        <v>15</v>
      </c>
      <c r="N6" s="7">
        <v>1997</v>
      </c>
    </row>
    <row r="7" spans="1:14" ht="13" x14ac:dyDescent="0.3">
      <c r="A7" t="str">
        <f ca="1"/>
        <v>Collections - Current Periodicals - Subscriptions</v>
      </c>
      <c r="B7" s="7">
        <v>7</v>
      </c>
      <c r="C7" t="str">
        <f ca="1">INDIRECT(ADDRESS($B7,1,3,1,Menus!$K$10))</f>
        <v>Lithuania</v>
      </c>
      <c r="D7" t="str">
        <f ca="1">INDIRECT(ADDRESS($B7,2,3,1,Menus!$K$10))</f>
        <v>CEE</v>
      </c>
      <c r="F7" s="40" t="s">
        <v>152</v>
      </c>
      <c r="G7" s="41">
        <v>4</v>
      </c>
      <c r="H7" s="33"/>
      <c r="I7" s="15" t="s">
        <v>13</v>
      </c>
      <c r="J7" s="16">
        <v>9</v>
      </c>
      <c r="K7" s="17" t="str">
        <f>INDEX(F4:F54,J7)</f>
        <v>Belgique-Communauté française</v>
      </c>
      <c r="L7" s="18" t="s">
        <v>15</v>
      </c>
      <c r="N7" t="s">
        <v>301</v>
      </c>
    </row>
    <row r="8" spans="1:14" ht="13" x14ac:dyDescent="0.3">
      <c r="A8" t="str">
        <f ca="1"/>
        <v>Collections - Manuscripts</v>
      </c>
      <c r="B8">
        <v>8</v>
      </c>
      <c r="C8" t="str">
        <f ca="1">INDIRECT(ADDRESS($B8,1,3,1,Menus!$K$10))</f>
        <v>Poland</v>
      </c>
      <c r="D8" t="str">
        <f ca="1">INDIRECT(ADDRESS($B8,2,3,1,Menus!$K$10))</f>
        <v>CEE</v>
      </c>
      <c r="F8" s="40" t="s">
        <v>151</v>
      </c>
      <c r="G8" s="41">
        <v>15</v>
      </c>
      <c r="H8" s="33"/>
      <c r="I8" s="15" t="s">
        <v>14</v>
      </c>
      <c r="J8" s="16">
        <v>12</v>
      </c>
      <c r="K8" s="29" t="str">
        <f ca="1">INDEX(C2:C501,J8)</f>
        <v>België Vlaamse Gemeenschap</v>
      </c>
      <c r="L8" s="18" t="s">
        <v>16</v>
      </c>
    </row>
    <row r="9" spans="1:14" ht="13" x14ac:dyDescent="0.3">
      <c r="A9" t="str">
        <f ca="1"/>
        <v>Collections - Microforms</v>
      </c>
      <c r="B9">
        <v>9</v>
      </c>
      <c r="C9" t="str">
        <f ca="1">INDIRECT(ADDRESS($B9,1,3,1,Menus!$K$10))</f>
        <v>Romania</v>
      </c>
      <c r="D9" t="str">
        <f ca="1">INDIRECT(ADDRESS($B9,2,3,1,Menus!$K$10))</f>
        <v>CEE</v>
      </c>
      <c r="F9" s="40" t="s">
        <v>158</v>
      </c>
      <c r="G9" s="41">
        <v>6</v>
      </c>
      <c r="H9" s="33"/>
      <c r="I9" s="15" t="s">
        <v>19</v>
      </c>
      <c r="J9" s="16" t="b">
        <v>1</v>
      </c>
      <c r="K9" s="17"/>
      <c r="L9" s="18"/>
    </row>
    <row r="10" spans="1:14" ht="13" x14ac:dyDescent="0.3">
      <c r="A10" t="str">
        <f ca="1"/>
        <v>Collections - Audio-visual Materials</v>
      </c>
      <c r="B10">
        <v>10</v>
      </c>
      <c r="C10" t="str">
        <f ca="1">INDIRECT(ADDRESS($B10,1,3,1,Menus!$K$10))</f>
        <v>Slovak Rep</v>
      </c>
      <c r="D10" t="str">
        <f ca="1">INDIRECT(ADDRESS($B10,2,3,1,Menus!$K$10))</f>
        <v>CEE</v>
      </c>
      <c r="F10" s="40" t="s">
        <v>159</v>
      </c>
      <c r="G10" s="41">
        <v>2</v>
      </c>
      <c r="H10" s="33"/>
      <c r="I10" s="19" t="s">
        <v>22</v>
      </c>
      <c r="J10" s="20">
        <v>6</v>
      </c>
      <c r="K10" s="30" t="str">
        <f>INDEX(N2:N51,J10)</f>
        <v>2001 Grossed</v>
      </c>
      <c r="L10" s="21" t="s">
        <v>26</v>
      </c>
    </row>
    <row r="11" spans="1:14" x14ac:dyDescent="0.25">
      <c r="A11" t="str">
        <f ca="1"/>
        <v>Collections - CD-ROMs</v>
      </c>
      <c r="B11" s="7">
        <v>11</v>
      </c>
      <c r="C11" t="str">
        <f ca="1">INDIRECT(ADDRESS($B11,1,3,1,Menus!$K$10))</f>
        <v>Slovenia</v>
      </c>
      <c r="D11" t="str">
        <f ca="1">INDIRECT(ADDRESS($B11,2,3,1,Menus!$K$10))</f>
        <v>CEE</v>
      </c>
      <c r="F11" s="40" t="s">
        <v>318</v>
      </c>
      <c r="G11" s="41">
        <v>1</v>
      </c>
      <c r="K11" s="7" t="str">
        <f>IF(K10="2000 Grossed","Gross","")</f>
        <v/>
      </c>
    </row>
    <row r="12" spans="1:14" x14ac:dyDescent="0.25">
      <c r="A12" t="str">
        <f ca="1"/>
        <v>Additions - Books &amp; Bound Periodicals</v>
      </c>
      <c r="B12">
        <v>12</v>
      </c>
      <c r="C12" t="str">
        <f ca="1">INDIRECT(ADDRESS($B12,1,3,1,Menus!$K$10))</f>
        <v>Austria</v>
      </c>
      <c r="D12" t="str">
        <f ca="1">INDIRECT(ADDRESS($B12,2,3,1,Menus!$K$10))</f>
        <v>EU</v>
      </c>
      <c r="F12" s="42" t="s">
        <v>315</v>
      </c>
      <c r="G12" s="43">
        <v>1</v>
      </c>
    </row>
    <row r="13" spans="1:14" x14ac:dyDescent="0.25">
      <c r="A13" t="str">
        <f ca="1"/>
        <v>Additions - Audio-visual Materials</v>
      </c>
      <c r="B13">
        <v>13</v>
      </c>
      <c r="C13" t="str">
        <f ca="1">INDIRECT(ADDRESS($B13,1,3,1,Menus!$K$10))</f>
        <v>België Vlaamse Gemeenschap</v>
      </c>
      <c r="D13" t="str">
        <f ca="1">INDIRECT(ADDRESS($B13,2,3,1,Menus!$K$10))</f>
        <v>België Vlaamse Gemeenschap</v>
      </c>
    </row>
    <row r="14" spans="1:14" x14ac:dyDescent="0.25">
      <c r="A14" t="str">
        <f ca="1"/>
        <v>Facilities &amp; Services - Percentage Stock on Open Access</v>
      </c>
      <c r="B14">
        <v>14</v>
      </c>
      <c r="C14" t="str">
        <f ca="1">INDIRECT(ADDRESS($B14,1,3,1,Menus!$K$10))</f>
        <v>Belgique-Communauté française</v>
      </c>
      <c r="D14" t="str">
        <f ca="1">INDIRECT(ADDRESS($B14,2,3,1,Menus!$K$10))</f>
        <v>Belgique-Communauté française</v>
      </c>
    </row>
    <row r="15" spans="1:14" x14ac:dyDescent="0.25">
      <c r="A15" t="str">
        <f ca="1"/>
        <v>Facilities &amp; Services - Percentage Catalogue Records Automated</v>
      </c>
      <c r="B15" s="7">
        <v>15</v>
      </c>
      <c r="C15" t="str">
        <f ca="1">INDIRECT(ADDRESS($B15,1,3,1,Menus!$K$10))</f>
        <v>Belgium</v>
      </c>
      <c r="D15" t="str">
        <f ca="1">INDIRECT(ADDRESS($B15,2,3,1,Menus!$K$10))</f>
        <v>EU</v>
      </c>
    </row>
    <row r="16" spans="1:14" x14ac:dyDescent="0.25">
      <c r="A16" t="str">
        <f ca="1"/>
        <v>Facilities &amp; Services - Number of Workstations for users</v>
      </c>
      <c r="B16">
        <v>16</v>
      </c>
      <c r="C16" t="str">
        <f ca="1">INDIRECT(ADDRESS($B16,1,3,1,Menus!$K$10))</f>
        <v>Denmark</v>
      </c>
      <c r="D16" t="str">
        <f ca="1">INDIRECT(ADDRESS($B16,2,3,1,Menus!$K$10))</f>
        <v>EU</v>
      </c>
    </row>
    <row r="17" spans="1:4" x14ac:dyDescent="0.25">
      <c r="A17" t="str">
        <f ca="1"/>
        <v>Facilities &amp; Services - Number connected to the internet</v>
      </c>
      <c r="B17">
        <v>17</v>
      </c>
      <c r="C17" t="str">
        <f ca="1">INDIRECT(ADDRESS($B17,1,3,1,Menus!$K$10))</f>
        <v>Ireland</v>
      </c>
      <c r="D17" t="str">
        <f ca="1">INDIRECT(ADDRESS($B17,2,3,1,Menus!$K$10))</f>
        <v>EU</v>
      </c>
    </row>
    <row r="18" spans="1:4" x14ac:dyDescent="0.25">
      <c r="A18" t="str">
        <f ca="1"/>
        <v>Use &amp; Users - Registered Users</v>
      </c>
      <c r="B18">
        <v>18</v>
      </c>
      <c r="C18" t="str">
        <f ca="1">INDIRECT(ADDRESS($B18,1,3,1,Menus!$K$10))</f>
        <v>Finland</v>
      </c>
      <c r="D18" t="str">
        <f ca="1">INDIRECT(ADDRESS($B18,2,3,1,Menus!$K$10))</f>
        <v>EU</v>
      </c>
    </row>
    <row r="19" spans="1:4" x14ac:dyDescent="0.25">
      <c r="A19" t="str">
        <f ca="1"/>
        <v>Use &amp; Users - Loan Transactions</v>
      </c>
      <c r="B19" s="7">
        <v>19</v>
      </c>
      <c r="C19" t="str">
        <f ca="1">INDIRECT(ADDRESS($B19,1,3,1,Menus!$K$10))</f>
        <v>France</v>
      </c>
      <c r="D19" t="str">
        <f ca="1">INDIRECT(ADDRESS($B19,2,3,1,Menus!$K$10))</f>
        <v>EU</v>
      </c>
    </row>
    <row r="20" spans="1:4" x14ac:dyDescent="0.25">
      <c r="A20" t="str">
        <f ca="1"/>
        <v>Use &amp; Users - Number of Visits</v>
      </c>
      <c r="B20">
        <v>20</v>
      </c>
      <c r="C20" t="str">
        <f ca="1">INDIRECT(ADDRESS($B20,1,3,1,Menus!$K$10))</f>
        <v>Greece</v>
      </c>
      <c r="D20" t="str">
        <f ca="1">INDIRECT(ADDRESS($B20,2,3,1,Menus!$K$10))</f>
        <v>EU</v>
      </c>
    </row>
    <row r="21" spans="1:4" x14ac:dyDescent="0.25">
      <c r="A21" t="str">
        <f ca="1"/>
        <v>Use &amp; Users - Number of virtual referrals and transactions</v>
      </c>
      <c r="B21">
        <v>21</v>
      </c>
      <c r="C21" t="str">
        <f ca="1">INDIRECT(ADDRESS($B21,1,3,1,Menus!$K$10))</f>
        <v>Iceland</v>
      </c>
      <c r="D21" t="str">
        <f ca="1">INDIRECT(ADDRESS($B21,2,3,1,Menus!$K$10))</f>
        <v>EFTA</v>
      </c>
    </row>
    <row r="22" spans="1:4" x14ac:dyDescent="0.25">
      <c r="A22" t="str">
        <f ca="1"/>
        <v>Use &amp; Users - Number of virtual visits to networked library services</v>
      </c>
      <c r="B22">
        <v>22</v>
      </c>
      <c r="C22" t="str">
        <f ca="1">INDIRECT(ADDRESS($B22,1,3,1,Menus!$K$10))</f>
        <v>Italy</v>
      </c>
      <c r="D22" t="str">
        <f ca="1">INDIRECT(ADDRESS($B22,2,3,1,Menus!$K$10))</f>
        <v>EU</v>
      </c>
    </row>
    <row r="23" spans="1:4" x14ac:dyDescent="0.25">
      <c r="A23" t="str">
        <f ca="1"/>
        <v>Use &amp; Users - Potential Total Population Served</v>
      </c>
      <c r="B23" s="7">
        <v>23</v>
      </c>
      <c r="C23" t="str">
        <f ca="1">INDIRECT(ADDRESS($B23,1,3,1,Menus!$K$10))</f>
        <v>Liechtenstein</v>
      </c>
      <c r="D23" t="str">
        <f ca="1">INDIRECT(ADDRESS($B23,2,3,1,Menus!$K$10))</f>
        <v>EFTA</v>
      </c>
    </row>
    <row r="24" spans="1:4" x14ac:dyDescent="0.25">
      <c r="A24" t="str">
        <f ca="1"/>
        <v>Library Staff FTE - Trained Librarians</v>
      </c>
      <c r="B24">
        <v>24</v>
      </c>
      <c r="C24" t="str">
        <f ca="1">INDIRECT(ADDRESS($B24,1,3,1,Menus!$K$10))</f>
        <v>Luxembourg</v>
      </c>
      <c r="D24" t="str">
        <f ca="1">INDIRECT(ADDRESS($B24,2,3,1,Menus!$K$10))</f>
        <v>EU</v>
      </c>
    </row>
    <row r="25" spans="1:4" x14ac:dyDescent="0.25">
      <c r="A25" t="str">
        <f ca="1"/>
        <v>Library Staff FTE - Other Library Staff</v>
      </c>
      <c r="B25">
        <v>25</v>
      </c>
      <c r="C25" t="str">
        <f ca="1">INDIRECT(ADDRESS($B25,1,3,1,Menus!$K$10))</f>
        <v>Netherlands</v>
      </c>
      <c r="D25" t="str">
        <f ca="1">INDIRECT(ADDRESS($B25,2,3,1,Menus!$K$10))</f>
        <v>EU</v>
      </c>
    </row>
    <row r="26" spans="1:4" x14ac:dyDescent="0.25">
      <c r="A26" t="str">
        <f ca="1"/>
        <v>Library Staff FTE - Total Staff</v>
      </c>
      <c r="B26">
        <v>26</v>
      </c>
      <c r="C26" t="str">
        <f ca="1">INDIRECT(ADDRESS($B26,1,3,1,Menus!$K$10))</f>
        <v>Norway</v>
      </c>
      <c r="D26" t="str">
        <f ca="1">INDIRECT(ADDRESS($B26,2,3,1,Menus!$K$10))</f>
        <v>EFTA</v>
      </c>
    </row>
    <row r="27" spans="1:4" x14ac:dyDescent="0.25">
      <c r="A27" t="str">
        <f ca="1"/>
        <v>Recurrent Expenditure (Euros) - Staff</v>
      </c>
      <c r="B27" s="7">
        <v>27</v>
      </c>
      <c r="C27" t="str">
        <f ca="1">INDIRECT(ADDRESS($B27,1,3,1,Menus!$K$10))</f>
        <v>Portugal</v>
      </c>
      <c r="D27" t="str">
        <f ca="1">INDIRECT(ADDRESS($B27,2,3,1,Menus!$K$10))</f>
        <v>EU</v>
      </c>
    </row>
    <row r="28" spans="1:4" x14ac:dyDescent="0.25">
      <c r="A28" t="str">
        <f ca="1"/>
        <v>Recurrent Expenditure (Euros) - Acquisition of Stock</v>
      </c>
      <c r="B28">
        <v>28</v>
      </c>
      <c r="C28" t="str">
        <f ca="1">INDIRECT(ADDRESS($B28,1,3,1,Menus!$K$10))</f>
        <v>Spain</v>
      </c>
      <c r="D28" t="str">
        <f ca="1">INDIRECT(ADDRESS($B28,2,3,1,Menus!$K$10))</f>
        <v>EU</v>
      </c>
    </row>
    <row r="29" spans="1:4" x14ac:dyDescent="0.25">
      <c r="A29" t="str">
        <f ca="1"/>
        <v>Recurrent Expenditure (Euros) - Electronic Information</v>
      </c>
      <c r="B29">
        <v>29</v>
      </c>
      <c r="C29" t="str">
        <f ca="1">INDIRECT(ADDRESS($B29,1,3,1,Menus!$K$10))</f>
        <v>Sweden</v>
      </c>
      <c r="D29" t="str">
        <f ca="1">INDIRECT(ADDRESS($B29,2,3,1,Menus!$K$10))</f>
        <v>EU</v>
      </c>
    </row>
    <row r="30" spans="1:4" x14ac:dyDescent="0.25">
      <c r="A30" t="str">
        <f ca="1"/>
        <v>Recurrent Expenditure (Euros) - Automation</v>
      </c>
      <c r="B30">
        <v>30</v>
      </c>
      <c r="C30" t="str">
        <f ca="1">INDIRECT(ADDRESS($B30,1,3,1,Menus!$K$10))</f>
        <v>Switzerland</v>
      </c>
      <c r="D30" t="str">
        <f ca="1">INDIRECT(ADDRESS($B30,2,3,1,Menus!$K$10))</f>
        <v>EFTA</v>
      </c>
    </row>
    <row r="31" spans="1:4" x14ac:dyDescent="0.25">
      <c r="A31" t="str">
        <f ca="1"/>
        <v>Recurrent Expenditure (Euros) - Premises and Related Costs</v>
      </c>
      <c r="B31" s="7">
        <v>31</v>
      </c>
      <c r="C31" t="str">
        <f ca="1">INDIRECT(ADDRESS($B31,1,3,1,Menus!$K$10))</f>
        <v>UK</v>
      </c>
      <c r="D31" t="str">
        <f ca="1">INDIRECT(ADDRESS($B31,2,3,1,Menus!$K$10))</f>
        <v>EU</v>
      </c>
    </row>
    <row r="32" spans="1:4" x14ac:dyDescent="0.25">
      <c r="A32" t="str">
        <f ca="1"/>
        <v>Recurrent Expenditure (Euros) - New Buildings / Refurbishment</v>
      </c>
      <c r="B32">
        <v>32</v>
      </c>
      <c r="C32" t="str">
        <f ca="1">INDIRECT(ADDRESS($B32,1,3,1,Menus!$K$10))</f>
        <v>Germany</v>
      </c>
      <c r="D32" t="str">
        <f ca="1">INDIRECT(ADDRESS($B32,2,3,1,Menus!$K$10))</f>
        <v>EU</v>
      </c>
    </row>
    <row r="33" spans="1:4" x14ac:dyDescent="0.25">
      <c r="A33" t="str">
        <f ca="1"/>
        <v>Recurrent Expenditure (Euros) - Other Expenditure</v>
      </c>
      <c r="B33">
        <v>33</v>
      </c>
      <c r="C33" t="str">
        <f ca="1">INDIRECT(ADDRESS($B33,1,3,1,Menus!$K$10))</f>
        <v>USA</v>
      </c>
      <c r="D33" t="str">
        <f ca="1">INDIRECT(ADDRESS($B33,2,3,1,Menus!$K$10))</f>
        <v>World - A</v>
      </c>
    </row>
    <row r="34" spans="1:4" x14ac:dyDescent="0.25">
      <c r="A34" t="str">
        <f ca="1"/>
        <v>Recurrent Expenditure (Euros) - TOTAL EXPENDITURE</v>
      </c>
      <c r="B34">
        <v>34</v>
      </c>
      <c r="C34" t="str">
        <f ca="1">INDIRECT(ADDRESS($B34,1,3,1,Menus!$K$10))</f>
        <v>Turkey</v>
      </c>
      <c r="D34" t="str">
        <f ca="1">INDIRECT(ADDRESS($B34,2,3,1,Menus!$K$10))</f>
        <v>World - B</v>
      </c>
    </row>
    <row r="35" spans="1:4" x14ac:dyDescent="0.25">
      <c r="A35" t="str">
        <f ca="1"/>
        <v>Income - Public Funding</v>
      </c>
      <c r="B35" s="7">
        <v>35</v>
      </c>
      <c r="C35" t="str">
        <f ca="1">INDIRECT(ADDRESS($B35,1,3,1,Menus!$K$10))</f>
        <v>Australia</v>
      </c>
      <c r="D35" t="str">
        <f ca="1">INDIRECT(ADDRESS($B35,2,3,1,Menus!$K$10))</f>
        <v>World - A</v>
      </c>
    </row>
    <row r="36" spans="1:4" x14ac:dyDescent="0.25">
      <c r="A36" t="str">
        <f ca="1"/>
        <v>Income - Fees &amp; Charges</v>
      </c>
      <c r="B36">
        <v>36</v>
      </c>
      <c r="C36" t="str">
        <f ca="1">INDIRECT(ADDRESS($B36,1,3,1,Menus!$K$10))</f>
        <v>Japan</v>
      </c>
      <c r="D36" t="str">
        <f ca="1">INDIRECT(ADDRESS($B36,2,3,1,Menus!$K$10))</f>
        <v>World - A</v>
      </c>
    </row>
    <row r="37" spans="1:4" x14ac:dyDescent="0.25">
      <c r="A37" t="str">
        <f ca="1"/>
        <v>Income - Other Income</v>
      </c>
      <c r="B37">
        <v>37</v>
      </c>
      <c r="C37" t="str">
        <f ca="1">INDIRECT(ADDRESS($B37,1,3,1,Menus!$K$10))</f>
        <v>Korea</v>
      </c>
      <c r="D37" t="str">
        <f ca="1">INDIRECT(ADDRESS($B37,2,3,1,Menus!$K$10))</f>
        <v>World - A</v>
      </c>
    </row>
    <row r="38" spans="1:4" x14ac:dyDescent="0.25">
      <c r="A38" t="str">
        <f ca="1"/>
        <v>Income - TOTAL INCOME</v>
      </c>
      <c r="B38">
        <v>38</v>
      </c>
      <c r="C38" t="str">
        <f ca="1">INDIRECT(ADDRESS($B38,1,3,1,Menus!$K$10))</f>
        <v>Canada</v>
      </c>
      <c r="D38" t="str">
        <f ca="1">INDIRECT(ADDRESS($B38,2,3,1,Menus!$K$10))</f>
        <v>World - A</v>
      </c>
    </row>
    <row r="39" spans="1:4" x14ac:dyDescent="0.25">
      <c r="A39" t="str">
        <f ca="1"/>
        <v>Capital Expenditure - New Buildings / Refurbishment</v>
      </c>
      <c r="B39" s="7">
        <v>39</v>
      </c>
      <c r="C39" t="str">
        <f ca="1">INDIRECT(ADDRESS($B39,1,3,1,Menus!$K$10))</f>
        <v>New Zealand</v>
      </c>
      <c r="D39" t="str">
        <f ca="1">INDIRECT(ADDRESS($B39,2,3,1,Menus!$K$10))</f>
        <v>World - A</v>
      </c>
    </row>
    <row r="40" spans="1:4" x14ac:dyDescent="0.25">
      <c r="A40" t="str">
        <f ca="1"/>
        <v>Capital Expenditure - Acquisition of Stock</v>
      </c>
      <c r="B40">
        <v>40</v>
      </c>
      <c r="C40" t="str">
        <f ca="1">INDIRECT(ADDRESS($B40,1,3,1,Menus!$K$10))</f>
        <v>Mexico</v>
      </c>
      <c r="D40" t="str">
        <f ca="1">INDIRECT(ADDRESS($B40,2,3,1,Menus!$K$10))</f>
        <v>World - B</v>
      </c>
    </row>
    <row r="41" spans="1:4" x14ac:dyDescent="0.25">
      <c r="A41" t="str">
        <f ca="1"/>
        <v>Capital Expenditure - Automation</v>
      </c>
      <c r="B41">
        <v>41</v>
      </c>
      <c r="C41" t="str">
        <f ca="1">INDIRECT(ADDRESS($B41,1,3,1,Menus!$K$10))</f>
        <v>CEE</v>
      </c>
      <c r="D41" t="str">
        <f ca="1">INDIRECT(ADDRESS($B41,2,3,1,Menus!$K$10))</f>
        <v>Totals</v>
      </c>
    </row>
    <row r="42" spans="1:4" x14ac:dyDescent="0.25">
      <c r="A42" t="str">
        <f ca="1"/>
        <v>Capital Expenditure - Other Capital Expenditure</v>
      </c>
      <c r="B42">
        <v>42</v>
      </c>
      <c r="C42" t="str">
        <f ca="1">INDIRECT(ADDRESS($B42,1,3,1,Menus!$K$10))</f>
        <v>EU</v>
      </c>
      <c r="D42" t="str">
        <f ca="1">INDIRECT(ADDRESS($B42,2,3,1,Menus!$K$10))</f>
        <v>Totals</v>
      </c>
    </row>
    <row r="43" spans="1:4" x14ac:dyDescent="0.25">
      <c r="A43" t="str">
        <f ca="1"/>
        <v>Capital Expenditure - TOTAL CAPITAL   PAYMENTS</v>
      </c>
      <c r="B43" s="7">
        <v>43</v>
      </c>
      <c r="C43" t="str">
        <f ca="1">INDIRECT(ADDRESS($B43,1,3,1,Menus!$K$10))</f>
        <v>EFTA</v>
      </c>
      <c r="D43" t="str">
        <f ca="1">INDIRECT(ADDRESS($B43,2,3,1,Menus!$K$10))</f>
        <v>Totals</v>
      </c>
    </row>
    <row r="44" spans="1:4" x14ac:dyDescent="0.25">
      <c r="A44" t="str">
        <f ca="1"/>
        <v>Additions</v>
      </c>
      <c r="B44">
        <v>44</v>
      </c>
      <c r="C44" t="str">
        <f ca="1">INDIRECT(ADDRESS($B44,1,3,1,Menus!$K$10))</f>
        <v>World A</v>
      </c>
      <c r="D44" t="str">
        <f ca="1">INDIRECT(ADDRESS($B44,2,3,1,Menus!$K$10))</f>
        <v>Totals</v>
      </c>
    </row>
    <row r="45" spans="1:4" x14ac:dyDescent="0.25">
      <c r="A45" t="str">
        <f ca="1"/>
        <v>Loans per visit</v>
      </c>
      <c r="B45">
        <v>45</v>
      </c>
      <c r="C45" t="str">
        <f ca="1">INDIRECT(ADDRESS($B45,1,3,1,Menus!$K$10))</f>
        <v>World B</v>
      </c>
      <c r="D45" t="str">
        <f ca="1">INDIRECT(ADDRESS($B45,2,3,1,Menus!$K$10))</f>
        <v>Totals</v>
      </c>
    </row>
    <row r="46" spans="1:4" x14ac:dyDescent="0.25">
      <c r="A46" t="str">
        <f ca="1"/>
        <v>Cost per pop</v>
      </c>
      <c r="B46">
        <v>46</v>
      </c>
      <c r="C46" t="str">
        <f ca="1">INDIRECT(ADDRESS($B46,1,3,1,Menus!$K$10))</f>
        <v>EU Accession Countries</v>
      </c>
      <c r="D46" t="str">
        <f ca="1">INDIRECT(ADDRESS($B46,2,3,1,Menus!$K$10))</f>
        <v>Totals</v>
      </c>
    </row>
    <row r="47" spans="1:4" x14ac:dyDescent="0.25">
      <c r="A47" t="str">
        <f ca="1"/>
        <v>Users per 1000 pop</v>
      </c>
      <c r="B47" s="7">
        <v>47</v>
      </c>
      <c r="C47" t="str">
        <f ca="1">INDIRECT(ADDRESS($B47,1,3,1,Menus!$K$10))</f>
        <v>Europe (Excl. Malta &amp; Cyprus)</v>
      </c>
      <c r="D47" t="str">
        <f ca="1">INDIRECT(ADDRESS($B47,2,3,1,Menus!$K$10))</f>
        <v>Totals</v>
      </c>
    </row>
    <row r="48" spans="1:4" x14ac:dyDescent="0.25">
      <c r="A48" t="str">
        <f ca="1"/>
        <v>visits per 1000 pop</v>
      </c>
      <c r="B48">
        <v>48</v>
      </c>
      <c r="C48" t="str">
        <f ca="1">INDIRECT(ADDRESS($B48,1,3,1,Menus!$K$10))</f>
        <v>Eastern Europe</v>
      </c>
      <c r="D48" t="str">
        <f ca="1">INDIRECT(ADDRESS($B48,2,3,1,Menus!$K$10))</f>
        <v>Totals</v>
      </c>
    </row>
    <row r="49" spans="1:4" x14ac:dyDescent="0.25">
      <c r="A49" t="str">
        <f ca="1"/>
        <v>Bookstock per 1000 pop</v>
      </c>
      <c r="B49">
        <v>49</v>
      </c>
      <c r="C49" t="str">
        <f ca="1">INDIRECT(ADDRESS($B49,1,3,1,Menus!$K$10))</f>
        <v>Baltic States</v>
      </c>
      <c r="D49" t="str">
        <f ca="1">INDIRECT(ADDRESS($B49,2,3,1,Menus!$K$10))</f>
        <v>Totals</v>
      </c>
    </row>
    <row r="50" spans="1:4" x14ac:dyDescent="0.25">
      <c r="A50" t="str">
        <f ca="1"/>
        <v>Total stock per 1000 pop</v>
      </c>
      <c r="B50">
        <v>50</v>
      </c>
      <c r="C50" t="str">
        <f ca="1">INDIRECT(ADDRESS($B50,1,3,1,Menus!$K$10))</f>
        <v>Central Europe</v>
      </c>
      <c r="D50" t="str">
        <f ca="1">INDIRECT(ADDRESS($B50,2,3,1,Menus!$K$10))</f>
        <v>Totals</v>
      </c>
    </row>
    <row r="51" spans="1:4" x14ac:dyDescent="0.25">
      <c r="A51" t="str">
        <f ca="1"/>
        <v>AV materials per 1000 pop</v>
      </c>
      <c r="B51" s="7">
        <v>51</v>
      </c>
      <c r="C51" t="str">
        <f ca="1">INDIRECT(ADDRESS($B51,1,3,1,Menus!$K$10))</f>
        <v>Northern Europe</v>
      </c>
      <c r="D51" t="str">
        <f ca="1">INDIRECT(ADDRESS($B51,2,3,1,Menus!$K$10))</f>
        <v>Totals</v>
      </c>
    </row>
    <row r="52" spans="1:4" x14ac:dyDescent="0.25">
      <c r="A52">
        <f ca="1"/>
        <v>0</v>
      </c>
      <c r="B52">
        <v>52</v>
      </c>
      <c r="C52" t="str">
        <f ca="1">INDIRECT(ADDRESS($B52,1,3,1,Menus!$K$10))</f>
        <v>Southern Europe</v>
      </c>
      <c r="D52" t="str">
        <f ca="1">INDIRECT(ADDRESS($B52,2,3,1,Menus!$K$10))</f>
        <v>Totals</v>
      </c>
    </row>
    <row r="53" spans="1:4" x14ac:dyDescent="0.25">
      <c r="A53">
        <f ca="1"/>
        <v>0</v>
      </c>
      <c r="B53">
        <v>53</v>
      </c>
      <c r="C53">
        <f ca="1">INDIRECT(ADDRESS($B53,1,3,1,Menus!$K$10))</f>
        <v>0</v>
      </c>
      <c r="D53">
        <f ca="1">INDIRECT(ADDRESS($B53,2,3,1,Menus!$K$10))</f>
        <v>0</v>
      </c>
    </row>
    <row r="54" spans="1:4" x14ac:dyDescent="0.25">
      <c r="A54">
        <f ca="1"/>
        <v>0</v>
      </c>
      <c r="B54">
        <v>54</v>
      </c>
      <c r="C54">
        <f ca="1">INDIRECT(ADDRESS($B54,1,3,1,Menus!$K$10))</f>
        <v>0</v>
      </c>
      <c r="D54">
        <f ca="1">INDIRECT(ADDRESS($B54,2,3,1,Menus!$K$10))</f>
        <v>0</v>
      </c>
    </row>
    <row r="55" spans="1:4" x14ac:dyDescent="0.25">
      <c r="A55">
        <f ca="1"/>
        <v>0</v>
      </c>
      <c r="B55" s="7">
        <v>55</v>
      </c>
      <c r="C55">
        <f ca="1">INDIRECT(ADDRESS($B55,1,3,1,Menus!$K$10))</f>
        <v>0</v>
      </c>
      <c r="D55">
        <f ca="1">INDIRECT(ADDRESS($B55,2,3,1,Menus!$K$10))</f>
        <v>0</v>
      </c>
    </row>
    <row r="56" spans="1:4" x14ac:dyDescent="0.25">
      <c r="A56">
        <f ca="1"/>
        <v>0</v>
      </c>
      <c r="B56">
        <v>56</v>
      </c>
      <c r="C56">
        <f ca="1">INDIRECT(ADDRESS($B56,1,3,1,Menus!$K$10))</f>
        <v>0</v>
      </c>
      <c r="D56">
        <f ca="1">INDIRECT(ADDRESS($B56,2,3,1,Menus!$K$10))</f>
        <v>0</v>
      </c>
    </row>
    <row r="57" spans="1:4" x14ac:dyDescent="0.25">
      <c r="A57">
        <f ca="1"/>
        <v>0</v>
      </c>
      <c r="B57">
        <v>57</v>
      </c>
      <c r="C57">
        <f ca="1">INDIRECT(ADDRESS($B57,1,3,1,Menus!$K$10))</f>
        <v>0</v>
      </c>
      <c r="D57">
        <f ca="1">INDIRECT(ADDRESS($B57,2,3,1,Menus!$K$10))</f>
        <v>0</v>
      </c>
    </row>
    <row r="58" spans="1:4" x14ac:dyDescent="0.25">
      <c r="A58">
        <f ca="1"/>
        <v>0</v>
      </c>
      <c r="B58">
        <v>58</v>
      </c>
      <c r="C58">
        <f ca="1">INDIRECT(ADDRESS($B58,1,3,1,Menus!$K$10))</f>
        <v>0</v>
      </c>
      <c r="D58">
        <f ca="1">INDIRECT(ADDRESS($B58,2,3,1,Menus!$K$10))</f>
        <v>0</v>
      </c>
    </row>
    <row r="59" spans="1:4" x14ac:dyDescent="0.25">
      <c r="A59">
        <f ca="1"/>
        <v>0</v>
      </c>
      <c r="B59" s="7">
        <v>59</v>
      </c>
      <c r="C59">
        <f ca="1">INDIRECT(ADDRESS($B59,1,3,1,Menus!$K$10))</f>
        <v>0</v>
      </c>
      <c r="D59">
        <f ca="1">INDIRECT(ADDRESS($B59,2,3,1,Menus!$K$10))</f>
        <v>0</v>
      </c>
    </row>
    <row r="60" spans="1:4" x14ac:dyDescent="0.25">
      <c r="A60">
        <f ca="1"/>
        <v>0</v>
      </c>
      <c r="B60">
        <v>60</v>
      </c>
      <c r="C60">
        <f ca="1">INDIRECT(ADDRESS($B60,1,3,1,Menus!$K$10))</f>
        <v>0</v>
      </c>
      <c r="D60">
        <f ca="1">INDIRECT(ADDRESS($B60,2,3,1,Menus!$K$10))</f>
        <v>0</v>
      </c>
    </row>
    <row r="61" spans="1:4" x14ac:dyDescent="0.25">
      <c r="A61">
        <f ca="1"/>
        <v>0</v>
      </c>
      <c r="B61">
        <v>61</v>
      </c>
      <c r="C61">
        <f ca="1">INDIRECT(ADDRESS($B61,1,3,1,Menus!$K$10))</f>
        <v>0</v>
      </c>
      <c r="D61">
        <f ca="1">INDIRECT(ADDRESS($B61,2,3,1,Menus!$K$10))</f>
        <v>0</v>
      </c>
    </row>
    <row r="62" spans="1:4" x14ac:dyDescent="0.25">
      <c r="A62">
        <f ca="1"/>
        <v>0</v>
      </c>
      <c r="B62">
        <v>62</v>
      </c>
      <c r="C62">
        <f ca="1">INDIRECT(ADDRESS($B62,1,3,1,Menus!$K$10))</f>
        <v>0</v>
      </c>
      <c r="D62">
        <f ca="1">INDIRECT(ADDRESS($B62,2,3,1,Menus!$K$10))</f>
        <v>0</v>
      </c>
    </row>
    <row r="63" spans="1:4" x14ac:dyDescent="0.25">
      <c r="A63">
        <f ca="1"/>
        <v>0</v>
      </c>
      <c r="B63" s="7">
        <v>63</v>
      </c>
      <c r="C63">
        <f ca="1">INDIRECT(ADDRESS($B63,1,3,1,Menus!$K$10))</f>
        <v>0</v>
      </c>
      <c r="D63">
        <f ca="1">INDIRECT(ADDRESS($B63,2,3,1,Menus!$K$10))</f>
        <v>0</v>
      </c>
    </row>
    <row r="64" spans="1:4" x14ac:dyDescent="0.25">
      <c r="A64">
        <f ca="1"/>
        <v>0</v>
      </c>
      <c r="B64">
        <v>64</v>
      </c>
      <c r="C64">
        <f ca="1">INDIRECT(ADDRESS($B64,1,3,1,Menus!$K$10))</f>
        <v>0</v>
      </c>
      <c r="D64">
        <f ca="1">INDIRECT(ADDRESS($B64,2,3,1,Menus!$K$10))</f>
        <v>0</v>
      </c>
    </row>
    <row r="65" spans="1:4" x14ac:dyDescent="0.25">
      <c r="A65">
        <f ca="1"/>
        <v>0</v>
      </c>
      <c r="B65">
        <v>65</v>
      </c>
      <c r="C65">
        <f ca="1">INDIRECT(ADDRESS($B65,1,3,1,Menus!$K$10))</f>
        <v>0</v>
      </c>
      <c r="D65">
        <f ca="1">INDIRECT(ADDRESS($B65,2,3,1,Menus!$K$10))</f>
        <v>0</v>
      </c>
    </row>
    <row r="66" spans="1:4" x14ac:dyDescent="0.25">
      <c r="A66">
        <f ca="1"/>
        <v>0</v>
      </c>
      <c r="B66">
        <v>66</v>
      </c>
      <c r="C66">
        <f ca="1">INDIRECT(ADDRESS($B66,1,3,1,Menus!$K$10))</f>
        <v>0</v>
      </c>
      <c r="D66">
        <f ca="1">INDIRECT(ADDRESS($B66,2,3,1,Menus!$K$10))</f>
        <v>0</v>
      </c>
    </row>
    <row r="67" spans="1:4" x14ac:dyDescent="0.25">
      <c r="A67">
        <f ca="1"/>
        <v>0</v>
      </c>
      <c r="B67" s="7">
        <v>67</v>
      </c>
      <c r="C67">
        <f ca="1">INDIRECT(ADDRESS($B67,1,3,1,Menus!$K$10))</f>
        <v>0</v>
      </c>
      <c r="D67">
        <f ca="1">INDIRECT(ADDRESS($B67,2,3,1,Menus!$K$10))</f>
        <v>0</v>
      </c>
    </row>
    <row r="68" spans="1:4" x14ac:dyDescent="0.25">
      <c r="A68">
        <f ca="1"/>
        <v>0</v>
      </c>
      <c r="B68">
        <v>68</v>
      </c>
      <c r="C68">
        <f ca="1">INDIRECT(ADDRESS($B68,1,3,1,Menus!$K$10))</f>
        <v>0</v>
      </c>
      <c r="D68">
        <f ca="1">INDIRECT(ADDRESS($B68,2,3,1,Menus!$K$10))</f>
        <v>0</v>
      </c>
    </row>
    <row r="69" spans="1:4" x14ac:dyDescent="0.25">
      <c r="A69">
        <f ca="1"/>
        <v>0</v>
      </c>
      <c r="B69">
        <v>69</v>
      </c>
      <c r="C69">
        <f ca="1">INDIRECT(ADDRESS($B69,1,3,1,Menus!$K$10))</f>
        <v>0</v>
      </c>
      <c r="D69">
        <f ca="1">INDIRECT(ADDRESS($B69,2,3,1,Menus!$K$10))</f>
        <v>0</v>
      </c>
    </row>
    <row r="70" spans="1:4" x14ac:dyDescent="0.25">
      <c r="A70">
        <f ca="1"/>
        <v>0</v>
      </c>
      <c r="B70">
        <v>70</v>
      </c>
      <c r="C70">
        <f ca="1">INDIRECT(ADDRESS($B70,1,3,1,Menus!$K$10))</f>
        <v>0</v>
      </c>
      <c r="D70">
        <f ca="1">INDIRECT(ADDRESS($B70,2,3,1,Menus!$K$10))</f>
        <v>0</v>
      </c>
    </row>
    <row r="71" spans="1:4" x14ac:dyDescent="0.25">
      <c r="A71">
        <f ca="1"/>
        <v>0</v>
      </c>
      <c r="B71" s="7">
        <v>71</v>
      </c>
      <c r="C71">
        <f ca="1">INDIRECT(ADDRESS($B71,1,3,1,Menus!$K$10))</f>
        <v>0</v>
      </c>
      <c r="D71">
        <f ca="1">INDIRECT(ADDRESS($B71,2,3,1,Menus!$K$10))</f>
        <v>0</v>
      </c>
    </row>
    <row r="72" spans="1:4" x14ac:dyDescent="0.25">
      <c r="A72">
        <f ca="1"/>
        <v>0</v>
      </c>
      <c r="B72">
        <v>72</v>
      </c>
      <c r="C72">
        <f ca="1">INDIRECT(ADDRESS($B72,1,3,1,Menus!$K$10))</f>
        <v>0</v>
      </c>
      <c r="D72">
        <f ca="1">INDIRECT(ADDRESS($B72,2,3,1,Menus!$K$10))</f>
        <v>0</v>
      </c>
    </row>
    <row r="73" spans="1:4" x14ac:dyDescent="0.25">
      <c r="A73">
        <f ca="1"/>
        <v>0</v>
      </c>
      <c r="B73">
        <v>73</v>
      </c>
      <c r="C73">
        <f ca="1">INDIRECT(ADDRESS($B73,1,3,1,Menus!$K$10))</f>
        <v>0</v>
      </c>
      <c r="D73">
        <f ca="1">INDIRECT(ADDRESS($B73,2,3,1,Menus!$K$10))</f>
        <v>0</v>
      </c>
    </row>
    <row r="74" spans="1:4" x14ac:dyDescent="0.25">
      <c r="A74">
        <f ca="1"/>
        <v>0</v>
      </c>
      <c r="B74">
        <v>74</v>
      </c>
      <c r="C74">
        <f ca="1">INDIRECT(ADDRESS($B74,1,3,1,Menus!$K$10))</f>
        <v>0</v>
      </c>
      <c r="D74">
        <f ca="1">INDIRECT(ADDRESS($B74,2,3,1,Menus!$K$10))</f>
        <v>0</v>
      </c>
    </row>
    <row r="75" spans="1:4" x14ac:dyDescent="0.25">
      <c r="A75">
        <f ca="1"/>
        <v>0</v>
      </c>
      <c r="B75" s="7">
        <v>75</v>
      </c>
      <c r="C75">
        <f ca="1">INDIRECT(ADDRESS($B75,1,3,1,Menus!$K$10))</f>
        <v>0</v>
      </c>
      <c r="D75">
        <f ca="1">INDIRECT(ADDRESS($B75,2,3,1,Menus!$K$10))</f>
        <v>0</v>
      </c>
    </row>
    <row r="76" spans="1:4" x14ac:dyDescent="0.25">
      <c r="A76">
        <f ca="1"/>
        <v>0</v>
      </c>
      <c r="B76">
        <v>76</v>
      </c>
      <c r="C76">
        <f ca="1">INDIRECT(ADDRESS($B76,1,3,1,Menus!$K$10))</f>
        <v>0</v>
      </c>
      <c r="D76">
        <f ca="1">INDIRECT(ADDRESS($B76,2,3,1,Menus!$K$10))</f>
        <v>0</v>
      </c>
    </row>
    <row r="77" spans="1:4" x14ac:dyDescent="0.25">
      <c r="A77">
        <f ca="1"/>
        <v>0</v>
      </c>
      <c r="B77">
        <v>77</v>
      </c>
      <c r="C77">
        <f ca="1">INDIRECT(ADDRESS($B77,1,3,1,Menus!$K$10))</f>
        <v>0</v>
      </c>
      <c r="D77">
        <f ca="1">INDIRECT(ADDRESS($B77,2,3,1,Menus!$K$10))</f>
        <v>0</v>
      </c>
    </row>
    <row r="78" spans="1:4" x14ac:dyDescent="0.25">
      <c r="A78">
        <f ca="1"/>
        <v>0</v>
      </c>
      <c r="B78">
        <v>78</v>
      </c>
      <c r="C78">
        <f ca="1">INDIRECT(ADDRESS($B78,1,3,1,Menus!$K$10))</f>
        <v>0</v>
      </c>
      <c r="D78">
        <f ca="1">INDIRECT(ADDRESS($B78,2,3,1,Menus!$K$10))</f>
        <v>0</v>
      </c>
    </row>
    <row r="79" spans="1:4" x14ac:dyDescent="0.25">
      <c r="A79">
        <f ca="1"/>
        <v>0</v>
      </c>
      <c r="B79" s="7">
        <v>79</v>
      </c>
      <c r="C79">
        <f ca="1">INDIRECT(ADDRESS($B79,1,3,1,Menus!$K$10))</f>
        <v>0</v>
      </c>
      <c r="D79">
        <f ca="1">INDIRECT(ADDRESS($B79,2,3,1,Menus!$K$10))</f>
        <v>0</v>
      </c>
    </row>
    <row r="80" spans="1:4" x14ac:dyDescent="0.25">
      <c r="A80">
        <f ca="1"/>
        <v>0</v>
      </c>
      <c r="B80">
        <v>80</v>
      </c>
      <c r="C80">
        <f ca="1">INDIRECT(ADDRESS($B80,1,3,1,Menus!$K$10))</f>
        <v>0</v>
      </c>
      <c r="D80">
        <f ca="1">INDIRECT(ADDRESS($B80,2,3,1,Menus!$K$10))</f>
        <v>0</v>
      </c>
    </row>
    <row r="81" spans="1:4" x14ac:dyDescent="0.25">
      <c r="A81">
        <f ca="1"/>
        <v>0</v>
      </c>
      <c r="B81">
        <v>81</v>
      </c>
      <c r="C81">
        <f ca="1">INDIRECT(ADDRESS($B81,1,3,1,Menus!$K$10))</f>
        <v>0</v>
      </c>
      <c r="D81">
        <f ca="1">INDIRECT(ADDRESS($B81,2,3,1,Menus!$K$10))</f>
        <v>0</v>
      </c>
    </row>
    <row r="82" spans="1:4" x14ac:dyDescent="0.25">
      <c r="A82">
        <f ca="1"/>
        <v>0</v>
      </c>
      <c r="B82">
        <v>82</v>
      </c>
      <c r="C82">
        <f ca="1">INDIRECT(ADDRESS($B82,1,3,1,Menus!$K$10))</f>
        <v>0</v>
      </c>
      <c r="D82">
        <f ca="1">INDIRECT(ADDRESS($B82,2,3,1,Menus!$K$10))</f>
        <v>0</v>
      </c>
    </row>
    <row r="83" spans="1:4" x14ac:dyDescent="0.25">
      <c r="A83">
        <f ca="1"/>
        <v>0</v>
      </c>
      <c r="B83" s="7">
        <v>83</v>
      </c>
      <c r="C83">
        <f ca="1">INDIRECT(ADDRESS($B83,1,3,1,Menus!$K$10))</f>
        <v>0</v>
      </c>
      <c r="D83">
        <f ca="1">INDIRECT(ADDRESS($B83,2,3,1,Menus!$K$10))</f>
        <v>0</v>
      </c>
    </row>
    <row r="84" spans="1:4" x14ac:dyDescent="0.25">
      <c r="A84">
        <f ca="1"/>
        <v>0</v>
      </c>
      <c r="B84">
        <v>84</v>
      </c>
      <c r="C84">
        <f ca="1">INDIRECT(ADDRESS($B84,1,3,1,Menus!$K$10))</f>
        <v>0</v>
      </c>
      <c r="D84">
        <f ca="1">INDIRECT(ADDRESS($B84,2,3,1,Menus!$K$10))</f>
        <v>0</v>
      </c>
    </row>
    <row r="85" spans="1:4" x14ac:dyDescent="0.25">
      <c r="A85">
        <f ca="1"/>
        <v>0</v>
      </c>
      <c r="B85">
        <v>85</v>
      </c>
      <c r="C85">
        <f ca="1">INDIRECT(ADDRESS($B85,1,3,1,Menus!$K$10))</f>
        <v>0</v>
      </c>
      <c r="D85">
        <f ca="1">INDIRECT(ADDRESS($B85,2,3,1,Menus!$K$10))</f>
        <v>0</v>
      </c>
    </row>
    <row r="86" spans="1:4" x14ac:dyDescent="0.25">
      <c r="A86">
        <f ca="1"/>
        <v>0</v>
      </c>
      <c r="B86">
        <v>86</v>
      </c>
      <c r="C86">
        <f ca="1">INDIRECT(ADDRESS($B86,1,3,1,Menus!$K$10))</f>
        <v>0</v>
      </c>
      <c r="D86">
        <f ca="1">INDIRECT(ADDRESS($B86,2,3,1,Menus!$K$10))</f>
        <v>0</v>
      </c>
    </row>
    <row r="87" spans="1:4" x14ac:dyDescent="0.25">
      <c r="A87">
        <f ca="1"/>
        <v>0</v>
      </c>
      <c r="B87" s="7">
        <v>87</v>
      </c>
      <c r="C87">
        <f ca="1">INDIRECT(ADDRESS($B87,1,3,1,Menus!$K$10))</f>
        <v>0</v>
      </c>
      <c r="D87">
        <f ca="1">INDIRECT(ADDRESS($B87,2,3,1,Menus!$K$10))</f>
        <v>0</v>
      </c>
    </row>
    <row r="88" spans="1:4" x14ac:dyDescent="0.25">
      <c r="A88">
        <f ca="1"/>
        <v>0</v>
      </c>
      <c r="B88">
        <v>88</v>
      </c>
      <c r="C88">
        <f ca="1">INDIRECT(ADDRESS($B88,1,3,1,Menus!$K$10))</f>
        <v>0</v>
      </c>
      <c r="D88">
        <f ca="1">INDIRECT(ADDRESS($B88,2,3,1,Menus!$K$10))</f>
        <v>0</v>
      </c>
    </row>
    <row r="89" spans="1:4" x14ac:dyDescent="0.25">
      <c r="A89">
        <f ca="1"/>
        <v>0</v>
      </c>
      <c r="B89">
        <v>89</v>
      </c>
      <c r="C89">
        <f ca="1">INDIRECT(ADDRESS($B89,1,3,1,Menus!$K$10))</f>
        <v>0</v>
      </c>
      <c r="D89">
        <f ca="1">INDIRECT(ADDRESS($B89,2,3,1,Menus!$K$10))</f>
        <v>0</v>
      </c>
    </row>
    <row r="90" spans="1:4" x14ac:dyDescent="0.25">
      <c r="A90">
        <f ca="1"/>
        <v>0</v>
      </c>
      <c r="B90">
        <v>90</v>
      </c>
      <c r="C90">
        <f ca="1">INDIRECT(ADDRESS($B90,1,3,1,Menus!$K$10))</f>
        <v>0</v>
      </c>
      <c r="D90">
        <f ca="1">INDIRECT(ADDRESS($B90,2,3,1,Menus!$K$10))</f>
        <v>0</v>
      </c>
    </row>
    <row r="91" spans="1:4" x14ac:dyDescent="0.25">
      <c r="A91">
        <f ca="1"/>
        <v>0</v>
      </c>
      <c r="B91" s="7">
        <v>91</v>
      </c>
      <c r="C91">
        <f ca="1">INDIRECT(ADDRESS($B91,1,3,1,Menus!$K$10))</f>
        <v>0</v>
      </c>
      <c r="D91">
        <f ca="1">INDIRECT(ADDRESS($B91,2,3,1,Menus!$K$10))</f>
        <v>0</v>
      </c>
    </row>
    <row r="92" spans="1:4" x14ac:dyDescent="0.25">
      <c r="A92">
        <f ca="1"/>
        <v>0</v>
      </c>
      <c r="B92">
        <v>92</v>
      </c>
      <c r="C92">
        <f ca="1">INDIRECT(ADDRESS($B92,1,3,1,Menus!$K$10))</f>
        <v>0</v>
      </c>
      <c r="D92">
        <f ca="1">INDIRECT(ADDRESS($B92,2,3,1,Menus!$K$10))</f>
        <v>0</v>
      </c>
    </row>
    <row r="93" spans="1:4" x14ac:dyDescent="0.25">
      <c r="A93">
        <f ca="1"/>
        <v>0</v>
      </c>
      <c r="B93">
        <v>93</v>
      </c>
      <c r="C93">
        <f ca="1">INDIRECT(ADDRESS($B93,1,3,1,Menus!$K$10))</f>
        <v>0</v>
      </c>
      <c r="D93">
        <f ca="1">INDIRECT(ADDRESS($B93,2,3,1,Menus!$K$10))</f>
        <v>0</v>
      </c>
    </row>
    <row r="94" spans="1:4" x14ac:dyDescent="0.25">
      <c r="A94">
        <f ca="1"/>
        <v>0</v>
      </c>
      <c r="B94">
        <v>94</v>
      </c>
      <c r="C94">
        <f ca="1">INDIRECT(ADDRESS($B94,1,3,1,Menus!$K$10))</f>
        <v>0</v>
      </c>
      <c r="D94">
        <f ca="1">INDIRECT(ADDRESS($B94,2,3,1,Menus!$K$10))</f>
        <v>0</v>
      </c>
    </row>
    <row r="95" spans="1:4" x14ac:dyDescent="0.25">
      <c r="A95">
        <f ca="1"/>
        <v>0</v>
      </c>
      <c r="B95" s="7">
        <v>95</v>
      </c>
      <c r="C95">
        <f ca="1">INDIRECT(ADDRESS($B95,1,3,1,Menus!$K$10))</f>
        <v>0</v>
      </c>
      <c r="D95">
        <f ca="1">INDIRECT(ADDRESS($B95,2,3,1,Menus!$K$10))</f>
        <v>0</v>
      </c>
    </row>
    <row r="96" spans="1:4" x14ac:dyDescent="0.25">
      <c r="A96">
        <f ca="1"/>
        <v>0</v>
      </c>
      <c r="B96">
        <v>96</v>
      </c>
      <c r="C96">
        <f ca="1">INDIRECT(ADDRESS($B96,1,3,1,Menus!$K$10))</f>
        <v>0</v>
      </c>
      <c r="D96">
        <f ca="1">INDIRECT(ADDRESS($B96,2,3,1,Menus!$K$10))</f>
        <v>0</v>
      </c>
    </row>
    <row r="97" spans="1:4" x14ac:dyDescent="0.25">
      <c r="A97">
        <f ca="1"/>
        <v>0</v>
      </c>
      <c r="B97">
        <v>97</v>
      </c>
      <c r="C97">
        <f ca="1">INDIRECT(ADDRESS($B97,1,3,1,Menus!$K$10))</f>
        <v>0</v>
      </c>
      <c r="D97">
        <f ca="1">INDIRECT(ADDRESS($B97,2,3,1,Menus!$K$10))</f>
        <v>0</v>
      </c>
    </row>
    <row r="98" spans="1:4" x14ac:dyDescent="0.25">
      <c r="A98">
        <f ca="1"/>
        <v>0</v>
      </c>
      <c r="B98">
        <v>98</v>
      </c>
      <c r="C98">
        <f ca="1">INDIRECT(ADDRESS($B98,1,3,1,Menus!$K$10))</f>
        <v>0</v>
      </c>
      <c r="D98">
        <f ca="1">INDIRECT(ADDRESS($B98,2,3,1,Menus!$K$10))</f>
        <v>0</v>
      </c>
    </row>
    <row r="99" spans="1:4" x14ac:dyDescent="0.25">
      <c r="A99">
        <f ca="1"/>
        <v>0</v>
      </c>
      <c r="B99" s="7">
        <v>99</v>
      </c>
      <c r="C99">
        <f ca="1">INDIRECT(ADDRESS($B99,1,3,1,Menus!$K$10))</f>
        <v>0</v>
      </c>
      <c r="D99">
        <f ca="1">INDIRECT(ADDRESS($B99,2,3,1,Menus!$K$10))</f>
        <v>0</v>
      </c>
    </row>
    <row r="100" spans="1:4" x14ac:dyDescent="0.25">
      <c r="A100">
        <f ca="1"/>
        <v>0</v>
      </c>
      <c r="B100">
        <v>100</v>
      </c>
      <c r="C100">
        <f ca="1">INDIRECT(ADDRESS($B100,1,3,1,Menus!$K$10))</f>
        <v>0</v>
      </c>
      <c r="D100">
        <f ca="1">INDIRECT(ADDRESS($B100,2,3,1,Menus!$K$10))</f>
        <v>0</v>
      </c>
    </row>
    <row r="101" spans="1:4" x14ac:dyDescent="0.25">
      <c r="A101">
        <f ca="1"/>
        <v>0</v>
      </c>
      <c r="B101">
        <v>101</v>
      </c>
      <c r="C101">
        <f ca="1">INDIRECT(ADDRESS($B101,1,3,1,Menus!$K$10))</f>
        <v>0</v>
      </c>
      <c r="D101">
        <f ca="1">INDIRECT(ADDRESS($B101,2,3,1,Menus!$K$10))</f>
        <v>0</v>
      </c>
    </row>
    <row r="102" spans="1:4" x14ac:dyDescent="0.25">
      <c r="A102">
        <f ca="1"/>
        <v>0</v>
      </c>
      <c r="B102">
        <v>102</v>
      </c>
      <c r="C102">
        <f ca="1">INDIRECT(ADDRESS($B102,1,3,1,Menus!$K$10))</f>
        <v>0</v>
      </c>
      <c r="D102">
        <f ca="1">INDIRECT(ADDRESS($B102,2,3,1,Menus!$K$10))</f>
        <v>0</v>
      </c>
    </row>
    <row r="103" spans="1:4" x14ac:dyDescent="0.25">
      <c r="A103">
        <f ca="1"/>
        <v>0</v>
      </c>
      <c r="B103" s="7">
        <v>103</v>
      </c>
      <c r="C103">
        <f ca="1">INDIRECT(ADDRESS($B103,1,3,1,Menus!$K$10))</f>
        <v>0</v>
      </c>
      <c r="D103">
        <f ca="1">INDIRECT(ADDRESS($B103,2,3,1,Menus!$K$10))</f>
        <v>0</v>
      </c>
    </row>
    <row r="104" spans="1:4" x14ac:dyDescent="0.25">
      <c r="A104">
        <f ca="1"/>
        <v>0</v>
      </c>
      <c r="B104">
        <v>104</v>
      </c>
      <c r="C104">
        <f ca="1">INDIRECT(ADDRESS($B104,1,3,1,Menus!$K$10))</f>
        <v>0</v>
      </c>
      <c r="D104">
        <f ca="1">INDIRECT(ADDRESS($B104,2,3,1,Menus!$K$10))</f>
        <v>0</v>
      </c>
    </row>
    <row r="105" spans="1:4" x14ac:dyDescent="0.25">
      <c r="A105">
        <f ca="1"/>
        <v>0</v>
      </c>
      <c r="B105">
        <v>105</v>
      </c>
      <c r="C105">
        <f ca="1">INDIRECT(ADDRESS($B105,1,3,1,Menus!$K$10))</f>
        <v>0</v>
      </c>
      <c r="D105">
        <f ca="1">INDIRECT(ADDRESS($B105,2,3,1,Menus!$K$10))</f>
        <v>0</v>
      </c>
    </row>
    <row r="106" spans="1:4" x14ac:dyDescent="0.25">
      <c r="A106">
        <f ca="1"/>
        <v>0</v>
      </c>
      <c r="B106">
        <v>106</v>
      </c>
      <c r="C106">
        <f ca="1">INDIRECT(ADDRESS($B106,1,3,1,Menus!$K$10))</f>
        <v>0</v>
      </c>
      <c r="D106">
        <f ca="1">INDIRECT(ADDRESS($B106,2,3,1,Menus!$K$10))</f>
        <v>0</v>
      </c>
    </row>
    <row r="107" spans="1:4" x14ac:dyDescent="0.25">
      <c r="A107">
        <f ca="1"/>
        <v>0</v>
      </c>
      <c r="B107" s="7">
        <v>107</v>
      </c>
      <c r="C107">
        <f ca="1">INDIRECT(ADDRESS($B107,1,3,1,Menus!$K$10))</f>
        <v>0</v>
      </c>
      <c r="D107">
        <f ca="1">INDIRECT(ADDRESS($B107,2,3,1,Menus!$K$10))</f>
        <v>0</v>
      </c>
    </row>
    <row r="108" spans="1:4" x14ac:dyDescent="0.25">
      <c r="A108">
        <f ca="1"/>
        <v>0</v>
      </c>
      <c r="B108">
        <v>108</v>
      </c>
      <c r="C108">
        <f ca="1">INDIRECT(ADDRESS($B108,1,3,1,Menus!$K$10))</f>
        <v>0</v>
      </c>
      <c r="D108">
        <f ca="1">INDIRECT(ADDRESS($B108,2,3,1,Menus!$K$10))</f>
        <v>0</v>
      </c>
    </row>
    <row r="109" spans="1:4" x14ac:dyDescent="0.25">
      <c r="A109">
        <f ca="1"/>
        <v>0</v>
      </c>
      <c r="B109">
        <v>109</v>
      </c>
      <c r="C109">
        <f ca="1">INDIRECT(ADDRESS($B109,1,3,1,Menus!$K$10))</f>
        <v>0</v>
      </c>
      <c r="D109">
        <f ca="1">INDIRECT(ADDRESS($B109,2,3,1,Menus!$K$10))</f>
        <v>0</v>
      </c>
    </row>
    <row r="110" spans="1:4" x14ac:dyDescent="0.25">
      <c r="A110">
        <f ca="1"/>
        <v>0</v>
      </c>
      <c r="B110">
        <v>110</v>
      </c>
      <c r="C110">
        <f ca="1">INDIRECT(ADDRESS($B110,1,3,1,Menus!$K$10))</f>
        <v>0</v>
      </c>
      <c r="D110">
        <f ca="1">INDIRECT(ADDRESS($B110,2,3,1,Menus!$K$10))</f>
        <v>0</v>
      </c>
    </row>
    <row r="111" spans="1:4" x14ac:dyDescent="0.25">
      <c r="A111">
        <f ca="1"/>
        <v>0</v>
      </c>
      <c r="B111" s="7">
        <v>111</v>
      </c>
      <c r="C111">
        <f ca="1">INDIRECT(ADDRESS($B111,1,3,1,Menus!$K$10))</f>
        <v>0</v>
      </c>
      <c r="D111">
        <f ca="1">INDIRECT(ADDRESS($B111,2,3,1,Menus!$K$10))</f>
        <v>0</v>
      </c>
    </row>
    <row r="112" spans="1:4" x14ac:dyDescent="0.25">
      <c r="A112">
        <f ca="1"/>
        <v>0</v>
      </c>
      <c r="B112">
        <v>112</v>
      </c>
      <c r="C112">
        <f ca="1">INDIRECT(ADDRESS($B112,1,3,1,Menus!$K$10))</f>
        <v>0</v>
      </c>
      <c r="D112">
        <f ca="1">INDIRECT(ADDRESS($B112,2,3,1,Menus!$K$10))</f>
        <v>0</v>
      </c>
    </row>
    <row r="113" spans="1:4" x14ac:dyDescent="0.25">
      <c r="A113">
        <f ca="1"/>
        <v>0</v>
      </c>
      <c r="B113">
        <v>113</v>
      </c>
      <c r="C113">
        <f ca="1">INDIRECT(ADDRESS($B113,1,3,1,Menus!$K$10))</f>
        <v>0</v>
      </c>
      <c r="D113">
        <f ca="1">INDIRECT(ADDRESS($B113,2,3,1,Menus!$K$10))</f>
        <v>0</v>
      </c>
    </row>
    <row r="114" spans="1:4" x14ac:dyDescent="0.25">
      <c r="A114">
        <f ca="1"/>
        <v>0</v>
      </c>
      <c r="B114">
        <v>114</v>
      </c>
      <c r="C114">
        <f ca="1">INDIRECT(ADDRESS($B114,1,3,1,Menus!$K$10))</f>
        <v>0</v>
      </c>
      <c r="D114">
        <f ca="1">INDIRECT(ADDRESS($B114,2,3,1,Menus!$K$10))</f>
        <v>0</v>
      </c>
    </row>
    <row r="115" spans="1:4" x14ac:dyDescent="0.25">
      <c r="A115">
        <f ca="1"/>
        <v>0</v>
      </c>
      <c r="B115" s="7">
        <v>115</v>
      </c>
      <c r="C115">
        <f ca="1">INDIRECT(ADDRESS($B115,1,3,1,Menus!$K$10))</f>
        <v>0</v>
      </c>
      <c r="D115">
        <f ca="1">INDIRECT(ADDRESS($B115,2,3,1,Menus!$K$10))</f>
        <v>0</v>
      </c>
    </row>
    <row r="116" spans="1:4" x14ac:dyDescent="0.25">
      <c r="A116">
        <f ca="1"/>
        <v>0</v>
      </c>
      <c r="B116">
        <v>116</v>
      </c>
      <c r="C116">
        <f ca="1">INDIRECT(ADDRESS($B116,1,3,1,Menus!$K$10))</f>
        <v>0</v>
      </c>
      <c r="D116">
        <f ca="1">INDIRECT(ADDRESS($B116,2,3,1,Menus!$K$10))</f>
        <v>0</v>
      </c>
    </row>
    <row r="117" spans="1:4" x14ac:dyDescent="0.25">
      <c r="A117">
        <f ca="1"/>
        <v>0</v>
      </c>
      <c r="B117">
        <v>117</v>
      </c>
      <c r="C117">
        <f ca="1">INDIRECT(ADDRESS($B117,1,3,1,Menus!$K$10))</f>
        <v>0</v>
      </c>
      <c r="D117">
        <f ca="1">INDIRECT(ADDRESS($B117,2,3,1,Menus!$K$10))</f>
        <v>0</v>
      </c>
    </row>
    <row r="118" spans="1:4" x14ac:dyDescent="0.25">
      <c r="A118">
        <f ca="1"/>
        <v>0</v>
      </c>
      <c r="B118">
        <v>118</v>
      </c>
      <c r="C118">
        <f ca="1">INDIRECT(ADDRESS($B118,1,3,1,Menus!$K$10))</f>
        <v>0</v>
      </c>
      <c r="D118">
        <f ca="1">INDIRECT(ADDRESS($B118,2,3,1,Menus!$K$10))</f>
        <v>0</v>
      </c>
    </row>
    <row r="119" spans="1:4" x14ac:dyDescent="0.25">
      <c r="A119">
        <f ca="1"/>
        <v>0</v>
      </c>
      <c r="B119" s="7">
        <v>119</v>
      </c>
      <c r="C119">
        <f ca="1">INDIRECT(ADDRESS($B119,1,3,1,Menus!$K$10))</f>
        <v>0</v>
      </c>
      <c r="D119">
        <f ca="1">INDIRECT(ADDRESS($B119,2,3,1,Menus!$K$10))</f>
        <v>0</v>
      </c>
    </row>
    <row r="120" spans="1:4" x14ac:dyDescent="0.25">
      <c r="A120">
        <f ca="1"/>
        <v>0</v>
      </c>
      <c r="B120">
        <v>120</v>
      </c>
      <c r="C120">
        <f ca="1">INDIRECT(ADDRESS($B120,1,3,1,Menus!$K$10))</f>
        <v>0</v>
      </c>
      <c r="D120">
        <f ca="1">INDIRECT(ADDRESS($B120,2,3,1,Menus!$K$10))</f>
        <v>0</v>
      </c>
    </row>
    <row r="121" spans="1:4" x14ac:dyDescent="0.25">
      <c r="A121">
        <f ca="1"/>
        <v>0</v>
      </c>
      <c r="B121">
        <v>121</v>
      </c>
      <c r="C121">
        <f ca="1">INDIRECT(ADDRESS($B121,1,3,1,Menus!$K$10))</f>
        <v>0</v>
      </c>
      <c r="D121">
        <f ca="1">INDIRECT(ADDRESS($B121,2,3,1,Menus!$K$10))</f>
        <v>0</v>
      </c>
    </row>
    <row r="122" spans="1:4" x14ac:dyDescent="0.25">
      <c r="A122">
        <f ca="1"/>
        <v>0</v>
      </c>
      <c r="B122">
        <v>122</v>
      </c>
      <c r="C122">
        <f ca="1">INDIRECT(ADDRESS($B122,1,3,1,Menus!$K$10))</f>
        <v>0</v>
      </c>
      <c r="D122">
        <f ca="1">INDIRECT(ADDRESS($B122,2,3,1,Menus!$K$10))</f>
        <v>0</v>
      </c>
    </row>
    <row r="123" spans="1:4" x14ac:dyDescent="0.25">
      <c r="A123">
        <f ca="1"/>
        <v>0</v>
      </c>
      <c r="B123" s="7">
        <v>123</v>
      </c>
      <c r="C123">
        <f ca="1">INDIRECT(ADDRESS($B123,1,3,1,Menus!$K$10))</f>
        <v>0</v>
      </c>
      <c r="D123">
        <f ca="1">INDIRECT(ADDRESS($B123,2,3,1,Menus!$K$10))</f>
        <v>0</v>
      </c>
    </row>
    <row r="124" spans="1:4" x14ac:dyDescent="0.25">
      <c r="A124">
        <f ca="1"/>
        <v>0</v>
      </c>
      <c r="B124">
        <v>124</v>
      </c>
      <c r="C124">
        <f ca="1">INDIRECT(ADDRESS($B124,1,3,1,Menus!$K$10))</f>
        <v>0</v>
      </c>
      <c r="D124">
        <f ca="1">INDIRECT(ADDRESS($B124,2,3,1,Menus!$K$10))</f>
        <v>0</v>
      </c>
    </row>
    <row r="125" spans="1:4" x14ac:dyDescent="0.25">
      <c r="A125">
        <f ca="1"/>
        <v>0</v>
      </c>
      <c r="B125">
        <v>125</v>
      </c>
      <c r="C125">
        <f ca="1">INDIRECT(ADDRESS($B125,1,3,1,Menus!$K$10))</f>
        <v>0</v>
      </c>
      <c r="D125">
        <f ca="1">INDIRECT(ADDRESS($B125,2,3,1,Menus!$K$10))</f>
        <v>0</v>
      </c>
    </row>
    <row r="126" spans="1:4" x14ac:dyDescent="0.25">
      <c r="A126">
        <f ca="1"/>
        <v>0</v>
      </c>
      <c r="B126">
        <v>126</v>
      </c>
      <c r="C126">
        <f ca="1">INDIRECT(ADDRESS($B126,1,3,1,Menus!$K$10))</f>
        <v>0</v>
      </c>
      <c r="D126">
        <f ca="1">INDIRECT(ADDRESS($B126,2,3,1,Menus!$K$10))</f>
        <v>0</v>
      </c>
    </row>
    <row r="127" spans="1:4" x14ac:dyDescent="0.25">
      <c r="A127">
        <f ca="1"/>
        <v>0</v>
      </c>
      <c r="B127" s="7">
        <v>127</v>
      </c>
      <c r="C127">
        <f ca="1">INDIRECT(ADDRESS($B127,1,3,1,Menus!$K$10))</f>
        <v>0</v>
      </c>
      <c r="D127">
        <f ca="1">INDIRECT(ADDRESS($B127,2,3,1,Menus!$K$10))</f>
        <v>0</v>
      </c>
    </row>
    <row r="128" spans="1:4" x14ac:dyDescent="0.25">
      <c r="A128">
        <f ca="1"/>
        <v>0</v>
      </c>
      <c r="B128">
        <v>128</v>
      </c>
      <c r="C128">
        <f ca="1">INDIRECT(ADDRESS($B128,1,3,1,Menus!$K$10))</f>
        <v>0</v>
      </c>
      <c r="D128">
        <f ca="1">INDIRECT(ADDRESS($B128,2,3,1,Menus!$K$10))</f>
        <v>0</v>
      </c>
    </row>
    <row r="129" spans="1:4" x14ac:dyDescent="0.25">
      <c r="A129">
        <f ca="1"/>
        <v>0</v>
      </c>
      <c r="B129">
        <v>129</v>
      </c>
      <c r="C129">
        <f ca="1">INDIRECT(ADDRESS($B129,1,3,1,Menus!$K$10))</f>
        <v>0</v>
      </c>
      <c r="D129">
        <f ca="1">INDIRECT(ADDRESS($B129,2,3,1,Menus!$K$10))</f>
        <v>0</v>
      </c>
    </row>
    <row r="130" spans="1:4" x14ac:dyDescent="0.25">
      <c r="A130">
        <f ca="1"/>
        <v>0</v>
      </c>
      <c r="B130">
        <v>130</v>
      </c>
      <c r="C130">
        <f ca="1">INDIRECT(ADDRESS($B130,1,3,1,Menus!$K$10))</f>
        <v>0</v>
      </c>
      <c r="D130">
        <f ca="1">INDIRECT(ADDRESS($B130,2,3,1,Menus!$K$10))</f>
        <v>0</v>
      </c>
    </row>
    <row r="131" spans="1:4" x14ac:dyDescent="0.25">
      <c r="A131">
        <f ca="1"/>
        <v>0</v>
      </c>
      <c r="B131" s="7">
        <v>131</v>
      </c>
      <c r="C131">
        <f ca="1">INDIRECT(ADDRESS($B131,1,3,1,Menus!$K$10))</f>
        <v>0</v>
      </c>
      <c r="D131">
        <f ca="1">INDIRECT(ADDRESS($B131,2,3,1,Menus!$K$10))</f>
        <v>0</v>
      </c>
    </row>
    <row r="132" spans="1:4" x14ac:dyDescent="0.25">
      <c r="A132">
        <f ca="1"/>
        <v>0</v>
      </c>
      <c r="B132">
        <v>132</v>
      </c>
      <c r="C132">
        <f ca="1">INDIRECT(ADDRESS($B132,1,3,1,Menus!$K$10))</f>
        <v>0</v>
      </c>
      <c r="D132">
        <f ca="1">INDIRECT(ADDRESS($B132,2,3,1,Menus!$K$10))</f>
        <v>0</v>
      </c>
    </row>
    <row r="133" spans="1:4" x14ac:dyDescent="0.25">
      <c r="A133">
        <f ca="1"/>
        <v>0</v>
      </c>
      <c r="B133">
        <v>133</v>
      </c>
      <c r="C133">
        <f ca="1">INDIRECT(ADDRESS($B133,1,3,1,Menus!$K$10))</f>
        <v>0</v>
      </c>
      <c r="D133">
        <f ca="1">INDIRECT(ADDRESS($B133,2,3,1,Menus!$K$10))</f>
        <v>0</v>
      </c>
    </row>
    <row r="134" spans="1:4" x14ac:dyDescent="0.25">
      <c r="A134">
        <f ca="1"/>
        <v>0</v>
      </c>
      <c r="B134">
        <v>134</v>
      </c>
      <c r="C134">
        <f ca="1">INDIRECT(ADDRESS($B134,1,3,1,Menus!$K$10))</f>
        <v>0</v>
      </c>
      <c r="D134">
        <f ca="1">INDIRECT(ADDRESS($B134,2,3,1,Menus!$K$10))</f>
        <v>0</v>
      </c>
    </row>
    <row r="135" spans="1:4" x14ac:dyDescent="0.25">
      <c r="A135">
        <f ca="1"/>
        <v>0</v>
      </c>
      <c r="B135" s="7">
        <v>135</v>
      </c>
      <c r="C135">
        <f ca="1">INDIRECT(ADDRESS($B135,1,3,1,Menus!$K$10))</f>
        <v>0</v>
      </c>
      <c r="D135">
        <f ca="1">INDIRECT(ADDRESS($B135,2,3,1,Menus!$K$10))</f>
        <v>0</v>
      </c>
    </row>
    <row r="136" spans="1:4" x14ac:dyDescent="0.25">
      <c r="A136">
        <f ca="1"/>
        <v>0</v>
      </c>
      <c r="B136">
        <v>136</v>
      </c>
      <c r="C136">
        <f ca="1">INDIRECT(ADDRESS($B136,1,3,1,Menus!$K$10))</f>
        <v>0</v>
      </c>
      <c r="D136">
        <f ca="1">INDIRECT(ADDRESS($B136,2,3,1,Menus!$K$10))</f>
        <v>0</v>
      </c>
    </row>
    <row r="137" spans="1:4" x14ac:dyDescent="0.25">
      <c r="A137">
        <f ca="1"/>
        <v>0</v>
      </c>
      <c r="B137">
        <v>137</v>
      </c>
      <c r="C137">
        <f ca="1">INDIRECT(ADDRESS($B137,1,3,1,Menus!$K$10))</f>
        <v>0</v>
      </c>
      <c r="D137">
        <f ca="1">INDIRECT(ADDRESS($B137,2,3,1,Menus!$K$10))</f>
        <v>0</v>
      </c>
    </row>
    <row r="138" spans="1:4" x14ac:dyDescent="0.25">
      <c r="A138">
        <f ca="1"/>
        <v>0</v>
      </c>
      <c r="B138">
        <v>138</v>
      </c>
      <c r="C138">
        <f ca="1">INDIRECT(ADDRESS($B138,1,3,1,Menus!$K$10))</f>
        <v>0</v>
      </c>
      <c r="D138">
        <f ca="1">INDIRECT(ADDRESS($B138,2,3,1,Menus!$K$10))</f>
        <v>0</v>
      </c>
    </row>
    <row r="139" spans="1:4" x14ac:dyDescent="0.25">
      <c r="A139">
        <f ca="1"/>
        <v>0</v>
      </c>
      <c r="B139" s="7">
        <v>139</v>
      </c>
      <c r="C139">
        <f ca="1">INDIRECT(ADDRESS($B139,1,3,1,Menus!$K$10))</f>
        <v>0</v>
      </c>
      <c r="D139">
        <f ca="1">INDIRECT(ADDRESS($B139,2,3,1,Menus!$K$10))</f>
        <v>0</v>
      </c>
    </row>
    <row r="140" spans="1:4" x14ac:dyDescent="0.25">
      <c r="A140">
        <f ca="1"/>
        <v>0</v>
      </c>
      <c r="B140">
        <v>140</v>
      </c>
      <c r="C140">
        <f ca="1">INDIRECT(ADDRESS($B140,1,3,1,Menus!$K$10))</f>
        <v>0</v>
      </c>
      <c r="D140">
        <f ca="1">INDIRECT(ADDRESS($B140,2,3,1,Menus!$K$10))</f>
        <v>0</v>
      </c>
    </row>
    <row r="141" spans="1:4" x14ac:dyDescent="0.25">
      <c r="A141">
        <f ca="1"/>
        <v>0</v>
      </c>
      <c r="B141">
        <v>141</v>
      </c>
      <c r="C141">
        <f ca="1">INDIRECT(ADDRESS($B141,1,3,1,Menus!$K$10))</f>
        <v>0</v>
      </c>
      <c r="D141">
        <f ca="1">INDIRECT(ADDRESS($B141,2,3,1,Menus!$K$10))</f>
        <v>0</v>
      </c>
    </row>
    <row r="142" spans="1:4" x14ac:dyDescent="0.25">
      <c r="A142">
        <f ca="1"/>
        <v>0</v>
      </c>
      <c r="B142">
        <v>142</v>
      </c>
      <c r="C142">
        <f ca="1">INDIRECT(ADDRESS($B142,1,3,1,Menus!$K$10))</f>
        <v>0</v>
      </c>
      <c r="D142">
        <f ca="1">INDIRECT(ADDRESS($B142,2,3,1,Menus!$K$10))</f>
        <v>0</v>
      </c>
    </row>
    <row r="143" spans="1:4" x14ac:dyDescent="0.25">
      <c r="A143">
        <f ca="1"/>
        <v>0</v>
      </c>
      <c r="B143" s="7">
        <v>143</v>
      </c>
      <c r="C143">
        <f ca="1">INDIRECT(ADDRESS($B143,1,3,1,Menus!$K$10))</f>
        <v>0</v>
      </c>
      <c r="D143">
        <f ca="1">INDIRECT(ADDRESS($B143,2,3,1,Menus!$K$10))</f>
        <v>0</v>
      </c>
    </row>
    <row r="144" spans="1:4" x14ac:dyDescent="0.25">
      <c r="A144">
        <f ca="1"/>
        <v>0</v>
      </c>
      <c r="B144">
        <v>144</v>
      </c>
      <c r="C144">
        <f ca="1">INDIRECT(ADDRESS($B144,1,3,1,Menus!$K$10))</f>
        <v>0</v>
      </c>
      <c r="D144">
        <f ca="1">INDIRECT(ADDRESS($B144,2,3,1,Menus!$K$10))</f>
        <v>0</v>
      </c>
    </row>
    <row r="145" spans="1:4" x14ac:dyDescent="0.25">
      <c r="A145">
        <f ca="1"/>
        <v>0</v>
      </c>
      <c r="B145">
        <v>145</v>
      </c>
      <c r="C145">
        <f ca="1">INDIRECT(ADDRESS($B145,1,3,1,Menus!$K$10))</f>
        <v>0</v>
      </c>
      <c r="D145">
        <f ca="1">INDIRECT(ADDRESS($B145,2,3,1,Menus!$K$10))</f>
        <v>0</v>
      </c>
    </row>
    <row r="146" spans="1:4" x14ac:dyDescent="0.25">
      <c r="A146">
        <f ca="1"/>
        <v>0</v>
      </c>
      <c r="B146">
        <v>146</v>
      </c>
      <c r="C146">
        <f ca="1">INDIRECT(ADDRESS($B146,1,3,1,Menus!$K$10))</f>
        <v>0</v>
      </c>
      <c r="D146">
        <f ca="1">INDIRECT(ADDRESS($B146,2,3,1,Menus!$K$10))</f>
        <v>0</v>
      </c>
    </row>
    <row r="147" spans="1:4" x14ac:dyDescent="0.25">
      <c r="A147">
        <f ca="1"/>
        <v>0</v>
      </c>
      <c r="B147" s="7">
        <v>147</v>
      </c>
      <c r="C147">
        <f ca="1">INDIRECT(ADDRESS($B147,1,3,1,Menus!$K$10))</f>
        <v>0</v>
      </c>
      <c r="D147">
        <f ca="1">INDIRECT(ADDRESS($B147,2,3,1,Menus!$K$10))</f>
        <v>0</v>
      </c>
    </row>
    <row r="148" spans="1:4" x14ac:dyDescent="0.25">
      <c r="A148">
        <f ca="1"/>
        <v>0</v>
      </c>
      <c r="B148">
        <v>148</v>
      </c>
      <c r="C148">
        <f ca="1">INDIRECT(ADDRESS($B148,1,3,1,Menus!$K$10))</f>
        <v>0</v>
      </c>
      <c r="D148">
        <f ca="1">INDIRECT(ADDRESS($B148,2,3,1,Menus!$K$10))</f>
        <v>0</v>
      </c>
    </row>
    <row r="149" spans="1:4" x14ac:dyDescent="0.25">
      <c r="A149">
        <f ca="1"/>
        <v>0</v>
      </c>
      <c r="B149">
        <v>149</v>
      </c>
      <c r="C149">
        <f ca="1">INDIRECT(ADDRESS($B149,1,3,1,Menus!$K$10))</f>
        <v>0</v>
      </c>
      <c r="D149">
        <f ca="1">INDIRECT(ADDRESS($B149,2,3,1,Menus!$K$10))</f>
        <v>0</v>
      </c>
    </row>
    <row r="150" spans="1:4" x14ac:dyDescent="0.25">
      <c r="A150">
        <f ca="1"/>
        <v>0</v>
      </c>
      <c r="B150">
        <v>150</v>
      </c>
      <c r="C150">
        <f ca="1">INDIRECT(ADDRESS($B150,1,3,1,Menus!$K$10))</f>
        <v>0</v>
      </c>
      <c r="D150">
        <f ca="1">INDIRECT(ADDRESS($B150,2,3,1,Menus!$K$10))</f>
        <v>0</v>
      </c>
    </row>
    <row r="151" spans="1:4" x14ac:dyDescent="0.25">
      <c r="A151">
        <f ca="1"/>
        <v>0</v>
      </c>
      <c r="B151" s="7">
        <v>151</v>
      </c>
      <c r="C151">
        <f ca="1">INDIRECT(ADDRESS($B151,1,3,1,Menus!$K$10))</f>
        <v>0</v>
      </c>
      <c r="D151">
        <f ca="1">INDIRECT(ADDRESS($B151,2,3,1,Menus!$K$10))</f>
        <v>0</v>
      </c>
    </row>
    <row r="152" spans="1:4" x14ac:dyDescent="0.25">
      <c r="A152">
        <f ca="1"/>
        <v>0</v>
      </c>
      <c r="B152">
        <v>152</v>
      </c>
      <c r="C152">
        <f ca="1">INDIRECT(ADDRESS($B152,1,3,1,Menus!$K$10))</f>
        <v>0</v>
      </c>
      <c r="D152">
        <f ca="1">INDIRECT(ADDRESS($B152,2,3,1,Menus!$K$10))</f>
        <v>0</v>
      </c>
    </row>
    <row r="153" spans="1:4" x14ac:dyDescent="0.25">
      <c r="A153">
        <f ca="1"/>
        <v>0</v>
      </c>
      <c r="B153">
        <v>153</v>
      </c>
      <c r="C153">
        <f ca="1">INDIRECT(ADDRESS($B153,1,3,1,Menus!$K$10))</f>
        <v>0</v>
      </c>
      <c r="D153">
        <f ca="1">INDIRECT(ADDRESS($B153,2,3,1,Menus!$K$10))</f>
        <v>0</v>
      </c>
    </row>
    <row r="154" spans="1:4" x14ac:dyDescent="0.25">
      <c r="A154">
        <f ca="1"/>
        <v>0</v>
      </c>
      <c r="B154">
        <v>154</v>
      </c>
      <c r="C154">
        <f ca="1">INDIRECT(ADDRESS($B154,1,3,1,Menus!$K$10))</f>
        <v>0</v>
      </c>
      <c r="D154">
        <f ca="1">INDIRECT(ADDRESS($B154,2,3,1,Menus!$K$10))</f>
        <v>0</v>
      </c>
    </row>
    <row r="155" spans="1:4" x14ac:dyDescent="0.25">
      <c r="A155">
        <f ca="1"/>
        <v>0</v>
      </c>
      <c r="B155" s="7">
        <v>155</v>
      </c>
      <c r="C155">
        <f ca="1">INDIRECT(ADDRESS($B155,1,3,1,Menus!$K$10))</f>
        <v>0</v>
      </c>
      <c r="D155">
        <f ca="1">INDIRECT(ADDRESS($B155,2,3,1,Menus!$K$10))</f>
        <v>0</v>
      </c>
    </row>
    <row r="156" spans="1:4" x14ac:dyDescent="0.25">
      <c r="A156">
        <f ca="1"/>
        <v>0</v>
      </c>
      <c r="B156">
        <v>156</v>
      </c>
      <c r="C156">
        <f ca="1">INDIRECT(ADDRESS($B156,1,3,1,Menus!$K$10))</f>
        <v>0</v>
      </c>
      <c r="D156">
        <f ca="1">INDIRECT(ADDRESS($B156,2,3,1,Menus!$K$10))</f>
        <v>0</v>
      </c>
    </row>
    <row r="157" spans="1:4" x14ac:dyDescent="0.25">
      <c r="A157">
        <f ca="1"/>
        <v>0</v>
      </c>
      <c r="B157">
        <v>157</v>
      </c>
      <c r="C157">
        <f ca="1">INDIRECT(ADDRESS($B157,1,3,1,Menus!$K$10))</f>
        <v>0</v>
      </c>
      <c r="D157">
        <f ca="1">INDIRECT(ADDRESS($B157,2,3,1,Menus!$K$10))</f>
        <v>0</v>
      </c>
    </row>
    <row r="158" spans="1:4" x14ac:dyDescent="0.25">
      <c r="A158">
        <f ca="1"/>
        <v>0</v>
      </c>
      <c r="B158">
        <v>158</v>
      </c>
      <c r="C158">
        <f ca="1">INDIRECT(ADDRESS($B158,1,3,1,Menus!$K$10))</f>
        <v>0</v>
      </c>
      <c r="D158">
        <f ca="1">INDIRECT(ADDRESS($B158,2,3,1,Menus!$K$10))</f>
        <v>0</v>
      </c>
    </row>
    <row r="159" spans="1:4" x14ac:dyDescent="0.25">
      <c r="A159">
        <f ca="1"/>
        <v>0</v>
      </c>
      <c r="B159" s="7">
        <v>159</v>
      </c>
      <c r="C159">
        <f ca="1">INDIRECT(ADDRESS($B159,1,3,1,Menus!$K$10))</f>
        <v>0</v>
      </c>
      <c r="D159">
        <f ca="1">INDIRECT(ADDRESS($B159,2,3,1,Menus!$K$10))</f>
        <v>0</v>
      </c>
    </row>
    <row r="160" spans="1:4" x14ac:dyDescent="0.25">
      <c r="A160">
        <f ca="1"/>
        <v>0</v>
      </c>
      <c r="B160">
        <v>160</v>
      </c>
      <c r="C160">
        <f ca="1">INDIRECT(ADDRESS($B160,1,3,1,Menus!$K$10))</f>
        <v>0</v>
      </c>
      <c r="D160">
        <f ca="1">INDIRECT(ADDRESS($B160,2,3,1,Menus!$K$10))</f>
        <v>0</v>
      </c>
    </row>
    <row r="161" spans="1:4" x14ac:dyDescent="0.25">
      <c r="A161">
        <f ca="1"/>
        <v>0</v>
      </c>
      <c r="B161">
        <v>161</v>
      </c>
      <c r="C161">
        <f ca="1">INDIRECT(ADDRESS($B161,1,3,1,Menus!$K$10))</f>
        <v>0</v>
      </c>
      <c r="D161">
        <f ca="1">INDIRECT(ADDRESS($B161,2,3,1,Menus!$K$10))</f>
        <v>0</v>
      </c>
    </row>
    <row r="162" spans="1:4" x14ac:dyDescent="0.25">
      <c r="A162">
        <f ca="1"/>
        <v>0</v>
      </c>
      <c r="B162">
        <v>162</v>
      </c>
      <c r="C162">
        <f ca="1">INDIRECT(ADDRESS($B162,1,3,1,Menus!$K$10))</f>
        <v>0</v>
      </c>
      <c r="D162">
        <f ca="1">INDIRECT(ADDRESS($B162,2,3,1,Menus!$K$10))</f>
        <v>0</v>
      </c>
    </row>
    <row r="163" spans="1:4" x14ac:dyDescent="0.25">
      <c r="A163">
        <f ca="1"/>
        <v>0</v>
      </c>
      <c r="B163" s="7">
        <v>163</v>
      </c>
      <c r="C163">
        <f ca="1">INDIRECT(ADDRESS($B163,1,3,1,Menus!$K$10))</f>
        <v>0</v>
      </c>
      <c r="D163">
        <f ca="1">INDIRECT(ADDRESS($B163,2,3,1,Menus!$K$10))</f>
        <v>0</v>
      </c>
    </row>
    <row r="164" spans="1:4" x14ac:dyDescent="0.25">
      <c r="A164">
        <f ca="1"/>
        <v>0</v>
      </c>
      <c r="B164">
        <v>164</v>
      </c>
      <c r="C164">
        <f ca="1">INDIRECT(ADDRESS($B164,1,3,1,Menus!$K$10))</f>
        <v>0</v>
      </c>
      <c r="D164">
        <f ca="1">INDIRECT(ADDRESS($B164,2,3,1,Menus!$K$10))</f>
        <v>0</v>
      </c>
    </row>
    <row r="165" spans="1:4" x14ac:dyDescent="0.25">
      <c r="A165">
        <f ca="1"/>
        <v>0</v>
      </c>
      <c r="B165">
        <v>165</v>
      </c>
      <c r="C165">
        <f ca="1">INDIRECT(ADDRESS($B165,1,3,1,Menus!$K$10))</f>
        <v>0</v>
      </c>
      <c r="D165">
        <f ca="1">INDIRECT(ADDRESS($B165,2,3,1,Menus!$K$10))</f>
        <v>0</v>
      </c>
    </row>
    <row r="166" spans="1:4" x14ac:dyDescent="0.25">
      <c r="A166">
        <f ca="1"/>
        <v>0</v>
      </c>
      <c r="B166">
        <v>166</v>
      </c>
      <c r="C166">
        <f ca="1">INDIRECT(ADDRESS($B166,1,3,1,Menus!$K$10))</f>
        <v>0</v>
      </c>
      <c r="D166">
        <f ca="1">INDIRECT(ADDRESS($B166,2,3,1,Menus!$K$10))</f>
        <v>0</v>
      </c>
    </row>
    <row r="167" spans="1:4" x14ac:dyDescent="0.25">
      <c r="A167">
        <f ca="1"/>
        <v>0</v>
      </c>
      <c r="B167" s="7">
        <v>167</v>
      </c>
      <c r="C167">
        <f ca="1">INDIRECT(ADDRESS($B167,1,3,1,Menus!$K$10))</f>
        <v>0</v>
      </c>
      <c r="D167">
        <f ca="1">INDIRECT(ADDRESS($B167,2,3,1,Menus!$K$10))</f>
        <v>0</v>
      </c>
    </row>
    <row r="168" spans="1:4" x14ac:dyDescent="0.25">
      <c r="A168">
        <f ca="1"/>
        <v>0</v>
      </c>
      <c r="B168">
        <v>168</v>
      </c>
      <c r="C168">
        <f ca="1">INDIRECT(ADDRESS($B168,1,3,1,Menus!$K$10))</f>
        <v>0</v>
      </c>
      <c r="D168">
        <f ca="1">INDIRECT(ADDRESS($B168,2,3,1,Menus!$K$10))</f>
        <v>0</v>
      </c>
    </row>
    <row r="169" spans="1:4" x14ac:dyDescent="0.25">
      <c r="A169">
        <f ca="1"/>
        <v>0</v>
      </c>
      <c r="B169">
        <v>169</v>
      </c>
      <c r="C169">
        <f ca="1">INDIRECT(ADDRESS($B169,1,3,1,Menus!$K$10))</f>
        <v>0</v>
      </c>
      <c r="D169">
        <f ca="1">INDIRECT(ADDRESS($B169,2,3,1,Menus!$K$10))</f>
        <v>0</v>
      </c>
    </row>
    <row r="170" spans="1:4" x14ac:dyDescent="0.25">
      <c r="A170">
        <f ca="1"/>
        <v>0</v>
      </c>
      <c r="B170">
        <v>170</v>
      </c>
      <c r="C170">
        <f ca="1">INDIRECT(ADDRESS($B170,1,3,1,Menus!$K$10))</f>
        <v>0</v>
      </c>
      <c r="D170">
        <f ca="1">INDIRECT(ADDRESS($B170,2,3,1,Menus!$K$10))</f>
        <v>0</v>
      </c>
    </row>
    <row r="171" spans="1:4" x14ac:dyDescent="0.25">
      <c r="A171">
        <f ca="1"/>
        <v>0</v>
      </c>
      <c r="B171" s="7">
        <v>171</v>
      </c>
      <c r="C171">
        <f ca="1">INDIRECT(ADDRESS($B171,1,3,1,Menus!$K$10))</f>
        <v>0</v>
      </c>
      <c r="D171">
        <f ca="1">INDIRECT(ADDRESS($B171,2,3,1,Menus!$K$10))</f>
        <v>0</v>
      </c>
    </row>
    <row r="172" spans="1:4" x14ac:dyDescent="0.25">
      <c r="A172">
        <f ca="1"/>
        <v>0</v>
      </c>
      <c r="B172">
        <v>172</v>
      </c>
      <c r="C172">
        <f ca="1">INDIRECT(ADDRESS($B172,1,3,1,Menus!$K$10))</f>
        <v>0</v>
      </c>
      <c r="D172">
        <f ca="1">INDIRECT(ADDRESS($B172,2,3,1,Menus!$K$10))</f>
        <v>0</v>
      </c>
    </row>
    <row r="173" spans="1:4" x14ac:dyDescent="0.25">
      <c r="A173">
        <f ca="1"/>
        <v>0</v>
      </c>
      <c r="B173">
        <v>173</v>
      </c>
      <c r="C173">
        <f ca="1">INDIRECT(ADDRESS($B173,1,3,1,Menus!$K$10))</f>
        <v>0</v>
      </c>
      <c r="D173">
        <f ca="1">INDIRECT(ADDRESS($B173,2,3,1,Menus!$K$10))</f>
        <v>0</v>
      </c>
    </row>
    <row r="174" spans="1:4" x14ac:dyDescent="0.25">
      <c r="A174">
        <f ca="1"/>
        <v>0</v>
      </c>
      <c r="B174">
        <v>174</v>
      </c>
      <c r="C174">
        <f ca="1">INDIRECT(ADDRESS($B174,1,3,1,Menus!$K$10))</f>
        <v>0</v>
      </c>
      <c r="D174">
        <f ca="1">INDIRECT(ADDRESS($B174,2,3,1,Menus!$K$10))</f>
        <v>0</v>
      </c>
    </row>
    <row r="175" spans="1:4" x14ac:dyDescent="0.25">
      <c r="A175">
        <f ca="1"/>
        <v>0</v>
      </c>
      <c r="B175" s="7">
        <v>175</v>
      </c>
      <c r="C175">
        <f ca="1">INDIRECT(ADDRESS($B175,1,3,1,Menus!$K$10))</f>
        <v>0</v>
      </c>
      <c r="D175">
        <f ca="1">INDIRECT(ADDRESS($B175,2,3,1,Menus!$K$10))</f>
        <v>0</v>
      </c>
    </row>
    <row r="176" spans="1:4" x14ac:dyDescent="0.25">
      <c r="A176">
        <f ca="1"/>
        <v>0</v>
      </c>
      <c r="B176">
        <v>176</v>
      </c>
      <c r="C176">
        <f ca="1">INDIRECT(ADDRESS($B176,1,3,1,Menus!$K$10))</f>
        <v>0</v>
      </c>
      <c r="D176">
        <f ca="1">INDIRECT(ADDRESS($B176,2,3,1,Menus!$K$10))</f>
        <v>0</v>
      </c>
    </row>
    <row r="177" spans="1:4" x14ac:dyDescent="0.25">
      <c r="A177">
        <f ca="1"/>
        <v>0</v>
      </c>
      <c r="B177">
        <v>177</v>
      </c>
      <c r="C177">
        <f ca="1">INDIRECT(ADDRESS($B177,1,3,1,Menus!$K$10))</f>
        <v>0</v>
      </c>
      <c r="D177">
        <f ca="1">INDIRECT(ADDRESS($B177,2,3,1,Menus!$K$10))</f>
        <v>0</v>
      </c>
    </row>
    <row r="178" spans="1:4" x14ac:dyDescent="0.25">
      <c r="A178">
        <f ca="1"/>
        <v>0</v>
      </c>
      <c r="B178">
        <v>178</v>
      </c>
      <c r="C178">
        <f ca="1">INDIRECT(ADDRESS($B178,1,3,1,Menus!$K$10))</f>
        <v>0</v>
      </c>
      <c r="D178">
        <f ca="1">INDIRECT(ADDRESS($B178,2,3,1,Menus!$K$10))</f>
        <v>0</v>
      </c>
    </row>
    <row r="179" spans="1:4" x14ac:dyDescent="0.25">
      <c r="A179">
        <f ca="1"/>
        <v>0</v>
      </c>
      <c r="B179" s="7">
        <v>179</v>
      </c>
      <c r="C179">
        <f ca="1">INDIRECT(ADDRESS($B179,1,3,1,Menus!$K$10))</f>
        <v>0</v>
      </c>
      <c r="D179">
        <f ca="1">INDIRECT(ADDRESS($B179,2,3,1,Menus!$K$10))</f>
        <v>0</v>
      </c>
    </row>
    <row r="180" spans="1:4" x14ac:dyDescent="0.25">
      <c r="A180">
        <f ca="1"/>
        <v>0</v>
      </c>
      <c r="B180">
        <v>180</v>
      </c>
      <c r="C180">
        <f ca="1">INDIRECT(ADDRESS($B180,1,3,1,Menus!$K$10))</f>
        <v>0</v>
      </c>
      <c r="D180">
        <f ca="1">INDIRECT(ADDRESS($B180,2,3,1,Menus!$K$10))</f>
        <v>0</v>
      </c>
    </row>
    <row r="181" spans="1:4" x14ac:dyDescent="0.25">
      <c r="A181">
        <f ca="1"/>
        <v>0</v>
      </c>
      <c r="B181">
        <v>181</v>
      </c>
      <c r="C181">
        <f ca="1">INDIRECT(ADDRESS($B181,1,3,1,Menus!$K$10))</f>
        <v>0</v>
      </c>
      <c r="D181">
        <f ca="1">INDIRECT(ADDRESS($B181,2,3,1,Menus!$K$10))</f>
        <v>0</v>
      </c>
    </row>
    <row r="182" spans="1:4" x14ac:dyDescent="0.25">
      <c r="A182">
        <f ca="1"/>
        <v>0</v>
      </c>
      <c r="B182">
        <v>182</v>
      </c>
      <c r="C182">
        <f ca="1">INDIRECT(ADDRESS($B182,1,3,1,Menus!$K$10))</f>
        <v>0</v>
      </c>
      <c r="D182">
        <f ca="1">INDIRECT(ADDRESS($B182,2,3,1,Menus!$K$10))</f>
        <v>0</v>
      </c>
    </row>
    <row r="183" spans="1:4" x14ac:dyDescent="0.25">
      <c r="A183">
        <f ca="1"/>
        <v>0</v>
      </c>
      <c r="B183" s="7">
        <v>183</v>
      </c>
      <c r="C183">
        <f ca="1">INDIRECT(ADDRESS($B183,1,3,1,Menus!$K$10))</f>
        <v>0</v>
      </c>
      <c r="D183">
        <f ca="1">INDIRECT(ADDRESS($B183,2,3,1,Menus!$K$10))</f>
        <v>0</v>
      </c>
    </row>
    <row r="184" spans="1:4" x14ac:dyDescent="0.25">
      <c r="A184">
        <f ca="1"/>
        <v>0</v>
      </c>
      <c r="B184">
        <v>184</v>
      </c>
      <c r="C184">
        <f ca="1">INDIRECT(ADDRESS($B184,1,3,1,Menus!$K$10))</f>
        <v>0</v>
      </c>
      <c r="D184">
        <f ca="1">INDIRECT(ADDRESS($B184,2,3,1,Menus!$K$10))</f>
        <v>0</v>
      </c>
    </row>
    <row r="185" spans="1:4" x14ac:dyDescent="0.25">
      <c r="A185">
        <f ca="1"/>
        <v>0</v>
      </c>
      <c r="B185">
        <v>185</v>
      </c>
      <c r="C185">
        <f ca="1">INDIRECT(ADDRESS($B185,1,3,1,Menus!$K$10))</f>
        <v>0</v>
      </c>
      <c r="D185">
        <f ca="1">INDIRECT(ADDRESS($B185,2,3,1,Menus!$K$10))</f>
        <v>0</v>
      </c>
    </row>
    <row r="186" spans="1:4" x14ac:dyDescent="0.25">
      <c r="A186">
        <f ca="1"/>
        <v>0</v>
      </c>
      <c r="B186">
        <v>186</v>
      </c>
      <c r="C186">
        <f ca="1">INDIRECT(ADDRESS($B186,1,3,1,Menus!$K$10))</f>
        <v>0</v>
      </c>
      <c r="D186">
        <f ca="1">INDIRECT(ADDRESS($B186,2,3,1,Menus!$K$10))</f>
        <v>0</v>
      </c>
    </row>
    <row r="187" spans="1:4" x14ac:dyDescent="0.25">
      <c r="A187">
        <f ca="1"/>
        <v>0</v>
      </c>
      <c r="B187" s="7">
        <v>187</v>
      </c>
      <c r="C187">
        <f ca="1">INDIRECT(ADDRESS($B187,1,3,1,Menus!$K$10))</f>
        <v>0</v>
      </c>
      <c r="D187">
        <f ca="1">INDIRECT(ADDRESS($B187,2,3,1,Menus!$K$10))</f>
        <v>0</v>
      </c>
    </row>
    <row r="188" spans="1:4" x14ac:dyDescent="0.25">
      <c r="A188">
        <f ca="1"/>
        <v>0</v>
      </c>
      <c r="B188">
        <v>188</v>
      </c>
      <c r="C188">
        <f ca="1">INDIRECT(ADDRESS($B188,1,3,1,Menus!$K$10))</f>
        <v>0</v>
      </c>
      <c r="D188">
        <f ca="1">INDIRECT(ADDRESS($B188,2,3,1,Menus!$K$10))</f>
        <v>0</v>
      </c>
    </row>
    <row r="189" spans="1:4" x14ac:dyDescent="0.25">
      <c r="A189">
        <f ca="1"/>
        <v>0</v>
      </c>
      <c r="B189">
        <v>189</v>
      </c>
      <c r="C189">
        <f ca="1">INDIRECT(ADDRESS($B189,1,3,1,Menus!$K$10))</f>
        <v>0</v>
      </c>
      <c r="D189">
        <f ca="1">INDIRECT(ADDRESS($B189,2,3,1,Menus!$K$10))</f>
        <v>0</v>
      </c>
    </row>
    <row r="190" spans="1:4" x14ac:dyDescent="0.25">
      <c r="A190">
        <f ca="1"/>
        <v>0</v>
      </c>
      <c r="B190">
        <v>190</v>
      </c>
      <c r="C190">
        <f ca="1">INDIRECT(ADDRESS($B190,1,3,1,Menus!$K$10))</f>
        <v>0</v>
      </c>
      <c r="D190">
        <f ca="1">INDIRECT(ADDRESS($B190,2,3,1,Menus!$K$10))</f>
        <v>0</v>
      </c>
    </row>
    <row r="191" spans="1:4" x14ac:dyDescent="0.25">
      <c r="A191">
        <f ca="1"/>
        <v>0</v>
      </c>
      <c r="B191" s="7">
        <v>191</v>
      </c>
      <c r="C191">
        <f ca="1">INDIRECT(ADDRESS($B191,1,3,1,Menus!$K$10))</f>
        <v>0</v>
      </c>
      <c r="D191">
        <f ca="1">INDIRECT(ADDRESS($B191,2,3,1,Menus!$K$10))</f>
        <v>0</v>
      </c>
    </row>
    <row r="192" spans="1:4" x14ac:dyDescent="0.25">
      <c r="A192">
        <f ca="1"/>
        <v>0</v>
      </c>
      <c r="B192">
        <v>192</v>
      </c>
      <c r="C192">
        <f ca="1">INDIRECT(ADDRESS($B192,1,3,1,Menus!$K$10))</f>
        <v>0</v>
      </c>
      <c r="D192">
        <f ca="1">INDIRECT(ADDRESS($B192,2,3,1,Menus!$K$10))</f>
        <v>0</v>
      </c>
    </row>
    <row r="193" spans="1:4" x14ac:dyDescent="0.25">
      <c r="A193">
        <f ca="1"/>
        <v>0</v>
      </c>
      <c r="B193">
        <v>193</v>
      </c>
      <c r="C193">
        <f ca="1">INDIRECT(ADDRESS($B193,1,3,1,Menus!$K$10))</f>
        <v>0</v>
      </c>
      <c r="D193">
        <f ca="1">INDIRECT(ADDRESS($B193,2,3,1,Menus!$K$10))</f>
        <v>0</v>
      </c>
    </row>
    <row r="194" spans="1:4" x14ac:dyDescent="0.25">
      <c r="A194">
        <f ca="1"/>
        <v>0</v>
      </c>
      <c r="B194">
        <v>194</v>
      </c>
      <c r="C194">
        <f ca="1">INDIRECT(ADDRESS($B194,1,3,1,Menus!$K$10))</f>
        <v>0</v>
      </c>
      <c r="D194">
        <f ca="1">INDIRECT(ADDRESS($B194,2,3,1,Menus!$K$10))</f>
        <v>0</v>
      </c>
    </row>
    <row r="195" spans="1:4" x14ac:dyDescent="0.25">
      <c r="A195">
        <f ca="1"/>
        <v>0</v>
      </c>
      <c r="B195" s="7">
        <v>195</v>
      </c>
      <c r="C195">
        <f ca="1">INDIRECT(ADDRESS($B195,1,3,1,Menus!$K$10))</f>
        <v>0</v>
      </c>
      <c r="D195">
        <f ca="1">INDIRECT(ADDRESS($B195,2,3,1,Menus!$K$10))</f>
        <v>0</v>
      </c>
    </row>
    <row r="196" spans="1:4" x14ac:dyDescent="0.25">
      <c r="A196">
        <f ca="1"/>
        <v>0</v>
      </c>
      <c r="B196">
        <v>196</v>
      </c>
      <c r="C196">
        <f ca="1">INDIRECT(ADDRESS($B196,1,3,1,Menus!$K$10))</f>
        <v>0</v>
      </c>
      <c r="D196">
        <f ca="1">INDIRECT(ADDRESS($B196,2,3,1,Menus!$K$10))</f>
        <v>0</v>
      </c>
    </row>
    <row r="197" spans="1:4" x14ac:dyDescent="0.25">
      <c r="A197">
        <f ca="1"/>
        <v>0</v>
      </c>
      <c r="B197">
        <v>197</v>
      </c>
      <c r="C197">
        <f ca="1">INDIRECT(ADDRESS($B197,1,3,1,Menus!$K$10))</f>
        <v>0</v>
      </c>
      <c r="D197">
        <f ca="1">INDIRECT(ADDRESS($B197,2,3,1,Menus!$K$10))</f>
        <v>0</v>
      </c>
    </row>
    <row r="198" spans="1:4" x14ac:dyDescent="0.25">
      <c r="A198">
        <f ca="1"/>
        <v>0</v>
      </c>
      <c r="B198">
        <v>198</v>
      </c>
      <c r="C198">
        <f ca="1">INDIRECT(ADDRESS($B198,1,3,1,Menus!$K$10))</f>
        <v>0</v>
      </c>
      <c r="D198">
        <f ca="1">INDIRECT(ADDRESS($B198,2,3,1,Menus!$K$10))</f>
        <v>0</v>
      </c>
    </row>
    <row r="199" spans="1:4" x14ac:dyDescent="0.25">
      <c r="A199">
        <f ca="1"/>
        <v>0</v>
      </c>
      <c r="B199" s="7">
        <v>199</v>
      </c>
      <c r="C199">
        <f ca="1">INDIRECT(ADDRESS($B199,1,3,1,Menus!$K$10))</f>
        <v>0</v>
      </c>
      <c r="D199">
        <f ca="1">INDIRECT(ADDRESS($B199,2,3,1,Menus!$K$10))</f>
        <v>0</v>
      </c>
    </row>
    <row r="200" spans="1:4" x14ac:dyDescent="0.25">
      <c r="A200">
        <f ca="1"/>
        <v>0</v>
      </c>
      <c r="B200">
        <v>200</v>
      </c>
      <c r="C200">
        <f ca="1">INDIRECT(ADDRESS($B200,1,3,1,Menus!$K$10))</f>
        <v>0</v>
      </c>
      <c r="D200">
        <f ca="1">INDIRECT(ADDRESS($B200,2,3,1,Menus!$K$10))</f>
        <v>0</v>
      </c>
    </row>
    <row r="201" spans="1:4" x14ac:dyDescent="0.25">
      <c r="A201">
        <f ca="1"/>
        <v>0</v>
      </c>
      <c r="B201">
        <v>201</v>
      </c>
      <c r="C201">
        <f ca="1">INDIRECT(ADDRESS($B201,1,3,1,Menus!$K$10))</f>
        <v>0</v>
      </c>
      <c r="D201">
        <f ca="1">INDIRECT(ADDRESS($B201,2,3,1,Menus!$K$10))</f>
        <v>0</v>
      </c>
    </row>
    <row r="202" spans="1:4" x14ac:dyDescent="0.25">
      <c r="A202">
        <f ca="1"/>
        <v>0</v>
      </c>
      <c r="B202">
        <v>202</v>
      </c>
      <c r="C202">
        <f ca="1">INDIRECT(ADDRESS($B202,1,3,1,Menus!$K$10))</f>
        <v>0</v>
      </c>
      <c r="D202">
        <f ca="1">INDIRECT(ADDRESS($B202,2,3,1,Menus!$K$10))</f>
        <v>0</v>
      </c>
    </row>
    <row r="203" spans="1:4" x14ac:dyDescent="0.25">
      <c r="A203">
        <f ca="1"/>
        <v>0</v>
      </c>
      <c r="B203" s="7">
        <v>203</v>
      </c>
      <c r="C203">
        <f ca="1">INDIRECT(ADDRESS($B203,1,3,1,Menus!$K$10))</f>
        <v>0</v>
      </c>
      <c r="D203">
        <f ca="1">INDIRECT(ADDRESS($B203,2,3,1,Menus!$K$10))</f>
        <v>0</v>
      </c>
    </row>
    <row r="204" spans="1:4" x14ac:dyDescent="0.25">
      <c r="A204">
        <f ca="1"/>
        <v>0</v>
      </c>
      <c r="B204">
        <v>204</v>
      </c>
      <c r="C204">
        <f ca="1">INDIRECT(ADDRESS($B204,1,3,1,Menus!$K$10))</f>
        <v>0</v>
      </c>
      <c r="D204">
        <f ca="1">INDIRECT(ADDRESS($B204,2,3,1,Menus!$K$10))</f>
        <v>0</v>
      </c>
    </row>
    <row r="205" spans="1:4" x14ac:dyDescent="0.25">
      <c r="A205">
        <f ca="1"/>
        <v>0</v>
      </c>
      <c r="B205">
        <v>205</v>
      </c>
      <c r="C205">
        <f ca="1">INDIRECT(ADDRESS($B205,1,3,1,Menus!$K$10))</f>
        <v>0</v>
      </c>
      <c r="D205">
        <f ca="1">INDIRECT(ADDRESS($B205,2,3,1,Menus!$K$10))</f>
        <v>0</v>
      </c>
    </row>
    <row r="206" spans="1:4" x14ac:dyDescent="0.25">
      <c r="A206">
        <f ca="1"/>
        <v>0</v>
      </c>
      <c r="B206">
        <v>206</v>
      </c>
      <c r="C206">
        <f ca="1">INDIRECT(ADDRESS($B206,1,3,1,Menus!$K$10))</f>
        <v>0</v>
      </c>
      <c r="D206">
        <f ca="1">INDIRECT(ADDRESS($B206,2,3,1,Menus!$K$10))</f>
        <v>0</v>
      </c>
    </row>
    <row r="207" spans="1:4" x14ac:dyDescent="0.25">
      <c r="A207">
        <f ca="1"/>
        <v>0</v>
      </c>
      <c r="B207" s="7">
        <v>207</v>
      </c>
      <c r="C207">
        <f ca="1">INDIRECT(ADDRESS($B207,1,3,1,Menus!$K$10))</f>
        <v>0</v>
      </c>
      <c r="D207">
        <f ca="1">INDIRECT(ADDRESS($B207,2,3,1,Menus!$K$10))</f>
        <v>0</v>
      </c>
    </row>
    <row r="208" spans="1:4" x14ac:dyDescent="0.25">
      <c r="A208">
        <f ca="1"/>
        <v>0</v>
      </c>
      <c r="B208">
        <v>208</v>
      </c>
      <c r="C208">
        <f ca="1">INDIRECT(ADDRESS($B208,1,3,1,Menus!$K$10))</f>
        <v>0</v>
      </c>
      <c r="D208">
        <f ca="1">INDIRECT(ADDRESS($B208,2,3,1,Menus!$K$10))</f>
        <v>0</v>
      </c>
    </row>
    <row r="209" spans="1:4" x14ac:dyDescent="0.25">
      <c r="A209">
        <f ca="1"/>
        <v>0</v>
      </c>
      <c r="B209">
        <v>209</v>
      </c>
      <c r="C209">
        <f ca="1">INDIRECT(ADDRESS($B209,1,3,1,Menus!$K$10))</f>
        <v>0</v>
      </c>
      <c r="D209">
        <f ca="1">INDIRECT(ADDRESS($B209,2,3,1,Menus!$K$10))</f>
        <v>0</v>
      </c>
    </row>
    <row r="210" spans="1:4" x14ac:dyDescent="0.25">
      <c r="A210">
        <f ca="1"/>
        <v>0</v>
      </c>
      <c r="B210">
        <v>210</v>
      </c>
      <c r="C210">
        <f ca="1">INDIRECT(ADDRESS($B210,1,3,1,Menus!$K$10))</f>
        <v>0</v>
      </c>
      <c r="D210">
        <f ca="1">INDIRECT(ADDRESS($B210,2,3,1,Menus!$K$10))</f>
        <v>0</v>
      </c>
    </row>
    <row r="211" spans="1:4" x14ac:dyDescent="0.25">
      <c r="A211">
        <f ca="1"/>
        <v>0</v>
      </c>
      <c r="B211" s="7">
        <v>211</v>
      </c>
      <c r="C211">
        <f ca="1">INDIRECT(ADDRESS($B211,1,3,1,Menus!$K$10))</f>
        <v>0</v>
      </c>
      <c r="D211">
        <f ca="1">INDIRECT(ADDRESS($B211,2,3,1,Menus!$K$10))</f>
        <v>0</v>
      </c>
    </row>
    <row r="212" spans="1:4" x14ac:dyDescent="0.25">
      <c r="A212">
        <f ca="1"/>
        <v>0</v>
      </c>
      <c r="B212">
        <v>212</v>
      </c>
      <c r="C212">
        <f ca="1">INDIRECT(ADDRESS($B212,1,3,1,Menus!$K$10))</f>
        <v>0</v>
      </c>
      <c r="D212">
        <f ca="1">INDIRECT(ADDRESS($B212,2,3,1,Menus!$K$10))</f>
        <v>0</v>
      </c>
    </row>
    <row r="213" spans="1:4" x14ac:dyDescent="0.25">
      <c r="A213">
        <f ca="1"/>
        <v>0</v>
      </c>
      <c r="B213">
        <v>213</v>
      </c>
      <c r="C213">
        <f ca="1">INDIRECT(ADDRESS($B213,1,3,1,Menus!$K$10))</f>
        <v>0</v>
      </c>
      <c r="D213">
        <f ca="1">INDIRECT(ADDRESS($B213,2,3,1,Menus!$K$10))</f>
        <v>0</v>
      </c>
    </row>
    <row r="214" spans="1:4" x14ac:dyDescent="0.25">
      <c r="A214">
        <f ca="1"/>
        <v>0</v>
      </c>
      <c r="B214">
        <v>214</v>
      </c>
      <c r="C214">
        <f ca="1">INDIRECT(ADDRESS($B214,1,3,1,Menus!$K$10))</f>
        <v>0</v>
      </c>
      <c r="D214">
        <f ca="1">INDIRECT(ADDRESS($B214,2,3,1,Menus!$K$10))</f>
        <v>0</v>
      </c>
    </row>
    <row r="215" spans="1:4" x14ac:dyDescent="0.25">
      <c r="A215">
        <f ca="1"/>
        <v>0</v>
      </c>
      <c r="B215" s="7">
        <v>215</v>
      </c>
      <c r="C215">
        <f ca="1">INDIRECT(ADDRESS($B215,1,3,1,Menus!$K$10))</f>
        <v>0</v>
      </c>
      <c r="D215">
        <f ca="1">INDIRECT(ADDRESS($B215,2,3,1,Menus!$K$10))</f>
        <v>0</v>
      </c>
    </row>
    <row r="216" spans="1:4" x14ac:dyDescent="0.25">
      <c r="A216">
        <f ca="1"/>
        <v>0</v>
      </c>
      <c r="B216">
        <v>216</v>
      </c>
      <c r="C216">
        <f ca="1">INDIRECT(ADDRESS($B216,1,3,1,Menus!$K$10))</f>
        <v>0</v>
      </c>
      <c r="D216">
        <f ca="1">INDIRECT(ADDRESS($B216,2,3,1,Menus!$K$10))</f>
        <v>0</v>
      </c>
    </row>
    <row r="217" spans="1:4" x14ac:dyDescent="0.25">
      <c r="A217">
        <f ca="1"/>
        <v>0</v>
      </c>
      <c r="B217">
        <v>217</v>
      </c>
      <c r="C217">
        <f ca="1">INDIRECT(ADDRESS($B217,1,3,1,Menus!$K$10))</f>
        <v>0</v>
      </c>
      <c r="D217">
        <f ca="1">INDIRECT(ADDRESS($B217,2,3,1,Menus!$K$10))</f>
        <v>0</v>
      </c>
    </row>
    <row r="218" spans="1:4" x14ac:dyDescent="0.25">
      <c r="A218">
        <f ca="1"/>
        <v>0</v>
      </c>
      <c r="B218">
        <v>218</v>
      </c>
      <c r="C218">
        <f ca="1">INDIRECT(ADDRESS($B218,1,3,1,Menus!$K$10))</f>
        <v>0</v>
      </c>
      <c r="D218">
        <f ca="1">INDIRECT(ADDRESS($B218,2,3,1,Menus!$K$10))</f>
        <v>0</v>
      </c>
    </row>
    <row r="219" spans="1:4" x14ac:dyDescent="0.25">
      <c r="A219">
        <f ca="1"/>
        <v>0</v>
      </c>
      <c r="B219" s="7">
        <v>219</v>
      </c>
      <c r="C219">
        <f ca="1">INDIRECT(ADDRESS($B219,1,3,1,Menus!$K$10))</f>
        <v>0</v>
      </c>
      <c r="D219">
        <f ca="1">INDIRECT(ADDRESS($B219,2,3,1,Menus!$K$10))</f>
        <v>0</v>
      </c>
    </row>
    <row r="220" spans="1:4" x14ac:dyDescent="0.25">
      <c r="A220">
        <f ca="1"/>
        <v>0</v>
      </c>
      <c r="B220">
        <v>220</v>
      </c>
      <c r="C220">
        <f ca="1">INDIRECT(ADDRESS($B220,1,3,1,Menus!$K$10))</f>
        <v>0</v>
      </c>
      <c r="D220">
        <f ca="1">INDIRECT(ADDRESS($B220,2,3,1,Menus!$K$10))</f>
        <v>0</v>
      </c>
    </row>
    <row r="221" spans="1:4" x14ac:dyDescent="0.25">
      <c r="A221">
        <f ca="1"/>
        <v>0</v>
      </c>
      <c r="B221">
        <v>221</v>
      </c>
      <c r="C221">
        <f ca="1">INDIRECT(ADDRESS($B221,1,3,1,Menus!$K$10))</f>
        <v>0</v>
      </c>
      <c r="D221">
        <f ca="1">INDIRECT(ADDRESS($B221,2,3,1,Menus!$K$10))</f>
        <v>0</v>
      </c>
    </row>
    <row r="222" spans="1:4" x14ac:dyDescent="0.25">
      <c r="A222">
        <f ca="1"/>
        <v>0</v>
      </c>
      <c r="B222">
        <v>222</v>
      </c>
      <c r="C222">
        <f ca="1">INDIRECT(ADDRESS($B222,1,3,1,Menus!$K$10))</f>
        <v>0</v>
      </c>
      <c r="D222">
        <f ca="1">INDIRECT(ADDRESS($B222,2,3,1,Menus!$K$10))</f>
        <v>0</v>
      </c>
    </row>
    <row r="223" spans="1:4" x14ac:dyDescent="0.25">
      <c r="A223">
        <f ca="1"/>
        <v>0</v>
      </c>
      <c r="B223" s="7">
        <v>223</v>
      </c>
      <c r="C223">
        <f ca="1">INDIRECT(ADDRESS($B223,1,3,1,Menus!$K$10))</f>
        <v>0</v>
      </c>
      <c r="D223">
        <f ca="1">INDIRECT(ADDRESS($B223,2,3,1,Menus!$K$10))</f>
        <v>0</v>
      </c>
    </row>
    <row r="224" spans="1:4" x14ac:dyDescent="0.25">
      <c r="A224">
        <f ca="1"/>
        <v>0</v>
      </c>
      <c r="B224">
        <v>224</v>
      </c>
      <c r="C224">
        <f ca="1">INDIRECT(ADDRESS($B224,1,3,1,Menus!$K$10))</f>
        <v>0</v>
      </c>
      <c r="D224">
        <f ca="1">INDIRECT(ADDRESS($B224,2,3,1,Menus!$K$10))</f>
        <v>0</v>
      </c>
    </row>
    <row r="225" spans="1:4" x14ac:dyDescent="0.25">
      <c r="A225">
        <f ca="1"/>
        <v>0</v>
      </c>
      <c r="B225">
        <v>225</v>
      </c>
      <c r="C225">
        <f ca="1">INDIRECT(ADDRESS($B225,1,3,1,Menus!$K$10))</f>
        <v>0</v>
      </c>
      <c r="D225">
        <f ca="1">INDIRECT(ADDRESS($B225,2,3,1,Menus!$K$10))</f>
        <v>0</v>
      </c>
    </row>
    <row r="226" spans="1:4" x14ac:dyDescent="0.25">
      <c r="A226">
        <f ca="1"/>
        <v>0</v>
      </c>
      <c r="B226">
        <v>226</v>
      </c>
      <c r="C226">
        <f ca="1">INDIRECT(ADDRESS($B226,1,3,1,Menus!$K$10))</f>
        <v>0</v>
      </c>
      <c r="D226">
        <f ca="1">INDIRECT(ADDRESS($B226,2,3,1,Menus!$K$10))</f>
        <v>0</v>
      </c>
    </row>
    <row r="227" spans="1:4" x14ac:dyDescent="0.25">
      <c r="A227">
        <f ca="1"/>
        <v>0</v>
      </c>
      <c r="B227" s="7">
        <v>227</v>
      </c>
      <c r="C227">
        <f ca="1">INDIRECT(ADDRESS($B227,1,3,1,Menus!$K$10))</f>
        <v>0</v>
      </c>
      <c r="D227">
        <f ca="1">INDIRECT(ADDRESS($B227,2,3,1,Menus!$K$10))</f>
        <v>0</v>
      </c>
    </row>
    <row r="228" spans="1:4" x14ac:dyDescent="0.25">
      <c r="A228">
        <f ca="1"/>
        <v>0</v>
      </c>
      <c r="B228">
        <v>228</v>
      </c>
      <c r="C228">
        <f ca="1">INDIRECT(ADDRESS($B228,1,3,1,Menus!$K$10))</f>
        <v>0</v>
      </c>
      <c r="D228">
        <f ca="1">INDIRECT(ADDRESS($B228,2,3,1,Menus!$K$10))</f>
        <v>0</v>
      </c>
    </row>
    <row r="229" spans="1:4" x14ac:dyDescent="0.25">
      <c r="A229">
        <f ca="1"/>
        <v>0</v>
      </c>
      <c r="B229">
        <v>229</v>
      </c>
      <c r="C229">
        <f ca="1">INDIRECT(ADDRESS($B229,1,3,1,Menus!$K$10))</f>
        <v>0</v>
      </c>
      <c r="D229">
        <f ca="1">INDIRECT(ADDRESS($B229,2,3,1,Menus!$K$10))</f>
        <v>0</v>
      </c>
    </row>
    <row r="230" spans="1:4" x14ac:dyDescent="0.25">
      <c r="A230">
        <f ca="1"/>
        <v>0</v>
      </c>
      <c r="B230">
        <v>230</v>
      </c>
      <c r="C230">
        <f ca="1">INDIRECT(ADDRESS($B230,1,3,1,Menus!$K$10))</f>
        <v>0</v>
      </c>
      <c r="D230">
        <f ca="1">INDIRECT(ADDRESS($B230,2,3,1,Menus!$K$10))</f>
        <v>0</v>
      </c>
    </row>
    <row r="231" spans="1:4" x14ac:dyDescent="0.25">
      <c r="A231">
        <f ca="1"/>
        <v>0</v>
      </c>
      <c r="B231" s="7">
        <v>231</v>
      </c>
      <c r="C231">
        <f ca="1">INDIRECT(ADDRESS($B231,1,3,1,Menus!$K$10))</f>
        <v>0</v>
      </c>
      <c r="D231">
        <f ca="1">INDIRECT(ADDRESS($B231,2,3,1,Menus!$K$10))</f>
        <v>0</v>
      </c>
    </row>
    <row r="232" spans="1:4" x14ac:dyDescent="0.25">
      <c r="A232">
        <f ca="1"/>
        <v>0</v>
      </c>
      <c r="B232">
        <v>232</v>
      </c>
      <c r="C232">
        <f ca="1">INDIRECT(ADDRESS($B232,1,3,1,Menus!$K$10))</f>
        <v>0</v>
      </c>
      <c r="D232">
        <f ca="1">INDIRECT(ADDRESS($B232,2,3,1,Menus!$K$10))</f>
        <v>0</v>
      </c>
    </row>
    <row r="233" spans="1:4" x14ac:dyDescent="0.25">
      <c r="A233">
        <f ca="1"/>
        <v>0</v>
      </c>
      <c r="B233">
        <v>233</v>
      </c>
      <c r="C233">
        <f ca="1">INDIRECT(ADDRESS($B233,1,3,1,Menus!$K$10))</f>
        <v>0</v>
      </c>
      <c r="D233">
        <f ca="1">INDIRECT(ADDRESS($B233,2,3,1,Menus!$K$10))</f>
        <v>0</v>
      </c>
    </row>
    <row r="234" spans="1:4" x14ac:dyDescent="0.25">
      <c r="A234">
        <f ca="1"/>
        <v>0</v>
      </c>
      <c r="B234">
        <v>234</v>
      </c>
      <c r="C234">
        <f ca="1">INDIRECT(ADDRESS($B234,1,3,1,Menus!$K$10))</f>
        <v>0</v>
      </c>
      <c r="D234">
        <f ca="1">INDIRECT(ADDRESS($B234,2,3,1,Menus!$K$10))</f>
        <v>0</v>
      </c>
    </row>
    <row r="235" spans="1:4" x14ac:dyDescent="0.25">
      <c r="A235">
        <f ca="1"/>
        <v>0</v>
      </c>
      <c r="B235" s="7">
        <v>235</v>
      </c>
      <c r="C235">
        <f ca="1">INDIRECT(ADDRESS($B235,1,3,1,Menus!$K$10))</f>
        <v>0</v>
      </c>
      <c r="D235">
        <f ca="1">INDIRECT(ADDRESS($B235,2,3,1,Menus!$K$10))</f>
        <v>0</v>
      </c>
    </row>
    <row r="236" spans="1:4" x14ac:dyDescent="0.25">
      <c r="A236">
        <f ca="1"/>
        <v>0</v>
      </c>
      <c r="B236">
        <v>236</v>
      </c>
      <c r="C236">
        <f ca="1">INDIRECT(ADDRESS($B236,1,3,1,Menus!$K$10))</f>
        <v>0</v>
      </c>
      <c r="D236">
        <f ca="1">INDIRECT(ADDRESS($B236,2,3,1,Menus!$K$10))</f>
        <v>0</v>
      </c>
    </row>
    <row r="237" spans="1:4" x14ac:dyDescent="0.25">
      <c r="A237">
        <f ca="1"/>
        <v>0</v>
      </c>
      <c r="B237">
        <v>237</v>
      </c>
      <c r="C237">
        <f ca="1">INDIRECT(ADDRESS($B237,1,3,1,Menus!$K$10))</f>
        <v>0</v>
      </c>
      <c r="D237">
        <f ca="1">INDIRECT(ADDRESS($B237,2,3,1,Menus!$K$10))</f>
        <v>0</v>
      </c>
    </row>
    <row r="238" spans="1:4" x14ac:dyDescent="0.25">
      <c r="A238">
        <f ca="1"/>
        <v>0</v>
      </c>
      <c r="B238">
        <v>238</v>
      </c>
      <c r="C238">
        <f ca="1">INDIRECT(ADDRESS($B238,1,3,1,Menus!$K$10))</f>
        <v>0</v>
      </c>
      <c r="D238">
        <f ca="1">INDIRECT(ADDRESS($B238,2,3,1,Menus!$K$10))</f>
        <v>0</v>
      </c>
    </row>
    <row r="239" spans="1:4" x14ac:dyDescent="0.25">
      <c r="A239">
        <f ca="1"/>
        <v>0</v>
      </c>
      <c r="B239" s="7">
        <v>239</v>
      </c>
      <c r="C239">
        <f ca="1">INDIRECT(ADDRESS($B239,1,3,1,Menus!$K$10))</f>
        <v>0</v>
      </c>
      <c r="D239">
        <f ca="1">INDIRECT(ADDRESS($B239,2,3,1,Menus!$K$10))</f>
        <v>0</v>
      </c>
    </row>
    <row r="240" spans="1:4" x14ac:dyDescent="0.25">
      <c r="A240">
        <f ca="1"/>
        <v>0</v>
      </c>
      <c r="B240">
        <v>240</v>
      </c>
      <c r="C240">
        <f ca="1">INDIRECT(ADDRESS($B240,1,3,1,Menus!$K$10))</f>
        <v>0</v>
      </c>
      <c r="D240">
        <f ca="1">INDIRECT(ADDRESS($B240,2,3,1,Menus!$K$10))</f>
        <v>0</v>
      </c>
    </row>
    <row r="241" spans="1:4" x14ac:dyDescent="0.25">
      <c r="A241">
        <f ca="1"/>
        <v>0</v>
      </c>
      <c r="B241">
        <v>241</v>
      </c>
      <c r="C241">
        <f ca="1">INDIRECT(ADDRESS($B241,1,3,1,Menus!$K$10))</f>
        <v>0</v>
      </c>
      <c r="D241">
        <f ca="1">INDIRECT(ADDRESS($B241,2,3,1,Menus!$K$10))</f>
        <v>0</v>
      </c>
    </row>
    <row r="242" spans="1:4" x14ac:dyDescent="0.25">
      <c r="A242">
        <f ca="1"/>
        <v>0</v>
      </c>
      <c r="B242">
        <v>242</v>
      </c>
      <c r="C242">
        <f ca="1">INDIRECT(ADDRESS($B242,1,3,1,Menus!$K$10))</f>
        <v>0</v>
      </c>
      <c r="D242">
        <f ca="1">INDIRECT(ADDRESS($B242,2,3,1,Menus!$K$10))</f>
        <v>0</v>
      </c>
    </row>
    <row r="243" spans="1:4" x14ac:dyDescent="0.25">
      <c r="A243">
        <f ca="1"/>
        <v>0</v>
      </c>
      <c r="B243" s="7">
        <v>243</v>
      </c>
      <c r="C243">
        <f ca="1">INDIRECT(ADDRESS($B243,1,3,1,Menus!$K$10))</f>
        <v>0</v>
      </c>
      <c r="D243">
        <f ca="1">INDIRECT(ADDRESS($B243,2,3,1,Menus!$K$10))</f>
        <v>0</v>
      </c>
    </row>
    <row r="244" spans="1:4" x14ac:dyDescent="0.25">
      <c r="A244">
        <f ca="1"/>
        <v>0</v>
      </c>
      <c r="B244">
        <v>244</v>
      </c>
      <c r="C244">
        <f ca="1">INDIRECT(ADDRESS($B244,1,3,1,Menus!$K$10))</f>
        <v>0</v>
      </c>
      <c r="D244">
        <f ca="1">INDIRECT(ADDRESS($B244,2,3,1,Menus!$K$10))</f>
        <v>0</v>
      </c>
    </row>
    <row r="245" spans="1:4" x14ac:dyDescent="0.25">
      <c r="A245">
        <f ca="1"/>
        <v>0</v>
      </c>
      <c r="B245">
        <v>245</v>
      </c>
      <c r="C245">
        <f ca="1">INDIRECT(ADDRESS($B245,1,3,1,Menus!$K$10))</f>
        <v>0</v>
      </c>
      <c r="D245">
        <f ca="1">INDIRECT(ADDRESS($B245,2,3,1,Menus!$K$10))</f>
        <v>0</v>
      </c>
    </row>
    <row r="246" spans="1:4" x14ac:dyDescent="0.25">
      <c r="A246">
        <f ca="1"/>
        <v>0</v>
      </c>
      <c r="B246">
        <v>246</v>
      </c>
      <c r="C246">
        <f ca="1">INDIRECT(ADDRESS($B246,1,3,1,Menus!$K$10))</f>
        <v>0</v>
      </c>
      <c r="D246">
        <f ca="1">INDIRECT(ADDRESS($B246,2,3,1,Menus!$K$10))</f>
        <v>0</v>
      </c>
    </row>
    <row r="247" spans="1:4" x14ac:dyDescent="0.25">
      <c r="A247">
        <f ca="1"/>
        <v>0</v>
      </c>
      <c r="B247" s="7">
        <v>247</v>
      </c>
      <c r="C247">
        <f ca="1">INDIRECT(ADDRESS($B247,1,3,1,Menus!$K$10))</f>
        <v>0</v>
      </c>
      <c r="D247">
        <f ca="1">INDIRECT(ADDRESS($B247,2,3,1,Menus!$K$10))</f>
        <v>0</v>
      </c>
    </row>
    <row r="248" spans="1:4" x14ac:dyDescent="0.25">
      <c r="A248">
        <f ca="1"/>
        <v>0</v>
      </c>
      <c r="B248">
        <v>248</v>
      </c>
      <c r="C248">
        <f ca="1">INDIRECT(ADDRESS($B248,1,3,1,Menus!$K$10))</f>
        <v>0</v>
      </c>
      <c r="D248">
        <f ca="1">INDIRECT(ADDRESS($B248,2,3,1,Menus!$K$10))</f>
        <v>0</v>
      </c>
    </row>
    <row r="249" spans="1:4" x14ac:dyDescent="0.25">
      <c r="A249">
        <f ca="1"/>
        <v>0</v>
      </c>
      <c r="B249">
        <v>249</v>
      </c>
      <c r="C249">
        <f ca="1">INDIRECT(ADDRESS($B249,1,3,1,Menus!$K$10))</f>
        <v>0</v>
      </c>
      <c r="D249">
        <f ca="1">INDIRECT(ADDRESS($B249,2,3,1,Menus!$K$10))</f>
        <v>0</v>
      </c>
    </row>
    <row r="250" spans="1:4" x14ac:dyDescent="0.25">
      <c r="A250">
        <f ca="1"/>
        <v>0</v>
      </c>
      <c r="B250">
        <v>250</v>
      </c>
      <c r="C250">
        <f ca="1">INDIRECT(ADDRESS($B250,1,3,1,Menus!$K$10))</f>
        <v>0</v>
      </c>
      <c r="D250">
        <f ca="1">INDIRECT(ADDRESS($B250,2,3,1,Menus!$K$10))</f>
        <v>0</v>
      </c>
    </row>
    <row r="251" spans="1:4" x14ac:dyDescent="0.25">
      <c r="A251">
        <f ca="1"/>
        <v>0</v>
      </c>
      <c r="B251" s="7">
        <v>251</v>
      </c>
      <c r="C251">
        <f ca="1">INDIRECT(ADDRESS($B251,1,3,1,Menus!$K$10))</f>
        <v>0</v>
      </c>
      <c r="D251">
        <f ca="1">INDIRECT(ADDRESS($B251,2,3,1,Menus!$K$10))</f>
        <v>0</v>
      </c>
    </row>
    <row r="252" spans="1:4" x14ac:dyDescent="0.25">
      <c r="A252">
        <f ca="1"/>
        <v>0</v>
      </c>
      <c r="B252">
        <v>252</v>
      </c>
      <c r="C252">
        <f ca="1">INDIRECT(ADDRESS($B252,1,3,1,Menus!$K$10))</f>
        <v>0</v>
      </c>
      <c r="D252">
        <f ca="1">INDIRECT(ADDRESS($B252,2,3,1,Menus!$K$10))</f>
        <v>0</v>
      </c>
    </row>
    <row r="253" spans="1:4" x14ac:dyDescent="0.25">
      <c r="A253">
        <f ca="1"/>
        <v>0</v>
      </c>
      <c r="B253">
        <v>253</v>
      </c>
      <c r="C253">
        <f ca="1">INDIRECT(ADDRESS($B253,1,3,1,Menus!$K$10))</f>
        <v>0</v>
      </c>
      <c r="D253">
        <f ca="1">INDIRECT(ADDRESS($B253,2,3,1,Menus!$K$10))</f>
        <v>0</v>
      </c>
    </row>
    <row r="254" spans="1:4" x14ac:dyDescent="0.25">
      <c r="A254">
        <f ca="1"/>
        <v>0</v>
      </c>
      <c r="B254">
        <v>254</v>
      </c>
      <c r="C254">
        <f ca="1">INDIRECT(ADDRESS($B254,1,3,1,Menus!$K$10))</f>
        <v>0</v>
      </c>
      <c r="D254">
        <f ca="1">INDIRECT(ADDRESS($B254,2,3,1,Menus!$K$10))</f>
        <v>0</v>
      </c>
    </row>
    <row r="255" spans="1:4" x14ac:dyDescent="0.25">
      <c r="B255" s="7">
        <v>255</v>
      </c>
      <c r="C255">
        <f ca="1">INDIRECT(ADDRESS($B255,1,3,1,Menus!$K$10))</f>
        <v>0</v>
      </c>
      <c r="D255">
        <f ca="1">INDIRECT(ADDRESS($B255,2,3,1,Menus!$K$10))</f>
        <v>0</v>
      </c>
    </row>
    <row r="256" spans="1:4" x14ac:dyDescent="0.25">
      <c r="B256">
        <v>256</v>
      </c>
      <c r="C256">
        <f ca="1">INDIRECT(ADDRESS($B256,1,3,1,Menus!$K$10))</f>
        <v>0</v>
      </c>
      <c r="D256">
        <f ca="1">INDIRECT(ADDRESS($B256,2,3,1,Menus!$K$10))</f>
        <v>0</v>
      </c>
    </row>
    <row r="257" spans="2:4" x14ac:dyDescent="0.25">
      <c r="B257">
        <v>257</v>
      </c>
      <c r="C257">
        <f ca="1">INDIRECT(ADDRESS($B257,1,3,1,Menus!$K$10))</f>
        <v>0</v>
      </c>
      <c r="D257">
        <f ca="1">INDIRECT(ADDRESS($B257,2,3,1,Menus!$K$10))</f>
        <v>0</v>
      </c>
    </row>
    <row r="258" spans="2:4" x14ac:dyDescent="0.25">
      <c r="B258">
        <v>258</v>
      </c>
      <c r="C258">
        <f ca="1">INDIRECT(ADDRESS($B258,1,3,1,Menus!$K$10))</f>
        <v>0</v>
      </c>
      <c r="D258">
        <f ca="1">INDIRECT(ADDRESS($B258,2,3,1,Menus!$K$10))</f>
        <v>0</v>
      </c>
    </row>
    <row r="259" spans="2:4" x14ac:dyDescent="0.25">
      <c r="B259" s="7">
        <v>259</v>
      </c>
      <c r="C259">
        <f ca="1">INDIRECT(ADDRESS($B259,1,3,1,Menus!$K$10))</f>
        <v>0</v>
      </c>
      <c r="D259">
        <f ca="1">INDIRECT(ADDRESS($B259,2,3,1,Menus!$K$10))</f>
        <v>0</v>
      </c>
    </row>
    <row r="260" spans="2:4" x14ac:dyDescent="0.25">
      <c r="B260">
        <v>260</v>
      </c>
      <c r="C260">
        <f ca="1">INDIRECT(ADDRESS($B260,1,3,1,Menus!$K$10))</f>
        <v>0</v>
      </c>
      <c r="D260">
        <f ca="1">INDIRECT(ADDRESS($B260,2,3,1,Menus!$K$10))</f>
        <v>0</v>
      </c>
    </row>
    <row r="261" spans="2:4" x14ac:dyDescent="0.25">
      <c r="B261">
        <v>261</v>
      </c>
      <c r="C261">
        <f ca="1">INDIRECT(ADDRESS($B261,1,3,1,Menus!$K$10))</f>
        <v>0</v>
      </c>
      <c r="D261">
        <f ca="1">INDIRECT(ADDRESS($B261,2,3,1,Menus!$K$10))</f>
        <v>0</v>
      </c>
    </row>
    <row r="262" spans="2:4" x14ac:dyDescent="0.25">
      <c r="B262">
        <v>262</v>
      </c>
      <c r="C262">
        <f ca="1">INDIRECT(ADDRESS($B262,1,3,1,Menus!$K$10))</f>
        <v>0</v>
      </c>
      <c r="D262">
        <f ca="1">INDIRECT(ADDRESS($B262,2,3,1,Menus!$K$10))</f>
        <v>0</v>
      </c>
    </row>
    <row r="263" spans="2:4" x14ac:dyDescent="0.25">
      <c r="B263" s="7">
        <v>263</v>
      </c>
      <c r="C263">
        <f ca="1">INDIRECT(ADDRESS($B263,1,3,1,Menus!$K$10))</f>
        <v>0</v>
      </c>
      <c r="D263">
        <f ca="1">INDIRECT(ADDRESS($B263,2,3,1,Menus!$K$10))</f>
        <v>0</v>
      </c>
    </row>
    <row r="264" spans="2:4" x14ac:dyDescent="0.25">
      <c r="B264">
        <v>264</v>
      </c>
      <c r="C264">
        <f ca="1">INDIRECT(ADDRESS($B264,1,3,1,Menus!$K$10))</f>
        <v>0</v>
      </c>
      <c r="D264">
        <f ca="1">INDIRECT(ADDRESS($B264,2,3,1,Menus!$K$10))</f>
        <v>0</v>
      </c>
    </row>
    <row r="265" spans="2:4" x14ac:dyDescent="0.25">
      <c r="B265">
        <v>265</v>
      </c>
      <c r="C265">
        <f ca="1">INDIRECT(ADDRESS($B265,1,3,1,Menus!$K$10))</f>
        <v>0</v>
      </c>
      <c r="D265">
        <f ca="1">INDIRECT(ADDRESS($B265,2,3,1,Menus!$K$10))</f>
        <v>0</v>
      </c>
    </row>
    <row r="266" spans="2:4" x14ac:dyDescent="0.25">
      <c r="B266">
        <v>266</v>
      </c>
      <c r="C266">
        <f ca="1">INDIRECT(ADDRESS($B266,1,3,1,Menus!$K$10))</f>
        <v>0</v>
      </c>
      <c r="D266">
        <f ca="1">INDIRECT(ADDRESS($B266,2,3,1,Menus!$K$10))</f>
        <v>0</v>
      </c>
    </row>
    <row r="267" spans="2:4" x14ac:dyDescent="0.25">
      <c r="B267" s="7">
        <v>267</v>
      </c>
      <c r="C267">
        <f ca="1">INDIRECT(ADDRESS($B267,1,3,1,Menus!$K$10))</f>
        <v>0</v>
      </c>
      <c r="D267">
        <f ca="1">INDIRECT(ADDRESS($B267,2,3,1,Menus!$K$10))</f>
        <v>0</v>
      </c>
    </row>
    <row r="268" spans="2:4" x14ac:dyDescent="0.25">
      <c r="B268">
        <v>268</v>
      </c>
      <c r="C268">
        <f ca="1">INDIRECT(ADDRESS($B268,1,3,1,Menus!$K$10))</f>
        <v>0</v>
      </c>
      <c r="D268">
        <f ca="1">INDIRECT(ADDRESS($B268,2,3,1,Menus!$K$10))</f>
        <v>0</v>
      </c>
    </row>
    <row r="269" spans="2:4" x14ac:dyDescent="0.25">
      <c r="B269">
        <v>269</v>
      </c>
      <c r="C269">
        <f ca="1">INDIRECT(ADDRESS($B269,1,3,1,Menus!$K$10))</f>
        <v>0</v>
      </c>
      <c r="D269">
        <f ca="1">INDIRECT(ADDRESS($B269,2,3,1,Menus!$K$10))</f>
        <v>0</v>
      </c>
    </row>
    <row r="270" spans="2:4" x14ac:dyDescent="0.25">
      <c r="B270">
        <v>270</v>
      </c>
      <c r="C270">
        <f ca="1">INDIRECT(ADDRESS($B270,1,3,1,Menus!$K$10))</f>
        <v>0</v>
      </c>
      <c r="D270">
        <f ca="1">INDIRECT(ADDRESS($B270,2,3,1,Menus!$K$10))</f>
        <v>0</v>
      </c>
    </row>
    <row r="271" spans="2:4" x14ac:dyDescent="0.25">
      <c r="B271" s="7">
        <v>271</v>
      </c>
      <c r="C271">
        <f ca="1">INDIRECT(ADDRESS($B271,1,3,1,Menus!$K$10))</f>
        <v>0</v>
      </c>
      <c r="D271">
        <f ca="1">INDIRECT(ADDRESS($B271,2,3,1,Menus!$K$10))</f>
        <v>0</v>
      </c>
    </row>
    <row r="272" spans="2:4" x14ac:dyDescent="0.25">
      <c r="B272">
        <v>272</v>
      </c>
      <c r="C272">
        <f ca="1">INDIRECT(ADDRESS($B272,1,3,1,Menus!$K$10))</f>
        <v>0</v>
      </c>
      <c r="D272">
        <f ca="1">INDIRECT(ADDRESS($B272,2,3,1,Menus!$K$10))</f>
        <v>0</v>
      </c>
    </row>
    <row r="273" spans="2:4" x14ac:dyDescent="0.25">
      <c r="B273">
        <v>273</v>
      </c>
      <c r="C273">
        <f ca="1">INDIRECT(ADDRESS($B273,1,3,1,Menus!$K$10))</f>
        <v>0</v>
      </c>
      <c r="D273">
        <f ca="1">INDIRECT(ADDRESS($B273,2,3,1,Menus!$K$10))</f>
        <v>0</v>
      </c>
    </row>
    <row r="274" spans="2:4" x14ac:dyDescent="0.25">
      <c r="B274">
        <v>274</v>
      </c>
      <c r="C274">
        <f ca="1">INDIRECT(ADDRESS($B274,1,3,1,Menus!$K$10))</f>
        <v>0</v>
      </c>
      <c r="D274">
        <f ca="1">INDIRECT(ADDRESS($B274,2,3,1,Menus!$K$10))</f>
        <v>0</v>
      </c>
    </row>
    <row r="275" spans="2:4" x14ac:dyDescent="0.25">
      <c r="B275" s="7">
        <v>275</v>
      </c>
      <c r="C275">
        <f ca="1">INDIRECT(ADDRESS($B275,1,3,1,Menus!$K$10))</f>
        <v>0</v>
      </c>
      <c r="D275">
        <f ca="1">INDIRECT(ADDRESS($B275,2,3,1,Menus!$K$10))</f>
        <v>0</v>
      </c>
    </row>
    <row r="276" spans="2:4" x14ac:dyDescent="0.25">
      <c r="B276">
        <v>276</v>
      </c>
      <c r="C276">
        <f ca="1">INDIRECT(ADDRESS($B276,1,3,1,Menus!$K$10))</f>
        <v>0</v>
      </c>
      <c r="D276">
        <f ca="1">INDIRECT(ADDRESS($B276,2,3,1,Menus!$K$10))</f>
        <v>0</v>
      </c>
    </row>
    <row r="277" spans="2:4" x14ac:dyDescent="0.25">
      <c r="B277">
        <v>277</v>
      </c>
      <c r="C277">
        <f ca="1">INDIRECT(ADDRESS($B277,1,3,1,Menus!$K$10))</f>
        <v>0</v>
      </c>
      <c r="D277">
        <f ca="1">INDIRECT(ADDRESS($B277,2,3,1,Menus!$K$10))</f>
        <v>0</v>
      </c>
    </row>
    <row r="278" spans="2:4" x14ac:dyDescent="0.25">
      <c r="B278">
        <v>278</v>
      </c>
      <c r="C278">
        <f ca="1">INDIRECT(ADDRESS($B278,1,3,1,Menus!$K$10))</f>
        <v>0</v>
      </c>
      <c r="D278">
        <f ca="1">INDIRECT(ADDRESS($B278,2,3,1,Menus!$K$10))</f>
        <v>0</v>
      </c>
    </row>
    <row r="279" spans="2:4" x14ac:dyDescent="0.25">
      <c r="B279" s="7">
        <v>279</v>
      </c>
      <c r="C279">
        <f ca="1">INDIRECT(ADDRESS($B279,1,3,1,Menus!$K$10))</f>
        <v>0</v>
      </c>
      <c r="D279">
        <f ca="1">INDIRECT(ADDRESS($B279,2,3,1,Menus!$K$10))</f>
        <v>0</v>
      </c>
    </row>
    <row r="280" spans="2:4" x14ac:dyDescent="0.25">
      <c r="B280">
        <v>280</v>
      </c>
      <c r="C280">
        <f ca="1">INDIRECT(ADDRESS($B280,1,3,1,Menus!$K$10))</f>
        <v>0</v>
      </c>
      <c r="D280">
        <f ca="1">INDIRECT(ADDRESS($B280,2,3,1,Menus!$K$10))</f>
        <v>0</v>
      </c>
    </row>
    <row r="281" spans="2:4" x14ac:dyDescent="0.25">
      <c r="B281">
        <v>281</v>
      </c>
      <c r="C281">
        <f ca="1">INDIRECT(ADDRESS($B281,1,3,1,Menus!$K$10))</f>
        <v>0</v>
      </c>
      <c r="D281">
        <f ca="1">INDIRECT(ADDRESS($B281,2,3,1,Menus!$K$10))</f>
        <v>0</v>
      </c>
    </row>
    <row r="282" spans="2:4" x14ac:dyDescent="0.25">
      <c r="B282">
        <v>282</v>
      </c>
      <c r="C282">
        <f ca="1">INDIRECT(ADDRESS($B282,1,3,1,Menus!$K$10))</f>
        <v>0</v>
      </c>
      <c r="D282">
        <f ca="1">INDIRECT(ADDRESS($B282,2,3,1,Menus!$K$10))</f>
        <v>0</v>
      </c>
    </row>
    <row r="283" spans="2:4" x14ac:dyDescent="0.25">
      <c r="B283" s="7">
        <v>283</v>
      </c>
      <c r="C283">
        <f ca="1">INDIRECT(ADDRESS($B283,1,3,1,Menus!$K$10))</f>
        <v>0</v>
      </c>
      <c r="D283">
        <f ca="1">INDIRECT(ADDRESS($B283,2,3,1,Menus!$K$10))</f>
        <v>0</v>
      </c>
    </row>
    <row r="284" spans="2:4" x14ac:dyDescent="0.25">
      <c r="B284">
        <v>284</v>
      </c>
      <c r="C284">
        <f ca="1">INDIRECT(ADDRESS($B284,1,3,1,Menus!$K$10))</f>
        <v>0</v>
      </c>
      <c r="D284">
        <f ca="1">INDIRECT(ADDRESS($B284,2,3,1,Menus!$K$10))</f>
        <v>0</v>
      </c>
    </row>
    <row r="285" spans="2:4" x14ac:dyDescent="0.25">
      <c r="B285">
        <v>285</v>
      </c>
      <c r="C285">
        <f ca="1">INDIRECT(ADDRESS($B285,1,3,1,Menus!$K$10))</f>
        <v>0</v>
      </c>
      <c r="D285">
        <f ca="1">INDIRECT(ADDRESS($B285,2,3,1,Menus!$K$10))</f>
        <v>0</v>
      </c>
    </row>
    <row r="286" spans="2:4" x14ac:dyDescent="0.25">
      <c r="B286">
        <v>286</v>
      </c>
      <c r="C286">
        <f ca="1">INDIRECT(ADDRESS($B286,1,3,1,Menus!$K$10))</f>
        <v>0</v>
      </c>
      <c r="D286">
        <f ca="1">INDIRECT(ADDRESS($B286,2,3,1,Menus!$K$10))</f>
        <v>0</v>
      </c>
    </row>
    <row r="287" spans="2:4" x14ac:dyDescent="0.25">
      <c r="B287" s="7">
        <v>287</v>
      </c>
      <c r="C287">
        <f ca="1">INDIRECT(ADDRESS($B287,1,3,1,Menus!$K$10))</f>
        <v>0</v>
      </c>
      <c r="D287">
        <f ca="1">INDIRECT(ADDRESS($B287,2,3,1,Menus!$K$10))</f>
        <v>0</v>
      </c>
    </row>
    <row r="288" spans="2:4" x14ac:dyDescent="0.25">
      <c r="B288">
        <v>288</v>
      </c>
      <c r="C288">
        <f ca="1">INDIRECT(ADDRESS($B288,1,3,1,Menus!$K$10))</f>
        <v>0</v>
      </c>
      <c r="D288">
        <f ca="1">INDIRECT(ADDRESS($B288,2,3,1,Menus!$K$10))</f>
        <v>0</v>
      </c>
    </row>
    <row r="289" spans="2:4" x14ac:dyDescent="0.25">
      <c r="B289">
        <v>289</v>
      </c>
      <c r="C289">
        <f ca="1">INDIRECT(ADDRESS($B289,1,3,1,Menus!$K$10))</f>
        <v>0</v>
      </c>
      <c r="D289">
        <f ca="1">INDIRECT(ADDRESS($B289,2,3,1,Menus!$K$10))</f>
        <v>0</v>
      </c>
    </row>
    <row r="290" spans="2:4" x14ac:dyDescent="0.25">
      <c r="B290">
        <v>290</v>
      </c>
      <c r="C290">
        <f ca="1">INDIRECT(ADDRESS($B290,1,3,1,Menus!$K$10))</f>
        <v>0</v>
      </c>
      <c r="D290">
        <f ca="1">INDIRECT(ADDRESS($B290,2,3,1,Menus!$K$10))</f>
        <v>0</v>
      </c>
    </row>
    <row r="291" spans="2:4" x14ac:dyDescent="0.25">
      <c r="B291" s="7">
        <v>291</v>
      </c>
      <c r="C291">
        <f ca="1">INDIRECT(ADDRESS($B291,1,3,1,Menus!$K$10))</f>
        <v>0</v>
      </c>
      <c r="D291">
        <f ca="1">INDIRECT(ADDRESS($B291,2,3,1,Menus!$K$10))</f>
        <v>0</v>
      </c>
    </row>
    <row r="292" spans="2:4" x14ac:dyDescent="0.25">
      <c r="B292">
        <v>292</v>
      </c>
      <c r="C292">
        <f ca="1">INDIRECT(ADDRESS($B292,1,3,1,Menus!$K$10))</f>
        <v>0</v>
      </c>
      <c r="D292">
        <f ca="1">INDIRECT(ADDRESS($B292,2,3,1,Menus!$K$10))</f>
        <v>0</v>
      </c>
    </row>
    <row r="293" spans="2:4" x14ac:dyDescent="0.25">
      <c r="B293">
        <v>293</v>
      </c>
      <c r="C293">
        <f ca="1">INDIRECT(ADDRESS($B293,1,3,1,Menus!$K$10))</f>
        <v>0</v>
      </c>
      <c r="D293">
        <f ca="1">INDIRECT(ADDRESS($B293,2,3,1,Menus!$K$10))</f>
        <v>0</v>
      </c>
    </row>
    <row r="294" spans="2:4" x14ac:dyDescent="0.25">
      <c r="B294">
        <v>294</v>
      </c>
      <c r="C294">
        <f ca="1">INDIRECT(ADDRESS($B294,1,3,1,Menus!$K$10))</f>
        <v>0</v>
      </c>
      <c r="D294">
        <f ca="1">INDIRECT(ADDRESS($B294,2,3,1,Menus!$K$10))</f>
        <v>0</v>
      </c>
    </row>
    <row r="295" spans="2:4" x14ac:dyDescent="0.25">
      <c r="B295" s="7">
        <v>295</v>
      </c>
      <c r="C295">
        <f ca="1">INDIRECT(ADDRESS($B295,1,3,1,Menus!$K$10))</f>
        <v>0</v>
      </c>
      <c r="D295">
        <f ca="1">INDIRECT(ADDRESS($B295,2,3,1,Menus!$K$10))</f>
        <v>0</v>
      </c>
    </row>
    <row r="296" spans="2:4" x14ac:dyDescent="0.25">
      <c r="B296">
        <v>296</v>
      </c>
      <c r="C296">
        <f ca="1">INDIRECT(ADDRESS($B296,1,3,1,Menus!$K$10))</f>
        <v>0</v>
      </c>
      <c r="D296">
        <f ca="1">INDIRECT(ADDRESS($B296,2,3,1,Menus!$K$10))</f>
        <v>0</v>
      </c>
    </row>
    <row r="297" spans="2:4" x14ac:dyDescent="0.25">
      <c r="B297">
        <v>297</v>
      </c>
      <c r="C297">
        <f ca="1">INDIRECT(ADDRESS($B297,1,3,1,Menus!$K$10))</f>
        <v>0</v>
      </c>
      <c r="D297">
        <f ca="1">INDIRECT(ADDRESS($B297,2,3,1,Menus!$K$10))</f>
        <v>0</v>
      </c>
    </row>
    <row r="298" spans="2:4" x14ac:dyDescent="0.25">
      <c r="B298">
        <v>298</v>
      </c>
      <c r="C298">
        <f ca="1">INDIRECT(ADDRESS($B298,1,3,1,Menus!$K$10))</f>
        <v>0</v>
      </c>
      <c r="D298">
        <f ca="1">INDIRECT(ADDRESS($B298,2,3,1,Menus!$K$10))</f>
        <v>0</v>
      </c>
    </row>
    <row r="299" spans="2:4" x14ac:dyDescent="0.25">
      <c r="B299" s="7">
        <v>299</v>
      </c>
      <c r="C299">
        <f ca="1">INDIRECT(ADDRESS($B299,1,3,1,Menus!$K$10))</f>
        <v>0</v>
      </c>
      <c r="D299">
        <f ca="1">INDIRECT(ADDRESS($B299,2,3,1,Menus!$K$10))</f>
        <v>0</v>
      </c>
    </row>
    <row r="300" spans="2:4" x14ac:dyDescent="0.25">
      <c r="B300">
        <v>300</v>
      </c>
      <c r="C300">
        <f ca="1">INDIRECT(ADDRESS($B300,1,3,1,Menus!$K$10))</f>
        <v>0</v>
      </c>
      <c r="D300">
        <f ca="1">INDIRECT(ADDRESS($B300,2,3,1,Menus!$K$10))</f>
        <v>0</v>
      </c>
    </row>
    <row r="301" spans="2:4" x14ac:dyDescent="0.25">
      <c r="B301">
        <v>301</v>
      </c>
      <c r="C301">
        <f ca="1">INDIRECT(ADDRESS($B301,1,3,1,Menus!$K$10))</f>
        <v>0</v>
      </c>
      <c r="D301">
        <f ca="1">INDIRECT(ADDRESS($B301,2,3,1,Menus!$K$10))</f>
        <v>0</v>
      </c>
    </row>
    <row r="302" spans="2:4" x14ac:dyDescent="0.25">
      <c r="B302">
        <v>302</v>
      </c>
      <c r="C302">
        <f ca="1">INDIRECT(ADDRESS($B302,1,3,1,Menus!$K$10))</f>
        <v>0</v>
      </c>
      <c r="D302">
        <f ca="1">INDIRECT(ADDRESS($B302,2,3,1,Menus!$K$10))</f>
        <v>0</v>
      </c>
    </row>
    <row r="303" spans="2:4" x14ac:dyDescent="0.25">
      <c r="B303" s="7">
        <v>303</v>
      </c>
      <c r="C303">
        <f ca="1">INDIRECT(ADDRESS($B303,1,3,1,Menus!$K$10))</f>
        <v>0</v>
      </c>
      <c r="D303">
        <f ca="1">INDIRECT(ADDRESS($B303,2,3,1,Menus!$K$10))</f>
        <v>0</v>
      </c>
    </row>
    <row r="304" spans="2:4" x14ac:dyDescent="0.25">
      <c r="B304">
        <v>304</v>
      </c>
      <c r="C304">
        <f ca="1">INDIRECT(ADDRESS($B304,1,3,1,Menus!$K$10))</f>
        <v>0</v>
      </c>
      <c r="D304">
        <f ca="1">INDIRECT(ADDRESS($B304,2,3,1,Menus!$K$10))</f>
        <v>0</v>
      </c>
    </row>
    <row r="305" spans="2:4" x14ac:dyDescent="0.25">
      <c r="B305">
        <v>305</v>
      </c>
      <c r="C305">
        <f ca="1">INDIRECT(ADDRESS($B305,1,3,1,Menus!$K$10))</f>
        <v>0</v>
      </c>
      <c r="D305">
        <f ca="1">INDIRECT(ADDRESS($B305,2,3,1,Menus!$K$10))</f>
        <v>0</v>
      </c>
    </row>
    <row r="306" spans="2:4" x14ac:dyDescent="0.25">
      <c r="B306">
        <v>306</v>
      </c>
      <c r="C306">
        <f ca="1">INDIRECT(ADDRESS($B306,1,3,1,Menus!$K$10))</f>
        <v>0</v>
      </c>
      <c r="D306">
        <f ca="1">INDIRECT(ADDRESS($B306,2,3,1,Menus!$K$10))</f>
        <v>0</v>
      </c>
    </row>
    <row r="307" spans="2:4" x14ac:dyDescent="0.25">
      <c r="B307" s="7">
        <v>307</v>
      </c>
      <c r="C307">
        <f ca="1">INDIRECT(ADDRESS($B307,1,3,1,Menus!$K$10))</f>
        <v>0</v>
      </c>
      <c r="D307">
        <f ca="1">INDIRECT(ADDRESS($B307,2,3,1,Menus!$K$10))</f>
        <v>0</v>
      </c>
    </row>
    <row r="308" spans="2:4" x14ac:dyDescent="0.25">
      <c r="B308">
        <v>308</v>
      </c>
      <c r="C308">
        <f ca="1">INDIRECT(ADDRESS($B308,1,3,1,Menus!$K$10))</f>
        <v>0</v>
      </c>
      <c r="D308">
        <f ca="1">INDIRECT(ADDRESS($B308,2,3,1,Menus!$K$10))</f>
        <v>0</v>
      </c>
    </row>
    <row r="309" spans="2:4" x14ac:dyDescent="0.25">
      <c r="B309">
        <v>309</v>
      </c>
      <c r="C309">
        <f ca="1">INDIRECT(ADDRESS($B309,1,3,1,Menus!$K$10))</f>
        <v>0</v>
      </c>
      <c r="D309">
        <f ca="1">INDIRECT(ADDRESS($B309,2,3,1,Menus!$K$10))</f>
        <v>0</v>
      </c>
    </row>
    <row r="310" spans="2:4" x14ac:dyDescent="0.25">
      <c r="B310">
        <v>310</v>
      </c>
      <c r="C310">
        <f ca="1">INDIRECT(ADDRESS($B310,1,3,1,Menus!$K$10))</f>
        <v>0</v>
      </c>
      <c r="D310">
        <f ca="1">INDIRECT(ADDRESS($B310,2,3,1,Menus!$K$10))</f>
        <v>0</v>
      </c>
    </row>
    <row r="311" spans="2:4" x14ac:dyDescent="0.25">
      <c r="B311" s="7">
        <v>311</v>
      </c>
      <c r="C311">
        <f ca="1">INDIRECT(ADDRESS($B311,1,3,1,Menus!$K$10))</f>
        <v>0</v>
      </c>
      <c r="D311">
        <f ca="1">INDIRECT(ADDRESS($B311,2,3,1,Menus!$K$10))</f>
        <v>0</v>
      </c>
    </row>
    <row r="312" spans="2:4" x14ac:dyDescent="0.25">
      <c r="B312">
        <v>312</v>
      </c>
      <c r="C312">
        <f ca="1">INDIRECT(ADDRESS($B312,1,3,1,Menus!$K$10))</f>
        <v>0</v>
      </c>
      <c r="D312">
        <f ca="1">INDIRECT(ADDRESS($B312,2,3,1,Menus!$K$10))</f>
        <v>0</v>
      </c>
    </row>
    <row r="313" spans="2:4" x14ac:dyDescent="0.25">
      <c r="B313">
        <v>313</v>
      </c>
      <c r="C313">
        <f ca="1">INDIRECT(ADDRESS($B313,1,3,1,Menus!$K$10))</f>
        <v>0</v>
      </c>
      <c r="D313">
        <f ca="1">INDIRECT(ADDRESS($B313,2,3,1,Menus!$K$10))</f>
        <v>0</v>
      </c>
    </row>
    <row r="314" spans="2:4" x14ac:dyDescent="0.25">
      <c r="B314">
        <v>314</v>
      </c>
      <c r="C314">
        <f ca="1">INDIRECT(ADDRESS($B314,1,3,1,Menus!$K$10))</f>
        <v>0</v>
      </c>
      <c r="D314">
        <f ca="1">INDIRECT(ADDRESS($B314,2,3,1,Menus!$K$10))</f>
        <v>0</v>
      </c>
    </row>
    <row r="315" spans="2:4" x14ac:dyDescent="0.25">
      <c r="B315" s="7">
        <v>315</v>
      </c>
      <c r="C315">
        <f ca="1">INDIRECT(ADDRESS($B315,1,3,1,Menus!$K$10))</f>
        <v>0</v>
      </c>
      <c r="D315">
        <f ca="1">INDIRECT(ADDRESS($B315,2,3,1,Menus!$K$10))</f>
        <v>0</v>
      </c>
    </row>
    <row r="316" spans="2:4" x14ac:dyDescent="0.25">
      <c r="B316">
        <v>316</v>
      </c>
      <c r="C316">
        <f ca="1">INDIRECT(ADDRESS($B316,1,3,1,Menus!$K$10))</f>
        <v>0</v>
      </c>
      <c r="D316">
        <f ca="1">INDIRECT(ADDRESS($B316,2,3,1,Menus!$K$10))</f>
        <v>0</v>
      </c>
    </row>
    <row r="317" spans="2:4" x14ac:dyDescent="0.25">
      <c r="B317">
        <v>317</v>
      </c>
      <c r="C317">
        <f ca="1">INDIRECT(ADDRESS($B317,1,3,1,Menus!$K$10))</f>
        <v>0</v>
      </c>
      <c r="D317">
        <f ca="1">INDIRECT(ADDRESS($B317,2,3,1,Menus!$K$10))</f>
        <v>0</v>
      </c>
    </row>
    <row r="318" spans="2:4" x14ac:dyDescent="0.25">
      <c r="B318">
        <v>318</v>
      </c>
      <c r="C318">
        <f ca="1">INDIRECT(ADDRESS($B318,1,3,1,Menus!$K$10))</f>
        <v>0</v>
      </c>
      <c r="D318">
        <f ca="1">INDIRECT(ADDRESS($B318,2,3,1,Menus!$K$10))</f>
        <v>0</v>
      </c>
    </row>
    <row r="319" spans="2:4" x14ac:dyDescent="0.25">
      <c r="B319" s="7">
        <v>319</v>
      </c>
      <c r="C319">
        <f ca="1">INDIRECT(ADDRESS($B319,1,3,1,Menus!$K$10))</f>
        <v>0</v>
      </c>
      <c r="D319">
        <f ca="1">INDIRECT(ADDRESS($B319,2,3,1,Menus!$K$10))</f>
        <v>0</v>
      </c>
    </row>
    <row r="320" spans="2:4" x14ac:dyDescent="0.25">
      <c r="B320">
        <v>320</v>
      </c>
      <c r="C320">
        <f ca="1">INDIRECT(ADDRESS($B320,1,3,1,Menus!$K$10))</f>
        <v>0</v>
      </c>
      <c r="D320">
        <f ca="1">INDIRECT(ADDRESS($B320,2,3,1,Menus!$K$10))</f>
        <v>0</v>
      </c>
    </row>
    <row r="321" spans="2:4" x14ac:dyDescent="0.25">
      <c r="B321">
        <v>321</v>
      </c>
      <c r="C321">
        <f ca="1">INDIRECT(ADDRESS($B321,1,3,1,Menus!$K$10))</f>
        <v>0</v>
      </c>
      <c r="D321">
        <f ca="1">INDIRECT(ADDRESS($B321,2,3,1,Menus!$K$10))</f>
        <v>0</v>
      </c>
    </row>
    <row r="322" spans="2:4" x14ac:dyDescent="0.25">
      <c r="B322">
        <v>322</v>
      </c>
      <c r="C322">
        <f ca="1">INDIRECT(ADDRESS($B322,1,3,1,Menus!$K$10))</f>
        <v>0</v>
      </c>
      <c r="D322">
        <f ca="1">INDIRECT(ADDRESS($B322,2,3,1,Menus!$K$10))</f>
        <v>0</v>
      </c>
    </row>
    <row r="323" spans="2:4" x14ac:dyDescent="0.25">
      <c r="B323" s="7">
        <v>323</v>
      </c>
      <c r="C323">
        <f ca="1">INDIRECT(ADDRESS($B323,1,3,1,Menus!$K$10))</f>
        <v>0</v>
      </c>
      <c r="D323">
        <f ca="1">INDIRECT(ADDRESS($B323,2,3,1,Menus!$K$10))</f>
        <v>0</v>
      </c>
    </row>
    <row r="324" spans="2:4" x14ac:dyDescent="0.25">
      <c r="B324">
        <v>324</v>
      </c>
      <c r="C324">
        <f ca="1">INDIRECT(ADDRESS($B324,1,3,1,Menus!$K$10))</f>
        <v>0</v>
      </c>
      <c r="D324">
        <f ca="1">INDIRECT(ADDRESS($B324,2,3,1,Menus!$K$10))</f>
        <v>0</v>
      </c>
    </row>
    <row r="325" spans="2:4" x14ac:dyDescent="0.25">
      <c r="B325">
        <v>325</v>
      </c>
      <c r="C325">
        <f ca="1">INDIRECT(ADDRESS($B325,1,3,1,Menus!$K$10))</f>
        <v>0</v>
      </c>
      <c r="D325">
        <f ca="1">INDIRECT(ADDRESS($B325,2,3,1,Menus!$K$10))</f>
        <v>0</v>
      </c>
    </row>
    <row r="326" spans="2:4" x14ac:dyDescent="0.25">
      <c r="B326">
        <v>326</v>
      </c>
      <c r="C326">
        <f ca="1">INDIRECT(ADDRESS($B326,1,3,1,Menus!$K$10))</f>
        <v>0</v>
      </c>
      <c r="D326">
        <f ca="1">INDIRECT(ADDRESS($B326,2,3,1,Menus!$K$10))</f>
        <v>0</v>
      </c>
    </row>
    <row r="327" spans="2:4" x14ac:dyDescent="0.25">
      <c r="B327" s="7">
        <v>327</v>
      </c>
      <c r="C327">
        <f ca="1">INDIRECT(ADDRESS($B327,1,3,1,Menus!$K$10))</f>
        <v>0</v>
      </c>
      <c r="D327">
        <f ca="1">INDIRECT(ADDRESS($B327,2,3,1,Menus!$K$10))</f>
        <v>0</v>
      </c>
    </row>
    <row r="328" spans="2:4" x14ac:dyDescent="0.25">
      <c r="B328">
        <v>328</v>
      </c>
      <c r="C328">
        <f ca="1">INDIRECT(ADDRESS($B328,1,3,1,Menus!$K$10))</f>
        <v>0</v>
      </c>
      <c r="D328">
        <f ca="1">INDIRECT(ADDRESS($B328,2,3,1,Menus!$K$10))</f>
        <v>0</v>
      </c>
    </row>
    <row r="329" spans="2:4" x14ac:dyDescent="0.25">
      <c r="B329">
        <v>329</v>
      </c>
      <c r="C329">
        <f ca="1">INDIRECT(ADDRESS($B329,1,3,1,Menus!$K$10))</f>
        <v>0</v>
      </c>
      <c r="D329">
        <f ca="1">INDIRECT(ADDRESS($B329,2,3,1,Menus!$K$10))</f>
        <v>0</v>
      </c>
    </row>
    <row r="330" spans="2:4" x14ac:dyDescent="0.25">
      <c r="B330">
        <v>330</v>
      </c>
      <c r="C330">
        <f ca="1">INDIRECT(ADDRESS($B330,1,3,1,Menus!$K$10))</f>
        <v>0</v>
      </c>
      <c r="D330">
        <f ca="1">INDIRECT(ADDRESS($B330,2,3,1,Menus!$K$10))</f>
        <v>0</v>
      </c>
    </row>
    <row r="331" spans="2:4" x14ac:dyDescent="0.25">
      <c r="B331" s="7">
        <v>331</v>
      </c>
      <c r="C331">
        <f ca="1">INDIRECT(ADDRESS($B331,1,3,1,Menus!$K$10))</f>
        <v>0</v>
      </c>
      <c r="D331">
        <f ca="1">INDIRECT(ADDRESS($B331,2,3,1,Menus!$K$10))</f>
        <v>0</v>
      </c>
    </row>
    <row r="332" spans="2:4" x14ac:dyDescent="0.25">
      <c r="B332">
        <v>332</v>
      </c>
      <c r="C332">
        <f ca="1">INDIRECT(ADDRESS($B332,1,3,1,Menus!$K$10))</f>
        <v>0</v>
      </c>
      <c r="D332">
        <f ca="1">INDIRECT(ADDRESS($B332,2,3,1,Menus!$K$10))</f>
        <v>0</v>
      </c>
    </row>
    <row r="333" spans="2:4" x14ac:dyDescent="0.25">
      <c r="B333">
        <v>333</v>
      </c>
      <c r="C333">
        <f ca="1">INDIRECT(ADDRESS($B333,1,3,1,Menus!$K$10))</f>
        <v>0</v>
      </c>
      <c r="D333">
        <f ca="1">INDIRECT(ADDRESS($B333,2,3,1,Menus!$K$10))</f>
        <v>0</v>
      </c>
    </row>
    <row r="334" spans="2:4" x14ac:dyDescent="0.25">
      <c r="B334">
        <v>334</v>
      </c>
      <c r="C334">
        <f ca="1">INDIRECT(ADDRESS($B334,1,3,1,Menus!$K$10))</f>
        <v>0</v>
      </c>
      <c r="D334">
        <f ca="1">INDIRECT(ADDRESS($B334,2,3,1,Menus!$K$10))</f>
        <v>0</v>
      </c>
    </row>
    <row r="335" spans="2:4" x14ac:dyDescent="0.25">
      <c r="B335" s="7">
        <v>335</v>
      </c>
      <c r="C335">
        <f ca="1">INDIRECT(ADDRESS($B335,1,3,1,Menus!$K$10))</f>
        <v>0</v>
      </c>
      <c r="D335">
        <f ca="1">INDIRECT(ADDRESS($B335,2,3,1,Menus!$K$10))</f>
        <v>0</v>
      </c>
    </row>
    <row r="336" spans="2:4" x14ac:dyDescent="0.25">
      <c r="B336">
        <v>336</v>
      </c>
      <c r="C336">
        <f ca="1">INDIRECT(ADDRESS($B336,1,3,1,Menus!$K$10))</f>
        <v>0</v>
      </c>
      <c r="D336">
        <f ca="1">INDIRECT(ADDRESS($B336,2,3,1,Menus!$K$10))</f>
        <v>0</v>
      </c>
    </row>
    <row r="337" spans="2:4" x14ac:dyDescent="0.25">
      <c r="B337">
        <v>337</v>
      </c>
      <c r="C337">
        <f ca="1">INDIRECT(ADDRESS($B337,1,3,1,Menus!$K$10))</f>
        <v>0</v>
      </c>
      <c r="D337">
        <f ca="1">INDIRECT(ADDRESS($B337,2,3,1,Menus!$K$10))</f>
        <v>0</v>
      </c>
    </row>
    <row r="338" spans="2:4" x14ac:dyDescent="0.25">
      <c r="B338">
        <v>338</v>
      </c>
      <c r="C338">
        <f ca="1">INDIRECT(ADDRESS($B338,1,3,1,Menus!$K$10))</f>
        <v>0</v>
      </c>
      <c r="D338">
        <f ca="1">INDIRECT(ADDRESS($B338,2,3,1,Menus!$K$10))</f>
        <v>0</v>
      </c>
    </row>
    <row r="339" spans="2:4" x14ac:dyDescent="0.25">
      <c r="B339" s="7">
        <v>339</v>
      </c>
      <c r="C339">
        <f ca="1">INDIRECT(ADDRESS($B339,1,3,1,Menus!$K$10))</f>
        <v>0</v>
      </c>
      <c r="D339">
        <f ca="1">INDIRECT(ADDRESS($B339,2,3,1,Menus!$K$10))</f>
        <v>0</v>
      </c>
    </row>
    <row r="340" spans="2:4" x14ac:dyDescent="0.25">
      <c r="B340">
        <v>340</v>
      </c>
      <c r="C340">
        <f ca="1">INDIRECT(ADDRESS($B340,1,3,1,Menus!$K$10))</f>
        <v>0</v>
      </c>
      <c r="D340">
        <f ca="1">INDIRECT(ADDRESS($B340,2,3,1,Menus!$K$10))</f>
        <v>0</v>
      </c>
    </row>
    <row r="341" spans="2:4" x14ac:dyDescent="0.25">
      <c r="B341">
        <v>341</v>
      </c>
      <c r="C341">
        <f ca="1">INDIRECT(ADDRESS($B341,1,3,1,Menus!$K$10))</f>
        <v>0</v>
      </c>
      <c r="D341">
        <f ca="1">INDIRECT(ADDRESS($B341,2,3,1,Menus!$K$10))</f>
        <v>0</v>
      </c>
    </row>
    <row r="342" spans="2:4" x14ac:dyDescent="0.25">
      <c r="B342">
        <v>342</v>
      </c>
      <c r="C342">
        <f ca="1">INDIRECT(ADDRESS($B342,1,3,1,Menus!$K$10))</f>
        <v>0</v>
      </c>
      <c r="D342">
        <f ca="1">INDIRECT(ADDRESS($B342,2,3,1,Menus!$K$10))</f>
        <v>0</v>
      </c>
    </row>
    <row r="343" spans="2:4" x14ac:dyDescent="0.25">
      <c r="B343" s="7">
        <v>343</v>
      </c>
      <c r="C343">
        <f ca="1">INDIRECT(ADDRESS($B343,1,3,1,Menus!$K$10))</f>
        <v>0</v>
      </c>
      <c r="D343">
        <f ca="1">INDIRECT(ADDRESS($B343,2,3,1,Menus!$K$10))</f>
        <v>0</v>
      </c>
    </row>
    <row r="344" spans="2:4" x14ac:dyDescent="0.25">
      <c r="B344">
        <v>344</v>
      </c>
      <c r="C344">
        <f ca="1">INDIRECT(ADDRESS($B344,1,3,1,Menus!$K$10))</f>
        <v>0</v>
      </c>
      <c r="D344">
        <f ca="1">INDIRECT(ADDRESS($B344,2,3,1,Menus!$K$10))</f>
        <v>0</v>
      </c>
    </row>
    <row r="345" spans="2:4" x14ac:dyDescent="0.25">
      <c r="B345">
        <v>345</v>
      </c>
      <c r="C345">
        <f ca="1">INDIRECT(ADDRESS($B345,1,3,1,Menus!$K$10))</f>
        <v>0</v>
      </c>
      <c r="D345">
        <f ca="1">INDIRECT(ADDRESS($B345,2,3,1,Menus!$K$10))</f>
        <v>0</v>
      </c>
    </row>
    <row r="346" spans="2:4" x14ac:dyDescent="0.25">
      <c r="B346">
        <v>346</v>
      </c>
      <c r="C346">
        <f ca="1">INDIRECT(ADDRESS($B346,1,3,1,Menus!$K$10))</f>
        <v>0</v>
      </c>
      <c r="D346">
        <f ca="1">INDIRECT(ADDRESS($B346,2,3,1,Menus!$K$10))</f>
        <v>0</v>
      </c>
    </row>
    <row r="347" spans="2:4" x14ac:dyDescent="0.25">
      <c r="B347" s="7">
        <v>347</v>
      </c>
      <c r="C347">
        <f ca="1">INDIRECT(ADDRESS($B347,1,3,1,Menus!$K$10))</f>
        <v>0</v>
      </c>
      <c r="D347">
        <f ca="1">INDIRECT(ADDRESS($B347,2,3,1,Menus!$K$10))</f>
        <v>0</v>
      </c>
    </row>
    <row r="348" spans="2:4" x14ac:dyDescent="0.25">
      <c r="B348">
        <v>348</v>
      </c>
      <c r="C348">
        <f ca="1">INDIRECT(ADDRESS($B348,1,3,1,Menus!$K$10))</f>
        <v>0</v>
      </c>
      <c r="D348">
        <f ca="1">INDIRECT(ADDRESS($B348,2,3,1,Menus!$K$10))</f>
        <v>0</v>
      </c>
    </row>
    <row r="349" spans="2:4" x14ac:dyDescent="0.25">
      <c r="B349">
        <v>349</v>
      </c>
      <c r="C349">
        <f ca="1">INDIRECT(ADDRESS($B349,1,3,1,Menus!$K$10))</f>
        <v>0</v>
      </c>
      <c r="D349">
        <f ca="1">INDIRECT(ADDRESS($B349,2,3,1,Menus!$K$10))</f>
        <v>0</v>
      </c>
    </row>
    <row r="350" spans="2:4" x14ac:dyDescent="0.25">
      <c r="B350">
        <v>350</v>
      </c>
      <c r="C350">
        <f ca="1">INDIRECT(ADDRESS($B350,1,3,1,Menus!$K$10))</f>
        <v>0</v>
      </c>
      <c r="D350">
        <f ca="1">INDIRECT(ADDRESS($B350,2,3,1,Menus!$K$10))</f>
        <v>0</v>
      </c>
    </row>
    <row r="351" spans="2:4" x14ac:dyDescent="0.25">
      <c r="B351" s="7">
        <v>351</v>
      </c>
      <c r="C351">
        <f ca="1">INDIRECT(ADDRESS($B351,1,3,1,Menus!$K$10))</f>
        <v>0</v>
      </c>
      <c r="D351">
        <f ca="1">INDIRECT(ADDRESS($B351,2,3,1,Menus!$K$10))</f>
        <v>0</v>
      </c>
    </row>
    <row r="352" spans="2:4" x14ac:dyDescent="0.25">
      <c r="B352">
        <v>352</v>
      </c>
      <c r="C352">
        <f ca="1">INDIRECT(ADDRESS($B352,1,3,1,Menus!$K$10))</f>
        <v>0</v>
      </c>
      <c r="D352">
        <f ca="1">INDIRECT(ADDRESS($B352,2,3,1,Menus!$K$10))</f>
        <v>0</v>
      </c>
    </row>
    <row r="353" spans="2:4" x14ac:dyDescent="0.25">
      <c r="B353">
        <v>353</v>
      </c>
      <c r="C353">
        <f ca="1">INDIRECT(ADDRESS($B353,1,3,1,Menus!$K$10))</f>
        <v>0</v>
      </c>
      <c r="D353">
        <f ca="1">INDIRECT(ADDRESS($B353,2,3,1,Menus!$K$10))</f>
        <v>0</v>
      </c>
    </row>
    <row r="354" spans="2:4" x14ac:dyDescent="0.25">
      <c r="B354">
        <v>354</v>
      </c>
      <c r="C354">
        <f ca="1">INDIRECT(ADDRESS($B354,1,3,1,Menus!$K$10))</f>
        <v>0</v>
      </c>
      <c r="D354">
        <f ca="1">INDIRECT(ADDRESS($B354,2,3,1,Menus!$K$10))</f>
        <v>0</v>
      </c>
    </row>
    <row r="355" spans="2:4" x14ac:dyDescent="0.25">
      <c r="B355" s="7">
        <v>355</v>
      </c>
      <c r="C355">
        <f ca="1">INDIRECT(ADDRESS($B355,1,3,1,Menus!$K$10))</f>
        <v>0</v>
      </c>
      <c r="D355">
        <f ca="1">INDIRECT(ADDRESS($B355,2,3,1,Menus!$K$10))</f>
        <v>0</v>
      </c>
    </row>
    <row r="356" spans="2:4" x14ac:dyDescent="0.25">
      <c r="B356">
        <v>356</v>
      </c>
      <c r="C356">
        <f ca="1">INDIRECT(ADDRESS($B356,1,3,1,Menus!$K$10))</f>
        <v>0</v>
      </c>
      <c r="D356">
        <f ca="1">INDIRECT(ADDRESS($B356,2,3,1,Menus!$K$10))</f>
        <v>0</v>
      </c>
    </row>
    <row r="357" spans="2:4" x14ac:dyDescent="0.25">
      <c r="B357">
        <v>357</v>
      </c>
      <c r="C357">
        <f ca="1">INDIRECT(ADDRESS($B357,1,3,1,Menus!$K$10))</f>
        <v>0</v>
      </c>
      <c r="D357">
        <f ca="1">INDIRECT(ADDRESS($B357,2,3,1,Menus!$K$10))</f>
        <v>0</v>
      </c>
    </row>
    <row r="358" spans="2:4" x14ac:dyDescent="0.25">
      <c r="B358">
        <v>358</v>
      </c>
      <c r="C358">
        <f ca="1">INDIRECT(ADDRESS($B358,1,3,1,Menus!$K$10))</f>
        <v>0</v>
      </c>
      <c r="D358">
        <f ca="1">INDIRECT(ADDRESS($B358,2,3,1,Menus!$K$10))</f>
        <v>0</v>
      </c>
    </row>
    <row r="359" spans="2:4" x14ac:dyDescent="0.25">
      <c r="B359" s="7">
        <v>359</v>
      </c>
      <c r="C359">
        <f ca="1">INDIRECT(ADDRESS($B359,1,3,1,Menus!$K$10))</f>
        <v>0</v>
      </c>
      <c r="D359">
        <f ca="1">INDIRECT(ADDRESS($B359,2,3,1,Menus!$K$10))</f>
        <v>0</v>
      </c>
    </row>
    <row r="360" spans="2:4" x14ac:dyDescent="0.25">
      <c r="B360">
        <v>360</v>
      </c>
      <c r="C360">
        <f ca="1">INDIRECT(ADDRESS($B360,1,3,1,Menus!$K$10))</f>
        <v>0</v>
      </c>
      <c r="D360">
        <f ca="1">INDIRECT(ADDRESS($B360,2,3,1,Menus!$K$10))</f>
        <v>0</v>
      </c>
    </row>
    <row r="361" spans="2:4" x14ac:dyDescent="0.25">
      <c r="B361">
        <v>361</v>
      </c>
      <c r="C361">
        <f ca="1">INDIRECT(ADDRESS($B361,1,3,1,Menus!$K$10))</f>
        <v>0</v>
      </c>
      <c r="D361">
        <f ca="1">INDIRECT(ADDRESS($B361,2,3,1,Menus!$K$10))</f>
        <v>0</v>
      </c>
    </row>
    <row r="362" spans="2:4" x14ac:dyDescent="0.25">
      <c r="B362">
        <v>362</v>
      </c>
      <c r="C362">
        <f ca="1">INDIRECT(ADDRESS($B362,1,3,1,Menus!$K$10))</f>
        <v>0</v>
      </c>
      <c r="D362">
        <f ca="1">INDIRECT(ADDRESS($B362,2,3,1,Menus!$K$10))</f>
        <v>0</v>
      </c>
    </row>
    <row r="363" spans="2:4" x14ac:dyDescent="0.25">
      <c r="B363" s="7">
        <v>363</v>
      </c>
      <c r="C363">
        <f ca="1">INDIRECT(ADDRESS($B363,1,3,1,Menus!$K$10))</f>
        <v>0</v>
      </c>
      <c r="D363">
        <f ca="1">INDIRECT(ADDRESS($B363,2,3,1,Menus!$K$10))</f>
        <v>0</v>
      </c>
    </row>
    <row r="364" spans="2:4" x14ac:dyDescent="0.25">
      <c r="B364">
        <v>364</v>
      </c>
      <c r="C364">
        <f ca="1">INDIRECT(ADDRESS($B364,1,3,1,Menus!$K$10))</f>
        <v>0</v>
      </c>
      <c r="D364">
        <f ca="1">INDIRECT(ADDRESS($B364,2,3,1,Menus!$K$10))</f>
        <v>0</v>
      </c>
    </row>
    <row r="365" spans="2:4" x14ac:dyDescent="0.25">
      <c r="B365">
        <v>365</v>
      </c>
      <c r="C365">
        <f ca="1">INDIRECT(ADDRESS($B365,1,3,1,Menus!$K$10))</f>
        <v>0</v>
      </c>
      <c r="D365">
        <f ca="1">INDIRECT(ADDRESS($B365,2,3,1,Menus!$K$10))</f>
        <v>0</v>
      </c>
    </row>
    <row r="366" spans="2:4" x14ac:dyDescent="0.25">
      <c r="B366">
        <v>366</v>
      </c>
      <c r="C366">
        <f ca="1">INDIRECT(ADDRESS($B366,1,3,1,Menus!$K$10))</f>
        <v>0</v>
      </c>
      <c r="D366">
        <f ca="1">INDIRECT(ADDRESS($B366,2,3,1,Menus!$K$10))</f>
        <v>0</v>
      </c>
    </row>
    <row r="367" spans="2:4" x14ac:dyDescent="0.25">
      <c r="B367" s="7">
        <v>367</v>
      </c>
      <c r="C367">
        <f ca="1">INDIRECT(ADDRESS($B367,1,3,1,Menus!$K$10))</f>
        <v>0</v>
      </c>
      <c r="D367">
        <f ca="1">INDIRECT(ADDRESS($B367,2,3,1,Menus!$K$10))</f>
        <v>0</v>
      </c>
    </row>
    <row r="368" spans="2:4" x14ac:dyDescent="0.25">
      <c r="B368">
        <v>368</v>
      </c>
      <c r="C368">
        <f ca="1">INDIRECT(ADDRESS($B368,1,3,1,Menus!$K$10))</f>
        <v>0</v>
      </c>
      <c r="D368">
        <f ca="1">INDIRECT(ADDRESS($B368,2,3,1,Menus!$K$10))</f>
        <v>0</v>
      </c>
    </row>
    <row r="369" spans="2:4" x14ac:dyDescent="0.25">
      <c r="B369">
        <v>369</v>
      </c>
      <c r="C369">
        <f ca="1">INDIRECT(ADDRESS($B369,1,3,1,Menus!$K$10))</f>
        <v>0</v>
      </c>
      <c r="D369">
        <f ca="1">INDIRECT(ADDRESS($B369,2,3,1,Menus!$K$10))</f>
        <v>0</v>
      </c>
    </row>
    <row r="370" spans="2:4" x14ac:dyDescent="0.25">
      <c r="B370">
        <v>370</v>
      </c>
      <c r="C370">
        <f ca="1">INDIRECT(ADDRESS($B370,1,3,1,Menus!$K$10))</f>
        <v>0</v>
      </c>
      <c r="D370">
        <f ca="1">INDIRECT(ADDRESS($B370,2,3,1,Menus!$K$10))</f>
        <v>0</v>
      </c>
    </row>
    <row r="371" spans="2:4" x14ac:dyDescent="0.25">
      <c r="B371" s="7">
        <v>371</v>
      </c>
      <c r="C371">
        <f ca="1">INDIRECT(ADDRESS($B371,1,3,1,Menus!$K$10))</f>
        <v>0</v>
      </c>
      <c r="D371">
        <f ca="1">INDIRECT(ADDRESS($B371,2,3,1,Menus!$K$10))</f>
        <v>0</v>
      </c>
    </row>
    <row r="372" spans="2:4" x14ac:dyDescent="0.25">
      <c r="B372">
        <v>372</v>
      </c>
      <c r="C372">
        <f ca="1">INDIRECT(ADDRESS($B372,1,3,1,Menus!$K$10))</f>
        <v>0</v>
      </c>
      <c r="D372">
        <f ca="1">INDIRECT(ADDRESS($B372,2,3,1,Menus!$K$10))</f>
        <v>0</v>
      </c>
    </row>
    <row r="373" spans="2:4" x14ac:dyDescent="0.25">
      <c r="B373">
        <v>373</v>
      </c>
      <c r="C373">
        <f ca="1">INDIRECT(ADDRESS($B373,1,3,1,Menus!$K$10))</f>
        <v>0</v>
      </c>
      <c r="D373">
        <f ca="1">INDIRECT(ADDRESS($B373,2,3,1,Menus!$K$10))</f>
        <v>0</v>
      </c>
    </row>
    <row r="374" spans="2:4" x14ac:dyDescent="0.25">
      <c r="B374">
        <v>374</v>
      </c>
      <c r="C374">
        <f ca="1">INDIRECT(ADDRESS($B374,1,3,1,Menus!$K$10))</f>
        <v>0</v>
      </c>
      <c r="D374">
        <f ca="1">INDIRECT(ADDRESS($B374,2,3,1,Menus!$K$10))</f>
        <v>0</v>
      </c>
    </row>
    <row r="375" spans="2:4" x14ac:dyDescent="0.25">
      <c r="B375" s="7">
        <v>375</v>
      </c>
      <c r="C375">
        <f ca="1">INDIRECT(ADDRESS($B375,1,3,1,Menus!$K$10))</f>
        <v>0</v>
      </c>
      <c r="D375">
        <f ca="1">INDIRECT(ADDRESS($B375,2,3,1,Menus!$K$10))</f>
        <v>0</v>
      </c>
    </row>
    <row r="376" spans="2:4" x14ac:dyDescent="0.25">
      <c r="B376">
        <v>376</v>
      </c>
      <c r="C376">
        <f ca="1">INDIRECT(ADDRESS($B376,1,3,1,Menus!$K$10))</f>
        <v>0</v>
      </c>
      <c r="D376">
        <f ca="1">INDIRECT(ADDRESS($B376,2,3,1,Menus!$K$10))</f>
        <v>0</v>
      </c>
    </row>
    <row r="377" spans="2:4" x14ac:dyDescent="0.25">
      <c r="B377">
        <v>377</v>
      </c>
      <c r="C377">
        <f ca="1">INDIRECT(ADDRESS($B377,1,3,1,Menus!$K$10))</f>
        <v>0</v>
      </c>
      <c r="D377">
        <f ca="1">INDIRECT(ADDRESS($B377,2,3,1,Menus!$K$10))</f>
        <v>0</v>
      </c>
    </row>
    <row r="378" spans="2:4" x14ac:dyDescent="0.25">
      <c r="B378">
        <v>378</v>
      </c>
      <c r="C378">
        <f ca="1">INDIRECT(ADDRESS($B378,1,3,1,Menus!$K$10))</f>
        <v>0</v>
      </c>
      <c r="D378">
        <f ca="1">INDIRECT(ADDRESS($B378,2,3,1,Menus!$K$10))</f>
        <v>0</v>
      </c>
    </row>
    <row r="379" spans="2:4" x14ac:dyDescent="0.25">
      <c r="B379" s="7">
        <v>379</v>
      </c>
      <c r="C379">
        <f ca="1">INDIRECT(ADDRESS($B379,1,3,1,Menus!$K$10))</f>
        <v>0</v>
      </c>
      <c r="D379">
        <f ca="1">INDIRECT(ADDRESS($B379,2,3,1,Menus!$K$10))</f>
        <v>0</v>
      </c>
    </row>
    <row r="380" spans="2:4" x14ac:dyDescent="0.25">
      <c r="B380">
        <v>380</v>
      </c>
      <c r="C380">
        <f ca="1">INDIRECT(ADDRESS($B380,1,3,1,Menus!$K$10))</f>
        <v>0</v>
      </c>
      <c r="D380">
        <f ca="1">INDIRECT(ADDRESS($B380,2,3,1,Menus!$K$10))</f>
        <v>0</v>
      </c>
    </row>
    <row r="381" spans="2:4" x14ac:dyDescent="0.25">
      <c r="B381">
        <v>381</v>
      </c>
      <c r="C381">
        <f ca="1">INDIRECT(ADDRESS($B381,1,3,1,Menus!$K$10))</f>
        <v>0</v>
      </c>
      <c r="D381">
        <f ca="1">INDIRECT(ADDRESS($B381,2,3,1,Menus!$K$10))</f>
        <v>0</v>
      </c>
    </row>
    <row r="382" spans="2:4" x14ac:dyDescent="0.25">
      <c r="B382">
        <v>382</v>
      </c>
      <c r="C382">
        <f ca="1">INDIRECT(ADDRESS($B382,1,3,1,Menus!$K$10))</f>
        <v>0</v>
      </c>
      <c r="D382">
        <f ca="1">INDIRECT(ADDRESS($B382,2,3,1,Menus!$K$10))</f>
        <v>0</v>
      </c>
    </row>
    <row r="383" spans="2:4" x14ac:dyDescent="0.25">
      <c r="B383" s="7">
        <v>383</v>
      </c>
      <c r="C383">
        <f ca="1">INDIRECT(ADDRESS($B383,1,3,1,Menus!$K$10))</f>
        <v>0</v>
      </c>
      <c r="D383">
        <f ca="1">INDIRECT(ADDRESS($B383,2,3,1,Menus!$K$10))</f>
        <v>0</v>
      </c>
    </row>
    <row r="384" spans="2:4" x14ac:dyDescent="0.25">
      <c r="B384">
        <v>384</v>
      </c>
      <c r="C384">
        <f ca="1">INDIRECT(ADDRESS($B384,1,3,1,Menus!$K$10))</f>
        <v>0</v>
      </c>
      <c r="D384">
        <f ca="1">INDIRECT(ADDRESS($B384,2,3,1,Menus!$K$10))</f>
        <v>0</v>
      </c>
    </row>
    <row r="385" spans="2:4" x14ac:dyDescent="0.25">
      <c r="B385">
        <v>385</v>
      </c>
      <c r="C385">
        <f ca="1">INDIRECT(ADDRESS($B385,1,3,1,Menus!$K$10))</f>
        <v>0</v>
      </c>
      <c r="D385">
        <f ca="1">INDIRECT(ADDRESS($B385,2,3,1,Menus!$K$10))</f>
        <v>0</v>
      </c>
    </row>
    <row r="386" spans="2:4" x14ac:dyDescent="0.25">
      <c r="B386">
        <v>386</v>
      </c>
      <c r="C386">
        <f ca="1">INDIRECT(ADDRESS($B386,1,3,1,Menus!$K$10))</f>
        <v>0</v>
      </c>
      <c r="D386">
        <f ca="1">INDIRECT(ADDRESS($B386,2,3,1,Menus!$K$10))</f>
        <v>0</v>
      </c>
    </row>
    <row r="387" spans="2:4" x14ac:dyDescent="0.25">
      <c r="B387" s="7">
        <v>387</v>
      </c>
      <c r="C387">
        <f ca="1">INDIRECT(ADDRESS($B387,1,3,1,Menus!$K$10))</f>
        <v>0</v>
      </c>
      <c r="D387">
        <f ca="1">INDIRECT(ADDRESS($B387,2,3,1,Menus!$K$10))</f>
        <v>0</v>
      </c>
    </row>
    <row r="388" spans="2:4" x14ac:dyDescent="0.25">
      <c r="B388">
        <v>388</v>
      </c>
      <c r="C388">
        <f ca="1">INDIRECT(ADDRESS($B388,1,3,1,Menus!$K$10))</f>
        <v>0</v>
      </c>
      <c r="D388">
        <f ca="1">INDIRECT(ADDRESS($B388,2,3,1,Menus!$K$10))</f>
        <v>0</v>
      </c>
    </row>
    <row r="389" spans="2:4" x14ac:dyDescent="0.25">
      <c r="B389">
        <v>389</v>
      </c>
      <c r="C389">
        <f ca="1">INDIRECT(ADDRESS($B389,1,3,1,Menus!$K$10))</f>
        <v>0</v>
      </c>
      <c r="D389">
        <f ca="1">INDIRECT(ADDRESS($B389,2,3,1,Menus!$K$10))</f>
        <v>0</v>
      </c>
    </row>
    <row r="390" spans="2:4" x14ac:dyDescent="0.25">
      <c r="B390">
        <v>390</v>
      </c>
      <c r="C390">
        <f ca="1">INDIRECT(ADDRESS($B390,1,3,1,Menus!$K$10))</f>
        <v>0</v>
      </c>
      <c r="D390">
        <f ca="1">INDIRECT(ADDRESS($B390,2,3,1,Menus!$K$10))</f>
        <v>0</v>
      </c>
    </row>
    <row r="391" spans="2:4" x14ac:dyDescent="0.25">
      <c r="B391" s="7">
        <v>391</v>
      </c>
      <c r="C391">
        <f ca="1">INDIRECT(ADDRESS($B391,1,3,1,Menus!$K$10))</f>
        <v>0</v>
      </c>
      <c r="D391">
        <f ca="1">INDIRECT(ADDRESS($B391,2,3,1,Menus!$K$10))</f>
        <v>0</v>
      </c>
    </row>
    <row r="392" spans="2:4" x14ac:dyDescent="0.25">
      <c r="B392">
        <v>392</v>
      </c>
      <c r="C392">
        <f ca="1">INDIRECT(ADDRESS($B392,1,3,1,Menus!$K$10))</f>
        <v>0</v>
      </c>
      <c r="D392">
        <f ca="1">INDIRECT(ADDRESS($B392,2,3,1,Menus!$K$10))</f>
        <v>0</v>
      </c>
    </row>
    <row r="393" spans="2:4" x14ac:dyDescent="0.25">
      <c r="B393">
        <v>393</v>
      </c>
      <c r="C393">
        <f ca="1">INDIRECT(ADDRESS($B393,1,3,1,Menus!$K$10))</f>
        <v>0</v>
      </c>
      <c r="D393">
        <f ca="1">INDIRECT(ADDRESS($B393,2,3,1,Menus!$K$10))</f>
        <v>0</v>
      </c>
    </row>
    <row r="394" spans="2:4" x14ac:dyDescent="0.25">
      <c r="B394">
        <v>394</v>
      </c>
      <c r="C394">
        <f ca="1">INDIRECT(ADDRESS($B394,1,3,1,Menus!$K$10))</f>
        <v>0</v>
      </c>
      <c r="D394">
        <f ca="1">INDIRECT(ADDRESS($B394,2,3,1,Menus!$K$10))</f>
        <v>0</v>
      </c>
    </row>
    <row r="395" spans="2:4" x14ac:dyDescent="0.25">
      <c r="B395" s="7">
        <v>395</v>
      </c>
      <c r="C395">
        <f ca="1">INDIRECT(ADDRESS($B395,1,3,1,Menus!$K$10))</f>
        <v>0</v>
      </c>
      <c r="D395">
        <f ca="1">INDIRECT(ADDRESS($B395,2,3,1,Menus!$K$10))</f>
        <v>0</v>
      </c>
    </row>
    <row r="396" spans="2:4" x14ac:dyDescent="0.25">
      <c r="B396">
        <v>396</v>
      </c>
      <c r="C396">
        <f ca="1">INDIRECT(ADDRESS($B396,1,3,1,Menus!$K$10))</f>
        <v>0</v>
      </c>
      <c r="D396">
        <f ca="1">INDIRECT(ADDRESS($B396,2,3,1,Menus!$K$10))</f>
        <v>0</v>
      </c>
    </row>
    <row r="397" spans="2:4" x14ac:dyDescent="0.25">
      <c r="B397">
        <v>397</v>
      </c>
      <c r="C397">
        <f ca="1">INDIRECT(ADDRESS($B397,1,3,1,Menus!$K$10))</f>
        <v>0</v>
      </c>
      <c r="D397">
        <f ca="1">INDIRECT(ADDRESS($B397,2,3,1,Menus!$K$10))</f>
        <v>0</v>
      </c>
    </row>
    <row r="398" spans="2:4" x14ac:dyDescent="0.25">
      <c r="B398">
        <v>398</v>
      </c>
      <c r="C398">
        <f ca="1">INDIRECT(ADDRESS($B398,1,3,1,Menus!$K$10))</f>
        <v>0</v>
      </c>
      <c r="D398">
        <f ca="1">INDIRECT(ADDRESS($B398,2,3,1,Menus!$K$10))</f>
        <v>0</v>
      </c>
    </row>
    <row r="399" spans="2:4" x14ac:dyDescent="0.25">
      <c r="B399" s="7">
        <v>399</v>
      </c>
      <c r="C399">
        <f ca="1">INDIRECT(ADDRESS($B399,1,3,1,Menus!$K$10))</f>
        <v>0</v>
      </c>
      <c r="D399">
        <f ca="1">INDIRECT(ADDRESS($B399,2,3,1,Menus!$K$10))</f>
        <v>0</v>
      </c>
    </row>
    <row r="400" spans="2:4" x14ac:dyDescent="0.25">
      <c r="B400">
        <v>400</v>
      </c>
      <c r="C400">
        <f ca="1">INDIRECT(ADDRESS($B400,1,3,1,Menus!$K$10))</f>
        <v>0</v>
      </c>
      <c r="D400">
        <f ca="1">INDIRECT(ADDRESS($B400,2,3,1,Menus!$K$10))</f>
        <v>0</v>
      </c>
    </row>
    <row r="401" spans="2:4" x14ac:dyDescent="0.25">
      <c r="B401">
        <v>401</v>
      </c>
      <c r="C401">
        <f ca="1">INDIRECT(ADDRESS($B401,1,3,1,Menus!$K$10))</f>
        <v>0</v>
      </c>
      <c r="D401">
        <f ca="1">INDIRECT(ADDRESS($B401,2,3,1,Menus!$K$10))</f>
        <v>0</v>
      </c>
    </row>
    <row r="402" spans="2:4" x14ac:dyDescent="0.25">
      <c r="B402">
        <v>402</v>
      </c>
      <c r="C402">
        <f ca="1">INDIRECT(ADDRESS($B402,1,3,1,Menus!$K$10))</f>
        <v>0</v>
      </c>
      <c r="D402">
        <f ca="1">INDIRECT(ADDRESS($B402,2,3,1,Menus!$K$10))</f>
        <v>0</v>
      </c>
    </row>
    <row r="403" spans="2:4" x14ac:dyDescent="0.25">
      <c r="B403" s="7">
        <v>403</v>
      </c>
      <c r="C403">
        <f ca="1">INDIRECT(ADDRESS($B403,1,3,1,Menus!$K$10))</f>
        <v>0</v>
      </c>
      <c r="D403">
        <f ca="1">INDIRECT(ADDRESS($B403,2,3,1,Menus!$K$10))</f>
        <v>0</v>
      </c>
    </row>
    <row r="404" spans="2:4" x14ac:dyDescent="0.25">
      <c r="B404">
        <v>404</v>
      </c>
      <c r="C404">
        <f ca="1">INDIRECT(ADDRESS($B404,1,3,1,Menus!$K$10))</f>
        <v>0</v>
      </c>
      <c r="D404">
        <f ca="1">INDIRECT(ADDRESS($B404,2,3,1,Menus!$K$10))</f>
        <v>0</v>
      </c>
    </row>
    <row r="405" spans="2:4" x14ac:dyDescent="0.25">
      <c r="B405">
        <v>405</v>
      </c>
      <c r="C405">
        <f ca="1">INDIRECT(ADDRESS($B405,1,3,1,Menus!$K$10))</f>
        <v>0</v>
      </c>
      <c r="D405">
        <f ca="1">INDIRECT(ADDRESS($B405,2,3,1,Menus!$K$10))</f>
        <v>0</v>
      </c>
    </row>
    <row r="406" spans="2:4" x14ac:dyDescent="0.25">
      <c r="B406">
        <v>406</v>
      </c>
      <c r="C406">
        <f ca="1">INDIRECT(ADDRESS($B406,1,3,1,Menus!$K$10))</f>
        <v>0</v>
      </c>
      <c r="D406">
        <f ca="1">INDIRECT(ADDRESS($B406,2,3,1,Menus!$K$10))</f>
        <v>0</v>
      </c>
    </row>
    <row r="407" spans="2:4" x14ac:dyDescent="0.25">
      <c r="B407" s="7">
        <v>407</v>
      </c>
      <c r="C407">
        <f ca="1">INDIRECT(ADDRESS($B407,1,3,1,Menus!$K$10))</f>
        <v>0</v>
      </c>
      <c r="D407">
        <f ca="1">INDIRECT(ADDRESS($B407,2,3,1,Menus!$K$10))</f>
        <v>0</v>
      </c>
    </row>
    <row r="408" spans="2:4" x14ac:dyDescent="0.25">
      <c r="B408">
        <v>408</v>
      </c>
      <c r="C408">
        <f ca="1">INDIRECT(ADDRESS($B408,1,3,1,Menus!$K$10))</f>
        <v>0</v>
      </c>
      <c r="D408">
        <f ca="1">INDIRECT(ADDRESS($B408,2,3,1,Menus!$K$10))</f>
        <v>0</v>
      </c>
    </row>
    <row r="409" spans="2:4" x14ac:dyDescent="0.25">
      <c r="B409">
        <v>409</v>
      </c>
      <c r="C409">
        <f ca="1">INDIRECT(ADDRESS($B409,1,3,1,Menus!$K$10))</f>
        <v>0</v>
      </c>
      <c r="D409">
        <f ca="1">INDIRECT(ADDRESS($B409,2,3,1,Menus!$K$10))</f>
        <v>0</v>
      </c>
    </row>
    <row r="410" spans="2:4" x14ac:dyDescent="0.25">
      <c r="B410">
        <v>410</v>
      </c>
      <c r="C410">
        <f ca="1">INDIRECT(ADDRESS($B410,1,3,1,Menus!$K$10))</f>
        <v>0</v>
      </c>
      <c r="D410">
        <f ca="1">INDIRECT(ADDRESS($B410,2,3,1,Menus!$K$10))</f>
        <v>0</v>
      </c>
    </row>
    <row r="411" spans="2:4" x14ac:dyDescent="0.25">
      <c r="B411" s="7">
        <v>411</v>
      </c>
      <c r="C411">
        <f ca="1">INDIRECT(ADDRESS($B411,1,3,1,Menus!$K$10))</f>
        <v>0</v>
      </c>
      <c r="D411">
        <f ca="1">INDIRECT(ADDRESS($B411,2,3,1,Menus!$K$10))</f>
        <v>0</v>
      </c>
    </row>
    <row r="412" spans="2:4" x14ac:dyDescent="0.25">
      <c r="B412">
        <v>412</v>
      </c>
      <c r="C412">
        <f ca="1">INDIRECT(ADDRESS($B412,1,3,1,Menus!$K$10))</f>
        <v>0</v>
      </c>
      <c r="D412">
        <f ca="1">INDIRECT(ADDRESS($B412,2,3,1,Menus!$K$10))</f>
        <v>0</v>
      </c>
    </row>
    <row r="413" spans="2:4" x14ac:dyDescent="0.25">
      <c r="B413">
        <v>413</v>
      </c>
      <c r="C413">
        <f ca="1">INDIRECT(ADDRESS($B413,1,3,1,Menus!$K$10))</f>
        <v>0</v>
      </c>
      <c r="D413">
        <f ca="1">INDIRECT(ADDRESS($B413,2,3,1,Menus!$K$10))</f>
        <v>0</v>
      </c>
    </row>
    <row r="414" spans="2:4" x14ac:dyDescent="0.25">
      <c r="B414">
        <v>414</v>
      </c>
      <c r="C414">
        <f ca="1">INDIRECT(ADDRESS($B414,1,3,1,Menus!$K$10))</f>
        <v>0</v>
      </c>
      <c r="D414">
        <f ca="1">INDIRECT(ADDRESS($B414,2,3,1,Menus!$K$10))</f>
        <v>0</v>
      </c>
    </row>
    <row r="415" spans="2:4" x14ac:dyDescent="0.25">
      <c r="B415" s="7">
        <v>415</v>
      </c>
      <c r="C415">
        <f ca="1">INDIRECT(ADDRESS($B415,1,3,1,Menus!$K$10))</f>
        <v>0</v>
      </c>
      <c r="D415">
        <f ca="1">INDIRECT(ADDRESS($B415,2,3,1,Menus!$K$10))</f>
        <v>0</v>
      </c>
    </row>
    <row r="416" spans="2:4" x14ac:dyDescent="0.25">
      <c r="B416">
        <v>416</v>
      </c>
      <c r="C416">
        <f ca="1">INDIRECT(ADDRESS($B416,1,3,1,Menus!$K$10))</f>
        <v>0</v>
      </c>
      <c r="D416">
        <f ca="1">INDIRECT(ADDRESS($B416,2,3,1,Menus!$K$10))</f>
        <v>0</v>
      </c>
    </row>
    <row r="417" spans="2:4" x14ac:dyDescent="0.25">
      <c r="B417">
        <v>417</v>
      </c>
      <c r="C417">
        <f ca="1">INDIRECT(ADDRESS($B417,1,3,1,Menus!$K$10))</f>
        <v>0</v>
      </c>
      <c r="D417">
        <f ca="1">INDIRECT(ADDRESS($B417,2,3,1,Menus!$K$10))</f>
        <v>0</v>
      </c>
    </row>
    <row r="418" spans="2:4" x14ac:dyDescent="0.25">
      <c r="B418">
        <v>418</v>
      </c>
      <c r="C418">
        <f ca="1">INDIRECT(ADDRESS($B418,1,3,1,Menus!$K$10))</f>
        <v>0</v>
      </c>
      <c r="D418">
        <f ca="1">INDIRECT(ADDRESS($B418,2,3,1,Menus!$K$10))</f>
        <v>0</v>
      </c>
    </row>
    <row r="419" spans="2:4" x14ac:dyDescent="0.25">
      <c r="B419" s="7">
        <v>419</v>
      </c>
      <c r="C419">
        <f ca="1">INDIRECT(ADDRESS($B419,1,3,1,Menus!$K$10))</f>
        <v>0</v>
      </c>
      <c r="D419">
        <f ca="1">INDIRECT(ADDRESS($B419,2,3,1,Menus!$K$10))</f>
        <v>0</v>
      </c>
    </row>
    <row r="420" spans="2:4" x14ac:dyDescent="0.25">
      <c r="B420">
        <v>420</v>
      </c>
      <c r="C420">
        <f ca="1">INDIRECT(ADDRESS($B420,1,3,1,Menus!$K$10))</f>
        <v>0</v>
      </c>
      <c r="D420">
        <f ca="1">INDIRECT(ADDRESS($B420,2,3,1,Menus!$K$10))</f>
        <v>0</v>
      </c>
    </row>
    <row r="421" spans="2:4" x14ac:dyDescent="0.25">
      <c r="B421">
        <v>421</v>
      </c>
      <c r="C421">
        <f ca="1">INDIRECT(ADDRESS($B421,1,3,1,Menus!$K$10))</f>
        <v>0</v>
      </c>
      <c r="D421">
        <f ca="1">INDIRECT(ADDRESS($B421,2,3,1,Menus!$K$10))</f>
        <v>0</v>
      </c>
    </row>
    <row r="422" spans="2:4" x14ac:dyDescent="0.25">
      <c r="B422">
        <v>422</v>
      </c>
      <c r="C422">
        <f ca="1">INDIRECT(ADDRESS($B422,1,3,1,Menus!$K$10))</f>
        <v>0</v>
      </c>
      <c r="D422">
        <f ca="1">INDIRECT(ADDRESS($B422,2,3,1,Menus!$K$10))</f>
        <v>0</v>
      </c>
    </row>
    <row r="423" spans="2:4" x14ac:dyDescent="0.25">
      <c r="B423" s="7">
        <v>423</v>
      </c>
      <c r="C423">
        <f ca="1">INDIRECT(ADDRESS($B423,1,3,1,Menus!$K$10))</f>
        <v>0</v>
      </c>
      <c r="D423">
        <f ca="1">INDIRECT(ADDRESS($B423,2,3,1,Menus!$K$10))</f>
        <v>0</v>
      </c>
    </row>
    <row r="424" spans="2:4" x14ac:dyDescent="0.25">
      <c r="B424">
        <v>424</v>
      </c>
      <c r="C424">
        <f ca="1">INDIRECT(ADDRESS($B424,1,3,1,Menus!$K$10))</f>
        <v>0</v>
      </c>
      <c r="D424">
        <f ca="1">INDIRECT(ADDRESS($B424,2,3,1,Menus!$K$10))</f>
        <v>0</v>
      </c>
    </row>
    <row r="425" spans="2:4" x14ac:dyDescent="0.25">
      <c r="B425">
        <v>425</v>
      </c>
      <c r="C425">
        <f ca="1">INDIRECT(ADDRESS($B425,1,3,1,Menus!$K$10))</f>
        <v>0</v>
      </c>
      <c r="D425">
        <f ca="1">INDIRECT(ADDRESS($B425,2,3,1,Menus!$K$10))</f>
        <v>0</v>
      </c>
    </row>
    <row r="426" spans="2:4" x14ac:dyDescent="0.25">
      <c r="B426">
        <v>426</v>
      </c>
      <c r="C426">
        <f ca="1">INDIRECT(ADDRESS($B426,1,3,1,Menus!$K$10))</f>
        <v>0</v>
      </c>
      <c r="D426">
        <f ca="1">INDIRECT(ADDRESS($B426,2,3,1,Menus!$K$10))</f>
        <v>0</v>
      </c>
    </row>
    <row r="427" spans="2:4" x14ac:dyDescent="0.25">
      <c r="B427" s="7">
        <v>427</v>
      </c>
      <c r="C427">
        <f ca="1">INDIRECT(ADDRESS($B427,1,3,1,Menus!$K$10))</f>
        <v>0</v>
      </c>
      <c r="D427">
        <f ca="1">INDIRECT(ADDRESS($B427,2,3,1,Menus!$K$10))</f>
        <v>0</v>
      </c>
    </row>
    <row r="428" spans="2:4" x14ac:dyDescent="0.25">
      <c r="B428">
        <v>428</v>
      </c>
      <c r="C428">
        <f ca="1">INDIRECT(ADDRESS($B428,1,3,1,Menus!$K$10))</f>
        <v>0</v>
      </c>
      <c r="D428">
        <f ca="1">INDIRECT(ADDRESS($B428,2,3,1,Menus!$K$10))</f>
        <v>0</v>
      </c>
    </row>
    <row r="429" spans="2:4" x14ac:dyDescent="0.25">
      <c r="B429">
        <v>429</v>
      </c>
      <c r="C429">
        <f ca="1">INDIRECT(ADDRESS($B429,1,3,1,Menus!$K$10))</f>
        <v>0</v>
      </c>
      <c r="D429">
        <f ca="1">INDIRECT(ADDRESS($B429,2,3,1,Menus!$K$10))</f>
        <v>0</v>
      </c>
    </row>
    <row r="430" spans="2:4" x14ac:dyDescent="0.25">
      <c r="B430">
        <v>430</v>
      </c>
      <c r="C430">
        <f ca="1">INDIRECT(ADDRESS($B430,1,3,1,Menus!$K$10))</f>
        <v>0</v>
      </c>
      <c r="D430">
        <f ca="1">INDIRECT(ADDRESS($B430,2,3,1,Menus!$K$10))</f>
        <v>0</v>
      </c>
    </row>
    <row r="431" spans="2:4" x14ac:dyDescent="0.25">
      <c r="B431" s="7">
        <v>431</v>
      </c>
      <c r="C431">
        <f ca="1">INDIRECT(ADDRESS($B431,1,3,1,Menus!$K$10))</f>
        <v>0</v>
      </c>
      <c r="D431">
        <f ca="1">INDIRECT(ADDRESS($B431,2,3,1,Menus!$K$10))</f>
        <v>0</v>
      </c>
    </row>
    <row r="432" spans="2:4" x14ac:dyDescent="0.25">
      <c r="B432">
        <v>432</v>
      </c>
      <c r="C432">
        <f ca="1">INDIRECT(ADDRESS($B432,1,3,1,Menus!$K$10))</f>
        <v>0</v>
      </c>
      <c r="D432">
        <f ca="1">INDIRECT(ADDRESS($B432,2,3,1,Menus!$K$10))</f>
        <v>0</v>
      </c>
    </row>
    <row r="433" spans="2:4" x14ac:dyDescent="0.25">
      <c r="B433">
        <v>433</v>
      </c>
      <c r="C433">
        <f ca="1">INDIRECT(ADDRESS($B433,1,3,1,Menus!$K$10))</f>
        <v>0</v>
      </c>
      <c r="D433">
        <f ca="1">INDIRECT(ADDRESS($B433,2,3,1,Menus!$K$10))</f>
        <v>0</v>
      </c>
    </row>
    <row r="434" spans="2:4" x14ac:dyDescent="0.25">
      <c r="B434">
        <v>434</v>
      </c>
      <c r="C434">
        <f ca="1">INDIRECT(ADDRESS($B434,1,3,1,Menus!$K$10))</f>
        <v>0</v>
      </c>
      <c r="D434">
        <f ca="1">INDIRECT(ADDRESS($B434,2,3,1,Menus!$K$10))</f>
        <v>0</v>
      </c>
    </row>
    <row r="435" spans="2:4" x14ac:dyDescent="0.25">
      <c r="B435" s="7">
        <v>435</v>
      </c>
      <c r="C435">
        <f ca="1">INDIRECT(ADDRESS($B435,1,3,1,Menus!$K$10))</f>
        <v>0</v>
      </c>
      <c r="D435">
        <f ca="1">INDIRECT(ADDRESS($B435,2,3,1,Menus!$K$10))</f>
        <v>0</v>
      </c>
    </row>
    <row r="436" spans="2:4" x14ac:dyDescent="0.25">
      <c r="B436">
        <v>436</v>
      </c>
      <c r="C436">
        <f ca="1">INDIRECT(ADDRESS($B436,1,3,1,Menus!$K$10))</f>
        <v>0</v>
      </c>
      <c r="D436">
        <f ca="1">INDIRECT(ADDRESS($B436,2,3,1,Menus!$K$10))</f>
        <v>0</v>
      </c>
    </row>
    <row r="437" spans="2:4" x14ac:dyDescent="0.25">
      <c r="B437">
        <v>437</v>
      </c>
      <c r="C437">
        <f ca="1">INDIRECT(ADDRESS($B437,1,3,1,Menus!$K$10))</f>
        <v>0</v>
      </c>
      <c r="D437">
        <f ca="1">INDIRECT(ADDRESS($B437,2,3,1,Menus!$K$10))</f>
        <v>0</v>
      </c>
    </row>
    <row r="438" spans="2:4" x14ac:dyDescent="0.25">
      <c r="B438">
        <v>438</v>
      </c>
      <c r="C438">
        <f ca="1">INDIRECT(ADDRESS($B438,1,3,1,Menus!$K$10))</f>
        <v>0</v>
      </c>
      <c r="D438">
        <f ca="1">INDIRECT(ADDRESS($B438,2,3,1,Menus!$K$10))</f>
        <v>0</v>
      </c>
    </row>
    <row r="439" spans="2:4" x14ac:dyDescent="0.25">
      <c r="B439" s="7">
        <v>439</v>
      </c>
      <c r="C439">
        <f ca="1">INDIRECT(ADDRESS($B439,1,3,1,Menus!$K$10))</f>
        <v>0</v>
      </c>
      <c r="D439">
        <f ca="1">INDIRECT(ADDRESS($B439,2,3,1,Menus!$K$10))</f>
        <v>0</v>
      </c>
    </row>
    <row r="440" spans="2:4" x14ac:dyDescent="0.25">
      <c r="B440">
        <v>440</v>
      </c>
      <c r="C440">
        <f ca="1">INDIRECT(ADDRESS($B440,1,3,1,Menus!$K$10))</f>
        <v>0</v>
      </c>
      <c r="D440">
        <f ca="1">INDIRECT(ADDRESS($B440,2,3,1,Menus!$K$10))</f>
        <v>0</v>
      </c>
    </row>
    <row r="441" spans="2:4" x14ac:dyDescent="0.25">
      <c r="B441">
        <v>441</v>
      </c>
      <c r="C441">
        <f ca="1">INDIRECT(ADDRESS($B441,1,3,1,Menus!$K$10))</f>
        <v>0</v>
      </c>
      <c r="D441">
        <f ca="1">INDIRECT(ADDRESS($B441,2,3,1,Menus!$K$10))</f>
        <v>0</v>
      </c>
    </row>
    <row r="442" spans="2:4" x14ac:dyDescent="0.25">
      <c r="B442">
        <v>442</v>
      </c>
      <c r="C442">
        <f ca="1">INDIRECT(ADDRESS($B442,1,3,1,Menus!$K$10))</f>
        <v>0</v>
      </c>
      <c r="D442">
        <f ca="1">INDIRECT(ADDRESS($B442,2,3,1,Menus!$K$10))</f>
        <v>0</v>
      </c>
    </row>
    <row r="443" spans="2:4" x14ac:dyDescent="0.25">
      <c r="B443" s="7">
        <v>443</v>
      </c>
      <c r="C443">
        <f ca="1">INDIRECT(ADDRESS($B443,1,3,1,Menus!$K$10))</f>
        <v>0</v>
      </c>
      <c r="D443">
        <f ca="1">INDIRECT(ADDRESS($B443,2,3,1,Menus!$K$10))</f>
        <v>0</v>
      </c>
    </row>
    <row r="444" spans="2:4" x14ac:dyDescent="0.25">
      <c r="B444">
        <v>444</v>
      </c>
      <c r="C444">
        <f ca="1">INDIRECT(ADDRESS($B444,1,3,1,Menus!$K$10))</f>
        <v>0</v>
      </c>
      <c r="D444">
        <f ca="1">INDIRECT(ADDRESS($B444,2,3,1,Menus!$K$10))</f>
        <v>0</v>
      </c>
    </row>
    <row r="445" spans="2:4" x14ac:dyDescent="0.25">
      <c r="B445">
        <v>445</v>
      </c>
      <c r="C445">
        <f ca="1">INDIRECT(ADDRESS($B445,1,3,1,Menus!$K$10))</f>
        <v>0</v>
      </c>
      <c r="D445">
        <f ca="1">INDIRECT(ADDRESS($B445,2,3,1,Menus!$K$10))</f>
        <v>0</v>
      </c>
    </row>
    <row r="446" spans="2:4" x14ac:dyDescent="0.25">
      <c r="B446">
        <v>446</v>
      </c>
      <c r="C446">
        <f ca="1">INDIRECT(ADDRESS($B446,1,3,1,Menus!$K$10))</f>
        <v>0</v>
      </c>
      <c r="D446">
        <f ca="1">INDIRECT(ADDRESS($B446,2,3,1,Menus!$K$10))</f>
        <v>0</v>
      </c>
    </row>
    <row r="447" spans="2:4" x14ac:dyDescent="0.25">
      <c r="B447" s="7">
        <v>447</v>
      </c>
      <c r="C447">
        <f ca="1">INDIRECT(ADDRESS($B447,1,3,1,Menus!$K$10))</f>
        <v>0</v>
      </c>
      <c r="D447">
        <f ca="1">INDIRECT(ADDRESS($B447,2,3,1,Menus!$K$10))</f>
        <v>0</v>
      </c>
    </row>
    <row r="448" spans="2:4" x14ac:dyDescent="0.25">
      <c r="B448">
        <v>448</v>
      </c>
      <c r="C448">
        <f ca="1">INDIRECT(ADDRESS($B448,1,3,1,Menus!$K$10))</f>
        <v>0</v>
      </c>
      <c r="D448">
        <f ca="1">INDIRECT(ADDRESS($B448,2,3,1,Menus!$K$10))</f>
        <v>0</v>
      </c>
    </row>
    <row r="449" spans="2:4" x14ac:dyDescent="0.25">
      <c r="B449">
        <v>449</v>
      </c>
      <c r="C449">
        <f ca="1">INDIRECT(ADDRESS($B449,1,3,1,Menus!$K$10))</f>
        <v>0</v>
      </c>
      <c r="D449">
        <f ca="1">INDIRECT(ADDRESS($B449,2,3,1,Menus!$K$10))</f>
        <v>0</v>
      </c>
    </row>
    <row r="450" spans="2:4" x14ac:dyDescent="0.25">
      <c r="B450">
        <v>450</v>
      </c>
      <c r="C450">
        <f ca="1">INDIRECT(ADDRESS($B450,1,3,1,Menus!$K$10))</f>
        <v>0</v>
      </c>
      <c r="D450">
        <f ca="1">INDIRECT(ADDRESS($B450,2,3,1,Menus!$K$10))</f>
        <v>0</v>
      </c>
    </row>
    <row r="451" spans="2:4" x14ac:dyDescent="0.25">
      <c r="B451" s="7">
        <v>451</v>
      </c>
      <c r="C451">
        <f ca="1">INDIRECT(ADDRESS($B451,1,3,1,Menus!$K$10))</f>
        <v>0</v>
      </c>
      <c r="D451">
        <f ca="1">INDIRECT(ADDRESS($B451,2,3,1,Menus!$K$10))</f>
        <v>0</v>
      </c>
    </row>
    <row r="452" spans="2:4" x14ac:dyDescent="0.25">
      <c r="B452">
        <v>452</v>
      </c>
      <c r="C452">
        <f ca="1">INDIRECT(ADDRESS($B452,1,3,1,Menus!$K$10))</f>
        <v>0</v>
      </c>
      <c r="D452">
        <f ca="1">INDIRECT(ADDRESS($B452,2,3,1,Menus!$K$10))</f>
        <v>0</v>
      </c>
    </row>
    <row r="453" spans="2:4" x14ac:dyDescent="0.25">
      <c r="B453">
        <v>453</v>
      </c>
      <c r="C453">
        <f ca="1">INDIRECT(ADDRESS($B453,1,3,1,Menus!$K$10))</f>
        <v>0</v>
      </c>
      <c r="D453">
        <f ca="1">INDIRECT(ADDRESS($B453,2,3,1,Menus!$K$10))</f>
        <v>0</v>
      </c>
    </row>
    <row r="454" spans="2:4" x14ac:dyDescent="0.25">
      <c r="B454">
        <v>454</v>
      </c>
      <c r="C454">
        <f ca="1">INDIRECT(ADDRESS($B454,1,3,1,Menus!$K$10))</f>
        <v>0</v>
      </c>
      <c r="D454">
        <f ca="1">INDIRECT(ADDRESS($B454,2,3,1,Menus!$K$10))</f>
        <v>0</v>
      </c>
    </row>
    <row r="455" spans="2:4" x14ac:dyDescent="0.25">
      <c r="B455" s="7">
        <v>455</v>
      </c>
      <c r="C455">
        <f ca="1">INDIRECT(ADDRESS($B455,1,3,1,Menus!$K$10))</f>
        <v>0</v>
      </c>
      <c r="D455">
        <f ca="1">INDIRECT(ADDRESS($B455,2,3,1,Menus!$K$10))</f>
        <v>0</v>
      </c>
    </row>
    <row r="456" spans="2:4" x14ac:dyDescent="0.25">
      <c r="B456">
        <v>456</v>
      </c>
      <c r="C456">
        <f ca="1">INDIRECT(ADDRESS($B456,1,3,1,Menus!$K$10))</f>
        <v>0</v>
      </c>
      <c r="D456">
        <f ca="1">INDIRECT(ADDRESS($B456,2,3,1,Menus!$K$10))</f>
        <v>0</v>
      </c>
    </row>
    <row r="457" spans="2:4" x14ac:dyDescent="0.25">
      <c r="B457">
        <v>457</v>
      </c>
      <c r="C457">
        <f ca="1">INDIRECT(ADDRESS($B457,1,3,1,Menus!$K$10))</f>
        <v>0</v>
      </c>
      <c r="D457">
        <f ca="1">INDIRECT(ADDRESS($B457,2,3,1,Menus!$K$10))</f>
        <v>0</v>
      </c>
    </row>
    <row r="458" spans="2:4" x14ac:dyDescent="0.25">
      <c r="B458">
        <v>458</v>
      </c>
      <c r="C458">
        <f ca="1">INDIRECT(ADDRESS($B458,1,3,1,Menus!$K$10))</f>
        <v>0</v>
      </c>
      <c r="D458">
        <f ca="1">INDIRECT(ADDRESS($B458,2,3,1,Menus!$K$10))</f>
        <v>0</v>
      </c>
    </row>
    <row r="459" spans="2:4" x14ac:dyDescent="0.25">
      <c r="B459" s="7">
        <v>459</v>
      </c>
      <c r="C459">
        <f ca="1">INDIRECT(ADDRESS($B459,1,3,1,Menus!$K$10))</f>
        <v>0</v>
      </c>
      <c r="D459">
        <f ca="1">INDIRECT(ADDRESS($B459,2,3,1,Menus!$K$10))</f>
        <v>0</v>
      </c>
    </row>
    <row r="460" spans="2:4" x14ac:dyDescent="0.25">
      <c r="B460">
        <v>460</v>
      </c>
      <c r="C460">
        <f ca="1">INDIRECT(ADDRESS($B460,1,3,1,Menus!$K$10))</f>
        <v>0</v>
      </c>
      <c r="D460">
        <f ca="1">INDIRECT(ADDRESS($B460,2,3,1,Menus!$K$10))</f>
        <v>0</v>
      </c>
    </row>
    <row r="461" spans="2:4" x14ac:dyDescent="0.25">
      <c r="B461">
        <v>461</v>
      </c>
      <c r="C461">
        <f ca="1">INDIRECT(ADDRESS($B461,1,3,1,Menus!$K$10))</f>
        <v>0</v>
      </c>
      <c r="D461">
        <f ca="1">INDIRECT(ADDRESS($B461,2,3,1,Menus!$K$10))</f>
        <v>0</v>
      </c>
    </row>
    <row r="462" spans="2:4" x14ac:dyDescent="0.25">
      <c r="B462">
        <v>462</v>
      </c>
      <c r="C462">
        <f ca="1">INDIRECT(ADDRESS($B462,1,3,1,Menus!$K$10))</f>
        <v>0</v>
      </c>
      <c r="D462">
        <f ca="1">INDIRECT(ADDRESS($B462,2,3,1,Menus!$K$10))</f>
        <v>0</v>
      </c>
    </row>
    <row r="463" spans="2:4" x14ac:dyDescent="0.25">
      <c r="B463" s="7">
        <v>463</v>
      </c>
      <c r="C463">
        <f ca="1">INDIRECT(ADDRESS($B463,1,3,1,Menus!$K$10))</f>
        <v>0</v>
      </c>
      <c r="D463">
        <f ca="1">INDIRECT(ADDRESS($B463,2,3,1,Menus!$K$10))</f>
        <v>0</v>
      </c>
    </row>
    <row r="464" spans="2:4" x14ac:dyDescent="0.25">
      <c r="B464">
        <v>464</v>
      </c>
      <c r="C464">
        <f ca="1">INDIRECT(ADDRESS($B464,1,3,1,Menus!$K$10))</f>
        <v>0</v>
      </c>
      <c r="D464">
        <f ca="1">INDIRECT(ADDRESS($B464,2,3,1,Menus!$K$10))</f>
        <v>0</v>
      </c>
    </row>
    <row r="465" spans="2:4" x14ac:dyDescent="0.25">
      <c r="B465">
        <v>465</v>
      </c>
      <c r="C465">
        <f ca="1">INDIRECT(ADDRESS($B465,1,3,1,Menus!$K$10))</f>
        <v>0</v>
      </c>
      <c r="D465">
        <f ca="1">INDIRECT(ADDRESS($B465,2,3,1,Menus!$K$10))</f>
        <v>0</v>
      </c>
    </row>
    <row r="466" spans="2:4" x14ac:dyDescent="0.25">
      <c r="B466">
        <v>466</v>
      </c>
      <c r="C466">
        <f ca="1">INDIRECT(ADDRESS($B466,1,3,1,Menus!$K$10))</f>
        <v>0</v>
      </c>
      <c r="D466">
        <f ca="1">INDIRECT(ADDRESS($B466,2,3,1,Menus!$K$10))</f>
        <v>0</v>
      </c>
    </row>
    <row r="467" spans="2:4" x14ac:dyDescent="0.25">
      <c r="B467" s="7">
        <v>467</v>
      </c>
      <c r="C467">
        <f ca="1">INDIRECT(ADDRESS($B467,1,3,1,Menus!$K$10))</f>
        <v>0</v>
      </c>
      <c r="D467">
        <f ca="1">INDIRECT(ADDRESS($B467,2,3,1,Menus!$K$10))</f>
        <v>0</v>
      </c>
    </row>
    <row r="468" spans="2:4" x14ac:dyDescent="0.25">
      <c r="B468">
        <v>468</v>
      </c>
      <c r="C468">
        <f ca="1">INDIRECT(ADDRESS($B468,1,3,1,Menus!$K$10))</f>
        <v>0</v>
      </c>
      <c r="D468">
        <f ca="1">INDIRECT(ADDRESS($B468,2,3,1,Menus!$K$10))</f>
        <v>0</v>
      </c>
    </row>
    <row r="469" spans="2:4" x14ac:dyDescent="0.25">
      <c r="B469">
        <v>469</v>
      </c>
      <c r="C469">
        <f ca="1">INDIRECT(ADDRESS($B469,1,3,1,Menus!$K$10))</f>
        <v>0</v>
      </c>
      <c r="D469">
        <f ca="1">INDIRECT(ADDRESS($B469,2,3,1,Menus!$K$10))</f>
        <v>0</v>
      </c>
    </row>
    <row r="470" spans="2:4" x14ac:dyDescent="0.25">
      <c r="B470">
        <v>470</v>
      </c>
      <c r="C470">
        <f ca="1">INDIRECT(ADDRESS($B470,1,3,1,Menus!$K$10))</f>
        <v>0</v>
      </c>
      <c r="D470">
        <f ca="1">INDIRECT(ADDRESS($B470,2,3,1,Menus!$K$10))</f>
        <v>0</v>
      </c>
    </row>
    <row r="471" spans="2:4" x14ac:dyDescent="0.25">
      <c r="B471" s="7">
        <v>471</v>
      </c>
      <c r="C471">
        <f ca="1">INDIRECT(ADDRESS($B471,1,3,1,Menus!$K$10))</f>
        <v>0</v>
      </c>
      <c r="D471">
        <f ca="1">INDIRECT(ADDRESS($B471,2,3,1,Menus!$K$10))</f>
        <v>0</v>
      </c>
    </row>
    <row r="472" spans="2:4" x14ac:dyDescent="0.25">
      <c r="B472">
        <v>472</v>
      </c>
      <c r="C472">
        <f ca="1">INDIRECT(ADDRESS($B472,1,3,1,Menus!$K$10))</f>
        <v>0</v>
      </c>
      <c r="D472">
        <f ca="1">INDIRECT(ADDRESS($B472,2,3,1,Menus!$K$10))</f>
        <v>0</v>
      </c>
    </row>
    <row r="473" spans="2:4" x14ac:dyDescent="0.25">
      <c r="B473">
        <v>473</v>
      </c>
      <c r="C473">
        <f ca="1">INDIRECT(ADDRESS($B473,1,3,1,Menus!$K$10))</f>
        <v>0</v>
      </c>
      <c r="D473">
        <f ca="1">INDIRECT(ADDRESS($B473,2,3,1,Menus!$K$10))</f>
        <v>0</v>
      </c>
    </row>
    <row r="474" spans="2:4" x14ac:dyDescent="0.25">
      <c r="B474">
        <v>474</v>
      </c>
      <c r="C474">
        <f ca="1">INDIRECT(ADDRESS($B474,1,3,1,Menus!$K$10))</f>
        <v>0</v>
      </c>
      <c r="D474">
        <f ca="1">INDIRECT(ADDRESS($B474,2,3,1,Menus!$K$10))</f>
        <v>0</v>
      </c>
    </row>
    <row r="475" spans="2:4" x14ac:dyDescent="0.25">
      <c r="B475" s="7">
        <v>475</v>
      </c>
      <c r="C475">
        <f ca="1">INDIRECT(ADDRESS($B475,1,3,1,Menus!$K$10))</f>
        <v>0</v>
      </c>
      <c r="D475">
        <f ca="1">INDIRECT(ADDRESS($B475,2,3,1,Menus!$K$10))</f>
        <v>0</v>
      </c>
    </row>
    <row r="476" spans="2:4" x14ac:dyDescent="0.25">
      <c r="B476">
        <v>476</v>
      </c>
      <c r="C476">
        <f ca="1">INDIRECT(ADDRESS($B476,1,3,1,Menus!$K$10))</f>
        <v>0</v>
      </c>
      <c r="D476">
        <f ca="1">INDIRECT(ADDRESS($B476,2,3,1,Menus!$K$10))</f>
        <v>0</v>
      </c>
    </row>
    <row r="477" spans="2:4" x14ac:dyDescent="0.25">
      <c r="B477">
        <v>477</v>
      </c>
      <c r="C477">
        <f ca="1">INDIRECT(ADDRESS($B477,1,3,1,Menus!$K$10))</f>
        <v>0</v>
      </c>
      <c r="D477">
        <f ca="1">INDIRECT(ADDRESS($B477,2,3,1,Menus!$K$10))</f>
        <v>0</v>
      </c>
    </row>
    <row r="478" spans="2:4" x14ac:dyDescent="0.25">
      <c r="B478">
        <v>478</v>
      </c>
      <c r="C478">
        <f ca="1">INDIRECT(ADDRESS($B478,1,3,1,Menus!$K$10))</f>
        <v>0</v>
      </c>
      <c r="D478">
        <f ca="1">INDIRECT(ADDRESS($B478,2,3,1,Menus!$K$10))</f>
        <v>0</v>
      </c>
    </row>
    <row r="479" spans="2:4" x14ac:dyDescent="0.25">
      <c r="B479" s="7">
        <v>479</v>
      </c>
      <c r="C479">
        <f ca="1">INDIRECT(ADDRESS($B479,1,3,1,Menus!$K$10))</f>
        <v>0</v>
      </c>
      <c r="D479">
        <f ca="1">INDIRECT(ADDRESS($B479,2,3,1,Menus!$K$10))</f>
        <v>0</v>
      </c>
    </row>
    <row r="480" spans="2:4" x14ac:dyDescent="0.25">
      <c r="B480">
        <v>480</v>
      </c>
      <c r="C480">
        <f ca="1">INDIRECT(ADDRESS($B480,1,3,1,Menus!$K$10))</f>
        <v>0</v>
      </c>
      <c r="D480">
        <f ca="1">INDIRECT(ADDRESS($B480,2,3,1,Menus!$K$10))</f>
        <v>0</v>
      </c>
    </row>
    <row r="481" spans="2:4" x14ac:dyDescent="0.25">
      <c r="B481">
        <v>481</v>
      </c>
      <c r="C481">
        <f ca="1">INDIRECT(ADDRESS($B481,1,3,1,Menus!$K$10))</f>
        <v>0</v>
      </c>
      <c r="D481">
        <f ca="1">INDIRECT(ADDRESS($B481,2,3,1,Menus!$K$10))</f>
        <v>0</v>
      </c>
    </row>
    <row r="482" spans="2:4" x14ac:dyDescent="0.25">
      <c r="B482">
        <v>482</v>
      </c>
      <c r="C482">
        <f ca="1">INDIRECT(ADDRESS($B482,1,3,1,Menus!$K$10))</f>
        <v>0</v>
      </c>
      <c r="D482">
        <f ca="1">INDIRECT(ADDRESS($B482,2,3,1,Menus!$K$10))</f>
        <v>0</v>
      </c>
    </row>
    <row r="483" spans="2:4" x14ac:dyDescent="0.25">
      <c r="B483" s="7">
        <v>483</v>
      </c>
      <c r="C483">
        <f ca="1">INDIRECT(ADDRESS($B483,1,3,1,Menus!$K$10))</f>
        <v>0</v>
      </c>
      <c r="D483">
        <f ca="1">INDIRECT(ADDRESS($B483,2,3,1,Menus!$K$10))</f>
        <v>0</v>
      </c>
    </row>
    <row r="484" spans="2:4" x14ac:dyDescent="0.25">
      <c r="B484">
        <v>484</v>
      </c>
      <c r="C484">
        <f ca="1">INDIRECT(ADDRESS($B484,1,3,1,Menus!$K$10))</f>
        <v>0</v>
      </c>
      <c r="D484">
        <f ca="1">INDIRECT(ADDRESS($B484,2,3,1,Menus!$K$10))</f>
        <v>0</v>
      </c>
    </row>
    <row r="485" spans="2:4" x14ac:dyDescent="0.25">
      <c r="B485">
        <v>485</v>
      </c>
      <c r="C485">
        <f ca="1">INDIRECT(ADDRESS($B485,1,3,1,Menus!$K$10))</f>
        <v>0</v>
      </c>
      <c r="D485">
        <f ca="1">INDIRECT(ADDRESS($B485,2,3,1,Menus!$K$10))</f>
        <v>0</v>
      </c>
    </row>
    <row r="486" spans="2:4" x14ac:dyDescent="0.25">
      <c r="B486">
        <v>486</v>
      </c>
      <c r="C486">
        <f ca="1">INDIRECT(ADDRESS($B486,1,3,1,Menus!$K$10))</f>
        <v>0</v>
      </c>
      <c r="D486">
        <f ca="1">INDIRECT(ADDRESS($B486,2,3,1,Menus!$K$10))</f>
        <v>0</v>
      </c>
    </row>
    <row r="487" spans="2:4" x14ac:dyDescent="0.25">
      <c r="B487" s="7">
        <v>487</v>
      </c>
      <c r="C487">
        <f ca="1">INDIRECT(ADDRESS($B487,1,3,1,Menus!$K$10))</f>
        <v>0</v>
      </c>
      <c r="D487">
        <f ca="1">INDIRECT(ADDRESS($B487,2,3,1,Menus!$K$10))</f>
        <v>0</v>
      </c>
    </row>
    <row r="488" spans="2:4" x14ac:dyDescent="0.25">
      <c r="B488">
        <v>488</v>
      </c>
      <c r="C488">
        <f ca="1">INDIRECT(ADDRESS($B488,1,3,1,Menus!$K$10))</f>
        <v>0</v>
      </c>
      <c r="D488">
        <f ca="1">INDIRECT(ADDRESS($B488,2,3,1,Menus!$K$10))</f>
        <v>0</v>
      </c>
    </row>
    <row r="489" spans="2:4" x14ac:dyDescent="0.25">
      <c r="B489">
        <v>489</v>
      </c>
      <c r="C489">
        <f ca="1">INDIRECT(ADDRESS($B489,1,3,1,Menus!$K$10))</f>
        <v>0</v>
      </c>
      <c r="D489">
        <f ca="1">INDIRECT(ADDRESS($B489,2,3,1,Menus!$K$10))</f>
        <v>0</v>
      </c>
    </row>
    <row r="490" spans="2:4" x14ac:dyDescent="0.25">
      <c r="B490">
        <v>490</v>
      </c>
      <c r="C490">
        <f ca="1">INDIRECT(ADDRESS($B490,1,3,1,Menus!$K$10))</f>
        <v>0</v>
      </c>
      <c r="D490">
        <f ca="1">INDIRECT(ADDRESS($B490,2,3,1,Menus!$K$10))</f>
        <v>0</v>
      </c>
    </row>
    <row r="491" spans="2:4" x14ac:dyDescent="0.25">
      <c r="B491" s="7">
        <v>491</v>
      </c>
      <c r="C491">
        <f ca="1">INDIRECT(ADDRESS($B491,1,3,1,Menus!$K$10))</f>
        <v>0</v>
      </c>
      <c r="D491">
        <f ca="1">INDIRECT(ADDRESS($B491,2,3,1,Menus!$K$10))</f>
        <v>0</v>
      </c>
    </row>
    <row r="492" spans="2:4" x14ac:dyDescent="0.25">
      <c r="B492">
        <v>492</v>
      </c>
      <c r="C492">
        <f ca="1">INDIRECT(ADDRESS($B492,1,3,1,Menus!$K$10))</f>
        <v>0</v>
      </c>
      <c r="D492">
        <f ca="1">INDIRECT(ADDRESS($B492,2,3,1,Menus!$K$10))</f>
        <v>0</v>
      </c>
    </row>
    <row r="493" spans="2:4" x14ac:dyDescent="0.25">
      <c r="B493">
        <v>493</v>
      </c>
      <c r="C493">
        <f ca="1">INDIRECT(ADDRESS($B493,1,3,1,Menus!$K$10))</f>
        <v>0</v>
      </c>
      <c r="D493">
        <f ca="1">INDIRECT(ADDRESS($B493,2,3,1,Menus!$K$10))</f>
        <v>0</v>
      </c>
    </row>
    <row r="494" spans="2:4" x14ac:dyDescent="0.25">
      <c r="B494">
        <v>494</v>
      </c>
      <c r="C494">
        <f ca="1">INDIRECT(ADDRESS($B494,1,3,1,Menus!$K$10))</f>
        <v>0</v>
      </c>
      <c r="D494">
        <f ca="1">INDIRECT(ADDRESS($B494,2,3,1,Menus!$K$10))</f>
        <v>0</v>
      </c>
    </row>
    <row r="495" spans="2:4" x14ac:dyDescent="0.25">
      <c r="B495" s="7">
        <v>495</v>
      </c>
      <c r="C495">
        <f ca="1">INDIRECT(ADDRESS($B495,1,3,1,Menus!$K$10))</f>
        <v>0</v>
      </c>
      <c r="D495">
        <f ca="1">INDIRECT(ADDRESS($B495,2,3,1,Menus!$K$10))</f>
        <v>0</v>
      </c>
    </row>
    <row r="496" spans="2:4" x14ac:dyDescent="0.25">
      <c r="B496">
        <v>496</v>
      </c>
      <c r="C496">
        <f ca="1">INDIRECT(ADDRESS($B496,1,3,1,Menus!$K$10))</f>
        <v>0</v>
      </c>
      <c r="D496">
        <f ca="1">INDIRECT(ADDRESS($B496,2,3,1,Menus!$K$10))</f>
        <v>0</v>
      </c>
    </row>
    <row r="497" spans="2:4" x14ac:dyDescent="0.25">
      <c r="B497">
        <v>497</v>
      </c>
      <c r="C497">
        <f ca="1">INDIRECT(ADDRESS($B497,1,3,1,Menus!$K$10))</f>
        <v>0</v>
      </c>
      <c r="D497">
        <f ca="1">INDIRECT(ADDRESS($B497,2,3,1,Menus!$K$10))</f>
        <v>0</v>
      </c>
    </row>
    <row r="498" spans="2:4" x14ac:dyDescent="0.25">
      <c r="B498">
        <v>498</v>
      </c>
      <c r="C498">
        <f ca="1">INDIRECT(ADDRESS($B498,1,3,1,Menus!$K$10))</f>
        <v>0</v>
      </c>
      <c r="D498">
        <f ca="1">INDIRECT(ADDRESS($B498,2,3,1,Menus!$K$10))</f>
        <v>0</v>
      </c>
    </row>
    <row r="499" spans="2:4" x14ac:dyDescent="0.25">
      <c r="B499" s="7">
        <v>499</v>
      </c>
      <c r="C499">
        <f ca="1">INDIRECT(ADDRESS($B499,1,3,1,Menus!$K$10))</f>
        <v>0</v>
      </c>
      <c r="D499">
        <f ca="1">INDIRECT(ADDRESS($B499,2,3,1,Menus!$K$10))</f>
        <v>0</v>
      </c>
    </row>
    <row r="500" spans="2:4" x14ac:dyDescent="0.25">
      <c r="B500">
        <v>500</v>
      </c>
      <c r="C500">
        <f ca="1">INDIRECT(ADDRESS($B500,1,3,1,Menus!$K$10))</f>
        <v>0</v>
      </c>
      <c r="D500">
        <f ca="1">INDIRECT(ADDRESS($B500,2,3,1,Menus!$K$10))</f>
        <v>0</v>
      </c>
    </row>
    <row r="501" spans="2:4" x14ac:dyDescent="0.25">
      <c r="B501">
        <v>501</v>
      </c>
      <c r="C501">
        <f ca="1">INDIRECT(ADDRESS($B501,1,3,1,Menus!$K$10))</f>
        <v>0</v>
      </c>
      <c r="D501">
        <f ca="1">INDIRECT(ADDRESS($B501,2,3,1,Menus!$K$10))</f>
        <v>0</v>
      </c>
    </row>
  </sheetData>
  <sheetCalcPr fullCalcOnLoad="1"/>
  <phoneticPr fontId="0" type="noConversion"/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24" baseType="lpstr">
      <vt:lpstr>2001</vt:lpstr>
      <vt:lpstr>2000</vt:lpstr>
      <vt:lpstr>1999</vt:lpstr>
      <vt:lpstr>1998</vt:lpstr>
      <vt:lpstr>1997</vt:lpstr>
      <vt:lpstr>2001 Grossed</vt:lpstr>
      <vt:lpstr>Gross</vt:lpstr>
      <vt:lpstr>Ranking</vt:lpstr>
      <vt:lpstr>Selection</vt:lpstr>
      <vt:lpstr>Welcome</vt:lpstr>
      <vt:lpstr>Dialogbox</vt:lpstr>
      <vt:lpstr>Help</vt:lpstr>
      <vt:lpstr>Menus</vt:lpstr>
      <vt:lpstr>Scatter</vt:lpstr>
      <vt:lpstr>Histogram</vt:lpstr>
      <vt:lpstr>Belg</vt:lpstr>
      <vt:lpstr>Change_names</vt:lpstr>
      <vt:lpstr>Country_Name</vt:lpstr>
      <vt:lpstr>DATA_TYPES</vt:lpstr>
      <vt:lpstr>Example</vt:lpstr>
      <vt:lpstr>Help</vt:lpstr>
      <vt:lpstr>Dialogbox!Print_Area</vt:lpstr>
      <vt:lpstr>Help!Print_Area</vt:lpstr>
      <vt:lpstr>Structure</vt:lpstr>
    </vt:vector>
  </TitlesOfParts>
  <Company>Audit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Manager</dc:creator>
  <cp:lastModifiedBy>Carina Negreanu</cp:lastModifiedBy>
  <cp:lastPrinted>2002-09-26T09:23:41Z</cp:lastPrinted>
  <dcterms:created xsi:type="dcterms:W3CDTF">1998-08-25T09:41:16Z</dcterms:created>
  <dcterms:modified xsi:type="dcterms:W3CDTF">2020-01-27T12:00:15Z</dcterms:modified>
</cp:coreProperties>
</file>