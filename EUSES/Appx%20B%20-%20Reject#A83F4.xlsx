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0686572-006B-4D77-A2E2-79FDC086B034}"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Sheet1!$A$3:$N$29</definedName>
    <definedName name="_xlnm.Print_Titles" localSheetId="0">Sheet1!$7:$7</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29" i="1" l="1"/>
  <c r="K29" i="1"/>
  <c r="L29" i="1"/>
</calcChain>
</file>

<file path=xl/sharedStrings.xml><?xml version="1.0" encoding="utf-8"?>
<sst xmlns="http://schemas.openxmlformats.org/spreadsheetml/2006/main" count="193" uniqueCount="112">
  <si>
    <t>Provide for use of WorKeys skills assessment/matching information.*Note:  Also Needs To Be Incorporated Into The Sunshine Jobs, And The Later Merged OSMIS Public Access Website. *Note: Need To Check On The Need To Include Other Worker Certification Data/Systems.</t>
  </si>
  <si>
    <t>This is a specific system produced by ACT. It is not very well developed. It is more precise than the ONET KSAs, because the employer meets with a WorKeys representative, who enters in what is needed for the job. The potential job seekers will then take the skills test to see if they meet the requirements. This goes beyond the resume matching and what skills or qualification the job seeker says they have.This will require additional funding.</t>
  </si>
  <si>
    <t>No names were provided.</t>
  </si>
  <si>
    <t>Integrate The Assisted Services Job Matching System Components (OSMIS) With The Self Service System Components (SunshineJobs.Biz).</t>
  </si>
  <si>
    <t>Lori Linares, Jim Cadwallader</t>
  </si>
  <si>
    <t>Implement Enhancements to SunshineJobs.Biz. *Note:  See Attachment A, SSJ.Biz Enhancements, for the current list of enhancements for consideration.</t>
  </si>
  <si>
    <t>This is classified as a Priority 1 and therefore, absolutely must be included in Phase II.</t>
  </si>
  <si>
    <t xml:space="preserve">Design And Implement A Way To Legitimately Get Credit For Step-2 (Temp-To-Perm) Placements Made By/Through Staffing Companies-PEOs Without Revealing The Identity Of The Step-2 Employers.  </t>
  </si>
  <si>
    <t>This is classified as a Priority 2 - High Priority in Phase II, as it does not directly affect the performance of the OSMIS application.</t>
  </si>
  <si>
    <t>WOTC</t>
  </si>
  <si>
    <t>Chuck Birchfield</t>
  </si>
  <si>
    <t xml:space="preserve">Work Opportunity Tax Credit (WOTC) - This program is handled primarily at the State level and thus; there is minimum local involvement with this program.WOTC provide benefits for employers who hire individuals with certain barriers. </t>
  </si>
  <si>
    <t>Job Corps</t>
  </si>
  <si>
    <t xml:space="preserve">Reuben Patrick </t>
  </si>
  <si>
    <t>The Job Corps program provides 16-24 year old customers with job training opportunities, and subsequent job placements.</t>
  </si>
  <si>
    <t>Alien Labor Certification</t>
  </si>
  <si>
    <t>Sandra Stafford</t>
  </si>
  <si>
    <t>This is classified as a Priority 2 and therefore is a high priority in Phase II.</t>
  </si>
  <si>
    <t xml:space="preserve">Robert Monroe, Jennifer German, Barry Neece, Joyce Norris, and Janet Summers </t>
  </si>
  <si>
    <t>EBT</t>
  </si>
  <si>
    <t>Chapter 445 requires an EBT/EFT feature in the integrated system. However, Mike Switzer stated that the incorporation of the EBT function of the FSET program satisfies the statutory mandate and also serves as a beginning point for later expansion to WIA and other programs, noting that it is much more difficult and time consuming to arrange for direct payment of tuition to hundreds of training providers, limitation of EBT/EFT funds for specified purchases, etc. This must tie into the Department of Children &amp; Families (DCF).This was a priority in Phase I, and has been accomplished, but further expansion beyond FSET is not a priority in Phase II.  This issue may have to be readdressed operationally and electronically after the Gulf contract has expired.</t>
  </si>
  <si>
    <t>Provide a “Dashboard” reporting facility that prospectively identifies potential and / or real financial and non-financial performance shortfalls</t>
  </si>
  <si>
    <t>This is classified as a Priority 2, and is therefore, a high priority in Phase II.</t>
  </si>
  <si>
    <t>Provide Train-the-Trainer training live and in web-based and / or CD-ROM format to cover new features of OSMIS not implemented in Year 1 in partnership with Learning Link</t>
  </si>
  <si>
    <t>Learning Link is now Dynamic Works Institute (DWI).</t>
  </si>
  <si>
    <t xml:space="preserve">Dianne Parcell and DWI </t>
  </si>
  <si>
    <t>Other</t>
  </si>
  <si>
    <t>Portal Development with STO / myflorida.com</t>
  </si>
  <si>
    <t>OBJECTIVE</t>
  </si>
  <si>
    <t>DESCRIPTION</t>
  </si>
  <si>
    <t>STATE COMMENTS</t>
  </si>
  <si>
    <t>STATE SME'S</t>
  </si>
  <si>
    <t>PRIORITY</t>
  </si>
  <si>
    <t>GULF UNDERSTANDING</t>
  </si>
  <si>
    <t>1. Create a facility for the Job Seeker to complete the assessment for a Work key profiled job.
2. Create a facility to enter the profile of a job in OSMIS.
3. Create a facility to enter Trainings required for a particular profiled job.</t>
  </si>
  <si>
    <t xml:space="preserve">1. Each Job Order is identified as a  Temp/ Full and the Duration is also specified. 
2. When a Job Seeker is placed on a OSMIS job Order that is temporary, such Job Seekers are tagged for future follow-up.
3. The DOR-UC data is checked to find out if the Employer has been changed. If yes, then another Placement credit is given to the respective staff for the placement.
4. The DOR-UC data is checked to find out if the Job Seeker is still working after the Duration in the Job Order has elapsed. If yes, then another Placement credit is given to the respective staff for the placement.
</t>
  </si>
  <si>
    <t>Provide an alert system to management on finance spending to know if finances are in the red or black. Also, track benchmarks based on the busines requirement.</t>
  </si>
  <si>
    <t>This will be a new functionality to be studied.</t>
  </si>
  <si>
    <t>All monitored EBT tranfers from region-to-provider-to-participants will be included in OSMIS. However, the state has put a hold on this to be readdressed later.</t>
  </si>
  <si>
    <t>Original Scope</t>
  </si>
  <si>
    <t>REMARKS</t>
  </si>
  <si>
    <t>No</t>
  </si>
  <si>
    <t>Senior Community Employment Program (SCEP)</t>
  </si>
  <si>
    <t>Gulf should not spend time, money, or resources on this program</t>
  </si>
  <si>
    <t>Removed from scope</t>
  </si>
  <si>
    <t>Yes</t>
  </si>
  <si>
    <t>Adult Education</t>
  </si>
  <si>
    <t>This program is under the auspices of the Department of Education, as opposed to AWI. Gulf should not spend time, money, or resources on this program.</t>
  </si>
  <si>
    <t>Vocational Rehab</t>
  </si>
  <si>
    <t>Gulf should not spend time, money, or resources on this program.</t>
  </si>
  <si>
    <t>Adult Migrant And Field [Farm worker] Worker</t>
  </si>
  <si>
    <t>N/A</t>
  </si>
  <si>
    <t>Complete The Implementation Of An Integrated Financial Management System, To Include A New Statewide Chart Of Accounts And The Replacement/Provision Of Local Systems And Functionalities Currently Provided By Other Software Such As MIP.</t>
  </si>
  <si>
    <t>This has been removed from Phase II.</t>
  </si>
  <si>
    <t>TOTAL</t>
  </si>
  <si>
    <t>Additional APPC Gateway Facilities Transactions In Anticipation Of The Longer Term Obsoletion Of The FLORIDA Access.</t>
  </si>
  <si>
    <t xml:space="preserve">Gulf should not spend time, money, or resources on this program. </t>
  </si>
  <si>
    <t>State Timeframe To Give Complete Requirements To Gulf</t>
  </si>
  <si>
    <t>5 - 6 weeks</t>
  </si>
  <si>
    <t>3 - 4 weeks</t>
  </si>
  <si>
    <t>6 - 8 weeks</t>
  </si>
  <si>
    <t>4 - 5 weeks</t>
  </si>
  <si>
    <t>4 weeks</t>
  </si>
  <si>
    <t>12 weeks total ( 2 weeks with SME's from DCF)</t>
  </si>
  <si>
    <t>4 - 6 weeks</t>
  </si>
  <si>
    <t>6 weeks</t>
  </si>
  <si>
    <t>3 weeks with State SMEs and 3 weeks with WorkKeys SMEs</t>
  </si>
  <si>
    <t xml:space="preserve">3 weeks </t>
  </si>
  <si>
    <t>2 - 4 weeks with State SMEs and DWI</t>
  </si>
  <si>
    <t>Documentation with specific training features</t>
  </si>
  <si>
    <t>8 weeks</t>
  </si>
  <si>
    <t>6 - 8 weeks with STO SMEs</t>
  </si>
  <si>
    <t>Requirements, Formats Required by Gulf</t>
  </si>
  <si>
    <t xml:space="preserve">Screen shots, database design, report format, process flowchart, policy document, statutory document and other related documents. </t>
  </si>
  <si>
    <t xml:space="preserve">Report format, process flowchart, policy document, statutory document and other related documents. </t>
  </si>
  <si>
    <t xml:space="preserve">File format, Screen shots, database design, report format, process flowchart, policy document, statutory document and other related documents. </t>
  </si>
  <si>
    <t>This program is being handled thru a stand-alone system and needs to be studied and ported over to Osmis.</t>
  </si>
  <si>
    <t xml:space="preserve">The two systems (OSMIS &amp; Sunshine Jobs) are running and will need to be integrated, as there will only be one public web site, not two. Details will be worked out in the future. The integration of OSMIS and Sunshine Jobs has become an issue, which will be further examined by Gulf architects and STO staff. Additionally, volumetric information should arrive soon to answer this question. </t>
  </si>
  <si>
    <t>See Sunshine Jobs Integration with OSMIS proposal.</t>
  </si>
  <si>
    <t>See Sunshine Jobs Integration with OSMIS proposal. The enhancements required to market Sunshine Jobs are being taken care of in Stage 1 Change Control process.</t>
  </si>
  <si>
    <t>WOTC application tracks the employers who provide Job Placements to the participants served by the one-stops. State requires to file some paper work with IRS to inform such employers. Employer can claim tax exemptions. This tracking system needs to be studied and ported over to Osmis.</t>
  </si>
  <si>
    <t>Deliver OSMIS Releases 1.x, containing enhancements requested during the development of Release 1.0 that were determined to be out of scope and not implementable during the required timeframe. (Attachment B, OSMIS Enhancements, Documents The Current List Of Enhancements For Consideration – this will be provided near to the session when it is held as it changes weekly)</t>
  </si>
  <si>
    <r>
      <t xml:space="preserve">Gulf Comments: We have provided estimates to Tom on 1.X CRs as of 10/22. - </t>
    </r>
    <r>
      <rPr>
        <b/>
        <sz val="10"/>
        <rFont val="Arial"/>
        <family val="2"/>
      </rPr>
      <t>1157 Hours</t>
    </r>
    <r>
      <rPr>
        <sz val="10"/>
        <rFont val="Arial"/>
      </rPr>
      <t>. Few more CRs may get deferred to Stage 2 and few more may get added to 1.X till we roll-out the OSMIS.</t>
    </r>
  </si>
  <si>
    <t>This would greatly increase the access to OSMIS. There are additional search capabilities that would become part of OSMIS.STO requirements for OSMIS:Must be ADA compliant. Built for resolution 800 x 600 - myflorida.com link on top left of screen - Clear visible email.</t>
  </si>
  <si>
    <t>Not required for now.</t>
  </si>
  <si>
    <t>Original Estimate in Hours</t>
  </si>
  <si>
    <t>Revised Estimate in Hours</t>
  </si>
  <si>
    <t xml:space="preserve">Hours Chargeable to the State </t>
  </si>
  <si>
    <t>This maybe an out of scope issue. However, Gulf understanding is to conduct a training class on OSMIS 1.x features which will be videotaped and made into a CD for distribution. Gulf assumes their part of the responsibility will be to conduct the training class and DWI/AWI will videotape the class and create a CD for distribution.</t>
  </si>
  <si>
    <t xml:space="preserve">This will involve building a Workforce sub-portal to Myflorida.com portal managed by STO. All workforce related applications like OSMIS, Sunshine Jobs, UC applications, any additional applications in the future will be managed by the Workforce sub-portal. This sub-portal will be equipped with an interface to Myflorida.com features such as search engines and have its own level features like tours for employers and job-seekers, links to informative workforce sites for visiting participants etc. Some programming changes will be required in the applications too. </t>
  </si>
  <si>
    <t>See Sunshine Jobs Integration with OSMIS proposal. The enhancements required to market Sunshine Jobs are being taken care of in the Change Control process.</t>
  </si>
  <si>
    <t>Status on Change Control items approved so far and the ones in the pipeline submitted separately on Nov/14, 2002.</t>
  </si>
  <si>
    <t>Integration of SSJ with OSMIS Proposal submitted separately on Nov/19, 2002.</t>
  </si>
  <si>
    <t>Origin of Scope</t>
  </si>
  <si>
    <t>Phase 2 Original  Scope</t>
  </si>
  <si>
    <t>Integrate Sunshine</t>
  </si>
  <si>
    <t>Phase 2 Add-On</t>
  </si>
  <si>
    <t>Integrate Sunshine into OSMIS</t>
  </si>
  <si>
    <t xml:space="preserve">Screen shots, database design, report format, process flowchart, policy document, law document and other related documents. </t>
  </si>
  <si>
    <t>1 - 2 weeks</t>
  </si>
  <si>
    <r>
      <t xml:space="preserve">Job Search and Saved Search. </t>
    </r>
    <r>
      <rPr>
        <sz val="10"/>
        <color indexed="10"/>
        <rFont val="Arial"/>
        <family val="2"/>
      </rPr>
      <t>This feature was removed in the meeting conducted with Jim and Lori on 12/2/2002.</t>
    </r>
  </si>
  <si>
    <t>Lorie Linares &amp; Jim Cadwallader</t>
  </si>
  <si>
    <t>This is a requirement for integrating Sunshine Jobs functionality into OSMIS</t>
  </si>
  <si>
    <t>Add Employer's Preferred pool</t>
  </si>
  <si>
    <t>Job Seeker</t>
  </si>
  <si>
    <r>
      <t xml:space="preserve">Event Calendar code changes, validation routines. </t>
    </r>
    <r>
      <rPr>
        <sz val="10"/>
        <color indexed="10"/>
        <rFont val="Arial"/>
        <family val="2"/>
      </rPr>
      <t>This feature was removed in the meeting conducted with Jim and Lori on 12/2/2002.</t>
    </r>
  </si>
  <si>
    <t>Validate News/Events</t>
  </si>
  <si>
    <t>Employer</t>
  </si>
  <si>
    <r>
      <t xml:space="preserve">Event Calendar, Home Pages. </t>
    </r>
    <r>
      <rPr>
        <sz val="10"/>
        <color indexed="10"/>
        <rFont val="Arial"/>
        <family val="2"/>
      </rPr>
      <t>This feature was removed in the meeting conducted with Jim and Lori on 12/2/2002.</t>
    </r>
  </si>
  <si>
    <t>Post News/Events</t>
  </si>
  <si>
    <t>OSMIS Phase 2 (including Integration of Sunshine Jobs) - Rejected Hours</t>
  </si>
  <si>
    <t>Appendix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</si>
</sst>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b/>
      <sz val="10"/>
      <name val="Arial"/>
      <family val="2"/>
    </font>
    <font>
      <sz val="10"/>
      <name val="Arial"/>
      <family val="2"/>
    </font>
    <font>
      <b/>
      <sz val="12"/>
      <name val="Arial"/>
      <family val="2"/>
    </font>
    <font>
      <b/>
      <sz val="16"/>
      <name val="Arial"/>
      <family val="2"/>
    </font>
    <font>
      <sz val="10"/>
      <color indexed="10"/>
      <name val="Arial"/>
      <family val="2"/>
    </font>
    <font>
      <sz val="12"/>
      <name val="Arial"/>
      <family val="2"/>
    </font>
  </fonts>
  <fills count="4">
    <fill>
      <patternFill patternType="none"/>
    </fill>
    <fill>
      <patternFill patternType="gray125"/>
    </fill>
    <fill>
      <patternFill patternType="solid">
        <fgColor indexed="44"/>
        <bgColor indexed="64"/>
      </patternFill>
    </fill>
    <fill>
      <patternFill patternType="solid">
        <fgColor indexed="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39">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Border="1" applyAlignment="1">
      <alignment horizontal="left" vertical="top" wrapText="1"/>
    </xf>
    <xf numFmtId="0" fontId="1" fillId="0" borderId="0" xfId="0" applyFont="1" applyBorder="1" applyAlignment="1">
      <alignment horizontal="left" vertical="top" wrapText="1"/>
    </xf>
    <xf numFmtId="0" fontId="3" fillId="0" borderId="0" xfId="0" applyFont="1" applyAlignment="1">
      <alignment horizontal="center" vertical="top" wrapText="1"/>
    </xf>
    <xf numFmtId="0" fontId="1" fillId="0" borderId="0" xfId="0" applyFont="1" applyBorder="1" applyAlignment="1">
      <alignment horizontal="center" vertical="top" wrapText="1"/>
    </xf>
    <xf numFmtId="0" fontId="0" fillId="0" borderId="0" xfId="0" applyBorder="1" applyAlignment="1">
      <alignment horizontal="center" vertical="top" wrapText="1"/>
    </xf>
    <xf numFmtId="0" fontId="0" fillId="0" borderId="0" xfId="0" applyAlignment="1">
      <alignment horizontal="center" vertical="top" wrapText="1"/>
    </xf>
    <xf numFmtId="0" fontId="1" fillId="2" borderId="1" xfId="0" applyFont="1" applyFill="1" applyBorder="1" applyAlignment="1">
      <alignment horizontal="center" vertical="top" wrapText="1"/>
    </xf>
    <xf numFmtId="0" fontId="1"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3" borderId="1" xfId="0" applyFill="1" applyBorder="1" applyAlignment="1">
      <alignment vertical="top" wrapText="1"/>
    </xf>
    <xf numFmtId="0" fontId="0" fillId="3" borderId="1" xfId="0" applyFill="1" applyBorder="1" applyAlignment="1">
      <alignment horizontal="center" vertical="top" wrapText="1"/>
    </xf>
    <xf numFmtId="0" fontId="1" fillId="3"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2" fillId="3" borderId="0" xfId="0" applyFont="1" applyFill="1" applyAlignment="1">
      <alignment horizontal="left" vertical="top" wrapText="1"/>
    </xf>
    <xf numFmtId="0" fontId="0" fillId="3" borderId="0" xfId="0" applyFill="1" applyAlignment="1">
      <alignment horizontal="left" vertical="top" wrapText="1"/>
    </xf>
    <xf numFmtId="0" fontId="2" fillId="3" borderId="1" xfId="0" applyFont="1" applyFill="1" applyBorder="1" applyAlignment="1">
      <alignment horizontal="justify"/>
    </xf>
    <xf numFmtId="0" fontId="2" fillId="3" borderId="1" xfId="0" applyFont="1" applyFill="1" applyBorder="1" applyAlignment="1">
      <alignment vertical="top" wrapText="1"/>
    </xf>
    <xf numFmtId="0" fontId="0" fillId="0" borderId="0" xfId="0" applyBorder="1" applyAlignment="1">
      <alignment horizontal="right" vertical="top" wrapText="1"/>
    </xf>
    <xf numFmtId="0" fontId="0" fillId="3" borderId="1" xfId="0" applyFill="1" applyBorder="1" applyAlignment="1">
      <alignment horizontal="right" vertical="top" wrapText="1"/>
    </xf>
    <xf numFmtId="0" fontId="2" fillId="3" borderId="1" xfId="0" applyFont="1" applyFill="1" applyBorder="1" applyAlignment="1">
      <alignment horizontal="right" vertical="top" wrapText="1"/>
    </xf>
    <xf numFmtId="0" fontId="0" fillId="0" borderId="0" xfId="0" applyAlignment="1">
      <alignment horizontal="right" vertical="top" wrapText="1"/>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0" borderId="0" xfId="0" applyFill="1" applyAlignment="1">
      <alignment horizontal="left" vertical="top" wrapText="1"/>
    </xf>
    <xf numFmtId="0" fontId="3" fillId="0" borderId="0" xfId="0" applyFont="1" applyFill="1" applyAlignment="1">
      <alignment horizontal="center" vertical="top" wrapText="1"/>
    </xf>
    <xf numFmtId="0" fontId="0" fillId="0" borderId="0" xfId="0" applyFill="1" applyAlignment="1">
      <alignment horizontal="center" vertical="top" wrapText="1"/>
    </xf>
    <xf numFmtId="0" fontId="1" fillId="0" borderId="0" xfId="0" applyFont="1" applyFill="1" applyAlignment="1">
      <alignment horizontal="center" vertical="top" wrapText="1"/>
    </xf>
    <xf numFmtId="0" fontId="2" fillId="3" borderId="2" xfId="0" applyFont="1" applyFill="1" applyBorder="1" applyAlignment="1">
      <alignment horizontal="center" vertical="top" wrapText="1"/>
    </xf>
    <xf numFmtId="0" fontId="4" fillId="0" borderId="0" xfId="0" applyFont="1" applyAlignment="1">
      <alignment horizontal="center" vertical="top" wrapText="1"/>
    </xf>
    <xf numFmtId="15" fontId="6" fillId="0" borderId="0" xfId="0" applyNumberFormat="1" applyFont="1" applyAlignment="1">
      <alignment horizontal="center" vertical="top" wrapText="1"/>
    </xf>
    <xf numFmtId="0" fontId="3" fillId="0" borderId="0" xfId="0" applyFont="1" applyBorder="1" applyAlignment="1">
      <alignment horizontal="center" vertical="top" wrapText="1"/>
    </xf>
    <xf numFmtId="0" fontId="0" fillId="0" borderId="0" xfId="0"/>
    <xf numFmtId="0" fontId="4"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1"/>
  <sheetViews>
    <sheetView tabSelected="1" zoomScale="60" zoomScaleNormal="100" zoomScaleSheetLayoutView="75" workbookViewId="0">
      <pane ySplit="7" topLeftCell="A8" activePane="bottomLeft" state="frozen"/>
      <selection pane="bottomLeft" activeCell="A36" sqref="A36"/>
    </sheetView>
  </sheetViews>
  <sheetFormatPr defaultColWidth="9.1796875" defaultRowHeight="13" x14ac:dyDescent="0.25"/>
  <cols>
    <col min="1" max="1" width="12.81640625" style="2" customWidth="1"/>
    <col min="2" max="2" width="15" style="2" customWidth="1"/>
    <col min="3" max="3" width="21.7265625" style="1" customWidth="1"/>
    <col min="4" max="4" width="26.453125" style="1" customWidth="1"/>
    <col min="5" max="5" width="17.81640625" style="1" bestFit="1" customWidth="1"/>
    <col min="6" max="6" width="49" style="1" customWidth="1"/>
    <col min="7" max="8" width="22" style="1" customWidth="1"/>
    <col min="9" max="9" width="8.54296875" style="8" customWidth="1"/>
    <col min="10" max="10" width="11.1796875" style="25" customWidth="1"/>
    <col min="11" max="12" width="17.7265625" style="25" customWidth="1"/>
    <col min="13" max="13" width="24.81640625" style="1" customWidth="1"/>
    <col min="14" max="14" width="18.453125" style="1" customWidth="1"/>
    <col min="15" max="16384" width="9.1796875" style="28"/>
  </cols>
  <sheetData>
    <row r="2" spans="1:14" ht="20" x14ac:dyDescent="0.25">
      <c r="F2" s="33" t="s">
        <v>111</v>
      </c>
      <c r="H2" s="34">
        <v>37586</v>
      </c>
    </row>
    <row r="3" spans="1:14" ht="22.5" customHeight="1" x14ac:dyDescent="0.25">
      <c r="D3" s="37" t="s">
        <v>110</v>
      </c>
      <c r="E3" s="38"/>
      <c r="F3" s="38"/>
      <c r="G3" s="38"/>
      <c r="H3" s="38"/>
    </row>
    <row r="5" spans="1:14" s="29" customFormat="1" ht="15.5" x14ac:dyDescent="0.25">
      <c r="A5" s="35"/>
      <c r="B5" s="36"/>
      <c r="C5" s="36"/>
      <c r="D5" s="36"/>
      <c r="E5" s="36"/>
      <c r="F5" s="36"/>
      <c r="G5" s="36"/>
      <c r="H5" s="36"/>
      <c r="I5" s="36"/>
      <c r="J5" s="36"/>
      <c r="K5" s="36"/>
      <c r="L5" s="36"/>
      <c r="M5" s="36"/>
      <c r="N5" s="5"/>
    </row>
    <row r="6" spans="1:14" s="30" customFormat="1" x14ac:dyDescent="0.25">
      <c r="A6" s="4"/>
      <c r="B6" s="6"/>
      <c r="C6" s="3"/>
      <c r="D6" s="7"/>
      <c r="E6" s="7"/>
      <c r="F6" s="7"/>
      <c r="G6" s="7"/>
      <c r="H6" s="7"/>
      <c r="I6" s="7"/>
      <c r="J6" s="22"/>
      <c r="K6" s="22"/>
      <c r="L6" s="22"/>
      <c r="M6" s="7"/>
      <c r="N6" s="8"/>
    </row>
    <row r="7" spans="1:14" s="31" customFormat="1" ht="51.75" customHeight="1" x14ac:dyDescent="0.25">
      <c r="A7" s="16" t="s">
        <v>32</v>
      </c>
      <c r="B7" s="9" t="s">
        <v>28</v>
      </c>
      <c r="C7" s="16" t="s">
        <v>29</v>
      </c>
      <c r="D7" s="9" t="s">
        <v>30</v>
      </c>
      <c r="E7" s="9" t="s">
        <v>31</v>
      </c>
      <c r="F7" s="9" t="s">
        <v>33</v>
      </c>
      <c r="G7" s="9" t="s">
        <v>57</v>
      </c>
      <c r="H7" s="9" t="s">
        <v>72</v>
      </c>
      <c r="I7" s="9" t="s">
        <v>39</v>
      </c>
      <c r="J7" s="9" t="s">
        <v>85</v>
      </c>
      <c r="K7" s="9" t="s">
        <v>86</v>
      </c>
      <c r="L7" s="9" t="s">
        <v>87</v>
      </c>
      <c r="M7" s="9" t="s">
        <v>40</v>
      </c>
      <c r="N7" s="9" t="s">
        <v>93</v>
      </c>
    </row>
    <row r="8" spans="1:14" s="31" customFormat="1" ht="91.5" customHeight="1" x14ac:dyDescent="0.25">
      <c r="A8" s="10">
        <v>2</v>
      </c>
      <c r="B8" s="10">
        <v>1</v>
      </c>
      <c r="C8" s="11" t="s">
        <v>15</v>
      </c>
      <c r="D8" s="12" t="s">
        <v>17</v>
      </c>
      <c r="E8" s="11" t="s">
        <v>16</v>
      </c>
      <c r="F8" s="12" t="s">
        <v>37</v>
      </c>
      <c r="G8" s="14" t="s">
        <v>58</v>
      </c>
      <c r="H8" s="12" t="s">
        <v>73</v>
      </c>
      <c r="I8" s="14" t="s">
        <v>45</v>
      </c>
      <c r="J8" s="23">
        <v>933</v>
      </c>
      <c r="K8" s="23">
        <v>933</v>
      </c>
      <c r="L8" s="23">
        <v>933</v>
      </c>
      <c r="M8" s="12"/>
      <c r="N8" s="17" t="s">
        <v>94</v>
      </c>
    </row>
    <row r="9" spans="1:14" s="31" customFormat="1" ht="112.5" x14ac:dyDescent="0.25">
      <c r="A9" s="10">
        <v>2</v>
      </c>
      <c r="B9" s="10">
        <v>1</v>
      </c>
      <c r="C9" s="11" t="s">
        <v>9</v>
      </c>
      <c r="D9" s="12" t="s">
        <v>11</v>
      </c>
      <c r="E9" s="11" t="s">
        <v>10</v>
      </c>
      <c r="F9" s="12" t="s">
        <v>80</v>
      </c>
      <c r="G9" s="14" t="s">
        <v>59</v>
      </c>
      <c r="H9" s="12" t="s">
        <v>73</v>
      </c>
      <c r="I9" s="14" t="s">
        <v>45</v>
      </c>
      <c r="J9" s="23">
        <v>1245</v>
      </c>
      <c r="K9" s="23">
        <v>1409</v>
      </c>
      <c r="L9" s="23">
        <v>1245</v>
      </c>
      <c r="M9" s="11"/>
      <c r="N9" s="32" t="s">
        <v>94</v>
      </c>
    </row>
    <row r="10" spans="1:14" s="31" customFormat="1" ht="127.5" customHeight="1" x14ac:dyDescent="0.25">
      <c r="A10" s="10">
        <v>2</v>
      </c>
      <c r="B10" s="10">
        <v>1</v>
      </c>
      <c r="C10" s="11" t="s">
        <v>12</v>
      </c>
      <c r="D10" s="19" t="s">
        <v>14</v>
      </c>
      <c r="E10" s="11" t="s">
        <v>13</v>
      </c>
      <c r="F10" s="12" t="s">
        <v>76</v>
      </c>
      <c r="G10" s="14" t="s">
        <v>60</v>
      </c>
      <c r="H10" s="12" t="s">
        <v>73</v>
      </c>
      <c r="I10" s="14" t="s">
        <v>45</v>
      </c>
      <c r="J10" s="23">
        <v>933</v>
      </c>
      <c r="K10" s="23">
        <v>1409</v>
      </c>
      <c r="L10" s="23">
        <v>933</v>
      </c>
      <c r="M10" s="12"/>
      <c r="N10" s="17" t="s">
        <v>94</v>
      </c>
    </row>
    <row r="11" spans="1:14" s="31" customFormat="1" ht="75" x14ac:dyDescent="0.25">
      <c r="A11" s="11"/>
      <c r="B11" s="10">
        <v>1</v>
      </c>
      <c r="C11" s="11" t="s">
        <v>42</v>
      </c>
      <c r="D11" s="17" t="s">
        <v>43</v>
      </c>
      <c r="E11" s="17" t="s">
        <v>51</v>
      </c>
      <c r="F11" s="17" t="s">
        <v>44</v>
      </c>
      <c r="G11" s="17" t="s">
        <v>60</v>
      </c>
      <c r="H11" s="12" t="s">
        <v>73</v>
      </c>
      <c r="I11" s="17" t="s">
        <v>45</v>
      </c>
      <c r="J11" s="24">
        <v>752</v>
      </c>
      <c r="K11" s="24">
        <v>0</v>
      </c>
      <c r="L11" s="24">
        <v>0</v>
      </c>
      <c r="M11" s="15"/>
      <c r="N11" s="17" t="s">
        <v>94</v>
      </c>
    </row>
    <row r="12" spans="1:14" s="31" customFormat="1" ht="75" x14ac:dyDescent="0.25">
      <c r="A12" s="11"/>
      <c r="B12" s="10">
        <v>1</v>
      </c>
      <c r="C12" s="18" t="s">
        <v>50</v>
      </c>
      <c r="D12" s="11" t="s">
        <v>49</v>
      </c>
      <c r="E12" s="17" t="s">
        <v>51</v>
      </c>
      <c r="F12" s="17" t="s">
        <v>44</v>
      </c>
      <c r="G12" s="17" t="s">
        <v>59</v>
      </c>
      <c r="H12" s="12" t="s">
        <v>73</v>
      </c>
      <c r="I12" s="17" t="s">
        <v>45</v>
      </c>
      <c r="J12" s="24">
        <v>752</v>
      </c>
      <c r="K12" s="24">
        <v>0</v>
      </c>
      <c r="L12" s="24">
        <v>0</v>
      </c>
      <c r="M12" s="15"/>
      <c r="N12" s="17" t="s">
        <v>94</v>
      </c>
    </row>
    <row r="13" spans="1:14" s="31" customFormat="1" ht="75" x14ac:dyDescent="0.25">
      <c r="A13" s="11"/>
      <c r="B13" s="10">
        <v>1</v>
      </c>
      <c r="C13" s="11" t="s">
        <v>46</v>
      </c>
      <c r="D13" s="20" t="s">
        <v>47</v>
      </c>
      <c r="E13" s="17" t="s">
        <v>51</v>
      </c>
      <c r="F13" s="17" t="s">
        <v>44</v>
      </c>
      <c r="G13" s="17" t="s">
        <v>61</v>
      </c>
      <c r="H13" s="12" t="s">
        <v>73</v>
      </c>
      <c r="I13" s="17" t="s">
        <v>45</v>
      </c>
      <c r="J13" s="24">
        <v>1245</v>
      </c>
      <c r="K13" s="24">
        <v>0</v>
      </c>
      <c r="L13" s="24">
        <v>0</v>
      </c>
      <c r="M13" s="15"/>
      <c r="N13" s="26" t="s">
        <v>94</v>
      </c>
    </row>
    <row r="14" spans="1:14" ht="75" x14ac:dyDescent="0.25">
      <c r="A14" s="11"/>
      <c r="B14" s="10">
        <v>1</v>
      </c>
      <c r="C14" s="11" t="s">
        <v>48</v>
      </c>
      <c r="D14" s="20" t="s">
        <v>49</v>
      </c>
      <c r="E14" s="17" t="s">
        <v>51</v>
      </c>
      <c r="F14" s="17" t="s">
        <v>44</v>
      </c>
      <c r="G14" s="17" t="s">
        <v>60</v>
      </c>
      <c r="H14" s="12" t="s">
        <v>73</v>
      </c>
      <c r="I14" s="17" t="s">
        <v>45</v>
      </c>
      <c r="J14" s="24">
        <v>1245</v>
      </c>
      <c r="K14" s="24">
        <v>0</v>
      </c>
      <c r="L14" s="24">
        <v>0</v>
      </c>
      <c r="M14" s="15"/>
      <c r="N14" s="12" t="s">
        <v>94</v>
      </c>
    </row>
    <row r="15" spans="1:14" ht="337.5" x14ac:dyDescent="0.25">
      <c r="A15" s="10">
        <v>3</v>
      </c>
      <c r="B15" s="10">
        <v>3</v>
      </c>
      <c r="C15" s="12" t="s">
        <v>19</v>
      </c>
      <c r="D15" s="12" t="s">
        <v>20</v>
      </c>
      <c r="E15" s="12" t="s">
        <v>18</v>
      </c>
      <c r="F15" s="12" t="s">
        <v>38</v>
      </c>
      <c r="G15" s="14" t="s">
        <v>63</v>
      </c>
      <c r="H15" s="12" t="s">
        <v>74</v>
      </c>
      <c r="I15" s="14" t="s">
        <v>45</v>
      </c>
      <c r="J15" s="23">
        <v>1245</v>
      </c>
      <c r="K15" s="23">
        <v>2879</v>
      </c>
      <c r="L15" s="23">
        <v>1245</v>
      </c>
      <c r="M15" s="12"/>
      <c r="N15" s="27" t="s">
        <v>94</v>
      </c>
    </row>
    <row r="16" spans="1:14" ht="150" x14ac:dyDescent="0.25">
      <c r="A16" s="11"/>
      <c r="B16" s="10">
        <v>3</v>
      </c>
      <c r="C16" s="21" t="s">
        <v>52</v>
      </c>
      <c r="D16" s="11" t="s">
        <v>53</v>
      </c>
      <c r="E16" s="17" t="s">
        <v>51</v>
      </c>
      <c r="F16" s="17" t="s">
        <v>44</v>
      </c>
      <c r="G16" s="14" t="s">
        <v>63</v>
      </c>
      <c r="H16" s="12" t="s">
        <v>73</v>
      </c>
      <c r="I16" s="17" t="s">
        <v>45</v>
      </c>
      <c r="J16" s="24">
        <v>933</v>
      </c>
      <c r="K16" s="24">
        <v>0</v>
      </c>
      <c r="L16" s="24">
        <v>0</v>
      </c>
      <c r="M16" s="15"/>
      <c r="N16" s="12" t="s">
        <v>94</v>
      </c>
    </row>
    <row r="17" spans="1:14" ht="175" x14ac:dyDescent="0.25">
      <c r="A17" s="10">
        <v>1</v>
      </c>
      <c r="B17" s="10">
        <v>2</v>
      </c>
      <c r="C17" s="19" t="s">
        <v>3</v>
      </c>
      <c r="D17" s="12" t="s">
        <v>77</v>
      </c>
      <c r="E17" s="12" t="s">
        <v>4</v>
      </c>
      <c r="F17" s="12" t="s">
        <v>78</v>
      </c>
      <c r="G17" s="14" t="s">
        <v>65</v>
      </c>
      <c r="H17" s="12" t="s">
        <v>73</v>
      </c>
      <c r="I17" s="14" t="s">
        <v>41</v>
      </c>
      <c r="J17" s="23">
        <v>0</v>
      </c>
      <c r="K17" s="23">
        <v>0</v>
      </c>
      <c r="L17" s="23">
        <v>610</v>
      </c>
      <c r="M17" s="13" t="s">
        <v>92</v>
      </c>
      <c r="N17" s="12" t="s">
        <v>95</v>
      </c>
    </row>
    <row r="18" spans="1:14" ht="100" x14ac:dyDescent="0.25">
      <c r="A18" s="10">
        <v>1</v>
      </c>
      <c r="B18" s="10">
        <v>2</v>
      </c>
      <c r="C18" s="12" t="s">
        <v>5</v>
      </c>
      <c r="D18" s="12" t="s">
        <v>6</v>
      </c>
      <c r="E18" s="12" t="s">
        <v>2</v>
      </c>
      <c r="F18" s="12" t="s">
        <v>79</v>
      </c>
      <c r="G18" s="14" t="s">
        <v>65</v>
      </c>
      <c r="H18" s="12" t="s">
        <v>73</v>
      </c>
      <c r="I18" s="14" t="s">
        <v>41</v>
      </c>
      <c r="J18" s="23">
        <v>0</v>
      </c>
      <c r="K18" s="23">
        <v>0</v>
      </c>
      <c r="L18" s="23">
        <v>0</v>
      </c>
      <c r="M18" s="12" t="s">
        <v>90</v>
      </c>
      <c r="N18" s="12" t="s">
        <v>95</v>
      </c>
    </row>
    <row r="19" spans="1:14" ht="366" customHeight="1" x14ac:dyDescent="0.25">
      <c r="A19" s="10">
        <v>2</v>
      </c>
      <c r="B19" s="10">
        <v>2</v>
      </c>
      <c r="C19" s="12" t="s">
        <v>0</v>
      </c>
      <c r="D19" s="12" t="s">
        <v>1</v>
      </c>
      <c r="E19" s="12" t="s">
        <v>2</v>
      </c>
      <c r="F19" s="12" t="s">
        <v>34</v>
      </c>
      <c r="G19" s="14" t="s">
        <v>66</v>
      </c>
      <c r="H19" s="12" t="s">
        <v>75</v>
      </c>
      <c r="I19" s="14" t="s">
        <v>41</v>
      </c>
      <c r="J19" s="23">
        <v>0</v>
      </c>
      <c r="K19" s="23">
        <v>1409</v>
      </c>
      <c r="L19" s="23">
        <v>1409</v>
      </c>
      <c r="M19" s="12"/>
      <c r="N19" s="27"/>
    </row>
    <row r="20" spans="1:14" ht="162.5" x14ac:dyDescent="0.25">
      <c r="A20" s="10">
        <v>2</v>
      </c>
      <c r="B20" s="10">
        <v>2</v>
      </c>
      <c r="C20" s="12" t="s">
        <v>7</v>
      </c>
      <c r="D20" s="12" t="s">
        <v>8</v>
      </c>
      <c r="E20" s="12" t="s">
        <v>2</v>
      </c>
      <c r="F20" s="12" t="s">
        <v>35</v>
      </c>
      <c r="G20" s="14" t="s">
        <v>67</v>
      </c>
      <c r="H20" s="12" t="s">
        <v>73</v>
      </c>
      <c r="I20" s="14" t="s">
        <v>41</v>
      </c>
      <c r="J20" s="23">
        <v>0</v>
      </c>
      <c r="K20" s="23">
        <v>622</v>
      </c>
      <c r="L20" s="23">
        <v>622</v>
      </c>
      <c r="M20" s="12"/>
      <c r="N20" s="12" t="s">
        <v>96</v>
      </c>
    </row>
    <row r="21" spans="1:14" ht="93" customHeight="1" x14ac:dyDescent="0.25">
      <c r="A21" s="10">
        <v>2</v>
      </c>
      <c r="B21" s="10">
        <v>6</v>
      </c>
      <c r="C21" s="12" t="s">
        <v>21</v>
      </c>
      <c r="D21" s="12" t="s">
        <v>22</v>
      </c>
      <c r="E21" s="12" t="s">
        <v>2</v>
      </c>
      <c r="F21" s="12" t="s">
        <v>36</v>
      </c>
      <c r="G21" s="14" t="s">
        <v>64</v>
      </c>
      <c r="H21" s="12" t="s">
        <v>73</v>
      </c>
      <c r="I21" s="14" t="s">
        <v>41</v>
      </c>
      <c r="J21" s="23">
        <v>0</v>
      </c>
      <c r="K21" s="23">
        <v>2348</v>
      </c>
      <c r="L21" s="23">
        <v>2348</v>
      </c>
      <c r="M21" s="12"/>
      <c r="N21" s="12" t="s">
        <v>96</v>
      </c>
    </row>
    <row r="22" spans="1:14" ht="100" x14ac:dyDescent="0.25">
      <c r="A22" s="10">
        <v>1</v>
      </c>
      <c r="B22" s="10">
        <v>7</v>
      </c>
      <c r="C22" s="12" t="s">
        <v>23</v>
      </c>
      <c r="D22" s="12" t="s">
        <v>24</v>
      </c>
      <c r="E22" s="12" t="s">
        <v>25</v>
      </c>
      <c r="F22" s="12" t="s">
        <v>88</v>
      </c>
      <c r="G22" s="14" t="s">
        <v>68</v>
      </c>
      <c r="H22" s="12" t="s">
        <v>69</v>
      </c>
      <c r="I22" s="14" t="s">
        <v>41</v>
      </c>
      <c r="J22" s="23">
        <v>0</v>
      </c>
      <c r="K22" s="23">
        <v>1879</v>
      </c>
      <c r="L22" s="23">
        <v>1879</v>
      </c>
      <c r="M22" s="12"/>
      <c r="N22" s="12" t="s">
        <v>96</v>
      </c>
    </row>
    <row r="23" spans="1:14" ht="225" x14ac:dyDescent="0.25">
      <c r="A23" s="10">
        <v>1</v>
      </c>
      <c r="B23" s="10" t="s">
        <v>26</v>
      </c>
      <c r="C23" s="12" t="s">
        <v>81</v>
      </c>
      <c r="D23" s="12" t="s">
        <v>6</v>
      </c>
      <c r="E23" s="12" t="s">
        <v>2</v>
      </c>
      <c r="F23" s="12" t="s">
        <v>82</v>
      </c>
      <c r="G23" s="14" t="s">
        <v>70</v>
      </c>
      <c r="H23" s="12" t="s">
        <v>73</v>
      </c>
      <c r="I23" s="14" t="s">
        <v>41</v>
      </c>
      <c r="J23" s="23">
        <v>0</v>
      </c>
      <c r="K23" s="23">
        <v>0</v>
      </c>
      <c r="L23" s="23">
        <v>4317</v>
      </c>
      <c r="M23" s="13" t="s">
        <v>91</v>
      </c>
      <c r="N23" s="12" t="s">
        <v>96</v>
      </c>
    </row>
    <row r="24" spans="1:14" ht="137.5" x14ac:dyDescent="0.25">
      <c r="A24" s="10">
        <v>1</v>
      </c>
      <c r="B24" s="10" t="s">
        <v>26</v>
      </c>
      <c r="C24" s="19" t="s">
        <v>27</v>
      </c>
      <c r="D24" s="12" t="s">
        <v>83</v>
      </c>
      <c r="E24" s="12" t="s">
        <v>2</v>
      </c>
      <c r="F24" s="12" t="s">
        <v>89</v>
      </c>
      <c r="G24" s="14" t="s">
        <v>71</v>
      </c>
      <c r="H24" s="12" t="s">
        <v>73</v>
      </c>
      <c r="I24" s="14" t="s">
        <v>41</v>
      </c>
      <c r="J24" s="23">
        <v>0</v>
      </c>
      <c r="K24" s="23">
        <v>3244</v>
      </c>
      <c r="L24" s="23">
        <v>3244</v>
      </c>
      <c r="M24" s="13"/>
      <c r="N24" s="12" t="s">
        <v>96</v>
      </c>
    </row>
    <row r="25" spans="1:14" ht="87.5" x14ac:dyDescent="0.25">
      <c r="A25" s="10"/>
      <c r="B25" s="10" t="s">
        <v>26</v>
      </c>
      <c r="C25" s="11" t="s">
        <v>55</v>
      </c>
      <c r="D25" s="11" t="s">
        <v>56</v>
      </c>
      <c r="E25" s="12" t="s">
        <v>51</v>
      </c>
      <c r="F25" s="17" t="s">
        <v>84</v>
      </c>
      <c r="G25" s="17" t="s">
        <v>62</v>
      </c>
      <c r="H25" s="12" t="s">
        <v>73</v>
      </c>
      <c r="I25" s="14" t="s">
        <v>41</v>
      </c>
      <c r="J25" s="23">
        <v>0</v>
      </c>
      <c r="K25" s="23">
        <v>0</v>
      </c>
      <c r="L25" s="23">
        <v>0</v>
      </c>
      <c r="M25" s="13"/>
      <c r="N25" s="12" t="s">
        <v>96</v>
      </c>
    </row>
    <row r="26" spans="1:14" ht="75" x14ac:dyDescent="0.25">
      <c r="A26" s="11">
        <v>3</v>
      </c>
      <c r="B26" s="17" t="s">
        <v>107</v>
      </c>
      <c r="C26" s="12" t="s">
        <v>109</v>
      </c>
      <c r="D26" s="17" t="s">
        <v>102</v>
      </c>
      <c r="E26" s="17" t="s">
        <v>101</v>
      </c>
      <c r="F26" s="12" t="s">
        <v>108</v>
      </c>
      <c r="G26" s="17" t="s">
        <v>99</v>
      </c>
      <c r="H26" s="12" t="s">
        <v>98</v>
      </c>
      <c r="I26" s="17" t="s">
        <v>41</v>
      </c>
      <c r="J26" s="17">
        <v>89</v>
      </c>
      <c r="K26" s="17">
        <v>89</v>
      </c>
      <c r="L26" s="17">
        <v>89</v>
      </c>
      <c r="M26" s="12"/>
      <c r="N26" s="17" t="s">
        <v>97</v>
      </c>
    </row>
    <row r="27" spans="1:14" ht="75" x14ac:dyDescent="0.25">
      <c r="A27" s="11">
        <v>1</v>
      </c>
      <c r="B27" s="17" t="s">
        <v>107</v>
      </c>
      <c r="C27" s="12" t="s">
        <v>106</v>
      </c>
      <c r="D27" s="17" t="s">
        <v>102</v>
      </c>
      <c r="E27" s="17" t="s">
        <v>101</v>
      </c>
      <c r="F27" s="12" t="s">
        <v>105</v>
      </c>
      <c r="G27" s="17" t="s">
        <v>99</v>
      </c>
      <c r="H27" s="12" t="s">
        <v>98</v>
      </c>
      <c r="I27" s="17" t="s">
        <v>41</v>
      </c>
      <c r="J27" s="17">
        <v>224</v>
      </c>
      <c r="K27" s="17">
        <v>224</v>
      </c>
      <c r="L27" s="17">
        <v>224</v>
      </c>
      <c r="M27" s="15"/>
      <c r="N27" s="17" t="s">
        <v>97</v>
      </c>
    </row>
    <row r="28" spans="1:14" ht="75" x14ac:dyDescent="0.25">
      <c r="A28" s="11">
        <v>3</v>
      </c>
      <c r="B28" s="17" t="s">
        <v>104</v>
      </c>
      <c r="C28" s="12" t="s">
        <v>103</v>
      </c>
      <c r="D28" s="17" t="s">
        <v>102</v>
      </c>
      <c r="E28" s="17" t="s">
        <v>101</v>
      </c>
      <c r="F28" s="12" t="s">
        <v>100</v>
      </c>
      <c r="G28" s="17" t="s">
        <v>99</v>
      </c>
      <c r="H28" s="12" t="s">
        <v>98</v>
      </c>
      <c r="I28" s="17" t="s">
        <v>41</v>
      </c>
      <c r="J28" s="17">
        <v>188</v>
      </c>
      <c r="K28" s="17">
        <v>188</v>
      </c>
      <c r="L28" s="17">
        <v>188</v>
      </c>
      <c r="M28" s="15"/>
      <c r="N28" s="17" t="s">
        <v>97</v>
      </c>
    </row>
    <row r="29" spans="1:14" x14ac:dyDescent="0.25">
      <c r="A29" s="10"/>
      <c r="B29" s="10" t="s">
        <v>54</v>
      </c>
      <c r="C29" s="12"/>
      <c r="D29" s="12"/>
      <c r="E29" s="12"/>
      <c r="F29" s="12"/>
      <c r="G29" s="12"/>
      <c r="H29" s="12"/>
      <c r="I29" s="14"/>
      <c r="J29" s="23">
        <f>SUM(J8:J28)</f>
        <v>9784</v>
      </c>
      <c r="K29" s="23">
        <f>SUM(K8:K28)</f>
        <v>16633</v>
      </c>
      <c r="L29" s="23">
        <f>SUM(L8:L28)</f>
        <v>19286</v>
      </c>
      <c r="M29" s="12"/>
      <c r="N29" s="12"/>
    </row>
    <row r="30" spans="1:14" ht="229.5" customHeight="1" x14ac:dyDescent="0.25">
      <c r="A30" s="4"/>
      <c r="B30" s="4"/>
      <c r="C30" s="3"/>
      <c r="D30" s="3"/>
      <c r="E30" s="3"/>
      <c r="F30" s="3"/>
      <c r="G30" s="3"/>
      <c r="H30" s="3"/>
      <c r="I30" s="7"/>
      <c r="J30" s="22"/>
      <c r="K30" s="22"/>
      <c r="L30" s="22"/>
      <c r="M30" s="3"/>
    </row>
    <row r="31" spans="1:14" ht="95.25" customHeight="1" x14ac:dyDescent="0.25">
      <c r="A31" s="4"/>
      <c r="B31" s="4"/>
      <c r="C31" s="3"/>
      <c r="D31" s="3"/>
      <c r="E31" s="3"/>
      <c r="F31" s="3"/>
      <c r="G31" s="3"/>
      <c r="H31" s="3"/>
      <c r="I31" s="7"/>
      <c r="J31" s="22"/>
      <c r="K31" s="22"/>
      <c r="L31" s="22"/>
      <c r="M31" s="3"/>
    </row>
    <row r="32" spans="1:14" x14ac:dyDescent="0.25">
      <c r="A32" s="4"/>
      <c r="B32" s="4"/>
      <c r="C32" s="3"/>
      <c r="D32" s="3"/>
      <c r="E32" s="3"/>
      <c r="F32" s="3"/>
      <c r="G32" s="3"/>
      <c r="H32" s="3"/>
      <c r="I32" s="7"/>
      <c r="J32" s="22"/>
      <c r="K32" s="22"/>
      <c r="L32" s="22"/>
      <c r="M32" s="3"/>
    </row>
    <row r="33" spans="1:13" x14ac:dyDescent="0.25">
      <c r="A33" s="4"/>
      <c r="B33" s="4"/>
      <c r="C33" s="3"/>
      <c r="D33" s="3"/>
      <c r="E33" s="3"/>
      <c r="F33" s="3"/>
      <c r="G33" s="3"/>
      <c r="H33" s="3"/>
      <c r="I33" s="7"/>
      <c r="J33" s="22"/>
      <c r="K33" s="22"/>
      <c r="L33" s="22"/>
      <c r="M33" s="3"/>
    </row>
    <row r="34" spans="1:13" ht="188.25" customHeight="1" x14ac:dyDescent="0.25">
      <c r="A34" s="4"/>
      <c r="B34" s="4"/>
      <c r="C34" s="3"/>
      <c r="D34" s="3"/>
      <c r="E34" s="3"/>
      <c r="F34" s="3"/>
      <c r="G34" s="3"/>
      <c r="H34" s="3"/>
      <c r="I34" s="7"/>
      <c r="J34" s="22"/>
      <c r="K34" s="22"/>
      <c r="L34" s="22"/>
      <c r="M34" s="3"/>
    </row>
    <row r="35" spans="1:13" ht="126" customHeight="1" x14ac:dyDescent="0.25">
      <c r="A35" s="4"/>
      <c r="B35" s="4"/>
      <c r="C35" s="3"/>
      <c r="D35" s="3"/>
      <c r="E35" s="3"/>
      <c r="F35" s="3"/>
      <c r="G35" s="3"/>
      <c r="H35" s="3"/>
      <c r="I35" s="7"/>
      <c r="J35" s="22"/>
      <c r="K35" s="22"/>
      <c r="L35" s="22"/>
      <c r="M35" s="3"/>
    </row>
    <row r="36" spans="1:13" x14ac:dyDescent="0.25">
      <c r="A36" s="4"/>
      <c r="B36" s="4"/>
      <c r="C36" s="3"/>
      <c r="D36" s="3"/>
      <c r="E36" s="3"/>
      <c r="F36" s="3"/>
      <c r="G36" s="3"/>
      <c r="H36" s="3"/>
      <c r="I36" s="7"/>
      <c r="J36" s="22"/>
      <c r="K36" s="22"/>
      <c r="L36" s="22"/>
      <c r="M36" s="3"/>
    </row>
    <row r="37" spans="1:13" x14ac:dyDescent="0.25">
      <c r="A37" s="4"/>
      <c r="B37" s="4"/>
      <c r="C37" s="3"/>
      <c r="D37" s="3"/>
      <c r="E37" s="3"/>
      <c r="F37" s="3"/>
      <c r="G37" s="3"/>
      <c r="H37" s="3"/>
      <c r="I37" s="7"/>
      <c r="J37" s="22"/>
      <c r="K37" s="22"/>
      <c r="L37" s="22"/>
      <c r="M37" s="3"/>
    </row>
    <row r="38" spans="1:13" x14ac:dyDescent="0.25">
      <c r="A38" s="4"/>
      <c r="B38" s="4"/>
      <c r="C38" s="3"/>
      <c r="D38" s="3"/>
      <c r="E38" s="3"/>
      <c r="F38" s="3"/>
      <c r="G38" s="3"/>
      <c r="H38" s="3"/>
      <c r="I38" s="7"/>
      <c r="J38" s="22"/>
      <c r="K38" s="22"/>
      <c r="L38" s="22"/>
      <c r="M38" s="3"/>
    </row>
    <row r="39" spans="1:13" x14ac:dyDescent="0.25">
      <c r="A39" s="4"/>
      <c r="B39" s="4"/>
      <c r="C39" s="3"/>
      <c r="D39" s="3"/>
      <c r="E39" s="3"/>
      <c r="F39" s="3"/>
      <c r="G39" s="3"/>
      <c r="H39" s="3"/>
      <c r="I39" s="7"/>
      <c r="J39" s="22"/>
      <c r="K39" s="22"/>
      <c r="L39" s="22"/>
      <c r="M39" s="3"/>
    </row>
    <row r="40" spans="1:13" ht="114.75" customHeight="1" x14ac:dyDescent="0.25">
      <c r="A40" s="4"/>
      <c r="B40" s="4"/>
      <c r="C40" s="3"/>
      <c r="D40" s="3"/>
      <c r="E40" s="3"/>
      <c r="F40" s="3"/>
      <c r="G40" s="3"/>
      <c r="H40" s="3"/>
      <c r="I40" s="7"/>
      <c r="J40" s="22"/>
      <c r="K40" s="22"/>
      <c r="L40" s="22"/>
      <c r="M40" s="3"/>
    </row>
    <row r="41" spans="1:13" ht="241.5" customHeight="1" x14ac:dyDescent="0.25">
      <c r="A41" s="4"/>
      <c r="B41" s="4"/>
      <c r="C41" s="3"/>
      <c r="D41" s="3"/>
      <c r="E41" s="3"/>
      <c r="F41" s="3"/>
      <c r="G41" s="3"/>
      <c r="H41" s="3"/>
      <c r="I41" s="7"/>
      <c r="J41" s="22"/>
      <c r="K41" s="22"/>
      <c r="L41" s="22"/>
      <c r="M41" s="3"/>
    </row>
    <row r="42" spans="1:13" ht="144" customHeight="1" x14ac:dyDescent="0.25">
      <c r="A42" s="4"/>
      <c r="B42" s="4"/>
      <c r="C42" s="3"/>
      <c r="D42" s="3"/>
      <c r="E42" s="3"/>
      <c r="F42" s="3"/>
      <c r="G42" s="3"/>
      <c r="H42" s="3"/>
      <c r="I42" s="7"/>
      <c r="J42" s="22"/>
      <c r="K42" s="22"/>
      <c r="L42" s="22"/>
      <c r="M42" s="3"/>
    </row>
    <row r="43" spans="1:13" x14ac:dyDescent="0.25">
      <c r="A43" s="4"/>
      <c r="B43" s="4"/>
      <c r="C43" s="3"/>
      <c r="D43" s="3"/>
      <c r="E43" s="3"/>
      <c r="F43" s="3"/>
      <c r="G43" s="3"/>
      <c r="H43" s="3"/>
      <c r="I43" s="7"/>
      <c r="J43" s="22"/>
      <c r="K43" s="22"/>
      <c r="L43" s="22"/>
      <c r="M43" s="3"/>
    </row>
    <row r="44" spans="1:13" x14ac:dyDescent="0.25">
      <c r="A44" s="4"/>
      <c r="B44" s="4"/>
      <c r="C44" s="3"/>
      <c r="D44" s="3"/>
      <c r="E44" s="3"/>
      <c r="F44" s="3"/>
      <c r="G44" s="3"/>
      <c r="H44" s="3"/>
      <c r="I44" s="7"/>
      <c r="J44" s="22"/>
      <c r="K44" s="22"/>
      <c r="L44" s="22"/>
      <c r="M44" s="3"/>
    </row>
    <row r="45" spans="1:13" x14ac:dyDescent="0.25">
      <c r="A45" s="4"/>
      <c r="B45" s="4"/>
      <c r="C45" s="3"/>
      <c r="D45" s="3"/>
      <c r="E45" s="3"/>
      <c r="F45" s="3"/>
      <c r="G45" s="3"/>
      <c r="H45" s="3"/>
      <c r="I45" s="7"/>
      <c r="J45" s="22"/>
      <c r="K45" s="22"/>
      <c r="L45" s="22"/>
      <c r="M45" s="3"/>
    </row>
    <row r="46" spans="1:13" x14ac:dyDescent="0.25">
      <c r="A46" s="4"/>
      <c r="B46" s="4"/>
      <c r="C46" s="3"/>
      <c r="D46" s="3"/>
      <c r="E46" s="3"/>
      <c r="F46" s="3"/>
      <c r="G46" s="3"/>
      <c r="H46" s="3"/>
      <c r="I46" s="7"/>
      <c r="J46" s="22"/>
      <c r="K46" s="22"/>
      <c r="L46" s="22"/>
      <c r="M46" s="3"/>
    </row>
    <row r="47" spans="1:13" x14ac:dyDescent="0.25">
      <c r="A47" s="4"/>
      <c r="B47" s="4"/>
      <c r="C47" s="3"/>
      <c r="D47" s="3"/>
      <c r="E47" s="3"/>
      <c r="F47" s="3"/>
      <c r="G47" s="3"/>
      <c r="H47" s="3"/>
      <c r="I47" s="7"/>
      <c r="J47" s="22"/>
      <c r="K47" s="22"/>
      <c r="L47" s="22"/>
      <c r="M47" s="3"/>
    </row>
    <row r="48" spans="1:13" x14ac:dyDescent="0.25">
      <c r="A48" s="4"/>
      <c r="B48" s="4"/>
      <c r="C48" s="3"/>
      <c r="D48" s="3"/>
      <c r="E48" s="3"/>
      <c r="F48" s="3"/>
      <c r="G48" s="3"/>
      <c r="H48" s="3"/>
      <c r="I48" s="7"/>
      <c r="J48" s="22"/>
      <c r="K48" s="22"/>
      <c r="L48" s="22"/>
      <c r="M48" s="3"/>
    </row>
    <row r="49" spans="1:13" x14ac:dyDescent="0.25">
      <c r="A49" s="4"/>
      <c r="B49" s="4"/>
      <c r="C49" s="3"/>
      <c r="D49" s="3"/>
      <c r="E49" s="3"/>
      <c r="F49" s="3"/>
      <c r="G49" s="3"/>
      <c r="H49" s="3"/>
      <c r="I49" s="7"/>
      <c r="J49" s="22"/>
      <c r="K49" s="22"/>
      <c r="L49" s="22"/>
      <c r="M49" s="3"/>
    </row>
    <row r="50" spans="1:13" x14ac:dyDescent="0.25">
      <c r="A50" s="4"/>
      <c r="B50" s="4"/>
      <c r="C50" s="3"/>
      <c r="D50" s="3"/>
      <c r="E50" s="3"/>
      <c r="F50" s="3"/>
      <c r="G50" s="3"/>
      <c r="H50" s="3"/>
      <c r="I50" s="7"/>
      <c r="J50" s="22"/>
      <c r="K50" s="22"/>
      <c r="L50" s="22"/>
      <c r="M50" s="3"/>
    </row>
    <row r="51" spans="1:13" x14ac:dyDescent="0.25">
      <c r="A51" s="4"/>
      <c r="B51" s="4"/>
      <c r="C51" s="3"/>
      <c r="D51" s="3"/>
      <c r="E51" s="3"/>
      <c r="F51" s="3"/>
      <c r="G51" s="3"/>
      <c r="H51" s="3"/>
      <c r="I51" s="7"/>
      <c r="J51" s="22"/>
      <c r="K51" s="22"/>
      <c r="L51" s="22"/>
      <c r="M51" s="3"/>
    </row>
    <row r="52" spans="1:13" x14ac:dyDescent="0.25">
      <c r="A52" s="4"/>
      <c r="B52" s="4"/>
      <c r="C52" s="3"/>
      <c r="D52" s="3"/>
      <c r="E52" s="3"/>
      <c r="F52" s="3"/>
      <c r="G52" s="3"/>
      <c r="H52" s="3"/>
      <c r="I52" s="7"/>
      <c r="J52" s="22"/>
      <c r="K52" s="22"/>
      <c r="L52" s="22"/>
      <c r="M52" s="3"/>
    </row>
    <row r="53" spans="1:13" x14ac:dyDescent="0.25">
      <c r="A53" s="4"/>
      <c r="B53" s="4"/>
      <c r="C53" s="3"/>
      <c r="D53" s="3"/>
      <c r="E53" s="3"/>
      <c r="F53" s="3"/>
      <c r="G53" s="3"/>
      <c r="H53" s="3"/>
      <c r="I53" s="7"/>
      <c r="J53" s="22"/>
      <c r="K53" s="22"/>
      <c r="L53" s="22"/>
      <c r="M53" s="3"/>
    </row>
    <row r="54" spans="1:13" x14ac:dyDescent="0.25">
      <c r="A54" s="4"/>
      <c r="B54" s="4"/>
      <c r="C54" s="3"/>
      <c r="D54" s="3"/>
      <c r="E54" s="3"/>
      <c r="F54" s="3"/>
      <c r="G54" s="3"/>
      <c r="H54" s="3"/>
      <c r="I54" s="7"/>
      <c r="J54" s="22"/>
      <c r="K54" s="22"/>
      <c r="L54" s="22"/>
      <c r="M54" s="3"/>
    </row>
    <row r="55" spans="1:13" x14ac:dyDescent="0.25">
      <c r="A55" s="4"/>
      <c r="B55" s="4"/>
      <c r="C55" s="3"/>
      <c r="D55" s="3"/>
      <c r="E55" s="3"/>
      <c r="F55" s="3"/>
      <c r="G55" s="3"/>
      <c r="H55" s="3"/>
      <c r="I55" s="7"/>
      <c r="J55" s="22"/>
      <c r="K55" s="22"/>
      <c r="L55" s="22"/>
      <c r="M55" s="3"/>
    </row>
    <row r="56" spans="1:13" x14ac:dyDescent="0.25">
      <c r="A56" s="4"/>
      <c r="B56" s="4"/>
      <c r="C56" s="3"/>
      <c r="D56" s="3"/>
      <c r="E56" s="3"/>
      <c r="F56" s="3"/>
      <c r="G56" s="3"/>
      <c r="H56" s="3"/>
      <c r="I56" s="7"/>
      <c r="J56" s="22"/>
      <c r="K56" s="22"/>
      <c r="L56" s="22"/>
      <c r="M56" s="3"/>
    </row>
    <row r="57" spans="1:13" x14ac:dyDescent="0.25">
      <c r="A57" s="4"/>
      <c r="B57" s="4"/>
      <c r="C57" s="3"/>
      <c r="D57" s="3"/>
      <c r="E57" s="3"/>
      <c r="F57" s="3"/>
      <c r="G57" s="3"/>
      <c r="H57" s="3"/>
      <c r="I57" s="7"/>
      <c r="J57" s="22"/>
      <c r="K57" s="22"/>
      <c r="L57" s="22"/>
      <c r="M57" s="3"/>
    </row>
    <row r="58" spans="1:13" x14ac:dyDescent="0.25">
      <c r="A58" s="4"/>
      <c r="B58" s="4"/>
      <c r="C58" s="3"/>
      <c r="D58" s="3"/>
      <c r="E58" s="3"/>
      <c r="F58" s="3"/>
      <c r="G58" s="3"/>
      <c r="H58" s="3"/>
      <c r="I58" s="7"/>
      <c r="J58" s="22"/>
      <c r="K58" s="22"/>
      <c r="L58" s="22"/>
      <c r="M58" s="3"/>
    </row>
    <row r="59" spans="1:13" x14ac:dyDescent="0.25">
      <c r="A59" s="4"/>
      <c r="B59" s="4"/>
      <c r="C59" s="3"/>
      <c r="D59" s="3"/>
      <c r="E59" s="3"/>
      <c r="F59" s="3"/>
      <c r="G59" s="3"/>
      <c r="H59" s="3"/>
      <c r="I59" s="7"/>
      <c r="J59" s="22"/>
      <c r="K59" s="22"/>
      <c r="L59" s="22"/>
      <c r="M59" s="3"/>
    </row>
    <row r="60" spans="1:13" x14ac:dyDescent="0.25">
      <c r="A60" s="4"/>
      <c r="B60" s="4"/>
      <c r="C60" s="3"/>
      <c r="D60" s="3"/>
      <c r="E60" s="3"/>
      <c r="F60" s="3"/>
      <c r="G60" s="3"/>
      <c r="H60" s="3"/>
      <c r="I60" s="7"/>
      <c r="J60" s="22"/>
      <c r="K60" s="22"/>
      <c r="L60" s="22"/>
      <c r="M60" s="3"/>
    </row>
    <row r="61" spans="1:13" x14ac:dyDescent="0.25">
      <c r="A61" s="4"/>
      <c r="B61" s="4"/>
      <c r="C61" s="3"/>
      <c r="D61" s="3"/>
      <c r="E61" s="3"/>
      <c r="F61" s="3"/>
      <c r="G61" s="3"/>
      <c r="H61" s="3"/>
      <c r="I61" s="7"/>
      <c r="J61" s="22"/>
      <c r="K61" s="22"/>
      <c r="L61" s="22"/>
      <c r="M61" s="3"/>
    </row>
  </sheetData>
  <mergeCells count="2">
    <mergeCell ref="A5:M5"/>
    <mergeCell ref="D3:H3"/>
  </mergeCells>
  <phoneticPr fontId="0" type="noConversion"/>
  <printOptions horizontalCentered="1" verticalCentered="1"/>
  <pageMargins left="0.75" right="0.75" top="1" bottom="1" header="0.5" footer="0.5"/>
  <pageSetup scale="50" orientation="landscape" r:id="rId1"/>
  <headerFooter alignWithMargins="0">
    <oddHeader>&amp;C12/04/2002</oddHeader>
    <oddFooter>Page &amp;P of &amp;N</oddFooter>
  </headerFooter>
  <rowBreaks count="1" manualBreakCount="1">
    <brk id="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Manager>Jennifer Grant</Manager>
  <Company>Gulf Computers,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High Level Requirements Per Gulf's Understanding</dc:title>
  <dc:subject>OSMIS Phase II</dc:subject>
  <dc:creator>Deborah L. Bellows</dc:creator>
  <cp:lastModifiedBy>Carina Negreanu</cp:lastModifiedBy>
  <cp:lastPrinted>2002-11-08T22:04:05Z</cp:lastPrinted>
  <dcterms:created xsi:type="dcterms:W3CDTF">2002-10-31T14:26:59Z</dcterms:created>
  <dcterms:modified xsi:type="dcterms:W3CDTF">2020-01-27T11:15:18Z</dcterms:modified>
</cp:coreProperties>
</file>