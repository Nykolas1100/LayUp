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75F402-A1B0-42BC-8DBD-1CD9582C43BC}" xr6:coauthVersionLast="45" xr6:coauthVersionMax="45" xr10:uidLastSave="{00000000-0000-0000-0000-000000000000}"/>
  <bookViews>
    <workbookView xWindow="760" yWindow="760" windowWidth="28800" windowHeight="15460"/>
  </bookViews>
  <sheets>
    <sheet name="Potential" sheetId="1" r:id="rId1"/>
    <sheet name="Ex" sheetId="2" r:id="rId2"/>
    <sheet name="Ey" sheetId="3" r:id="rId3"/>
  </sheets>
  <definedNames>
    <definedName name="DT">#REF!</definedName>
    <definedName name="h">Ex!$F$5</definedName>
    <definedName name="h_">Ey!$F$5</definedName>
    <definedName name="V1_">Potential!$J$4</definedName>
    <definedName name="V2_">Potential!$J$5</definedName>
  </definedNames>
  <calcPr calcId="0" calcMode="manual" iterate="1"/>
</workbook>
</file>

<file path=xl/calcChain.xml><?xml version="1.0" encoding="utf-8"?>
<calcChain xmlns="http://schemas.openxmlformats.org/spreadsheetml/2006/main">
  <c r="F7" i="1" l="1"/>
  <c r="J7" i="1"/>
  <c r="F8" i="1"/>
  <c r="J8" i="1"/>
  <c r="F9" i="1"/>
  <c r="J9" i="1"/>
  <c r="F10" i="1"/>
  <c r="J10" i="1"/>
  <c r="F11" i="1"/>
  <c r="J11" i="1"/>
  <c r="F12" i="1"/>
  <c r="J12" i="1"/>
  <c r="F15" i="1"/>
  <c r="J15" i="1"/>
  <c r="F16" i="1"/>
  <c r="J16" i="1"/>
  <c r="F17" i="1"/>
  <c r="J17" i="1"/>
  <c r="F18" i="1"/>
  <c r="F20" i="1" s="1"/>
  <c r="J18" i="1"/>
  <c r="F19" i="1"/>
  <c r="J19" i="1"/>
  <c r="J20" i="1"/>
  <c r="C8" i="2" l="1"/>
  <c r="D8" i="2"/>
  <c r="E8" i="2"/>
  <c r="G8" i="2"/>
  <c r="H8" i="2"/>
  <c r="I8" i="2"/>
  <c r="K8" i="2"/>
  <c r="L8" i="2"/>
  <c r="M8" i="2"/>
  <c r="N8" i="2"/>
  <c r="O8" i="2"/>
  <c r="C9" i="2"/>
  <c r="D9" i="2"/>
  <c r="E9" i="2"/>
  <c r="G9" i="2"/>
  <c r="H9" i="2"/>
  <c r="I9" i="2"/>
  <c r="K9" i="2"/>
  <c r="L9" i="2"/>
  <c r="M9" i="2"/>
  <c r="N9" i="2"/>
  <c r="O9" i="2"/>
  <c r="C10" i="2"/>
  <c r="D10" i="2"/>
  <c r="E10" i="2"/>
  <c r="G10" i="2"/>
  <c r="H10" i="2"/>
  <c r="I10" i="2"/>
  <c r="K10" i="2"/>
  <c r="L10" i="2"/>
  <c r="M10" i="2"/>
  <c r="N10" i="2"/>
  <c r="O10" i="2"/>
  <c r="C11" i="2"/>
  <c r="D11" i="2"/>
  <c r="E11" i="2"/>
  <c r="G11" i="2"/>
  <c r="H11" i="2"/>
  <c r="I11" i="2"/>
  <c r="K11" i="2"/>
  <c r="L11" i="2"/>
  <c r="M11" i="2"/>
  <c r="N11" i="2"/>
  <c r="O11" i="2"/>
  <c r="C12" i="2"/>
  <c r="D12" i="2"/>
  <c r="E12" i="2"/>
  <c r="G12" i="2"/>
  <c r="H12" i="2"/>
  <c r="I12" i="2"/>
  <c r="K12" i="2"/>
  <c r="L12" i="2"/>
  <c r="M12" i="2"/>
  <c r="N12" i="2"/>
  <c r="O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C15" i="2"/>
  <c r="D15" i="2"/>
  <c r="E15" i="2"/>
  <c r="G15" i="2"/>
  <c r="H15" i="2"/>
  <c r="I15" i="2"/>
  <c r="K15" i="2"/>
  <c r="L15" i="2"/>
  <c r="M15" i="2"/>
  <c r="N15" i="2"/>
  <c r="O15" i="2"/>
  <c r="C16" i="2"/>
  <c r="D16" i="2"/>
  <c r="E16" i="2"/>
  <c r="G16" i="2"/>
  <c r="H16" i="2"/>
  <c r="I16" i="2"/>
  <c r="K16" i="2"/>
  <c r="L16" i="2"/>
  <c r="M16" i="2"/>
  <c r="N16" i="2"/>
  <c r="O16" i="2"/>
  <c r="C17" i="2"/>
  <c r="D17" i="2"/>
  <c r="E17" i="2"/>
  <c r="G17" i="2"/>
  <c r="H17" i="2"/>
  <c r="I17" i="2"/>
  <c r="K17" i="2"/>
  <c r="L17" i="2"/>
  <c r="M17" i="2"/>
  <c r="N17" i="2"/>
  <c r="O17" i="2"/>
  <c r="C18" i="2"/>
  <c r="D18" i="2"/>
  <c r="E18" i="2"/>
  <c r="G18" i="2"/>
  <c r="H18" i="2"/>
  <c r="I18" i="2"/>
  <c r="K18" i="2"/>
  <c r="L18" i="2"/>
  <c r="M18" i="2"/>
  <c r="N18" i="2"/>
  <c r="O18" i="2"/>
  <c r="C19" i="2"/>
  <c r="D19" i="2"/>
  <c r="E19" i="2"/>
  <c r="G19" i="2"/>
  <c r="H19" i="2"/>
  <c r="I19" i="2"/>
  <c r="K19" i="2"/>
  <c r="L19" i="2"/>
  <c r="M19" i="2"/>
  <c r="N19" i="2"/>
  <c r="O19" i="2"/>
  <c r="C8" i="3"/>
  <c r="D8" i="3"/>
  <c r="E8" i="3"/>
  <c r="G8" i="3"/>
  <c r="H8" i="3"/>
  <c r="I8" i="3"/>
  <c r="K8" i="3"/>
  <c r="L8" i="3"/>
  <c r="M8" i="3"/>
  <c r="N8" i="3"/>
  <c r="O8" i="3"/>
  <c r="C9" i="3"/>
  <c r="D9" i="3"/>
  <c r="E9" i="3"/>
  <c r="G9" i="3"/>
  <c r="H9" i="3"/>
  <c r="I9" i="3"/>
  <c r="K9" i="3"/>
  <c r="L9" i="3"/>
  <c r="M9" i="3"/>
  <c r="N9" i="3"/>
  <c r="O9" i="3"/>
  <c r="C10" i="3"/>
  <c r="D10" i="3"/>
  <c r="E10" i="3"/>
  <c r="G10" i="3"/>
  <c r="H10" i="3"/>
  <c r="I10" i="3"/>
  <c r="K10" i="3"/>
  <c r="L10" i="3"/>
  <c r="M10" i="3"/>
  <c r="N10" i="3"/>
  <c r="O10" i="3"/>
  <c r="C11" i="3"/>
  <c r="D11" i="3"/>
  <c r="E11" i="3"/>
  <c r="G11" i="3"/>
  <c r="H11" i="3"/>
  <c r="I11" i="3"/>
  <c r="K11" i="3"/>
  <c r="L11" i="3"/>
  <c r="M11" i="3"/>
  <c r="N11" i="3"/>
  <c r="O11" i="3"/>
  <c r="C12" i="3"/>
  <c r="D12" i="3"/>
  <c r="E12" i="3"/>
  <c r="G12" i="3"/>
  <c r="H12" i="3"/>
  <c r="I12" i="3"/>
  <c r="K12" i="3"/>
  <c r="L12" i="3"/>
  <c r="M12" i="3"/>
  <c r="N12" i="3"/>
  <c r="O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C15" i="3"/>
  <c r="D15" i="3"/>
  <c r="E15" i="3"/>
  <c r="G15" i="3"/>
  <c r="H15" i="3"/>
  <c r="I15" i="3"/>
  <c r="K15" i="3"/>
  <c r="L15" i="3"/>
  <c r="M15" i="3"/>
  <c r="N15" i="3"/>
  <c r="O15" i="3"/>
  <c r="C16" i="3"/>
  <c r="D16" i="3"/>
  <c r="E16" i="3"/>
  <c r="G16" i="3"/>
  <c r="H16" i="3"/>
  <c r="I16" i="3"/>
  <c r="K16" i="3"/>
  <c r="L16" i="3"/>
  <c r="M16" i="3"/>
  <c r="N16" i="3"/>
  <c r="O16" i="3"/>
  <c r="C17" i="3"/>
  <c r="D17" i="3"/>
  <c r="E17" i="3"/>
  <c r="G17" i="3"/>
  <c r="H17" i="3"/>
  <c r="I17" i="3"/>
  <c r="K17" i="3"/>
  <c r="L17" i="3"/>
  <c r="M17" i="3"/>
  <c r="N17" i="3"/>
  <c r="O17" i="3"/>
  <c r="C18" i="3"/>
  <c r="D18" i="3"/>
  <c r="E18" i="3"/>
  <c r="G18" i="3"/>
  <c r="H18" i="3"/>
  <c r="I18" i="3"/>
  <c r="K18" i="3"/>
  <c r="L18" i="3"/>
  <c r="M18" i="3"/>
  <c r="N18" i="3"/>
  <c r="O18" i="3"/>
  <c r="C19" i="3"/>
  <c r="D19" i="3"/>
  <c r="E19" i="3"/>
  <c r="G19" i="3"/>
  <c r="H19" i="3"/>
  <c r="I19" i="3"/>
  <c r="K19" i="3"/>
  <c r="L19" i="3"/>
  <c r="M19" i="3"/>
  <c r="N19" i="3"/>
  <c r="O19" i="3"/>
  <c r="C7" i="1"/>
  <c r="D7" i="1"/>
  <c r="E7" i="1"/>
  <c r="G7" i="1"/>
  <c r="H7" i="1"/>
  <c r="I7" i="1"/>
  <c r="K7" i="1"/>
  <c r="L7" i="1"/>
  <c r="M7" i="1"/>
  <c r="N7" i="1"/>
  <c r="O7" i="1"/>
  <c r="B8" i="1"/>
  <c r="C8" i="1"/>
  <c r="D8" i="1"/>
  <c r="E8" i="1"/>
  <c r="G8" i="1"/>
  <c r="H8" i="1"/>
  <c r="I8" i="1"/>
  <c r="K8" i="1"/>
  <c r="L8" i="1"/>
  <c r="M8" i="1"/>
  <c r="N8" i="1"/>
  <c r="O8" i="1"/>
  <c r="P8" i="1"/>
  <c r="B9" i="1"/>
  <c r="C9" i="1"/>
  <c r="D9" i="1"/>
  <c r="E9" i="1"/>
  <c r="G9" i="1"/>
  <c r="H9" i="1"/>
  <c r="I9" i="1"/>
  <c r="K9" i="1"/>
  <c r="L9" i="1"/>
  <c r="M9" i="1"/>
  <c r="N9" i="1"/>
  <c r="O9" i="1"/>
  <c r="P9" i="1"/>
  <c r="B10" i="1"/>
  <c r="C10" i="1"/>
  <c r="D10" i="1"/>
  <c r="E10" i="1"/>
  <c r="G10" i="1"/>
  <c r="H10" i="1"/>
  <c r="I10" i="1"/>
  <c r="K10" i="1"/>
  <c r="L10" i="1"/>
  <c r="M10" i="1"/>
  <c r="N10" i="1"/>
  <c r="O10" i="1"/>
  <c r="P10" i="1"/>
  <c r="B11" i="1"/>
  <c r="C11" i="1"/>
  <c r="D11" i="1"/>
  <c r="E11" i="1"/>
  <c r="G11" i="1"/>
  <c r="H11" i="1"/>
  <c r="I11" i="1"/>
  <c r="K11" i="1"/>
  <c r="L11" i="1"/>
  <c r="M11" i="1"/>
  <c r="N11" i="1"/>
  <c r="O11" i="1"/>
  <c r="P11" i="1"/>
  <c r="B12" i="1"/>
  <c r="C12" i="1"/>
  <c r="D12" i="1"/>
  <c r="E12" i="1"/>
  <c r="G12" i="1"/>
  <c r="H12" i="1"/>
  <c r="I12" i="1"/>
  <c r="K12" i="1"/>
  <c r="L12" i="1"/>
  <c r="M12" i="1"/>
  <c r="N12" i="1"/>
  <c r="O12" i="1"/>
  <c r="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B15" i="1"/>
  <c r="C15" i="1"/>
  <c r="D15" i="1"/>
  <c r="E15" i="1"/>
  <c r="G15" i="1"/>
  <c r="H15" i="1"/>
  <c r="I15" i="1"/>
  <c r="K15" i="1"/>
  <c r="L15" i="1"/>
  <c r="M15" i="1"/>
  <c r="N15" i="1"/>
  <c r="O15" i="1"/>
  <c r="P15" i="1"/>
  <c r="B16" i="1"/>
  <c r="C16" i="1"/>
  <c r="D16" i="1"/>
  <c r="E16" i="1"/>
  <c r="G16" i="1"/>
  <c r="H16" i="1"/>
  <c r="I16" i="1"/>
  <c r="K16" i="1"/>
  <c r="L16" i="1"/>
  <c r="M16" i="1"/>
  <c r="N16" i="1"/>
  <c r="O16" i="1"/>
  <c r="P16" i="1"/>
  <c r="B17" i="1"/>
  <c r="C17" i="1"/>
  <c r="D17" i="1"/>
  <c r="E17" i="1"/>
  <c r="G17" i="1"/>
  <c r="H17" i="1"/>
  <c r="I17" i="1"/>
  <c r="K17" i="1"/>
  <c r="L17" i="1"/>
  <c r="M17" i="1"/>
  <c r="N17" i="1"/>
  <c r="O17" i="1"/>
  <c r="P17" i="1"/>
  <c r="B18" i="1"/>
  <c r="C18" i="1"/>
  <c r="D18" i="1"/>
  <c r="E18" i="1"/>
  <c r="G18" i="1"/>
  <c r="H18" i="1"/>
  <c r="I18" i="1"/>
  <c r="K18" i="1"/>
  <c r="L18" i="1"/>
  <c r="M18" i="1"/>
  <c r="N18" i="1"/>
  <c r="O18" i="1"/>
  <c r="P18" i="1"/>
  <c r="B19" i="1"/>
  <c r="C19" i="1"/>
  <c r="D19" i="1"/>
  <c r="E19" i="1"/>
  <c r="G19" i="1"/>
  <c r="H19" i="1"/>
  <c r="I19" i="1"/>
  <c r="K19" i="1"/>
  <c r="L19" i="1"/>
  <c r="M19" i="1"/>
  <c r="N19" i="1"/>
  <c r="O19" i="1"/>
  <c r="P19" i="1"/>
  <c r="C20" i="1"/>
  <c r="D20" i="1"/>
  <c r="E20" i="1"/>
  <c r="G20" i="1"/>
  <c r="H20" i="1"/>
  <c r="I20" i="1"/>
  <c r="K20" i="1"/>
  <c r="L20" i="1"/>
  <c r="M20" i="1"/>
  <c r="N20" i="1"/>
  <c r="O20" i="1"/>
</calcChain>
</file>

<file path=xl/sharedStrings.xml><?xml version="1.0" encoding="utf-8"?>
<sst xmlns="http://schemas.openxmlformats.org/spreadsheetml/2006/main" count="10" uniqueCount="7">
  <si>
    <t>Laplace solution around two charged slits</t>
  </si>
  <si>
    <t>V1=</t>
  </si>
  <si>
    <t>V2=</t>
  </si>
  <si>
    <t>y\x</t>
  </si>
  <si>
    <t>X component of the electric field.</t>
  </si>
  <si>
    <t>h=</t>
  </si>
  <si>
    <t>Y component of the electric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</si>
</sst>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2" borderId="15" xfId="0" applyFill="1" applyBorder="1"/>
    <xf numFmtId="0" fontId="0" fillId="2" borderId="1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100"/>
      <c:rotY val="20"/>
      <c:depthPercent val="2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6126973752434005E-2"/>
          <c:y val="5.154812299972384E-2"/>
          <c:w val="0.72320625064812305"/>
          <c:h val="0.81961515569560905"/>
        </c:manualLayout>
      </c:layout>
      <c:surface3DChart>
        <c:wireframe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Potential!$C$8:$C$19</c:f>
              <c:numCache>
                <c:formatCode>General</c:formatCode>
                <c:ptCount val="12"/>
                <c:pt idx="0">
                  <c:v>13.688433634458381</c:v>
                </c:pt>
                <c:pt idx="1">
                  <c:v>15.426671180374793</c:v>
                </c:pt>
                <c:pt idx="2">
                  <c:v>20.930850871285688</c:v>
                </c:pt>
                <c:pt idx="3">
                  <c:v>30.849578542254761</c:v>
                </c:pt>
                <c:pt idx="4">
                  <c:v>45.085362144047238</c:v>
                </c:pt>
                <c:pt idx="5">
                  <c:v>59.343387893542626</c:v>
                </c:pt>
                <c:pt idx="6">
                  <c:v>59.342717489170525</c:v>
                </c:pt>
                <c:pt idx="7">
                  <c:v>45.083420173333664</c:v>
                </c:pt>
                <c:pt idx="8">
                  <c:v>30.846552842332972</c:v>
                </c:pt>
                <c:pt idx="9">
                  <c:v>20.927018255898879</c:v>
                </c:pt>
                <c:pt idx="10">
                  <c:v>15.422350531289508</c:v>
                </c:pt>
                <c:pt idx="11">
                  <c:v>13.683944948711797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A-446C-A720-7509DE5208A1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Potential!$D$8:$D$19</c:f>
              <c:numCache>
                <c:formatCode>General</c:formatCode>
                <c:ptCount val="12"/>
                <c:pt idx="0">
                  <c:v>11.950127015002348</c:v>
                </c:pt>
                <c:pt idx="1">
                  <c:v>13.543667188460304</c:v>
                </c:pt>
                <c:pt idx="2">
                  <c:v>18.723586664200045</c:v>
                </c:pt>
                <c:pt idx="3">
                  <c:v>28.69113908731515</c:v>
                </c:pt>
                <c:pt idx="4">
                  <c:v>45.074451317447611</c:v>
                </c:pt>
                <c:pt idx="5">
                  <c:v>66.473105930373947</c:v>
                </c:pt>
                <c:pt idx="6">
                  <c:v>66.472575137277303</c:v>
                </c:pt>
                <c:pt idx="7">
                  <c:v>45.072915811707944</c:v>
                </c:pt>
                <c:pt idx="8">
                  <c:v>28.688742522601522</c:v>
                </c:pt>
                <c:pt idx="9">
                  <c:v>18.720546066792796</c:v>
                </c:pt>
                <c:pt idx="10">
                  <c:v>13.54023519735409</c:v>
                </c:pt>
                <c:pt idx="11">
                  <c:v>11.94655983086972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A-446C-A720-7509DE5208A1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Potential!$E$8:$E$19</c:f>
              <c:numCache>
                <c:formatCode>General</c:formatCode>
                <c:ptCount val="12"/>
                <c:pt idx="0">
                  <c:v>7.0246706272479598</c:v>
                </c:pt>
                <c:pt idx="1">
                  <c:v>8.074265281382381</c:v>
                </c:pt>
                <c:pt idx="2">
                  <c:v>11.7287229863297</c:v>
                </c:pt>
                <c:pt idx="3">
                  <c:v>20.117063488271612</c:v>
                </c:pt>
                <c:pt idx="4">
                  <c:v>40.048455952308259</c:v>
                </c:pt>
                <c:pt idx="5">
                  <c:v>95.0024386976568</c:v>
                </c:pt>
                <c:pt idx="6">
                  <c:v>95.002152624259296</c:v>
                </c:pt>
                <c:pt idx="7">
                  <c:v>40.047649497391781</c:v>
                </c:pt>
                <c:pt idx="8">
                  <c:v>20.11580000474564</c:v>
                </c:pt>
                <c:pt idx="9">
                  <c:v>11.727115959739905</c:v>
                </c:pt>
                <c:pt idx="10">
                  <c:v>8.0724487112063663</c:v>
                </c:pt>
                <c:pt idx="11">
                  <c:v>7.0227815773743183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A-446C-A720-7509DE5208A1}"/>
            </c:ext>
          </c:extLst>
        </c:ser>
        <c:ser>
          <c:idx val="3"/>
          <c:order val="3"/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Potential!$F$8:$F$19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178.4862860719258</c:v>
                </c:pt>
                <c:pt idx="6">
                  <c:v>178.4862414886957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A-446C-A720-7509DE5208A1}"/>
            </c:ext>
          </c:extLst>
        </c:ser>
        <c:ser>
          <c:idx val="4"/>
          <c:order val="4"/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Potential!$G$8:$G$19</c:f>
              <c:numCache>
                <c:formatCode>General</c:formatCode>
                <c:ptCount val="12"/>
                <c:pt idx="0">
                  <c:v>375.19318938289371</c:v>
                </c:pt>
                <c:pt idx="1">
                  <c:v>375.37699342132095</c:v>
                </c:pt>
                <c:pt idx="2">
                  <c:v>376.29059464058776</c:v>
                </c:pt>
                <c:pt idx="3">
                  <c:v>379.7420193270296</c:v>
                </c:pt>
                <c:pt idx="4">
                  <c:v>392.59161174338197</c:v>
                </c:pt>
                <c:pt idx="5">
                  <c:v>440.45656044278496</c:v>
                </c:pt>
                <c:pt idx="6">
                  <c:v>440.45655732702841</c:v>
                </c:pt>
                <c:pt idx="7">
                  <c:v>392.59161959091324</c:v>
                </c:pt>
                <c:pt idx="8">
                  <c:v>379.74202462594423</c:v>
                </c:pt>
                <c:pt idx="9">
                  <c:v>376.29059668170032</c:v>
                </c:pt>
                <c:pt idx="10">
                  <c:v>375.37699338943679</c:v>
                </c:pt>
                <c:pt idx="11">
                  <c:v>375.19318842375515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A-446C-A720-7509DE5208A1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Potential!$H$8:$H$19</c:f>
              <c:numCache>
                <c:formatCode>General</c:formatCode>
                <c:ptCount val="12"/>
                <c:pt idx="0">
                  <c:v>750.01876874084962</c:v>
                </c:pt>
                <c:pt idx="1">
                  <c:v>750.02418918692717</c:v>
                </c:pt>
                <c:pt idx="2">
                  <c:v>750.043368292678</c:v>
                </c:pt>
                <c:pt idx="3">
                  <c:v>750.08588178616128</c:v>
                </c:pt>
                <c:pt idx="4">
                  <c:v>750.1679009563785</c:v>
                </c:pt>
                <c:pt idx="5">
                  <c:v>750.29182996643112</c:v>
                </c:pt>
                <c:pt idx="6">
                  <c:v>750.29183233604601</c:v>
                </c:pt>
                <c:pt idx="7">
                  <c:v>750.16790810641248</c:v>
                </c:pt>
                <c:pt idx="8">
                  <c:v>750.08588737187745</c:v>
                </c:pt>
                <c:pt idx="9">
                  <c:v>750.04337084097085</c:v>
                </c:pt>
                <c:pt idx="10">
                  <c:v>750.02418940178052</c:v>
                </c:pt>
                <c:pt idx="11">
                  <c:v>750.01876782280783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DA-446C-A720-7509DE5208A1}"/>
            </c:ext>
          </c:extLst>
        </c:ser>
        <c:ser>
          <c:idx val="6"/>
          <c:order val="6"/>
          <c:spPr>
            <a:solidFill>
              <a:srgbClr val="0080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Potential!$I$8:$I$19</c:f>
              <c:numCache>
                <c:formatCode>General</c:formatCode>
                <c:ptCount val="12"/>
                <c:pt idx="0">
                  <c:v>1124.8335054050069</c:v>
                </c:pt>
                <c:pt idx="1">
                  <c:v>1124.6576260811357</c:v>
                </c:pt>
                <c:pt idx="2">
                  <c:v>1123.7728098595603</c:v>
                </c:pt>
                <c:pt idx="3">
                  <c:v>1120.3902463111144</c:v>
                </c:pt>
                <c:pt idx="4">
                  <c:v>1107.7022969157833</c:v>
                </c:pt>
                <c:pt idx="5">
                  <c:v>1060.2510466035837</c:v>
                </c:pt>
                <c:pt idx="6">
                  <c:v>1060.2510485707573</c:v>
                </c:pt>
                <c:pt idx="7">
                  <c:v>1107.7023010560179</c:v>
                </c:pt>
                <c:pt idx="8">
                  <c:v>1120.3902497542751</c:v>
                </c:pt>
                <c:pt idx="9">
                  <c:v>1123.7728116397457</c:v>
                </c:pt>
                <c:pt idx="10">
                  <c:v>1124.6576264465305</c:v>
                </c:pt>
                <c:pt idx="11">
                  <c:v>1124.8335050582687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A-446C-A720-7509DE5208A1}"/>
            </c:ext>
          </c:extLst>
        </c:ser>
        <c:ser>
          <c:idx val="7"/>
          <c:order val="7"/>
          <c:spPr>
            <a:solidFill>
              <a:srgbClr val="C0C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Potential!$J$8:$J$19</c:f>
              <c:numCache>
                <c:formatCode>General</c:formatCode>
                <c:ptCount val="1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1322.7590200378031</c:v>
                </c:pt>
                <c:pt idx="6">
                  <c:v>1322.7590210247265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DA-446C-A720-7509DE5208A1}"/>
            </c:ext>
          </c:extLst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Potential!$K$8:$K$19</c:f>
              <c:numCache>
                <c:formatCode>General</c:formatCode>
                <c:ptCount val="12"/>
                <c:pt idx="0">
                  <c:v>1491.050195158776</c:v>
                </c:pt>
                <c:pt idx="1">
                  <c:v>1490.2366831662434</c:v>
                </c:pt>
                <c:pt idx="2">
                  <c:v>1487.2963604265776</c:v>
                </c:pt>
                <c:pt idx="3">
                  <c:v>1480.0755848857827</c:v>
                </c:pt>
                <c:pt idx="4">
                  <c:v>1461.5992214109051</c:v>
                </c:pt>
                <c:pt idx="5">
                  <c:v>1408.0260164147808</c:v>
                </c:pt>
                <c:pt idx="6">
                  <c:v>1408.0260168898192</c:v>
                </c:pt>
                <c:pt idx="7">
                  <c:v>1461.5992219105201</c:v>
                </c:pt>
                <c:pt idx="8">
                  <c:v>1480.0755852519542</c:v>
                </c:pt>
                <c:pt idx="9">
                  <c:v>1487.2963608147277</c:v>
                </c:pt>
                <c:pt idx="10">
                  <c:v>1490.236683704338</c:v>
                </c:pt>
                <c:pt idx="11">
                  <c:v>1491.0501959100482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DA-446C-A720-7509DE5208A1}"/>
            </c:ext>
          </c:extLst>
        </c:ser>
        <c:ser>
          <c:idx val="9"/>
          <c:order val="9"/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Potential!$L$8:$L$19</c:f>
              <c:numCache>
                <c:formatCode>General</c:formatCode>
                <c:ptCount val="12"/>
                <c:pt idx="0">
                  <c:v>1483.7274160798072</c:v>
                </c:pt>
                <c:pt idx="1">
                  <c:v>1482.6001783471706</c:v>
                </c:pt>
                <c:pt idx="2">
                  <c:v>1478.873174881976</c:v>
                </c:pt>
                <c:pt idx="3">
                  <c:v>1471.4067590781121</c:v>
                </c:pt>
                <c:pt idx="4">
                  <c:v>1458.2952865110688</c:v>
                </c:pt>
                <c:pt idx="5">
                  <c:v>1439.7198098015215</c:v>
                </c:pt>
                <c:pt idx="6">
                  <c:v>1439.719810047864</c:v>
                </c:pt>
                <c:pt idx="7">
                  <c:v>1458.2952869660671</c:v>
                </c:pt>
                <c:pt idx="8">
                  <c:v>1471.4067596059847</c:v>
                </c:pt>
                <c:pt idx="9">
                  <c:v>1478.8731755890269</c:v>
                </c:pt>
                <c:pt idx="10">
                  <c:v>1482.6001793742294</c:v>
                </c:pt>
                <c:pt idx="11">
                  <c:v>1483.7274175146651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DA-446C-A720-7509DE5208A1}"/>
            </c:ext>
          </c:extLst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Potential!$M$8:$M$19</c:f>
              <c:numCache>
                <c:formatCode>General</c:formatCode>
                <c:ptCount val="12"/>
                <c:pt idx="0">
                  <c:v>1478.6591153807096</c:v>
                </c:pt>
                <c:pt idx="1">
                  <c:v>1477.5634412323461</c:v>
                </c:pt>
                <c:pt idx="2">
                  <c:v>1474.189403566395</c:v>
                </c:pt>
                <c:pt idx="3">
                  <c:v>1468.3829919522168</c:v>
                </c:pt>
                <c:pt idx="4">
                  <c:v>1460.4553578999562</c:v>
                </c:pt>
                <c:pt idx="5">
                  <c:v>1452.8381284929053</c:v>
                </c:pt>
                <c:pt idx="6">
                  <c:v>1452.8381286472536</c:v>
                </c:pt>
                <c:pt idx="7">
                  <c:v>1460.4553582921872</c:v>
                </c:pt>
                <c:pt idx="8">
                  <c:v>1468.3829925673938</c:v>
                </c:pt>
                <c:pt idx="9">
                  <c:v>1474.1894045141894</c:v>
                </c:pt>
                <c:pt idx="10">
                  <c:v>1477.5634426515298</c:v>
                </c:pt>
                <c:pt idx="11">
                  <c:v>1478.6591173661998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DA-446C-A720-7509DE5208A1}"/>
            </c:ext>
          </c:extLst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Potential!$N$8:$N$19</c:f>
              <c:numCache>
                <c:formatCode>General</c:formatCode>
                <c:ptCount val="12"/>
                <c:pt idx="0">
                  <c:v>1475.7821667515168</c:v>
                </c:pt>
                <c:pt idx="1">
                  <c:v>1474.8050701220693</c:v>
                </c:pt>
                <c:pt idx="2">
                  <c:v>1471.9380085683015</c:v>
                </c:pt>
                <c:pt idx="3">
                  <c:v>1467.4804495714977</c:v>
                </c:pt>
                <c:pt idx="4">
                  <c:v>1462.3050269771456</c:v>
                </c:pt>
                <c:pt idx="5">
                  <c:v>1458.3392199894238</c:v>
                </c:pt>
                <c:pt idx="6">
                  <c:v>1458.3392201101187</c:v>
                </c:pt>
                <c:pt idx="7">
                  <c:v>1462.3050273414924</c:v>
                </c:pt>
                <c:pt idx="8">
                  <c:v>1467.4804502380048</c:v>
                </c:pt>
                <c:pt idx="9">
                  <c:v>1471.938009665927</c:v>
                </c:pt>
                <c:pt idx="10">
                  <c:v>1474.8050717915767</c:v>
                </c:pt>
                <c:pt idx="11">
                  <c:v>1475.7821690900746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1DA-446C-A720-7509DE5208A1}"/>
            </c:ext>
          </c:extLst>
        </c:ser>
        <c:ser>
          <c:idx val="12"/>
          <c:order val="12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Potential!$O$8:$O$19</c:f>
              <c:numCache>
                <c:formatCode>General</c:formatCode>
                <c:ptCount val="12"/>
                <c:pt idx="0">
                  <c:v>1474.8594156396935</c:v>
                </c:pt>
                <c:pt idx="1">
                  <c:v>1473.9366666904148</c:v>
                </c:pt>
                <c:pt idx="2">
                  <c:v>1471.2771136287499</c:v>
                </c:pt>
                <c:pt idx="3">
                  <c:v>1467.2957732968753</c:v>
                </c:pt>
                <c:pt idx="4">
                  <c:v>1462.9450829120417</c:v>
                </c:pt>
                <c:pt idx="5">
                  <c:v>1459.874506845887</c:v>
                </c:pt>
                <c:pt idx="6">
                  <c:v>1459.8745069569436</c:v>
                </c:pt>
                <c:pt idx="7">
                  <c:v>1462.9450832663492</c:v>
                </c:pt>
                <c:pt idx="8">
                  <c:v>1467.2957739771393</c:v>
                </c:pt>
                <c:pt idx="9">
                  <c:v>1471.2771147734122</c:v>
                </c:pt>
                <c:pt idx="10">
                  <c:v>1473.9366684418776</c:v>
                </c:pt>
                <c:pt idx="11">
                  <c:v>1474.8594180952005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DA-446C-A720-7509DE5208A1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62454703"/>
        <c:axId val="1"/>
        <c:axId val="2"/>
      </c:surface3DChart>
      <c:catAx>
        <c:axId val="862454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454703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3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392580819050102"/>
          <c:y val="0.23969877194871586"/>
          <c:w val="0.12111109460614501"/>
          <c:h val="0.518058636147224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6"/>
      <c:hPercent val="100"/>
      <c:rotY val="54"/>
      <c:depthPercent val="2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8.5684798377335322E-2"/>
          <c:y val="5.012703090351036E-2"/>
          <c:w val="0.68998811324906861"/>
          <c:h val="0.79200708827546373"/>
        </c:manualLayout>
      </c:layout>
      <c:surface3DChart>
        <c:wireframe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Ex!$C$8:$C$19</c:f>
              <c:numCache>
                <c:formatCode>General</c:formatCode>
                <c:ptCount val="12"/>
                <c:pt idx="0">
                  <c:v>2.0479114962057565E-5</c:v>
                </c:pt>
                <c:pt idx="1">
                  <c:v>1.7527872710587644E-5</c:v>
                </c:pt>
                <c:pt idx="2">
                  <c:v>8.8359797718595701E-6</c:v>
                </c:pt>
                <c:pt idx="3">
                  <c:v>-1.0845412189652848E-5</c:v>
                </c:pt>
                <c:pt idx="4">
                  <c:v>-4.6084128680234926E-5</c:v>
                </c:pt>
                <c:pt idx="5">
                  <c:v>-9.8499550226449628E-5</c:v>
                </c:pt>
                <c:pt idx="6">
                  <c:v>-1.6106843562369022E-4</c:v>
                </c:pt>
                <c:pt idx="7">
                  <c:v>-2.2495013108070339E-4</c:v>
                </c:pt>
                <c:pt idx="8">
                  <c:v>-2.8556207342056439E-4</c:v>
                </c:pt>
                <c:pt idx="9">
                  <c:v>-3.3366824664682326E-4</c:v>
                </c:pt>
                <c:pt idx="10">
                  <c:v>-3.6287731082396135E-4</c:v>
                </c:pt>
                <c:pt idx="11">
                  <c:v>-3.7166163793234119E-4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C-41E2-9746-5C60BEF6BB78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Ex!$D$8:$D$19</c:f>
              <c:numCache>
                <c:formatCode>General</c:formatCode>
                <c:ptCount val="12"/>
                <c:pt idx="0">
                  <c:v>3.331894517920631</c:v>
                </c:pt>
                <c:pt idx="1">
                  <c:v>3.6762143761673913</c:v>
                </c:pt>
                <c:pt idx="2">
                  <c:v>4.6010706112780131</c:v>
                </c:pt>
                <c:pt idx="3">
                  <c:v>5.3662533410464679</c:v>
                </c:pt>
                <c:pt idx="4">
                  <c:v>2.518430421912953</c:v>
                </c:pt>
                <c:pt idx="5">
                  <c:v>-17.829570627859248</c:v>
                </c:pt>
                <c:pt idx="6">
                  <c:v>-17.82979953853247</c:v>
                </c:pt>
                <c:pt idx="7">
                  <c:v>2.5177533955554416</c:v>
                </c:pt>
                <c:pt idx="8">
                  <c:v>5.365203884932674</c:v>
                </c:pt>
                <c:pt idx="9">
                  <c:v>4.5997479203288325</c:v>
                </c:pt>
                <c:pt idx="10">
                  <c:v>3.67472932415538</c:v>
                </c:pt>
                <c:pt idx="11">
                  <c:v>3.3303546010823148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C-41E2-9746-5C60BEF6BB78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Ex!$E$8:$E$19</c:f>
              <c:numCache>
                <c:formatCode>General</c:formatCode>
                <c:ptCount val="12"/>
                <c:pt idx="0">
                  <c:v>5.9750803847936167</c:v>
                </c:pt>
                <c:pt idx="1">
                  <c:v>6.7718466386658767</c:v>
                </c:pt>
                <c:pt idx="2">
                  <c:v>9.3617964057346637</c:v>
                </c:pt>
                <c:pt idx="3">
                  <c:v>14.345552643616461</c:v>
                </c:pt>
                <c:pt idx="4">
                  <c:v>22.537175571534714</c:v>
                </c:pt>
                <c:pt idx="5">
                  <c:v>-56.006658279871615</c:v>
                </c:pt>
                <c:pt idx="6">
                  <c:v>-56.006948448533109</c:v>
                </c:pt>
                <c:pt idx="7">
                  <c:v>22.53625647017472</c:v>
                </c:pt>
                <c:pt idx="8">
                  <c:v>14.344121839087824</c:v>
                </c:pt>
                <c:pt idx="9">
                  <c:v>9.3599859413826483</c:v>
                </c:pt>
                <c:pt idx="10">
                  <c:v>6.7698077448407616</c:v>
                </c:pt>
                <c:pt idx="11">
                  <c:v>5.9729632119564346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C-41E2-9746-5C60BEF6BB78}"/>
            </c:ext>
          </c:extLst>
        </c:ser>
        <c:ser>
          <c:idx val="3"/>
          <c:order val="3"/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Ex!$F$8:$F$19</c:f>
              <c:numCache>
                <c:formatCode>General</c:formatCode>
                <c:ptCount val="12"/>
                <c:pt idx="5">
                  <c:v>-172.72711209123736</c:v>
                </c:pt>
                <c:pt idx="6">
                  <c:v>-172.7272815346912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C-41E2-9746-5C60BEF6BB78}"/>
            </c:ext>
          </c:extLst>
        </c:ser>
        <c:ser>
          <c:idx val="4"/>
          <c:order val="4"/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Ex!$G$8:$G$19</c:f>
              <c:numCache>
                <c:formatCode>General</c:formatCode>
                <c:ptCount val="12"/>
                <c:pt idx="0">
                  <c:v>-375.00938481831184</c:v>
                </c:pt>
                <c:pt idx="1">
                  <c:v>-375.01209490867416</c:v>
                </c:pt>
                <c:pt idx="2">
                  <c:v>-375.02168407297461</c:v>
                </c:pt>
                <c:pt idx="3">
                  <c:v>-375.04293980529383</c:v>
                </c:pt>
                <c:pt idx="4">
                  <c:v>-375.08394723025492</c:v>
                </c:pt>
                <c:pt idx="5">
                  <c:v>-285.90279398925242</c:v>
                </c:pt>
                <c:pt idx="6">
                  <c:v>-285.90282283343146</c:v>
                </c:pt>
                <c:pt idx="7">
                  <c:v>-375.08395007081498</c:v>
                </c:pt>
                <c:pt idx="8">
                  <c:v>-375.04294179965927</c:v>
                </c:pt>
                <c:pt idx="9">
                  <c:v>-375.02168460412537</c:v>
                </c:pt>
                <c:pt idx="10">
                  <c:v>-375.01209436055029</c:v>
                </c:pt>
                <c:pt idx="11">
                  <c:v>-375.00938370648873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5C-41E2-9746-5C60BEF6BB78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Ex!$H$8:$H$19</c:f>
              <c:numCache>
                <c:formatCode>General</c:formatCode>
                <c:ptCount val="12"/>
                <c:pt idx="0">
                  <c:v>-374.8201579187612</c:v>
                </c:pt>
                <c:pt idx="1">
                  <c:v>-374.64031624605684</c:v>
                </c:pt>
                <c:pt idx="2">
                  <c:v>-373.74110762378382</c:v>
                </c:pt>
                <c:pt idx="3">
                  <c:v>-370.32411403467347</c:v>
                </c:pt>
                <c:pt idx="4">
                  <c:v>-357.55534527089662</c:v>
                </c:pt>
                <c:pt idx="5">
                  <c:v>-309.89725360482589</c:v>
                </c:pt>
                <c:pt idx="6">
                  <c:v>-309.89725732524852</c:v>
                </c:pt>
                <c:pt idx="7">
                  <c:v>-357.55534379683013</c:v>
                </c:pt>
                <c:pt idx="8">
                  <c:v>-370.32411332595382</c:v>
                </c:pt>
                <c:pt idx="9">
                  <c:v>-373.74110763783005</c:v>
                </c:pt>
                <c:pt idx="10">
                  <c:v>-374.64031653556538</c:v>
                </c:pt>
                <c:pt idx="11">
                  <c:v>-374.82015829482452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5C-41E2-9746-5C60BEF6BB78}"/>
            </c:ext>
          </c:extLst>
        </c:ser>
        <c:ser>
          <c:idx val="6"/>
          <c:order val="6"/>
          <c:spPr>
            <a:solidFill>
              <a:srgbClr val="0080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Ex!$I$8:$I$19</c:f>
              <c:numCache>
                <c:formatCode>General</c:formatCode>
                <c:ptCount val="12"/>
                <c:pt idx="0">
                  <c:v>-374.99061518168816</c:v>
                </c:pt>
                <c:pt idx="1">
                  <c:v>-374.98790509132584</c:v>
                </c:pt>
                <c:pt idx="2">
                  <c:v>-374.97831592702539</c:v>
                </c:pt>
                <c:pt idx="3">
                  <c:v>-374.95706019470617</c:v>
                </c:pt>
                <c:pt idx="4">
                  <c:v>-374.91605276974508</c:v>
                </c:pt>
                <c:pt idx="5">
                  <c:v>-286.23360046289599</c:v>
                </c:pt>
                <c:pt idx="6">
                  <c:v>-286.23360018655291</c:v>
                </c:pt>
                <c:pt idx="7">
                  <c:v>-374.91604992918502</c:v>
                </c:pt>
                <c:pt idx="8">
                  <c:v>-374.95705820034073</c:v>
                </c:pt>
                <c:pt idx="9">
                  <c:v>-374.97831539587463</c:v>
                </c:pt>
                <c:pt idx="10">
                  <c:v>-374.98790563944971</c:v>
                </c:pt>
                <c:pt idx="11">
                  <c:v>-374.99061629351127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5C-41E2-9746-5C60BEF6BB78}"/>
            </c:ext>
          </c:extLst>
        </c:ser>
        <c:ser>
          <c:idx val="7"/>
          <c:order val="7"/>
          <c:spPr>
            <a:solidFill>
              <a:srgbClr val="C0C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Ex!$J$8:$J$19</c:f>
              <c:numCache>
                <c:formatCode>General</c:formatCode>
                <c:ptCount val="12"/>
                <c:pt idx="5">
                  <c:v>-173.88748735398099</c:v>
                </c:pt>
                <c:pt idx="6">
                  <c:v>-173.88748679062564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5C-41E2-9746-5C60BEF6BB78}"/>
            </c:ext>
          </c:extLst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Ex!$K$8:$K$19</c:f>
              <c:numCache>
                <c:formatCode>General</c:formatCode>
                <c:ptCount val="12"/>
                <c:pt idx="0">
                  <c:v>8.1362924024712129</c:v>
                </c:pt>
                <c:pt idx="1">
                  <c:v>8.6999112505792482</c:v>
                </c:pt>
                <c:pt idx="2">
                  <c:v>10.563412959432981</c:v>
                </c:pt>
                <c:pt idx="3">
                  <c:v>14.296620851512444</c:v>
                </c:pt>
                <c:pt idx="4">
                  <c:v>20.852357172882307</c:v>
                </c:pt>
                <c:pt idx="5">
                  <c:v>-58.480395548520846</c:v>
                </c:pt>
                <c:pt idx="6">
                  <c:v>-58.480395234831008</c:v>
                </c:pt>
                <c:pt idx="7">
                  <c:v>20.852356995491846</c:v>
                </c:pt>
                <c:pt idx="8">
                  <c:v>14.296620629435665</c:v>
                </c:pt>
                <c:pt idx="9">
                  <c:v>10.563412624375815</c:v>
                </c:pt>
                <c:pt idx="10">
                  <c:v>8.6999107303111032</c:v>
                </c:pt>
                <c:pt idx="11">
                  <c:v>8.1362916599269965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5C-41E2-9746-5C60BEF6BB78}"/>
            </c:ext>
          </c:extLst>
        </c:ser>
        <c:ser>
          <c:idx val="9"/>
          <c:order val="9"/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Ex!$L$8:$L$19</c:f>
              <c:numCache>
                <c:formatCode>General</c:formatCode>
                <c:ptCount val="12"/>
                <c:pt idx="0">
                  <c:v>6.1955402643701518</c:v>
                </c:pt>
                <c:pt idx="1">
                  <c:v>6.3366213292626981</c:v>
                </c:pt>
                <c:pt idx="2">
                  <c:v>6.5534787750877967</c:v>
                </c:pt>
                <c:pt idx="3">
                  <c:v>5.8462967842393709</c:v>
                </c:pt>
                <c:pt idx="4">
                  <c:v>0.57193199219398139</c:v>
                </c:pt>
                <c:pt idx="5">
                  <c:v>-22.406056131472496</c:v>
                </c:pt>
                <c:pt idx="6">
                  <c:v>-22.406056000376452</c:v>
                </c:pt>
                <c:pt idx="7">
                  <c:v>0.57193202066264348</c:v>
                </c:pt>
                <c:pt idx="8">
                  <c:v>5.8462966442875768</c:v>
                </c:pt>
                <c:pt idx="9">
                  <c:v>6.5534784800748866</c:v>
                </c:pt>
                <c:pt idx="10">
                  <c:v>6.3366208661510655</c:v>
                </c:pt>
                <c:pt idx="11">
                  <c:v>6.1955396141211168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5C-41E2-9746-5C60BEF6BB78}"/>
            </c:ext>
          </c:extLst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Ex!$M$8:$M$19</c:f>
              <c:numCache>
                <c:formatCode>General</c:formatCode>
                <c:ptCount val="12"/>
                <c:pt idx="0">
                  <c:v>3.972624937510318</c:v>
                </c:pt>
                <c:pt idx="1">
                  <c:v>3.8975543772586434</c:v>
                </c:pt>
                <c:pt idx="2">
                  <c:v>3.4675834101652754</c:v>
                </c:pt>
                <c:pt idx="3">
                  <c:v>1.9631549839028821</c:v>
                </c:pt>
                <c:pt idx="4">
                  <c:v>-2.0048700578782928</c:v>
                </c:pt>
                <c:pt idx="5">
                  <c:v>-9.3097050294882138</c:v>
                </c:pt>
                <c:pt idx="6">
                  <c:v>-9.3097049849008044</c:v>
                </c:pt>
                <c:pt idx="7">
                  <c:v>-2.0048700458713711</c:v>
                </c:pt>
                <c:pt idx="8">
                  <c:v>1.9631548828715495</c:v>
                </c:pt>
                <c:pt idx="9">
                  <c:v>3.4675831871587661</c:v>
                </c:pt>
                <c:pt idx="10">
                  <c:v>3.8975540283405508</c:v>
                </c:pt>
                <c:pt idx="11">
                  <c:v>3.9726244524739514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5C-41E2-9746-5C60BEF6BB78}"/>
            </c:ext>
          </c:extLst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Ex!$N$8:$N$19</c:f>
              <c:numCache>
                <c:formatCode>General</c:formatCode>
                <c:ptCount val="12"/>
                <c:pt idx="0">
                  <c:v>1.8998500130301181</c:v>
                </c:pt>
                <c:pt idx="1">
                  <c:v>1.8133874089435267</c:v>
                </c:pt>
                <c:pt idx="2">
                  <c:v>1.4561451008039512</c:v>
                </c:pt>
                <c:pt idx="3">
                  <c:v>0.54360944748714246</c:v>
                </c:pt>
                <c:pt idx="4">
                  <c:v>-1.2448624114466611</c:v>
                </c:pt>
                <c:pt idx="5">
                  <c:v>-3.5181891188030932</c:v>
                </c:pt>
                <c:pt idx="6">
                  <c:v>-3.5181891059694408</c:v>
                </c:pt>
                <c:pt idx="7">
                  <c:v>-1.2448624117613463</c:v>
                </c:pt>
                <c:pt idx="8">
                  <c:v>0.54360939423327181</c:v>
                </c:pt>
                <c:pt idx="9">
                  <c:v>1.4561449835999838</c:v>
                </c:pt>
                <c:pt idx="10">
                  <c:v>1.8133872248773741</c:v>
                </c:pt>
                <c:pt idx="11">
                  <c:v>1.8998497575897773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5C-41E2-9746-5C60BEF6BB78}"/>
            </c:ext>
          </c:extLst>
        </c:ser>
        <c:ser>
          <c:idx val="12"/>
          <c:order val="12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Ex!$O$8:$O$19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A5C-41E2-9746-5C60BEF6BB78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1008996543"/>
        <c:axId val="1"/>
        <c:axId val="2"/>
      </c:surface3DChart>
      <c:catAx>
        <c:axId val="100899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 (cm)</a:t>
                </a:r>
              </a:p>
            </c:rich>
          </c:tx>
          <c:layout>
            <c:manualLayout>
              <c:xMode val="edge"/>
              <c:yMode val="edge"/>
              <c:x val="9.9213977068493525E-2"/>
              <c:y val="0.774462627459235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3"/>
        <c:tickMarkSkip val="1"/>
        <c:noMultiLvlLbl val="1"/>
      </c:catAx>
      <c:valAx>
        <c:axId val="1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Ex</a:t>
                </a:r>
              </a:p>
            </c:rich>
          </c:tx>
          <c:layout>
            <c:manualLayout>
              <c:xMode val="edge"/>
              <c:yMode val="edge"/>
              <c:x val="0.75537914358966662"/>
              <c:y val="0.333344755508343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8996543"/>
        <c:crosses val="max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 (cm)</a:t>
                </a:r>
              </a:p>
            </c:rich>
          </c:tx>
          <c:layout>
            <c:manualLayout>
              <c:xMode val="edge"/>
              <c:yMode val="edge"/>
              <c:x val="0.59302899929576813"/>
              <c:y val="0.78198168209476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7601432025249404"/>
          <c:y val="0.2230652875206211"/>
          <c:w val="0.10936086108686219"/>
          <c:h val="0.566435449209667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20"/>
      <c:hPercent val="100"/>
      <c:rotY val="59"/>
      <c:depthPercent val="2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0912073951553207E-2"/>
          <c:y val="4.9021268854686599E-2"/>
          <c:w val="0.69699256696190792"/>
          <c:h val="0.79659561888865726"/>
        </c:manualLayout>
      </c:layout>
      <c:surface3DChart>
        <c:wireframe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Ey!$C$8:$C$19</c:f>
              <c:numCache>
                <c:formatCode>General</c:formatCode>
                <c:ptCount val="12"/>
                <c:pt idx="0">
                  <c:v>2.2793155418199262E-5</c:v>
                </c:pt>
                <c:pt idx="1">
                  <c:v>-3.6211938128242638</c:v>
                </c:pt>
                <c:pt idx="2">
                  <c:v>-7.7114200912498889</c:v>
                </c:pt>
                <c:pt idx="3">
                  <c:v>-12.07719409544511</c:v>
                </c:pt>
                <c:pt idx="4">
                  <c:v>-14.246810532983007</c:v>
                </c:pt>
                <c:pt idx="5">
                  <c:v>-7.1285561944414333</c:v>
                </c:pt>
                <c:pt idx="6">
                  <c:v>7.1301183493196341</c:v>
                </c:pt>
                <c:pt idx="7">
                  <c:v>14.24821389434257</c:v>
                </c:pt>
                <c:pt idx="8">
                  <c:v>12.078313604754564</c:v>
                </c:pt>
                <c:pt idx="9">
                  <c:v>7.7121804538666439</c:v>
                </c:pt>
                <c:pt idx="10">
                  <c:v>3.6215754748754092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B-4680-BA31-353D140D628D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Ey!$D$8:$D$19</c:f>
              <c:numCache>
                <c:formatCode>General</c:formatCode>
                <c:ptCount val="12"/>
                <c:pt idx="0">
                  <c:v>1.7527872710587644E-5</c:v>
                </c:pt>
                <c:pt idx="1">
                  <c:v>-3.386716020941047</c:v>
                </c:pt>
                <c:pt idx="2">
                  <c:v>-7.5737060049505844</c:v>
                </c:pt>
                <c:pt idx="3">
                  <c:v>-13.175379165800051</c:v>
                </c:pt>
                <c:pt idx="4">
                  <c:v>-18.890903435876762</c:v>
                </c:pt>
                <c:pt idx="5">
                  <c:v>-10.698962181961139</c:v>
                </c:pt>
                <c:pt idx="6">
                  <c:v>10.700199609318503</c:v>
                </c:pt>
                <c:pt idx="7">
                  <c:v>18.892015914408027</c:v>
                </c:pt>
                <c:pt idx="8">
                  <c:v>13.176270528792072</c:v>
                </c:pt>
                <c:pt idx="9">
                  <c:v>7.5743140942470628</c:v>
                </c:pt>
                <c:pt idx="10">
                  <c:v>3.3870227294262136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B-4680-BA31-353D140D628D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Ey!$E$8:$E$19</c:f>
              <c:numCache>
                <c:formatCode>General</c:formatCode>
                <c:ptCount val="12"/>
                <c:pt idx="0">
                  <c:v>8.8049933184564111E-6</c:v>
                </c:pt>
                <c:pt idx="1">
                  <c:v>-2.3520177194668817</c:v>
                </c:pt>
                <c:pt idx="2">
                  <c:v>-6.0213811263708124</c:v>
                </c:pt>
                <c:pt idx="3">
                  <c:v>-14.15983428481017</c:v>
                </c:pt>
                <c:pt idx="4">
                  <c:v>-37.442634501888719</c:v>
                </c:pt>
                <c:pt idx="5">
                  <c:v>-27.476786154886856</c:v>
                </c:pt>
                <c:pt idx="6">
                  <c:v>27.477442372734323</c:v>
                </c:pt>
                <c:pt idx="7">
                  <c:v>37.443217317807715</c:v>
                </c:pt>
                <c:pt idx="8">
                  <c:v>14.160308129527955</c:v>
                </c:pt>
                <c:pt idx="9">
                  <c:v>6.0217058930893499</c:v>
                </c:pt>
                <c:pt idx="10">
                  <c:v>2.3521821556288915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B-4680-BA31-353D140D628D}"/>
            </c:ext>
          </c:extLst>
        </c:ser>
        <c:ser>
          <c:idx val="3"/>
          <c:order val="3"/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Ey!$F$8:$F$19</c:f>
              <c:numCache>
                <c:formatCode>General</c:formatCode>
                <c:ptCount val="12"/>
                <c:pt idx="5">
                  <c:v>-89.243086202028962</c:v>
                </c:pt>
                <c:pt idx="6">
                  <c:v>89.243114359364839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B-4680-BA31-353D140D628D}"/>
            </c:ext>
          </c:extLst>
        </c:ser>
        <c:ser>
          <c:idx val="4"/>
          <c:order val="4"/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Ey!$G$8:$G$19</c:f>
              <c:numCache>
                <c:formatCode>General</c:formatCode>
                <c:ptCount val="12"/>
                <c:pt idx="0">
                  <c:v>4.1867517097671225E-7</c:v>
                </c:pt>
                <c:pt idx="1">
                  <c:v>-0.54870218837800167</c:v>
                </c:pt>
                <c:pt idx="2">
                  <c:v>-2.1825115238026456</c:v>
                </c:pt>
                <c:pt idx="3">
                  <c:v>-8.1505042859506318</c:v>
                </c:pt>
                <c:pt idx="4">
                  <c:v>-30.35725809545383</c:v>
                </c:pt>
                <c:pt idx="5">
                  <c:v>-23.932462100827337</c:v>
                </c:pt>
                <c:pt idx="6">
                  <c:v>23.932461940138182</c:v>
                </c:pt>
                <c:pt idx="7">
                  <c:v>30.35725318180161</c:v>
                </c:pt>
                <c:pt idx="8">
                  <c:v>8.1505069960835499</c:v>
                </c:pt>
                <c:pt idx="9">
                  <c:v>2.1825140011940789</c:v>
                </c:pt>
                <c:pt idx="10">
                  <c:v>0.5487035792994277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B-4680-BA31-353D140D628D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Ey!$H$8:$H$19</c:f>
              <c:numCache>
                <c:formatCode>General</c:formatCode>
                <c:ptCount val="12"/>
                <c:pt idx="0">
                  <c:v>5.2184719834258431E-7</c:v>
                </c:pt>
                <c:pt idx="1">
                  <c:v>-1.229925466276427E-2</c:v>
                </c:pt>
                <c:pt idx="2">
                  <c:v>-3.0844896619669271E-2</c:v>
                </c:pt>
                <c:pt idx="3">
                  <c:v>-6.2263157280312953E-2</c:v>
                </c:pt>
                <c:pt idx="4">
                  <c:v>-0.10296854332341354</c:v>
                </c:pt>
                <c:pt idx="5">
                  <c:v>-6.1961805205498877E-2</c:v>
                </c:pt>
                <c:pt idx="6">
                  <c:v>6.1958277802261819E-2</c:v>
                </c:pt>
                <c:pt idx="7">
                  <c:v>0.10296723580114531</c:v>
                </c:pt>
                <c:pt idx="8">
                  <c:v>6.2265466689609639E-2</c:v>
                </c:pt>
                <c:pt idx="9">
                  <c:v>3.0847439108981689E-2</c:v>
                </c:pt>
                <c:pt idx="10">
                  <c:v>1.2300897636635E-2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B-4680-BA31-353D140D628D}"/>
            </c:ext>
          </c:extLst>
        </c:ser>
        <c:ser>
          <c:idx val="6"/>
          <c:order val="6"/>
          <c:spPr>
            <a:solidFill>
              <a:srgbClr val="0080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Ey!$I$8:$I$19</c:f>
              <c:numCache>
                <c:formatCode>General</c:formatCode>
                <c:ptCount val="12"/>
                <c:pt idx="0">
                  <c:v>3.1685760859545553E-7</c:v>
                </c:pt>
                <c:pt idx="1">
                  <c:v>0.53034810659937648</c:v>
                </c:pt>
                <c:pt idx="2">
                  <c:v>2.1336906875807244</c:v>
                </c:pt>
                <c:pt idx="3">
                  <c:v>8.0352580669365352</c:v>
                </c:pt>
                <c:pt idx="4">
                  <c:v>30.069602334393721</c:v>
                </c:pt>
                <c:pt idx="5">
                  <c:v>23.725625844820797</c:v>
                </c:pt>
                <c:pt idx="6">
                  <c:v>-23.725628251866056</c:v>
                </c:pt>
                <c:pt idx="7">
                  <c:v>-30.069602818903718</c:v>
                </c:pt>
                <c:pt idx="8">
                  <c:v>-8.0352568449163755</c:v>
                </c:pt>
                <c:pt idx="9">
                  <c:v>-2.1336892084174224</c:v>
                </c:pt>
                <c:pt idx="10">
                  <c:v>-0.53034707769506895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B-4680-BA31-353D140D628D}"/>
            </c:ext>
          </c:extLst>
        </c:ser>
        <c:ser>
          <c:idx val="7"/>
          <c:order val="7"/>
          <c:spPr>
            <a:solidFill>
              <a:srgbClr val="C0C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Ey!$J$8:$J$19</c:f>
              <c:numCache>
                <c:formatCode>General</c:formatCode>
                <c:ptCount val="12"/>
                <c:pt idx="5">
                  <c:v>88.620490777986674</c:v>
                </c:pt>
                <c:pt idx="6">
                  <c:v>-88.620491188486767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B-4680-BA31-353D140D628D}"/>
            </c:ext>
          </c:extLst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Ey!$K$8:$K$19</c:f>
              <c:numCache>
                <c:formatCode>General</c:formatCode>
                <c:ptCount val="12"/>
                <c:pt idx="0">
                  <c:v>-2.3360667000815738E-7</c:v>
                </c:pt>
                <c:pt idx="1">
                  <c:v>1.8769173420771494</c:v>
                </c:pt>
                <c:pt idx="2">
                  <c:v>5.0805491305449095</c:v>
                </c:pt>
                <c:pt idx="3">
                  <c:v>12.848569593888669</c:v>
                </c:pt>
                <c:pt idx="4">
                  <c:v>36.02478467766548</c:v>
                </c:pt>
                <c:pt idx="5">
                  <c:v>26.786602664616225</c:v>
                </c:pt>
                <c:pt idx="6">
                  <c:v>-26.786603051239354</c:v>
                </c:pt>
                <c:pt idx="7">
                  <c:v>-36.024784626449105</c:v>
                </c:pt>
                <c:pt idx="8">
                  <c:v>-12.848569575043257</c:v>
                </c:pt>
                <c:pt idx="9">
                  <c:v>-5.0805492562320751</c:v>
                </c:pt>
                <c:pt idx="10">
                  <c:v>-1.8769175535395561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B-4680-BA31-353D140D628D}"/>
            </c:ext>
          </c:extLst>
        </c:ser>
        <c:ser>
          <c:idx val="9"/>
          <c:order val="9"/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Ey!$L$8:$L$19</c:f>
              <c:numCache>
                <c:formatCode>General</c:formatCode>
                <c:ptCount val="12"/>
                <c:pt idx="0">
                  <c:v>-4.4581099700735649E-7</c:v>
                </c:pt>
                <c:pt idx="1">
                  <c:v>2.4271205569617678</c:v>
                </c:pt>
                <c:pt idx="2">
                  <c:v>5.5967096009331954</c:v>
                </c:pt>
                <c:pt idx="3">
                  <c:v>10.288944213449327</c:v>
                </c:pt>
                <c:pt idx="4">
                  <c:v>15.843474788453477</c:v>
                </c:pt>
                <c:pt idx="5">
                  <c:v>9.2877383702733596</c:v>
                </c:pt>
                <c:pt idx="6">
                  <c:v>-9.287738644474075</c:v>
                </c:pt>
                <c:pt idx="7">
                  <c:v>-15.843474913720001</c:v>
                </c:pt>
                <c:pt idx="8">
                  <c:v>-10.288944371116031</c:v>
                </c:pt>
                <c:pt idx="9">
                  <c:v>-5.5967098991245621</c:v>
                </c:pt>
                <c:pt idx="10">
                  <c:v>-2.4271209644488181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8B-4680-BA31-353D140D628D}"/>
            </c:ext>
          </c:extLst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Ey!$M$8:$M$19</c:f>
              <c:numCache>
                <c:formatCode>General</c:formatCode>
                <c:ptCount val="12"/>
                <c:pt idx="0">
                  <c:v>-6.1767866554873763E-7</c:v>
                </c:pt>
                <c:pt idx="1">
                  <c:v>2.2348558527947944</c:v>
                </c:pt>
                <c:pt idx="2">
                  <c:v>4.5902245855215824</c:v>
                </c:pt>
                <c:pt idx="3">
                  <c:v>6.8670228109948539</c:v>
                </c:pt>
                <c:pt idx="4">
                  <c:v>7.7724317619536123</c:v>
                </c:pt>
                <c:pt idx="5">
                  <c:v>3.8086146720457918</c:v>
                </c:pt>
                <c:pt idx="6">
                  <c:v>-3.8086148991042137</c:v>
                </c:pt>
                <c:pt idx="7">
                  <c:v>-7.7724319817850755</c:v>
                </c:pt>
                <c:pt idx="8">
                  <c:v>-6.8670231156310138</c:v>
                </c:pt>
                <c:pt idx="9">
                  <c:v>-4.5902250343685864</c:v>
                </c:pt>
                <c:pt idx="10">
                  <c:v>-2.234856419493326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8B-4680-BA31-353D140D628D}"/>
            </c:ext>
          </c:extLst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Ey!$N$8:$N$19</c:f>
              <c:numCache>
                <c:formatCode>General</c:formatCode>
                <c:ptCount val="12"/>
                <c:pt idx="0">
                  <c:v>-7.2876594003901118E-7</c:v>
                </c:pt>
                <c:pt idx="1">
                  <c:v>1.9220790296167252</c:v>
                </c:pt>
                <c:pt idx="2">
                  <c:v>3.6623102075774341</c:v>
                </c:pt>
                <c:pt idx="3">
                  <c:v>4.8164907454057584</c:v>
                </c:pt>
                <c:pt idx="4">
                  <c:v>4.5706147750623813</c:v>
                </c:pt>
                <c:pt idx="5">
                  <c:v>1.9829034432508479</c:v>
                </c:pt>
                <c:pt idx="6">
                  <c:v>-1.9829036608572324</c:v>
                </c:pt>
                <c:pt idx="7">
                  <c:v>-4.5706150459476476</c:v>
                </c:pt>
                <c:pt idx="8">
                  <c:v>-4.8164911380858939</c:v>
                </c:pt>
                <c:pt idx="9">
                  <c:v>-3.6623107536555608</c:v>
                </c:pt>
                <c:pt idx="10">
                  <c:v>-1.9220796991336329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8B-4680-BA31-353D140D628D}"/>
            </c:ext>
          </c:extLst>
        </c:ser>
        <c:ser>
          <c:idx val="12"/>
          <c:order val="12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Ey!$O$8:$O$19</c:f>
              <c:numCache>
                <c:formatCode>General</c:formatCode>
                <c:ptCount val="12"/>
                <c:pt idx="0">
                  <c:v>-7.6604021614912199E-7</c:v>
                </c:pt>
                <c:pt idx="1">
                  <c:v>1.7911509405686274</c:v>
                </c:pt>
                <c:pt idx="2">
                  <c:v>3.3204466240651982</c:v>
                </c:pt>
                <c:pt idx="3">
                  <c:v>4.1660152987442416</c:v>
                </c:pt>
                <c:pt idx="4">
                  <c:v>3.7106331956633767</c:v>
                </c:pt>
                <c:pt idx="5">
                  <c:v>1.5352879775230122</c:v>
                </c:pt>
                <c:pt idx="6">
                  <c:v>-1.5352881920624668</c:v>
                </c:pt>
                <c:pt idx="7">
                  <c:v>-3.7106334815823629</c:v>
                </c:pt>
                <c:pt idx="8">
                  <c:v>-4.1660157202696837</c:v>
                </c:pt>
                <c:pt idx="9">
                  <c:v>-3.3204472037244841</c:v>
                </c:pt>
                <c:pt idx="10">
                  <c:v>-1.7911516455035326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68B-4680-BA31-353D140D628D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62454303"/>
        <c:axId val="1"/>
        <c:axId val="2"/>
      </c:surface3DChart>
      <c:catAx>
        <c:axId val="862454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 (cm)</a:t>
                </a:r>
              </a:p>
            </c:rich>
          </c:tx>
          <c:layout>
            <c:manualLayout>
              <c:xMode val="edge"/>
              <c:yMode val="edge"/>
              <c:x val="0.10550290063513583"/>
              <c:y val="0.754927540362173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4"/>
        <c:tickMarkSkip val="1"/>
        <c:noMultiLvlLbl val="1"/>
      </c:catAx>
      <c:valAx>
        <c:axId val="1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Ey</a:t>
                </a:r>
              </a:p>
            </c:rich>
          </c:tx>
          <c:layout>
            <c:manualLayout>
              <c:xMode val="edge"/>
              <c:yMode val="edge"/>
              <c:x val="0.7609677301130009"/>
              <c:y val="0.352953135753743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454303"/>
        <c:crosses val="max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 (cm)</a:t>
                </a:r>
              </a:p>
            </c:rich>
          </c:tx>
          <c:layout>
            <c:manualLayout>
              <c:xMode val="edge"/>
              <c:yMode val="edge"/>
              <c:x val="0.5578185278261969"/>
              <c:y val="0.799046682331391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779568513183449"/>
          <c:y val="0.37501270673835252"/>
          <c:w val="9.8768672935020771E-2"/>
          <c:h val="0.247557407716167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107950</xdr:colOff>
      <xdr:row>2</xdr:row>
      <xdr:rowOff>0</xdr:rowOff>
    </xdr:from>
    <xdr:to>
      <xdr:col>25</xdr:col>
      <xdr:colOff>241300</xdr:colOff>
      <xdr:row>17</xdr:row>
      <xdr:rowOff>44450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B852379-356F-492E-BF89-8B09EC553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31750</xdr:colOff>
      <xdr:row>1</xdr:row>
      <xdr:rowOff>57150</xdr:rowOff>
    </xdr:from>
    <xdr:to>
      <xdr:col>25</xdr:col>
      <xdr:colOff>63500</xdr:colOff>
      <xdr:row>17</xdr:row>
      <xdr:rowOff>19050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F5C2933A-7A98-45FE-9242-264327B09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82550</xdr:colOff>
      <xdr:row>1</xdr:row>
      <xdr:rowOff>19050</xdr:rowOff>
    </xdr:from>
    <xdr:to>
      <xdr:col>25</xdr:col>
      <xdr:colOff>139700</xdr:colOff>
      <xdr:row>17</xdr:row>
      <xdr:rowOff>38100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184DF282-FAB6-4035-BFFF-52237FF82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/>
  </sheetViews>
  <sheetFormatPr defaultColWidth="8.90625" defaultRowHeight="12.5" x14ac:dyDescent="0.25"/>
  <cols>
    <col min="1" max="1" width="3.36328125" customWidth="1"/>
    <col min="2" max="16" width="5" customWidth="1"/>
    <col min="17" max="17" width="5.6328125" customWidth="1"/>
  </cols>
  <sheetData>
    <row r="1" spans="1:16" x14ac:dyDescent="0.25">
      <c r="A1" t="s">
        <v>0</v>
      </c>
    </row>
    <row r="3" spans="1:16" ht="13" thickBot="1" x14ac:dyDescent="0.3"/>
    <row r="4" spans="1:16" x14ac:dyDescent="0.25">
      <c r="I4" s="17" t="s">
        <v>1</v>
      </c>
      <c r="J4" s="7">
        <v>0</v>
      </c>
    </row>
    <row r="5" spans="1:16" ht="13" thickBot="1" x14ac:dyDescent="0.3">
      <c r="I5" s="18" t="s">
        <v>2</v>
      </c>
      <c r="J5" s="12">
        <v>1500</v>
      </c>
    </row>
    <row r="6" spans="1:16" ht="13" thickBot="1" x14ac:dyDescent="0.3">
      <c r="A6" s="16" t="s">
        <v>3</v>
      </c>
      <c r="B6" s="14"/>
      <c r="C6" s="14">
        <v>1</v>
      </c>
      <c r="D6" s="14">
        <v>2</v>
      </c>
      <c r="E6" s="14">
        <v>3</v>
      </c>
      <c r="F6" s="14">
        <v>4</v>
      </c>
      <c r="G6" s="14">
        <v>5</v>
      </c>
      <c r="H6" s="14">
        <v>6</v>
      </c>
      <c r="I6" s="14">
        <v>7</v>
      </c>
      <c r="J6" s="14">
        <v>8</v>
      </c>
      <c r="K6" s="14">
        <v>9</v>
      </c>
      <c r="L6" s="14">
        <v>10</v>
      </c>
      <c r="M6" s="14">
        <v>11</v>
      </c>
      <c r="N6" s="14">
        <v>12</v>
      </c>
      <c r="O6" s="15">
        <v>13</v>
      </c>
    </row>
    <row r="7" spans="1:16" ht="13" thickBot="1" x14ac:dyDescent="0.3">
      <c r="A7" s="1"/>
      <c r="B7" s="16"/>
      <c r="C7" s="6">
        <f t="shared" ref="C7:O7" ca="1" si="0">C9</f>
        <v>15.426706499329528</v>
      </c>
      <c r="D7" s="6">
        <f t="shared" ca="1" si="0"/>
        <v>13.543693277331753</v>
      </c>
      <c r="E7" s="6">
        <f t="shared" ca="1" si="0"/>
        <v>8.0742777469947455</v>
      </c>
      <c r="F7" s="6">
        <f t="shared" si="0"/>
        <v>0</v>
      </c>
      <c r="G7" s="6">
        <f t="shared" ca="1" si="0"/>
        <v>375.37699394747557</v>
      </c>
      <c r="H7" s="6">
        <f t="shared" ca="1" si="0"/>
        <v>750.02418981734832</v>
      </c>
      <c r="I7" s="6">
        <f t="shared" ca="1" si="0"/>
        <v>1124.6576264395892</v>
      </c>
      <c r="J7" s="6">
        <f t="shared" si="0"/>
        <v>1500</v>
      </c>
      <c r="K7" s="6">
        <f t="shared" ca="1" si="0"/>
        <v>1490.2366827200231</v>
      </c>
      <c r="L7" s="6">
        <f t="shared" ca="1" si="0"/>
        <v>1482.6001774988415</v>
      </c>
      <c r="M7" s="6">
        <f t="shared" ca="1" si="0"/>
        <v>1477.5634400614977</v>
      </c>
      <c r="N7" s="6">
        <f t="shared" ca="1" si="0"/>
        <v>1474.8050687443242</v>
      </c>
      <c r="O7" s="6">
        <f t="shared" ca="1" si="0"/>
        <v>1473.9366652436106</v>
      </c>
      <c r="P7" s="16"/>
    </row>
    <row r="8" spans="1:16" x14ac:dyDescent="0.25">
      <c r="A8" s="1">
        <v>1</v>
      </c>
      <c r="B8" s="1">
        <f t="shared" ref="B8:B19" ca="1" si="1">D8</f>
        <v>11.950160769587233</v>
      </c>
      <c r="C8" s="5">
        <f t="shared" ref="C8:C9" ca="1" si="2">(C7+D8+C9+B8)/4</f>
        <v>13.688433634458381</v>
      </c>
      <c r="D8" s="6">
        <f t="shared" ref="D8:E9" ca="1" si="3">(D7+E8+D9+C8)/4</f>
        <v>11.950127015002348</v>
      </c>
      <c r="E8" s="6">
        <f t="shared" ca="1" si="3"/>
        <v>7.0246706272479598</v>
      </c>
      <c r="F8" s="19">
        <f>V1_</f>
        <v>0</v>
      </c>
      <c r="G8" s="6">
        <f t="shared" ref="C8:O19" ca="1" si="4">(G7+H8+G9+F8)/4</f>
        <v>375.19318938289371</v>
      </c>
      <c r="H8" s="6">
        <f t="shared" ca="1" si="4"/>
        <v>750.01876874084962</v>
      </c>
      <c r="I8" s="6">
        <f t="shared" ca="1" si="4"/>
        <v>1124.8335054050069</v>
      </c>
      <c r="J8" s="19">
        <f>V2_</f>
        <v>1500</v>
      </c>
      <c r="K8" s="6">
        <f t="shared" ca="1" si="4"/>
        <v>1491.050195158776</v>
      </c>
      <c r="L8" s="6">
        <f t="shared" ca="1" si="4"/>
        <v>1483.7274160798072</v>
      </c>
      <c r="M8" s="6">
        <f t="shared" ca="1" si="4"/>
        <v>1478.6591153807096</v>
      </c>
      <c r="N8" s="6">
        <f t="shared" ca="1" si="4"/>
        <v>1475.7821667515168</v>
      </c>
      <c r="O8" s="7">
        <f t="shared" ca="1" si="4"/>
        <v>1474.8594156396935</v>
      </c>
      <c r="P8" s="1">
        <f t="shared" ref="P8:P19" ca="1" si="5">N8</f>
        <v>1475.7821667515168</v>
      </c>
    </row>
    <row r="9" spans="1:16" x14ac:dyDescent="0.25">
      <c r="A9" s="1">
        <v>2</v>
      </c>
      <c r="B9" s="1">
        <f t="shared" ca="1" si="1"/>
        <v>13.543693277331753</v>
      </c>
      <c r="C9" s="8">
        <f t="shared" ca="1" si="2"/>
        <v>15.426671180374793</v>
      </c>
      <c r="D9" s="3">
        <f t="shared" ca="1" si="3"/>
        <v>13.543667188460304</v>
      </c>
      <c r="E9" s="3">
        <f t="shared" ca="1" si="3"/>
        <v>8.074265281382381</v>
      </c>
      <c r="F9" s="20">
        <f t="shared" ref="F9:F12" si="6">V1_</f>
        <v>0</v>
      </c>
      <c r="G9" s="3">
        <f t="shared" ca="1" si="4"/>
        <v>375.37699342132095</v>
      </c>
      <c r="H9" s="3">
        <f t="shared" ca="1" si="4"/>
        <v>750.02418918692717</v>
      </c>
      <c r="I9" s="3">
        <f t="shared" ca="1" si="4"/>
        <v>1124.6576260811357</v>
      </c>
      <c r="J9" s="20">
        <f t="shared" ref="J9:J12" si="7">V2_</f>
        <v>1500</v>
      </c>
      <c r="K9" s="3">
        <f t="shared" ca="1" si="4"/>
        <v>1490.2366831662434</v>
      </c>
      <c r="L9" s="3">
        <f t="shared" ca="1" si="4"/>
        <v>1482.6001783471706</v>
      </c>
      <c r="M9" s="3">
        <f t="shared" ca="1" si="4"/>
        <v>1477.5634412323461</v>
      </c>
      <c r="N9" s="3">
        <f t="shared" ca="1" si="4"/>
        <v>1474.8050701220693</v>
      </c>
      <c r="O9" s="9">
        <f t="shared" ca="1" si="4"/>
        <v>1473.9366666904148</v>
      </c>
      <c r="P9" s="1">
        <f t="shared" ca="1" si="5"/>
        <v>1474.8050701220693</v>
      </c>
    </row>
    <row r="10" spans="1:16" x14ac:dyDescent="0.25">
      <c r="A10" s="1">
        <v>3</v>
      </c>
      <c r="B10" s="1">
        <f t="shared" ca="1" si="1"/>
        <v>18.723592811469327</v>
      </c>
      <c r="C10" s="8">
        <f t="shared" ca="1" si="4"/>
        <v>20.930850871285688</v>
      </c>
      <c r="D10" s="3">
        <f t="shared" ca="1" si="4"/>
        <v>18.723586664200045</v>
      </c>
      <c r="E10" s="3">
        <f t="shared" ca="1" si="4"/>
        <v>11.7287229863297</v>
      </c>
      <c r="F10" s="20">
        <f t="shared" si="6"/>
        <v>0</v>
      </c>
      <c r="G10" s="3">
        <f t="shared" ca="1" si="4"/>
        <v>376.29059464058776</v>
      </c>
      <c r="H10" s="3">
        <f t="shared" ca="1" si="4"/>
        <v>750.043368292678</v>
      </c>
      <c r="I10" s="3">
        <f t="shared" ca="1" si="4"/>
        <v>1123.7728098595603</v>
      </c>
      <c r="J10" s="20">
        <f t="shared" si="7"/>
        <v>1500</v>
      </c>
      <c r="K10" s="3">
        <f t="shared" ca="1" si="4"/>
        <v>1487.2963604265776</v>
      </c>
      <c r="L10" s="3">
        <f t="shared" ca="1" si="4"/>
        <v>1478.873174881976</v>
      </c>
      <c r="M10" s="3">
        <f t="shared" ca="1" si="4"/>
        <v>1474.189403566395</v>
      </c>
      <c r="N10" s="3">
        <f t="shared" ca="1" si="4"/>
        <v>1471.9380085683015</v>
      </c>
      <c r="O10" s="9">
        <f t="shared" ca="1" si="4"/>
        <v>1471.2771136287499</v>
      </c>
      <c r="P10" s="1">
        <f t="shared" ca="1" si="5"/>
        <v>1471.9380085683015</v>
      </c>
    </row>
    <row r="11" spans="1:16" x14ac:dyDescent="0.25">
      <c r="A11" s="1">
        <v>4</v>
      </c>
      <c r="B11" s="1">
        <f t="shared" ca="1" si="1"/>
        <v>28.691105287232922</v>
      </c>
      <c r="C11" s="8">
        <f t="shared" ca="1" si="4"/>
        <v>30.849578542254761</v>
      </c>
      <c r="D11" s="3">
        <f t="shared" ca="1" si="4"/>
        <v>28.69113908731515</v>
      </c>
      <c r="E11" s="3">
        <f t="shared" ca="1" si="4"/>
        <v>20.117063488271612</v>
      </c>
      <c r="F11" s="20">
        <f t="shared" si="6"/>
        <v>0</v>
      </c>
      <c r="G11" s="3">
        <f t="shared" ca="1" si="4"/>
        <v>379.7420193270296</v>
      </c>
      <c r="H11" s="3">
        <f t="shared" ca="1" si="4"/>
        <v>750.08588178616128</v>
      </c>
      <c r="I11" s="3">
        <f t="shared" ca="1" si="4"/>
        <v>1120.3902463111144</v>
      </c>
      <c r="J11" s="20">
        <f t="shared" si="7"/>
        <v>1500</v>
      </c>
      <c r="K11" s="3">
        <f t="shared" ca="1" si="4"/>
        <v>1480.0755848857827</v>
      </c>
      <c r="L11" s="3">
        <f t="shared" ca="1" si="4"/>
        <v>1471.4067590781121</v>
      </c>
      <c r="M11" s="3">
        <f t="shared" ca="1" si="4"/>
        <v>1468.3829919522168</v>
      </c>
      <c r="N11" s="3">
        <f t="shared" ca="1" si="4"/>
        <v>1467.4804495714977</v>
      </c>
      <c r="O11" s="9">
        <f t="shared" ca="1" si="4"/>
        <v>1467.2957732968753</v>
      </c>
      <c r="P11" s="1">
        <f t="shared" ca="1" si="5"/>
        <v>1467.4804495714977</v>
      </c>
    </row>
    <row r="12" spans="1:16" ht="13" thickBot="1" x14ac:dyDescent="0.3">
      <c r="A12" s="1">
        <v>5</v>
      </c>
      <c r="B12" s="1">
        <f t="shared" ca="1" si="1"/>
        <v>45.074351143069428</v>
      </c>
      <c r="C12" s="8">
        <f t="shared" ca="1" si="4"/>
        <v>45.085362144047238</v>
      </c>
      <c r="D12" s="3">
        <f t="shared" ca="1" si="4"/>
        <v>45.074451317447611</v>
      </c>
      <c r="E12" s="3">
        <f t="shared" ca="1" si="4"/>
        <v>40.048455952308259</v>
      </c>
      <c r="F12" s="21">
        <f t="shared" si="6"/>
        <v>0</v>
      </c>
      <c r="G12" s="3">
        <f t="shared" ca="1" si="4"/>
        <v>392.59161174338197</v>
      </c>
      <c r="H12" s="3">
        <f t="shared" ca="1" si="4"/>
        <v>750.1679009563785</v>
      </c>
      <c r="I12" s="3">
        <f t="shared" ca="1" si="4"/>
        <v>1107.7022969157833</v>
      </c>
      <c r="J12" s="21">
        <f t="shared" si="7"/>
        <v>1500</v>
      </c>
      <c r="K12" s="3">
        <f t="shared" ca="1" si="4"/>
        <v>1461.5992214109051</v>
      </c>
      <c r="L12" s="3">
        <f t="shared" ca="1" si="4"/>
        <v>1458.2952865110688</v>
      </c>
      <c r="M12" s="3">
        <f t="shared" ca="1" si="4"/>
        <v>1460.4553578999562</v>
      </c>
      <c r="N12" s="3">
        <f t="shared" ca="1" si="4"/>
        <v>1462.3050269771456</v>
      </c>
      <c r="O12" s="9">
        <f t="shared" ca="1" si="4"/>
        <v>1462.9450829120417</v>
      </c>
      <c r="P12" s="1">
        <f t="shared" ca="1" si="5"/>
        <v>1462.3050269771456</v>
      </c>
    </row>
    <row r="13" spans="1:16" x14ac:dyDescent="0.25">
      <c r="A13" s="1">
        <v>6</v>
      </c>
      <c r="B13" s="1">
        <f t="shared" ca="1" si="1"/>
        <v>66.472912158986446</v>
      </c>
      <c r="C13" s="8">
        <f t="shared" ca="1" si="4"/>
        <v>59.343387893542626</v>
      </c>
      <c r="D13" s="3">
        <f t="shared" ca="1" si="4"/>
        <v>66.473105930373947</v>
      </c>
      <c r="E13" s="3">
        <f t="shared" ca="1" si="4"/>
        <v>95.0024386976568</v>
      </c>
      <c r="F13" s="3">
        <f t="shared" ca="1" si="4"/>
        <v>178.4862860719258</v>
      </c>
      <c r="G13" s="3">
        <f t="shared" ca="1" si="4"/>
        <v>440.45656044278496</v>
      </c>
      <c r="H13" s="3">
        <f t="shared" ca="1" si="4"/>
        <v>750.29182996643112</v>
      </c>
      <c r="I13" s="3">
        <f t="shared" ca="1" si="4"/>
        <v>1060.2510466035837</v>
      </c>
      <c r="J13" s="3">
        <f t="shared" ca="1" si="4"/>
        <v>1322.7590200378031</v>
      </c>
      <c r="K13" s="3">
        <f t="shared" ca="1" si="4"/>
        <v>1408.0260164147808</v>
      </c>
      <c r="L13" s="3">
        <f t="shared" ca="1" si="4"/>
        <v>1439.7198098015215</v>
      </c>
      <c r="M13" s="3">
        <f t="shared" ca="1" si="4"/>
        <v>1452.8381284929053</v>
      </c>
      <c r="N13" s="3">
        <f t="shared" ca="1" si="4"/>
        <v>1458.3392199894238</v>
      </c>
      <c r="O13" s="9">
        <f t="shared" ca="1" si="4"/>
        <v>1459.874506845887</v>
      </c>
      <c r="P13" s="1">
        <f t="shared" ca="1" si="5"/>
        <v>1458.3392199894238</v>
      </c>
    </row>
    <row r="14" spans="1:16" ht="13" thickBot="1" x14ac:dyDescent="0.3">
      <c r="A14" s="1">
        <v>7</v>
      </c>
      <c r="B14" s="1">
        <f t="shared" ca="1" si="1"/>
        <v>66.472275506991707</v>
      </c>
      <c r="C14" s="8">
        <f t="shared" ca="1" si="4"/>
        <v>59.342717489170525</v>
      </c>
      <c r="D14" s="3">
        <f t="shared" ca="1" si="4"/>
        <v>66.472575137277303</v>
      </c>
      <c r="E14" s="3">
        <f t="shared" ca="1" si="4"/>
        <v>95.002152624259296</v>
      </c>
      <c r="F14" s="3">
        <f t="shared" ca="1" si="4"/>
        <v>178.4862414886957</v>
      </c>
      <c r="G14" s="3">
        <f t="shared" ca="1" si="4"/>
        <v>440.45655732702841</v>
      </c>
      <c r="H14" s="3">
        <f t="shared" ca="1" si="4"/>
        <v>750.29183233604601</v>
      </c>
      <c r="I14" s="3">
        <f t="shared" ca="1" si="4"/>
        <v>1060.2510485707573</v>
      </c>
      <c r="J14" s="3">
        <f t="shared" ca="1" si="4"/>
        <v>1322.7590210247265</v>
      </c>
      <c r="K14" s="3">
        <f t="shared" ca="1" si="4"/>
        <v>1408.0260168898192</v>
      </c>
      <c r="L14" s="3">
        <f t="shared" ca="1" si="4"/>
        <v>1439.719810047864</v>
      </c>
      <c r="M14" s="3">
        <f t="shared" ca="1" si="4"/>
        <v>1452.8381286472536</v>
      </c>
      <c r="N14" s="3">
        <f t="shared" ca="1" si="4"/>
        <v>1458.3392201101187</v>
      </c>
      <c r="O14" s="9">
        <f t="shared" ca="1" si="4"/>
        <v>1459.8745069569436</v>
      </c>
      <c r="P14" s="1">
        <f t="shared" ca="1" si="5"/>
        <v>1458.3392201101187</v>
      </c>
    </row>
    <row r="15" spans="1:16" x14ac:dyDescent="0.25">
      <c r="A15" s="1">
        <v>8</v>
      </c>
      <c r="B15" s="1">
        <f t="shared" ca="1" si="1"/>
        <v>45.072512940349441</v>
      </c>
      <c r="C15" s="8">
        <f t="shared" ca="1" si="4"/>
        <v>45.083420173333664</v>
      </c>
      <c r="D15" s="3">
        <f t="shared" ca="1" si="4"/>
        <v>45.072915811707944</v>
      </c>
      <c r="E15" s="3">
        <f t="shared" ca="1" si="4"/>
        <v>40.047649497391781</v>
      </c>
      <c r="F15" s="19">
        <f t="shared" ref="F15:F19" si="8">V1_</f>
        <v>0</v>
      </c>
      <c r="G15" s="3">
        <f t="shared" ca="1" si="4"/>
        <v>392.59161959091324</v>
      </c>
      <c r="H15" s="3">
        <f t="shared" ca="1" si="4"/>
        <v>750.16790810641248</v>
      </c>
      <c r="I15" s="3">
        <f t="shared" ca="1" si="4"/>
        <v>1107.7023010560179</v>
      </c>
      <c r="J15" s="19">
        <f>V2_</f>
        <v>1500</v>
      </c>
      <c r="K15" s="3">
        <f t="shared" ca="1" si="4"/>
        <v>1461.5992219105201</v>
      </c>
      <c r="L15" s="3">
        <f t="shared" ca="1" si="4"/>
        <v>1458.2952869660671</v>
      </c>
      <c r="M15" s="3">
        <f t="shared" ca="1" si="4"/>
        <v>1460.4553582921872</v>
      </c>
      <c r="N15" s="3">
        <f t="shared" ca="1" si="4"/>
        <v>1462.3050273414924</v>
      </c>
      <c r="O15" s="9">
        <f t="shared" ca="1" si="4"/>
        <v>1462.9450832663492</v>
      </c>
      <c r="P15" s="1">
        <f t="shared" ca="1" si="5"/>
        <v>1462.3050273414924</v>
      </c>
    </row>
    <row r="16" spans="1:16" x14ac:dyDescent="0.25">
      <c r="A16" s="1">
        <v>9</v>
      </c>
      <c r="B16" s="1">
        <f t="shared" ca="1" si="1"/>
        <v>28.688243678175649</v>
      </c>
      <c r="C16" s="8">
        <f t="shared" ca="1" si="4"/>
        <v>30.846552842332972</v>
      </c>
      <c r="D16" s="3">
        <f t="shared" ca="1" si="4"/>
        <v>28.688742522601522</v>
      </c>
      <c r="E16" s="3">
        <f t="shared" ca="1" si="4"/>
        <v>20.11580000474564</v>
      </c>
      <c r="F16" s="20">
        <f t="shared" si="8"/>
        <v>0</v>
      </c>
      <c r="G16" s="3">
        <f t="shared" ca="1" si="4"/>
        <v>379.74202462594423</v>
      </c>
      <c r="H16" s="3">
        <f t="shared" ca="1" si="4"/>
        <v>750.08588737187745</v>
      </c>
      <c r="I16" s="3">
        <f t="shared" ca="1" si="4"/>
        <v>1120.3902497542751</v>
      </c>
      <c r="J16" s="20">
        <f t="shared" ref="J16:J19" si="9">V2_</f>
        <v>1500</v>
      </c>
      <c r="K16" s="3">
        <f t="shared" ca="1" si="4"/>
        <v>1480.0755852519542</v>
      </c>
      <c r="L16" s="3">
        <f t="shared" ca="1" si="4"/>
        <v>1471.4067596059847</v>
      </c>
      <c r="M16" s="3">
        <f t="shared" ca="1" si="4"/>
        <v>1468.3829925673938</v>
      </c>
      <c r="N16" s="3">
        <f t="shared" ca="1" si="4"/>
        <v>1467.4804502380048</v>
      </c>
      <c r="O16" s="9">
        <f t="shared" ca="1" si="4"/>
        <v>1467.2957739771393</v>
      </c>
      <c r="P16" s="1">
        <f t="shared" ca="1" si="5"/>
        <v>1467.4804502380048</v>
      </c>
    </row>
    <row r="17" spans="1:16" x14ac:dyDescent="0.25">
      <c r="A17" s="1">
        <v>10</v>
      </c>
      <c r="B17" s="1">
        <f t="shared" ca="1" si="1"/>
        <v>18.719971882765297</v>
      </c>
      <c r="C17" s="8">
        <f t="shared" ca="1" si="4"/>
        <v>20.927018255898879</v>
      </c>
      <c r="D17" s="3">
        <f t="shared" ca="1" si="4"/>
        <v>18.720546066792796</v>
      </c>
      <c r="E17" s="3">
        <f t="shared" ca="1" si="4"/>
        <v>11.727115959739905</v>
      </c>
      <c r="F17" s="20">
        <f t="shared" si="8"/>
        <v>0</v>
      </c>
      <c r="G17" s="3">
        <f t="shared" ca="1" si="4"/>
        <v>376.29059668170032</v>
      </c>
      <c r="H17" s="3">
        <f t="shared" ca="1" si="4"/>
        <v>750.04337084097085</v>
      </c>
      <c r="I17" s="3">
        <f t="shared" ca="1" si="4"/>
        <v>1123.7728116397457</v>
      </c>
      <c r="J17" s="20">
        <f t="shared" si="9"/>
        <v>1500</v>
      </c>
      <c r="K17" s="3">
        <f t="shared" ca="1" si="4"/>
        <v>1487.2963608147277</v>
      </c>
      <c r="L17" s="3">
        <f t="shared" ca="1" si="4"/>
        <v>1478.8731755890269</v>
      </c>
      <c r="M17" s="3">
        <f t="shared" ca="1" si="4"/>
        <v>1474.1894045141894</v>
      </c>
      <c r="N17" s="3">
        <f t="shared" ca="1" si="4"/>
        <v>1471.938009665927</v>
      </c>
      <c r="O17" s="9">
        <f t="shared" ca="1" si="4"/>
        <v>1471.2771147734122</v>
      </c>
      <c r="P17" s="1">
        <f t="shared" ca="1" si="5"/>
        <v>1471.938009665927</v>
      </c>
    </row>
    <row r="18" spans="1:16" x14ac:dyDescent="0.25">
      <c r="A18" s="1">
        <v>11</v>
      </c>
      <c r="B18" s="1">
        <f t="shared" ca="1" si="1"/>
        <v>13.539615489681523</v>
      </c>
      <c r="C18" s="8">
        <f t="shared" ca="1" si="4"/>
        <v>15.422350531289508</v>
      </c>
      <c r="D18" s="3">
        <f t="shared" ca="1" si="4"/>
        <v>13.54023519735409</v>
      </c>
      <c r="E18" s="3">
        <f t="shared" ca="1" si="4"/>
        <v>8.0724487112063663</v>
      </c>
      <c r="F18" s="20">
        <f t="shared" si="8"/>
        <v>0</v>
      </c>
      <c r="G18" s="3">
        <f t="shared" ca="1" si="4"/>
        <v>375.37699338943679</v>
      </c>
      <c r="H18" s="3">
        <f t="shared" ca="1" si="4"/>
        <v>750.02418940178052</v>
      </c>
      <c r="I18" s="3">
        <f t="shared" ca="1" si="4"/>
        <v>1124.6576264465305</v>
      </c>
      <c r="J18" s="20">
        <f t="shared" si="9"/>
        <v>1500</v>
      </c>
      <c r="K18" s="3">
        <f t="shared" ca="1" si="4"/>
        <v>1490.236683704338</v>
      </c>
      <c r="L18" s="3">
        <f t="shared" ca="1" si="4"/>
        <v>1482.6001793742294</v>
      </c>
      <c r="M18" s="3">
        <f t="shared" ca="1" si="4"/>
        <v>1477.5634426515298</v>
      </c>
      <c r="N18" s="3">
        <f t="shared" ca="1" si="4"/>
        <v>1474.8050717915767</v>
      </c>
      <c r="O18" s="9">
        <f t="shared" ca="1" si="4"/>
        <v>1473.9366684418776</v>
      </c>
      <c r="P18" s="1">
        <f t="shared" ca="1" si="5"/>
        <v>1474.8050717915767</v>
      </c>
    </row>
    <row r="19" spans="1:16" ht="13" thickBot="1" x14ac:dyDescent="0.3">
      <c r="A19" s="2">
        <v>12</v>
      </c>
      <c r="B19" s="1">
        <f t="shared" ca="1" si="1"/>
        <v>11.945926423912869</v>
      </c>
      <c r="C19" s="10">
        <f t="shared" ca="1" si="4"/>
        <v>13.683944948711797</v>
      </c>
      <c r="D19" s="11">
        <f t="shared" ca="1" si="4"/>
        <v>11.94655983086972</v>
      </c>
      <c r="E19" s="11">
        <f t="shared" ca="1" si="4"/>
        <v>7.0227815773743183</v>
      </c>
      <c r="F19" s="21">
        <f t="shared" si="8"/>
        <v>0</v>
      </c>
      <c r="G19" s="11">
        <f t="shared" ca="1" si="4"/>
        <v>375.19318842375515</v>
      </c>
      <c r="H19" s="11">
        <f t="shared" ca="1" si="4"/>
        <v>750.01876782280783</v>
      </c>
      <c r="I19" s="11">
        <f t="shared" ca="1" si="4"/>
        <v>1124.8335050582687</v>
      </c>
      <c r="J19" s="21">
        <f t="shared" si="9"/>
        <v>1500</v>
      </c>
      <c r="K19" s="11">
        <f t="shared" ca="1" si="4"/>
        <v>1491.0501959100482</v>
      </c>
      <c r="L19" s="11">
        <f t="shared" ca="1" si="4"/>
        <v>1483.7274175146651</v>
      </c>
      <c r="M19" s="11">
        <f t="shared" ca="1" si="4"/>
        <v>1478.6591173661998</v>
      </c>
      <c r="N19" s="11">
        <f t="shared" ca="1" si="4"/>
        <v>1475.7821690900746</v>
      </c>
      <c r="O19" s="12">
        <f t="shared" ca="1" si="4"/>
        <v>1474.8594180952005</v>
      </c>
      <c r="P19" s="1">
        <f t="shared" ca="1" si="5"/>
        <v>1475.7821690900746</v>
      </c>
    </row>
    <row r="20" spans="1:16" ht="13" thickBot="1" x14ac:dyDescent="0.3">
      <c r="B20" s="16"/>
      <c r="C20" s="14">
        <f t="shared" ref="C20:O20" ca="1" si="10">C18</f>
        <v>15.422350531289508</v>
      </c>
      <c r="D20" s="14">
        <f t="shared" ca="1" si="10"/>
        <v>13.54023519735409</v>
      </c>
      <c r="E20" s="14">
        <f t="shared" ca="1" si="10"/>
        <v>8.0724487112063663</v>
      </c>
      <c r="F20" s="14">
        <f t="shared" si="10"/>
        <v>0</v>
      </c>
      <c r="G20" s="14">
        <f t="shared" ca="1" si="10"/>
        <v>375.37699338943679</v>
      </c>
      <c r="H20" s="14">
        <f t="shared" ca="1" si="10"/>
        <v>750.02418940178052</v>
      </c>
      <c r="I20" s="14">
        <f t="shared" ca="1" si="10"/>
        <v>1124.6576264465305</v>
      </c>
      <c r="J20" s="14">
        <f t="shared" si="10"/>
        <v>1500</v>
      </c>
      <c r="K20" s="14">
        <f t="shared" ca="1" si="10"/>
        <v>1490.236683704338</v>
      </c>
      <c r="L20" s="14">
        <f t="shared" ca="1" si="10"/>
        <v>1482.6001793742294</v>
      </c>
      <c r="M20" s="14">
        <f t="shared" ca="1" si="10"/>
        <v>1477.5634426515298</v>
      </c>
      <c r="N20" s="14">
        <f t="shared" ca="1" si="10"/>
        <v>1474.8050717915767</v>
      </c>
      <c r="O20" s="14">
        <f t="shared" ca="1" si="10"/>
        <v>1473.9366684418776</v>
      </c>
      <c r="P20" s="16"/>
    </row>
  </sheetData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ColWidth="8.90625" defaultRowHeight="12.5" x14ac:dyDescent="0.25"/>
  <cols>
    <col min="1" max="15" width="5" customWidth="1"/>
  </cols>
  <sheetData>
    <row r="1" spans="1:15" x14ac:dyDescent="0.25">
      <c r="A1" t="s">
        <v>4</v>
      </c>
    </row>
    <row r="5" spans="1:15" ht="13" thickBot="1" x14ac:dyDescent="0.3">
      <c r="E5" s="4" t="s">
        <v>5</v>
      </c>
      <c r="F5">
        <v>1</v>
      </c>
    </row>
    <row r="6" spans="1:15" ht="13" thickBot="1" x14ac:dyDescent="0.3">
      <c r="B6" s="16" t="s">
        <v>3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3">
        <v>10</v>
      </c>
      <c r="M6" s="13">
        <v>11</v>
      </c>
      <c r="N6" s="13">
        <v>12</v>
      </c>
      <c r="O6" s="16">
        <v>13</v>
      </c>
    </row>
    <row r="7" spans="1:15" ht="13" thickBot="1" x14ac:dyDescent="0.3">
      <c r="B7" s="1"/>
    </row>
    <row r="8" spans="1:15" x14ac:dyDescent="0.25">
      <c r="B8" s="1">
        <v>1</v>
      </c>
      <c r="C8" s="5">
        <f ca="1">-(Potential!D8-Potential!B8)/(2*h)</f>
        <v>2.0479114962057565E-5</v>
      </c>
      <c r="D8" s="6">
        <f ca="1">-(Potential!E8-Potential!C8)/(2*h)</f>
        <v>3.331894517920631</v>
      </c>
      <c r="E8" s="6">
        <f ca="1">-(Potential!F8-Potential!D8)/(2*h)</f>
        <v>5.9750803847936167</v>
      </c>
      <c r="F8" s="19"/>
      <c r="G8" s="6">
        <f ca="1">-(Potential!H8-Potential!F8)/(2*h)</f>
        <v>-375.00938481831184</v>
      </c>
      <c r="H8" s="6">
        <f ca="1">-(Potential!I8-Potential!G8)/(2*h)</f>
        <v>-374.8201579187612</v>
      </c>
      <c r="I8" s="6">
        <f ca="1">-(Potential!J8-Potential!H8)/(2*h)</f>
        <v>-374.99061518168816</v>
      </c>
      <c r="J8" s="19"/>
      <c r="K8" s="6">
        <f ca="1">-(Potential!L8-Potential!J8)/(2*h)</f>
        <v>8.1362924024712129</v>
      </c>
      <c r="L8" s="6">
        <f ca="1">-(Potential!M8-Potential!K8)/(2*h)</f>
        <v>6.1955402643701518</v>
      </c>
      <c r="M8" s="6">
        <f ca="1">-(Potential!N8-Potential!L8)/(2*h)</f>
        <v>3.972624937510318</v>
      </c>
      <c r="N8" s="6">
        <f ca="1">-(Potential!O8-Potential!M8)/(2*h)</f>
        <v>1.8998500130301181</v>
      </c>
      <c r="O8" s="7">
        <f ca="1">-(Potential!P8-Potential!N8)/(2*h)</f>
        <v>0</v>
      </c>
    </row>
    <row r="9" spans="1:15" x14ac:dyDescent="0.25">
      <c r="B9" s="1">
        <v>2</v>
      </c>
      <c r="C9" s="8">
        <f ca="1">-(Potential!D9-Potential!B9)/(2*h)</f>
        <v>1.7527872710587644E-5</v>
      </c>
      <c r="D9" s="3">
        <f ca="1">-(Potential!E9-Potential!C9)/(2*h)</f>
        <v>3.6762143761673913</v>
      </c>
      <c r="E9" s="3">
        <f ca="1">-(Potential!F9-Potential!D9)/(2*h)</f>
        <v>6.7718466386658767</v>
      </c>
      <c r="F9" s="20"/>
      <c r="G9" s="3">
        <f ca="1">-(Potential!H9-Potential!F9)/(2*h)</f>
        <v>-375.01209490867416</v>
      </c>
      <c r="H9" s="3">
        <f ca="1">-(Potential!I9-Potential!G9)/(2*h)</f>
        <v>-374.64031624605684</v>
      </c>
      <c r="I9" s="3">
        <f ca="1">-(Potential!J9-Potential!H9)/(2*h)</f>
        <v>-374.98790509132584</v>
      </c>
      <c r="J9" s="20"/>
      <c r="K9" s="3">
        <f ca="1">-(Potential!L9-Potential!J9)/(2*h)</f>
        <v>8.6999112505792482</v>
      </c>
      <c r="L9" s="3">
        <f ca="1">-(Potential!M9-Potential!K9)/(2*h)</f>
        <v>6.3366213292626981</v>
      </c>
      <c r="M9" s="3">
        <f ca="1">-(Potential!N9-Potential!L9)/(2*h)</f>
        <v>3.8975543772586434</v>
      </c>
      <c r="N9" s="3">
        <f ca="1">-(Potential!O9-Potential!M9)/(2*h)</f>
        <v>1.8133874089435267</v>
      </c>
      <c r="O9" s="9">
        <f ca="1">-(Potential!P9-Potential!N9)/(2*h)</f>
        <v>0</v>
      </c>
    </row>
    <row r="10" spans="1:15" x14ac:dyDescent="0.25">
      <c r="B10" s="1">
        <v>3</v>
      </c>
      <c r="C10" s="8">
        <f ca="1">-(Potential!D10-Potential!B10)/(2*h)</f>
        <v>8.8359797718595701E-6</v>
      </c>
      <c r="D10" s="3">
        <f ca="1">-(Potential!E10-Potential!C10)/(2*h)</f>
        <v>4.6010706112780131</v>
      </c>
      <c r="E10" s="3">
        <f ca="1">-(Potential!F10-Potential!D10)/(2*h)</f>
        <v>9.3617964057346637</v>
      </c>
      <c r="F10" s="20"/>
      <c r="G10" s="3">
        <f ca="1">-(Potential!H10-Potential!F10)/(2*h)</f>
        <v>-375.02168407297461</v>
      </c>
      <c r="H10" s="3">
        <f ca="1">-(Potential!I10-Potential!G10)/(2*h)</f>
        <v>-373.74110762378382</v>
      </c>
      <c r="I10" s="3">
        <f ca="1">-(Potential!J10-Potential!H10)/(2*h)</f>
        <v>-374.97831592702539</v>
      </c>
      <c r="J10" s="20"/>
      <c r="K10" s="3">
        <f ca="1">-(Potential!L10-Potential!J10)/(2*h)</f>
        <v>10.563412959432981</v>
      </c>
      <c r="L10" s="3">
        <f ca="1">-(Potential!M10-Potential!K10)/(2*h)</f>
        <v>6.5534787750877967</v>
      </c>
      <c r="M10" s="3">
        <f ca="1">-(Potential!N10-Potential!L10)/(2*h)</f>
        <v>3.4675834101652754</v>
      </c>
      <c r="N10" s="3">
        <f ca="1">-(Potential!O10-Potential!M10)/(2*h)</f>
        <v>1.4561451008039512</v>
      </c>
      <c r="O10" s="9">
        <f ca="1">-(Potential!P10-Potential!N10)/(2*h)</f>
        <v>0</v>
      </c>
    </row>
    <row r="11" spans="1:15" x14ac:dyDescent="0.25">
      <c r="B11" s="1">
        <v>4</v>
      </c>
      <c r="C11" s="8">
        <f ca="1">-(Potential!D11-Potential!B11)/(2*h)</f>
        <v>-1.0845412189652848E-5</v>
      </c>
      <c r="D11" s="3">
        <f ca="1">-(Potential!E11-Potential!C11)/(2*h)</f>
        <v>5.3662533410464679</v>
      </c>
      <c r="E11" s="3">
        <f ca="1">-(Potential!F11-Potential!D11)/(2*h)</f>
        <v>14.345552643616461</v>
      </c>
      <c r="F11" s="20"/>
      <c r="G11" s="3">
        <f ca="1">-(Potential!H11-Potential!F11)/(2*h)</f>
        <v>-375.04293980529383</v>
      </c>
      <c r="H11" s="3">
        <f ca="1">-(Potential!I11-Potential!G11)/(2*h)</f>
        <v>-370.32411403467347</v>
      </c>
      <c r="I11" s="3">
        <f ca="1">-(Potential!J11-Potential!H11)/(2*h)</f>
        <v>-374.95706019470617</v>
      </c>
      <c r="J11" s="20"/>
      <c r="K11" s="3">
        <f ca="1">-(Potential!L11-Potential!J11)/(2*h)</f>
        <v>14.296620851512444</v>
      </c>
      <c r="L11" s="3">
        <f ca="1">-(Potential!M11-Potential!K11)/(2*h)</f>
        <v>5.8462967842393709</v>
      </c>
      <c r="M11" s="3">
        <f ca="1">-(Potential!N11-Potential!L11)/(2*h)</f>
        <v>1.9631549839028821</v>
      </c>
      <c r="N11" s="3">
        <f ca="1">-(Potential!O11-Potential!M11)/(2*h)</f>
        <v>0.54360944748714246</v>
      </c>
      <c r="O11" s="9">
        <f ca="1">-(Potential!P11-Potential!N11)/(2*h)</f>
        <v>0</v>
      </c>
    </row>
    <row r="12" spans="1:15" ht="13" thickBot="1" x14ac:dyDescent="0.3">
      <c r="B12" s="1">
        <v>5</v>
      </c>
      <c r="C12" s="8">
        <f ca="1">-(Potential!D12-Potential!B12)/(2*h)</f>
        <v>-4.6084128680234926E-5</v>
      </c>
      <c r="D12" s="3">
        <f ca="1">-(Potential!E12-Potential!C12)/(2*h)</f>
        <v>2.518430421912953</v>
      </c>
      <c r="E12" s="3">
        <f ca="1">-(Potential!F12-Potential!D12)/(2*h)</f>
        <v>22.537175571534714</v>
      </c>
      <c r="F12" s="21"/>
      <c r="G12" s="3">
        <f ca="1">-(Potential!H12-Potential!F12)/(2*h)</f>
        <v>-375.08394723025492</v>
      </c>
      <c r="H12" s="3">
        <f ca="1">-(Potential!I12-Potential!G12)/(2*h)</f>
        <v>-357.55534527089662</v>
      </c>
      <c r="I12" s="3">
        <f ca="1">-(Potential!J12-Potential!H12)/(2*h)</f>
        <v>-374.91605276974508</v>
      </c>
      <c r="J12" s="21"/>
      <c r="K12" s="3">
        <f ca="1">-(Potential!L12-Potential!J12)/(2*h)</f>
        <v>20.852357172882307</v>
      </c>
      <c r="L12" s="3">
        <f ca="1">-(Potential!M12-Potential!K12)/(2*h)</f>
        <v>0.57193199219398139</v>
      </c>
      <c r="M12" s="3">
        <f ca="1">-(Potential!N12-Potential!L12)/(2*h)</f>
        <v>-2.0048700578782928</v>
      </c>
      <c r="N12" s="3">
        <f ca="1">-(Potential!O12-Potential!M12)/(2*h)</f>
        <v>-1.2448624114466611</v>
      </c>
      <c r="O12" s="9">
        <f ca="1">-(Potential!P12-Potential!N12)/(2*h)</f>
        <v>0</v>
      </c>
    </row>
    <row r="13" spans="1:15" x14ac:dyDescent="0.25">
      <c r="B13" s="1">
        <v>6</v>
      </c>
      <c r="C13" s="8">
        <f ca="1">-(Potential!D13-Potential!B13)/(2*h)</f>
        <v>-9.8499550226449628E-5</v>
      </c>
      <c r="D13" s="3">
        <f ca="1">-(Potential!E13-Potential!C13)/(2*h)</f>
        <v>-17.829570627859248</v>
      </c>
      <c r="E13" s="3">
        <f ca="1">-(Potential!F13-Potential!D13)/(2*h)</f>
        <v>-56.006658279871615</v>
      </c>
      <c r="F13" s="3">
        <f ca="1">-(Potential!G13-Potential!E13)/(2*h)</f>
        <v>-172.72711209123736</v>
      </c>
      <c r="G13" s="3">
        <f ca="1">-(Potential!H13-Potential!F13)/(2*h)</f>
        <v>-285.90279398925242</v>
      </c>
      <c r="H13" s="3">
        <f ca="1">-(Potential!I13-Potential!G13)/(2*h)</f>
        <v>-309.89725360482589</v>
      </c>
      <c r="I13" s="3">
        <f ca="1">-(Potential!J13-Potential!H13)/(2*h)</f>
        <v>-286.23360046289599</v>
      </c>
      <c r="J13" s="3">
        <f ca="1">-(Potential!K13-Potential!I13)/(2*h)</f>
        <v>-173.88748735398099</v>
      </c>
      <c r="K13" s="3">
        <f ca="1">-(Potential!L13-Potential!J13)/(2*h)</f>
        <v>-58.480395548520846</v>
      </c>
      <c r="L13" s="3">
        <f ca="1">-(Potential!M13-Potential!K13)/(2*h)</f>
        <v>-22.406056131472496</v>
      </c>
      <c r="M13" s="3">
        <f ca="1">-(Potential!N13-Potential!L13)/(2*h)</f>
        <v>-9.3097050294882138</v>
      </c>
      <c r="N13" s="3">
        <f ca="1">-(Potential!O13-Potential!M13)/(2*h)</f>
        <v>-3.5181891188030932</v>
      </c>
      <c r="O13" s="9">
        <f ca="1">-(Potential!P13-Potential!N13)/(2*h)</f>
        <v>0</v>
      </c>
    </row>
    <row r="14" spans="1:15" ht="13" thickBot="1" x14ac:dyDescent="0.3">
      <c r="B14" s="1">
        <v>7</v>
      </c>
      <c r="C14" s="8">
        <f ca="1">-(Potential!D14-Potential!B14)/(2*h)</f>
        <v>-1.6106843562369022E-4</v>
      </c>
      <c r="D14" s="3">
        <f ca="1">-(Potential!E14-Potential!C14)/(2*h)</f>
        <v>-17.82979953853247</v>
      </c>
      <c r="E14" s="3">
        <f ca="1">-(Potential!F14-Potential!D14)/(2*h)</f>
        <v>-56.006948448533109</v>
      </c>
      <c r="F14" s="3">
        <f ca="1">-(Potential!G14-Potential!E14)/(2*h)</f>
        <v>-172.7272815346912</v>
      </c>
      <c r="G14" s="3">
        <f ca="1">-(Potential!H14-Potential!F14)/(2*h)</f>
        <v>-285.90282283343146</v>
      </c>
      <c r="H14" s="3">
        <f ca="1">-(Potential!I14-Potential!G14)/(2*h)</f>
        <v>-309.89725732524852</v>
      </c>
      <c r="I14" s="3">
        <f ca="1">-(Potential!J14-Potential!H14)/(2*h)</f>
        <v>-286.23360018655291</v>
      </c>
      <c r="J14" s="3">
        <f ca="1">-(Potential!K14-Potential!I14)/(2*h)</f>
        <v>-173.88748679062564</v>
      </c>
      <c r="K14" s="3">
        <f ca="1">-(Potential!L14-Potential!J14)/(2*h)</f>
        <v>-58.480395234831008</v>
      </c>
      <c r="L14" s="3">
        <f ca="1">-(Potential!M14-Potential!K14)/(2*h)</f>
        <v>-22.406056000376452</v>
      </c>
      <c r="M14" s="3">
        <f ca="1">-(Potential!N14-Potential!L14)/(2*h)</f>
        <v>-9.3097049849008044</v>
      </c>
      <c r="N14" s="3">
        <f ca="1">-(Potential!O14-Potential!M14)/(2*h)</f>
        <v>-3.5181891059694408</v>
      </c>
      <c r="O14" s="9">
        <f ca="1">-(Potential!P14-Potential!N14)/(2*h)</f>
        <v>0</v>
      </c>
    </row>
    <row r="15" spans="1:15" x14ac:dyDescent="0.25">
      <c r="B15" s="1">
        <v>8</v>
      </c>
      <c r="C15" s="8">
        <f ca="1">-(Potential!D15-Potential!B15)/(2*h)</f>
        <v>-2.2495013108070339E-4</v>
      </c>
      <c r="D15" s="3">
        <f ca="1">-(Potential!E15-Potential!C15)/(2*h)</f>
        <v>2.5177533955554416</v>
      </c>
      <c r="E15" s="3">
        <f ca="1">-(Potential!F15-Potential!D15)/(2*h)</f>
        <v>22.53625647017472</v>
      </c>
      <c r="F15" s="19"/>
      <c r="G15" s="3">
        <f ca="1">-(Potential!H15-Potential!F15)/(2*h)</f>
        <v>-375.08395007081498</v>
      </c>
      <c r="H15" s="3">
        <f ca="1">-(Potential!I15-Potential!G15)/(2*h)</f>
        <v>-357.55534379683013</v>
      </c>
      <c r="I15" s="3">
        <f ca="1">-(Potential!J15-Potential!H15)/(2*h)</f>
        <v>-374.91604992918502</v>
      </c>
      <c r="J15" s="19"/>
      <c r="K15" s="3">
        <f ca="1">-(Potential!L15-Potential!J15)/(2*h)</f>
        <v>20.852356995491846</v>
      </c>
      <c r="L15" s="3">
        <f ca="1">-(Potential!M15-Potential!K15)/(2*h)</f>
        <v>0.57193202066264348</v>
      </c>
      <c r="M15" s="3">
        <f ca="1">-(Potential!N15-Potential!L15)/(2*h)</f>
        <v>-2.0048700458713711</v>
      </c>
      <c r="N15" s="3">
        <f ca="1">-(Potential!O15-Potential!M15)/(2*h)</f>
        <v>-1.2448624117613463</v>
      </c>
      <c r="O15" s="9">
        <f ca="1">-(Potential!P15-Potential!N15)/(2*h)</f>
        <v>0</v>
      </c>
    </row>
    <row r="16" spans="1:15" x14ac:dyDescent="0.25">
      <c r="B16" s="1">
        <v>9</v>
      </c>
      <c r="C16" s="8">
        <f ca="1">-(Potential!D16-Potential!B16)/(2*h)</f>
        <v>-2.8556207342056439E-4</v>
      </c>
      <c r="D16" s="3">
        <f ca="1">-(Potential!E16-Potential!C16)/(2*h)</f>
        <v>5.365203884932674</v>
      </c>
      <c r="E16" s="3">
        <f ca="1">-(Potential!F16-Potential!D16)/(2*h)</f>
        <v>14.344121839087824</v>
      </c>
      <c r="F16" s="20"/>
      <c r="G16" s="3">
        <f ca="1">-(Potential!H16-Potential!F16)/(2*h)</f>
        <v>-375.04294179965927</v>
      </c>
      <c r="H16" s="3">
        <f ca="1">-(Potential!I16-Potential!G16)/(2*h)</f>
        <v>-370.32411332595382</v>
      </c>
      <c r="I16" s="3">
        <f ca="1">-(Potential!J16-Potential!H16)/(2*h)</f>
        <v>-374.95705820034073</v>
      </c>
      <c r="J16" s="20"/>
      <c r="K16" s="3">
        <f ca="1">-(Potential!L16-Potential!J16)/(2*h)</f>
        <v>14.296620629435665</v>
      </c>
      <c r="L16" s="3">
        <f ca="1">-(Potential!M16-Potential!K16)/(2*h)</f>
        <v>5.8462966442875768</v>
      </c>
      <c r="M16" s="3">
        <f ca="1">-(Potential!N16-Potential!L16)/(2*h)</f>
        <v>1.9631548828715495</v>
      </c>
      <c r="N16" s="3">
        <f ca="1">-(Potential!O16-Potential!M16)/(2*h)</f>
        <v>0.54360939423327181</v>
      </c>
      <c r="O16" s="9">
        <f ca="1">-(Potential!P16-Potential!N16)/(2*h)</f>
        <v>0</v>
      </c>
    </row>
    <row r="17" spans="2:15" x14ac:dyDescent="0.25">
      <c r="B17" s="1">
        <v>10</v>
      </c>
      <c r="C17" s="8">
        <f ca="1">-(Potential!D17-Potential!B17)/(2*h)</f>
        <v>-3.3366824664682326E-4</v>
      </c>
      <c r="D17" s="3">
        <f ca="1">-(Potential!E17-Potential!C17)/(2*h)</f>
        <v>4.5997479203288325</v>
      </c>
      <c r="E17" s="3">
        <f ca="1">-(Potential!F17-Potential!D17)/(2*h)</f>
        <v>9.3599859413826483</v>
      </c>
      <c r="F17" s="20"/>
      <c r="G17" s="3">
        <f ca="1">-(Potential!H17-Potential!F17)/(2*h)</f>
        <v>-375.02168460412537</v>
      </c>
      <c r="H17" s="3">
        <f ca="1">-(Potential!I17-Potential!G17)/(2*h)</f>
        <v>-373.74110763783005</v>
      </c>
      <c r="I17" s="3">
        <f ca="1">-(Potential!J17-Potential!H17)/(2*h)</f>
        <v>-374.97831539587463</v>
      </c>
      <c r="J17" s="20"/>
      <c r="K17" s="3">
        <f ca="1">-(Potential!L17-Potential!J17)/(2*h)</f>
        <v>10.563412624375815</v>
      </c>
      <c r="L17" s="3">
        <f ca="1">-(Potential!M17-Potential!K17)/(2*h)</f>
        <v>6.5534784800748866</v>
      </c>
      <c r="M17" s="3">
        <f ca="1">-(Potential!N17-Potential!L17)/(2*h)</f>
        <v>3.4675831871587661</v>
      </c>
      <c r="N17" s="3">
        <f ca="1">-(Potential!O17-Potential!M17)/(2*h)</f>
        <v>1.4561449835999838</v>
      </c>
      <c r="O17" s="9">
        <f ca="1">-(Potential!P17-Potential!N17)/(2*h)</f>
        <v>0</v>
      </c>
    </row>
    <row r="18" spans="2:15" x14ac:dyDescent="0.25">
      <c r="B18" s="1">
        <v>11</v>
      </c>
      <c r="C18" s="8">
        <f ca="1">-(Potential!D18-Potential!B18)/(2*h)</f>
        <v>-3.6287731082396135E-4</v>
      </c>
      <c r="D18" s="3">
        <f ca="1">-(Potential!E18-Potential!C18)/(2*h)</f>
        <v>3.67472932415538</v>
      </c>
      <c r="E18" s="3">
        <f ca="1">-(Potential!F18-Potential!D18)/(2*h)</f>
        <v>6.7698077448407616</v>
      </c>
      <c r="F18" s="20"/>
      <c r="G18" s="3">
        <f ca="1">-(Potential!H18-Potential!F18)/(2*h)</f>
        <v>-375.01209436055029</v>
      </c>
      <c r="H18" s="3">
        <f ca="1">-(Potential!I18-Potential!G18)/(2*h)</f>
        <v>-374.64031653556538</v>
      </c>
      <c r="I18" s="3">
        <f ca="1">-(Potential!J18-Potential!H18)/(2*h)</f>
        <v>-374.98790563944971</v>
      </c>
      <c r="J18" s="20"/>
      <c r="K18" s="3">
        <f ca="1">-(Potential!L18-Potential!J18)/(2*h)</f>
        <v>8.6999107303111032</v>
      </c>
      <c r="L18" s="3">
        <f ca="1">-(Potential!M18-Potential!K18)/(2*h)</f>
        <v>6.3366208661510655</v>
      </c>
      <c r="M18" s="3">
        <f ca="1">-(Potential!N18-Potential!L18)/(2*h)</f>
        <v>3.8975540283405508</v>
      </c>
      <c r="N18" s="3">
        <f ca="1">-(Potential!O18-Potential!M18)/(2*h)</f>
        <v>1.8133872248773741</v>
      </c>
      <c r="O18" s="9">
        <f ca="1">-(Potential!P18-Potential!N18)/(2*h)</f>
        <v>0</v>
      </c>
    </row>
    <row r="19" spans="2:15" ht="13" thickBot="1" x14ac:dyDescent="0.3">
      <c r="B19" s="2">
        <v>12</v>
      </c>
      <c r="C19" s="10">
        <f ca="1">-(Potential!D19-Potential!B19)/(2*h)</f>
        <v>-3.7166163793234119E-4</v>
      </c>
      <c r="D19" s="11">
        <f ca="1">-(Potential!E19-Potential!C19)/(2*h)</f>
        <v>3.3303546010823148</v>
      </c>
      <c r="E19" s="11">
        <f ca="1">-(Potential!F19-Potential!D19)/(2*h)</f>
        <v>5.9729632119564346</v>
      </c>
      <c r="F19" s="21"/>
      <c r="G19" s="11">
        <f ca="1">-(Potential!H19-Potential!F19)/(2*h)</f>
        <v>-375.00938370648873</v>
      </c>
      <c r="H19" s="11">
        <f ca="1">-(Potential!I19-Potential!G19)/(2*h)</f>
        <v>-374.82015829482452</v>
      </c>
      <c r="I19" s="11">
        <f ca="1">-(Potential!J19-Potential!H19)/(2*h)</f>
        <v>-374.99061629351127</v>
      </c>
      <c r="J19" s="21"/>
      <c r="K19" s="11">
        <f ca="1">-(Potential!L19-Potential!J19)/(2*h)</f>
        <v>8.1362916599269965</v>
      </c>
      <c r="L19" s="11">
        <f ca="1">-(Potential!M19-Potential!K19)/(2*h)</f>
        <v>6.1955396141211168</v>
      </c>
      <c r="M19" s="11">
        <f ca="1">-(Potential!N19-Potential!L19)/(2*h)</f>
        <v>3.9726244524739514</v>
      </c>
      <c r="N19" s="11">
        <f ca="1">-(Potential!O19-Potential!M19)/(2*h)</f>
        <v>1.8998497575897773</v>
      </c>
      <c r="O19" s="12">
        <f ca="1">-(Potential!P19-Potential!N19)/(2*h)</f>
        <v>0</v>
      </c>
    </row>
  </sheetData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workbookViewId="0"/>
  </sheetViews>
  <sheetFormatPr defaultColWidth="8.90625" defaultRowHeight="12.5" x14ac:dyDescent="0.25"/>
  <cols>
    <col min="1" max="15" width="5" customWidth="1"/>
  </cols>
  <sheetData>
    <row r="1" spans="2:15" x14ac:dyDescent="0.25">
      <c r="B1" t="s">
        <v>6</v>
      </c>
    </row>
    <row r="5" spans="2:15" ht="13" thickBot="1" x14ac:dyDescent="0.3">
      <c r="E5" s="4" t="s">
        <v>5</v>
      </c>
      <c r="F5">
        <v>1</v>
      </c>
    </row>
    <row r="6" spans="2:15" ht="13" thickBot="1" x14ac:dyDescent="0.3">
      <c r="B6" s="16" t="s">
        <v>3</v>
      </c>
      <c r="C6" s="1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3">
        <v>10</v>
      </c>
      <c r="M6" s="13">
        <v>11</v>
      </c>
      <c r="N6" s="13">
        <v>12</v>
      </c>
      <c r="O6" s="16">
        <v>13</v>
      </c>
    </row>
    <row r="7" spans="2:15" ht="13" thickBot="1" x14ac:dyDescent="0.3">
      <c r="B7" s="1"/>
    </row>
    <row r="8" spans="2:15" x14ac:dyDescent="0.25">
      <c r="B8" s="1">
        <v>1</v>
      </c>
      <c r="C8" s="5">
        <f ca="1">-(Potential!C9-Potential!C7)/(2*h_)</f>
        <v>2.2793155418199262E-5</v>
      </c>
      <c r="D8" s="6">
        <f ca="1">-(Potential!D9-Potential!D7)/(2*h_)</f>
        <v>1.7527872710587644E-5</v>
      </c>
      <c r="E8" s="6">
        <f ca="1">-(Potential!E9-Potential!E7)/(2*h_)</f>
        <v>8.8049933184564111E-6</v>
      </c>
      <c r="F8" s="19"/>
      <c r="G8" s="6">
        <f ca="1">-(Potential!G9-Potential!G7)/(2*h_)</f>
        <v>4.1867517097671225E-7</v>
      </c>
      <c r="H8" s="6">
        <f ca="1">-(Potential!H9-Potential!H7)/(2*h_)</f>
        <v>5.2184719834258431E-7</v>
      </c>
      <c r="I8" s="6">
        <f ca="1">-(Potential!I9-Potential!I7)/(2*h_)</f>
        <v>3.1685760859545553E-7</v>
      </c>
      <c r="J8" s="19"/>
      <c r="K8" s="6">
        <f ca="1">-(Potential!K9-Potential!K7)/(2*h_)</f>
        <v>-2.3360667000815738E-7</v>
      </c>
      <c r="L8" s="6">
        <f ca="1">-(Potential!L9-Potential!L7)/(2*h_)</f>
        <v>-4.4581099700735649E-7</v>
      </c>
      <c r="M8" s="6">
        <f ca="1">-(Potential!M9-Potential!M7)/(2*h_)</f>
        <v>-6.1767866554873763E-7</v>
      </c>
      <c r="N8" s="6">
        <f ca="1">-(Potential!N9-Potential!N7)/(2*h_)</f>
        <v>-7.2876594003901118E-7</v>
      </c>
      <c r="O8" s="7">
        <f ca="1">-(Potential!O9-Potential!O7)/(2*h_)</f>
        <v>-7.6604021614912199E-7</v>
      </c>
    </row>
    <row r="9" spans="2:15" x14ac:dyDescent="0.25">
      <c r="B9" s="1">
        <v>2</v>
      </c>
      <c r="C9" s="8">
        <f ca="1">-(Potential!C10-Potential!C8)/(2*h_)</f>
        <v>-3.6211938128242638</v>
      </c>
      <c r="D9" s="3">
        <f ca="1">-(Potential!D10-Potential!D8)/(2*h_)</f>
        <v>-3.386716020941047</v>
      </c>
      <c r="E9" s="3">
        <f ca="1">-(Potential!E10-Potential!E8)/(2*h_)</f>
        <v>-2.3520177194668817</v>
      </c>
      <c r="F9" s="20"/>
      <c r="G9" s="3">
        <f ca="1">-(Potential!G10-Potential!G8)/(2*h_)</f>
        <v>-0.54870218837800167</v>
      </c>
      <c r="H9" s="3">
        <f ca="1">-(Potential!H10-Potential!H8)/(2*h_)</f>
        <v>-1.229925466276427E-2</v>
      </c>
      <c r="I9" s="3">
        <f ca="1">-(Potential!I10-Potential!I8)/(2*h_)</f>
        <v>0.53034810659937648</v>
      </c>
      <c r="J9" s="20"/>
      <c r="K9" s="3">
        <f ca="1">-(Potential!K10-Potential!K8)/(2*h_)</f>
        <v>1.8769173420771494</v>
      </c>
      <c r="L9" s="3">
        <f ca="1">-(Potential!L10-Potential!L8)/(2*h_)</f>
        <v>2.4271205569617678</v>
      </c>
      <c r="M9" s="3">
        <f ca="1">-(Potential!M10-Potential!M8)/(2*h_)</f>
        <v>2.2348558527947944</v>
      </c>
      <c r="N9" s="3">
        <f ca="1">-(Potential!N10-Potential!N8)/(2*h_)</f>
        <v>1.9220790296167252</v>
      </c>
      <c r="O9" s="9">
        <f ca="1">-(Potential!O10-Potential!O8)/(2*h_)</f>
        <v>1.7911509405686274</v>
      </c>
    </row>
    <row r="10" spans="2:15" x14ac:dyDescent="0.25">
      <c r="B10" s="1">
        <v>3</v>
      </c>
      <c r="C10" s="8">
        <f ca="1">-(Potential!C11-Potential!C9)/(2*h_)</f>
        <v>-7.7114200912498889</v>
      </c>
      <c r="D10" s="3">
        <f ca="1">-(Potential!D11-Potential!D9)/(2*h_)</f>
        <v>-7.5737060049505844</v>
      </c>
      <c r="E10" s="3">
        <f ca="1">-(Potential!E11-Potential!E9)/(2*h_)</f>
        <v>-6.0213811263708124</v>
      </c>
      <c r="F10" s="20"/>
      <c r="G10" s="3">
        <f ca="1">-(Potential!G11-Potential!G9)/(2*h_)</f>
        <v>-2.1825115238026456</v>
      </c>
      <c r="H10" s="3">
        <f ca="1">-(Potential!H11-Potential!H9)/(2*h_)</f>
        <v>-3.0844896619669271E-2</v>
      </c>
      <c r="I10" s="3">
        <f ca="1">-(Potential!I11-Potential!I9)/(2*h_)</f>
        <v>2.1336906875807244</v>
      </c>
      <c r="J10" s="20"/>
      <c r="K10" s="3">
        <f ca="1">-(Potential!K11-Potential!K9)/(2*h_)</f>
        <v>5.0805491305449095</v>
      </c>
      <c r="L10" s="3">
        <f ca="1">-(Potential!L11-Potential!L9)/(2*h_)</f>
        <v>5.5967096009331954</v>
      </c>
      <c r="M10" s="3">
        <f ca="1">-(Potential!M11-Potential!M9)/(2*h_)</f>
        <v>4.5902245855215824</v>
      </c>
      <c r="N10" s="3">
        <f ca="1">-(Potential!N11-Potential!N9)/(2*h_)</f>
        <v>3.6623102075774341</v>
      </c>
      <c r="O10" s="9">
        <f ca="1">-(Potential!O11-Potential!O9)/(2*h_)</f>
        <v>3.3204466240651982</v>
      </c>
    </row>
    <row r="11" spans="2:15" x14ac:dyDescent="0.25">
      <c r="B11" s="1">
        <v>4</v>
      </c>
      <c r="C11" s="8">
        <f ca="1">-(Potential!C12-Potential!C10)/(2*h_)</f>
        <v>-12.07719409544511</v>
      </c>
      <c r="D11" s="3">
        <f ca="1">-(Potential!D12-Potential!D10)/(2*h_)</f>
        <v>-13.175379165800051</v>
      </c>
      <c r="E11" s="3">
        <f ca="1">-(Potential!E12-Potential!E10)/(2*h_)</f>
        <v>-14.15983428481017</v>
      </c>
      <c r="F11" s="20"/>
      <c r="G11" s="3">
        <f ca="1">-(Potential!G12-Potential!G10)/(2*h_)</f>
        <v>-8.1505042859506318</v>
      </c>
      <c r="H11" s="3">
        <f ca="1">-(Potential!H12-Potential!H10)/(2*h_)</f>
        <v>-6.2263157280312953E-2</v>
      </c>
      <c r="I11" s="3">
        <f ca="1">-(Potential!I12-Potential!I10)/(2*h_)</f>
        <v>8.0352580669365352</v>
      </c>
      <c r="J11" s="20"/>
      <c r="K11" s="3">
        <f ca="1">-(Potential!K12-Potential!K10)/(2*h_)</f>
        <v>12.848569593888669</v>
      </c>
      <c r="L11" s="3">
        <f ca="1">-(Potential!L12-Potential!L10)/(2*h_)</f>
        <v>10.288944213449327</v>
      </c>
      <c r="M11" s="3">
        <f ca="1">-(Potential!M12-Potential!M10)/(2*h_)</f>
        <v>6.8670228109948539</v>
      </c>
      <c r="N11" s="3">
        <f ca="1">-(Potential!N12-Potential!N10)/(2*h_)</f>
        <v>4.8164907454057584</v>
      </c>
      <c r="O11" s="9">
        <f ca="1">-(Potential!O12-Potential!O10)/(2*h_)</f>
        <v>4.1660152987442416</v>
      </c>
    </row>
    <row r="12" spans="2:15" ht="13" thickBot="1" x14ac:dyDescent="0.3">
      <c r="B12" s="1">
        <v>5</v>
      </c>
      <c r="C12" s="8">
        <f ca="1">-(Potential!C13-Potential!C11)/(2*h_)</f>
        <v>-14.246810532983007</v>
      </c>
      <c r="D12" s="3">
        <f ca="1">-(Potential!D13-Potential!D11)/(2*h_)</f>
        <v>-18.890903435876762</v>
      </c>
      <c r="E12" s="3">
        <f ca="1">-(Potential!E13-Potential!E11)/(2*h_)</f>
        <v>-37.442634501888719</v>
      </c>
      <c r="F12" s="21"/>
      <c r="G12" s="3">
        <f ca="1">-(Potential!G13-Potential!G11)/(2*h_)</f>
        <v>-30.35725809545383</v>
      </c>
      <c r="H12" s="3">
        <f ca="1">-(Potential!H13-Potential!H11)/(2*h_)</f>
        <v>-0.10296854332341354</v>
      </c>
      <c r="I12" s="3">
        <f ca="1">-(Potential!I13-Potential!I11)/(2*h_)</f>
        <v>30.069602334393721</v>
      </c>
      <c r="J12" s="21"/>
      <c r="K12" s="3">
        <f ca="1">-(Potential!K13-Potential!K11)/(2*h_)</f>
        <v>36.02478467766548</v>
      </c>
      <c r="L12" s="3">
        <f ca="1">-(Potential!L13-Potential!L11)/(2*h_)</f>
        <v>15.843474788453477</v>
      </c>
      <c r="M12" s="3">
        <f ca="1">-(Potential!M13-Potential!M11)/(2*h_)</f>
        <v>7.7724317619536123</v>
      </c>
      <c r="N12" s="3">
        <f ca="1">-(Potential!N13-Potential!N11)/(2*h_)</f>
        <v>4.5706147750623813</v>
      </c>
      <c r="O12" s="9">
        <f ca="1">-(Potential!O13-Potential!O11)/(2*h_)</f>
        <v>3.7106331956633767</v>
      </c>
    </row>
    <row r="13" spans="2:15" x14ac:dyDescent="0.25">
      <c r="B13" s="1">
        <v>6</v>
      </c>
      <c r="C13" s="8">
        <f ca="1">-(Potential!C14-Potential!C12)/(2*h_)</f>
        <v>-7.1285561944414333</v>
      </c>
      <c r="D13" s="3">
        <f ca="1">-(Potential!D14-Potential!D12)/(2*h_)</f>
        <v>-10.698962181961139</v>
      </c>
      <c r="E13" s="3">
        <f ca="1">-(Potential!E14-Potential!E12)/(2*h_)</f>
        <v>-27.476786154886856</v>
      </c>
      <c r="F13" s="6">
        <f ca="1">-(Potential!F14-Potential!F12)/(2*h_)</f>
        <v>-89.243086202028962</v>
      </c>
      <c r="G13" s="3">
        <f ca="1">-(Potential!G14-Potential!G12)/(2*h_)</f>
        <v>-23.932462100827337</v>
      </c>
      <c r="H13" s="3">
        <f ca="1">-(Potential!H14-Potential!H12)/(2*h_)</f>
        <v>-6.1961805205498877E-2</v>
      </c>
      <c r="I13" s="3">
        <f ca="1">-(Potential!I14-Potential!I12)/(2*h_)</f>
        <v>23.725625844820797</v>
      </c>
      <c r="J13" s="3">
        <f ca="1">-(Potential!J14-Potential!J12)/(2*h_)</f>
        <v>88.620490777986674</v>
      </c>
      <c r="K13" s="3">
        <f ca="1">-(Potential!K14-Potential!K12)/(2*h_)</f>
        <v>26.786602664616225</v>
      </c>
      <c r="L13" s="3">
        <f ca="1">-(Potential!L14-Potential!L12)/(2*h_)</f>
        <v>9.2877383702733596</v>
      </c>
      <c r="M13" s="3">
        <f ca="1">-(Potential!M14-Potential!M12)/(2*h_)</f>
        <v>3.8086146720457918</v>
      </c>
      <c r="N13" s="3">
        <f ca="1">-(Potential!N14-Potential!N12)/(2*h_)</f>
        <v>1.9829034432508479</v>
      </c>
      <c r="O13" s="9">
        <f ca="1">-(Potential!O14-Potential!O12)/(2*h_)</f>
        <v>1.5352879775230122</v>
      </c>
    </row>
    <row r="14" spans="2:15" ht="13" thickBot="1" x14ac:dyDescent="0.3">
      <c r="B14" s="1">
        <v>7</v>
      </c>
      <c r="C14" s="8">
        <f ca="1">-(Potential!C15-Potential!C13)/(2*h_)</f>
        <v>7.1301183493196341</v>
      </c>
      <c r="D14" s="3">
        <f ca="1">-(Potential!D15-Potential!D13)/(2*h_)</f>
        <v>10.700199609318503</v>
      </c>
      <c r="E14" s="3">
        <f ca="1">-(Potential!E15-Potential!E13)/(2*h_)</f>
        <v>27.477442372734323</v>
      </c>
      <c r="F14" s="3">
        <f ca="1">-(Potential!F15-Potential!F13)/(2*h_)</f>
        <v>89.243114359364839</v>
      </c>
      <c r="G14" s="3">
        <f ca="1">-(Potential!G15-Potential!G13)/(2*h_)</f>
        <v>23.932461940138182</v>
      </c>
      <c r="H14" s="3">
        <f ca="1">-(Potential!H15-Potential!H13)/(2*h_)</f>
        <v>6.1958277802261819E-2</v>
      </c>
      <c r="I14" s="3">
        <f ca="1">-(Potential!I15-Potential!I13)/(2*h_)</f>
        <v>-23.725628251866056</v>
      </c>
      <c r="J14" s="3">
        <f ca="1">-(Potential!J15-Potential!J13)/(2*h_)</f>
        <v>-88.620491188486767</v>
      </c>
      <c r="K14" s="3">
        <f ca="1">-(Potential!K15-Potential!K13)/(2*h_)</f>
        <v>-26.786603051239354</v>
      </c>
      <c r="L14" s="3">
        <f ca="1">-(Potential!L15-Potential!L13)/(2*h_)</f>
        <v>-9.287738644474075</v>
      </c>
      <c r="M14" s="3">
        <f ca="1">-(Potential!M15-Potential!M13)/(2*h_)</f>
        <v>-3.8086148991042137</v>
      </c>
      <c r="N14" s="3">
        <f ca="1">-(Potential!N15-Potential!N13)/(2*h_)</f>
        <v>-1.9829036608572324</v>
      </c>
      <c r="O14" s="9">
        <f ca="1">-(Potential!O15-Potential!O13)/(2*h_)</f>
        <v>-1.5352881920624668</v>
      </c>
    </row>
    <row r="15" spans="2:15" x14ac:dyDescent="0.25">
      <c r="B15" s="1">
        <v>8</v>
      </c>
      <c r="C15" s="8">
        <f ca="1">-(Potential!C16-Potential!C14)/(2*h_)</f>
        <v>14.24821389434257</v>
      </c>
      <c r="D15" s="3">
        <f ca="1">-(Potential!D16-Potential!D14)/(2*h_)</f>
        <v>18.892015914408027</v>
      </c>
      <c r="E15" s="3">
        <f ca="1">-(Potential!E16-Potential!E14)/(2*h_)</f>
        <v>37.443217317807715</v>
      </c>
      <c r="F15" s="19"/>
      <c r="G15" s="3">
        <f ca="1">-(Potential!G16-Potential!G14)/(2*h_)</f>
        <v>30.35725318180161</v>
      </c>
      <c r="H15" s="3">
        <f ca="1">-(Potential!H16-Potential!H14)/(2*h_)</f>
        <v>0.10296723580114531</v>
      </c>
      <c r="I15" s="3">
        <f ca="1">-(Potential!I16-Potential!I14)/(2*h_)</f>
        <v>-30.069602818903718</v>
      </c>
      <c r="J15" s="19"/>
      <c r="K15" s="3">
        <f ca="1">-(Potential!K16-Potential!K14)/(2*h_)</f>
        <v>-36.024784626449105</v>
      </c>
      <c r="L15" s="3">
        <f ca="1">-(Potential!L16-Potential!L14)/(2*h_)</f>
        <v>-15.843474913720001</v>
      </c>
      <c r="M15" s="3">
        <f ca="1">-(Potential!M16-Potential!M14)/(2*h_)</f>
        <v>-7.7724319817850755</v>
      </c>
      <c r="N15" s="3">
        <f ca="1">-(Potential!N16-Potential!N14)/(2*h_)</f>
        <v>-4.5706150459476476</v>
      </c>
      <c r="O15" s="9">
        <f ca="1">-(Potential!O16-Potential!O14)/(2*h_)</f>
        <v>-3.7106334815823629</v>
      </c>
    </row>
    <row r="16" spans="2:15" x14ac:dyDescent="0.25">
      <c r="B16" s="1">
        <v>9</v>
      </c>
      <c r="C16" s="8">
        <f ca="1">-(Potential!C17-Potential!C15)/(2*h_)</f>
        <v>12.078313604754564</v>
      </c>
      <c r="D16" s="3">
        <f ca="1">-(Potential!D17-Potential!D15)/(2*h_)</f>
        <v>13.176270528792072</v>
      </c>
      <c r="E16" s="3">
        <f ca="1">-(Potential!E17-Potential!E15)/(2*h_)</f>
        <v>14.160308129527955</v>
      </c>
      <c r="F16" s="20"/>
      <c r="G16" s="3">
        <f ca="1">-(Potential!G17-Potential!G15)/(2*h_)</f>
        <v>8.1505069960835499</v>
      </c>
      <c r="H16" s="3">
        <f ca="1">-(Potential!H17-Potential!H15)/(2*h_)</f>
        <v>6.2265466689609639E-2</v>
      </c>
      <c r="I16" s="3">
        <f ca="1">-(Potential!I17-Potential!I15)/(2*h_)</f>
        <v>-8.0352568449163755</v>
      </c>
      <c r="J16" s="20"/>
      <c r="K16" s="3">
        <f ca="1">-(Potential!K17-Potential!K15)/(2*h_)</f>
        <v>-12.848569575043257</v>
      </c>
      <c r="L16" s="3">
        <f ca="1">-(Potential!L17-Potential!L15)/(2*h_)</f>
        <v>-10.288944371116031</v>
      </c>
      <c r="M16" s="3">
        <f ca="1">-(Potential!M17-Potential!M15)/(2*h_)</f>
        <v>-6.8670231156310138</v>
      </c>
      <c r="N16" s="3">
        <f ca="1">-(Potential!N17-Potential!N15)/(2*h_)</f>
        <v>-4.8164911380858939</v>
      </c>
      <c r="O16" s="9">
        <f ca="1">-(Potential!O17-Potential!O15)/(2*h_)</f>
        <v>-4.1660157202696837</v>
      </c>
    </row>
    <row r="17" spans="2:15" x14ac:dyDescent="0.25">
      <c r="B17" s="1">
        <v>10</v>
      </c>
      <c r="C17" s="8">
        <f ca="1">-(Potential!C18-Potential!C16)/(2*h_)</f>
        <v>7.7121804538666439</v>
      </c>
      <c r="D17" s="3">
        <f ca="1">-(Potential!D18-Potential!D16)/(2*h_)</f>
        <v>7.5743140942470628</v>
      </c>
      <c r="E17" s="3">
        <f ca="1">-(Potential!E18-Potential!E16)/(2*h_)</f>
        <v>6.0217058930893499</v>
      </c>
      <c r="F17" s="20"/>
      <c r="G17" s="3">
        <f ca="1">-(Potential!G18-Potential!G16)/(2*h_)</f>
        <v>2.1825140011940789</v>
      </c>
      <c r="H17" s="3">
        <f ca="1">-(Potential!H18-Potential!H16)/(2*h_)</f>
        <v>3.0847439108981689E-2</v>
      </c>
      <c r="I17" s="3">
        <f ca="1">-(Potential!I18-Potential!I16)/(2*h_)</f>
        <v>-2.1336892084174224</v>
      </c>
      <c r="J17" s="20"/>
      <c r="K17" s="3">
        <f ca="1">-(Potential!K18-Potential!K16)/(2*h_)</f>
        <v>-5.0805492562320751</v>
      </c>
      <c r="L17" s="3">
        <f ca="1">-(Potential!L18-Potential!L16)/(2*h_)</f>
        <v>-5.5967098991245621</v>
      </c>
      <c r="M17" s="3">
        <f ca="1">-(Potential!M18-Potential!M16)/(2*h_)</f>
        <v>-4.5902250343685864</v>
      </c>
      <c r="N17" s="3">
        <f ca="1">-(Potential!N18-Potential!N16)/(2*h_)</f>
        <v>-3.6623107536555608</v>
      </c>
      <c r="O17" s="9">
        <f ca="1">-(Potential!O18-Potential!O16)/(2*h_)</f>
        <v>-3.3204472037244841</v>
      </c>
    </row>
    <row r="18" spans="2:15" x14ac:dyDescent="0.25">
      <c r="B18" s="1">
        <v>11</v>
      </c>
      <c r="C18" s="8">
        <f ca="1">-(Potential!C19-Potential!C17)/(2*h_)</f>
        <v>3.6215754748754092</v>
      </c>
      <c r="D18" s="3">
        <f ca="1">-(Potential!D19-Potential!D17)/(2*h_)</f>
        <v>3.3870227294262136</v>
      </c>
      <c r="E18" s="3">
        <f ca="1">-(Potential!E19-Potential!E17)/(2*h_)</f>
        <v>2.3521821556288915</v>
      </c>
      <c r="F18" s="20"/>
      <c r="G18" s="3">
        <f ca="1">-(Potential!G19-Potential!G17)/(2*h_)</f>
        <v>0.5487035792994277</v>
      </c>
      <c r="H18" s="3">
        <f ca="1">-(Potential!H19-Potential!H17)/(2*h_)</f>
        <v>1.2300897636635E-2</v>
      </c>
      <c r="I18" s="3">
        <f ca="1">-(Potential!I19-Potential!I17)/(2*h_)</f>
        <v>-0.53034707769506895</v>
      </c>
      <c r="J18" s="20"/>
      <c r="K18" s="3">
        <f ca="1">-(Potential!K19-Potential!K17)/(2*h_)</f>
        <v>-1.8769175535395561</v>
      </c>
      <c r="L18" s="3">
        <f ca="1">-(Potential!L19-Potential!L17)/(2*h_)</f>
        <v>-2.4271209644488181</v>
      </c>
      <c r="M18" s="3">
        <f ca="1">-(Potential!M19-Potential!M17)/(2*h_)</f>
        <v>-2.234856419493326</v>
      </c>
      <c r="N18" s="3">
        <f ca="1">-(Potential!N19-Potential!N17)/(2*h_)</f>
        <v>-1.9220796991336329</v>
      </c>
      <c r="O18" s="9">
        <f ca="1">-(Potential!O19-Potential!O17)/(2*h_)</f>
        <v>-1.7911516455035326</v>
      </c>
    </row>
    <row r="19" spans="2:15" ht="13" thickBot="1" x14ac:dyDescent="0.3">
      <c r="B19" s="2">
        <v>12</v>
      </c>
      <c r="C19" s="10">
        <f ca="1">-(Potential!C20-Potential!C18)/(2*h_)</f>
        <v>0</v>
      </c>
      <c r="D19" s="11">
        <f ca="1">-(Potential!D20-Potential!D18)/(2*h_)</f>
        <v>0</v>
      </c>
      <c r="E19" s="11">
        <f ca="1">-(Potential!E20-Potential!E18)/(2*h_)</f>
        <v>0</v>
      </c>
      <c r="F19" s="21"/>
      <c r="G19" s="11">
        <f ca="1">-(Potential!G20-Potential!G18)/(2*h_)</f>
        <v>0</v>
      </c>
      <c r="H19" s="11">
        <f ca="1">-(Potential!H20-Potential!H18)/(2*h_)</f>
        <v>0</v>
      </c>
      <c r="I19" s="11">
        <f ca="1">-(Potential!I20-Potential!I18)/(2*h_)</f>
        <v>0</v>
      </c>
      <c r="J19" s="21"/>
      <c r="K19" s="11">
        <f ca="1">-(Potential!K20-Potential!K18)/(2*h_)</f>
        <v>0</v>
      </c>
      <c r="L19" s="11">
        <f ca="1">-(Potential!L20-Potential!L18)/(2*h_)</f>
        <v>0</v>
      </c>
      <c r="M19" s="11">
        <f ca="1">-(Potential!M20-Potential!M18)/(2*h_)</f>
        <v>0</v>
      </c>
      <c r="N19" s="11">
        <f ca="1">-(Potential!N20-Potential!N18)/(2*h_)</f>
        <v>0</v>
      </c>
      <c r="O19" s="12">
        <f ca="1">-(Potential!O20-Potential!O18)/(2*h_)</f>
        <v>0</v>
      </c>
    </row>
  </sheetData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Potential</vt:lpstr>
      <vt:lpstr>Ex</vt:lpstr>
      <vt:lpstr>Ey</vt:lpstr>
      <vt:lpstr>h</vt:lpstr>
      <vt:lpstr>h_</vt:lpstr>
      <vt:lpstr>V1_</vt:lpstr>
      <vt:lpstr>V2_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dcterms:created xsi:type="dcterms:W3CDTF">2020-01-27T11:58:29Z</dcterms:created>
  <dcterms:modified xsi:type="dcterms:W3CDTF">2020-01-27T11:58:29Z</dcterms:modified>
</cp:coreProperties>
</file>