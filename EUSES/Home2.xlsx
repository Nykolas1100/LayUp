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C176A9D-C4AA-4057-AABF-2D5AE50FDA59}" xr6:coauthVersionLast="45" xr6:coauthVersionMax="45" xr10:uidLastSave="{00000000-0000-0000-0000-000000000000}"/>
  <bookViews>
    <workbookView xWindow="380" yWindow="380" windowWidth="28800" windowHeight="15460"/>
  </bookViews>
  <sheets>
    <sheet name="Home2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solver_adj" localSheetId="0" hidden="1">Home2!$B$22:$G$27,Home2!$B$30:$G$35,Home2!$B$38:$G$43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Home2!$B$50:$G$55</definedName>
    <definedName name="solver_lhs2" localSheetId="0" hidden="1">Home2!$B$58:$D$63</definedName>
    <definedName name="solver_lhs3" localSheetId="0" hidden="1">Home2!$B$66:$G$71</definedName>
    <definedName name="solver_lhs4" localSheetId="0" hidden="1">Home2!$B$22:$G$27</definedName>
    <definedName name="solver_lhs5" localSheetId="0" hidden="1">Home2!$B$30:$G$35</definedName>
    <definedName name="solver_lhs6" localSheetId="0" hidden="1">Home2!$B$38:$G$43</definedName>
    <definedName name="solver_lin" localSheetId="0" hidden="1">1</definedName>
    <definedName name="solver_num" localSheetId="0" hidden="1">6</definedName>
    <definedName name="solver_nwt" localSheetId="0" hidden="1">1</definedName>
    <definedName name="solver_opt" localSheetId="0" hidden="1">Home2!$B$47</definedName>
    <definedName name="solver_pre" localSheetId="0" hidden="1">0.000001</definedName>
    <definedName name="solver_rel1" localSheetId="0" hidden="1">2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hs1" localSheetId="0" hidden="1">0</definedName>
    <definedName name="solver_rhs2" localSheetId="0" hidden="1">Home2!$F$58:$H$63</definedName>
    <definedName name="solver_rhs3" localSheetId="0" hidden="1">0</definedName>
    <definedName name="solver_rhs4" localSheetId="0" hidden="1">0</definedName>
    <definedName name="solver_rhs5" localSheetId="0" hidden="1">0</definedName>
    <definedName name="solver_rhs6" localSheetId="0" hidden="1">0</definedName>
    <definedName name="solver_scl" localSheetId="0" hidden="1">0</definedName>
    <definedName name="solver_sho" localSheetId="0" hidden="1">0</definedName>
    <definedName name="solver_tim" localSheetId="0" hidden="1">100</definedName>
    <definedName name="solver_tmp" localSheetId="0" hidden="1">0</definedName>
    <definedName name="solver_tol" localSheetId="0" hidden="1">0.05</definedName>
    <definedName name="solver_typ" localSheetId="0" hidden="1">1</definedName>
    <definedName name="solver_val" localSheetId="0" hidden="1">0</definedName>
  </definedNames>
  <calcPr calcId="0"/>
</workbook>
</file>

<file path=xl/calcChain.xml><?xml version="1.0" encoding="utf-8"?>
<calcChain xmlns="http://schemas.openxmlformats.org/spreadsheetml/2006/main">
  <c r="B47" i="1" l="1"/>
  <c r="B50" i="1"/>
  <c r="C50" i="1"/>
  <c r="D50" i="1"/>
  <c r="E50" i="1"/>
  <c r="F50" i="1"/>
  <c r="G50" i="1"/>
  <c r="B51" i="1"/>
  <c r="C51" i="1"/>
  <c r="D51" i="1"/>
  <c r="E51" i="1"/>
  <c r="F51" i="1"/>
  <c r="G51" i="1"/>
  <c r="B52" i="1"/>
  <c r="C52" i="1"/>
  <c r="D52" i="1"/>
  <c r="E52" i="1"/>
  <c r="F52" i="1"/>
  <c r="G52" i="1"/>
  <c r="B53" i="1"/>
  <c r="C53" i="1"/>
  <c r="D53" i="1"/>
  <c r="E53" i="1"/>
  <c r="F53" i="1"/>
  <c r="G53" i="1"/>
  <c r="B54" i="1"/>
  <c r="C54" i="1"/>
  <c r="D54" i="1"/>
  <c r="E54" i="1"/>
  <c r="F54" i="1"/>
  <c r="G54" i="1"/>
  <c r="B55" i="1"/>
  <c r="C55" i="1"/>
  <c r="D55" i="1"/>
  <c r="E55" i="1"/>
  <c r="F55" i="1"/>
  <c r="G55" i="1"/>
  <c r="B58" i="1"/>
  <c r="C58" i="1"/>
  <c r="D58" i="1"/>
  <c r="F58" i="1"/>
  <c r="G58" i="1"/>
  <c r="H58" i="1"/>
  <c r="B59" i="1"/>
  <c r="C59" i="1"/>
  <c r="D59" i="1"/>
  <c r="F59" i="1"/>
  <c r="G59" i="1"/>
  <c r="H59" i="1"/>
  <c r="B60" i="1"/>
  <c r="C60" i="1"/>
  <c r="D60" i="1"/>
  <c r="F60" i="1"/>
  <c r="G60" i="1"/>
  <c r="H60" i="1"/>
  <c r="B61" i="1"/>
  <c r="C61" i="1"/>
  <c r="D61" i="1"/>
  <c r="F61" i="1"/>
  <c r="G61" i="1"/>
  <c r="H61" i="1"/>
  <c r="B62" i="1"/>
  <c r="C62" i="1"/>
  <c r="D62" i="1"/>
  <c r="F62" i="1"/>
  <c r="G62" i="1"/>
  <c r="H62" i="1"/>
  <c r="B63" i="1"/>
  <c r="C63" i="1"/>
  <c r="D63" i="1"/>
  <c r="F63" i="1"/>
  <c r="G63" i="1"/>
  <c r="H63" i="1"/>
  <c r="B66" i="1"/>
  <c r="C66" i="1"/>
  <c r="D66" i="1"/>
  <c r="E66" i="1"/>
  <c r="F66" i="1"/>
  <c r="G66" i="1"/>
  <c r="B67" i="1"/>
  <c r="C67" i="1"/>
  <c r="D67" i="1"/>
  <c r="E67" i="1"/>
  <c r="F67" i="1"/>
  <c r="G67" i="1"/>
  <c r="B68" i="1"/>
  <c r="C68" i="1"/>
  <c r="D68" i="1"/>
  <c r="E68" i="1"/>
  <c r="F68" i="1"/>
  <c r="G68" i="1"/>
  <c r="B69" i="1"/>
  <c r="C69" i="1"/>
  <c r="D69" i="1"/>
  <c r="E69" i="1"/>
  <c r="F69" i="1"/>
  <c r="G69" i="1"/>
  <c r="B70" i="1"/>
  <c r="C70" i="1"/>
  <c r="D70" i="1"/>
  <c r="E70" i="1"/>
  <c r="F70" i="1"/>
  <c r="G70" i="1"/>
  <c r="B71" i="1"/>
  <c r="C71" i="1"/>
  <c r="D71" i="1"/>
  <c r="E71" i="1"/>
  <c r="F71" i="1"/>
  <c r="G71" i="1"/>
</calcChain>
</file>

<file path=xl/sharedStrings.xml><?xml version="1.0" encoding="utf-8"?>
<sst xmlns="http://schemas.openxmlformats.org/spreadsheetml/2006/main" count="73" uniqueCount="34">
  <si>
    <t>Homework 2, Management Science Techniques for Consultants</t>
  </si>
  <si>
    <t>Production Data</t>
  </si>
  <si>
    <t>P1</t>
  </si>
  <si>
    <t>P2</t>
  </si>
  <si>
    <t>P3</t>
  </si>
  <si>
    <t>P4</t>
  </si>
  <si>
    <t>P5</t>
  </si>
  <si>
    <t>P6</t>
  </si>
  <si>
    <t>Grinding</t>
  </si>
  <si>
    <t>Horizontal</t>
  </si>
  <si>
    <t>Vertical</t>
  </si>
  <si>
    <t>Profit</t>
  </si>
  <si>
    <t>Demand</t>
  </si>
  <si>
    <t>August</t>
  </si>
  <si>
    <t>September</t>
  </si>
  <si>
    <t>October</t>
  </si>
  <si>
    <t>November</t>
  </si>
  <si>
    <t>December</t>
  </si>
  <si>
    <t>January</t>
  </si>
  <si>
    <t>Production (Decisions)</t>
  </si>
  <si>
    <t>Inventory (Decisions)</t>
  </si>
  <si>
    <t>Sales (Decisions)</t>
  </si>
  <si>
    <t>Model:</t>
  </si>
  <si>
    <t>Profit:</t>
  </si>
  <si>
    <t>Conservation</t>
  </si>
  <si>
    <t>(Production in time t + inventory in t-1 = sales in t + inventory in t)</t>
  </si>
  <si>
    <t xml:space="preserve">December </t>
  </si>
  <si>
    <t>Hours</t>
  </si>
  <si>
    <t>Horiz</t>
  </si>
  <si>
    <t>Vert</t>
  </si>
  <si>
    <t>Limit</t>
  </si>
  <si>
    <t>(Hours used cannot be more than available hours)</t>
  </si>
  <si>
    <t>Unmet Demand</t>
  </si>
  <si>
    <t>(Sales no more than demand I.e. Unmet demand &gt;=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</si>
</sst>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b/>
      <i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abSelected="1" workbookViewId="0">
      <selection activeCell="B5" sqref="B5"/>
    </sheetView>
  </sheetViews>
  <sheetFormatPr defaultRowHeight="12.5" x14ac:dyDescent="0.25"/>
  <cols>
    <col min="1" max="1" width="10.7265625" customWidth="1"/>
  </cols>
  <sheetData>
    <row r="1" spans="1:7" ht="13" x14ac:dyDescent="0.3">
      <c r="A1" s="2" t="s">
        <v>0</v>
      </c>
    </row>
    <row r="3" spans="1:7" ht="13" x14ac:dyDescent="0.3">
      <c r="A3" s="1" t="s">
        <v>1</v>
      </c>
    </row>
    <row r="5" spans="1:7" x14ac:dyDescent="0.25"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</row>
    <row r="6" spans="1:7" x14ac:dyDescent="0.25">
      <c r="A6" t="s">
        <v>8</v>
      </c>
      <c r="B6">
        <v>0.5</v>
      </c>
      <c r="C6">
        <v>0.7</v>
      </c>
      <c r="D6">
        <v>0.5</v>
      </c>
      <c r="E6">
        <v>0</v>
      </c>
      <c r="F6">
        <v>0.2</v>
      </c>
      <c r="G6">
        <v>0.3</v>
      </c>
    </row>
    <row r="7" spans="1:7" x14ac:dyDescent="0.25">
      <c r="A7" t="s">
        <v>9</v>
      </c>
      <c r="B7">
        <v>0.2</v>
      </c>
      <c r="C7">
        <v>0.3</v>
      </c>
      <c r="D7">
        <v>0</v>
      </c>
      <c r="E7">
        <v>0.3</v>
      </c>
      <c r="F7">
        <v>0</v>
      </c>
      <c r="G7">
        <v>0.4</v>
      </c>
    </row>
    <row r="8" spans="1:7" x14ac:dyDescent="0.25">
      <c r="A8" t="s">
        <v>10</v>
      </c>
      <c r="B8">
        <v>0.1</v>
      </c>
      <c r="C8">
        <v>0</v>
      </c>
      <c r="D8">
        <v>0.8</v>
      </c>
      <c r="E8">
        <v>0</v>
      </c>
      <c r="F8">
        <v>0.7</v>
      </c>
      <c r="G8">
        <v>0</v>
      </c>
    </row>
    <row r="10" spans="1:7" x14ac:dyDescent="0.25">
      <c r="A10" t="s">
        <v>11</v>
      </c>
      <c r="B10">
        <v>10</v>
      </c>
      <c r="C10">
        <v>6</v>
      </c>
      <c r="D10">
        <v>8</v>
      </c>
      <c r="E10">
        <v>4</v>
      </c>
      <c r="F10">
        <v>11</v>
      </c>
      <c r="G10">
        <v>9</v>
      </c>
    </row>
    <row r="12" spans="1:7" ht="13" x14ac:dyDescent="0.3">
      <c r="A12" s="1" t="s">
        <v>12</v>
      </c>
    </row>
    <row r="13" spans="1:7" x14ac:dyDescent="0.25">
      <c r="A13" t="s">
        <v>13</v>
      </c>
      <c r="B13">
        <v>500</v>
      </c>
      <c r="C13">
        <v>1000</v>
      </c>
      <c r="D13">
        <v>300</v>
      </c>
      <c r="E13">
        <v>300</v>
      </c>
      <c r="F13">
        <v>800</v>
      </c>
      <c r="G13">
        <v>200</v>
      </c>
    </row>
    <row r="14" spans="1:7" x14ac:dyDescent="0.25">
      <c r="A14" t="s">
        <v>14</v>
      </c>
      <c r="B14">
        <v>600</v>
      </c>
      <c r="C14">
        <v>600</v>
      </c>
      <c r="D14">
        <v>200</v>
      </c>
      <c r="E14">
        <v>500</v>
      </c>
      <c r="F14">
        <v>400</v>
      </c>
      <c r="G14">
        <v>300</v>
      </c>
    </row>
    <row r="15" spans="1:7" x14ac:dyDescent="0.25">
      <c r="A15" t="s">
        <v>15</v>
      </c>
      <c r="B15">
        <v>300</v>
      </c>
      <c r="C15">
        <v>500</v>
      </c>
      <c r="D15">
        <v>200</v>
      </c>
      <c r="E15">
        <v>10</v>
      </c>
      <c r="F15">
        <v>500</v>
      </c>
      <c r="G15">
        <v>400</v>
      </c>
    </row>
    <row r="16" spans="1:7" x14ac:dyDescent="0.25">
      <c r="A16" t="s">
        <v>16</v>
      </c>
      <c r="B16">
        <v>200</v>
      </c>
      <c r="C16">
        <v>300</v>
      </c>
      <c r="D16">
        <v>500</v>
      </c>
      <c r="E16">
        <v>500</v>
      </c>
      <c r="F16">
        <v>200</v>
      </c>
      <c r="G16">
        <v>800</v>
      </c>
    </row>
    <row r="17" spans="1:7" x14ac:dyDescent="0.25">
      <c r="A17" t="s">
        <v>17</v>
      </c>
      <c r="B17">
        <v>0</v>
      </c>
      <c r="C17">
        <v>100</v>
      </c>
      <c r="D17">
        <v>400</v>
      </c>
      <c r="E17">
        <v>100</v>
      </c>
      <c r="F17">
        <v>1100</v>
      </c>
      <c r="G17">
        <v>300</v>
      </c>
    </row>
    <row r="18" spans="1:7" x14ac:dyDescent="0.25">
      <c r="A18" t="s">
        <v>18</v>
      </c>
      <c r="B18">
        <v>500</v>
      </c>
      <c r="C18">
        <v>500</v>
      </c>
      <c r="D18">
        <v>800</v>
      </c>
      <c r="E18">
        <v>300</v>
      </c>
      <c r="F18">
        <v>1000</v>
      </c>
      <c r="G18">
        <v>500</v>
      </c>
    </row>
    <row r="21" spans="1:7" ht="13" x14ac:dyDescent="0.3">
      <c r="A21" s="1" t="s">
        <v>19</v>
      </c>
    </row>
    <row r="22" spans="1:7" x14ac:dyDescent="0.25">
      <c r="A22" t="s">
        <v>13</v>
      </c>
    </row>
    <row r="23" spans="1:7" x14ac:dyDescent="0.25">
      <c r="A23" t="s">
        <v>14</v>
      </c>
    </row>
    <row r="24" spans="1:7" x14ac:dyDescent="0.25">
      <c r="A24" t="s">
        <v>15</v>
      </c>
    </row>
    <row r="25" spans="1:7" x14ac:dyDescent="0.25">
      <c r="A25" t="s">
        <v>16</v>
      </c>
    </row>
    <row r="26" spans="1:7" x14ac:dyDescent="0.25">
      <c r="A26" t="s">
        <v>17</v>
      </c>
    </row>
    <row r="27" spans="1:7" x14ac:dyDescent="0.25">
      <c r="A27" t="s">
        <v>18</v>
      </c>
    </row>
    <row r="29" spans="1:7" ht="13" x14ac:dyDescent="0.3">
      <c r="A29" s="1" t="s">
        <v>20</v>
      </c>
    </row>
    <row r="30" spans="1:7" x14ac:dyDescent="0.25">
      <c r="A30" t="s">
        <v>13</v>
      </c>
    </row>
    <row r="31" spans="1:7" x14ac:dyDescent="0.25">
      <c r="A31" t="s">
        <v>14</v>
      </c>
    </row>
    <row r="32" spans="1:7" x14ac:dyDescent="0.25">
      <c r="A32" t="s">
        <v>15</v>
      </c>
    </row>
    <row r="33" spans="1:2" x14ac:dyDescent="0.25">
      <c r="A33" t="s">
        <v>16</v>
      </c>
    </row>
    <row r="34" spans="1:2" x14ac:dyDescent="0.25">
      <c r="A34" t="s">
        <v>17</v>
      </c>
    </row>
    <row r="35" spans="1:2" x14ac:dyDescent="0.25">
      <c r="A35" t="s">
        <v>18</v>
      </c>
    </row>
    <row r="37" spans="1:2" ht="13" x14ac:dyDescent="0.3">
      <c r="A37" s="1" t="s">
        <v>21</v>
      </c>
    </row>
    <row r="38" spans="1:2" x14ac:dyDescent="0.25">
      <c r="A38" t="s">
        <v>13</v>
      </c>
    </row>
    <row r="39" spans="1:2" x14ac:dyDescent="0.25">
      <c r="A39" t="s">
        <v>14</v>
      </c>
    </row>
    <row r="40" spans="1:2" x14ac:dyDescent="0.25">
      <c r="A40" t="s">
        <v>15</v>
      </c>
    </row>
    <row r="41" spans="1:2" x14ac:dyDescent="0.25">
      <c r="A41" t="s">
        <v>16</v>
      </c>
    </row>
    <row r="42" spans="1:2" x14ac:dyDescent="0.25">
      <c r="A42" t="s">
        <v>17</v>
      </c>
    </row>
    <row r="43" spans="1:2" x14ac:dyDescent="0.25">
      <c r="A43" t="s">
        <v>18</v>
      </c>
    </row>
    <row r="45" spans="1:2" ht="13" x14ac:dyDescent="0.3">
      <c r="A45" s="2" t="s">
        <v>22</v>
      </c>
    </row>
    <row r="47" spans="1:2" ht="13" x14ac:dyDescent="0.3">
      <c r="A47" s="1" t="s">
        <v>23</v>
      </c>
      <c r="B47">
        <f>B10*SUM(B38:B43)+C10*SUM(C38:C43)+D10*SUM(D38:D43)+E10*SUM(E38:E43)+F10*SUM(F38:F43)+G10*SUM(G38:G43)-0.5*SUM(B30:G35)</f>
        <v>0</v>
      </c>
    </row>
    <row r="49" spans="1:9" ht="13" x14ac:dyDescent="0.3">
      <c r="A49" s="1" t="s">
        <v>24</v>
      </c>
      <c r="C49" t="s">
        <v>25</v>
      </c>
    </row>
    <row r="50" spans="1:9" x14ac:dyDescent="0.25">
      <c r="A50" t="s">
        <v>13</v>
      </c>
      <c r="B50">
        <f>B22-B30-B38</f>
        <v>0</v>
      </c>
      <c r="C50">
        <f t="shared" ref="C50:G50" si="0">C22-C30-C38</f>
        <v>0</v>
      </c>
      <c r="D50">
        <f t="shared" si="0"/>
        <v>0</v>
      </c>
      <c r="E50">
        <f t="shared" si="0"/>
        <v>0</v>
      </c>
      <c r="F50">
        <f t="shared" si="0"/>
        <v>0</v>
      </c>
      <c r="G50">
        <f t="shared" si="0"/>
        <v>0</v>
      </c>
    </row>
    <row r="51" spans="1:9" x14ac:dyDescent="0.25">
      <c r="A51" t="s">
        <v>14</v>
      </c>
      <c r="B51">
        <f>B23+B30-B31-B39</f>
        <v>0</v>
      </c>
      <c r="C51">
        <f t="shared" ref="C51:G51" si="1">C23+C30-C31-C39</f>
        <v>0</v>
      </c>
      <c r="D51">
        <f t="shared" si="1"/>
        <v>0</v>
      </c>
      <c r="E51">
        <f t="shared" si="1"/>
        <v>0</v>
      </c>
      <c r="F51">
        <f t="shared" si="1"/>
        <v>0</v>
      </c>
      <c r="G51">
        <f t="shared" si="1"/>
        <v>0</v>
      </c>
    </row>
    <row r="52" spans="1:9" x14ac:dyDescent="0.25">
      <c r="A52" t="s">
        <v>15</v>
      </c>
      <c r="B52">
        <f t="shared" ref="B52:G55" si="2">B24+B31-B32-B40</f>
        <v>0</v>
      </c>
      <c r="C52">
        <f t="shared" si="2"/>
        <v>0</v>
      </c>
      <c r="D52">
        <f t="shared" si="2"/>
        <v>0</v>
      </c>
      <c r="E52">
        <f t="shared" si="2"/>
        <v>0</v>
      </c>
      <c r="F52">
        <f t="shared" si="2"/>
        <v>0</v>
      </c>
      <c r="G52">
        <f t="shared" si="2"/>
        <v>0</v>
      </c>
    </row>
    <row r="53" spans="1:9" x14ac:dyDescent="0.25">
      <c r="A53" t="s">
        <v>16</v>
      </c>
      <c r="B53">
        <f t="shared" si="2"/>
        <v>0</v>
      </c>
      <c r="C53">
        <f t="shared" si="2"/>
        <v>0</v>
      </c>
      <c r="D53">
        <f t="shared" si="2"/>
        <v>0</v>
      </c>
      <c r="E53">
        <f t="shared" si="2"/>
        <v>0</v>
      </c>
      <c r="F53">
        <f t="shared" si="2"/>
        <v>0</v>
      </c>
      <c r="G53">
        <f t="shared" si="2"/>
        <v>0</v>
      </c>
    </row>
    <row r="54" spans="1:9" x14ac:dyDescent="0.25">
      <c r="A54" t="s">
        <v>26</v>
      </c>
      <c r="B54">
        <f t="shared" si="2"/>
        <v>0</v>
      </c>
      <c r="C54">
        <f t="shared" si="2"/>
        <v>0</v>
      </c>
      <c r="D54">
        <f t="shared" si="2"/>
        <v>0</v>
      </c>
      <c r="E54">
        <f t="shared" si="2"/>
        <v>0</v>
      </c>
      <c r="F54">
        <f t="shared" si="2"/>
        <v>0</v>
      </c>
      <c r="G54">
        <f t="shared" si="2"/>
        <v>0</v>
      </c>
    </row>
    <row r="55" spans="1:9" x14ac:dyDescent="0.25">
      <c r="A55" t="s">
        <v>18</v>
      </c>
      <c r="B55">
        <f t="shared" si="2"/>
        <v>0</v>
      </c>
      <c r="C55">
        <f t="shared" si="2"/>
        <v>0</v>
      </c>
      <c r="D55">
        <f t="shared" si="2"/>
        <v>0</v>
      </c>
      <c r="E55">
        <f t="shared" si="2"/>
        <v>0</v>
      </c>
      <c r="F55">
        <f t="shared" si="2"/>
        <v>0</v>
      </c>
      <c r="G55">
        <f t="shared" si="2"/>
        <v>0</v>
      </c>
    </row>
    <row r="57" spans="1:9" ht="13" x14ac:dyDescent="0.3">
      <c r="A57" s="1" t="s">
        <v>27</v>
      </c>
      <c r="B57" t="s">
        <v>8</v>
      </c>
      <c r="C57" t="s">
        <v>28</v>
      </c>
      <c r="D57" t="s">
        <v>29</v>
      </c>
      <c r="E57" s="1" t="s">
        <v>30</v>
      </c>
      <c r="F57" t="s">
        <v>8</v>
      </c>
      <c r="G57" t="s">
        <v>28</v>
      </c>
      <c r="H57" t="s">
        <v>29</v>
      </c>
      <c r="I57" t="s">
        <v>31</v>
      </c>
    </row>
    <row r="58" spans="1:9" x14ac:dyDescent="0.25">
      <c r="A58" t="s">
        <v>13</v>
      </c>
      <c r="B58">
        <f>SUMPRODUCT($B$6:$G$6,B22:G22)</f>
        <v>0</v>
      </c>
      <c r="C58">
        <f>SUMPRODUCT($B$7:$G$7,B22:G22)</f>
        <v>0</v>
      </c>
      <c r="D58">
        <f>SUMPRODUCT($B$8:$G$8,B22:G22)</f>
        <v>0</v>
      </c>
      <c r="F58">
        <f>24*16*4</f>
        <v>1536</v>
      </c>
      <c r="G58">
        <f>24*16*2</f>
        <v>768</v>
      </c>
      <c r="H58">
        <f>24*16*3</f>
        <v>1152</v>
      </c>
    </row>
    <row r="59" spans="1:9" x14ac:dyDescent="0.25">
      <c r="A59" t="s">
        <v>14</v>
      </c>
      <c r="B59">
        <f t="shared" ref="B59:B63" si="3">SUMPRODUCT($B$6:$G$6,B23:G23)</f>
        <v>0</v>
      </c>
      <c r="C59">
        <f t="shared" ref="C59:C63" si="4">SUMPRODUCT($B$7:$G$7,B23:G23)</f>
        <v>0</v>
      </c>
      <c r="D59">
        <f t="shared" ref="D59:D63" si="5">SUMPRODUCT($B$8:$G$8,B23:G23)</f>
        <v>0</v>
      </c>
      <c r="F59">
        <f t="shared" ref="F59:F63" si="6">24*16*4</f>
        <v>1536</v>
      </c>
      <c r="G59">
        <f t="shared" ref="G59:G63" si="7">24*16*2</f>
        <v>768</v>
      </c>
      <c r="H59">
        <f t="shared" ref="H59:H63" si="8">24*16*3</f>
        <v>1152</v>
      </c>
    </row>
    <row r="60" spans="1:9" x14ac:dyDescent="0.25">
      <c r="A60" t="s">
        <v>15</v>
      </c>
      <c r="B60">
        <f t="shared" si="3"/>
        <v>0</v>
      </c>
      <c r="C60">
        <f t="shared" si="4"/>
        <v>0</v>
      </c>
      <c r="D60">
        <f t="shared" si="5"/>
        <v>0</v>
      </c>
      <c r="F60">
        <f t="shared" si="6"/>
        <v>1536</v>
      </c>
      <c r="G60">
        <f t="shared" si="7"/>
        <v>768</v>
      </c>
      <c r="H60">
        <f t="shared" si="8"/>
        <v>1152</v>
      </c>
    </row>
    <row r="61" spans="1:9" x14ac:dyDescent="0.25">
      <c r="A61" t="s">
        <v>16</v>
      </c>
      <c r="B61">
        <f t="shared" si="3"/>
        <v>0</v>
      </c>
      <c r="C61">
        <f t="shared" si="4"/>
        <v>0</v>
      </c>
      <c r="D61">
        <f t="shared" si="5"/>
        <v>0</v>
      </c>
      <c r="F61">
        <f t="shared" si="6"/>
        <v>1536</v>
      </c>
      <c r="G61">
        <f t="shared" si="7"/>
        <v>768</v>
      </c>
      <c r="H61">
        <f t="shared" si="8"/>
        <v>1152</v>
      </c>
    </row>
    <row r="62" spans="1:9" x14ac:dyDescent="0.25">
      <c r="A62" t="s">
        <v>17</v>
      </c>
      <c r="B62">
        <f t="shared" si="3"/>
        <v>0</v>
      </c>
      <c r="C62">
        <f t="shared" si="4"/>
        <v>0</v>
      </c>
      <c r="D62">
        <f t="shared" si="5"/>
        <v>0</v>
      </c>
      <c r="F62">
        <f t="shared" si="6"/>
        <v>1536</v>
      </c>
      <c r="G62">
        <f t="shared" si="7"/>
        <v>768</v>
      </c>
      <c r="H62">
        <f t="shared" si="8"/>
        <v>1152</v>
      </c>
    </row>
    <row r="63" spans="1:9" x14ac:dyDescent="0.25">
      <c r="A63" t="s">
        <v>18</v>
      </c>
      <c r="B63">
        <f t="shared" si="3"/>
        <v>0</v>
      </c>
      <c r="C63">
        <f t="shared" si="4"/>
        <v>0</v>
      </c>
      <c r="D63">
        <f t="shared" si="5"/>
        <v>0</v>
      </c>
      <c r="F63">
        <f t="shared" si="6"/>
        <v>1536</v>
      </c>
      <c r="G63">
        <f t="shared" si="7"/>
        <v>768</v>
      </c>
      <c r="H63">
        <f t="shared" si="8"/>
        <v>1152</v>
      </c>
    </row>
    <row r="65" spans="1:7" ht="13" x14ac:dyDescent="0.3">
      <c r="A65" s="1" t="s">
        <v>32</v>
      </c>
      <c r="C65" t="s">
        <v>33</v>
      </c>
    </row>
    <row r="66" spans="1:7" x14ac:dyDescent="0.25">
      <c r="A66" t="s">
        <v>13</v>
      </c>
      <c r="B66">
        <f>B13-B38</f>
        <v>500</v>
      </c>
      <c r="C66">
        <f t="shared" ref="C66:G71" si="9">C13-C38</f>
        <v>1000</v>
      </c>
      <c r="D66">
        <f t="shared" si="9"/>
        <v>300</v>
      </c>
      <c r="E66">
        <f t="shared" si="9"/>
        <v>300</v>
      </c>
      <c r="F66">
        <f t="shared" si="9"/>
        <v>800</v>
      </c>
      <c r="G66">
        <f t="shared" si="9"/>
        <v>200</v>
      </c>
    </row>
    <row r="67" spans="1:7" x14ac:dyDescent="0.25">
      <c r="A67" t="s">
        <v>14</v>
      </c>
      <c r="B67">
        <f t="shared" ref="B67:B71" si="10">B14-B39</f>
        <v>600</v>
      </c>
      <c r="C67">
        <f t="shared" si="9"/>
        <v>600</v>
      </c>
      <c r="D67">
        <f t="shared" si="9"/>
        <v>200</v>
      </c>
      <c r="E67">
        <f t="shared" si="9"/>
        <v>500</v>
      </c>
      <c r="F67">
        <f t="shared" si="9"/>
        <v>400</v>
      </c>
      <c r="G67">
        <f t="shared" si="9"/>
        <v>300</v>
      </c>
    </row>
    <row r="68" spans="1:7" x14ac:dyDescent="0.25">
      <c r="A68" t="s">
        <v>15</v>
      </c>
      <c r="B68">
        <f t="shared" si="10"/>
        <v>300</v>
      </c>
      <c r="C68">
        <f t="shared" si="9"/>
        <v>500</v>
      </c>
      <c r="D68">
        <f t="shared" si="9"/>
        <v>200</v>
      </c>
      <c r="E68">
        <f t="shared" si="9"/>
        <v>10</v>
      </c>
      <c r="F68">
        <f t="shared" si="9"/>
        <v>500</v>
      </c>
      <c r="G68">
        <f t="shared" si="9"/>
        <v>400</v>
      </c>
    </row>
    <row r="69" spans="1:7" x14ac:dyDescent="0.25">
      <c r="A69" t="s">
        <v>16</v>
      </c>
      <c r="B69">
        <f t="shared" si="10"/>
        <v>200</v>
      </c>
      <c r="C69">
        <f t="shared" si="9"/>
        <v>300</v>
      </c>
      <c r="D69">
        <f t="shared" si="9"/>
        <v>500</v>
      </c>
      <c r="E69">
        <f t="shared" si="9"/>
        <v>500</v>
      </c>
      <c r="F69">
        <f t="shared" si="9"/>
        <v>200</v>
      </c>
      <c r="G69">
        <f t="shared" si="9"/>
        <v>800</v>
      </c>
    </row>
    <row r="70" spans="1:7" x14ac:dyDescent="0.25">
      <c r="A70" t="s">
        <v>17</v>
      </c>
      <c r="B70">
        <f t="shared" si="10"/>
        <v>0</v>
      </c>
      <c r="C70">
        <f t="shared" si="9"/>
        <v>100</v>
      </c>
      <c r="D70">
        <f t="shared" si="9"/>
        <v>400</v>
      </c>
      <c r="E70">
        <f t="shared" si="9"/>
        <v>100</v>
      </c>
      <c r="F70">
        <f t="shared" si="9"/>
        <v>1100</v>
      </c>
      <c r="G70">
        <f t="shared" si="9"/>
        <v>300</v>
      </c>
    </row>
    <row r="71" spans="1:7" x14ac:dyDescent="0.25">
      <c r="A71" t="s">
        <v>18</v>
      </c>
      <c r="B71">
        <f t="shared" si="10"/>
        <v>500</v>
      </c>
      <c r="C71">
        <f t="shared" si="9"/>
        <v>500</v>
      </c>
      <c r="D71">
        <f t="shared" si="9"/>
        <v>800</v>
      </c>
      <c r="E71">
        <f t="shared" si="9"/>
        <v>300</v>
      </c>
      <c r="F71">
        <f t="shared" si="9"/>
        <v>1000</v>
      </c>
      <c r="G71">
        <f t="shared" si="9"/>
        <v>500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Home2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Operations Research Center</dc:creator>
  <cp:lastModifiedBy>Carina Negreanu</cp:lastModifiedBy>
  <dcterms:created xsi:type="dcterms:W3CDTF">1996-09-30T14:11:34Z</dcterms:created>
  <dcterms:modified xsi:type="dcterms:W3CDTF">2020-01-27T11:42:05Z</dcterms:modified>
</cp:coreProperties>
</file>