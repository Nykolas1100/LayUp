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243DF1-FAA3-4E39-AAE9-CBC8445E6966}" xr6:coauthVersionLast="45" xr6:coauthVersionMax="45" xr10:uidLastSave="{00000000-0000-0000-0000-000000000000}"/>
  <bookViews>
    <workbookView xWindow="3420" yWindow="3420" windowWidth="28800" windowHeight="15460" firstSheet="5" activeTab="5"/>
  </bookViews>
  <sheets>
    <sheet name="September" sheetId="2" state="hidden" r:id="rId1"/>
    <sheet name="October" sheetId="3" state="hidden" r:id="rId2"/>
    <sheet name="November" sheetId="6" state="hidden" r:id="rId3"/>
    <sheet name="December" sheetId="7" state="hidden" r:id="rId4"/>
    <sheet name="January" sheetId="8" state="hidden" r:id="rId5"/>
    <sheet name="Nov" sheetId="9" r:id="rId6"/>
    <sheet name="TOTAL (2)" sheetId="14" r:id="rId7"/>
    <sheet name="Sheet1" sheetId="10" r:id="rId8"/>
    <sheet name="Sheet2" sheetId="12" r:id="rId9"/>
    <sheet name="Sheet3" sheetId="13" r:id="rId10"/>
  </sheets>
  <definedNames>
    <definedName name="_xlnm.Print_Area" localSheetId="5">Nov!$A$1:$Q$57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7" l="1"/>
  <c r="F9" i="7"/>
  <c r="E10" i="7"/>
  <c r="F10" i="7"/>
  <c r="D11" i="7"/>
  <c r="E11" i="7"/>
  <c r="F11" i="7" s="1"/>
  <c r="C13" i="7"/>
  <c r="C29" i="7" s="1"/>
  <c r="D13" i="7"/>
  <c r="D29" i="7" s="1"/>
  <c r="E13" i="7"/>
  <c r="F13" i="7" s="1"/>
  <c r="E14" i="7"/>
  <c r="F14" i="7"/>
  <c r="D15" i="7"/>
  <c r="D17" i="7"/>
  <c r="F17" i="7"/>
  <c r="E18" i="7"/>
  <c r="F18" i="7"/>
  <c r="D19" i="7"/>
  <c r="E19" i="7"/>
  <c r="F19" i="7" s="1"/>
  <c r="D21" i="7"/>
  <c r="F21" i="7" s="1"/>
  <c r="E22" i="7"/>
  <c r="F22" i="7" s="1"/>
  <c r="D23" i="7"/>
  <c r="E23" i="7"/>
  <c r="F23" i="7"/>
  <c r="G23" i="7" s="1"/>
  <c r="I23" i="7"/>
  <c r="D25" i="7"/>
  <c r="D27" i="7" s="1"/>
  <c r="F27" i="7" s="1"/>
  <c r="F25" i="7"/>
  <c r="E26" i="7"/>
  <c r="F26" i="7"/>
  <c r="E27" i="7"/>
  <c r="H29" i="7"/>
  <c r="D9" i="8"/>
  <c r="D29" i="8" s="1"/>
  <c r="E9" i="8"/>
  <c r="E11" i="8" s="1"/>
  <c r="E10" i="8"/>
  <c r="F10" i="8" s="1"/>
  <c r="D11" i="8"/>
  <c r="F11" i="8" s="1"/>
  <c r="C13" i="8"/>
  <c r="D13" i="8"/>
  <c r="E13" i="8"/>
  <c r="F13" i="8"/>
  <c r="E14" i="8"/>
  <c r="F14" i="8"/>
  <c r="D15" i="8"/>
  <c r="E15" i="8"/>
  <c r="F15" i="8" s="1"/>
  <c r="D17" i="8"/>
  <c r="F17" i="8" s="1"/>
  <c r="E18" i="8"/>
  <c r="E19" i="8" s="1"/>
  <c r="D19" i="8"/>
  <c r="D21" i="8"/>
  <c r="E21" i="8"/>
  <c r="F21" i="8" s="1"/>
  <c r="E22" i="8"/>
  <c r="F22" i="8"/>
  <c r="D23" i="8"/>
  <c r="E23" i="8"/>
  <c r="F23" i="8"/>
  <c r="G23" i="8" s="1"/>
  <c r="D25" i="8"/>
  <c r="F25" i="8" s="1"/>
  <c r="E25" i="8"/>
  <c r="E27" i="8" s="1"/>
  <c r="E26" i="8"/>
  <c r="F26" i="8" s="1"/>
  <c r="D27" i="8"/>
  <c r="F27" i="8" s="1"/>
  <c r="C29" i="8"/>
  <c r="I29" i="8"/>
  <c r="C9" i="9"/>
  <c r="C11" i="9" s="1"/>
  <c r="D9" i="9"/>
  <c r="D11" i="9" s="1"/>
  <c r="F9" i="9"/>
  <c r="G9" i="9"/>
  <c r="H9" i="9"/>
  <c r="C13" i="9"/>
  <c r="C15" i="9" s="1"/>
  <c r="D13" i="9"/>
  <c r="F13" i="9"/>
  <c r="H13" i="9" s="1"/>
  <c r="G13" i="9"/>
  <c r="K13" i="9"/>
  <c r="D15" i="9"/>
  <c r="C17" i="9"/>
  <c r="D17" i="9"/>
  <c r="D19" i="9" s="1"/>
  <c r="F17" i="9"/>
  <c r="G17" i="9"/>
  <c r="H17" i="9"/>
  <c r="K17" i="9"/>
  <c r="C19" i="9"/>
  <c r="C21" i="9"/>
  <c r="C23" i="9" s="1"/>
  <c r="D21" i="9"/>
  <c r="D23" i="9" s="1"/>
  <c r="F21" i="9"/>
  <c r="F23" i="9" s="1"/>
  <c r="G21" i="9"/>
  <c r="G23" i="9" s="1"/>
  <c r="H21" i="9"/>
  <c r="C25" i="9"/>
  <c r="C27" i="9" s="1"/>
  <c r="D25" i="9"/>
  <c r="F25" i="9"/>
  <c r="H25" i="9" s="1"/>
  <c r="G25" i="9"/>
  <c r="K25" i="9"/>
  <c r="D27" i="9"/>
  <c r="K31" i="9"/>
  <c r="L31" i="9"/>
  <c r="N31" i="9"/>
  <c r="F9" i="6"/>
  <c r="F10" i="6"/>
  <c r="D11" i="6"/>
  <c r="E11" i="6"/>
  <c r="F11" i="6"/>
  <c r="G11" i="6" s="1"/>
  <c r="I11" i="6"/>
  <c r="C13" i="6"/>
  <c r="C29" i="6" s="1"/>
  <c r="D13" i="6"/>
  <c r="E13" i="6"/>
  <c r="F13" i="6"/>
  <c r="E14" i="6"/>
  <c r="F14" i="6" s="1"/>
  <c r="D15" i="6"/>
  <c r="F15" i="6" s="1"/>
  <c r="E15" i="6"/>
  <c r="D17" i="6"/>
  <c r="F17" i="6" s="1"/>
  <c r="F18" i="6"/>
  <c r="E19" i="6"/>
  <c r="F21" i="6"/>
  <c r="F22" i="6"/>
  <c r="D23" i="6"/>
  <c r="E23" i="6"/>
  <c r="F23" i="6"/>
  <c r="G23" i="6"/>
  <c r="I23" i="6"/>
  <c r="D25" i="6"/>
  <c r="F25" i="6"/>
  <c r="D26" i="6"/>
  <c r="E26" i="6"/>
  <c r="E27" i="6" s="1"/>
  <c r="D27" i="6"/>
  <c r="F27" i="6" s="1"/>
  <c r="H29" i="6"/>
  <c r="D8" i="3"/>
  <c r="F8" i="3"/>
  <c r="E9" i="3"/>
  <c r="E10" i="3" s="1"/>
  <c r="F9" i="3"/>
  <c r="D10" i="3"/>
  <c r="C12" i="3"/>
  <c r="C28" i="3" s="1"/>
  <c r="D12" i="3"/>
  <c r="F12" i="3"/>
  <c r="E13" i="3"/>
  <c r="F13" i="3" s="1"/>
  <c r="D14" i="3"/>
  <c r="E14" i="3"/>
  <c r="F14" i="3" s="1"/>
  <c r="G14" i="3" s="1"/>
  <c r="D16" i="3"/>
  <c r="F16" i="3"/>
  <c r="E17" i="3"/>
  <c r="F17" i="3"/>
  <c r="D18" i="3"/>
  <c r="E18" i="3"/>
  <c r="F18" i="3"/>
  <c r="G18" i="3"/>
  <c r="D20" i="3"/>
  <c r="D22" i="3" s="1"/>
  <c r="F20" i="3"/>
  <c r="E21" i="3"/>
  <c r="E22" i="3" s="1"/>
  <c r="F21" i="3"/>
  <c r="D24" i="3"/>
  <c r="F24" i="3"/>
  <c r="E25" i="3"/>
  <c r="F25" i="3"/>
  <c r="D26" i="3"/>
  <c r="E26" i="3"/>
  <c r="F26" i="3" s="1"/>
  <c r="G26" i="3" s="1"/>
  <c r="I28" i="3"/>
  <c r="J28" i="3"/>
  <c r="D8" i="2"/>
  <c r="F8" i="2"/>
  <c r="E9" i="2"/>
  <c r="F9" i="2" s="1"/>
  <c r="D10" i="2"/>
  <c r="D28" i="2" s="1"/>
  <c r="E10" i="2"/>
  <c r="C12" i="2"/>
  <c r="C28" i="2" s="1"/>
  <c r="D12" i="2"/>
  <c r="F12" i="2" s="1"/>
  <c r="E13" i="2"/>
  <c r="F13" i="2"/>
  <c r="D14" i="2"/>
  <c r="E14" i="2"/>
  <c r="F14" i="2"/>
  <c r="G14" i="2" s="1"/>
  <c r="D16" i="2"/>
  <c r="D18" i="2" s="1"/>
  <c r="E17" i="2"/>
  <c r="F17" i="2" s="1"/>
  <c r="D20" i="2"/>
  <c r="F20" i="2" s="1"/>
  <c r="E21" i="2"/>
  <c r="F21" i="2"/>
  <c r="D22" i="2"/>
  <c r="E22" i="2"/>
  <c r="F22" i="2"/>
  <c r="G22" i="2"/>
  <c r="D24" i="2"/>
  <c r="F24" i="2"/>
  <c r="E25" i="2"/>
  <c r="F25" i="2" s="1"/>
  <c r="D26" i="2"/>
  <c r="O17" i="10"/>
  <c r="O18" i="10"/>
  <c r="O19" i="10"/>
  <c r="O20" i="10"/>
  <c r="O21" i="10"/>
  <c r="E24" i="10"/>
  <c r="F24" i="10"/>
  <c r="G24" i="10"/>
  <c r="A31" i="10"/>
  <c r="D31" i="10"/>
  <c r="D33" i="10" s="1"/>
  <c r="E31" i="10"/>
  <c r="E33" i="10" s="1"/>
  <c r="F31" i="10"/>
  <c r="F33" i="10" s="1"/>
  <c r="G31" i="10"/>
  <c r="G33" i="10" s="1"/>
  <c r="H31" i="10"/>
  <c r="H33" i="10" s="1"/>
  <c r="I31" i="10"/>
  <c r="J31" i="10"/>
  <c r="J33" i="10" s="1"/>
  <c r="A32" i="10"/>
  <c r="D32" i="10"/>
  <c r="E32" i="10"/>
  <c r="F32" i="10"/>
  <c r="G32" i="10"/>
  <c r="H32" i="10"/>
  <c r="I32" i="10"/>
  <c r="I33" i="10" s="1"/>
  <c r="J32" i="10"/>
  <c r="A34" i="10"/>
  <c r="D34" i="10"/>
  <c r="E34" i="10"/>
  <c r="F34" i="10"/>
  <c r="G34" i="10"/>
  <c r="H34" i="10"/>
  <c r="H38" i="10" s="1"/>
  <c r="I34" i="10"/>
  <c r="I38" i="10" s="1"/>
  <c r="J34" i="10"/>
  <c r="A35" i="10"/>
  <c r="D35" i="10"/>
  <c r="E35" i="10"/>
  <c r="E38" i="10" s="1"/>
  <c r="F26" i="9" s="1"/>
  <c r="F35" i="10"/>
  <c r="G35" i="10"/>
  <c r="G38" i="10" s="1"/>
  <c r="H35" i="10"/>
  <c r="I35" i="10"/>
  <c r="J35" i="10"/>
  <c r="J38" i="10" s="1"/>
  <c r="A36" i="10"/>
  <c r="D36" i="10"/>
  <c r="E36" i="10"/>
  <c r="F36" i="10"/>
  <c r="G36" i="10"/>
  <c r="H36" i="10"/>
  <c r="I36" i="10"/>
  <c r="J36" i="10"/>
  <c r="A37" i="10"/>
  <c r="D37" i="10"/>
  <c r="E37" i="10"/>
  <c r="F37" i="10"/>
  <c r="G37" i="10"/>
  <c r="H37" i="10"/>
  <c r="I37" i="10"/>
  <c r="J37" i="10"/>
  <c r="D38" i="10"/>
  <c r="F38" i="10"/>
  <c r="G26" i="9" s="1"/>
  <c r="A39" i="10"/>
  <c r="D39" i="10"/>
  <c r="E39" i="10"/>
  <c r="F39" i="10"/>
  <c r="G39" i="10"/>
  <c r="G56" i="10" s="1"/>
  <c r="H39" i="10"/>
  <c r="H56" i="10" s="1"/>
  <c r="I39" i="10"/>
  <c r="J39" i="10"/>
  <c r="A40" i="10"/>
  <c r="D40" i="10"/>
  <c r="E40" i="10"/>
  <c r="E56" i="10" s="1"/>
  <c r="F40" i="10"/>
  <c r="F56" i="10" s="1"/>
  <c r="G40" i="10"/>
  <c r="H40" i="10"/>
  <c r="I40" i="10"/>
  <c r="I56" i="10" s="1"/>
  <c r="J40" i="10"/>
  <c r="J56" i="10" s="1"/>
  <c r="A41" i="10"/>
  <c r="D41" i="10"/>
  <c r="E41" i="10"/>
  <c r="F41" i="10"/>
  <c r="G41" i="10"/>
  <c r="H41" i="10"/>
  <c r="I41" i="10"/>
  <c r="J41" i="10"/>
  <c r="A42" i="10"/>
  <c r="D42" i="10"/>
  <c r="E42" i="10"/>
  <c r="F42" i="10"/>
  <c r="G42" i="10"/>
  <c r="H42" i="10"/>
  <c r="I42" i="10"/>
  <c r="J42" i="10"/>
  <c r="A43" i="10"/>
  <c r="D43" i="10"/>
  <c r="E43" i="10"/>
  <c r="F43" i="10"/>
  <c r="G43" i="10"/>
  <c r="H43" i="10"/>
  <c r="I43" i="10"/>
  <c r="J43" i="10"/>
  <c r="A44" i="10"/>
  <c r="D44" i="10"/>
  <c r="E44" i="10"/>
  <c r="F44" i="10"/>
  <c r="G44" i="10"/>
  <c r="H44" i="10"/>
  <c r="I44" i="10"/>
  <c r="J44" i="10"/>
  <c r="A45" i="10"/>
  <c r="D45" i="10"/>
  <c r="E45" i="10"/>
  <c r="F45" i="10"/>
  <c r="G45" i="10"/>
  <c r="H45" i="10"/>
  <c r="I45" i="10"/>
  <c r="J45" i="10"/>
  <c r="A46" i="10"/>
  <c r="D46" i="10"/>
  <c r="E46" i="10"/>
  <c r="F46" i="10"/>
  <c r="G46" i="10"/>
  <c r="H46" i="10"/>
  <c r="I46" i="10"/>
  <c r="J46" i="10"/>
  <c r="A47" i="10"/>
  <c r="D47" i="10"/>
  <c r="E47" i="10"/>
  <c r="F47" i="10"/>
  <c r="G47" i="10"/>
  <c r="H47" i="10"/>
  <c r="I47" i="10"/>
  <c r="J47" i="10"/>
  <c r="A48" i="10"/>
  <c r="D48" i="10"/>
  <c r="E48" i="10"/>
  <c r="F48" i="10"/>
  <c r="G48" i="10"/>
  <c r="H48" i="10"/>
  <c r="I48" i="10"/>
  <c r="J48" i="10"/>
  <c r="A49" i="10"/>
  <c r="D49" i="10"/>
  <c r="E49" i="10"/>
  <c r="F49" i="10"/>
  <c r="G49" i="10"/>
  <c r="H49" i="10"/>
  <c r="I49" i="10"/>
  <c r="J49" i="10"/>
  <c r="A50" i="10"/>
  <c r="D50" i="10"/>
  <c r="E50" i="10"/>
  <c r="F50" i="10"/>
  <c r="G50" i="10"/>
  <c r="H50" i="10"/>
  <c r="I50" i="10"/>
  <c r="J50" i="10"/>
  <c r="A51" i="10"/>
  <c r="D51" i="10"/>
  <c r="E51" i="10"/>
  <c r="F51" i="10"/>
  <c r="G51" i="10"/>
  <c r="H51" i="10"/>
  <c r="I51" i="10"/>
  <c r="J51" i="10"/>
  <c r="A52" i="10"/>
  <c r="D52" i="10"/>
  <c r="E52" i="10"/>
  <c r="F52" i="10"/>
  <c r="G52" i="10"/>
  <c r="H52" i="10"/>
  <c r="I52" i="10"/>
  <c r="J52" i="10"/>
  <c r="A53" i="10"/>
  <c r="D53" i="10"/>
  <c r="E53" i="10"/>
  <c r="F53" i="10"/>
  <c r="G53" i="10"/>
  <c r="H53" i="10"/>
  <c r="I53" i="10"/>
  <c r="J53" i="10"/>
  <c r="A54" i="10"/>
  <c r="D54" i="10"/>
  <c r="E54" i="10"/>
  <c r="F54" i="10"/>
  <c r="G54" i="10"/>
  <c r="H54" i="10"/>
  <c r="I54" i="10"/>
  <c r="J54" i="10"/>
  <c r="A55" i="10"/>
  <c r="D55" i="10"/>
  <c r="E55" i="10"/>
  <c r="F55" i="10"/>
  <c r="G55" i="10"/>
  <c r="H55" i="10"/>
  <c r="I55" i="10"/>
  <c r="J55" i="10"/>
  <c r="D56" i="10"/>
  <c r="A57" i="10"/>
  <c r="D57" i="10"/>
  <c r="D79" i="10" s="1"/>
  <c r="E57" i="10"/>
  <c r="F57" i="10"/>
  <c r="G57" i="10"/>
  <c r="H57" i="10"/>
  <c r="I57" i="10"/>
  <c r="J57" i="10"/>
  <c r="J79" i="10" s="1"/>
  <c r="A58" i="10"/>
  <c r="D58" i="10"/>
  <c r="E58" i="10"/>
  <c r="E79" i="10" s="1"/>
  <c r="F10" i="9" s="1"/>
  <c r="F58" i="10"/>
  <c r="G58" i="10"/>
  <c r="G79" i="10" s="1"/>
  <c r="H58" i="10"/>
  <c r="I58" i="10"/>
  <c r="J58" i="10"/>
  <c r="A59" i="10"/>
  <c r="D59" i="10"/>
  <c r="E59" i="10"/>
  <c r="F59" i="10"/>
  <c r="G59" i="10"/>
  <c r="H59" i="10"/>
  <c r="H79" i="10" s="1"/>
  <c r="C10" i="9" s="1"/>
  <c r="I59" i="10"/>
  <c r="J59" i="10"/>
  <c r="A60" i="10"/>
  <c r="D60" i="10"/>
  <c r="E60" i="10"/>
  <c r="F60" i="10"/>
  <c r="F79" i="10" s="1"/>
  <c r="G60" i="10"/>
  <c r="H60" i="10"/>
  <c r="I60" i="10"/>
  <c r="I79" i="10" s="1"/>
  <c r="D10" i="9" s="1"/>
  <c r="J60" i="10"/>
  <c r="A61" i="10"/>
  <c r="D61" i="10"/>
  <c r="E61" i="10"/>
  <c r="F61" i="10"/>
  <c r="G61" i="10"/>
  <c r="H61" i="10"/>
  <c r="I61" i="10"/>
  <c r="J61" i="10"/>
  <c r="A62" i="10"/>
  <c r="D62" i="10"/>
  <c r="E62" i="10"/>
  <c r="F62" i="10"/>
  <c r="G62" i="10"/>
  <c r="H62" i="10"/>
  <c r="I62" i="10"/>
  <c r="J62" i="10"/>
  <c r="A63" i="10"/>
  <c r="D63" i="10"/>
  <c r="E63" i="10"/>
  <c r="F63" i="10"/>
  <c r="G63" i="10"/>
  <c r="H63" i="10"/>
  <c r="I63" i="10"/>
  <c r="J63" i="10"/>
  <c r="A64" i="10"/>
  <c r="D64" i="10"/>
  <c r="E64" i="10"/>
  <c r="F64" i="10"/>
  <c r="G64" i="10"/>
  <c r="H64" i="10"/>
  <c r="I64" i="10"/>
  <c r="J64" i="10"/>
  <c r="A65" i="10"/>
  <c r="D65" i="10"/>
  <c r="E65" i="10"/>
  <c r="F65" i="10"/>
  <c r="G65" i="10"/>
  <c r="H65" i="10"/>
  <c r="I65" i="10"/>
  <c r="J65" i="10"/>
  <c r="A66" i="10"/>
  <c r="D66" i="10"/>
  <c r="E66" i="10"/>
  <c r="F66" i="10"/>
  <c r="G66" i="10"/>
  <c r="H66" i="10"/>
  <c r="I66" i="10"/>
  <c r="J66" i="10"/>
  <c r="A67" i="10"/>
  <c r="D67" i="10"/>
  <c r="E67" i="10"/>
  <c r="F67" i="10"/>
  <c r="G67" i="10"/>
  <c r="H67" i="10"/>
  <c r="I67" i="10"/>
  <c r="J67" i="10"/>
  <c r="A68" i="10"/>
  <c r="D68" i="10"/>
  <c r="E68" i="10"/>
  <c r="F68" i="10"/>
  <c r="G68" i="10"/>
  <c r="H68" i="10"/>
  <c r="I68" i="10"/>
  <c r="J68" i="10"/>
  <c r="A69" i="10"/>
  <c r="D69" i="10"/>
  <c r="E69" i="10"/>
  <c r="F69" i="10"/>
  <c r="G69" i="10"/>
  <c r="H69" i="10"/>
  <c r="I69" i="10"/>
  <c r="J69" i="10"/>
  <c r="A70" i="10"/>
  <c r="D70" i="10"/>
  <c r="E70" i="10"/>
  <c r="F70" i="10"/>
  <c r="G70" i="10"/>
  <c r="H70" i="10"/>
  <c r="I70" i="10"/>
  <c r="J70" i="10"/>
  <c r="A71" i="10"/>
  <c r="D71" i="10"/>
  <c r="E71" i="10"/>
  <c r="F71" i="10"/>
  <c r="G71" i="10"/>
  <c r="H71" i="10"/>
  <c r="I71" i="10"/>
  <c r="J71" i="10"/>
  <c r="A72" i="10"/>
  <c r="D72" i="10"/>
  <c r="E72" i="10"/>
  <c r="F72" i="10"/>
  <c r="G72" i="10"/>
  <c r="H72" i="10"/>
  <c r="I72" i="10"/>
  <c r="J72" i="10"/>
  <c r="A73" i="10"/>
  <c r="D73" i="10"/>
  <c r="E73" i="10"/>
  <c r="F73" i="10"/>
  <c r="G73" i="10"/>
  <c r="H73" i="10"/>
  <c r="I73" i="10"/>
  <c r="J73" i="10"/>
  <c r="A74" i="10"/>
  <c r="D74" i="10"/>
  <c r="E74" i="10"/>
  <c r="F74" i="10"/>
  <c r="G74" i="10"/>
  <c r="H74" i="10"/>
  <c r="I74" i="10"/>
  <c r="J74" i="10"/>
  <c r="A75" i="10"/>
  <c r="D75" i="10"/>
  <c r="E75" i="10"/>
  <c r="F75" i="10"/>
  <c r="G75" i="10"/>
  <c r="H75" i="10"/>
  <c r="I75" i="10"/>
  <c r="J75" i="10"/>
  <c r="A76" i="10"/>
  <c r="D76" i="10"/>
  <c r="E76" i="10"/>
  <c r="F76" i="10"/>
  <c r="G76" i="10"/>
  <c r="H76" i="10"/>
  <c r="I76" i="10"/>
  <c r="J76" i="10"/>
  <c r="A77" i="10"/>
  <c r="D77" i="10"/>
  <c r="E77" i="10"/>
  <c r="F77" i="10"/>
  <c r="G77" i="10"/>
  <c r="H77" i="10"/>
  <c r="I77" i="10"/>
  <c r="J77" i="10"/>
  <c r="A78" i="10"/>
  <c r="D78" i="10"/>
  <c r="E78" i="10"/>
  <c r="F78" i="10"/>
  <c r="G78" i="10"/>
  <c r="H78" i="10"/>
  <c r="I78" i="10"/>
  <c r="J78" i="10"/>
  <c r="A80" i="10"/>
  <c r="D80" i="10"/>
  <c r="D97" i="10" s="1"/>
  <c r="E80" i="10"/>
  <c r="F80" i="10"/>
  <c r="F97" i="10" s="1"/>
  <c r="G80" i="10"/>
  <c r="G97" i="10" s="1"/>
  <c r="H80" i="10"/>
  <c r="H97" i="10" s="1"/>
  <c r="I80" i="10"/>
  <c r="I97" i="10" s="1"/>
  <c r="J80" i="10"/>
  <c r="A81" i="10"/>
  <c r="D81" i="10"/>
  <c r="E81" i="10"/>
  <c r="F81" i="10"/>
  <c r="G81" i="10"/>
  <c r="H81" i="10"/>
  <c r="I81" i="10"/>
  <c r="J81" i="10"/>
  <c r="A82" i="10"/>
  <c r="D82" i="10"/>
  <c r="E82" i="10"/>
  <c r="F82" i="10"/>
  <c r="G82" i="10"/>
  <c r="H82" i="10"/>
  <c r="I82" i="10"/>
  <c r="J82" i="10"/>
  <c r="J97" i="10" s="1"/>
  <c r="A83" i="10"/>
  <c r="D83" i="10"/>
  <c r="E83" i="10"/>
  <c r="E97" i="10" s="1"/>
  <c r="F83" i="10"/>
  <c r="G83" i="10"/>
  <c r="H83" i="10"/>
  <c r="I83" i="10"/>
  <c r="J83" i="10"/>
  <c r="A84" i="10"/>
  <c r="D84" i="10"/>
  <c r="E84" i="10"/>
  <c r="F84" i="10"/>
  <c r="G84" i="10"/>
  <c r="H84" i="10"/>
  <c r="I84" i="10"/>
  <c r="J84" i="10"/>
  <c r="A85" i="10"/>
  <c r="D85" i="10"/>
  <c r="E85" i="10"/>
  <c r="F85" i="10"/>
  <c r="G85" i="10"/>
  <c r="H85" i="10"/>
  <c r="I85" i="10"/>
  <c r="J85" i="10"/>
  <c r="A86" i="10"/>
  <c r="D86" i="10"/>
  <c r="E86" i="10"/>
  <c r="F86" i="10"/>
  <c r="G86" i="10"/>
  <c r="H86" i="10"/>
  <c r="I86" i="10"/>
  <c r="J86" i="10"/>
  <c r="A87" i="10"/>
  <c r="D87" i="10"/>
  <c r="E87" i="10"/>
  <c r="F87" i="10"/>
  <c r="G87" i="10"/>
  <c r="H87" i="10"/>
  <c r="I87" i="10"/>
  <c r="J87" i="10"/>
  <c r="A88" i="10"/>
  <c r="D88" i="10"/>
  <c r="E88" i="10"/>
  <c r="F88" i="10"/>
  <c r="G88" i="10"/>
  <c r="H88" i="10"/>
  <c r="I88" i="10"/>
  <c r="J88" i="10"/>
  <c r="A89" i="10"/>
  <c r="D89" i="10"/>
  <c r="E89" i="10"/>
  <c r="F89" i="10"/>
  <c r="G89" i="10"/>
  <c r="H89" i="10"/>
  <c r="I89" i="10"/>
  <c r="J89" i="10"/>
  <c r="A90" i="10"/>
  <c r="D90" i="10"/>
  <c r="E90" i="10"/>
  <c r="F90" i="10"/>
  <c r="G90" i="10"/>
  <c r="H90" i="10"/>
  <c r="I90" i="10"/>
  <c r="J90" i="10"/>
  <c r="A91" i="10"/>
  <c r="D91" i="10"/>
  <c r="E91" i="10"/>
  <c r="F91" i="10"/>
  <c r="G91" i="10"/>
  <c r="H91" i="10"/>
  <c r="I91" i="10"/>
  <c r="J91" i="10"/>
  <c r="A92" i="10"/>
  <c r="D92" i="10"/>
  <c r="E92" i="10"/>
  <c r="F92" i="10"/>
  <c r="G92" i="10"/>
  <c r="H92" i="10"/>
  <c r="I92" i="10"/>
  <c r="J92" i="10"/>
  <c r="A93" i="10"/>
  <c r="D93" i="10"/>
  <c r="E93" i="10"/>
  <c r="F93" i="10"/>
  <c r="G93" i="10"/>
  <c r="H93" i="10"/>
  <c r="I93" i="10"/>
  <c r="J93" i="10"/>
  <c r="A94" i="10"/>
  <c r="D94" i="10"/>
  <c r="E94" i="10"/>
  <c r="F94" i="10"/>
  <c r="G94" i="10"/>
  <c r="H94" i="10"/>
  <c r="I94" i="10"/>
  <c r="J94" i="10"/>
  <c r="A95" i="10"/>
  <c r="D95" i="10"/>
  <c r="E95" i="10"/>
  <c r="F95" i="10"/>
  <c r="G95" i="10"/>
  <c r="H95" i="10"/>
  <c r="I95" i="10"/>
  <c r="J95" i="10"/>
  <c r="A96" i="10"/>
  <c r="D96" i="10"/>
  <c r="E96" i="10"/>
  <c r="F96" i="10"/>
  <c r="G96" i="10"/>
  <c r="H96" i="10"/>
  <c r="I96" i="10"/>
  <c r="J96" i="10"/>
  <c r="A98" i="10"/>
  <c r="D98" i="10"/>
  <c r="E98" i="10"/>
  <c r="E103" i="10" s="1"/>
  <c r="F22" i="9" s="1"/>
  <c r="F98" i="10"/>
  <c r="G98" i="10"/>
  <c r="H98" i="10"/>
  <c r="I98" i="10"/>
  <c r="I103" i="10" s="1"/>
  <c r="D22" i="9" s="1"/>
  <c r="J98" i="10"/>
  <c r="A99" i="10"/>
  <c r="D99" i="10"/>
  <c r="E99" i="10"/>
  <c r="F99" i="10"/>
  <c r="G99" i="10"/>
  <c r="H99" i="10"/>
  <c r="I99" i="10"/>
  <c r="J99" i="10"/>
  <c r="A100" i="10"/>
  <c r="D100" i="10"/>
  <c r="E100" i="10"/>
  <c r="F100" i="10"/>
  <c r="G100" i="10"/>
  <c r="G103" i="10" s="1"/>
  <c r="H100" i="10"/>
  <c r="I100" i="10"/>
  <c r="J100" i="10"/>
  <c r="A101" i="10"/>
  <c r="D101" i="10"/>
  <c r="E101" i="10"/>
  <c r="F101" i="10"/>
  <c r="G101" i="10"/>
  <c r="H101" i="10"/>
  <c r="I101" i="10"/>
  <c r="J101" i="10"/>
  <c r="A102" i="10"/>
  <c r="D102" i="10"/>
  <c r="E102" i="10"/>
  <c r="F102" i="10"/>
  <c r="G102" i="10"/>
  <c r="H102" i="10"/>
  <c r="I102" i="10"/>
  <c r="J102" i="10"/>
  <c r="D103" i="10"/>
  <c r="F103" i="10"/>
  <c r="G22" i="9" s="1"/>
  <c r="K22" i="9" s="1"/>
  <c r="H103" i="10"/>
  <c r="C22" i="9" s="1"/>
  <c r="J103" i="10"/>
  <c r="A104" i="10"/>
  <c r="D104" i="10"/>
  <c r="D110" i="10" s="1"/>
  <c r="E104" i="10"/>
  <c r="E110" i="10" s="1"/>
  <c r="F104" i="10"/>
  <c r="F110" i="10" s="1"/>
  <c r="G104" i="10"/>
  <c r="H104" i="10"/>
  <c r="I104" i="10"/>
  <c r="J104" i="10"/>
  <c r="A105" i="10"/>
  <c r="D105" i="10"/>
  <c r="E105" i="10"/>
  <c r="F105" i="10"/>
  <c r="G105" i="10"/>
  <c r="G110" i="10" s="1"/>
  <c r="H105" i="10"/>
  <c r="I105" i="10"/>
  <c r="I110" i="10" s="1"/>
  <c r="J105" i="10"/>
  <c r="A106" i="10"/>
  <c r="D106" i="10"/>
  <c r="E106" i="10"/>
  <c r="F106" i="10"/>
  <c r="G106" i="10"/>
  <c r="H106" i="10"/>
  <c r="I106" i="10"/>
  <c r="J106" i="10"/>
  <c r="A107" i="10"/>
  <c r="D107" i="10"/>
  <c r="E107" i="10"/>
  <c r="F107" i="10"/>
  <c r="G107" i="10"/>
  <c r="H107" i="10"/>
  <c r="I107" i="10"/>
  <c r="J107" i="10"/>
  <c r="A108" i="10"/>
  <c r="D108" i="10"/>
  <c r="E108" i="10"/>
  <c r="F108" i="10"/>
  <c r="G108" i="10"/>
  <c r="H108" i="10"/>
  <c r="I108" i="10"/>
  <c r="J108" i="10"/>
  <c r="A109" i="10"/>
  <c r="D109" i="10"/>
  <c r="E109" i="10"/>
  <c r="F109" i="10"/>
  <c r="G109" i="10"/>
  <c r="H109" i="10"/>
  <c r="I109" i="10"/>
  <c r="J109" i="10"/>
  <c r="H110" i="10"/>
  <c r="J110" i="10"/>
  <c r="A111" i="10"/>
  <c r="D111" i="10"/>
  <c r="D114" i="10" s="1"/>
  <c r="E111" i="10"/>
  <c r="E114" i="10" s="1"/>
  <c r="F111" i="10"/>
  <c r="F114" i="10" s="1"/>
  <c r="G111" i="10"/>
  <c r="H111" i="10"/>
  <c r="I111" i="10"/>
  <c r="I114" i="10" s="1"/>
  <c r="J111" i="10"/>
  <c r="A112" i="10"/>
  <c r="D112" i="10"/>
  <c r="E112" i="10"/>
  <c r="F112" i="10"/>
  <c r="G112" i="10"/>
  <c r="H112" i="10"/>
  <c r="I112" i="10"/>
  <c r="J112" i="10"/>
  <c r="A113" i="10"/>
  <c r="D113" i="10"/>
  <c r="E113" i="10"/>
  <c r="F113" i="10"/>
  <c r="G113" i="10"/>
  <c r="G114" i="10" s="1"/>
  <c r="H113" i="10"/>
  <c r="H114" i="10" s="1"/>
  <c r="I113" i="10"/>
  <c r="J113" i="10"/>
  <c r="J114" i="10" s="1"/>
  <c r="A115" i="10"/>
  <c r="D115" i="10"/>
  <c r="E115" i="10"/>
  <c r="F115" i="10"/>
  <c r="F124" i="10" s="1"/>
  <c r="G115" i="10"/>
  <c r="H115" i="10"/>
  <c r="H124" i="10" s="1"/>
  <c r="I115" i="10"/>
  <c r="I124" i="10" s="1"/>
  <c r="J115" i="10"/>
  <c r="J124" i="10" s="1"/>
  <c r="A116" i="10"/>
  <c r="D116" i="10"/>
  <c r="E116" i="10"/>
  <c r="E124" i="10" s="1"/>
  <c r="F116" i="10"/>
  <c r="G116" i="10"/>
  <c r="G124" i="10" s="1"/>
  <c r="H116" i="10"/>
  <c r="I116" i="10"/>
  <c r="J116" i="10"/>
  <c r="A117" i="10"/>
  <c r="D117" i="10"/>
  <c r="E117" i="10"/>
  <c r="F117" i="10"/>
  <c r="G117" i="10"/>
  <c r="H117" i="10"/>
  <c r="I117" i="10"/>
  <c r="J117" i="10"/>
  <c r="A118" i="10"/>
  <c r="D118" i="10"/>
  <c r="E118" i="10"/>
  <c r="F118" i="10"/>
  <c r="G118" i="10"/>
  <c r="H118" i="10"/>
  <c r="I118" i="10"/>
  <c r="J118" i="10"/>
  <c r="A119" i="10"/>
  <c r="D119" i="10"/>
  <c r="E119" i="10"/>
  <c r="F119" i="10"/>
  <c r="G119" i="10"/>
  <c r="H119" i="10"/>
  <c r="I119" i="10"/>
  <c r="J119" i="10"/>
  <c r="A120" i="10"/>
  <c r="D120" i="10"/>
  <c r="E120" i="10"/>
  <c r="F120" i="10"/>
  <c r="G120" i="10"/>
  <c r="H120" i="10"/>
  <c r="I120" i="10"/>
  <c r="J120" i="10"/>
  <c r="A121" i="10"/>
  <c r="D121" i="10"/>
  <c r="E121" i="10"/>
  <c r="F121" i="10"/>
  <c r="G121" i="10"/>
  <c r="H121" i="10"/>
  <c r="I121" i="10"/>
  <c r="J121" i="10"/>
  <c r="A122" i="10"/>
  <c r="D122" i="10"/>
  <c r="E122" i="10"/>
  <c r="F122" i="10"/>
  <c r="G122" i="10"/>
  <c r="H122" i="10"/>
  <c r="I122" i="10"/>
  <c r="J122" i="10"/>
  <c r="A123" i="10"/>
  <c r="D123" i="10"/>
  <c r="E123" i="10"/>
  <c r="F123" i="10"/>
  <c r="G123" i="10"/>
  <c r="H123" i="10"/>
  <c r="I123" i="10"/>
  <c r="J123" i="10"/>
  <c r="D124" i="10"/>
  <c r="G127" i="10"/>
  <c r="H127" i="10"/>
  <c r="I127" i="10"/>
  <c r="J127" i="10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D101" i="12"/>
  <c r="D127" i="10" s="1"/>
  <c r="E101" i="12"/>
  <c r="E127" i="10" s="1"/>
  <c r="F101" i="12"/>
  <c r="F127" i="10" s="1"/>
  <c r="G101" i="12"/>
  <c r="H101" i="12"/>
  <c r="I101" i="12"/>
  <c r="J101" i="12"/>
  <c r="K101" i="12"/>
  <c r="K4" i="14"/>
  <c r="L4" i="14"/>
  <c r="J5" i="14"/>
  <c r="K5" i="14" s="1"/>
  <c r="J6" i="14"/>
  <c r="K6" i="14"/>
  <c r="L6" i="14"/>
  <c r="M6" i="14"/>
  <c r="H7" i="14"/>
  <c r="I7" i="14"/>
  <c r="J7" i="14"/>
  <c r="I8" i="14"/>
  <c r="J8" i="14"/>
  <c r="J9" i="14" s="1"/>
  <c r="K8" i="14"/>
  <c r="M8" i="14" s="1"/>
  <c r="M9" i="14" s="1"/>
  <c r="N22" i="9" s="1"/>
  <c r="L8" i="14"/>
  <c r="L9" i="14" s="1"/>
  <c r="H9" i="14"/>
  <c r="I9" i="14"/>
  <c r="J10" i="14"/>
  <c r="K10" i="14"/>
  <c r="L10" i="14" s="1"/>
  <c r="L12" i="14" s="1"/>
  <c r="M10" i="14"/>
  <c r="M12" i="14" s="1"/>
  <c r="N25" i="9" s="1"/>
  <c r="L11" i="14"/>
  <c r="H12" i="14"/>
  <c r="I12" i="14"/>
  <c r="J12" i="14"/>
  <c r="J13" i="14"/>
  <c r="K13" i="14"/>
  <c r="L13" i="14" s="1"/>
  <c r="M13" i="14"/>
  <c r="J14" i="14"/>
  <c r="K14" i="14" s="1"/>
  <c r="J15" i="14"/>
  <c r="K15" i="14"/>
  <c r="M15" i="14" s="1"/>
  <c r="L15" i="14"/>
  <c r="H16" i="14"/>
  <c r="I16" i="14"/>
  <c r="J16" i="14"/>
  <c r="I17" i="14"/>
  <c r="J17" i="14"/>
  <c r="K17" i="14"/>
  <c r="L17" i="14"/>
  <c r="M17" i="14"/>
  <c r="I18" i="14"/>
  <c r="J18" i="14"/>
  <c r="K18" i="14" s="1"/>
  <c r="K19" i="14"/>
  <c r="L19" i="14"/>
  <c r="M19" i="14"/>
  <c r="H20" i="14"/>
  <c r="J20" i="14"/>
  <c r="K20" i="14"/>
  <c r="L20" i="14"/>
  <c r="M20" i="14"/>
  <c r="H21" i="14"/>
  <c r="H58" i="14" s="1"/>
  <c r="I21" i="14"/>
  <c r="J21" i="14"/>
  <c r="K21" i="14"/>
  <c r="M21" i="14"/>
  <c r="J22" i="14"/>
  <c r="K22" i="14"/>
  <c r="L22" i="14" s="1"/>
  <c r="J23" i="14"/>
  <c r="K23" i="14"/>
  <c r="L23" i="14"/>
  <c r="M23" i="14"/>
  <c r="K24" i="14"/>
  <c r="L24" i="14" s="1"/>
  <c r="M24" i="14"/>
  <c r="H25" i="14"/>
  <c r="J25" i="14"/>
  <c r="K25" i="14"/>
  <c r="M25" i="14" s="1"/>
  <c r="L25" i="14"/>
  <c r="H26" i="14"/>
  <c r="I26" i="14"/>
  <c r="J26" i="14"/>
  <c r="K26" i="14"/>
  <c r="L26" i="14" s="1"/>
  <c r="M26" i="14"/>
  <c r="I27" i="14"/>
  <c r="J27" i="14"/>
  <c r="K27" i="14" s="1"/>
  <c r="H28" i="14"/>
  <c r="I28" i="14"/>
  <c r="J28" i="14"/>
  <c r="K28" i="14"/>
  <c r="L28" i="14"/>
  <c r="M28" i="14"/>
  <c r="H29" i="14"/>
  <c r="L29" i="14" s="1"/>
  <c r="I29" i="14"/>
  <c r="I58" i="14" s="1"/>
  <c r="J29" i="14"/>
  <c r="K29" i="14" s="1"/>
  <c r="M29" i="14" s="1"/>
  <c r="H30" i="14"/>
  <c r="L30" i="14" s="1"/>
  <c r="J30" i="14"/>
  <c r="K30" i="14"/>
  <c r="M30" i="14" s="1"/>
  <c r="I31" i="14"/>
  <c r="J31" i="14"/>
  <c r="K31" i="14"/>
  <c r="L31" i="14"/>
  <c r="M31" i="14"/>
  <c r="K32" i="14"/>
  <c r="L32" i="14"/>
  <c r="M32" i="14"/>
  <c r="I33" i="14"/>
  <c r="J33" i="14"/>
  <c r="K33" i="14"/>
  <c r="L33" i="14" s="1"/>
  <c r="I34" i="14"/>
  <c r="J34" i="14"/>
  <c r="K34" i="14"/>
  <c r="L34" i="14" s="1"/>
  <c r="M34" i="14"/>
  <c r="M35" i="14"/>
  <c r="J36" i="14"/>
  <c r="K36" i="14" s="1"/>
  <c r="I37" i="14"/>
  <c r="J37" i="14"/>
  <c r="K37" i="14" s="1"/>
  <c r="J38" i="14"/>
  <c r="K38" i="14"/>
  <c r="M38" i="14" s="1"/>
  <c r="L38" i="14"/>
  <c r="I39" i="14"/>
  <c r="J39" i="14"/>
  <c r="K39" i="14"/>
  <c r="M39" i="14" s="1"/>
  <c r="L39" i="14"/>
  <c r="I40" i="14"/>
  <c r="J40" i="14"/>
  <c r="K40" i="14" s="1"/>
  <c r="H41" i="14"/>
  <c r="I41" i="14"/>
  <c r="J41" i="14"/>
  <c r="K41" i="14" s="1"/>
  <c r="J42" i="14"/>
  <c r="K42" i="14"/>
  <c r="M42" i="14" s="1"/>
  <c r="L42" i="14"/>
  <c r="L43" i="14"/>
  <c r="M43" i="14"/>
  <c r="J44" i="14"/>
  <c r="K44" i="14"/>
  <c r="L44" i="14" s="1"/>
  <c r="M44" i="14"/>
  <c r="H45" i="14"/>
  <c r="I45" i="14"/>
  <c r="K45" i="14" s="1"/>
  <c r="M45" i="14" s="1"/>
  <c r="J45" i="14"/>
  <c r="H46" i="14"/>
  <c r="J46" i="14"/>
  <c r="K46" i="14"/>
  <c r="L46" i="14"/>
  <c r="M46" i="14"/>
  <c r="I47" i="14"/>
  <c r="J47" i="14"/>
  <c r="K47" i="14" s="1"/>
  <c r="I48" i="14"/>
  <c r="J48" i="14"/>
  <c r="K48" i="14" s="1"/>
  <c r="I49" i="14"/>
  <c r="K49" i="14" s="1"/>
  <c r="J50" i="14"/>
  <c r="K50" i="14"/>
  <c r="L50" i="14" s="1"/>
  <c r="M50" i="14"/>
  <c r="J51" i="14"/>
  <c r="K51" i="14"/>
  <c r="L51" i="14"/>
  <c r="M51" i="14"/>
  <c r="L52" i="14"/>
  <c r="M52" i="14"/>
  <c r="K53" i="14"/>
  <c r="L53" i="14"/>
  <c r="M53" i="14"/>
  <c r="I54" i="14"/>
  <c r="J54" i="14"/>
  <c r="K54" i="14" s="1"/>
  <c r="J55" i="14"/>
  <c r="K55" i="14"/>
  <c r="L55" i="14"/>
  <c r="M55" i="14"/>
  <c r="M56" i="14"/>
  <c r="L57" i="14"/>
  <c r="M57" i="14"/>
  <c r="J58" i="14"/>
  <c r="J59" i="14"/>
  <c r="J75" i="14" s="1"/>
  <c r="K59" i="14"/>
  <c r="L59" i="14" s="1"/>
  <c r="M59" i="14"/>
  <c r="J60" i="14"/>
  <c r="K60" i="14" s="1"/>
  <c r="J61" i="14"/>
  <c r="K61" i="14"/>
  <c r="M61" i="14" s="1"/>
  <c r="L61" i="14"/>
  <c r="K62" i="14"/>
  <c r="L62" i="14"/>
  <c r="H63" i="14"/>
  <c r="L63" i="14" s="1"/>
  <c r="J63" i="14"/>
  <c r="K63" i="14"/>
  <c r="M63" i="14" s="1"/>
  <c r="J64" i="14"/>
  <c r="K64" i="14"/>
  <c r="M64" i="14" s="1"/>
  <c r="L64" i="14"/>
  <c r="J65" i="14"/>
  <c r="K65" i="14" s="1"/>
  <c r="J66" i="14"/>
  <c r="K66" i="14"/>
  <c r="L66" i="14"/>
  <c r="M66" i="14"/>
  <c r="J67" i="14"/>
  <c r="K67" i="14"/>
  <c r="L67" i="14"/>
  <c r="M67" i="14"/>
  <c r="I68" i="14"/>
  <c r="I75" i="14" s="1"/>
  <c r="J68" i="14"/>
  <c r="K68" i="14" s="1"/>
  <c r="J69" i="14"/>
  <c r="K69" i="14"/>
  <c r="L69" i="14" s="1"/>
  <c r="M69" i="14"/>
  <c r="J70" i="14"/>
  <c r="K70" i="14" s="1"/>
  <c r="J71" i="14"/>
  <c r="K71" i="14"/>
  <c r="M71" i="14" s="1"/>
  <c r="L71" i="14"/>
  <c r="J72" i="14"/>
  <c r="K72" i="14"/>
  <c r="L72" i="14"/>
  <c r="M72" i="14"/>
  <c r="K73" i="14"/>
  <c r="L73" i="14" s="1"/>
  <c r="L74" i="14"/>
  <c r="M74" i="14"/>
  <c r="J76" i="14"/>
  <c r="K76" i="14"/>
  <c r="L76" i="14"/>
  <c r="M76" i="14"/>
  <c r="J77" i="14"/>
  <c r="K77" i="14" s="1"/>
  <c r="J78" i="14"/>
  <c r="J98" i="14" s="1"/>
  <c r="K78" i="14"/>
  <c r="M78" i="14" s="1"/>
  <c r="L78" i="14"/>
  <c r="J79" i="14"/>
  <c r="K79" i="14"/>
  <c r="L79" i="14"/>
  <c r="M79" i="14"/>
  <c r="J80" i="14"/>
  <c r="K80" i="14"/>
  <c r="L80" i="14" s="1"/>
  <c r="J81" i="14"/>
  <c r="K81" i="14"/>
  <c r="L81" i="14"/>
  <c r="M81" i="14"/>
  <c r="J82" i="14"/>
  <c r="K82" i="14" s="1"/>
  <c r="J83" i="14"/>
  <c r="K83" i="14"/>
  <c r="M83" i="14" s="1"/>
  <c r="L83" i="14"/>
  <c r="K84" i="14"/>
  <c r="L84" i="14"/>
  <c r="K85" i="14"/>
  <c r="L85" i="14"/>
  <c r="H86" i="14"/>
  <c r="L86" i="14" s="1"/>
  <c r="I86" i="14"/>
  <c r="I98" i="14" s="1"/>
  <c r="J86" i="14"/>
  <c r="K86" i="14" s="1"/>
  <c r="M86" i="14" s="1"/>
  <c r="I87" i="14"/>
  <c r="J87" i="14"/>
  <c r="K87" i="14"/>
  <c r="L87" i="14" s="1"/>
  <c r="M87" i="14"/>
  <c r="I88" i="14"/>
  <c r="J88" i="14"/>
  <c r="K88" i="14"/>
  <c r="M88" i="14" s="1"/>
  <c r="L88" i="14"/>
  <c r="J89" i="14"/>
  <c r="K89" i="14"/>
  <c r="L89" i="14"/>
  <c r="M89" i="14"/>
  <c r="K90" i="14"/>
  <c r="L90" i="14"/>
  <c r="J91" i="14"/>
  <c r="K91" i="14" s="1"/>
  <c r="L91" i="14" s="1"/>
  <c r="I92" i="14"/>
  <c r="J92" i="14"/>
  <c r="K92" i="14"/>
  <c r="L92" i="14" s="1"/>
  <c r="M92" i="14"/>
  <c r="J93" i="14"/>
  <c r="K93" i="14"/>
  <c r="L93" i="14"/>
  <c r="M93" i="14"/>
  <c r="L94" i="14"/>
  <c r="L95" i="14"/>
  <c r="I96" i="14"/>
  <c r="J96" i="14"/>
  <c r="K96" i="14"/>
  <c r="L96" i="14" s="1"/>
  <c r="M96" i="14"/>
  <c r="J97" i="14"/>
  <c r="K97" i="14" s="1"/>
  <c r="H98" i="14"/>
  <c r="I99" i="14"/>
  <c r="I105" i="14" s="1"/>
  <c r="J99" i="14"/>
  <c r="J105" i="14" s="1"/>
  <c r="K99" i="14"/>
  <c r="L99" i="14" s="1"/>
  <c r="I100" i="14"/>
  <c r="J100" i="14"/>
  <c r="K100" i="14"/>
  <c r="M100" i="14" s="1"/>
  <c r="J101" i="14"/>
  <c r="K101" i="14" s="1"/>
  <c r="J102" i="14"/>
  <c r="K102" i="14"/>
  <c r="L102" i="14"/>
  <c r="M102" i="14"/>
  <c r="J103" i="14"/>
  <c r="K103" i="14"/>
  <c r="L103" i="14"/>
  <c r="M103" i="14"/>
  <c r="K104" i="14"/>
  <c r="L104" i="14"/>
  <c r="H105" i="14"/>
  <c r="J106" i="14"/>
  <c r="K106" i="14" s="1"/>
  <c r="J107" i="14"/>
  <c r="K107" i="14"/>
  <c r="L107" i="14"/>
  <c r="M107" i="14"/>
  <c r="J108" i="14"/>
  <c r="K108" i="14"/>
  <c r="L108" i="14"/>
  <c r="M108" i="14"/>
  <c r="I109" i="14"/>
  <c r="I118" i="14" s="1"/>
  <c r="J109" i="14"/>
  <c r="K109" i="14" s="1"/>
  <c r="J110" i="14"/>
  <c r="K110" i="14"/>
  <c r="L110" i="14" s="1"/>
  <c r="M110" i="14"/>
  <c r="I111" i="14"/>
  <c r="J111" i="14"/>
  <c r="K111" i="14" s="1"/>
  <c r="J112" i="14"/>
  <c r="K112" i="14"/>
  <c r="L112" i="14" s="1"/>
  <c r="M112" i="14"/>
  <c r="J113" i="14"/>
  <c r="K113" i="14"/>
  <c r="L113" i="14"/>
  <c r="M113" i="14"/>
  <c r="I114" i="14"/>
  <c r="J114" i="14"/>
  <c r="K114" i="14"/>
  <c r="L114" i="14"/>
  <c r="M114" i="14"/>
  <c r="J115" i="14"/>
  <c r="K115" i="14"/>
  <c r="L115" i="14" s="1"/>
  <c r="L116" i="14"/>
  <c r="I117" i="14"/>
  <c r="J117" i="14"/>
  <c r="K117" i="14"/>
  <c r="M117" i="14" s="1"/>
  <c r="L117" i="14"/>
  <c r="H118" i="14"/>
  <c r="I119" i="14"/>
  <c r="J119" i="14"/>
  <c r="J131" i="14" s="1"/>
  <c r="K119" i="14"/>
  <c r="L119" i="14"/>
  <c r="M119" i="14"/>
  <c r="J120" i="14"/>
  <c r="M120" i="14" s="1"/>
  <c r="K120" i="14"/>
  <c r="L120" i="14" s="1"/>
  <c r="J121" i="14"/>
  <c r="K121" i="14"/>
  <c r="L121" i="14"/>
  <c r="M121" i="14"/>
  <c r="J122" i="14"/>
  <c r="K122" i="14"/>
  <c r="L122" i="14"/>
  <c r="M122" i="14"/>
  <c r="K123" i="14"/>
  <c r="M123" i="14" s="1"/>
  <c r="L123" i="14"/>
  <c r="J124" i="14"/>
  <c r="K124" i="14"/>
  <c r="L124" i="14"/>
  <c r="M124" i="14"/>
  <c r="I125" i="14"/>
  <c r="J125" i="14"/>
  <c r="K125" i="14" s="1"/>
  <c r="I126" i="14"/>
  <c r="J126" i="14"/>
  <c r="K126" i="14"/>
  <c r="M126" i="14" s="1"/>
  <c r="L126" i="14"/>
  <c r="J127" i="14"/>
  <c r="K127" i="14"/>
  <c r="L127" i="14"/>
  <c r="M127" i="14"/>
  <c r="J128" i="14"/>
  <c r="K128" i="14" s="1"/>
  <c r="L129" i="14"/>
  <c r="M129" i="14"/>
  <c r="L130" i="14"/>
  <c r="M130" i="14"/>
  <c r="H131" i="14"/>
  <c r="I131" i="14"/>
  <c r="L36" i="14" l="1"/>
  <c r="M36" i="14"/>
  <c r="G27" i="8"/>
  <c r="J27" i="8"/>
  <c r="L60" i="14"/>
  <c r="M60" i="14" s="1"/>
  <c r="M75" i="14" s="1"/>
  <c r="N10" i="9" s="1"/>
  <c r="K75" i="14"/>
  <c r="L10" i="9" s="1"/>
  <c r="L18" i="14"/>
  <c r="M18" i="14"/>
  <c r="H130" i="10"/>
  <c r="L77" i="14"/>
  <c r="L98" i="14" s="1"/>
  <c r="M77" i="14"/>
  <c r="K98" i="14"/>
  <c r="L17" i="9" s="1"/>
  <c r="E29" i="6"/>
  <c r="G11" i="8"/>
  <c r="J11" i="8"/>
  <c r="F29" i="8"/>
  <c r="G29" i="8" s="1"/>
  <c r="M128" i="14"/>
  <c r="L128" i="14"/>
  <c r="L45" i="14"/>
  <c r="D125" i="10"/>
  <c r="G125" i="10"/>
  <c r="G130" i="10" s="1"/>
  <c r="F14" i="9"/>
  <c r="K26" i="9"/>
  <c r="K27" i="9" s="1"/>
  <c r="G27" i="9"/>
  <c r="J130" i="10"/>
  <c r="L58" i="14"/>
  <c r="F19" i="9"/>
  <c r="E29" i="8"/>
  <c r="L101" i="14"/>
  <c r="L105" i="14" s="1"/>
  <c r="M101" i="14"/>
  <c r="K58" i="14"/>
  <c r="L9" i="9" s="1"/>
  <c r="E125" i="10"/>
  <c r="L68" i="14"/>
  <c r="M68" i="14"/>
  <c r="D29" i="6"/>
  <c r="M49" i="14"/>
  <c r="L49" i="14"/>
  <c r="L125" i="14"/>
  <c r="M125" i="14"/>
  <c r="M131" i="14" s="1"/>
  <c r="N14" i="9" s="1"/>
  <c r="K131" i="14"/>
  <c r="L14" i="9" s="1"/>
  <c r="M48" i="14"/>
  <c r="L48" i="14"/>
  <c r="L41" i="14"/>
  <c r="M41" i="14"/>
  <c r="L97" i="10"/>
  <c r="G14" i="9"/>
  <c r="H26" i="9"/>
  <c r="F27" i="9"/>
  <c r="L106" i="14"/>
  <c r="L118" i="14" s="1"/>
  <c r="M106" i="14"/>
  <c r="K118" i="14"/>
  <c r="L13" i="9" s="1"/>
  <c r="L65" i="14"/>
  <c r="M65" i="14"/>
  <c r="E130" i="10"/>
  <c r="L5" i="14"/>
  <c r="M5" i="14"/>
  <c r="K7" i="14"/>
  <c r="L21" i="9" s="1"/>
  <c r="L47" i="14"/>
  <c r="M47" i="14"/>
  <c r="L111" i="14"/>
  <c r="M111" i="14"/>
  <c r="D29" i="9"/>
  <c r="H23" i="9"/>
  <c r="I23" i="9" s="1"/>
  <c r="G19" i="7"/>
  <c r="I19" i="7"/>
  <c r="N27" i="9"/>
  <c r="D130" i="10"/>
  <c r="J125" i="10"/>
  <c r="L40" i="14"/>
  <c r="M40" i="14"/>
  <c r="M27" i="14"/>
  <c r="L27" i="14"/>
  <c r="I125" i="10"/>
  <c r="I130" i="10" s="1"/>
  <c r="H125" i="10"/>
  <c r="G11" i="7"/>
  <c r="I11" i="7"/>
  <c r="L37" i="14"/>
  <c r="M37" i="14"/>
  <c r="G10" i="9"/>
  <c r="K10" i="9" s="1"/>
  <c r="L79" i="10"/>
  <c r="L54" i="14"/>
  <c r="M54" i="14"/>
  <c r="J132" i="14"/>
  <c r="H22" i="9"/>
  <c r="L56" i="10"/>
  <c r="G18" i="9"/>
  <c r="K18" i="9" s="1"/>
  <c r="K19" i="9" s="1"/>
  <c r="F19" i="8"/>
  <c r="G27" i="7"/>
  <c r="I27" i="7"/>
  <c r="L16" i="14"/>
  <c r="G27" i="6"/>
  <c r="I27" i="6"/>
  <c r="L97" i="14"/>
  <c r="M97" i="14"/>
  <c r="M82" i="14"/>
  <c r="L82" i="14"/>
  <c r="L131" i="14"/>
  <c r="I132" i="14"/>
  <c r="F125" i="10"/>
  <c r="F130" i="10" s="1"/>
  <c r="F18" i="9"/>
  <c r="D28" i="3"/>
  <c r="L70" i="14"/>
  <c r="L75" i="14" s="1"/>
  <c r="M70" i="14"/>
  <c r="L109" i="14"/>
  <c r="M109" i="14"/>
  <c r="L14" i="14"/>
  <c r="M14" i="14"/>
  <c r="K16" i="14"/>
  <c r="L26" i="9" s="1"/>
  <c r="E28" i="3"/>
  <c r="I29" i="3" s="1"/>
  <c r="F10" i="3"/>
  <c r="F29" i="6"/>
  <c r="G29" i="6" s="1"/>
  <c r="G15" i="6"/>
  <c r="I15" i="6"/>
  <c r="C29" i="9"/>
  <c r="G15" i="8"/>
  <c r="J15" i="8"/>
  <c r="M16" i="14"/>
  <c r="N26" i="9" s="1"/>
  <c r="H10" i="9"/>
  <c r="F11" i="9"/>
  <c r="E26" i="2"/>
  <c r="F26" i="2" s="1"/>
  <c r="G26" i="2" s="1"/>
  <c r="F16" i="2"/>
  <c r="F26" i="6"/>
  <c r="F18" i="8"/>
  <c r="J118" i="14"/>
  <c r="K105" i="14"/>
  <c r="L18" i="9" s="1"/>
  <c r="L21" i="14"/>
  <c r="M99" i="14"/>
  <c r="M33" i="14"/>
  <c r="H75" i="14"/>
  <c r="H132" i="14" s="1"/>
  <c r="K12" i="14"/>
  <c r="L25" i="9" s="1"/>
  <c r="L103" i="10"/>
  <c r="L38" i="10"/>
  <c r="K21" i="9"/>
  <c r="K23" i="9" s="1"/>
  <c r="K9" i="9"/>
  <c r="F9" i="8"/>
  <c r="E15" i="7"/>
  <c r="J23" i="8"/>
  <c r="M91" i="14"/>
  <c r="F10" i="2"/>
  <c r="K9" i="14"/>
  <c r="L22" i="9" s="1"/>
  <c r="P22" i="9" s="1"/>
  <c r="M115" i="14"/>
  <c r="M80" i="14"/>
  <c r="M22" i="14"/>
  <c r="F18" i="2"/>
  <c r="G18" i="2" s="1"/>
  <c r="E18" i="2"/>
  <c r="F22" i="3"/>
  <c r="G22" i="3" s="1"/>
  <c r="D19" i="6"/>
  <c r="F19" i="6" s="1"/>
  <c r="E29" i="7" l="1"/>
  <c r="F15" i="7"/>
  <c r="G19" i="9"/>
  <c r="H19" i="9" s="1"/>
  <c r="I19" i="9" s="1"/>
  <c r="G11" i="9"/>
  <c r="M7" i="14"/>
  <c r="N21" i="9" s="1"/>
  <c r="N23" i="9" s="1"/>
  <c r="L19" i="9"/>
  <c r="M58" i="14"/>
  <c r="N9" i="9" s="1"/>
  <c r="N11" i="9" s="1"/>
  <c r="N29" i="9" s="1"/>
  <c r="N33" i="9" s="1"/>
  <c r="L23" i="9"/>
  <c r="K132" i="14"/>
  <c r="K14" i="9"/>
  <c r="K15" i="9" s="1"/>
  <c r="G15" i="9"/>
  <c r="H14" i="9"/>
  <c r="F15" i="9"/>
  <c r="H15" i="9" s="1"/>
  <c r="I15" i="9" s="1"/>
  <c r="L11" i="9"/>
  <c r="L29" i="9" s="1"/>
  <c r="L33" i="9" s="1"/>
  <c r="F29" i="9"/>
  <c r="H27" i="9"/>
  <c r="I27" i="9" s="1"/>
  <c r="F28" i="2"/>
  <c r="G28" i="2" s="1"/>
  <c r="G10" i="2"/>
  <c r="K11" i="9"/>
  <c r="P10" i="9"/>
  <c r="L27" i="9"/>
  <c r="P25" i="9"/>
  <c r="P27" i="9" s="1"/>
  <c r="F28" i="3"/>
  <c r="G28" i="3" s="1"/>
  <c r="G10" i="3"/>
  <c r="M105" i="14"/>
  <c r="N18" i="9" s="1"/>
  <c r="P18" i="9" s="1"/>
  <c r="M98" i="14"/>
  <c r="N17" i="9" s="1"/>
  <c r="N19" i="9" s="1"/>
  <c r="H18" i="9"/>
  <c r="E28" i="2"/>
  <c r="P14" i="9"/>
  <c r="L7" i="14"/>
  <c r="L132" i="14"/>
  <c r="G19" i="6"/>
  <c r="I19" i="6"/>
  <c r="I29" i="6" s="1"/>
  <c r="P26" i="9"/>
  <c r="L15" i="9"/>
  <c r="G19" i="8"/>
  <c r="J19" i="8"/>
  <c r="M118" i="14"/>
  <c r="N13" i="9" s="1"/>
  <c r="N15" i="9" s="1"/>
  <c r="J29" i="8"/>
  <c r="P9" i="9" l="1"/>
  <c r="P11" i="9" s="1"/>
  <c r="P17" i="9"/>
  <c r="P19" i="9" s="1"/>
  <c r="P21" i="9"/>
  <c r="P23" i="9" s="1"/>
  <c r="M132" i="14"/>
  <c r="G29" i="9"/>
  <c r="K29" i="9"/>
  <c r="K33" i="9" s="1"/>
  <c r="P13" i="9"/>
  <c r="P15" i="9" s="1"/>
  <c r="H11" i="9"/>
  <c r="G15" i="7"/>
  <c r="I15" i="7"/>
  <c r="I29" i="7" s="1"/>
  <c r="F29" i="7"/>
  <c r="G29" i="7" s="1"/>
  <c r="H29" i="9" l="1"/>
  <c r="I29" i="9" s="1"/>
  <c r="I11" i="9"/>
  <c r="P29" i="9"/>
</calcChain>
</file>

<file path=xl/sharedStrings.xml><?xml version="1.0" encoding="utf-8"?>
<sst xmlns="http://schemas.openxmlformats.org/spreadsheetml/2006/main" count="1458" uniqueCount="522">
  <si>
    <t>Budget</t>
  </si>
  <si>
    <t>Spend</t>
  </si>
  <si>
    <t>WTE</t>
  </si>
  <si>
    <t>Variance</t>
  </si>
  <si>
    <t xml:space="preserve"> </t>
  </si>
  <si>
    <t>£</t>
  </si>
  <si>
    <t>Consultants - Permanent</t>
  </si>
  <si>
    <t>Registrars / Staff Grades - Permanent</t>
  </si>
  <si>
    <t>Registrars / Staff Grades - Locum vacancies</t>
  </si>
  <si>
    <t>Budget to date</t>
  </si>
  <si>
    <t>SHO''s - Permanent</t>
  </si>
  <si>
    <t>SHO''s - Locum vacancies</t>
  </si>
  <si>
    <t>Consultants - Locum vacancies</t>
  </si>
  <si>
    <t>Sub total Consultants</t>
  </si>
  <si>
    <t>Sub total Registrars / Staff Grades</t>
  </si>
  <si>
    <t>Sub total SHO's</t>
  </si>
  <si>
    <t>Associate Specialists - Permanent</t>
  </si>
  <si>
    <t>Associate Specialists - Locum vacancies</t>
  </si>
  <si>
    <t>Sub total Associate Specialists</t>
  </si>
  <si>
    <t>Clinical Assistants - Permanent</t>
  </si>
  <si>
    <t>Clinical Assistants - Locum vacancies</t>
  </si>
  <si>
    <t>Sub total Clinical Assistants</t>
  </si>
  <si>
    <t>%</t>
  </si>
  <si>
    <t>Appendix 4.1</t>
  </si>
  <si>
    <t>Grand Total</t>
  </si>
  <si>
    <t>Medical Staff as @ 30th September 2002 (Month 6) - West Division</t>
  </si>
  <si>
    <t>Medical Staff as @ 31st October 2002 (Month 7) - West Division</t>
  </si>
  <si>
    <t>Medical Staff as @ 30th November 2002 (Month 8) - West Division</t>
  </si>
  <si>
    <t>Budget to November</t>
  </si>
  <si>
    <t>Spend to November</t>
  </si>
  <si>
    <t>% Variance</t>
  </si>
  <si>
    <t>under / (over) £</t>
  </si>
  <si>
    <t>Monthly Movement</t>
  </si>
  <si>
    <t>Variance to Nov (M 8)</t>
  </si>
  <si>
    <t>Variance as @ Oct (M 7)</t>
  </si>
  <si>
    <t>Budget to December</t>
  </si>
  <si>
    <t>Spend to December</t>
  </si>
  <si>
    <t>Variance to Dec (M 9)</t>
  </si>
  <si>
    <t>Medical Staff as @ 31 December 2002 (Month 9) - West Division</t>
  </si>
  <si>
    <t>Variance as @ Dec (M 9)</t>
  </si>
  <si>
    <t>Medical Staff as @ 31 January 2003 (Month 10) - West Division</t>
  </si>
  <si>
    <t>Variance to Jan (M 10)</t>
  </si>
  <si>
    <t>Budget to January</t>
  </si>
  <si>
    <t>Spend to January</t>
  </si>
  <si>
    <t>ET6</t>
  </si>
  <si>
    <t xml:space="preserve">Description </t>
  </si>
  <si>
    <t>2002/03</t>
  </si>
  <si>
    <t>to Date</t>
  </si>
  <si>
    <t>Under/(Over)</t>
  </si>
  <si>
    <t>wte</t>
  </si>
  <si>
    <t>ccb</t>
  </si>
  <si>
    <t>Worked</t>
  </si>
  <si>
    <t>CBB</t>
  </si>
  <si>
    <t>REGISTRARS</t>
  </si>
  <si>
    <t>BEZZ</t>
  </si>
  <si>
    <t>SNR HOUSE OFFICERS</t>
  </si>
  <si>
    <t>BAZZ</t>
  </si>
  <si>
    <t>CONSULTANTS</t>
  </si>
  <si>
    <t>MD-GCPT/PA01-000000</t>
  </si>
  <si>
    <t>C &amp; A WOODWARD AGENCY-MEDICAL</t>
  </si>
  <si>
    <t>MF-WFHT/PA04-000000</t>
  </si>
  <si>
    <t>HOME TREAT     CONSULT LOC</t>
  </si>
  <si>
    <t>MF-WFHT/PA07-000000</t>
  </si>
  <si>
    <t>HOME TREAT     ASSOC SPEC LOC</t>
  </si>
  <si>
    <t>MF-WFMA/PA04-000000</t>
  </si>
  <si>
    <t>CHILD MED      CONSULT LOC</t>
  </si>
  <si>
    <t>MF-WFMA/PA10-000000</t>
  </si>
  <si>
    <t>CHILD MED      SHO O/C COVER</t>
  </si>
  <si>
    <t>MF-WFMC/PA03-000000</t>
  </si>
  <si>
    <t>MEDI COVER     SHO LOCUM</t>
  </si>
  <si>
    <t>MF-WFMC/PA04-000000</t>
  </si>
  <si>
    <t>MEDI COVER     CONSULT LOC</t>
  </si>
  <si>
    <t>MF-WFME/PA03-000000</t>
  </si>
  <si>
    <t>E FOREST UNIT  SHO LOCUM</t>
  </si>
  <si>
    <t>MF-WFME/PA04-000000</t>
  </si>
  <si>
    <t>E FOREST UNIT  CONSULT LOC</t>
  </si>
  <si>
    <t>MF-WFME/PA06-000000</t>
  </si>
  <si>
    <t>E FOREST UNIT  STAFF GRADE LO</t>
  </si>
  <si>
    <t>MF-WFMR/PA04-000000</t>
  </si>
  <si>
    <t>WALT MED       CONSULT LOC</t>
  </si>
  <si>
    <t>MF-WFMR/PA08-000000</t>
  </si>
  <si>
    <t>WALT MED       SPEC REG LOC</t>
  </si>
  <si>
    <t>MF-WFMR/PA10-000000</t>
  </si>
  <si>
    <t>WALT MED       SHO O/C COVER</t>
  </si>
  <si>
    <t>MF-WFMS/PA03-000000</t>
  </si>
  <si>
    <t>MEDI STH CMHT  SHO LOCUM</t>
  </si>
  <si>
    <t>MF-WFMS/PA06-000000</t>
  </si>
  <si>
    <t>MEDI STH CMHT  STAFF GRADE LO</t>
  </si>
  <si>
    <t>MF-WFPS/PA04-000000</t>
  </si>
  <si>
    <t>PSYCHOTHERAPY  CONSULT LOC</t>
  </si>
  <si>
    <t>MF-WFPS/PA10-000000</t>
  </si>
  <si>
    <t>PSYCHOTHERAPY  SHO O/C COVER</t>
  </si>
  <si>
    <t>ML-SWMA/PA01-000000</t>
  </si>
  <si>
    <t>CHILD PSYCHIAT AGENCY-MEDICAL</t>
  </si>
  <si>
    <t>ML-SWMA/PA04-000000</t>
  </si>
  <si>
    <t>CHILD PSYCHIAT CONSULT LOC</t>
  </si>
  <si>
    <t>MR-GDAO/PA06-000000</t>
  </si>
  <si>
    <t>ASSERTIVE OUT  STAFF GRADE LO</t>
  </si>
  <si>
    <t>MR-GDHR/PA07-000000</t>
  </si>
  <si>
    <t>24 HR ACCESS   ASSOC SPEC LOC</t>
  </si>
  <si>
    <t>MR-GMGK/PA03-000000</t>
  </si>
  <si>
    <t>CLIN DIR MGMT  SHO LOCUM</t>
  </si>
  <si>
    <t>MR-GMGK/PA06-000000</t>
  </si>
  <si>
    <t>CLIN DIR MGMT  STAFF GRADE LO</t>
  </si>
  <si>
    <t>MR-GMMF/PA03-000000</t>
  </si>
  <si>
    <t>GM DR FELDMAN  SHO LOCUM</t>
  </si>
  <si>
    <t>MR-GMMS/PA02-000000</t>
  </si>
  <si>
    <t>STH SEC MED    CLIN ASSIS LOC</t>
  </si>
  <si>
    <t>MR-GMMS/PA03-000000</t>
  </si>
  <si>
    <t>STH SEC MED    SHO LOCUM</t>
  </si>
  <si>
    <t>MR-GMMS/PA04-000000</t>
  </si>
  <si>
    <t>STH SEC MED    CONSULT LOC</t>
  </si>
  <si>
    <t>MR-GMMS/PA06-000000</t>
  </si>
  <si>
    <t>STH SEC MED    STAFF GRADE LO</t>
  </si>
  <si>
    <t>MR-GMMS/PA07-000000</t>
  </si>
  <si>
    <t>STH SEC MED    ASSOC SPEC LOC</t>
  </si>
  <si>
    <t>MR-GMMS/PA09-000000</t>
  </si>
  <si>
    <t>STH SEC MED    REGISTRAR LOCU</t>
  </si>
  <si>
    <t>MR-GMMT/PA02-000000</t>
  </si>
  <si>
    <t>NTH SEC MED    CLIN ASSIS LOC</t>
  </si>
  <si>
    <t>MR-GMMT/PA03-000000</t>
  </si>
  <si>
    <t>NTH SEC MED    SHO LOCUM</t>
  </si>
  <si>
    <t>MR-GMMT/PA04-000000</t>
  </si>
  <si>
    <t>NTH SEC MED    CONSULT LOC</t>
  </si>
  <si>
    <t>MR-GMMT/PA06-000000</t>
  </si>
  <si>
    <t>NTH SEC MED    STAFF GRADE LO</t>
  </si>
  <si>
    <t>MR-GMMT/PA08-000000</t>
  </si>
  <si>
    <t>NTH SEC MED    SPEC REG LOC</t>
  </si>
  <si>
    <t>MR-GMMW/PA02-000000</t>
  </si>
  <si>
    <t>WST SEC MED    CLIN ASSIS LOC</t>
  </si>
  <si>
    <t>MR-GWCU/PA03-000000</t>
  </si>
  <si>
    <t>KAHLIL GIBRAN  SHO LOCUM</t>
  </si>
  <si>
    <t>MR-GWCU/PA04-000000</t>
  </si>
  <si>
    <t>KAHLIL GIBRAN  CONSULT LOC</t>
  </si>
  <si>
    <t>MR-GWCU/PA06-000000</t>
  </si>
  <si>
    <t>KAHLIL GIBRAN  STAFF GRADE LO</t>
  </si>
  <si>
    <t>MR-GWCU/PA09-000000</t>
  </si>
  <si>
    <t>KAHLIL GIBRAN  REGISTRAR LOCU</t>
  </si>
  <si>
    <t>MR-GWIC/PA03-000000</t>
  </si>
  <si>
    <t>PATH ON TAGORE SHO LOCUM</t>
  </si>
  <si>
    <t>MR-GWIC/PA06-000000</t>
  </si>
  <si>
    <t>PATH ON TAGORE STAFF GRADE LO</t>
  </si>
  <si>
    <t>MR-GWIC/PA07-000000</t>
  </si>
  <si>
    <t>PATH ON TAGORE ASSOC SPEC LOC</t>
  </si>
  <si>
    <t>MR-GWIC/PA09-000000</t>
  </si>
  <si>
    <t>PATH ON TAGORE REGISTRAR LOCU</t>
  </si>
  <si>
    <t>MR-JDAU/PA04-000000</t>
  </si>
  <si>
    <t>ADOL ACUTE     CONSULT LOC</t>
  </si>
  <si>
    <t>MR-JDBR/PA03-000000</t>
  </si>
  <si>
    <t>BROOKSIDE UNIT SHO LOCUM</t>
  </si>
  <si>
    <t>MR-JDBR/PA04-000000</t>
  </si>
  <si>
    <t>BROOKSIDE UNIT CONSULT LOC</t>
  </si>
  <si>
    <t>MR-JDBR/PA06-000000</t>
  </si>
  <si>
    <t>BROOKSIDE UNIT STAFF GRADE LO</t>
  </si>
  <si>
    <t>MR-JDBR/PA07-000000</t>
  </si>
  <si>
    <t>BROOKSIDE UNIT ASSOC SPEC LOC</t>
  </si>
  <si>
    <t>MR-MMLD/PA04-000000</t>
  </si>
  <si>
    <t>LD CONSULTANT  CONSULT LOC</t>
  </si>
  <si>
    <t>MF-WFLS/PA03-000000</t>
  </si>
  <si>
    <t>MED LIASON     SHO LOCUM</t>
  </si>
  <si>
    <t>MF-WFLS/PA04-000000</t>
  </si>
  <si>
    <t>MED LIASON     CONSULT LOC</t>
  </si>
  <si>
    <t>MF-WFLS/PA10-000000</t>
  </si>
  <si>
    <t>MED LIASON     SHO O/C COVER</t>
  </si>
  <si>
    <t>MF-WFMJ/PA03-000000</t>
  </si>
  <si>
    <t>FOREST PGME    SHO LOCUM</t>
  </si>
  <si>
    <t>MF-WFMJ/PA04-000000</t>
  </si>
  <si>
    <t>FOREST PGME    CONSULT LOC</t>
  </si>
  <si>
    <t>MF-WFMK/PA04-000000</t>
  </si>
  <si>
    <t>FOR SNR DR TR  CONSULT LOC</t>
  </si>
  <si>
    <t>MF-WFML/PA04-000000</t>
  </si>
  <si>
    <t>MEDI REHAB     CONSULT LOC</t>
  </si>
  <si>
    <t>MF-WFML/PA06-000000</t>
  </si>
  <si>
    <t>MEDI REHAB     STAFF GRADE LO</t>
  </si>
  <si>
    <t>MF-WFML/PA08-000000</t>
  </si>
  <si>
    <t>MEDI REHAB     SPEC REG LOC</t>
  </si>
  <si>
    <t>MF-WFML/PA10-000000</t>
  </si>
  <si>
    <t>MEDI REHAB     SHO O/C COVER</t>
  </si>
  <si>
    <t>MF-WFMS/PA08-000000</t>
  </si>
  <si>
    <t>MEDI STH CMHT  SPEC REG LOC</t>
  </si>
  <si>
    <t>MF-WFMS/PA10-000000</t>
  </si>
  <si>
    <t>MEDI STH CMHT  SHO O/C COVER</t>
  </si>
  <si>
    <t>MF-WFMT/PA03-000000</t>
  </si>
  <si>
    <t>MEDI MTH CMHT  SHO LOCUM</t>
  </si>
  <si>
    <t>MF-WFMT/PA04-000000</t>
  </si>
  <si>
    <t>MEDI MTH CMHT  CONSULT LOC</t>
  </si>
  <si>
    <t>MF-WFMT/PA06-000000</t>
  </si>
  <si>
    <t>MEDI MTH CMHT  STAFF GRADE LO</t>
  </si>
  <si>
    <t>MF-WFMT/PA10-000000</t>
  </si>
  <si>
    <t>MEDI MTH CMHT  SHO O/C COVER</t>
  </si>
  <si>
    <t>MR-GDBP/PA04-000000</t>
  </si>
  <si>
    <t>BED PRESSURE   CONSULT LOC</t>
  </si>
  <si>
    <t>MR-GDDA/PA06-000000</t>
  </si>
  <si>
    <t>GM DRUG ABUSE  STAFF GRADE LO</t>
  </si>
  <si>
    <t>MR-GDPG/PA03-000000</t>
  </si>
  <si>
    <t>GM POSTGRAD    SHO LOCUM</t>
  </si>
  <si>
    <t>MR-GDPG/PA06-000000</t>
  </si>
  <si>
    <t>GM POSTGRAD    STAFF GRADE LO</t>
  </si>
  <si>
    <t>MR-GDPH/PA04-000000</t>
  </si>
  <si>
    <t>RED SNR DR TR  CONSULT LOC</t>
  </si>
  <si>
    <t>MR-GMML/PA02-000000</t>
  </si>
  <si>
    <t>REHAB MED      CLIN ASSIS LOC</t>
  </si>
  <si>
    <t>MR-GMML/PA03-000000</t>
  </si>
  <si>
    <t>REHAB MED      SHO LOCUM</t>
  </si>
  <si>
    <t>PA01 Total</t>
  </si>
  <si>
    <t>PA02 Total</t>
  </si>
  <si>
    <t>PA03 Total</t>
  </si>
  <si>
    <t>PA04 Total</t>
  </si>
  <si>
    <t>PA06 Total</t>
  </si>
  <si>
    <t>PA07 Total</t>
  </si>
  <si>
    <t>PA08 Total</t>
  </si>
  <si>
    <t>PA09 Total</t>
  </si>
  <si>
    <t>PA10 Total</t>
  </si>
  <si>
    <t>BHZZ</t>
  </si>
  <si>
    <t>CLINICAL ASSTS &amp; BTS SESSIONS</t>
  </si>
  <si>
    <t>BBZZ</t>
  </si>
  <si>
    <t>ASSOCIATE SPECIALIST</t>
  </si>
  <si>
    <t>MF-WFML/PA03-000000</t>
  </si>
  <si>
    <t>MEDI REHAB     SHO LOCUM</t>
  </si>
  <si>
    <t>MF-WFAS/PA10-000000</t>
  </si>
  <si>
    <t>STONELEA       SHO O/C COVER</t>
  </si>
  <si>
    <t>MR-GMMW/PA06-000000</t>
  </si>
  <si>
    <t>WST SEC MED    STAFF GRADE LO</t>
  </si>
  <si>
    <t>MR-GMML/PA06-000000</t>
  </si>
  <si>
    <t>REHAB MED      STAFF GRADE LO</t>
  </si>
  <si>
    <t>MR-GDCP/PA06-000000</t>
  </si>
  <si>
    <t>D&amp;A COMM POSTS STAFF GRADE LO</t>
  </si>
  <si>
    <t>MR-GMML/PA04-000000</t>
  </si>
  <si>
    <t>REHAB MED      CONSULT LOC</t>
  </si>
  <si>
    <t>Actual</t>
  </si>
  <si>
    <t>CONSULTANT</t>
  </si>
  <si>
    <t>SHO</t>
  </si>
  <si>
    <t>STAFF GRADE</t>
  </si>
  <si>
    <t>ASSOC SPECIALIST</t>
  </si>
  <si>
    <t>CLINICAL ASSISTANT</t>
  </si>
  <si>
    <t>MF-WFHT/PA06-000000</t>
  </si>
  <si>
    <t>HOME TREAT     STAFF GRADE LO</t>
  </si>
  <si>
    <t>MF-WFMC/PA06-000000</t>
  </si>
  <si>
    <t>MEDI COVER     STAFF GRADE LO</t>
  </si>
  <si>
    <t>MF-WFMC/PA10-000000</t>
  </si>
  <si>
    <t>MEDI COVER     SHO O/C COVER</t>
  </si>
  <si>
    <t>MR-GWIC/PA04-000000</t>
  </si>
  <si>
    <t>PATH ON TAGORE CONSULT LOC</t>
  </si>
  <si>
    <t>MF-WFME/PA08-000000</t>
  </si>
  <si>
    <t>E FOREST UNIT  SPEC REG LOC</t>
  </si>
  <si>
    <t>Variance to November (M8)</t>
  </si>
  <si>
    <t xml:space="preserve">2003/04 Budget  5,922,356 </t>
  </si>
  <si>
    <t xml:space="preserve">Budget to Date  3,940,736 </t>
  </si>
  <si>
    <t xml:space="preserve">Spend to Date  3,338,994 </t>
  </si>
  <si>
    <t xml:space="preserve">Variance Under/(Over)  601,742 </t>
  </si>
  <si>
    <t xml:space="preserve">wte ccb  73.69 </t>
  </si>
  <si>
    <t xml:space="preserve">wte Worked  63.48 </t>
  </si>
  <si>
    <t xml:space="preserve">WTE CBB  78.51 </t>
  </si>
  <si>
    <t>MF-WFMA/PA06-000000</t>
  </si>
  <si>
    <t>CHILD MED      STAFF GRADE LO</t>
  </si>
  <si>
    <t>MF-WFMT/PA08-000000</t>
  </si>
  <si>
    <t>MEDI MTH CMHT  SPEC REG LOC</t>
  </si>
  <si>
    <t>MR-GDBP/PA03-000000</t>
  </si>
  <si>
    <t>BED PRESSURE   SHO LOCUM</t>
  </si>
  <si>
    <t>MR-GMMJ/PA06-000000</t>
  </si>
  <si>
    <t>DRS REDBRFLOAT STAFF GRADE LO</t>
  </si>
  <si>
    <t>MR-GMMS/PA08-000000</t>
  </si>
  <si>
    <t>STH SEC MED    SPEC REG LOC</t>
  </si>
  <si>
    <t>2003/04 forecast outturn</t>
  </si>
  <si>
    <t>MEDICAL STAFFING</t>
  </si>
  <si>
    <t>des</t>
  </si>
  <si>
    <t>POST</t>
  </si>
  <si>
    <t>NAME</t>
  </si>
  <si>
    <t>GRADE</t>
  </si>
  <si>
    <t>START DATE</t>
  </si>
  <si>
    <t>COMMENT</t>
  </si>
  <si>
    <t>ACTIVITY</t>
  </si>
  <si>
    <t>BUDGET</t>
  </si>
  <si>
    <t>YTD MTH 7</t>
  </si>
  <si>
    <t>MTH 8-12</t>
  </si>
  <si>
    <t>ACTUAL</t>
  </si>
  <si>
    <t>OUTTURN VARIANCE</t>
  </si>
  <si>
    <t>as</t>
  </si>
  <si>
    <t>ASS SPEC</t>
  </si>
  <si>
    <t>Assoc Spec (0.27 wte)</t>
  </si>
  <si>
    <t>Dr Thomas</t>
  </si>
  <si>
    <t>Staff Grade (0.2 wte)</t>
  </si>
  <si>
    <t>Ongoing</t>
  </si>
  <si>
    <t>Need to check post and sessions</t>
  </si>
  <si>
    <t>Assoc Spec</t>
  </si>
  <si>
    <t>Dr Umaipalan</t>
  </si>
  <si>
    <t>Substantive to commence 1st January</t>
  </si>
  <si>
    <t>Presently covered by Locum Staff Grade</t>
  </si>
  <si>
    <t>Staff Grade</t>
  </si>
  <si>
    <t>Dr Ansari</t>
  </si>
  <si>
    <t>Substantive Ass. Spec</t>
  </si>
  <si>
    <t>NA</t>
  </si>
  <si>
    <t>asl</t>
  </si>
  <si>
    <t>Assoc. Spec (0.63 wte)</t>
  </si>
  <si>
    <t>Dr Pietromartire</t>
  </si>
  <si>
    <t>Locum Ass. Spec</t>
  </si>
  <si>
    <t>ongoing</t>
  </si>
  <si>
    <t>Ass specialist JD sent to Region</t>
  </si>
  <si>
    <t>clin</t>
  </si>
  <si>
    <t>Clin Ass (0.64 wte)</t>
  </si>
  <si>
    <t>Dr Trivedi</t>
  </si>
  <si>
    <t>NHS Locum Clin Ass (0.9 wte)</t>
  </si>
  <si>
    <t>JD back from Region for further comments.</t>
  </si>
  <si>
    <t>Clin Ass. (0.63 wte)</t>
  </si>
  <si>
    <t>Dr Kanagasandra</t>
  </si>
  <si>
    <t>Substantive 0.2 wte</t>
  </si>
  <si>
    <t>Dr Mathukia</t>
  </si>
  <si>
    <t>clinl</t>
  </si>
  <si>
    <t>Psychotherapy Clinical Assistant (0.18 wte)</t>
  </si>
  <si>
    <t>Dr Garwood</t>
  </si>
  <si>
    <t>NHS Locum Clinical Assistant</t>
  </si>
  <si>
    <t>con</t>
  </si>
  <si>
    <t>Consultant</t>
  </si>
  <si>
    <t>Dr Magner</t>
  </si>
  <si>
    <t>Substantive</t>
  </si>
  <si>
    <t>Dr Duffett</t>
  </si>
  <si>
    <t>Vacancy</t>
  </si>
  <si>
    <t>Dr Margo</t>
  </si>
  <si>
    <t>Dr Walsh</t>
  </si>
  <si>
    <t>Dr Evenson</t>
  </si>
  <si>
    <t>Dr Wildgrube</t>
  </si>
  <si>
    <t>Consultant (0.45 wte)</t>
  </si>
  <si>
    <t>Vacant</t>
  </si>
  <si>
    <t>Available funding</t>
  </si>
  <si>
    <t>Dr Fagin</t>
  </si>
  <si>
    <t>Dr Williams</t>
  </si>
  <si>
    <t>Dr Travers</t>
  </si>
  <si>
    <t>Dr Gadhvi</t>
  </si>
  <si>
    <t>Dr Lawrence</t>
  </si>
  <si>
    <t>Dr Borrell</t>
  </si>
  <si>
    <t>Substantive 0.7 wte</t>
  </si>
  <si>
    <t>Dr Papanastiou</t>
  </si>
  <si>
    <t>0.7 wte</t>
  </si>
  <si>
    <t>Consultant (0.27 wte)</t>
  </si>
  <si>
    <t>Dr Mirza</t>
  </si>
  <si>
    <t>D Cleary</t>
  </si>
  <si>
    <t>Substantive 0.5 wte</t>
  </si>
  <si>
    <t>Dr Petterson</t>
  </si>
  <si>
    <t>Dr Luyombia</t>
  </si>
  <si>
    <t>Dr Rossouw</t>
  </si>
  <si>
    <t>DrLittlejohn</t>
  </si>
  <si>
    <t>Consultant (0.54wte)</t>
  </si>
  <si>
    <t>Dr Lau</t>
  </si>
  <si>
    <t>Substantive 0.4 wte</t>
  </si>
  <si>
    <t>Dr Aye Aye Yee</t>
  </si>
  <si>
    <t>Dr Caviston</t>
  </si>
  <si>
    <t>Dr El Hadi</t>
  </si>
  <si>
    <t>Trainee</t>
  </si>
  <si>
    <t>Consultant (0.55 wte)</t>
  </si>
  <si>
    <t>Funding for 0.5 wte Dr Bevington post</t>
  </si>
  <si>
    <t>Consultant (0.18 wte)</t>
  </si>
  <si>
    <t xml:space="preserve">Consultant </t>
  </si>
  <si>
    <t>Dr Horne</t>
  </si>
  <si>
    <t>Dr Isaacs</t>
  </si>
  <si>
    <t>Dr Padamsee</t>
  </si>
  <si>
    <t>Raphael House</t>
  </si>
  <si>
    <t>Dr Sandberg</t>
  </si>
  <si>
    <t>Dr Mclaughlan</t>
  </si>
  <si>
    <t>Sabbatical for one year</t>
  </si>
  <si>
    <t>Dr Pereira</t>
  </si>
  <si>
    <t>Consultant (0.5 wte)</t>
  </si>
  <si>
    <t>Substantive (0.5 wte)</t>
  </si>
  <si>
    <t>No cost being incurred</t>
  </si>
  <si>
    <t>Psychotherapy Consultant</t>
  </si>
  <si>
    <t>Dr Souter</t>
  </si>
  <si>
    <t>Dr Garlick</t>
  </si>
  <si>
    <t>Dr Basquille</t>
  </si>
  <si>
    <t>conl</t>
  </si>
  <si>
    <t>Locum Consultant covering Dr Magner</t>
  </si>
  <si>
    <t>Dr Fehilly</t>
  </si>
  <si>
    <t>Locum Consultant</t>
  </si>
  <si>
    <t>JD gone to Region</t>
  </si>
  <si>
    <t>*Consultant</t>
  </si>
  <si>
    <t>Dr Eckland</t>
  </si>
  <si>
    <t>Starting 17 Nov 2003</t>
  </si>
  <si>
    <t>Bed Pressure Consultant post</t>
  </si>
  <si>
    <t>Consultant Locum</t>
  </si>
  <si>
    <t>Dr Kumar</t>
  </si>
  <si>
    <t>JD back from Region requires further amendment.</t>
  </si>
  <si>
    <t>Dr Bevington</t>
  </si>
  <si>
    <t>JD being developed 0.5 wte to be funded from new beds income</t>
  </si>
  <si>
    <t>Consultant (0.82 wte)</t>
  </si>
  <si>
    <t>Dr Issnoff</t>
  </si>
  <si>
    <t>Locum Consultant 1.0 wte</t>
  </si>
  <si>
    <t>JD being developed</t>
  </si>
  <si>
    <t>Dr Stuart</t>
  </si>
  <si>
    <t>Woodward Road</t>
  </si>
  <si>
    <t>Dr Swift</t>
  </si>
  <si>
    <t>NHS Locum (0.6 wte)</t>
  </si>
  <si>
    <t>Dr Jennings</t>
  </si>
  <si>
    <t>NHS Locum Consultant (0.6 wte)</t>
  </si>
  <si>
    <t>One year</t>
  </si>
  <si>
    <t>Woodward Road Funded by Dr McLaughlan funding whilst on sabbatical leave</t>
  </si>
  <si>
    <t>Dr Adebekun</t>
  </si>
  <si>
    <t>PICU presently developing JD</t>
  </si>
  <si>
    <t>Dr Sinason</t>
  </si>
  <si>
    <t>NHS Locum Consultant</t>
  </si>
  <si>
    <t>sho</t>
  </si>
  <si>
    <t>Dr Uchendo</t>
  </si>
  <si>
    <t>Dr Rahman</t>
  </si>
  <si>
    <t>Dr Larh</t>
  </si>
  <si>
    <t>Dr Hussain</t>
  </si>
  <si>
    <t>Dr Narayanan</t>
  </si>
  <si>
    <t>Dr Nassa</t>
  </si>
  <si>
    <t>Dr B. Olorfemi</t>
  </si>
  <si>
    <t>Dr  Reddy</t>
  </si>
  <si>
    <t>SHO SUPERNUMERY</t>
  </si>
  <si>
    <t>Agency Costs</t>
  </si>
  <si>
    <t>Underspent by £3163</t>
  </si>
  <si>
    <t>SHO (0.5 wte)</t>
  </si>
  <si>
    <t>Dr Kandeth</t>
  </si>
  <si>
    <t>Trainee (0.5 wte)</t>
  </si>
  <si>
    <t>Dr Mason</t>
  </si>
  <si>
    <t>Trainee 1.0 wte</t>
  </si>
  <si>
    <t>Dr Pitera</t>
  </si>
  <si>
    <t>Dr Mougay</t>
  </si>
  <si>
    <t>Need to clarify funding</t>
  </si>
  <si>
    <t>Dr latoo</t>
  </si>
  <si>
    <t>Need to identify funding</t>
  </si>
  <si>
    <t>Dr Vant</t>
  </si>
  <si>
    <t>Dr Tandy</t>
  </si>
  <si>
    <t>WFPGME</t>
  </si>
  <si>
    <t>Overspent by £1121 requires investigation</t>
  </si>
  <si>
    <t>Redbridge PGME</t>
  </si>
  <si>
    <t>Overspent by £4787 required investigation</t>
  </si>
  <si>
    <t>Dr Tubim</t>
  </si>
  <si>
    <t>Dr Agoe</t>
  </si>
  <si>
    <t>shol</t>
  </si>
  <si>
    <t>Dr Qazi</t>
  </si>
  <si>
    <t>NHS Locum SHO</t>
  </si>
  <si>
    <t>Until next trainee allocation</t>
  </si>
  <si>
    <t>Agency locum employed as trainee not allocated.</t>
  </si>
  <si>
    <t>Dr Biswas</t>
  </si>
  <si>
    <t>Locum SHO</t>
  </si>
  <si>
    <t>Until next allocation</t>
  </si>
  <si>
    <t>staf</t>
  </si>
  <si>
    <t>Clin Ass. (0.73 wte)</t>
  </si>
  <si>
    <t>Dr Saleem</t>
  </si>
  <si>
    <t>Substantive Staff Grade 1.0 wte</t>
  </si>
  <si>
    <t>Dr Linga</t>
  </si>
  <si>
    <t>Dr Galydiyi</t>
  </si>
  <si>
    <t>Funding agreed 2003/04.  (However there is presently a £20k shortfall)</t>
  </si>
  <si>
    <t>SpR</t>
  </si>
  <si>
    <t>Dr Urath</t>
  </si>
  <si>
    <t>Dr Suhasini</t>
  </si>
  <si>
    <t>Dr Amoda</t>
  </si>
  <si>
    <t>Dr Dalton</t>
  </si>
  <si>
    <t>Dr Mahmood</t>
  </si>
  <si>
    <t>Dr Venable</t>
  </si>
  <si>
    <t xml:space="preserve">staf </t>
  </si>
  <si>
    <t>Spec Reg.</t>
  </si>
  <si>
    <t>Dr Nuamah</t>
  </si>
  <si>
    <t>stafl</t>
  </si>
  <si>
    <t>Dr Adebajo</t>
  </si>
  <si>
    <t>Locum Staff Grade</t>
  </si>
  <si>
    <t>JD for Associate Specialist being developed</t>
  </si>
  <si>
    <t>Dr Ajigini</t>
  </si>
  <si>
    <t>No trainee allocated</t>
  </si>
  <si>
    <t>Dr Cheeroth</t>
  </si>
  <si>
    <t>Dr Dada</t>
  </si>
  <si>
    <t>NHS Locum Staff Grade</t>
  </si>
  <si>
    <t>Dr Choy</t>
  </si>
  <si>
    <t>Bed Pressure Staff Grade</t>
  </si>
  <si>
    <t>Dr Potgeiter</t>
  </si>
  <si>
    <t>New Deal</t>
  </si>
  <si>
    <t>Dr Osman</t>
  </si>
  <si>
    <t>New Deal (Floater)</t>
  </si>
  <si>
    <t>Staff Grade locum</t>
  </si>
  <si>
    <t>Dr Postma</t>
  </si>
  <si>
    <t>Dr Ul-haque</t>
  </si>
  <si>
    <t>Locum SpR</t>
  </si>
  <si>
    <t>Dr Allen</t>
  </si>
  <si>
    <t>Post advertised</t>
  </si>
  <si>
    <t>Dr Ogunseye</t>
  </si>
  <si>
    <t>Presently being considered for conversion to SHO Post</t>
  </si>
  <si>
    <t>Dr Bala Krishani</t>
  </si>
  <si>
    <t>JD ready endeavouring to convert to SHO post</t>
  </si>
  <si>
    <t>Dr Adewusi</t>
  </si>
  <si>
    <t>Finishes end of November</t>
  </si>
  <si>
    <t>Dr Munis</t>
  </si>
  <si>
    <t>Funded by CAMHS Strategy Group underspend.</t>
  </si>
  <si>
    <t>general practioner</t>
  </si>
  <si>
    <t>consultant</t>
  </si>
  <si>
    <t>dr rusca</t>
  </si>
  <si>
    <t>locum consultant</t>
  </si>
  <si>
    <t>staff grade</t>
  </si>
  <si>
    <t>dr pang choi</t>
  </si>
  <si>
    <t xml:space="preserve">consultant </t>
  </si>
  <si>
    <r>
      <t>*</t>
    </r>
    <r>
      <rPr>
        <i/>
        <sz val="8"/>
        <rFont val="Microsoft Sans Serif"/>
        <family val="2"/>
      </rPr>
      <t>Consultant</t>
    </r>
  </si>
  <si>
    <r>
      <t>*</t>
    </r>
    <r>
      <rPr>
        <i/>
        <sz val="8"/>
        <rFont val="Microsoft Sans Serif"/>
        <family val="2"/>
      </rPr>
      <t>SHO</t>
    </r>
  </si>
  <si>
    <r>
      <t>*</t>
    </r>
    <r>
      <rPr>
        <i/>
        <sz val="8"/>
        <rFont val="Microsoft Sans Serif"/>
        <family val="2"/>
      </rPr>
      <t>Staff Grade</t>
    </r>
  </si>
  <si>
    <t>as Total</t>
  </si>
  <si>
    <t>asl Total</t>
  </si>
  <si>
    <t>clin Total</t>
  </si>
  <si>
    <t>clinl Total</t>
  </si>
  <si>
    <t>con Total</t>
  </si>
  <si>
    <t>conl Total</t>
  </si>
  <si>
    <t>sho Total</t>
  </si>
  <si>
    <t>shol Total</t>
  </si>
  <si>
    <t>staf Total</t>
  </si>
  <si>
    <t>stafl Total</t>
  </si>
  <si>
    <t>2004/05 forecast outturn Worst case</t>
  </si>
  <si>
    <t>04/05 out turn worst case</t>
  </si>
  <si>
    <t>Note 1</t>
  </si>
  <si>
    <t>Note 2</t>
  </si>
  <si>
    <t>Note 3</t>
  </si>
  <si>
    <t>Note4</t>
  </si>
  <si>
    <t>Note 5</t>
  </si>
  <si>
    <t>Budget 2003/04</t>
  </si>
  <si>
    <t>Variance is due to JH committing to 2 consultants to be recruited by December 04</t>
  </si>
  <si>
    <t>Variance due to JH committing to two post being recruited by July 04 and thus locum budget need to be re allocated to fill substantive posts</t>
  </si>
  <si>
    <t>An addittional .8 of a consultant needs to be included in East Camhs to bring up consultants to 2 in each borough</t>
  </si>
  <si>
    <t>Camhs additional consultants</t>
  </si>
  <si>
    <t>Note 4</t>
  </si>
  <si>
    <t>SHO in CAMHS has been filled substantively and has reduced the outturn, but this is also based on JH Scenario 1</t>
  </si>
  <si>
    <t>Based on JH paper that all Associate Specialist Vacancy are at locum rate.</t>
  </si>
  <si>
    <t>Reduction in next forecast due a post been filled this year.</t>
  </si>
  <si>
    <t>No change</t>
  </si>
  <si>
    <t>Note 6</t>
  </si>
  <si>
    <t>Next year figure exclude Parential leave for Medical and therefore need to be include with High level of assumption</t>
  </si>
  <si>
    <t>Medical Staff as @ 30 November 2003 (Month 8) - Operations Division (JH)</t>
  </si>
  <si>
    <t>Appendix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</si>
</sst>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72" formatCode="[Black]#,##0.00;[Red]\(#,##0.00\)"/>
    <numFmt numFmtId="173" formatCode="[Black]#,##0;[Red]\(#,##0\)"/>
    <numFmt numFmtId="176" formatCode="_-* #,##0_-;\-* #,##0_-;_-* &quot;-&quot;??_-;_-@_-"/>
    <numFmt numFmtId="178" formatCode="#,##0_ ;[Red]\-#,##0\ "/>
    <numFmt numFmtId="180" formatCode="#,##0_);[Red]\(#,##0.00\)"/>
  </numFmts>
  <fonts count="21" x14ac:knownFonts="1">
    <font>
      <sz val="11"/>
      <name val="Times New Roman"/>
    </font>
    <font>
      <sz val="11"/>
      <name val="Times New Roman"/>
    </font>
    <font>
      <b/>
      <u/>
      <sz val="13.5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Times New Roman"/>
    </font>
    <font>
      <b/>
      <i/>
      <sz val="10"/>
      <color indexed="8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u/>
      <sz val="8"/>
      <name val="Arial"/>
      <family val="2"/>
    </font>
    <font>
      <b/>
      <sz val="11"/>
      <name val="Times New Roman"/>
    </font>
    <font>
      <sz val="10"/>
      <name val="Arial"/>
    </font>
    <font>
      <sz val="8"/>
      <name val="Microsoft Sans Serif"/>
      <family val="2"/>
    </font>
    <font>
      <b/>
      <sz val="8"/>
      <name val="Microsoft Sans Serif"/>
      <family val="2"/>
    </font>
    <font>
      <i/>
      <sz val="8"/>
      <name val="Microsoft Sans Serif"/>
      <family val="2"/>
    </font>
    <font>
      <sz val="8"/>
      <color indexed="11"/>
      <name val="Microsoft Sans Serif"/>
      <family val="2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Fill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172" fontId="6" fillId="0" borderId="1" xfId="0" applyNumberFormat="1" applyFont="1" applyBorder="1"/>
    <xf numFmtId="172" fontId="3" fillId="0" borderId="0" xfId="0" applyNumberFormat="1" applyFont="1" applyBorder="1"/>
    <xf numFmtId="172" fontId="6" fillId="0" borderId="0" xfId="0" applyNumberFormat="1" applyFont="1" applyBorder="1"/>
    <xf numFmtId="173" fontId="6" fillId="0" borderId="0" xfId="0" applyNumberFormat="1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9" fillId="0" borderId="0" xfId="0" applyFont="1"/>
    <xf numFmtId="0" fontId="5" fillId="0" borderId="0" xfId="0" applyFont="1" applyAlignment="1">
      <alignment horizontal="center"/>
    </xf>
    <xf numFmtId="176" fontId="3" fillId="0" borderId="0" xfId="1" applyNumberFormat="1" applyFont="1"/>
    <xf numFmtId="2" fontId="8" fillId="0" borderId="0" xfId="0" applyNumberFormat="1" applyFont="1" applyBorder="1" applyAlignment="1">
      <alignment horizontal="center"/>
    </xf>
    <xf numFmtId="178" fontId="3" fillId="0" borderId="0" xfId="1" applyNumberFormat="1" applyFont="1"/>
    <xf numFmtId="178" fontId="8" fillId="0" borderId="0" xfId="0" applyNumberFormat="1" applyFont="1" applyBorder="1"/>
    <xf numFmtId="178" fontId="8" fillId="0" borderId="0" xfId="0" applyNumberFormat="1" applyFont="1" applyBorder="1" applyAlignment="1">
      <alignment horizontal="center"/>
    </xf>
    <xf numFmtId="178" fontId="7" fillId="0" borderId="0" xfId="0" applyNumberFormat="1" applyFont="1" applyBorder="1"/>
    <xf numFmtId="0" fontId="10" fillId="0" borderId="0" xfId="0" applyFont="1" applyFill="1" applyAlignment="1">
      <alignment horizontal="left"/>
    </xf>
    <xf numFmtId="178" fontId="6" fillId="0" borderId="1" xfId="0" applyNumberFormat="1" applyFont="1" applyBorder="1"/>
    <xf numFmtId="9" fontId="3" fillId="0" borderId="0" xfId="3" applyFont="1"/>
    <xf numFmtId="178" fontId="7" fillId="0" borderId="2" xfId="0" applyNumberFormat="1" applyFont="1" applyBorder="1"/>
    <xf numFmtId="178" fontId="8" fillId="0" borderId="2" xfId="0" applyNumberFormat="1" applyFont="1" applyBorder="1" applyAlignment="1">
      <alignment horizontal="center"/>
    </xf>
    <xf numFmtId="0" fontId="11" fillId="0" borderId="0" xfId="0" applyFont="1"/>
    <xf numFmtId="0" fontId="10" fillId="0" borderId="0" xfId="0" applyFont="1"/>
    <xf numFmtId="178" fontId="0" fillId="0" borderId="0" xfId="0" applyNumberFormat="1"/>
    <xf numFmtId="0" fontId="12" fillId="0" borderId="0" xfId="0" applyFont="1"/>
    <xf numFmtId="0" fontId="1" fillId="0" borderId="0" xfId="0" applyFont="1"/>
    <xf numFmtId="38" fontId="3" fillId="0" borderId="0" xfId="1" applyNumberFormat="1" applyFont="1"/>
    <xf numFmtId="38" fontId="8" fillId="0" borderId="0" xfId="0" applyNumberFormat="1" applyFont="1" applyBorder="1"/>
    <xf numFmtId="38" fontId="7" fillId="0" borderId="2" xfId="0" applyNumberFormat="1" applyFont="1" applyBorder="1"/>
    <xf numFmtId="38" fontId="7" fillId="0" borderId="0" xfId="0" applyNumberFormat="1" applyFont="1" applyBorder="1"/>
    <xf numFmtId="38" fontId="6" fillId="0" borderId="1" xfId="0" applyNumberFormat="1" applyFont="1" applyBorder="1"/>
    <xf numFmtId="38" fontId="6" fillId="0" borderId="0" xfId="0" applyNumberFormat="1" applyFont="1" applyBorder="1"/>
    <xf numFmtId="0" fontId="4" fillId="0" borderId="0" xfId="0" applyFont="1" applyBorder="1" applyAlignment="1">
      <alignment horizontal="center" wrapText="1" shrinkToFit="1"/>
    </xf>
    <xf numFmtId="0" fontId="4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38" fontId="8" fillId="0" borderId="0" xfId="0" applyNumberFormat="1" applyFont="1" applyBorder="1" applyAlignment="1"/>
    <xf numFmtId="38" fontId="8" fillId="0" borderId="2" xfId="0" applyNumberFormat="1" applyFont="1" applyBorder="1" applyAlignment="1"/>
    <xf numFmtId="38" fontId="6" fillId="0" borderId="1" xfId="0" applyNumberFormat="1" applyFont="1" applyBorder="1" applyAlignment="1"/>
    <xf numFmtId="38" fontId="6" fillId="0" borderId="0" xfId="0" applyNumberFormat="1" applyFont="1" applyBorder="1" applyAlignment="1"/>
    <xf numFmtId="38" fontId="8" fillId="0" borderId="0" xfId="0" applyNumberFormat="1" applyFont="1"/>
    <xf numFmtId="43" fontId="0" fillId="0" borderId="0" xfId="1" applyFont="1"/>
    <xf numFmtId="43" fontId="0" fillId="0" borderId="0" xfId="0" applyNumberFormat="1"/>
    <xf numFmtId="38" fontId="6" fillId="0" borderId="0" xfId="0" applyNumberFormat="1" applyFont="1" applyFill="1" applyBorder="1" applyAlignment="1"/>
    <xf numFmtId="38" fontId="0" fillId="0" borderId="0" xfId="0" applyNumberFormat="1"/>
    <xf numFmtId="3" fontId="0" fillId="0" borderId="0" xfId="0" applyNumberFormat="1"/>
    <xf numFmtId="0" fontId="14" fillId="0" borderId="0" xfId="0" applyNumberFormat="1" applyFont="1"/>
    <xf numFmtId="0" fontId="14" fillId="0" borderId="0" xfId="0" applyFont="1"/>
    <xf numFmtId="0" fontId="0" fillId="2" borderId="0" xfId="0" applyFill="1"/>
    <xf numFmtId="40" fontId="7" fillId="0" borderId="2" xfId="0" applyNumberFormat="1" applyFont="1" applyBorder="1" applyAlignment="1">
      <alignment horizontal="center"/>
    </xf>
    <xf numFmtId="180" fontId="4" fillId="0" borderId="0" xfId="0" applyNumberFormat="1" applyFont="1" applyBorder="1" applyAlignment="1">
      <alignment horizontal="center"/>
    </xf>
    <xf numFmtId="180" fontId="8" fillId="0" borderId="0" xfId="0" applyNumberFormat="1" applyFont="1" applyBorder="1" applyAlignment="1">
      <alignment horizontal="center"/>
    </xf>
    <xf numFmtId="180" fontId="0" fillId="0" borderId="0" xfId="0" applyNumberFormat="1"/>
    <xf numFmtId="180" fontId="2" fillId="0" borderId="0" xfId="0" applyNumberFormat="1" applyFont="1" applyAlignment="1">
      <alignment horizontal="centerContinuous"/>
    </xf>
    <xf numFmtId="180" fontId="3" fillId="0" borderId="0" xfId="0" applyNumberFormat="1" applyFont="1"/>
    <xf numFmtId="180" fontId="6" fillId="0" borderId="0" xfId="0" applyNumberFormat="1" applyFont="1" applyBorder="1"/>
    <xf numFmtId="40" fontId="8" fillId="0" borderId="0" xfId="0" applyNumberFormat="1" applyFont="1" applyBorder="1" applyAlignment="1">
      <alignment horizontal="center"/>
    </xf>
    <xf numFmtId="40" fontId="8" fillId="0" borderId="3" xfId="0" applyNumberFormat="1" applyFont="1" applyBorder="1" applyAlignment="1">
      <alignment horizontal="center"/>
    </xf>
    <xf numFmtId="40" fontId="6" fillId="0" borderId="1" xfId="0" applyNumberFormat="1" applyFont="1" applyBorder="1" applyAlignment="1">
      <alignment horizontal="center"/>
    </xf>
    <xf numFmtId="2" fontId="0" fillId="0" borderId="0" xfId="0" applyNumberFormat="1"/>
    <xf numFmtId="2" fontId="11" fillId="0" borderId="0" xfId="0" applyNumberFormat="1" applyFont="1"/>
    <xf numFmtId="38" fontId="3" fillId="0" borderId="0" xfId="1" applyNumberFormat="1" applyFont="1" applyFill="1"/>
    <xf numFmtId="40" fontId="8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16" fillId="0" borderId="0" xfId="2" applyFont="1"/>
    <xf numFmtId="0" fontId="17" fillId="0" borderId="0" xfId="2" applyFont="1" applyBorder="1" applyAlignment="1">
      <alignment horizontal="center"/>
    </xf>
    <xf numFmtId="0" fontId="16" fillId="0" borderId="0" xfId="2" applyFont="1" applyBorder="1" applyAlignment="1"/>
    <xf numFmtId="1" fontId="16" fillId="0" borderId="0" xfId="2" applyNumberFormat="1" applyFont="1" applyBorder="1" applyAlignment="1"/>
    <xf numFmtId="0" fontId="17" fillId="0" borderId="0" xfId="2" applyFont="1"/>
    <xf numFmtId="0" fontId="17" fillId="0" borderId="0" xfId="2" applyFont="1" applyBorder="1" applyAlignment="1">
      <alignment horizontal="center" vertical="top"/>
    </xf>
    <xf numFmtId="1" fontId="17" fillId="0" borderId="0" xfId="2" applyNumberFormat="1" applyFont="1" applyBorder="1" applyAlignment="1">
      <alignment horizontal="center" vertical="top"/>
    </xf>
    <xf numFmtId="0" fontId="16" fillId="0" borderId="0" xfId="2" applyFont="1" applyBorder="1" applyAlignment="1">
      <alignment vertical="top"/>
    </xf>
    <xf numFmtId="1" fontId="16" fillId="0" borderId="0" xfId="2" applyNumberFormat="1" applyFont="1" applyBorder="1" applyAlignment="1">
      <alignment vertical="top"/>
    </xf>
    <xf numFmtId="17" fontId="16" fillId="0" borderId="0" xfId="2" applyNumberFormat="1" applyFont="1" applyBorder="1" applyAlignment="1">
      <alignment vertical="top"/>
    </xf>
    <xf numFmtId="0" fontId="18" fillId="0" borderId="0" xfId="2" applyFont="1" applyBorder="1" applyAlignment="1">
      <alignment vertical="top"/>
    </xf>
    <xf numFmtId="1" fontId="18" fillId="0" borderId="0" xfId="2" applyNumberFormat="1" applyFont="1" applyBorder="1" applyAlignment="1">
      <alignment vertical="top"/>
    </xf>
    <xf numFmtId="0" fontId="19" fillId="0" borderId="0" xfId="2" applyFont="1"/>
    <xf numFmtId="0" fontId="17" fillId="0" borderId="0" xfId="2" applyFont="1" applyBorder="1" applyAlignment="1">
      <alignment vertical="top"/>
    </xf>
    <xf numFmtId="0" fontId="16" fillId="2" borderId="0" xfId="2" applyFont="1" applyFill="1" applyBorder="1" applyAlignment="1">
      <alignment vertical="top"/>
    </xf>
    <xf numFmtId="0" fontId="16" fillId="0" borderId="0" xfId="2" applyFont="1" applyBorder="1"/>
    <xf numFmtId="0" fontId="16" fillId="0" borderId="0" xfId="2" applyFont="1" applyFill="1" applyBorder="1" applyAlignment="1">
      <alignment vertical="top"/>
    </xf>
    <xf numFmtId="0" fontId="15" fillId="0" borderId="0" xfId="2" applyBorder="1" applyAlignment="1"/>
    <xf numFmtId="1" fontId="16" fillId="0" borderId="0" xfId="2" applyNumberFormat="1" applyFont="1" applyFill="1" applyBorder="1" applyAlignment="1">
      <alignment vertical="top"/>
    </xf>
    <xf numFmtId="0" fontId="15" fillId="0" borderId="0" xfId="2" applyBorder="1"/>
    <xf numFmtId="0" fontId="16" fillId="0" borderId="0" xfId="2" applyFont="1" applyFill="1" applyBorder="1"/>
    <xf numFmtId="0" fontId="17" fillId="0" borderId="0" xfId="2" applyNumberFormat="1" applyFont="1"/>
    <xf numFmtId="0" fontId="17" fillId="0" borderId="0" xfId="2" applyFont="1" applyBorder="1"/>
    <xf numFmtId="0" fontId="17" fillId="0" borderId="0" xfId="2" applyFont="1" applyFill="1" applyBorder="1"/>
    <xf numFmtId="3" fontId="0" fillId="0" borderId="0" xfId="0" applyNumberFormat="1" applyAlignment="1">
      <alignment horizontal="right"/>
    </xf>
    <xf numFmtId="3" fontId="4" fillId="0" borderId="0" xfId="0" applyNumberFormat="1" applyFont="1" applyFill="1" applyBorder="1" applyAlignment="1">
      <alignment horizontal="right" wrapText="1"/>
    </xf>
    <xf numFmtId="3" fontId="1" fillId="0" borderId="0" xfId="0" applyNumberFormat="1" applyFont="1" applyAlignment="1">
      <alignment horizontal="right"/>
    </xf>
    <xf numFmtId="0" fontId="17" fillId="2" borderId="0" xfId="2" applyFont="1" applyFill="1"/>
    <xf numFmtId="0" fontId="16" fillId="2" borderId="0" xfId="2" applyFont="1" applyFill="1"/>
    <xf numFmtId="0" fontId="17" fillId="2" borderId="0" xfId="2" applyFont="1" applyFill="1" applyBorder="1"/>
    <xf numFmtId="0" fontId="16" fillId="2" borderId="0" xfId="2" applyFont="1" applyFill="1" applyBorder="1"/>
    <xf numFmtId="3" fontId="16" fillId="0" borderId="0" xfId="2" applyNumberFormat="1" applyFont="1"/>
    <xf numFmtId="3" fontId="15" fillId="0" borderId="0" xfId="2" applyNumberFormat="1" applyBorder="1"/>
    <xf numFmtId="38" fontId="1" fillId="0" borderId="0" xfId="0" applyNumberFormat="1" applyFont="1" applyAlignment="1">
      <alignment horizontal="right"/>
    </xf>
    <xf numFmtId="38" fontId="1" fillId="0" borderId="0" xfId="0" applyNumberFormat="1" applyFont="1"/>
    <xf numFmtId="38" fontId="7" fillId="0" borderId="2" xfId="0" applyNumberFormat="1" applyFont="1" applyBorder="1" applyAlignment="1">
      <alignment horizontal="right"/>
    </xf>
    <xf numFmtId="38" fontId="6" fillId="0" borderId="1" xfId="0" applyNumberFormat="1" applyFont="1" applyBorder="1" applyAlignment="1">
      <alignment horizontal="right"/>
    </xf>
    <xf numFmtId="38" fontId="7" fillId="0" borderId="0" xfId="0" applyNumberFormat="1" applyFont="1" applyAlignment="1">
      <alignment horizontal="right"/>
    </xf>
    <xf numFmtId="38" fontId="7" fillId="0" borderId="0" xfId="0" applyNumberFormat="1" applyFont="1"/>
    <xf numFmtId="38" fontId="7" fillId="0" borderId="1" xfId="0" applyNumberFormat="1" applyFont="1" applyBorder="1" applyAlignment="1">
      <alignment horizontal="right"/>
    </xf>
    <xf numFmtId="40" fontId="6" fillId="0" borderId="1" xfId="0" applyNumberFormat="1" applyFont="1" applyBorder="1"/>
    <xf numFmtId="43" fontId="15" fillId="0" borderId="0" xfId="1" applyFont="1" applyBorder="1" applyAlignment="1"/>
    <xf numFmtId="38" fontId="2" fillId="0" borderId="0" xfId="0" applyNumberFormat="1" applyFont="1" applyAlignment="1">
      <alignment horizontal="centerContinuous"/>
    </xf>
    <xf numFmtId="38" fontId="3" fillId="0" borderId="0" xfId="0" applyNumberFormat="1" applyFont="1"/>
    <xf numFmtId="38" fontId="4" fillId="0" borderId="0" xfId="0" applyNumberFormat="1" applyFont="1" applyBorder="1" applyAlignment="1">
      <alignment horizontal="center" wrapText="1"/>
    </xf>
    <xf numFmtId="38" fontId="4" fillId="0" borderId="0" xfId="0" applyNumberFormat="1" applyFont="1" applyBorder="1" applyAlignment="1">
      <alignment horizontal="center"/>
    </xf>
    <xf numFmtId="38" fontId="3" fillId="0" borderId="0" xfId="3" applyNumberFormat="1" applyFont="1"/>
    <xf numFmtId="38" fontId="3" fillId="0" borderId="0" xfId="0" applyNumberFormat="1" applyFont="1" applyBorder="1"/>
    <xf numFmtId="0" fontId="20" fillId="0" borderId="0" xfId="0" applyFont="1"/>
  </cellXfs>
  <cellStyles count="4">
    <cellStyle name="Comma" xfId="1" builtinId="3"/>
    <cellStyle name="Normal" xfId="0" builtinId="0"/>
    <cellStyle name="Normal_MEDIDAL STAFF OUTTURN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D9" sqref="D9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14.453125" bestFit="1" customWidth="1"/>
    <col min="5" max="5" width="9.7265625" bestFit="1" customWidth="1"/>
    <col min="6" max="6" width="9.54296875" bestFit="1" customWidth="1"/>
    <col min="7" max="7" width="10.54296875" customWidth="1"/>
    <col min="8" max="8" width="13.26953125" customWidth="1"/>
  </cols>
  <sheetData>
    <row r="1" spans="1:7" x14ac:dyDescent="0.3">
      <c r="G1" s="28" t="s">
        <v>23</v>
      </c>
    </row>
    <row r="2" spans="1:7" ht="29.25" customHeight="1" x14ac:dyDescent="0.3"/>
    <row r="3" spans="1:7" ht="17.5" x14ac:dyDescent="0.4">
      <c r="A3" s="1" t="s">
        <v>25</v>
      </c>
      <c r="B3" s="1"/>
      <c r="C3" s="1"/>
      <c r="D3" s="1"/>
      <c r="E3" s="1"/>
      <c r="F3" s="1"/>
      <c r="G3" s="1"/>
    </row>
    <row r="4" spans="1:7" ht="43.5" customHeight="1" x14ac:dyDescent="0.3">
      <c r="A4" s="2"/>
      <c r="B4" s="2"/>
      <c r="C4" s="2"/>
      <c r="D4" s="2"/>
      <c r="E4" s="2"/>
      <c r="F4" s="2"/>
      <c r="G4" s="2"/>
    </row>
    <row r="5" spans="1:7" x14ac:dyDescent="0.3">
      <c r="A5" s="3"/>
      <c r="B5" s="3"/>
      <c r="C5" s="4" t="s">
        <v>0</v>
      </c>
      <c r="D5" s="4" t="s">
        <v>9</v>
      </c>
      <c r="E5" s="4" t="s">
        <v>1</v>
      </c>
      <c r="F5" s="4" t="s">
        <v>1</v>
      </c>
      <c r="G5" s="4" t="s">
        <v>22</v>
      </c>
    </row>
    <row r="6" spans="1:7" x14ac:dyDescent="0.3">
      <c r="A6" s="3"/>
      <c r="B6" s="3"/>
      <c r="C6" s="4" t="s">
        <v>2</v>
      </c>
      <c r="D6" s="13" t="s">
        <v>5</v>
      </c>
      <c r="E6" s="5"/>
      <c r="F6" s="4" t="s">
        <v>3</v>
      </c>
      <c r="G6" s="4" t="s">
        <v>3</v>
      </c>
    </row>
    <row r="7" spans="1:7" s="12" customFormat="1" x14ac:dyDescent="0.3">
      <c r="A7" s="3"/>
      <c r="B7" s="3"/>
      <c r="C7" s="10"/>
      <c r="D7" s="14"/>
      <c r="E7" s="11"/>
      <c r="F7" s="10"/>
      <c r="G7" s="2"/>
    </row>
    <row r="8" spans="1:7" s="12" customFormat="1" x14ac:dyDescent="0.3">
      <c r="A8" s="3"/>
      <c r="B8" s="3" t="s">
        <v>6</v>
      </c>
      <c r="C8" s="15">
        <v>37</v>
      </c>
      <c r="D8" s="16">
        <f>1616750+8287+2081+365+6465+61681+20103+14219+12587</f>
        <v>1742538</v>
      </c>
      <c r="E8" s="17">
        <v>1437812</v>
      </c>
      <c r="F8" s="18">
        <f>D8-E8</f>
        <v>304726</v>
      </c>
      <c r="G8" s="2"/>
    </row>
    <row r="9" spans="1:7" s="12" customFormat="1" ht="14.5" thickBot="1" x14ac:dyDescent="0.35">
      <c r="A9" s="3"/>
      <c r="B9" s="3" t="s">
        <v>12</v>
      </c>
      <c r="C9" s="15">
        <v>0</v>
      </c>
      <c r="D9" s="16">
        <v>0</v>
      </c>
      <c r="E9" s="17">
        <f>8285+89681+60114+6619+97727-2200+9160+15362+78540+4243</f>
        <v>367531</v>
      </c>
      <c r="F9" s="18">
        <f>D9-E9</f>
        <v>-367531</v>
      </c>
      <c r="G9" s="2"/>
    </row>
    <row r="10" spans="1:7" s="12" customFormat="1" ht="14.5" thickTop="1" x14ac:dyDescent="0.3">
      <c r="A10" s="3"/>
      <c r="B10" s="20" t="s">
        <v>13</v>
      </c>
      <c r="C10" s="15"/>
      <c r="D10" s="23">
        <f>SUM(D8:D9)</f>
        <v>1742538</v>
      </c>
      <c r="E10" s="23">
        <f>SUM(E8:E9)</f>
        <v>1805343</v>
      </c>
      <c r="F10" s="24">
        <f>D8-E10</f>
        <v>-62805</v>
      </c>
      <c r="G10" s="22">
        <f>F10/D8</f>
        <v>-3.6042255606477447E-2</v>
      </c>
    </row>
    <row r="11" spans="1:7" s="12" customFormat="1" x14ac:dyDescent="0.3">
      <c r="A11" s="3"/>
      <c r="B11" s="20"/>
      <c r="C11" s="15"/>
      <c r="D11" s="16"/>
      <c r="E11" s="19"/>
      <c r="F11" s="18"/>
      <c r="G11" s="22"/>
    </row>
    <row r="12" spans="1:7" s="12" customFormat="1" x14ac:dyDescent="0.3">
      <c r="A12" s="3"/>
      <c r="B12" s="3" t="s">
        <v>7</v>
      </c>
      <c r="C12" s="15">
        <f>7+5.5</f>
        <v>12.5</v>
      </c>
      <c r="D12" s="16">
        <f>301305+25119</f>
        <v>326424</v>
      </c>
      <c r="E12" s="17">
        <v>152297</v>
      </c>
      <c r="F12" s="18">
        <f>D12-E12</f>
        <v>174127</v>
      </c>
      <c r="G12" s="22" t="s">
        <v>4</v>
      </c>
    </row>
    <row r="13" spans="1:7" s="12" customFormat="1" ht="14.5" thickBot="1" x14ac:dyDescent="0.35">
      <c r="A13" s="3"/>
      <c r="B13" s="3" t="s">
        <v>8</v>
      </c>
      <c r="C13" s="15">
        <v>0</v>
      </c>
      <c r="D13" s="16">
        <v>0</v>
      </c>
      <c r="E13" s="17">
        <f>21119+63241-3835+39912+2734+38841+9622+64315+4043+48681+49418+19777+58274</f>
        <v>416142</v>
      </c>
      <c r="F13" s="18">
        <f>D13-E13</f>
        <v>-416142</v>
      </c>
      <c r="G13" s="2"/>
    </row>
    <row r="14" spans="1:7" s="12" customFormat="1" ht="14.5" thickTop="1" x14ac:dyDescent="0.3">
      <c r="A14" s="3"/>
      <c r="B14" s="20" t="s">
        <v>14</v>
      </c>
      <c r="C14" s="15"/>
      <c r="D14" s="23">
        <f>SUM(D12:D13)</f>
        <v>326424</v>
      </c>
      <c r="E14" s="23">
        <f>SUM(E12:E13)</f>
        <v>568439</v>
      </c>
      <c r="F14" s="24">
        <f>D12-E14</f>
        <v>-242015</v>
      </c>
      <c r="G14" s="22">
        <f>F14/D12</f>
        <v>-0.7414130088473887</v>
      </c>
    </row>
    <row r="15" spans="1:7" s="12" customFormat="1" x14ac:dyDescent="0.3">
      <c r="A15" s="3"/>
      <c r="B15" s="20"/>
      <c r="C15" s="15"/>
      <c r="D15" s="16"/>
      <c r="E15" s="19"/>
      <c r="F15" s="18"/>
      <c r="G15" s="22"/>
    </row>
    <row r="16" spans="1:7" s="12" customFormat="1" x14ac:dyDescent="0.3">
      <c r="A16" s="3"/>
      <c r="B16" s="3" t="s">
        <v>10</v>
      </c>
      <c r="C16" s="15">
        <v>27.24</v>
      </c>
      <c r="D16" s="16">
        <f>685122+23678+58764+3407+8517</f>
        <v>779488</v>
      </c>
      <c r="E16" s="17">
        <v>432608</v>
      </c>
      <c r="F16" s="18">
        <f>D16-E16</f>
        <v>346880</v>
      </c>
      <c r="G16" s="2"/>
    </row>
    <row r="17" spans="1:7" s="12" customFormat="1" ht="14.5" thickBot="1" x14ac:dyDescent="0.35">
      <c r="A17" s="3"/>
      <c r="B17" s="3" t="s">
        <v>11</v>
      </c>
      <c r="C17" s="15">
        <v>0</v>
      </c>
      <c r="D17" s="16">
        <v>0</v>
      </c>
      <c r="E17" s="17">
        <f>271+271+36054+1146+30499+116956+45780+11885+50913+1864+40829+5000+30493</f>
        <v>371961</v>
      </c>
      <c r="F17" s="18">
        <f>D17-E17</f>
        <v>-371961</v>
      </c>
      <c r="G17" s="2"/>
    </row>
    <row r="18" spans="1:7" s="12" customFormat="1" ht="14.5" thickTop="1" x14ac:dyDescent="0.3">
      <c r="A18" s="3"/>
      <c r="B18" s="20" t="s">
        <v>15</v>
      </c>
      <c r="C18" s="15"/>
      <c r="D18" s="23">
        <f>SUM(D16:D17)</f>
        <v>779488</v>
      </c>
      <c r="E18" s="23">
        <f>SUM(E16:E17)</f>
        <v>804569</v>
      </c>
      <c r="F18" s="24">
        <f>D16-E18</f>
        <v>-25081</v>
      </c>
      <c r="G18" s="22">
        <f>F18/D16</f>
        <v>-3.2176249025001026E-2</v>
      </c>
    </row>
    <row r="19" spans="1:7" s="12" customFormat="1" x14ac:dyDescent="0.3">
      <c r="A19" s="3"/>
      <c r="B19" s="20"/>
      <c r="C19" s="15"/>
      <c r="D19" s="16"/>
      <c r="E19" s="19"/>
      <c r="F19" s="18"/>
      <c r="G19" s="22"/>
    </row>
    <row r="20" spans="1:7" s="12" customFormat="1" x14ac:dyDescent="0.3">
      <c r="A20" s="3"/>
      <c r="B20" s="3" t="s">
        <v>16</v>
      </c>
      <c r="C20" s="15">
        <v>2.9</v>
      </c>
      <c r="D20" s="16">
        <f>79059+1723+20515</f>
        <v>101297</v>
      </c>
      <c r="E20" s="17">
        <v>40331</v>
      </c>
      <c r="F20" s="18">
        <f>D20-E20</f>
        <v>60966</v>
      </c>
      <c r="G20" s="2"/>
    </row>
    <row r="21" spans="1:7" s="12" customFormat="1" ht="14.5" thickBot="1" x14ac:dyDescent="0.35">
      <c r="A21" s="3"/>
      <c r="B21" s="3" t="s">
        <v>17</v>
      </c>
      <c r="C21" s="15">
        <v>0</v>
      </c>
      <c r="D21" s="16">
        <v>0</v>
      </c>
      <c r="E21" s="17">
        <f>83844</f>
        <v>83844</v>
      </c>
      <c r="F21" s="18">
        <f>D21-E21</f>
        <v>-83844</v>
      </c>
      <c r="G21" s="2"/>
    </row>
    <row r="22" spans="1:7" s="12" customFormat="1" ht="14.5" thickTop="1" x14ac:dyDescent="0.3">
      <c r="A22" s="3"/>
      <c r="B22" s="20" t="s">
        <v>18</v>
      </c>
      <c r="C22" s="15"/>
      <c r="D22" s="23">
        <f>SUM(D20:D21)</f>
        <v>101297</v>
      </c>
      <c r="E22" s="23">
        <f>SUM(E20:E21)</f>
        <v>124175</v>
      </c>
      <c r="F22" s="24">
        <f>D20-E22</f>
        <v>-22878</v>
      </c>
      <c r="G22" s="22">
        <f>F22/D20</f>
        <v>-0.22585071621074662</v>
      </c>
    </row>
    <row r="23" spans="1:7" s="12" customFormat="1" x14ac:dyDescent="0.3">
      <c r="A23" s="3"/>
      <c r="B23" s="20"/>
      <c r="C23" s="15"/>
      <c r="D23" s="16"/>
      <c r="E23" s="19"/>
      <c r="F23" s="18"/>
      <c r="G23" s="22"/>
    </row>
    <row r="24" spans="1:7" s="12" customFormat="1" x14ac:dyDescent="0.3">
      <c r="A24" s="3"/>
      <c r="B24" s="3" t="s">
        <v>19</v>
      </c>
      <c r="C24" s="15">
        <v>2.71</v>
      </c>
      <c r="D24" s="16">
        <f>49707+18665</f>
        <v>68372</v>
      </c>
      <c r="E24" s="17">
        <v>8156</v>
      </c>
      <c r="F24" s="18">
        <f>D24-E24</f>
        <v>60216</v>
      </c>
      <c r="G24" s="2"/>
    </row>
    <row r="25" spans="1:7" s="12" customFormat="1" ht="14.5" thickBot="1" x14ac:dyDescent="0.35">
      <c r="A25" s="3"/>
      <c r="B25" s="3" t="s">
        <v>20</v>
      </c>
      <c r="C25" s="15">
        <v>0</v>
      </c>
      <c r="D25" s="16">
        <v>0</v>
      </c>
      <c r="E25" s="17">
        <f>4542+15570+18555+11465</f>
        <v>50132</v>
      </c>
      <c r="F25" s="18">
        <f>D25-E25</f>
        <v>-50132</v>
      </c>
      <c r="G25" s="2"/>
    </row>
    <row r="26" spans="1:7" s="12" customFormat="1" ht="14.5" thickTop="1" x14ac:dyDescent="0.3">
      <c r="A26" s="3"/>
      <c r="B26" s="20" t="s">
        <v>21</v>
      </c>
      <c r="C26" s="15"/>
      <c r="D26" s="23">
        <f>SUM(D24:D25)</f>
        <v>68372</v>
      </c>
      <c r="E26" s="23">
        <f>SUM(E24:E25)</f>
        <v>58288</v>
      </c>
      <c r="F26" s="24">
        <f>D24-E26</f>
        <v>10084</v>
      </c>
      <c r="G26" s="22">
        <f>F26/D24</f>
        <v>0.14748727549289184</v>
      </c>
    </row>
    <row r="27" spans="1:7" s="12" customFormat="1" ht="18" customHeight="1" x14ac:dyDescent="0.3">
      <c r="A27" s="3"/>
      <c r="B27" s="3"/>
      <c r="C27" s="15"/>
      <c r="D27" s="16"/>
      <c r="E27" s="17"/>
      <c r="F27" s="18"/>
      <c r="G27" s="2"/>
    </row>
    <row r="28" spans="1:7" ht="14.5" thickBot="1" x14ac:dyDescent="0.35">
      <c r="A28" s="2"/>
      <c r="B28" s="26" t="s">
        <v>24</v>
      </c>
      <c r="C28" s="6">
        <f>SUM(C7:C27)</f>
        <v>82.35</v>
      </c>
      <c r="D28" s="21">
        <f>SUM(D7:D27)/2</f>
        <v>3018119</v>
      </c>
      <c r="E28" s="21">
        <f>E10+E14+E18+E22+E26</f>
        <v>3360814</v>
      </c>
      <c r="F28" s="21">
        <f>F10+F14+F18+F22+F26</f>
        <v>-342695</v>
      </c>
      <c r="G28" s="22">
        <f>F28/D28</f>
        <v>-0.11354588735566755</v>
      </c>
    </row>
    <row r="29" spans="1:7" ht="14.5" thickTop="1" x14ac:dyDescent="0.3">
      <c r="A29" s="2"/>
      <c r="B29" s="2"/>
      <c r="C29" s="8"/>
      <c r="D29" s="9"/>
      <c r="E29" s="9"/>
      <c r="F29" s="9"/>
      <c r="G29" s="7"/>
    </row>
    <row r="30" spans="1:7" x14ac:dyDescent="0.3">
      <c r="E30" t="s">
        <v>4</v>
      </c>
    </row>
    <row r="31" spans="1:7" x14ac:dyDescent="0.3">
      <c r="E31" t="s">
        <v>4</v>
      </c>
    </row>
    <row r="32" spans="1:7" x14ac:dyDescent="0.3">
      <c r="E32" s="27" t="s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D9" sqref="D9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14.453125" bestFit="1" customWidth="1"/>
    <col min="5" max="5" width="9.7265625" bestFit="1" customWidth="1"/>
    <col min="6" max="6" width="9.54296875" bestFit="1" customWidth="1"/>
    <col min="7" max="7" width="10.54296875" customWidth="1"/>
    <col min="8" max="8" width="13.26953125" customWidth="1"/>
    <col min="9" max="10" width="12.81640625" bestFit="1" customWidth="1"/>
  </cols>
  <sheetData>
    <row r="1" spans="1:10" x14ac:dyDescent="0.3">
      <c r="G1" s="28" t="s">
        <v>23</v>
      </c>
    </row>
    <row r="2" spans="1:10" ht="29.25" customHeight="1" x14ac:dyDescent="0.3"/>
    <row r="3" spans="1:10" ht="17.5" x14ac:dyDescent="0.4">
      <c r="A3" s="1" t="s">
        <v>26</v>
      </c>
      <c r="B3" s="1"/>
      <c r="C3" s="1"/>
      <c r="D3" s="1"/>
      <c r="E3" s="1"/>
      <c r="F3" s="1"/>
      <c r="G3" s="1"/>
    </row>
    <row r="4" spans="1:10" ht="43.5" customHeight="1" x14ac:dyDescent="0.3">
      <c r="A4" s="2"/>
      <c r="B4" s="2"/>
      <c r="C4" s="2"/>
      <c r="D4" s="2"/>
      <c r="E4" s="2"/>
      <c r="F4" s="2"/>
      <c r="G4" s="2"/>
    </row>
    <row r="5" spans="1:10" x14ac:dyDescent="0.3">
      <c r="A5" s="3"/>
      <c r="B5" s="3"/>
      <c r="C5" s="4" t="s">
        <v>0</v>
      </c>
      <c r="D5" s="4" t="s">
        <v>9</v>
      </c>
      <c r="E5" s="4" t="s">
        <v>1</v>
      </c>
      <c r="F5" s="4" t="s">
        <v>1</v>
      </c>
      <c r="G5" s="4" t="s">
        <v>22</v>
      </c>
    </row>
    <row r="6" spans="1:10" x14ac:dyDescent="0.3">
      <c r="A6" s="3"/>
      <c r="B6" s="3"/>
      <c r="C6" s="4" t="s">
        <v>2</v>
      </c>
      <c r="D6" s="13" t="s">
        <v>5</v>
      </c>
      <c r="E6" s="5"/>
      <c r="F6" s="4" t="s">
        <v>3</v>
      </c>
      <c r="G6" s="4" t="s">
        <v>3</v>
      </c>
    </row>
    <row r="7" spans="1:10" s="12" customFormat="1" x14ac:dyDescent="0.3">
      <c r="A7" s="3"/>
      <c r="B7" s="3"/>
      <c r="C7" s="10"/>
      <c r="D7" s="14"/>
      <c r="E7" s="11"/>
      <c r="F7" s="10"/>
      <c r="G7" s="2"/>
      <c r="I7" s="12">
        <v>1544536</v>
      </c>
      <c r="J7" s="12">
        <v>335255</v>
      </c>
    </row>
    <row r="8" spans="1:10" s="12" customFormat="1" x14ac:dyDescent="0.3">
      <c r="A8" s="3"/>
      <c r="B8" s="3" t="s">
        <v>6</v>
      </c>
      <c r="C8" s="15">
        <v>37</v>
      </c>
      <c r="D8" s="16">
        <f>1903728+11049+2428+426+7543+71961+23454+16588+14685</f>
        <v>2051862</v>
      </c>
      <c r="E8" s="17">
        <v>1669516</v>
      </c>
      <c r="F8" s="18">
        <f>D8-E8</f>
        <v>382346</v>
      </c>
      <c r="G8" s="2"/>
      <c r="I8" s="12">
        <v>1669516</v>
      </c>
      <c r="J8" s="12">
        <v>1903728</v>
      </c>
    </row>
    <row r="9" spans="1:10" s="12" customFormat="1" ht="14.5" thickBot="1" x14ac:dyDescent="0.35">
      <c r="A9" s="3"/>
      <c r="B9" s="3" t="s">
        <v>12</v>
      </c>
      <c r="C9" s="15">
        <v>0</v>
      </c>
      <c r="D9" s="16">
        <v>0</v>
      </c>
      <c r="E9" s="17">
        <f>14500+98569+71814+7722+113504-2200+9856+36091+84612+4243</f>
        <v>438711</v>
      </c>
      <c r="F9" s="18">
        <f>D9-E9</f>
        <v>-438711</v>
      </c>
      <c r="G9" s="2"/>
    </row>
    <row r="10" spans="1:10" s="12" customFormat="1" ht="14.5" thickTop="1" x14ac:dyDescent="0.3">
      <c r="A10" s="3"/>
      <c r="B10" s="20" t="s">
        <v>13</v>
      </c>
      <c r="C10" s="15"/>
      <c r="D10" s="23">
        <f>SUM(D8:D9)</f>
        <v>2051862</v>
      </c>
      <c r="E10" s="23">
        <f>SUM(E8:E9)</f>
        <v>2108227</v>
      </c>
      <c r="F10" s="24">
        <f>D8-E10</f>
        <v>-56365</v>
      </c>
      <c r="G10" s="22">
        <f>F10/D8</f>
        <v>-2.7470170995905183E-2</v>
      </c>
    </row>
    <row r="11" spans="1:10" s="12" customFormat="1" x14ac:dyDescent="0.3">
      <c r="A11" s="3"/>
      <c r="B11" s="20"/>
      <c r="C11" s="15"/>
      <c r="D11" s="16"/>
      <c r="E11" s="19"/>
      <c r="F11" s="18"/>
      <c r="G11" s="22"/>
    </row>
    <row r="12" spans="1:10" s="12" customFormat="1" x14ac:dyDescent="0.3">
      <c r="A12" s="3"/>
      <c r="B12" s="3" t="s">
        <v>7</v>
      </c>
      <c r="C12" s="15">
        <f>7+5.5</f>
        <v>12.5</v>
      </c>
      <c r="D12" s="16">
        <f>351529+29306</f>
        <v>380835</v>
      </c>
      <c r="E12" s="17">
        <v>183554</v>
      </c>
      <c r="F12" s="18">
        <f>D12-E12</f>
        <v>197281</v>
      </c>
      <c r="G12" s="22" t="s">
        <v>4</v>
      </c>
      <c r="I12" s="12">
        <v>183554</v>
      </c>
      <c r="J12" s="12">
        <v>351529</v>
      </c>
    </row>
    <row r="13" spans="1:10" s="12" customFormat="1" ht="14.5" thickBot="1" x14ac:dyDescent="0.35">
      <c r="A13" s="3"/>
      <c r="B13" s="3" t="s">
        <v>8</v>
      </c>
      <c r="C13" s="15">
        <v>0</v>
      </c>
      <c r="D13" s="16">
        <v>0</v>
      </c>
      <c r="E13" s="17">
        <f>21119+79712-3835+46447+2734+68278+11846+79680+17504+4043+56409+58264+36379+69494</f>
        <v>548074</v>
      </c>
      <c r="F13" s="18">
        <f>D13-E13</f>
        <v>-548074</v>
      </c>
      <c r="G13" s="2"/>
    </row>
    <row r="14" spans="1:10" s="12" customFormat="1" ht="14.5" thickTop="1" x14ac:dyDescent="0.3">
      <c r="A14" s="3"/>
      <c r="B14" s="20" t="s">
        <v>14</v>
      </c>
      <c r="C14" s="15"/>
      <c r="D14" s="23">
        <f>SUM(D12:D13)</f>
        <v>380835</v>
      </c>
      <c r="E14" s="23">
        <f>SUM(E12:E13)</f>
        <v>731628</v>
      </c>
      <c r="F14" s="24">
        <f>D12-E14</f>
        <v>-350793</v>
      </c>
      <c r="G14" s="22">
        <f>F14/D12</f>
        <v>-0.92111544369608889</v>
      </c>
    </row>
    <row r="15" spans="1:10" s="12" customFormat="1" x14ac:dyDescent="0.3">
      <c r="A15" s="3"/>
      <c r="B15" s="20"/>
      <c r="C15" s="15"/>
      <c r="D15" s="16"/>
      <c r="E15" s="19"/>
      <c r="F15" s="18"/>
      <c r="G15" s="22"/>
    </row>
    <row r="16" spans="1:10" s="12" customFormat="1" x14ac:dyDescent="0.3">
      <c r="A16" s="3"/>
      <c r="B16" s="3" t="s">
        <v>10</v>
      </c>
      <c r="C16" s="15">
        <v>27.24</v>
      </c>
      <c r="D16" s="16">
        <f>799305+27625+68559+3975+9937</f>
        <v>909401</v>
      </c>
      <c r="E16" s="17">
        <v>506395</v>
      </c>
      <c r="F16" s="18">
        <f>D16-E16</f>
        <v>403006</v>
      </c>
      <c r="G16" s="2"/>
      <c r="I16" s="12">
        <v>506395</v>
      </c>
      <c r="J16" s="12">
        <v>799305</v>
      </c>
    </row>
    <row r="17" spans="1:10" s="12" customFormat="1" ht="14.5" thickBot="1" x14ac:dyDescent="0.35">
      <c r="A17" s="3"/>
      <c r="B17" s="3" t="s">
        <v>11</v>
      </c>
      <c r="C17" s="15">
        <v>0</v>
      </c>
      <c r="D17" s="16">
        <v>0</v>
      </c>
      <c r="E17" s="17">
        <f>2229+1007+38708+4717+30499+127206+48381+8775+40939+1864+40829+266+5534+1790+33603</f>
        <v>386347</v>
      </c>
      <c r="F17" s="18">
        <f>D17-E17</f>
        <v>-386347</v>
      </c>
      <c r="G17" s="2"/>
    </row>
    <row r="18" spans="1:10" s="12" customFormat="1" ht="14.5" thickTop="1" x14ac:dyDescent="0.3">
      <c r="A18" s="3"/>
      <c r="B18" s="20" t="s">
        <v>15</v>
      </c>
      <c r="C18" s="15"/>
      <c r="D18" s="23">
        <f>SUM(D16:D17)</f>
        <v>909401</v>
      </c>
      <c r="E18" s="23">
        <f>SUM(E16:E17)</f>
        <v>892742</v>
      </c>
      <c r="F18" s="24">
        <f>D16-E18</f>
        <v>16659</v>
      </c>
      <c r="G18" s="22">
        <f>F18/D16</f>
        <v>1.8318651507970633E-2</v>
      </c>
    </row>
    <row r="19" spans="1:10" s="12" customFormat="1" x14ac:dyDescent="0.3">
      <c r="A19" s="3"/>
      <c r="B19" s="20"/>
      <c r="C19" s="15"/>
      <c r="D19" s="16"/>
      <c r="E19" s="19"/>
      <c r="F19" s="18"/>
      <c r="G19" s="22"/>
    </row>
    <row r="20" spans="1:10" s="12" customFormat="1" x14ac:dyDescent="0.3">
      <c r="A20" s="3"/>
      <c r="B20" s="3" t="s">
        <v>16</v>
      </c>
      <c r="C20" s="15">
        <v>2.9</v>
      </c>
      <c r="D20" s="16">
        <f>92236+2010+23934</f>
        <v>118180</v>
      </c>
      <c r="E20" s="17">
        <v>47390</v>
      </c>
      <c r="F20" s="18">
        <f>D20-E20</f>
        <v>70790</v>
      </c>
      <c r="G20" s="2"/>
    </row>
    <row r="21" spans="1:10" s="12" customFormat="1" ht="14.5" thickBot="1" x14ac:dyDescent="0.35">
      <c r="A21" s="3"/>
      <c r="B21" s="3" t="s">
        <v>17</v>
      </c>
      <c r="C21" s="15">
        <v>0</v>
      </c>
      <c r="D21" s="16">
        <v>0</v>
      </c>
      <c r="E21" s="17">
        <f>110805</f>
        <v>110805</v>
      </c>
      <c r="F21" s="18">
        <f>D21-E21</f>
        <v>-110805</v>
      </c>
      <c r="G21" s="2"/>
      <c r="I21" s="12">
        <v>47390</v>
      </c>
      <c r="J21" s="12">
        <v>92236</v>
      </c>
    </row>
    <row r="22" spans="1:10" s="12" customFormat="1" ht="14.5" thickTop="1" x14ac:dyDescent="0.3">
      <c r="A22" s="3"/>
      <c r="B22" s="20" t="s">
        <v>18</v>
      </c>
      <c r="C22" s="15"/>
      <c r="D22" s="23">
        <f>SUM(D20:D21)</f>
        <v>118180</v>
      </c>
      <c r="E22" s="23">
        <f>SUM(E20:E21)</f>
        <v>158195</v>
      </c>
      <c r="F22" s="24">
        <f>D20-E22</f>
        <v>-40015</v>
      </c>
      <c r="G22" s="22">
        <f>F22/D20</f>
        <v>-0.33859367067185647</v>
      </c>
    </row>
    <row r="23" spans="1:10" s="12" customFormat="1" x14ac:dyDescent="0.3">
      <c r="A23" s="3"/>
      <c r="B23" s="20"/>
      <c r="C23" s="15"/>
      <c r="D23" s="16"/>
      <c r="E23" s="19"/>
      <c r="F23" s="18"/>
      <c r="G23" s="22"/>
    </row>
    <row r="24" spans="1:10" s="12" customFormat="1" x14ac:dyDescent="0.3">
      <c r="A24" s="3"/>
      <c r="B24" s="3" t="s">
        <v>19</v>
      </c>
      <c r="C24" s="15">
        <v>2.71</v>
      </c>
      <c r="D24" s="16">
        <f>57992+21775</f>
        <v>79767</v>
      </c>
      <c r="E24" s="17">
        <v>9087</v>
      </c>
      <c r="F24" s="18">
        <f>D24-E24</f>
        <v>70680</v>
      </c>
      <c r="G24" s="2"/>
      <c r="I24" s="12">
        <v>9087</v>
      </c>
      <c r="J24" s="12">
        <v>57992</v>
      </c>
    </row>
    <row r="25" spans="1:10" s="12" customFormat="1" ht="14.5" thickBot="1" x14ac:dyDescent="0.35">
      <c r="A25" s="3"/>
      <c r="B25" s="3" t="s">
        <v>20</v>
      </c>
      <c r="C25" s="15">
        <v>0</v>
      </c>
      <c r="D25" s="16">
        <v>0</v>
      </c>
      <c r="E25" s="17">
        <f>5229+18172+23968+13229</f>
        <v>60598</v>
      </c>
      <c r="F25" s="18">
        <f>D25-E25</f>
        <v>-60598</v>
      </c>
      <c r="G25" s="2"/>
    </row>
    <row r="26" spans="1:10" s="12" customFormat="1" ht="14.5" thickTop="1" x14ac:dyDescent="0.3">
      <c r="A26" s="3"/>
      <c r="B26" s="20" t="s">
        <v>21</v>
      </c>
      <c r="C26" s="15"/>
      <c r="D26" s="23">
        <f>SUM(D24:D25)</f>
        <v>79767</v>
      </c>
      <c r="E26" s="23">
        <f>SUM(E24:E25)</f>
        <v>69685</v>
      </c>
      <c r="F26" s="24">
        <f>D24-E26</f>
        <v>10082</v>
      </c>
      <c r="G26" s="22">
        <f>F26/D24</f>
        <v>0.12639311996188901</v>
      </c>
    </row>
    <row r="27" spans="1:10" s="12" customFormat="1" ht="18" customHeight="1" x14ac:dyDescent="0.3">
      <c r="A27" s="3"/>
      <c r="B27" s="3"/>
      <c r="C27" s="15"/>
      <c r="D27" s="16"/>
      <c r="E27" s="17"/>
      <c r="F27" s="18"/>
      <c r="G27" s="2"/>
    </row>
    <row r="28" spans="1:10" ht="14.5" thickBot="1" x14ac:dyDescent="0.35">
      <c r="A28" s="2"/>
      <c r="B28" s="26" t="s">
        <v>24</v>
      </c>
      <c r="C28" s="6">
        <f>SUM(C7:C27)</f>
        <v>82.35</v>
      </c>
      <c r="D28" s="21">
        <f>SUM(D7:D27)/2</f>
        <v>3540045</v>
      </c>
      <c r="E28" s="21">
        <f>E10+E14+E18+E22+E26</f>
        <v>3960477</v>
      </c>
      <c r="F28" s="21">
        <f>F10+F14+F18+F22+F26</f>
        <v>-420432</v>
      </c>
      <c r="G28" s="22">
        <f>F28/D28</f>
        <v>-0.11876459197552573</v>
      </c>
      <c r="I28" s="44">
        <f>SUM(I7:I27)</f>
        <v>3960478</v>
      </c>
      <c r="J28" s="44">
        <f>SUM(J7:J27)</f>
        <v>3540045</v>
      </c>
    </row>
    <row r="29" spans="1:10" ht="14.5" thickTop="1" x14ac:dyDescent="0.3">
      <c r="A29" s="2"/>
      <c r="B29" s="2"/>
      <c r="C29" s="8"/>
      <c r="D29" s="9"/>
      <c r="E29" s="9"/>
      <c r="F29" s="9"/>
      <c r="G29" s="7"/>
      <c r="I29" s="45">
        <f>SUM(I28-E28)</f>
        <v>1</v>
      </c>
    </row>
    <row r="30" spans="1:10" x14ac:dyDescent="0.3">
      <c r="E30" t="s">
        <v>4</v>
      </c>
    </row>
    <row r="31" spans="1:10" x14ac:dyDescent="0.3">
      <c r="E31" t="s">
        <v>4</v>
      </c>
      <c r="F31" s="27"/>
    </row>
    <row r="32" spans="1:10" x14ac:dyDescent="0.3">
      <c r="E32" s="27" t="s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17" workbookViewId="0">
      <selection activeCell="D9" sqref="D9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14.453125" bestFit="1" customWidth="1"/>
    <col min="5" max="5" width="10.453125" customWidth="1"/>
    <col min="6" max="6" width="11.453125" customWidth="1"/>
    <col min="7" max="7" width="9" customWidth="1"/>
    <col min="8" max="9" width="12.453125" customWidth="1"/>
  </cols>
  <sheetData>
    <row r="1" spans="1:9" x14ac:dyDescent="0.3">
      <c r="I1" s="25" t="s">
        <v>23</v>
      </c>
    </row>
    <row r="2" spans="1:9" ht="6" customHeight="1" x14ac:dyDescent="0.3"/>
    <row r="3" spans="1:9" ht="17.5" x14ac:dyDescent="0.4">
      <c r="A3" s="1" t="s">
        <v>27</v>
      </c>
      <c r="B3" s="1"/>
      <c r="C3" s="1"/>
      <c r="D3" s="1"/>
      <c r="E3" s="1"/>
      <c r="F3" s="1"/>
      <c r="G3" s="1"/>
    </row>
    <row r="4" spans="1:9" ht="18.75" customHeight="1" x14ac:dyDescent="0.3">
      <c r="A4" s="2"/>
      <c r="B4" s="2"/>
      <c r="C4" s="2"/>
      <c r="D4" s="2"/>
      <c r="E4" s="2"/>
      <c r="F4" s="2"/>
      <c r="G4" s="2"/>
    </row>
    <row r="5" spans="1:9" ht="26" x14ac:dyDescent="0.3">
      <c r="A5" s="3"/>
      <c r="B5" s="3"/>
      <c r="C5" s="4" t="s">
        <v>0</v>
      </c>
      <c r="D5" s="36" t="s">
        <v>28</v>
      </c>
      <c r="E5" s="36" t="s">
        <v>29</v>
      </c>
      <c r="F5" s="37" t="s">
        <v>33</v>
      </c>
      <c r="G5" s="37" t="s">
        <v>30</v>
      </c>
      <c r="H5" s="37" t="s">
        <v>34</v>
      </c>
      <c r="I5" s="37" t="s">
        <v>32</v>
      </c>
    </row>
    <row r="6" spans="1:9" x14ac:dyDescent="0.3">
      <c r="A6" s="3"/>
      <c r="B6" s="3"/>
      <c r="C6" s="4" t="s">
        <v>2</v>
      </c>
      <c r="D6" s="13" t="s">
        <v>5</v>
      </c>
      <c r="E6" s="13" t="s">
        <v>5</v>
      </c>
      <c r="F6" s="38" t="s">
        <v>31</v>
      </c>
      <c r="H6" s="38" t="s">
        <v>31</v>
      </c>
      <c r="I6" s="38" t="s">
        <v>31</v>
      </c>
    </row>
    <row r="7" spans="1:9" x14ac:dyDescent="0.3">
      <c r="A7" s="3"/>
      <c r="B7" s="3"/>
      <c r="C7" s="4"/>
      <c r="D7" s="13"/>
      <c r="E7" s="5"/>
      <c r="F7" s="13"/>
      <c r="G7" s="4"/>
    </row>
    <row r="8" spans="1:9" s="29" customFormat="1" x14ac:dyDescent="0.3">
      <c r="A8" s="3"/>
      <c r="B8" s="3"/>
      <c r="C8" s="10"/>
      <c r="D8" s="14"/>
      <c r="E8" s="11"/>
      <c r="F8" s="10"/>
      <c r="G8" s="2"/>
      <c r="H8" s="43"/>
      <c r="I8" s="43"/>
    </row>
    <row r="9" spans="1:9" s="29" customFormat="1" x14ac:dyDescent="0.3">
      <c r="A9" s="3"/>
      <c r="B9" s="3" t="s">
        <v>6</v>
      </c>
      <c r="C9" s="15">
        <v>37</v>
      </c>
      <c r="D9" s="30">
        <v>2214161</v>
      </c>
      <c r="E9" s="31">
        <v>1955381</v>
      </c>
      <c r="F9" s="39">
        <f>D9-E9</f>
        <v>258780</v>
      </c>
      <c r="G9" s="2"/>
      <c r="H9" s="43"/>
      <c r="I9" s="43"/>
    </row>
    <row r="10" spans="1:9" s="29" customFormat="1" ht="14.5" thickBot="1" x14ac:dyDescent="0.35">
      <c r="A10" s="3"/>
      <c r="B10" s="3" t="s">
        <v>12</v>
      </c>
      <c r="C10" s="15">
        <v>0</v>
      </c>
      <c r="D10" s="30">
        <v>156670</v>
      </c>
      <c r="E10" s="31">
        <v>486764</v>
      </c>
      <c r="F10" s="39">
        <f>D10-E10</f>
        <v>-330094</v>
      </c>
      <c r="G10" s="2"/>
      <c r="H10" s="43"/>
      <c r="I10" s="43"/>
    </row>
    <row r="11" spans="1:9" s="29" customFormat="1" ht="14.5" thickTop="1" x14ac:dyDescent="0.3">
      <c r="A11" s="3"/>
      <c r="B11" s="20" t="s">
        <v>13</v>
      </c>
      <c r="C11" s="15"/>
      <c r="D11" s="32">
        <f>SUM(D9:D10)</f>
        <v>2370831</v>
      </c>
      <c r="E11" s="32">
        <f>SUM(E9:E10)</f>
        <v>2442145</v>
      </c>
      <c r="F11" s="40">
        <f>D11-E11</f>
        <v>-71314</v>
      </c>
      <c r="G11" s="22">
        <f>F11/D9</f>
        <v>-3.2208136626017708E-2</v>
      </c>
      <c r="H11" s="31">
        <v>-56365</v>
      </c>
      <c r="I11" s="43">
        <f>F11-H11</f>
        <v>-14949</v>
      </c>
    </row>
    <row r="12" spans="1:9" s="29" customFormat="1" x14ac:dyDescent="0.3">
      <c r="A12" s="3"/>
      <c r="B12" s="20"/>
      <c r="C12" s="15"/>
      <c r="D12" s="30"/>
      <c r="E12" s="33"/>
      <c r="F12" s="39"/>
      <c r="G12" s="22"/>
      <c r="H12" s="43"/>
      <c r="I12" s="43"/>
    </row>
    <row r="13" spans="1:9" s="29" customFormat="1" x14ac:dyDescent="0.3">
      <c r="A13" s="3"/>
      <c r="B13" s="3" t="s">
        <v>7</v>
      </c>
      <c r="C13" s="15">
        <f>7+5.5</f>
        <v>12.5</v>
      </c>
      <c r="D13" s="30">
        <f>243846+157896</f>
        <v>401742</v>
      </c>
      <c r="E13" s="31">
        <f>114715+94602</f>
        <v>209317</v>
      </c>
      <c r="F13" s="39">
        <f>D13-E13</f>
        <v>192425</v>
      </c>
      <c r="G13" s="22" t="s">
        <v>4</v>
      </c>
      <c r="H13" s="43"/>
      <c r="I13" s="43"/>
    </row>
    <row r="14" spans="1:9" s="29" customFormat="1" ht="14.5" thickBot="1" x14ac:dyDescent="0.35">
      <c r="A14" s="3"/>
      <c r="B14" s="3" t="s">
        <v>8</v>
      </c>
      <c r="C14" s="15">
        <v>0</v>
      </c>
      <c r="D14" s="30">
        <v>33492</v>
      </c>
      <c r="E14" s="31">
        <f>417152-1101+137664+89975</f>
        <v>643690</v>
      </c>
      <c r="F14" s="39">
        <f>D14-E14</f>
        <v>-610198</v>
      </c>
      <c r="G14" s="2"/>
      <c r="H14" s="43"/>
      <c r="I14" s="43"/>
    </row>
    <row r="15" spans="1:9" s="29" customFormat="1" ht="14.5" thickTop="1" x14ac:dyDescent="0.3">
      <c r="A15" s="3"/>
      <c r="B15" s="20" t="s">
        <v>14</v>
      </c>
      <c r="C15" s="15"/>
      <c r="D15" s="32">
        <f>SUM(D13:D14)</f>
        <v>435234</v>
      </c>
      <c r="E15" s="32">
        <f>SUM(E13:E14)</f>
        <v>853007</v>
      </c>
      <c r="F15" s="40">
        <f>D15-E15</f>
        <v>-417773</v>
      </c>
      <c r="G15" s="22">
        <f>F15/D13</f>
        <v>-1.0399037193024379</v>
      </c>
      <c r="H15" s="43">
        <v>-350793</v>
      </c>
      <c r="I15" s="43">
        <f>F15-H15</f>
        <v>-66980</v>
      </c>
    </row>
    <row r="16" spans="1:9" s="29" customFormat="1" x14ac:dyDescent="0.3">
      <c r="A16" s="3"/>
      <c r="B16" s="20"/>
      <c r="C16" s="15"/>
      <c r="D16" s="30"/>
      <c r="E16" s="33"/>
      <c r="F16" s="39"/>
      <c r="G16" s="22"/>
      <c r="H16" s="43"/>
      <c r="I16" s="43"/>
    </row>
    <row r="17" spans="1:9" s="29" customFormat="1" x14ac:dyDescent="0.3">
      <c r="A17" s="3"/>
      <c r="B17" s="3" t="s">
        <v>10</v>
      </c>
      <c r="C17" s="15">
        <v>27.24</v>
      </c>
      <c r="D17" s="30">
        <f>913495</f>
        <v>913495</v>
      </c>
      <c r="E17" s="31">
        <v>574430</v>
      </c>
      <c r="F17" s="39">
        <f>D17-E17</f>
        <v>339065</v>
      </c>
      <c r="G17" s="2"/>
      <c r="H17" s="43"/>
      <c r="I17" s="43"/>
    </row>
    <row r="18" spans="1:9" s="29" customFormat="1" ht="14.5" thickBot="1" x14ac:dyDescent="0.35">
      <c r="A18" s="3"/>
      <c r="B18" s="3" t="s">
        <v>11</v>
      </c>
      <c r="C18" s="15">
        <v>0</v>
      </c>
      <c r="D18" s="30">
        <v>125824</v>
      </c>
      <c r="E18" s="31">
        <v>433122</v>
      </c>
      <c r="F18" s="39">
        <f>D18-E18</f>
        <v>-307298</v>
      </c>
      <c r="G18" s="2"/>
      <c r="H18" s="43"/>
      <c r="I18" s="43"/>
    </row>
    <row r="19" spans="1:9" s="29" customFormat="1" ht="14.5" thickTop="1" x14ac:dyDescent="0.3">
      <c r="A19" s="3"/>
      <c r="B19" s="20" t="s">
        <v>15</v>
      </c>
      <c r="C19" s="15"/>
      <c r="D19" s="32">
        <f>SUM(D17:D18)</f>
        <v>1039319</v>
      </c>
      <c r="E19" s="32">
        <f>SUM(E17:E18)</f>
        <v>1007552</v>
      </c>
      <c r="F19" s="40">
        <f>D19-E19</f>
        <v>31767</v>
      </c>
      <c r="G19" s="22">
        <f>F19/D17</f>
        <v>3.4775231391523762E-2</v>
      </c>
      <c r="H19" s="43">
        <v>16659</v>
      </c>
      <c r="I19" s="43">
        <f>F19-H19</f>
        <v>15108</v>
      </c>
    </row>
    <row r="20" spans="1:9" s="29" customFormat="1" x14ac:dyDescent="0.3">
      <c r="A20" s="3"/>
      <c r="B20" s="20"/>
      <c r="C20" s="15"/>
      <c r="D20" s="30"/>
      <c r="E20" s="33"/>
      <c r="F20" s="39"/>
      <c r="G20" s="22"/>
      <c r="H20" s="43"/>
      <c r="I20" s="43"/>
    </row>
    <row r="21" spans="1:9" s="29" customFormat="1" x14ac:dyDescent="0.3">
      <c r="A21" s="3"/>
      <c r="B21" s="3" t="s">
        <v>16</v>
      </c>
      <c r="C21" s="15">
        <v>2.9</v>
      </c>
      <c r="D21" s="30">
        <v>105412</v>
      </c>
      <c r="E21" s="31">
        <v>54448</v>
      </c>
      <c r="F21" s="39">
        <f>D21-E21</f>
        <v>50964</v>
      </c>
      <c r="G21" s="2"/>
      <c r="H21" s="43"/>
      <c r="I21" s="43"/>
    </row>
    <row r="22" spans="1:9" s="29" customFormat="1" ht="14.5" thickBot="1" x14ac:dyDescent="0.35">
      <c r="A22" s="3"/>
      <c r="B22" s="3" t="s">
        <v>17</v>
      </c>
      <c r="C22" s="15">
        <v>0</v>
      </c>
      <c r="D22" s="30">
        <v>29650</v>
      </c>
      <c r="E22" s="31">
        <v>127719</v>
      </c>
      <c r="F22" s="39">
        <f>D22-E22</f>
        <v>-98069</v>
      </c>
      <c r="G22" s="2"/>
      <c r="H22" s="43"/>
      <c r="I22" s="43"/>
    </row>
    <row r="23" spans="1:9" s="29" customFormat="1" ht="14.5" thickTop="1" x14ac:dyDescent="0.3">
      <c r="A23" s="3"/>
      <c r="B23" s="20" t="s">
        <v>18</v>
      </c>
      <c r="C23" s="15"/>
      <c r="D23" s="32">
        <f>SUM(D21:D22)</f>
        <v>135062</v>
      </c>
      <c r="E23" s="32">
        <f>SUM(E21:E22)</f>
        <v>182167</v>
      </c>
      <c r="F23" s="40">
        <f>D23-E23</f>
        <v>-47105</v>
      </c>
      <c r="G23" s="22">
        <f>F23/D21</f>
        <v>-0.44686563199635715</v>
      </c>
      <c r="H23" s="43">
        <v>-40015</v>
      </c>
      <c r="I23" s="43">
        <f>F23-H23</f>
        <v>-7090</v>
      </c>
    </row>
    <row r="24" spans="1:9" s="29" customFormat="1" x14ac:dyDescent="0.3">
      <c r="A24" s="3"/>
      <c r="B24" s="20"/>
      <c r="C24" s="15"/>
      <c r="D24" s="30"/>
      <c r="E24" s="33"/>
      <c r="F24" s="39"/>
      <c r="G24" s="22"/>
      <c r="H24" s="43"/>
      <c r="I24" s="43"/>
    </row>
    <row r="25" spans="1:9" s="29" customFormat="1" x14ac:dyDescent="0.3">
      <c r="A25" s="3"/>
      <c r="B25" s="3" t="s">
        <v>19</v>
      </c>
      <c r="C25" s="15">
        <v>2.71</v>
      </c>
      <c r="D25" s="30">
        <f>60335+3</f>
        <v>60338</v>
      </c>
      <c r="E25" s="31">
        <v>10019</v>
      </c>
      <c r="F25" s="39">
        <f>D25-E25</f>
        <v>50319</v>
      </c>
      <c r="G25" s="2"/>
      <c r="H25" s="43"/>
      <c r="I25" s="43"/>
    </row>
    <row r="26" spans="1:9" s="29" customFormat="1" ht="14.5" thickBot="1" x14ac:dyDescent="0.35">
      <c r="A26" s="3"/>
      <c r="B26" s="3" t="s">
        <v>20</v>
      </c>
      <c r="C26" s="15">
        <v>0</v>
      </c>
      <c r="D26" s="30">
        <f>24886</f>
        <v>24886</v>
      </c>
      <c r="E26" s="31">
        <f>59735+5916</f>
        <v>65651</v>
      </c>
      <c r="F26" s="39">
        <f>D26-E26</f>
        <v>-40765</v>
      </c>
      <c r="G26" s="2"/>
      <c r="H26" s="43"/>
      <c r="I26" s="43"/>
    </row>
    <row r="27" spans="1:9" s="29" customFormat="1" ht="14.5" thickTop="1" x14ac:dyDescent="0.3">
      <c r="A27" s="3"/>
      <c r="B27" s="20" t="s">
        <v>21</v>
      </c>
      <c r="C27" s="15"/>
      <c r="D27" s="32">
        <f>SUM(D25:D26)</f>
        <v>85224</v>
      </c>
      <c r="E27" s="32">
        <f>SUM(E25:E26)</f>
        <v>75670</v>
      </c>
      <c r="F27" s="40">
        <f>D27-E27</f>
        <v>9554</v>
      </c>
      <c r="G27" s="22">
        <f>F27/D25</f>
        <v>0.15834134376346581</v>
      </c>
      <c r="H27" s="43">
        <v>10082</v>
      </c>
      <c r="I27" s="43">
        <f>F27-H27</f>
        <v>-528</v>
      </c>
    </row>
    <row r="28" spans="1:9" s="29" customFormat="1" ht="18" customHeight="1" x14ac:dyDescent="0.3">
      <c r="A28" s="3"/>
      <c r="B28" s="3"/>
      <c r="C28" s="15"/>
      <c r="D28" s="30"/>
      <c r="E28" s="31"/>
      <c r="F28" s="39"/>
      <c r="G28" s="2"/>
      <c r="H28" s="43"/>
      <c r="I28" s="43"/>
    </row>
    <row r="29" spans="1:9" ht="14.5" thickBot="1" x14ac:dyDescent="0.35">
      <c r="A29" s="2"/>
      <c r="B29" s="26" t="s">
        <v>24</v>
      </c>
      <c r="C29" s="6">
        <f>SUM(C8:C28)</f>
        <v>82.35</v>
      </c>
      <c r="D29" s="34">
        <f>SUM(D8:D28)/2</f>
        <v>4065670</v>
      </c>
      <c r="E29" s="34">
        <f>E11+E15+E19+E23+E27</f>
        <v>4560541</v>
      </c>
      <c r="F29" s="41">
        <f>F11+F15+F19+F23+F27</f>
        <v>-494871</v>
      </c>
      <c r="G29" s="22">
        <f>F29/D29</f>
        <v>-0.12171942139917898</v>
      </c>
      <c r="H29" s="41">
        <f>H11+H15+H19+H23+H27</f>
        <v>-420432</v>
      </c>
      <c r="I29" s="41">
        <f>I11+I15+I19+I23+I27</f>
        <v>-74439</v>
      </c>
    </row>
    <row r="30" spans="1:9" ht="14.5" thickTop="1" x14ac:dyDescent="0.3">
      <c r="A30" s="2"/>
      <c r="B30" s="2"/>
      <c r="C30" s="8"/>
      <c r="D30" s="35"/>
      <c r="E30" s="35"/>
      <c r="F30" s="42"/>
      <c r="G30" s="7"/>
      <c r="H30" s="43"/>
      <c r="I30" s="43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D9" sqref="D9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14.453125" bestFit="1" customWidth="1"/>
    <col min="5" max="5" width="10.453125" customWidth="1"/>
    <col min="6" max="6" width="11.453125" customWidth="1"/>
    <col min="7" max="7" width="9" customWidth="1"/>
    <col min="8" max="9" width="12.453125" customWidth="1"/>
    <col min="10" max="10" width="15" customWidth="1"/>
  </cols>
  <sheetData>
    <row r="1" spans="1:11" x14ac:dyDescent="0.3">
      <c r="I1" s="25" t="s">
        <v>23</v>
      </c>
    </row>
    <row r="2" spans="1:11" ht="6" customHeight="1" x14ac:dyDescent="0.3"/>
    <row r="3" spans="1:11" ht="17.5" x14ac:dyDescent="0.4">
      <c r="A3" s="1" t="s">
        <v>38</v>
      </c>
      <c r="B3" s="1"/>
      <c r="C3" s="1"/>
      <c r="D3" s="1"/>
      <c r="E3" s="1"/>
      <c r="F3" s="1"/>
      <c r="G3" s="1"/>
    </row>
    <row r="4" spans="1:11" ht="18.75" customHeight="1" x14ac:dyDescent="0.3">
      <c r="A4" s="2"/>
      <c r="B4" s="2"/>
      <c r="C4" s="2"/>
      <c r="D4" s="2"/>
      <c r="E4" s="2"/>
      <c r="F4" s="2"/>
      <c r="G4" s="2"/>
    </row>
    <row r="5" spans="1:11" ht="26" x14ac:dyDescent="0.3">
      <c r="A5" s="3"/>
      <c r="B5" s="3"/>
      <c r="C5" s="4" t="s">
        <v>0</v>
      </c>
      <c r="D5" s="36" t="s">
        <v>35</v>
      </c>
      <c r="E5" s="36" t="s">
        <v>36</v>
      </c>
      <c r="F5" s="37" t="s">
        <v>37</v>
      </c>
      <c r="G5" s="37" t="s">
        <v>30</v>
      </c>
      <c r="H5" s="37" t="s">
        <v>39</v>
      </c>
      <c r="I5" s="37" t="s">
        <v>32</v>
      </c>
    </row>
    <row r="6" spans="1:11" x14ac:dyDescent="0.3">
      <c r="A6" s="3"/>
      <c r="B6" s="3"/>
      <c r="C6" s="4" t="s">
        <v>2</v>
      </c>
      <c r="D6" s="13" t="s">
        <v>5</v>
      </c>
      <c r="E6" s="13" t="s">
        <v>5</v>
      </c>
      <c r="F6" s="38" t="s">
        <v>31</v>
      </c>
      <c r="H6" s="38" t="s">
        <v>31</v>
      </c>
      <c r="I6" s="38" t="s">
        <v>31</v>
      </c>
      <c r="J6" s="29"/>
      <c r="K6" s="29"/>
    </row>
    <row r="7" spans="1:11" x14ac:dyDescent="0.3">
      <c r="A7" s="3"/>
      <c r="B7" s="3"/>
      <c r="C7" s="4"/>
      <c r="D7" s="13"/>
      <c r="E7" s="5"/>
      <c r="F7" s="13"/>
      <c r="G7" s="4"/>
    </row>
    <row r="8" spans="1:11" s="29" customFormat="1" x14ac:dyDescent="0.3">
      <c r="A8" s="3"/>
      <c r="B8" s="3"/>
      <c r="C8" s="10"/>
      <c r="D8" s="14"/>
      <c r="E8" s="11"/>
      <c r="F8" s="10"/>
      <c r="G8" s="2"/>
      <c r="H8" s="43"/>
      <c r="I8" s="43"/>
    </row>
    <row r="9" spans="1:11" s="29" customFormat="1" x14ac:dyDescent="0.3">
      <c r="A9" s="3"/>
      <c r="B9" s="3" t="s">
        <v>6</v>
      </c>
      <c r="C9" s="15">
        <v>37</v>
      </c>
      <c r="D9" s="30">
        <f>2479033+16573+3122+548+9698+92521+30155+21328+18881</f>
        <v>2671859</v>
      </c>
      <c r="E9" s="31">
        <v>2193280</v>
      </c>
      <c r="F9" s="39">
        <f>D9-E9</f>
        <v>478579</v>
      </c>
      <c r="G9" s="2"/>
      <c r="H9" s="43"/>
      <c r="I9" s="43"/>
    </row>
    <row r="10" spans="1:11" s="29" customFormat="1" ht="14.5" thickBot="1" x14ac:dyDescent="0.35">
      <c r="A10" s="3"/>
      <c r="B10" s="3" t="s">
        <v>12</v>
      </c>
      <c r="C10" s="15">
        <v>0</v>
      </c>
      <c r="D10" s="30">
        <v>0</v>
      </c>
      <c r="E10" s="31">
        <f>18540+111761+5593+95472+9928+145057-2200+9856+34122+25011+86988+3770+5859</f>
        <v>549757</v>
      </c>
      <c r="F10" s="39">
        <f>D10-E10</f>
        <v>-549757</v>
      </c>
      <c r="G10" s="2"/>
      <c r="H10" s="43"/>
      <c r="I10" s="43"/>
    </row>
    <row r="11" spans="1:11" s="29" customFormat="1" ht="14.5" thickTop="1" x14ac:dyDescent="0.3">
      <c r="A11" s="3"/>
      <c r="B11" s="20" t="s">
        <v>13</v>
      </c>
      <c r="C11" s="15"/>
      <c r="D11" s="32">
        <f>SUM(D9:D10)</f>
        <v>2671859</v>
      </c>
      <c r="E11" s="32">
        <f>SUM(E9:E10)</f>
        <v>2743037</v>
      </c>
      <c r="F11" s="40">
        <f>D11-E11</f>
        <v>-71178</v>
      </c>
      <c r="G11" s="22">
        <f>F11/D9</f>
        <v>-2.663987882594104E-2</v>
      </c>
      <c r="H11" s="31">
        <v>-71314</v>
      </c>
      <c r="I11" s="43">
        <f>F11-H11</f>
        <v>136</v>
      </c>
    </row>
    <row r="12" spans="1:11" s="29" customFormat="1" x14ac:dyDescent="0.3">
      <c r="A12" s="3"/>
      <c r="B12" s="20"/>
      <c r="C12" s="15"/>
      <c r="D12" s="30"/>
      <c r="E12" s="33"/>
      <c r="F12" s="39"/>
      <c r="G12" s="22"/>
      <c r="H12" s="43"/>
      <c r="I12" s="43"/>
    </row>
    <row r="13" spans="1:11" s="29" customFormat="1" x14ac:dyDescent="0.3">
      <c r="A13" s="3"/>
      <c r="B13" s="3" t="s">
        <v>7</v>
      </c>
      <c r="C13" s="15">
        <f>7+5.5</f>
        <v>12.5</v>
      </c>
      <c r="D13" s="30">
        <f>274326+177637+37679</f>
        <v>489642</v>
      </c>
      <c r="E13" s="31">
        <f>139100+117616</f>
        <v>256716</v>
      </c>
      <c r="F13" s="39">
        <f>D13-E13</f>
        <v>232926</v>
      </c>
      <c r="G13" s="22" t="s">
        <v>4</v>
      </c>
      <c r="H13" s="43"/>
      <c r="I13" s="43"/>
    </row>
    <row r="14" spans="1:11" s="29" customFormat="1" ht="14.5" thickBot="1" x14ac:dyDescent="0.35">
      <c r="A14" s="3"/>
      <c r="B14" s="3" t="s">
        <v>8</v>
      </c>
      <c r="C14" s="15">
        <v>0</v>
      </c>
      <c r="D14" s="30">
        <v>0</v>
      </c>
      <c r="E14" s="31">
        <f>21119+107270-3835+65007+2734+135281+24788+101254+38406+4083+66817+56627+54509+83237+1732-25000</f>
        <v>734029</v>
      </c>
      <c r="F14" s="39">
        <f>D14-E14</f>
        <v>-734029</v>
      </c>
      <c r="G14" s="2"/>
      <c r="H14" s="43"/>
      <c r="I14" s="43"/>
    </row>
    <row r="15" spans="1:11" s="29" customFormat="1" ht="14.5" thickTop="1" x14ac:dyDescent="0.3">
      <c r="A15" s="3"/>
      <c r="B15" s="20" t="s">
        <v>14</v>
      </c>
      <c r="C15" s="15"/>
      <c r="D15" s="32">
        <f>SUM(D13:D14)</f>
        <v>489642</v>
      </c>
      <c r="E15" s="32">
        <f>SUM(E13:E14)</f>
        <v>990745</v>
      </c>
      <c r="F15" s="40">
        <f>D15-E15</f>
        <v>-501103</v>
      </c>
      <c r="G15" s="22">
        <f>F15/D13</f>
        <v>-1.0234068972841381</v>
      </c>
      <c r="H15" s="43">
        <v>-417773</v>
      </c>
      <c r="I15" s="43">
        <f>F15-H15</f>
        <v>-83330</v>
      </c>
    </row>
    <row r="16" spans="1:11" s="29" customFormat="1" x14ac:dyDescent="0.3">
      <c r="A16" s="3"/>
      <c r="B16" s="20"/>
      <c r="C16" s="15"/>
      <c r="D16" s="30"/>
      <c r="E16" s="33"/>
      <c r="F16" s="39"/>
      <c r="G16" s="22"/>
      <c r="H16" s="43"/>
      <c r="I16" s="43"/>
    </row>
    <row r="17" spans="1:12" s="29" customFormat="1" x14ac:dyDescent="0.3">
      <c r="A17" s="3"/>
      <c r="B17" s="3" t="s">
        <v>10</v>
      </c>
      <c r="C17" s="15">
        <v>27.24</v>
      </c>
      <c r="D17" s="30">
        <f>1027678+35518+88147+5110+12776</f>
        <v>1169229</v>
      </c>
      <c r="E17" s="31">
        <v>648500</v>
      </c>
      <c r="F17" s="39">
        <f>D17-E17</f>
        <v>520729</v>
      </c>
      <c r="G17" s="2"/>
      <c r="H17" s="43"/>
      <c r="I17" s="43"/>
    </row>
    <row r="18" spans="1:12" s="29" customFormat="1" ht="14.5" thickBot="1" x14ac:dyDescent="0.35">
      <c r="A18" s="3"/>
      <c r="B18" s="3" t="s">
        <v>11</v>
      </c>
      <c r="C18" s="15">
        <v>0</v>
      </c>
      <c r="D18" s="30">
        <v>0</v>
      </c>
      <c r="E18" s="31">
        <f>2557+2937+39319+5150+30499+147674+56670+20012+42586+1864+40829+3714+14830+2540+36106+25000</f>
        <v>472287</v>
      </c>
      <c r="F18" s="39">
        <f>D18-E18</f>
        <v>-472287</v>
      </c>
      <c r="G18" s="2"/>
      <c r="H18" s="43"/>
      <c r="I18" s="43"/>
    </row>
    <row r="19" spans="1:12" s="29" customFormat="1" ht="14.5" thickTop="1" x14ac:dyDescent="0.3">
      <c r="A19" s="3"/>
      <c r="B19" s="20" t="s">
        <v>15</v>
      </c>
      <c r="C19" s="15"/>
      <c r="D19" s="32">
        <f>SUM(D17:D18)</f>
        <v>1169229</v>
      </c>
      <c r="E19" s="32">
        <f>SUM(E17:E18)</f>
        <v>1120787</v>
      </c>
      <c r="F19" s="40">
        <f>D19-E19</f>
        <v>48442</v>
      </c>
      <c r="G19" s="22">
        <f>F19/D17</f>
        <v>4.1430720585958779E-2</v>
      </c>
      <c r="H19" s="43">
        <v>31767</v>
      </c>
      <c r="I19" s="43">
        <f>F19-H19</f>
        <v>16675</v>
      </c>
    </row>
    <row r="20" spans="1:12" s="29" customFormat="1" x14ac:dyDescent="0.3">
      <c r="A20" s="3"/>
      <c r="B20" s="20"/>
      <c r="C20" s="15"/>
      <c r="D20" s="30"/>
      <c r="E20" s="33"/>
      <c r="F20" s="39"/>
      <c r="G20" s="22"/>
      <c r="H20" s="43"/>
      <c r="I20" s="43"/>
    </row>
    <row r="21" spans="1:12" s="29" customFormat="1" x14ac:dyDescent="0.3">
      <c r="A21" s="3"/>
      <c r="B21" s="3" t="s">
        <v>16</v>
      </c>
      <c r="C21" s="15">
        <v>2.9</v>
      </c>
      <c r="D21" s="30">
        <f>118590+2584+30772</f>
        <v>151946</v>
      </c>
      <c r="E21" s="31">
        <v>61507</v>
      </c>
      <c r="F21" s="39">
        <f>D21-E21</f>
        <v>90439</v>
      </c>
      <c r="G21" s="2"/>
      <c r="H21" s="43"/>
      <c r="I21" s="43"/>
    </row>
    <row r="22" spans="1:12" s="29" customFormat="1" ht="14.5" thickBot="1" x14ac:dyDescent="0.35">
      <c r="A22" s="3"/>
      <c r="B22" s="3" t="s">
        <v>17</v>
      </c>
      <c r="C22" s="15">
        <v>0</v>
      </c>
      <c r="D22" s="30">
        <v>0</v>
      </c>
      <c r="E22" s="31">
        <f>145774</f>
        <v>145774</v>
      </c>
      <c r="F22" s="39">
        <f>D22-E22</f>
        <v>-145774</v>
      </c>
      <c r="G22" s="2"/>
      <c r="H22" s="43"/>
      <c r="I22" s="43"/>
    </row>
    <row r="23" spans="1:12" s="29" customFormat="1" ht="14.5" thickTop="1" x14ac:dyDescent="0.3">
      <c r="A23" s="3"/>
      <c r="B23" s="20" t="s">
        <v>18</v>
      </c>
      <c r="C23" s="15"/>
      <c r="D23" s="32">
        <f>SUM(D21:D22)</f>
        <v>151946</v>
      </c>
      <c r="E23" s="32">
        <f>SUM(E21:E22)</f>
        <v>207281</v>
      </c>
      <c r="F23" s="40">
        <f>D23-E23</f>
        <v>-55335</v>
      </c>
      <c r="G23" s="22">
        <f>F23/D21</f>
        <v>-0.36417543074513314</v>
      </c>
      <c r="H23" s="43">
        <v>-47105</v>
      </c>
      <c r="I23" s="43">
        <f>F23-H23</f>
        <v>-8230</v>
      </c>
    </row>
    <row r="24" spans="1:12" s="29" customFormat="1" x14ac:dyDescent="0.3">
      <c r="A24" s="3"/>
      <c r="B24" s="20"/>
      <c r="C24" s="15"/>
      <c r="D24" s="30"/>
      <c r="E24" s="33"/>
      <c r="F24" s="39"/>
      <c r="G24" s="22"/>
      <c r="H24" s="43"/>
      <c r="I24" s="43"/>
    </row>
    <row r="25" spans="1:12" s="29" customFormat="1" x14ac:dyDescent="0.3">
      <c r="A25" s="3"/>
      <c r="B25" s="3" t="s">
        <v>19</v>
      </c>
      <c r="C25" s="15">
        <v>2.71</v>
      </c>
      <c r="D25" s="30">
        <f>67877+27997</f>
        <v>95874</v>
      </c>
      <c r="E25" s="31">
        <v>10951</v>
      </c>
      <c r="F25" s="39">
        <f>D25-E25</f>
        <v>84923</v>
      </c>
      <c r="G25" s="2"/>
      <c r="H25" s="43"/>
      <c r="I25" s="43"/>
    </row>
    <row r="26" spans="1:12" s="29" customFormat="1" ht="14.5" thickBot="1" x14ac:dyDescent="0.35">
      <c r="A26" s="3"/>
      <c r="B26" s="3" t="s">
        <v>20</v>
      </c>
      <c r="C26" s="15">
        <v>0</v>
      </c>
      <c r="D26" s="30">
        <v>0</v>
      </c>
      <c r="E26" s="31">
        <f>6774+23968+23376+17198</f>
        <v>71316</v>
      </c>
      <c r="F26" s="39">
        <f>D26-E26</f>
        <v>-71316</v>
      </c>
      <c r="G26" s="2"/>
      <c r="H26" s="43"/>
      <c r="I26" s="43"/>
    </row>
    <row r="27" spans="1:12" s="29" customFormat="1" ht="14.5" thickTop="1" x14ac:dyDescent="0.3">
      <c r="A27" s="3"/>
      <c r="B27" s="20" t="s">
        <v>21</v>
      </c>
      <c r="C27" s="15"/>
      <c r="D27" s="32">
        <f>SUM(D25:D26)</f>
        <v>95874</v>
      </c>
      <c r="E27" s="32">
        <f>SUM(E25:E26)</f>
        <v>82267</v>
      </c>
      <c r="F27" s="40">
        <f>D27-E27</f>
        <v>13607</v>
      </c>
      <c r="G27" s="22">
        <f>F27/D25</f>
        <v>0.14192586102592986</v>
      </c>
      <c r="H27" s="43">
        <v>9554</v>
      </c>
      <c r="I27" s="43">
        <f>F27-H27</f>
        <v>4053</v>
      </c>
    </row>
    <row r="28" spans="1:12" s="29" customFormat="1" ht="18" customHeight="1" x14ac:dyDescent="0.3">
      <c r="A28" s="3"/>
      <c r="B28" s="3"/>
      <c r="C28" s="15"/>
      <c r="D28" s="30"/>
      <c r="E28" s="31"/>
      <c r="F28" s="39"/>
      <c r="G28" s="2"/>
      <c r="H28" s="43"/>
      <c r="I28" s="43"/>
    </row>
    <row r="29" spans="1:12" ht="14.5" thickBot="1" x14ac:dyDescent="0.35">
      <c r="A29" s="2"/>
      <c r="B29" s="26" t="s">
        <v>24</v>
      </c>
      <c r="C29" s="6">
        <f>SUM(C8:C28)</f>
        <v>82.35</v>
      </c>
      <c r="D29" s="34">
        <f>SUM(D8:D28)/2</f>
        <v>4578550</v>
      </c>
      <c r="E29" s="34">
        <f>E11+E15+E19+E23+E27</f>
        <v>5144117</v>
      </c>
      <c r="F29" s="41">
        <f>F11+F15+F19+F23+F27</f>
        <v>-565567</v>
      </c>
      <c r="G29" s="22">
        <f>F29/D29</f>
        <v>-0.12352535191272346</v>
      </c>
      <c r="H29" s="41">
        <f>H11+H15+H19+H23+H27</f>
        <v>-494871</v>
      </c>
      <c r="I29" s="41">
        <f>I11+I15+I19+I23+I27</f>
        <v>-70696</v>
      </c>
      <c r="J29" s="46"/>
      <c r="K29" s="46"/>
      <c r="L29" s="46"/>
    </row>
    <row r="30" spans="1:12" ht="14.5" thickTop="1" x14ac:dyDescent="0.3">
      <c r="A30" s="2"/>
      <c r="B30" s="2"/>
      <c r="C30" s="8"/>
      <c r="D30" s="35"/>
      <c r="E30" s="35"/>
      <c r="F30" s="42"/>
      <c r="G30" s="7"/>
      <c r="H30" s="43"/>
      <c r="I30" s="43"/>
    </row>
    <row r="31" spans="1:12" x14ac:dyDescent="0.3">
      <c r="H31" s="47"/>
    </row>
    <row r="32" spans="1:12" x14ac:dyDescent="0.3">
      <c r="D32" s="47"/>
      <c r="E32" s="47"/>
      <c r="J32" s="47"/>
      <c r="K32" s="47"/>
    </row>
    <row r="34" spans="5:5" x14ac:dyDescent="0.3">
      <c r="E34" s="4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D9" sqref="D9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14.453125" bestFit="1" customWidth="1"/>
    <col min="5" max="5" width="10.453125" customWidth="1"/>
    <col min="6" max="6" width="11.453125" customWidth="1"/>
    <col min="7" max="7" width="9" customWidth="1"/>
    <col min="8" max="8" width="2.1796875" customWidth="1"/>
    <col min="9" max="10" width="12.453125" customWidth="1"/>
    <col min="11" max="11" width="15" customWidth="1"/>
  </cols>
  <sheetData>
    <row r="1" spans="1:12" x14ac:dyDescent="0.3">
      <c r="J1" s="25" t="s">
        <v>23</v>
      </c>
    </row>
    <row r="2" spans="1:12" ht="6" customHeight="1" x14ac:dyDescent="0.3"/>
    <row r="3" spans="1:12" ht="17.5" x14ac:dyDescent="0.4">
      <c r="A3" s="1" t="s">
        <v>40</v>
      </c>
      <c r="B3" s="1"/>
      <c r="C3" s="1"/>
      <c r="D3" s="1"/>
      <c r="E3" s="1"/>
      <c r="F3" s="1"/>
      <c r="G3" s="1"/>
      <c r="H3" s="1"/>
    </row>
    <row r="4" spans="1:12" ht="18.75" customHeight="1" x14ac:dyDescent="0.3">
      <c r="A4" s="2"/>
      <c r="B4" s="2"/>
      <c r="C4" s="2"/>
      <c r="D4" s="2"/>
      <c r="E4" s="2"/>
      <c r="F4" s="2"/>
      <c r="G4" s="2"/>
      <c r="H4" s="2"/>
    </row>
    <row r="5" spans="1:12" ht="26" x14ac:dyDescent="0.3">
      <c r="A5" s="3"/>
      <c r="B5" s="3"/>
      <c r="C5" s="4" t="s">
        <v>0</v>
      </c>
      <c r="D5" s="36" t="s">
        <v>42</v>
      </c>
      <c r="E5" s="36" t="s">
        <v>43</v>
      </c>
      <c r="F5" s="37" t="s">
        <v>41</v>
      </c>
      <c r="G5" s="37" t="s">
        <v>30</v>
      </c>
      <c r="H5" s="37"/>
      <c r="I5" s="37" t="s">
        <v>39</v>
      </c>
      <c r="J5" s="37" t="s">
        <v>32</v>
      </c>
    </row>
    <row r="6" spans="1:12" x14ac:dyDescent="0.3">
      <c r="A6" s="3"/>
      <c r="B6" s="3"/>
      <c r="C6" s="4" t="s">
        <v>2</v>
      </c>
      <c r="D6" s="13" t="s">
        <v>5</v>
      </c>
      <c r="E6" s="13" t="s">
        <v>5</v>
      </c>
      <c r="F6" s="38" t="s">
        <v>31</v>
      </c>
      <c r="I6" s="38" t="s">
        <v>31</v>
      </c>
      <c r="J6" s="38" t="s">
        <v>31</v>
      </c>
      <c r="K6" s="29"/>
      <c r="L6" s="29"/>
    </row>
    <row r="7" spans="1:12" x14ac:dyDescent="0.3">
      <c r="A7" s="3"/>
      <c r="B7" s="3"/>
      <c r="C7" s="4"/>
      <c r="D7" s="13"/>
      <c r="E7" s="5"/>
      <c r="F7" s="13"/>
      <c r="G7" s="4"/>
      <c r="H7" s="4"/>
    </row>
    <row r="8" spans="1:12" s="29" customFormat="1" x14ac:dyDescent="0.3">
      <c r="A8" s="3"/>
      <c r="B8" s="3"/>
      <c r="C8" s="10"/>
      <c r="D8" s="14"/>
      <c r="E8" s="11"/>
      <c r="F8" s="10"/>
      <c r="G8" s="2"/>
      <c r="H8" s="2"/>
      <c r="I8" s="43"/>
      <c r="J8" s="43"/>
    </row>
    <row r="9" spans="1:12" s="29" customFormat="1" x14ac:dyDescent="0.3">
      <c r="A9" s="3"/>
      <c r="B9" s="3" t="s">
        <v>6</v>
      </c>
      <c r="C9" s="15">
        <v>37</v>
      </c>
      <c r="D9" s="30">
        <f>2757728+19336+3469+608+10776+102801+33506+23698+20979</f>
        <v>2972901</v>
      </c>
      <c r="E9" s="31">
        <f>2443232</f>
        <v>2443232</v>
      </c>
      <c r="F9" s="39">
        <f>D9-E9</f>
        <v>529669</v>
      </c>
      <c r="G9" s="2"/>
      <c r="H9" s="2"/>
      <c r="I9" s="43"/>
      <c r="J9" s="43"/>
    </row>
    <row r="10" spans="1:12" s="29" customFormat="1" ht="14.5" thickBot="1" x14ac:dyDescent="0.35">
      <c r="A10" s="3"/>
      <c r="B10" s="3" t="s">
        <v>12</v>
      </c>
      <c r="C10" s="15">
        <v>0</v>
      </c>
      <c r="D10" s="30">
        <v>0</v>
      </c>
      <c r="E10" s="31">
        <f>21958+119160+11186+107122+11031+169599-2200+9856+34122+25171+91884+3770+4243</f>
        <v>606902</v>
      </c>
      <c r="F10" s="39">
        <f>D10-E10</f>
        <v>-606902</v>
      </c>
      <c r="G10" s="2"/>
      <c r="H10" s="2"/>
      <c r="I10" s="43"/>
      <c r="J10" s="43"/>
    </row>
    <row r="11" spans="1:12" s="29" customFormat="1" ht="14.5" thickTop="1" x14ac:dyDescent="0.3">
      <c r="A11" s="3"/>
      <c r="B11" s="20" t="s">
        <v>13</v>
      </c>
      <c r="C11" s="15"/>
      <c r="D11" s="32">
        <f>SUM(D9:D10)</f>
        <v>2972901</v>
      </c>
      <c r="E11" s="32">
        <f>SUM(E9:E10)</f>
        <v>3050134</v>
      </c>
      <c r="F11" s="40">
        <f>D11-E11</f>
        <v>-77233</v>
      </c>
      <c r="G11" s="22">
        <f>F11/D9</f>
        <v>-2.5979001655285529E-2</v>
      </c>
      <c r="H11" s="22"/>
      <c r="I11" s="31">
        <v>-71178</v>
      </c>
      <c r="J11" s="43">
        <f>F11-I11</f>
        <v>-6055</v>
      </c>
    </row>
    <row r="12" spans="1:12" s="29" customFormat="1" x14ac:dyDescent="0.3">
      <c r="A12" s="3"/>
      <c r="B12" s="20"/>
      <c r="C12" s="15"/>
      <c r="D12" s="30"/>
      <c r="E12" s="33"/>
      <c r="F12" s="39"/>
      <c r="G12" s="22"/>
      <c r="H12" s="22"/>
      <c r="I12" s="43"/>
      <c r="J12" s="43"/>
    </row>
    <row r="13" spans="1:12" s="29" customFormat="1" x14ac:dyDescent="0.3">
      <c r="A13" s="3"/>
      <c r="B13" s="3" t="s">
        <v>7</v>
      </c>
      <c r="C13" s="15">
        <f>7+5.5</f>
        <v>12.5</v>
      </c>
      <c r="D13" s="30">
        <f>304807+197376+41865</f>
        <v>544048</v>
      </c>
      <c r="E13" s="31">
        <f>157496+133464</f>
        <v>290960</v>
      </c>
      <c r="F13" s="39">
        <f>D13-E13</f>
        <v>253088</v>
      </c>
      <c r="G13" s="22" t="s">
        <v>4</v>
      </c>
      <c r="H13" s="22"/>
      <c r="I13" s="43"/>
      <c r="J13" s="43"/>
    </row>
    <row r="14" spans="1:12" s="29" customFormat="1" ht="14.5" thickBot="1" x14ac:dyDescent="0.35">
      <c r="A14" s="3"/>
      <c r="B14" s="3" t="s">
        <v>8</v>
      </c>
      <c r="C14" s="15">
        <v>0</v>
      </c>
      <c r="D14" s="30">
        <v>0</v>
      </c>
      <c r="E14" s="31">
        <f>21119+117175+73447+2734+195640+24535+112534+34840+4083+74265+56627+61071+88237</f>
        <v>866307</v>
      </c>
      <c r="F14" s="39">
        <f>D14-E14</f>
        <v>-866307</v>
      </c>
      <c r="G14" s="2"/>
      <c r="H14" s="2"/>
      <c r="I14" s="43"/>
      <c r="J14" s="43"/>
    </row>
    <row r="15" spans="1:12" s="29" customFormat="1" ht="14.5" thickTop="1" x14ac:dyDescent="0.3">
      <c r="A15" s="3"/>
      <c r="B15" s="20" t="s">
        <v>14</v>
      </c>
      <c r="C15" s="15"/>
      <c r="D15" s="32">
        <f>SUM(D13:D14)</f>
        <v>544048</v>
      </c>
      <c r="E15" s="32">
        <f>SUM(E13:E14)</f>
        <v>1157267</v>
      </c>
      <c r="F15" s="40">
        <f>D15-E15</f>
        <v>-613219</v>
      </c>
      <c r="G15" s="22">
        <f>F15/D13</f>
        <v>-1.1271413551745435</v>
      </c>
      <c r="H15" s="22"/>
      <c r="I15" s="43">
        <v>-501103</v>
      </c>
      <c r="J15" s="43">
        <f>F15-I15</f>
        <v>-112116</v>
      </c>
    </row>
    <row r="16" spans="1:12" s="29" customFormat="1" x14ac:dyDescent="0.3">
      <c r="A16" s="3"/>
      <c r="B16" s="20"/>
      <c r="C16" s="15"/>
      <c r="D16" s="30"/>
      <c r="E16" s="33"/>
      <c r="F16" s="39"/>
      <c r="G16" s="22"/>
      <c r="H16" s="22"/>
      <c r="I16" s="43"/>
      <c r="J16" s="43"/>
    </row>
    <row r="17" spans="1:13" s="29" customFormat="1" x14ac:dyDescent="0.3">
      <c r="A17" s="3"/>
      <c r="B17" s="3" t="s">
        <v>10</v>
      </c>
      <c r="C17" s="15">
        <v>27.24</v>
      </c>
      <c r="D17" s="30">
        <f>1141869+39464+97941+5678+14196</f>
        <v>1299148</v>
      </c>
      <c r="E17" s="31">
        <v>727782</v>
      </c>
      <c r="F17" s="39">
        <f>D17-E17</f>
        <v>571366</v>
      </c>
      <c r="G17" s="2"/>
      <c r="H17" s="2"/>
      <c r="I17" s="43"/>
      <c r="J17" s="43"/>
    </row>
    <row r="18" spans="1:13" s="29" customFormat="1" ht="14.5" thickBot="1" x14ac:dyDescent="0.35">
      <c r="A18" s="3"/>
      <c r="B18" s="3" t="s">
        <v>11</v>
      </c>
      <c r="C18" s="15">
        <v>0</v>
      </c>
      <c r="D18" s="30">
        <v>0</v>
      </c>
      <c r="E18" s="31">
        <f>2557+2937+39319+7061+30499+145167+59383+20012+48986+1864+40829+3714+19737+2540+36106</f>
        <v>460711</v>
      </c>
      <c r="F18" s="39">
        <f>D18-E18</f>
        <v>-460711</v>
      </c>
      <c r="G18" s="2"/>
      <c r="H18" s="2"/>
      <c r="I18" s="43"/>
      <c r="J18" s="43"/>
    </row>
    <row r="19" spans="1:13" s="29" customFormat="1" ht="14.5" thickTop="1" x14ac:dyDescent="0.3">
      <c r="A19" s="3"/>
      <c r="B19" s="20" t="s">
        <v>15</v>
      </c>
      <c r="C19" s="15"/>
      <c r="D19" s="32">
        <f>SUM(D17:D18)</f>
        <v>1299148</v>
      </c>
      <c r="E19" s="32">
        <f>SUM(E17:E18)</f>
        <v>1188493</v>
      </c>
      <c r="F19" s="40">
        <f>D19-E19</f>
        <v>110655</v>
      </c>
      <c r="G19" s="22">
        <f>F19/D17</f>
        <v>8.5175053188705219E-2</v>
      </c>
      <c r="H19" s="22"/>
      <c r="I19" s="43">
        <v>48442</v>
      </c>
      <c r="J19" s="43">
        <f>F19-I19</f>
        <v>62213</v>
      </c>
    </row>
    <row r="20" spans="1:13" s="29" customFormat="1" x14ac:dyDescent="0.3">
      <c r="A20" s="3"/>
      <c r="B20" s="20"/>
      <c r="C20" s="15"/>
      <c r="D20" s="30"/>
      <c r="E20" s="33"/>
      <c r="F20" s="39"/>
      <c r="G20" s="22"/>
      <c r="H20" s="22"/>
      <c r="I20" s="43"/>
      <c r="J20" s="43"/>
    </row>
    <row r="21" spans="1:13" s="29" customFormat="1" x14ac:dyDescent="0.3">
      <c r="A21" s="3"/>
      <c r="B21" s="3" t="s">
        <v>16</v>
      </c>
      <c r="C21" s="15">
        <v>2.9</v>
      </c>
      <c r="D21" s="30">
        <f>131765+2872+34192</f>
        <v>168829</v>
      </c>
      <c r="E21" s="31">
        <f>68565</f>
        <v>68565</v>
      </c>
      <c r="F21" s="39">
        <f>D21-E21</f>
        <v>100264</v>
      </c>
      <c r="G21" s="2"/>
      <c r="H21" s="2"/>
      <c r="I21" s="43"/>
      <c r="J21" s="43"/>
    </row>
    <row r="22" spans="1:13" s="29" customFormat="1" ht="14.5" thickBot="1" x14ac:dyDescent="0.35">
      <c r="A22" s="3"/>
      <c r="B22" s="3" t="s">
        <v>17</v>
      </c>
      <c r="C22" s="15">
        <v>0</v>
      </c>
      <c r="D22" s="30">
        <v>0</v>
      </c>
      <c r="E22" s="31">
        <f>162620</f>
        <v>162620</v>
      </c>
      <c r="F22" s="39">
        <f>D22-E22</f>
        <v>-162620</v>
      </c>
      <c r="G22" s="2"/>
      <c r="H22" s="2"/>
      <c r="I22" s="43"/>
      <c r="J22" s="43"/>
    </row>
    <row r="23" spans="1:13" s="29" customFormat="1" ht="14.5" thickTop="1" x14ac:dyDescent="0.3">
      <c r="A23" s="3"/>
      <c r="B23" s="20" t="s">
        <v>18</v>
      </c>
      <c r="C23" s="15"/>
      <c r="D23" s="32">
        <f>SUM(D21:D22)</f>
        <v>168829</v>
      </c>
      <c r="E23" s="32">
        <f>SUM(E21:E22)</f>
        <v>231185</v>
      </c>
      <c r="F23" s="40">
        <f>D23-E23</f>
        <v>-62356</v>
      </c>
      <c r="G23" s="22">
        <f>F23/D21</f>
        <v>-0.36934412926689136</v>
      </c>
      <c r="H23" s="22"/>
      <c r="I23" s="43">
        <v>-55335</v>
      </c>
      <c r="J23" s="43">
        <f>F23-I23</f>
        <v>-7021</v>
      </c>
    </row>
    <row r="24" spans="1:13" s="29" customFormat="1" x14ac:dyDescent="0.3">
      <c r="A24" s="3"/>
      <c r="B24" s="20"/>
      <c r="C24" s="15"/>
      <c r="D24" s="30"/>
      <c r="E24" s="33"/>
      <c r="F24" s="39"/>
      <c r="G24" s="22"/>
      <c r="H24" s="22"/>
      <c r="I24" s="43"/>
      <c r="J24" s="43"/>
    </row>
    <row r="25" spans="1:13" s="29" customFormat="1" x14ac:dyDescent="0.3">
      <c r="A25" s="3"/>
      <c r="B25" s="3" t="s">
        <v>19</v>
      </c>
      <c r="C25" s="15">
        <v>2.71</v>
      </c>
      <c r="D25" s="30">
        <f>75418+31108</f>
        <v>106526</v>
      </c>
      <c r="E25" s="31">
        <f>11882</f>
        <v>11882</v>
      </c>
      <c r="F25" s="39">
        <f>D25-E25</f>
        <v>94644</v>
      </c>
      <c r="G25" s="2"/>
      <c r="H25" s="2"/>
      <c r="I25" s="43"/>
      <c r="J25" s="43"/>
    </row>
    <row r="26" spans="1:13" s="29" customFormat="1" ht="14.5" thickBot="1" x14ac:dyDescent="0.35">
      <c r="A26" s="3"/>
      <c r="B26" s="3" t="s">
        <v>20</v>
      </c>
      <c r="C26" s="15">
        <v>0</v>
      </c>
      <c r="D26" s="30">
        <v>0</v>
      </c>
      <c r="E26" s="31">
        <f>25978+23968+26422</f>
        <v>76368</v>
      </c>
      <c r="F26" s="39">
        <f>D26-E26</f>
        <v>-76368</v>
      </c>
      <c r="G26" s="2"/>
      <c r="H26" s="2"/>
      <c r="I26" s="43"/>
      <c r="J26" s="43"/>
    </row>
    <row r="27" spans="1:13" s="29" customFormat="1" ht="14.5" thickTop="1" x14ac:dyDescent="0.3">
      <c r="A27" s="3"/>
      <c r="B27" s="20" t="s">
        <v>21</v>
      </c>
      <c r="C27" s="15"/>
      <c r="D27" s="32">
        <f>SUM(D25:D26)</f>
        <v>106526</v>
      </c>
      <c r="E27" s="32">
        <f>SUM(E25:E26)</f>
        <v>88250</v>
      </c>
      <c r="F27" s="40">
        <f>D27-E27</f>
        <v>18276</v>
      </c>
      <c r="G27" s="22">
        <f>F27/D25</f>
        <v>0.17156374969491017</v>
      </c>
      <c r="H27" s="22"/>
      <c r="I27" s="43">
        <v>13607</v>
      </c>
      <c r="J27" s="43">
        <f>F27-I27</f>
        <v>4669</v>
      </c>
    </row>
    <row r="28" spans="1:13" s="29" customFormat="1" ht="18" customHeight="1" x14ac:dyDescent="0.3">
      <c r="A28" s="3"/>
      <c r="B28" s="3"/>
      <c r="C28" s="15"/>
      <c r="D28" s="30"/>
      <c r="E28" s="31"/>
      <c r="F28" s="39"/>
      <c r="G28" s="2"/>
      <c r="H28" s="2"/>
      <c r="I28" s="43"/>
      <c r="J28" s="43"/>
    </row>
    <row r="29" spans="1:13" ht="14.5" thickBot="1" x14ac:dyDescent="0.35">
      <c r="A29" s="2"/>
      <c r="B29" s="26" t="s">
        <v>24</v>
      </c>
      <c r="C29" s="6">
        <f>SUM(C8:C28)</f>
        <v>82.35</v>
      </c>
      <c r="D29" s="34">
        <f>SUM(D8:D28)/2</f>
        <v>5091452</v>
      </c>
      <c r="E29" s="34">
        <f>E11+E15+E19+E23+E27</f>
        <v>5715329</v>
      </c>
      <c r="F29" s="41">
        <f>F11+F15+F19+F23+F27</f>
        <v>-623877</v>
      </c>
      <c r="G29" s="22">
        <f>F29/D29</f>
        <v>-0.12253420045990809</v>
      </c>
      <c r="H29" s="22"/>
      <c r="I29" s="41">
        <f>I11+I15+I19+I23+I27</f>
        <v>-565567</v>
      </c>
      <c r="J29" s="41">
        <f>J11+J15+J19+J23+J27</f>
        <v>-58310</v>
      </c>
      <c r="K29" s="46"/>
      <c r="L29" s="46"/>
      <c r="M29" s="46"/>
    </row>
    <row r="30" spans="1:13" ht="14.5" thickTop="1" x14ac:dyDescent="0.3">
      <c r="A30" s="2"/>
      <c r="B30" s="2"/>
      <c r="C30" s="8"/>
      <c r="D30" s="35"/>
      <c r="E30" s="35"/>
      <c r="F30" s="42"/>
      <c r="G30" s="7"/>
      <c r="H30" s="7"/>
      <c r="I30" s="43"/>
      <c r="J30" s="43"/>
    </row>
    <row r="31" spans="1:13" x14ac:dyDescent="0.3">
      <c r="I31" s="47"/>
    </row>
    <row r="32" spans="1:13" x14ac:dyDescent="0.3">
      <c r="D32" s="47"/>
      <c r="E32" s="47"/>
      <c r="K32" s="47"/>
      <c r="L32" s="47"/>
    </row>
    <row r="34" spans="5:5" x14ac:dyDescent="0.3">
      <c r="E34" s="4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topLeftCell="E1" workbookViewId="0">
      <selection activeCell="Q1" sqref="Q1"/>
    </sheetView>
  </sheetViews>
  <sheetFormatPr defaultRowHeight="14" x14ac:dyDescent="0.3"/>
  <cols>
    <col min="1" max="1" width="1.26953125" customWidth="1"/>
    <col min="2" max="2" width="37.81640625" customWidth="1"/>
    <col min="3" max="3" width="7.453125" bestFit="1" customWidth="1"/>
    <col min="4" max="4" width="7.453125" customWidth="1"/>
    <col min="5" max="5" width="2" style="55" customWidth="1"/>
    <col min="6" max="6" width="14.453125" bestFit="1" customWidth="1"/>
    <col min="7" max="7" width="12.26953125" customWidth="1"/>
    <col min="8" max="8" width="11.453125" customWidth="1"/>
    <col min="9" max="9" width="9" customWidth="1"/>
    <col min="10" max="10" width="2.1796875" customWidth="1"/>
    <col min="11" max="11" width="10.54296875" style="47" hidden="1" customWidth="1"/>
    <col min="12" max="12" width="12.1796875" style="91" customWidth="1"/>
    <col min="13" max="13" width="4.26953125" customWidth="1"/>
    <col min="14" max="14" width="10.81640625" customWidth="1"/>
    <col min="15" max="15" width="4.54296875" customWidth="1"/>
    <col min="16" max="16" width="9.26953125" bestFit="1" customWidth="1"/>
  </cols>
  <sheetData>
    <row r="1" spans="1:17" x14ac:dyDescent="0.3">
      <c r="O1" s="25" t="s">
        <v>521</v>
      </c>
    </row>
    <row r="2" spans="1:17" ht="6" customHeight="1" x14ac:dyDescent="0.3"/>
    <row r="3" spans="1:17" ht="17.5" x14ac:dyDescent="0.4">
      <c r="A3" s="1" t="s">
        <v>520</v>
      </c>
      <c r="B3" s="1"/>
      <c r="C3" s="1"/>
      <c r="D3" s="1"/>
      <c r="E3" s="56"/>
      <c r="F3" s="1"/>
      <c r="G3" s="1"/>
      <c r="H3" s="1"/>
      <c r="I3" s="1"/>
      <c r="J3" s="1"/>
      <c r="K3" s="109"/>
    </row>
    <row r="4" spans="1:17" ht="18.75" customHeight="1" x14ac:dyDescent="0.3">
      <c r="A4" s="2"/>
      <c r="B4" s="2"/>
      <c r="C4" s="2"/>
      <c r="D4" s="2"/>
      <c r="E4" s="57"/>
      <c r="F4" s="2"/>
      <c r="G4" s="2"/>
      <c r="H4" s="2"/>
      <c r="I4" s="2"/>
      <c r="J4" s="2"/>
      <c r="K4" s="110"/>
    </row>
    <row r="5" spans="1:17" ht="52" x14ac:dyDescent="0.3">
      <c r="A5" s="3"/>
      <c r="B5" s="3"/>
      <c r="C5" s="53" t="s">
        <v>0</v>
      </c>
      <c r="D5" s="53" t="s">
        <v>229</v>
      </c>
      <c r="E5" s="53"/>
      <c r="F5" s="36" t="s">
        <v>28</v>
      </c>
      <c r="G5" s="36" t="s">
        <v>29</v>
      </c>
      <c r="H5" s="37" t="s">
        <v>245</v>
      </c>
      <c r="I5" s="37" t="s">
        <v>30</v>
      </c>
      <c r="J5" s="37"/>
      <c r="K5" s="111"/>
      <c r="L5" s="92" t="s">
        <v>263</v>
      </c>
      <c r="N5" s="66" t="s">
        <v>501</v>
      </c>
      <c r="P5" t="s">
        <v>3</v>
      </c>
    </row>
    <row r="6" spans="1:17" x14ac:dyDescent="0.3">
      <c r="A6" s="3"/>
      <c r="B6" s="3"/>
      <c r="C6" s="53" t="s">
        <v>2</v>
      </c>
      <c r="D6" s="53" t="s">
        <v>2</v>
      </c>
      <c r="E6" s="53"/>
      <c r="F6" s="13" t="s">
        <v>5</v>
      </c>
      <c r="G6" s="13" t="s">
        <v>5</v>
      </c>
      <c r="H6" s="38" t="s">
        <v>31</v>
      </c>
      <c r="L6" s="93"/>
    </row>
    <row r="7" spans="1:17" x14ac:dyDescent="0.3">
      <c r="A7" s="3"/>
      <c r="B7" s="3"/>
      <c r="C7" s="53"/>
      <c r="D7" s="53"/>
      <c r="E7" s="53"/>
      <c r="F7" s="13"/>
      <c r="G7" s="5"/>
      <c r="H7" s="13"/>
      <c r="I7" s="4"/>
      <c r="J7" s="4"/>
      <c r="K7" s="112"/>
    </row>
    <row r="8" spans="1:17" s="29" customFormat="1" x14ac:dyDescent="0.3">
      <c r="A8" s="3"/>
      <c r="B8" s="3"/>
      <c r="C8" s="54"/>
      <c r="D8" s="54"/>
      <c r="E8" s="54"/>
      <c r="F8" s="14"/>
      <c r="G8" s="11"/>
      <c r="H8" s="10"/>
      <c r="I8" s="2"/>
      <c r="J8" s="2"/>
      <c r="K8" s="110"/>
      <c r="L8" s="93"/>
    </row>
    <row r="9" spans="1:17" s="29" customFormat="1" x14ac:dyDescent="0.3">
      <c r="A9" s="3"/>
      <c r="B9" s="3" t="s">
        <v>6</v>
      </c>
      <c r="C9" s="59">
        <f>Sheet1!H20</f>
        <v>34.75</v>
      </c>
      <c r="D9" s="59">
        <f>Sheet1!I20</f>
        <v>32.01</v>
      </c>
      <c r="E9" s="59"/>
      <c r="F9" s="30">
        <f>Sheet1!E20</f>
        <v>2274328</v>
      </c>
      <c r="G9" s="30">
        <f>Sheet1!F20</f>
        <v>2146285</v>
      </c>
      <c r="H9" s="39">
        <f>F9-G9</f>
        <v>128043</v>
      </c>
      <c r="I9" s="2"/>
      <c r="J9" s="2"/>
      <c r="K9" s="110">
        <f>G9/8*12</f>
        <v>3219427.5</v>
      </c>
      <c r="L9" s="100">
        <f>'TOTAL (2)'!K58</f>
        <v>2989845.5</v>
      </c>
      <c r="M9" s="101"/>
      <c r="N9" s="101">
        <f>'TOTAL (2)'!M58</f>
        <v>3248322.5</v>
      </c>
      <c r="O9" s="101"/>
      <c r="P9" s="101">
        <f>L9-N9</f>
        <v>-258477</v>
      </c>
    </row>
    <row r="10" spans="1:17" s="29" customFormat="1" ht="14.5" thickBot="1" x14ac:dyDescent="0.35">
      <c r="A10" s="3"/>
      <c r="B10" s="3" t="s">
        <v>12</v>
      </c>
      <c r="C10" s="60">
        <f>Sheet1!H79</f>
        <v>1.73</v>
      </c>
      <c r="D10" s="60">
        <f>Sheet1!I79</f>
        <v>1.73</v>
      </c>
      <c r="E10" s="59"/>
      <c r="F10" s="64">
        <f>Sheet1!E79</f>
        <v>306901</v>
      </c>
      <c r="G10" s="30">
        <f>Sheet1!F79</f>
        <v>720854</v>
      </c>
      <c r="H10" s="39">
        <f>F10-G10</f>
        <v>-413953</v>
      </c>
      <c r="I10" s="2"/>
      <c r="J10" s="2"/>
      <c r="K10" s="110">
        <f>G10/8*12</f>
        <v>1081281</v>
      </c>
      <c r="L10" s="100">
        <f>'TOTAL (2)'!K75</f>
        <v>1168132.4285714286</v>
      </c>
      <c r="M10" s="101"/>
      <c r="N10" s="101">
        <f>'TOTAL (2)'!M75</f>
        <v>1230432.4285714286</v>
      </c>
      <c r="O10" s="101"/>
      <c r="P10" s="101">
        <f>L10-N10</f>
        <v>-62300</v>
      </c>
    </row>
    <row r="11" spans="1:17" s="29" customFormat="1" ht="14.5" thickTop="1" x14ac:dyDescent="0.3">
      <c r="A11" s="3"/>
      <c r="B11" s="20" t="s">
        <v>13</v>
      </c>
      <c r="C11" s="52">
        <f>SUM(C9:C10)</f>
        <v>36.479999999999997</v>
      </c>
      <c r="D11" s="52">
        <f>SUM(D9:D10)</f>
        <v>33.739999999999995</v>
      </c>
      <c r="E11" s="52"/>
      <c r="F11" s="32">
        <f>SUM(F9:F10)</f>
        <v>2581229</v>
      </c>
      <c r="G11" s="32">
        <f>SUM(G9:G10)</f>
        <v>2867139</v>
      </c>
      <c r="H11" s="40">
        <f>F11-G11</f>
        <v>-285910</v>
      </c>
      <c r="I11" s="22">
        <f>H11/F9</f>
        <v>-0.12571185862373413</v>
      </c>
      <c r="J11" s="22"/>
      <c r="K11" s="102">
        <f>SUM(K9:K10)</f>
        <v>4300708.5</v>
      </c>
      <c r="L11" s="102">
        <f>SUM(L9:L10)</f>
        <v>4157977.9285714286</v>
      </c>
      <c r="M11" s="101"/>
      <c r="N11" s="102">
        <f>SUM(N9:N10)</f>
        <v>4478754.9285714291</v>
      </c>
      <c r="O11" s="101"/>
      <c r="P11" s="102">
        <f>SUM(P9:P10)</f>
        <v>-320777</v>
      </c>
      <c r="Q11" s="29" t="s">
        <v>503</v>
      </c>
    </row>
    <row r="12" spans="1:17" s="29" customFormat="1" x14ac:dyDescent="0.3">
      <c r="A12" s="3"/>
      <c r="B12" s="20"/>
      <c r="C12" s="59"/>
      <c r="D12" s="59"/>
      <c r="E12" s="59"/>
      <c r="F12" s="30"/>
      <c r="G12" s="33"/>
      <c r="H12" s="39"/>
      <c r="I12" s="22"/>
      <c r="J12" s="22"/>
      <c r="K12" s="113"/>
      <c r="L12" s="100"/>
      <c r="M12" s="101"/>
      <c r="N12" s="101"/>
      <c r="O12" s="101"/>
      <c r="P12" s="101"/>
    </row>
    <row r="13" spans="1:17" s="29" customFormat="1" x14ac:dyDescent="0.3">
      <c r="A13" s="3"/>
      <c r="B13" s="3" t="s">
        <v>7</v>
      </c>
      <c r="C13" s="59">
        <f>Sheet1!H18</f>
        <v>13.5</v>
      </c>
      <c r="D13" s="59">
        <f>Sheet1!I18</f>
        <v>12.22</v>
      </c>
      <c r="E13" s="59"/>
      <c r="F13" s="30">
        <f>Sheet1!E18</f>
        <v>668433</v>
      </c>
      <c r="G13" s="30">
        <f>Sheet1!F18</f>
        <v>374507</v>
      </c>
      <c r="H13" s="39">
        <f>F13-G13</f>
        <v>293926</v>
      </c>
      <c r="I13" s="22" t="s">
        <v>4</v>
      </c>
      <c r="J13" s="22"/>
      <c r="K13" s="113">
        <f>G13/8*12</f>
        <v>561760.5</v>
      </c>
      <c r="L13" s="100">
        <f>'TOTAL (2)'!K118</f>
        <v>843241</v>
      </c>
      <c r="M13" s="101"/>
      <c r="N13" s="101">
        <f>'TOTAL (2)'!M118</f>
        <v>843241</v>
      </c>
      <c r="O13" s="101"/>
      <c r="P13" s="101">
        <f>L13-N13</f>
        <v>0</v>
      </c>
    </row>
    <row r="14" spans="1:17" s="29" customFormat="1" ht="14.5" thickBot="1" x14ac:dyDescent="0.35">
      <c r="A14" s="3"/>
      <c r="B14" s="3" t="s">
        <v>8</v>
      </c>
      <c r="C14" s="65">
        <v>0</v>
      </c>
      <c r="D14" s="59">
        <v>1</v>
      </c>
      <c r="E14" s="59"/>
      <c r="F14" s="64">
        <f>Sheet1!E97+Sheet1!E110+Sheet1!E114</f>
        <v>258602</v>
      </c>
      <c r="G14" s="30">
        <f>Sheet1!F97+Sheet1!F110+Sheet1!F114</f>
        <v>1015241</v>
      </c>
      <c r="H14" s="39">
        <f>F14-G14</f>
        <v>-756639</v>
      </c>
      <c r="I14" s="2"/>
      <c r="J14" s="2"/>
      <c r="K14" s="110">
        <f>G14/8*12</f>
        <v>1522861.5</v>
      </c>
      <c r="L14" s="100">
        <f>'TOTAL (2)'!K131</f>
        <v>1161821</v>
      </c>
      <c r="M14" s="101"/>
      <c r="N14" s="101">
        <f>'TOTAL (2)'!M131</f>
        <v>1220496</v>
      </c>
      <c r="O14" s="101"/>
      <c r="P14" s="101">
        <f>L14-N14</f>
        <v>-58675</v>
      </c>
    </row>
    <row r="15" spans="1:17" s="29" customFormat="1" ht="14.5" thickTop="1" x14ac:dyDescent="0.3">
      <c r="A15" s="3"/>
      <c r="B15" s="20" t="s">
        <v>14</v>
      </c>
      <c r="C15" s="52">
        <f>SUM(C13:C14)</f>
        <v>13.5</v>
      </c>
      <c r="D15" s="52">
        <f>SUM(D13:D14)</f>
        <v>13.22</v>
      </c>
      <c r="E15" s="52"/>
      <c r="F15" s="32">
        <f>SUM(F13:F14)</f>
        <v>927035</v>
      </c>
      <c r="G15" s="32">
        <f>SUM(G13:G14)</f>
        <v>1389748</v>
      </c>
      <c r="H15" s="40">
        <f>F15-G15</f>
        <v>-462713</v>
      </c>
      <c r="I15" s="22">
        <f>H15/F13</f>
        <v>-0.6922354222487519</v>
      </c>
      <c r="J15" s="22"/>
      <c r="K15" s="102">
        <f>SUM(K13:K14)</f>
        <v>2084622</v>
      </c>
      <c r="L15" s="102">
        <f>SUM(L13:L14)</f>
        <v>2005062</v>
      </c>
      <c r="M15" s="101"/>
      <c r="N15" s="102">
        <f>SUM(N13:N14)</f>
        <v>2063737</v>
      </c>
      <c r="O15" s="101"/>
      <c r="P15" s="102">
        <f>SUM(P13:P14)</f>
        <v>-58675</v>
      </c>
      <c r="Q15" s="29" t="s">
        <v>504</v>
      </c>
    </row>
    <row r="16" spans="1:17" s="29" customFormat="1" x14ac:dyDescent="0.3">
      <c r="A16" s="3"/>
      <c r="B16" s="20"/>
      <c r="C16" s="59"/>
      <c r="D16" s="59"/>
      <c r="E16" s="59"/>
      <c r="F16" s="30"/>
      <c r="G16" s="33"/>
      <c r="H16" s="39"/>
      <c r="I16" s="22"/>
      <c r="J16" s="22"/>
      <c r="K16" s="113"/>
      <c r="L16" s="100"/>
      <c r="M16" s="101"/>
      <c r="N16" s="101"/>
      <c r="O16" s="101"/>
      <c r="P16" s="101"/>
    </row>
    <row r="17" spans="1:17" s="29" customFormat="1" x14ac:dyDescent="0.3">
      <c r="A17" s="3"/>
      <c r="B17" s="3" t="s">
        <v>10</v>
      </c>
      <c r="C17" s="59">
        <f>Sheet1!H19</f>
        <v>22</v>
      </c>
      <c r="D17" s="59">
        <f>Sheet1!I19</f>
        <v>18.8</v>
      </c>
      <c r="E17" s="59"/>
      <c r="F17" s="30">
        <f>Sheet1!E19</f>
        <v>851385</v>
      </c>
      <c r="G17" s="30">
        <f>Sheet1!F19</f>
        <v>798604</v>
      </c>
      <c r="H17" s="39">
        <f>F17-G17</f>
        <v>52781</v>
      </c>
      <c r="I17" s="2"/>
      <c r="J17" s="2"/>
      <c r="K17" s="110">
        <f>G17/8*12</f>
        <v>1197906</v>
      </c>
      <c r="L17" s="100">
        <f>'TOTAL (2)'!K98</f>
        <v>977210</v>
      </c>
      <c r="M17" s="101"/>
      <c r="N17" s="101">
        <f>'TOTAL (2)'!M98</f>
        <v>985123</v>
      </c>
      <c r="O17" s="101"/>
      <c r="P17" s="101">
        <f>L17-N17</f>
        <v>-7913</v>
      </c>
    </row>
    <row r="18" spans="1:17" s="29" customFormat="1" ht="14.5" thickBot="1" x14ac:dyDescent="0.35">
      <c r="A18" s="3"/>
      <c r="B18" s="3" t="s">
        <v>11</v>
      </c>
      <c r="C18" s="65">
        <v>0</v>
      </c>
      <c r="D18" s="59">
        <v>0</v>
      </c>
      <c r="E18" s="59"/>
      <c r="F18" s="64">
        <f>Sheet1!E56+Sheet1!E124</f>
        <v>63777</v>
      </c>
      <c r="G18" s="30">
        <f>Sheet1!F56+Sheet1!F124</f>
        <v>210168</v>
      </c>
      <c r="H18" s="39">
        <f>F18-G18</f>
        <v>-146391</v>
      </c>
      <c r="I18" s="2"/>
      <c r="J18" s="2"/>
      <c r="K18" s="110">
        <f>G18/8*12</f>
        <v>315252</v>
      </c>
      <c r="L18" s="100">
        <f>'TOTAL (2)'!K105</f>
        <v>547311</v>
      </c>
      <c r="M18" s="101"/>
      <c r="N18" s="101">
        <f>'TOTAL (2)'!M105</f>
        <v>486587</v>
      </c>
      <c r="O18" s="101"/>
      <c r="P18" s="101">
        <f>L18-N18</f>
        <v>60724</v>
      </c>
    </row>
    <row r="19" spans="1:17" s="29" customFormat="1" ht="14.5" thickTop="1" x14ac:dyDescent="0.3">
      <c r="A19" s="3"/>
      <c r="B19" s="20" t="s">
        <v>15</v>
      </c>
      <c r="C19" s="52">
        <f>SUM(C17:C18)</f>
        <v>22</v>
      </c>
      <c r="D19" s="52">
        <f>SUM(D17:D18)</f>
        <v>18.8</v>
      </c>
      <c r="E19" s="52"/>
      <c r="F19" s="32">
        <f>SUM(F17:F18)</f>
        <v>915162</v>
      </c>
      <c r="G19" s="32">
        <f>SUM(G17:G18)</f>
        <v>1008772</v>
      </c>
      <c r="H19" s="40">
        <f>F19-G19</f>
        <v>-93610</v>
      </c>
      <c r="I19" s="22">
        <f>H19/F17</f>
        <v>-0.1099502575215678</v>
      </c>
      <c r="J19" s="22"/>
      <c r="K19" s="102">
        <f>SUM(K17:K18)</f>
        <v>1513158</v>
      </c>
      <c r="L19" s="102">
        <f>SUM(L17:L18)</f>
        <v>1524521</v>
      </c>
      <c r="M19" s="101"/>
      <c r="N19" s="102">
        <f>SUM(N17:N18)</f>
        <v>1471710</v>
      </c>
      <c r="O19" s="101"/>
      <c r="P19" s="102">
        <f>SUM(P17:P18)</f>
        <v>52811</v>
      </c>
      <c r="Q19" s="29" t="s">
        <v>505</v>
      </c>
    </row>
    <row r="20" spans="1:17" s="29" customFormat="1" x14ac:dyDescent="0.3">
      <c r="A20" s="3"/>
      <c r="B20" s="20"/>
      <c r="C20" s="59"/>
      <c r="D20" s="59"/>
      <c r="E20" s="59"/>
      <c r="F20" s="30"/>
      <c r="G20" s="33"/>
      <c r="H20" s="39"/>
      <c r="I20" s="22"/>
      <c r="J20" s="22"/>
      <c r="K20" s="113"/>
      <c r="L20" s="100"/>
      <c r="M20" s="101"/>
      <c r="N20" s="101"/>
      <c r="O20" s="101"/>
      <c r="P20" s="101"/>
    </row>
    <row r="21" spans="1:17" s="29" customFormat="1" x14ac:dyDescent="0.3">
      <c r="A21" s="3"/>
      <c r="B21" s="3" t="s">
        <v>16</v>
      </c>
      <c r="C21" s="59">
        <f>Sheet1!H22</f>
        <v>2.27</v>
      </c>
      <c r="D21" s="59">
        <f>Sheet1!I22</f>
        <v>0.27</v>
      </c>
      <c r="E21" s="59"/>
      <c r="F21" s="30">
        <f>Sheet1!E22</f>
        <v>109870</v>
      </c>
      <c r="G21" s="30">
        <f>Sheet1!F22</f>
        <v>11903</v>
      </c>
      <c r="H21" s="39">
        <f>F21-G21</f>
        <v>97967</v>
      </c>
      <c r="I21" s="2"/>
      <c r="J21" s="2"/>
      <c r="K21" s="110">
        <f>G21/8*12</f>
        <v>17854.5</v>
      </c>
      <c r="L21" s="100">
        <f>'TOTAL (2)'!K7</f>
        <v>164393</v>
      </c>
      <c r="M21" s="101"/>
      <c r="N21" s="101">
        <f>'TOTAL (2)'!M7</f>
        <v>97478.823749999996</v>
      </c>
      <c r="O21" s="101"/>
      <c r="P21" s="101">
        <f>L21-N21</f>
        <v>66914.176250000004</v>
      </c>
    </row>
    <row r="22" spans="1:17" s="29" customFormat="1" ht="14.5" thickBot="1" x14ac:dyDescent="0.35">
      <c r="A22" s="3"/>
      <c r="B22" s="3" t="s">
        <v>17</v>
      </c>
      <c r="C22" s="59">
        <f>Sheet1!H103</f>
        <v>0.63</v>
      </c>
      <c r="D22" s="59">
        <f>Sheet1!I103</f>
        <v>0</v>
      </c>
      <c r="E22" s="59"/>
      <c r="F22" s="64">
        <f>Sheet1!E103</f>
        <v>152324</v>
      </c>
      <c r="G22" s="30">
        <f>Sheet1!F103</f>
        <v>130172</v>
      </c>
      <c r="H22" s="39">
        <f>F22-G22</f>
        <v>22152</v>
      </c>
      <c r="I22" s="2"/>
      <c r="J22" s="2"/>
      <c r="K22" s="110">
        <f>G22/8*12</f>
        <v>195258</v>
      </c>
      <c r="L22" s="100">
        <f>'TOTAL (2)'!K9</f>
        <v>160597</v>
      </c>
      <c r="M22" s="101"/>
      <c r="N22" s="101">
        <f>'TOTAL (2)'!M9</f>
        <v>160597</v>
      </c>
      <c r="O22" s="101"/>
      <c r="P22" s="101">
        <f>L22-N22</f>
        <v>0</v>
      </c>
    </row>
    <row r="23" spans="1:17" s="29" customFormat="1" ht="14.5" thickTop="1" x14ac:dyDescent="0.3">
      <c r="A23" s="3"/>
      <c r="B23" s="20" t="s">
        <v>18</v>
      </c>
      <c r="C23" s="52">
        <f>SUM(C21:C22)</f>
        <v>2.9</v>
      </c>
      <c r="D23" s="52">
        <f>SUM(D21:D22)</f>
        <v>0.27</v>
      </c>
      <c r="E23" s="52"/>
      <c r="F23" s="32">
        <f>SUM(F21:F22)</f>
        <v>262194</v>
      </c>
      <c r="G23" s="32">
        <f>SUM(G21:G22)</f>
        <v>142075</v>
      </c>
      <c r="H23" s="40">
        <f>F23-G23</f>
        <v>120119</v>
      </c>
      <c r="I23" s="22">
        <f>H23/F21</f>
        <v>1.0932829707836533</v>
      </c>
      <c r="J23" s="22"/>
      <c r="K23" s="102">
        <f>SUM(K21:K22)</f>
        <v>213112.5</v>
      </c>
      <c r="L23" s="102">
        <f>SUM(L21:L22)</f>
        <v>324990</v>
      </c>
      <c r="M23" s="101"/>
      <c r="N23" s="102">
        <f>SUM(N21:N22)</f>
        <v>258075.82374999998</v>
      </c>
      <c r="O23" s="101"/>
      <c r="P23" s="102">
        <f>SUM(P21:P22)</f>
        <v>66914.176250000004</v>
      </c>
      <c r="Q23" s="29" t="s">
        <v>506</v>
      </c>
    </row>
    <row r="24" spans="1:17" s="29" customFormat="1" x14ac:dyDescent="0.3">
      <c r="A24" s="3"/>
      <c r="B24" s="20"/>
      <c r="C24" s="59"/>
      <c r="D24" s="59"/>
      <c r="E24" s="59"/>
      <c r="F24" s="30"/>
      <c r="G24" s="33"/>
      <c r="H24" s="39"/>
      <c r="I24" s="22"/>
      <c r="J24" s="22"/>
      <c r="K24" s="113"/>
      <c r="L24" s="100"/>
      <c r="M24" s="101"/>
      <c r="N24" s="101"/>
      <c r="O24" s="101"/>
      <c r="P24" s="101"/>
    </row>
    <row r="25" spans="1:17" s="29" customFormat="1" x14ac:dyDescent="0.3">
      <c r="A25" s="3"/>
      <c r="B25" s="3" t="s">
        <v>19</v>
      </c>
      <c r="C25" s="59">
        <f>Sheet1!H21</f>
        <v>1.17</v>
      </c>
      <c r="D25" s="59">
        <f>Sheet1!I21</f>
        <v>0.18</v>
      </c>
      <c r="E25" s="59"/>
      <c r="F25" s="30">
        <f>Sheet1!E21</f>
        <v>36720</v>
      </c>
      <c r="G25" s="30">
        <f>Sheet1!F21</f>
        <v>7695</v>
      </c>
      <c r="H25" s="39">
        <f>F25-G25</f>
        <v>29025</v>
      </c>
      <c r="I25" s="2"/>
      <c r="J25" s="2"/>
      <c r="K25" s="110">
        <f>G25/8*12</f>
        <v>11542.5</v>
      </c>
      <c r="L25" s="100">
        <f>'TOTAL (2)'!K12</f>
        <v>74107</v>
      </c>
      <c r="M25" s="101"/>
      <c r="N25" s="101">
        <f>'TOTAL (2)'!M12</f>
        <v>74107</v>
      </c>
      <c r="O25" s="101"/>
      <c r="P25" s="101">
        <f>L25-N25</f>
        <v>0</v>
      </c>
    </row>
    <row r="26" spans="1:17" s="29" customFormat="1" ht="14.5" thickBot="1" x14ac:dyDescent="0.35">
      <c r="A26" s="3"/>
      <c r="B26" s="3" t="s">
        <v>20</v>
      </c>
      <c r="C26" s="65">
        <v>0</v>
      </c>
      <c r="D26" s="59">
        <v>1</v>
      </c>
      <c r="E26" s="59"/>
      <c r="F26" s="64">
        <f>Sheet1!E38</f>
        <v>48585</v>
      </c>
      <c r="G26" s="30">
        <f>Sheet1!F38</f>
        <v>72974</v>
      </c>
      <c r="H26" s="39">
        <f>F26-G26</f>
        <v>-24389</v>
      </c>
      <c r="I26" s="2"/>
      <c r="J26" s="2"/>
      <c r="K26" s="110">
        <f>G26/8*12</f>
        <v>109461</v>
      </c>
      <c r="L26" s="100">
        <f>'TOTAL (2)'!K16</f>
        <v>100013</v>
      </c>
      <c r="M26" s="101"/>
      <c r="N26" s="101">
        <f>'TOTAL (2)'!M16</f>
        <v>100013</v>
      </c>
      <c r="O26" s="101"/>
      <c r="P26" s="101">
        <f>L26-N26</f>
        <v>0</v>
      </c>
    </row>
    <row r="27" spans="1:17" s="29" customFormat="1" ht="14.5" thickTop="1" x14ac:dyDescent="0.3">
      <c r="A27" s="3"/>
      <c r="B27" s="20" t="s">
        <v>21</v>
      </c>
      <c r="C27" s="52">
        <f>SUM(C25:C26)</f>
        <v>1.17</v>
      </c>
      <c r="D27" s="52">
        <f>SUM(D25:D26)</f>
        <v>1.18</v>
      </c>
      <c r="E27" s="52"/>
      <c r="F27" s="32">
        <f>SUM(F25:F26)</f>
        <v>85305</v>
      </c>
      <c r="G27" s="32">
        <f>SUM(G25:G26)</f>
        <v>80669</v>
      </c>
      <c r="H27" s="40">
        <f>F27-G27</f>
        <v>4636</v>
      </c>
      <c r="I27" s="22">
        <f>H27/F25</f>
        <v>0.12625272331154683</v>
      </c>
      <c r="J27" s="22"/>
      <c r="K27" s="102">
        <f>SUM(K25:K26)</f>
        <v>121003.5</v>
      </c>
      <c r="L27" s="102">
        <f>SUM(L25:L26)</f>
        <v>174120</v>
      </c>
      <c r="M27" s="101"/>
      <c r="N27" s="102">
        <f>SUM(N25:N26)</f>
        <v>174120</v>
      </c>
      <c r="O27" s="101"/>
      <c r="P27" s="102">
        <f>SUM(P25:P26)</f>
        <v>0</v>
      </c>
    </row>
    <row r="28" spans="1:17" s="29" customFormat="1" ht="18" customHeight="1" x14ac:dyDescent="0.3">
      <c r="A28" s="3"/>
      <c r="B28" s="3"/>
      <c r="C28" s="59"/>
      <c r="D28" s="59"/>
      <c r="E28" s="59"/>
      <c r="F28" s="30"/>
      <c r="G28" s="31"/>
      <c r="H28" s="39"/>
      <c r="I28" s="2"/>
      <c r="J28" s="2"/>
      <c r="K28" s="110"/>
      <c r="L28" s="100"/>
      <c r="M28" s="101"/>
      <c r="N28" s="101"/>
      <c r="O28" s="101"/>
      <c r="P28" s="101"/>
    </row>
    <row r="29" spans="1:17" ht="14.5" thickBot="1" x14ac:dyDescent="0.35">
      <c r="A29" s="2"/>
      <c r="B29" s="26" t="s">
        <v>24</v>
      </c>
      <c r="C29" s="107">
        <f>C27+C23+C19+C15+C11</f>
        <v>76.05</v>
      </c>
      <c r="D29" s="107">
        <f>D27+D23+D19+D15+D11</f>
        <v>67.209999999999994</v>
      </c>
      <c r="E29" s="61"/>
      <c r="F29" s="34">
        <f>F27+F23+F19+F15+F11</f>
        <v>4770925</v>
      </c>
      <c r="G29" s="34">
        <f>G11+G15+G19+G23+G27</f>
        <v>5488403</v>
      </c>
      <c r="H29" s="41">
        <f>H11+H15+H19+H23+H27</f>
        <v>-717478</v>
      </c>
      <c r="I29" s="22">
        <f>H29/F29</f>
        <v>-0.15038551224343288</v>
      </c>
      <c r="J29" s="22"/>
      <c r="K29" s="103">
        <f>K11+K15+K19+K23+K27</f>
        <v>8232604.5</v>
      </c>
      <c r="L29" s="103">
        <f>L11+L15+L19+L23+L27</f>
        <v>8186670.9285714291</v>
      </c>
      <c r="M29" s="46"/>
      <c r="N29" s="103">
        <f>N11+N15+N19+N23+N27</f>
        <v>8446397.7523214296</v>
      </c>
      <c r="O29" s="47"/>
      <c r="P29" s="103">
        <f>P11+P15+P19+P23+P27</f>
        <v>-259726.82374999998</v>
      </c>
    </row>
    <row r="30" spans="1:17" ht="14.5" thickTop="1" x14ac:dyDescent="0.3">
      <c r="A30" s="2"/>
      <c r="B30" s="2"/>
      <c r="C30" s="8"/>
      <c r="D30" s="8"/>
      <c r="E30" s="58"/>
      <c r="F30" s="35"/>
      <c r="G30" s="35"/>
      <c r="H30" s="42"/>
      <c r="I30" s="7"/>
      <c r="J30" s="7"/>
      <c r="K30" s="114"/>
    </row>
    <row r="31" spans="1:17" ht="14.5" thickBot="1" x14ac:dyDescent="0.35">
      <c r="B31" t="s">
        <v>508</v>
      </c>
      <c r="K31" s="106">
        <f>1183291+5922356</f>
        <v>7105647</v>
      </c>
      <c r="L31" s="106">
        <f>1183291+5922356</f>
        <v>7105647</v>
      </c>
      <c r="M31" s="105"/>
      <c r="N31" s="106">
        <f>1183291+5922356</f>
        <v>7105647</v>
      </c>
    </row>
    <row r="32" spans="1:17" ht="14.5" thickTop="1" x14ac:dyDescent="0.3">
      <c r="F32" s="47"/>
      <c r="G32" s="47"/>
      <c r="L32" s="104"/>
      <c r="M32" s="105"/>
      <c r="N32" s="105"/>
    </row>
    <row r="33" spans="2:14" ht="14.5" thickBot="1" x14ac:dyDescent="0.35">
      <c r="K33" s="106">
        <f>K31-K29</f>
        <v>-1126957.5</v>
      </c>
      <c r="L33" s="106">
        <f>L31-L29</f>
        <v>-1081023.9285714291</v>
      </c>
      <c r="M33" s="105"/>
      <c r="N33" s="106">
        <f>N31-N29</f>
        <v>-1340750.7523214296</v>
      </c>
    </row>
    <row r="34" spans="2:14" ht="14.5" thickTop="1" x14ac:dyDescent="0.3">
      <c r="G34" s="47"/>
    </row>
    <row r="35" spans="2:14" x14ac:dyDescent="0.3">
      <c r="B35" s="115" t="s">
        <v>503</v>
      </c>
    </row>
    <row r="36" spans="2:14" x14ac:dyDescent="0.3">
      <c r="B36" t="s">
        <v>509</v>
      </c>
    </row>
    <row r="37" spans="2:14" x14ac:dyDescent="0.3">
      <c r="B37" t="s">
        <v>511</v>
      </c>
    </row>
    <row r="39" spans="2:14" x14ac:dyDescent="0.3">
      <c r="B39" s="115" t="s">
        <v>504</v>
      </c>
    </row>
    <row r="40" spans="2:14" x14ac:dyDescent="0.3">
      <c r="B40" t="s">
        <v>510</v>
      </c>
    </row>
    <row r="42" spans="2:14" x14ac:dyDescent="0.3">
      <c r="B42" s="115" t="s">
        <v>505</v>
      </c>
    </row>
    <row r="44" spans="2:14" x14ac:dyDescent="0.3">
      <c r="B44" t="s">
        <v>514</v>
      </c>
    </row>
    <row r="46" spans="2:14" x14ac:dyDescent="0.3">
      <c r="B46" s="115" t="s">
        <v>513</v>
      </c>
    </row>
    <row r="48" spans="2:14" x14ac:dyDescent="0.3">
      <c r="B48" t="s">
        <v>515</v>
      </c>
    </row>
    <row r="49" spans="2:2" x14ac:dyDescent="0.3">
      <c r="B49" t="s">
        <v>516</v>
      </c>
    </row>
    <row r="51" spans="2:2" x14ac:dyDescent="0.3">
      <c r="B51" s="115" t="s">
        <v>507</v>
      </c>
    </row>
    <row r="53" spans="2:2" x14ac:dyDescent="0.3">
      <c r="B53" t="s">
        <v>517</v>
      </c>
    </row>
    <row r="55" spans="2:2" x14ac:dyDescent="0.3">
      <c r="B55" s="115" t="s">
        <v>518</v>
      </c>
    </row>
    <row r="57" spans="2:2" x14ac:dyDescent="0.3">
      <c r="B57" t="s">
        <v>519</v>
      </c>
    </row>
  </sheetData>
  <phoneticPr fontId="0" type="noConversion"/>
  <pageMargins left="0.3" right="0.16" top="0.23" bottom="0.19" header="0.17" footer="0.17"/>
  <pageSetup scale="6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topLeftCell="G1" workbookViewId="0">
      <pane ySplit="3" topLeftCell="A90" activePane="bottomLeft" state="frozen"/>
      <selection activeCell="C1" sqref="C1"/>
      <selection pane="bottomLeft" activeCell="K121" sqref="K121"/>
    </sheetView>
  </sheetViews>
  <sheetFormatPr defaultColWidth="9.1796875" defaultRowHeight="12.5" outlineLevelRow="2" x14ac:dyDescent="0.25"/>
  <cols>
    <col min="1" max="1" width="11" style="86" customWidth="1"/>
    <col min="2" max="2" width="33.1796875" style="84" customWidth="1"/>
    <col min="3" max="3" width="11.7265625" style="84" customWidth="1"/>
    <col min="4" max="4" width="27.26953125" style="84" customWidth="1"/>
    <col min="5" max="5" width="9.7265625" style="84" customWidth="1"/>
    <col min="6" max="6" width="56.26953125" style="84" customWidth="1"/>
    <col min="7" max="7" width="9" style="84" customWidth="1"/>
    <col min="8" max="8" width="9.1796875" style="84"/>
    <col min="9" max="9" width="10.54296875" style="84" customWidth="1"/>
    <col min="10" max="10" width="9" style="84" customWidth="1"/>
    <col min="11" max="11" width="12.81640625" style="84" bestFit="1" customWidth="1"/>
    <col min="12" max="12" width="19.453125" style="84" hidden="1" customWidth="1"/>
    <col min="13" max="13" width="18.7265625" style="99" bestFit="1" customWidth="1"/>
    <col min="14" max="16384" width="9.1796875" style="86"/>
  </cols>
  <sheetData>
    <row r="1" spans="1:13" s="67" customFormat="1" ht="10.5" customHeight="1" x14ac:dyDescent="0.25">
      <c r="B1" s="68" t="s">
        <v>264</v>
      </c>
      <c r="C1" s="69"/>
      <c r="D1" s="69"/>
      <c r="E1" s="69"/>
      <c r="F1" s="69"/>
      <c r="G1" s="69"/>
      <c r="H1" s="70"/>
      <c r="I1" s="70"/>
      <c r="J1" s="70"/>
      <c r="K1" s="70"/>
      <c r="L1" s="70"/>
      <c r="M1" s="98"/>
    </row>
    <row r="2" spans="1:13" s="67" customFormat="1" ht="10.5" customHeight="1" x14ac:dyDescent="0.25">
      <c r="B2" s="68"/>
      <c r="C2" s="69"/>
      <c r="D2" s="69"/>
      <c r="E2" s="69"/>
      <c r="F2" s="69"/>
      <c r="G2" s="69"/>
      <c r="H2" s="70"/>
      <c r="I2" s="70"/>
      <c r="J2" s="70"/>
      <c r="K2" s="70"/>
      <c r="L2" s="70"/>
      <c r="M2" s="98"/>
    </row>
    <row r="3" spans="1:13" s="67" customFormat="1" ht="10.5" customHeight="1" x14ac:dyDescent="0.25">
      <c r="A3" s="71" t="s">
        <v>265</v>
      </c>
      <c r="B3" s="72" t="s">
        <v>266</v>
      </c>
      <c r="C3" s="72" t="s">
        <v>267</v>
      </c>
      <c r="D3" s="72" t="s">
        <v>268</v>
      </c>
      <c r="E3" s="72" t="s">
        <v>269</v>
      </c>
      <c r="F3" s="72" t="s">
        <v>270</v>
      </c>
      <c r="G3" s="73" t="s">
        <v>271</v>
      </c>
      <c r="H3" s="73" t="s">
        <v>272</v>
      </c>
      <c r="I3" s="73" t="s">
        <v>273</v>
      </c>
      <c r="J3" s="73" t="s">
        <v>274</v>
      </c>
      <c r="K3" s="73" t="s">
        <v>275</v>
      </c>
      <c r="L3" s="73" t="s">
        <v>276</v>
      </c>
      <c r="M3" s="98" t="s">
        <v>502</v>
      </c>
    </row>
    <row r="4" spans="1:13" s="67" customFormat="1" ht="10.5" hidden="1" customHeight="1" outlineLevel="2" x14ac:dyDescent="0.25">
      <c r="A4" s="67" t="s">
        <v>277</v>
      </c>
      <c r="B4" s="74" t="s">
        <v>278</v>
      </c>
      <c r="C4" s="74"/>
      <c r="D4" s="74"/>
      <c r="E4" s="74"/>
      <c r="F4" s="74"/>
      <c r="G4" s="74"/>
      <c r="H4" s="75">
        <v>79048</v>
      </c>
      <c r="I4" s="75">
        <v>11869</v>
      </c>
      <c r="J4" s="75"/>
      <c r="K4" s="75">
        <f>J4+I4</f>
        <v>11869</v>
      </c>
      <c r="L4" s="75">
        <f t="shared" ref="L4:L34" si="0">H4-K4</f>
        <v>67179</v>
      </c>
      <c r="M4" s="98">
        <v>0</v>
      </c>
    </row>
    <row r="5" spans="1:13" s="67" customFormat="1" ht="10.5" hidden="1" customHeight="1" outlineLevel="2" x14ac:dyDescent="0.25">
      <c r="A5" s="67" t="s">
        <v>277</v>
      </c>
      <c r="B5" s="74" t="s">
        <v>279</v>
      </c>
      <c r="C5" s="74" t="s">
        <v>280</v>
      </c>
      <c r="D5" s="74" t="s">
        <v>281</v>
      </c>
      <c r="E5" s="74" t="s">
        <v>282</v>
      </c>
      <c r="F5" s="74" t="s">
        <v>283</v>
      </c>
      <c r="G5" s="75"/>
      <c r="H5" s="75">
        <v>18641</v>
      </c>
      <c r="I5" s="75">
        <v>10415</v>
      </c>
      <c r="J5" s="75">
        <f>1488*5</f>
        <v>7440</v>
      </c>
      <c r="K5" s="75">
        <f>J5+I5</f>
        <v>17855</v>
      </c>
      <c r="L5" s="75">
        <f t="shared" si="0"/>
        <v>786</v>
      </c>
      <c r="M5" s="98">
        <f>K5*1.03225</f>
        <v>18430.82375</v>
      </c>
    </row>
    <row r="6" spans="1:13" s="67" customFormat="1" ht="10.5" hidden="1" customHeight="1" outlineLevel="2" x14ac:dyDescent="0.25">
      <c r="A6" s="67" t="s">
        <v>277</v>
      </c>
      <c r="B6" s="74" t="s">
        <v>284</v>
      </c>
      <c r="C6" s="74" t="s">
        <v>285</v>
      </c>
      <c r="D6" s="74" t="s">
        <v>286</v>
      </c>
      <c r="E6" s="74"/>
      <c r="F6" s="74" t="s">
        <v>287</v>
      </c>
      <c r="G6" s="74"/>
      <c r="H6" s="75">
        <v>67115</v>
      </c>
      <c r="I6" s="75">
        <v>81459</v>
      </c>
      <c r="J6" s="75">
        <f>10642*5</f>
        <v>53210</v>
      </c>
      <c r="K6" s="75">
        <f>J6+I6</f>
        <v>134669</v>
      </c>
      <c r="L6" s="75">
        <f t="shared" si="0"/>
        <v>-67554</v>
      </c>
      <c r="M6" s="98">
        <f>79048</f>
        <v>79048</v>
      </c>
    </row>
    <row r="7" spans="1:13" s="67" customFormat="1" ht="10.5" customHeight="1" outlineLevel="1" collapsed="1" x14ac:dyDescent="0.25">
      <c r="A7" s="88" t="s">
        <v>491</v>
      </c>
      <c r="B7" s="74"/>
      <c r="C7" s="74"/>
      <c r="D7" s="74"/>
      <c r="E7" s="74"/>
      <c r="F7" s="74"/>
      <c r="G7" s="74"/>
      <c r="H7" s="75">
        <f t="shared" ref="H7:M7" si="1">SUBTOTAL(9,H4:H6)</f>
        <v>164804</v>
      </c>
      <c r="I7" s="75">
        <f t="shared" si="1"/>
        <v>103743</v>
      </c>
      <c r="J7" s="75">
        <f t="shared" si="1"/>
        <v>60650</v>
      </c>
      <c r="K7" s="75">
        <f t="shared" si="1"/>
        <v>164393</v>
      </c>
      <c r="L7" s="75">
        <f t="shared" si="1"/>
        <v>411</v>
      </c>
      <c r="M7" s="98">
        <f t="shared" si="1"/>
        <v>97478.823749999996</v>
      </c>
    </row>
    <row r="8" spans="1:13" s="67" customFormat="1" ht="10.5" hidden="1" customHeight="1" outlineLevel="2" x14ac:dyDescent="0.25">
      <c r="A8" s="67" t="s">
        <v>292</v>
      </c>
      <c r="B8" s="74" t="s">
        <v>293</v>
      </c>
      <c r="C8" s="74" t="s">
        <v>294</v>
      </c>
      <c r="D8" s="74" t="s">
        <v>295</v>
      </c>
      <c r="E8" s="74" t="s">
        <v>296</v>
      </c>
      <c r="F8" s="74" t="s">
        <v>297</v>
      </c>
      <c r="G8" s="75"/>
      <c r="H8" s="75">
        <v>228485</v>
      </c>
      <c r="I8" s="75">
        <f>99817+4700</f>
        <v>104517</v>
      </c>
      <c r="J8" s="75">
        <f>11216*5</f>
        <v>56080</v>
      </c>
      <c r="K8" s="75">
        <f>J8+I8</f>
        <v>160597</v>
      </c>
      <c r="L8" s="75">
        <f t="shared" si="0"/>
        <v>67888</v>
      </c>
      <c r="M8" s="98">
        <f>K8</f>
        <v>160597</v>
      </c>
    </row>
    <row r="9" spans="1:13" s="67" customFormat="1" ht="10.5" customHeight="1" outlineLevel="1" collapsed="1" x14ac:dyDescent="0.25">
      <c r="A9" s="71" t="s">
        <v>492</v>
      </c>
      <c r="B9" s="74"/>
      <c r="C9" s="74"/>
      <c r="D9" s="74"/>
      <c r="E9" s="74"/>
      <c r="F9" s="74"/>
      <c r="G9" s="75"/>
      <c r="H9" s="75">
        <f t="shared" ref="H9:M9" si="2">SUBTOTAL(9,H8:H8)</f>
        <v>228485</v>
      </c>
      <c r="I9" s="75">
        <f t="shared" si="2"/>
        <v>104517</v>
      </c>
      <c r="J9" s="75">
        <f t="shared" si="2"/>
        <v>56080</v>
      </c>
      <c r="K9" s="75">
        <f t="shared" si="2"/>
        <v>160597</v>
      </c>
      <c r="L9" s="75">
        <f t="shared" si="2"/>
        <v>67888</v>
      </c>
      <c r="M9" s="98">
        <f t="shared" si="2"/>
        <v>160597</v>
      </c>
    </row>
    <row r="10" spans="1:13" s="67" customFormat="1" ht="10.5" hidden="1" customHeight="1" outlineLevel="2" x14ac:dyDescent="0.25">
      <c r="A10" s="67" t="s">
        <v>298</v>
      </c>
      <c r="B10" s="74" t="s">
        <v>303</v>
      </c>
      <c r="C10" s="74" t="s">
        <v>304</v>
      </c>
      <c r="D10" s="74" t="s">
        <v>305</v>
      </c>
      <c r="E10" s="74" t="s">
        <v>291</v>
      </c>
      <c r="F10" s="74" t="s">
        <v>291</v>
      </c>
      <c r="G10" s="75"/>
      <c r="H10" s="75">
        <v>33366</v>
      </c>
      <c r="I10" s="75">
        <v>18922</v>
      </c>
      <c r="J10" s="75">
        <f>2547*52/12*5</f>
        <v>55185</v>
      </c>
      <c r="K10" s="75">
        <f>J10+I10</f>
        <v>74107</v>
      </c>
      <c r="L10" s="75">
        <f t="shared" si="0"/>
        <v>-40741</v>
      </c>
      <c r="M10" s="98">
        <f>K10</f>
        <v>74107</v>
      </c>
    </row>
    <row r="11" spans="1:13" s="67" customFormat="1" ht="10.5" hidden="1" customHeight="1" outlineLevel="2" x14ac:dyDescent="0.25">
      <c r="A11" s="67" t="s">
        <v>298</v>
      </c>
      <c r="B11" s="74" t="s">
        <v>303</v>
      </c>
      <c r="C11" s="74" t="s">
        <v>306</v>
      </c>
      <c r="D11" s="74" t="s">
        <v>305</v>
      </c>
      <c r="E11" s="74"/>
      <c r="F11" s="74"/>
      <c r="G11" s="75"/>
      <c r="H11" s="75"/>
      <c r="I11" s="75"/>
      <c r="J11" s="75"/>
      <c r="K11" s="75"/>
      <c r="L11" s="75">
        <f t="shared" si="0"/>
        <v>0</v>
      </c>
      <c r="M11" s="98">
        <v>0</v>
      </c>
    </row>
    <row r="12" spans="1:13" s="67" customFormat="1" ht="10.5" customHeight="1" outlineLevel="1" collapsed="1" x14ac:dyDescent="0.25">
      <c r="A12" s="71" t="s">
        <v>493</v>
      </c>
      <c r="B12" s="74"/>
      <c r="C12" s="74"/>
      <c r="D12" s="74"/>
      <c r="E12" s="74"/>
      <c r="F12" s="74"/>
      <c r="G12" s="75"/>
      <c r="H12" s="75">
        <f t="shared" ref="H12:M12" si="3">SUBTOTAL(9,H10:H11)</f>
        <v>33366</v>
      </c>
      <c r="I12" s="75">
        <f t="shared" si="3"/>
        <v>18922</v>
      </c>
      <c r="J12" s="75">
        <f t="shared" si="3"/>
        <v>55185</v>
      </c>
      <c r="K12" s="75">
        <f t="shared" si="3"/>
        <v>74107</v>
      </c>
      <c r="L12" s="75">
        <f t="shared" si="3"/>
        <v>-40741</v>
      </c>
      <c r="M12" s="98">
        <f t="shared" si="3"/>
        <v>74107</v>
      </c>
    </row>
    <row r="13" spans="1:13" s="67" customFormat="1" ht="10.5" hidden="1" customHeight="1" outlineLevel="2" x14ac:dyDescent="0.25">
      <c r="A13" s="67" t="s">
        <v>307</v>
      </c>
      <c r="B13" s="74" t="s">
        <v>299</v>
      </c>
      <c r="C13" s="74" t="s">
        <v>300</v>
      </c>
      <c r="D13" s="74" t="s">
        <v>301</v>
      </c>
      <c r="E13" s="74" t="s">
        <v>282</v>
      </c>
      <c r="F13" s="74" t="s">
        <v>302</v>
      </c>
      <c r="G13" s="75"/>
      <c r="H13" s="75">
        <v>33979</v>
      </c>
      <c r="I13" s="75">
        <v>25205</v>
      </c>
      <c r="J13" s="75">
        <f>2708*5</f>
        <v>13540</v>
      </c>
      <c r="K13" s="75">
        <f>J13+I13</f>
        <v>38745</v>
      </c>
      <c r="L13" s="75">
        <f t="shared" si="0"/>
        <v>-4766</v>
      </c>
      <c r="M13" s="98">
        <f>K13</f>
        <v>38745</v>
      </c>
    </row>
    <row r="14" spans="1:13" s="67" customFormat="1" ht="10.5" hidden="1" customHeight="1" outlineLevel="2" x14ac:dyDescent="0.25">
      <c r="A14" s="67" t="s">
        <v>307</v>
      </c>
      <c r="B14" s="74" t="s">
        <v>308</v>
      </c>
      <c r="C14" s="74" t="s">
        <v>309</v>
      </c>
      <c r="D14" s="74" t="s">
        <v>310</v>
      </c>
      <c r="E14" s="74" t="s">
        <v>282</v>
      </c>
      <c r="F14" s="74"/>
      <c r="G14" s="74"/>
      <c r="H14" s="75">
        <v>11641</v>
      </c>
      <c r="I14" s="75">
        <v>6733</v>
      </c>
      <c r="J14" s="75">
        <f>962*5</f>
        <v>4810</v>
      </c>
      <c r="K14" s="75">
        <f>J14+I14</f>
        <v>11543</v>
      </c>
      <c r="L14" s="75">
        <f t="shared" si="0"/>
        <v>98</v>
      </c>
      <c r="M14" s="98">
        <f>K14</f>
        <v>11543</v>
      </c>
    </row>
    <row r="15" spans="1:13" s="67" customFormat="1" ht="10.5" hidden="1" customHeight="1" outlineLevel="2" x14ac:dyDescent="0.25">
      <c r="A15" s="67" t="s">
        <v>307</v>
      </c>
      <c r="B15" s="74" t="s">
        <v>436</v>
      </c>
      <c r="C15" s="74" t="s">
        <v>437</v>
      </c>
      <c r="D15" s="74" t="s">
        <v>438</v>
      </c>
      <c r="E15" s="74" t="s">
        <v>291</v>
      </c>
      <c r="F15" s="74" t="s">
        <v>291</v>
      </c>
      <c r="G15" s="75"/>
      <c r="H15" s="75">
        <v>38898</v>
      </c>
      <c r="I15" s="75">
        <v>22955</v>
      </c>
      <c r="J15" s="75">
        <f>5354*5</f>
        <v>26770</v>
      </c>
      <c r="K15" s="75">
        <f t="shared" ref="K15:K34" si="4">J15+I15</f>
        <v>49725</v>
      </c>
      <c r="L15" s="75">
        <f t="shared" si="0"/>
        <v>-10827</v>
      </c>
      <c r="M15" s="98">
        <f>K15</f>
        <v>49725</v>
      </c>
    </row>
    <row r="16" spans="1:13" s="67" customFormat="1" ht="10.5" customHeight="1" outlineLevel="1" collapsed="1" x14ac:dyDescent="0.25">
      <c r="A16" s="71" t="s">
        <v>494</v>
      </c>
      <c r="B16" s="74"/>
      <c r="C16" s="74"/>
      <c r="D16" s="74"/>
      <c r="E16" s="74"/>
      <c r="F16" s="74"/>
      <c r="G16" s="75"/>
      <c r="H16" s="75">
        <f t="shared" ref="H16:M16" si="5">SUBTOTAL(9,H13:H15)</f>
        <v>84518</v>
      </c>
      <c r="I16" s="75">
        <f t="shared" si="5"/>
        <v>54893</v>
      </c>
      <c r="J16" s="75">
        <f t="shared" si="5"/>
        <v>45120</v>
      </c>
      <c r="K16" s="75">
        <f t="shared" si="5"/>
        <v>100013</v>
      </c>
      <c r="L16" s="75">
        <f t="shared" si="5"/>
        <v>-15495</v>
      </c>
      <c r="M16" s="98">
        <f t="shared" si="5"/>
        <v>100013</v>
      </c>
    </row>
    <row r="17" spans="1:13" s="67" customFormat="1" ht="10.5" hidden="1" customHeight="1" outlineLevel="2" x14ac:dyDescent="0.25">
      <c r="A17" s="67" t="s">
        <v>311</v>
      </c>
      <c r="B17" s="74" t="s">
        <v>312</v>
      </c>
      <c r="C17" s="74" t="s">
        <v>313</v>
      </c>
      <c r="D17" s="74" t="s">
        <v>314</v>
      </c>
      <c r="E17" s="76">
        <v>38322</v>
      </c>
      <c r="F17" s="74" t="s">
        <v>291</v>
      </c>
      <c r="G17" s="75"/>
      <c r="H17" s="75">
        <v>101244</v>
      </c>
      <c r="I17" s="75">
        <f>69513-7934</f>
        <v>61579</v>
      </c>
      <c r="J17" s="75">
        <f>7933*3</f>
        <v>23799</v>
      </c>
      <c r="K17" s="75">
        <f t="shared" si="4"/>
        <v>85378</v>
      </c>
      <c r="L17" s="75">
        <f t="shared" si="0"/>
        <v>15866</v>
      </c>
      <c r="M17" s="98">
        <f>7933*4</f>
        <v>31732</v>
      </c>
    </row>
    <row r="18" spans="1:13" s="67" customFormat="1" ht="10.5" hidden="1" customHeight="1" outlineLevel="2" x14ac:dyDescent="0.25">
      <c r="A18" s="67" t="s">
        <v>311</v>
      </c>
      <c r="B18" s="74" t="s">
        <v>312</v>
      </c>
      <c r="C18" s="74" t="s">
        <v>315</v>
      </c>
      <c r="D18" s="74" t="s">
        <v>314</v>
      </c>
      <c r="E18" s="74" t="s">
        <v>291</v>
      </c>
      <c r="F18" s="74" t="s">
        <v>291</v>
      </c>
      <c r="G18" s="75"/>
      <c r="H18" s="75">
        <v>99307</v>
      </c>
      <c r="I18" s="75">
        <f>68963-7586</f>
        <v>61377</v>
      </c>
      <c r="J18" s="75">
        <f>7586*5</f>
        <v>37930</v>
      </c>
      <c r="K18" s="75">
        <f t="shared" si="4"/>
        <v>99307</v>
      </c>
      <c r="L18" s="75">
        <f t="shared" si="0"/>
        <v>0</v>
      </c>
      <c r="M18" s="98">
        <f>K18</f>
        <v>99307</v>
      </c>
    </row>
    <row r="19" spans="1:13" s="67" customFormat="1" ht="10.5" hidden="1" customHeight="1" outlineLevel="2" x14ac:dyDescent="0.25">
      <c r="A19" s="67" t="s">
        <v>311</v>
      </c>
      <c r="B19" s="74" t="s">
        <v>312</v>
      </c>
      <c r="C19" s="74" t="s">
        <v>316</v>
      </c>
      <c r="D19" s="74" t="s">
        <v>314</v>
      </c>
      <c r="E19" s="74" t="s">
        <v>291</v>
      </c>
      <c r="F19" s="74" t="s">
        <v>291</v>
      </c>
      <c r="G19" s="75"/>
      <c r="H19" s="75">
        <v>95517</v>
      </c>
      <c r="I19" s="75">
        <v>16443</v>
      </c>
      <c r="J19" s="75"/>
      <c r="K19" s="75">
        <f t="shared" si="4"/>
        <v>16443</v>
      </c>
      <c r="L19" s="75">
        <f t="shared" si="0"/>
        <v>79074</v>
      </c>
      <c r="M19" s="98">
        <f>7422*5</f>
        <v>37110</v>
      </c>
    </row>
    <row r="20" spans="1:13" s="67" customFormat="1" ht="10.5" hidden="1" customHeight="1" outlineLevel="2" x14ac:dyDescent="0.25">
      <c r="A20" s="67" t="s">
        <v>311</v>
      </c>
      <c r="B20" s="74" t="s">
        <v>312</v>
      </c>
      <c r="C20" s="74" t="s">
        <v>317</v>
      </c>
      <c r="D20" s="74" t="s">
        <v>314</v>
      </c>
      <c r="E20" s="74" t="s">
        <v>291</v>
      </c>
      <c r="F20" s="74" t="s">
        <v>291</v>
      </c>
      <c r="G20" s="75"/>
      <c r="H20" s="75">
        <f>116250*1.03225</f>
        <v>119999.06249999999</v>
      </c>
      <c r="I20" s="75">
        <v>70067</v>
      </c>
      <c r="J20" s="75">
        <f>9915*5</f>
        <v>49575</v>
      </c>
      <c r="K20" s="75">
        <f t="shared" si="4"/>
        <v>119642</v>
      </c>
      <c r="L20" s="75">
        <f t="shared" si="0"/>
        <v>357.06249999998545</v>
      </c>
      <c r="M20" s="98">
        <f t="shared" ref="M20:M55" si="6">K20</f>
        <v>119642</v>
      </c>
    </row>
    <row r="21" spans="1:13" s="67" customFormat="1" ht="10.5" hidden="1" customHeight="1" outlineLevel="2" x14ac:dyDescent="0.25">
      <c r="A21" s="67" t="s">
        <v>311</v>
      </c>
      <c r="B21" s="74" t="s">
        <v>312</v>
      </c>
      <c r="C21" s="74" t="s">
        <v>318</v>
      </c>
      <c r="D21" s="74" t="s">
        <v>314</v>
      </c>
      <c r="E21" s="74" t="s">
        <v>291</v>
      </c>
      <c r="F21" s="74" t="s">
        <v>291</v>
      </c>
      <c r="G21" s="75"/>
      <c r="H21" s="75">
        <f>103883*1.03225</f>
        <v>107233.22674999999</v>
      </c>
      <c r="I21" s="75">
        <f>72815-7614</f>
        <v>65201</v>
      </c>
      <c r="J21" s="75">
        <f>10306*5</f>
        <v>51530</v>
      </c>
      <c r="K21" s="75">
        <f t="shared" si="4"/>
        <v>116731</v>
      </c>
      <c r="L21" s="75">
        <f t="shared" si="0"/>
        <v>-9497.7732500000129</v>
      </c>
      <c r="M21" s="98">
        <f t="shared" si="6"/>
        <v>116731</v>
      </c>
    </row>
    <row r="22" spans="1:13" s="67" customFormat="1" ht="10.5" hidden="1" customHeight="1" outlineLevel="2" x14ac:dyDescent="0.25">
      <c r="A22" s="67" t="s">
        <v>311</v>
      </c>
      <c r="B22" s="74" t="s">
        <v>312</v>
      </c>
      <c r="C22" s="74" t="s">
        <v>319</v>
      </c>
      <c r="D22" s="74" t="s">
        <v>314</v>
      </c>
      <c r="E22" s="74" t="s">
        <v>291</v>
      </c>
      <c r="F22" s="74" t="s">
        <v>291</v>
      </c>
      <c r="G22" s="75"/>
      <c r="H22" s="75">
        <v>90325</v>
      </c>
      <c r="I22" s="75">
        <v>58934</v>
      </c>
      <c r="J22" s="75">
        <f>7588*5</f>
        <v>37940</v>
      </c>
      <c r="K22" s="75">
        <f t="shared" si="4"/>
        <v>96874</v>
      </c>
      <c r="L22" s="75">
        <f t="shared" si="0"/>
        <v>-6549</v>
      </c>
      <c r="M22" s="98">
        <f t="shared" si="6"/>
        <v>96874</v>
      </c>
    </row>
    <row r="23" spans="1:13" s="67" customFormat="1" ht="10.5" hidden="1" customHeight="1" outlineLevel="2" x14ac:dyDescent="0.25">
      <c r="A23" s="67" t="s">
        <v>311</v>
      </c>
      <c r="B23" s="74" t="s">
        <v>312</v>
      </c>
      <c r="C23" s="74" t="s">
        <v>320</v>
      </c>
      <c r="D23" s="74" t="s">
        <v>314</v>
      </c>
      <c r="E23" s="74" t="s">
        <v>291</v>
      </c>
      <c r="F23" s="74" t="s">
        <v>291</v>
      </c>
      <c r="G23" s="75"/>
      <c r="H23" s="75">
        <v>87346</v>
      </c>
      <c r="I23" s="75">
        <v>62621</v>
      </c>
      <c r="J23" s="75">
        <f>7422*5</f>
        <v>37110</v>
      </c>
      <c r="K23" s="75">
        <f t="shared" si="4"/>
        <v>99731</v>
      </c>
      <c r="L23" s="75">
        <f t="shared" si="0"/>
        <v>-12385</v>
      </c>
      <c r="M23" s="98">
        <f t="shared" si="6"/>
        <v>99731</v>
      </c>
    </row>
    <row r="24" spans="1:13" s="67" customFormat="1" ht="10.5" hidden="1" customHeight="1" outlineLevel="2" x14ac:dyDescent="0.25">
      <c r="A24" s="67" t="s">
        <v>311</v>
      </c>
      <c r="B24" s="74" t="s">
        <v>321</v>
      </c>
      <c r="C24" s="74" t="s">
        <v>322</v>
      </c>
      <c r="D24" s="74"/>
      <c r="E24" s="74"/>
      <c r="F24" s="74" t="s">
        <v>323</v>
      </c>
      <c r="G24" s="75"/>
      <c r="H24" s="75">
        <v>40345</v>
      </c>
      <c r="I24" s="75"/>
      <c r="J24" s="75"/>
      <c r="K24" s="75">
        <f t="shared" si="4"/>
        <v>0</v>
      </c>
      <c r="L24" s="75">
        <f t="shared" si="0"/>
        <v>40345</v>
      </c>
      <c r="M24" s="98">
        <f t="shared" si="6"/>
        <v>0</v>
      </c>
    </row>
    <row r="25" spans="1:13" s="67" customFormat="1" ht="10.5" hidden="1" customHeight="1" outlineLevel="2" x14ac:dyDescent="0.25">
      <c r="A25" s="67" t="s">
        <v>311</v>
      </c>
      <c r="B25" s="74" t="s">
        <v>312</v>
      </c>
      <c r="C25" s="74" t="s">
        <v>324</v>
      </c>
      <c r="D25" s="74" t="s">
        <v>314</v>
      </c>
      <c r="E25" s="74" t="s">
        <v>291</v>
      </c>
      <c r="F25" s="74" t="s">
        <v>291</v>
      </c>
      <c r="G25" s="74"/>
      <c r="H25" s="75">
        <f>132974*1.05+3705</f>
        <v>143327.70000000001</v>
      </c>
      <c r="I25" s="75">
        <v>75975</v>
      </c>
      <c r="J25" s="75">
        <f>11326*5</f>
        <v>56630</v>
      </c>
      <c r="K25" s="75">
        <f t="shared" si="4"/>
        <v>132605</v>
      </c>
      <c r="L25" s="75">
        <f t="shared" si="0"/>
        <v>10722.700000000012</v>
      </c>
      <c r="M25" s="98">
        <f t="shared" si="6"/>
        <v>132605</v>
      </c>
    </row>
    <row r="26" spans="1:13" s="67" customFormat="1" ht="10.5" hidden="1" customHeight="1" outlineLevel="2" x14ac:dyDescent="0.25">
      <c r="A26" s="67" t="s">
        <v>311</v>
      </c>
      <c r="B26" s="74" t="s">
        <v>312</v>
      </c>
      <c r="C26" s="74" t="s">
        <v>325</v>
      </c>
      <c r="D26" s="74" t="s">
        <v>314</v>
      </c>
      <c r="E26" s="74" t="s">
        <v>291</v>
      </c>
      <c r="F26" s="74" t="s">
        <v>291</v>
      </c>
      <c r="G26" s="74"/>
      <c r="H26" s="75">
        <f>78405*1.05+3705</f>
        <v>86030.25</v>
      </c>
      <c r="I26" s="75">
        <f>59509-7220</f>
        <v>52289</v>
      </c>
      <c r="J26" s="75">
        <f>7220*5</f>
        <v>36100</v>
      </c>
      <c r="K26" s="75">
        <f t="shared" si="4"/>
        <v>88389</v>
      </c>
      <c r="L26" s="75">
        <f t="shared" si="0"/>
        <v>-2358.75</v>
      </c>
      <c r="M26" s="98">
        <f t="shared" si="6"/>
        <v>88389</v>
      </c>
    </row>
    <row r="27" spans="1:13" s="67" customFormat="1" ht="10.5" hidden="1" customHeight="1" outlineLevel="2" x14ac:dyDescent="0.25">
      <c r="A27" s="67" t="s">
        <v>311</v>
      </c>
      <c r="B27" s="74" t="s">
        <v>312</v>
      </c>
      <c r="C27" s="74" t="s">
        <v>326</v>
      </c>
      <c r="D27" s="74" t="s">
        <v>314</v>
      </c>
      <c r="E27" s="74" t="s">
        <v>291</v>
      </c>
      <c r="F27" s="74" t="s">
        <v>291</v>
      </c>
      <c r="G27" s="74"/>
      <c r="H27" s="75">
        <v>92523</v>
      </c>
      <c r="I27" s="75">
        <f>72388-8752</f>
        <v>63636</v>
      </c>
      <c r="J27" s="75">
        <f>8752*5</f>
        <v>43760</v>
      </c>
      <c r="K27" s="75">
        <f t="shared" si="4"/>
        <v>107396</v>
      </c>
      <c r="L27" s="75">
        <f t="shared" si="0"/>
        <v>-14873</v>
      </c>
      <c r="M27" s="98">
        <f t="shared" si="6"/>
        <v>107396</v>
      </c>
    </row>
    <row r="28" spans="1:13" s="67" customFormat="1" ht="10.5" hidden="1" customHeight="1" outlineLevel="2" x14ac:dyDescent="0.25">
      <c r="A28" s="67" t="s">
        <v>311</v>
      </c>
      <c r="B28" s="74" t="s">
        <v>312</v>
      </c>
      <c r="C28" s="74" t="s">
        <v>327</v>
      </c>
      <c r="D28" s="74" t="s">
        <v>314</v>
      </c>
      <c r="E28" s="74" t="s">
        <v>291</v>
      </c>
      <c r="F28" s="74" t="s">
        <v>291</v>
      </c>
      <c r="G28" s="74"/>
      <c r="H28" s="75">
        <f>84722*1.04</f>
        <v>88110.88</v>
      </c>
      <c r="I28" s="75">
        <f>59909-7337</f>
        <v>52572</v>
      </c>
      <c r="J28" s="75">
        <f>7337*5</f>
        <v>36685</v>
      </c>
      <c r="K28" s="75">
        <f t="shared" si="4"/>
        <v>89257</v>
      </c>
      <c r="L28" s="75">
        <f t="shared" si="0"/>
        <v>-1146.1199999999953</v>
      </c>
      <c r="M28" s="98">
        <f t="shared" si="6"/>
        <v>89257</v>
      </c>
    </row>
    <row r="29" spans="1:13" s="67" customFormat="1" ht="10.5" hidden="1" customHeight="1" outlineLevel="2" x14ac:dyDescent="0.25">
      <c r="A29" s="67" t="s">
        <v>311</v>
      </c>
      <c r="B29" s="74" t="s">
        <v>312</v>
      </c>
      <c r="C29" s="74" t="s">
        <v>328</v>
      </c>
      <c r="D29" s="74" t="s">
        <v>314</v>
      </c>
      <c r="E29" s="74" t="s">
        <v>291</v>
      </c>
      <c r="F29" s="74" t="s">
        <v>291</v>
      </c>
      <c r="G29" s="74"/>
      <c r="H29" s="75">
        <f>78568*1.04</f>
        <v>81710.720000000001</v>
      </c>
      <c r="I29" s="75">
        <f>56769-7987</f>
        <v>48782</v>
      </c>
      <c r="J29" s="75">
        <f>7987*5</f>
        <v>39935</v>
      </c>
      <c r="K29" s="75">
        <f t="shared" si="4"/>
        <v>88717</v>
      </c>
      <c r="L29" s="75">
        <f t="shared" si="0"/>
        <v>-7006.2799999999988</v>
      </c>
      <c r="M29" s="98">
        <f t="shared" si="6"/>
        <v>88717</v>
      </c>
    </row>
    <row r="30" spans="1:13" s="67" customFormat="1" ht="10.5" hidden="1" customHeight="1" outlineLevel="2" x14ac:dyDescent="0.25">
      <c r="A30" s="67" t="s">
        <v>311</v>
      </c>
      <c r="B30" s="74" t="s">
        <v>312</v>
      </c>
      <c r="C30" s="74" t="s">
        <v>329</v>
      </c>
      <c r="D30" s="74" t="s">
        <v>330</v>
      </c>
      <c r="E30" s="74" t="s">
        <v>291</v>
      </c>
      <c r="F30" s="74" t="s">
        <v>291</v>
      </c>
      <c r="G30" s="74"/>
      <c r="H30" s="75">
        <f>49518*1.04</f>
        <v>51498.720000000001</v>
      </c>
      <c r="I30" s="74">
        <v>37575</v>
      </c>
      <c r="J30" s="75">
        <f>4176*5</f>
        <v>20880</v>
      </c>
      <c r="K30" s="75">
        <f t="shared" si="4"/>
        <v>58455</v>
      </c>
      <c r="L30" s="75">
        <f t="shared" si="0"/>
        <v>-6956.2799999999988</v>
      </c>
      <c r="M30" s="98">
        <f t="shared" si="6"/>
        <v>58455</v>
      </c>
    </row>
    <row r="31" spans="1:13" s="67" customFormat="1" ht="10.5" hidden="1" customHeight="1" outlineLevel="2" x14ac:dyDescent="0.25">
      <c r="A31" s="67" t="s">
        <v>311</v>
      </c>
      <c r="B31" s="74" t="s">
        <v>312</v>
      </c>
      <c r="C31" s="74" t="s">
        <v>331</v>
      </c>
      <c r="D31" s="74" t="s">
        <v>332</v>
      </c>
      <c r="E31" s="74"/>
      <c r="F31" s="74"/>
      <c r="G31" s="74"/>
      <c r="H31" s="70">
        <v>48084</v>
      </c>
      <c r="I31" s="74">
        <f>13735-4578</f>
        <v>9157</v>
      </c>
      <c r="J31" s="75">
        <f>4578*5</f>
        <v>22890</v>
      </c>
      <c r="K31" s="75">
        <f t="shared" si="4"/>
        <v>32047</v>
      </c>
      <c r="L31" s="75">
        <f t="shared" si="0"/>
        <v>16037</v>
      </c>
      <c r="M31" s="98">
        <f t="shared" si="6"/>
        <v>32047</v>
      </c>
    </row>
    <row r="32" spans="1:13" s="67" customFormat="1" ht="10.5" hidden="1" customHeight="1" outlineLevel="2" x14ac:dyDescent="0.25">
      <c r="A32" s="67" t="s">
        <v>311</v>
      </c>
      <c r="B32" s="74" t="s">
        <v>333</v>
      </c>
      <c r="C32" s="74" t="s">
        <v>322</v>
      </c>
      <c r="D32" s="74"/>
      <c r="E32" s="74"/>
      <c r="F32" s="74" t="s">
        <v>323</v>
      </c>
      <c r="G32" s="74"/>
      <c r="H32" s="75">
        <v>0</v>
      </c>
      <c r="I32" s="75"/>
      <c r="J32" s="75"/>
      <c r="K32" s="75">
        <f t="shared" si="4"/>
        <v>0</v>
      </c>
      <c r="L32" s="75">
        <f t="shared" si="0"/>
        <v>0</v>
      </c>
      <c r="M32" s="98">
        <f t="shared" si="6"/>
        <v>0</v>
      </c>
    </row>
    <row r="33" spans="1:13" s="67" customFormat="1" ht="10.5" hidden="1" customHeight="1" outlineLevel="2" x14ac:dyDescent="0.25">
      <c r="A33" s="67" t="s">
        <v>311</v>
      </c>
      <c r="B33" s="74" t="s">
        <v>312</v>
      </c>
      <c r="C33" s="74" t="s">
        <v>334</v>
      </c>
      <c r="D33" s="74" t="s">
        <v>314</v>
      </c>
      <c r="E33" s="74" t="s">
        <v>291</v>
      </c>
      <c r="F33" s="74" t="s">
        <v>291</v>
      </c>
      <c r="G33" s="74"/>
      <c r="H33" s="75">
        <v>85479</v>
      </c>
      <c r="I33" s="75">
        <f>51064+15138</f>
        <v>66202</v>
      </c>
      <c r="J33" s="75">
        <f>7136*5</f>
        <v>35680</v>
      </c>
      <c r="K33" s="75">
        <f t="shared" si="4"/>
        <v>101882</v>
      </c>
      <c r="L33" s="75">
        <f t="shared" si="0"/>
        <v>-16403</v>
      </c>
      <c r="M33" s="98">
        <f t="shared" si="6"/>
        <v>101882</v>
      </c>
    </row>
    <row r="34" spans="1:13" s="67" customFormat="1" ht="10.5" hidden="1" customHeight="1" outlineLevel="2" x14ac:dyDescent="0.25">
      <c r="A34" s="67" t="s">
        <v>311</v>
      </c>
      <c r="B34" s="74" t="s">
        <v>312</v>
      </c>
      <c r="C34" s="74" t="s">
        <v>335</v>
      </c>
      <c r="D34" s="74" t="s">
        <v>336</v>
      </c>
      <c r="E34" s="74" t="s">
        <v>291</v>
      </c>
      <c r="F34" s="74" t="s">
        <v>291</v>
      </c>
      <c r="G34" s="75"/>
      <c r="H34" s="75">
        <v>96160</v>
      </c>
      <c r="I34" s="75">
        <f>61184+12055</f>
        <v>73239</v>
      </c>
      <c r="J34" s="75">
        <f>8720*5</f>
        <v>43600</v>
      </c>
      <c r="K34" s="75">
        <f t="shared" si="4"/>
        <v>116839</v>
      </c>
      <c r="L34" s="75">
        <f t="shared" si="0"/>
        <v>-20679</v>
      </c>
      <c r="M34" s="98">
        <f t="shared" si="6"/>
        <v>116839</v>
      </c>
    </row>
    <row r="35" spans="1:13" s="67" customFormat="1" ht="10.5" hidden="1" customHeight="1" outlineLevel="2" x14ac:dyDescent="0.25">
      <c r="A35" s="67" t="s">
        <v>311</v>
      </c>
      <c r="B35" s="74" t="s">
        <v>312</v>
      </c>
      <c r="C35" s="74" t="s">
        <v>337</v>
      </c>
      <c r="D35" s="74" t="s">
        <v>336</v>
      </c>
      <c r="E35" s="74"/>
      <c r="F35" s="74"/>
      <c r="G35" s="75"/>
      <c r="H35" s="75"/>
      <c r="I35" s="75"/>
      <c r="J35" s="75"/>
      <c r="K35" s="75"/>
      <c r="L35" s="75"/>
      <c r="M35" s="98">
        <f t="shared" si="6"/>
        <v>0</v>
      </c>
    </row>
    <row r="36" spans="1:13" s="67" customFormat="1" ht="10.5" hidden="1" customHeight="1" outlineLevel="2" x14ac:dyDescent="0.25">
      <c r="A36" s="67" t="s">
        <v>311</v>
      </c>
      <c r="B36" s="74" t="s">
        <v>312</v>
      </c>
      <c r="C36" s="74" t="s">
        <v>338</v>
      </c>
      <c r="D36" s="74" t="s">
        <v>314</v>
      </c>
      <c r="E36" s="74" t="s">
        <v>291</v>
      </c>
      <c r="F36" s="74" t="s">
        <v>291</v>
      </c>
      <c r="G36" s="74"/>
      <c r="H36" s="75">
        <v>88675</v>
      </c>
      <c r="I36" s="75">
        <v>51321</v>
      </c>
      <c r="J36" s="75">
        <f>7332*5</f>
        <v>36660</v>
      </c>
      <c r="K36" s="75">
        <f t="shared" ref="K36:K42" si="7">J36+I36</f>
        <v>87981</v>
      </c>
      <c r="L36" s="75">
        <f t="shared" ref="L36:L55" si="8">H36-K36</f>
        <v>694</v>
      </c>
      <c r="M36" s="98">
        <f t="shared" si="6"/>
        <v>87981</v>
      </c>
    </row>
    <row r="37" spans="1:13" s="67" customFormat="1" ht="10.5" hidden="1" customHeight="1" outlineLevel="2" x14ac:dyDescent="0.25">
      <c r="A37" s="67" t="s">
        <v>311</v>
      </c>
      <c r="B37" s="74" t="s">
        <v>312</v>
      </c>
      <c r="C37" s="74" t="s">
        <v>339</v>
      </c>
      <c r="D37" s="74" t="s">
        <v>314</v>
      </c>
      <c r="E37" s="74" t="s">
        <v>291</v>
      </c>
      <c r="F37" s="74" t="s">
        <v>291</v>
      </c>
      <c r="G37" s="74"/>
      <c r="H37" s="75">
        <v>47052</v>
      </c>
      <c r="I37" s="75">
        <f>4203*7</f>
        <v>29421</v>
      </c>
      <c r="J37" s="75">
        <f>4203*5</f>
        <v>21015</v>
      </c>
      <c r="K37" s="75">
        <f t="shared" si="7"/>
        <v>50436</v>
      </c>
      <c r="L37" s="75">
        <f t="shared" si="8"/>
        <v>-3384</v>
      </c>
      <c r="M37" s="98">
        <f t="shared" si="6"/>
        <v>50436</v>
      </c>
    </row>
    <row r="38" spans="1:13" s="67" customFormat="1" ht="10.5" hidden="1" customHeight="1" outlineLevel="2" x14ac:dyDescent="0.25">
      <c r="A38" s="67" t="s">
        <v>311</v>
      </c>
      <c r="B38" s="74" t="s">
        <v>312</v>
      </c>
      <c r="C38" s="74" t="s">
        <v>340</v>
      </c>
      <c r="D38" s="74" t="s">
        <v>314</v>
      </c>
      <c r="E38" s="74" t="s">
        <v>291</v>
      </c>
      <c r="F38" s="74" t="s">
        <v>291</v>
      </c>
      <c r="G38" s="74"/>
      <c r="H38" s="75">
        <v>85717</v>
      </c>
      <c r="I38" s="75">
        <v>50457</v>
      </c>
      <c r="J38" s="75">
        <f>7414*5</f>
        <v>37070</v>
      </c>
      <c r="K38" s="75">
        <f t="shared" si="7"/>
        <v>87527</v>
      </c>
      <c r="L38" s="75">
        <f t="shared" si="8"/>
        <v>-1810</v>
      </c>
      <c r="M38" s="98">
        <f t="shared" si="6"/>
        <v>87527</v>
      </c>
    </row>
    <row r="39" spans="1:13" s="67" customFormat="1" ht="10.5" hidden="1" customHeight="1" outlineLevel="2" x14ac:dyDescent="0.25">
      <c r="A39" s="67" t="s">
        <v>311</v>
      </c>
      <c r="B39" s="74" t="s">
        <v>341</v>
      </c>
      <c r="C39" s="74" t="s">
        <v>342</v>
      </c>
      <c r="D39" s="74" t="s">
        <v>343</v>
      </c>
      <c r="E39" s="74" t="s">
        <v>291</v>
      </c>
      <c r="F39" s="74" t="s">
        <v>291</v>
      </c>
      <c r="G39" s="74"/>
      <c r="H39" s="75">
        <v>86270</v>
      </c>
      <c r="I39" s="75">
        <f>7314*7</f>
        <v>51198</v>
      </c>
      <c r="J39" s="75">
        <f>7314*5</f>
        <v>36570</v>
      </c>
      <c r="K39" s="75">
        <f t="shared" si="7"/>
        <v>87768</v>
      </c>
      <c r="L39" s="75">
        <f t="shared" si="8"/>
        <v>-1498</v>
      </c>
      <c r="M39" s="98">
        <f t="shared" si="6"/>
        <v>87768</v>
      </c>
    </row>
    <row r="40" spans="1:13" s="67" customFormat="1" ht="10.5" hidden="1" customHeight="1" outlineLevel="2" x14ac:dyDescent="0.25">
      <c r="A40" s="67" t="s">
        <v>311</v>
      </c>
      <c r="B40" s="74" t="s">
        <v>312</v>
      </c>
      <c r="C40" s="74" t="s">
        <v>345</v>
      </c>
      <c r="D40" s="74" t="s">
        <v>314</v>
      </c>
      <c r="E40" s="74" t="s">
        <v>291</v>
      </c>
      <c r="F40" s="74" t="s">
        <v>291</v>
      </c>
      <c r="G40" s="74"/>
      <c r="H40" s="75">
        <v>91295</v>
      </c>
      <c r="I40" s="75">
        <f>7609*7</f>
        <v>53263</v>
      </c>
      <c r="J40" s="75">
        <f>7609*5</f>
        <v>38045</v>
      </c>
      <c r="K40" s="75">
        <f t="shared" si="7"/>
        <v>91308</v>
      </c>
      <c r="L40" s="75">
        <f t="shared" si="8"/>
        <v>-13</v>
      </c>
      <c r="M40" s="98">
        <f t="shared" si="6"/>
        <v>91308</v>
      </c>
    </row>
    <row r="41" spans="1:13" s="67" customFormat="1" ht="10.5" hidden="1" customHeight="1" outlineLevel="2" x14ac:dyDescent="0.25">
      <c r="A41" s="67" t="s">
        <v>311</v>
      </c>
      <c r="B41" s="74" t="s">
        <v>312</v>
      </c>
      <c r="C41" s="74" t="s">
        <v>346</v>
      </c>
      <c r="D41" s="74" t="s">
        <v>347</v>
      </c>
      <c r="E41" s="74" t="s">
        <v>291</v>
      </c>
      <c r="F41" s="74" t="s">
        <v>291</v>
      </c>
      <c r="G41" s="74"/>
      <c r="H41" s="75">
        <f>84955*1.04</f>
        <v>88353.2</v>
      </c>
      <c r="I41" s="75">
        <f>7341*7</f>
        <v>51387</v>
      </c>
      <c r="J41" s="75">
        <f>7341*5</f>
        <v>36705</v>
      </c>
      <c r="K41" s="75">
        <f t="shared" si="7"/>
        <v>88092</v>
      </c>
      <c r="L41" s="75">
        <f t="shared" si="8"/>
        <v>261.19999999999709</v>
      </c>
      <c r="M41" s="98">
        <f t="shared" si="6"/>
        <v>88092</v>
      </c>
    </row>
    <row r="42" spans="1:13" s="67" customFormat="1" ht="10.5" hidden="1" customHeight="1" outlineLevel="2" x14ac:dyDescent="0.25">
      <c r="A42" s="67" t="s">
        <v>311</v>
      </c>
      <c r="B42" s="74" t="s">
        <v>333</v>
      </c>
      <c r="C42" s="74"/>
      <c r="D42" s="74"/>
      <c r="E42" s="74"/>
      <c r="F42" s="74" t="s">
        <v>323</v>
      </c>
      <c r="G42" s="74"/>
      <c r="H42" s="75">
        <v>24549</v>
      </c>
      <c r="I42" s="75">
        <v>22515</v>
      </c>
      <c r="J42" s="75">
        <f>2115*5</f>
        <v>10575</v>
      </c>
      <c r="K42" s="75">
        <f t="shared" si="7"/>
        <v>33090</v>
      </c>
      <c r="L42" s="75">
        <f t="shared" si="8"/>
        <v>-8541</v>
      </c>
      <c r="M42" s="98">
        <f t="shared" si="6"/>
        <v>33090</v>
      </c>
    </row>
    <row r="43" spans="1:13" s="67" customFormat="1" ht="10.5" hidden="1" customHeight="1" outlineLevel="2" x14ac:dyDescent="0.25">
      <c r="A43" s="67" t="s">
        <v>311</v>
      </c>
      <c r="B43" s="74" t="s">
        <v>348</v>
      </c>
      <c r="C43" s="74"/>
      <c r="D43" s="74"/>
      <c r="E43" s="74"/>
      <c r="F43" s="74" t="s">
        <v>349</v>
      </c>
      <c r="G43" s="74"/>
      <c r="H43" s="75"/>
      <c r="I43" s="75"/>
      <c r="J43" s="75"/>
      <c r="K43" s="75"/>
      <c r="L43" s="75">
        <f t="shared" si="8"/>
        <v>0</v>
      </c>
      <c r="M43" s="98">
        <f t="shared" si="6"/>
        <v>0</v>
      </c>
    </row>
    <row r="44" spans="1:13" s="67" customFormat="1" ht="10.5" hidden="1" customHeight="1" outlineLevel="2" x14ac:dyDescent="0.25">
      <c r="A44" s="67" t="s">
        <v>311</v>
      </c>
      <c r="B44" s="74" t="s">
        <v>350</v>
      </c>
      <c r="C44" s="74"/>
      <c r="D44" s="74"/>
      <c r="E44" s="74"/>
      <c r="F44" s="74" t="s">
        <v>323</v>
      </c>
      <c r="G44" s="74"/>
      <c r="H44" s="75">
        <v>15919</v>
      </c>
      <c r="I44" s="75">
        <v>9450</v>
      </c>
      <c r="J44" s="75">
        <f>1625*5</f>
        <v>8125</v>
      </c>
      <c r="K44" s="75">
        <f t="shared" ref="K44:K51" si="9">J44+I44</f>
        <v>17575</v>
      </c>
      <c r="L44" s="75">
        <f t="shared" si="8"/>
        <v>-1656</v>
      </c>
      <c r="M44" s="98">
        <f t="shared" si="6"/>
        <v>17575</v>
      </c>
    </row>
    <row r="45" spans="1:13" s="67" customFormat="1" ht="10.5" hidden="1" customHeight="1" outlineLevel="2" x14ac:dyDescent="0.25">
      <c r="A45" s="67" t="s">
        <v>311</v>
      </c>
      <c r="B45" s="74" t="s">
        <v>351</v>
      </c>
      <c r="C45" s="74" t="s">
        <v>352</v>
      </c>
      <c r="D45" s="74" t="s">
        <v>314</v>
      </c>
      <c r="E45" s="74" t="s">
        <v>291</v>
      </c>
      <c r="F45" s="74" t="s">
        <v>291</v>
      </c>
      <c r="G45" s="74"/>
      <c r="H45" s="75">
        <f>98394*1.03225</f>
        <v>101567.20649999999</v>
      </c>
      <c r="I45" s="75">
        <f>8748*7</f>
        <v>61236</v>
      </c>
      <c r="J45" s="75">
        <f>8748*5</f>
        <v>43740</v>
      </c>
      <c r="K45" s="75">
        <f t="shared" si="9"/>
        <v>104976</v>
      </c>
      <c r="L45" s="75">
        <f t="shared" si="8"/>
        <v>-3408.7935000000143</v>
      </c>
      <c r="M45" s="98">
        <f t="shared" si="6"/>
        <v>104976</v>
      </c>
    </row>
    <row r="46" spans="1:13" s="67" customFormat="1" ht="10.5" hidden="1" customHeight="1" outlineLevel="2" x14ac:dyDescent="0.25">
      <c r="A46" s="67" t="s">
        <v>311</v>
      </c>
      <c r="B46" s="74" t="s">
        <v>312</v>
      </c>
      <c r="C46" s="74" t="s">
        <v>353</v>
      </c>
      <c r="D46" s="74" t="s">
        <v>314</v>
      </c>
      <c r="E46" s="74" t="s">
        <v>291</v>
      </c>
      <c r="F46" s="74" t="s">
        <v>291</v>
      </c>
      <c r="G46" s="74"/>
      <c r="H46" s="75">
        <f>76773*1.03225</f>
        <v>79248.929249999986</v>
      </c>
      <c r="I46" s="75">
        <v>39644</v>
      </c>
      <c r="J46" s="75">
        <f>6660.9*5</f>
        <v>33304.5</v>
      </c>
      <c r="K46" s="75">
        <f t="shared" si="9"/>
        <v>72948.5</v>
      </c>
      <c r="L46" s="75">
        <f t="shared" si="8"/>
        <v>6300.4292499999865</v>
      </c>
      <c r="M46" s="98">
        <f t="shared" si="6"/>
        <v>72948.5</v>
      </c>
    </row>
    <row r="47" spans="1:13" s="67" customFormat="1" ht="10.5" hidden="1" customHeight="1" outlineLevel="2" x14ac:dyDescent="0.25">
      <c r="A47" s="67" t="s">
        <v>311</v>
      </c>
      <c r="B47" s="74" t="s">
        <v>312</v>
      </c>
      <c r="C47" s="74" t="s">
        <v>354</v>
      </c>
      <c r="D47" s="74" t="s">
        <v>314</v>
      </c>
      <c r="E47" s="74" t="s">
        <v>291</v>
      </c>
      <c r="F47" s="74" t="s">
        <v>355</v>
      </c>
      <c r="G47" s="74"/>
      <c r="H47" s="75">
        <v>96545</v>
      </c>
      <c r="I47" s="75">
        <f>9313*7</f>
        <v>65191</v>
      </c>
      <c r="J47" s="75">
        <f>9313*5</f>
        <v>46565</v>
      </c>
      <c r="K47" s="75">
        <f t="shared" si="9"/>
        <v>111756</v>
      </c>
      <c r="L47" s="75">
        <f t="shared" si="8"/>
        <v>-15211</v>
      </c>
      <c r="M47" s="98">
        <f t="shared" si="6"/>
        <v>111756</v>
      </c>
    </row>
    <row r="48" spans="1:13" s="67" customFormat="1" ht="10.5" hidden="1" customHeight="1" outlineLevel="2" x14ac:dyDescent="0.25">
      <c r="A48" s="67" t="s">
        <v>311</v>
      </c>
      <c r="B48" s="74" t="s">
        <v>312</v>
      </c>
      <c r="C48" s="74" t="s">
        <v>356</v>
      </c>
      <c r="D48" s="74" t="s">
        <v>314</v>
      </c>
      <c r="E48" s="74" t="s">
        <v>291</v>
      </c>
      <c r="F48" s="74" t="s">
        <v>355</v>
      </c>
      <c r="G48" s="74"/>
      <c r="H48" s="75">
        <v>96545</v>
      </c>
      <c r="I48" s="75">
        <f>8096*7</f>
        <v>56672</v>
      </c>
      <c r="J48" s="75">
        <f>8096*5</f>
        <v>40480</v>
      </c>
      <c r="K48" s="75">
        <f t="shared" si="9"/>
        <v>97152</v>
      </c>
      <c r="L48" s="75">
        <f t="shared" si="8"/>
        <v>-607</v>
      </c>
      <c r="M48" s="98">
        <f t="shared" si="6"/>
        <v>97152</v>
      </c>
    </row>
    <row r="49" spans="1:13" s="67" customFormat="1" ht="10.5" hidden="1" customHeight="1" outlineLevel="2" x14ac:dyDescent="0.25">
      <c r="A49" s="67" t="s">
        <v>311</v>
      </c>
      <c r="B49" s="74" t="s">
        <v>312</v>
      </c>
      <c r="C49" s="74" t="s">
        <v>357</v>
      </c>
      <c r="D49" s="74" t="s">
        <v>314</v>
      </c>
      <c r="E49" s="74" t="s">
        <v>291</v>
      </c>
      <c r="F49" s="74" t="s">
        <v>358</v>
      </c>
      <c r="G49" s="74"/>
      <c r="H49" s="75">
        <v>96545</v>
      </c>
      <c r="I49" s="75">
        <f>8411*7</f>
        <v>58877</v>
      </c>
      <c r="J49" s="75">
        <v>8411</v>
      </c>
      <c r="K49" s="75">
        <f t="shared" si="9"/>
        <v>67288</v>
      </c>
      <c r="L49" s="75">
        <f t="shared" si="8"/>
        <v>29257</v>
      </c>
      <c r="M49" s="98">
        <f t="shared" si="6"/>
        <v>67288</v>
      </c>
    </row>
    <row r="50" spans="1:13" s="67" customFormat="1" ht="10.5" hidden="1" customHeight="1" outlineLevel="2" x14ac:dyDescent="0.25">
      <c r="A50" s="67" t="s">
        <v>311</v>
      </c>
      <c r="B50" s="74" t="s">
        <v>312</v>
      </c>
      <c r="C50" s="74" t="s">
        <v>359</v>
      </c>
      <c r="D50" s="74" t="s">
        <v>314</v>
      </c>
      <c r="E50" s="74" t="s">
        <v>291</v>
      </c>
      <c r="F50" s="74" t="s">
        <v>291</v>
      </c>
      <c r="G50" s="74"/>
      <c r="H50" s="75">
        <v>118721</v>
      </c>
      <c r="I50" s="75">
        <v>75409</v>
      </c>
      <c r="J50" s="75">
        <f>10776*5</f>
        <v>53880</v>
      </c>
      <c r="K50" s="75">
        <f t="shared" si="9"/>
        <v>129289</v>
      </c>
      <c r="L50" s="75">
        <f t="shared" si="8"/>
        <v>-10568</v>
      </c>
      <c r="M50" s="98">
        <f t="shared" si="6"/>
        <v>129289</v>
      </c>
    </row>
    <row r="51" spans="1:13" s="67" customFormat="1" ht="10.5" hidden="1" customHeight="1" outlineLevel="2" x14ac:dyDescent="0.25">
      <c r="A51" s="67" t="s">
        <v>311</v>
      </c>
      <c r="B51" s="74" t="s">
        <v>360</v>
      </c>
      <c r="C51" s="74" t="s">
        <v>337</v>
      </c>
      <c r="D51" s="74" t="s">
        <v>361</v>
      </c>
      <c r="E51" s="74" t="s">
        <v>291</v>
      </c>
      <c r="F51" s="74" t="s">
        <v>291</v>
      </c>
      <c r="G51" s="75"/>
      <c r="H51" s="75">
        <v>50636</v>
      </c>
      <c r="I51" s="75">
        <v>34673</v>
      </c>
      <c r="J51" s="75">
        <f>4736*5</f>
        <v>23680</v>
      </c>
      <c r="K51" s="75">
        <f t="shared" si="9"/>
        <v>58353</v>
      </c>
      <c r="L51" s="75">
        <f t="shared" si="8"/>
        <v>-7717</v>
      </c>
      <c r="M51" s="98">
        <f t="shared" si="6"/>
        <v>58353</v>
      </c>
    </row>
    <row r="52" spans="1:13" s="67" customFormat="1" ht="10.5" hidden="1" customHeight="1" outlineLevel="2" x14ac:dyDescent="0.25">
      <c r="A52" s="67" t="s">
        <v>311</v>
      </c>
      <c r="B52" s="74" t="s">
        <v>333</v>
      </c>
      <c r="C52" s="74" t="s">
        <v>326</v>
      </c>
      <c r="D52" s="74" t="s">
        <v>314</v>
      </c>
      <c r="E52" s="74"/>
      <c r="F52" s="74" t="s">
        <v>362</v>
      </c>
      <c r="G52" s="74"/>
      <c r="H52" s="75">
        <v>20677</v>
      </c>
      <c r="I52" s="75"/>
      <c r="J52" s="75"/>
      <c r="K52" s="75"/>
      <c r="L52" s="75">
        <f t="shared" si="8"/>
        <v>20677</v>
      </c>
      <c r="M52" s="98">
        <f t="shared" si="6"/>
        <v>0</v>
      </c>
    </row>
    <row r="53" spans="1:13" s="67" customFormat="1" ht="10.5" hidden="1" customHeight="1" outlineLevel="2" x14ac:dyDescent="0.25">
      <c r="A53" s="67" t="s">
        <v>311</v>
      </c>
      <c r="B53" s="74" t="s">
        <v>363</v>
      </c>
      <c r="C53" s="74" t="s">
        <v>364</v>
      </c>
      <c r="D53" s="74" t="s">
        <v>314</v>
      </c>
      <c r="E53" s="74" t="s">
        <v>291</v>
      </c>
      <c r="F53" s="74" t="s">
        <v>291</v>
      </c>
      <c r="G53" s="74"/>
      <c r="H53" s="75">
        <v>96896</v>
      </c>
      <c r="I53" s="75">
        <v>58780</v>
      </c>
      <c r="J53" s="75">
        <v>41895</v>
      </c>
      <c r="K53" s="75">
        <f t="shared" ref="K53:K70" si="10">J53+I53</f>
        <v>100675</v>
      </c>
      <c r="L53" s="75">
        <f t="shared" si="8"/>
        <v>-3779</v>
      </c>
      <c r="M53" s="98">
        <f t="shared" si="6"/>
        <v>100675</v>
      </c>
    </row>
    <row r="54" spans="1:13" s="67" customFormat="1" ht="10.5" hidden="1" customHeight="1" outlineLevel="2" x14ac:dyDescent="0.25">
      <c r="A54" s="67" t="s">
        <v>311</v>
      </c>
      <c r="B54" s="74" t="s">
        <v>363</v>
      </c>
      <c r="C54" s="74" t="s">
        <v>365</v>
      </c>
      <c r="D54" s="74" t="s">
        <v>314</v>
      </c>
      <c r="E54" s="74" t="s">
        <v>291</v>
      </c>
      <c r="F54" s="74" t="s">
        <v>291</v>
      </c>
      <c r="G54" s="74"/>
      <c r="H54" s="75">
        <v>49150</v>
      </c>
      <c r="I54" s="75">
        <f>4095*7</f>
        <v>28665</v>
      </c>
      <c r="J54" s="75">
        <f>4096*5</f>
        <v>20480</v>
      </c>
      <c r="K54" s="75">
        <f t="shared" si="10"/>
        <v>49145</v>
      </c>
      <c r="L54" s="75">
        <f t="shared" si="8"/>
        <v>5</v>
      </c>
      <c r="M54" s="98">
        <f t="shared" si="6"/>
        <v>49145</v>
      </c>
    </row>
    <row r="55" spans="1:13" s="67" customFormat="1" ht="10.5" hidden="1" customHeight="1" outlineLevel="2" x14ac:dyDescent="0.25">
      <c r="A55" s="67" t="s">
        <v>311</v>
      </c>
      <c r="B55" s="74" t="s">
        <v>312</v>
      </c>
      <c r="C55" s="74" t="s">
        <v>366</v>
      </c>
      <c r="D55" s="74" t="s">
        <v>314</v>
      </c>
      <c r="E55" s="74"/>
      <c r="F55" s="74" t="s">
        <v>291</v>
      </c>
      <c r="G55" s="74"/>
      <c r="H55" s="75">
        <v>88273</v>
      </c>
      <c r="I55" s="75">
        <v>51044</v>
      </c>
      <c r="J55" s="75">
        <f>7220*5</f>
        <v>36100</v>
      </c>
      <c r="K55" s="75">
        <f t="shared" si="10"/>
        <v>87144</v>
      </c>
      <c r="L55" s="75">
        <f t="shared" si="8"/>
        <v>1129</v>
      </c>
      <c r="M55" s="98">
        <f t="shared" si="6"/>
        <v>87144</v>
      </c>
    </row>
    <row r="56" spans="1:13" s="67" customFormat="1" ht="10.5" hidden="1" customHeight="1" outlineLevel="2" x14ac:dyDescent="0.25">
      <c r="B56" s="74" t="s">
        <v>512</v>
      </c>
      <c r="C56" s="74"/>
      <c r="D56" s="74"/>
      <c r="E56" s="74"/>
      <c r="F56" s="74"/>
      <c r="G56" s="74"/>
      <c r="H56" s="75"/>
      <c r="I56" s="75"/>
      <c r="J56" s="75"/>
      <c r="K56" s="75"/>
      <c r="L56" s="75"/>
      <c r="M56" s="98">
        <f>97152*1.5*2</f>
        <v>291456</v>
      </c>
    </row>
    <row r="57" spans="1:13" s="67" customFormat="1" ht="10.5" hidden="1" customHeight="1" outlineLevel="2" x14ac:dyDescent="0.25">
      <c r="A57" s="82" t="s">
        <v>311</v>
      </c>
      <c r="B57" s="83" t="s">
        <v>482</v>
      </c>
      <c r="C57" s="83" t="s">
        <v>483</v>
      </c>
      <c r="D57" s="83" t="s">
        <v>484</v>
      </c>
      <c r="E57" s="83" t="s">
        <v>296</v>
      </c>
      <c r="F57" s="84"/>
      <c r="G57" s="84"/>
      <c r="H57" s="85">
        <v>117649</v>
      </c>
      <c r="I57" s="84"/>
      <c r="J57" s="84"/>
      <c r="K57" s="84">
        <v>117649</v>
      </c>
      <c r="L57" s="85">
        <f>H57-K57</f>
        <v>0</v>
      </c>
      <c r="M57" s="98">
        <f>K57</f>
        <v>117649</v>
      </c>
    </row>
    <row r="58" spans="1:13" s="67" customFormat="1" ht="10.5" customHeight="1" outlineLevel="1" collapsed="1" x14ac:dyDescent="0.25">
      <c r="A58" s="89" t="s">
        <v>495</v>
      </c>
      <c r="B58" s="83"/>
      <c r="C58" s="83"/>
      <c r="D58" s="83"/>
      <c r="E58" s="83"/>
      <c r="F58" s="84"/>
      <c r="G58" s="84"/>
      <c r="H58" s="85">
        <f t="shared" ref="H58:M58" si="11">SUBTOTAL(9,H17:H57)</f>
        <v>3054523.895</v>
      </c>
      <c r="I58" s="84">
        <f t="shared" si="11"/>
        <v>1724852</v>
      </c>
      <c r="J58" s="84">
        <f t="shared" si="11"/>
        <v>1147344.5</v>
      </c>
      <c r="K58" s="84">
        <f t="shared" si="11"/>
        <v>2989845.5</v>
      </c>
      <c r="L58" s="85">
        <f t="shared" si="11"/>
        <v>64678.39499999996</v>
      </c>
      <c r="M58" s="98">
        <f t="shared" si="11"/>
        <v>3248322.5</v>
      </c>
    </row>
    <row r="59" spans="1:13" s="67" customFormat="1" ht="10.5" hidden="1" customHeight="1" outlineLevel="2" x14ac:dyDescent="0.25">
      <c r="A59" s="95" t="s">
        <v>367</v>
      </c>
      <c r="B59" s="74" t="s">
        <v>312</v>
      </c>
      <c r="C59" s="74" t="s">
        <v>368</v>
      </c>
      <c r="D59" s="74" t="s">
        <v>314</v>
      </c>
      <c r="E59" s="74" t="s">
        <v>291</v>
      </c>
      <c r="F59" s="74" t="s">
        <v>291</v>
      </c>
      <c r="G59" s="75"/>
      <c r="H59" s="75"/>
      <c r="I59" s="75"/>
      <c r="J59" s="75">
        <f>13728*2</f>
        <v>27456</v>
      </c>
      <c r="K59" s="75">
        <f t="shared" si="10"/>
        <v>27456</v>
      </c>
      <c r="L59" s="75">
        <f t="shared" ref="L59:L69" si="12">H59-K59</f>
        <v>-27456</v>
      </c>
      <c r="M59" s="98">
        <f>13728*9</f>
        <v>123552</v>
      </c>
    </row>
    <row r="60" spans="1:13" s="67" customFormat="1" ht="10.5" hidden="1" customHeight="1" outlineLevel="2" x14ac:dyDescent="0.25">
      <c r="A60" s="95" t="s">
        <v>367</v>
      </c>
      <c r="B60" s="74" t="s">
        <v>312</v>
      </c>
      <c r="C60" s="74" t="s">
        <v>369</v>
      </c>
      <c r="D60" s="74" t="s">
        <v>370</v>
      </c>
      <c r="E60" s="74" t="s">
        <v>296</v>
      </c>
      <c r="F60" s="74" t="s">
        <v>371</v>
      </c>
      <c r="G60" s="75"/>
      <c r="H60" s="75">
        <v>61629</v>
      </c>
      <c r="I60" s="75">
        <v>81553</v>
      </c>
      <c r="J60" s="75">
        <f>13728*5</f>
        <v>68640</v>
      </c>
      <c r="K60" s="75">
        <f t="shared" si="10"/>
        <v>150193</v>
      </c>
      <c r="L60" s="75">
        <f t="shared" si="12"/>
        <v>-88564</v>
      </c>
      <c r="M60" s="98">
        <f>-L60/12*9</f>
        <v>66423</v>
      </c>
    </row>
    <row r="61" spans="1:13" s="67" customFormat="1" ht="10.5" hidden="1" customHeight="1" outlineLevel="2" x14ac:dyDescent="0.25">
      <c r="A61" s="95" t="s">
        <v>367</v>
      </c>
      <c r="B61" s="77" t="s">
        <v>372</v>
      </c>
      <c r="C61" s="77" t="s">
        <v>373</v>
      </c>
      <c r="D61" s="77" t="s">
        <v>370</v>
      </c>
      <c r="E61" s="77" t="s">
        <v>374</v>
      </c>
      <c r="F61" s="77" t="s">
        <v>375</v>
      </c>
      <c r="G61" s="78"/>
      <c r="H61" s="78">
        <v>94836</v>
      </c>
      <c r="I61" s="78">
        <v>107398</v>
      </c>
      <c r="J61" s="78">
        <f>12562*5</f>
        <v>62810</v>
      </c>
      <c r="K61" s="75">
        <f t="shared" si="10"/>
        <v>170208</v>
      </c>
      <c r="L61" s="75">
        <f t="shared" si="12"/>
        <v>-75372</v>
      </c>
      <c r="M61" s="98">
        <f>K61</f>
        <v>170208</v>
      </c>
    </row>
    <row r="62" spans="1:13" s="67" customFormat="1" ht="10.5" hidden="1" customHeight="1" outlineLevel="2" x14ac:dyDescent="0.25">
      <c r="A62" s="95" t="s">
        <v>367</v>
      </c>
      <c r="B62" s="74" t="s">
        <v>376</v>
      </c>
      <c r="C62" s="74"/>
      <c r="D62" s="74"/>
      <c r="E62" s="74"/>
      <c r="F62" s="74"/>
      <c r="G62" s="75"/>
      <c r="H62" s="75"/>
      <c r="I62" s="74">
        <v>15272</v>
      </c>
      <c r="J62" s="75"/>
      <c r="K62" s="75">
        <f t="shared" si="10"/>
        <v>15272</v>
      </c>
      <c r="L62" s="75">
        <f t="shared" si="12"/>
        <v>-15272</v>
      </c>
      <c r="M62" s="98">
        <v>0</v>
      </c>
    </row>
    <row r="63" spans="1:13" s="67" customFormat="1" ht="10.5" hidden="1" customHeight="1" outlineLevel="2" x14ac:dyDescent="0.25">
      <c r="A63" s="95" t="s">
        <v>367</v>
      </c>
      <c r="B63" s="74" t="s">
        <v>312</v>
      </c>
      <c r="C63" s="74" t="s">
        <v>377</v>
      </c>
      <c r="D63" s="74" t="s">
        <v>370</v>
      </c>
      <c r="E63" s="74" t="s">
        <v>282</v>
      </c>
      <c r="F63" s="74" t="s">
        <v>378</v>
      </c>
      <c r="G63" s="75"/>
      <c r="H63" s="75">
        <f>89655+1022</f>
        <v>90677</v>
      </c>
      <c r="I63" s="75">
        <v>72430</v>
      </c>
      <c r="J63" s="75">
        <f>12653*5</f>
        <v>63265</v>
      </c>
      <c r="K63" s="75">
        <f t="shared" si="10"/>
        <v>135695</v>
      </c>
      <c r="L63" s="75">
        <f t="shared" si="12"/>
        <v>-45018</v>
      </c>
      <c r="M63" s="98">
        <f>K63</f>
        <v>135695</v>
      </c>
    </row>
    <row r="64" spans="1:13" s="67" customFormat="1" ht="10.5" hidden="1" customHeight="1" outlineLevel="2" x14ac:dyDescent="0.25">
      <c r="A64" s="95" t="s">
        <v>367</v>
      </c>
      <c r="B64" s="74" t="s">
        <v>376</v>
      </c>
      <c r="C64" s="74"/>
      <c r="D64" s="74"/>
      <c r="E64" s="74"/>
      <c r="F64" s="74"/>
      <c r="G64" s="74"/>
      <c r="H64" s="75"/>
      <c r="I64" s="75">
        <v>69904</v>
      </c>
      <c r="J64" s="75">
        <f>I64/7*5</f>
        <v>49931.428571428565</v>
      </c>
      <c r="K64" s="75">
        <f t="shared" si="10"/>
        <v>119835.42857142857</v>
      </c>
      <c r="L64" s="75">
        <f t="shared" si="12"/>
        <v>-119835.42857142857</v>
      </c>
      <c r="M64" s="98">
        <f>K64</f>
        <v>119835.42857142857</v>
      </c>
    </row>
    <row r="65" spans="1:13" s="67" customFormat="1" ht="10.5" hidden="1" customHeight="1" outlineLevel="2" x14ac:dyDescent="0.25">
      <c r="A65" s="95" t="s">
        <v>367</v>
      </c>
      <c r="B65" s="74" t="s">
        <v>488</v>
      </c>
      <c r="C65" s="77" t="s">
        <v>379</v>
      </c>
      <c r="D65" s="77" t="s">
        <v>370</v>
      </c>
      <c r="E65" s="74"/>
      <c r="F65" s="77" t="s">
        <v>380</v>
      </c>
      <c r="G65" s="77"/>
      <c r="H65" s="78">
        <v>42118</v>
      </c>
      <c r="I65" s="78">
        <v>24908</v>
      </c>
      <c r="J65" s="78">
        <f>3588*5</f>
        <v>17940</v>
      </c>
      <c r="K65" s="78">
        <f t="shared" si="10"/>
        <v>42848</v>
      </c>
      <c r="L65" s="78">
        <f t="shared" si="12"/>
        <v>-730</v>
      </c>
      <c r="M65" s="98">
        <f>K65</f>
        <v>42848</v>
      </c>
    </row>
    <row r="66" spans="1:13" s="67" customFormat="1" ht="10.5" hidden="1" customHeight="1" outlineLevel="2" x14ac:dyDescent="0.25">
      <c r="A66" s="95" t="s">
        <v>367</v>
      </c>
      <c r="B66" s="74" t="s">
        <v>381</v>
      </c>
      <c r="C66" s="74" t="s">
        <v>382</v>
      </c>
      <c r="D66" s="74" t="s">
        <v>383</v>
      </c>
      <c r="E66" s="74"/>
      <c r="F66" s="74" t="s">
        <v>384</v>
      </c>
      <c r="G66" s="74"/>
      <c r="H66" s="75">
        <v>76644</v>
      </c>
      <c r="I66" s="75"/>
      <c r="J66" s="75">
        <f>7702*5</f>
        <v>38510</v>
      </c>
      <c r="K66" s="75">
        <f t="shared" si="10"/>
        <v>38510</v>
      </c>
      <c r="L66" s="75">
        <f t="shared" si="12"/>
        <v>38134</v>
      </c>
      <c r="M66" s="98">
        <f>7702*12</f>
        <v>92424</v>
      </c>
    </row>
    <row r="67" spans="1:13" s="67" customFormat="1" ht="10.5" hidden="1" customHeight="1" outlineLevel="2" x14ac:dyDescent="0.25">
      <c r="A67" s="95" t="s">
        <v>367</v>
      </c>
      <c r="B67" s="74" t="s">
        <v>488</v>
      </c>
      <c r="C67" s="77" t="s">
        <v>385</v>
      </c>
      <c r="D67" s="77" t="s">
        <v>314</v>
      </c>
      <c r="E67" s="77" t="s">
        <v>291</v>
      </c>
      <c r="F67" s="77" t="s">
        <v>386</v>
      </c>
      <c r="G67" s="77"/>
      <c r="H67" s="78"/>
      <c r="I67" s="78">
        <v>52981</v>
      </c>
      <c r="J67" s="78">
        <f>7702*5</f>
        <v>38510</v>
      </c>
      <c r="K67" s="75">
        <f t="shared" si="10"/>
        <v>91491</v>
      </c>
      <c r="L67" s="75">
        <f t="shared" si="12"/>
        <v>-91491</v>
      </c>
      <c r="M67" s="98">
        <f>K67</f>
        <v>91491</v>
      </c>
    </row>
    <row r="68" spans="1:13" s="67" customFormat="1" ht="10.5" hidden="1" customHeight="1" outlineLevel="2" x14ac:dyDescent="0.25">
      <c r="A68" s="95" t="s">
        <v>367</v>
      </c>
      <c r="B68" s="74" t="s">
        <v>333</v>
      </c>
      <c r="C68" s="74" t="s">
        <v>387</v>
      </c>
      <c r="D68" s="74" t="s">
        <v>388</v>
      </c>
      <c r="E68" s="74" t="s">
        <v>296</v>
      </c>
      <c r="F68" s="74" t="s">
        <v>355</v>
      </c>
      <c r="G68" s="74"/>
      <c r="H68" s="75">
        <v>26068</v>
      </c>
      <c r="I68" s="75">
        <f>2397*7</f>
        <v>16779</v>
      </c>
      <c r="J68" s="75">
        <f>2397*5</f>
        <v>11985</v>
      </c>
      <c r="K68" s="75">
        <f t="shared" si="10"/>
        <v>28764</v>
      </c>
      <c r="L68" s="75">
        <f t="shared" si="12"/>
        <v>-2696</v>
      </c>
      <c r="M68" s="98">
        <f>K68</f>
        <v>28764</v>
      </c>
    </row>
    <row r="69" spans="1:13" s="67" customFormat="1" ht="10.5" hidden="1" customHeight="1" outlineLevel="2" x14ac:dyDescent="0.25">
      <c r="A69" s="95" t="s">
        <v>367</v>
      </c>
      <c r="B69" s="74" t="s">
        <v>488</v>
      </c>
      <c r="C69" s="77" t="s">
        <v>389</v>
      </c>
      <c r="D69" s="77" t="s">
        <v>390</v>
      </c>
      <c r="E69" s="77" t="s">
        <v>391</v>
      </c>
      <c r="F69" s="77" t="s">
        <v>392</v>
      </c>
      <c r="G69" s="77"/>
      <c r="H69" s="78"/>
      <c r="I69" s="78"/>
      <c r="J69" s="78">
        <f>3230*5</f>
        <v>16150</v>
      </c>
      <c r="K69" s="75">
        <f t="shared" si="10"/>
        <v>16150</v>
      </c>
      <c r="L69" s="75">
        <f t="shared" si="12"/>
        <v>-16150</v>
      </c>
      <c r="M69" s="98">
        <f>3230*12</f>
        <v>38760</v>
      </c>
    </row>
    <row r="70" spans="1:13" s="67" customFormat="1" ht="10.5" hidden="1" customHeight="1" outlineLevel="2" x14ac:dyDescent="0.25">
      <c r="A70" s="95" t="s">
        <v>367</v>
      </c>
      <c r="B70" s="74" t="s">
        <v>488</v>
      </c>
      <c r="C70" s="77" t="s">
        <v>379</v>
      </c>
      <c r="D70" s="77"/>
      <c r="E70" s="77"/>
      <c r="F70" s="77"/>
      <c r="G70" s="77"/>
      <c r="H70" s="78"/>
      <c r="I70" s="78">
        <v>22871</v>
      </c>
      <c r="J70" s="78">
        <f>2911*5</f>
        <v>14555</v>
      </c>
      <c r="K70" s="75">
        <f t="shared" si="10"/>
        <v>37426</v>
      </c>
      <c r="L70" s="75">
        <f t="shared" ref="L70:L99" si="13">H70-K70</f>
        <v>-37426</v>
      </c>
      <c r="M70" s="98">
        <f>K70</f>
        <v>37426</v>
      </c>
    </row>
    <row r="71" spans="1:13" s="67" customFormat="1" ht="10.5" hidden="1" customHeight="1" outlineLevel="2" x14ac:dyDescent="0.25">
      <c r="A71" s="95" t="s">
        <v>367</v>
      </c>
      <c r="B71" s="74" t="s">
        <v>312</v>
      </c>
      <c r="C71" s="74" t="s">
        <v>393</v>
      </c>
      <c r="D71" s="74" t="s">
        <v>370</v>
      </c>
      <c r="E71" s="74" t="s">
        <v>296</v>
      </c>
      <c r="F71" s="74" t="s">
        <v>394</v>
      </c>
      <c r="G71" s="74"/>
      <c r="H71" s="75"/>
      <c r="I71" s="75">
        <v>28000</v>
      </c>
      <c r="J71" s="75">
        <f>11700*5</f>
        <v>58500</v>
      </c>
      <c r="K71" s="75">
        <f>I71+J71</f>
        <v>86500</v>
      </c>
      <c r="L71" s="75">
        <f t="shared" si="13"/>
        <v>-86500</v>
      </c>
      <c r="M71" s="98">
        <f>K71</f>
        <v>86500</v>
      </c>
    </row>
    <row r="72" spans="1:13" s="67" customFormat="1" ht="10.5" hidden="1" customHeight="1" outlineLevel="2" x14ac:dyDescent="0.25">
      <c r="A72" s="95" t="s">
        <v>367</v>
      </c>
      <c r="B72" s="74" t="s">
        <v>363</v>
      </c>
      <c r="C72" s="74" t="s">
        <v>395</v>
      </c>
      <c r="D72" s="74" t="s">
        <v>396</v>
      </c>
      <c r="E72" s="74" t="s">
        <v>282</v>
      </c>
      <c r="F72" s="74"/>
      <c r="G72" s="74"/>
      <c r="H72" s="75">
        <v>13781</v>
      </c>
      <c r="I72" s="75">
        <v>8026</v>
      </c>
      <c r="J72" s="75">
        <f>1147*5</f>
        <v>5735</v>
      </c>
      <c r="K72" s="75">
        <f>I72+J72</f>
        <v>13761</v>
      </c>
      <c r="L72" s="75">
        <f t="shared" si="13"/>
        <v>20</v>
      </c>
      <c r="M72" s="98">
        <f>K72</f>
        <v>13761</v>
      </c>
    </row>
    <row r="73" spans="1:13" s="67" customFormat="1" ht="10.5" hidden="1" customHeight="1" outlineLevel="2" x14ac:dyDescent="0.25">
      <c r="A73" s="95" t="s">
        <v>367</v>
      </c>
      <c r="B73" s="74" t="s">
        <v>376</v>
      </c>
      <c r="C73" s="74"/>
      <c r="D73" s="74"/>
      <c r="E73" s="74"/>
      <c r="F73" s="74"/>
      <c r="G73" s="74"/>
      <c r="H73" s="75"/>
      <c r="I73" s="75">
        <v>11278</v>
      </c>
      <c r="J73" s="75"/>
      <c r="K73" s="75">
        <f t="shared" ref="K73:K92" si="14">J73+I73</f>
        <v>11278</v>
      </c>
      <c r="L73" s="75">
        <f t="shared" si="13"/>
        <v>-11278</v>
      </c>
      <c r="M73" s="98">
        <v>0</v>
      </c>
    </row>
    <row r="74" spans="1:13" s="67" customFormat="1" ht="10.5" hidden="1" customHeight="1" outlineLevel="2" x14ac:dyDescent="0.25">
      <c r="A74" s="97" t="s">
        <v>367</v>
      </c>
      <c r="B74" s="83" t="s">
        <v>487</v>
      </c>
      <c r="C74" s="83" t="s">
        <v>280</v>
      </c>
      <c r="D74" s="83" t="s">
        <v>484</v>
      </c>
      <c r="E74" s="83" t="s">
        <v>296</v>
      </c>
      <c r="F74" s="84"/>
      <c r="G74" s="84"/>
      <c r="H74" s="85">
        <v>191765</v>
      </c>
      <c r="I74" s="84"/>
      <c r="J74" s="84"/>
      <c r="K74" s="84">
        <v>182745</v>
      </c>
      <c r="L74" s="85">
        <f t="shared" si="13"/>
        <v>9020</v>
      </c>
      <c r="M74" s="98">
        <f>K74</f>
        <v>182745</v>
      </c>
    </row>
    <row r="75" spans="1:13" s="67" customFormat="1" ht="10.5" customHeight="1" outlineLevel="1" collapsed="1" x14ac:dyDescent="0.25">
      <c r="A75" s="96" t="s">
        <v>496</v>
      </c>
      <c r="B75" s="83"/>
      <c r="C75" s="83"/>
      <c r="D75" s="83"/>
      <c r="E75" s="83"/>
      <c r="F75" s="84"/>
      <c r="G75" s="84"/>
      <c r="H75" s="85">
        <f t="shared" ref="H75:M75" si="15">SUBTOTAL(9,H59:H74)</f>
        <v>597518</v>
      </c>
      <c r="I75" s="84">
        <f t="shared" si="15"/>
        <v>511400</v>
      </c>
      <c r="J75" s="84">
        <f t="shared" si="15"/>
        <v>473987.42857142858</v>
      </c>
      <c r="K75" s="84">
        <f t="shared" si="15"/>
        <v>1168132.4285714286</v>
      </c>
      <c r="L75" s="85">
        <f t="shared" si="15"/>
        <v>-570614.42857142864</v>
      </c>
      <c r="M75" s="98">
        <f t="shared" si="15"/>
        <v>1230432.4285714286</v>
      </c>
    </row>
    <row r="76" spans="1:13" s="67" customFormat="1" ht="10.5" customHeight="1" outlineLevel="2" x14ac:dyDescent="0.25">
      <c r="A76" s="67" t="s">
        <v>397</v>
      </c>
      <c r="B76" s="74" t="s">
        <v>231</v>
      </c>
      <c r="C76" s="74" t="s">
        <v>398</v>
      </c>
      <c r="D76" s="74" t="s">
        <v>347</v>
      </c>
      <c r="E76" s="74" t="s">
        <v>291</v>
      </c>
      <c r="F76" s="74" t="s">
        <v>291</v>
      </c>
      <c r="G76" s="75"/>
      <c r="H76" s="75">
        <v>64898</v>
      </c>
      <c r="I76" s="75">
        <v>21768</v>
      </c>
      <c r="J76" s="75">
        <f>3591*5</f>
        <v>17955</v>
      </c>
      <c r="K76" s="75">
        <f t="shared" si="14"/>
        <v>39723</v>
      </c>
      <c r="L76" s="75">
        <f>H76-K76</f>
        <v>25175</v>
      </c>
      <c r="M76" s="98">
        <f t="shared" ref="M76:M83" si="16">K76</f>
        <v>39723</v>
      </c>
    </row>
    <row r="77" spans="1:13" s="67" customFormat="1" ht="10.5" customHeight="1" outlineLevel="2" x14ac:dyDescent="0.25">
      <c r="A77" s="67" t="s">
        <v>397</v>
      </c>
      <c r="B77" s="74" t="s">
        <v>231</v>
      </c>
      <c r="C77" s="74" t="s">
        <v>399</v>
      </c>
      <c r="D77" s="74" t="s">
        <v>347</v>
      </c>
      <c r="E77" s="74" t="s">
        <v>291</v>
      </c>
      <c r="F77" s="74" t="s">
        <v>291</v>
      </c>
      <c r="G77" s="75"/>
      <c r="H77" s="75">
        <v>64898</v>
      </c>
      <c r="I77" s="75">
        <v>21734</v>
      </c>
      <c r="J77" s="75">
        <f>4266*5</f>
        <v>21330</v>
      </c>
      <c r="K77" s="75">
        <f t="shared" si="14"/>
        <v>43064</v>
      </c>
      <c r="L77" s="75">
        <f t="shared" si="13"/>
        <v>21834</v>
      </c>
      <c r="M77" s="98">
        <f t="shared" si="16"/>
        <v>43064</v>
      </c>
    </row>
    <row r="78" spans="1:13" s="67" customFormat="1" ht="10.5" customHeight="1" outlineLevel="2" x14ac:dyDescent="0.25">
      <c r="A78" s="67" t="s">
        <v>397</v>
      </c>
      <c r="B78" s="74" t="s">
        <v>231</v>
      </c>
      <c r="C78" s="74" t="s">
        <v>400</v>
      </c>
      <c r="D78" s="74" t="s">
        <v>347</v>
      </c>
      <c r="E78" s="74" t="s">
        <v>291</v>
      </c>
      <c r="F78" s="74" t="s">
        <v>291</v>
      </c>
      <c r="G78" s="74"/>
      <c r="H78" s="75">
        <v>55447</v>
      </c>
      <c r="I78" s="75">
        <v>38375</v>
      </c>
      <c r="J78" s="75">
        <f>4266*5</f>
        <v>21330</v>
      </c>
      <c r="K78" s="75">
        <f t="shared" si="14"/>
        <v>59705</v>
      </c>
      <c r="L78" s="75">
        <f t="shared" si="13"/>
        <v>-4258</v>
      </c>
      <c r="M78" s="98">
        <f t="shared" si="16"/>
        <v>59705</v>
      </c>
    </row>
    <row r="79" spans="1:13" s="67" customFormat="1" ht="10.5" customHeight="1" outlineLevel="2" x14ac:dyDescent="0.25">
      <c r="A79" s="67" t="s">
        <v>397</v>
      </c>
      <c r="B79" s="74" t="s">
        <v>231</v>
      </c>
      <c r="C79" s="74" t="s">
        <v>401</v>
      </c>
      <c r="D79" s="74" t="s">
        <v>347</v>
      </c>
      <c r="E79" s="74" t="s">
        <v>291</v>
      </c>
      <c r="F79" s="74" t="s">
        <v>291</v>
      </c>
      <c r="G79" s="74"/>
      <c r="H79" s="75">
        <v>55447</v>
      </c>
      <c r="I79" s="75">
        <v>38375</v>
      </c>
      <c r="J79" s="75">
        <f>4613*5</f>
        <v>23065</v>
      </c>
      <c r="K79" s="75">
        <f t="shared" si="14"/>
        <v>61440</v>
      </c>
      <c r="L79" s="75">
        <f t="shared" si="13"/>
        <v>-5993</v>
      </c>
      <c r="M79" s="98">
        <f t="shared" si="16"/>
        <v>61440</v>
      </c>
    </row>
    <row r="80" spans="1:13" s="67" customFormat="1" ht="10.5" customHeight="1" outlineLevel="2" x14ac:dyDescent="0.25">
      <c r="A80" s="67" t="s">
        <v>397</v>
      </c>
      <c r="B80" s="74" t="s">
        <v>231</v>
      </c>
      <c r="C80" s="74" t="s">
        <v>402</v>
      </c>
      <c r="D80" s="74" t="s">
        <v>347</v>
      </c>
      <c r="E80" s="74" t="s">
        <v>291</v>
      </c>
      <c r="F80" s="74" t="s">
        <v>291</v>
      </c>
      <c r="G80" s="74"/>
      <c r="H80" s="75">
        <v>55447</v>
      </c>
      <c r="I80" s="75">
        <v>38375</v>
      </c>
      <c r="J80" s="75">
        <f>4547*5</f>
        <v>22735</v>
      </c>
      <c r="K80" s="75">
        <f t="shared" si="14"/>
        <v>61110</v>
      </c>
      <c r="L80" s="75">
        <f t="shared" si="13"/>
        <v>-5663</v>
      </c>
      <c r="M80" s="98">
        <f t="shared" si="16"/>
        <v>61110</v>
      </c>
    </row>
    <row r="81" spans="1:14" s="67" customFormat="1" ht="10.5" customHeight="1" outlineLevel="2" x14ac:dyDescent="0.25">
      <c r="A81" s="67" t="s">
        <v>397</v>
      </c>
      <c r="B81" s="74" t="s">
        <v>231</v>
      </c>
      <c r="C81" s="74" t="s">
        <v>403</v>
      </c>
      <c r="D81" s="74" t="s">
        <v>347</v>
      </c>
      <c r="E81" s="74"/>
      <c r="F81" s="74" t="s">
        <v>291</v>
      </c>
      <c r="G81" s="74"/>
      <c r="H81" s="75">
        <v>58795</v>
      </c>
      <c r="I81" s="75">
        <v>37266</v>
      </c>
      <c r="J81" s="75">
        <f>4828*5</f>
        <v>24140</v>
      </c>
      <c r="K81" s="75">
        <f t="shared" si="14"/>
        <v>61406</v>
      </c>
      <c r="L81" s="75">
        <f t="shared" si="13"/>
        <v>-2611</v>
      </c>
      <c r="M81" s="98">
        <f t="shared" si="16"/>
        <v>61406</v>
      </c>
    </row>
    <row r="82" spans="1:14" s="67" customFormat="1" ht="10.5" customHeight="1" outlineLevel="2" x14ac:dyDescent="0.25">
      <c r="A82" s="67" t="s">
        <v>397</v>
      </c>
      <c r="B82" s="74" t="s">
        <v>231</v>
      </c>
      <c r="C82" s="74" t="s">
        <v>404</v>
      </c>
      <c r="D82" s="74" t="s">
        <v>347</v>
      </c>
      <c r="E82" s="74"/>
      <c r="F82" s="74" t="s">
        <v>291</v>
      </c>
      <c r="G82" s="74"/>
      <c r="H82" s="75">
        <v>58795</v>
      </c>
      <c r="I82" s="75">
        <v>37266</v>
      </c>
      <c r="J82" s="75">
        <f>5109*5</f>
        <v>25545</v>
      </c>
      <c r="K82" s="75">
        <f t="shared" si="14"/>
        <v>62811</v>
      </c>
      <c r="L82" s="75">
        <f t="shared" si="13"/>
        <v>-4016</v>
      </c>
      <c r="M82" s="98">
        <f t="shared" si="16"/>
        <v>62811</v>
      </c>
    </row>
    <row r="83" spans="1:14" s="67" customFormat="1" ht="10.5" customHeight="1" outlineLevel="2" x14ac:dyDescent="0.25">
      <c r="A83" s="67" t="s">
        <v>397</v>
      </c>
      <c r="B83" s="74" t="s">
        <v>231</v>
      </c>
      <c r="C83" s="74" t="s">
        <v>405</v>
      </c>
      <c r="D83" s="74" t="s">
        <v>347</v>
      </c>
      <c r="E83" s="74"/>
      <c r="F83" s="74" t="s">
        <v>291</v>
      </c>
      <c r="G83" s="74"/>
      <c r="H83" s="75">
        <v>58797</v>
      </c>
      <c r="I83" s="75">
        <v>37267</v>
      </c>
      <c r="J83" s="75">
        <f>4660*5</f>
        <v>23300</v>
      </c>
      <c r="K83" s="75">
        <f t="shared" si="14"/>
        <v>60567</v>
      </c>
      <c r="L83" s="75">
        <f t="shared" si="13"/>
        <v>-1770</v>
      </c>
      <c r="M83" s="98">
        <f t="shared" si="16"/>
        <v>60567</v>
      </c>
    </row>
    <row r="84" spans="1:14" s="67" customFormat="1" ht="10.5" customHeight="1" outlineLevel="2" x14ac:dyDescent="0.25">
      <c r="A84" s="67" t="s">
        <v>397</v>
      </c>
      <c r="B84" s="74" t="s">
        <v>406</v>
      </c>
      <c r="C84" s="74"/>
      <c r="D84" s="74"/>
      <c r="E84" s="74"/>
      <c r="F84" s="74"/>
      <c r="G84" s="74"/>
      <c r="H84" s="75">
        <v>48903</v>
      </c>
      <c r="I84" s="75">
        <v>11722</v>
      </c>
      <c r="J84" s="75"/>
      <c r="K84" s="75">
        <f t="shared" si="14"/>
        <v>11722</v>
      </c>
      <c r="L84" s="75">
        <f t="shared" si="13"/>
        <v>37181</v>
      </c>
      <c r="M84" s="98"/>
    </row>
    <row r="85" spans="1:14" s="67" customFormat="1" ht="10.5" customHeight="1" outlineLevel="2" x14ac:dyDescent="0.25">
      <c r="A85" s="67" t="s">
        <v>397</v>
      </c>
      <c r="B85" s="74" t="s">
        <v>407</v>
      </c>
      <c r="C85" s="74"/>
      <c r="D85" s="74"/>
      <c r="E85" s="74"/>
      <c r="F85" s="74" t="s">
        <v>408</v>
      </c>
      <c r="G85" s="74"/>
      <c r="H85" s="75"/>
      <c r="I85" s="75"/>
      <c r="J85" s="75"/>
      <c r="K85" s="75">
        <f t="shared" si="14"/>
        <v>0</v>
      </c>
      <c r="L85" s="75">
        <f t="shared" si="13"/>
        <v>0</v>
      </c>
      <c r="M85" s="98"/>
    </row>
    <row r="86" spans="1:14" s="67" customFormat="1" ht="10.5" customHeight="1" outlineLevel="2" x14ac:dyDescent="0.25">
      <c r="A86" s="67" t="s">
        <v>397</v>
      </c>
      <c r="B86" s="74" t="s">
        <v>231</v>
      </c>
      <c r="C86" s="74" t="s">
        <v>377</v>
      </c>
      <c r="D86" s="74" t="s">
        <v>347</v>
      </c>
      <c r="E86" s="74" t="s">
        <v>291</v>
      </c>
      <c r="F86" s="74" t="s">
        <v>291</v>
      </c>
      <c r="G86" s="74"/>
      <c r="H86" s="75">
        <f>60292+2112</f>
        <v>62404</v>
      </c>
      <c r="I86" s="75">
        <f>32981+2112+3663</f>
        <v>38756</v>
      </c>
      <c r="J86" s="75">
        <f>4826*5</f>
        <v>24130</v>
      </c>
      <c r="K86" s="75">
        <f t="shared" si="14"/>
        <v>62886</v>
      </c>
      <c r="L86" s="75">
        <f t="shared" si="13"/>
        <v>-482</v>
      </c>
      <c r="M86" s="98">
        <f>K86</f>
        <v>62886</v>
      </c>
    </row>
    <row r="87" spans="1:14" s="67" customFormat="1" ht="10.5" customHeight="1" outlineLevel="2" x14ac:dyDescent="0.25">
      <c r="A87" s="67" t="s">
        <v>397</v>
      </c>
      <c r="B87" s="74" t="s">
        <v>409</v>
      </c>
      <c r="C87" s="74" t="s">
        <v>410</v>
      </c>
      <c r="D87" s="74" t="s">
        <v>411</v>
      </c>
      <c r="E87" s="74" t="s">
        <v>291</v>
      </c>
      <c r="F87" s="74" t="s">
        <v>291</v>
      </c>
      <c r="G87" s="74"/>
      <c r="H87" s="75">
        <v>14834</v>
      </c>
      <c r="I87" s="75">
        <f>32145+4513</f>
        <v>36658</v>
      </c>
      <c r="J87" s="75">
        <f>3096*5</f>
        <v>15480</v>
      </c>
      <c r="K87" s="75">
        <f t="shared" si="14"/>
        <v>52138</v>
      </c>
      <c r="L87" s="75">
        <f t="shared" si="13"/>
        <v>-37304</v>
      </c>
      <c r="M87" s="98">
        <f>K87</f>
        <v>52138</v>
      </c>
    </row>
    <row r="88" spans="1:14" s="67" customFormat="1" ht="10.5" customHeight="1" outlineLevel="2" x14ac:dyDescent="0.25">
      <c r="A88" s="67" t="s">
        <v>397</v>
      </c>
      <c r="B88" s="74" t="s">
        <v>409</v>
      </c>
      <c r="C88" s="74" t="s">
        <v>412</v>
      </c>
      <c r="D88" s="74" t="s">
        <v>413</v>
      </c>
      <c r="E88" s="74" t="s">
        <v>291</v>
      </c>
      <c r="F88" s="74" t="s">
        <v>291</v>
      </c>
      <c r="G88" s="74"/>
      <c r="H88" s="75">
        <v>26414</v>
      </c>
      <c r="I88" s="75">
        <f>17648+15298</f>
        <v>32946</v>
      </c>
      <c r="J88" s="75">
        <f>2414*5</f>
        <v>12070</v>
      </c>
      <c r="K88" s="75">
        <f t="shared" si="14"/>
        <v>45016</v>
      </c>
      <c r="L88" s="75">
        <f t="shared" si="13"/>
        <v>-18602</v>
      </c>
      <c r="M88" s="98">
        <f>K88</f>
        <v>45016</v>
      </c>
    </row>
    <row r="89" spans="1:14" s="67" customFormat="1" ht="10.5" customHeight="1" outlineLevel="2" x14ac:dyDescent="0.25">
      <c r="A89" s="67" t="s">
        <v>397</v>
      </c>
      <c r="B89" s="74" t="s">
        <v>231</v>
      </c>
      <c r="C89" s="74" t="s">
        <v>414</v>
      </c>
      <c r="D89" s="74" t="s">
        <v>347</v>
      </c>
      <c r="E89" s="74" t="s">
        <v>291</v>
      </c>
      <c r="F89" s="74" t="s">
        <v>291</v>
      </c>
      <c r="G89" s="74"/>
      <c r="H89" s="75">
        <v>66274</v>
      </c>
      <c r="I89" s="75">
        <v>36940</v>
      </c>
      <c r="J89" s="75">
        <f>4547*5</f>
        <v>22735</v>
      </c>
      <c r="K89" s="75">
        <f t="shared" si="14"/>
        <v>59675</v>
      </c>
      <c r="L89" s="75">
        <f t="shared" si="13"/>
        <v>6599</v>
      </c>
      <c r="M89" s="98">
        <f>K89</f>
        <v>59675</v>
      </c>
      <c r="N89" s="79"/>
    </row>
    <row r="90" spans="1:14" s="67" customFormat="1" ht="10.5" customHeight="1" outlineLevel="2" x14ac:dyDescent="0.25">
      <c r="A90" s="67" t="s">
        <v>397</v>
      </c>
      <c r="B90" s="74" t="s">
        <v>489</v>
      </c>
      <c r="C90" s="77" t="s">
        <v>415</v>
      </c>
      <c r="D90" s="77" t="s">
        <v>411</v>
      </c>
      <c r="E90" s="74"/>
      <c r="F90" s="77" t="s">
        <v>416</v>
      </c>
      <c r="G90" s="77"/>
      <c r="H90" s="78"/>
      <c r="I90" s="78"/>
      <c r="J90" s="78"/>
      <c r="K90" s="75">
        <f t="shared" si="14"/>
        <v>0</v>
      </c>
      <c r="L90" s="75">
        <f t="shared" si="13"/>
        <v>0</v>
      </c>
      <c r="M90" s="98"/>
    </row>
    <row r="91" spans="1:14" s="67" customFormat="1" ht="10.5" customHeight="1" outlineLevel="2" x14ac:dyDescent="0.25">
      <c r="A91" s="67" t="s">
        <v>397</v>
      </c>
      <c r="B91" s="74" t="s">
        <v>489</v>
      </c>
      <c r="C91" s="77" t="s">
        <v>417</v>
      </c>
      <c r="D91" s="77" t="s">
        <v>347</v>
      </c>
      <c r="E91" s="77" t="s">
        <v>291</v>
      </c>
      <c r="F91" s="77" t="s">
        <v>418</v>
      </c>
      <c r="G91" s="77"/>
      <c r="H91" s="78"/>
      <c r="I91" s="78"/>
      <c r="J91" s="78">
        <f>2805*5</f>
        <v>14025</v>
      </c>
      <c r="K91" s="75">
        <f t="shared" si="14"/>
        <v>14025</v>
      </c>
      <c r="L91" s="75">
        <f t="shared" si="13"/>
        <v>-14025</v>
      </c>
      <c r="M91" s="98">
        <f>J91/5*12</f>
        <v>33660</v>
      </c>
    </row>
    <row r="92" spans="1:14" s="67" customFormat="1" ht="10.5" customHeight="1" outlineLevel="2" x14ac:dyDescent="0.25">
      <c r="A92" s="67" t="s">
        <v>397</v>
      </c>
      <c r="B92" s="74" t="s">
        <v>231</v>
      </c>
      <c r="C92" s="74" t="s">
        <v>419</v>
      </c>
      <c r="D92" s="74" t="s">
        <v>347</v>
      </c>
      <c r="E92" s="74" t="s">
        <v>291</v>
      </c>
      <c r="F92" s="74" t="s">
        <v>291</v>
      </c>
      <c r="G92" s="74"/>
      <c r="H92" s="75">
        <v>66022</v>
      </c>
      <c r="I92" s="75">
        <f>42091+7179</f>
        <v>49270</v>
      </c>
      <c r="J92" s="75">
        <f>5671*5</f>
        <v>28355</v>
      </c>
      <c r="K92" s="75">
        <f t="shared" si="14"/>
        <v>77625</v>
      </c>
      <c r="L92" s="75">
        <f t="shared" si="13"/>
        <v>-11603</v>
      </c>
      <c r="M92" s="98">
        <f>K92</f>
        <v>77625</v>
      </c>
    </row>
    <row r="93" spans="1:14" s="67" customFormat="1" ht="10.5" customHeight="1" outlineLevel="2" x14ac:dyDescent="0.25">
      <c r="A93" s="67" t="s">
        <v>397</v>
      </c>
      <c r="B93" s="74" t="s">
        <v>231</v>
      </c>
      <c r="C93" s="74" t="s">
        <v>420</v>
      </c>
      <c r="D93" s="74" t="s">
        <v>347</v>
      </c>
      <c r="E93" s="74" t="s">
        <v>291</v>
      </c>
      <c r="F93" s="74" t="s">
        <v>291</v>
      </c>
      <c r="G93" s="74"/>
      <c r="H93" s="75">
        <v>57838</v>
      </c>
      <c r="I93" s="75">
        <v>34634</v>
      </c>
      <c r="J93" s="75">
        <f>5110*5</f>
        <v>25550</v>
      </c>
      <c r="K93" s="75">
        <f>I93+J93</f>
        <v>60184</v>
      </c>
      <c r="L93" s="75">
        <f t="shared" si="13"/>
        <v>-2346</v>
      </c>
      <c r="M93" s="98">
        <f>K93</f>
        <v>60184</v>
      </c>
    </row>
    <row r="94" spans="1:14" s="67" customFormat="1" ht="10.5" customHeight="1" outlineLevel="2" x14ac:dyDescent="0.25">
      <c r="A94" s="67" t="s">
        <v>397</v>
      </c>
      <c r="B94" s="80" t="s">
        <v>421</v>
      </c>
      <c r="C94" s="74"/>
      <c r="D94" s="74"/>
      <c r="E94" s="74"/>
      <c r="F94" s="74" t="s">
        <v>422</v>
      </c>
      <c r="G94" s="74"/>
      <c r="H94" s="75"/>
      <c r="I94" s="75"/>
      <c r="J94" s="75"/>
      <c r="K94" s="75">
        <v>6000</v>
      </c>
      <c r="L94" s="75">
        <f t="shared" si="13"/>
        <v>-6000</v>
      </c>
      <c r="M94" s="98">
        <v>6000</v>
      </c>
    </row>
    <row r="95" spans="1:14" s="67" customFormat="1" ht="10.5" customHeight="1" outlineLevel="2" x14ac:dyDescent="0.25">
      <c r="A95" s="67" t="s">
        <v>397</v>
      </c>
      <c r="B95" s="80" t="s">
        <v>423</v>
      </c>
      <c r="C95" s="74"/>
      <c r="D95" s="74"/>
      <c r="E95" s="74"/>
      <c r="F95" s="74" t="s">
        <v>424</v>
      </c>
      <c r="G95" s="74"/>
      <c r="H95" s="75"/>
      <c r="I95" s="75"/>
      <c r="J95" s="75"/>
      <c r="K95" s="75">
        <v>10000</v>
      </c>
      <c r="L95" s="75">
        <f t="shared" si="13"/>
        <v>-10000</v>
      </c>
      <c r="M95" s="98">
        <v>10000</v>
      </c>
    </row>
    <row r="96" spans="1:14" s="67" customFormat="1" ht="10.5" customHeight="1" outlineLevel="2" x14ac:dyDescent="0.25">
      <c r="A96" s="67" t="s">
        <v>397</v>
      </c>
      <c r="B96" s="74" t="s">
        <v>231</v>
      </c>
      <c r="C96" s="74" t="s">
        <v>425</v>
      </c>
      <c r="D96" s="74" t="s">
        <v>347</v>
      </c>
      <c r="E96" s="74"/>
      <c r="F96" s="74" t="s">
        <v>291</v>
      </c>
      <c r="G96" s="74"/>
      <c r="H96" s="75">
        <v>55915</v>
      </c>
      <c r="I96" s="75">
        <f>5127*7</f>
        <v>35889</v>
      </c>
      <c r="J96" s="75">
        <f>5127*5</f>
        <v>25635</v>
      </c>
      <c r="K96" s="75">
        <f>J96+I96</f>
        <v>61524</v>
      </c>
      <c r="L96" s="75">
        <f t="shared" si="13"/>
        <v>-5609</v>
      </c>
      <c r="M96" s="98">
        <f>K96</f>
        <v>61524</v>
      </c>
    </row>
    <row r="97" spans="1:13" s="67" customFormat="1" ht="10.5" customHeight="1" outlineLevel="2" x14ac:dyDescent="0.25">
      <c r="A97" s="67" t="s">
        <v>397</v>
      </c>
      <c r="B97" s="74" t="s">
        <v>231</v>
      </c>
      <c r="C97" s="74" t="s">
        <v>426</v>
      </c>
      <c r="D97" s="74" t="s">
        <v>347</v>
      </c>
      <c r="E97" s="74"/>
      <c r="F97" s="74" t="s">
        <v>291</v>
      </c>
      <c r="G97" s="74"/>
      <c r="H97" s="75">
        <v>62821</v>
      </c>
      <c r="I97" s="75">
        <v>41044</v>
      </c>
      <c r="J97" s="75">
        <f>5109*5</f>
        <v>25545</v>
      </c>
      <c r="K97" s="75">
        <f>J97+I97</f>
        <v>66589</v>
      </c>
      <c r="L97" s="75">
        <f t="shared" si="13"/>
        <v>-3768</v>
      </c>
      <c r="M97" s="98">
        <f>K97</f>
        <v>66589</v>
      </c>
    </row>
    <row r="98" spans="1:13" s="67" customFormat="1" ht="10.5" customHeight="1" outlineLevel="1" x14ac:dyDescent="0.25">
      <c r="A98" s="71" t="s">
        <v>497</v>
      </c>
      <c r="B98" s="74"/>
      <c r="C98" s="74"/>
      <c r="D98" s="74"/>
      <c r="E98" s="74"/>
      <c r="F98" s="74"/>
      <c r="G98" s="74"/>
      <c r="H98" s="75">
        <f t="shared" ref="H98:M98" si="17">SUBTOTAL(9,H76:H97)</f>
        <v>933949</v>
      </c>
      <c r="I98" s="75">
        <f t="shared" si="17"/>
        <v>588285</v>
      </c>
      <c r="J98" s="75">
        <f t="shared" si="17"/>
        <v>372925</v>
      </c>
      <c r="K98" s="75">
        <f t="shared" si="17"/>
        <v>977210</v>
      </c>
      <c r="L98" s="75">
        <f t="shared" si="17"/>
        <v>-43261</v>
      </c>
      <c r="M98" s="98">
        <f t="shared" si="17"/>
        <v>985123</v>
      </c>
    </row>
    <row r="99" spans="1:13" s="67" customFormat="1" ht="10.5" customHeight="1" outlineLevel="2" x14ac:dyDescent="0.25">
      <c r="A99" s="95" t="s">
        <v>427</v>
      </c>
      <c r="B99" s="74" t="s">
        <v>231</v>
      </c>
      <c r="C99" s="74" t="s">
        <v>428</v>
      </c>
      <c r="D99" s="74" t="s">
        <v>429</v>
      </c>
      <c r="E99" s="74" t="s">
        <v>430</v>
      </c>
      <c r="F99" s="74" t="s">
        <v>431</v>
      </c>
      <c r="G99" s="75"/>
      <c r="H99" s="75">
        <v>64890</v>
      </c>
      <c r="I99" s="75">
        <f>26742-5008</f>
        <v>21734</v>
      </c>
      <c r="J99" s="75">
        <f>3609*5</f>
        <v>18045</v>
      </c>
      <c r="K99" s="75">
        <f t="shared" ref="K99:K104" si="18">J99+I99</f>
        <v>39779</v>
      </c>
      <c r="L99" s="75">
        <f t="shared" si="13"/>
        <v>25111</v>
      </c>
      <c r="M99" s="98">
        <f>K99</f>
        <v>39779</v>
      </c>
    </row>
    <row r="100" spans="1:13" s="67" customFormat="1" ht="10.5" customHeight="1" outlineLevel="2" x14ac:dyDescent="0.25">
      <c r="A100" s="95" t="s">
        <v>427</v>
      </c>
      <c r="B100" s="74" t="s">
        <v>231</v>
      </c>
      <c r="C100" s="74" t="s">
        <v>432</v>
      </c>
      <c r="D100" s="74" t="s">
        <v>433</v>
      </c>
      <c r="E100" s="74" t="s">
        <v>282</v>
      </c>
      <c r="F100" s="74" t="s">
        <v>434</v>
      </c>
      <c r="G100" s="75"/>
      <c r="H100" s="75">
        <v>52685</v>
      </c>
      <c r="I100" s="75">
        <f>38899+16697</f>
        <v>55596</v>
      </c>
      <c r="J100" s="75">
        <f>5110*5</f>
        <v>25550</v>
      </c>
      <c r="K100" s="75">
        <f t="shared" si="18"/>
        <v>81146</v>
      </c>
      <c r="L100" s="75">
        <v>-20679</v>
      </c>
      <c r="M100" s="98">
        <f>K100</f>
        <v>81146</v>
      </c>
    </row>
    <row r="101" spans="1:13" s="67" customFormat="1" ht="10.5" customHeight="1" outlineLevel="2" x14ac:dyDescent="0.25">
      <c r="A101" s="95" t="s">
        <v>427</v>
      </c>
      <c r="B101" s="74" t="s">
        <v>231</v>
      </c>
      <c r="C101" s="74" t="s">
        <v>456</v>
      </c>
      <c r="D101" s="74" t="s">
        <v>454</v>
      </c>
      <c r="E101" s="74" t="s">
        <v>296</v>
      </c>
      <c r="F101" s="74" t="s">
        <v>457</v>
      </c>
      <c r="G101" s="75"/>
      <c r="H101" s="75">
        <v>62724</v>
      </c>
      <c r="I101" s="75">
        <v>70736</v>
      </c>
      <c r="J101" s="75">
        <f>10248*5</f>
        <v>51240</v>
      </c>
      <c r="K101" s="75">
        <f t="shared" si="18"/>
        <v>121976</v>
      </c>
      <c r="L101" s="75">
        <f>H101-K101</f>
        <v>-59252</v>
      </c>
      <c r="M101" s="98">
        <f>K101</f>
        <v>121976</v>
      </c>
    </row>
    <row r="102" spans="1:13" s="67" customFormat="1" ht="10.5" customHeight="1" outlineLevel="2" x14ac:dyDescent="0.25">
      <c r="A102" s="95" t="s">
        <v>427</v>
      </c>
      <c r="B102" s="74" t="s">
        <v>231</v>
      </c>
      <c r="C102" s="74" t="s">
        <v>458</v>
      </c>
      <c r="D102" s="74" t="s">
        <v>454</v>
      </c>
      <c r="E102" s="74" t="s">
        <v>296</v>
      </c>
      <c r="F102" s="74" t="s">
        <v>457</v>
      </c>
      <c r="G102" s="75"/>
      <c r="H102" s="75">
        <v>62724</v>
      </c>
      <c r="I102" s="75">
        <v>70736</v>
      </c>
      <c r="J102" s="75">
        <f>10248*5</f>
        <v>51240</v>
      </c>
      <c r="K102" s="75">
        <f t="shared" si="18"/>
        <v>121976</v>
      </c>
      <c r="L102" s="75">
        <f>H102-K102</f>
        <v>-59252</v>
      </c>
      <c r="M102" s="98">
        <f>K102</f>
        <v>121976</v>
      </c>
    </row>
    <row r="103" spans="1:13" s="67" customFormat="1" ht="10.5" customHeight="1" outlineLevel="2" x14ac:dyDescent="0.25">
      <c r="A103" s="95" t="s">
        <v>427</v>
      </c>
      <c r="B103" s="74" t="s">
        <v>231</v>
      </c>
      <c r="C103" s="74" t="s">
        <v>459</v>
      </c>
      <c r="D103" s="74" t="s">
        <v>460</v>
      </c>
      <c r="E103" s="74" t="s">
        <v>296</v>
      </c>
      <c r="F103" s="74" t="s">
        <v>457</v>
      </c>
      <c r="G103" s="75"/>
      <c r="H103" s="75">
        <v>62726</v>
      </c>
      <c r="I103" s="75">
        <v>70470</v>
      </c>
      <c r="J103" s="75">
        <f>10248*5</f>
        <v>51240</v>
      </c>
      <c r="K103" s="75">
        <f t="shared" si="18"/>
        <v>121710</v>
      </c>
      <c r="L103" s="75">
        <f>H103-K103</f>
        <v>-58984</v>
      </c>
      <c r="M103" s="98">
        <f>K103</f>
        <v>121710</v>
      </c>
    </row>
    <row r="104" spans="1:13" s="67" customFormat="1" ht="10.5" customHeight="1" outlineLevel="2" x14ac:dyDescent="0.25">
      <c r="A104" s="95" t="s">
        <v>427</v>
      </c>
      <c r="B104" s="74" t="s">
        <v>231</v>
      </c>
      <c r="C104" s="74" t="s">
        <v>477</v>
      </c>
      <c r="D104" s="74" t="s">
        <v>454</v>
      </c>
      <c r="E104" s="74" t="s">
        <v>478</v>
      </c>
      <c r="F104" s="74" t="s">
        <v>457</v>
      </c>
      <c r="G104" s="74"/>
      <c r="H104" s="75">
        <v>29662</v>
      </c>
      <c r="I104" s="75">
        <v>52690</v>
      </c>
      <c r="J104" s="75">
        <v>8034</v>
      </c>
      <c r="K104" s="75">
        <f t="shared" si="18"/>
        <v>60724</v>
      </c>
      <c r="L104" s="75">
        <f>H104-K104</f>
        <v>-31062</v>
      </c>
      <c r="M104" s="98">
        <v>0</v>
      </c>
    </row>
    <row r="105" spans="1:13" s="67" customFormat="1" ht="10.5" customHeight="1" outlineLevel="1" x14ac:dyDescent="0.25">
      <c r="A105" s="94" t="s">
        <v>498</v>
      </c>
      <c r="B105" s="74"/>
      <c r="C105" s="74"/>
      <c r="D105" s="74"/>
      <c r="E105" s="74"/>
      <c r="F105" s="74"/>
      <c r="G105" s="74"/>
      <c r="H105" s="75">
        <f t="shared" ref="H105:M105" si="19">SUBTOTAL(9,H99:H104)</f>
        <v>335411</v>
      </c>
      <c r="I105" s="75">
        <f t="shared" si="19"/>
        <v>341962</v>
      </c>
      <c r="J105" s="75">
        <f t="shared" si="19"/>
        <v>205349</v>
      </c>
      <c r="K105" s="75">
        <f t="shared" si="19"/>
        <v>547311</v>
      </c>
      <c r="L105" s="75">
        <f t="shared" si="19"/>
        <v>-204118</v>
      </c>
      <c r="M105" s="98">
        <f t="shared" si="19"/>
        <v>486587</v>
      </c>
    </row>
    <row r="106" spans="1:13" s="67" customFormat="1" ht="10.5" hidden="1" customHeight="1" outlineLevel="2" x14ac:dyDescent="0.25">
      <c r="A106" s="67" t="s">
        <v>435</v>
      </c>
      <c r="B106" s="74" t="s">
        <v>288</v>
      </c>
      <c r="C106" s="74" t="s">
        <v>289</v>
      </c>
      <c r="D106" s="74" t="s">
        <v>290</v>
      </c>
      <c r="E106" s="74"/>
      <c r="F106" s="74" t="s">
        <v>291</v>
      </c>
      <c r="G106" s="74"/>
      <c r="H106" s="75">
        <v>85688</v>
      </c>
      <c r="I106" s="75">
        <v>31463</v>
      </c>
      <c r="J106" s="75">
        <f>5506*5</f>
        <v>27530</v>
      </c>
      <c r="K106" s="75">
        <f t="shared" ref="K106:K114" si="20">J106+I106</f>
        <v>58993</v>
      </c>
      <c r="L106" s="75">
        <f t="shared" ref="L106:L117" si="21">H106-K106</f>
        <v>26695</v>
      </c>
      <c r="M106" s="98">
        <f t="shared" ref="M106:M115" si="22">K106</f>
        <v>58993</v>
      </c>
    </row>
    <row r="107" spans="1:13" s="67" customFormat="1" ht="10.5" hidden="1" customHeight="1" outlineLevel="2" x14ac:dyDescent="0.25">
      <c r="A107" s="67" t="s">
        <v>435</v>
      </c>
      <c r="B107" s="74" t="s">
        <v>288</v>
      </c>
      <c r="C107" s="74" t="s">
        <v>344</v>
      </c>
      <c r="D107" s="74" t="s">
        <v>314</v>
      </c>
      <c r="E107" s="74" t="s">
        <v>291</v>
      </c>
      <c r="F107" s="74" t="s">
        <v>291</v>
      </c>
      <c r="G107" s="74"/>
      <c r="H107" s="75">
        <v>55520</v>
      </c>
      <c r="I107" s="75">
        <v>32895</v>
      </c>
      <c r="J107" s="75">
        <f>4699*5</f>
        <v>23495</v>
      </c>
      <c r="K107" s="75">
        <f t="shared" si="20"/>
        <v>56390</v>
      </c>
      <c r="L107" s="75">
        <f t="shared" si="21"/>
        <v>-870</v>
      </c>
      <c r="M107" s="98">
        <f t="shared" si="22"/>
        <v>56390</v>
      </c>
    </row>
    <row r="108" spans="1:13" s="67" customFormat="1" ht="10.5" hidden="1" customHeight="1" outlineLevel="2" x14ac:dyDescent="0.25">
      <c r="A108" s="67" t="s">
        <v>435</v>
      </c>
      <c r="B108" s="74" t="s">
        <v>288</v>
      </c>
      <c r="C108" s="74" t="s">
        <v>439</v>
      </c>
      <c r="D108" s="74" t="s">
        <v>314</v>
      </c>
      <c r="E108" s="74" t="s">
        <v>291</v>
      </c>
      <c r="F108" s="74" t="s">
        <v>291</v>
      </c>
      <c r="G108" s="75"/>
      <c r="H108" s="75">
        <v>85186</v>
      </c>
      <c r="I108" s="75">
        <v>63919</v>
      </c>
      <c r="J108" s="75">
        <f>9056*5</f>
        <v>45280</v>
      </c>
      <c r="K108" s="75">
        <f t="shared" si="20"/>
        <v>109199</v>
      </c>
      <c r="L108" s="75">
        <f t="shared" si="21"/>
        <v>-24013</v>
      </c>
      <c r="M108" s="98">
        <f t="shared" si="22"/>
        <v>109199</v>
      </c>
    </row>
    <row r="109" spans="1:13" s="67" customFormat="1" ht="11.25" hidden="1" customHeight="1" outlineLevel="2" x14ac:dyDescent="0.25">
      <c r="A109" s="67" t="s">
        <v>435</v>
      </c>
      <c r="B109" s="74" t="s">
        <v>288</v>
      </c>
      <c r="C109" s="74" t="s">
        <v>440</v>
      </c>
      <c r="D109" s="74" t="s">
        <v>314</v>
      </c>
      <c r="E109" s="74" t="s">
        <v>291</v>
      </c>
      <c r="F109" s="74" t="s">
        <v>441</v>
      </c>
      <c r="G109" s="74"/>
      <c r="H109" s="75">
        <v>80526</v>
      </c>
      <c r="I109" s="75">
        <f>24278+53621</f>
        <v>77899</v>
      </c>
      <c r="J109" s="75">
        <f>6711*5</f>
        <v>33555</v>
      </c>
      <c r="K109" s="75">
        <f t="shared" si="20"/>
        <v>111454</v>
      </c>
      <c r="L109" s="75">
        <f t="shared" si="21"/>
        <v>-30928</v>
      </c>
      <c r="M109" s="98">
        <f t="shared" si="22"/>
        <v>111454</v>
      </c>
    </row>
    <row r="110" spans="1:13" s="67" customFormat="1" ht="10.5" hidden="1" customHeight="1" outlineLevel="2" x14ac:dyDescent="0.25">
      <c r="A110" s="67" t="s">
        <v>435</v>
      </c>
      <c r="B110" s="74" t="s">
        <v>442</v>
      </c>
      <c r="C110" s="74" t="s">
        <v>443</v>
      </c>
      <c r="D110" s="74" t="s">
        <v>314</v>
      </c>
      <c r="E110" s="74" t="s">
        <v>291</v>
      </c>
      <c r="F110" s="74" t="s">
        <v>291</v>
      </c>
      <c r="G110" s="74"/>
      <c r="H110" s="75">
        <v>89521</v>
      </c>
      <c r="I110" s="75">
        <v>62349</v>
      </c>
      <c r="J110" s="75">
        <f>8907*5</f>
        <v>44535</v>
      </c>
      <c r="K110" s="75">
        <f t="shared" si="20"/>
        <v>106884</v>
      </c>
      <c r="L110" s="75">
        <f t="shared" si="21"/>
        <v>-17363</v>
      </c>
      <c r="M110" s="98">
        <f t="shared" si="22"/>
        <v>106884</v>
      </c>
    </row>
    <row r="111" spans="1:13" s="67" customFormat="1" ht="10.5" hidden="1" customHeight="1" outlineLevel="2" x14ac:dyDescent="0.25">
      <c r="A111" s="67" t="s">
        <v>435</v>
      </c>
      <c r="B111" s="74" t="s">
        <v>288</v>
      </c>
      <c r="C111" s="74" t="s">
        <v>444</v>
      </c>
      <c r="D111" s="74" t="s">
        <v>314</v>
      </c>
      <c r="E111" s="74" t="s">
        <v>291</v>
      </c>
      <c r="F111" s="74" t="s">
        <v>291</v>
      </c>
      <c r="G111" s="74"/>
      <c r="H111" s="75">
        <v>47992</v>
      </c>
      <c r="I111" s="75">
        <f>36096+909</f>
        <v>37005</v>
      </c>
      <c r="J111" s="75">
        <f>4165*5</f>
        <v>20825</v>
      </c>
      <c r="K111" s="75">
        <f t="shared" si="20"/>
        <v>57830</v>
      </c>
      <c r="L111" s="75">
        <f t="shared" si="21"/>
        <v>-9838</v>
      </c>
      <c r="M111" s="98">
        <f t="shared" si="22"/>
        <v>57830</v>
      </c>
    </row>
    <row r="112" spans="1:13" s="67" customFormat="1" ht="10.5" hidden="1" customHeight="1" outlineLevel="2" x14ac:dyDescent="0.25">
      <c r="A112" s="67" t="s">
        <v>435</v>
      </c>
      <c r="B112" s="74" t="s">
        <v>442</v>
      </c>
      <c r="C112" s="74" t="s">
        <v>445</v>
      </c>
      <c r="D112" s="74" t="s">
        <v>347</v>
      </c>
      <c r="E112" s="74" t="s">
        <v>291</v>
      </c>
      <c r="F112" s="74" t="s">
        <v>291</v>
      </c>
      <c r="G112" s="74"/>
      <c r="H112" s="75">
        <v>70659</v>
      </c>
      <c r="I112" s="75">
        <v>40593</v>
      </c>
      <c r="J112" s="75">
        <f>5758*5</f>
        <v>28790</v>
      </c>
      <c r="K112" s="75">
        <f t="shared" si="20"/>
        <v>69383</v>
      </c>
      <c r="L112" s="75">
        <f t="shared" si="21"/>
        <v>1276</v>
      </c>
      <c r="M112" s="98">
        <f t="shared" si="22"/>
        <v>69383</v>
      </c>
    </row>
    <row r="113" spans="1:13" s="67" customFormat="1" ht="10.5" hidden="1" customHeight="1" outlineLevel="2" x14ac:dyDescent="0.25">
      <c r="A113" s="67" t="s">
        <v>435</v>
      </c>
      <c r="B113" s="74" t="s">
        <v>288</v>
      </c>
      <c r="C113" s="74" t="s">
        <v>446</v>
      </c>
      <c r="D113" s="74" t="s">
        <v>314</v>
      </c>
      <c r="E113" s="74" t="s">
        <v>291</v>
      </c>
      <c r="F113" s="74" t="s">
        <v>291</v>
      </c>
      <c r="G113" s="74"/>
      <c r="H113" s="75">
        <v>12273</v>
      </c>
      <c r="I113" s="75">
        <v>50966</v>
      </c>
      <c r="J113" s="75">
        <f>4810*5</f>
        <v>24050</v>
      </c>
      <c r="K113" s="75">
        <f t="shared" si="20"/>
        <v>75016</v>
      </c>
      <c r="L113" s="75">
        <f t="shared" si="21"/>
        <v>-62743</v>
      </c>
      <c r="M113" s="98">
        <f t="shared" si="22"/>
        <v>75016</v>
      </c>
    </row>
    <row r="114" spans="1:13" s="67" customFormat="1" ht="10.5" hidden="1" customHeight="1" outlineLevel="2" x14ac:dyDescent="0.25">
      <c r="A114" s="67" t="s">
        <v>435</v>
      </c>
      <c r="B114" s="74" t="s">
        <v>288</v>
      </c>
      <c r="C114" s="74" t="s">
        <v>447</v>
      </c>
      <c r="D114" s="74" t="s">
        <v>314</v>
      </c>
      <c r="E114" s="74" t="s">
        <v>291</v>
      </c>
      <c r="F114" s="74" t="s">
        <v>291</v>
      </c>
      <c r="G114" s="75"/>
      <c r="H114" s="75">
        <v>59207</v>
      </c>
      <c r="I114" s="75">
        <f>37526+8489</f>
        <v>46015</v>
      </c>
      <c r="J114" s="75">
        <f>4290*5</f>
        <v>21450</v>
      </c>
      <c r="K114" s="75">
        <f t="shared" si="20"/>
        <v>67465</v>
      </c>
      <c r="L114" s="75">
        <f t="shared" si="21"/>
        <v>-8258</v>
      </c>
      <c r="M114" s="98">
        <f t="shared" si="22"/>
        <v>67465</v>
      </c>
    </row>
    <row r="115" spans="1:13" s="67" customFormat="1" ht="10.5" hidden="1" customHeight="1" outlineLevel="2" x14ac:dyDescent="0.25">
      <c r="A115" s="67" t="s">
        <v>435</v>
      </c>
      <c r="B115" s="74" t="s">
        <v>442</v>
      </c>
      <c r="C115" s="74" t="s">
        <v>448</v>
      </c>
      <c r="D115" s="74" t="s">
        <v>347</v>
      </c>
      <c r="E115" s="74" t="s">
        <v>291</v>
      </c>
      <c r="F115" s="74" t="s">
        <v>291</v>
      </c>
      <c r="G115" s="74"/>
      <c r="H115" s="75">
        <v>63471</v>
      </c>
      <c r="I115" s="75">
        <v>38055</v>
      </c>
      <c r="J115" s="75">
        <f>5436*5</f>
        <v>27180</v>
      </c>
      <c r="K115" s="75">
        <f>I115+J115</f>
        <v>65235</v>
      </c>
      <c r="L115" s="75">
        <f t="shared" si="21"/>
        <v>-1764</v>
      </c>
      <c r="M115" s="98">
        <f t="shared" si="22"/>
        <v>65235</v>
      </c>
    </row>
    <row r="116" spans="1:13" s="67" customFormat="1" ht="10.5" hidden="1" customHeight="1" outlineLevel="2" x14ac:dyDescent="0.25">
      <c r="A116" s="67" t="s">
        <v>435</v>
      </c>
      <c r="B116" s="69" t="s">
        <v>481</v>
      </c>
      <c r="C116" s="69" t="s">
        <v>316</v>
      </c>
      <c r="D116" s="69"/>
      <c r="E116" s="69" t="s">
        <v>296</v>
      </c>
      <c r="F116" s="69"/>
      <c r="G116" s="69"/>
      <c r="H116" s="70">
        <v>10099</v>
      </c>
      <c r="I116" s="70"/>
      <c r="J116" s="70"/>
      <c r="K116" s="70"/>
      <c r="L116" s="75">
        <f t="shared" si="21"/>
        <v>10099</v>
      </c>
      <c r="M116" s="98"/>
    </row>
    <row r="117" spans="1:13" s="67" customFormat="1" ht="10.5" hidden="1" customHeight="1" outlineLevel="2" x14ac:dyDescent="0.25">
      <c r="A117" s="67" t="s">
        <v>449</v>
      </c>
      <c r="B117" s="74" t="s">
        <v>450</v>
      </c>
      <c r="C117" s="74" t="s">
        <v>451</v>
      </c>
      <c r="D117" s="74" t="s">
        <v>314</v>
      </c>
      <c r="E117" s="74" t="s">
        <v>291</v>
      </c>
      <c r="F117" s="74" t="s">
        <v>291</v>
      </c>
      <c r="G117" s="75"/>
      <c r="H117" s="75">
        <v>136505</v>
      </c>
      <c r="I117" s="75">
        <f>13506+28371</f>
        <v>41877</v>
      </c>
      <c r="J117" s="75">
        <f>4703*5</f>
        <v>23515</v>
      </c>
      <c r="K117" s="75">
        <f>J117+I117</f>
        <v>65392</v>
      </c>
      <c r="L117" s="75">
        <f t="shared" si="21"/>
        <v>71113</v>
      </c>
      <c r="M117" s="98">
        <f>K117</f>
        <v>65392</v>
      </c>
    </row>
    <row r="118" spans="1:13" s="67" customFormat="1" ht="10.5" customHeight="1" outlineLevel="1" collapsed="1" x14ac:dyDescent="0.25">
      <c r="A118" s="71" t="s">
        <v>499</v>
      </c>
      <c r="B118" s="74"/>
      <c r="C118" s="74"/>
      <c r="D118" s="74"/>
      <c r="E118" s="74"/>
      <c r="F118" s="74"/>
      <c r="G118" s="75"/>
      <c r="H118" s="75">
        <f t="shared" ref="H118:M118" si="23">SUBTOTAL(9,H106:H117)</f>
        <v>796647</v>
      </c>
      <c r="I118" s="75">
        <f t="shared" si="23"/>
        <v>523036</v>
      </c>
      <c r="J118" s="75">
        <f t="shared" si="23"/>
        <v>320205</v>
      </c>
      <c r="K118" s="75">
        <f t="shared" si="23"/>
        <v>843241</v>
      </c>
      <c r="L118" s="75">
        <f t="shared" si="23"/>
        <v>-46594</v>
      </c>
      <c r="M118" s="98">
        <f t="shared" si="23"/>
        <v>843241</v>
      </c>
    </row>
    <row r="119" spans="1:13" s="67" customFormat="1" ht="10.5" customHeight="1" outlineLevel="2" x14ac:dyDescent="0.25">
      <c r="A119" s="67" t="s">
        <v>452</v>
      </c>
      <c r="B119" s="74" t="s">
        <v>288</v>
      </c>
      <c r="C119" s="74" t="s">
        <v>453</v>
      </c>
      <c r="D119" s="74" t="s">
        <v>454</v>
      </c>
      <c r="E119" s="74" t="s">
        <v>296</v>
      </c>
      <c r="F119" s="74" t="s">
        <v>455</v>
      </c>
      <c r="G119" s="75"/>
      <c r="H119" s="75">
        <v>98527</v>
      </c>
      <c r="I119" s="75">
        <f>10248*7</f>
        <v>71736</v>
      </c>
      <c r="J119" s="75">
        <f>10248*5</f>
        <v>51240</v>
      </c>
      <c r="K119" s="75">
        <f>J119+I119</f>
        <v>122976</v>
      </c>
      <c r="L119" s="75">
        <f t="shared" ref="L119:L130" si="24">H119-K119</f>
        <v>-24449</v>
      </c>
      <c r="M119" s="98">
        <f>(10248*4)+(5000*8)</f>
        <v>80992</v>
      </c>
    </row>
    <row r="120" spans="1:13" s="67" customFormat="1" ht="10.5" customHeight="1" outlineLevel="2" x14ac:dyDescent="0.25">
      <c r="A120" s="67" t="s">
        <v>452</v>
      </c>
      <c r="B120" s="74" t="s">
        <v>490</v>
      </c>
      <c r="C120" s="77" t="s">
        <v>461</v>
      </c>
      <c r="D120" s="77" t="s">
        <v>454</v>
      </c>
      <c r="E120" s="77" t="s">
        <v>296</v>
      </c>
      <c r="F120" s="77" t="s">
        <v>462</v>
      </c>
      <c r="G120" s="78"/>
      <c r="H120" s="78">
        <v>0</v>
      </c>
      <c r="I120" s="78">
        <v>7286</v>
      </c>
      <c r="J120" s="78">
        <f>7800*5</f>
        <v>39000</v>
      </c>
      <c r="K120" s="75">
        <f>93600-6000-3000</f>
        <v>84600</v>
      </c>
      <c r="L120" s="75">
        <f t="shared" si="24"/>
        <v>-84600</v>
      </c>
      <c r="M120" s="98">
        <f>J120/5*12</f>
        <v>93600</v>
      </c>
    </row>
    <row r="121" spans="1:13" s="67" customFormat="1" ht="10.5" customHeight="1" outlineLevel="2" x14ac:dyDescent="0.25">
      <c r="A121" s="67" t="s">
        <v>452</v>
      </c>
      <c r="B121" s="81" t="s">
        <v>490</v>
      </c>
      <c r="C121" s="77" t="s">
        <v>463</v>
      </c>
      <c r="D121" s="77" t="s">
        <v>454</v>
      </c>
      <c r="E121" s="77" t="s">
        <v>296</v>
      </c>
      <c r="F121" s="77" t="s">
        <v>464</v>
      </c>
      <c r="G121" s="78"/>
      <c r="H121" s="78">
        <v>51240</v>
      </c>
      <c r="I121" s="78"/>
      <c r="J121" s="78">
        <f>10248*5</f>
        <v>51240</v>
      </c>
      <c r="K121" s="75">
        <f>J121+I121</f>
        <v>51240</v>
      </c>
      <c r="L121" s="75">
        <f t="shared" si="24"/>
        <v>0</v>
      </c>
      <c r="M121" s="98">
        <f>J121/5*12</f>
        <v>122976</v>
      </c>
    </row>
    <row r="122" spans="1:13" s="67" customFormat="1" ht="10.5" customHeight="1" outlineLevel="2" x14ac:dyDescent="0.25">
      <c r="A122" s="67" t="s">
        <v>452</v>
      </c>
      <c r="B122" s="81" t="s">
        <v>490</v>
      </c>
      <c r="C122" s="77" t="s">
        <v>465</v>
      </c>
      <c r="D122" s="77" t="s">
        <v>460</v>
      </c>
      <c r="E122" s="77" t="s">
        <v>282</v>
      </c>
      <c r="F122" s="77" t="s">
        <v>466</v>
      </c>
      <c r="G122" s="78"/>
      <c r="H122" s="78">
        <v>97969</v>
      </c>
      <c r="I122" s="78">
        <v>12169</v>
      </c>
      <c r="J122" s="78">
        <f>17160*5</f>
        <v>85800</v>
      </c>
      <c r="K122" s="75">
        <f>J122+I122</f>
        <v>97969</v>
      </c>
      <c r="L122" s="75">
        <f t="shared" si="24"/>
        <v>0</v>
      </c>
      <c r="M122" s="98">
        <f>I122*12</f>
        <v>146028</v>
      </c>
    </row>
    <row r="123" spans="1:13" s="67" customFormat="1" ht="10.5" customHeight="1" outlineLevel="2" x14ac:dyDescent="0.25">
      <c r="A123" s="67" t="s">
        <v>452</v>
      </c>
      <c r="B123" s="74" t="s">
        <v>467</v>
      </c>
      <c r="C123" s="74"/>
      <c r="D123" s="74"/>
      <c r="E123" s="74"/>
      <c r="F123" s="74"/>
      <c r="G123" s="75"/>
      <c r="H123" s="75"/>
      <c r="I123" s="75">
        <v>48991</v>
      </c>
      <c r="J123" s="75">
        <v>48991</v>
      </c>
      <c r="K123" s="75">
        <f>J123+I123</f>
        <v>97982</v>
      </c>
      <c r="L123" s="75">
        <f t="shared" si="24"/>
        <v>-97982</v>
      </c>
      <c r="M123" s="98">
        <f>K123</f>
        <v>97982</v>
      </c>
    </row>
    <row r="124" spans="1:13" s="67" customFormat="1" ht="10.5" customHeight="1" outlineLevel="2" x14ac:dyDescent="0.25">
      <c r="A124" s="67" t="s">
        <v>452</v>
      </c>
      <c r="B124" s="74" t="s">
        <v>288</v>
      </c>
      <c r="C124" s="74" t="s">
        <v>468</v>
      </c>
      <c r="D124" s="74" t="s">
        <v>460</v>
      </c>
      <c r="E124" s="74" t="s">
        <v>282</v>
      </c>
      <c r="F124" s="74" t="s">
        <v>384</v>
      </c>
      <c r="G124" s="75"/>
      <c r="H124" s="75">
        <v>85186</v>
      </c>
      <c r="I124" s="75">
        <v>63919</v>
      </c>
      <c r="J124" s="75">
        <f>4217*5</f>
        <v>21085</v>
      </c>
      <c r="K124" s="75">
        <f>J124+I124</f>
        <v>85004</v>
      </c>
      <c r="L124" s="75">
        <f t="shared" si="24"/>
        <v>182</v>
      </c>
      <c r="M124" s="98">
        <f>(4217*4)+(5000*8)</f>
        <v>56868</v>
      </c>
    </row>
    <row r="125" spans="1:13" s="67" customFormat="1" ht="10.5" customHeight="1" outlineLevel="2" x14ac:dyDescent="0.25">
      <c r="A125" s="67" t="s">
        <v>452</v>
      </c>
      <c r="B125" s="74" t="s">
        <v>442</v>
      </c>
      <c r="C125" s="74" t="s">
        <v>469</v>
      </c>
      <c r="D125" s="74" t="s">
        <v>470</v>
      </c>
      <c r="E125" s="74"/>
      <c r="F125" s="74" t="s">
        <v>457</v>
      </c>
      <c r="G125" s="74"/>
      <c r="H125" s="75">
        <v>50258</v>
      </c>
      <c r="I125" s="75">
        <f>21652+28653</f>
        <v>50305</v>
      </c>
      <c r="J125" s="75">
        <f>12887*5</f>
        <v>64435</v>
      </c>
      <c r="K125" s="75">
        <f>J125+I125</f>
        <v>114740</v>
      </c>
      <c r="L125" s="75">
        <f t="shared" si="24"/>
        <v>-64482</v>
      </c>
      <c r="M125" s="98">
        <f t="shared" ref="M125:M130" si="25">K125</f>
        <v>114740</v>
      </c>
    </row>
    <row r="126" spans="1:13" s="67" customFormat="1" ht="10.5" customHeight="1" outlineLevel="2" x14ac:dyDescent="0.25">
      <c r="A126" s="67" t="s">
        <v>452</v>
      </c>
      <c r="B126" s="74" t="s">
        <v>288</v>
      </c>
      <c r="C126" s="74" t="s">
        <v>471</v>
      </c>
      <c r="D126" s="74" t="s">
        <v>454</v>
      </c>
      <c r="E126" s="74"/>
      <c r="F126" s="74" t="s">
        <v>472</v>
      </c>
      <c r="G126" s="74"/>
      <c r="H126" s="75"/>
      <c r="I126" s="75">
        <f>9056*7</f>
        <v>63392</v>
      </c>
      <c r="J126" s="75">
        <f>9056*5</f>
        <v>45280</v>
      </c>
      <c r="K126" s="75">
        <f>I126+J126</f>
        <v>108672</v>
      </c>
      <c r="L126" s="75">
        <f t="shared" si="24"/>
        <v>-108672</v>
      </c>
      <c r="M126" s="98">
        <f t="shared" si="25"/>
        <v>108672</v>
      </c>
    </row>
    <row r="127" spans="1:13" s="67" customFormat="1" ht="10.5" customHeight="1" outlineLevel="2" x14ac:dyDescent="0.25">
      <c r="A127" s="67" t="s">
        <v>452</v>
      </c>
      <c r="B127" s="74" t="s">
        <v>288</v>
      </c>
      <c r="C127" s="74" t="s">
        <v>473</v>
      </c>
      <c r="D127" s="74" t="s">
        <v>454</v>
      </c>
      <c r="E127" s="74"/>
      <c r="F127" s="74" t="s">
        <v>474</v>
      </c>
      <c r="G127" s="74"/>
      <c r="H127" s="75"/>
      <c r="I127" s="75">
        <v>61658</v>
      </c>
      <c r="J127" s="75">
        <f>9529*5</f>
        <v>47645</v>
      </c>
      <c r="K127" s="75">
        <f>J127+I127</f>
        <v>109303</v>
      </c>
      <c r="L127" s="75">
        <f t="shared" si="24"/>
        <v>-109303</v>
      </c>
      <c r="M127" s="98">
        <f t="shared" si="25"/>
        <v>109303</v>
      </c>
    </row>
    <row r="128" spans="1:13" outlineLevel="2" x14ac:dyDescent="0.25">
      <c r="A128" s="67" t="s">
        <v>452</v>
      </c>
      <c r="B128" s="74" t="s">
        <v>288</v>
      </c>
      <c r="C128" s="74" t="s">
        <v>475</v>
      </c>
      <c r="D128" s="74" t="s">
        <v>454</v>
      </c>
      <c r="E128" s="74" t="s">
        <v>282</v>
      </c>
      <c r="F128" s="74" t="s">
        <v>476</v>
      </c>
      <c r="G128" s="74"/>
      <c r="H128" s="75">
        <v>116873</v>
      </c>
      <c r="I128" s="75">
        <v>68488</v>
      </c>
      <c r="J128" s="75">
        <f>9845*5</f>
        <v>49225</v>
      </c>
      <c r="K128" s="75">
        <f>J128+I128</f>
        <v>117713</v>
      </c>
      <c r="L128" s="75">
        <f t="shared" si="24"/>
        <v>-840</v>
      </c>
      <c r="M128" s="99">
        <f t="shared" si="25"/>
        <v>117713</v>
      </c>
    </row>
    <row r="129" spans="1:13" outlineLevel="2" x14ac:dyDescent="0.25">
      <c r="A129" s="67" t="s">
        <v>452</v>
      </c>
      <c r="B129" s="74" t="s">
        <v>442</v>
      </c>
      <c r="C129" s="74" t="s">
        <v>479</v>
      </c>
      <c r="D129" s="74" t="s">
        <v>454</v>
      </c>
      <c r="E129" s="74"/>
      <c r="F129" s="74" t="s">
        <v>480</v>
      </c>
      <c r="G129" s="74"/>
      <c r="H129" s="75">
        <v>70770</v>
      </c>
      <c r="I129" s="75">
        <v>16526</v>
      </c>
      <c r="J129" s="75">
        <v>0</v>
      </c>
      <c r="K129" s="75">
        <v>97969</v>
      </c>
      <c r="L129" s="75">
        <f t="shared" si="24"/>
        <v>-27199</v>
      </c>
      <c r="M129" s="99">
        <f t="shared" si="25"/>
        <v>97969</v>
      </c>
    </row>
    <row r="130" spans="1:13" outlineLevel="2" x14ac:dyDescent="0.25">
      <c r="A130" s="87" t="s">
        <v>452</v>
      </c>
      <c r="B130" s="83" t="s">
        <v>485</v>
      </c>
      <c r="C130" s="83" t="s">
        <v>486</v>
      </c>
      <c r="D130" s="83" t="s">
        <v>454</v>
      </c>
      <c r="E130" s="83" t="s">
        <v>296</v>
      </c>
      <c r="H130" s="85">
        <v>63653</v>
      </c>
      <c r="K130" s="84">
        <v>73653</v>
      </c>
      <c r="L130" s="85">
        <f t="shared" si="24"/>
        <v>-10000</v>
      </c>
      <c r="M130" s="99">
        <f t="shared" si="25"/>
        <v>73653</v>
      </c>
    </row>
    <row r="131" spans="1:13" outlineLevel="1" x14ac:dyDescent="0.25">
      <c r="A131" s="90" t="s">
        <v>500</v>
      </c>
      <c r="B131" s="83"/>
      <c r="C131" s="83"/>
      <c r="D131" s="83"/>
      <c r="E131" s="83"/>
      <c r="H131" s="85">
        <f t="shared" ref="H131:M131" si="26">SUBTOTAL(9,H119:H130)</f>
        <v>634476</v>
      </c>
      <c r="I131" s="84">
        <f t="shared" si="26"/>
        <v>464470</v>
      </c>
      <c r="J131" s="84">
        <f t="shared" si="26"/>
        <v>503941</v>
      </c>
      <c r="K131" s="84">
        <f t="shared" si="26"/>
        <v>1161821</v>
      </c>
      <c r="L131" s="85">
        <f t="shared" si="26"/>
        <v>-527345</v>
      </c>
      <c r="M131" s="99">
        <f t="shared" si="26"/>
        <v>1220496</v>
      </c>
    </row>
    <row r="132" spans="1:13" x14ac:dyDescent="0.25">
      <c r="A132" s="90" t="s">
        <v>24</v>
      </c>
      <c r="B132" s="83"/>
      <c r="C132" s="83"/>
      <c r="D132" s="83"/>
      <c r="E132" s="83"/>
      <c r="H132" s="85">
        <f t="shared" ref="H132:M132" si="27">SUBTOTAL(9,H4:H130)</f>
        <v>6863697.8949999996</v>
      </c>
      <c r="I132" s="84">
        <f t="shared" si="27"/>
        <v>4436080</v>
      </c>
      <c r="J132" s="84">
        <f t="shared" si="27"/>
        <v>3240786.9285714286</v>
      </c>
      <c r="K132" s="84">
        <f t="shared" si="27"/>
        <v>8186670.9285714291</v>
      </c>
      <c r="L132" s="85">
        <f t="shared" si="27"/>
        <v>-1315191.0335714286</v>
      </c>
      <c r="M132" s="99">
        <f t="shared" si="27"/>
        <v>8446397.7523214296</v>
      </c>
    </row>
    <row r="134" spans="1:13" x14ac:dyDescent="0.25">
      <c r="K134" s="108"/>
    </row>
    <row r="135" spans="1:13" x14ac:dyDescent="0.25">
      <c r="K135" s="108"/>
    </row>
  </sheetData>
  <phoneticPr fontId="1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32"/>
  <sheetViews>
    <sheetView topLeftCell="B16" workbookViewId="0">
      <selection activeCell="B21" sqref="B21"/>
    </sheetView>
  </sheetViews>
  <sheetFormatPr defaultRowHeight="14" outlineLevelRow="2" x14ac:dyDescent="0.3"/>
  <cols>
    <col min="2" max="2" width="24.7265625" bestFit="1" customWidth="1"/>
    <col min="3" max="3" width="41.54296875" bestFit="1" customWidth="1"/>
    <col min="4" max="4" width="35.7265625" bestFit="1" customWidth="1"/>
    <col min="12" max="12" width="14.26953125" style="62" bestFit="1" customWidth="1"/>
  </cols>
  <sheetData>
    <row r="3" spans="2:4" x14ac:dyDescent="0.3">
      <c r="B3" t="s">
        <v>44</v>
      </c>
      <c r="C3" t="s">
        <v>45</v>
      </c>
      <c r="D3" t="s">
        <v>46</v>
      </c>
    </row>
    <row r="4" spans="2:4" x14ac:dyDescent="0.3">
      <c r="B4" t="s">
        <v>0</v>
      </c>
    </row>
    <row r="5" spans="2:4" x14ac:dyDescent="0.3">
      <c r="B5" s="48">
        <v>5645155</v>
      </c>
      <c r="C5" t="s">
        <v>0</v>
      </c>
    </row>
    <row r="6" spans="2:4" x14ac:dyDescent="0.3">
      <c r="B6" t="s">
        <v>47</v>
      </c>
    </row>
    <row r="7" spans="2:4" x14ac:dyDescent="0.3">
      <c r="B7" s="48">
        <v>940868</v>
      </c>
      <c r="C7" t="s">
        <v>1</v>
      </c>
    </row>
    <row r="8" spans="2:4" x14ac:dyDescent="0.3">
      <c r="B8" t="s">
        <v>47</v>
      </c>
    </row>
    <row r="9" spans="2:4" x14ac:dyDescent="0.3">
      <c r="B9" s="48">
        <v>814159</v>
      </c>
      <c r="C9" t="s">
        <v>3</v>
      </c>
    </row>
    <row r="10" spans="2:4" x14ac:dyDescent="0.3">
      <c r="B10" t="s">
        <v>48</v>
      </c>
    </row>
    <row r="11" spans="2:4" x14ac:dyDescent="0.3">
      <c r="B11" s="48">
        <v>126709</v>
      </c>
      <c r="C11" t="s">
        <v>49</v>
      </c>
    </row>
    <row r="12" spans="2:4" x14ac:dyDescent="0.3">
      <c r="B12" t="s">
        <v>50</v>
      </c>
    </row>
    <row r="13" spans="2:4" x14ac:dyDescent="0.3">
      <c r="B13">
        <v>74.510000000000005</v>
      </c>
      <c r="C13" t="s">
        <v>49</v>
      </c>
    </row>
    <row r="14" spans="2:4" x14ac:dyDescent="0.3">
      <c r="B14" t="s">
        <v>51</v>
      </c>
    </row>
    <row r="15" spans="2:4" x14ac:dyDescent="0.3">
      <c r="B15">
        <v>65.569999999999993</v>
      </c>
      <c r="C15" t="s">
        <v>2</v>
      </c>
    </row>
    <row r="16" spans="2:4" x14ac:dyDescent="0.3">
      <c r="B16" t="s">
        <v>52</v>
      </c>
    </row>
    <row r="17" spans="1:15" x14ac:dyDescent="0.3">
      <c r="B17">
        <v>78.510000000000005</v>
      </c>
      <c r="E17" t="s">
        <v>0</v>
      </c>
      <c r="F17" t="s">
        <v>1</v>
      </c>
      <c r="G17" t="s">
        <v>3</v>
      </c>
      <c r="H17" t="s">
        <v>49</v>
      </c>
      <c r="I17" t="s">
        <v>49</v>
      </c>
      <c r="M17" t="s">
        <v>230</v>
      </c>
      <c r="O17">
        <f>70*50*4.35</f>
        <v>15224.999999999998</v>
      </c>
    </row>
    <row r="18" spans="1:15" x14ac:dyDescent="0.3">
      <c r="B18" t="s">
        <v>53</v>
      </c>
      <c r="C18" t="s">
        <v>53</v>
      </c>
      <c r="D18" s="48">
        <v>1014988</v>
      </c>
      <c r="E18" s="48">
        <v>668433</v>
      </c>
      <c r="F18" s="48">
        <v>374507</v>
      </c>
      <c r="G18" s="48">
        <v>293926</v>
      </c>
      <c r="H18">
        <v>13.5</v>
      </c>
      <c r="I18">
        <v>12.22</v>
      </c>
      <c r="J18">
        <v>14.5</v>
      </c>
      <c r="M18" t="s">
        <v>231</v>
      </c>
      <c r="O18">
        <f>41*4.35*46</f>
        <v>8204.1</v>
      </c>
    </row>
    <row r="19" spans="1:15" x14ac:dyDescent="0.3">
      <c r="B19" t="s">
        <v>54</v>
      </c>
      <c r="C19" t="s">
        <v>55</v>
      </c>
      <c r="D19" s="48">
        <v>1275993</v>
      </c>
      <c r="E19" s="48">
        <v>851385</v>
      </c>
      <c r="F19" s="48">
        <v>798604</v>
      </c>
      <c r="G19" s="48">
        <v>52781</v>
      </c>
      <c r="H19">
        <v>22</v>
      </c>
      <c r="I19">
        <v>18.8</v>
      </c>
      <c r="J19">
        <v>24</v>
      </c>
      <c r="M19" t="s">
        <v>232</v>
      </c>
      <c r="O19">
        <f>51*4.35*40</f>
        <v>8874</v>
      </c>
    </row>
    <row r="20" spans="1:15" x14ac:dyDescent="0.3">
      <c r="B20" t="s">
        <v>56</v>
      </c>
      <c r="C20" t="s">
        <v>57</v>
      </c>
      <c r="D20" s="48">
        <v>3411492</v>
      </c>
      <c r="E20" s="48">
        <v>2274328</v>
      </c>
      <c r="F20" s="48">
        <v>2146285</v>
      </c>
      <c r="G20" s="48">
        <v>128043</v>
      </c>
      <c r="H20">
        <v>34.75</v>
      </c>
      <c r="I20">
        <v>32.01</v>
      </c>
      <c r="J20">
        <v>36.57</v>
      </c>
      <c r="M20" t="s">
        <v>233</v>
      </c>
      <c r="O20">
        <f>49.95*4.35*40</f>
        <v>8691.2999999999993</v>
      </c>
    </row>
    <row r="21" spans="1:15" x14ac:dyDescent="0.3">
      <c r="B21" t="s">
        <v>213</v>
      </c>
      <c r="C21" t="s">
        <v>214</v>
      </c>
      <c r="D21" s="48">
        <v>55079</v>
      </c>
      <c r="E21" s="48">
        <v>36720</v>
      </c>
      <c r="F21" s="48">
        <v>7695</v>
      </c>
      <c r="G21" s="48">
        <v>29025</v>
      </c>
      <c r="H21" s="48">
        <v>1.17</v>
      </c>
      <c r="I21">
        <v>0.18</v>
      </c>
      <c r="J21">
        <v>1.17</v>
      </c>
      <c r="M21" t="s">
        <v>234</v>
      </c>
      <c r="O21">
        <f>49*4.35*40</f>
        <v>8526</v>
      </c>
    </row>
    <row r="22" spans="1:15" x14ac:dyDescent="0.3">
      <c r="B22" t="s">
        <v>215</v>
      </c>
      <c r="C22" t="s">
        <v>216</v>
      </c>
      <c r="D22" s="48">
        <v>164804</v>
      </c>
      <c r="E22" s="48">
        <v>109870</v>
      </c>
      <c r="F22" s="48">
        <v>11903</v>
      </c>
      <c r="G22" s="48">
        <v>97967</v>
      </c>
      <c r="H22" s="48">
        <v>2.27</v>
      </c>
      <c r="I22">
        <v>0.27</v>
      </c>
      <c r="J22">
        <v>2.27</v>
      </c>
    </row>
    <row r="24" spans="1:15" x14ac:dyDescent="0.3">
      <c r="E24" s="48">
        <f>SUM(E18:E22)</f>
        <v>3940736</v>
      </c>
      <c r="F24" s="48">
        <f>SUM(F18:F22)</f>
        <v>3338994</v>
      </c>
      <c r="G24" s="48">
        <f>SUM(G18:G22)</f>
        <v>601742</v>
      </c>
    </row>
    <row r="31" spans="1:15" x14ac:dyDescent="0.3">
      <c r="A31" t="str">
        <f>MID(B31,9,4)</f>
        <v>PA01</v>
      </c>
      <c r="B31" t="s">
        <v>58</v>
      </c>
      <c r="C31" t="s">
        <v>59</v>
      </c>
      <c r="D31">
        <f>VLOOKUP($B31,Sheet2!$B$4:$J$1501,3,0)</f>
        <v>0</v>
      </c>
      <c r="E31">
        <f>VLOOKUP($B31,Sheet2!$B$4:$J$1501,4,0)</f>
        <v>0</v>
      </c>
      <c r="F31">
        <f>VLOOKUP($B31,Sheet2!$B$4:$J$1501,5,0)</f>
        <v>0</v>
      </c>
      <c r="G31">
        <f>VLOOKUP($B31,Sheet2!$B$4:$J$1501,6,0)</f>
        <v>0</v>
      </c>
      <c r="H31">
        <f>VLOOKUP($B31,Sheet2!$B$4:$J$1501,7,0)</f>
        <v>0</v>
      </c>
      <c r="I31">
        <f>VLOOKUP($B31,Sheet2!$B$4:$J$1501,8,0)</f>
        <v>0</v>
      </c>
      <c r="J31">
        <f>VLOOKUP($B31,Sheet2!$B$4:$J$1501,9,0)</f>
        <v>0</v>
      </c>
    </row>
    <row r="32" spans="1:15" outlineLevel="2" x14ac:dyDescent="0.3">
      <c r="A32" t="str">
        <f t="shared" ref="A32:A112" si="0">MID(B32,9,4)</f>
        <v>PA01</v>
      </c>
      <c r="B32" t="s">
        <v>92</v>
      </c>
      <c r="C32" t="s">
        <v>93</v>
      </c>
      <c r="D32">
        <f>VLOOKUP($B32,Sheet2!$B$4:$J$1501,3,0)</f>
        <v>0</v>
      </c>
      <c r="E32">
        <f>VLOOKUP($B32,Sheet2!$B$4:$J$1501,4,0)</f>
        <v>0</v>
      </c>
      <c r="F32">
        <f>VLOOKUP($B32,Sheet2!$B$4:$J$1501,5,0)</f>
        <v>0</v>
      </c>
      <c r="G32">
        <f>VLOOKUP($B32,Sheet2!$B$4:$J$1501,6,0)</f>
        <v>0</v>
      </c>
      <c r="H32">
        <f>VLOOKUP($B32,Sheet2!$B$4:$J$1501,7,0)</f>
        <v>0</v>
      </c>
      <c r="I32">
        <f>VLOOKUP($B32,Sheet2!$B$4:$J$1501,8,0)</f>
        <v>0</v>
      </c>
      <c r="J32">
        <f>VLOOKUP($B32,Sheet2!$B$4:$J$1501,9,0)</f>
        <v>0</v>
      </c>
    </row>
    <row r="33" spans="1:12" outlineLevel="1" x14ac:dyDescent="0.3">
      <c r="A33" s="49" t="s">
        <v>204</v>
      </c>
      <c r="D33" s="25">
        <f>SUM(D31:D32)</f>
        <v>0</v>
      </c>
      <c r="E33" s="25">
        <f t="shared" ref="E33:J33" si="1">SUM(E31:E32)</f>
        <v>0</v>
      </c>
      <c r="F33" s="25">
        <f t="shared" si="1"/>
        <v>0</v>
      </c>
      <c r="G33" s="25">
        <f t="shared" si="1"/>
        <v>0</v>
      </c>
      <c r="H33" s="25">
        <f t="shared" si="1"/>
        <v>0</v>
      </c>
      <c r="I33" s="25">
        <f t="shared" si="1"/>
        <v>0</v>
      </c>
      <c r="J33" s="25">
        <f t="shared" si="1"/>
        <v>0</v>
      </c>
    </row>
    <row r="34" spans="1:12" outlineLevel="2" x14ac:dyDescent="0.3">
      <c r="A34" t="str">
        <f t="shared" si="0"/>
        <v>PA02</v>
      </c>
      <c r="B34" t="s">
        <v>106</v>
      </c>
      <c r="C34" t="s">
        <v>107</v>
      </c>
      <c r="D34">
        <f>VLOOKUP($B34,Sheet2!$B$4:$J$1501,3,0)</f>
        <v>0</v>
      </c>
      <c r="E34">
        <f>VLOOKUP($B34,Sheet2!$B$4:$J$1501,4,0)</f>
        <v>0</v>
      </c>
      <c r="F34">
        <f>VLOOKUP($B34,Sheet2!$B$4:$J$1501,5,0)</f>
        <v>0</v>
      </c>
      <c r="G34">
        <f>VLOOKUP($B34,Sheet2!$B$4:$J$1501,6,0)</f>
        <v>0</v>
      </c>
      <c r="H34">
        <f>VLOOKUP($B34,Sheet2!$B$4:$J$1501,7,0)</f>
        <v>0</v>
      </c>
      <c r="I34">
        <f>VLOOKUP($B34,Sheet2!$B$4:$J$1501,8,0)</f>
        <v>0</v>
      </c>
      <c r="J34">
        <f>VLOOKUP($B34,Sheet2!$B$4:$J$1501,9,0)</f>
        <v>0</v>
      </c>
    </row>
    <row r="35" spans="1:12" outlineLevel="2" x14ac:dyDescent="0.3">
      <c r="A35" t="str">
        <f t="shared" si="0"/>
        <v>PA02</v>
      </c>
      <c r="B35" t="s">
        <v>118</v>
      </c>
      <c r="C35" t="s">
        <v>119</v>
      </c>
      <c r="D35">
        <f>VLOOKUP($B35,Sheet2!$B$4:$J$1501,3,0)</f>
        <v>33979</v>
      </c>
      <c r="E35">
        <f>VLOOKUP($B35,Sheet2!$B$4:$J$1501,4,0)</f>
        <v>22653</v>
      </c>
      <c r="F35">
        <f>VLOOKUP($B35,Sheet2!$B$4:$J$1501,5,0)</f>
        <v>27913</v>
      </c>
      <c r="G35">
        <f>VLOOKUP($B35,Sheet2!$B$4:$J$1501,6,0)</f>
        <v>-5260</v>
      </c>
      <c r="H35">
        <f>VLOOKUP($B35,Sheet2!$B$4:$J$1501,7,0)</f>
        <v>0.64</v>
      </c>
      <c r="I35">
        <f>VLOOKUP($B35,Sheet2!$B$4:$J$1501,8,0)</f>
        <v>0.64</v>
      </c>
      <c r="J35">
        <f>VLOOKUP($B35,Sheet2!$B$4:$J$1501,9,0)</f>
        <v>0.64</v>
      </c>
    </row>
    <row r="36" spans="1:12" outlineLevel="2" x14ac:dyDescent="0.3">
      <c r="A36" t="str">
        <f t="shared" si="0"/>
        <v>PA02</v>
      </c>
      <c r="B36" t="s">
        <v>128</v>
      </c>
      <c r="C36" t="s">
        <v>129</v>
      </c>
      <c r="D36">
        <f>VLOOKUP($B36,Sheet2!$B$4:$J$1501,3,0)</f>
        <v>38898</v>
      </c>
      <c r="E36">
        <f>VLOOKUP($B36,Sheet2!$B$4:$J$1501,4,0)</f>
        <v>25932</v>
      </c>
      <c r="F36">
        <f>VLOOKUP($B36,Sheet2!$B$4:$J$1501,5,0)</f>
        <v>22955</v>
      </c>
      <c r="G36">
        <f>VLOOKUP($B36,Sheet2!$B$4:$J$1501,6,0)</f>
        <v>2977</v>
      </c>
      <c r="H36">
        <f>VLOOKUP($B36,Sheet2!$B$4:$J$1501,7,0)</f>
        <v>0.73</v>
      </c>
      <c r="I36">
        <f>VLOOKUP($B36,Sheet2!$B$4:$J$1501,8,0)</f>
        <v>0</v>
      </c>
      <c r="J36">
        <f>VLOOKUP($B36,Sheet2!$B$4:$J$1501,9,0)</f>
        <v>0.73</v>
      </c>
    </row>
    <row r="37" spans="1:12" outlineLevel="2" x14ac:dyDescent="0.3">
      <c r="A37" t="str">
        <f t="shared" si="0"/>
        <v>PA02</v>
      </c>
      <c r="B37" t="s">
        <v>200</v>
      </c>
      <c r="C37" t="s">
        <v>201</v>
      </c>
      <c r="D37">
        <f>VLOOKUP($B37,Sheet2!$B$4:$J$1501,3,0)</f>
        <v>0</v>
      </c>
      <c r="E37">
        <f>VLOOKUP($B37,Sheet2!$B$4:$J$1501,4,0)</f>
        <v>0</v>
      </c>
      <c r="F37">
        <f>VLOOKUP($B37,Sheet2!$B$4:$J$1501,5,0)</f>
        <v>22106</v>
      </c>
      <c r="G37">
        <f>VLOOKUP($B37,Sheet2!$B$4:$J$1501,6,0)</f>
        <v>-22106</v>
      </c>
      <c r="H37">
        <f>VLOOKUP($B37,Sheet2!$B$4:$J$1501,7,0)</f>
        <v>0</v>
      </c>
      <c r="I37">
        <f>VLOOKUP($B37,Sheet2!$B$4:$J$1501,8,0)</f>
        <v>0.65</v>
      </c>
      <c r="J37">
        <f>VLOOKUP($B37,Sheet2!$B$4:$J$1501,9,0)</f>
        <v>0</v>
      </c>
    </row>
    <row r="38" spans="1:12" outlineLevel="1" x14ac:dyDescent="0.3">
      <c r="A38" s="50" t="s">
        <v>205</v>
      </c>
      <c r="C38" t="s">
        <v>201</v>
      </c>
      <c r="D38" s="25">
        <f>SUM(D34:D37)</f>
        <v>72877</v>
      </c>
      <c r="E38" s="25">
        <f t="shared" ref="E38:J38" si="2">SUM(E34:E37)</f>
        <v>48585</v>
      </c>
      <c r="F38" s="25">
        <f t="shared" si="2"/>
        <v>72974</v>
      </c>
      <c r="G38" s="25">
        <f t="shared" si="2"/>
        <v>-24389</v>
      </c>
      <c r="H38" s="25">
        <f t="shared" si="2"/>
        <v>1.37</v>
      </c>
      <c r="I38" s="25">
        <f t="shared" si="2"/>
        <v>1.29</v>
      </c>
      <c r="J38" s="25">
        <f t="shared" si="2"/>
        <v>1.37</v>
      </c>
      <c r="L38" s="62">
        <f>F38/5/O21</f>
        <v>1.7117992024395965</v>
      </c>
    </row>
    <row r="39" spans="1:12" outlineLevel="2" x14ac:dyDescent="0.3">
      <c r="A39" t="str">
        <f t="shared" si="0"/>
        <v>PA03</v>
      </c>
      <c r="B39" t="s">
        <v>68</v>
      </c>
      <c r="C39" t="s">
        <v>69</v>
      </c>
      <c r="D39">
        <f>VLOOKUP($B39,Sheet2!$B$4:$J$1501,3,0)</f>
        <v>8441</v>
      </c>
      <c r="E39">
        <f>VLOOKUP($B39,Sheet2!$B$4:$J$1501,4,0)</f>
        <v>5628</v>
      </c>
      <c r="F39">
        <f>VLOOKUP($B39,Sheet2!$B$4:$J$1501,5,0)</f>
        <v>13344</v>
      </c>
      <c r="G39">
        <f>VLOOKUP($B39,Sheet2!$B$4:$J$1501,6,0)</f>
        <v>-7716</v>
      </c>
      <c r="H39">
        <f>VLOOKUP($B39,Sheet2!$B$4:$J$1501,7,0)</f>
        <v>0</v>
      </c>
      <c r="I39">
        <f>VLOOKUP($B39,Sheet2!$B$4:$J$1501,8,0)</f>
        <v>0</v>
      </c>
      <c r="J39">
        <f>VLOOKUP($B39,Sheet2!$B$4:$J$1501,9,0)</f>
        <v>0</v>
      </c>
    </row>
    <row r="40" spans="1:12" outlineLevel="2" x14ac:dyDescent="0.3">
      <c r="A40" t="str">
        <f t="shared" si="0"/>
        <v>PA03</v>
      </c>
      <c r="B40" t="s">
        <v>72</v>
      </c>
      <c r="C40" t="s">
        <v>73</v>
      </c>
      <c r="D40">
        <f>VLOOKUP($B40,Sheet2!$B$4:$J$1501,3,0)</f>
        <v>0</v>
      </c>
      <c r="E40">
        <f>VLOOKUP($B40,Sheet2!$B$4:$J$1501,4,0)</f>
        <v>0</v>
      </c>
      <c r="F40">
        <f>VLOOKUP($B40,Sheet2!$B$4:$J$1501,5,0)</f>
        <v>3666</v>
      </c>
      <c r="G40">
        <f>VLOOKUP($B40,Sheet2!$B$4:$J$1501,6,0)</f>
        <v>-3666</v>
      </c>
      <c r="H40">
        <f>VLOOKUP($B40,Sheet2!$B$4:$J$1501,7,0)</f>
        <v>0</v>
      </c>
      <c r="I40">
        <f>VLOOKUP($B40,Sheet2!$B$4:$J$1501,8,0)</f>
        <v>0</v>
      </c>
      <c r="J40">
        <f>VLOOKUP($B40,Sheet2!$B$4:$J$1501,9,0)</f>
        <v>0</v>
      </c>
    </row>
    <row r="41" spans="1:12" outlineLevel="2" x14ac:dyDescent="0.3">
      <c r="A41" t="str">
        <f t="shared" si="0"/>
        <v>PA03</v>
      </c>
      <c r="B41" t="s">
        <v>84</v>
      </c>
      <c r="C41" t="s">
        <v>85</v>
      </c>
      <c r="D41">
        <f>VLOOKUP($B41,Sheet2!$B$4:$J$1501,3,0)</f>
        <v>0</v>
      </c>
      <c r="E41">
        <f>VLOOKUP($B41,Sheet2!$B$4:$J$1501,4,0)</f>
        <v>0</v>
      </c>
      <c r="F41">
        <f>VLOOKUP($B41,Sheet2!$B$4:$J$1501,5,0)</f>
        <v>2057</v>
      </c>
      <c r="G41">
        <f>VLOOKUP($B41,Sheet2!$B$4:$J$1501,6,0)</f>
        <v>-2057</v>
      </c>
      <c r="H41">
        <f>VLOOKUP($B41,Sheet2!$B$4:$J$1501,7,0)</f>
        <v>0</v>
      </c>
      <c r="I41">
        <f>VLOOKUP($B41,Sheet2!$B$4:$J$1501,8,0)</f>
        <v>0</v>
      </c>
      <c r="J41">
        <f>VLOOKUP($B41,Sheet2!$B$4:$J$1501,9,0)</f>
        <v>0</v>
      </c>
    </row>
    <row r="42" spans="1:12" outlineLevel="2" x14ac:dyDescent="0.3">
      <c r="A42" t="str">
        <f t="shared" si="0"/>
        <v>PA03</v>
      </c>
      <c r="B42" t="s">
        <v>257</v>
      </c>
      <c r="C42" t="s">
        <v>258</v>
      </c>
      <c r="D42">
        <f>VLOOKUP($B42,Sheet2!$B$4:$J$1501,3,0)</f>
        <v>0</v>
      </c>
      <c r="E42">
        <f>VLOOKUP($B42,Sheet2!$B$4:$J$1501,4,0)</f>
        <v>0</v>
      </c>
      <c r="F42">
        <f>VLOOKUP($B42,Sheet2!$B$4:$J$1501,5,0)</f>
        <v>15090</v>
      </c>
      <c r="G42">
        <f>VLOOKUP($B42,Sheet2!$B$4:$J$1501,6,0)</f>
        <v>-15090</v>
      </c>
      <c r="H42">
        <f>VLOOKUP($B42,Sheet2!$B$4:$J$1501,7,0)</f>
        <v>0</v>
      </c>
      <c r="I42">
        <f>VLOOKUP($B42,Sheet2!$B$4:$J$1501,8,0)</f>
        <v>0</v>
      </c>
      <c r="J42">
        <f>VLOOKUP($B42,Sheet2!$B$4:$J$1501,9,0)</f>
        <v>0</v>
      </c>
    </row>
    <row r="43" spans="1:12" outlineLevel="2" x14ac:dyDescent="0.3">
      <c r="A43" t="str">
        <f t="shared" si="0"/>
        <v>PA03</v>
      </c>
      <c r="B43" t="s">
        <v>100</v>
      </c>
      <c r="C43" t="s">
        <v>101</v>
      </c>
      <c r="D43">
        <f>VLOOKUP($B43,Sheet2!$B$4:$J$1501,3,0)</f>
        <v>0</v>
      </c>
      <c r="E43">
        <f>VLOOKUP($B43,Sheet2!$B$4:$J$1501,4,0)</f>
        <v>0</v>
      </c>
      <c r="F43">
        <f>VLOOKUP($B43,Sheet2!$B$4:$J$1501,5,0)</f>
        <v>4513</v>
      </c>
      <c r="G43">
        <f>VLOOKUP($B43,Sheet2!$B$4:$J$1501,6,0)</f>
        <v>-4513</v>
      </c>
      <c r="H43">
        <f>VLOOKUP($B43,Sheet2!$B$4:$J$1501,7,0)</f>
        <v>0</v>
      </c>
      <c r="I43">
        <f>VLOOKUP($B43,Sheet2!$B$4:$J$1501,8,0)</f>
        <v>0</v>
      </c>
      <c r="J43">
        <f>VLOOKUP($B43,Sheet2!$B$4:$J$1501,9,0)</f>
        <v>0</v>
      </c>
    </row>
    <row r="44" spans="1:12" outlineLevel="2" x14ac:dyDescent="0.3">
      <c r="A44" t="str">
        <f t="shared" si="0"/>
        <v>PA03</v>
      </c>
      <c r="B44" t="s">
        <v>104</v>
      </c>
      <c r="C44" t="s">
        <v>105</v>
      </c>
      <c r="D44">
        <f>VLOOKUP($B44,Sheet2!$B$4:$J$1501,3,0)</f>
        <v>0</v>
      </c>
      <c r="E44">
        <f>VLOOKUP($B44,Sheet2!$B$4:$J$1501,4,0)</f>
        <v>0</v>
      </c>
      <c r="F44">
        <f>VLOOKUP($B44,Sheet2!$B$4:$J$1501,5,0)</f>
        <v>0</v>
      </c>
      <c r="G44">
        <f>VLOOKUP($B44,Sheet2!$B$4:$J$1501,6,0)</f>
        <v>0</v>
      </c>
      <c r="H44">
        <f>VLOOKUP($B44,Sheet2!$B$4:$J$1501,7,0)</f>
        <v>0</v>
      </c>
      <c r="I44">
        <f>VLOOKUP($B44,Sheet2!$B$4:$J$1501,8,0)</f>
        <v>0</v>
      </c>
      <c r="J44">
        <f>VLOOKUP($B44,Sheet2!$B$4:$J$1501,9,0)</f>
        <v>0</v>
      </c>
    </row>
    <row r="45" spans="1:12" outlineLevel="2" x14ac:dyDescent="0.3">
      <c r="A45" t="str">
        <f t="shared" si="0"/>
        <v>PA03</v>
      </c>
      <c r="B45" t="s">
        <v>108</v>
      </c>
      <c r="C45" t="s">
        <v>109</v>
      </c>
      <c r="D45">
        <f>VLOOKUP($B45,Sheet2!$B$4:$J$1501,3,0)</f>
        <v>0</v>
      </c>
      <c r="E45">
        <f>VLOOKUP($B45,Sheet2!$B$4:$J$1501,4,0)</f>
        <v>0</v>
      </c>
      <c r="F45">
        <f>VLOOKUP($B45,Sheet2!$B$4:$J$1501,5,0)</f>
        <v>52316</v>
      </c>
      <c r="G45">
        <f>VLOOKUP($B45,Sheet2!$B$4:$J$1501,6,0)</f>
        <v>-52316</v>
      </c>
      <c r="H45">
        <f>VLOOKUP($B45,Sheet2!$B$4:$J$1501,7,0)</f>
        <v>0</v>
      </c>
      <c r="I45">
        <f>VLOOKUP($B45,Sheet2!$B$4:$J$1501,8,0)</f>
        <v>0</v>
      </c>
      <c r="J45">
        <f>VLOOKUP($B45,Sheet2!$B$4:$J$1501,9,0)</f>
        <v>0</v>
      </c>
    </row>
    <row r="46" spans="1:12" outlineLevel="2" x14ac:dyDescent="0.3">
      <c r="A46" t="str">
        <f t="shared" si="0"/>
        <v>PA03</v>
      </c>
      <c r="B46" t="s">
        <v>120</v>
      </c>
      <c r="C46" t="s">
        <v>121</v>
      </c>
      <c r="D46">
        <f>VLOOKUP($B46,Sheet2!$B$4:$J$1501,3,0)</f>
        <v>0</v>
      </c>
      <c r="E46">
        <f>VLOOKUP($B46,Sheet2!$B$4:$J$1501,4,0)</f>
        <v>0</v>
      </c>
      <c r="F46">
        <f>VLOOKUP($B46,Sheet2!$B$4:$J$1501,5,0)</f>
        <v>14909</v>
      </c>
      <c r="G46">
        <f>VLOOKUP($B46,Sheet2!$B$4:$J$1501,6,0)</f>
        <v>-14909</v>
      </c>
      <c r="H46">
        <f>VLOOKUP($B46,Sheet2!$B$4:$J$1501,7,0)</f>
        <v>0</v>
      </c>
      <c r="I46">
        <f>VLOOKUP($B46,Sheet2!$B$4:$J$1501,8,0)</f>
        <v>0</v>
      </c>
      <c r="J46">
        <f>VLOOKUP($B46,Sheet2!$B$4:$J$1501,9,0)</f>
        <v>0</v>
      </c>
    </row>
    <row r="47" spans="1:12" outlineLevel="2" x14ac:dyDescent="0.3">
      <c r="A47" t="str">
        <f t="shared" si="0"/>
        <v>PA03</v>
      </c>
      <c r="B47" t="s">
        <v>130</v>
      </c>
      <c r="C47" t="s">
        <v>131</v>
      </c>
      <c r="D47">
        <f>VLOOKUP($B47,Sheet2!$B$4:$J$1501,3,0)</f>
        <v>0</v>
      </c>
      <c r="E47">
        <f>VLOOKUP($B47,Sheet2!$B$4:$J$1501,4,0)</f>
        <v>0</v>
      </c>
      <c r="F47">
        <f>VLOOKUP($B47,Sheet2!$B$4:$J$1501,5,0)</f>
        <v>549</v>
      </c>
      <c r="G47">
        <f>VLOOKUP($B47,Sheet2!$B$4:$J$1501,6,0)</f>
        <v>-549</v>
      </c>
      <c r="H47">
        <f>VLOOKUP($B47,Sheet2!$B$4:$J$1501,7,0)</f>
        <v>0</v>
      </c>
      <c r="I47">
        <f>VLOOKUP($B47,Sheet2!$B$4:$J$1501,8,0)</f>
        <v>0</v>
      </c>
      <c r="J47">
        <f>VLOOKUP($B47,Sheet2!$B$4:$J$1501,9,0)</f>
        <v>0</v>
      </c>
    </row>
    <row r="48" spans="1:12" outlineLevel="2" x14ac:dyDescent="0.3">
      <c r="A48" t="str">
        <f t="shared" si="0"/>
        <v>PA03</v>
      </c>
      <c r="B48" t="s">
        <v>138</v>
      </c>
      <c r="C48" t="s">
        <v>139</v>
      </c>
      <c r="D48">
        <f>VLOOKUP($B48,Sheet2!$B$4:$J$1501,3,0)</f>
        <v>0</v>
      </c>
      <c r="E48">
        <f>VLOOKUP($B48,Sheet2!$B$4:$J$1501,4,0)</f>
        <v>0</v>
      </c>
      <c r="F48">
        <f>VLOOKUP($B48,Sheet2!$B$4:$J$1501,5,0)</f>
        <v>7179</v>
      </c>
      <c r="G48">
        <f>VLOOKUP($B48,Sheet2!$B$4:$J$1501,6,0)</f>
        <v>-7179</v>
      </c>
      <c r="H48">
        <f>VLOOKUP($B48,Sheet2!$B$4:$J$1501,7,0)</f>
        <v>0</v>
      </c>
      <c r="I48">
        <f>VLOOKUP($B48,Sheet2!$B$4:$J$1501,8,0)</f>
        <v>0</v>
      </c>
      <c r="J48">
        <f>VLOOKUP($B48,Sheet2!$B$4:$J$1501,9,0)</f>
        <v>0</v>
      </c>
    </row>
    <row r="49" spans="1:12" outlineLevel="2" x14ac:dyDescent="0.3">
      <c r="A49" t="str">
        <f t="shared" si="0"/>
        <v>PA03</v>
      </c>
      <c r="B49" t="s">
        <v>148</v>
      </c>
      <c r="C49" t="s">
        <v>149</v>
      </c>
      <c r="D49">
        <f>VLOOKUP($B49,Sheet2!$B$4:$J$1501,3,0)</f>
        <v>0</v>
      </c>
      <c r="E49">
        <f>VLOOKUP($B49,Sheet2!$B$4:$J$1501,4,0)</f>
        <v>0</v>
      </c>
      <c r="F49">
        <f>VLOOKUP($B49,Sheet2!$B$4:$J$1501,5,0)</f>
        <v>15298</v>
      </c>
      <c r="G49">
        <f>VLOOKUP($B49,Sheet2!$B$4:$J$1501,6,0)</f>
        <v>-15298</v>
      </c>
      <c r="H49">
        <f>VLOOKUP($B49,Sheet2!$B$4:$J$1501,7,0)</f>
        <v>0</v>
      </c>
      <c r="I49">
        <f>VLOOKUP($B49,Sheet2!$B$4:$J$1501,8,0)</f>
        <v>0</v>
      </c>
      <c r="J49">
        <f>VLOOKUP($B49,Sheet2!$B$4:$J$1501,9,0)</f>
        <v>0</v>
      </c>
    </row>
    <row r="50" spans="1:12" outlineLevel="2" x14ac:dyDescent="0.3">
      <c r="A50" t="str">
        <f t="shared" si="0"/>
        <v>PA03</v>
      </c>
      <c r="B50" t="s">
        <v>158</v>
      </c>
      <c r="C50" t="s">
        <v>159</v>
      </c>
      <c r="D50">
        <f>VLOOKUP($B50,Sheet2!$B$4:$J$1501,3,0)</f>
        <v>62821</v>
      </c>
      <c r="E50">
        <f>VLOOKUP($B50,Sheet2!$B$4:$J$1501,4,0)</f>
        <v>41881</v>
      </c>
      <c r="F50">
        <f>VLOOKUP($B50,Sheet2!$B$4:$J$1501,5,0)</f>
        <v>0</v>
      </c>
      <c r="G50">
        <f>VLOOKUP($B50,Sheet2!$B$4:$J$1501,6,0)</f>
        <v>41881</v>
      </c>
      <c r="H50">
        <f>VLOOKUP($B50,Sheet2!$B$4:$J$1501,7,0)</f>
        <v>0</v>
      </c>
      <c r="I50">
        <f>VLOOKUP($B50,Sheet2!$B$4:$J$1501,8,0)</f>
        <v>0</v>
      </c>
      <c r="J50">
        <f>VLOOKUP($B50,Sheet2!$B$4:$J$1501,9,0)</f>
        <v>0</v>
      </c>
    </row>
    <row r="51" spans="1:12" outlineLevel="2" x14ac:dyDescent="0.3">
      <c r="A51" t="str">
        <f t="shared" si="0"/>
        <v>PA03</v>
      </c>
      <c r="B51" t="s">
        <v>164</v>
      </c>
      <c r="C51" t="s">
        <v>165</v>
      </c>
      <c r="D51">
        <f>VLOOKUP($B51,Sheet2!$B$4:$J$1501,3,0)</f>
        <v>17690</v>
      </c>
      <c r="E51">
        <f>VLOOKUP($B51,Sheet2!$B$4:$J$1501,4,0)</f>
        <v>11794</v>
      </c>
      <c r="F51">
        <f>VLOOKUP($B51,Sheet2!$B$4:$J$1501,5,0)</f>
        <v>34959</v>
      </c>
      <c r="G51">
        <f>VLOOKUP($B51,Sheet2!$B$4:$J$1501,6,0)</f>
        <v>-23165</v>
      </c>
      <c r="H51">
        <f>VLOOKUP($B51,Sheet2!$B$4:$J$1501,7,0)</f>
        <v>0</v>
      </c>
      <c r="I51">
        <f>VLOOKUP($B51,Sheet2!$B$4:$J$1501,8,0)</f>
        <v>0</v>
      </c>
      <c r="J51">
        <f>VLOOKUP($B51,Sheet2!$B$4:$J$1501,9,0)</f>
        <v>0</v>
      </c>
    </row>
    <row r="52" spans="1:12" x14ac:dyDescent="0.3">
      <c r="A52" t="str">
        <f t="shared" si="0"/>
        <v>PA03</v>
      </c>
      <c r="B52" t="s">
        <v>217</v>
      </c>
      <c r="C52" t="s">
        <v>218</v>
      </c>
      <c r="D52">
        <f>VLOOKUP($B52,Sheet2!$B$4:$J$1501,3,0)</f>
        <v>0</v>
      </c>
      <c r="E52">
        <f>VLOOKUP($B52,Sheet2!$B$4:$J$1501,4,0)</f>
        <v>0</v>
      </c>
      <c r="F52">
        <f>VLOOKUP($B52,Sheet2!$B$4:$J$1501,5,0)</f>
        <v>3873</v>
      </c>
      <c r="G52">
        <f>VLOOKUP($B52,Sheet2!$B$4:$J$1501,6,0)</f>
        <v>-3873</v>
      </c>
      <c r="H52">
        <f>VLOOKUP($B52,Sheet2!$B$4:$J$1501,7,0)</f>
        <v>0</v>
      </c>
      <c r="I52">
        <f>VLOOKUP($B52,Sheet2!$B$4:$J$1501,8,0)</f>
        <v>0</v>
      </c>
      <c r="J52">
        <f>VLOOKUP($B52,Sheet2!$B$4:$J$1501,9,0)</f>
        <v>0</v>
      </c>
    </row>
    <row r="53" spans="1:12" outlineLevel="2" x14ac:dyDescent="0.3">
      <c r="A53" t="str">
        <f t="shared" si="0"/>
        <v>PA03</v>
      </c>
      <c r="B53" t="s">
        <v>182</v>
      </c>
      <c r="C53" t="s">
        <v>183</v>
      </c>
      <c r="D53">
        <f>VLOOKUP($B53,Sheet2!$B$4:$J$1501,3,0)</f>
        <v>0</v>
      </c>
      <c r="E53">
        <f>VLOOKUP($B53,Sheet2!$B$4:$J$1501,4,0)</f>
        <v>0</v>
      </c>
      <c r="F53">
        <f>VLOOKUP($B53,Sheet2!$B$4:$J$1501,5,0)</f>
        <v>2057</v>
      </c>
      <c r="G53">
        <f>VLOOKUP($B53,Sheet2!$B$4:$J$1501,6,0)</f>
        <v>-2057</v>
      </c>
      <c r="H53">
        <f>VLOOKUP($B53,Sheet2!$B$4:$J$1501,7,0)</f>
        <v>0</v>
      </c>
      <c r="I53">
        <f>VLOOKUP($B53,Sheet2!$B$4:$J$1501,8,0)</f>
        <v>0</v>
      </c>
      <c r="J53">
        <f>VLOOKUP($B53,Sheet2!$B$4:$J$1501,9,0)</f>
        <v>0</v>
      </c>
    </row>
    <row r="54" spans="1:12" outlineLevel="2" x14ac:dyDescent="0.3">
      <c r="A54" t="str">
        <f t="shared" si="0"/>
        <v>PA03</v>
      </c>
      <c r="B54" t="s">
        <v>194</v>
      </c>
      <c r="C54" t="s">
        <v>195</v>
      </c>
      <c r="D54">
        <f>VLOOKUP($B54,Sheet2!$B$4:$J$1501,3,0)</f>
        <v>0</v>
      </c>
      <c r="E54">
        <f>VLOOKUP($B54,Sheet2!$B$4:$J$1501,4,0)</f>
        <v>0</v>
      </c>
      <c r="F54">
        <f>VLOOKUP($B54,Sheet2!$B$4:$J$1501,5,0)</f>
        <v>5521</v>
      </c>
      <c r="G54">
        <f>VLOOKUP($B54,Sheet2!$B$4:$J$1501,6,0)</f>
        <v>-5521</v>
      </c>
      <c r="H54">
        <f>VLOOKUP($B54,Sheet2!$B$4:$J$1501,7,0)</f>
        <v>0</v>
      </c>
      <c r="I54">
        <f>VLOOKUP($B54,Sheet2!$B$4:$J$1501,8,0)</f>
        <v>0</v>
      </c>
      <c r="J54">
        <f>VLOOKUP($B54,Sheet2!$B$4:$J$1501,9,0)</f>
        <v>0</v>
      </c>
    </row>
    <row r="55" spans="1:12" outlineLevel="2" x14ac:dyDescent="0.3">
      <c r="A55" t="str">
        <f t="shared" si="0"/>
        <v>PA03</v>
      </c>
      <c r="B55" t="s">
        <v>202</v>
      </c>
      <c r="C55" t="s">
        <v>203</v>
      </c>
      <c r="D55">
        <f>VLOOKUP($B55,Sheet2!$B$4:$J$1501,3,0)</f>
        <v>0</v>
      </c>
      <c r="E55">
        <f>VLOOKUP($B55,Sheet2!$B$4:$J$1501,4,0)</f>
        <v>0</v>
      </c>
      <c r="F55">
        <f>VLOOKUP($B55,Sheet2!$B$4:$J$1501,5,0)</f>
        <v>29361</v>
      </c>
      <c r="G55">
        <f>VLOOKUP($B55,Sheet2!$B$4:$J$1501,6,0)</f>
        <v>-29361</v>
      </c>
      <c r="H55">
        <f>VLOOKUP($B55,Sheet2!$B$4:$J$1501,7,0)</f>
        <v>0</v>
      </c>
      <c r="I55">
        <f>VLOOKUP($B55,Sheet2!$B$4:$J$1501,8,0)</f>
        <v>0</v>
      </c>
      <c r="J55">
        <f>VLOOKUP($B55,Sheet2!$B$4:$J$1501,9,0)</f>
        <v>0</v>
      </c>
    </row>
    <row r="56" spans="1:12" outlineLevel="1" x14ac:dyDescent="0.3">
      <c r="A56" s="50" t="s">
        <v>206</v>
      </c>
      <c r="C56" s="51" t="s">
        <v>203</v>
      </c>
      <c r="D56" s="25">
        <f>SUM(D39:D55)</f>
        <v>88952</v>
      </c>
      <c r="E56" s="25">
        <f t="shared" ref="E56:J56" si="3">SUM(E39:E55)</f>
        <v>59303</v>
      </c>
      <c r="F56" s="25">
        <f t="shared" si="3"/>
        <v>204692</v>
      </c>
      <c r="G56" s="25">
        <f t="shared" si="3"/>
        <v>-145389</v>
      </c>
      <c r="H56" s="25">
        <f t="shared" si="3"/>
        <v>0</v>
      </c>
      <c r="I56" s="25">
        <f t="shared" si="3"/>
        <v>0</v>
      </c>
      <c r="J56" s="25">
        <f t="shared" si="3"/>
        <v>0</v>
      </c>
      <c r="L56" s="63">
        <f>F56/5/O18</f>
        <v>4.9899928084738114</v>
      </c>
    </row>
    <row r="57" spans="1:12" outlineLevel="2" x14ac:dyDescent="0.3">
      <c r="A57" t="str">
        <f t="shared" si="0"/>
        <v>PA04</v>
      </c>
      <c r="B57" t="s">
        <v>60</v>
      </c>
      <c r="C57" t="s">
        <v>61</v>
      </c>
      <c r="D57">
        <f>VLOOKUP($B57,Sheet2!$B$4:$J$1501,3,0)</f>
        <v>0</v>
      </c>
      <c r="E57">
        <f>VLOOKUP($B57,Sheet2!$B$4:$J$1501,4,0)</f>
        <v>0</v>
      </c>
      <c r="F57">
        <f>VLOOKUP($B57,Sheet2!$B$4:$J$1501,5,0)</f>
        <v>0</v>
      </c>
      <c r="G57">
        <f>VLOOKUP($B57,Sheet2!$B$4:$J$1501,6,0)</f>
        <v>0</v>
      </c>
      <c r="H57">
        <f>VLOOKUP($B57,Sheet2!$B$4:$J$1501,7,0)</f>
        <v>0</v>
      </c>
      <c r="I57">
        <f>VLOOKUP($B57,Sheet2!$B$4:$J$1501,8,0)</f>
        <v>0</v>
      </c>
      <c r="J57">
        <f>VLOOKUP($B57,Sheet2!$B$4:$J$1501,9,0)</f>
        <v>0</v>
      </c>
    </row>
    <row r="58" spans="1:12" outlineLevel="2" x14ac:dyDescent="0.3">
      <c r="A58" t="str">
        <f t="shared" si="0"/>
        <v>PA04</v>
      </c>
      <c r="B58" t="s">
        <v>64</v>
      </c>
      <c r="C58" t="s">
        <v>65</v>
      </c>
      <c r="D58">
        <f>VLOOKUP($B58,Sheet2!$B$4:$J$1501,3,0)</f>
        <v>0</v>
      </c>
      <c r="E58">
        <f>VLOOKUP($B58,Sheet2!$B$4:$J$1501,4,0)</f>
        <v>0</v>
      </c>
      <c r="F58">
        <f>VLOOKUP($B58,Sheet2!$B$4:$J$1501,5,0)</f>
        <v>69324</v>
      </c>
      <c r="G58">
        <f>VLOOKUP($B58,Sheet2!$B$4:$J$1501,6,0)</f>
        <v>-69324</v>
      </c>
      <c r="H58">
        <f>VLOOKUP($B58,Sheet2!$B$4:$J$1501,7,0)</f>
        <v>0</v>
      </c>
      <c r="I58">
        <f>VLOOKUP($B58,Sheet2!$B$4:$J$1501,8,0)</f>
        <v>1</v>
      </c>
      <c r="J58">
        <f>VLOOKUP($B58,Sheet2!$B$4:$J$1501,9,0)</f>
        <v>0</v>
      </c>
    </row>
    <row r="59" spans="1:12" outlineLevel="2" x14ac:dyDescent="0.3">
      <c r="A59" t="str">
        <f t="shared" si="0"/>
        <v>PA04</v>
      </c>
      <c r="B59" t="s">
        <v>70</v>
      </c>
      <c r="C59" t="s">
        <v>71</v>
      </c>
      <c r="D59">
        <f>VLOOKUP($B59,Sheet2!$B$4:$J$1501,3,0)</f>
        <v>0</v>
      </c>
      <c r="E59">
        <f>VLOOKUP($B59,Sheet2!$B$4:$J$1501,4,0)</f>
        <v>0</v>
      </c>
      <c r="F59">
        <f>VLOOKUP($B59,Sheet2!$B$4:$J$1501,5,0)</f>
        <v>0</v>
      </c>
      <c r="G59">
        <f>VLOOKUP($B59,Sheet2!$B$4:$J$1501,6,0)</f>
        <v>0</v>
      </c>
      <c r="H59">
        <f>VLOOKUP($B59,Sheet2!$B$4:$J$1501,7,0)</f>
        <v>0</v>
      </c>
      <c r="I59">
        <f>VLOOKUP($B59,Sheet2!$B$4:$J$1501,8,0)</f>
        <v>0</v>
      </c>
      <c r="J59">
        <f>VLOOKUP($B59,Sheet2!$B$4:$J$1501,9,0)</f>
        <v>0</v>
      </c>
    </row>
    <row r="60" spans="1:12" outlineLevel="2" x14ac:dyDescent="0.3">
      <c r="A60" t="str">
        <f t="shared" si="0"/>
        <v>PA04</v>
      </c>
      <c r="B60" t="s">
        <v>74</v>
      </c>
      <c r="C60" t="s">
        <v>75</v>
      </c>
      <c r="D60">
        <f>VLOOKUP($B60,Sheet2!$B$4:$J$1501,3,0)</f>
        <v>0</v>
      </c>
      <c r="E60">
        <f>VLOOKUP($B60,Sheet2!$B$4:$J$1501,4,0)</f>
        <v>0</v>
      </c>
      <c r="F60">
        <f>VLOOKUP($B60,Sheet2!$B$4:$J$1501,5,0)</f>
        <v>15138</v>
      </c>
      <c r="G60">
        <f>VLOOKUP($B60,Sheet2!$B$4:$J$1501,6,0)</f>
        <v>-15138</v>
      </c>
      <c r="H60">
        <f>VLOOKUP($B60,Sheet2!$B$4:$J$1501,7,0)</f>
        <v>0</v>
      </c>
      <c r="I60">
        <f>VLOOKUP($B60,Sheet2!$B$4:$J$1501,8,0)</f>
        <v>0</v>
      </c>
      <c r="J60">
        <f>VLOOKUP($B60,Sheet2!$B$4:$J$1501,9,0)</f>
        <v>0</v>
      </c>
    </row>
    <row r="61" spans="1:12" outlineLevel="2" x14ac:dyDescent="0.3">
      <c r="A61" t="str">
        <f t="shared" si="0"/>
        <v>PA04</v>
      </c>
      <c r="B61" t="s">
        <v>78</v>
      </c>
      <c r="C61" t="s">
        <v>79</v>
      </c>
      <c r="D61">
        <f>VLOOKUP($B61,Sheet2!$B$4:$J$1501,3,0)</f>
        <v>8805</v>
      </c>
      <c r="E61">
        <f>VLOOKUP($B61,Sheet2!$B$4:$J$1501,4,0)</f>
        <v>5870</v>
      </c>
      <c r="F61">
        <f>VLOOKUP($B61,Sheet2!$B$4:$J$1501,5,0)</f>
        <v>22604</v>
      </c>
      <c r="G61">
        <f>VLOOKUP($B61,Sheet2!$B$4:$J$1501,6,0)</f>
        <v>-16734</v>
      </c>
      <c r="H61">
        <f>VLOOKUP($B61,Sheet2!$B$4:$J$1501,7,0)</f>
        <v>0</v>
      </c>
      <c r="I61">
        <f>VLOOKUP($B61,Sheet2!$B$4:$J$1501,8,0)</f>
        <v>0</v>
      </c>
      <c r="J61">
        <f>VLOOKUP($B61,Sheet2!$B$4:$J$1501,9,0)</f>
        <v>0</v>
      </c>
    </row>
    <row r="62" spans="1:12" outlineLevel="2" x14ac:dyDescent="0.3">
      <c r="A62" t="str">
        <f t="shared" si="0"/>
        <v>PA04</v>
      </c>
      <c r="B62" t="s">
        <v>88</v>
      </c>
      <c r="C62" t="s">
        <v>89</v>
      </c>
      <c r="D62">
        <f>VLOOKUP($B62,Sheet2!$B$4:$J$1501,3,0)</f>
        <v>13781</v>
      </c>
      <c r="E62">
        <f>VLOOKUP($B62,Sheet2!$B$4:$J$1501,4,0)</f>
        <v>9187</v>
      </c>
      <c r="F62">
        <f>VLOOKUP($B62,Sheet2!$B$4:$J$1501,5,0)</f>
        <v>9173</v>
      </c>
      <c r="G62">
        <f>VLOOKUP($B62,Sheet2!$B$4:$J$1501,6,0)</f>
        <v>14</v>
      </c>
      <c r="H62">
        <f>VLOOKUP($B62,Sheet2!$B$4:$J$1501,7,0)</f>
        <v>0.18</v>
      </c>
      <c r="I62">
        <f>VLOOKUP($B62,Sheet2!$B$4:$J$1501,8,0)</f>
        <v>0.18</v>
      </c>
      <c r="J62">
        <f>VLOOKUP($B62,Sheet2!$B$4:$J$1501,9,0)</f>
        <v>0.18</v>
      </c>
    </row>
    <row r="63" spans="1:12" outlineLevel="2" x14ac:dyDescent="0.3">
      <c r="A63" t="str">
        <f t="shared" si="0"/>
        <v>PA04</v>
      </c>
      <c r="B63" t="s">
        <v>94</v>
      </c>
      <c r="C63" t="s">
        <v>95</v>
      </c>
      <c r="D63">
        <f>VLOOKUP($B63,Sheet2!$B$4:$J$1501,3,0)</f>
        <v>0</v>
      </c>
      <c r="E63">
        <f>VLOOKUP($B63,Sheet2!$B$4:$J$1501,4,0)</f>
        <v>0</v>
      </c>
      <c r="F63">
        <f>VLOOKUP($B63,Sheet2!$B$4:$J$1501,5,0)</f>
        <v>0</v>
      </c>
      <c r="G63">
        <f>VLOOKUP($B63,Sheet2!$B$4:$J$1501,6,0)</f>
        <v>0</v>
      </c>
      <c r="H63">
        <f>VLOOKUP($B63,Sheet2!$B$4:$J$1501,7,0)</f>
        <v>0</v>
      </c>
      <c r="I63">
        <f>VLOOKUP($B63,Sheet2!$B$4:$J$1501,8,0)</f>
        <v>0</v>
      </c>
      <c r="J63">
        <f>VLOOKUP($B63,Sheet2!$B$4:$J$1501,9,0)</f>
        <v>0</v>
      </c>
    </row>
    <row r="64" spans="1:12" outlineLevel="2" x14ac:dyDescent="0.3">
      <c r="A64" t="str">
        <f t="shared" si="0"/>
        <v>PA04</v>
      </c>
      <c r="B64" t="s">
        <v>227</v>
      </c>
      <c r="C64" t="s">
        <v>228</v>
      </c>
      <c r="D64">
        <f>VLOOKUP($B64,Sheet2!$B$4:$J$1501,3,0)</f>
        <v>0</v>
      </c>
      <c r="E64">
        <f>VLOOKUP($B64,Sheet2!$B$4:$J$1501,4,0)</f>
        <v>0</v>
      </c>
      <c r="F64">
        <f>VLOOKUP($B64,Sheet2!$B$4:$J$1501,5,0)</f>
        <v>12055</v>
      </c>
      <c r="G64">
        <f>VLOOKUP($B64,Sheet2!$B$4:$J$1501,6,0)</f>
        <v>-12055</v>
      </c>
      <c r="H64">
        <f>VLOOKUP($B64,Sheet2!$B$4:$J$1501,7,0)</f>
        <v>0</v>
      </c>
      <c r="I64">
        <f>VLOOKUP($B64,Sheet2!$B$4:$J$1501,8,0)</f>
        <v>0</v>
      </c>
      <c r="J64">
        <f>VLOOKUP($B64,Sheet2!$B$4:$J$1501,9,0)</f>
        <v>0</v>
      </c>
    </row>
    <row r="65" spans="1:12" outlineLevel="2" x14ac:dyDescent="0.3">
      <c r="A65" t="str">
        <f t="shared" si="0"/>
        <v>PA04</v>
      </c>
      <c r="B65" t="s">
        <v>110</v>
      </c>
      <c r="C65" t="s">
        <v>111</v>
      </c>
      <c r="D65">
        <f>VLOOKUP($B65,Sheet2!$B$4:$J$1501,3,0)</f>
        <v>61629</v>
      </c>
      <c r="E65">
        <f>VLOOKUP($B65,Sheet2!$B$4:$J$1501,4,0)</f>
        <v>41086</v>
      </c>
      <c r="F65">
        <f>VLOOKUP($B65,Sheet2!$B$4:$J$1501,5,0)</f>
        <v>89488</v>
      </c>
      <c r="G65">
        <f>VLOOKUP($B65,Sheet2!$B$4:$J$1501,6,0)</f>
        <v>-48402</v>
      </c>
      <c r="H65">
        <f>VLOOKUP($B65,Sheet2!$B$4:$J$1501,7,0)</f>
        <v>0</v>
      </c>
      <c r="I65">
        <f>VLOOKUP($B65,Sheet2!$B$4:$J$1501,8,0)</f>
        <v>0</v>
      </c>
      <c r="J65">
        <f>VLOOKUP($B65,Sheet2!$B$4:$J$1501,9,0)</f>
        <v>0</v>
      </c>
    </row>
    <row r="66" spans="1:12" outlineLevel="2" x14ac:dyDescent="0.3">
      <c r="A66" t="str">
        <f t="shared" si="0"/>
        <v>PA04</v>
      </c>
      <c r="B66" t="s">
        <v>122</v>
      </c>
      <c r="C66" t="s">
        <v>123</v>
      </c>
      <c r="D66">
        <f>VLOOKUP($B66,Sheet2!$B$4:$J$1501,3,0)</f>
        <v>0</v>
      </c>
      <c r="E66">
        <f>VLOOKUP($B66,Sheet2!$B$4:$J$1501,4,0)</f>
        <v>0</v>
      </c>
      <c r="F66">
        <f>VLOOKUP($B66,Sheet2!$B$4:$J$1501,5,0)</f>
        <v>15272</v>
      </c>
      <c r="G66">
        <f>VLOOKUP($B66,Sheet2!$B$4:$J$1501,6,0)</f>
        <v>-15272</v>
      </c>
      <c r="H66">
        <f>VLOOKUP($B66,Sheet2!$B$4:$J$1501,7,0)</f>
        <v>0</v>
      </c>
      <c r="I66">
        <f>VLOOKUP($B66,Sheet2!$B$4:$J$1501,8,0)</f>
        <v>0</v>
      </c>
      <c r="J66">
        <f>VLOOKUP($B66,Sheet2!$B$4:$J$1501,9,0)</f>
        <v>0</v>
      </c>
    </row>
    <row r="67" spans="1:12" outlineLevel="2" x14ac:dyDescent="0.3">
      <c r="A67" t="str">
        <f t="shared" si="0"/>
        <v>PA04</v>
      </c>
      <c r="B67" t="s">
        <v>241</v>
      </c>
      <c r="C67" t="s">
        <v>242</v>
      </c>
      <c r="D67">
        <f>VLOOKUP($B67,Sheet2!$B$4:$J$1501,3,0)</f>
        <v>0</v>
      </c>
      <c r="E67">
        <f>VLOOKUP($B67,Sheet2!$B$4:$J$1501,4,0)</f>
        <v>0</v>
      </c>
      <c r="F67">
        <f>VLOOKUP($B67,Sheet2!$B$4:$J$1501,5,0)</f>
        <v>55876</v>
      </c>
      <c r="G67">
        <f>VLOOKUP($B67,Sheet2!$B$4:$J$1501,6,0)</f>
        <v>-55876</v>
      </c>
      <c r="H67">
        <f>VLOOKUP($B67,Sheet2!$B$4:$J$1501,7,0)</f>
        <v>0</v>
      </c>
      <c r="I67">
        <f>VLOOKUP($B67,Sheet2!$B$4:$J$1501,8,0)</f>
        <v>0</v>
      </c>
      <c r="J67">
        <f>VLOOKUP($B67,Sheet2!$B$4:$J$1501,9,0)</f>
        <v>0</v>
      </c>
    </row>
    <row r="68" spans="1:12" outlineLevel="2" x14ac:dyDescent="0.3">
      <c r="A68" t="str">
        <f t="shared" si="0"/>
        <v>PA04</v>
      </c>
      <c r="B68" t="s">
        <v>132</v>
      </c>
      <c r="C68" t="s">
        <v>133</v>
      </c>
      <c r="D68">
        <f>VLOOKUP($B68,Sheet2!$B$4:$J$1501,3,0)</f>
        <v>0</v>
      </c>
      <c r="E68">
        <f>VLOOKUP($B68,Sheet2!$B$4:$J$1501,4,0)</f>
        <v>0</v>
      </c>
      <c r="F68">
        <f>VLOOKUP($B68,Sheet2!$B$4:$J$1501,5,0)</f>
        <v>82313</v>
      </c>
      <c r="G68">
        <f>VLOOKUP($B68,Sheet2!$B$4:$J$1501,6,0)</f>
        <v>-82313</v>
      </c>
      <c r="H68">
        <f>VLOOKUP($B68,Sheet2!$B$4:$J$1501,7,0)</f>
        <v>0</v>
      </c>
      <c r="I68">
        <f>VLOOKUP($B68,Sheet2!$B$4:$J$1501,8,0)</f>
        <v>0</v>
      </c>
      <c r="J68">
        <f>VLOOKUP($B68,Sheet2!$B$4:$J$1501,9,0)</f>
        <v>0</v>
      </c>
    </row>
    <row r="69" spans="1:12" outlineLevel="2" x14ac:dyDescent="0.3">
      <c r="A69" t="str">
        <f t="shared" si="0"/>
        <v>PA04</v>
      </c>
      <c r="B69" t="s">
        <v>146</v>
      </c>
      <c r="C69" t="s">
        <v>147</v>
      </c>
      <c r="D69">
        <f>VLOOKUP($B69,Sheet2!$B$4:$J$1501,3,0)</f>
        <v>42118</v>
      </c>
      <c r="E69">
        <f>VLOOKUP($B69,Sheet2!$B$4:$J$1501,4,0)</f>
        <v>28078</v>
      </c>
      <c r="F69">
        <f>VLOOKUP($B69,Sheet2!$B$4:$J$1501,5,0)</f>
        <v>28467</v>
      </c>
      <c r="G69">
        <f>VLOOKUP($B69,Sheet2!$B$4:$J$1501,6,0)</f>
        <v>-389</v>
      </c>
      <c r="H69">
        <f>VLOOKUP($B69,Sheet2!$B$4:$J$1501,7,0)</f>
        <v>0.55000000000000004</v>
      </c>
      <c r="I69">
        <f>VLOOKUP($B69,Sheet2!$B$4:$J$1501,8,0)</f>
        <v>0.55000000000000004</v>
      </c>
      <c r="J69">
        <f>VLOOKUP($B69,Sheet2!$B$4:$J$1501,9,0)</f>
        <v>0.55000000000000004</v>
      </c>
    </row>
    <row r="70" spans="1:12" outlineLevel="2" x14ac:dyDescent="0.3">
      <c r="A70" t="str">
        <f t="shared" si="0"/>
        <v>PA04</v>
      </c>
      <c r="B70" t="s">
        <v>150</v>
      </c>
      <c r="C70" t="s">
        <v>151</v>
      </c>
      <c r="D70">
        <f>VLOOKUP($B70,Sheet2!$B$4:$J$1501,3,0)</f>
        <v>0</v>
      </c>
      <c r="E70">
        <f>VLOOKUP($B70,Sheet2!$B$4:$J$1501,4,0)</f>
        <v>0</v>
      </c>
      <c r="F70">
        <f>VLOOKUP($B70,Sheet2!$B$4:$J$1501,5,0)</f>
        <v>0</v>
      </c>
      <c r="G70">
        <f>VLOOKUP($B70,Sheet2!$B$4:$J$1501,6,0)</f>
        <v>0</v>
      </c>
      <c r="H70">
        <f>VLOOKUP($B70,Sheet2!$B$4:$J$1501,7,0)</f>
        <v>0</v>
      </c>
      <c r="I70">
        <f>VLOOKUP($B70,Sheet2!$B$4:$J$1501,8,0)</f>
        <v>0</v>
      </c>
      <c r="J70">
        <f>VLOOKUP($B70,Sheet2!$B$4:$J$1501,9,0)</f>
        <v>0</v>
      </c>
    </row>
    <row r="71" spans="1:12" outlineLevel="2" x14ac:dyDescent="0.3">
      <c r="A71" t="str">
        <f t="shared" si="0"/>
        <v>PA04</v>
      </c>
      <c r="B71" t="s">
        <v>156</v>
      </c>
      <c r="C71" t="s">
        <v>157</v>
      </c>
      <c r="D71">
        <f>VLOOKUP($B71,Sheet2!$B$4:$J$1501,3,0)</f>
        <v>191765</v>
      </c>
      <c r="E71">
        <f>VLOOKUP($B71,Sheet2!$B$4:$J$1501,4,0)</f>
        <v>127844</v>
      </c>
      <c r="F71">
        <f>VLOOKUP($B71,Sheet2!$B$4:$J$1501,5,0)</f>
        <v>121830</v>
      </c>
      <c r="G71">
        <f>VLOOKUP($B71,Sheet2!$B$4:$J$1501,6,0)</f>
        <v>6014</v>
      </c>
      <c r="H71">
        <f>VLOOKUP($B71,Sheet2!$B$4:$J$1501,7,0)</f>
        <v>1</v>
      </c>
      <c r="I71">
        <f>VLOOKUP($B71,Sheet2!$B$4:$J$1501,8,0)</f>
        <v>0</v>
      </c>
      <c r="J71">
        <f>VLOOKUP($B71,Sheet2!$B$4:$J$1501,9,0)</f>
        <v>1</v>
      </c>
    </row>
    <row r="72" spans="1:12" outlineLevel="2" x14ac:dyDescent="0.3">
      <c r="A72" t="str">
        <f t="shared" si="0"/>
        <v>PA04</v>
      </c>
      <c r="B72" t="s">
        <v>160</v>
      </c>
      <c r="C72" t="s">
        <v>161</v>
      </c>
      <c r="D72">
        <f>VLOOKUP($B72,Sheet2!$B$4:$J$1501,3,0)</f>
        <v>0</v>
      </c>
      <c r="E72">
        <f>VLOOKUP($B72,Sheet2!$B$4:$J$1501,4,0)</f>
        <v>0</v>
      </c>
      <c r="F72">
        <f>VLOOKUP($B72,Sheet2!$B$4:$J$1501,5,0)</f>
        <v>11278</v>
      </c>
      <c r="G72">
        <f>VLOOKUP($B72,Sheet2!$B$4:$J$1501,6,0)</f>
        <v>-11278</v>
      </c>
      <c r="H72">
        <f>VLOOKUP($B72,Sheet2!$B$4:$J$1501,7,0)</f>
        <v>0</v>
      </c>
      <c r="I72">
        <f>VLOOKUP($B72,Sheet2!$B$4:$J$1501,8,0)</f>
        <v>0</v>
      </c>
      <c r="J72">
        <f>VLOOKUP($B72,Sheet2!$B$4:$J$1501,9,0)</f>
        <v>0</v>
      </c>
    </row>
    <row r="73" spans="1:12" outlineLevel="2" x14ac:dyDescent="0.3">
      <c r="A73" t="str">
        <f t="shared" si="0"/>
        <v>PA04</v>
      </c>
      <c r="B73" t="s">
        <v>166</v>
      </c>
      <c r="C73" t="s">
        <v>167</v>
      </c>
      <c r="D73">
        <f>VLOOKUP($B73,Sheet2!$B$4:$J$1501,3,0)</f>
        <v>0</v>
      </c>
      <c r="E73">
        <f>VLOOKUP($B73,Sheet2!$B$4:$J$1501,4,0)</f>
        <v>0</v>
      </c>
      <c r="F73">
        <f>VLOOKUP($B73,Sheet2!$B$4:$J$1501,5,0)</f>
        <v>0</v>
      </c>
      <c r="G73">
        <f>VLOOKUP($B73,Sheet2!$B$4:$J$1501,6,0)</f>
        <v>0</v>
      </c>
      <c r="H73">
        <f>VLOOKUP($B73,Sheet2!$B$4:$J$1501,7,0)</f>
        <v>0</v>
      </c>
      <c r="I73">
        <f>VLOOKUP($B73,Sheet2!$B$4:$J$1501,8,0)</f>
        <v>0</v>
      </c>
      <c r="J73">
        <f>VLOOKUP($B73,Sheet2!$B$4:$J$1501,9,0)</f>
        <v>0</v>
      </c>
    </row>
    <row r="74" spans="1:12" outlineLevel="2" x14ac:dyDescent="0.3">
      <c r="A74" t="str">
        <f t="shared" si="0"/>
        <v>PA04</v>
      </c>
      <c r="B74" t="s">
        <v>168</v>
      </c>
      <c r="C74" t="s">
        <v>169</v>
      </c>
      <c r="D74">
        <f>VLOOKUP($B74,Sheet2!$B$4:$J$1501,3,0)</f>
        <v>0</v>
      </c>
      <c r="E74">
        <f>VLOOKUP($B74,Sheet2!$B$4:$J$1501,4,0)</f>
        <v>0</v>
      </c>
      <c r="F74">
        <f>VLOOKUP($B74,Sheet2!$B$4:$J$1501,5,0)</f>
        <v>0</v>
      </c>
      <c r="G74">
        <f>VLOOKUP($B74,Sheet2!$B$4:$J$1501,6,0)</f>
        <v>0</v>
      </c>
      <c r="H74">
        <f>VLOOKUP($B74,Sheet2!$B$4:$J$1501,7,0)</f>
        <v>0</v>
      </c>
      <c r="I74">
        <f>VLOOKUP($B74,Sheet2!$B$4:$J$1501,8,0)</f>
        <v>0</v>
      </c>
      <c r="J74">
        <f>VLOOKUP($B74,Sheet2!$B$4:$J$1501,9,0)</f>
        <v>0</v>
      </c>
    </row>
    <row r="75" spans="1:12" outlineLevel="2" x14ac:dyDescent="0.3">
      <c r="A75" t="str">
        <f t="shared" si="0"/>
        <v>PA04</v>
      </c>
      <c r="B75" t="s">
        <v>170</v>
      </c>
      <c r="C75" t="s">
        <v>171</v>
      </c>
      <c r="D75">
        <f>VLOOKUP($B75,Sheet2!$B$4:$J$1501,3,0)</f>
        <v>0</v>
      </c>
      <c r="E75">
        <f>VLOOKUP($B75,Sheet2!$B$4:$J$1501,4,0)</f>
        <v>0</v>
      </c>
      <c r="F75">
        <f>VLOOKUP($B75,Sheet2!$B$4:$J$1501,5,0)</f>
        <v>0</v>
      </c>
      <c r="G75">
        <f>VLOOKUP($B75,Sheet2!$B$4:$J$1501,6,0)</f>
        <v>0</v>
      </c>
      <c r="H75">
        <f>VLOOKUP($B75,Sheet2!$B$4:$J$1501,7,0)</f>
        <v>0</v>
      </c>
      <c r="I75">
        <f>VLOOKUP($B75,Sheet2!$B$4:$J$1501,8,0)</f>
        <v>0</v>
      </c>
      <c r="J75">
        <f>VLOOKUP($B75,Sheet2!$B$4:$J$1501,9,0)</f>
        <v>0</v>
      </c>
    </row>
    <row r="76" spans="1:12" outlineLevel="2" x14ac:dyDescent="0.3">
      <c r="A76" t="str">
        <f t="shared" si="0"/>
        <v>PA04</v>
      </c>
      <c r="B76" t="s">
        <v>184</v>
      </c>
      <c r="C76" t="s">
        <v>185</v>
      </c>
      <c r="D76">
        <f>VLOOKUP($B76,Sheet2!$B$4:$J$1501,3,0)</f>
        <v>0</v>
      </c>
      <c r="E76">
        <f>VLOOKUP($B76,Sheet2!$B$4:$J$1501,4,0)</f>
        <v>0</v>
      </c>
      <c r="F76">
        <f>VLOOKUP($B76,Sheet2!$B$4:$J$1501,5,0)</f>
        <v>69904</v>
      </c>
      <c r="G76">
        <f>VLOOKUP($B76,Sheet2!$B$4:$J$1501,6,0)</f>
        <v>-69904</v>
      </c>
      <c r="H76">
        <f>VLOOKUP($B76,Sheet2!$B$4:$J$1501,7,0)</f>
        <v>0</v>
      </c>
      <c r="I76">
        <f>VLOOKUP($B76,Sheet2!$B$4:$J$1501,8,0)</f>
        <v>0</v>
      </c>
      <c r="J76">
        <f>VLOOKUP($B76,Sheet2!$B$4:$J$1501,9,0)</f>
        <v>0</v>
      </c>
    </row>
    <row r="77" spans="1:12" outlineLevel="2" x14ac:dyDescent="0.3">
      <c r="A77" t="str">
        <f t="shared" si="0"/>
        <v>PA04</v>
      </c>
      <c r="B77" t="s">
        <v>190</v>
      </c>
      <c r="C77" t="s">
        <v>191</v>
      </c>
      <c r="D77">
        <f>VLOOKUP($B77,Sheet2!$B$4:$J$1501,3,0)</f>
        <v>94836</v>
      </c>
      <c r="E77">
        <f>VLOOKUP($B77,Sheet2!$B$4:$J$1501,4,0)</f>
        <v>94836</v>
      </c>
      <c r="F77">
        <f>VLOOKUP($B77,Sheet2!$B$4:$J$1501,5,0)</f>
        <v>118132</v>
      </c>
      <c r="G77">
        <f>VLOOKUP($B77,Sheet2!$B$4:$J$1501,6,0)</f>
        <v>-23296</v>
      </c>
      <c r="H77">
        <f>VLOOKUP($B77,Sheet2!$B$4:$J$1501,7,0)</f>
        <v>0</v>
      </c>
      <c r="I77">
        <f>VLOOKUP($B77,Sheet2!$B$4:$J$1501,8,0)</f>
        <v>0</v>
      </c>
      <c r="J77">
        <f>VLOOKUP($B77,Sheet2!$B$4:$J$1501,9,0)</f>
        <v>0</v>
      </c>
    </row>
    <row r="78" spans="1:12" outlineLevel="2" x14ac:dyDescent="0.3">
      <c r="A78" t="str">
        <f t="shared" si="0"/>
        <v>PA04</v>
      </c>
      <c r="B78" t="s">
        <v>198</v>
      </c>
      <c r="C78" t="s">
        <v>199</v>
      </c>
      <c r="D78">
        <f>VLOOKUP($B78,Sheet2!$B$4:$J$1501,3,0)</f>
        <v>0</v>
      </c>
      <c r="E78">
        <f>VLOOKUP($B78,Sheet2!$B$4:$J$1501,4,0)</f>
        <v>0</v>
      </c>
      <c r="F78">
        <f>VLOOKUP($B78,Sheet2!$B$4:$J$1501,5,0)</f>
        <v>0</v>
      </c>
      <c r="G78">
        <f>VLOOKUP($B78,Sheet2!$B$4:$J$1501,6,0)</f>
        <v>0</v>
      </c>
      <c r="H78">
        <f>VLOOKUP($B78,Sheet2!$B$4:$J$1501,7,0)</f>
        <v>0</v>
      </c>
      <c r="I78">
        <f>VLOOKUP($B78,Sheet2!$B$4:$J$1501,8,0)</f>
        <v>0</v>
      </c>
      <c r="J78">
        <f>VLOOKUP($B78,Sheet2!$B$4:$J$1501,9,0)</f>
        <v>0</v>
      </c>
    </row>
    <row r="79" spans="1:12" outlineLevel="1" x14ac:dyDescent="0.3">
      <c r="A79" s="50" t="s">
        <v>207</v>
      </c>
      <c r="C79" s="51" t="s">
        <v>199</v>
      </c>
      <c r="D79" s="25">
        <f>SUM(D57:D78)</f>
        <v>412934</v>
      </c>
      <c r="E79" s="25">
        <f t="shared" ref="E79:J79" si="4">SUM(E57:E78)</f>
        <v>306901</v>
      </c>
      <c r="F79" s="25">
        <f t="shared" si="4"/>
        <v>720854</v>
      </c>
      <c r="G79" s="25">
        <f t="shared" si="4"/>
        <v>-413953</v>
      </c>
      <c r="H79" s="25">
        <f t="shared" si="4"/>
        <v>1.73</v>
      </c>
      <c r="I79" s="25">
        <f t="shared" si="4"/>
        <v>1.73</v>
      </c>
      <c r="J79" s="25">
        <f t="shared" si="4"/>
        <v>1.73</v>
      </c>
      <c r="L79" s="63">
        <f>F79/5/O17</f>
        <v>9.469346469622332</v>
      </c>
    </row>
    <row r="80" spans="1:12" outlineLevel="2" x14ac:dyDescent="0.3">
      <c r="A80" t="str">
        <f t="shared" si="0"/>
        <v>PA06</v>
      </c>
      <c r="B80" t="s">
        <v>76</v>
      </c>
      <c r="C80" t="s">
        <v>77</v>
      </c>
      <c r="D80">
        <f>VLOOKUP($B80,Sheet2!$B$4:$J$1501,3,0)</f>
        <v>116873</v>
      </c>
      <c r="E80">
        <f>VLOOKUP($B80,Sheet2!$B$4:$J$1501,4,0)</f>
        <v>77915</v>
      </c>
      <c r="F80">
        <f>VLOOKUP($B80,Sheet2!$B$4:$J$1501,5,0)</f>
        <v>77912</v>
      </c>
      <c r="G80">
        <f>VLOOKUP($B80,Sheet2!$B$4:$J$1501,6,0)</f>
        <v>3</v>
      </c>
      <c r="H80">
        <f>VLOOKUP($B80,Sheet2!$B$4:$J$1501,7,0)</f>
        <v>1</v>
      </c>
      <c r="I80">
        <f>VLOOKUP($B80,Sheet2!$B$4:$J$1501,8,0)</f>
        <v>0</v>
      </c>
      <c r="J80">
        <f>VLOOKUP($B80,Sheet2!$B$4:$J$1501,9,0)</f>
        <v>1</v>
      </c>
    </row>
    <row r="81" spans="1:10" outlineLevel="2" x14ac:dyDescent="0.3">
      <c r="A81" t="str">
        <f t="shared" si="0"/>
        <v>PA06</v>
      </c>
      <c r="B81" t="s">
        <v>253</v>
      </c>
      <c r="C81" t="s">
        <v>254</v>
      </c>
      <c r="D81">
        <f>VLOOKUP($B81,Sheet2!$B$4:$J$1501,3,0)</f>
        <v>0</v>
      </c>
      <c r="E81">
        <f>VLOOKUP($B81,Sheet2!$B$4:$J$1501,4,0)</f>
        <v>0</v>
      </c>
      <c r="F81">
        <f>VLOOKUP($B81,Sheet2!$B$4:$J$1501,5,0)</f>
        <v>4575</v>
      </c>
      <c r="G81">
        <f>VLOOKUP($B81,Sheet2!$B$4:$J$1501,6,0)</f>
        <v>-4575</v>
      </c>
      <c r="H81">
        <f>VLOOKUP($B81,Sheet2!$B$4:$J$1501,7,0)</f>
        <v>0</v>
      </c>
      <c r="I81">
        <f>VLOOKUP($B81,Sheet2!$B$4:$J$1501,8,0)</f>
        <v>0</v>
      </c>
      <c r="J81">
        <f>VLOOKUP($B81,Sheet2!$B$4:$J$1501,9,0)</f>
        <v>0</v>
      </c>
    </row>
    <row r="82" spans="1:10" outlineLevel="2" x14ac:dyDescent="0.3">
      <c r="A82" t="str">
        <f t="shared" si="0"/>
        <v>PA06</v>
      </c>
      <c r="B82" t="s">
        <v>235</v>
      </c>
      <c r="C82" t="s">
        <v>236</v>
      </c>
      <c r="D82">
        <f>VLOOKUP($B82,Sheet2!$B$4:$J$1501,3,0)</f>
        <v>0</v>
      </c>
      <c r="E82">
        <f>VLOOKUP($B82,Sheet2!$B$4:$J$1501,4,0)</f>
        <v>0</v>
      </c>
      <c r="F82">
        <f>VLOOKUP($B82,Sheet2!$B$4:$J$1501,5,0)</f>
        <v>92988</v>
      </c>
      <c r="G82">
        <f>VLOOKUP($B82,Sheet2!$B$4:$J$1501,6,0)</f>
        <v>-92988</v>
      </c>
      <c r="H82">
        <f>VLOOKUP($B82,Sheet2!$B$4:$J$1501,7,0)</f>
        <v>0</v>
      </c>
      <c r="I82">
        <f>VLOOKUP($B82,Sheet2!$B$4:$J$1501,8,0)</f>
        <v>0</v>
      </c>
      <c r="J82">
        <f>VLOOKUP($B82,Sheet2!$B$4:$J$1501,9,0)</f>
        <v>0</v>
      </c>
    </row>
    <row r="83" spans="1:10" outlineLevel="2" x14ac:dyDescent="0.3">
      <c r="A83" t="str">
        <f t="shared" si="0"/>
        <v>PA06</v>
      </c>
      <c r="B83" t="s">
        <v>86</v>
      </c>
      <c r="C83" t="s">
        <v>87</v>
      </c>
      <c r="D83">
        <f>VLOOKUP($B83,Sheet2!$B$4:$J$1501,3,0)</f>
        <v>0</v>
      </c>
      <c r="E83">
        <f>VLOOKUP($B83,Sheet2!$B$4:$J$1501,4,0)</f>
        <v>0</v>
      </c>
      <c r="F83">
        <f>VLOOKUP($B83,Sheet2!$B$4:$J$1501,5,0)</f>
        <v>63350</v>
      </c>
      <c r="G83">
        <f>VLOOKUP($B83,Sheet2!$B$4:$J$1501,6,0)</f>
        <v>-63350</v>
      </c>
      <c r="H83">
        <f>VLOOKUP($B83,Sheet2!$B$4:$J$1501,7,0)</f>
        <v>0</v>
      </c>
      <c r="I83">
        <f>VLOOKUP($B83,Sheet2!$B$4:$J$1501,8,0)</f>
        <v>0</v>
      </c>
      <c r="J83">
        <f>VLOOKUP($B83,Sheet2!$B$4:$J$1501,9,0)</f>
        <v>0</v>
      </c>
    </row>
    <row r="84" spans="1:10" outlineLevel="2" x14ac:dyDescent="0.3">
      <c r="A84" t="str">
        <f t="shared" si="0"/>
        <v>PA06</v>
      </c>
      <c r="B84" t="s">
        <v>96</v>
      </c>
      <c r="C84" t="s">
        <v>97</v>
      </c>
      <c r="D84">
        <f>VLOOKUP($B84,Sheet2!$B$4:$J$1501,3,0)</f>
        <v>24670</v>
      </c>
      <c r="E84">
        <f>VLOOKUP($B84,Sheet2!$B$4:$J$1501,4,0)</f>
        <v>24670</v>
      </c>
      <c r="F84">
        <f>VLOOKUP($B84,Sheet2!$B$4:$J$1501,5,0)</f>
        <v>37526</v>
      </c>
      <c r="G84">
        <f>VLOOKUP($B84,Sheet2!$B$4:$J$1501,6,0)</f>
        <v>-12856</v>
      </c>
      <c r="H84">
        <f>VLOOKUP($B84,Sheet2!$B$4:$J$1501,7,0)</f>
        <v>1</v>
      </c>
      <c r="I84">
        <f>VLOOKUP($B84,Sheet2!$B$4:$J$1501,8,0)</f>
        <v>0</v>
      </c>
      <c r="J84">
        <f>VLOOKUP($B84,Sheet2!$B$4:$J$1501,9,0)</f>
        <v>0</v>
      </c>
    </row>
    <row r="85" spans="1:10" outlineLevel="2" x14ac:dyDescent="0.3">
      <c r="A85" t="str">
        <f t="shared" si="0"/>
        <v>PA06</v>
      </c>
      <c r="B85" t="s">
        <v>225</v>
      </c>
      <c r="C85" t="s">
        <v>226</v>
      </c>
      <c r="D85">
        <f>VLOOKUP($B85,Sheet2!$B$4:$J$1501,3,0)</f>
        <v>63653</v>
      </c>
      <c r="E85">
        <f>VLOOKUP($B85,Sheet2!$B$4:$J$1501,4,0)</f>
        <v>42435</v>
      </c>
      <c r="F85">
        <f>VLOOKUP($B85,Sheet2!$B$4:$J$1501,5,0)</f>
        <v>48318</v>
      </c>
      <c r="G85">
        <f>VLOOKUP($B85,Sheet2!$B$4:$J$1501,6,0)</f>
        <v>-5883</v>
      </c>
      <c r="H85">
        <f>VLOOKUP($B85,Sheet2!$B$4:$J$1501,7,0)</f>
        <v>0</v>
      </c>
      <c r="I85">
        <f>VLOOKUP($B85,Sheet2!$B$4:$J$1501,8,0)</f>
        <v>0</v>
      </c>
      <c r="J85">
        <f>VLOOKUP($B85,Sheet2!$B$4:$J$1501,9,0)</f>
        <v>0</v>
      </c>
    </row>
    <row r="86" spans="1:10" outlineLevel="2" x14ac:dyDescent="0.3">
      <c r="A86" t="str">
        <f t="shared" si="0"/>
        <v>PA06</v>
      </c>
      <c r="B86" t="s">
        <v>102</v>
      </c>
      <c r="C86" t="s">
        <v>103</v>
      </c>
      <c r="D86">
        <f>VLOOKUP($B86,Sheet2!$B$4:$J$1501,3,0)</f>
        <v>0</v>
      </c>
      <c r="E86">
        <f>VLOOKUP($B86,Sheet2!$B$4:$J$1501,4,0)</f>
        <v>0</v>
      </c>
      <c r="F86">
        <f>VLOOKUP($B86,Sheet2!$B$4:$J$1501,5,0)</f>
        <v>60253</v>
      </c>
      <c r="G86">
        <f>VLOOKUP($B86,Sheet2!$B$4:$J$1501,6,0)</f>
        <v>-60253</v>
      </c>
      <c r="H86">
        <f>VLOOKUP($B86,Sheet2!$B$4:$J$1501,7,0)</f>
        <v>0</v>
      </c>
      <c r="I86">
        <f>VLOOKUP($B86,Sheet2!$B$4:$J$1501,8,0)</f>
        <v>0</v>
      </c>
      <c r="J86">
        <f>VLOOKUP($B86,Sheet2!$B$4:$J$1501,9,0)</f>
        <v>0</v>
      </c>
    </row>
    <row r="87" spans="1:10" outlineLevel="2" x14ac:dyDescent="0.3">
      <c r="A87" t="str">
        <f t="shared" si="0"/>
        <v>PA06</v>
      </c>
      <c r="B87" t="s">
        <v>112</v>
      </c>
      <c r="C87" t="s">
        <v>113</v>
      </c>
      <c r="D87">
        <f>VLOOKUP($B87,Sheet2!$B$4:$J$1501,3,0)</f>
        <v>0</v>
      </c>
      <c r="E87">
        <f>VLOOKUP($B87,Sheet2!$B$4:$J$1501,4,0)</f>
        <v>0</v>
      </c>
      <c r="F87">
        <f>VLOOKUP($B87,Sheet2!$B$4:$J$1501,5,0)</f>
        <v>203222</v>
      </c>
      <c r="G87">
        <f>VLOOKUP($B87,Sheet2!$B$4:$J$1501,6,0)</f>
        <v>-203222</v>
      </c>
      <c r="H87">
        <f>VLOOKUP($B87,Sheet2!$B$4:$J$1501,7,0)</f>
        <v>0</v>
      </c>
      <c r="I87">
        <f>VLOOKUP($B87,Sheet2!$B$4:$J$1501,8,0)</f>
        <v>2.08</v>
      </c>
      <c r="J87">
        <f>VLOOKUP($B87,Sheet2!$B$4:$J$1501,9,0)</f>
        <v>0</v>
      </c>
    </row>
    <row r="88" spans="1:10" outlineLevel="2" x14ac:dyDescent="0.3">
      <c r="A88" t="str">
        <f t="shared" si="0"/>
        <v>PA06</v>
      </c>
      <c r="B88" t="s">
        <v>124</v>
      </c>
      <c r="C88" t="s">
        <v>125</v>
      </c>
      <c r="D88">
        <f>VLOOKUP($B88,Sheet2!$B$4:$J$1501,3,0)</f>
        <v>0</v>
      </c>
      <c r="E88">
        <f>VLOOKUP($B88,Sheet2!$B$4:$J$1501,4,0)</f>
        <v>0</v>
      </c>
      <c r="F88">
        <f>VLOOKUP($B88,Sheet2!$B$4:$J$1501,5,0)</f>
        <v>48991</v>
      </c>
      <c r="G88">
        <f>VLOOKUP($B88,Sheet2!$B$4:$J$1501,6,0)</f>
        <v>-48991</v>
      </c>
      <c r="H88">
        <f>VLOOKUP($B88,Sheet2!$B$4:$J$1501,7,0)</f>
        <v>0</v>
      </c>
      <c r="I88">
        <f>VLOOKUP($B88,Sheet2!$B$4:$J$1501,8,0)</f>
        <v>0</v>
      </c>
      <c r="J88">
        <f>VLOOKUP($B88,Sheet2!$B$4:$J$1501,9,0)</f>
        <v>0</v>
      </c>
    </row>
    <row r="89" spans="1:10" outlineLevel="2" x14ac:dyDescent="0.3">
      <c r="A89" t="str">
        <f t="shared" si="0"/>
        <v>PA06</v>
      </c>
      <c r="B89" t="s">
        <v>221</v>
      </c>
      <c r="C89" t="s">
        <v>222</v>
      </c>
      <c r="D89">
        <f>VLOOKUP($B89,Sheet2!$B$4:$J$1501,3,0)</f>
        <v>0</v>
      </c>
      <c r="E89">
        <f>VLOOKUP($B89,Sheet2!$B$4:$J$1501,4,0)</f>
        <v>0</v>
      </c>
      <c r="F89">
        <f>VLOOKUP($B89,Sheet2!$B$4:$J$1501,5,0)</f>
        <v>0</v>
      </c>
      <c r="G89">
        <f>VLOOKUP($B89,Sheet2!$B$4:$J$1501,6,0)</f>
        <v>0</v>
      </c>
      <c r="H89">
        <f>VLOOKUP($B89,Sheet2!$B$4:$J$1501,7,0)</f>
        <v>0</v>
      </c>
      <c r="I89">
        <f>VLOOKUP($B89,Sheet2!$B$4:$J$1501,8,0)</f>
        <v>0</v>
      </c>
      <c r="J89">
        <f>VLOOKUP($B89,Sheet2!$B$4:$J$1501,9,0)</f>
        <v>0</v>
      </c>
    </row>
    <row r="90" spans="1:10" outlineLevel="2" x14ac:dyDescent="0.3">
      <c r="A90" t="str">
        <f t="shared" si="0"/>
        <v>PA06</v>
      </c>
      <c r="B90" t="s">
        <v>134</v>
      </c>
      <c r="C90" t="s">
        <v>135</v>
      </c>
      <c r="D90">
        <f>VLOOKUP($B90,Sheet2!$B$4:$J$1501,3,0)</f>
        <v>170373</v>
      </c>
      <c r="E90">
        <f>VLOOKUP($B90,Sheet2!$B$4:$J$1501,4,0)</f>
        <v>113582</v>
      </c>
      <c r="F90">
        <f>VLOOKUP($B90,Sheet2!$B$4:$J$1501,5,0)</f>
        <v>122406</v>
      </c>
      <c r="G90">
        <f>VLOOKUP($B90,Sheet2!$B$4:$J$1501,6,0)</f>
        <v>-8824</v>
      </c>
      <c r="H90">
        <f>VLOOKUP($B90,Sheet2!$B$4:$J$1501,7,0)</f>
        <v>2</v>
      </c>
      <c r="I90">
        <f>VLOOKUP($B90,Sheet2!$B$4:$J$1501,8,0)</f>
        <v>1</v>
      </c>
      <c r="J90">
        <f>VLOOKUP($B90,Sheet2!$B$4:$J$1501,9,0)</f>
        <v>0</v>
      </c>
    </row>
    <row r="91" spans="1:10" outlineLevel="2" x14ac:dyDescent="0.3">
      <c r="A91" t="str">
        <f t="shared" si="0"/>
        <v>PA06</v>
      </c>
      <c r="B91" t="s">
        <v>140</v>
      </c>
      <c r="C91" t="s">
        <v>141</v>
      </c>
      <c r="D91">
        <f>VLOOKUP($B91,Sheet2!$B$4:$J$1501,3,0)</f>
        <v>0</v>
      </c>
      <c r="E91">
        <f>VLOOKUP($B91,Sheet2!$B$4:$J$1501,4,0)</f>
        <v>0</v>
      </c>
      <c r="F91">
        <f>VLOOKUP($B91,Sheet2!$B$4:$J$1501,5,0)</f>
        <v>54304</v>
      </c>
      <c r="G91">
        <f>VLOOKUP($B91,Sheet2!$B$4:$J$1501,6,0)</f>
        <v>-54304</v>
      </c>
      <c r="H91">
        <f>VLOOKUP($B91,Sheet2!$B$4:$J$1501,7,0)</f>
        <v>0</v>
      </c>
      <c r="I91">
        <f>VLOOKUP($B91,Sheet2!$B$4:$J$1501,8,0)</f>
        <v>1</v>
      </c>
      <c r="J91">
        <f>VLOOKUP($B91,Sheet2!$B$4:$J$1501,9,0)</f>
        <v>0</v>
      </c>
    </row>
    <row r="92" spans="1:10" outlineLevel="2" x14ac:dyDescent="0.3">
      <c r="A92" t="str">
        <f t="shared" si="0"/>
        <v>PA06</v>
      </c>
      <c r="B92" t="s">
        <v>152</v>
      </c>
      <c r="C92" t="s">
        <v>153</v>
      </c>
      <c r="D92">
        <f>VLOOKUP($B92,Sheet2!$B$4:$J$1501,3,0)</f>
        <v>0</v>
      </c>
      <c r="E92">
        <f>VLOOKUP($B92,Sheet2!$B$4:$J$1501,4,0)</f>
        <v>0</v>
      </c>
      <c r="F92">
        <f>VLOOKUP($B92,Sheet2!$B$4:$J$1501,5,0)</f>
        <v>0</v>
      </c>
      <c r="G92">
        <f>VLOOKUP($B92,Sheet2!$B$4:$J$1501,6,0)</f>
        <v>0</v>
      </c>
      <c r="H92">
        <f>VLOOKUP($B92,Sheet2!$B$4:$J$1501,7,0)</f>
        <v>0</v>
      </c>
      <c r="I92">
        <f>VLOOKUP($B92,Sheet2!$B$4:$J$1501,8,0)</f>
        <v>0</v>
      </c>
      <c r="J92">
        <f>VLOOKUP($B92,Sheet2!$B$4:$J$1501,9,0)</f>
        <v>0</v>
      </c>
    </row>
    <row r="93" spans="1:10" outlineLevel="2" x14ac:dyDescent="0.3">
      <c r="A93" t="str">
        <f t="shared" si="0"/>
        <v>PA06</v>
      </c>
      <c r="B93" t="s">
        <v>172</v>
      </c>
      <c r="C93" t="s">
        <v>173</v>
      </c>
      <c r="D93">
        <f>VLOOKUP($B93,Sheet2!$B$4:$J$1501,3,0)</f>
        <v>0</v>
      </c>
      <c r="E93">
        <f>VLOOKUP($B93,Sheet2!$B$4:$J$1501,4,0)</f>
        <v>0</v>
      </c>
      <c r="F93">
        <f>VLOOKUP($B93,Sheet2!$B$4:$J$1501,5,0)</f>
        <v>909</v>
      </c>
      <c r="G93">
        <f>VLOOKUP($B93,Sheet2!$B$4:$J$1501,6,0)</f>
        <v>-909</v>
      </c>
      <c r="H93">
        <f>VLOOKUP($B93,Sheet2!$B$4:$J$1501,7,0)</f>
        <v>0</v>
      </c>
      <c r="I93">
        <f>VLOOKUP($B93,Sheet2!$B$4:$J$1501,8,0)</f>
        <v>0</v>
      </c>
      <c r="J93">
        <f>VLOOKUP($B93,Sheet2!$B$4:$J$1501,9,0)</f>
        <v>0</v>
      </c>
    </row>
    <row r="94" spans="1:10" outlineLevel="2" x14ac:dyDescent="0.3">
      <c r="A94" t="str">
        <f t="shared" si="0"/>
        <v>PA06</v>
      </c>
      <c r="B94" t="s">
        <v>186</v>
      </c>
      <c r="C94" t="s">
        <v>187</v>
      </c>
      <c r="D94">
        <f>VLOOKUP($B94,Sheet2!$B$4:$J$1501,3,0)</f>
        <v>0</v>
      </c>
      <c r="E94">
        <f>VLOOKUP($B94,Sheet2!$B$4:$J$1501,4,0)</f>
        <v>0</v>
      </c>
      <c r="F94">
        <f>VLOOKUP($B94,Sheet2!$B$4:$J$1501,5,0)</f>
        <v>71170</v>
      </c>
      <c r="G94">
        <f>VLOOKUP($B94,Sheet2!$B$4:$J$1501,6,0)</f>
        <v>-71170</v>
      </c>
      <c r="H94">
        <f>VLOOKUP($B94,Sheet2!$B$4:$J$1501,7,0)</f>
        <v>0</v>
      </c>
      <c r="I94">
        <f>VLOOKUP($B94,Sheet2!$B$4:$J$1501,8,0)</f>
        <v>0</v>
      </c>
      <c r="J94">
        <f>VLOOKUP($B94,Sheet2!$B$4:$J$1501,9,0)</f>
        <v>0</v>
      </c>
    </row>
    <row r="95" spans="1:10" outlineLevel="2" x14ac:dyDescent="0.3">
      <c r="A95" t="str">
        <f t="shared" si="0"/>
        <v>PA06</v>
      </c>
      <c r="B95" t="s">
        <v>192</v>
      </c>
      <c r="C95" t="s">
        <v>193</v>
      </c>
      <c r="D95">
        <f>VLOOKUP($B95,Sheet2!$B$4:$J$1501,3,0)</f>
        <v>0</v>
      </c>
      <c r="E95">
        <f>VLOOKUP($B95,Sheet2!$B$4:$J$1501,4,0)</f>
        <v>0</v>
      </c>
      <c r="F95">
        <f>VLOOKUP($B95,Sheet2!$B$4:$J$1501,5,0)</f>
        <v>0</v>
      </c>
      <c r="G95">
        <f>VLOOKUP($B95,Sheet2!$B$4:$J$1501,6,0)</f>
        <v>0</v>
      </c>
      <c r="H95">
        <f>VLOOKUP($B95,Sheet2!$B$4:$J$1501,7,0)</f>
        <v>0</v>
      </c>
      <c r="I95">
        <f>VLOOKUP($B95,Sheet2!$B$4:$J$1501,8,0)</f>
        <v>0</v>
      </c>
      <c r="J95">
        <f>VLOOKUP($B95,Sheet2!$B$4:$J$1501,9,0)</f>
        <v>0</v>
      </c>
    </row>
    <row r="96" spans="1:10" outlineLevel="2" x14ac:dyDescent="0.3">
      <c r="A96" t="str">
        <f t="shared" si="0"/>
        <v>PA06</v>
      </c>
      <c r="B96" t="s">
        <v>196</v>
      </c>
      <c r="C96" t="s">
        <v>197</v>
      </c>
      <c r="D96">
        <f>VLOOKUP($B96,Sheet2!$B$4:$J$1501,3,0)</f>
        <v>0</v>
      </c>
      <c r="E96">
        <f>VLOOKUP($B96,Sheet2!$B$4:$J$1501,4,0)</f>
        <v>0</v>
      </c>
      <c r="F96">
        <f>VLOOKUP($B96,Sheet2!$B$4:$J$1501,5,0)</f>
        <v>362</v>
      </c>
      <c r="G96">
        <f>VLOOKUP($B96,Sheet2!$B$4:$J$1501,6,0)</f>
        <v>-362</v>
      </c>
      <c r="H96">
        <f>VLOOKUP($B96,Sheet2!$B$4:$J$1501,7,0)</f>
        <v>0</v>
      </c>
      <c r="I96">
        <f>VLOOKUP($B96,Sheet2!$B$4:$J$1501,8,0)</f>
        <v>0</v>
      </c>
      <c r="J96">
        <f>VLOOKUP($B96,Sheet2!$B$4:$J$1501,9,0)</f>
        <v>0</v>
      </c>
    </row>
    <row r="97" spans="1:12" outlineLevel="1" x14ac:dyDescent="0.3">
      <c r="A97" s="50" t="s">
        <v>208</v>
      </c>
      <c r="C97" s="51" t="s">
        <v>197</v>
      </c>
      <c r="D97" s="25">
        <f>SUM(D80:D96)</f>
        <v>375569</v>
      </c>
      <c r="E97" s="25">
        <f t="shared" ref="E97:J97" si="5">SUM(E80:E96)</f>
        <v>258602</v>
      </c>
      <c r="F97" s="25">
        <f t="shared" si="5"/>
        <v>886286</v>
      </c>
      <c r="G97" s="25">
        <f t="shared" si="5"/>
        <v>-627684</v>
      </c>
      <c r="H97" s="25">
        <f t="shared" si="5"/>
        <v>4</v>
      </c>
      <c r="I97" s="25">
        <f t="shared" si="5"/>
        <v>4.08</v>
      </c>
      <c r="J97" s="25">
        <f t="shared" si="5"/>
        <v>1</v>
      </c>
      <c r="L97" s="63">
        <f>(F97+F110)/5/O19</f>
        <v>22.88124859139058</v>
      </c>
    </row>
    <row r="98" spans="1:12" outlineLevel="2" x14ac:dyDescent="0.3">
      <c r="A98" t="str">
        <f t="shared" si="0"/>
        <v>PA07</v>
      </c>
      <c r="B98" t="s">
        <v>62</v>
      </c>
      <c r="C98" t="s">
        <v>63</v>
      </c>
      <c r="D98">
        <f>VLOOKUP($B98,Sheet2!$B$4:$J$1501,3,0)</f>
        <v>0</v>
      </c>
      <c r="E98">
        <f>VLOOKUP($B98,Sheet2!$B$4:$J$1501,4,0)</f>
        <v>0</v>
      </c>
      <c r="F98">
        <f>VLOOKUP($B98,Sheet2!$B$4:$J$1501,5,0)</f>
        <v>0</v>
      </c>
      <c r="G98">
        <f>VLOOKUP($B98,Sheet2!$B$4:$J$1501,6,0)</f>
        <v>0</v>
      </c>
      <c r="H98">
        <f>VLOOKUP($B98,Sheet2!$B$4:$J$1501,7,0)</f>
        <v>0</v>
      </c>
      <c r="I98">
        <f>VLOOKUP($B98,Sheet2!$B$4:$J$1501,8,0)</f>
        <v>0</v>
      </c>
      <c r="J98">
        <f>VLOOKUP($B98,Sheet2!$B$4:$J$1501,9,0)</f>
        <v>0</v>
      </c>
    </row>
    <row r="99" spans="1:12" outlineLevel="2" x14ac:dyDescent="0.3">
      <c r="A99" t="str">
        <f t="shared" si="0"/>
        <v>PA07</v>
      </c>
      <c r="B99" t="s">
        <v>98</v>
      </c>
      <c r="C99" t="s">
        <v>99</v>
      </c>
      <c r="D99">
        <f>VLOOKUP($B99,Sheet2!$B$4:$J$1501,3,0)</f>
        <v>0</v>
      </c>
      <c r="E99">
        <f>VLOOKUP($B99,Sheet2!$B$4:$J$1501,4,0)</f>
        <v>0</v>
      </c>
      <c r="F99">
        <f>VLOOKUP($B99,Sheet2!$B$4:$J$1501,5,0)</f>
        <v>0</v>
      </c>
      <c r="G99">
        <f>VLOOKUP($B99,Sheet2!$B$4:$J$1501,6,0)</f>
        <v>0</v>
      </c>
      <c r="H99">
        <f>VLOOKUP($B99,Sheet2!$B$4:$J$1501,7,0)</f>
        <v>0</v>
      </c>
      <c r="I99">
        <f>VLOOKUP($B99,Sheet2!$B$4:$J$1501,8,0)</f>
        <v>0</v>
      </c>
      <c r="J99">
        <f>VLOOKUP($B99,Sheet2!$B$4:$J$1501,9,0)</f>
        <v>0</v>
      </c>
    </row>
    <row r="100" spans="1:12" outlineLevel="2" x14ac:dyDescent="0.3">
      <c r="A100" t="str">
        <f t="shared" si="0"/>
        <v>PA07</v>
      </c>
      <c r="B100" t="s">
        <v>114</v>
      </c>
      <c r="C100" t="s">
        <v>115</v>
      </c>
      <c r="D100">
        <f>VLOOKUP($B100,Sheet2!$B$4:$J$1501,3,0)</f>
        <v>228485</v>
      </c>
      <c r="E100">
        <f>VLOOKUP($B100,Sheet2!$B$4:$J$1501,4,0)</f>
        <v>152324</v>
      </c>
      <c r="F100">
        <f>VLOOKUP($B100,Sheet2!$B$4:$J$1501,5,0)</f>
        <v>118303</v>
      </c>
      <c r="G100">
        <f>VLOOKUP($B100,Sheet2!$B$4:$J$1501,6,0)</f>
        <v>34021</v>
      </c>
      <c r="H100">
        <f>VLOOKUP($B100,Sheet2!$B$4:$J$1501,7,0)</f>
        <v>0.63</v>
      </c>
      <c r="I100">
        <f>VLOOKUP($B100,Sheet2!$B$4:$J$1501,8,0)</f>
        <v>0</v>
      </c>
      <c r="J100">
        <f>VLOOKUP($B100,Sheet2!$B$4:$J$1501,9,0)</f>
        <v>0.63</v>
      </c>
    </row>
    <row r="101" spans="1:12" outlineLevel="2" x14ac:dyDescent="0.3">
      <c r="A101" t="str">
        <f t="shared" si="0"/>
        <v>PA07</v>
      </c>
      <c r="B101" t="s">
        <v>142</v>
      </c>
      <c r="C101" t="s">
        <v>143</v>
      </c>
      <c r="D101">
        <f>VLOOKUP($B101,Sheet2!$B$4:$J$1501,3,0)</f>
        <v>0</v>
      </c>
      <c r="E101">
        <f>VLOOKUP($B101,Sheet2!$B$4:$J$1501,4,0)</f>
        <v>0</v>
      </c>
      <c r="F101">
        <f>VLOOKUP($B101,Sheet2!$B$4:$J$1501,5,0)</f>
        <v>11869</v>
      </c>
      <c r="G101">
        <f>VLOOKUP($B101,Sheet2!$B$4:$J$1501,6,0)</f>
        <v>-11869</v>
      </c>
      <c r="H101">
        <f>VLOOKUP($B101,Sheet2!$B$4:$J$1501,7,0)</f>
        <v>0</v>
      </c>
      <c r="I101">
        <f>VLOOKUP($B101,Sheet2!$B$4:$J$1501,8,0)</f>
        <v>0</v>
      </c>
      <c r="J101">
        <f>VLOOKUP($B101,Sheet2!$B$4:$J$1501,9,0)</f>
        <v>0</v>
      </c>
    </row>
    <row r="102" spans="1:12" outlineLevel="2" x14ac:dyDescent="0.3">
      <c r="A102" t="str">
        <f t="shared" si="0"/>
        <v>PA07</v>
      </c>
      <c r="B102" t="s">
        <v>154</v>
      </c>
      <c r="C102" t="s">
        <v>155</v>
      </c>
      <c r="D102">
        <f>VLOOKUP($B102,Sheet2!$B$4:$J$1501,3,0)</f>
        <v>0</v>
      </c>
      <c r="E102">
        <f>VLOOKUP($B102,Sheet2!$B$4:$J$1501,4,0)</f>
        <v>0</v>
      </c>
      <c r="F102">
        <f>VLOOKUP($B102,Sheet2!$B$4:$J$1501,5,0)</f>
        <v>0</v>
      </c>
      <c r="G102">
        <f>VLOOKUP($B102,Sheet2!$B$4:$J$1501,6,0)</f>
        <v>0</v>
      </c>
      <c r="H102">
        <f>VLOOKUP($B102,Sheet2!$B$4:$J$1501,7,0)</f>
        <v>0</v>
      </c>
      <c r="I102">
        <f>VLOOKUP($B102,Sheet2!$B$4:$J$1501,8,0)</f>
        <v>0</v>
      </c>
      <c r="J102">
        <f>VLOOKUP($B102,Sheet2!$B$4:$J$1501,9,0)</f>
        <v>0</v>
      </c>
    </row>
    <row r="103" spans="1:12" outlineLevel="1" x14ac:dyDescent="0.3">
      <c r="A103" s="50" t="s">
        <v>209</v>
      </c>
      <c r="C103" s="51" t="s">
        <v>155</v>
      </c>
      <c r="D103" s="25">
        <f>SUM(D98:D102)</f>
        <v>228485</v>
      </c>
      <c r="E103" s="25">
        <f t="shared" ref="E103:J103" si="6">SUM(E98:E102)</f>
        <v>152324</v>
      </c>
      <c r="F103" s="25">
        <f t="shared" si="6"/>
        <v>130172</v>
      </c>
      <c r="G103" s="25">
        <f t="shared" si="6"/>
        <v>22152</v>
      </c>
      <c r="H103" s="25">
        <f t="shared" si="6"/>
        <v>0.63</v>
      </c>
      <c r="I103" s="25">
        <f t="shared" si="6"/>
        <v>0</v>
      </c>
      <c r="J103" s="25">
        <f t="shared" si="6"/>
        <v>0.63</v>
      </c>
      <c r="L103" s="62">
        <f>F103/5/O20</f>
        <v>2.9954552253402831</v>
      </c>
    </row>
    <row r="104" spans="1:12" outlineLevel="2" x14ac:dyDescent="0.3">
      <c r="A104" t="str">
        <f t="shared" si="0"/>
        <v>PA08</v>
      </c>
      <c r="B104" t="s">
        <v>80</v>
      </c>
      <c r="C104" t="s">
        <v>81</v>
      </c>
      <c r="D104">
        <f>VLOOKUP($B104,Sheet2!$B$4:$J$1501,3,0)</f>
        <v>0</v>
      </c>
      <c r="E104">
        <f>VLOOKUP($B104,Sheet2!$B$4:$J$1501,4,0)</f>
        <v>0</v>
      </c>
      <c r="F104">
        <f>VLOOKUP($B104,Sheet2!$B$4:$J$1501,5,0)</f>
        <v>7117</v>
      </c>
      <c r="G104">
        <f>VLOOKUP($B104,Sheet2!$B$4:$J$1501,6,0)</f>
        <v>-7117</v>
      </c>
      <c r="H104">
        <f>VLOOKUP($B104,Sheet2!$B$4:$J$1501,7,0)</f>
        <v>0</v>
      </c>
      <c r="I104">
        <f>VLOOKUP($B104,Sheet2!$B$4:$J$1501,8,0)</f>
        <v>0</v>
      </c>
      <c r="J104">
        <f>VLOOKUP($B104,Sheet2!$B$4:$J$1501,9,0)</f>
        <v>0</v>
      </c>
    </row>
    <row r="105" spans="1:12" outlineLevel="2" x14ac:dyDescent="0.3">
      <c r="A105" t="str">
        <f t="shared" si="0"/>
        <v>PA08</v>
      </c>
      <c r="B105" t="s">
        <v>243</v>
      </c>
      <c r="C105" t="s">
        <v>244</v>
      </c>
      <c r="D105">
        <f>VLOOKUP($B105,Sheet2!$B$4:$J$1501,3,0)</f>
        <v>0</v>
      </c>
      <c r="E105">
        <f>VLOOKUP($B105,Sheet2!$B$4:$J$1501,4,0)</f>
        <v>0</v>
      </c>
      <c r="F105">
        <f>VLOOKUP($B105,Sheet2!$B$4:$J$1501,5,0)</f>
        <v>0</v>
      </c>
      <c r="G105">
        <f>VLOOKUP($B105,Sheet2!$B$4:$J$1501,6,0)</f>
        <v>0</v>
      </c>
      <c r="H105">
        <f>VLOOKUP($B105,Sheet2!$B$4:$J$1501,7,0)</f>
        <v>0</v>
      </c>
      <c r="I105">
        <f>VLOOKUP($B105,Sheet2!$B$4:$J$1501,8,0)</f>
        <v>0</v>
      </c>
      <c r="J105">
        <f>VLOOKUP($B105,Sheet2!$B$4:$J$1501,9,0)</f>
        <v>0</v>
      </c>
    </row>
    <row r="106" spans="1:12" outlineLevel="2" x14ac:dyDescent="0.3">
      <c r="A106" t="str">
        <f t="shared" si="0"/>
        <v>PA08</v>
      </c>
      <c r="B106" t="s">
        <v>261</v>
      </c>
      <c r="C106" t="s">
        <v>262</v>
      </c>
      <c r="D106">
        <f>VLOOKUP($B106,Sheet2!$B$4:$J$1501,3,0)</f>
        <v>0</v>
      </c>
      <c r="E106">
        <f>VLOOKUP($B106,Sheet2!$B$4:$J$1501,4,0)</f>
        <v>0</v>
      </c>
      <c r="F106">
        <f>VLOOKUP($B106,Sheet2!$B$4:$J$1501,5,0)</f>
        <v>2350</v>
      </c>
      <c r="G106">
        <f>VLOOKUP($B106,Sheet2!$B$4:$J$1501,6,0)</f>
        <v>-2350</v>
      </c>
      <c r="H106">
        <f>VLOOKUP($B106,Sheet2!$B$4:$J$1501,7,0)</f>
        <v>0</v>
      </c>
      <c r="I106">
        <f>VLOOKUP($B106,Sheet2!$B$4:$J$1501,8,0)</f>
        <v>0</v>
      </c>
      <c r="J106">
        <f>VLOOKUP($B106,Sheet2!$B$4:$J$1501,9,0)</f>
        <v>0</v>
      </c>
    </row>
    <row r="107" spans="1:12" outlineLevel="2" x14ac:dyDescent="0.3">
      <c r="A107" t="str">
        <f t="shared" si="0"/>
        <v>PA08</v>
      </c>
      <c r="B107" t="s">
        <v>126</v>
      </c>
      <c r="C107" t="s">
        <v>127</v>
      </c>
      <c r="D107">
        <f>VLOOKUP($B107,Sheet2!$B$4:$J$1501,3,0)</f>
        <v>0</v>
      </c>
      <c r="E107">
        <f>VLOOKUP($B107,Sheet2!$B$4:$J$1501,4,0)</f>
        <v>0</v>
      </c>
      <c r="F107">
        <f>VLOOKUP($B107,Sheet2!$B$4:$J$1501,5,0)</f>
        <v>13506</v>
      </c>
      <c r="G107">
        <f>VLOOKUP($B107,Sheet2!$B$4:$J$1501,6,0)</f>
        <v>-13506</v>
      </c>
      <c r="H107">
        <f>VLOOKUP($B107,Sheet2!$B$4:$J$1501,7,0)</f>
        <v>0</v>
      </c>
      <c r="I107">
        <f>VLOOKUP($B107,Sheet2!$B$4:$J$1501,8,0)</f>
        <v>0</v>
      </c>
      <c r="J107">
        <f>VLOOKUP($B107,Sheet2!$B$4:$J$1501,9,0)</f>
        <v>0</v>
      </c>
    </row>
    <row r="108" spans="1:12" outlineLevel="2" x14ac:dyDescent="0.3">
      <c r="A108" t="str">
        <f t="shared" si="0"/>
        <v>PA08</v>
      </c>
      <c r="B108" t="s">
        <v>174</v>
      </c>
      <c r="C108" t="s">
        <v>175</v>
      </c>
      <c r="D108">
        <f>VLOOKUP($B108,Sheet2!$B$4:$J$1501,3,0)</f>
        <v>0</v>
      </c>
      <c r="E108">
        <f>VLOOKUP($B108,Sheet2!$B$4:$J$1501,4,0)</f>
        <v>0</v>
      </c>
      <c r="F108">
        <f>VLOOKUP($B108,Sheet2!$B$4:$J$1501,5,0)</f>
        <v>66705</v>
      </c>
      <c r="G108">
        <f>VLOOKUP($B108,Sheet2!$B$4:$J$1501,6,0)</f>
        <v>-66705</v>
      </c>
      <c r="H108">
        <f>VLOOKUP($B108,Sheet2!$B$4:$J$1501,7,0)</f>
        <v>0</v>
      </c>
      <c r="I108">
        <f>VLOOKUP($B108,Sheet2!$B$4:$J$1501,8,0)</f>
        <v>0</v>
      </c>
      <c r="J108">
        <f>VLOOKUP($B108,Sheet2!$B$4:$J$1501,9,0)</f>
        <v>0</v>
      </c>
    </row>
    <row r="109" spans="1:12" outlineLevel="2" x14ac:dyDescent="0.3">
      <c r="A109" t="str">
        <f t="shared" si="0"/>
        <v>PA08</v>
      </c>
      <c r="B109" t="s">
        <v>178</v>
      </c>
      <c r="C109" t="s">
        <v>179</v>
      </c>
      <c r="D109">
        <f>VLOOKUP($B109,Sheet2!$B$4:$J$1501,3,0)</f>
        <v>0</v>
      </c>
      <c r="E109">
        <f>VLOOKUP($B109,Sheet2!$B$4:$J$1501,4,0)</f>
        <v>0</v>
      </c>
      <c r="F109">
        <f>VLOOKUP($B109,Sheet2!$B$4:$J$1501,5,0)</f>
        <v>39277</v>
      </c>
      <c r="G109">
        <f>VLOOKUP($B109,Sheet2!$B$4:$J$1501,6,0)</f>
        <v>-39277</v>
      </c>
      <c r="H109">
        <f>VLOOKUP($B109,Sheet2!$B$4:$J$1501,7,0)</f>
        <v>0</v>
      </c>
      <c r="I109">
        <f>VLOOKUP($B109,Sheet2!$B$4:$J$1501,8,0)</f>
        <v>0</v>
      </c>
      <c r="J109">
        <f>VLOOKUP($B109,Sheet2!$B$4:$J$1501,9,0)</f>
        <v>0</v>
      </c>
    </row>
    <row r="110" spans="1:12" outlineLevel="1" x14ac:dyDescent="0.3">
      <c r="A110" s="50" t="s">
        <v>210</v>
      </c>
      <c r="C110" s="51" t="s">
        <v>179</v>
      </c>
      <c r="D110" s="25">
        <f>SUM(D104:D109)</f>
        <v>0</v>
      </c>
      <c r="E110" s="25">
        <f t="shared" ref="E110:J110" si="7">SUM(E104:E109)</f>
        <v>0</v>
      </c>
      <c r="F110" s="25">
        <f t="shared" si="7"/>
        <v>128955</v>
      </c>
      <c r="G110" s="25">
        <f t="shared" si="7"/>
        <v>-128955</v>
      </c>
      <c r="H110" s="25">
        <f t="shared" si="7"/>
        <v>0</v>
      </c>
      <c r="I110" s="25">
        <f t="shared" si="7"/>
        <v>0</v>
      </c>
      <c r="J110" s="25">
        <f t="shared" si="7"/>
        <v>0</v>
      </c>
    </row>
    <row r="111" spans="1:12" outlineLevel="2" x14ac:dyDescent="0.3">
      <c r="A111" t="str">
        <f t="shared" si="0"/>
        <v>PA09</v>
      </c>
      <c r="B111" t="s">
        <v>116</v>
      </c>
      <c r="C111" t="s">
        <v>117</v>
      </c>
      <c r="D111">
        <f>VLOOKUP($B111,Sheet2!$B$4:$J$1501,3,0)</f>
        <v>0</v>
      </c>
      <c r="E111">
        <f>VLOOKUP($B111,Sheet2!$B$4:$J$1501,4,0)</f>
        <v>0</v>
      </c>
      <c r="F111">
        <f>VLOOKUP($B111,Sheet2!$B$4:$J$1501,5,0)</f>
        <v>0</v>
      </c>
      <c r="G111">
        <f>VLOOKUP($B111,Sheet2!$B$4:$J$1501,6,0)</f>
        <v>0</v>
      </c>
      <c r="H111">
        <f>VLOOKUP($B111,Sheet2!$B$4:$J$1501,7,0)</f>
        <v>0</v>
      </c>
      <c r="I111">
        <f>VLOOKUP($B111,Sheet2!$B$4:$J$1501,8,0)</f>
        <v>0</v>
      </c>
      <c r="J111">
        <f>VLOOKUP($B111,Sheet2!$B$4:$J$1501,9,0)</f>
        <v>0</v>
      </c>
    </row>
    <row r="112" spans="1:12" outlineLevel="2" x14ac:dyDescent="0.3">
      <c r="A112" t="str">
        <f t="shared" si="0"/>
        <v>PA09</v>
      </c>
      <c r="B112" t="s">
        <v>136</v>
      </c>
      <c r="C112" t="s">
        <v>137</v>
      </c>
      <c r="D112">
        <f>VLOOKUP($B112,Sheet2!$B$4:$J$1501,3,0)</f>
        <v>0</v>
      </c>
      <c r="E112">
        <f>VLOOKUP($B112,Sheet2!$B$4:$J$1501,4,0)</f>
        <v>0</v>
      </c>
      <c r="F112">
        <f>VLOOKUP($B112,Sheet2!$B$4:$J$1501,5,0)</f>
        <v>0</v>
      </c>
      <c r="G112">
        <f>VLOOKUP($B112,Sheet2!$B$4:$J$1501,6,0)</f>
        <v>0</v>
      </c>
      <c r="H112">
        <f>VLOOKUP($B112,Sheet2!$B$4:$J$1501,7,0)</f>
        <v>0</v>
      </c>
      <c r="I112">
        <f>VLOOKUP($B112,Sheet2!$B$4:$J$1501,8,0)</f>
        <v>0</v>
      </c>
      <c r="J112">
        <f>VLOOKUP($B112,Sheet2!$B$4:$J$1501,9,0)</f>
        <v>0</v>
      </c>
    </row>
    <row r="113" spans="1:10" outlineLevel="2" x14ac:dyDescent="0.3">
      <c r="A113" t="str">
        <f t="shared" ref="A113:A123" si="8">MID(B113,9,4)</f>
        <v>PA09</v>
      </c>
      <c r="B113" t="s">
        <v>144</v>
      </c>
      <c r="C113" t="s">
        <v>145</v>
      </c>
      <c r="D113">
        <f>VLOOKUP($B113,Sheet2!$B$4:$J$1501,3,0)</f>
        <v>0</v>
      </c>
      <c r="E113">
        <f>VLOOKUP($B113,Sheet2!$B$4:$J$1501,4,0)</f>
        <v>0</v>
      </c>
      <c r="F113">
        <f>VLOOKUP($B113,Sheet2!$B$4:$J$1501,5,0)</f>
        <v>0</v>
      </c>
      <c r="G113">
        <f>VLOOKUP($B113,Sheet2!$B$4:$J$1501,6,0)</f>
        <v>0</v>
      </c>
      <c r="H113">
        <f>VLOOKUP($B113,Sheet2!$B$4:$J$1501,7,0)</f>
        <v>0</v>
      </c>
      <c r="I113">
        <f>VLOOKUP($B113,Sheet2!$B$4:$J$1501,8,0)</f>
        <v>0</v>
      </c>
      <c r="J113">
        <f>VLOOKUP($B113,Sheet2!$B$4:$J$1501,9,0)</f>
        <v>0</v>
      </c>
    </row>
    <row r="114" spans="1:10" outlineLevel="1" x14ac:dyDescent="0.3">
      <c r="A114" s="50" t="s">
        <v>211</v>
      </c>
      <c r="C114" s="51" t="s">
        <v>145</v>
      </c>
      <c r="D114" s="25">
        <f>SUM(D111:D113)</f>
        <v>0</v>
      </c>
      <c r="E114" s="25">
        <f t="shared" ref="E114:J114" si="9">SUM(E111:E113)</f>
        <v>0</v>
      </c>
      <c r="F114" s="25">
        <f t="shared" si="9"/>
        <v>0</v>
      </c>
      <c r="G114" s="25">
        <f t="shared" si="9"/>
        <v>0</v>
      </c>
      <c r="H114" s="25">
        <f t="shared" si="9"/>
        <v>0</v>
      </c>
      <c r="I114" s="25">
        <f t="shared" si="9"/>
        <v>0</v>
      </c>
      <c r="J114" s="25">
        <f t="shared" si="9"/>
        <v>0</v>
      </c>
    </row>
    <row r="115" spans="1:10" outlineLevel="2" x14ac:dyDescent="0.3">
      <c r="A115" t="str">
        <f t="shared" si="8"/>
        <v>PA10</v>
      </c>
      <c r="B115" t="s">
        <v>66</v>
      </c>
      <c r="C115" t="s">
        <v>67</v>
      </c>
      <c r="D115">
        <f>VLOOKUP($B115,Sheet2!$B$4:$J$1501,3,0)</f>
        <v>0</v>
      </c>
      <c r="E115">
        <f>VLOOKUP($B115,Sheet2!$B$4:$J$1501,4,0)</f>
        <v>0</v>
      </c>
      <c r="F115">
        <f>VLOOKUP($B115,Sheet2!$B$4:$J$1501,5,0)</f>
        <v>0</v>
      </c>
      <c r="G115">
        <f>VLOOKUP($B115,Sheet2!$B$4:$J$1501,6,0)</f>
        <v>0</v>
      </c>
      <c r="H115">
        <f>VLOOKUP($B115,Sheet2!$B$4:$J$1501,7,0)</f>
        <v>0</v>
      </c>
      <c r="I115">
        <f>VLOOKUP($B115,Sheet2!$B$4:$J$1501,8,0)</f>
        <v>0</v>
      </c>
      <c r="J115">
        <f>VLOOKUP($B115,Sheet2!$B$4:$J$1501,9,0)</f>
        <v>0</v>
      </c>
    </row>
    <row r="116" spans="1:10" outlineLevel="2" x14ac:dyDescent="0.3">
      <c r="A116" t="str">
        <f t="shared" si="8"/>
        <v>PA10</v>
      </c>
      <c r="B116" t="s">
        <v>82</v>
      </c>
      <c r="C116" t="s">
        <v>83</v>
      </c>
      <c r="D116">
        <f>VLOOKUP($B116,Sheet2!$B$4:$J$1501,3,0)</f>
        <v>0</v>
      </c>
      <c r="E116">
        <f>VLOOKUP($B116,Sheet2!$B$4:$J$1501,4,0)</f>
        <v>0</v>
      </c>
      <c r="F116">
        <f>VLOOKUP($B116,Sheet2!$B$4:$J$1501,5,0)</f>
        <v>0</v>
      </c>
      <c r="G116">
        <f>VLOOKUP($B116,Sheet2!$B$4:$J$1501,6,0)</f>
        <v>0</v>
      </c>
      <c r="H116">
        <f>VLOOKUP($B116,Sheet2!$B$4:$J$1501,7,0)</f>
        <v>0</v>
      </c>
      <c r="I116">
        <f>VLOOKUP($B116,Sheet2!$B$4:$J$1501,8,0)</f>
        <v>0</v>
      </c>
      <c r="J116">
        <f>VLOOKUP($B116,Sheet2!$B$4:$J$1501,9,0)</f>
        <v>0</v>
      </c>
    </row>
    <row r="117" spans="1:10" outlineLevel="2" x14ac:dyDescent="0.3">
      <c r="A117" t="str">
        <f t="shared" si="8"/>
        <v>PA10</v>
      </c>
      <c r="B117" t="s">
        <v>90</v>
      </c>
      <c r="C117" t="s">
        <v>91</v>
      </c>
      <c r="D117">
        <f>VLOOKUP($B117,Sheet2!$B$4:$J$1501,3,0)</f>
        <v>0</v>
      </c>
      <c r="E117">
        <f>VLOOKUP($B117,Sheet2!$B$4:$J$1501,4,0)</f>
        <v>0</v>
      </c>
      <c r="F117">
        <f>VLOOKUP($B117,Sheet2!$B$4:$J$1501,5,0)</f>
        <v>0</v>
      </c>
      <c r="G117">
        <f>VLOOKUP($B117,Sheet2!$B$4:$J$1501,6,0)</f>
        <v>0</v>
      </c>
      <c r="H117">
        <f>VLOOKUP($B117,Sheet2!$B$4:$J$1501,7,0)</f>
        <v>0</v>
      </c>
      <c r="I117">
        <f>VLOOKUP($B117,Sheet2!$B$4:$J$1501,8,0)</f>
        <v>0</v>
      </c>
      <c r="J117">
        <f>VLOOKUP($B117,Sheet2!$B$4:$J$1501,9,0)</f>
        <v>0</v>
      </c>
    </row>
    <row r="118" spans="1:10" outlineLevel="2" x14ac:dyDescent="0.3">
      <c r="A118" t="str">
        <f t="shared" si="8"/>
        <v>PA10</v>
      </c>
      <c r="B118" t="s">
        <v>162</v>
      </c>
      <c r="C118" t="s">
        <v>163</v>
      </c>
      <c r="D118">
        <f>VLOOKUP($B118,Sheet2!$B$4:$J$1501,3,0)</f>
        <v>0</v>
      </c>
      <c r="E118">
        <f>VLOOKUP($B118,Sheet2!$B$4:$J$1501,4,0)</f>
        <v>0</v>
      </c>
      <c r="F118">
        <f>VLOOKUP($B118,Sheet2!$B$4:$J$1501,5,0)</f>
        <v>0</v>
      </c>
      <c r="G118">
        <f>VLOOKUP($B118,Sheet2!$B$4:$J$1501,6,0)</f>
        <v>0</v>
      </c>
      <c r="H118">
        <f>VLOOKUP($B118,Sheet2!$B$4:$J$1501,7,0)</f>
        <v>0</v>
      </c>
      <c r="I118">
        <f>VLOOKUP($B118,Sheet2!$B$4:$J$1501,8,0)</f>
        <v>0</v>
      </c>
      <c r="J118">
        <f>VLOOKUP($B118,Sheet2!$B$4:$J$1501,9,0)</f>
        <v>0</v>
      </c>
    </row>
    <row r="119" spans="1:10" outlineLevel="2" x14ac:dyDescent="0.3">
      <c r="A119" t="str">
        <f t="shared" si="8"/>
        <v>PA10</v>
      </c>
      <c r="B119" t="s">
        <v>239</v>
      </c>
      <c r="C119" t="s">
        <v>240</v>
      </c>
      <c r="D119">
        <f>VLOOKUP($B119,Sheet2!$B$4:$J$1501,3,0)</f>
        <v>686</v>
      </c>
      <c r="E119">
        <f>VLOOKUP($B119,Sheet2!$B$4:$J$1501,4,0)</f>
        <v>686</v>
      </c>
      <c r="F119">
        <f>VLOOKUP($B119,Sheet2!$B$4:$J$1501,5,0)</f>
        <v>1372</v>
      </c>
      <c r="G119">
        <f>VLOOKUP($B119,Sheet2!$B$4:$J$1501,6,0)</f>
        <v>-686</v>
      </c>
      <c r="H119">
        <f>VLOOKUP($B119,Sheet2!$B$4:$J$1501,7,0)</f>
        <v>0</v>
      </c>
      <c r="I119">
        <f>VLOOKUP($B119,Sheet2!$B$4:$J$1501,8,0)</f>
        <v>0</v>
      </c>
      <c r="J119">
        <f>VLOOKUP($B119,Sheet2!$B$4:$J$1501,9,0)</f>
        <v>0</v>
      </c>
    </row>
    <row r="120" spans="1:10" outlineLevel="2" x14ac:dyDescent="0.3">
      <c r="A120" t="str">
        <f t="shared" si="8"/>
        <v>PA10</v>
      </c>
      <c r="B120" t="s">
        <v>176</v>
      </c>
      <c r="C120" t="s">
        <v>177</v>
      </c>
      <c r="D120">
        <f>VLOOKUP($B120,Sheet2!$B$4:$J$1501,3,0)</f>
        <v>0</v>
      </c>
      <c r="E120">
        <f>VLOOKUP($B120,Sheet2!$B$4:$J$1501,4,0)</f>
        <v>0</v>
      </c>
      <c r="F120">
        <f>VLOOKUP($B120,Sheet2!$B$4:$J$1501,5,0)</f>
        <v>0</v>
      </c>
      <c r="G120">
        <f>VLOOKUP($B120,Sheet2!$B$4:$J$1501,6,0)</f>
        <v>0</v>
      </c>
      <c r="H120">
        <f>VLOOKUP($B120,Sheet2!$B$4:$J$1501,7,0)</f>
        <v>0</v>
      </c>
      <c r="I120">
        <f>VLOOKUP($B120,Sheet2!$B$4:$J$1501,8,0)</f>
        <v>0</v>
      </c>
      <c r="J120">
        <f>VLOOKUP($B120,Sheet2!$B$4:$J$1501,9,0)</f>
        <v>0</v>
      </c>
    </row>
    <row r="121" spans="1:10" outlineLevel="2" x14ac:dyDescent="0.3">
      <c r="A121" t="str">
        <f t="shared" si="8"/>
        <v>PA10</v>
      </c>
      <c r="B121" t="s">
        <v>180</v>
      </c>
      <c r="C121" t="s">
        <v>181</v>
      </c>
      <c r="D121">
        <f>VLOOKUP($B121,Sheet2!$B$4:$J$1501,3,0)</f>
        <v>2050</v>
      </c>
      <c r="E121">
        <f>VLOOKUP($B121,Sheet2!$B$4:$J$1501,4,0)</f>
        <v>2050</v>
      </c>
      <c r="F121">
        <f>VLOOKUP($B121,Sheet2!$B$4:$J$1501,5,0)</f>
        <v>2736</v>
      </c>
      <c r="G121">
        <f>VLOOKUP($B121,Sheet2!$B$4:$J$1501,6,0)</f>
        <v>-686</v>
      </c>
      <c r="H121">
        <f>VLOOKUP($B121,Sheet2!$B$4:$J$1501,7,0)</f>
        <v>0</v>
      </c>
      <c r="I121">
        <f>VLOOKUP($B121,Sheet2!$B$4:$J$1501,8,0)</f>
        <v>0</v>
      </c>
      <c r="J121">
        <f>VLOOKUP($B121,Sheet2!$B$4:$J$1501,9,0)</f>
        <v>0</v>
      </c>
    </row>
    <row r="122" spans="1:10" outlineLevel="2" x14ac:dyDescent="0.3">
      <c r="A122" t="str">
        <f t="shared" si="8"/>
        <v>PA10</v>
      </c>
      <c r="B122" t="s">
        <v>219</v>
      </c>
      <c r="C122" t="s">
        <v>220</v>
      </c>
      <c r="D122">
        <f>VLOOKUP($B122,Sheet2!$B$4:$J$1501,3,0)</f>
        <v>0</v>
      </c>
      <c r="E122">
        <f>VLOOKUP($B122,Sheet2!$B$4:$J$1501,4,0)</f>
        <v>0</v>
      </c>
      <c r="F122">
        <f>VLOOKUP($B122,Sheet2!$B$4:$J$1501,5,0)</f>
        <v>0</v>
      </c>
      <c r="G122">
        <f>VLOOKUP($B122,Sheet2!$B$4:$J$1501,6,0)</f>
        <v>0</v>
      </c>
      <c r="H122">
        <f>VLOOKUP($B122,Sheet2!$B$4:$J$1501,7,0)</f>
        <v>0</v>
      </c>
      <c r="I122">
        <f>VLOOKUP($B122,Sheet2!$B$4:$J$1501,8,0)</f>
        <v>0</v>
      </c>
      <c r="J122">
        <f>VLOOKUP($B122,Sheet2!$B$4:$J$1501,9,0)</f>
        <v>0</v>
      </c>
    </row>
    <row r="123" spans="1:10" outlineLevel="2" x14ac:dyDescent="0.3">
      <c r="A123" t="str">
        <f t="shared" si="8"/>
        <v>PA10</v>
      </c>
      <c r="B123" t="s">
        <v>188</v>
      </c>
      <c r="C123" t="s">
        <v>189</v>
      </c>
      <c r="D123">
        <f>VLOOKUP($B123,Sheet2!$B$4:$J$1501,3,0)</f>
        <v>1738</v>
      </c>
      <c r="E123">
        <f>VLOOKUP($B123,Sheet2!$B$4:$J$1501,4,0)</f>
        <v>1738</v>
      </c>
      <c r="F123">
        <f>VLOOKUP($B123,Sheet2!$B$4:$J$1501,5,0)</f>
        <v>1368</v>
      </c>
      <c r="G123">
        <f>VLOOKUP($B123,Sheet2!$B$4:$J$1501,6,0)</f>
        <v>370</v>
      </c>
      <c r="H123">
        <f>VLOOKUP($B123,Sheet2!$B$4:$J$1501,7,0)</f>
        <v>0</v>
      </c>
      <c r="I123">
        <f>VLOOKUP($B123,Sheet2!$B$4:$J$1501,8,0)</f>
        <v>0</v>
      </c>
      <c r="J123">
        <f>VLOOKUP($B123,Sheet2!$B$4:$J$1501,9,0)</f>
        <v>0</v>
      </c>
    </row>
    <row r="124" spans="1:10" outlineLevel="1" x14ac:dyDescent="0.3">
      <c r="A124" s="50" t="s">
        <v>212</v>
      </c>
      <c r="C124" s="51" t="s">
        <v>189</v>
      </c>
      <c r="D124" s="25">
        <f>SUM(D115:D123)</f>
        <v>4474</v>
      </c>
      <c r="E124" s="25">
        <f t="shared" ref="E124:J124" si="10">SUM(E115:E123)</f>
        <v>4474</v>
      </c>
      <c r="F124" s="25">
        <f t="shared" si="10"/>
        <v>5476</v>
      </c>
      <c r="G124" s="25">
        <f t="shared" si="10"/>
        <v>-1002</v>
      </c>
      <c r="H124" s="25">
        <f t="shared" si="10"/>
        <v>0</v>
      </c>
      <c r="I124" s="25">
        <f t="shared" si="10"/>
        <v>0</v>
      </c>
      <c r="J124" s="25">
        <f t="shared" si="10"/>
        <v>0</v>
      </c>
    </row>
    <row r="125" spans="1:10" x14ac:dyDescent="0.3">
      <c r="A125" s="50" t="s">
        <v>24</v>
      </c>
      <c r="D125" s="25">
        <f>D124+D114+D110+D103+D97+D79+D56+D38+D33</f>
        <v>1183291</v>
      </c>
      <c r="E125" s="25">
        <f t="shared" ref="E125:J125" si="11">E124+E114+E110+E103+E97+E79+E56+E38+E33</f>
        <v>830189</v>
      </c>
      <c r="F125" s="25">
        <f t="shared" si="11"/>
        <v>2149409</v>
      </c>
      <c r="G125" s="25">
        <f t="shared" si="11"/>
        <v>-1319220</v>
      </c>
      <c r="H125" s="25">
        <f t="shared" si="11"/>
        <v>7.7299999999999995</v>
      </c>
      <c r="I125" s="25">
        <f t="shared" si="11"/>
        <v>7.1000000000000005</v>
      </c>
      <c r="J125" s="25">
        <f t="shared" si="11"/>
        <v>4.7300000000000004</v>
      </c>
    </row>
    <row r="127" spans="1:10" x14ac:dyDescent="0.3">
      <c r="D127">
        <f>Sheet2!D101</f>
        <v>1183291</v>
      </c>
      <c r="E127">
        <f>Sheet2!E101</f>
        <v>830189</v>
      </c>
      <c r="F127">
        <f>Sheet2!F101</f>
        <v>2149409</v>
      </c>
      <c r="G127">
        <f>Sheet2!G101</f>
        <v>-1319220</v>
      </c>
      <c r="H127">
        <f>Sheet2!H101</f>
        <v>7.7299999999999995</v>
      </c>
      <c r="I127">
        <f>Sheet2!I101</f>
        <v>7.1000000000000005</v>
      </c>
      <c r="J127">
        <f>Sheet2!J101</f>
        <v>4.7299999999999995</v>
      </c>
    </row>
    <row r="128" spans="1:10" x14ac:dyDescent="0.3">
      <c r="E128" s="48"/>
      <c r="F128" s="48"/>
      <c r="G128" s="48"/>
    </row>
    <row r="130" spans="4:10" x14ac:dyDescent="0.3">
      <c r="D130">
        <f>D127-D125</f>
        <v>0</v>
      </c>
      <c r="E130">
        <f t="shared" ref="E130:J130" si="12">E127-E125</f>
        <v>0</v>
      </c>
      <c r="F130">
        <f t="shared" si="12"/>
        <v>0</v>
      </c>
      <c r="G130">
        <f t="shared" si="12"/>
        <v>0</v>
      </c>
      <c r="H130">
        <f t="shared" si="12"/>
        <v>0</v>
      </c>
      <c r="I130">
        <f t="shared" si="12"/>
        <v>0</v>
      </c>
      <c r="J130">
        <f t="shared" si="12"/>
        <v>0</v>
      </c>
    </row>
    <row r="132" spans="4:10" x14ac:dyDescent="0.3">
      <c r="E132" s="48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opLeftCell="A62" workbookViewId="0">
      <selection activeCell="B86" sqref="B86:C86"/>
    </sheetView>
  </sheetViews>
  <sheetFormatPr defaultRowHeight="14" x14ac:dyDescent="0.3"/>
  <cols>
    <col min="2" max="2" width="24.7265625" bestFit="1" customWidth="1"/>
    <col min="3" max="3" width="41.54296875" bestFit="1" customWidth="1"/>
  </cols>
  <sheetData>
    <row r="1" spans="1:10" x14ac:dyDescent="0.3">
      <c r="C1" s="48"/>
      <c r="D1" s="48"/>
      <c r="E1" s="48"/>
      <c r="F1" s="48"/>
    </row>
    <row r="2" spans="1:10" x14ac:dyDescent="0.3">
      <c r="A2" t="s">
        <v>44</v>
      </c>
      <c r="B2" t="s">
        <v>45</v>
      </c>
      <c r="C2" s="48" t="s">
        <v>246</v>
      </c>
      <c r="D2" s="48" t="s">
        <v>247</v>
      </c>
      <c r="E2" s="48" t="s">
        <v>248</v>
      </c>
      <c r="F2" s="48" t="s">
        <v>249</v>
      </c>
      <c r="G2" t="s">
        <v>250</v>
      </c>
      <c r="H2" t="s">
        <v>251</v>
      </c>
      <c r="I2" t="s">
        <v>252</v>
      </c>
    </row>
    <row r="3" spans="1:10" x14ac:dyDescent="0.3">
      <c r="A3" t="s">
        <v>53</v>
      </c>
      <c r="B3" t="s">
        <v>53</v>
      </c>
      <c r="C3" s="48">
        <v>1014988</v>
      </c>
      <c r="D3" s="48">
        <v>668433</v>
      </c>
      <c r="E3" s="48">
        <v>374507</v>
      </c>
      <c r="F3" s="48">
        <v>293926</v>
      </c>
      <c r="G3">
        <v>13.5</v>
      </c>
      <c r="H3">
        <v>12.22</v>
      </c>
      <c r="I3">
        <v>14.5</v>
      </c>
    </row>
    <row r="4" spans="1:10" x14ac:dyDescent="0.3">
      <c r="A4" t="s">
        <v>54</v>
      </c>
      <c r="B4" t="s">
        <v>55</v>
      </c>
      <c r="C4" s="48">
        <v>1275993</v>
      </c>
      <c r="D4" s="48">
        <v>851385</v>
      </c>
      <c r="E4" s="48">
        <v>798604</v>
      </c>
      <c r="F4" s="48">
        <v>52781</v>
      </c>
      <c r="G4">
        <v>22</v>
      </c>
      <c r="H4">
        <v>18.8</v>
      </c>
      <c r="I4">
        <v>24</v>
      </c>
    </row>
    <row r="5" spans="1:10" x14ac:dyDescent="0.3">
      <c r="A5" t="s">
        <v>56</v>
      </c>
      <c r="B5" t="s">
        <v>57</v>
      </c>
      <c r="C5" s="48">
        <v>3411492</v>
      </c>
      <c r="D5" s="48">
        <v>2274328</v>
      </c>
      <c r="E5" s="48">
        <v>2146285</v>
      </c>
      <c r="F5" s="48">
        <v>128043</v>
      </c>
      <c r="G5">
        <v>34.75</v>
      </c>
      <c r="H5">
        <v>32.01</v>
      </c>
      <c r="I5">
        <v>36.57</v>
      </c>
    </row>
    <row r="6" spans="1:10" x14ac:dyDescent="0.3">
      <c r="A6" t="s">
        <v>213</v>
      </c>
      <c r="B6" t="s">
        <v>214</v>
      </c>
      <c r="C6" s="48">
        <v>55079</v>
      </c>
      <c r="D6" s="48">
        <v>36720</v>
      </c>
      <c r="E6" s="48">
        <v>7695</v>
      </c>
      <c r="F6" s="48">
        <v>29025</v>
      </c>
      <c r="G6" s="48">
        <v>1.17</v>
      </c>
      <c r="H6">
        <v>0.18</v>
      </c>
      <c r="I6">
        <v>1.17</v>
      </c>
    </row>
    <row r="7" spans="1:10" x14ac:dyDescent="0.3">
      <c r="A7" t="s">
        <v>215</v>
      </c>
      <c r="B7" t="s">
        <v>216</v>
      </c>
      <c r="C7" s="48">
        <v>164804</v>
      </c>
      <c r="D7" s="48">
        <v>109870</v>
      </c>
      <c r="E7" s="48">
        <v>11903</v>
      </c>
      <c r="F7" s="48">
        <v>97967</v>
      </c>
      <c r="G7" s="48">
        <v>2.27</v>
      </c>
      <c r="H7">
        <v>0.27</v>
      </c>
      <c r="I7">
        <v>2.27</v>
      </c>
    </row>
    <row r="8" spans="1:10" x14ac:dyDescent="0.3">
      <c r="D8" s="48"/>
      <c r="E8" s="48"/>
      <c r="F8" s="48"/>
      <c r="G8" s="48"/>
    </row>
    <row r="9" spans="1:10" x14ac:dyDescent="0.3">
      <c r="F9" s="48"/>
      <c r="G9" s="48"/>
    </row>
    <row r="10" spans="1:10" x14ac:dyDescent="0.3">
      <c r="A10" t="str">
        <f t="shared" ref="A10:A58" si="0">MID(B10,9,4)</f>
        <v/>
      </c>
    </row>
    <row r="11" spans="1:10" x14ac:dyDescent="0.3">
      <c r="A11" t="str">
        <f t="shared" si="0"/>
        <v>PA01</v>
      </c>
      <c r="B11" t="s">
        <v>58</v>
      </c>
      <c r="C11" t="s">
        <v>59</v>
      </c>
    </row>
    <row r="12" spans="1:10" x14ac:dyDescent="0.3">
      <c r="A12" t="str">
        <f t="shared" si="0"/>
        <v>PA01</v>
      </c>
      <c r="B12" t="s">
        <v>92</v>
      </c>
      <c r="C12" t="s">
        <v>93</v>
      </c>
      <c r="F12" s="48"/>
      <c r="G12" s="48"/>
    </row>
    <row r="13" spans="1:10" x14ac:dyDescent="0.3">
      <c r="A13" t="str">
        <f t="shared" si="0"/>
        <v>PA02</v>
      </c>
      <c r="B13" t="s">
        <v>200</v>
      </c>
      <c r="C13" t="s">
        <v>201</v>
      </c>
      <c r="D13" s="48"/>
      <c r="E13" s="48"/>
      <c r="F13" s="48">
        <v>22106</v>
      </c>
      <c r="G13" s="48">
        <v>-22106</v>
      </c>
      <c r="I13">
        <v>0.65</v>
      </c>
    </row>
    <row r="14" spans="1:10" x14ac:dyDescent="0.3">
      <c r="A14" t="str">
        <f t="shared" si="0"/>
        <v>PA02</v>
      </c>
      <c r="B14" t="s">
        <v>106</v>
      </c>
      <c r="C14" t="s">
        <v>107</v>
      </c>
    </row>
    <row r="15" spans="1:10" x14ac:dyDescent="0.3">
      <c r="A15" t="str">
        <f t="shared" si="0"/>
        <v>PA02</v>
      </c>
      <c r="B15" t="s">
        <v>118</v>
      </c>
      <c r="C15" t="s">
        <v>119</v>
      </c>
      <c r="D15" s="48">
        <v>33979</v>
      </c>
      <c r="E15" s="48">
        <v>22653</v>
      </c>
      <c r="F15" s="48">
        <v>27913</v>
      </c>
      <c r="G15" s="48">
        <v>-5260</v>
      </c>
      <c r="H15">
        <v>0.64</v>
      </c>
      <c r="I15">
        <v>0.64</v>
      </c>
      <c r="J15">
        <v>0.64</v>
      </c>
    </row>
    <row r="16" spans="1:10" x14ac:dyDescent="0.3">
      <c r="A16" t="str">
        <f t="shared" si="0"/>
        <v>PA02</v>
      </c>
      <c r="B16" t="s">
        <v>128</v>
      </c>
      <c r="C16" t="s">
        <v>129</v>
      </c>
      <c r="D16" s="48">
        <v>38898</v>
      </c>
      <c r="E16" s="48">
        <v>25932</v>
      </c>
      <c r="F16" s="48">
        <v>22955</v>
      </c>
      <c r="G16" s="48">
        <v>2977</v>
      </c>
      <c r="H16">
        <v>0.73</v>
      </c>
      <c r="J16">
        <v>0.73</v>
      </c>
    </row>
    <row r="17" spans="1:7" x14ac:dyDescent="0.3">
      <c r="A17" t="str">
        <f t="shared" si="0"/>
        <v>PA03</v>
      </c>
      <c r="B17" t="s">
        <v>158</v>
      </c>
      <c r="C17" t="s">
        <v>159</v>
      </c>
      <c r="D17" s="48">
        <v>62821</v>
      </c>
      <c r="E17" s="48">
        <v>41881</v>
      </c>
      <c r="F17" s="48">
        <v>0</v>
      </c>
      <c r="G17" s="48">
        <v>41881</v>
      </c>
    </row>
    <row r="18" spans="1:7" x14ac:dyDescent="0.3">
      <c r="A18" t="str">
        <f t="shared" si="0"/>
        <v>PA03</v>
      </c>
      <c r="B18" t="s">
        <v>68</v>
      </c>
      <c r="C18" t="s">
        <v>69</v>
      </c>
      <c r="D18" s="48">
        <v>8441</v>
      </c>
      <c r="E18" s="48">
        <v>5628</v>
      </c>
      <c r="F18" s="48">
        <v>13344</v>
      </c>
      <c r="G18" s="48">
        <v>-7716</v>
      </c>
    </row>
    <row r="19" spans="1:7" x14ac:dyDescent="0.3">
      <c r="A19" t="str">
        <f t="shared" si="0"/>
        <v>PA03</v>
      </c>
      <c r="B19" t="s">
        <v>72</v>
      </c>
      <c r="C19" t="s">
        <v>73</v>
      </c>
      <c r="F19" s="48">
        <v>3666</v>
      </c>
      <c r="G19" s="48">
        <v>-3666</v>
      </c>
    </row>
    <row r="20" spans="1:7" x14ac:dyDescent="0.3">
      <c r="A20" t="str">
        <f t="shared" si="0"/>
        <v>PA03</v>
      </c>
      <c r="B20" t="s">
        <v>164</v>
      </c>
      <c r="C20" t="s">
        <v>165</v>
      </c>
      <c r="D20" s="48">
        <v>17690</v>
      </c>
      <c r="E20" s="48">
        <v>11794</v>
      </c>
      <c r="F20" s="48">
        <v>34959</v>
      </c>
      <c r="G20" s="48">
        <v>-23165</v>
      </c>
    </row>
    <row r="21" spans="1:7" x14ac:dyDescent="0.3">
      <c r="A21" t="str">
        <f t="shared" si="0"/>
        <v>PA03</v>
      </c>
      <c r="B21" t="s">
        <v>217</v>
      </c>
      <c r="C21" t="s">
        <v>218</v>
      </c>
      <c r="F21" s="48">
        <v>3873</v>
      </c>
      <c r="G21" s="48">
        <v>-3873</v>
      </c>
    </row>
    <row r="22" spans="1:7" x14ac:dyDescent="0.3">
      <c r="A22" t="str">
        <f t="shared" si="0"/>
        <v>PA03</v>
      </c>
      <c r="B22" t="s">
        <v>84</v>
      </c>
      <c r="C22" t="s">
        <v>85</v>
      </c>
      <c r="D22" s="48"/>
      <c r="E22" s="48"/>
      <c r="F22" s="48">
        <v>2057</v>
      </c>
      <c r="G22" s="48">
        <v>-2057</v>
      </c>
    </row>
    <row r="23" spans="1:7" x14ac:dyDescent="0.3">
      <c r="A23" t="str">
        <f t="shared" si="0"/>
        <v>PA03</v>
      </c>
      <c r="B23" t="s">
        <v>182</v>
      </c>
      <c r="C23" t="s">
        <v>183</v>
      </c>
      <c r="F23" s="48">
        <v>2057</v>
      </c>
      <c r="G23" s="48">
        <v>-2057</v>
      </c>
    </row>
    <row r="24" spans="1:7" x14ac:dyDescent="0.3">
      <c r="A24" t="str">
        <f t="shared" si="0"/>
        <v>PA03</v>
      </c>
      <c r="B24" t="s">
        <v>257</v>
      </c>
      <c r="C24" t="s">
        <v>258</v>
      </c>
      <c r="D24" s="48"/>
      <c r="E24" s="48"/>
      <c r="F24" s="48">
        <v>15090</v>
      </c>
      <c r="G24" s="48">
        <v>-15090</v>
      </c>
    </row>
    <row r="25" spans="1:7" x14ac:dyDescent="0.3">
      <c r="A25" t="str">
        <f t="shared" si="0"/>
        <v>PA03</v>
      </c>
      <c r="B25" t="s">
        <v>194</v>
      </c>
      <c r="C25" t="s">
        <v>195</v>
      </c>
      <c r="D25" s="48"/>
      <c r="E25" s="48"/>
      <c r="F25" s="48">
        <v>5521</v>
      </c>
      <c r="G25" s="48">
        <v>-5521</v>
      </c>
    </row>
    <row r="26" spans="1:7" x14ac:dyDescent="0.3">
      <c r="A26" t="str">
        <f t="shared" si="0"/>
        <v>PA03</v>
      </c>
      <c r="B26" t="s">
        <v>100</v>
      </c>
      <c r="C26" t="s">
        <v>101</v>
      </c>
      <c r="D26" s="48"/>
      <c r="E26" s="48"/>
      <c r="F26" s="48">
        <v>4513</v>
      </c>
      <c r="G26" s="48">
        <v>-4513</v>
      </c>
    </row>
    <row r="27" spans="1:7" x14ac:dyDescent="0.3">
      <c r="A27" t="str">
        <f t="shared" si="0"/>
        <v>PA03</v>
      </c>
      <c r="B27" t="s">
        <v>104</v>
      </c>
      <c r="C27" t="s">
        <v>105</v>
      </c>
      <c r="F27" s="48"/>
      <c r="G27" s="48"/>
    </row>
    <row r="28" spans="1:7" x14ac:dyDescent="0.3">
      <c r="A28" t="str">
        <f t="shared" si="0"/>
        <v>PA03</v>
      </c>
      <c r="B28" t="s">
        <v>202</v>
      </c>
      <c r="C28" t="s">
        <v>203</v>
      </c>
      <c r="F28" s="48">
        <v>29361</v>
      </c>
      <c r="G28" s="48">
        <v>-29361</v>
      </c>
    </row>
    <row r="29" spans="1:7" x14ac:dyDescent="0.3">
      <c r="A29" t="str">
        <f t="shared" si="0"/>
        <v>PA03</v>
      </c>
      <c r="B29" t="s">
        <v>108</v>
      </c>
      <c r="C29" t="s">
        <v>109</v>
      </c>
      <c r="D29" s="48"/>
      <c r="E29" s="48"/>
      <c r="F29" s="48">
        <v>52316</v>
      </c>
      <c r="G29" s="48">
        <v>-52316</v>
      </c>
    </row>
    <row r="30" spans="1:7" x14ac:dyDescent="0.3">
      <c r="A30" t="str">
        <f t="shared" si="0"/>
        <v>PA03</v>
      </c>
      <c r="B30" t="s">
        <v>120</v>
      </c>
      <c r="C30" t="s">
        <v>121</v>
      </c>
      <c r="F30" s="48">
        <v>14909</v>
      </c>
      <c r="G30" s="48">
        <v>-14909</v>
      </c>
    </row>
    <row r="31" spans="1:7" x14ac:dyDescent="0.3">
      <c r="A31" t="str">
        <f t="shared" si="0"/>
        <v>PA03</v>
      </c>
      <c r="B31" t="s">
        <v>130</v>
      </c>
      <c r="C31" t="s">
        <v>131</v>
      </c>
      <c r="F31">
        <v>549</v>
      </c>
      <c r="G31">
        <v>-549</v>
      </c>
    </row>
    <row r="32" spans="1:7" x14ac:dyDescent="0.3">
      <c r="A32" t="str">
        <f t="shared" si="0"/>
        <v>PA03</v>
      </c>
      <c r="B32" t="s">
        <v>138</v>
      </c>
      <c r="C32" t="s">
        <v>139</v>
      </c>
      <c r="F32" s="48">
        <v>7179</v>
      </c>
      <c r="G32" s="48">
        <v>-7179</v>
      </c>
    </row>
    <row r="33" spans="1:10" x14ac:dyDescent="0.3">
      <c r="A33" t="str">
        <f t="shared" si="0"/>
        <v>PA03</v>
      </c>
      <c r="B33" t="s">
        <v>148</v>
      </c>
      <c r="C33" t="s">
        <v>149</v>
      </c>
      <c r="F33" s="48">
        <v>15298</v>
      </c>
      <c r="G33" s="48">
        <v>-15298</v>
      </c>
    </row>
    <row r="34" spans="1:10" x14ac:dyDescent="0.3">
      <c r="A34" t="str">
        <f t="shared" si="0"/>
        <v>PA04</v>
      </c>
      <c r="B34" t="s">
        <v>60</v>
      </c>
      <c r="C34" t="s">
        <v>61</v>
      </c>
      <c r="D34" s="48"/>
      <c r="E34" s="48"/>
      <c r="F34" s="48">
        <v>0</v>
      </c>
      <c r="G34" s="48">
        <v>0</v>
      </c>
    </row>
    <row r="35" spans="1:10" x14ac:dyDescent="0.3">
      <c r="A35" t="str">
        <f t="shared" si="0"/>
        <v>PA04</v>
      </c>
      <c r="B35" t="s">
        <v>160</v>
      </c>
      <c r="C35" t="s">
        <v>161</v>
      </c>
      <c r="F35" s="48">
        <v>11278</v>
      </c>
      <c r="G35" s="48">
        <v>-11278</v>
      </c>
    </row>
    <row r="36" spans="1:10" x14ac:dyDescent="0.3">
      <c r="A36" t="str">
        <f t="shared" si="0"/>
        <v>PA04</v>
      </c>
      <c r="B36" t="s">
        <v>64</v>
      </c>
      <c r="C36" t="s">
        <v>65</v>
      </c>
      <c r="F36" s="48">
        <v>69324</v>
      </c>
      <c r="G36" s="48">
        <v>-69324</v>
      </c>
      <c r="I36">
        <v>1</v>
      </c>
    </row>
    <row r="37" spans="1:10" x14ac:dyDescent="0.3">
      <c r="A37" t="str">
        <f t="shared" si="0"/>
        <v>PA04</v>
      </c>
      <c r="B37" t="s">
        <v>70</v>
      </c>
      <c r="C37" t="s">
        <v>71</v>
      </c>
      <c r="F37" s="48"/>
      <c r="G37" s="48"/>
    </row>
    <row r="38" spans="1:10" x14ac:dyDescent="0.3">
      <c r="A38" t="str">
        <f t="shared" si="0"/>
        <v>PA04</v>
      </c>
      <c r="B38" t="s">
        <v>74</v>
      </c>
      <c r="C38" t="s">
        <v>75</v>
      </c>
      <c r="F38" s="48">
        <v>15138</v>
      </c>
      <c r="G38" s="48">
        <v>-15138</v>
      </c>
    </row>
    <row r="39" spans="1:10" x14ac:dyDescent="0.3">
      <c r="A39" t="str">
        <f t="shared" si="0"/>
        <v>PA04</v>
      </c>
      <c r="B39" t="s">
        <v>166</v>
      </c>
      <c r="C39" t="s">
        <v>167</v>
      </c>
    </row>
    <row r="40" spans="1:10" x14ac:dyDescent="0.3">
      <c r="A40" t="str">
        <f t="shared" si="0"/>
        <v>PA04</v>
      </c>
      <c r="B40" t="s">
        <v>168</v>
      </c>
      <c r="C40" t="s">
        <v>169</v>
      </c>
      <c r="F40" s="48"/>
      <c r="G40" s="48"/>
    </row>
    <row r="41" spans="1:10" x14ac:dyDescent="0.3">
      <c r="A41" t="str">
        <f t="shared" si="0"/>
        <v>PA04</v>
      </c>
      <c r="B41" t="s">
        <v>170</v>
      </c>
      <c r="C41" t="s">
        <v>171</v>
      </c>
      <c r="F41" s="48"/>
      <c r="G41" s="48"/>
    </row>
    <row r="42" spans="1:10" x14ac:dyDescent="0.3">
      <c r="A42" t="str">
        <f t="shared" si="0"/>
        <v>PA04</v>
      </c>
      <c r="B42" t="s">
        <v>78</v>
      </c>
      <c r="C42" t="s">
        <v>79</v>
      </c>
      <c r="D42" s="48">
        <v>8805</v>
      </c>
      <c r="E42" s="48">
        <v>5870</v>
      </c>
      <c r="F42" s="48">
        <v>22604</v>
      </c>
      <c r="G42" s="48">
        <v>-16734</v>
      </c>
    </row>
    <row r="43" spans="1:10" x14ac:dyDescent="0.3">
      <c r="A43" t="str">
        <f t="shared" si="0"/>
        <v>PA04</v>
      </c>
      <c r="B43" t="s">
        <v>184</v>
      </c>
      <c r="C43" t="s">
        <v>185</v>
      </c>
      <c r="F43" s="48">
        <v>69904</v>
      </c>
      <c r="G43" s="48">
        <v>-69904</v>
      </c>
    </row>
    <row r="44" spans="1:10" x14ac:dyDescent="0.3">
      <c r="A44" t="str">
        <f t="shared" si="0"/>
        <v>PA04</v>
      </c>
      <c r="B44" t="s">
        <v>88</v>
      </c>
      <c r="C44" t="s">
        <v>89</v>
      </c>
      <c r="D44" s="48">
        <v>13781</v>
      </c>
      <c r="E44" s="48">
        <v>9187</v>
      </c>
      <c r="F44" s="48">
        <v>9173</v>
      </c>
      <c r="G44">
        <v>14</v>
      </c>
      <c r="H44">
        <v>0.18</v>
      </c>
      <c r="I44">
        <v>0.18</v>
      </c>
      <c r="J44">
        <v>0.18</v>
      </c>
    </row>
    <row r="45" spans="1:10" x14ac:dyDescent="0.3">
      <c r="A45" t="str">
        <f t="shared" si="0"/>
        <v>PA04</v>
      </c>
      <c r="B45" t="s">
        <v>94</v>
      </c>
      <c r="C45" t="s">
        <v>95</v>
      </c>
      <c r="F45" s="48"/>
      <c r="G45" s="48"/>
    </row>
    <row r="46" spans="1:10" x14ac:dyDescent="0.3">
      <c r="A46" t="str">
        <f t="shared" si="0"/>
        <v>PA04</v>
      </c>
      <c r="B46" t="s">
        <v>190</v>
      </c>
      <c r="C46" t="s">
        <v>191</v>
      </c>
      <c r="D46" s="48">
        <v>94836</v>
      </c>
      <c r="E46" s="48">
        <v>94836</v>
      </c>
      <c r="F46" s="48">
        <v>118132</v>
      </c>
      <c r="G46" s="48">
        <v>-23296</v>
      </c>
    </row>
    <row r="47" spans="1:10" x14ac:dyDescent="0.3">
      <c r="A47" t="str">
        <f t="shared" si="0"/>
        <v>PA04</v>
      </c>
      <c r="B47" t="s">
        <v>198</v>
      </c>
      <c r="C47" t="s">
        <v>199</v>
      </c>
    </row>
    <row r="48" spans="1:10" x14ac:dyDescent="0.3">
      <c r="A48" t="str">
        <f t="shared" si="0"/>
        <v>PA04</v>
      </c>
      <c r="B48" t="s">
        <v>227</v>
      </c>
      <c r="C48" t="s">
        <v>228</v>
      </c>
      <c r="F48" s="48">
        <v>12055</v>
      </c>
      <c r="G48" s="48">
        <v>-12055</v>
      </c>
    </row>
    <row r="49" spans="1:10" x14ac:dyDescent="0.3">
      <c r="A49" t="str">
        <f t="shared" si="0"/>
        <v>PA04</v>
      </c>
      <c r="B49" t="s">
        <v>110</v>
      </c>
      <c r="C49" t="s">
        <v>111</v>
      </c>
      <c r="D49" s="48">
        <v>61629</v>
      </c>
      <c r="E49" s="48">
        <v>41086</v>
      </c>
      <c r="F49" s="48">
        <v>89488</v>
      </c>
      <c r="G49" s="48">
        <v>-48402</v>
      </c>
    </row>
    <row r="50" spans="1:10" x14ac:dyDescent="0.3">
      <c r="A50" t="str">
        <f t="shared" si="0"/>
        <v>PA04</v>
      </c>
      <c r="B50" t="s">
        <v>122</v>
      </c>
      <c r="C50" t="s">
        <v>123</v>
      </c>
      <c r="F50" s="48">
        <v>15272</v>
      </c>
      <c r="G50" s="48">
        <v>-15272</v>
      </c>
    </row>
    <row r="51" spans="1:10" x14ac:dyDescent="0.3">
      <c r="A51" t="str">
        <f t="shared" si="0"/>
        <v>PA04</v>
      </c>
      <c r="B51" t="s">
        <v>132</v>
      </c>
      <c r="C51" t="s">
        <v>133</v>
      </c>
      <c r="F51" s="48">
        <v>82313</v>
      </c>
      <c r="G51" s="48">
        <v>-82313</v>
      </c>
    </row>
    <row r="52" spans="1:10" x14ac:dyDescent="0.3">
      <c r="A52" t="str">
        <f t="shared" si="0"/>
        <v>PA04</v>
      </c>
      <c r="B52" t="s">
        <v>241</v>
      </c>
      <c r="C52" t="s">
        <v>242</v>
      </c>
      <c r="F52" s="48">
        <v>55876</v>
      </c>
      <c r="G52" s="48">
        <v>-55876</v>
      </c>
    </row>
    <row r="53" spans="1:10" x14ac:dyDescent="0.3">
      <c r="A53" t="str">
        <f t="shared" si="0"/>
        <v>PA04</v>
      </c>
      <c r="B53" t="s">
        <v>146</v>
      </c>
      <c r="C53" t="s">
        <v>147</v>
      </c>
      <c r="D53" s="48">
        <v>42118</v>
      </c>
      <c r="E53" s="48">
        <v>28078</v>
      </c>
      <c r="F53" s="48">
        <v>28467</v>
      </c>
      <c r="G53">
        <v>-389</v>
      </c>
      <c r="H53">
        <v>0.55000000000000004</v>
      </c>
      <c r="I53">
        <v>0.55000000000000004</v>
      </c>
      <c r="J53">
        <v>0.55000000000000004</v>
      </c>
    </row>
    <row r="54" spans="1:10" x14ac:dyDescent="0.3">
      <c r="A54" t="str">
        <f t="shared" si="0"/>
        <v>PA04</v>
      </c>
      <c r="B54" t="s">
        <v>150</v>
      </c>
      <c r="C54" t="s">
        <v>151</v>
      </c>
    </row>
    <row r="55" spans="1:10" x14ac:dyDescent="0.3">
      <c r="A55" t="str">
        <f t="shared" si="0"/>
        <v>PA04</v>
      </c>
      <c r="B55" t="s">
        <v>156</v>
      </c>
      <c r="C55" t="s">
        <v>157</v>
      </c>
      <c r="D55" s="48">
        <v>191765</v>
      </c>
      <c r="E55" s="48">
        <v>127844</v>
      </c>
      <c r="F55" s="48">
        <v>121830</v>
      </c>
      <c r="G55" s="48">
        <v>6014</v>
      </c>
      <c r="H55">
        <v>1</v>
      </c>
      <c r="J55">
        <v>1</v>
      </c>
    </row>
    <row r="56" spans="1:10" x14ac:dyDescent="0.3">
      <c r="A56" t="str">
        <f t="shared" si="0"/>
        <v>PA06</v>
      </c>
      <c r="B56" t="s">
        <v>235</v>
      </c>
      <c r="C56" t="s">
        <v>236</v>
      </c>
      <c r="F56" s="48">
        <v>92988</v>
      </c>
      <c r="G56" s="48">
        <v>-92988</v>
      </c>
    </row>
    <row r="57" spans="1:10" x14ac:dyDescent="0.3">
      <c r="A57" t="str">
        <f t="shared" si="0"/>
        <v>PA06</v>
      </c>
      <c r="B57" t="s">
        <v>253</v>
      </c>
      <c r="C57" t="s">
        <v>254</v>
      </c>
      <c r="F57" s="48">
        <v>4575</v>
      </c>
      <c r="G57" s="48">
        <v>-4575</v>
      </c>
    </row>
    <row r="58" spans="1:10" x14ac:dyDescent="0.3">
      <c r="A58" t="str">
        <f t="shared" si="0"/>
        <v>PA06</v>
      </c>
      <c r="B58" t="s">
        <v>237</v>
      </c>
      <c r="C58" t="s">
        <v>238</v>
      </c>
      <c r="D58" s="48"/>
      <c r="E58" s="48"/>
      <c r="G58" s="48"/>
    </row>
    <row r="59" spans="1:10" x14ac:dyDescent="0.3">
      <c r="A59" t="str">
        <f t="shared" ref="A59:A99" si="1">MID(B59,9,4)</f>
        <v>PA06</v>
      </c>
      <c r="B59" t="s">
        <v>76</v>
      </c>
      <c r="C59" t="s">
        <v>77</v>
      </c>
      <c r="D59" s="48">
        <v>116873</v>
      </c>
      <c r="E59" s="48">
        <v>77915</v>
      </c>
      <c r="F59" s="48">
        <v>77912</v>
      </c>
      <c r="G59">
        <v>3</v>
      </c>
      <c r="H59">
        <v>1</v>
      </c>
      <c r="J59">
        <v>1</v>
      </c>
    </row>
    <row r="60" spans="1:10" x14ac:dyDescent="0.3">
      <c r="A60" t="str">
        <f t="shared" si="1"/>
        <v>PA06</v>
      </c>
      <c r="B60" t="s">
        <v>172</v>
      </c>
      <c r="C60" t="s">
        <v>173</v>
      </c>
      <c r="D60" s="48"/>
      <c r="E60" s="48"/>
      <c r="F60" s="48">
        <v>909</v>
      </c>
      <c r="G60">
        <v>-909</v>
      </c>
    </row>
    <row r="61" spans="1:10" x14ac:dyDescent="0.3">
      <c r="A61" t="str">
        <f t="shared" si="1"/>
        <v>PA06</v>
      </c>
      <c r="B61" t="s">
        <v>86</v>
      </c>
      <c r="C61" t="s">
        <v>87</v>
      </c>
      <c r="F61" s="48">
        <v>63350</v>
      </c>
      <c r="G61" s="48">
        <v>-63350</v>
      </c>
    </row>
    <row r="62" spans="1:10" x14ac:dyDescent="0.3">
      <c r="A62" t="str">
        <f t="shared" si="1"/>
        <v>PA06</v>
      </c>
      <c r="B62" t="s">
        <v>186</v>
      </c>
      <c r="C62" t="s">
        <v>187</v>
      </c>
      <c r="F62" s="48">
        <v>71170</v>
      </c>
      <c r="G62" s="48">
        <v>-71170</v>
      </c>
    </row>
    <row r="63" spans="1:10" x14ac:dyDescent="0.3">
      <c r="A63" t="str">
        <f t="shared" si="1"/>
        <v>PA06</v>
      </c>
      <c r="B63" t="s">
        <v>96</v>
      </c>
      <c r="C63" t="s">
        <v>97</v>
      </c>
      <c r="D63" s="48">
        <v>24670</v>
      </c>
      <c r="E63" s="48">
        <v>24670</v>
      </c>
      <c r="F63" s="48">
        <v>37526</v>
      </c>
      <c r="G63" s="48">
        <v>-12856</v>
      </c>
      <c r="H63">
        <v>1</v>
      </c>
    </row>
    <row r="64" spans="1:10" x14ac:dyDescent="0.3">
      <c r="A64" t="str">
        <f t="shared" si="1"/>
        <v>PA06</v>
      </c>
      <c r="B64" t="s">
        <v>225</v>
      </c>
      <c r="C64" t="s">
        <v>226</v>
      </c>
      <c r="D64" s="48">
        <v>63653</v>
      </c>
      <c r="E64" s="48">
        <v>42435</v>
      </c>
      <c r="F64" s="48">
        <v>48318</v>
      </c>
      <c r="G64" s="48">
        <v>-5883</v>
      </c>
    </row>
    <row r="65" spans="1:10" x14ac:dyDescent="0.3">
      <c r="A65" t="str">
        <f t="shared" si="1"/>
        <v>PA06</v>
      </c>
      <c r="B65" t="s">
        <v>192</v>
      </c>
      <c r="C65" t="s">
        <v>193</v>
      </c>
      <c r="F65" s="48"/>
      <c r="G65" s="48"/>
    </row>
    <row r="66" spans="1:10" x14ac:dyDescent="0.3">
      <c r="A66" t="str">
        <f t="shared" si="1"/>
        <v>PA06</v>
      </c>
      <c r="B66" t="s">
        <v>196</v>
      </c>
      <c r="C66" t="s">
        <v>197</v>
      </c>
      <c r="F66" s="48">
        <v>362</v>
      </c>
      <c r="G66" s="48">
        <v>-362</v>
      </c>
    </row>
    <row r="67" spans="1:10" x14ac:dyDescent="0.3">
      <c r="A67" t="str">
        <f t="shared" si="1"/>
        <v>PA06</v>
      </c>
      <c r="B67" t="s">
        <v>102</v>
      </c>
      <c r="C67" t="s">
        <v>103</v>
      </c>
      <c r="F67" s="48">
        <v>60253</v>
      </c>
      <c r="G67" s="48">
        <v>-60253</v>
      </c>
    </row>
    <row r="68" spans="1:10" x14ac:dyDescent="0.3">
      <c r="A68" t="str">
        <f t="shared" si="1"/>
        <v>PA06</v>
      </c>
      <c r="B68" t="s">
        <v>259</v>
      </c>
      <c r="C68" t="s">
        <v>260</v>
      </c>
      <c r="F68" s="48">
        <v>0</v>
      </c>
      <c r="G68" s="48">
        <v>0</v>
      </c>
    </row>
    <row r="69" spans="1:10" x14ac:dyDescent="0.3">
      <c r="A69" t="str">
        <f t="shared" si="1"/>
        <v>PA06</v>
      </c>
      <c r="B69" t="s">
        <v>223</v>
      </c>
      <c r="C69" t="s">
        <v>224</v>
      </c>
    </row>
    <row r="70" spans="1:10" x14ac:dyDescent="0.3">
      <c r="A70" t="str">
        <f t="shared" si="1"/>
        <v>PA06</v>
      </c>
      <c r="B70" t="s">
        <v>112</v>
      </c>
      <c r="C70" t="s">
        <v>113</v>
      </c>
      <c r="F70" s="48">
        <v>203222</v>
      </c>
      <c r="G70" s="48">
        <v>-203222</v>
      </c>
      <c r="I70">
        <v>2.08</v>
      </c>
    </row>
    <row r="71" spans="1:10" x14ac:dyDescent="0.3">
      <c r="A71" t="str">
        <f t="shared" si="1"/>
        <v>PA06</v>
      </c>
      <c r="B71" t="s">
        <v>124</v>
      </c>
      <c r="C71" t="s">
        <v>125</v>
      </c>
      <c r="F71" s="48">
        <v>48991</v>
      </c>
      <c r="G71" s="48">
        <v>-48991</v>
      </c>
    </row>
    <row r="72" spans="1:10" x14ac:dyDescent="0.3">
      <c r="A72" t="str">
        <f t="shared" si="1"/>
        <v>PA06</v>
      </c>
      <c r="B72" t="s">
        <v>221</v>
      </c>
      <c r="C72" t="s">
        <v>222</v>
      </c>
    </row>
    <row r="73" spans="1:10" x14ac:dyDescent="0.3">
      <c r="A73" t="str">
        <f t="shared" si="1"/>
        <v>PA06</v>
      </c>
      <c r="B73" t="s">
        <v>134</v>
      </c>
      <c r="C73" t="s">
        <v>135</v>
      </c>
      <c r="D73" s="48">
        <v>170373</v>
      </c>
      <c r="E73" s="48">
        <v>113582</v>
      </c>
      <c r="F73" s="48">
        <v>122406</v>
      </c>
      <c r="G73" s="48">
        <v>-8824</v>
      </c>
      <c r="H73">
        <v>2</v>
      </c>
      <c r="I73">
        <v>1</v>
      </c>
    </row>
    <row r="74" spans="1:10" x14ac:dyDescent="0.3">
      <c r="A74" t="str">
        <f t="shared" si="1"/>
        <v>PA06</v>
      </c>
      <c r="B74" t="s">
        <v>140</v>
      </c>
      <c r="C74" t="s">
        <v>141</v>
      </c>
      <c r="F74" s="48">
        <v>54304</v>
      </c>
      <c r="G74" s="48">
        <v>-54304</v>
      </c>
      <c r="I74">
        <v>1</v>
      </c>
    </row>
    <row r="75" spans="1:10" x14ac:dyDescent="0.3">
      <c r="A75" t="str">
        <f t="shared" si="1"/>
        <v>PA06</v>
      </c>
      <c r="B75" t="s">
        <v>152</v>
      </c>
      <c r="C75" t="s">
        <v>153</v>
      </c>
    </row>
    <row r="76" spans="1:10" x14ac:dyDescent="0.3">
      <c r="A76" t="str">
        <f t="shared" si="1"/>
        <v>PA07</v>
      </c>
      <c r="B76" t="s">
        <v>62</v>
      </c>
      <c r="C76" t="s">
        <v>63</v>
      </c>
      <c r="D76" s="48"/>
      <c r="E76" s="48"/>
      <c r="F76" s="48">
        <v>0</v>
      </c>
      <c r="G76" s="48">
        <v>0</v>
      </c>
    </row>
    <row r="77" spans="1:10" x14ac:dyDescent="0.3">
      <c r="A77" t="str">
        <f t="shared" si="1"/>
        <v>PA07</v>
      </c>
      <c r="B77" t="s">
        <v>98</v>
      </c>
      <c r="C77" t="s">
        <v>99</v>
      </c>
      <c r="F77" s="48"/>
      <c r="G77" s="48"/>
    </row>
    <row r="78" spans="1:10" x14ac:dyDescent="0.3">
      <c r="A78" t="str">
        <f t="shared" si="1"/>
        <v>PA07</v>
      </c>
      <c r="B78" t="s">
        <v>114</v>
      </c>
      <c r="C78" t="s">
        <v>115</v>
      </c>
      <c r="D78" s="48">
        <v>228485</v>
      </c>
      <c r="E78" s="48">
        <v>152324</v>
      </c>
      <c r="F78" s="48">
        <v>118303</v>
      </c>
      <c r="G78" s="48">
        <v>34021</v>
      </c>
      <c r="H78">
        <v>0.63</v>
      </c>
      <c r="J78">
        <v>0.63</v>
      </c>
    </row>
    <row r="79" spans="1:10" x14ac:dyDescent="0.3">
      <c r="A79" t="str">
        <f t="shared" si="1"/>
        <v>PA07</v>
      </c>
      <c r="B79" t="s">
        <v>142</v>
      </c>
      <c r="C79" t="s">
        <v>143</v>
      </c>
      <c r="F79" s="48">
        <v>11869</v>
      </c>
      <c r="G79" s="48">
        <v>-11869</v>
      </c>
    </row>
    <row r="80" spans="1:10" x14ac:dyDescent="0.3">
      <c r="A80" t="str">
        <f t="shared" si="1"/>
        <v>PA07</v>
      </c>
      <c r="B80" t="s">
        <v>154</v>
      </c>
      <c r="C80" t="s">
        <v>155</v>
      </c>
    </row>
    <row r="81" spans="1:7" x14ac:dyDescent="0.3">
      <c r="A81" t="str">
        <f t="shared" si="1"/>
        <v>PA08</v>
      </c>
      <c r="B81" t="s">
        <v>243</v>
      </c>
      <c r="C81" t="s">
        <v>244</v>
      </c>
      <c r="F81" s="48"/>
      <c r="G81" s="48"/>
    </row>
    <row r="82" spans="1:7" x14ac:dyDescent="0.3">
      <c r="A82" t="str">
        <f t="shared" si="1"/>
        <v>PA08</v>
      </c>
      <c r="B82" t="s">
        <v>174</v>
      </c>
      <c r="C82" t="s">
        <v>175</v>
      </c>
      <c r="F82" s="48">
        <v>66705</v>
      </c>
      <c r="G82" s="48">
        <v>-66705</v>
      </c>
    </row>
    <row r="83" spans="1:7" x14ac:dyDescent="0.3">
      <c r="A83" t="str">
        <f t="shared" si="1"/>
        <v>PA08</v>
      </c>
      <c r="B83" t="s">
        <v>80</v>
      </c>
      <c r="C83" t="s">
        <v>81</v>
      </c>
      <c r="F83" s="48">
        <v>7117</v>
      </c>
      <c r="G83" s="48">
        <v>-7117</v>
      </c>
    </row>
    <row r="84" spans="1:7" x14ac:dyDescent="0.3">
      <c r="A84" t="str">
        <f t="shared" si="1"/>
        <v>PA08</v>
      </c>
      <c r="B84" t="s">
        <v>178</v>
      </c>
      <c r="C84" t="s">
        <v>179</v>
      </c>
      <c r="D84" s="48"/>
      <c r="E84" s="48"/>
      <c r="F84" s="48">
        <v>39277</v>
      </c>
      <c r="G84" s="48">
        <v>-39277</v>
      </c>
    </row>
    <row r="85" spans="1:7" x14ac:dyDescent="0.3">
      <c r="A85" t="str">
        <f t="shared" si="1"/>
        <v>PA08</v>
      </c>
      <c r="B85" t="s">
        <v>255</v>
      </c>
      <c r="C85" t="s">
        <v>256</v>
      </c>
      <c r="D85" s="48"/>
      <c r="E85" s="48"/>
      <c r="F85" s="48"/>
      <c r="G85" s="48"/>
    </row>
    <row r="86" spans="1:7" x14ac:dyDescent="0.3">
      <c r="A86" t="str">
        <f t="shared" si="1"/>
        <v>PA08</v>
      </c>
      <c r="B86" t="s">
        <v>261</v>
      </c>
      <c r="C86" t="s">
        <v>262</v>
      </c>
      <c r="F86" s="48">
        <v>2350</v>
      </c>
      <c r="G86" s="48">
        <v>-2350</v>
      </c>
    </row>
    <row r="87" spans="1:7" x14ac:dyDescent="0.3">
      <c r="A87" t="str">
        <f t="shared" si="1"/>
        <v>PA08</v>
      </c>
      <c r="B87" t="s">
        <v>126</v>
      </c>
      <c r="C87" t="s">
        <v>127</v>
      </c>
      <c r="F87" s="48">
        <v>13506</v>
      </c>
      <c r="G87" s="48">
        <v>-13506</v>
      </c>
    </row>
    <row r="88" spans="1:7" x14ac:dyDescent="0.3">
      <c r="A88" t="str">
        <f t="shared" si="1"/>
        <v>PA09</v>
      </c>
      <c r="B88" t="s">
        <v>116</v>
      </c>
      <c r="C88" t="s">
        <v>117</v>
      </c>
      <c r="F88" s="48"/>
      <c r="G88" s="48"/>
    </row>
    <row r="89" spans="1:7" x14ac:dyDescent="0.3">
      <c r="A89" t="str">
        <f t="shared" si="1"/>
        <v>PA09</v>
      </c>
      <c r="B89" t="s">
        <v>136</v>
      </c>
      <c r="C89" t="s">
        <v>137</v>
      </c>
    </row>
    <row r="90" spans="1:7" x14ac:dyDescent="0.3">
      <c r="A90" t="str">
        <f t="shared" si="1"/>
        <v>PA09</v>
      </c>
      <c r="B90" t="s">
        <v>144</v>
      </c>
      <c r="C90" t="s">
        <v>145</v>
      </c>
    </row>
    <row r="91" spans="1:7" x14ac:dyDescent="0.3">
      <c r="A91" t="str">
        <f t="shared" si="1"/>
        <v>PA10</v>
      </c>
      <c r="B91" t="s">
        <v>219</v>
      </c>
      <c r="C91" t="s">
        <v>220</v>
      </c>
      <c r="D91" s="48"/>
      <c r="E91" s="48"/>
      <c r="F91" s="48">
        <v>0</v>
      </c>
      <c r="G91" s="48">
        <v>0</v>
      </c>
    </row>
    <row r="92" spans="1:7" x14ac:dyDescent="0.3">
      <c r="A92" t="str">
        <f t="shared" si="1"/>
        <v>PA10</v>
      </c>
      <c r="B92" t="s">
        <v>162</v>
      </c>
      <c r="C92" t="s">
        <v>163</v>
      </c>
    </row>
    <row r="93" spans="1:7" x14ac:dyDescent="0.3">
      <c r="A93" t="str">
        <f t="shared" si="1"/>
        <v>PA10</v>
      </c>
      <c r="B93" t="s">
        <v>66</v>
      </c>
      <c r="C93" t="s">
        <v>67</v>
      </c>
    </row>
    <row r="94" spans="1:7" x14ac:dyDescent="0.3">
      <c r="A94" t="str">
        <f t="shared" si="1"/>
        <v>PA10</v>
      </c>
      <c r="B94" t="s">
        <v>239</v>
      </c>
      <c r="C94" t="s">
        <v>240</v>
      </c>
      <c r="D94" s="48">
        <v>686</v>
      </c>
      <c r="E94" s="48">
        <v>686</v>
      </c>
      <c r="F94" s="48">
        <v>1372</v>
      </c>
      <c r="G94" s="48">
        <v>-686</v>
      </c>
    </row>
    <row r="95" spans="1:7" x14ac:dyDescent="0.3">
      <c r="A95" t="str">
        <f t="shared" si="1"/>
        <v>PA10</v>
      </c>
      <c r="B95" t="s">
        <v>176</v>
      </c>
      <c r="C95" t="s">
        <v>177</v>
      </c>
      <c r="D95" s="48"/>
      <c r="E95" s="48"/>
      <c r="F95" s="48"/>
      <c r="G95" s="48"/>
    </row>
    <row r="96" spans="1:7" x14ac:dyDescent="0.3">
      <c r="A96" t="str">
        <f t="shared" si="1"/>
        <v>PA10</v>
      </c>
      <c r="B96" t="s">
        <v>82</v>
      </c>
      <c r="C96" t="s">
        <v>83</v>
      </c>
      <c r="F96" s="48"/>
      <c r="G96" s="48"/>
    </row>
    <row r="97" spans="1:11" x14ac:dyDescent="0.3">
      <c r="A97" t="str">
        <f t="shared" si="1"/>
        <v>PA10</v>
      </c>
      <c r="B97" t="s">
        <v>180</v>
      </c>
      <c r="C97" t="s">
        <v>181</v>
      </c>
      <c r="D97" s="48">
        <v>2050</v>
      </c>
      <c r="E97" s="48">
        <v>2050</v>
      </c>
      <c r="F97" s="48">
        <v>2736</v>
      </c>
      <c r="G97" s="48">
        <v>-686</v>
      </c>
    </row>
    <row r="98" spans="1:11" x14ac:dyDescent="0.3">
      <c r="A98" t="str">
        <f t="shared" si="1"/>
        <v>PA10</v>
      </c>
      <c r="B98" t="s">
        <v>188</v>
      </c>
      <c r="C98" t="s">
        <v>189</v>
      </c>
      <c r="D98" s="48">
        <v>1738</v>
      </c>
      <c r="E98" s="48">
        <v>1738</v>
      </c>
      <c r="F98" s="48">
        <v>1368</v>
      </c>
      <c r="G98" s="48">
        <v>370</v>
      </c>
    </row>
    <row r="99" spans="1:11" x14ac:dyDescent="0.3">
      <c r="A99" t="str">
        <f t="shared" si="1"/>
        <v>PA10</v>
      </c>
      <c r="B99" t="s">
        <v>90</v>
      </c>
      <c r="C99" t="s">
        <v>91</v>
      </c>
    </row>
    <row r="101" spans="1:11" x14ac:dyDescent="0.3">
      <c r="D101">
        <f>SUM(D11:D99)</f>
        <v>1183291</v>
      </c>
      <c r="E101">
        <f t="shared" ref="E101:K101" si="2">SUM(E11:E99)</f>
        <v>830189</v>
      </c>
      <c r="F101">
        <f t="shared" si="2"/>
        <v>2149409</v>
      </c>
      <c r="G101">
        <f t="shared" si="2"/>
        <v>-1319220</v>
      </c>
      <c r="H101">
        <f t="shared" si="2"/>
        <v>7.7299999999999995</v>
      </c>
      <c r="I101">
        <f t="shared" si="2"/>
        <v>7.1000000000000005</v>
      </c>
      <c r="J101">
        <f t="shared" si="2"/>
        <v>4.7299999999999995</v>
      </c>
      <c r="K101">
        <f t="shared" si="2"/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1"/>
  <sheetViews>
    <sheetView workbookViewId="0">
      <selection activeCell="B8" sqref="B8:J90"/>
    </sheetView>
  </sheetViews>
  <sheetFormatPr defaultRowHeight="14" x14ac:dyDescent="0.3"/>
  <cols>
    <col min="2" max="2" width="24.7265625" bestFit="1" customWidth="1"/>
    <col min="3" max="3" width="41.54296875" bestFit="1" customWidth="1"/>
  </cols>
  <sheetData>
    <row r="1" spans="2:10" x14ac:dyDescent="0.3">
      <c r="B1" t="s">
        <v>53</v>
      </c>
      <c r="C1" t="s">
        <v>53</v>
      </c>
      <c r="D1" s="48">
        <v>980451</v>
      </c>
      <c r="E1" s="48">
        <v>490230</v>
      </c>
      <c r="F1" s="48">
        <v>266291</v>
      </c>
      <c r="G1" s="48">
        <v>223939</v>
      </c>
      <c r="H1">
        <v>13.5</v>
      </c>
      <c r="I1">
        <v>9</v>
      </c>
      <c r="J1">
        <v>14.5</v>
      </c>
    </row>
    <row r="2" spans="2:10" x14ac:dyDescent="0.3">
      <c r="B2" t="s">
        <v>54</v>
      </c>
      <c r="C2" t="s">
        <v>55</v>
      </c>
      <c r="D2" s="48">
        <v>1273829</v>
      </c>
      <c r="E2" s="48">
        <v>636917</v>
      </c>
      <c r="F2" s="48">
        <v>618424</v>
      </c>
      <c r="G2" s="48">
        <v>18493</v>
      </c>
      <c r="H2">
        <v>22</v>
      </c>
      <c r="I2">
        <v>22.1</v>
      </c>
      <c r="J2">
        <v>24</v>
      </c>
    </row>
    <row r="3" spans="2:10" x14ac:dyDescent="0.3">
      <c r="B3" t="s">
        <v>56</v>
      </c>
      <c r="C3" t="s">
        <v>57</v>
      </c>
      <c r="D3" s="48">
        <v>3411492</v>
      </c>
      <c r="E3" s="48">
        <v>1705747</v>
      </c>
      <c r="F3" s="48">
        <v>1613829</v>
      </c>
      <c r="G3" s="48">
        <v>91918</v>
      </c>
      <c r="H3">
        <v>34.75</v>
      </c>
      <c r="I3">
        <v>31.23</v>
      </c>
      <c r="J3">
        <v>36.57</v>
      </c>
    </row>
    <row r="5" spans="2:10" x14ac:dyDescent="0.3">
      <c r="B5" t="s">
        <v>213</v>
      </c>
      <c r="C5" t="s">
        <v>214</v>
      </c>
      <c r="D5" s="48">
        <v>55079</v>
      </c>
      <c r="E5" s="48">
        <v>27540</v>
      </c>
      <c r="F5" s="48">
        <v>5771</v>
      </c>
      <c r="G5" s="48">
        <v>21769</v>
      </c>
      <c r="H5">
        <v>1.17</v>
      </c>
      <c r="I5">
        <v>0.18</v>
      </c>
      <c r="J5">
        <v>1.17</v>
      </c>
    </row>
    <row r="6" spans="2:10" x14ac:dyDescent="0.3">
      <c r="B6" t="s">
        <v>215</v>
      </c>
      <c r="C6" t="s">
        <v>216</v>
      </c>
      <c r="D6" s="48">
        <v>164804</v>
      </c>
      <c r="E6" s="48">
        <v>82402</v>
      </c>
      <c r="F6" s="48">
        <v>8928</v>
      </c>
      <c r="G6" s="48">
        <v>73474</v>
      </c>
      <c r="H6">
        <v>2.27</v>
      </c>
      <c r="I6">
        <v>0.27</v>
      </c>
      <c r="J6">
        <v>2.27</v>
      </c>
    </row>
    <row r="8" spans="2:10" x14ac:dyDescent="0.3">
      <c r="B8" t="s">
        <v>58</v>
      </c>
      <c r="C8" t="s">
        <v>59</v>
      </c>
    </row>
    <row r="9" spans="2:10" x14ac:dyDescent="0.3">
      <c r="B9" t="s">
        <v>219</v>
      </c>
      <c r="C9" t="s">
        <v>220</v>
      </c>
      <c r="F9">
        <v>686</v>
      </c>
      <c r="G9">
        <v>-686</v>
      </c>
    </row>
    <row r="10" spans="2:10" x14ac:dyDescent="0.3">
      <c r="B10" t="s">
        <v>60</v>
      </c>
      <c r="C10" t="s">
        <v>61</v>
      </c>
      <c r="F10">
        <v>0</v>
      </c>
      <c r="G10">
        <v>0</v>
      </c>
    </row>
    <row r="11" spans="2:10" x14ac:dyDescent="0.3">
      <c r="B11" t="s">
        <v>235</v>
      </c>
      <c r="C11" t="s">
        <v>236</v>
      </c>
      <c r="F11" s="48">
        <v>70818</v>
      </c>
      <c r="G11" s="48">
        <v>-70818</v>
      </c>
    </row>
    <row r="12" spans="2:10" x14ac:dyDescent="0.3">
      <c r="B12" t="s">
        <v>62</v>
      </c>
      <c r="C12" t="s">
        <v>63</v>
      </c>
      <c r="F12">
        <v>0</v>
      </c>
      <c r="G12">
        <v>0</v>
      </c>
    </row>
    <row r="13" spans="2:10" x14ac:dyDescent="0.3">
      <c r="B13" t="s">
        <v>64</v>
      </c>
      <c r="C13" t="s">
        <v>65</v>
      </c>
      <c r="F13" s="48">
        <v>45279</v>
      </c>
      <c r="G13" s="48">
        <v>-45279</v>
      </c>
      <c r="I13">
        <v>1</v>
      </c>
    </row>
    <row r="14" spans="2:10" x14ac:dyDescent="0.3">
      <c r="B14" t="s">
        <v>66</v>
      </c>
      <c r="C14" t="s">
        <v>67</v>
      </c>
    </row>
    <row r="15" spans="2:10" x14ac:dyDescent="0.3">
      <c r="B15" t="s">
        <v>68</v>
      </c>
      <c r="C15" t="s">
        <v>69</v>
      </c>
      <c r="D15" s="48">
        <v>8441</v>
      </c>
      <c r="E15" s="48">
        <v>4221</v>
      </c>
      <c r="F15" s="48">
        <v>13344</v>
      </c>
      <c r="G15" s="48">
        <v>-9123</v>
      </c>
    </row>
    <row r="16" spans="2:10" x14ac:dyDescent="0.3">
      <c r="B16" t="s">
        <v>70</v>
      </c>
      <c r="C16" t="s">
        <v>71</v>
      </c>
    </row>
    <row r="17" spans="2:10" x14ac:dyDescent="0.3">
      <c r="B17" t="s">
        <v>237</v>
      </c>
      <c r="C17" t="s">
        <v>238</v>
      </c>
    </row>
    <row r="18" spans="2:10" x14ac:dyDescent="0.3">
      <c r="B18" t="s">
        <v>239</v>
      </c>
      <c r="C18" t="s">
        <v>240</v>
      </c>
      <c r="F18">
        <v>686</v>
      </c>
      <c r="G18">
        <v>-686</v>
      </c>
    </row>
    <row r="19" spans="2:10" x14ac:dyDescent="0.3">
      <c r="B19" t="s">
        <v>72</v>
      </c>
      <c r="C19" t="s">
        <v>73</v>
      </c>
      <c r="F19" s="48">
        <v>3666</v>
      </c>
      <c r="G19" s="48">
        <v>-3666</v>
      </c>
    </row>
    <row r="20" spans="2:10" x14ac:dyDescent="0.3">
      <c r="B20" t="s">
        <v>74</v>
      </c>
      <c r="C20" t="s">
        <v>75</v>
      </c>
      <c r="F20" s="48">
        <v>15138</v>
      </c>
      <c r="G20" s="48">
        <v>-15138</v>
      </c>
    </row>
    <row r="21" spans="2:10" x14ac:dyDescent="0.3">
      <c r="B21" t="s">
        <v>88</v>
      </c>
      <c r="C21" t="s">
        <v>89</v>
      </c>
      <c r="D21" s="48">
        <v>13781</v>
      </c>
      <c r="E21" s="48">
        <v>6891</v>
      </c>
      <c r="F21" s="48">
        <v>6879</v>
      </c>
      <c r="G21">
        <v>12</v>
      </c>
      <c r="H21">
        <v>0.18</v>
      </c>
      <c r="I21">
        <v>0.18</v>
      </c>
      <c r="J21">
        <v>0.18</v>
      </c>
    </row>
    <row r="22" spans="2:10" x14ac:dyDescent="0.3">
      <c r="B22" t="s">
        <v>90</v>
      </c>
      <c r="C22" t="s">
        <v>91</v>
      </c>
    </row>
    <row r="23" spans="2:10" x14ac:dyDescent="0.3">
      <c r="B23" t="s">
        <v>92</v>
      </c>
      <c r="C23" t="s">
        <v>93</v>
      </c>
    </row>
    <row r="24" spans="2:10" x14ac:dyDescent="0.3">
      <c r="B24" t="s">
        <v>94</v>
      </c>
      <c r="C24" t="s">
        <v>95</v>
      </c>
    </row>
    <row r="25" spans="2:10" x14ac:dyDescent="0.3">
      <c r="B25" t="s">
        <v>96</v>
      </c>
      <c r="C25" t="s">
        <v>97</v>
      </c>
      <c r="D25" s="48">
        <v>59207</v>
      </c>
      <c r="E25" s="48">
        <v>29603</v>
      </c>
      <c r="F25" s="48">
        <v>37526</v>
      </c>
      <c r="G25" s="48">
        <v>-7923</v>
      </c>
      <c r="H25">
        <v>1</v>
      </c>
    </row>
    <row r="26" spans="2:10" x14ac:dyDescent="0.3">
      <c r="B26" t="s">
        <v>98</v>
      </c>
      <c r="C26" t="s">
        <v>99</v>
      </c>
    </row>
    <row r="27" spans="2:10" x14ac:dyDescent="0.3">
      <c r="B27" t="s">
        <v>100</v>
      </c>
      <c r="C27" t="s">
        <v>101</v>
      </c>
      <c r="F27" s="48">
        <v>1674</v>
      </c>
      <c r="G27" s="48">
        <v>-1674</v>
      </c>
    </row>
    <row r="28" spans="2:10" x14ac:dyDescent="0.3">
      <c r="B28" t="s">
        <v>102</v>
      </c>
      <c r="C28" t="s">
        <v>103</v>
      </c>
      <c r="F28" s="48">
        <v>44539</v>
      </c>
      <c r="G28" s="48">
        <v>-44539</v>
      </c>
    </row>
    <row r="29" spans="2:10" x14ac:dyDescent="0.3">
      <c r="B29" t="s">
        <v>104</v>
      </c>
      <c r="C29" t="s">
        <v>105</v>
      </c>
    </row>
    <row r="30" spans="2:10" x14ac:dyDescent="0.3">
      <c r="B30" t="s">
        <v>106</v>
      </c>
      <c r="C30" t="s">
        <v>107</v>
      </c>
    </row>
    <row r="31" spans="2:10" x14ac:dyDescent="0.3">
      <c r="B31" t="s">
        <v>108</v>
      </c>
      <c r="C31" t="s">
        <v>109</v>
      </c>
      <c r="F31" s="48">
        <v>48424</v>
      </c>
      <c r="G31" s="48">
        <v>-48424</v>
      </c>
    </row>
    <row r="32" spans="2:10" x14ac:dyDescent="0.3">
      <c r="B32" t="s">
        <v>110</v>
      </c>
      <c r="C32" t="s">
        <v>111</v>
      </c>
      <c r="D32" s="48">
        <v>61629</v>
      </c>
      <c r="E32" s="48">
        <v>30813</v>
      </c>
      <c r="F32" s="48">
        <v>55339</v>
      </c>
      <c r="G32" s="48">
        <v>-24526</v>
      </c>
    </row>
    <row r="33" spans="2:10" x14ac:dyDescent="0.3">
      <c r="B33" t="s">
        <v>112</v>
      </c>
      <c r="C33" t="s">
        <v>113</v>
      </c>
      <c r="F33" s="48">
        <v>131470</v>
      </c>
      <c r="G33" s="48">
        <v>-131470</v>
      </c>
      <c r="I33">
        <v>2</v>
      </c>
    </row>
    <row r="34" spans="2:10" x14ac:dyDescent="0.3">
      <c r="B34" t="s">
        <v>114</v>
      </c>
      <c r="C34" t="s">
        <v>115</v>
      </c>
      <c r="D34" s="48">
        <v>228485</v>
      </c>
      <c r="E34" s="48">
        <v>114243</v>
      </c>
      <c r="F34" s="48">
        <v>97078</v>
      </c>
      <c r="G34" s="48">
        <v>17165</v>
      </c>
      <c r="H34">
        <v>0.63</v>
      </c>
      <c r="J34">
        <v>0.63</v>
      </c>
    </row>
    <row r="35" spans="2:10" x14ac:dyDescent="0.3">
      <c r="B35" t="s">
        <v>116</v>
      </c>
      <c r="C35" t="s">
        <v>117</v>
      </c>
    </row>
    <row r="36" spans="2:10" x14ac:dyDescent="0.3">
      <c r="B36" t="s">
        <v>118</v>
      </c>
      <c r="C36" t="s">
        <v>119</v>
      </c>
      <c r="D36" s="48">
        <v>33979</v>
      </c>
      <c r="E36" s="48">
        <v>16990</v>
      </c>
      <c r="F36" s="48">
        <v>22497</v>
      </c>
      <c r="G36" s="48">
        <v>-5507</v>
      </c>
      <c r="H36">
        <v>0.64</v>
      </c>
      <c r="I36">
        <v>0.64</v>
      </c>
      <c r="J36">
        <v>0.64</v>
      </c>
    </row>
    <row r="37" spans="2:10" x14ac:dyDescent="0.3">
      <c r="B37" t="s">
        <v>120</v>
      </c>
      <c r="C37" t="s">
        <v>121</v>
      </c>
      <c r="F37" s="48">
        <v>9612</v>
      </c>
      <c r="G37" s="48">
        <v>-9612</v>
      </c>
    </row>
    <row r="38" spans="2:10" x14ac:dyDescent="0.3">
      <c r="B38" t="s">
        <v>122</v>
      </c>
      <c r="C38" t="s">
        <v>123</v>
      </c>
      <c r="F38" s="48">
        <v>15272</v>
      </c>
      <c r="G38" s="48">
        <v>-15272</v>
      </c>
    </row>
    <row r="39" spans="2:10" x14ac:dyDescent="0.3">
      <c r="B39" t="s">
        <v>124</v>
      </c>
      <c r="C39" t="s">
        <v>125</v>
      </c>
      <c r="F39" s="48">
        <v>48991</v>
      </c>
      <c r="G39" s="48">
        <v>-48991</v>
      </c>
    </row>
    <row r="40" spans="2:10" x14ac:dyDescent="0.3">
      <c r="B40" t="s">
        <v>126</v>
      </c>
      <c r="C40" t="s">
        <v>127</v>
      </c>
      <c r="F40" s="48">
        <v>13506</v>
      </c>
      <c r="G40" s="48">
        <v>-13506</v>
      </c>
    </row>
    <row r="41" spans="2:10" x14ac:dyDescent="0.3">
      <c r="B41" t="s">
        <v>128</v>
      </c>
      <c r="C41" t="s">
        <v>129</v>
      </c>
      <c r="D41" s="48">
        <v>38898</v>
      </c>
      <c r="E41" s="48">
        <v>19450</v>
      </c>
      <c r="F41" s="48">
        <v>22955</v>
      </c>
      <c r="G41" s="48">
        <v>-3505</v>
      </c>
      <c r="H41">
        <v>0.73</v>
      </c>
      <c r="J41">
        <v>0.73</v>
      </c>
    </row>
    <row r="42" spans="2:10" x14ac:dyDescent="0.3">
      <c r="B42" t="s">
        <v>221</v>
      </c>
      <c r="C42" t="s">
        <v>222</v>
      </c>
      <c r="F42" s="48">
        <v>17190</v>
      </c>
      <c r="G42" s="48">
        <v>-17190</v>
      </c>
      <c r="I42">
        <v>1</v>
      </c>
    </row>
    <row r="43" spans="2:10" x14ac:dyDescent="0.3">
      <c r="B43" t="s">
        <v>130</v>
      </c>
      <c r="C43" t="s">
        <v>131</v>
      </c>
    </row>
    <row r="44" spans="2:10" x14ac:dyDescent="0.3">
      <c r="B44" t="s">
        <v>132</v>
      </c>
      <c r="C44" t="s">
        <v>133</v>
      </c>
      <c r="F44" s="48">
        <v>56026</v>
      </c>
      <c r="G44" s="48">
        <v>-56026</v>
      </c>
    </row>
    <row r="45" spans="2:10" x14ac:dyDescent="0.3">
      <c r="B45" t="s">
        <v>134</v>
      </c>
      <c r="C45" t="s">
        <v>135</v>
      </c>
      <c r="D45" s="48">
        <v>170373</v>
      </c>
      <c r="E45" s="48">
        <v>85186</v>
      </c>
      <c r="F45" s="48">
        <v>95914</v>
      </c>
      <c r="G45" s="48">
        <v>-10728</v>
      </c>
      <c r="H45">
        <v>2</v>
      </c>
      <c r="I45">
        <v>1</v>
      </c>
    </row>
    <row r="46" spans="2:10" x14ac:dyDescent="0.3">
      <c r="B46" t="s">
        <v>136</v>
      </c>
      <c r="C46" t="s">
        <v>137</v>
      </c>
    </row>
    <row r="47" spans="2:10" x14ac:dyDescent="0.3">
      <c r="B47" t="s">
        <v>138</v>
      </c>
      <c r="C47" t="s">
        <v>139</v>
      </c>
      <c r="F47" s="48">
        <v>7179</v>
      </c>
      <c r="G47" s="48">
        <v>-7179</v>
      </c>
    </row>
    <row r="48" spans="2:10" x14ac:dyDescent="0.3">
      <c r="B48" t="s">
        <v>241</v>
      </c>
      <c r="C48" t="s">
        <v>242</v>
      </c>
      <c r="F48" s="48">
        <v>11406</v>
      </c>
      <c r="G48" s="48">
        <v>-11406</v>
      </c>
    </row>
    <row r="49" spans="2:10" x14ac:dyDescent="0.3">
      <c r="B49" t="s">
        <v>140</v>
      </c>
      <c r="C49" t="s">
        <v>141</v>
      </c>
      <c r="F49" s="48">
        <v>46155</v>
      </c>
      <c r="G49" s="48">
        <v>-46155</v>
      </c>
      <c r="I49">
        <v>1.57</v>
      </c>
    </row>
    <row r="50" spans="2:10" x14ac:dyDescent="0.3">
      <c r="B50" t="s">
        <v>142</v>
      </c>
      <c r="C50" t="s">
        <v>143</v>
      </c>
      <c r="F50" s="48">
        <v>11869</v>
      </c>
      <c r="G50" s="48">
        <v>-11869</v>
      </c>
    </row>
    <row r="51" spans="2:10" x14ac:dyDescent="0.3">
      <c r="B51" t="s">
        <v>144</v>
      </c>
      <c r="C51" t="s">
        <v>145</v>
      </c>
    </row>
    <row r="52" spans="2:10" x14ac:dyDescent="0.3">
      <c r="B52" t="s">
        <v>146</v>
      </c>
      <c r="C52" t="s">
        <v>147</v>
      </c>
      <c r="D52" s="48">
        <v>42118</v>
      </c>
      <c r="E52" s="48">
        <v>21059</v>
      </c>
      <c r="F52" s="48">
        <v>21350</v>
      </c>
      <c r="G52">
        <v>-291</v>
      </c>
      <c r="H52">
        <v>0.55000000000000004</v>
      </c>
      <c r="I52">
        <v>0.55000000000000004</v>
      </c>
      <c r="J52">
        <v>0.55000000000000004</v>
      </c>
    </row>
    <row r="53" spans="2:10" x14ac:dyDescent="0.3">
      <c r="B53" t="s">
        <v>148</v>
      </c>
      <c r="C53" t="s">
        <v>149</v>
      </c>
      <c r="F53" s="48">
        <v>10485</v>
      </c>
      <c r="G53" s="48">
        <v>-10485</v>
      </c>
    </row>
    <row r="54" spans="2:10" x14ac:dyDescent="0.3">
      <c r="B54" t="s">
        <v>150</v>
      </c>
      <c r="C54" t="s">
        <v>151</v>
      </c>
    </row>
    <row r="55" spans="2:10" x14ac:dyDescent="0.3">
      <c r="B55" t="s">
        <v>152</v>
      </c>
      <c r="C55" t="s">
        <v>153</v>
      </c>
    </row>
    <row r="56" spans="2:10" x14ac:dyDescent="0.3">
      <c r="B56" t="s">
        <v>154</v>
      </c>
      <c r="C56" t="s">
        <v>155</v>
      </c>
    </row>
    <row r="57" spans="2:10" x14ac:dyDescent="0.3">
      <c r="B57" t="s">
        <v>156</v>
      </c>
      <c r="C57" t="s">
        <v>157</v>
      </c>
      <c r="D57" s="48">
        <v>191765</v>
      </c>
      <c r="E57" s="48">
        <v>95883</v>
      </c>
      <c r="F57" s="48">
        <v>94222</v>
      </c>
      <c r="G57" s="48">
        <v>1661</v>
      </c>
      <c r="H57">
        <v>1</v>
      </c>
      <c r="J57">
        <v>1</v>
      </c>
    </row>
    <row r="58" spans="2:10" x14ac:dyDescent="0.3">
      <c r="B58" t="s">
        <v>158</v>
      </c>
      <c r="C58" t="s">
        <v>159</v>
      </c>
      <c r="D58" s="48">
        <v>62821</v>
      </c>
      <c r="E58" s="48">
        <v>31411</v>
      </c>
      <c r="G58" s="48">
        <v>31411</v>
      </c>
    </row>
    <row r="59" spans="2:10" x14ac:dyDescent="0.3">
      <c r="B59" t="s">
        <v>160</v>
      </c>
      <c r="C59" t="s">
        <v>161</v>
      </c>
      <c r="F59" s="48">
        <v>16278</v>
      </c>
      <c r="G59" s="48">
        <v>-16278</v>
      </c>
    </row>
    <row r="60" spans="2:10" x14ac:dyDescent="0.3">
      <c r="B60" t="s">
        <v>162</v>
      </c>
      <c r="C60" t="s">
        <v>163</v>
      </c>
    </row>
    <row r="61" spans="2:10" x14ac:dyDescent="0.3">
      <c r="B61" t="s">
        <v>76</v>
      </c>
      <c r="C61" t="s">
        <v>77</v>
      </c>
      <c r="D61" s="48">
        <v>116873</v>
      </c>
      <c r="E61" s="48">
        <v>58437</v>
      </c>
      <c r="F61" s="48">
        <v>44950</v>
      </c>
      <c r="G61" s="48">
        <v>13487</v>
      </c>
      <c r="H61">
        <v>1</v>
      </c>
      <c r="J61">
        <v>1</v>
      </c>
    </row>
    <row r="62" spans="2:10" x14ac:dyDescent="0.3">
      <c r="B62" t="s">
        <v>243</v>
      </c>
      <c r="C62" t="s">
        <v>244</v>
      </c>
      <c r="F62" s="48">
        <v>1407</v>
      </c>
      <c r="G62" s="48">
        <v>-1407</v>
      </c>
    </row>
    <row r="63" spans="2:10" x14ac:dyDescent="0.3">
      <c r="B63" t="s">
        <v>164</v>
      </c>
      <c r="C63" t="s">
        <v>165</v>
      </c>
      <c r="D63" s="48">
        <v>17690</v>
      </c>
      <c r="E63" s="48">
        <v>8845</v>
      </c>
      <c r="F63" s="48">
        <v>23300</v>
      </c>
      <c r="G63" s="48">
        <v>-14455</v>
      </c>
    </row>
    <row r="64" spans="2:10" x14ac:dyDescent="0.3">
      <c r="B64" t="s">
        <v>166</v>
      </c>
      <c r="C64" t="s">
        <v>167</v>
      </c>
    </row>
    <row r="65" spans="2:7" x14ac:dyDescent="0.3">
      <c r="B65" t="s">
        <v>168</v>
      </c>
      <c r="C65" t="s">
        <v>169</v>
      </c>
    </row>
    <row r="66" spans="2:7" x14ac:dyDescent="0.3">
      <c r="B66" t="s">
        <v>217</v>
      </c>
      <c r="C66" t="s">
        <v>218</v>
      </c>
      <c r="F66" s="48">
        <v>5636</v>
      </c>
      <c r="G66" s="48">
        <v>-5636</v>
      </c>
    </row>
    <row r="67" spans="2:7" x14ac:dyDescent="0.3">
      <c r="B67" t="s">
        <v>170</v>
      </c>
      <c r="C67" t="s">
        <v>171</v>
      </c>
    </row>
    <row r="68" spans="2:7" x14ac:dyDescent="0.3">
      <c r="B68" t="s">
        <v>172</v>
      </c>
      <c r="C68" t="s">
        <v>173</v>
      </c>
      <c r="F68">
        <v>909</v>
      </c>
      <c r="G68">
        <v>-909</v>
      </c>
    </row>
    <row r="69" spans="2:7" x14ac:dyDescent="0.3">
      <c r="B69" t="s">
        <v>174</v>
      </c>
      <c r="C69" t="s">
        <v>175</v>
      </c>
      <c r="F69" s="48">
        <v>49440</v>
      </c>
      <c r="G69" s="48">
        <v>-49440</v>
      </c>
    </row>
    <row r="70" spans="2:7" x14ac:dyDescent="0.3">
      <c r="B70" t="s">
        <v>176</v>
      </c>
      <c r="C70" t="s">
        <v>177</v>
      </c>
    </row>
    <row r="71" spans="2:7" x14ac:dyDescent="0.3">
      <c r="B71" t="s">
        <v>78</v>
      </c>
      <c r="C71" t="s">
        <v>79</v>
      </c>
      <c r="D71" s="48">
        <v>8805</v>
      </c>
      <c r="E71" s="48">
        <v>4403</v>
      </c>
      <c r="F71" s="48">
        <v>22604</v>
      </c>
      <c r="G71" s="48">
        <v>-18201</v>
      </c>
    </row>
    <row r="72" spans="2:7" x14ac:dyDescent="0.3">
      <c r="B72" t="s">
        <v>80</v>
      </c>
      <c r="C72" t="s">
        <v>81</v>
      </c>
    </row>
    <row r="73" spans="2:7" x14ac:dyDescent="0.3">
      <c r="B73" t="s">
        <v>82</v>
      </c>
      <c r="C73" t="s">
        <v>83</v>
      </c>
    </row>
    <row r="74" spans="2:7" x14ac:dyDescent="0.3">
      <c r="B74" t="s">
        <v>84</v>
      </c>
      <c r="C74" t="s">
        <v>85</v>
      </c>
    </row>
    <row r="75" spans="2:7" x14ac:dyDescent="0.3">
      <c r="B75" t="s">
        <v>86</v>
      </c>
      <c r="C75" t="s">
        <v>87</v>
      </c>
      <c r="F75" s="48">
        <v>42861</v>
      </c>
      <c r="G75" s="48">
        <v>-42861</v>
      </c>
    </row>
    <row r="76" spans="2:7" x14ac:dyDescent="0.3">
      <c r="B76" t="s">
        <v>178</v>
      </c>
      <c r="C76" t="s">
        <v>179</v>
      </c>
      <c r="F76" s="48">
        <v>15954</v>
      </c>
      <c r="G76" s="48">
        <v>-15954</v>
      </c>
    </row>
    <row r="77" spans="2:7" x14ac:dyDescent="0.3">
      <c r="B77" t="s">
        <v>180</v>
      </c>
      <c r="C77" t="s">
        <v>181</v>
      </c>
      <c r="F77" s="48">
        <v>1364</v>
      </c>
      <c r="G77" s="48">
        <v>-1364</v>
      </c>
    </row>
    <row r="78" spans="2:7" x14ac:dyDescent="0.3">
      <c r="B78" t="s">
        <v>182</v>
      </c>
      <c r="C78" t="s">
        <v>183</v>
      </c>
    </row>
    <row r="79" spans="2:7" x14ac:dyDescent="0.3">
      <c r="B79" t="s">
        <v>184</v>
      </c>
      <c r="C79" t="s">
        <v>185</v>
      </c>
      <c r="F79" s="48">
        <v>69904</v>
      </c>
      <c r="G79" s="48">
        <v>-69904</v>
      </c>
    </row>
    <row r="80" spans="2:7" x14ac:dyDescent="0.3">
      <c r="B80" t="s">
        <v>186</v>
      </c>
      <c r="C80" t="s">
        <v>187</v>
      </c>
      <c r="F80" s="48">
        <v>43091</v>
      </c>
      <c r="G80" s="48">
        <v>-43091</v>
      </c>
    </row>
    <row r="81" spans="2:9" x14ac:dyDescent="0.3">
      <c r="B81" t="s">
        <v>188</v>
      </c>
      <c r="C81" t="s">
        <v>189</v>
      </c>
      <c r="F81">
        <v>682</v>
      </c>
      <c r="G81">
        <v>-682</v>
      </c>
    </row>
    <row r="82" spans="2:9" x14ac:dyDescent="0.3">
      <c r="B82" t="s">
        <v>190</v>
      </c>
      <c r="C82" t="s">
        <v>191</v>
      </c>
      <c r="D82" s="48">
        <v>94836</v>
      </c>
      <c r="E82" s="48">
        <v>94836</v>
      </c>
      <c r="F82" s="48">
        <v>94836</v>
      </c>
      <c r="G82">
        <v>0</v>
      </c>
    </row>
    <row r="83" spans="2:9" x14ac:dyDescent="0.3">
      <c r="B83" t="s">
        <v>225</v>
      </c>
      <c r="C83" t="s">
        <v>226</v>
      </c>
      <c r="D83" s="48">
        <v>63653</v>
      </c>
      <c r="E83" s="48">
        <v>31826</v>
      </c>
      <c r="F83" s="48">
        <v>32344</v>
      </c>
      <c r="G83">
        <v>-518</v>
      </c>
    </row>
    <row r="84" spans="2:9" x14ac:dyDescent="0.3">
      <c r="B84" t="s">
        <v>192</v>
      </c>
      <c r="C84" t="s">
        <v>193</v>
      </c>
    </row>
    <row r="85" spans="2:9" x14ac:dyDescent="0.3">
      <c r="B85" t="s">
        <v>194</v>
      </c>
      <c r="C85" t="s">
        <v>195</v>
      </c>
      <c r="F85" s="48">
        <v>4787</v>
      </c>
      <c r="G85" s="48">
        <v>-4787</v>
      </c>
    </row>
    <row r="86" spans="2:9" x14ac:dyDescent="0.3">
      <c r="B86" t="s">
        <v>196</v>
      </c>
      <c r="C86" t="s">
        <v>197</v>
      </c>
      <c r="F86">
        <v>362</v>
      </c>
      <c r="G86">
        <v>-362</v>
      </c>
    </row>
    <row r="87" spans="2:9" x14ac:dyDescent="0.3">
      <c r="B87" t="s">
        <v>198</v>
      </c>
      <c r="C87" t="s">
        <v>199</v>
      </c>
    </row>
    <row r="88" spans="2:9" x14ac:dyDescent="0.3">
      <c r="B88" t="s">
        <v>200</v>
      </c>
      <c r="C88" t="s">
        <v>201</v>
      </c>
      <c r="F88" s="48">
        <v>16374</v>
      </c>
      <c r="G88" s="48">
        <v>-16374</v>
      </c>
      <c r="I88">
        <v>0.64</v>
      </c>
    </row>
    <row r="89" spans="2:9" x14ac:dyDescent="0.3">
      <c r="B89" t="s">
        <v>202</v>
      </c>
      <c r="C89" t="s">
        <v>203</v>
      </c>
      <c r="F89" s="48">
        <v>16697</v>
      </c>
      <c r="G89" s="48">
        <v>-16697</v>
      </c>
    </row>
    <row r="90" spans="2:9" x14ac:dyDescent="0.3">
      <c r="B90" t="s">
        <v>227</v>
      </c>
      <c r="C90" t="s">
        <v>228</v>
      </c>
      <c r="F90" s="48">
        <v>12055</v>
      </c>
      <c r="G90" s="48">
        <v>-12055</v>
      </c>
    </row>
    <row r="91" spans="2:9" x14ac:dyDescent="0.3">
      <c r="B91" t="s">
        <v>223</v>
      </c>
      <c r="C91" t="s">
        <v>224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September</vt:lpstr>
      <vt:lpstr>October</vt:lpstr>
      <vt:lpstr>November</vt:lpstr>
      <vt:lpstr>December</vt:lpstr>
      <vt:lpstr>January</vt:lpstr>
      <vt:lpstr>Nov</vt:lpstr>
      <vt:lpstr>TOTAL (2)</vt:lpstr>
      <vt:lpstr>Sheet1</vt:lpstr>
      <vt:lpstr>Sheet2</vt:lpstr>
      <vt:lpstr>Sheet3</vt:lpstr>
      <vt:lpstr>Nov!Print_Area</vt:lpstr>
    </vt:vector>
  </TitlesOfParts>
  <Company>BHB Community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Mitchell</dc:creator>
  <cp:lastModifiedBy>Carina Negreanu</cp:lastModifiedBy>
  <cp:lastPrinted>2003-12-31T17:30:16Z</cp:lastPrinted>
  <dcterms:created xsi:type="dcterms:W3CDTF">2002-01-21T10:19:24Z</dcterms:created>
  <dcterms:modified xsi:type="dcterms:W3CDTF">2020-01-27T11:14:06Z</dcterms:modified>
</cp:coreProperties>
</file>