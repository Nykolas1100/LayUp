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B1C55B-68EA-4E82-A6F4-D3A7572794D5}" xr6:coauthVersionLast="45" xr6:coauthVersionMax="45" xr10:uidLastSave="{00000000-0000-0000-0000-000000000000}"/>
  <bookViews>
    <workbookView xWindow="4180" yWindow="4180" windowWidth="28800" windowHeight="15460" activeTab="3"/>
  </bookViews>
  <sheets>
    <sheet name="Totals" sheetId="1" r:id="rId1"/>
    <sheet name="Homework" sheetId="3" r:id="rId2"/>
    <sheet name="Participation" sheetId="2" r:id="rId3"/>
    <sheet name="Attendance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9" i="4" l="1"/>
  <c r="U20" i="4"/>
  <c r="U24" i="4"/>
  <c r="U26" i="4"/>
  <c r="U6" i="4"/>
  <c r="N4" i="1"/>
  <c r="M4" i="1"/>
  <c r="F4" i="1"/>
  <c r="E4" i="1"/>
  <c r="D4" i="1"/>
  <c r="C4" i="1"/>
  <c r="O12" i="1" s="1"/>
  <c r="O5" i="1"/>
  <c r="C3" i="1"/>
  <c r="I24" i="1" s="1"/>
  <c r="D3" i="1"/>
  <c r="E3" i="1"/>
  <c r="F3" i="1"/>
  <c r="I3" i="1"/>
  <c r="J7" i="1"/>
  <c r="K7" i="1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6" i="3"/>
  <c r="L25" i="1"/>
  <c r="R6" i="4"/>
  <c r="S6" i="4"/>
  <c r="L7" i="1" s="1"/>
  <c r="C2" i="1"/>
  <c r="D2" i="1"/>
  <c r="E2" i="1"/>
  <c r="F2" i="1"/>
  <c r="R34" i="4"/>
  <c r="U34" i="4" s="1"/>
  <c r="S34" i="4"/>
  <c r="R33" i="4"/>
  <c r="U33" i="4" s="1"/>
  <c r="S33" i="4"/>
  <c r="L34" i="1" s="1"/>
  <c r="R32" i="4"/>
  <c r="U32" i="4" s="1"/>
  <c r="R31" i="4"/>
  <c r="U31" i="4" s="1"/>
  <c r="S31" i="4"/>
  <c r="L32" i="1" s="1"/>
  <c r="R30" i="4"/>
  <c r="U30" i="4" s="1"/>
  <c r="S30" i="4"/>
  <c r="L31" i="1" s="1"/>
  <c r="Q31" i="1" s="1"/>
  <c r="R29" i="4"/>
  <c r="S29" i="4" s="1"/>
  <c r="L30" i="1" s="1"/>
  <c r="R28" i="4"/>
  <c r="U28" i="4" s="1"/>
  <c r="R27" i="4"/>
  <c r="U27" i="4" s="1"/>
  <c r="R26" i="4"/>
  <c r="S26" i="4"/>
  <c r="L27" i="1" s="1"/>
  <c r="H27" i="1" s="1"/>
  <c r="R25" i="4"/>
  <c r="S25" i="4" s="1"/>
  <c r="L26" i="1" s="1"/>
  <c r="R24" i="4"/>
  <c r="S24" i="4"/>
  <c r="R23" i="4"/>
  <c r="U23" i="4" s="1"/>
  <c r="S23" i="4"/>
  <c r="L24" i="1" s="1"/>
  <c r="H24" i="1" s="1"/>
  <c r="R22" i="4"/>
  <c r="U22" i="4" s="1"/>
  <c r="R21" i="4"/>
  <c r="U21" i="4" s="1"/>
  <c r="S21" i="4"/>
  <c r="L22" i="1" s="1"/>
  <c r="R20" i="4"/>
  <c r="S20" i="4"/>
  <c r="L21" i="1" s="1"/>
  <c r="H21" i="1" s="1"/>
  <c r="R19" i="4"/>
  <c r="S19" i="4" s="1"/>
  <c r="L20" i="1" s="1"/>
  <c r="R18" i="4"/>
  <c r="S18" i="4" s="1"/>
  <c r="L19" i="1" s="1"/>
  <c r="H19" i="1" s="1"/>
  <c r="R17" i="4"/>
  <c r="S17" i="4" s="1"/>
  <c r="L18" i="1" s="1"/>
  <c r="H18" i="1" s="1"/>
  <c r="R16" i="4"/>
  <c r="U16" i="4" s="1"/>
  <c r="S16" i="4"/>
  <c r="L17" i="1" s="1"/>
  <c r="R15" i="4"/>
  <c r="U15" i="4" s="1"/>
  <c r="R14" i="4"/>
  <c r="U14" i="4" s="1"/>
  <c r="S14" i="4"/>
  <c r="L15" i="1" s="1"/>
  <c r="R13" i="4"/>
  <c r="U13" i="4" s="1"/>
  <c r="S13" i="4"/>
  <c r="L14" i="1" s="1"/>
  <c r="R12" i="4"/>
  <c r="U12" i="4" s="1"/>
  <c r="R11" i="4"/>
  <c r="U11" i="4" s="1"/>
  <c r="S11" i="4"/>
  <c r="L12" i="1" s="1"/>
  <c r="Q12" i="1" s="1"/>
  <c r="R10" i="4"/>
  <c r="U10" i="4" s="1"/>
  <c r="S10" i="4"/>
  <c r="L11" i="1" s="1"/>
  <c r="R9" i="4"/>
  <c r="S9" i="4" s="1"/>
  <c r="L10" i="1" s="1"/>
  <c r="R8" i="4"/>
  <c r="U8" i="4" s="1"/>
  <c r="R7" i="4"/>
  <c r="U7" i="4" s="1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Q5" i="1"/>
  <c r="J8" i="1"/>
  <c r="K8" i="1"/>
  <c r="J9" i="1"/>
  <c r="K9" i="1"/>
  <c r="J10" i="1"/>
  <c r="Q10" i="1" s="1"/>
  <c r="K10" i="1"/>
  <c r="J11" i="1"/>
  <c r="K11" i="1"/>
  <c r="J12" i="1"/>
  <c r="K12" i="1"/>
  <c r="J13" i="1"/>
  <c r="K13" i="1"/>
  <c r="J15" i="1"/>
  <c r="I15" i="1" s="1"/>
  <c r="K15" i="1"/>
  <c r="J16" i="1"/>
  <c r="K16" i="1"/>
  <c r="J17" i="1"/>
  <c r="K17" i="1"/>
  <c r="J18" i="1"/>
  <c r="K18" i="1"/>
  <c r="J19" i="1"/>
  <c r="K19" i="1"/>
  <c r="J20" i="1"/>
  <c r="K20" i="1"/>
  <c r="J21" i="1"/>
  <c r="Q21" i="1" s="1"/>
  <c r="K21" i="1"/>
  <c r="I21" i="1" s="1"/>
  <c r="J22" i="1"/>
  <c r="K22" i="1"/>
  <c r="J23" i="1"/>
  <c r="K23" i="1"/>
  <c r="J24" i="1"/>
  <c r="K24" i="1"/>
  <c r="J25" i="1"/>
  <c r="Q25" i="1" s="1"/>
  <c r="K25" i="1"/>
  <c r="J26" i="1"/>
  <c r="Q26" i="1" s="1"/>
  <c r="K26" i="1"/>
  <c r="J27" i="1"/>
  <c r="Q27" i="1" s="1"/>
  <c r="K27" i="1"/>
  <c r="J28" i="1"/>
  <c r="K28" i="1"/>
  <c r="J29" i="1"/>
  <c r="K29" i="1"/>
  <c r="J30" i="1"/>
  <c r="Q30" i="1" s="1"/>
  <c r="K30" i="1"/>
  <c r="J31" i="1"/>
  <c r="I31" i="1" s="1"/>
  <c r="K31" i="1"/>
  <c r="J32" i="1"/>
  <c r="K32" i="1"/>
  <c r="J33" i="1"/>
  <c r="K33" i="1"/>
  <c r="J34" i="1"/>
  <c r="K34" i="1"/>
  <c r="Q19" i="1" l="1"/>
  <c r="I18" i="1"/>
  <c r="H10" i="1"/>
  <c r="H11" i="1"/>
  <c r="Q9" i="1"/>
  <c r="O24" i="1"/>
  <c r="I34" i="1"/>
  <c r="Q20" i="1"/>
  <c r="I19" i="1"/>
  <c r="Q7" i="1"/>
  <c r="I7" i="1"/>
  <c r="I13" i="1"/>
  <c r="Q23" i="1"/>
  <c r="I12" i="1"/>
  <c r="I14" i="1"/>
  <c r="Q14" i="1"/>
  <c r="Q28" i="1"/>
  <c r="Q24" i="1"/>
  <c r="Q32" i="1"/>
  <c r="I17" i="1"/>
  <c r="Q17" i="1"/>
  <c r="I32" i="1"/>
  <c r="Q22" i="1"/>
  <c r="I11" i="1"/>
  <c r="I23" i="1"/>
  <c r="O31" i="1"/>
  <c r="O11" i="1"/>
  <c r="Q18" i="1"/>
  <c r="O4" i="1"/>
  <c r="I22" i="1"/>
  <c r="O30" i="1"/>
  <c r="O10" i="1"/>
  <c r="U25" i="4"/>
  <c r="O25" i="1"/>
  <c r="O29" i="1"/>
  <c r="O9" i="1"/>
  <c r="H26" i="1"/>
  <c r="I20" i="1"/>
  <c r="Q15" i="1"/>
  <c r="H25" i="1"/>
  <c r="S12" i="4"/>
  <c r="L13" i="1" s="1"/>
  <c r="H13" i="1" s="1"/>
  <c r="S22" i="4"/>
  <c r="L23" i="1" s="1"/>
  <c r="H23" i="1" s="1"/>
  <c r="S32" i="4"/>
  <c r="L33" i="1" s="1"/>
  <c r="I33" i="1" s="1"/>
  <c r="O27" i="1"/>
  <c r="Q34" i="1"/>
  <c r="O26" i="1"/>
  <c r="Q33" i="1"/>
  <c r="Q13" i="1"/>
  <c r="O23" i="1"/>
  <c r="U18" i="4"/>
  <c r="H20" i="1"/>
  <c r="O22" i="1"/>
  <c r="U17" i="4"/>
  <c r="S15" i="4"/>
  <c r="L16" i="1" s="1"/>
  <c r="H16" i="1" s="1"/>
  <c r="H7" i="1"/>
  <c r="O21" i="1"/>
  <c r="O20" i="1"/>
  <c r="Q11" i="1"/>
  <c r="O19" i="1"/>
  <c r="H17" i="1"/>
  <c r="I30" i="1"/>
  <c r="I10" i="1"/>
  <c r="O18" i="1"/>
  <c r="H15" i="1"/>
  <c r="S7" i="4"/>
  <c r="L8" i="1" s="1"/>
  <c r="H8" i="1" s="1"/>
  <c r="S27" i="4"/>
  <c r="L28" i="1" s="1"/>
  <c r="H28" i="1" s="1"/>
  <c r="I29" i="1"/>
  <c r="I9" i="1"/>
  <c r="O17" i="1"/>
  <c r="I28" i="1"/>
  <c r="H22" i="1"/>
  <c r="H34" i="1"/>
  <c r="H2" i="1"/>
  <c r="S8" i="4"/>
  <c r="L9" i="1" s="1"/>
  <c r="H9" i="1" s="1"/>
  <c r="S28" i="4"/>
  <c r="L29" i="1" s="1"/>
  <c r="H29" i="1" s="1"/>
  <c r="I27" i="1"/>
  <c r="O7" i="1"/>
  <c r="O15" i="1"/>
  <c r="H32" i="1"/>
  <c r="H12" i="1"/>
  <c r="I26" i="1"/>
  <c r="O34" i="1"/>
  <c r="O14" i="1"/>
  <c r="U29" i="4"/>
  <c r="U9" i="4"/>
  <c r="H14" i="1"/>
  <c r="H31" i="1"/>
  <c r="I25" i="1"/>
  <c r="O33" i="1"/>
  <c r="O13" i="1"/>
  <c r="H30" i="1"/>
  <c r="O32" i="1"/>
  <c r="Q29" i="1" l="1"/>
  <c r="I16" i="1"/>
  <c r="Q16" i="1"/>
  <c r="O16" i="1"/>
  <c r="O28" i="1"/>
  <c r="O8" i="1"/>
  <c r="H33" i="1"/>
  <c r="I8" i="1"/>
  <c r="Q8" i="1"/>
</calcChain>
</file>

<file path=xl/sharedStrings.xml><?xml version="1.0" encoding="utf-8"?>
<sst xmlns="http://schemas.openxmlformats.org/spreadsheetml/2006/main" count="85" uniqueCount="62">
  <si>
    <t>WA 1</t>
  </si>
  <si>
    <t>WA 2</t>
  </si>
  <si>
    <t xml:space="preserve"> WA 3</t>
  </si>
  <si>
    <t xml:space="preserve"> WA 4</t>
  </si>
  <si>
    <t>WA 5</t>
  </si>
  <si>
    <t>WA 6</t>
  </si>
  <si>
    <t>Name</t>
  </si>
  <si>
    <t>Johnnie</t>
  </si>
  <si>
    <t>Willie</t>
  </si>
  <si>
    <t>Fred</t>
  </si>
  <si>
    <t>Midterm</t>
  </si>
  <si>
    <t>Part.</t>
  </si>
  <si>
    <t>HW &amp; Quizzes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</si>
  <si>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</si>
  <si>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</si>
  <si>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</si>
  <si>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</si>
  <si>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</si>
  <si>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</si>
  <si>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</si>
  <si>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</si>
  <si>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</si>
  <si>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11</t>
  </si>
  <si>
    <t>Week 12</t>
  </si>
  <si>
    <t>Week 13</t>
  </si>
  <si>
    <t>Ending</t>
  </si>
  <si>
    <t>Average</t>
  </si>
  <si>
    <t>Suzie</t>
  </si>
  <si>
    <t>Mary</t>
  </si>
  <si>
    <t>Judy</t>
  </si>
  <si>
    <t>Tom</t>
  </si>
  <si>
    <t>Dick</t>
  </si>
  <si>
    <t>Harry</t>
  </si>
  <si>
    <t>Teddy</t>
  </si>
  <si>
    <t>Quiz 1</t>
  </si>
  <si>
    <t>HW 2</t>
  </si>
  <si>
    <t>HW 3</t>
  </si>
  <si>
    <t>Quiz 2</t>
  </si>
  <si>
    <t>Quiz 3</t>
  </si>
  <si>
    <t>HW 4</t>
  </si>
  <si>
    <t>Final Grade</t>
  </si>
  <si>
    <t>Final</t>
  </si>
  <si>
    <t>Early Warning</t>
  </si>
  <si>
    <t>Attend. MWF</t>
  </si>
  <si>
    <t>HW 1</t>
  </si>
  <si>
    <t>Quiz 4</t>
  </si>
  <si>
    <t>Quiz 5</t>
  </si>
  <si>
    <t>Quiz 6</t>
  </si>
  <si>
    <t>Quiz 7</t>
  </si>
  <si>
    <t>Averages</t>
  </si>
  <si>
    <t>Sophie</t>
  </si>
  <si>
    <t>Midterm Portfolio</t>
  </si>
  <si>
    <t>Teacher's Recommed.</t>
  </si>
  <si>
    <t>Portfolio</t>
  </si>
  <si>
    <t>Teacher's Rec.</t>
  </si>
  <si>
    <t>Etc.</t>
  </si>
  <si>
    <t>Week 14</t>
  </si>
  <si>
    <t>Week 15</t>
  </si>
  <si>
    <t>Week 16</t>
  </si>
  <si>
    <t>Total</t>
  </si>
  <si>
    <t>Attend. Grade (MWF)</t>
  </si>
  <si>
    <t>Attend (TTh or 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</si>
</sst>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0.0"/>
    <numFmt numFmtId="177" formatCode="[$-409]d\-mmm\-yy;@"/>
    <numFmt numFmtId="179" formatCode="[$-409]dd\-mmm\-yy;@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9" fontId="0" fillId="0" borderId="0" xfId="0" applyNumberFormat="1"/>
    <xf numFmtId="9" fontId="3" fillId="0" borderId="0" xfId="0" applyNumberFormat="1" applyFont="1" applyAlignment="1">
      <alignment horizontal="center"/>
    </xf>
    <xf numFmtId="173" fontId="0" fillId="0" borderId="0" xfId="0" applyNumberFormat="1"/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center"/>
    </xf>
    <xf numFmtId="177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2" fontId="3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173" fontId="3" fillId="2" borderId="1" xfId="0" applyNumberFormat="1" applyFont="1" applyFill="1" applyBorder="1" applyAlignment="1">
      <alignment horizontal="center"/>
    </xf>
    <xf numFmtId="173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 wrapText="1"/>
    </xf>
    <xf numFmtId="0" fontId="0" fillId="0" borderId="0" xfId="0" applyAlignment="1">
      <alignment horizontal="center" textRotation="145"/>
    </xf>
    <xf numFmtId="177" fontId="3" fillId="0" borderId="0" xfId="0" applyNumberFormat="1" applyFont="1" applyAlignment="1">
      <alignment horizontal="right"/>
    </xf>
    <xf numFmtId="179" fontId="5" fillId="0" borderId="1" xfId="0" applyNumberFormat="1" applyFont="1" applyBorder="1" applyAlignment="1">
      <alignment horizontal="center" textRotation="180" wrapText="1"/>
    </xf>
    <xf numFmtId="49" fontId="5" fillId="0" borderId="1" xfId="0" applyNumberFormat="1" applyFont="1" applyBorder="1" applyAlignment="1">
      <alignment horizontal="center" textRotation="90" wrapText="1"/>
    </xf>
    <xf numFmtId="49" fontId="4" fillId="0" borderId="0" xfId="0" applyNumberFormat="1" applyFont="1" applyBorder="1" applyAlignment="1">
      <alignment horizontal="center" textRotation="151" wrapText="1"/>
    </xf>
    <xf numFmtId="179" fontId="5" fillId="0" borderId="2" xfId="0" applyNumberFormat="1" applyFont="1" applyBorder="1" applyAlignment="1">
      <alignment horizontal="center" textRotation="180" wrapText="1"/>
    </xf>
    <xf numFmtId="49" fontId="5" fillId="0" borderId="1" xfId="0" applyNumberFormat="1" applyFont="1" applyBorder="1" applyAlignment="1">
      <alignment horizontal="center" vertical="center" textRotation="180" wrapText="1"/>
    </xf>
    <xf numFmtId="49" fontId="5" fillId="0" borderId="3" xfId="0" applyNumberFormat="1" applyFont="1" applyBorder="1" applyAlignment="1">
      <alignment horizontal="center" vertical="center" textRotation="180" wrapText="1"/>
    </xf>
    <xf numFmtId="49" fontId="5" fillId="0" borderId="4" xfId="0" applyNumberFormat="1" applyFont="1" applyBorder="1" applyAlignment="1">
      <alignment horizontal="center" vertical="center" textRotation="180" wrapText="1"/>
    </xf>
    <xf numFmtId="9" fontId="1" fillId="4" borderId="0" xfId="0" applyNumberFormat="1" applyFont="1" applyFill="1" applyAlignment="1">
      <alignment horizontal="center"/>
    </xf>
    <xf numFmtId="173" fontId="3" fillId="4" borderId="1" xfId="0" applyNumberFormat="1" applyFont="1" applyFill="1" applyBorder="1" applyAlignment="1">
      <alignment horizontal="center"/>
    </xf>
    <xf numFmtId="9" fontId="1" fillId="3" borderId="0" xfId="0" applyNumberFormat="1" applyFon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173" fontId="3" fillId="5" borderId="1" xfId="0" applyNumberFormat="1" applyFont="1" applyFill="1" applyBorder="1" applyAlignment="1">
      <alignment horizontal="center"/>
    </xf>
    <xf numFmtId="9" fontId="1" fillId="6" borderId="0" xfId="0" applyNumberFormat="1" applyFont="1" applyFill="1" applyAlignment="1">
      <alignment horizontal="center"/>
    </xf>
    <xf numFmtId="173" fontId="3" fillId="6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wrapText="1"/>
    </xf>
    <xf numFmtId="173" fontId="0" fillId="2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173" fontId="0" fillId="7" borderId="0" xfId="0" applyNumberFormat="1" applyFill="1" applyAlignment="1">
      <alignment horizontal="center"/>
    </xf>
    <xf numFmtId="0" fontId="0" fillId="0" borderId="0" xfId="0" applyAlignment="1">
      <alignment horizontal="center" vertical="center" textRotation="180"/>
    </xf>
    <xf numFmtId="49" fontId="0" fillId="0" borderId="0" xfId="0" applyNumberFormat="1" applyAlignment="1">
      <alignment horizontal="center" vertical="center" textRotation="180" wrapText="1"/>
    </xf>
    <xf numFmtId="173" fontId="3" fillId="8" borderId="1" xfId="0" applyNumberFormat="1" applyFont="1" applyFill="1" applyBorder="1" applyAlignment="1">
      <alignment horizontal="center"/>
    </xf>
    <xf numFmtId="49" fontId="0" fillId="0" borderId="0" xfId="0" applyNumberFormat="1"/>
    <xf numFmtId="173" fontId="3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3" sqref="T13"/>
    </sheetView>
  </sheetViews>
  <sheetFormatPr defaultRowHeight="12.5" x14ac:dyDescent="0.25"/>
  <cols>
    <col min="1" max="1" width="3" bestFit="1" customWidth="1"/>
    <col min="2" max="2" width="18.7265625" style="2" customWidth="1"/>
    <col min="3" max="6" width="8" bestFit="1" customWidth="1"/>
    <col min="7" max="7" width="5.26953125" customWidth="1"/>
    <col min="8" max="8" width="5.81640625" customWidth="1"/>
    <col min="9" max="9" width="7.7265625" customWidth="1"/>
    <col min="10" max="10" width="8.81640625" bestFit="1" customWidth="1"/>
    <col min="11" max="11" width="4.81640625" style="1" bestFit="1" customWidth="1"/>
    <col min="12" max="12" width="7.54296875" bestFit="1" customWidth="1"/>
    <col min="13" max="14" width="5.1796875" bestFit="1" customWidth="1"/>
    <col min="15" max="15" width="7.453125" bestFit="1" customWidth="1"/>
    <col min="16" max="16" width="9.1796875" style="1" customWidth="1"/>
    <col min="19" max="19" width="14.453125" bestFit="1" customWidth="1"/>
  </cols>
  <sheetData>
    <row r="1" spans="1:19" s="4" customFormat="1" ht="47.25" customHeight="1" x14ac:dyDescent="0.3">
      <c r="B1" s="27"/>
      <c r="C1" s="29" t="s">
        <v>0</v>
      </c>
      <c r="D1" s="29" t="s">
        <v>1</v>
      </c>
      <c r="E1" s="29" t="s">
        <v>2</v>
      </c>
      <c r="F1" s="29" t="s">
        <v>3</v>
      </c>
      <c r="G1" s="29" t="s">
        <v>51</v>
      </c>
      <c r="H1" s="29" t="s">
        <v>42</v>
      </c>
      <c r="I1" s="29" t="s">
        <v>10</v>
      </c>
      <c r="J1" s="29" t="s">
        <v>12</v>
      </c>
      <c r="K1" s="30" t="s">
        <v>11</v>
      </c>
      <c r="L1" s="29" t="s">
        <v>43</v>
      </c>
      <c r="M1" s="29" t="s">
        <v>4</v>
      </c>
      <c r="N1" s="29" t="s">
        <v>5</v>
      </c>
      <c r="O1" s="29" t="s">
        <v>52</v>
      </c>
      <c r="P1" s="29" t="s">
        <v>53</v>
      </c>
      <c r="Q1" s="31" t="s">
        <v>40</v>
      </c>
    </row>
    <row r="2" spans="1:19" s="4" customFormat="1" ht="13" x14ac:dyDescent="0.3">
      <c r="B2" s="22" t="s">
        <v>42</v>
      </c>
      <c r="C2" s="6">
        <f>((1-SUM($J$5:$L$5)-SUM($C$5:$F$5))/4)+C$5</f>
        <v>0.17499999999999999</v>
      </c>
      <c r="D2" s="6">
        <f>((1-SUM($J$5:$L$5)-SUM($C$5:$F$5))/4)+D$5</f>
        <v>0.17499999999999999</v>
      </c>
      <c r="E2" s="6">
        <f>((1-SUM($J$5:$L$5)-SUM($C$5:$F$5))/4)+E$5</f>
        <v>0.17499999999999999</v>
      </c>
      <c r="F2" s="6">
        <f>((1-SUM($J$5:$L$5)-SUM($C$5:$F$5))/4)+F$5</f>
        <v>0.17499999999999999</v>
      </c>
      <c r="G2" s="6"/>
      <c r="H2" s="32">
        <f>SUM($C2:$F2,$J2:$L2)</f>
        <v>0.99999999999999989</v>
      </c>
      <c r="I2" s="6"/>
      <c r="J2" s="6">
        <v>0.1</v>
      </c>
      <c r="K2" s="6">
        <v>0.1</v>
      </c>
      <c r="L2" s="6">
        <v>0.1</v>
      </c>
      <c r="M2" s="6"/>
      <c r="O2" s="6"/>
    </row>
    <row r="3" spans="1:19" ht="13" x14ac:dyDescent="0.3">
      <c r="B3" s="22" t="s">
        <v>10</v>
      </c>
      <c r="C3" s="6">
        <f>((1-SUM($G$3,$J$3:$L$3)-SUM($C$5:$F$5))/4)+C$5</f>
        <v>0.1</v>
      </c>
      <c r="D3" s="6">
        <f>((1-SUM($G$3,$J$3:$L$3)-SUM($C$5:$F$5))/4)+D$5</f>
        <v>0.1</v>
      </c>
      <c r="E3" s="6">
        <f>((1-SUM($G$3,$J$3:$L$3)-SUM($C$5:$F$5))/4)+E$5</f>
        <v>0.1</v>
      </c>
      <c r="F3" s="6">
        <f>((1-SUM($G$3,$J$3:$L$3)-SUM($C$5:$F$5))/4)+F$5</f>
        <v>0.1</v>
      </c>
      <c r="G3" s="6">
        <v>0.3</v>
      </c>
      <c r="H3" s="6"/>
      <c r="I3" s="34">
        <f>SUM(C3:F3,G3,J3:L3)</f>
        <v>0.99999999999999989</v>
      </c>
      <c r="J3" s="6">
        <v>0.1</v>
      </c>
      <c r="K3" s="6">
        <v>0.1</v>
      </c>
      <c r="L3" s="6">
        <v>0.1</v>
      </c>
      <c r="M3" s="1"/>
      <c r="N3" s="1"/>
      <c r="O3" s="6"/>
      <c r="R3" s="6"/>
      <c r="S3" s="8"/>
    </row>
    <row r="4" spans="1:19" ht="13" x14ac:dyDescent="0.3">
      <c r="B4" s="22" t="s">
        <v>54</v>
      </c>
      <c r="C4" s="6">
        <f>((1-SUM($J$4:$L$4)-SUM($C$5:$F$5)-SUM($M$5:$N$5))/6)+C$5</f>
        <v>9.9999999999999992E-2</v>
      </c>
      <c r="D4" s="6">
        <f>((1-SUM($J$4:$L$4)-SUM($C$5:$F$5)-SUM($M$5:$N$5))/6)+D$5</f>
        <v>9.9999999999999992E-2</v>
      </c>
      <c r="E4" s="6">
        <f>((1-SUM($J$4:$L$4)-SUM($C$5:$F$5)-SUM($M$5:$N$5))/6)+E$5</f>
        <v>9.9999999999999992E-2</v>
      </c>
      <c r="F4" s="6">
        <f>((1-SUM($J$4:$L$4)-SUM($C$5:$F$5)-SUM($M$5:$N$5))/6)+F$5</f>
        <v>9.9999999999999992E-2</v>
      </c>
      <c r="G4" s="6"/>
      <c r="H4" s="6"/>
      <c r="I4" s="6"/>
      <c r="J4" s="6">
        <v>0.1</v>
      </c>
      <c r="K4" s="6">
        <v>0.1</v>
      </c>
      <c r="L4" s="6">
        <v>0.1</v>
      </c>
      <c r="M4" s="6">
        <f>((1-SUM($J$4:$L$4)-SUM($C$5:$F$5)-SUM($M$5:$N$5))/6)+M$5</f>
        <v>0.15</v>
      </c>
      <c r="N4" s="6">
        <f>((1-SUM($J$4:$L$4)-SUM($C$5:$F$5)-SUM($M$5:$N$5))/6)+N$5</f>
        <v>0.15</v>
      </c>
      <c r="O4" s="35">
        <f>SUM(C4:F4,J4:N4)</f>
        <v>1</v>
      </c>
      <c r="R4" s="6"/>
      <c r="S4" s="8"/>
    </row>
    <row r="5" spans="1:19" s="6" customFormat="1" ht="13" x14ac:dyDescent="0.3">
      <c r="B5" s="22" t="s">
        <v>41</v>
      </c>
      <c r="C5" s="6">
        <v>0.05</v>
      </c>
      <c r="D5" s="6">
        <v>0.05</v>
      </c>
      <c r="E5" s="6">
        <v>0.05</v>
      </c>
      <c r="F5" s="6">
        <v>0.05</v>
      </c>
      <c r="J5" s="6">
        <v>0.1</v>
      </c>
      <c r="K5" s="6">
        <v>0.1</v>
      </c>
      <c r="L5" s="6">
        <v>0.1</v>
      </c>
      <c r="M5" s="6">
        <v>0.1</v>
      </c>
      <c r="N5" s="6">
        <v>0.1</v>
      </c>
      <c r="O5" s="6">
        <f>SUM(C5:F5,J5:N5)</f>
        <v>0.7</v>
      </c>
      <c r="P5" s="6">
        <v>0.3</v>
      </c>
      <c r="Q5" s="37">
        <f>SUM(C5:F5,J5:N5,P5)</f>
        <v>1</v>
      </c>
      <c r="S5" s="9"/>
    </row>
    <row r="6" spans="1:19" s="6" customFormat="1" ht="13" x14ac:dyDescent="0.3">
      <c r="B6" s="39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S6" s="9"/>
    </row>
    <row r="7" spans="1:19" ht="13" x14ac:dyDescent="0.3">
      <c r="A7" s="1">
        <v>1</v>
      </c>
      <c r="B7" s="22" t="s">
        <v>7</v>
      </c>
      <c r="C7" s="17">
        <v>75</v>
      </c>
      <c r="D7" s="17">
        <v>75</v>
      </c>
      <c r="E7" s="17">
        <v>75</v>
      </c>
      <c r="F7" s="17">
        <v>75</v>
      </c>
      <c r="G7" s="17">
        <v>75</v>
      </c>
      <c r="H7" s="33">
        <f t="shared" ref="H7:H34" si="0">(C7*C$2)+(D7*D$2)+(E7*E$2)+(F7*F$2)+(J7*J$2)+(K7*K$2)+(L7*L$2)</f>
        <v>60.5</v>
      </c>
      <c r="I7" s="21">
        <f>(C7*C$3)+(D7*D$3)+(E7*E$3)+(F7*F$3)++(G7*G$3)+(J7*J$3)+(K7*K$3)+(L7*L$3)</f>
        <v>60.5</v>
      </c>
      <c r="J7" s="20">
        <f>Homework!W5</f>
        <v>0</v>
      </c>
      <c r="K7" s="47">
        <f>Participation!Q5</f>
        <v>0</v>
      </c>
      <c r="L7" s="45">
        <f>Attendance!S6</f>
        <v>80</v>
      </c>
      <c r="M7" s="17">
        <v>75</v>
      </c>
      <c r="N7" s="17">
        <v>75</v>
      </c>
      <c r="O7" s="36">
        <f>(C7*C$4)+(D7*D$4)+(E7*E$4)+(F7*F$4)+(M7*M$4)+(N7*N$4)+(J7*J$4)+(K7*K$4)+(L7*K$4)</f>
        <v>60.5</v>
      </c>
      <c r="Q7" s="38">
        <f>(C7*C$5)+(D7*D$5)+(E7*E$5)+(F7*F$5)+(P7*P$5)+(J7*J$5)+(K7*K$5)+(L7*L$5)+(M7*M$5)+(N7*N$5)</f>
        <v>38</v>
      </c>
      <c r="R7" s="6"/>
      <c r="S7" s="8"/>
    </row>
    <row r="8" spans="1:19" ht="13" x14ac:dyDescent="0.3">
      <c r="A8" s="1">
        <v>2</v>
      </c>
      <c r="B8" s="22" t="s">
        <v>27</v>
      </c>
      <c r="C8" s="17">
        <v>75</v>
      </c>
      <c r="D8" s="17">
        <v>75</v>
      </c>
      <c r="E8" s="17">
        <v>75</v>
      </c>
      <c r="F8" s="17">
        <v>75</v>
      </c>
      <c r="G8" s="17">
        <v>75</v>
      </c>
      <c r="H8" s="33">
        <f t="shared" si="0"/>
        <v>60</v>
      </c>
      <c r="I8" s="21">
        <f t="shared" ref="I8:I34" si="1">(C8*C$3)+(D8*D$3)+(E8*E$3)+(F8*F$3)++(G8*G$3)+(J8*J$3)+(K8*K$3)+(L8*L$3)</f>
        <v>60</v>
      </c>
      <c r="J8" s="20">
        <f>Homework!W6</f>
        <v>75</v>
      </c>
      <c r="K8" s="47">
        <f>Participation!Q6</f>
        <v>0</v>
      </c>
      <c r="L8" s="45">
        <f>Attendance!S7</f>
        <v>0</v>
      </c>
      <c r="M8" s="17">
        <v>85</v>
      </c>
      <c r="N8" s="17">
        <v>85</v>
      </c>
      <c r="O8" s="36">
        <f t="shared" ref="O8:O34" si="2">(C8*C$4)+(D8*D$4)+(E8*E$4)+(F8*F$4)+(M8*M$4)+(N8*N$4)+(J8*J$4)+(K8*K$4)+(L8*K$4)</f>
        <v>63</v>
      </c>
      <c r="P8" s="1">
        <v>70</v>
      </c>
      <c r="Q8" s="38">
        <f t="shared" ref="Q8:Q34" si="3">(C8*C$5)+(D8*D$5)+(E8*E$5)+(F8*F$5)+(P8*P$5)+(J8*J$5)+(K8*K$5)+(L8*L$5)+(M8*M$5)+(N8*N$5)</f>
        <v>60.5</v>
      </c>
    </row>
    <row r="9" spans="1:19" ht="13" x14ac:dyDescent="0.3">
      <c r="A9" s="1">
        <v>3</v>
      </c>
      <c r="B9" s="22" t="s">
        <v>8</v>
      </c>
      <c r="C9" s="17">
        <v>65</v>
      </c>
      <c r="D9" s="17">
        <v>65</v>
      </c>
      <c r="E9" s="17">
        <v>65</v>
      </c>
      <c r="F9" s="17">
        <v>65</v>
      </c>
      <c r="G9" s="17"/>
      <c r="H9" s="33">
        <f t="shared" si="0"/>
        <v>52.5</v>
      </c>
      <c r="I9" s="21">
        <f t="shared" si="1"/>
        <v>33</v>
      </c>
      <c r="J9" s="20">
        <f>Homework!W7</f>
        <v>0</v>
      </c>
      <c r="K9" s="47">
        <f>Participation!Q7</f>
        <v>0</v>
      </c>
      <c r="L9" s="45">
        <f>Attendance!S8</f>
        <v>70</v>
      </c>
      <c r="M9" s="17">
        <v>65</v>
      </c>
      <c r="N9" s="17">
        <v>55</v>
      </c>
      <c r="O9" s="36">
        <f t="shared" si="2"/>
        <v>51</v>
      </c>
      <c r="Q9" s="38">
        <f t="shared" si="3"/>
        <v>32</v>
      </c>
    </row>
    <row r="10" spans="1:19" ht="13" x14ac:dyDescent="0.3">
      <c r="A10" s="1">
        <v>4</v>
      </c>
      <c r="B10" s="22" t="s">
        <v>28</v>
      </c>
      <c r="C10" s="17">
        <v>75</v>
      </c>
      <c r="D10" s="17">
        <v>75</v>
      </c>
      <c r="E10" s="17">
        <v>75</v>
      </c>
      <c r="F10" s="17">
        <v>75</v>
      </c>
      <c r="G10" s="17"/>
      <c r="H10" s="33">
        <f t="shared" si="0"/>
        <v>60.5</v>
      </c>
      <c r="I10" s="21">
        <f t="shared" si="1"/>
        <v>38</v>
      </c>
      <c r="J10" s="20">
        <f>Homework!W8</f>
        <v>0</v>
      </c>
      <c r="K10" s="47">
        <f>Participation!Q8</f>
        <v>0</v>
      </c>
      <c r="L10" s="45">
        <f>Attendance!S9</f>
        <v>80</v>
      </c>
      <c r="M10" s="17">
        <v>75</v>
      </c>
      <c r="N10" s="17">
        <v>75</v>
      </c>
      <c r="O10" s="36">
        <f t="shared" si="2"/>
        <v>60.5</v>
      </c>
      <c r="Q10" s="38">
        <f t="shared" si="3"/>
        <v>38</v>
      </c>
    </row>
    <row r="11" spans="1:19" ht="13" x14ac:dyDescent="0.3">
      <c r="A11" s="1">
        <v>5</v>
      </c>
      <c r="B11" s="22" t="s">
        <v>33</v>
      </c>
      <c r="C11" s="17">
        <v>75</v>
      </c>
      <c r="D11" s="17">
        <v>75</v>
      </c>
      <c r="E11" s="17">
        <v>75</v>
      </c>
      <c r="F11" s="17">
        <v>75</v>
      </c>
      <c r="G11" s="17"/>
      <c r="H11" s="33">
        <f t="shared" si="0"/>
        <v>60</v>
      </c>
      <c r="I11" s="21">
        <f t="shared" si="1"/>
        <v>37.5</v>
      </c>
      <c r="J11" s="20">
        <f>Homework!W9</f>
        <v>0</v>
      </c>
      <c r="K11" s="47">
        <f>Participation!Q9</f>
        <v>0</v>
      </c>
      <c r="L11" s="45">
        <f>Attendance!S10</f>
        <v>75</v>
      </c>
      <c r="M11" s="17">
        <v>75</v>
      </c>
      <c r="N11" s="17">
        <v>75</v>
      </c>
      <c r="O11" s="36">
        <f t="shared" si="2"/>
        <v>60</v>
      </c>
      <c r="Q11" s="38">
        <f t="shared" si="3"/>
        <v>37.5</v>
      </c>
    </row>
    <row r="12" spans="1:19" ht="13" x14ac:dyDescent="0.3">
      <c r="A12" s="1">
        <v>6</v>
      </c>
      <c r="B12" s="22" t="s">
        <v>29</v>
      </c>
      <c r="C12" s="17">
        <v>75</v>
      </c>
      <c r="D12" s="17">
        <v>75</v>
      </c>
      <c r="E12" s="17">
        <v>75</v>
      </c>
      <c r="F12" s="17">
        <v>75</v>
      </c>
      <c r="G12" s="17"/>
      <c r="H12" s="33">
        <f t="shared" si="0"/>
        <v>59.5</v>
      </c>
      <c r="I12" s="21">
        <f t="shared" si="1"/>
        <v>37</v>
      </c>
      <c r="J12" s="20">
        <f>Homework!W10</f>
        <v>0</v>
      </c>
      <c r="K12" s="47">
        <f>Participation!Q10</f>
        <v>0</v>
      </c>
      <c r="L12" s="45">
        <f>Attendance!S11</f>
        <v>70</v>
      </c>
      <c r="M12" s="17">
        <v>75</v>
      </c>
      <c r="N12" s="17">
        <v>75</v>
      </c>
      <c r="O12" s="36">
        <f t="shared" si="2"/>
        <v>59.5</v>
      </c>
      <c r="Q12" s="38">
        <f t="shared" si="3"/>
        <v>37</v>
      </c>
    </row>
    <row r="13" spans="1:19" ht="13" x14ac:dyDescent="0.3">
      <c r="A13" s="1">
        <v>7</v>
      </c>
      <c r="B13" s="22" t="s">
        <v>9</v>
      </c>
      <c r="C13" s="17">
        <v>75</v>
      </c>
      <c r="D13" s="17">
        <v>75</v>
      </c>
      <c r="E13" s="17">
        <v>75</v>
      </c>
      <c r="F13" s="17">
        <v>75</v>
      </c>
      <c r="G13" s="17">
        <v>75</v>
      </c>
      <c r="H13" s="33">
        <f t="shared" si="0"/>
        <v>52.5</v>
      </c>
      <c r="I13" s="21">
        <f t="shared" si="1"/>
        <v>52.5</v>
      </c>
      <c r="J13" s="20">
        <f>Homework!W11</f>
        <v>0</v>
      </c>
      <c r="K13" s="47">
        <f>Participation!Q11</f>
        <v>0</v>
      </c>
      <c r="L13" s="45">
        <f>Attendance!S12</f>
        <v>0</v>
      </c>
      <c r="M13" s="17">
        <v>75</v>
      </c>
      <c r="N13" s="17">
        <v>75</v>
      </c>
      <c r="O13" s="36">
        <f t="shared" si="2"/>
        <v>52.5</v>
      </c>
      <c r="P13" s="1">
        <v>70</v>
      </c>
      <c r="Q13" s="38">
        <f t="shared" si="3"/>
        <v>51</v>
      </c>
    </row>
    <row r="14" spans="1:19" ht="13" x14ac:dyDescent="0.3">
      <c r="A14" s="1">
        <v>8</v>
      </c>
      <c r="B14" s="22" t="s">
        <v>30</v>
      </c>
      <c r="C14" s="17">
        <v>75</v>
      </c>
      <c r="D14" s="17">
        <v>85</v>
      </c>
      <c r="E14" s="17">
        <v>85</v>
      </c>
      <c r="F14" s="17">
        <v>85</v>
      </c>
      <c r="G14" s="17"/>
      <c r="H14" s="33">
        <f t="shared" si="0"/>
        <v>74.75</v>
      </c>
      <c r="I14" s="21">
        <f t="shared" si="1"/>
        <v>50</v>
      </c>
      <c r="J14" s="20">
        <v>75</v>
      </c>
      <c r="K14" s="47">
        <v>95</v>
      </c>
      <c r="L14" s="45">
        <f>Attendance!S13</f>
        <v>0</v>
      </c>
      <c r="M14" s="17">
        <v>85</v>
      </c>
      <c r="N14" s="17">
        <v>85</v>
      </c>
      <c r="O14" s="36">
        <f t="shared" si="2"/>
        <v>75.5</v>
      </c>
      <c r="Q14" s="38">
        <f t="shared" si="3"/>
        <v>50.5</v>
      </c>
    </row>
    <row r="15" spans="1:19" ht="13" x14ac:dyDescent="0.3">
      <c r="A15" s="1">
        <v>9</v>
      </c>
      <c r="B15" s="22" t="s">
        <v>31</v>
      </c>
      <c r="C15" s="17">
        <v>75</v>
      </c>
      <c r="D15" s="17">
        <v>75</v>
      </c>
      <c r="E15" s="17">
        <v>75</v>
      </c>
      <c r="F15" s="17">
        <v>75</v>
      </c>
      <c r="G15" s="17"/>
      <c r="H15" s="33">
        <f t="shared" si="0"/>
        <v>52.5</v>
      </c>
      <c r="I15" s="21">
        <f t="shared" si="1"/>
        <v>30</v>
      </c>
      <c r="J15" s="20">
        <f>Homework!W13</f>
        <v>0</v>
      </c>
      <c r="K15" s="47">
        <f>Participation!Q13</f>
        <v>0</v>
      </c>
      <c r="L15" s="45">
        <f>Attendance!S14</f>
        <v>0</v>
      </c>
      <c r="M15" s="17">
        <v>75</v>
      </c>
      <c r="N15" s="17">
        <v>75</v>
      </c>
      <c r="O15" s="36">
        <f t="shared" si="2"/>
        <v>52.5</v>
      </c>
      <c r="Q15" s="38">
        <f t="shared" si="3"/>
        <v>30</v>
      </c>
    </row>
    <row r="16" spans="1:19" ht="13" x14ac:dyDescent="0.3">
      <c r="A16" s="1">
        <v>10</v>
      </c>
      <c r="B16" s="22" t="s">
        <v>32</v>
      </c>
      <c r="C16" s="17">
        <v>85</v>
      </c>
      <c r="D16" s="17">
        <v>85</v>
      </c>
      <c r="E16" s="17">
        <v>75</v>
      </c>
      <c r="F16" s="17">
        <v>75</v>
      </c>
      <c r="G16" s="17"/>
      <c r="H16" s="33">
        <f t="shared" si="0"/>
        <v>56</v>
      </c>
      <c r="I16" s="21">
        <f t="shared" si="1"/>
        <v>32</v>
      </c>
      <c r="J16" s="20">
        <f>Homework!W14</f>
        <v>0</v>
      </c>
      <c r="K16" s="47">
        <f>Participation!Q14</f>
        <v>0</v>
      </c>
      <c r="L16" s="45">
        <f>Attendance!S15</f>
        <v>0</v>
      </c>
      <c r="M16" s="17">
        <v>80</v>
      </c>
      <c r="N16" s="17">
        <v>75</v>
      </c>
      <c r="O16" s="36">
        <f t="shared" si="2"/>
        <v>55.25</v>
      </c>
      <c r="Q16" s="38">
        <f t="shared" si="3"/>
        <v>31.5</v>
      </c>
    </row>
    <row r="17" spans="1:17" ht="13" x14ac:dyDescent="0.3">
      <c r="A17" s="1">
        <v>11</v>
      </c>
      <c r="B17" s="22" t="s">
        <v>50</v>
      </c>
      <c r="C17" s="17"/>
      <c r="D17" s="17"/>
      <c r="E17" s="17"/>
      <c r="F17" s="17"/>
      <c r="G17" s="17"/>
      <c r="H17" s="33">
        <f t="shared" si="0"/>
        <v>10</v>
      </c>
      <c r="I17" s="21">
        <f t="shared" si="1"/>
        <v>10</v>
      </c>
      <c r="J17" s="20">
        <f>Homework!W15</f>
        <v>0</v>
      </c>
      <c r="K17" s="47">
        <f>Participation!Q15</f>
        <v>0</v>
      </c>
      <c r="L17" s="45">
        <f>Attendance!S16</f>
        <v>100</v>
      </c>
      <c r="M17" s="17"/>
      <c r="N17" s="17"/>
      <c r="O17" s="36">
        <f t="shared" si="2"/>
        <v>10</v>
      </c>
      <c r="Q17" s="38">
        <f t="shared" si="3"/>
        <v>10</v>
      </c>
    </row>
    <row r="18" spans="1:17" ht="13" x14ac:dyDescent="0.3">
      <c r="A18" s="1">
        <v>12</v>
      </c>
      <c r="B18" s="22"/>
      <c r="C18" s="17"/>
      <c r="D18" s="17"/>
      <c r="E18" s="17"/>
      <c r="F18" s="17"/>
      <c r="G18" s="17"/>
      <c r="H18" s="33">
        <f t="shared" si="0"/>
        <v>10</v>
      </c>
      <c r="I18" s="21">
        <f t="shared" si="1"/>
        <v>10</v>
      </c>
      <c r="J18" s="20">
        <f>Homework!W16</f>
        <v>0</v>
      </c>
      <c r="K18" s="47">
        <f>Participation!Q16</f>
        <v>0</v>
      </c>
      <c r="L18" s="45">
        <f>Attendance!S17</f>
        <v>100</v>
      </c>
      <c r="M18" s="17"/>
      <c r="N18" s="17"/>
      <c r="O18" s="36">
        <f t="shared" si="2"/>
        <v>10</v>
      </c>
      <c r="Q18" s="38">
        <f t="shared" si="3"/>
        <v>10</v>
      </c>
    </row>
    <row r="19" spans="1:17" ht="13" x14ac:dyDescent="0.3">
      <c r="A19" s="1">
        <v>13</v>
      </c>
      <c r="B19" s="22"/>
      <c r="C19" s="17"/>
      <c r="D19" s="17"/>
      <c r="E19" s="17"/>
      <c r="F19" s="17"/>
      <c r="G19" s="17"/>
      <c r="H19" s="33">
        <f t="shared" si="0"/>
        <v>10</v>
      </c>
      <c r="I19" s="21">
        <f t="shared" si="1"/>
        <v>10</v>
      </c>
      <c r="J19" s="20">
        <f>Homework!W17</f>
        <v>0</v>
      </c>
      <c r="K19" s="47">
        <f>Participation!Q17</f>
        <v>0</v>
      </c>
      <c r="L19" s="45">
        <f>Attendance!S18</f>
        <v>100</v>
      </c>
      <c r="M19" s="17"/>
      <c r="N19" s="17"/>
      <c r="O19" s="36">
        <f t="shared" si="2"/>
        <v>10</v>
      </c>
      <c r="Q19" s="38">
        <f t="shared" si="3"/>
        <v>10</v>
      </c>
    </row>
    <row r="20" spans="1:17" ht="13" x14ac:dyDescent="0.3">
      <c r="A20" s="1">
        <v>14</v>
      </c>
      <c r="B20" s="22"/>
      <c r="C20" s="17"/>
      <c r="D20" s="17"/>
      <c r="E20" s="17"/>
      <c r="F20" s="17"/>
      <c r="G20" s="17"/>
      <c r="H20" s="33">
        <f t="shared" si="0"/>
        <v>10</v>
      </c>
      <c r="I20" s="21">
        <f t="shared" si="1"/>
        <v>10</v>
      </c>
      <c r="J20" s="20">
        <f>Homework!W18</f>
        <v>0</v>
      </c>
      <c r="K20" s="47">
        <f>Participation!Q18</f>
        <v>0</v>
      </c>
      <c r="L20" s="45">
        <f>Attendance!S19</f>
        <v>100</v>
      </c>
      <c r="M20" s="17"/>
      <c r="N20" s="17"/>
      <c r="O20" s="36">
        <f t="shared" si="2"/>
        <v>10</v>
      </c>
      <c r="Q20" s="38">
        <f t="shared" si="3"/>
        <v>10</v>
      </c>
    </row>
    <row r="21" spans="1:17" ht="13" x14ac:dyDescent="0.3">
      <c r="A21" s="1">
        <v>15</v>
      </c>
      <c r="B21" s="22"/>
      <c r="C21" s="17"/>
      <c r="D21" s="17"/>
      <c r="E21" s="17"/>
      <c r="F21" s="17"/>
      <c r="G21" s="17"/>
      <c r="H21" s="33">
        <f t="shared" si="0"/>
        <v>10</v>
      </c>
      <c r="I21" s="21">
        <f t="shared" si="1"/>
        <v>10</v>
      </c>
      <c r="J21" s="20">
        <f>Homework!W19</f>
        <v>0</v>
      </c>
      <c r="K21" s="47">
        <f>Participation!Q19</f>
        <v>0</v>
      </c>
      <c r="L21" s="45">
        <f>Attendance!S20</f>
        <v>100</v>
      </c>
      <c r="M21" s="17"/>
      <c r="N21" s="17"/>
      <c r="O21" s="36">
        <f t="shared" si="2"/>
        <v>10</v>
      </c>
      <c r="Q21" s="38">
        <f t="shared" si="3"/>
        <v>10</v>
      </c>
    </row>
    <row r="22" spans="1:17" ht="13" x14ac:dyDescent="0.3">
      <c r="A22" s="1">
        <v>16</v>
      </c>
      <c r="B22" s="22"/>
      <c r="C22" s="17"/>
      <c r="D22" s="17"/>
      <c r="E22" s="17"/>
      <c r="F22" s="17"/>
      <c r="G22" s="17"/>
      <c r="H22" s="33">
        <f t="shared" si="0"/>
        <v>10</v>
      </c>
      <c r="I22" s="21">
        <f t="shared" si="1"/>
        <v>10</v>
      </c>
      <c r="J22" s="20">
        <f>Homework!W20</f>
        <v>0</v>
      </c>
      <c r="K22" s="47">
        <f>Participation!Q20</f>
        <v>0</v>
      </c>
      <c r="L22" s="45">
        <f>Attendance!S21</f>
        <v>100</v>
      </c>
      <c r="M22" s="17"/>
      <c r="N22" s="17"/>
      <c r="O22" s="36">
        <f t="shared" si="2"/>
        <v>10</v>
      </c>
      <c r="Q22" s="38">
        <f t="shared" si="3"/>
        <v>10</v>
      </c>
    </row>
    <row r="23" spans="1:17" ht="13" x14ac:dyDescent="0.3">
      <c r="A23" s="1">
        <v>17</v>
      </c>
      <c r="B23" s="22"/>
      <c r="C23" s="17"/>
      <c r="D23" s="17"/>
      <c r="E23" s="17"/>
      <c r="F23" s="17"/>
      <c r="G23" s="17"/>
      <c r="H23" s="33">
        <f t="shared" si="0"/>
        <v>10</v>
      </c>
      <c r="I23" s="21">
        <f t="shared" si="1"/>
        <v>10</v>
      </c>
      <c r="J23" s="20">
        <f>Homework!W21</f>
        <v>0</v>
      </c>
      <c r="K23" s="47">
        <f>Participation!Q21</f>
        <v>0</v>
      </c>
      <c r="L23" s="45">
        <f>Attendance!S22</f>
        <v>100</v>
      </c>
      <c r="M23" s="17"/>
      <c r="N23" s="17"/>
      <c r="O23" s="36">
        <f t="shared" si="2"/>
        <v>10</v>
      </c>
      <c r="Q23" s="38">
        <f t="shared" si="3"/>
        <v>10</v>
      </c>
    </row>
    <row r="24" spans="1:17" ht="13" x14ac:dyDescent="0.3">
      <c r="A24" s="1">
        <v>18</v>
      </c>
      <c r="B24" s="22"/>
      <c r="C24" s="17"/>
      <c r="D24" s="19"/>
      <c r="E24" s="17"/>
      <c r="F24" s="17"/>
      <c r="G24" s="17"/>
      <c r="H24" s="33">
        <f t="shared" si="0"/>
        <v>10</v>
      </c>
      <c r="I24" s="21">
        <f t="shared" si="1"/>
        <v>10</v>
      </c>
      <c r="J24" s="20">
        <f>Homework!W22</f>
        <v>0</v>
      </c>
      <c r="K24" s="47">
        <f>Participation!Q22</f>
        <v>0</v>
      </c>
      <c r="L24" s="45">
        <f>Attendance!S23</f>
        <v>100</v>
      </c>
      <c r="M24" s="17"/>
      <c r="N24" s="17"/>
      <c r="O24" s="36">
        <f t="shared" si="2"/>
        <v>10</v>
      </c>
      <c r="Q24" s="38">
        <f t="shared" si="3"/>
        <v>10</v>
      </c>
    </row>
    <row r="25" spans="1:17" ht="13" x14ac:dyDescent="0.3">
      <c r="A25" s="1">
        <v>19</v>
      </c>
      <c r="B25" s="22"/>
      <c r="C25" s="18"/>
      <c r="D25" s="18"/>
      <c r="E25" s="18"/>
      <c r="F25" s="18"/>
      <c r="G25" s="18"/>
      <c r="H25" s="33">
        <f t="shared" si="0"/>
        <v>10</v>
      </c>
      <c r="I25" s="21">
        <f t="shared" si="1"/>
        <v>10</v>
      </c>
      <c r="J25" s="20">
        <f>Homework!W23</f>
        <v>0</v>
      </c>
      <c r="K25" s="47">
        <f>Participation!Q23</f>
        <v>0</v>
      </c>
      <c r="L25" s="45">
        <f>Attendance!S24</f>
        <v>100</v>
      </c>
      <c r="M25" s="18"/>
      <c r="N25" s="18"/>
      <c r="O25" s="36">
        <f t="shared" si="2"/>
        <v>10</v>
      </c>
      <c r="Q25" s="38">
        <f t="shared" si="3"/>
        <v>10</v>
      </c>
    </row>
    <row r="26" spans="1:17" ht="13" x14ac:dyDescent="0.3">
      <c r="A26" s="1">
        <v>20</v>
      </c>
      <c r="B26" s="22"/>
      <c r="C26" s="18"/>
      <c r="D26" s="18"/>
      <c r="E26" s="18"/>
      <c r="F26" s="18"/>
      <c r="G26" s="18"/>
      <c r="H26" s="33">
        <f t="shared" si="0"/>
        <v>10</v>
      </c>
      <c r="I26" s="21">
        <f t="shared" si="1"/>
        <v>10</v>
      </c>
      <c r="J26" s="20">
        <f>Homework!W24</f>
        <v>0</v>
      </c>
      <c r="K26" s="47">
        <f>Participation!Q24</f>
        <v>0</v>
      </c>
      <c r="L26" s="45">
        <f>Attendance!S25</f>
        <v>100</v>
      </c>
      <c r="M26" s="18"/>
      <c r="N26" s="18"/>
      <c r="O26" s="36">
        <f t="shared" si="2"/>
        <v>10</v>
      </c>
      <c r="Q26" s="38">
        <f t="shared" si="3"/>
        <v>10</v>
      </c>
    </row>
    <row r="27" spans="1:17" ht="13" x14ac:dyDescent="0.3">
      <c r="A27" s="1">
        <v>21</v>
      </c>
      <c r="B27" s="22"/>
      <c r="C27" s="18"/>
      <c r="D27" s="18"/>
      <c r="E27" s="18"/>
      <c r="F27" s="18"/>
      <c r="G27" s="18"/>
      <c r="H27" s="33">
        <f t="shared" si="0"/>
        <v>10</v>
      </c>
      <c r="I27" s="21">
        <f t="shared" si="1"/>
        <v>10</v>
      </c>
      <c r="J27" s="20">
        <f>Homework!W25</f>
        <v>0</v>
      </c>
      <c r="K27" s="47">
        <f>Participation!Q25</f>
        <v>0</v>
      </c>
      <c r="L27" s="45">
        <f>Attendance!S26</f>
        <v>100</v>
      </c>
      <c r="M27" s="18"/>
      <c r="N27" s="18"/>
      <c r="O27" s="36">
        <f t="shared" si="2"/>
        <v>10</v>
      </c>
      <c r="Q27" s="38">
        <f t="shared" si="3"/>
        <v>10</v>
      </c>
    </row>
    <row r="28" spans="1:17" ht="13" x14ac:dyDescent="0.3">
      <c r="A28" s="1">
        <v>22</v>
      </c>
      <c r="B28" s="22"/>
      <c r="C28" s="18"/>
      <c r="D28" s="18"/>
      <c r="E28" s="18"/>
      <c r="F28" s="18"/>
      <c r="G28" s="18"/>
      <c r="H28" s="33">
        <f t="shared" si="0"/>
        <v>10</v>
      </c>
      <c r="I28" s="21">
        <f t="shared" si="1"/>
        <v>10</v>
      </c>
      <c r="J28" s="20">
        <f>Homework!W26</f>
        <v>0</v>
      </c>
      <c r="K28" s="47">
        <f>Participation!Q26</f>
        <v>0</v>
      </c>
      <c r="L28" s="45">
        <f>Attendance!S27</f>
        <v>100</v>
      </c>
      <c r="M28" s="18"/>
      <c r="N28" s="18"/>
      <c r="O28" s="36">
        <f t="shared" si="2"/>
        <v>10</v>
      </c>
      <c r="Q28" s="38">
        <f t="shared" si="3"/>
        <v>10</v>
      </c>
    </row>
    <row r="29" spans="1:17" ht="13" x14ac:dyDescent="0.3">
      <c r="A29" s="1">
        <v>23</v>
      </c>
      <c r="B29" s="22"/>
      <c r="C29" s="18"/>
      <c r="D29" s="18"/>
      <c r="E29" s="18"/>
      <c r="F29" s="18"/>
      <c r="G29" s="18"/>
      <c r="H29" s="33">
        <f t="shared" si="0"/>
        <v>10</v>
      </c>
      <c r="I29" s="21">
        <f t="shared" si="1"/>
        <v>10</v>
      </c>
      <c r="J29" s="20">
        <f>Homework!W27</f>
        <v>0</v>
      </c>
      <c r="K29" s="47">
        <f>Participation!Q27</f>
        <v>0</v>
      </c>
      <c r="L29" s="45">
        <f>Attendance!S28</f>
        <v>100</v>
      </c>
      <c r="M29" s="18"/>
      <c r="N29" s="18"/>
      <c r="O29" s="36">
        <f t="shared" si="2"/>
        <v>10</v>
      </c>
      <c r="Q29" s="38">
        <f t="shared" si="3"/>
        <v>10</v>
      </c>
    </row>
    <row r="30" spans="1:17" ht="13" x14ac:dyDescent="0.3">
      <c r="A30" s="1">
        <v>24</v>
      </c>
      <c r="B30" s="22"/>
      <c r="C30" s="18"/>
      <c r="D30" s="18"/>
      <c r="E30" s="18"/>
      <c r="F30" s="18"/>
      <c r="G30" s="18"/>
      <c r="H30" s="33">
        <f t="shared" si="0"/>
        <v>10</v>
      </c>
      <c r="I30" s="21">
        <f t="shared" si="1"/>
        <v>10</v>
      </c>
      <c r="J30" s="20">
        <f>Homework!W28</f>
        <v>0</v>
      </c>
      <c r="K30" s="47">
        <f>Participation!Q28</f>
        <v>0</v>
      </c>
      <c r="L30" s="45">
        <f>Attendance!S29</f>
        <v>100</v>
      </c>
      <c r="M30" s="18"/>
      <c r="N30" s="18"/>
      <c r="O30" s="36">
        <f t="shared" si="2"/>
        <v>10</v>
      </c>
      <c r="Q30" s="38">
        <f t="shared" si="3"/>
        <v>10</v>
      </c>
    </row>
    <row r="31" spans="1:17" ht="13" x14ac:dyDescent="0.3">
      <c r="A31" s="1">
        <v>25</v>
      </c>
      <c r="B31" s="22"/>
      <c r="C31" s="18"/>
      <c r="D31" s="18"/>
      <c r="E31" s="18"/>
      <c r="F31" s="18"/>
      <c r="G31" s="18"/>
      <c r="H31" s="33">
        <f t="shared" si="0"/>
        <v>10</v>
      </c>
      <c r="I31" s="21">
        <f t="shared" si="1"/>
        <v>10</v>
      </c>
      <c r="J31" s="20">
        <f>Homework!W29</f>
        <v>0</v>
      </c>
      <c r="K31" s="47">
        <f>Participation!Q29</f>
        <v>0</v>
      </c>
      <c r="L31" s="45">
        <f>Attendance!S30</f>
        <v>100</v>
      </c>
      <c r="M31" s="18"/>
      <c r="N31" s="18"/>
      <c r="O31" s="36">
        <f t="shared" si="2"/>
        <v>10</v>
      </c>
      <c r="Q31" s="38">
        <f t="shared" si="3"/>
        <v>10</v>
      </c>
    </row>
    <row r="32" spans="1:17" ht="13" x14ac:dyDescent="0.3">
      <c r="A32" s="1">
        <v>26</v>
      </c>
      <c r="B32" s="22"/>
      <c r="C32" s="18"/>
      <c r="D32" s="18"/>
      <c r="E32" s="18"/>
      <c r="F32" s="18"/>
      <c r="G32" s="18"/>
      <c r="H32" s="33">
        <f t="shared" si="0"/>
        <v>10</v>
      </c>
      <c r="I32" s="21">
        <f t="shared" si="1"/>
        <v>10</v>
      </c>
      <c r="J32" s="20">
        <f>Homework!W30</f>
        <v>0</v>
      </c>
      <c r="K32" s="47">
        <f>Participation!Q30</f>
        <v>0</v>
      </c>
      <c r="L32" s="45">
        <f>Attendance!S31</f>
        <v>100</v>
      </c>
      <c r="M32" s="18"/>
      <c r="N32" s="18"/>
      <c r="O32" s="36">
        <f t="shared" si="2"/>
        <v>10</v>
      </c>
      <c r="Q32" s="38">
        <f t="shared" si="3"/>
        <v>10</v>
      </c>
    </row>
    <row r="33" spans="1:17" ht="13" x14ac:dyDescent="0.3">
      <c r="A33" s="1">
        <v>27</v>
      </c>
      <c r="B33" s="22"/>
      <c r="C33" s="18"/>
      <c r="D33" s="18"/>
      <c r="E33" s="18"/>
      <c r="F33" s="18"/>
      <c r="G33" s="18"/>
      <c r="H33" s="33">
        <f t="shared" si="0"/>
        <v>10</v>
      </c>
      <c r="I33" s="21">
        <f t="shared" si="1"/>
        <v>10</v>
      </c>
      <c r="J33" s="20">
        <f>Homework!W31</f>
        <v>0</v>
      </c>
      <c r="K33" s="47">
        <f>Participation!Q31</f>
        <v>0</v>
      </c>
      <c r="L33" s="45">
        <f>Attendance!S32</f>
        <v>100</v>
      </c>
      <c r="M33" s="18"/>
      <c r="N33" s="18"/>
      <c r="O33" s="36">
        <f t="shared" si="2"/>
        <v>10</v>
      </c>
      <c r="Q33" s="38">
        <f t="shared" si="3"/>
        <v>10</v>
      </c>
    </row>
    <row r="34" spans="1:17" ht="13" x14ac:dyDescent="0.3">
      <c r="A34" s="1">
        <v>28</v>
      </c>
      <c r="B34" s="22"/>
      <c r="C34" s="18"/>
      <c r="D34" s="18"/>
      <c r="E34" s="18"/>
      <c r="F34" s="18"/>
      <c r="G34" s="18"/>
      <c r="H34" s="33">
        <f t="shared" si="0"/>
        <v>10</v>
      </c>
      <c r="I34" s="21">
        <f t="shared" si="1"/>
        <v>10</v>
      </c>
      <c r="J34" s="20">
        <f>Homework!W32</f>
        <v>0</v>
      </c>
      <c r="K34" s="47">
        <f>Participation!Q32</f>
        <v>0</v>
      </c>
      <c r="L34" s="45">
        <f>Attendance!S33</f>
        <v>100</v>
      </c>
      <c r="M34" s="18"/>
      <c r="N34" s="18"/>
      <c r="O34" s="36">
        <f t="shared" si="2"/>
        <v>10</v>
      </c>
      <c r="Q34" s="38">
        <f t="shared" si="3"/>
        <v>10</v>
      </c>
    </row>
    <row r="35" spans="1:17" x14ac:dyDescent="0.25">
      <c r="A35" s="1">
        <v>29</v>
      </c>
      <c r="H35" s="7"/>
      <c r="I35" s="7"/>
      <c r="J35" s="7"/>
      <c r="K35" s="7"/>
      <c r="L35" s="1"/>
      <c r="M35" s="7"/>
      <c r="N35" s="7"/>
      <c r="O35" s="7"/>
    </row>
    <row r="36" spans="1:17" x14ac:dyDescent="0.25">
      <c r="O36" s="10"/>
    </row>
    <row r="37" spans="1:17" x14ac:dyDescent="0.25">
      <c r="O37" s="10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X7" sqref="X7"/>
    </sheetView>
  </sheetViews>
  <sheetFormatPr defaultRowHeight="12.5" x14ac:dyDescent="0.25"/>
  <cols>
    <col min="1" max="1" width="5.1796875" style="1" customWidth="1"/>
    <col min="2" max="2" width="21.81640625" customWidth="1"/>
    <col min="3" max="13" width="3.54296875" bestFit="1" customWidth="1"/>
    <col min="14" max="22" width="3.54296875" customWidth="1"/>
    <col min="23" max="23" width="4.7265625" customWidth="1"/>
  </cols>
  <sheetData>
    <row r="1" spans="1:26" ht="41.25" customHeight="1" x14ac:dyDescent="0.25">
      <c r="A1" s="29"/>
      <c r="B1" s="29"/>
      <c r="C1" s="29" t="s">
        <v>44</v>
      </c>
      <c r="D1" s="29" t="s">
        <v>34</v>
      </c>
      <c r="E1" s="29" t="s">
        <v>37</v>
      </c>
      <c r="F1" s="29" t="s">
        <v>37</v>
      </c>
      <c r="G1" s="29" t="s">
        <v>38</v>
      </c>
      <c r="H1" s="29" t="s">
        <v>35</v>
      </c>
      <c r="I1" s="29" t="s">
        <v>36</v>
      </c>
      <c r="J1" s="29" t="s">
        <v>45</v>
      </c>
      <c r="K1" s="29" t="s">
        <v>46</v>
      </c>
      <c r="L1" s="29" t="s">
        <v>39</v>
      </c>
      <c r="M1" s="29" t="s">
        <v>47</v>
      </c>
      <c r="N1" s="29" t="s">
        <v>48</v>
      </c>
      <c r="O1" s="29" t="s">
        <v>55</v>
      </c>
      <c r="P1" s="29"/>
      <c r="Q1" s="29"/>
      <c r="R1" s="29"/>
      <c r="S1" s="29"/>
      <c r="T1" s="29"/>
      <c r="U1" s="29"/>
      <c r="V1" s="29"/>
      <c r="W1" s="29"/>
      <c r="X1" s="29" t="s">
        <v>49</v>
      </c>
    </row>
    <row r="2" spans="1:26" ht="41.5" x14ac:dyDescent="0.3">
      <c r="A2" s="41"/>
      <c r="B2" s="11" t="s">
        <v>25</v>
      </c>
      <c r="C2" s="25">
        <v>37643</v>
      </c>
      <c r="D2" s="25"/>
      <c r="E2" s="25"/>
      <c r="F2" s="25"/>
      <c r="G2" s="25">
        <v>37666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12"/>
    </row>
    <row r="3" spans="1:26" ht="13" x14ac:dyDescent="0.3">
      <c r="A3" s="41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6" ht="13" x14ac:dyDescent="0.3">
      <c r="B4" s="5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spans="1:26" ht="12.75" customHeight="1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spans="1:26" ht="12.75" customHeight="1" x14ac:dyDescent="0.3">
      <c r="A6" s="1">
        <v>1</v>
      </c>
      <c r="B6" s="22" t="str">
        <f>Totals!B7</f>
        <v>Johnnie</v>
      </c>
      <c r="C6" s="14">
        <v>75</v>
      </c>
      <c r="D6" s="14">
        <v>65</v>
      </c>
      <c r="E6" s="14">
        <v>0</v>
      </c>
      <c r="F6" s="14">
        <v>55</v>
      </c>
      <c r="G6" s="14">
        <v>95</v>
      </c>
      <c r="H6" s="14">
        <v>85</v>
      </c>
      <c r="I6" s="14">
        <v>0</v>
      </c>
      <c r="J6" s="14">
        <v>75</v>
      </c>
      <c r="K6" s="14">
        <v>75</v>
      </c>
      <c r="L6" s="14">
        <v>45</v>
      </c>
      <c r="M6" s="14">
        <v>0</v>
      </c>
      <c r="N6" s="14">
        <v>55</v>
      </c>
      <c r="O6" s="14">
        <v>75</v>
      </c>
      <c r="P6" s="14">
        <v>75</v>
      </c>
      <c r="Q6" s="14">
        <v>75</v>
      </c>
      <c r="R6" s="14">
        <v>75</v>
      </c>
      <c r="S6" s="14">
        <v>75</v>
      </c>
      <c r="T6" s="14">
        <v>75</v>
      </c>
      <c r="U6" s="14">
        <v>75</v>
      </c>
      <c r="V6" s="14">
        <v>75</v>
      </c>
      <c r="W6" s="14">
        <v>75</v>
      </c>
      <c r="X6" s="40">
        <f>AVERAGE(C6:W6)</f>
        <v>61.904761904761905</v>
      </c>
      <c r="Z6" s="46"/>
    </row>
    <row r="7" spans="1:26" ht="12.75" customHeight="1" x14ac:dyDescent="0.3">
      <c r="A7" s="1">
        <v>2</v>
      </c>
      <c r="B7" s="22" t="str">
        <f>Totals!B8</f>
        <v>Suzie</v>
      </c>
      <c r="C7" s="14">
        <v>95</v>
      </c>
      <c r="D7" s="14">
        <v>95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0">
        <f t="shared" ref="X7:X34" si="0">AVERAGE(C7:W7)</f>
        <v>95</v>
      </c>
    </row>
    <row r="8" spans="1:26" ht="12.75" customHeight="1" x14ac:dyDescent="0.3">
      <c r="A8" s="1">
        <v>3</v>
      </c>
      <c r="B8" s="22" t="str">
        <f>Totals!B9</f>
        <v>Willie</v>
      </c>
      <c r="C8" s="14">
        <v>65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40">
        <f t="shared" si="0"/>
        <v>65</v>
      </c>
    </row>
    <row r="9" spans="1:26" ht="12.75" customHeight="1" x14ac:dyDescent="0.3">
      <c r="A9" s="1">
        <v>4</v>
      </c>
      <c r="B9" s="22" t="str">
        <f>Totals!B10</f>
        <v>Mary</v>
      </c>
      <c r="C9" s="14">
        <v>95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40">
        <f t="shared" si="0"/>
        <v>95</v>
      </c>
    </row>
    <row r="10" spans="1:26" ht="12.75" customHeight="1" x14ac:dyDescent="0.3">
      <c r="A10" s="1">
        <v>5</v>
      </c>
      <c r="B10" s="22" t="str">
        <f>Totals!B11</f>
        <v>Teddy</v>
      </c>
      <c r="C10" s="14">
        <v>85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40">
        <f t="shared" si="0"/>
        <v>85</v>
      </c>
    </row>
    <row r="11" spans="1:26" ht="12.75" customHeight="1" x14ac:dyDescent="0.3">
      <c r="A11" s="1">
        <v>6</v>
      </c>
      <c r="B11" s="22" t="str">
        <f>Totals!B12</f>
        <v>Judy</v>
      </c>
      <c r="C11" s="14">
        <v>75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40">
        <f t="shared" si="0"/>
        <v>75</v>
      </c>
    </row>
    <row r="12" spans="1:26" ht="12.75" customHeight="1" x14ac:dyDescent="0.3">
      <c r="A12" s="1">
        <v>7</v>
      </c>
      <c r="B12" s="22" t="str">
        <f>Totals!B13</f>
        <v>Fred</v>
      </c>
      <c r="C12" s="14">
        <v>85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40">
        <f t="shared" si="0"/>
        <v>85</v>
      </c>
    </row>
    <row r="13" spans="1:26" ht="12.75" customHeight="1" x14ac:dyDescent="0.3">
      <c r="A13" s="1">
        <v>8</v>
      </c>
      <c r="B13" s="22" t="str">
        <f>Totals!B14</f>
        <v>Tom</v>
      </c>
      <c r="C13" s="14">
        <v>95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40">
        <f t="shared" si="0"/>
        <v>95</v>
      </c>
    </row>
    <row r="14" spans="1:26" ht="12.75" customHeight="1" x14ac:dyDescent="0.3">
      <c r="A14" s="1">
        <v>9</v>
      </c>
      <c r="B14" s="22" t="str">
        <f>Totals!B15</f>
        <v>Dick</v>
      </c>
      <c r="C14" s="14">
        <v>75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40">
        <f t="shared" si="0"/>
        <v>75</v>
      </c>
    </row>
    <row r="15" spans="1:26" ht="12.75" customHeight="1" x14ac:dyDescent="0.3">
      <c r="A15" s="1">
        <v>10</v>
      </c>
      <c r="B15" s="22" t="str">
        <f>Totals!B16</f>
        <v>Harry</v>
      </c>
      <c r="C15" s="14">
        <v>75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40">
        <f t="shared" si="0"/>
        <v>75</v>
      </c>
    </row>
    <row r="16" spans="1:26" ht="12.75" customHeight="1" x14ac:dyDescent="0.3">
      <c r="A16" s="1">
        <v>11</v>
      </c>
      <c r="B16" s="22" t="str">
        <f>Totals!B17</f>
        <v>Sophie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40">
        <f t="shared" si="0"/>
        <v>0</v>
      </c>
    </row>
    <row r="17" spans="1:24" ht="12.75" customHeight="1" x14ac:dyDescent="0.3">
      <c r="A17" s="1">
        <v>12</v>
      </c>
      <c r="B17" s="22">
        <f>Totals!B18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40">
        <f t="shared" si="0"/>
        <v>0</v>
      </c>
    </row>
    <row r="18" spans="1:24" ht="12.75" customHeight="1" x14ac:dyDescent="0.3">
      <c r="A18" s="1">
        <v>13</v>
      </c>
      <c r="B18" s="22">
        <f>Totals!B19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40">
        <f t="shared" si="0"/>
        <v>0</v>
      </c>
    </row>
    <row r="19" spans="1:24" ht="12.75" customHeight="1" x14ac:dyDescent="0.3">
      <c r="A19" s="1">
        <v>14</v>
      </c>
      <c r="B19" s="22">
        <f>Totals!B20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40">
        <f t="shared" si="0"/>
        <v>0</v>
      </c>
    </row>
    <row r="20" spans="1:24" ht="12.75" customHeight="1" x14ac:dyDescent="0.3">
      <c r="A20" s="1">
        <v>15</v>
      </c>
      <c r="B20" s="22">
        <f>Totals!B21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40">
        <f t="shared" si="0"/>
        <v>0</v>
      </c>
    </row>
    <row r="21" spans="1:24" ht="12.75" customHeight="1" x14ac:dyDescent="0.3">
      <c r="A21" s="1">
        <v>16</v>
      </c>
      <c r="B21" s="22">
        <f>Totals!B22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40">
        <f t="shared" si="0"/>
        <v>0</v>
      </c>
    </row>
    <row r="22" spans="1:24" ht="12.75" customHeight="1" x14ac:dyDescent="0.3">
      <c r="A22" s="1">
        <v>17</v>
      </c>
      <c r="B22" s="22">
        <f>Totals!B23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40">
        <f t="shared" si="0"/>
        <v>0</v>
      </c>
    </row>
    <row r="23" spans="1:24" ht="12.75" customHeight="1" x14ac:dyDescent="0.3">
      <c r="A23" s="1">
        <v>18</v>
      </c>
      <c r="B23" s="22">
        <f>Totals!B24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40">
        <f t="shared" si="0"/>
        <v>0</v>
      </c>
    </row>
    <row r="24" spans="1:24" ht="13" x14ac:dyDescent="0.3">
      <c r="A24" s="1">
        <v>19</v>
      </c>
      <c r="B24" s="22">
        <f>Totals!B25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40">
        <f t="shared" si="0"/>
        <v>0</v>
      </c>
    </row>
    <row r="25" spans="1:24" ht="13" x14ac:dyDescent="0.3">
      <c r="A25" s="1">
        <v>20</v>
      </c>
      <c r="B25" s="22">
        <f>Totals!B26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40">
        <f t="shared" si="0"/>
        <v>0</v>
      </c>
    </row>
    <row r="26" spans="1:24" ht="13" x14ac:dyDescent="0.3">
      <c r="A26" s="1">
        <v>21</v>
      </c>
      <c r="B26" s="22">
        <f>Totals!B27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40">
        <f t="shared" si="0"/>
        <v>0</v>
      </c>
    </row>
    <row r="27" spans="1:24" ht="13" x14ac:dyDescent="0.3">
      <c r="A27" s="1">
        <v>22</v>
      </c>
      <c r="B27" s="22">
        <f>Totals!B28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40">
        <f t="shared" si="0"/>
        <v>0</v>
      </c>
    </row>
    <row r="28" spans="1:24" ht="13" x14ac:dyDescent="0.3">
      <c r="A28" s="1">
        <v>23</v>
      </c>
      <c r="B28" s="22">
        <f>Totals!B29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40">
        <f t="shared" si="0"/>
        <v>0</v>
      </c>
    </row>
    <row r="29" spans="1:24" ht="13" x14ac:dyDescent="0.3">
      <c r="A29" s="1">
        <v>24</v>
      </c>
      <c r="B29" s="22">
        <f>Totals!B30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40">
        <f t="shared" si="0"/>
        <v>0</v>
      </c>
    </row>
    <row r="30" spans="1:24" ht="13" x14ac:dyDescent="0.3">
      <c r="A30" s="1">
        <v>25</v>
      </c>
      <c r="B30" s="22">
        <f>Totals!B31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40">
        <f t="shared" si="0"/>
        <v>0</v>
      </c>
    </row>
    <row r="31" spans="1:24" ht="13" x14ac:dyDescent="0.3">
      <c r="A31" s="1">
        <v>26</v>
      </c>
      <c r="B31" s="22">
        <f>Totals!B32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40">
        <f t="shared" si="0"/>
        <v>0</v>
      </c>
    </row>
    <row r="32" spans="1:24" ht="13" x14ac:dyDescent="0.3">
      <c r="A32" s="1">
        <v>27</v>
      </c>
      <c r="B32" s="22">
        <f>Totals!B33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40">
        <f t="shared" si="0"/>
        <v>0</v>
      </c>
    </row>
    <row r="33" spans="1:24" ht="13" x14ac:dyDescent="0.3">
      <c r="A33" s="1">
        <v>28</v>
      </c>
      <c r="B33" s="22">
        <f>Totals!B34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40">
        <f t="shared" si="0"/>
        <v>0</v>
      </c>
    </row>
    <row r="34" spans="1:24" ht="13" x14ac:dyDescent="0.3">
      <c r="A34" s="1">
        <v>29</v>
      </c>
      <c r="B34" s="22">
        <f>Totals!B35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40">
        <f t="shared" si="0"/>
        <v>0</v>
      </c>
    </row>
    <row r="35" spans="1:24" x14ac:dyDescent="0.25">
      <c r="W35" s="1"/>
    </row>
    <row r="36" spans="1:24" x14ac:dyDescent="0.25">
      <c r="W36" s="1"/>
    </row>
    <row r="37" spans="1:24" x14ac:dyDescent="0.25">
      <c r="W37" s="1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6" sqref="H6"/>
    </sheetView>
  </sheetViews>
  <sheetFormatPr defaultRowHeight="12.5" x14ac:dyDescent="0.25"/>
  <cols>
    <col min="1" max="1" width="3" bestFit="1" customWidth="1"/>
    <col min="2" max="2" width="20.54296875" customWidth="1"/>
    <col min="3" max="16" width="3.54296875" bestFit="1" customWidth="1"/>
    <col min="17" max="17" width="4.54296875" bestFit="1" customWidth="1"/>
    <col min="18" max="18" width="7.54296875" style="1" customWidth="1"/>
  </cols>
  <sheetData>
    <row r="1" spans="1:19" ht="39.75" customHeight="1" x14ac:dyDescent="0.25">
      <c r="A1" s="29"/>
      <c r="B1" s="29"/>
      <c r="C1" s="29" t="s">
        <v>13</v>
      </c>
      <c r="D1" s="29" t="s">
        <v>14</v>
      </c>
      <c r="E1" s="29" t="s">
        <v>15</v>
      </c>
      <c r="F1" s="29" t="s">
        <v>16</v>
      </c>
      <c r="G1" s="29" t="s">
        <v>17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56</v>
      </c>
      <c r="P1" s="29" t="s">
        <v>57</v>
      </c>
      <c r="Q1" s="29" t="s">
        <v>58</v>
      </c>
      <c r="R1" s="29" t="s">
        <v>26</v>
      </c>
      <c r="S1" s="23"/>
    </row>
    <row r="2" spans="1:19" s="13" customFormat="1" ht="48.75" customHeight="1" x14ac:dyDescent="0.25">
      <c r="B2" s="24" t="s">
        <v>25</v>
      </c>
      <c r="C2" s="28">
        <v>37638</v>
      </c>
      <c r="D2" s="28">
        <v>37645</v>
      </c>
      <c r="E2" s="28">
        <v>37652</v>
      </c>
      <c r="F2" s="28">
        <v>37659</v>
      </c>
      <c r="G2" s="28">
        <v>37666</v>
      </c>
      <c r="H2" s="28">
        <v>37673</v>
      </c>
      <c r="I2" s="28">
        <v>37680</v>
      </c>
      <c r="J2" s="28">
        <v>37687</v>
      </c>
      <c r="K2" s="28">
        <v>37694</v>
      </c>
      <c r="L2" s="25">
        <v>37708</v>
      </c>
      <c r="M2" s="25">
        <v>37715</v>
      </c>
      <c r="N2" s="25">
        <v>37722</v>
      </c>
      <c r="O2" s="25">
        <v>37729</v>
      </c>
      <c r="P2" s="25">
        <v>37736</v>
      </c>
      <c r="Q2" s="25">
        <v>37750</v>
      </c>
      <c r="R2" s="26"/>
    </row>
    <row r="3" spans="1:19" s="13" customFormat="1" ht="13" x14ac:dyDescent="0.3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9" ht="13" x14ac:dyDescent="0.3">
      <c r="B4" s="5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9" ht="13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9" ht="13" x14ac:dyDescent="0.3">
      <c r="A6">
        <v>1</v>
      </c>
      <c r="B6" s="22" t="str">
        <f>Totals!B7</f>
        <v>Johnnie</v>
      </c>
      <c r="C6" s="14"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42">
        <f>55+(AVERAGE(C6:P6)*4)</f>
        <v>59</v>
      </c>
    </row>
    <row r="7" spans="1:19" ht="13" x14ac:dyDescent="0.3">
      <c r="A7">
        <v>2</v>
      </c>
      <c r="B7" s="22" t="str">
        <f>Totals!B8</f>
        <v>Suzie</v>
      </c>
      <c r="C7" s="14">
        <v>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5"/>
      <c r="R7" s="42">
        <f t="shared" ref="R7:R34" si="0">55+(AVERAGE(C7:P7)*4)</f>
        <v>91</v>
      </c>
    </row>
    <row r="8" spans="1:19" ht="13" x14ac:dyDescent="0.3">
      <c r="A8">
        <v>3</v>
      </c>
      <c r="B8" s="22" t="str">
        <f>Totals!B9</f>
        <v>Willie</v>
      </c>
      <c r="C8" s="14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5"/>
      <c r="Q8" s="15"/>
      <c r="R8" s="42">
        <f t="shared" si="0"/>
        <v>79</v>
      </c>
    </row>
    <row r="9" spans="1:19" ht="13" x14ac:dyDescent="0.3">
      <c r="A9">
        <v>4</v>
      </c>
      <c r="B9" s="22" t="str">
        <f>Totals!B10</f>
        <v>Mary</v>
      </c>
      <c r="C9" s="14">
        <v>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5"/>
      <c r="R9" s="42">
        <f t="shared" si="0"/>
        <v>71</v>
      </c>
    </row>
    <row r="10" spans="1:19" ht="13" x14ac:dyDescent="0.3">
      <c r="A10">
        <v>5</v>
      </c>
      <c r="B10" s="22" t="str">
        <f>Totals!B11</f>
        <v>Teddy</v>
      </c>
      <c r="C10" s="14">
        <v>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5"/>
      <c r="R10" s="42">
        <f t="shared" si="0"/>
        <v>75</v>
      </c>
    </row>
    <row r="11" spans="1:19" ht="13" x14ac:dyDescent="0.3">
      <c r="A11">
        <v>6</v>
      </c>
      <c r="B11" s="22" t="str">
        <f>Totals!B12</f>
        <v>Judy</v>
      </c>
      <c r="C11" s="14">
        <v>6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5"/>
      <c r="P11" s="15"/>
      <c r="Q11" s="15"/>
      <c r="R11" s="42">
        <f t="shared" si="0"/>
        <v>79</v>
      </c>
    </row>
    <row r="12" spans="1:19" ht="13" x14ac:dyDescent="0.3">
      <c r="A12">
        <v>7</v>
      </c>
      <c r="B12" s="22" t="str">
        <f>Totals!B13</f>
        <v>Fred</v>
      </c>
      <c r="C12" s="14">
        <v>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  <c r="Q12" s="15"/>
      <c r="R12" s="42">
        <f t="shared" si="0"/>
        <v>83</v>
      </c>
    </row>
    <row r="13" spans="1:19" ht="13" x14ac:dyDescent="0.3">
      <c r="A13">
        <v>8</v>
      </c>
      <c r="B13" s="22" t="str">
        <f>Totals!B14</f>
        <v>Tom</v>
      </c>
      <c r="C13" s="14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42">
        <f t="shared" si="0"/>
        <v>87</v>
      </c>
    </row>
    <row r="14" spans="1:19" ht="13" x14ac:dyDescent="0.3">
      <c r="A14">
        <v>9</v>
      </c>
      <c r="B14" s="22" t="str">
        <f>Totals!B15</f>
        <v>Dick</v>
      </c>
      <c r="C14" s="14">
        <v>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42">
        <f t="shared" si="0"/>
        <v>91</v>
      </c>
    </row>
    <row r="15" spans="1:19" ht="13" x14ac:dyDescent="0.3">
      <c r="A15">
        <v>10</v>
      </c>
      <c r="B15" s="22" t="str">
        <f>Totals!B16</f>
        <v>Harry</v>
      </c>
      <c r="C15" s="14">
        <v>10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42">
        <f t="shared" si="0"/>
        <v>95</v>
      </c>
    </row>
    <row r="16" spans="1:19" ht="13" x14ac:dyDescent="0.3">
      <c r="A16">
        <v>11</v>
      </c>
      <c r="B16" s="22" t="str">
        <f>Totals!B17</f>
        <v>Sophie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42">
        <f t="shared" si="0"/>
        <v>55</v>
      </c>
    </row>
    <row r="17" spans="1:18" ht="13" x14ac:dyDescent="0.3">
      <c r="A17">
        <v>12</v>
      </c>
      <c r="B17" s="22">
        <f>Totals!B18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5"/>
      <c r="Q17" s="15"/>
      <c r="R17" s="42">
        <f t="shared" si="0"/>
        <v>55</v>
      </c>
    </row>
    <row r="18" spans="1:18" ht="13" x14ac:dyDescent="0.3">
      <c r="A18">
        <v>13</v>
      </c>
      <c r="B18" s="22">
        <f>Totals!B19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5"/>
      <c r="Q18" s="15"/>
      <c r="R18" s="42">
        <f t="shared" si="0"/>
        <v>55</v>
      </c>
    </row>
    <row r="19" spans="1:18" ht="13" x14ac:dyDescent="0.3">
      <c r="A19">
        <v>14</v>
      </c>
      <c r="B19" s="22">
        <f>Totals!B20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  <c r="R19" s="42">
        <f t="shared" si="0"/>
        <v>55</v>
      </c>
    </row>
    <row r="20" spans="1:18" ht="13" x14ac:dyDescent="0.3">
      <c r="A20">
        <v>15</v>
      </c>
      <c r="B20" s="22">
        <f>Totals!B21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5"/>
      <c r="Q20" s="15"/>
      <c r="R20" s="42">
        <f t="shared" si="0"/>
        <v>55</v>
      </c>
    </row>
    <row r="21" spans="1:18" ht="13" x14ac:dyDescent="0.3">
      <c r="A21">
        <v>16</v>
      </c>
      <c r="B21" s="22">
        <f>Totals!B22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5"/>
      <c r="Q21" s="15"/>
      <c r="R21" s="42">
        <f t="shared" si="0"/>
        <v>55</v>
      </c>
    </row>
    <row r="22" spans="1:18" ht="13" x14ac:dyDescent="0.3">
      <c r="A22">
        <v>17</v>
      </c>
      <c r="B22" s="22">
        <f>Totals!B23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5"/>
      <c r="Q22" s="15"/>
      <c r="R22" s="42">
        <f t="shared" si="0"/>
        <v>55</v>
      </c>
    </row>
    <row r="23" spans="1:18" ht="13" x14ac:dyDescent="0.3">
      <c r="A23">
        <v>18</v>
      </c>
      <c r="B23" s="22">
        <f>Totals!B24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5"/>
      <c r="Q23" s="15"/>
      <c r="R23" s="42">
        <f t="shared" si="0"/>
        <v>55</v>
      </c>
    </row>
    <row r="24" spans="1:18" ht="13" x14ac:dyDescent="0.3">
      <c r="A24">
        <v>19</v>
      </c>
      <c r="B24" s="22">
        <f>Totals!B25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5"/>
      <c r="R24" s="42">
        <f t="shared" si="0"/>
        <v>55</v>
      </c>
    </row>
    <row r="25" spans="1:18" ht="13" x14ac:dyDescent="0.3">
      <c r="A25">
        <v>20</v>
      </c>
      <c r="B25" s="22">
        <f>Totals!B26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42">
        <f t="shared" si="0"/>
        <v>55</v>
      </c>
    </row>
    <row r="26" spans="1:18" ht="13" x14ac:dyDescent="0.3">
      <c r="A26">
        <v>21</v>
      </c>
      <c r="B26" s="22">
        <f>Totals!B27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42">
        <f t="shared" si="0"/>
        <v>55</v>
      </c>
    </row>
    <row r="27" spans="1:18" ht="13" x14ac:dyDescent="0.3">
      <c r="A27">
        <v>22</v>
      </c>
      <c r="B27" s="22">
        <f>Totals!B28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42">
        <f t="shared" si="0"/>
        <v>55</v>
      </c>
    </row>
    <row r="28" spans="1:18" ht="13" x14ac:dyDescent="0.3">
      <c r="A28">
        <v>23</v>
      </c>
      <c r="B28" s="22">
        <f>Totals!B29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42">
        <f t="shared" si="0"/>
        <v>55</v>
      </c>
    </row>
    <row r="29" spans="1:18" ht="13" x14ac:dyDescent="0.3">
      <c r="A29">
        <v>24</v>
      </c>
      <c r="B29" s="22">
        <f>Totals!B30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5"/>
      <c r="P29" s="15"/>
      <c r="Q29" s="15"/>
      <c r="R29" s="42">
        <f t="shared" si="0"/>
        <v>55</v>
      </c>
    </row>
    <row r="30" spans="1:18" ht="13" x14ac:dyDescent="0.3">
      <c r="A30">
        <v>25</v>
      </c>
      <c r="B30" s="22">
        <f>Totals!B31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42">
        <f t="shared" si="0"/>
        <v>55</v>
      </c>
    </row>
    <row r="31" spans="1:18" ht="13" x14ac:dyDescent="0.3">
      <c r="A31">
        <v>26</v>
      </c>
      <c r="B31" s="22">
        <f>Totals!B32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42">
        <f t="shared" si="0"/>
        <v>55</v>
      </c>
    </row>
    <row r="32" spans="1:18" ht="13" x14ac:dyDescent="0.3">
      <c r="A32">
        <v>27</v>
      </c>
      <c r="B32" s="22">
        <f>Totals!B33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5"/>
      <c r="P32" s="15"/>
      <c r="Q32" s="15"/>
      <c r="R32" s="42">
        <f t="shared" si="0"/>
        <v>55</v>
      </c>
    </row>
    <row r="33" spans="1:18" ht="13" x14ac:dyDescent="0.3">
      <c r="A33">
        <v>28</v>
      </c>
      <c r="B33" s="22">
        <f>Totals!B34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5"/>
      <c r="P33" s="15"/>
      <c r="Q33" s="15"/>
      <c r="R33" s="42">
        <f t="shared" si="0"/>
        <v>55</v>
      </c>
    </row>
    <row r="34" spans="1:18" ht="13" x14ac:dyDescent="0.3">
      <c r="A34">
        <v>29</v>
      </c>
      <c r="B34" s="22">
        <f>Totals!B35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42">
        <f t="shared" si="0"/>
        <v>55</v>
      </c>
    </row>
    <row r="35" spans="1:18" ht="13" x14ac:dyDescent="0.3">
      <c r="B35" s="3"/>
      <c r="G35" s="15"/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selection activeCell="W13" sqref="W13"/>
    </sheetView>
  </sheetViews>
  <sheetFormatPr defaultRowHeight="12.5" x14ac:dyDescent="0.25"/>
  <cols>
    <col min="1" max="1" width="5" customWidth="1"/>
    <col min="2" max="2" width="18.81640625" customWidth="1"/>
    <col min="3" max="18" width="3.54296875" customWidth="1"/>
  </cols>
  <sheetData>
    <row r="1" spans="1:21" ht="38.5" x14ac:dyDescent="0.25">
      <c r="A1" s="43"/>
      <c r="B1" s="43"/>
      <c r="C1" s="29" t="s">
        <v>13</v>
      </c>
      <c r="D1" s="31" t="s">
        <v>14</v>
      </c>
      <c r="E1" s="29" t="s">
        <v>15</v>
      </c>
      <c r="F1" s="29" t="s">
        <v>16</v>
      </c>
      <c r="G1" s="29" t="s">
        <v>17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56</v>
      </c>
      <c r="P1" s="29" t="s">
        <v>57</v>
      </c>
      <c r="Q1" s="29" t="s">
        <v>58</v>
      </c>
      <c r="R1" s="29" t="s">
        <v>59</v>
      </c>
      <c r="S1" s="44" t="s">
        <v>60</v>
      </c>
      <c r="T1" s="43"/>
      <c r="U1" s="44" t="s">
        <v>61</v>
      </c>
    </row>
    <row r="2" spans="1:21" ht="42" x14ac:dyDescent="0.25">
      <c r="A2" s="13"/>
      <c r="B2" s="24" t="s">
        <v>25</v>
      </c>
      <c r="C2" s="28">
        <v>37638</v>
      </c>
      <c r="D2" s="28">
        <v>37645</v>
      </c>
      <c r="E2" s="28">
        <v>37652</v>
      </c>
      <c r="F2" s="28">
        <v>37659</v>
      </c>
      <c r="G2" s="28">
        <v>37666</v>
      </c>
      <c r="H2" s="28">
        <v>37673</v>
      </c>
      <c r="I2" s="28">
        <v>37680</v>
      </c>
      <c r="J2" s="28">
        <v>37687</v>
      </c>
      <c r="K2" s="28">
        <v>37694</v>
      </c>
      <c r="L2" s="25">
        <v>37708</v>
      </c>
      <c r="M2" s="25">
        <v>37715</v>
      </c>
      <c r="N2" s="25">
        <v>37722</v>
      </c>
      <c r="O2" s="25">
        <v>37729</v>
      </c>
      <c r="P2" s="25">
        <v>37736</v>
      </c>
      <c r="Q2" s="25">
        <v>37750</v>
      </c>
      <c r="R2" s="26"/>
    </row>
    <row r="3" spans="1:21" ht="13" x14ac:dyDescent="0.3">
      <c r="A3" s="13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21" ht="13" x14ac:dyDescent="0.3">
      <c r="A4" s="13"/>
      <c r="B4" s="5" t="s">
        <v>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21" ht="13" x14ac:dyDescent="0.3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1" ht="13" x14ac:dyDescent="0.3">
      <c r="A6">
        <v>1</v>
      </c>
      <c r="B6" s="22" t="str">
        <f>Totals!B7</f>
        <v>Johnnie</v>
      </c>
      <c r="C6" s="14">
        <v>1</v>
      </c>
      <c r="D6" s="14">
        <v>1</v>
      </c>
      <c r="E6" s="14"/>
      <c r="F6" s="14"/>
      <c r="G6" s="14">
        <v>1</v>
      </c>
      <c r="H6" s="14"/>
      <c r="I6" s="14"/>
      <c r="J6" s="14"/>
      <c r="K6" s="14"/>
      <c r="L6" s="14">
        <v>1</v>
      </c>
      <c r="M6" s="14"/>
      <c r="N6" s="14"/>
      <c r="O6" s="14"/>
      <c r="P6" s="14"/>
      <c r="Q6" s="14"/>
      <c r="R6" s="14">
        <f>SUM(C6:Q6)</f>
        <v>4</v>
      </c>
      <c r="S6" s="45">
        <f>IF($R6&gt;6,0,100-(5*$R6))</f>
        <v>80</v>
      </c>
      <c r="U6" s="45">
        <f>IF($R6&gt;4,0,100-(7.5*$R6))</f>
        <v>70</v>
      </c>
    </row>
    <row r="7" spans="1:21" ht="13" x14ac:dyDescent="0.3">
      <c r="A7">
        <v>2</v>
      </c>
      <c r="B7" s="22" t="str">
        <f>Totals!B8</f>
        <v>Suzie</v>
      </c>
      <c r="C7" s="14">
        <v>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5"/>
      <c r="R7" s="14">
        <f t="shared" ref="R7:R34" si="0">SUM(C7:Q7)</f>
        <v>9</v>
      </c>
      <c r="S7" s="45">
        <f t="shared" ref="S7:S34" si="1">IF($R7&gt;6,0,100-(5*$R7))</f>
        <v>0</v>
      </c>
      <c r="U7" s="45">
        <f t="shared" ref="U7:U34" si="2">IF($R7&gt;4,0,100-(7.5*$R7))</f>
        <v>0</v>
      </c>
    </row>
    <row r="8" spans="1:21" ht="13" x14ac:dyDescent="0.3">
      <c r="A8">
        <v>3</v>
      </c>
      <c r="B8" s="22" t="str">
        <f>Totals!B9</f>
        <v>Willie</v>
      </c>
      <c r="C8" s="14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5"/>
      <c r="Q8" s="15"/>
      <c r="R8" s="14">
        <f t="shared" si="0"/>
        <v>6</v>
      </c>
      <c r="S8" s="45">
        <f t="shared" si="1"/>
        <v>70</v>
      </c>
      <c r="U8" s="45">
        <f t="shared" si="2"/>
        <v>0</v>
      </c>
    </row>
    <row r="9" spans="1:21" ht="13" x14ac:dyDescent="0.3">
      <c r="A9">
        <v>4</v>
      </c>
      <c r="B9" s="22" t="str">
        <f>Totals!B10</f>
        <v>Mary</v>
      </c>
      <c r="C9" s="14">
        <v>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5"/>
      <c r="R9" s="14">
        <f t="shared" si="0"/>
        <v>4</v>
      </c>
      <c r="S9" s="45">
        <f t="shared" si="1"/>
        <v>80</v>
      </c>
      <c r="U9" s="45">
        <f t="shared" si="2"/>
        <v>70</v>
      </c>
    </row>
    <row r="10" spans="1:21" ht="13" x14ac:dyDescent="0.3">
      <c r="A10">
        <v>5</v>
      </c>
      <c r="B10" s="22" t="str">
        <f>Totals!B11</f>
        <v>Teddy</v>
      </c>
      <c r="C10" s="14">
        <v>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5"/>
      <c r="R10" s="14">
        <f t="shared" si="0"/>
        <v>5</v>
      </c>
      <c r="S10" s="45">
        <f t="shared" si="1"/>
        <v>75</v>
      </c>
      <c r="U10" s="45">
        <f t="shared" si="2"/>
        <v>0</v>
      </c>
    </row>
    <row r="11" spans="1:21" ht="13" x14ac:dyDescent="0.3">
      <c r="A11">
        <v>6</v>
      </c>
      <c r="B11" s="22" t="str">
        <f>Totals!B12</f>
        <v>Judy</v>
      </c>
      <c r="C11" s="14">
        <v>6</v>
      </c>
      <c r="D11" s="15"/>
      <c r="E11" s="15"/>
      <c r="F11" s="15"/>
      <c r="G11" s="14"/>
      <c r="H11" s="15"/>
      <c r="I11" s="15"/>
      <c r="J11" s="15"/>
      <c r="K11" s="15"/>
      <c r="L11" s="15"/>
      <c r="M11" s="15"/>
      <c r="N11" s="14"/>
      <c r="O11" s="15"/>
      <c r="P11" s="15"/>
      <c r="Q11" s="15"/>
      <c r="R11" s="14">
        <f t="shared" si="0"/>
        <v>6</v>
      </c>
      <c r="S11" s="45">
        <f t="shared" si="1"/>
        <v>70</v>
      </c>
      <c r="U11" s="45">
        <f t="shared" si="2"/>
        <v>0</v>
      </c>
    </row>
    <row r="12" spans="1:21" ht="13" x14ac:dyDescent="0.3">
      <c r="A12">
        <v>7</v>
      </c>
      <c r="B12" s="22" t="str">
        <f>Totals!B13</f>
        <v>Fred</v>
      </c>
      <c r="C12" s="14">
        <v>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  <c r="Q12" s="15"/>
      <c r="R12" s="14">
        <f t="shared" si="0"/>
        <v>7</v>
      </c>
      <c r="S12" s="45">
        <f t="shared" si="1"/>
        <v>0</v>
      </c>
      <c r="U12" s="45">
        <f t="shared" si="2"/>
        <v>0</v>
      </c>
    </row>
    <row r="13" spans="1:21" ht="13" x14ac:dyDescent="0.3">
      <c r="A13">
        <v>8</v>
      </c>
      <c r="B13" s="22" t="str">
        <f>Totals!B14</f>
        <v>Tom</v>
      </c>
      <c r="C13" s="14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14">
        <f t="shared" si="0"/>
        <v>8</v>
      </c>
      <c r="S13" s="45">
        <f t="shared" si="1"/>
        <v>0</v>
      </c>
      <c r="U13" s="45">
        <f t="shared" si="2"/>
        <v>0</v>
      </c>
    </row>
    <row r="14" spans="1:21" ht="13" x14ac:dyDescent="0.3">
      <c r="A14">
        <v>9</v>
      </c>
      <c r="B14" s="22" t="str">
        <f>Totals!B15</f>
        <v>Dick</v>
      </c>
      <c r="C14" s="14">
        <v>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4">
        <f t="shared" si="0"/>
        <v>9</v>
      </c>
      <c r="S14" s="45">
        <f t="shared" si="1"/>
        <v>0</v>
      </c>
      <c r="U14" s="45">
        <f t="shared" si="2"/>
        <v>0</v>
      </c>
    </row>
    <row r="15" spans="1:21" ht="13" x14ac:dyDescent="0.3">
      <c r="A15">
        <v>10</v>
      </c>
      <c r="B15" s="22" t="str">
        <f>Totals!B16</f>
        <v>Harry</v>
      </c>
      <c r="C15" s="14">
        <v>10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14">
        <f t="shared" si="0"/>
        <v>10</v>
      </c>
      <c r="S15" s="45">
        <f t="shared" si="1"/>
        <v>0</v>
      </c>
      <c r="U15" s="45">
        <f t="shared" si="2"/>
        <v>0</v>
      </c>
    </row>
    <row r="16" spans="1:21" ht="13" x14ac:dyDescent="0.3">
      <c r="A16">
        <v>11</v>
      </c>
      <c r="B16" s="22" t="str">
        <f>Totals!B17</f>
        <v>Sophie</v>
      </c>
      <c r="C16" s="14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4">
        <f t="shared" si="0"/>
        <v>0</v>
      </c>
      <c r="S16" s="45">
        <f t="shared" si="1"/>
        <v>100</v>
      </c>
      <c r="U16" s="45">
        <f t="shared" si="2"/>
        <v>100</v>
      </c>
    </row>
    <row r="17" spans="1:21" ht="13" x14ac:dyDescent="0.3">
      <c r="A17">
        <v>12</v>
      </c>
      <c r="B17" s="22">
        <f>Totals!B18</f>
        <v>0</v>
      </c>
      <c r="C17" s="14">
        <v>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5"/>
      <c r="Q17" s="15"/>
      <c r="R17" s="14">
        <f t="shared" si="0"/>
        <v>0</v>
      </c>
      <c r="S17" s="45">
        <f t="shared" si="1"/>
        <v>100</v>
      </c>
      <c r="U17" s="45">
        <f t="shared" si="2"/>
        <v>100</v>
      </c>
    </row>
    <row r="18" spans="1:21" ht="13" x14ac:dyDescent="0.3">
      <c r="A18">
        <v>13</v>
      </c>
      <c r="B18" s="22">
        <f>Totals!B19</f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5"/>
      <c r="Q18" s="15"/>
      <c r="R18" s="14">
        <f t="shared" si="0"/>
        <v>0</v>
      </c>
      <c r="S18" s="45">
        <f t="shared" si="1"/>
        <v>100</v>
      </c>
      <c r="U18" s="45">
        <f t="shared" si="2"/>
        <v>100</v>
      </c>
    </row>
    <row r="19" spans="1:21" ht="13" x14ac:dyDescent="0.3">
      <c r="A19">
        <v>14</v>
      </c>
      <c r="B19" s="22">
        <f>Totals!B20</f>
        <v>0</v>
      </c>
      <c r="C19" s="14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  <c r="R19" s="14">
        <f t="shared" si="0"/>
        <v>0</v>
      </c>
      <c r="S19" s="45">
        <f t="shared" si="1"/>
        <v>100</v>
      </c>
      <c r="U19" s="45">
        <f t="shared" si="2"/>
        <v>100</v>
      </c>
    </row>
    <row r="20" spans="1:21" ht="13" x14ac:dyDescent="0.3">
      <c r="A20">
        <v>15</v>
      </c>
      <c r="B20" s="22">
        <f>Totals!B21</f>
        <v>0</v>
      </c>
      <c r="C20" s="14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5"/>
      <c r="Q20" s="15"/>
      <c r="R20" s="14">
        <f t="shared" si="0"/>
        <v>0</v>
      </c>
      <c r="S20" s="45">
        <f t="shared" si="1"/>
        <v>100</v>
      </c>
      <c r="U20" s="45">
        <f t="shared" si="2"/>
        <v>100</v>
      </c>
    </row>
    <row r="21" spans="1:21" ht="13" x14ac:dyDescent="0.3">
      <c r="A21">
        <v>16</v>
      </c>
      <c r="B21" s="22">
        <f>Totals!B22</f>
        <v>0</v>
      </c>
      <c r="C21" s="14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5"/>
      <c r="Q21" s="15"/>
      <c r="R21" s="14">
        <f t="shared" si="0"/>
        <v>0</v>
      </c>
      <c r="S21" s="45">
        <f t="shared" si="1"/>
        <v>100</v>
      </c>
      <c r="U21" s="45">
        <f t="shared" si="2"/>
        <v>100</v>
      </c>
    </row>
    <row r="22" spans="1:21" ht="13" x14ac:dyDescent="0.3">
      <c r="A22">
        <v>17</v>
      </c>
      <c r="B22" s="22">
        <f>Totals!B23</f>
        <v>0</v>
      </c>
      <c r="C22" s="14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5"/>
      <c r="Q22" s="15"/>
      <c r="R22" s="14">
        <f t="shared" si="0"/>
        <v>0</v>
      </c>
      <c r="S22" s="45">
        <f t="shared" si="1"/>
        <v>100</v>
      </c>
      <c r="U22" s="45">
        <f t="shared" si="2"/>
        <v>100</v>
      </c>
    </row>
    <row r="23" spans="1:21" ht="13" x14ac:dyDescent="0.3">
      <c r="A23">
        <v>18</v>
      </c>
      <c r="B23" s="22">
        <f>Totals!B24</f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5"/>
      <c r="Q23" s="15"/>
      <c r="R23" s="14">
        <f t="shared" si="0"/>
        <v>0</v>
      </c>
      <c r="S23" s="45">
        <f t="shared" si="1"/>
        <v>100</v>
      </c>
      <c r="U23" s="45">
        <f t="shared" si="2"/>
        <v>100</v>
      </c>
    </row>
    <row r="24" spans="1:21" ht="13" x14ac:dyDescent="0.3">
      <c r="A24">
        <v>19</v>
      </c>
      <c r="B24" s="22">
        <f>Totals!B25</f>
        <v>0</v>
      </c>
      <c r="C24" s="14">
        <v>0</v>
      </c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5"/>
      <c r="R24" s="14">
        <f t="shared" si="0"/>
        <v>0</v>
      </c>
      <c r="S24" s="45">
        <f t="shared" si="1"/>
        <v>100</v>
      </c>
      <c r="U24" s="45">
        <f t="shared" si="2"/>
        <v>100</v>
      </c>
    </row>
    <row r="25" spans="1:21" ht="13" x14ac:dyDescent="0.3">
      <c r="A25">
        <v>20</v>
      </c>
      <c r="B25" s="22">
        <f>Totals!B26</f>
        <v>0</v>
      </c>
      <c r="C25" s="14">
        <v>0</v>
      </c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14">
        <f t="shared" si="0"/>
        <v>0</v>
      </c>
      <c r="S25" s="45">
        <f t="shared" si="1"/>
        <v>100</v>
      </c>
      <c r="U25" s="45">
        <f t="shared" si="2"/>
        <v>100</v>
      </c>
    </row>
    <row r="26" spans="1:21" ht="13" x14ac:dyDescent="0.3">
      <c r="A26">
        <v>21</v>
      </c>
      <c r="B26" s="22">
        <f>Totals!B27</f>
        <v>0</v>
      </c>
      <c r="C26" s="14">
        <v>0</v>
      </c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14">
        <f t="shared" si="0"/>
        <v>0</v>
      </c>
      <c r="S26" s="45">
        <f t="shared" si="1"/>
        <v>100</v>
      </c>
      <c r="U26" s="45">
        <f t="shared" si="2"/>
        <v>100</v>
      </c>
    </row>
    <row r="27" spans="1:21" ht="13" x14ac:dyDescent="0.3">
      <c r="A27">
        <v>22</v>
      </c>
      <c r="B27" s="22">
        <f>Totals!B28</f>
        <v>0</v>
      </c>
      <c r="C27" s="14">
        <v>0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14">
        <f t="shared" si="0"/>
        <v>0</v>
      </c>
      <c r="S27" s="45">
        <f t="shared" si="1"/>
        <v>100</v>
      </c>
      <c r="U27" s="45">
        <f t="shared" si="2"/>
        <v>100</v>
      </c>
    </row>
    <row r="28" spans="1:21" ht="13" x14ac:dyDescent="0.3">
      <c r="A28">
        <v>23</v>
      </c>
      <c r="B28" s="22">
        <f>Totals!B29</f>
        <v>0</v>
      </c>
      <c r="C28" s="14">
        <v>0</v>
      </c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14">
        <f t="shared" si="0"/>
        <v>0</v>
      </c>
      <c r="S28" s="45">
        <f t="shared" si="1"/>
        <v>100</v>
      </c>
      <c r="U28" s="45">
        <f t="shared" si="2"/>
        <v>100</v>
      </c>
    </row>
    <row r="29" spans="1:21" ht="13" x14ac:dyDescent="0.3">
      <c r="A29">
        <v>24</v>
      </c>
      <c r="B29" s="22">
        <f>Totals!B30</f>
        <v>0</v>
      </c>
      <c r="C29" s="14">
        <v>0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5"/>
      <c r="P29" s="15"/>
      <c r="Q29" s="15"/>
      <c r="R29" s="14">
        <f t="shared" si="0"/>
        <v>0</v>
      </c>
      <c r="S29" s="45">
        <f t="shared" si="1"/>
        <v>100</v>
      </c>
      <c r="U29" s="45">
        <f t="shared" si="2"/>
        <v>100</v>
      </c>
    </row>
    <row r="30" spans="1:21" ht="13" x14ac:dyDescent="0.3">
      <c r="A30">
        <v>25</v>
      </c>
      <c r="B30" s="22">
        <f>Totals!B31</f>
        <v>0</v>
      </c>
      <c r="C30" s="14">
        <v>0</v>
      </c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14">
        <f t="shared" si="0"/>
        <v>0</v>
      </c>
      <c r="S30" s="45">
        <f t="shared" si="1"/>
        <v>100</v>
      </c>
      <c r="U30" s="45">
        <f t="shared" si="2"/>
        <v>100</v>
      </c>
    </row>
    <row r="31" spans="1:21" ht="13" x14ac:dyDescent="0.3">
      <c r="A31">
        <v>26</v>
      </c>
      <c r="B31" s="22">
        <f>Totals!B32</f>
        <v>0</v>
      </c>
      <c r="C31" s="14">
        <v>0</v>
      </c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14">
        <f t="shared" si="0"/>
        <v>0</v>
      </c>
      <c r="S31" s="45">
        <f t="shared" si="1"/>
        <v>100</v>
      </c>
      <c r="U31" s="45">
        <f t="shared" si="2"/>
        <v>100</v>
      </c>
    </row>
    <row r="32" spans="1:21" ht="13" x14ac:dyDescent="0.3">
      <c r="A32">
        <v>27</v>
      </c>
      <c r="B32" s="22">
        <f>Totals!B33</f>
        <v>0</v>
      </c>
      <c r="C32" s="14">
        <v>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5"/>
      <c r="P32" s="15"/>
      <c r="Q32" s="15"/>
      <c r="R32" s="14">
        <f t="shared" si="0"/>
        <v>0</v>
      </c>
      <c r="S32" s="45">
        <f t="shared" si="1"/>
        <v>100</v>
      </c>
      <c r="U32" s="45">
        <f t="shared" si="2"/>
        <v>100</v>
      </c>
    </row>
    <row r="33" spans="1:21" ht="13" x14ac:dyDescent="0.3">
      <c r="A33">
        <v>28</v>
      </c>
      <c r="B33" s="22">
        <f>Totals!B34</f>
        <v>0</v>
      </c>
      <c r="C33" s="14">
        <v>0</v>
      </c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5"/>
      <c r="P33" s="15"/>
      <c r="Q33" s="15"/>
      <c r="R33" s="14">
        <f t="shared" si="0"/>
        <v>0</v>
      </c>
      <c r="S33" s="45">
        <f t="shared" si="1"/>
        <v>100</v>
      </c>
      <c r="U33" s="45">
        <f t="shared" si="2"/>
        <v>100</v>
      </c>
    </row>
    <row r="34" spans="1:21" ht="13" x14ac:dyDescent="0.3">
      <c r="A34">
        <v>29</v>
      </c>
      <c r="B34" s="22">
        <f>Totals!B35</f>
        <v>0</v>
      </c>
      <c r="C34" s="14">
        <v>0</v>
      </c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4">
        <f t="shared" si="0"/>
        <v>0</v>
      </c>
      <c r="S34" s="45">
        <f t="shared" si="1"/>
        <v>100</v>
      </c>
      <c r="U34" s="45">
        <f t="shared" si="2"/>
        <v>100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</vt:lpstr>
      <vt:lpstr>Homework</vt:lpstr>
      <vt:lpstr>Participation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P. Thomas</dc:creator>
  <cp:lastModifiedBy>Carina Negreanu</cp:lastModifiedBy>
  <dcterms:created xsi:type="dcterms:W3CDTF">2002-08-16T22:12:43Z</dcterms:created>
  <dcterms:modified xsi:type="dcterms:W3CDTF">2020-01-27T12:41:19Z</dcterms:modified>
</cp:coreProperties>
</file>