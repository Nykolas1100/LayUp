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heets/sheet1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drawings/drawing3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6A61B5D7-A7AE-4B36-A412-DCF8F07656BF}" xr6:coauthVersionLast="45" xr6:coauthVersionMax="45" xr10:uidLastSave="{00000000-0000-0000-0000-000000000000}"/>
  <bookViews>
    <workbookView xWindow="4560" yWindow="4560" windowWidth="28800" windowHeight="15460"/>
  </bookViews>
  <sheets>
    <sheet name="Imported" sheetId="7" r:id="rId1"/>
    <sheet name="Qty Produced" sheetId="2" r:id="rId2"/>
    <sheet name="Calcs" sheetId="3" r:id="rId3"/>
    <sheet name="Formulas" sheetId="4" r:id="rId4"/>
    <sheet name="Solver" sheetId="6" r:id="rId5"/>
    <sheet name="Mix Chart" sheetId="5" r:id="rId6"/>
  </sheets>
  <definedNames>
    <definedName name="DDE_LINK2" localSheetId="0">Imported!$B$5</definedName>
    <definedName name="solver_adj" localSheetId="4" hidden="1">Solver!$C$7:$H$7</definedName>
    <definedName name="solver_lhs1" localSheetId="4" hidden="1">Solver!$L$12:$L$22</definedName>
    <definedName name="solver_lhs2" localSheetId="4" hidden="1">Solver!$C$7:$H$7</definedName>
    <definedName name="solver_lin" localSheetId="4" hidden="1">0</definedName>
    <definedName name="solver_num" localSheetId="4" hidden="1">2</definedName>
    <definedName name="solver_opt" localSheetId="4" hidden="1">Solver!$J$9</definedName>
    <definedName name="solver_rel1" localSheetId="4" hidden="1">3</definedName>
    <definedName name="solver_rel2" localSheetId="4" hidden="1">3</definedName>
    <definedName name="solver_rhs1" localSheetId="4" hidden="1">0</definedName>
    <definedName name="solver_rhs2" localSheetId="4" hidden="1">0</definedName>
    <definedName name="solver_tmp" localSheetId="4" hidden="1">0</definedName>
    <definedName name="solver_typ" localSheetId="4" hidden="1">1</definedName>
    <definedName name="solver_val" localSheetId="4" hidden="1">0</definedName>
  </definedNames>
  <calcPr calcId="191029" iterate="1" iterateCount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J11" i="3" l="1"/>
  <c r="K14" i="3"/>
  <c r="L14" i="3"/>
  <c r="K15" i="3"/>
  <c r="L15" i="3"/>
  <c r="K16" i="3"/>
  <c r="L16" i="3"/>
  <c r="K17" i="3"/>
  <c r="L17" i="3" s="1"/>
  <c r="K18" i="3"/>
  <c r="L18" i="3" s="1"/>
  <c r="K19" i="3"/>
  <c r="L19" i="3" s="1"/>
  <c r="K20" i="3"/>
  <c r="L20" i="3" s="1"/>
  <c r="K21" i="3"/>
  <c r="L21" i="3" s="1"/>
  <c r="K22" i="3"/>
  <c r="L22" i="3"/>
  <c r="K23" i="3"/>
  <c r="L23" i="3" s="1"/>
  <c r="K24" i="3"/>
  <c r="L24" i="3"/>
  <c r="J10" i="4"/>
  <c r="K13" i="4"/>
  <c r="L13" i="4" s="1"/>
  <c r="K14" i="4"/>
  <c r="L14" i="4"/>
  <c r="K15" i="4"/>
  <c r="L15" i="4"/>
  <c r="K16" i="4"/>
  <c r="L16" i="4"/>
  <c r="K17" i="4"/>
  <c r="L17" i="4"/>
  <c r="K18" i="4"/>
  <c r="L18" i="4"/>
  <c r="K19" i="4"/>
  <c r="L19" i="4"/>
  <c r="K20" i="4"/>
  <c r="L20" i="4"/>
  <c r="K21" i="4"/>
  <c r="L21" i="4"/>
  <c r="K22" i="4"/>
  <c r="L22" i="4" s="1"/>
  <c r="K23" i="4"/>
  <c r="L23" i="4" s="1"/>
  <c r="J9" i="6"/>
  <c r="K12" i="6"/>
  <c r="L12" i="6" s="1"/>
  <c r="K13" i="6"/>
  <c r="L13" i="6" s="1"/>
  <c r="K14" i="6"/>
  <c r="L14" i="6" s="1"/>
  <c r="K15" i="6"/>
  <c r="L15" i="6" s="1"/>
  <c r="K16" i="6"/>
  <c r="L16" i="6" s="1"/>
  <c r="K17" i="6"/>
  <c r="L17" i="6"/>
  <c r="K18" i="6"/>
  <c r="L18" i="6" s="1"/>
  <c r="K19" i="6"/>
  <c r="L19" i="6"/>
  <c r="K20" i="6"/>
  <c r="L20" i="6"/>
  <c r="K21" i="6"/>
  <c r="L21" i="6"/>
  <c r="K22" i="6"/>
  <c r="L22" i="6" s="1"/>
</calcChain>
</file>

<file path=xl/sharedStrings.xml><?xml version="1.0" encoding="utf-8"?>
<sst xmlns="http://schemas.openxmlformats.org/spreadsheetml/2006/main" count="135" uniqueCount="41">
  <si>
    <t xml:space="preserve">Oak Products, Inc: Optimum Product Mix Finder </t>
  </si>
  <si>
    <t>Product:</t>
  </si>
  <si>
    <t>Captain</t>
  </si>
  <si>
    <t>Mate</t>
  </si>
  <si>
    <t>AmHi</t>
  </si>
  <si>
    <t>AmLo</t>
  </si>
  <si>
    <t>SpanK</t>
  </si>
  <si>
    <t>SpanQ</t>
  </si>
  <si>
    <t>Profit/Unit:</t>
  </si>
  <si>
    <t>Product Resources Requirement</t>
  </si>
  <si>
    <t>Starting Inventory</t>
  </si>
  <si>
    <t>Long dowel</t>
  </si>
  <si>
    <t>Short dowel</t>
  </si>
  <si>
    <t>Leg</t>
  </si>
  <si>
    <t>Heavy seat</t>
  </si>
  <si>
    <t>Light seat</t>
  </si>
  <si>
    <t>Heavy rung</t>
  </si>
  <si>
    <t>Light rung</t>
  </si>
  <si>
    <t>Captain rail</t>
  </si>
  <si>
    <t>Mate rail</t>
  </si>
  <si>
    <t>American rail</t>
  </si>
  <si>
    <t>Spanish rail</t>
  </si>
  <si>
    <t>Qty Produced:</t>
  </si>
  <si>
    <t>Total Profit</t>
  </si>
  <si>
    <t>Total Usage</t>
  </si>
  <si>
    <t>Ending Inventory</t>
  </si>
  <si>
    <t>Parts:</t>
  </si>
  <si>
    <t>On Hand</t>
  </si>
  <si>
    <t>Unit Profit</t>
  </si>
  <si>
    <t>1. Chair names moved to the top.</t>
  </si>
  <si>
    <t>2. Unit Profit moved to the top.</t>
  </si>
  <si>
    <t>3. Quantity Produced fields added.</t>
  </si>
  <si>
    <t>Changes:</t>
  </si>
  <si>
    <t>The initial data, as imported from an MS Word document table.</t>
  </si>
  <si>
    <t>4. "On Hand" renamed to "Starting Inventory".</t>
  </si>
  <si>
    <t>2. "Ending Inventory" added and calculated as a simple subtraction.</t>
  </si>
  <si>
    <t>1. "Total Usage" added and calculated with SUMPRODUCT for all chair parts.</t>
  </si>
  <si>
    <t>3. "Total Profit" added and calculated using SUMPRODUCT.</t>
  </si>
  <si>
    <t>Formulas displayed.</t>
  </si>
  <si>
    <t>Solver employed to find the maximum "Total Profit".</t>
  </si>
  <si>
    <t>See Solver Parameters dialog pictured at right.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</si>
</sst>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$&quot;#,##0_);\(&quot;$&quot;#,##0\)"/>
    <numFmt numFmtId="165" formatCode="&quot;$&quot;#,##0_);[Red]\(&quot;$&quot;#,##0\)"/>
  </numFmts>
  <fonts count="20" x14ac:knownFonts="1">
    <font>
      <sz val="10"/>
      <name val="Arial"/>
    </font>
    <font>
      <b/>
      <sz val="10"/>
      <name val="Arial"/>
    </font>
    <font>
      <sz val="10"/>
      <name val="Arial"/>
      <family val="2"/>
    </font>
    <font>
      <b/>
      <sz val="10"/>
      <name val="Arial Narrow"/>
      <family val="2"/>
    </font>
    <font>
      <b/>
      <sz val="11"/>
      <color indexed="25"/>
      <name val="Arial"/>
      <family val="2"/>
    </font>
    <font>
      <sz val="9"/>
      <name val="Arial"/>
      <family val="2"/>
    </font>
    <font>
      <b/>
      <sz val="9"/>
      <name val="Arial Narrow"/>
      <family val="2"/>
    </font>
    <font>
      <b/>
      <sz val="9"/>
      <name val="Arial"/>
      <family val="2"/>
    </font>
    <font>
      <b/>
      <sz val="9"/>
      <color indexed="25"/>
      <name val="Arial"/>
      <family val="2"/>
    </font>
    <font>
      <b/>
      <i/>
      <sz val="11"/>
      <color indexed="10"/>
      <name val="Arial"/>
      <family val="2"/>
    </font>
    <font>
      <b/>
      <i/>
      <sz val="9"/>
      <color indexed="10"/>
      <name val="Arial"/>
      <family val="2"/>
    </font>
    <font>
      <b/>
      <sz val="10"/>
      <color indexed="8"/>
      <name val="Arial"/>
      <family val="2"/>
    </font>
    <font>
      <sz val="10"/>
      <name val="Times New Roman"/>
      <family val="1"/>
    </font>
    <font>
      <b/>
      <sz val="10"/>
      <color indexed="8"/>
      <name val="Arial Narrow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b/>
      <sz val="10"/>
      <color indexed="18"/>
      <name val="Arial"/>
      <family val="2"/>
    </font>
    <font>
      <sz val="10"/>
      <name val="Arial"/>
      <family val="2"/>
    </font>
    <font>
      <sz val="10"/>
      <name val="Verdana"/>
      <family val="2"/>
    </font>
    <font>
      <b/>
      <sz val="11"/>
      <color indexed="1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Continuous"/>
    </xf>
    <xf numFmtId="0" fontId="3" fillId="0" borderId="1" xfId="0" applyFont="1" applyBorder="1" applyAlignment="1">
      <alignment horizontal="center" wrapText="1"/>
    </xf>
    <xf numFmtId="0" fontId="3" fillId="0" borderId="2" xfId="0" applyFont="1" applyBorder="1"/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1" fillId="0" borderId="0" xfId="0" applyFont="1"/>
    <xf numFmtId="164" fontId="4" fillId="2" borderId="0" xfId="0" applyNumberFormat="1" applyFont="1" applyFill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5" fillId="0" borderId="0" xfId="0" applyFont="1"/>
    <xf numFmtId="0" fontId="6" fillId="0" borderId="0" xfId="0" applyFont="1" applyAlignment="1">
      <alignment horizontal="right"/>
    </xf>
    <xf numFmtId="0" fontId="6" fillId="0" borderId="0" xfId="0" applyFont="1"/>
    <xf numFmtId="0" fontId="6" fillId="0" borderId="0" xfId="0" applyFont="1" applyAlignment="1">
      <alignment horizontal="center"/>
    </xf>
    <xf numFmtId="0" fontId="6" fillId="0" borderId="7" xfId="0" applyFont="1" applyBorder="1" applyAlignment="1">
      <alignment horizontal="right"/>
    </xf>
    <xf numFmtId="0" fontId="6" fillId="0" borderId="2" xfId="0" applyFont="1" applyBorder="1"/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5" fillId="0" borderId="0" xfId="0" applyFont="1" applyAlignment="1">
      <alignment horizontal="right"/>
    </xf>
    <xf numFmtId="0" fontId="5" fillId="0" borderId="0" xfId="0" applyFont="1" applyAlignment="1">
      <alignment horizontal="center"/>
    </xf>
    <xf numFmtId="0" fontId="7" fillId="0" borderId="0" xfId="0" applyFont="1"/>
    <xf numFmtId="164" fontId="5" fillId="0" borderId="0" xfId="0" applyNumberFormat="1" applyFont="1" applyAlignment="1">
      <alignment horizontal="center"/>
    </xf>
    <xf numFmtId="164" fontId="8" fillId="2" borderId="0" xfId="0" applyNumberFormat="1" applyFont="1" applyFill="1"/>
    <xf numFmtId="0" fontId="6" fillId="0" borderId="1" xfId="0" applyFont="1" applyBorder="1" applyAlignment="1">
      <alignment horizontal="centerContinuous"/>
    </xf>
    <xf numFmtId="0" fontId="6" fillId="0" borderId="1" xfId="0" applyFont="1" applyBorder="1" applyAlignment="1">
      <alignment horizontal="center" wrapText="1"/>
    </xf>
    <xf numFmtId="0" fontId="5" fillId="0" borderId="4" xfId="0" applyFont="1" applyBorder="1"/>
    <xf numFmtId="0" fontId="5" fillId="0" borderId="5" xfId="0" applyFont="1" applyBorder="1"/>
    <xf numFmtId="0" fontId="5" fillId="0" borderId="6" xfId="0" applyFont="1" applyBorder="1"/>
    <xf numFmtId="1" fontId="0" fillId="0" borderId="0" xfId="0" applyNumberFormat="1" applyAlignment="1">
      <alignment horizontal="center"/>
    </xf>
    <xf numFmtId="0" fontId="9" fillId="0" borderId="0" xfId="0" applyFont="1"/>
    <xf numFmtId="0" fontId="10" fillId="0" borderId="0" xfId="0" applyFont="1"/>
    <xf numFmtId="0" fontId="11" fillId="0" borderId="8" xfId="0" applyFont="1" applyBorder="1" applyAlignment="1">
      <alignment vertical="top" wrapText="1"/>
    </xf>
    <xf numFmtId="0" fontId="12" fillId="0" borderId="9" xfId="0" applyFont="1" applyBorder="1" applyAlignment="1">
      <alignment horizontal="right" vertical="top" wrapText="1"/>
    </xf>
    <xf numFmtId="0" fontId="13" fillId="0" borderId="9" xfId="0" applyFont="1" applyBorder="1" applyAlignment="1">
      <alignment horizontal="center" vertical="top" wrapText="1"/>
    </xf>
    <xf numFmtId="0" fontId="12" fillId="0" borderId="9" xfId="0" applyFont="1" applyBorder="1" applyAlignment="1">
      <alignment horizontal="center" vertical="top" wrapText="1"/>
    </xf>
    <xf numFmtId="0" fontId="14" fillId="0" borderId="9" xfId="0" applyFont="1" applyBorder="1" applyAlignment="1">
      <alignment horizontal="center" vertical="top" wrapText="1"/>
    </xf>
    <xf numFmtId="0" fontId="11" fillId="0" borderId="10" xfId="0" applyFont="1" applyBorder="1" applyAlignment="1">
      <alignment vertical="top" wrapText="1"/>
    </xf>
    <xf numFmtId="0" fontId="12" fillId="0" borderId="11" xfId="0" applyFont="1" applyBorder="1" applyAlignment="1">
      <alignment horizontal="right" vertical="top" wrapText="1"/>
    </xf>
    <xf numFmtId="0" fontId="14" fillId="0" borderId="11" xfId="0" applyFont="1" applyBorder="1" applyAlignment="1">
      <alignment horizontal="center" vertical="top" wrapText="1"/>
    </xf>
    <xf numFmtId="0" fontId="12" fillId="0" borderId="11" xfId="0" applyFont="1" applyBorder="1" applyAlignment="1">
      <alignment horizontal="center" vertical="top" wrapText="1"/>
    </xf>
    <xf numFmtId="165" fontId="14" fillId="0" borderId="11" xfId="0" applyNumberFormat="1" applyFont="1" applyBorder="1" applyAlignment="1">
      <alignment horizontal="center" vertical="top" wrapText="1"/>
    </xf>
    <xf numFmtId="0" fontId="0" fillId="0" borderId="0" xfId="0" quotePrefix="1"/>
    <xf numFmtId="0" fontId="16" fillId="0" borderId="0" xfId="0" applyFont="1"/>
    <xf numFmtId="0" fontId="18" fillId="0" borderId="0" xfId="0" quotePrefix="1" applyFont="1"/>
    <xf numFmtId="0" fontId="18" fillId="0" borderId="0" xfId="0" applyFont="1"/>
    <xf numFmtId="0" fontId="15" fillId="0" borderId="0" xfId="0" applyFont="1" applyAlignment="1">
      <alignment horizontal="right"/>
    </xf>
    <xf numFmtId="0" fontId="15" fillId="0" borderId="7" xfId="0" applyFont="1" applyBorder="1" applyAlignment="1">
      <alignment horizontal="right"/>
    </xf>
    <xf numFmtId="0" fontId="17" fillId="0" borderId="0" xfId="0" applyFont="1" applyAlignment="1">
      <alignment horizontal="right"/>
    </xf>
    <xf numFmtId="0" fontId="16" fillId="0" borderId="0" xfId="0" applyFont="1" applyAlignment="1">
      <alignment horizontal="right"/>
    </xf>
    <xf numFmtId="0" fontId="19" fillId="0" borderId="0" xfId="0" applyFont="1" applyAlignment="1">
      <alignment horizontal="right"/>
    </xf>
    <xf numFmtId="0" fontId="3" fillId="0" borderId="0" xfId="0" applyFont="1" applyBorder="1" applyAlignment="1">
      <alignment horizontal="centerContinuous"/>
    </xf>
    <xf numFmtId="0" fontId="3" fillId="0" borderId="0" xfId="0" applyFont="1" applyBorder="1" applyAlignment="1">
      <alignment horizontal="center" wrapText="1"/>
    </xf>
    <xf numFmtId="0" fontId="0" fillId="0" borderId="12" xfId="0" applyBorder="1"/>
    <xf numFmtId="0" fontId="0" fillId="0" borderId="12" xfId="0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13" xfId="0" applyBorder="1"/>
    <xf numFmtId="0" fontId="0" fillId="0" borderId="13" xfId="0" applyBorder="1" applyAlignment="1">
      <alignment horizontal="center"/>
    </xf>
    <xf numFmtId="0" fontId="15" fillId="0" borderId="14" xfId="0" applyFont="1" applyBorder="1" applyAlignment="1">
      <alignment horizontal="right"/>
    </xf>
    <xf numFmtId="0" fontId="15" fillId="0" borderId="15" xfId="0" applyFont="1" applyBorder="1" applyAlignment="1">
      <alignment horizontal="right"/>
    </xf>
    <xf numFmtId="0" fontId="15" fillId="0" borderId="10" xfId="0" applyFont="1" applyBorder="1" applyAlignment="1">
      <alignment horizontal="right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0" xfId="0" applyBorder="1" applyAlignment="1">
      <alignment horizontal="center"/>
    </xf>
  </cellXfs>
  <cellStyles count="1">
    <cellStyle name="Normal" xfId="0" builtinId="0"/>
  </cellStyles>
  <dxfs count="1">
    <dxf>
      <font>
        <b/>
        <i val="0"/>
        <condense val="0"/>
        <extend val="0"/>
        <color indexed="1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7407407407407408"/>
          <c:y val="0.21882352941176469"/>
          <c:w val="0.44370370370370371"/>
          <c:h val="0.70470588235294118"/>
        </c:manualLayout>
      </c:layout>
      <c:pieChart>
        <c:varyColors val="1"/>
        <c:ser>
          <c:idx val="0"/>
          <c:order val="0"/>
          <c:spPr>
            <a:solidFill>
              <a:srgbClr val="8080FF"/>
            </a:solidFill>
            <a:ln w="12700">
              <a:solidFill>
                <a:srgbClr val="000000"/>
              </a:solidFill>
              <a:prstDash val="solid"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111F-49CA-A69C-E4E617C5F620}"/>
              </c:ext>
            </c:extLst>
          </c:dPt>
          <c:dPt>
            <c:idx val="1"/>
            <c:bubble3D val="0"/>
            <c:spPr>
              <a:solidFill>
                <a:srgbClr val="80206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111F-49CA-A69C-E4E617C5F620}"/>
              </c:ext>
            </c:extLst>
          </c:dPt>
          <c:dPt>
            <c:idx val="2"/>
            <c:bubble3D val="0"/>
            <c:spPr>
              <a:solidFill>
                <a:srgbClr val="FFFFC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111F-49CA-A69C-E4E617C5F620}"/>
              </c:ext>
            </c:extLst>
          </c:dPt>
          <c:dPt>
            <c:idx val="3"/>
            <c:bubble3D val="0"/>
            <c:spPr>
              <a:solidFill>
                <a:srgbClr val="A0E0E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111F-49CA-A69C-E4E617C5F620}"/>
              </c:ext>
            </c:extLst>
          </c:dPt>
          <c:dLbls>
            <c:dLbl>
              <c:idx val="0"/>
              <c:layout>
                <c:manualLayout>
                  <c:xMode val="edge"/>
                  <c:yMode val="edge"/>
                  <c:x val="0.72444444444444445"/>
                  <c:y val="0.39764705882352941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600" b="1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11F-49CA-A69C-E4E617C5F620}"/>
                </c:ext>
              </c:extLst>
            </c:dLbl>
            <c:dLbl>
              <c:idx val="1"/>
              <c:layout>
                <c:manualLayout>
                  <c:xMode val="edge"/>
                  <c:yMode val="edge"/>
                  <c:x val="0.27925925925925926"/>
                  <c:y val="0.85411764705882354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600" b="1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11F-49CA-A69C-E4E617C5F620}"/>
                </c:ext>
              </c:extLst>
            </c:dLbl>
            <c:dLbl>
              <c:idx val="2"/>
              <c:layout>
                <c:manualLayout>
                  <c:xMode val="edge"/>
                  <c:yMode val="edge"/>
                  <c:x val="0.18962962962962962"/>
                  <c:y val="0.55294117647058827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600" b="1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11F-49CA-A69C-E4E617C5F620}"/>
                </c:ext>
              </c:extLst>
            </c:dLbl>
            <c:dLbl>
              <c:idx val="3"/>
              <c:layout>
                <c:manualLayout>
                  <c:xMode val="edge"/>
                  <c:yMode val="edge"/>
                  <c:x val="0.22444444444444445"/>
                  <c:y val="0.25529411764705884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600" b="1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11F-49CA-A69C-E4E617C5F620}"/>
                </c:ext>
              </c:extLst>
            </c:dLbl>
            <c:numFmt formatCode="0%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6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Solver!$C$6:$F$6</c:f>
              <c:strCache>
                <c:ptCount val="4"/>
                <c:pt idx="0">
                  <c:v>Captain</c:v>
                </c:pt>
                <c:pt idx="1">
                  <c:v>Mate</c:v>
                </c:pt>
                <c:pt idx="2">
                  <c:v>AmHi</c:v>
                </c:pt>
                <c:pt idx="3">
                  <c:v>AmLo</c:v>
                </c:pt>
              </c:strCache>
            </c:strRef>
          </c:cat>
          <c:val>
            <c:numRef>
              <c:f>Solver!$C$7:$F$7</c:f>
              <c:numCache>
                <c:formatCode>General</c:formatCode>
                <c:ptCount val="4"/>
                <c:pt idx="0">
                  <c:v>100</c:v>
                </c:pt>
                <c:pt idx="1">
                  <c:v>72</c:v>
                </c:pt>
                <c:pt idx="2">
                  <c:v>40</c:v>
                </c:pt>
                <c:pt idx="3">
                  <c:v>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11F-49CA-A69C-E4E617C5F6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solidFill>
          <a:srgbClr val="FFFFFF"/>
        </a:solidFill>
        <a:ln w="25400">
          <a:noFill/>
        </a:ln>
      </c:spPr>
    </c:plotArea>
    <c:plotVisOnly val="1"/>
    <c:dispBlanksAs val="zero"/>
    <c:showDLblsOverMax val="0"/>
  </c:chart>
  <c:spPr>
    <a:noFill/>
    <a:ln w="6350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65" workbookViewId="0"/>
  </sheetViews>
  <pageMargins left="0.75" right="0.75" top="1.32" bottom="0.83" header="0.85" footer="0.5"/>
  <pageSetup orientation="landscape" horizontalDpi="4294967292" verticalDpi="300" r:id="rId1"/>
  <headerFooter alignWithMargins="0">
    <oddHeader>&amp;LSolver's suggested mix.</oddHeader>
  </headerFooter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50800</xdr:colOff>
      <xdr:row>1</xdr:row>
      <xdr:rowOff>25400</xdr:rowOff>
    </xdr:from>
    <xdr:to>
      <xdr:col>19</xdr:col>
      <xdr:colOff>114300</xdr:colOff>
      <xdr:row>14</xdr:row>
      <xdr:rowOff>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CBBA0431-CD60-4A13-B64C-5CBC1BA819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31050" y="203200"/>
          <a:ext cx="4330700" cy="2349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146050"/>
    <xdr:ext cx="8572500" cy="53975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B983439-05B1-45A0-B070-82DDD4271F35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0.2465</cdr:x>
      <cdr:y>0.0215</cdr:y>
    </cdr:from>
    <cdr:to>
      <cdr:x>0.745</cdr:x>
      <cdr:y>0.15925</cdr:y>
    </cdr:to>
    <cdr:sp macro="" textlink="">
      <cdr:nvSpPr>
        <cdr:cNvPr id="1025" name="Text 1">
          <a:extLst xmlns:a="http://schemas.openxmlformats.org/drawingml/2006/main">
            <a:ext uri="{FF2B5EF4-FFF2-40B4-BE49-F238E27FC236}">
              <a16:creationId xmlns:a16="http://schemas.microsoft.com/office/drawing/2014/main" id="{592D05B4-533B-48A3-85EC-5F24EDE6E07F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113121" y="116046"/>
          <a:ext cx="4273392" cy="743506"/>
        </a:xfrm>
        <a:prstGeom xmlns:a="http://schemas.openxmlformats.org/drawingml/2006/main" prst="rect">
          <a:avLst/>
        </a:prstGeom>
        <a:solidFill xmlns:a="http://schemas.openxmlformats.org/drawingml/2006/main">
          <a:srgbClr xmlns:mc="http://schemas.openxmlformats.org/markup-compatibility/2006" xmlns:a14="http://schemas.microsoft.com/office/drawing/2010/main" val="FFFFFF" mc:Ignorable="a14" a14:legacySpreadsheetColorIndex="65"/>
        </a:solidFill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 xmlns:a="http://schemas.openxmlformats.org/drawingml/2006/main">
          <a:outerShdw dist="35921" dir="2700000" algn="ctr" rotWithShape="0">
            <a:srgbClr val="000000"/>
          </a:outerShdw>
        </a:effectLst>
        <a:extLst xmlns:a="http://schemas.openxmlformats.org/drawingml/2006/main">
          <a:ext uri="{53640926-AAD7-44D8-BBD7-CCE9431645EC}">
            <a14:shadowObscured xmlns:a14="http://schemas.microsoft.com/office/drawing/2010/main" val="1"/>
          </a:ext>
        </a:extLst>
      </cdr:spPr>
      <cdr:txBody>
        <a:bodyPr xmlns:a="http://schemas.openxmlformats.org/drawingml/2006/main" vertOverflow="clip" wrap="square" lIns="54864" tIns="50292" rIns="54864" bIns="50292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GB" sz="1800" b="1" i="0" u="none" strike="noStrike" baseline="0">
              <a:solidFill>
                <a:srgbClr val="000000"/>
              </a:solidFill>
              <a:latin typeface="Arial"/>
              <a:cs typeface="Arial"/>
            </a:rPr>
            <a:t>Solver's Recommendation:</a:t>
          </a:r>
        </a:p>
        <a:p xmlns:a="http://schemas.openxmlformats.org/drawingml/2006/main">
          <a:pPr algn="ctr" rtl="0">
            <a:defRPr sz="1000"/>
          </a:pPr>
          <a:r>
            <a:rPr lang="en-GB" sz="1800" b="1" i="0" u="none" strike="noStrike" baseline="0">
              <a:solidFill>
                <a:srgbClr val="000000"/>
              </a:solidFill>
              <a:latin typeface="Arial"/>
              <a:cs typeface="Arial"/>
            </a:rPr>
            <a:t>Contributions to the Mix</a:t>
          </a: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7"/>
  <sheetViews>
    <sheetView tabSelected="1" workbookViewId="0">
      <selection activeCell="E28" sqref="E28"/>
    </sheetView>
  </sheetViews>
  <sheetFormatPr defaultRowHeight="12.5" x14ac:dyDescent="0.25"/>
  <cols>
    <col min="2" max="2" width="19.54296875" customWidth="1"/>
  </cols>
  <sheetData>
    <row r="1" spans="1:11" ht="13.5" x14ac:dyDescent="0.3">
      <c r="A1" s="49" t="s">
        <v>33</v>
      </c>
    </row>
    <row r="5" spans="1:11" ht="13" customHeight="1" x14ac:dyDescent="0.25">
      <c r="B5" s="36" t="s">
        <v>26</v>
      </c>
      <c r="C5" s="37"/>
      <c r="D5" s="38" t="s">
        <v>2</v>
      </c>
      <c r="E5" s="38" t="s">
        <v>3</v>
      </c>
      <c r="F5" s="38" t="s">
        <v>4</v>
      </c>
      <c r="G5" s="38" t="s">
        <v>5</v>
      </c>
      <c r="H5" s="38" t="s">
        <v>6</v>
      </c>
      <c r="I5" s="38" t="s">
        <v>7</v>
      </c>
      <c r="J5" s="39"/>
      <c r="K5" s="40" t="s">
        <v>27</v>
      </c>
    </row>
    <row r="6" spans="1:11" ht="13" customHeight="1" x14ac:dyDescent="0.25">
      <c r="B6" s="41" t="s">
        <v>11</v>
      </c>
      <c r="C6" s="42"/>
      <c r="D6" s="43">
        <v>8</v>
      </c>
      <c r="E6" s="43">
        <v>0</v>
      </c>
      <c r="F6" s="43">
        <v>12</v>
      </c>
      <c r="G6" s="43">
        <v>0</v>
      </c>
      <c r="H6" s="43">
        <v>8</v>
      </c>
      <c r="I6" s="43">
        <v>4</v>
      </c>
      <c r="J6" s="44"/>
      <c r="K6" s="43">
        <v>1280</v>
      </c>
    </row>
    <row r="7" spans="1:11" ht="13" customHeight="1" x14ac:dyDescent="0.25">
      <c r="B7" s="41" t="s">
        <v>12</v>
      </c>
      <c r="C7" s="42"/>
      <c r="D7" s="43">
        <v>4</v>
      </c>
      <c r="E7" s="43">
        <v>12</v>
      </c>
      <c r="F7" s="43">
        <v>0</v>
      </c>
      <c r="G7" s="43">
        <v>12</v>
      </c>
      <c r="H7" s="43">
        <v>4</v>
      </c>
      <c r="I7" s="43">
        <v>8</v>
      </c>
      <c r="J7" s="44"/>
      <c r="K7" s="43">
        <v>1900</v>
      </c>
    </row>
    <row r="8" spans="1:11" ht="13" customHeight="1" x14ac:dyDescent="0.25">
      <c r="B8" s="41" t="s">
        <v>13</v>
      </c>
      <c r="C8" s="42"/>
      <c r="D8" s="43">
        <v>4</v>
      </c>
      <c r="E8" s="43">
        <v>4</v>
      </c>
      <c r="F8" s="43">
        <v>4</v>
      </c>
      <c r="G8" s="43">
        <v>4</v>
      </c>
      <c r="H8" s="43">
        <v>4</v>
      </c>
      <c r="I8" s="43">
        <v>4</v>
      </c>
      <c r="J8" s="44"/>
      <c r="K8" s="43">
        <v>1090</v>
      </c>
    </row>
    <row r="9" spans="1:11" ht="13" customHeight="1" x14ac:dyDescent="0.25">
      <c r="B9" s="41" t="s">
        <v>14</v>
      </c>
      <c r="C9" s="42"/>
      <c r="D9" s="43">
        <v>1</v>
      </c>
      <c r="E9" s="43">
        <v>0</v>
      </c>
      <c r="F9" s="43">
        <v>0</v>
      </c>
      <c r="G9" s="43">
        <v>0</v>
      </c>
      <c r="H9" s="43">
        <v>1</v>
      </c>
      <c r="I9" s="43">
        <v>1</v>
      </c>
      <c r="J9" s="44"/>
      <c r="K9" s="43">
        <v>190</v>
      </c>
    </row>
    <row r="10" spans="1:11" ht="13" customHeight="1" x14ac:dyDescent="0.25">
      <c r="B10" s="41" t="s">
        <v>15</v>
      </c>
      <c r="C10" s="42"/>
      <c r="D10" s="43">
        <v>0</v>
      </c>
      <c r="E10" s="43">
        <v>1</v>
      </c>
      <c r="F10" s="43">
        <v>1</v>
      </c>
      <c r="G10" s="43">
        <v>1</v>
      </c>
      <c r="H10" s="43">
        <v>0</v>
      </c>
      <c r="I10" s="43">
        <v>0</v>
      </c>
      <c r="J10" s="44"/>
      <c r="K10" s="43">
        <v>170</v>
      </c>
    </row>
    <row r="11" spans="1:11" ht="13" customHeight="1" x14ac:dyDescent="0.25">
      <c r="B11" s="41" t="s">
        <v>16</v>
      </c>
      <c r="C11" s="42"/>
      <c r="D11" s="43">
        <v>6</v>
      </c>
      <c r="E11" s="43">
        <v>0</v>
      </c>
      <c r="F11" s="43">
        <v>4</v>
      </c>
      <c r="G11" s="43">
        <v>0</v>
      </c>
      <c r="H11" s="43">
        <v>5</v>
      </c>
      <c r="I11" s="43">
        <v>0</v>
      </c>
      <c r="J11" s="44"/>
      <c r="K11" s="43">
        <v>1000</v>
      </c>
    </row>
    <row r="12" spans="1:11" ht="13" customHeight="1" x14ac:dyDescent="0.25">
      <c r="B12" s="41" t="s">
        <v>17</v>
      </c>
      <c r="C12" s="42"/>
      <c r="D12" s="43">
        <v>0</v>
      </c>
      <c r="E12" s="43">
        <v>4</v>
      </c>
      <c r="F12" s="43">
        <v>0</v>
      </c>
      <c r="G12" s="43">
        <v>5</v>
      </c>
      <c r="H12" s="43">
        <v>0</v>
      </c>
      <c r="I12" s="43">
        <v>6</v>
      </c>
      <c r="J12" s="44"/>
      <c r="K12" s="43">
        <v>1000</v>
      </c>
    </row>
    <row r="13" spans="1:11" ht="13" customHeight="1" x14ac:dyDescent="0.25">
      <c r="B13" s="41" t="s">
        <v>18</v>
      </c>
      <c r="C13" s="42"/>
      <c r="D13" s="43">
        <v>1</v>
      </c>
      <c r="E13" s="43">
        <v>0</v>
      </c>
      <c r="F13" s="43">
        <v>0</v>
      </c>
      <c r="G13" s="43">
        <v>0</v>
      </c>
      <c r="H13" s="43">
        <v>0</v>
      </c>
      <c r="I13" s="43">
        <v>0</v>
      </c>
      <c r="J13" s="44"/>
      <c r="K13" s="43">
        <v>110</v>
      </c>
    </row>
    <row r="14" spans="1:11" ht="13" customHeight="1" x14ac:dyDescent="0.25">
      <c r="B14" s="41" t="s">
        <v>19</v>
      </c>
      <c r="C14" s="42"/>
      <c r="D14" s="43">
        <v>0</v>
      </c>
      <c r="E14" s="43">
        <v>1</v>
      </c>
      <c r="F14" s="43">
        <v>0</v>
      </c>
      <c r="G14" s="43">
        <v>0</v>
      </c>
      <c r="H14" s="43">
        <v>0</v>
      </c>
      <c r="I14" s="43">
        <v>0</v>
      </c>
      <c r="J14" s="44"/>
      <c r="K14" s="43">
        <v>72</v>
      </c>
    </row>
    <row r="15" spans="1:11" ht="13" customHeight="1" x14ac:dyDescent="0.25">
      <c r="B15" s="41" t="s">
        <v>20</v>
      </c>
      <c r="C15" s="42"/>
      <c r="D15" s="43">
        <v>0</v>
      </c>
      <c r="E15" s="43">
        <v>0</v>
      </c>
      <c r="F15" s="43">
        <v>1</v>
      </c>
      <c r="G15" s="43">
        <v>1</v>
      </c>
      <c r="H15" s="43">
        <v>0</v>
      </c>
      <c r="I15" s="43">
        <v>0</v>
      </c>
      <c r="J15" s="44"/>
      <c r="K15" s="43">
        <v>93</v>
      </c>
    </row>
    <row r="16" spans="1:11" ht="13" customHeight="1" x14ac:dyDescent="0.25">
      <c r="B16" s="41" t="s">
        <v>21</v>
      </c>
      <c r="C16" s="42"/>
      <c r="D16" s="43">
        <v>0</v>
      </c>
      <c r="E16" s="43">
        <v>0</v>
      </c>
      <c r="F16" s="43">
        <v>0</v>
      </c>
      <c r="G16" s="43">
        <v>0</v>
      </c>
      <c r="H16" s="43">
        <v>1</v>
      </c>
      <c r="I16" s="43">
        <v>1</v>
      </c>
      <c r="J16" s="44"/>
      <c r="K16" s="43">
        <v>85</v>
      </c>
    </row>
    <row r="17" spans="2:11" ht="13" customHeight="1" x14ac:dyDescent="0.25">
      <c r="B17" s="41" t="s">
        <v>28</v>
      </c>
      <c r="C17" s="42"/>
      <c r="D17" s="45">
        <v>36</v>
      </c>
      <c r="E17" s="45">
        <v>40</v>
      </c>
      <c r="F17" s="45">
        <v>45</v>
      </c>
      <c r="G17" s="45">
        <v>38</v>
      </c>
      <c r="H17" s="45">
        <v>35</v>
      </c>
      <c r="I17" s="45">
        <v>25</v>
      </c>
      <c r="J17" s="44"/>
      <c r="K17" s="44"/>
    </row>
  </sheetData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showGridLines="0" workbookViewId="0">
      <selection activeCell="M5" sqref="M5"/>
    </sheetView>
  </sheetViews>
  <sheetFormatPr defaultRowHeight="12.5" x14ac:dyDescent="0.25"/>
  <cols>
    <col min="1" max="1" width="14.26953125" customWidth="1"/>
    <col min="2" max="2" width="3.81640625" customWidth="1"/>
    <col min="9" max="9" width="2.7265625" customWidth="1"/>
  </cols>
  <sheetData>
    <row r="1" spans="1:10" ht="14" x14ac:dyDescent="0.3">
      <c r="A1" s="34" t="s">
        <v>0</v>
      </c>
    </row>
    <row r="2" spans="1:10" ht="14" x14ac:dyDescent="0.3">
      <c r="A2" s="34"/>
    </row>
    <row r="3" spans="1:10" ht="13.5" x14ac:dyDescent="0.3">
      <c r="A3" s="53" t="s">
        <v>32</v>
      </c>
      <c r="B3" s="48" t="s">
        <v>29</v>
      </c>
    </row>
    <row r="4" spans="1:10" ht="13.5" x14ac:dyDescent="0.3">
      <c r="B4" s="48" t="s">
        <v>30</v>
      </c>
    </row>
    <row r="5" spans="1:10" ht="13.5" x14ac:dyDescent="0.3">
      <c r="B5" s="48" t="s">
        <v>31</v>
      </c>
    </row>
    <row r="6" spans="1:10" ht="13.5" x14ac:dyDescent="0.3">
      <c r="A6" s="46"/>
      <c r="B6" s="48" t="s">
        <v>34</v>
      </c>
    </row>
    <row r="7" spans="1:10" ht="13.5" x14ac:dyDescent="0.3">
      <c r="A7" s="46"/>
      <c r="B7" s="48"/>
    </row>
    <row r="9" spans="1:10" ht="13.5" thickBot="1" x14ac:dyDescent="0.35">
      <c r="A9" s="50" t="s">
        <v>1</v>
      </c>
      <c r="B9" s="3"/>
      <c r="C9" s="4" t="s">
        <v>2</v>
      </c>
      <c r="D9" s="4" t="s">
        <v>3</v>
      </c>
      <c r="E9" s="4" t="s">
        <v>4</v>
      </c>
      <c r="F9" s="4" t="s">
        <v>5</v>
      </c>
      <c r="G9" s="4" t="s">
        <v>6</v>
      </c>
      <c r="H9" s="4" t="s">
        <v>7</v>
      </c>
      <c r="I9" s="4"/>
    </row>
    <row r="10" spans="1:10" ht="13.5" thickBot="1" x14ac:dyDescent="0.35">
      <c r="A10" s="51" t="s">
        <v>22</v>
      </c>
      <c r="B10" s="7"/>
      <c r="C10" s="8">
        <v>40</v>
      </c>
      <c r="D10" s="8">
        <v>40</v>
      </c>
      <c r="E10" s="8">
        <v>40</v>
      </c>
      <c r="F10" s="8">
        <v>40</v>
      </c>
      <c r="G10" s="8">
        <v>40</v>
      </c>
      <c r="H10" s="9">
        <v>40</v>
      </c>
      <c r="I10" s="4"/>
    </row>
    <row r="11" spans="1:10" x14ac:dyDescent="0.25">
      <c r="A11" s="52"/>
      <c r="C11" s="1"/>
      <c r="D11" s="1"/>
      <c r="E11" s="1"/>
      <c r="F11" s="1"/>
      <c r="G11" s="1"/>
      <c r="H11" s="1"/>
      <c r="I11" s="1"/>
    </row>
    <row r="12" spans="1:10" ht="13" x14ac:dyDescent="0.3">
      <c r="A12" s="50" t="s">
        <v>8</v>
      </c>
      <c r="C12" s="2">
        <v>36</v>
      </c>
      <c r="D12" s="2">
        <v>40</v>
      </c>
      <c r="E12" s="2">
        <v>45</v>
      </c>
      <c r="F12" s="2">
        <v>38</v>
      </c>
      <c r="G12" s="2">
        <v>35</v>
      </c>
      <c r="H12" s="2">
        <v>25</v>
      </c>
      <c r="I12" s="2"/>
    </row>
    <row r="13" spans="1:10" x14ac:dyDescent="0.25">
      <c r="A13" s="52"/>
    </row>
    <row r="14" spans="1:10" ht="26" x14ac:dyDescent="0.3">
      <c r="A14" s="52"/>
      <c r="C14" s="55" t="s">
        <v>9</v>
      </c>
      <c r="D14" s="55"/>
      <c r="E14" s="55"/>
      <c r="F14" s="55"/>
      <c r="G14" s="55"/>
      <c r="H14" s="55"/>
      <c r="I14" s="55"/>
      <c r="J14" s="56" t="s">
        <v>10</v>
      </c>
    </row>
    <row r="15" spans="1:10" ht="13" x14ac:dyDescent="0.3">
      <c r="A15" s="63" t="s">
        <v>11</v>
      </c>
      <c r="B15" s="57"/>
      <c r="C15" s="58">
        <v>8</v>
      </c>
      <c r="D15" s="58">
        <v>0</v>
      </c>
      <c r="E15" s="58">
        <v>12</v>
      </c>
      <c r="F15" s="58">
        <v>0</v>
      </c>
      <c r="G15" s="58">
        <v>8</v>
      </c>
      <c r="H15" s="58">
        <v>4</v>
      </c>
      <c r="I15" s="58"/>
      <c r="J15" s="66">
        <v>1280</v>
      </c>
    </row>
    <row r="16" spans="1:10" ht="13" x14ac:dyDescent="0.3">
      <c r="A16" s="64" t="s">
        <v>12</v>
      </c>
      <c r="B16" s="59"/>
      <c r="C16" s="60">
        <v>4</v>
      </c>
      <c r="D16" s="60">
        <v>12</v>
      </c>
      <c r="E16" s="60">
        <v>0</v>
      </c>
      <c r="F16" s="60">
        <v>12</v>
      </c>
      <c r="G16" s="60">
        <v>4</v>
      </c>
      <c r="H16" s="60">
        <v>8</v>
      </c>
      <c r="I16" s="60"/>
      <c r="J16" s="67">
        <v>1900</v>
      </c>
    </row>
    <row r="17" spans="1:10" ht="13" x14ac:dyDescent="0.3">
      <c r="A17" s="64" t="s">
        <v>13</v>
      </c>
      <c r="B17" s="59"/>
      <c r="C17" s="60">
        <v>4</v>
      </c>
      <c r="D17" s="60">
        <v>4</v>
      </c>
      <c r="E17" s="60">
        <v>4</v>
      </c>
      <c r="F17" s="60">
        <v>4</v>
      </c>
      <c r="G17" s="60">
        <v>4</v>
      </c>
      <c r="H17" s="60">
        <v>4</v>
      </c>
      <c r="I17" s="60"/>
      <c r="J17" s="67">
        <v>1090</v>
      </c>
    </row>
    <row r="18" spans="1:10" ht="13" x14ac:dyDescent="0.3">
      <c r="A18" s="64" t="s">
        <v>14</v>
      </c>
      <c r="B18" s="59"/>
      <c r="C18" s="60">
        <v>1</v>
      </c>
      <c r="D18" s="60">
        <v>0</v>
      </c>
      <c r="E18" s="60">
        <v>0</v>
      </c>
      <c r="F18" s="60">
        <v>0</v>
      </c>
      <c r="G18" s="60">
        <v>1</v>
      </c>
      <c r="H18" s="60">
        <v>1</v>
      </c>
      <c r="I18" s="60"/>
      <c r="J18" s="67">
        <v>190</v>
      </c>
    </row>
    <row r="19" spans="1:10" ht="13" x14ac:dyDescent="0.3">
      <c r="A19" s="64" t="s">
        <v>15</v>
      </c>
      <c r="B19" s="59"/>
      <c r="C19" s="60">
        <v>0</v>
      </c>
      <c r="D19" s="60">
        <v>1</v>
      </c>
      <c r="E19" s="60">
        <v>1</v>
      </c>
      <c r="F19" s="60">
        <v>1</v>
      </c>
      <c r="G19" s="60">
        <v>0</v>
      </c>
      <c r="H19" s="60">
        <v>0</v>
      </c>
      <c r="I19" s="60"/>
      <c r="J19" s="67">
        <v>170</v>
      </c>
    </row>
    <row r="20" spans="1:10" ht="13" x14ac:dyDescent="0.3">
      <c r="A20" s="64" t="s">
        <v>16</v>
      </c>
      <c r="B20" s="59"/>
      <c r="C20" s="60">
        <v>6</v>
      </c>
      <c r="D20" s="60">
        <v>0</v>
      </c>
      <c r="E20" s="60">
        <v>4</v>
      </c>
      <c r="F20" s="60">
        <v>0</v>
      </c>
      <c r="G20" s="60">
        <v>5</v>
      </c>
      <c r="H20" s="60">
        <v>0</v>
      </c>
      <c r="I20" s="60"/>
      <c r="J20" s="67">
        <v>1000</v>
      </c>
    </row>
    <row r="21" spans="1:10" ht="13" x14ac:dyDescent="0.3">
      <c r="A21" s="64" t="s">
        <v>17</v>
      </c>
      <c r="B21" s="59"/>
      <c r="C21" s="60">
        <v>0</v>
      </c>
      <c r="D21" s="60">
        <v>4</v>
      </c>
      <c r="E21" s="60">
        <v>0</v>
      </c>
      <c r="F21" s="60">
        <v>5</v>
      </c>
      <c r="G21" s="60">
        <v>0</v>
      </c>
      <c r="H21" s="60">
        <v>6</v>
      </c>
      <c r="I21" s="60"/>
      <c r="J21" s="67">
        <v>1000</v>
      </c>
    </row>
    <row r="22" spans="1:10" ht="13" x14ac:dyDescent="0.3">
      <c r="A22" s="64" t="s">
        <v>18</v>
      </c>
      <c r="B22" s="59"/>
      <c r="C22" s="60">
        <v>1</v>
      </c>
      <c r="D22" s="60">
        <v>0</v>
      </c>
      <c r="E22" s="60">
        <v>0</v>
      </c>
      <c r="F22" s="60">
        <v>0</v>
      </c>
      <c r="G22" s="60">
        <v>0</v>
      </c>
      <c r="H22" s="60">
        <v>0</v>
      </c>
      <c r="I22" s="60"/>
      <c r="J22" s="67">
        <v>110</v>
      </c>
    </row>
    <row r="23" spans="1:10" ht="13" x14ac:dyDescent="0.3">
      <c r="A23" s="64" t="s">
        <v>19</v>
      </c>
      <c r="B23" s="59"/>
      <c r="C23" s="60">
        <v>0</v>
      </c>
      <c r="D23" s="60">
        <v>1</v>
      </c>
      <c r="E23" s="60">
        <v>0</v>
      </c>
      <c r="F23" s="60">
        <v>0</v>
      </c>
      <c r="G23" s="60">
        <v>0</v>
      </c>
      <c r="H23" s="60">
        <v>0</v>
      </c>
      <c r="I23" s="60"/>
      <c r="J23" s="67">
        <v>72</v>
      </c>
    </row>
    <row r="24" spans="1:10" ht="13" x14ac:dyDescent="0.3">
      <c r="A24" s="64" t="s">
        <v>20</v>
      </c>
      <c r="B24" s="59"/>
      <c r="C24" s="60">
        <v>0</v>
      </c>
      <c r="D24" s="60">
        <v>0</v>
      </c>
      <c r="E24" s="60">
        <v>1</v>
      </c>
      <c r="F24" s="60">
        <v>1</v>
      </c>
      <c r="G24" s="60">
        <v>0</v>
      </c>
      <c r="H24" s="60">
        <v>0</v>
      </c>
      <c r="I24" s="60"/>
      <c r="J24" s="67">
        <v>93</v>
      </c>
    </row>
    <row r="25" spans="1:10" ht="13" x14ac:dyDescent="0.3">
      <c r="A25" s="65" t="s">
        <v>21</v>
      </c>
      <c r="B25" s="61"/>
      <c r="C25" s="62">
        <v>0</v>
      </c>
      <c r="D25" s="62">
        <v>0</v>
      </c>
      <c r="E25" s="62">
        <v>0</v>
      </c>
      <c r="F25" s="62">
        <v>0</v>
      </c>
      <c r="G25" s="62">
        <v>1</v>
      </c>
      <c r="H25" s="62">
        <v>1</v>
      </c>
      <c r="I25" s="62"/>
      <c r="J25" s="68">
        <v>85</v>
      </c>
    </row>
  </sheetData>
  <phoneticPr fontId="0" type="noConversion"/>
  <printOptions horizontalCentered="1" verticalCentered="1" gridLinesSet="0"/>
  <pageMargins left="0.75" right="0.75" top="1.42" bottom="1" header="0.86" footer="0.5"/>
  <pageSetup orientation="landscape" horizontalDpi="4294967292" verticalDpi="300" r:id="rId1"/>
  <headerFooter alignWithMargins="0">
    <oddHeader>&amp;LQty Produced row added.
(Decision variables)&amp;CSecond version.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"/>
  <sheetViews>
    <sheetView showGridLines="0" workbookViewId="0">
      <selection activeCell="O27" sqref="O27"/>
    </sheetView>
  </sheetViews>
  <sheetFormatPr defaultRowHeight="12.5" x14ac:dyDescent="0.25"/>
  <cols>
    <col min="1" max="1" width="13.81640625" customWidth="1"/>
    <col min="2" max="2" width="3.81640625" customWidth="1"/>
    <col min="9" max="9" width="2.7265625" customWidth="1"/>
  </cols>
  <sheetData>
    <row r="1" spans="1:12" ht="14" x14ac:dyDescent="0.3">
      <c r="A1" s="34" t="s">
        <v>0</v>
      </c>
    </row>
    <row r="3" spans="1:12" ht="13" x14ac:dyDescent="0.3">
      <c r="A3" s="53" t="s">
        <v>32</v>
      </c>
      <c r="B3" s="46" t="s">
        <v>36</v>
      </c>
    </row>
    <row r="4" spans="1:12" x14ac:dyDescent="0.25">
      <c r="B4" s="46" t="s">
        <v>35</v>
      </c>
    </row>
    <row r="5" spans="1:12" x14ac:dyDescent="0.25">
      <c r="B5" s="46" t="s">
        <v>37</v>
      </c>
    </row>
    <row r="8" spans="1:12" ht="13.5" thickBot="1" x14ac:dyDescent="0.35">
      <c r="A8" s="50" t="s">
        <v>1</v>
      </c>
      <c r="B8" s="3"/>
      <c r="C8" s="4" t="s">
        <v>2</v>
      </c>
      <c r="D8" s="4" t="s">
        <v>3</v>
      </c>
      <c r="E8" s="4" t="s">
        <v>4</v>
      </c>
      <c r="F8" s="4" t="s">
        <v>5</v>
      </c>
      <c r="G8" s="4" t="s">
        <v>6</v>
      </c>
      <c r="H8" s="4" t="s">
        <v>7</v>
      </c>
      <c r="I8" s="4"/>
    </row>
    <row r="9" spans="1:12" ht="13.5" thickBot="1" x14ac:dyDescent="0.35">
      <c r="A9" s="51" t="s">
        <v>22</v>
      </c>
      <c r="B9" s="7"/>
      <c r="C9" s="8">
        <v>40</v>
      </c>
      <c r="D9" s="8">
        <v>40</v>
      </c>
      <c r="E9" s="8">
        <v>40</v>
      </c>
      <c r="F9" s="8">
        <v>40</v>
      </c>
      <c r="G9" s="8">
        <v>40</v>
      </c>
      <c r="H9" s="9">
        <v>40</v>
      </c>
      <c r="I9" s="4"/>
    </row>
    <row r="10" spans="1:12" ht="13" x14ac:dyDescent="0.3">
      <c r="A10" s="52"/>
      <c r="C10" s="1"/>
      <c r="D10" s="1"/>
      <c r="E10" s="1"/>
      <c r="F10" s="1"/>
      <c r="G10" s="1"/>
      <c r="H10" s="1"/>
      <c r="I10" s="1"/>
      <c r="J10" s="10" t="s">
        <v>23</v>
      </c>
    </row>
    <row r="11" spans="1:12" ht="14" x14ac:dyDescent="0.3">
      <c r="A11" s="50" t="s">
        <v>8</v>
      </c>
      <c r="C11" s="2">
        <v>36</v>
      </c>
      <c r="D11" s="2">
        <v>40</v>
      </c>
      <c r="E11" s="2">
        <v>45</v>
      </c>
      <c r="F11" s="2">
        <v>38</v>
      </c>
      <c r="G11" s="2">
        <v>35</v>
      </c>
      <c r="H11" s="2">
        <v>25</v>
      </c>
      <c r="I11" s="2"/>
      <c r="J11" s="11">
        <f>SUMPRODUCT(C9:H9,C11:H11)</f>
        <v>8760</v>
      </c>
    </row>
    <row r="12" spans="1:12" x14ac:dyDescent="0.25">
      <c r="A12" s="52"/>
    </row>
    <row r="13" spans="1:12" ht="26.5" thickBot="1" x14ac:dyDescent="0.35">
      <c r="A13" s="52"/>
      <c r="C13" s="5" t="s">
        <v>9</v>
      </c>
      <c r="D13" s="5"/>
      <c r="E13" s="5"/>
      <c r="F13" s="5"/>
      <c r="G13" s="5"/>
      <c r="H13" s="5"/>
      <c r="I13" s="5"/>
      <c r="J13" s="6" t="s">
        <v>10</v>
      </c>
      <c r="K13" s="6" t="s">
        <v>24</v>
      </c>
      <c r="L13" s="6" t="s">
        <v>25</v>
      </c>
    </row>
    <row r="14" spans="1:12" ht="13.5" thickTop="1" x14ac:dyDescent="0.3">
      <c r="A14" s="50" t="s">
        <v>11</v>
      </c>
      <c r="C14" s="1">
        <v>8</v>
      </c>
      <c r="D14" s="1">
        <v>0</v>
      </c>
      <c r="E14" s="1">
        <v>12</v>
      </c>
      <c r="F14" s="1">
        <v>0</v>
      </c>
      <c r="G14" s="1">
        <v>8</v>
      </c>
      <c r="H14" s="1">
        <v>4</v>
      </c>
      <c r="I14" s="1"/>
      <c r="J14" s="1">
        <v>1280</v>
      </c>
      <c r="K14" s="12">
        <f>SUMPRODUCT($C$9:$H$9,C14:H14)</f>
        <v>1280</v>
      </c>
      <c r="L14">
        <f>J14-K14</f>
        <v>0</v>
      </c>
    </row>
    <row r="15" spans="1:12" ht="13" x14ac:dyDescent="0.3">
      <c r="A15" s="50" t="s">
        <v>12</v>
      </c>
      <c r="C15" s="1">
        <v>4</v>
      </c>
      <c r="D15" s="1">
        <v>12</v>
      </c>
      <c r="E15" s="1">
        <v>0</v>
      </c>
      <c r="F15" s="1">
        <v>12</v>
      </c>
      <c r="G15" s="1">
        <v>4</v>
      </c>
      <c r="H15" s="1">
        <v>8</v>
      </c>
      <c r="I15" s="1"/>
      <c r="J15" s="1">
        <v>1900</v>
      </c>
      <c r="K15" s="13">
        <f t="shared" ref="K15:K24" si="0">SUMPRODUCT($C$9:$H$9,C15:H15)</f>
        <v>1600</v>
      </c>
      <c r="L15">
        <f t="shared" ref="L15:L24" si="1">J15-K15</f>
        <v>300</v>
      </c>
    </row>
    <row r="16" spans="1:12" ht="13" x14ac:dyDescent="0.3">
      <c r="A16" s="50" t="s">
        <v>13</v>
      </c>
      <c r="C16" s="1">
        <v>4</v>
      </c>
      <c r="D16" s="1">
        <v>4</v>
      </c>
      <c r="E16" s="1">
        <v>4</v>
      </c>
      <c r="F16" s="1">
        <v>4</v>
      </c>
      <c r="G16" s="1">
        <v>4</v>
      </c>
      <c r="H16" s="1">
        <v>4</v>
      </c>
      <c r="I16" s="1"/>
      <c r="J16" s="1">
        <v>1090</v>
      </c>
      <c r="K16" s="13">
        <f t="shared" si="0"/>
        <v>960</v>
      </c>
      <c r="L16">
        <f t="shared" si="1"/>
        <v>130</v>
      </c>
    </row>
    <row r="17" spans="1:12" ht="13" x14ac:dyDescent="0.3">
      <c r="A17" s="50" t="s">
        <v>14</v>
      </c>
      <c r="C17" s="1">
        <v>1</v>
      </c>
      <c r="D17" s="1">
        <v>0</v>
      </c>
      <c r="E17" s="1">
        <v>0</v>
      </c>
      <c r="F17" s="1">
        <v>0</v>
      </c>
      <c r="G17" s="1">
        <v>1</v>
      </c>
      <c r="H17" s="1">
        <v>1</v>
      </c>
      <c r="I17" s="1"/>
      <c r="J17" s="1">
        <v>190</v>
      </c>
      <c r="K17" s="13">
        <f t="shared" si="0"/>
        <v>120</v>
      </c>
      <c r="L17">
        <f t="shared" si="1"/>
        <v>70</v>
      </c>
    </row>
    <row r="18" spans="1:12" ht="13" x14ac:dyDescent="0.3">
      <c r="A18" s="50" t="s">
        <v>15</v>
      </c>
      <c r="C18" s="1">
        <v>0</v>
      </c>
      <c r="D18" s="1">
        <v>1</v>
      </c>
      <c r="E18" s="1">
        <v>1</v>
      </c>
      <c r="F18" s="1">
        <v>1</v>
      </c>
      <c r="G18" s="1">
        <v>0</v>
      </c>
      <c r="H18" s="1">
        <v>0</v>
      </c>
      <c r="I18" s="1"/>
      <c r="J18" s="1">
        <v>170</v>
      </c>
      <c r="K18" s="13">
        <f t="shared" si="0"/>
        <v>120</v>
      </c>
      <c r="L18">
        <f t="shared" si="1"/>
        <v>50</v>
      </c>
    </row>
    <row r="19" spans="1:12" ht="13" x14ac:dyDescent="0.3">
      <c r="A19" s="50" t="s">
        <v>16</v>
      </c>
      <c r="C19" s="1">
        <v>6</v>
      </c>
      <c r="D19" s="1">
        <v>0</v>
      </c>
      <c r="E19" s="1">
        <v>4</v>
      </c>
      <c r="F19" s="1">
        <v>0</v>
      </c>
      <c r="G19" s="1">
        <v>5</v>
      </c>
      <c r="H19" s="1">
        <v>0</v>
      </c>
      <c r="I19" s="1"/>
      <c r="J19" s="1">
        <v>1000</v>
      </c>
      <c r="K19" s="13">
        <f t="shared" si="0"/>
        <v>600</v>
      </c>
      <c r="L19">
        <f t="shared" si="1"/>
        <v>400</v>
      </c>
    </row>
    <row r="20" spans="1:12" ht="13" x14ac:dyDescent="0.3">
      <c r="A20" s="50" t="s">
        <v>17</v>
      </c>
      <c r="C20" s="1">
        <v>0</v>
      </c>
      <c r="D20" s="1">
        <v>4</v>
      </c>
      <c r="E20" s="1">
        <v>0</v>
      </c>
      <c r="F20" s="1">
        <v>5</v>
      </c>
      <c r="G20" s="1">
        <v>0</v>
      </c>
      <c r="H20" s="1">
        <v>6</v>
      </c>
      <c r="I20" s="1"/>
      <c r="J20" s="1">
        <v>1000</v>
      </c>
      <c r="K20" s="13">
        <f t="shared" si="0"/>
        <v>600</v>
      </c>
      <c r="L20">
        <f t="shared" si="1"/>
        <v>400</v>
      </c>
    </row>
    <row r="21" spans="1:12" ht="13" x14ac:dyDescent="0.3">
      <c r="A21" s="50" t="s">
        <v>18</v>
      </c>
      <c r="C21" s="1">
        <v>1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/>
      <c r="J21" s="1">
        <v>110</v>
      </c>
      <c r="K21" s="13">
        <f t="shared" si="0"/>
        <v>40</v>
      </c>
      <c r="L21">
        <f t="shared" si="1"/>
        <v>70</v>
      </c>
    </row>
    <row r="22" spans="1:12" ht="13" x14ac:dyDescent="0.3">
      <c r="A22" s="50" t="s">
        <v>19</v>
      </c>
      <c r="C22" s="1">
        <v>0</v>
      </c>
      <c r="D22" s="1">
        <v>1</v>
      </c>
      <c r="E22" s="1">
        <v>0</v>
      </c>
      <c r="F22" s="1">
        <v>0</v>
      </c>
      <c r="G22" s="1">
        <v>0</v>
      </c>
      <c r="H22" s="1">
        <v>0</v>
      </c>
      <c r="I22" s="1"/>
      <c r="J22" s="1">
        <v>72</v>
      </c>
      <c r="K22" s="13">
        <f t="shared" si="0"/>
        <v>40</v>
      </c>
      <c r="L22">
        <f t="shared" si="1"/>
        <v>32</v>
      </c>
    </row>
    <row r="23" spans="1:12" ht="13" x14ac:dyDescent="0.3">
      <c r="A23" s="50" t="s">
        <v>20</v>
      </c>
      <c r="C23" s="1">
        <v>0</v>
      </c>
      <c r="D23" s="1">
        <v>0</v>
      </c>
      <c r="E23" s="1">
        <v>1</v>
      </c>
      <c r="F23" s="1">
        <v>1</v>
      </c>
      <c r="G23" s="1">
        <v>0</v>
      </c>
      <c r="H23" s="1">
        <v>0</v>
      </c>
      <c r="I23" s="1"/>
      <c r="J23" s="1">
        <v>93</v>
      </c>
      <c r="K23" s="13">
        <f t="shared" si="0"/>
        <v>80</v>
      </c>
      <c r="L23">
        <f t="shared" si="1"/>
        <v>13</v>
      </c>
    </row>
    <row r="24" spans="1:12" ht="13.5" thickBot="1" x14ac:dyDescent="0.35">
      <c r="A24" s="50" t="s">
        <v>21</v>
      </c>
      <c r="C24" s="1">
        <v>0</v>
      </c>
      <c r="D24" s="1">
        <v>0</v>
      </c>
      <c r="E24" s="1">
        <v>0</v>
      </c>
      <c r="F24" s="1">
        <v>0</v>
      </c>
      <c r="G24" s="1">
        <v>1</v>
      </c>
      <c r="H24" s="1">
        <v>1</v>
      </c>
      <c r="I24" s="1"/>
      <c r="J24" s="1">
        <v>85</v>
      </c>
      <c r="K24" s="14">
        <f t="shared" si="0"/>
        <v>80</v>
      </c>
      <c r="L24">
        <f t="shared" si="1"/>
        <v>5</v>
      </c>
    </row>
    <row r="25" spans="1:12" ht="13" thickTop="1" x14ac:dyDescent="0.25"/>
  </sheetData>
  <phoneticPr fontId="0" type="noConversion"/>
  <conditionalFormatting sqref="L14:L24">
    <cfRule type="cellIs" dxfId="0" priority="1" stopIfTrue="1" operator="lessThan">
      <formula>0</formula>
    </cfRule>
  </conditionalFormatting>
  <printOptions horizontalCentered="1" verticalCentered="1" gridLinesSet="0"/>
  <pageMargins left="0.75" right="0.75" top="1.72" bottom="1" header="0.85" footer="0.5"/>
  <pageSetup orientation="landscape" horizontalDpi="4294967292" verticalDpi="300" r:id="rId1"/>
  <headerFooter alignWithMargins="0">
    <oddHeader>&amp;LTotal Usage and Ending 
Inventory columns added.
Total Profit calculated using
default production quantities.
&amp;CThird version.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24"/>
  <sheetViews>
    <sheetView showFormulas="1" workbookViewId="0">
      <selection activeCell="K4" sqref="K4"/>
    </sheetView>
  </sheetViews>
  <sheetFormatPr defaultColWidth="9.1796875" defaultRowHeight="11.5" x14ac:dyDescent="0.25"/>
  <cols>
    <col min="1" max="1" width="11.54296875" style="15" customWidth="1"/>
    <col min="2" max="2" width="1.26953125" style="15" customWidth="1"/>
    <col min="3" max="3" width="3.7265625" style="15" customWidth="1"/>
    <col min="4" max="4" width="4" style="15" customWidth="1"/>
    <col min="5" max="5" width="3.26953125" style="15" customWidth="1"/>
    <col min="6" max="6" width="3" style="15" customWidth="1"/>
    <col min="7" max="7" width="2.81640625" style="15" customWidth="1"/>
    <col min="8" max="8" width="3.26953125" style="15" customWidth="1"/>
    <col min="9" max="9" width="0.81640625" style="15" customWidth="1"/>
    <col min="10" max="10" width="12.7265625" style="15" customWidth="1"/>
    <col min="11" max="11" width="15.1796875" style="15" customWidth="1"/>
    <col min="12" max="12" width="7.26953125" style="15" customWidth="1"/>
    <col min="13" max="16384" width="9.1796875" style="15"/>
  </cols>
  <sheetData>
    <row r="1" spans="1:12" x14ac:dyDescent="0.25">
      <c r="A1" s="35" t="s">
        <v>0</v>
      </c>
    </row>
    <row r="2" spans="1:12" x14ac:dyDescent="0.25">
      <c r="A2" s="35"/>
    </row>
    <row r="3" spans="1:12" ht="13" x14ac:dyDescent="0.3">
      <c r="A3" s="47" t="s">
        <v>38</v>
      </c>
    </row>
    <row r="4" spans="1:12" x14ac:dyDescent="0.25">
      <c r="A4" s="35"/>
    </row>
    <row r="5" spans="1:12" x14ac:dyDescent="0.25">
      <c r="A5" s="35"/>
    </row>
    <row r="7" spans="1:12" ht="12" thickBot="1" x14ac:dyDescent="0.3">
      <c r="A7" s="16" t="s">
        <v>1</v>
      </c>
      <c r="B7" s="17"/>
      <c r="C7" s="18" t="s">
        <v>2</v>
      </c>
      <c r="D7" s="18" t="s">
        <v>3</v>
      </c>
      <c r="E7" s="18" t="s">
        <v>4</v>
      </c>
      <c r="F7" s="18" t="s">
        <v>5</v>
      </c>
      <c r="G7" s="18" t="s">
        <v>6</v>
      </c>
      <c r="H7" s="18" t="s">
        <v>7</v>
      </c>
      <c r="I7" s="18"/>
    </row>
    <row r="8" spans="1:12" ht="12" thickBot="1" x14ac:dyDescent="0.3">
      <c r="A8" s="19" t="s">
        <v>22</v>
      </c>
      <c r="B8" s="20"/>
      <c r="C8" s="21">
        <v>40</v>
      </c>
      <c r="D8" s="21">
        <v>40</v>
      </c>
      <c r="E8" s="21">
        <v>40</v>
      </c>
      <c r="F8" s="21">
        <v>40</v>
      </c>
      <c r="G8" s="21">
        <v>40</v>
      </c>
      <c r="H8" s="22">
        <v>40</v>
      </c>
      <c r="I8" s="18"/>
    </row>
    <row r="9" spans="1:12" x14ac:dyDescent="0.25">
      <c r="A9" s="23"/>
      <c r="C9" s="24"/>
      <c r="D9" s="24"/>
      <c r="E9" s="24"/>
      <c r="F9" s="24"/>
      <c r="G9" s="24"/>
      <c r="H9" s="24"/>
      <c r="I9" s="24"/>
      <c r="J9" s="25" t="s">
        <v>23</v>
      </c>
    </row>
    <row r="10" spans="1:12" x14ac:dyDescent="0.25">
      <c r="A10" s="16" t="s">
        <v>8</v>
      </c>
      <c r="C10" s="26">
        <v>36</v>
      </c>
      <c r="D10" s="26">
        <v>40</v>
      </c>
      <c r="E10" s="26">
        <v>45</v>
      </c>
      <c r="F10" s="26">
        <v>38</v>
      </c>
      <c r="G10" s="26">
        <v>35</v>
      </c>
      <c r="H10" s="26">
        <v>25</v>
      </c>
      <c r="I10" s="26"/>
      <c r="J10" s="27">
        <f>SUMPRODUCT(C8:H8,C10:H10)</f>
        <v>8760</v>
      </c>
    </row>
    <row r="11" spans="1:12" x14ac:dyDescent="0.25">
      <c r="A11" s="23"/>
    </row>
    <row r="12" spans="1:12" ht="23.5" thickBot="1" x14ac:dyDescent="0.3">
      <c r="A12" s="23"/>
      <c r="C12" s="28" t="s">
        <v>9</v>
      </c>
      <c r="D12" s="28"/>
      <c r="E12" s="28"/>
      <c r="F12" s="28"/>
      <c r="G12" s="28"/>
      <c r="H12" s="28"/>
      <c r="I12" s="28"/>
      <c r="J12" s="29" t="s">
        <v>10</v>
      </c>
      <c r="K12" s="29" t="s">
        <v>24</v>
      </c>
      <c r="L12" s="29" t="s">
        <v>25</v>
      </c>
    </row>
    <row r="13" spans="1:12" ht="12" thickTop="1" x14ac:dyDescent="0.25">
      <c r="A13" s="16" t="s">
        <v>11</v>
      </c>
      <c r="C13" s="24">
        <v>8</v>
      </c>
      <c r="D13" s="24">
        <v>0</v>
      </c>
      <c r="E13" s="24">
        <v>12</v>
      </c>
      <c r="F13" s="24">
        <v>0</v>
      </c>
      <c r="G13" s="24">
        <v>8</v>
      </c>
      <c r="H13" s="24">
        <v>4</v>
      </c>
      <c r="I13" s="24"/>
      <c r="J13" s="24">
        <v>1280</v>
      </c>
      <c r="K13" s="30">
        <f>SUMPRODUCT($C$8:$H$8,C13:H13)</f>
        <v>1280</v>
      </c>
      <c r="L13" s="15">
        <f>J13-K13</f>
        <v>0</v>
      </c>
    </row>
    <row r="14" spans="1:12" x14ac:dyDescent="0.25">
      <c r="A14" s="16" t="s">
        <v>12</v>
      </c>
      <c r="C14" s="24">
        <v>4</v>
      </c>
      <c r="D14" s="24">
        <v>12</v>
      </c>
      <c r="E14" s="24">
        <v>0</v>
      </c>
      <c r="F14" s="24">
        <v>12</v>
      </c>
      <c r="G14" s="24">
        <v>4</v>
      </c>
      <c r="H14" s="24">
        <v>8</v>
      </c>
      <c r="I14" s="24"/>
      <c r="J14" s="24">
        <v>1900</v>
      </c>
      <c r="K14" s="31">
        <f t="shared" ref="K14:K23" si="0">SUMPRODUCT($C$8:$H$8,C14:H14)</f>
        <v>1600</v>
      </c>
      <c r="L14" s="15">
        <f t="shared" ref="L14:L23" si="1">J14-K14</f>
        <v>300</v>
      </c>
    </row>
    <row r="15" spans="1:12" x14ac:dyDescent="0.25">
      <c r="A15" s="16" t="s">
        <v>13</v>
      </c>
      <c r="C15" s="24">
        <v>4</v>
      </c>
      <c r="D15" s="24">
        <v>4</v>
      </c>
      <c r="E15" s="24">
        <v>4</v>
      </c>
      <c r="F15" s="24">
        <v>4</v>
      </c>
      <c r="G15" s="24">
        <v>4</v>
      </c>
      <c r="H15" s="24">
        <v>4</v>
      </c>
      <c r="I15" s="24"/>
      <c r="J15" s="24">
        <v>1090</v>
      </c>
      <c r="K15" s="31">
        <f t="shared" si="0"/>
        <v>960</v>
      </c>
      <c r="L15" s="15">
        <f t="shared" si="1"/>
        <v>130</v>
      </c>
    </row>
    <row r="16" spans="1:12" x14ac:dyDescent="0.25">
      <c r="A16" s="16" t="s">
        <v>14</v>
      </c>
      <c r="C16" s="24">
        <v>1</v>
      </c>
      <c r="D16" s="24">
        <v>0</v>
      </c>
      <c r="E16" s="24">
        <v>0</v>
      </c>
      <c r="F16" s="24">
        <v>0</v>
      </c>
      <c r="G16" s="24">
        <v>1</v>
      </c>
      <c r="H16" s="24">
        <v>1</v>
      </c>
      <c r="I16" s="24"/>
      <c r="J16" s="24">
        <v>190</v>
      </c>
      <c r="K16" s="31">
        <f t="shared" si="0"/>
        <v>120</v>
      </c>
      <c r="L16" s="15">
        <f t="shared" si="1"/>
        <v>70</v>
      </c>
    </row>
    <row r="17" spans="1:12" x14ac:dyDescent="0.25">
      <c r="A17" s="16" t="s">
        <v>15</v>
      </c>
      <c r="C17" s="24">
        <v>0</v>
      </c>
      <c r="D17" s="24">
        <v>1</v>
      </c>
      <c r="E17" s="24">
        <v>1</v>
      </c>
      <c r="F17" s="24">
        <v>1</v>
      </c>
      <c r="G17" s="24">
        <v>0</v>
      </c>
      <c r="H17" s="24">
        <v>0</v>
      </c>
      <c r="I17" s="24"/>
      <c r="J17" s="24">
        <v>170</v>
      </c>
      <c r="K17" s="31">
        <f t="shared" si="0"/>
        <v>120</v>
      </c>
      <c r="L17" s="15">
        <f t="shared" si="1"/>
        <v>50</v>
      </c>
    </row>
    <row r="18" spans="1:12" x14ac:dyDescent="0.25">
      <c r="A18" s="16" t="s">
        <v>16</v>
      </c>
      <c r="C18" s="24">
        <v>6</v>
      </c>
      <c r="D18" s="24">
        <v>0</v>
      </c>
      <c r="E18" s="24">
        <v>4</v>
      </c>
      <c r="F18" s="24">
        <v>0</v>
      </c>
      <c r="G18" s="24">
        <v>5</v>
      </c>
      <c r="H18" s="24">
        <v>0</v>
      </c>
      <c r="I18" s="24"/>
      <c r="J18" s="24">
        <v>1000</v>
      </c>
      <c r="K18" s="31">
        <f t="shared" si="0"/>
        <v>600</v>
      </c>
      <c r="L18" s="15">
        <f t="shared" si="1"/>
        <v>400</v>
      </c>
    </row>
    <row r="19" spans="1:12" x14ac:dyDescent="0.25">
      <c r="A19" s="16" t="s">
        <v>17</v>
      </c>
      <c r="C19" s="24">
        <v>0</v>
      </c>
      <c r="D19" s="24">
        <v>4</v>
      </c>
      <c r="E19" s="24">
        <v>0</v>
      </c>
      <c r="F19" s="24">
        <v>5</v>
      </c>
      <c r="G19" s="24">
        <v>0</v>
      </c>
      <c r="H19" s="24">
        <v>6</v>
      </c>
      <c r="I19" s="24"/>
      <c r="J19" s="24">
        <v>1000</v>
      </c>
      <c r="K19" s="31">
        <f t="shared" si="0"/>
        <v>600</v>
      </c>
      <c r="L19" s="15">
        <f t="shared" si="1"/>
        <v>400</v>
      </c>
    </row>
    <row r="20" spans="1:12" x14ac:dyDescent="0.25">
      <c r="A20" s="16" t="s">
        <v>18</v>
      </c>
      <c r="C20" s="24">
        <v>1</v>
      </c>
      <c r="D20" s="24">
        <v>0</v>
      </c>
      <c r="E20" s="24">
        <v>0</v>
      </c>
      <c r="F20" s="24">
        <v>0</v>
      </c>
      <c r="G20" s="24">
        <v>0</v>
      </c>
      <c r="H20" s="24">
        <v>0</v>
      </c>
      <c r="I20" s="24"/>
      <c r="J20" s="24">
        <v>110</v>
      </c>
      <c r="K20" s="31">
        <f t="shared" si="0"/>
        <v>40</v>
      </c>
      <c r="L20" s="15">
        <f t="shared" si="1"/>
        <v>70</v>
      </c>
    </row>
    <row r="21" spans="1:12" x14ac:dyDescent="0.25">
      <c r="A21" s="16" t="s">
        <v>19</v>
      </c>
      <c r="C21" s="24">
        <v>0</v>
      </c>
      <c r="D21" s="24">
        <v>1</v>
      </c>
      <c r="E21" s="24">
        <v>0</v>
      </c>
      <c r="F21" s="24">
        <v>0</v>
      </c>
      <c r="G21" s="24">
        <v>0</v>
      </c>
      <c r="H21" s="24">
        <v>0</v>
      </c>
      <c r="I21" s="24"/>
      <c r="J21" s="24">
        <v>72</v>
      </c>
      <c r="K21" s="31">
        <f t="shared" si="0"/>
        <v>40</v>
      </c>
      <c r="L21" s="15">
        <f t="shared" si="1"/>
        <v>32</v>
      </c>
    </row>
    <row r="22" spans="1:12" x14ac:dyDescent="0.25">
      <c r="A22" s="16" t="s">
        <v>20</v>
      </c>
      <c r="C22" s="24">
        <v>0</v>
      </c>
      <c r="D22" s="24">
        <v>0</v>
      </c>
      <c r="E22" s="24">
        <v>1</v>
      </c>
      <c r="F22" s="24">
        <v>1</v>
      </c>
      <c r="G22" s="24">
        <v>0</v>
      </c>
      <c r="H22" s="24">
        <v>0</v>
      </c>
      <c r="I22" s="24"/>
      <c r="J22" s="24">
        <v>93</v>
      </c>
      <c r="K22" s="31">
        <f t="shared" si="0"/>
        <v>80</v>
      </c>
      <c r="L22" s="15">
        <f t="shared" si="1"/>
        <v>13</v>
      </c>
    </row>
    <row r="23" spans="1:12" ht="12" thickBot="1" x14ac:dyDescent="0.3">
      <c r="A23" s="16" t="s">
        <v>21</v>
      </c>
      <c r="C23" s="24">
        <v>0</v>
      </c>
      <c r="D23" s="24">
        <v>0</v>
      </c>
      <c r="E23" s="24">
        <v>0</v>
      </c>
      <c r="F23" s="24">
        <v>0</v>
      </c>
      <c r="G23" s="24">
        <v>1</v>
      </c>
      <c r="H23" s="24">
        <v>1</v>
      </c>
      <c r="I23" s="24"/>
      <c r="J23" s="24">
        <v>85</v>
      </c>
      <c r="K23" s="32">
        <f t="shared" si="0"/>
        <v>80</v>
      </c>
      <c r="L23" s="15">
        <f t="shared" si="1"/>
        <v>5</v>
      </c>
    </row>
    <row r="24" spans="1:12" ht="12" thickTop="1" x14ac:dyDescent="0.25"/>
  </sheetData>
  <phoneticPr fontId="0" type="noConversion"/>
  <printOptions horizontalCentered="1" verticalCentered="1" gridLines="1" gridLinesSet="0"/>
  <pageMargins left="0.75" right="0.75" top="1.62" bottom="1.58" header="0.95" footer="0.5"/>
  <pageSetup scale="89" orientation="landscape" horizontalDpi="4294967292" verticalDpi="300" r:id="rId1"/>
  <headerFooter alignWithMargins="0">
    <oddHeader>&amp;CPrinted with
Formulas Displayed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23"/>
  <sheetViews>
    <sheetView workbookViewId="0">
      <selection activeCell="N19" sqref="N19"/>
    </sheetView>
  </sheetViews>
  <sheetFormatPr defaultRowHeight="12.5" x14ac:dyDescent="0.25"/>
  <cols>
    <col min="1" max="1" width="14.81640625" customWidth="1"/>
    <col min="2" max="2" width="3.81640625" customWidth="1"/>
    <col min="9" max="9" width="2.7265625" customWidth="1"/>
    <col min="12" max="12" width="10.1796875" customWidth="1"/>
  </cols>
  <sheetData>
    <row r="1" spans="1:12" ht="14" x14ac:dyDescent="0.3">
      <c r="A1" s="34" t="s">
        <v>0</v>
      </c>
    </row>
    <row r="2" spans="1:12" ht="14" x14ac:dyDescent="0.3">
      <c r="A2" s="34"/>
    </row>
    <row r="3" spans="1:12" ht="14" x14ac:dyDescent="0.3">
      <c r="A3" s="54" t="s">
        <v>32</v>
      </c>
      <c r="B3" t="s">
        <v>39</v>
      </c>
    </row>
    <row r="4" spans="1:12" ht="14" x14ac:dyDescent="0.3">
      <c r="A4" s="34"/>
      <c r="B4" t="s">
        <v>40</v>
      </c>
    </row>
    <row r="6" spans="1:12" ht="13.5" thickBot="1" x14ac:dyDescent="0.35">
      <c r="A6" s="50" t="s">
        <v>1</v>
      </c>
      <c r="B6" s="3"/>
      <c r="C6" s="4" t="s">
        <v>2</v>
      </c>
      <c r="D6" s="4" t="s">
        <v>3</v>
      </c>
      <c r="E6" s="4" t="s">
        <v>4</v>
      </c>
      <c r="F6" s="4" t="s">
        <v>5</v>
      </c>
      <c r="G6" s="4" t="s">
        <v>6</v>
      </c>
      <c r="H6" s="4" t="s">
        <v>7</v>
      </c>
      <c r="I6" s="4"/>
    </row>
    <row r="7" spans="1:12" ht="13.5" thickBot="1" x14ac:dyDescent="0.35">
      <c r="A7" s="51" t="s">
        <v>22</v>
      </c>
      <c r="B7" s="7"/>
      <c r="C7" s="8">
        <v>100</v>
      </c>
      <c r="D7" s="8">
        <v>72</v>
      </c>
      <c r="E7" s="8">
        <v>40</v>
      </c>
      <c r="F7" s="8">
        <v>53</v>
      </c>
      <c r="G7" s="8">
        <v>0</v>
      </c>
      <c r="H7" s="9">
        <v>0</v>
      </c>
      <c r="I7" s="4"/>
    </row>
    <row r="8" spans="1:12" ht="13" x14ac:dyDescent="0.3">
      <c r="A8" s="52"/>
      <c r="C8" s="1"/>
      <c r="D8" s="1"/>
      <c r="E8" s="1"/>
      <c r="F8" s="1"/>
      <c r="G8" s="1"/>
      <c r="H8" s="1"/>
      <c r="I8" s="1"/>
      <c r="J8" s="10" t="s">
        <v>23</v>
      </c>
    </row>
    <row r="9" spans="1:12" ht="14" x14ac:dyDescent="0.3">
      <c r="A9" s="50" t="s">
        <v>8</v>
      </c>
      <c r="C9" s="2">
        <v>36</v>
      </c>
      <c r="D9" s="2">
        <v>40</v>
      </c>
      <c r="E9" s="2">
        <v>45</v>
      </c>
      <c r="F9" s="2">
        <v>38</v>
      </c>
      <c r="G9" s="2">
        <v>35</v>
      </c>
      <c r="H9" s="2">
        <v>25</v>
      </c>
      <c r="I9" s="2"/>
      <c r="J9" s="11">
        <f>SUMPRODUCT(C7:H7,C9:H9)</f>
        <v>10294</v>
      </c>
    </row>
    <row r="10" spans="1:12" x14ac:dyDescent="0.25">
      <c r="A10" s="52"/>
    </row>
    <row r="11" spans="1:12" ht="26.5" thickBot="1" x14ac:dyDescent="0.35">
      <c r="A11" s="52"/>
      <c r="C11" s="5" t="s">
        <v>9</v>
      </c>
      <c r="D11" s="5"/>
      <c r="E11" s="5"/>
      <c r="F11" s="5"/>
      <c r="G11" s="5"/>
      <c r="H11" s="5"/>
      <c r="I11" s="5"/>
      <c r="J11" s="6" t="s">
        <v>10</v>
      </c>
      <c r="K11" s="6" t="s">
        <v>24</v>
      </c>
      <c r="L11" s="6" t="s">
        <v>25</v>
      </c>
    </row>
    <row r="12" spans="1:12" ht="13.5" thickTop="1" x14ac:dyDescent="0.3">
      <c r="A12" s="50" t="s">
        <v>11</v>
      </c>
      <c r="C12" s="1">
        <v>8</v>
      </c>
      <c r="D12" s="1">
        <v>0</v>
      </c>
      <c r="E12" s="1">
        <v>12</v>
      </c>
      <c r="F12" s="1">
        <v>0</v>
      </c>
      <c r="G12" s="1">
        <v>8</v>
      </c>
      <c r="H12" s="1">
        <v>4</v>
      </c>
      <c r="I12" s="1"/>
      <c r="J12" s="1">
        <v>1280</v>
      </c>
      <c r="K12" s="12">
        <f>SUMPRODUCT($C$7:$H$7,C12:H12)</f>
        <v>1280</v>
      </c>
      <c r="L12" s="33">
        <f>J12-K12</f>
        <v>0</v>
      </c>
    </row>
    <row r="13" spans="1:12" ht="13" x14ac:dyDescent="0.3">
      <c r="A13" s="50" t="s">
        <v>12</v>
      </c>
      <c r="C13" s="1">
        <v>4</v>
      </c>
      <c r="D13" s="1">
        <v>12</v>
      </c>
      <c r="E13" s="1">
        <v>0</v>
      </c>
      <c r="F13" s="1">
        <v>12</v>
      </c>
      <c r="G13" s="1">
        <v>4</v>
      </c>
      <c r="H13" s="1">
        <v>8</v>
      </c>
      <c r="I13" s="1"/>
      <c r="J13" s="1">
        <v>1900</v>
      </c>
      <c r="K13" s="13">
        <f t="shared" ref="K13:K22" si="0">SUMPRODUCT($C$7:$H$7,C13:H13)</f>
        <v>1900</v>
      </c>
      <c r="L13" s="33">
        <f t="shared" ref="L13:L22" si="1">J13-K13</f>
        <v>0</v>
      </c>
    </row>
    <row r="14" spans="1:12" ht="13" x14ac:dyDescent="0.3">
      <c r="A14" s="50" t="s">
        <v>13</v>
      </c>
      <c r="C14" s="1">
        <v>4</v>
      </c>
      <c r="D14" s="1">
        <v>4</v>
      </c>
      <c r="E14" s="1">
        <v>4</v>
      </c>
      <c r="F14" s="1">
        <v>4</v>
      </c>
      <c r="G14" s="1">
        <v>4</v>
      </c>
      <c r="H14" s="1">
        <v>4</v>
      </c>
      <c r="I14" s="1"/>
      <c r="J14" s="1">
        <v>1090</v>
      </c>
      <c r="K14" s="13">
        <f t="shared" si="0"/>
        <v>1060</v>
      </c>
      <c r="L14" s="33">
        <f t="shared" si="1"/>
        <v>30</v>
      </c>
    </row>
    <row r="15" spans="1:12" ht="13" x14ac:dyDescent="0.3">
      <c r="A15" s="50" t="s">
        <v>14</v>
      </c>
      <c r="C15" s="1">
        <v>1</v>
      </c>
      <c r="D15" s="1">
        <v>0</v>
      </c>
      <c r="E15" s="1">
        <v>0</v>
      </c>
      <c r="F15" s="1">
        <v>0</v>
      </c>
      <c r="G15" s="1">
        <v>1</v>
      </c>
      <c r="H15" s="1">
        <v>1</v>
      </c>
      <c r="I15" s="1"/>
      <c r="J15" s="1">
        <v>190</v>
      </c>
      <c r="K15" s="13">
        <f t="shared" si="0"/>
        <v>100</v>
      </c>
      <c r="L15" s="33">
        <f t="shared" si="1"/>
        <v>90</v>
      </c>
    </row>
    <row r="16" spans="1:12" ht="13" x14ac:dyDescent="0.3">
      <c r="A16" s="50" t="s">
        <v>15</v>
      </c>
      <c r="C16" s="1">
        <v>0</v>
      </c>
      <c r="D16" s="1">
        <v>1</v>
      </c>
      <c r="E16" s="1">
        <v>1</v>
      </c>
      <c r="F16" s="1">
        <v>1</v>
      </c>
      <c r="G16" s="1">
        <v>0</v>
      </c>
      <c r="H16" s="1">
        <v>0</v>
      </c>
      <c r="I16" s="1"/>
      <c r="J16" s="1">
        <v>170</v>
      </c>
      <c r="K16" s="13">
        <f t="shared" si="0"/>
        <v>165</v>
      </c>
      <c r="L16" s="33">
        <f t="shared" si="1"/>
        <v>5</v>
      </c>
    </row>
    <row r="17" spans="1:12" ht="13" x14ac:dyDescent="0.3">
      <c r="A17" s="50" t="s">
        <v>16</v>
      </c>
      <c r="C17" s="1">
        <v>6</v>
      </c>
      <c r="D17" s="1">
        <v>0</v>
      </c>
      <c r="E17" s="1">
        <v>4</v>
      </c>
      <c r="F17" s="1">
        <v>0</v>
      </c>
      <c r="G17" s="1">
        <v>5</v>
      </c>
      <c r="H17" s="1">
        <v>0</v>
      </c>
      <c r="I17" s="1"/>
      <c r="J17" s="1">
        <v>1000</v>
      </c>
      <c r="K17" s="13">
        <f t="shared" si="0"/>
        <v>760</v>
      </c>
      <c r="L17" s="33">
        <f t="shared" si="1"/>
        <v>240</v>
      </c>
    </row>
    <row r="18" spans="1:12" ht="13" x14ac:dyDescent="0.3">
      <c r="A18" s="50" t="s">
        <v>17</v>
      </c>
      <c r="C18" s="1">
        <v>0</v>
      </c>
      <c r="D18" s="1">
        <v>4</v>
      </c>
      <c r="E18" s="1">
        <v>0</v>
      </c>
      <c r="F18" s="1">
        <v>5</v>
      </c>
      <c r="G18" s="1">
        <v>0</v>
      </c>
      <c r="H18" s="1">
        <v>6</v>
      </c>
      <c r="I18" s="1"/>
      <c r="J18" s="1">
        <v>1000</v>
      </c>
      <c r="K18" s="13">
        <f t="shared" si="0"/>
        <v>553</v>
      </c>
      <c r="L18" s="33">
        <f t="shared" si="1"/>
        <v>447</v>
      </c>
    </row>
    <row r="19" spans="1:12" ht="13" x14ac:dyDescent="0.3">
      <c r="A19" s="50" t="s">
        <v>18</v>
      </c>
      <c r="C19" s="1">
        <v>1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/>
      <c r="J19" s="1">
        <v>110</v>
      </c>
      <c r="K19" s="13">
        <f t="shared" si="0"/>
        <v>100</v>
      </c>
      <c r="L19" s="33">
        <f t="shared" si="1"/>
        <v>10</v>
      </c>
    </row>
    <row r="20" spans="1:12" ht="13" x14ac:dyDescent="0.3">
      <c r="A20" s="50" t="s">
        <v>19</v>
      </c>
      <c r="C20" s="1">
        <v>0</v>
      </c>
      <c r="D20" s="1">
        <v>1</v>
      </c>
      <c r="E20" s="1">
        <v>0</v>
      </c>
      <c r="F20" s="1">
        <v>0</v>
      </c>
      <c r="G20" s="1">
        <v>0</v>
      </c>
      <c r="H20" s="1">
        <v>0</v>
      </c>
      <c r="I20" s="1"/>
      <c r="J20" s="1">
        <v>72</v>
      </c>
      <c r="K20" s="13">
        <f t="shared" si="0"/>
        <v>72</v>
      </c>
      <c r="L20" s="33">
        <f t="shared" si="1"/>
        <v>0</v>
      </c>
    </row>
    <row r="21" spans="1:12" ht="13" x14ac:dyDescent="0.3">
      <c r="A21" s="50" t="s">
        <v>20</v>
      </c>
      <c r="C21" s="1">
        <v>0</v>
      </c>
      <c r="D21" s="1">
        <v>0</v>
      </c>
      <c r="E21" s="1">
        <v>1</v>
      </c>
      <c r="F21" s="1">
        <v>1</v>
      </c>
      <c r="G21" s="1">
        <v>0</v>
      </c>
      <c r="H21" s="1">
        <v>0</v>
      </c>
      <c r="I21" s="1"/>
      <c r="J21" s="1">
        <v>93</v>
      </c>
      <c r="K21" s="13">
        <f t="shared" si="0"/>
        <v>93</v>
      </c>
      <c r="L21" s="33">
        <f t="shared" si="1"/>
        <v>0</v>
      </c>
    </row>
    <row r="22" spans="1:12" ht="13.5" thickBot="1" x14ac:dyDescent="0.35">
      <c r="A22" s="50" t="s">
        <v>21</v>
      </c>
      <c r="C22" s="1">
        <v>0</v>
      </c>
      <c r="D22" s="1">
        <v>0</v>
      </c>
      <c r="E22" s="1">
        <v>0</v>
      </c>
      <c r="F22" s="1">
        <v>0</v>
      </c>
      <c r="G22" s="1">
        <v>1</v>
      </c>
      <c r="H22" s="1">
        <v>1</v>
      </c>
      <c r="I22" s="1"/>
      <c r="J22" s="1">
        <v>85</v>
      </c>
      <c r="K22" s="14">
        <f t="shared" si="0"/>
        <v>0</v>
      </c>
      <c r="L22" s="33">
        <f t="shared" si="1"/>
        <v>85</v>
      </c>
    </row>
    <row r="23" spans="1:12" ht="13" thickTop="1" x14ac:dyDescent="0.25"/>
  </sheetData>
  <phoneticPr fontId="0" type="noConversion"/>
  <printOptions horizontalCentered="1" verticalCentered="1" gridLines="1" gridLinesSet="0"/>
  <pageMargins left="0.75" right="0.75" top="1.67" bottom="1" header="1" footer="0.5"/>
  <pageSetup orientation="landscape" horizontalDpi="4294967292" verticalDpi="300" r:id="rId1"/>
  <headerFooter alignWithMargins="0">
    <oddHeader>&amp;CFinal Worksheet
with Solver's Solution
for Total Profit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5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Imported</vt:lpstr>
      <vt:lpstr>Qty Produced</vt:lpstr>
      <vt:lpstr>Calcs</vt:lpstr>
      <vt:lpstr>Formulas</vt:lpstr>
      <vt:lpstr>Solver</vt:lpstr>
      <vt:lpstr>Mix Chart</vt:lpstr>
      <vt:lpstr>Imported!DDE_LINK2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Oak Products Spreadsheet</dc:title>
  <dc:subject>Product Mix Problem</dc:subject>
  <dc:creator>The Fuqua School of Business</dc:creator>
  <cp:keywords>Oak Products</cp:keywords>
  <dc:description>Quantitative Methods core course spreadsheet example problem.</dc:description>
  <cp:lastModifiedBy>Carina Negreanu</cp:lastModifiedBy>
  <cp:lastPrinted>1998-04-30T15:54:40Z</cp:lastPrinted>
  <dcterms:created xsi:type="dcterms:W3CDTF">1998-04-27T15:28:01Z</dcterms:created>
  <dcterms:modified xsi:type="dcterms:W3CDTF">2020-01-27T10:32:33Z</dcterms:modified>
</cp:coreProperties>
</file>