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317E854-88AA-4FDD-B745-6FEB4F6DFEB3}" xr6:coauthVersionLast="45" xr6:coauthVersionMax="45" xr10:uidLastSave="{00000000-0000-0000-0000-000000000000}"/>
  <bookViews>
    <workbookView xWindow="380" yWindow="380" windowWidth="28800" windowHeight="15460" activeTab="2"/>
  </bookViews>
  <sheets>
    <sheet name="Enter data" sheetId="1" r:id="rId1"/>
    <sheet name="Graphs" sheetId="2" r:id="rId2"/>
    <sheet name="Homework 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0" i="1" l="1"/>
  <c r="D71" i="1"/>
  <c r="D72" i="1"/>
  <c r="F43" i="3" s="1"/>
  <c r="D128" i="1"/>
  <c r="D129" i="1"/>
  <c r="D44" i="3" s="1"/>
  <c r="D206" i="1"/>
  <c r="D207" i="1"/>
  <c r="D208" i="1" s="1"/>
  <c r="E96" i="3" s="1"/>
  <c r="D264" i="1"/>
  <c r="D97" i="3" s="1"/>
  <c r="D265" i="1"/>
  <c r="C97" i="3" s="1"/>
  <c r="A5" i="2"/>
  <c r="A6" i="2"/>
  <c r="A7" i="2"/>
  <c r="A8" i="2" s="1"/>
  <c r="A9" i="2" s="1"/>
  <c r="A10" i="2" s="1"/>
  <c r="A11" i="2" s="1"/>
  <c r="A12" i="2" s="1"/>
  <c r="A15" i="2"/>
  <c r="A16" i="2" s="1"/>
  <c r="A19" i="2"/>
  <c r="A20" i="2" s="1"/>
  <c r="A33" i="2"/>
  <c r="A34" i="2" s="1"/>
  <c r="A35" i="2" s="1"/>
  <c r="A36" i="2" s="1"/>
  <c r="A37" i="2" s="1"/>
  <c r="A38" i="2" s="1"/>
  <c r="A39" i="2" s="1"/>
  <c r="A40" i="2" s="1"/>
  <c r="A43" i="2"/>
  <c r="A44" i="2"/>
  <c r="A47" i="2"/>
  <c r="A48" i="2"/>
  <c r="F34" i="3"/>
  <c r="F36" i="3"/>
  <c r="D43" i="3"/>
  <c r="E43" i="3"/>
  <c r="E44" i="3"/>
  <c r="C50" i="3"/>
  <c r="C51" i="3"/>
  <c r="F86" i="3"/>
  <c r="F88" i="3"/>
  <c r="F90" i="3"/>
  <c r="C96" i="3"/>
  <c r="D96" i="3"/>
  <c r="D266" i="1" l="1"/>
  <c r="E97" i="3" s="1"/>
  <c r="D130" i="1"/>
  <c r="F44" i="3" s="1"/>
</calcChain>
</file>

<file path=xl/sharedStrings.xml><?xml version="1.0" encoding="utf-8"?>
<sst xmlns="http://schemas.openxmlformats.org/spreadsheetml/2006/main" count="168" uniqueCount="94">
  <si>
    <t>Experiment 8.</t>
  </si>
  <si>
    <t>Blue Cells have instructions.</t>
  </si>
  <si>
    <t>Enter data in yellow cells.</t>
  </si>
  <si>
    <t>Keep going until you hit the Finish Line.</t>
  </si>
  <si>
    <t>Table 8.2 Distribution of Demander Types</t>
  </si>
  <si>
    <t>Buyer V.</t>
  </si>
  <si>
    <t>Number of Buyers</t>
  </si>
  <si>
    <t>owner id</t>
  </si>
  <si>
    <t>buyer val</t>
  </si>
  <si>
    <t>price</t>
  </si>
  <si>
    <t>Sort the data above by owner ID</t>
  </si>
  <si>
    <t>Then count the number of different restaurants.</t>
  </si>
  <si>
    <t>Enter that number below.</t>
  </si>
  <si>
    <t>number of restaurants equals</t>
  </si>
  <si>
    <t>Copy and paste the data from Session 1, Round 1 below.</t>
  </si>
  <si>
    <t>Copy and paste the data from Session 1, Round 2 below.</t>
  </si>
  <si>
    <t>number of meals sold</t>
  </si>
  <si>
    <t xml:space="preserve">mean price </t>
  </si>
  <si>
    <t>restaurant's profits</t>
  </si>
  <si>
    <t>quantity</t>
  </si>
  <si>
    <t>demand</t>
  </si>
  <si>
    <t>supply</t>
  </si>
  <si>
    <t>price 1</t>
  </si>
  <si>
    <t>price 2</t>
  </si>
  <si>
    <t>Homework for Experiment 8</t>
  </si>
  <si>
    <t>Problem 8.1</t>
  </si>
  <si>
    <t>Number of restaurants opened:</t>
  </si>
  <si>
    <t>Session 1, Round 1</t>
  </si>
  <si>
    <t>Session 1, Round 2</t>
  </si>
  <si>
    <t>Part a.</t>
  </si>
  <si>
    <t>Part b), c), and d).</t>
  </si>
  <si>
    <t>Figure 8.4:  Short-Run Supply and Demand-Session 1</t>
  </si>
  <si>
    <t>Table 8.7:  Competitive Equilibrium Predictions, Session 1</t>
  </si>
  <si>
    <t>Short-Run Competitive</t>
  </si>
  <si>
    <t>Equilibrium in First Round</t>
  </si>
  <si>
    <t>Mean</t>
  </si>
  <si>
    <t>Price</t>
  </si>
  <si>
    <t>Number of</t>
  </si>
  <si>
    <t xml:space="preserve">Meals </t>
  </si>
  <si>
    <t>Restaurants'</t>
  </si>
  <si>
    <t>Total Profit</t>
  </si>
  <si>
    <t>Equilibrium in the Last Round</t>
  </si>
  <si>
    <t>Long-Run Competitive</t>
  </si>
  <si>
    <t>Equilibrium</t>
  </si>
  <si>
    <t>Go to homework answer worksheet.</t>
  </si>
  <si>
    <t>Look at Figure 8.4.  Does it look right?</t>
  </si>
  <si>
    <t>Now fill in Table 8.7.  Does either of the short-run</t>
  </si>
  <si>
    <t xml:space="preserve">range in the table.  Also, figure the range for </t>
  </si>
  <si>
    <t xml:space="preserve">profits.  </t>
  </si>
  <si>
    <t>Is the number of buyers with buyer value of $12</t>
  </si>
  <si>
    <t>or more divisible by 4?  If so, the long-run</t>
  </si>
  <si>
    <t>If not, the long-run equilibrium price is $12.</t>
  </si>
  <si>
    <t>When calculating profits, remember that each</t>
  </si>
  <si>
    <t>meal costs $5 and there is a $20 fixed cost.</t>
  </si>
  <si>
    <t>equilibria have a price range?  If so, put that</t>
  </si>
  <si>
    <t>equilibrium has a price range from $10-$12,</t>
  </si>
  <si>
    <t>and the number of restaurants is the number of</t>
  </si>
  <si>
    <t xml:space="preserve">those buyers divided by 4.  </t>
  </si>
  <si>
    <t>The number of restaurants is the greater integer</t>
  </si>
  <si>
    <t>less than the number of $12+ buyers divided by 4.</t>
  </si>
  <si>
    <t>If you have a range for prices and profits,</t>
  </si>
  <si>
    <t>put that range in the table.</t>
  </si>
  <si>
    <t>Table 8.8:  Experimental Outcomes, Session 1</t>
  </si>
  <si>
    <t>Meals</t>
  </si>
  <si>
    <t>Total Profits</t>
  </si>
  <si>
    <t>Session 1, First Round</t>
  </si>
  <si>
    <t>Session 2, Last Round</t>
  </si>
  <si>
    <t>Copy and paste the data from Session 2, Round 1 below.</t>
  </si>
  <si>
    <t>Copy and paste the data from Session 2, Round 2 below.</t>
  </si>
  <si>
    <t>Problem 8.4</t>
  </si>
  <si>
    <t>Number of Restaurants:</t>
  </si>
  <si>
    <t>Session 2, Round 1</t>
  </si>
  <si>
    <t>Session 2, Round 2</t>
  </si>
  <si>
    <t>Part a)</t>
  </si>
  <si>
    <t>Part b)</t>
  </si>
  <si>
    <t>With a $3 sales tax, restaurants have a variable cost of $8 per meal.</t>
  </si>
  <si>
    <t>Each restaurant that is open will want to supply 0 meals if</t>
  </si>
  <si>
    <t>the price is below $8, and 4 meals if the price is greater than $8.</t>
  </si>
  <si>
    <t>Figure 8.5:  Short-Run Supply and Demand-Session 2</t>
  </si>
  <si>
    <t>Part c), d), and e).</t>
  </si>
  <si>
    <t>Look at Figure 8.5.  Does it look right?</t>
  </si>
  <si>
    <t>Is the number of buyers with buyer value of $18</t>
  </si>
  <si>
    <t>equilibrium has a price range from $13-$18,</t>
  </si>
  <si>
    <t>If not, the long-run equilibrium price is $18.</t>
  </si>
  <si>
    <t>less than the number of $18+ buyers divided by 4.</t>
  </si>
  <si>
    <t>meal now costs $8.  There is still a $20 fixed cost.</t>
  </si>
  <si>
    <t>Problem 8.5</t>
  </si>
  <si>
    <t>Table 8.9 Competitive Equilibrium Predictions, Session 2</t>
  </si>
  <si>
    <t xml:space="preserve">Short-Run Competitive </t>
  </si>
  <si>
    <t>Equilibrium in Last Round</t>
  </si>
  <si>
    <t>Table 8.10:  Experimental Outcomes, Session 2</t>
  </si>
  <si>
    <t>Finish Line!!!!</t>
  </si>
  <si>
    <t>How many more of these things do I have</t>
  </si>
  <si>
    <t>to do?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</si>
</sst>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72" formatCode="&quot;$&quot;#,##0.00"/>
    <numFmt numFmtId="173" formatCode="&quot;$&quot;#,##0"/>
  </numFmts>
  <fonts count="3" x14ac:knownFonts="1">
    <font>
      <sz val="10"/>
      <name val="Arial"/>
    </font>
    <font>
      <b/>
      <sz val="12"/>
      <name val="Arial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</patternFill>
    </fill>
    <fill>
      <patternFill patternType="solid">
        <fgColor indexed="31"/>
        <bgColor indexed="31"/>
      </patternFill>
    </fill>
    <fill>
      <patternFill patternType="solid">
        <fgColor indexed="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172" fontId="0" fillId="0" borderId="0" xfId="0" applyNumberFormat="1"/>
    <xf numFmtId="0" fontId="2" fillId="2" borderId="0" xfId="0" applyFont="1" applyFill="1"/>
    <xf numFmtId="165" fontId="0" fillId="0" borderId="0" xfId="0" applyNumberFormat="1"/>
    <xf numFmtId="1" fontId="0" fillId="0" borderId="0" xfId="0" applyNumberFormat="1"/>
    <xf numFmtId="0" fontId="0" fillId="5" borderId="0" xfId="0" applyFill="1"/>
    <xf numFmtId="0" fontId="0" fillId="6" borderId="0" xfId="0" applyFill="1"/>
    <xf numFmtId="17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97028231020096"/>
          <c:y val="7.8226630086543042E-2"/>
          <c:w val="0.75474242400448099"/>
          <c:h val="0.70615390402446954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Graphs!$A$3:$A$20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16</c:v>
                </c:pt>
                <c:pt idx="17">
                  <c:v>16</c:v>
                </c:pt>
              </c:numCache>
            </c:numRef>
          </c:xVal>
          <c:yVal>
            <c:numRef>
              <c:f>Graphs!$B$3:$B$20</c:f>
              <c:numCache>
                <c:formatCode>General</c:formatCode>
                <c:ptCount val="18"/>
                <c:pt idx="0">
                  <c:v>30</c:v>
                </c:pt>
                <c:pt idx="1">
                  <c:v>24</c:v>
                </c:pt>
                <c:pt idx="2">
                  <c:v>24</c:v>
                </c:pt>
                <c:pt idx="3">
                  <c:v>18</c:v>
                </c:pt>
                <c:pt idx="4">
                  <c:v>18</c:v>
                </c:pt>
                <c:pt idx="5">
                  <c:v>12</c:v>
                </c:pt>
                <c:pt idx="6">
                  <c:v>12</c:v>
                </c:pt>
                <c:pt idx="7">
                  <c:v>8</c:v>
                </c:pt>
                <c:pt idx="8">
                  <c:v>8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E-4E69-92F1-8A88131C94BD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Graphs!$A$3:$A$20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16</c:v>
                </c:pt>
                <c:pt idx="17">
                  <c:v>16</c:v>
                </c:pt>
              </c:numCache>
            </c:numRef>
          </c:xVal>
          <c:yVal>
            <c:numRef>
              <c:f>Graphs!$C$3:$C$20</c:f>
              <c:numCache>
                <c:formatCode>General</c:formatCode>
                <c:ptCount val="18"/>
                <c:pt idx="10">
                  <c:v>0</c:v>
                </c:pt>
                <c:pt idx="11">
                  <c:v>5</c:v>
                </c:pt>
                <c:pt idx="12">
                  <c:v>5</c:v>
                </c:pt>
                <c:pt idx="1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1E-4E69-92F1-8A88131C94BD}"/>
            </c:ext>
          </c:extLst>
        </c:ser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Graphs!$A$3:$A$20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16</c:v>
                </c:pt>
                <c:pt idx="17">
                  <c:v>16</c:v>
                </c:pt>
              </c:numCache>
            </c:numRef>
          </c:xVal>
          <c:yVal>
            <c:numRef>
              <c:f>Graphs!$D$3:$D$20</c:f>
              <c:numCache>
                <c:formatCode>General</c:formatCode>
                <c:ptCount val="18"/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1E-4E69-92F1-8A88131C9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324239"/>
        <c:axId val="1"/>
      </c:scatterChart>
      <c:valAx>
        <c:axId val="944324239"/>
        <c:scaling>
          <c:orientation val="minMax"/>
          <c:max val="6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Meals</a:t>
                </a:r>
              </a:p>
            </c:rich>
          </c:tx>
          <c:layout>
            <c:manualLayout>
              <c:xMode val="edge"/>
              <c:yMode val="edge"/>
              <c:x val="0.42196962796614162"/>
              <c:y val="0.879521030162213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ax val="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of Meals</a:t>
                </a:r>
              </a:p>
            </c:rich>
          </c:tx>
          <c:layout>
            <c:manualLayout>
              <c:xMode val="edge"/>
              <c:yMode val="edge"/>
              <c:x val="3.7737121200224044E-2"/>
              <c:y val="0.28330725490802072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432423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33051156179625"/>
          <c:y val="7.6925502593092498E-2"/>
          <c:w val="0.75557877165425646"/>
          <c:h val="0.71104113207669273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Graphs!$A$31:$A$48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12</c:v>
                </c:pt>
              </c:numCache>
            </c:numRef>
          </c:xVal>
          <c:yVal>
            <c:numRef>
              <c:f>Graphs!$B$31:$B$48</c:f>
              <c:numCache>
                <c:formatCode>General</c:formatCode>
                <c:ptCount val="18"/>
                <c:pt idx="0">
                  <c:v>30</c:v>
                </c:pt>
                <c:pt idx="1">
                  <c:v>24</c:v>
                </c:pt>
                <c:pt idx="2">
                  <c:v>24</c:v>
                </c:pt>
                <c:pt idx="3">
                  <c:v>18</c:v>
                </c:pt>
                <c:pt idx="4">
                  <c:v>18</c:v>
                </c:pt>
                <c:pt idx="5">
                  <c:v>12</c:v>
                </c:pt>
                <c:pt idx="6">
                  <c:v>12</c:v>
                </c:pt>
                <c:pt idx="7">
                  <c:v>8</c:v>
                </c:pt>
                <c:pt idx="8">
                  <c:v>8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C-4CFC-8062-D8FC668089BA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Graphs!$A$31:$A$48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12</c:v>
                </c:pt>
              </c:numCache>
            </c:numRef>
          </c:xVal>
          <c:yVal>
            <c:numRef>
              <c:f>Graphs!$C$31:$C$48</c:f>
              <c:numCache>
                <c:formatCode>General</c:formatCode>
                <c:ptCount val="18"/>
                <c:pt idx="10">
                  <c:v>0</c:v>
                </c:pt>
                <c:pt idx="11">
                  <c:v>8</c:v>
                </c:pt>
                <c:pt idx="12">
                  <c:v>8</c:v>
                </c:pt>
                <c:pt idx="1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C-4CFC-8062-D8FC668089BA}"/>
            </c:ext>
          </c:extLst>
        </c:ser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Graphs!$A$31:$A$48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12</c:v>
                </c:pt>
              </c:numCache>
            </c:numRef>
          </c:xVal>
          <c:yVal>
            <c:numRef>
              <c:f>Graphs!$D$31:$D$48</c:f>
              <c:numCache>
                <c:formatCode>General</c:formatCode>
                <c:ptCount val="18"/>
                <c:pt idx="14">
                  <c:v>0</c:v>
                </c:pt>
                <c:pt idx="15">
                  <c:v>8</c:v>
                </c:pt>
                <c:pt idx="16">
                  <c:v>8</c:v>
                </c:pt>
                <c:pt idx="17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1C-4CFC-8062-D8FC6680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052559"/>
        <c:axId val="1"/>
      </c:scatterChart>
      <c:valAx>
        <c:axId val="941052559"/>
        <c:scaling>
          <c:orientation val="minMax"/>
          <c:max val="6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Meals</a:t>
                </a:r>
              </a:p>
            </c:rich>
          </c:tx>
          <c:layout>
            <c:manualLayout>
              <c:xMode val="edge"/>
              <c:yMode val="edge"/>
              <c:x val="0.42223519592443742"/>
              <c:y val="0.881524678364086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ax val="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of Meals</a:t>
                </a:r>
              </a:p>
            </c:rich>
          </c:tx>
          <c:layout>
            <c:manualLayout>
              <c:xMode val="edge"/>
              <c:yMode val="edge"/>
              <c:x val="3.7607993159261631E-2"/>
              <c:y val="0.2869113339958585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10525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33051156179625"/>
          <c:y val="7.7897329282520064E-2"/>
          <c:w val="0.75557877165425646"/>
          <c:h val="0.70739196321423625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Graphs!$A$3:$A$20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16</c:v>
                </c:pt>
                <c:pt idx="17">
                  <c:v>16</c:v>
                </c:pt>
              </c:numCache>
            </c:numRef>
          </c:xVal>
          <c:yVal>
            <c:numRef>
              <c:f>Graphs!$B$3:$B$20</c:f>
              <c:numCache>
                <c:formatCode>General</c:formatCode>
                <c:ptCount val="18"/>
                <c:pt idx="0">
                  <c:v>30</c:v>
                </c:pt>
                <c:pt idx="1">
                  <c:v>24</c:v>
                </c:pt>
                <c:pt idx="2">
                  <c:v>24</c:v>
                </c:pt>
                <c:pt idx="3">
                  <c:v>18</c:v>
                </c:pt>
                <c:pt idx="4">
                  <c:v>18</c:v>
                </c:pt>
                <c:pt idx="5">
                  <c:v>12</c:v>
                </c:pt>
                <c:pt idx="6">
                  <c:v>12</c:v>
                </c:pt>
                <c:pt idx="7">
                  <c:v>8</c:v>
                </c:pt>
                <c:pt idx="8">
                  <c:v>8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5-4C26-BC10-B8C4DD796872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Graphs!$A$3:$A$20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16</c:v>
                </c:pt>
                <c:pt idx="17">
                  <c:v>16</c:v>
                </c:pt>
              </c:numCache>
            </c:numRef>
          </c:xVal>
          <c:yVal>
            <c:numRef>
              <c:f>Graphs!$C$3:$C$20</c:f>
              <c:numCache>
                <c:formatCode>General</c:formatCode>
                <c:ptCount val="18"/>
                <c:pt idx="10">
                  <c:v>0</c:v>
                </c:pt>
                <c:pt idx="11">
                  <c:v>5</c:v>
                </c:pt>
                <c:pt idx="12">
                  <c:v>5</c:v>
                </c:pt>
                <c:pt idx="1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75-4C26-BC10-B8C4DD796872}"/>
            </c:ext>
          </c:extLst>
        </c:ser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Graphs!$A$3:$A$20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20</c:v>
                </c:pt>
                <c:pt idx="13">
                  <c:v>20</c:v>
                </c:pt>
                <c:pt idx="14">
                  <c:v>0</c:v>
                </c:pt>
                <c:pt idx="15">
                  <c:v>0</c:v>
                </c:pt>
                <c:pt idx="16">
                  <c:v>16</c:v>
                </c:pt>
                <c:pt idx="17">
                  <c:v>16</c:v>
                </c:pt>
              </c:numCache>
            </c:numRef>
          </c:xVal>
          <c:yVal>
            <c:numRef>
              <c:f>Graphs!$D$3:$D$20</c:f>
              <c:numCache>
                <c:formatCode>General</c:formatCode>
                <c:ptCount val="18"/>
                <c:pt idx="14">
                  <c:v>0</c:v>
                </c:pt>
                <c:pt idx="15">
                  <c:v>5</c:v>
                </c:pt>
                <c:pt idx="16">
                  <c:v>5</c:v>
                </c:pt>
                <c:pt idx="17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75-4C26-BC10-B8C4DD796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050895"/>
        <c:axId val="1"/>
      </c:scatterChart>
      <c:valAx>
        <c:axId val="941050895"/>
        <c:scaling>
          <c:orientation val="minMax"/>
          <c:max val="6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Meals</a:t>
                </a:r>
              </a:p>
            </c:rich>
          </c:tx>
          <c:layout>
            <c:manualLayout>
              <c:xMode val="edge"/>
              <c:yMode val="edge"/>
              <c:x val="0.42223519592443742"/>
              <c:y val="0.8800292875700915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ax val="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of Meals</a:t>
                </a:r>
              </a:p>
            </c:rich>
          </c:tx>
          <c:layout>
            <c:manualLayout>
              <c:xMode val="edge"/>
              <c:yMode val="edge"/>
              <c:x val="3.7607993159261631E-2"/>
              <c:y val="0.28421998522000563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105089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633051156179625"/>
          <c:y val="7.6765944837393713E-2"/>
          <c:w val="0.75557877165425646"/>
          <c:h val="0.71164105619529849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Graphs!$A$31:$A$48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12</c:v>
                </c:pt>
              </c:numCache>
            </c:numRef>
          </c:xVal>
          <c:yVal>
            <c:numRef>
              <c:f>Graphs!$B$31:$B$48</c:f>
              <c:numCache>
                <c:formatCode>General</c:formatCode>
                <c:ptCount val="18"/>
                <c:pt idx="0">
                  <c:v>30</c:v>
                </c:pt>
                <c:pt idx="1">
                  <c:v>24</c:v>
                </c:pt>
                <c:pt idx="2">
                  <c:v>24</c:v>
                </c:pt>
                <c:pt idx="3">
                  <c:v>18</c:v>
                </c:pt>
                <c:pt idx="4">
                  <c:v>18</c:v>
                </c:pt>
                <c:pt idx="5">
                  <c:v>12</c:v>
                </c:pt>
                <c:pt idx="6">
                  <c:v>12</c:v>
                </c:pt>
                <c:pt idx="7">
                  <c:v>8</c:v>
                </c:pt>
                <c:pt idx="8">
                  <c:v>8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83-4704-AAE1-02846BA18533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Graphs!$A$31:$A$48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12</c:v>
                </c:pt>
              </c:numCache>
            </c:numRef>
          </c:xVal>
          <c:yVal>
            <c:numRef>
              <c:f>Graphs!$C$31:$C$48</c:f>
              <c:numCache>
                <c:formatCode>General</c:formatCode>
                <c:ptCount val="18"/>
                <c:pt idx="10">
                  <c:v>0</c:v>
                </c:pt>
                <c:pt idx="11">
                  <c:v>8</c:v>
                </c:pt>
                <c:pt idx="12">
                  <c:v>8</c:v>
                </c:pt>
                <c:pt idx="1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83-4704-AAE1-02846BA18533}"/>
            </c:ext>
          </c:extLst>
        </c:ser>
        <c:ser>
          <c:idx val="2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Graphs!$A$31:$A$48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15</c:v>
                </c:pt>
                <c:pt idx="7">
                  <c:v>15</c:v>
                </c:pt>
                <c:pt idx="8">
                  <c:v>22</c:v>
                </c:pt>
                <c:pt idx="9">
                  <c:v>22</c:v>
                </c:pt>
                <c:pt idx="10">
                  <c:v>0</c:v>
                </c:pt>
                <c:pt idx="11">
                  <c:v>0</c:v>
                </c:pt>
                <c:pt idx="12">
                  <c:v>16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12</c:v>
                </c:pt>
                <c:pt idx="17">
                  <c:v>12</c:v>
                </c:pt>
              </c:numCache>
            </c:numRef>
          </c:xVal>
          <c:yVal>
            <c:numRef>
              <c:f>Graphs!$D$31:$D$48</c:f>
              <c:numCache>
                <c:formatCode>General</c:formatCode>
                <c:ptCount val="18"/>
                <c:pt idx="14">
                  <c:v>0</c:v>
                </c:pt>
                <c:pt idx="15">
                  <c:v>8</c:v>
                </c:pt>
                <c:pt idx="16">
                  <c:v>8</c:v>
                </c:pt>
                <c:pt idx="17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83-4704-AAE1-02846BA18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1050063"/>
        <c:axId val="1"/>
      </c:scatterChart>
      <c:valAx>
        <c:axId val="941050063"/>
        <c:scaling>
          <c:orientation val="minMax"/>
          <c:max val="65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Meals</a:t>
                </a:r>
              </a:p>
            </c:rich>
          </c:tx>
          <c:layout>
            <c:manualLayout>
              <c:xMode val="edge"/>
              <c:yMode val="edge"/>
              <c:x val="0.42223519592443742"/>
              <c:y val="0.881770987997089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ax val="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of Meals</a:t>
                </a:r>
              </a:p>
            </c:rich>
          </c:tx>
          <c:layout>
            <c:manualLayout>
              <c:xMode val="edge"/>
              <c:yMode val="edge"/>
              <c:x val="3.7607993159261631E-2"/>
              <c:y val="0.2863162266908198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105006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</xdr:colOff>
      <xdr:row>1</xdr:row>
      <xdr:rowOff>152400</xdr:rowOff>
    </xdr:from>
    <xdr:to>
      <xdr:col>10</xdr:col>
      <xdr:colOff>247650</xdr:colOff>
      <xdr:row>20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BC23C85E-3375-4401-937B-493B1B9CC7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133350</xdr:colOff>
      <xdr:row>27</xdr:row>
      <xdr:rowOff>139700</xdr:rowOff>
    </xdr:from>
    <xdr:to>
      <xdr:col>10</xdr:col>
      <xdr:colOff>190500</xdr:colOff>
      <xdr:row>47</xdr:row>
      <xdr:rowOff>19050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70867EEC-8FC6-4C36-8B2A-1AA62ADB1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6</xdr:col>
      <xdr:colOff>57150</xdr:colOff>
      <xdr:row>28</xdr:row>
      <xdr:rowOff>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90A70551-EF3B-4F7D-B029-18CF68691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59</xdr:row>
      <xdr:rowOff>0</xdr:rowOff>
    </xdr:from>
    <xdr:to>
      <xdr:col>6</xdr:col>
      <xdr:colOff>57150</xdr:colOff>
      <xdr:row>78</xdr:row>
      <xdr:rowOff>44450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5877174C-7444-46A0-83E1-95E42A3E0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1"/>
  <sheetViews>
    <sheetView workbookViewId="0">
      <selection activeCell="F267" sqref="F267"/>
    </sheetView>
  </sheetViews>
  <sheetFormatPr defaultRowHeight="12.5" x14ac:dyDescent="0.25"/>
  <sheetData>
    <row r="1" spans="1:7" ht="15.5" x14ac:dyDescent="0.35">
      <c r="A1" s="2" t="s">
        <v>0</v>
      </c>
      <c r="B1" s="2"/>
      <c r="C1" s="2"/>
      <c r="D1" s="2"/>
      <c r="E1" s="2"/>
      <c r="F1" s="2"/>
      <c r="G1" s="2"/>
    </row>
    <row r="2" spans="1:7" ht="15.5" x14ac:dyDescent="0.35">
      <c r="A2" s="2" t="s">
        <v>1</v>
      </c>
      <c r="B2" s="2"/>
      <c r="C2" s="2"/>
      <c r="D2" s="2"/>
      <c r="E2" s="2"/>
      <c r="F2" s="2"/>
      <c r="G2" s="2"/>
    </row>
    <row r="3" spans="1:7" ht="15.5" x14ac:dyDescent="0.35">
      <c r="A3" s="2" t="s">
        <v>2</v>
      </c>
      <c r="B3" s="2"/>
      <c r="C3" s="2"/>
      <c r="D3" s="2"/>
      <c r="E3" s="2"/>
      <c r="F3" s="2"/>
      <c r="G3" s="2"/>
    </row>
    <row r="4" spans="1:7" ht="15.5" x14ac:dyDescent="0.35">
      <c r="A4" s="2" t="s">
        <v>3</v>
      </c>
      <c r="B4" s="2"/>
      <c r="C4" s="2"/>
      <c r="D4" s="2"/>
      <c r="E4" s="2"/>
      <c r="F4" s="2"/>
      <c r="G4" s="2"/>
    </row>
    <row r="5" spans="1:7" ht="15.5" x14ac:dyDescent="0.35">
      <c r="A5" s="2"/>
      <c r="B5" s="2"/>
      <c r="C5" s="2"/>
      <c r="D5" s="2"/>
      <c r="E5" s="2"/>
      <c r="F5" s="2"/>
      <c r="G5" s="2"/>
    </row>
    <row r="6" spans="1:7" ht="15.5" x14ac:dyDescent="0.35">
      <c r="A6" s="2"/>
      <c r="B6" s="2"/>
      <c r="C6" s="2"/>
      <c r="D6" s="2"/>
      <c r="E6" s="2"/>
      <c r="F6" s="2"/>
      <c r="G6" s="2"/>
    </row>
    <row r="8" spans="1:7" x14ac:dyDescent="0.25">
      <c r="A8" t="s">
        <v>4</v>
      </c>
    </row>
    <row r="9" spans="1:7" x14ac:dyDescent="0.25">
      <c r="A9" t="s">
        <v>5</v>
      </c>
      <c r="B9" t="s">
        <v>6</v>
      </c>
    </row>
    <row r="10" spans="1:7" x14ac:dyDescent="0.25">
      <c r="A10">
        <v>24</v>
      </c>
      <c r="B10" s="3">
        <v>5</v>
      </c>
    </row>
    <row r="11" spans="1:7" x14ac:dyDescent="0.25">
      <c r="A11">
        <v>18</v>
      </c>
      <c r="B11" s="3">
        <v>5</v>
      </c>
    </row>
    <row r="12" spans="1:7" x14ac:dyDescent="0.25">
      <c r="A12">
        <v>12</v>
      </c>
      <c r="B12" s="3">
        <v>5</v>
      </c>
    </row>
    <row r="13" spans="1:7" x14ac:dyDescent="0.25">
      <c r="A13">
        <v>8</v>
      </c>
      <c r="B13" s="3">
        <v>7</v>
      </c>
    </row>
    <row r="17" spans="1:7" ht="15.5" x14ac:dyDescent="0.35">
      <c r="A17" s="2" t="s">
        <v>14</v>
      </c>
      <c r="B17" s="1"/>
      <c r="C17" s="1"/>
      <c r="D17" s="1"/>
      <c r="E17" s="1"/>
      <c r="F17" s="1"/>
      <c r="G17" s="1"/>
    </row>
    <row r="18" spans="1:7" x14ac:dyDescent="0.25">
      <c r="A18" t="s">
        <v>7</v>
      </c>
      <c r="B18" t="s">
        <v>8</v>
      </c>
      <c r="C18" t="s">
        <v>9</v>
      </c>
    </row>
    <row r="19" spans="1:7" x14ac:dyDescent="0.25">
      <c r="A19">
        <v>736</v>
      </c>
      <c r="B19" s="10">
        <v>18</v>
      </c>
      <c r="C19" s="10">
        <v>11</v>
      </c>
    </row>
    <row r="20" spans="1:7" x14ac:dyDescent="0.25">
      <c r="B20" s="10">
        <v>12</v>
      </c>
      <c r="C20" s="10">
        <v>11</v>
      </c>
    </row>
    <row r="21" spans="1:7" x14ac:dyDescent="0.25">
      <c r="B21" s="10">
        <v>24</v>
      </c>
      <c r="C21" s="10">
        <v>11</v>
      </c>
    </row>
    <row r="22" spans="1:7" x14ac:dyDescent="0.25">
      <c r="B22" s="10">
        <v>12</v>
      </c>
      <c r="C22" s="10">
        <v>10</v>
      </c>
    </row>
    <row r="23" spans="1:7" x14ac:dyDescent="0.25">
      <c r="A23">
        <v>728</v>
      </c>
      <c r="B23" s="10">
        <v>24</v>
      </c>
      <c r="C23" s="10">
        <v>11</v>
      </c>
    </row>
    <row r="24" spans="1:7" x14ac:dyDescent="0.25">
      <c r="B24" s="10">
        <v>18</v>
      </c>
      <c r="C24" s="10">
        <v>11</v>
      </c>
    </row>
    <row r="25" spans="1:7" x14ac:dyDescent="0.25">
      <c r="B25" s="10">
        <v>24</v>
      </c>
      <c r="C25" s="10">
        <v>11</v>
      </c>
    </row>
    <row r="26" spans="1:7" x14ac:dyDescent="0.25">
      <c r="B26" s="10">
        <v>18</v>
      </c>
      <c r="C26" s="10">
        <v>11</v>
      </c>
    </row>
    <row r="27" spans="1:7" x14ac:dyDescent="0.25">
      <c r="A27">
        <v>730</v>
      </c>
      <c r="B27" s="10">
        <v>18</v>
      </c>
      <c r="C27" s="10">
        <v>11.5</v>
      </c>
    </row>
    <row r="28" spans="1:7" x14ac:dyDescent="0.25">
      <c r="B28" s="10">
        <v>24</v>
      </c>
      <c r="C28" s="10">
        <v>11.5</v>
      </c>
    </row>
    <row r="29" spans="1:7" x14ac:dyDescent="0.25">
      <c r="B29" s="10">
        <v>12</v>
      </c>
      <c r="C29" s="10">
        <v>11.35</v>
      </c>
    </row>
    <row r="30" spans="1:7" x14ac:dyDescent="0.25">
      <c r="B30" s="10">
        <v>8</v>
      </c>
      <c r="C30" s="10">
        <v>8</v>
      </c>
    </row>
    <row r="31" spans="1:7" x14ac:dyDescent="0.25">
      <c r="A31">
        <v>740</v>
      </c>
      <c r="B31" s="10">
        <v>24</v>
      </c>
      <c r="C31" s="10">
        <v>11.25</v>
      </c>
    </row>
    <row r="32" spans="1:7" x14ac:dyDescent="0.25">
      <c r="B32" s="10">
        <v>8</v>
      </c>
      <c r="C32" s="10">
        <v>7.5</v>
      </c>
    </row>
    <row r="33" spans="1:3" x14ac:dyDescent="0.25">
      <c r="B33" s="10">
        <v>8</v>
      </c>
      <c r="C33" s="10">
        <v>7.25</v>
      </c>
    </row>
    <row r="34" spans="1:3" x14ac:dyDescent="0.25">
      <c r="B34" s="10">
        <v>8</v>
      </c>
      <c r="C34" s="10">
        <v>8</v>
      </c>
    </row>
    <row r="35" spans="1:3" x14ac:dyDescent="0.25">
      <c r="A35">
        <v>725</v>
      </c>
      <c r="B35" s="10">
        <v>18</v>
      </c>
      <c r="C35" s="10">
        <v>8</v>
      </c>
    </row>
    <row r="36" spans="1:3" x14ac:dyDescent="0.25">
      <c r="B36" s="10">
        <v>8</v>
      </c>
      <c r="C36" s="10">
        <v>8</v>
      </c>
    </row>
    <row r="37" spans="1:3" x14ac:dyDescent="0.25">
      <c r="B37" s="10">
        <v>12</v>
      </c>
      <c r="C37" s="10">
        <v>6</v>
      </c>
    </row>
    <row r="38" spans="1:3" x14ac:dyDescent="0.25">
      <c r="B38" s="10">
        <v>8</v>
      </c>
      <c r="C38" s="10">
        <v>6</v>
      </c>
    </row>
    <row r="54" spans="1:3" x14ac:dyDescent="0.25">
      <c r="A54" s="3"/>
      <c r="B54" s="3"/>
      <c r="C54" s="3"/>
    </row>
    <row r="55" spans="1:3" x14ac:dyDescent="0.25">
      <c r="A55" s="3"/>
      <c r="B55" s="3"/>
      <c r="C55" s="3"/>
    </row>
    <row r="56" spans="1:3" x14ac:dyDescent="0.25">
      <c r="A56" s="3"/>
      <c r="B56" s="3"/>
      <c r="C56" s="3"/>
    </row>
    <row r="57" spans="1:3" x14ac:dyDescent="0.25">
      <c r="A57" s="3"/>
      <c r="B57" s="3"/>
      <c r="C57" s="3"/>
    </row>
    <row r="58" spans="1:3" x14ac:dyDescent="0.25">
      <c r="A58" s="3"/>
      <c r="B58" s="3"/>
      <c r="C58" s="3"/>
    </row>
    <row r="59" spans="1:3" x14ac:dyDescent="0.25">
      <c r="A59" s="3"/>
      <c r="B59" s="3"/>
      <c r="C59" s="3"/>
    </row>
    <row r="60" spans="1:3" x14ac:dyDescent="0.25">
      <c r="A60" s="3"/>
      <c r="B60" s="3"/>
      <c r="C60" s="3"/>
    </row>
    <row r="61" spans="1:3" x14ac:dyDescent="0.25">
      <c r="A61" s="3"/>
      <c r="B61" s="3"/>
      <c r="C61" s="3"/>
    </row>
    <row r="62" spans="1:3" x14ac:dyDescent="0.25">
      <c r="A62" s="3"/>
      <c r="B62" s="3"/>
      <c r="C62" s="3"/>
    </row>
    <row r="63" spans="1:3" x14ac:dyDescent="0.25">
      <c r="A63" s="3"/>
      <c r="B63" s="3"/>
      <c r="C63" s="3"/>
    </row>
    <row r="65" spans="1:4" ht="15.5" x14ac:dyDescent="0.35">
      <c r="A65" s="2" t="s">
        <v>10</v>
      </c>
      <c r="B65" s="2"/>
      <c r="C65" s="2"/>
    </row>
    <row r="66" spans="1:4" ht="15.5" x14ac:dyDescent="0.35">
      <c r="A66" s="2" t="s">
        <v>11</v>
      </c>
      <c r="B66" s="2"/>
      <c r="C66" s="2"/>
    </row>
    <row r="67" spans="1:4" ht="15.5" x14ac:dyDescent="0.35">
      <c r="A67" s="2" t="s">
        <v>12</v>
      </c>
      <c r="B67" s="2"/>
      <c r="C67" s="2"/>
    </row>
    <row r="69" spans="1:4" x14ac:dyDescent="0.25">
      <c r="A69" t="s">
        <v>13</v>
      </c>
      <c r="D69">
        <v>5</v>
      </c>
    </row>
    <row r="70" spans="1:4" x14ac:dyDescent="0.25">
      <c r="A70" t="s">
        <v>16</v>
      </c>
      <c r="D70">
        <f>COUNT(C19:C53)</f>
        <v>20</v>
      </c>
    </row>
    <row r="71" spans="1:4" x14ac:dyDescent="0.25">
      <c r="A71" t="s">
        <v>17</v>
      </c>
      <c r="D71">
        <f>AVERAGE(C19:C53)</f>
        <v>9.567499999999999</v>
      </c>
    </row>
    <row r="72" spans="1:4" x14ac:dyDescent="0.25">
      <c r="A72" t="s">
        <v>18</v>
      </c>
      <c r="D72">
        <f>D71*D70-5*D70-20*D69</f>
        <v>-8.6500000000000341</v>
      </c>
    </row>
    <row r="75" spans="1:4" ht="15.5" x14ac:dyDescent="0.35">
      <c r="A75" s="2" t="s">
        <v>15</v>
      </c>
      <c r="B75" s="1"/>
      <c r="C75" s="1"/>
    </row>
    <row r="76" spans="1:4" x14ac:dyDescent="0.25">
      <c r="A76" t="s">
        <v>7</v>
      </c>
      <c r="B76" t="s">
        <v>8</v>
      </c>
      <c r="C76" t="s">
        <v>9</v>
      </c>
    </row>
    <row r="77" spans="1:4" x14ac:dyDescent="0.25">
      <c r="A77" s="4">
        <v>732</v>
      </c>
      <c r="B77" s="10">
        <v>24</v>
      </c>
      <c r="C77" s="10">
        <v>10</v>
      </c>
    </row>
    <row r="78" spans="1:4" x14ac:dyDescent="0.25">
      <c r="A78" s="4"/>
      <c r="B78" s="10">
        <v>12</v>
      </c>
      <c r="C78" s="10">
        <v>9</v>
      </c>
    </row>
    <row r="79" spans="1:4" x14ac:dyDescent="0.25">
      <c r="A79" s="4"/>
      <c r="B79" s="10">
        <v>18</v>
      </c>
      <c r="C79" s="10">
        <v>18</v>
      </c>
    </row>
    <row r="80" spans="1:4" x14ac:dyDescent="0.25">
      <c r="A80" s="4"/>
      <c r="B80" s="10">
        <v>8</v>
      </c>
      <c r="C80" s="10">
        <v>7</v>
      </c>
    </row>
    <row r="81" spans="1:3" x14ac:dyDescent="0.25">
      <c r="A81" s="4">
        <v>730</v>
      </c>
      <c r="B81" s="10">
        <v>12</v>
      </c>
      <c r="C81" s="10">
        <v>11</v>
      </c>
    </row>
    <row r="82" spans="1:3" x14ac:dyDescent="0.25">
      <c r="A82" s="4"/>
      <c r="B82" s="10">
        <v>18</v>
      </c>
      <c r="C82" s="10">
        <v>10.75</v>
      </c>
    </row>
    <row r="83" spans="1:3" x14ac:dyDescent="0.25">
      <c r="A83" s="4"/>
      <c r="B83" s="10">
        <v>24</v>
      </c>
      <c r="C83" s="10">
        <v>9</v>
      </c>
    </row>
    <row r="84" spans="1:3" x14ac:dyDescent="0.25">
      <c r="A84" s="4"/>
      <c r="B84" s="10">
        <v>8</v>
      </c>
      <c r="C84" s="10">
        <v>8</v>
      </c>
    </row>
    <row r="85" spans="1:3" x14ac:dyDescent="0.25">
      <c r="A85" s="4">
        <v>702</v>
      </c>
      <c r="B85" s="10">
        <v>18</v>
      </c>
      <c r="C85" s="10">
        <v>10.5</v>
      </c>
    </row>
    <row r="86" spans="1:3" x14ac:dyDescent="0.25">
      <c r="A86" s="4"/>
      <c r="B86" s="10">
        <v>12</v>
      </c>
      <c r="C86" s="10">
        <v>10.25</v>
      </c>
    </row>
    <row r="87" spans="1:3" x14ac:dyDescent="0.25">
      <c r="A87" s="4"/>
      <c r="B87" s="10">
        <v>24</v>
      </c>
      <c r="C87" s="10">
        <v>10.25</v>
      </c>
    </row>
    <row r="88" spans="1:3" x14ac:dyDescent="0.25">
      <c r="A88" s="4"/>
      <c r="B88" s="10">
        <v>18</v>
      </c>
      <c r="C88" s="10">
        <v>10</v>
      </c>
    </row>
    <row r="89" spans="1:3" x14ac:dyDescent="0.25">
      <c r="A89" s="4">
        <v>711</v>
      </c>
      <c r="B89" s="10">
        <v>24</v>
      </c>
      <c r="C89" s="10">
        <v>11</v>
      </c>
    </row>
    <row r="90" spans="1:3" x14ac:dyDescent="0.25">
      <c r="A90" s="4"/>
      <c r="B90" s="10">
        <v>12</v>
      </c>
      <c r="C90" s="10">
        <v>11</v>
      </c>
    </row>
    <row r="91" spans="1:3" x14ac:dyDescent="0.25">
      <c r="A91" s="4"/>
      <c r="B91" s="10">
        <v>18</v>
      </c>
      <c r="C91" s="10">
        <v>10.75</v>
      </c>
    </row>
    <row r="92" spans="1:3" x14ac:dyDescent="0.25">
      <c r="A92" s="4"/>
      <c r="B92" s="10">
        <v>12</v>
      </c>
      <c r="C92" s="10">
        <v>10.25</v>
      </c>
    </row>
    <row r="93" spans="1:3" x14ac:dyDescent="0.25">
      <c r="A93" s="4"/>
      <c r="B93" s="10"/>
      <c r="C93" s="10"/>
    </row>
    <row r="94" spans="1:3" x14ac:dyDescent="0.25">
      <c r="A94" s="4"/>
      <c r="B94" s="10"/>
      <c r="C94" s="10"/>
    </row>
    <row r="95" spans="1:3" x14ac:dyDescent="0.25">
      <c r="A95" s="4"/>
      <c r="B95" s="10"/>
      <c r="C95" s="10"/>
    </row>
    <row r="96" spans="1:3" x14ac:dyDescent="0.25">
      <c r="A96" s="4"/>
      <c r="B96" s="10"/>
      <c r="C96" s="10"/>
    </row>
    <row r="97" spans="1:6" x14ac:dyDescent="0.25">
      <c r="A97" s="4"/>
      <c r="B97" s="10"/>
      <c r="C97" s="10"/>
    </row>
    <row r="98" spans="1:6" x14ac:dyDescent="0.25">
      <c r="A98" s="4"/>
      <c r="B98" s="10"/>
      <c r="C98" s="10"/>
    </row>
    <row r="99" spans="1:6" x14ac:dyDescent="0.25">
      <c r="A99" s="4"/>
      <c r="B99" s="10"/>
      <c r="C99" s="10"/>
    </row>
    <row r="100" spans="1:6" x14ac:dyDescent="0.25">
      <c r="A100" s="4"/>
      <c r="B100" s="10"/>
      <c r="C100" s="10"/>
    </row>
    <row r="101" spans="1:6" x14ac:dyDescent="0.25">
      <c r="A101" s="4"/>
      <c r="B101" s="4"/>
      <c r="C101" s="4"/>
    </row>
    <row r="102" spans="1:6" x14ac:dyDescent="0.25">
      <c r="A102" s="4"/>
      <c r="B102" s="4"/>
      <c r="C102" s="4"/>
    </row>
    <row r="103" spans="1:6" x14ac:dyDescent="0.25">
      <c r="A103" s="4"/>
      <c r="B103" s="4"/>
      <c r="C103" s="4"/>
    </row>
    <row r="104" spans="1:6" x14ac:dyDescent="0.25">
      <c r="A104" s="4"/>
      <c r="B104" s="4"/>
      <c r="C104" s="4"/>
    </row>
    <row r="105" spans="1:6" x14ac:dyDescent="0.25">
      <c r="A105" s="4"/>
      <c r="B105" s="4"/>
      <c r="C105" s="4"/>
    </row>
    <row r="106" spans="1:6" x14ac:dyDescent="0.25">
      <c r="A106" s="4"/>
      <c r="B106" s="4"/>
      <c r="C106" s="4"/>
    </row>
    <row r="107" spans="1:6" x14ac:dyDescent="0.25">
      <c r="A107" s="4"/>
      <c r="B107" s="4"/>
      <c r="C107" s="4"/>
    </row>
    <row r="108" spans="1:6" x14ac:dyDescent="0.25">
      <c r="A108" s="4"/>
      <c r="B108" s="4"/>
      <c r="C108" s="4"/>
    </row>
    <row r="109" spans="1:6" x14ac:dyDescent="0.25">
      <c r="A109" s="4"/>
      <c r="B109" s="4"/>
      <c r="C109" s="4"/>
    </row>
    <row r="110" spans="1:6" x14ac:dyDescent="0.25">
      <c r="A110" s="4"/>
      <c r="B110" s="4"/>
      <c r="C110" s="4"/>
    </row>
    <row r="111" spans="1:6" x14ac:dyDescent="0.25">
      <c r="A111" s="3"/>
      <c r="B111" s="3"/>
      <c r="C111" s="3"/>
    </row>
    <row r="112" spans="1:6" ht="15.5" x14ac:dyDescent="0.35">
      <c r="A112" s="3"/>
      <c r="B112" s="3"/>
      <c r="C112" s="3"/>
      <c r="D112" s="2"/>
      <c r="E112" s="2"/>
      <c r="F112" s="2"/>
    </row>
    <row r="113" spans="1:7" ht="15.5" x14ac:dyDescent="0.35">
      <c r="A113" s="3"/>
      <c r="B113" s="3"/>
      <c r="C113" s="3"/>
      <c r="D113" s="2"/>
      <c r="E113" s="2"/>
      <c r="F113" s="2"/>
    </row>
    <row r="114" spans="1:7" ht="15.5" x14ac:dyDescent="0.35">
      <c r="A114" s="3"/>
      <c r="B114" s="3"/>
      <c r="C114" s="3"/>
      <c r="D114" s="2"/>
      <c r="E114" s="2"/>
      <c r="F114" s="2"/>
    </row>
    <row r="115" spans="1:7" ht="15.5" x14ac:dyDescent="0.35">
      <c r="A115" s="3"/>
      <c r="B115" s="3"/>
      <c r="C115" s="3"/>
      <c r="D115" s="2"/>
      <c r="E115" s="2"/>
      <c r="F115" s="2"/>
    </row>
    <row r="116" spans="1:7" ht="15.5" x14ac:dyDescent="0.35">
      <c r="A116" s="3"/>
      <c r="B116" s="3"/>
      <c r="C116" s="3"/>
      <c r="D116" s="2"/>
      <c r="E116" s="2"/>
      <c r="F116" s="2"/>
    </row>
    <row r="117" spans="1:7" ht="15.5" x14ac:dyDescent="0.35">
      <c r="A117" s="3"/>
      <c r="B117" s="3"/>
      <c r="C117" s="3"/>
      <c r="D117" s="2"/>
      <c r="E117" s="2"/>
      <c r="F117" s="2"/>
    </row>
    <row r="118" spans="1:7" ht="15.5" x14ac:dyDescent="0.35">
      <c r="A118" s="3"/>
      <c r="B118" s="3"/>
      <c r="C118" s="3"/>
      <c r="D118" s="2"/>
      <c r="E118" s="2"/>
      <c r="F118" s="2"/>
    </row>
    <row r="119" spans="1:7" x14ac:dyDescent="0.25">
      <c r="A119" s="3"/>
      <c r="B119" s="3"/>
      <c r="C119" s="3"/>
    </row>
    <row r="120" spans="1:7" x14ac:dyDescent="0.25">
      <c r="A120" s="3"/>
      <c r="B120" s="3"/>
      <c r="C120" s="3"/>
    </row>
    <row r="121" spans="1:7" x14ac:dyDescent="0.25">
      <c r="A121" s="3"/>
      <c r="B121" s="3"/>
      <c r="C121" s="3"/>
      <c r="D121" s="1"/>
      <c r="E121" s="1"/>
      <c r="F121" s="1"/>
      <c r="G121" s="1"/>
    </row>
    <row r="123" spans="1:7" ht="15.5" x14ac:dyDescent="0.35">
      <c r="A123" s="2" t="s">
        <v>10</v>
      </c>
      <c r="B123" s="2"/>
      <c r="C123" s="2"/>
    </row>
    <row r="124" spans="1:7" ht="15.5" x14ac:dyDescent="0.35">
      <c r="A124" s="2" t="s">
        <v>11</v>
      </c>
      <c r="B124" s="2"/>
      <c r="C124" s="2"/>
    </row>
    <row r="125" spans="1:7" ht="15.5" x14ac:dyDescent="0.35">
      <c r="A125" s="2" t="s">
        <v>12</v>
      </c>
      <c r="B125" s="2"/>
      <c r="C125" s="2"/>
    </row>
    <row r="127" spans="1:7" x14ac:dyDescent="0.25">
      <c r="A127" t="s">
        <v>13</v>
      </c>
      <c r="D127" s="3">
        <v>4</v>
      </c>
    </row>
    <row r="128" spans="1:7" x14ac:dyDescent="0.25">
      <c r="A128" t="s">
        <v>16</v>
      </c>
      <c r="D128">
        <f>COUNT(C77:C122)</f>
        <v>16</v>
      </c>
    </row>
    <row r="129" spans="1:4" x14ac:dyDescent="0.25">
      <c r="A129" t="s">
        <v>17</v>
      </c>
      <c r="D129">
        <f>AVERAGE(C77:C122)</f>
        <v>10.421875</v>
      </c>
    </row>
    <row r="130" spans="1:4" x14ac:dyDescent="0.25">
      <c r="A130" t="s">
        <v>18</v>
      </c>
      <c r="D130" s="5">
        <f>D128*D129-5*D128-20*D127</f>
        <v>6.75</v>
      </c>
    </row>
    <row r="132" spans="1:4" ht="15.5" x14ac:dyDescent="0.35">
      <c r="A132" s="2" t="s">
        <v>44</v>
      </c>
      <c r="B132" s="2"/>
      <c r="C132" s="2"/>
    </row>
    <row r="133" spans="1:4" ht="15.5" x14ac:dyDescent="0.35">
      <c r="A133" s="2" t="s">
        <v>45</v>
      </c>
      <c r="B133" s="2"/>
      <c r="C133" s="2"/>
    </row>
    <row r="134" spans="1:4" ht="15.5" x14ac:dyDescent="0.35">
      <c r="A134" s="2" t="s">
        <v>46</v>
      </c>
      <c r="B134" s="2"/>
      <c r="C134" s="2"/>
    </row>
    <row r="135" spans="1:4" ht="15.5" x14ac:dyDescent="0.35">
      <c r="A135" s="2" t="s">
        <v>54</v>
      </c>
      <c r="B135" s="2"/>
      <c r="C135" s="2"/>
    </row>
    <row r="136" spans="1:4" ht="15.5" x14ac:dyDescent="0.35">
      <c r="A136" s="2" t="s">
        <v>47</v>
      </c>
      <c r="B136" s="2"/>
      <c r="C136" s="2"/>
    </row>
    <row r="137" spans="1:4" ht="15.5" x14ac:dyDescent="0.35">
      <c r="A137" s="2" t="s">
        <v>48</v>
      </c>
      <c r="B137" s="2"/>
      <c r="C137" s="2"/>
    </row>
    <row r="138" spans="1:4" ht="15.5" x14ac:dyDescent="0.35">
      <c r="A138" s="2" t="s">
        <v>49</v>
      </c>
      <c r="B138" s="2"/>
      <c r="C138" s="2"/>
    </row>
    <row r="139" spans="1:4" ht="15.5" x14ac:dyDescent="0.35">
      <c r="A139" s="2" t="s">
        <v>50</v>
      </c>
      <c r="B139" s="2"/>
      <c r="C139" s="2"/>
    </row>
    <row r="140" spans="1:4" ht="15.5" x14ac:dyDescent="0.35">
      <c r="A140" s="2" t="s">
        <v>55</v>
      </c>
      <c r="B140" s="2"/>
      <c r="C140" s="2"/>
    </row>
    <row r="141" spans="1:4" ht="15.5" x14ac:dyDescent="0.35">
      <c r="A141" s="2" t="s">
        <v>56</v>
      </c>
      <c r="B141" s="2"/>
      <c r="C141" s="2"/>
    </row>
    <row r="142" spans="1:4" ht="15.5" x14ac:dyDescent="0.35">
      <c r="A142" s="2" t="s">
        <v>57</v>
      </c>
      <c r="B142" s="2"/>
      <c r="C142" s="2"/>
    </row>
    <row r="143" spans="1:4" ht="15.5" x14ac:dyDescent="0.35">
      <c r="A143" s="2" t="s">
        <v>51</v>
      </c>
      <c r="B143" s="2"/>
      <c r="C143" s="2"/>
    </row>
    <row r="144" spans="1:4" ht="15.5" x14ac:dyDescent="0.35">
      <c r="A144" s="2" t="s">
        <v>58</v>
      </c>
      <c r="B144" s="2"/>
      <c r="C144" s="2"/>
    </row>
    <row r="145" spans="1:3" ht="15.5" x14ac:dyDescent="0.35">
      <c r="A145" s="2" t="s">
        <v>59</v>
      </c>
      <c r="B145" s="2"/>
      <c r="C145" s="2"/>
    </row>
    <row r="146" spans="1:3" ht="15.5" x14ac:dyDescent="0.35">
      <c r="A146" s="2" t="s">
        <v>52</v>
      </c>
      <c r="B146" s="2"/>
      <c r="C146" s="2"/>
    </row>
    <row r="147" spans="1:3" ht="15.5" x14ac:dyDescent="0.35">
      <c r="A147" s="2" t="s">
        <v>53</v>
      </c>
      <c r="B147" s="2"/>
      <c r="C147" s="2"/>
    </row>
    <row r="148" spans="1:3" ht="15.5" x14ac:dyDescent="0.35">
      <c r="A148" s="2" t="s">
        <v>60</v>
      </c>
      <c r="B148" s="2"/>
      <c r="C148" s="2"/>
    </row>
    <row r="149" spans="1:3" ht="15.5" x14ac:dyDescent="0.35">
      <c r="A149" s="2" t="s">
        <v>61</v>
      </c>
      <c r="B149" s="2"/>
      <c r="C149" s="2"/>
    </row>
    <row r="150" spans="1:3" ht="15.5" x14ac:dyDescent="0.35">
      <c r="A150" s="2"/>
      <c r="B150" s="2"/>
      <c r="C150" s="2"/>
    </row>
    <row r="153" spans="1:3" ht="15.5" x14ac:dyDescent="0.35">
      <c r="A153" s="2" t="s">
        <v>67</v>
      </c>
      <c r="B153" s="1"/>
      <c r="C153" s="1"/>
    </row>
    <row r="154" spans="1:3" x14ac:dyDescent="0.25">
      <c r="A154" t="s">
        <v>7</v>
      </c>
      <c r="B154" t="s">
        <v>8</v>
      </c>
      <c r="C154" t="s">
        <v>9</v>
      </c>
    </row>
    <row r="155" spans="1:3" x14ac:dyDescent="0.25">
      <c r="A155" s="4">
        <v>736</v>
      </c>
      <c r="B155" s="10">
        <v>24</v>
      </c>
      <c r="C155" s="10">
        <v>10.5</v>
      </c>
    </row>
    <row r="156" spans="1:3" x14ac:dyDescent="0.25">
      <c r="A156" s="4"/>
      <c r="B156" s="10">
        <v>24</v>
      </c>
      <c r="C156" s="10">
        <v>8.01</v>
      </c>
    </row>
    <row r="157" spans="1:3" x14ac:dyDescent="0.25">
      <c r="A157" s="4"/>
      <c r="B157" s="10">
        <v>8</v>
      </c>
      <c r="C157" s="10">
        <v>8</v>
      </c>
    </row>
    <row r="158" spans="1:3" x14ac:dyDescent="0.25">
      <c r="A158" s="4"/>
      <c r="B158" s="10">
        <v>8</v>
      </c>
      <c r="C158" s="10">
        <v>7.5</v>
      </c>
    </row>
    <row r="159" spans="1:3" x14ac:dyDescent="0.25">
      <c r="A159" s="4">
        <v>723</v>
      </c>
      <c r="B159" s="10">
        <v>18</v>
      </c>
      <c r="C159" s="10">
        <v>10</v>
      </c>
    </row>
    <row r="160" spans="1:3" x14ac:dyDescent="0.25">
      <c r="A160" s="4"/>
      <c r="B160" s="10">
        <v>12</v>
      </c>
      <c r="C160" s="10">
        <v>10</v>
      </c>
    </row>
    <row r="161" spans="1:3" x14ac:dyDescent="0.25">
      <c r="A161" s="4"/>
      <c r="B161" s="10">
        <v>18</v>
      </c>
      <c r="C161" s="10">
        <v>8.01</v>
      </c>
    </row>
    <row r="162" spans="1:3" x14ac:dyDescent="0.25">
      <c r="A162" s="4"/>
      <c r="B162" s="10">
        <v>12</v>
      </c>
      <c r="C162" s="10">
        <v>13</v>
      </c>
    </row>
    <row r="163" spans="1:3" x14ac:dyDescent="0.25">
      <c r="A163" s="4">
        <v>702</v>
      </c>
      <c r="B163" s="10">
        <v>24</v>
      </c>
      <c r="C163" s="10">
        <v>14</v>
      </c>
    </row>
    <row r="164" spans="1:3" x14ac:dyDescent="0.25">
      <c r="A164" s="4"/>
      <c r="B164" s="10">
        <v>24</v>
      </c>
      <c r="C164" s="10">
        <v>10</v>
      </c>
    </row>
    <row r="165" spans="1:3" x14ac:dyDescent="0.25">
      <c r="A165" s="4"/>
      <c r="B165" s="10">
        <v>18</v>
      </c>
      <c r="C165" s="10">
        <v>8.01</v>
      </c>
    </row>
    <row r="166" spans="1:3" x14ac:dyDescent="0.25">
      <c r="A166" s="4"/>
      <c r="B166" s="10">
        <v>12</v>
      </c>
      <c r="C166" s="10">
        <v>8.01</v>
      </c>
    </row>
    <row r="167" spans="1:3" x14ac:dyDescent="0.25">
      <c r="A167" s="4">
        <v>711</v>
      </c>
      <c r="B167" s="10">
        <v>18</v>
      </c>
      <c r="C167" s="10">
        <v>13.5</v>
      </c>
    </row>
    <row r="168" spans="1:3" x14ac:dyDescent="0.25">
      <c r="A168" s="4"/>
      <c r="B168" s="10">
        <v>18</v>
      </c>
      <c r="C168" s="10">
        <v>10</v>
      </c>
    </row>
    <row r="169" spans="1:3" x14ac:dyDescent="0.25">
      <c r="A169" s="4"/>
      <c r="B169" s="10">
        <v>12</v>
      </c>
      <c r="C169" s="10">
        <v>9</v>
      </c>
    </row>
    <row r="170" spans="1:3" x14ac:dyDescent="0.25">
      <c r="A170" s="4"/>
      <c r="B170" s="10">
        <v>12</v>
      </c>
      <c r="C170" s="10">
        <v>8.75</v>
      </c>
    </row>
    <row r="171" spans="1:3" x14ac:dyDescent="0.25">
      <c r="A171" s="4"/>
      <c r="B171" s="10"/>
      <c r="C171" s="10"/>
    </row>
    <row r="172" spans="1:3" x14ac:dyDescent="0.25">
      <c r="A172" s="4"/>
      <c r="B172" s="10"/>
      <c r="C172" s="10"/>
    </row>
    <row r="173" spans="1:3" x14ac:dyDescent="0.25">
      <c r="A173" s="4"/>
      <c r="B173" s="10"/>
      <c r="C173" s="10"/>
    </row>
    <row r="174" spans="1:3" x14ac:dyDescent="0.25">
      <c r="A174" s="4"/>
      <c r="B174" s="10"/>
      <c r="C174" s="10"/>
    </row>
    <row r="175" spans="1:3" x14ac:dyDescent="0.25">
      <c r="A175" s="4"/>
      <c r="B175" s="10"/>
      <c r="C175" s="10"/>
    </row>
    <row r="176" spans="1:3" x14ac:dyDescent="0.25">
      <c r="A176" s="4"/>
      <c r="B176" s="10"/>
      <c r="C176" s="10"/>
    </row>
    <row r="177" spans="1:3" x14ac:dyDescent="0.25">
      <c r="A177" s="4"/>
      <c r="B177" s="10"/>
      <c r="C177" s="10"/>
    </row>
    <row r="178" spans="1:3" x14ac:dyDescent="0.25">
      <c r="A178" s="4"/>
      <c r="B178" s="4"/>
      <c r="C178" s="4"/>
    </row>
    <row r="179" spans="1:3" x14ac:dyDescent="0.25">
      <c r="A179" s="4"/>
      <c r="B179" s="4"/>
      <c r="C179" s="4"/>
    </row>
    <row r="180" spans="1:3" x14ac:dyDescent="0.25">
      <c r="A180" s="4"/>
      <c r="B180" s="4"/>
      <c r="C180" s="4"/>
    </row>
    <row r="181" spans="1:3" x14ac:dyDescent="0.25">
      <c r="A181" s="4"/>
      <c r="B181" s="4"/>
      <c r="C181" s="4"/>
    </row>
    <row r="182" spans="1:3" x14ac:dyDescent="0.25">
      <c r="A182" s="4"/>
      <c r="B182" s="4"/>
      <c r="C182" s="4"/>
    </row>
    <row r="183" spans="1:3" x14ac:dyDescent="0.25">
      <c r="A183" s="4"/>
      <c r="B183" s="4"/>
      <c r="C183" s="4"/>
    </row>
    <row r="184" spans="1:3" x14ac:dyDescent="0.25">
      <c r="A184" s="4"/>
      <c r="B184" s="4"/>
      <c r="C184" s="4"/>
    </row>
    <row r="185" spans="1:3" x14ac:dyDescent="0.25">
      <c r="A185" s="4"/>
      <c r="B185" s="4"/>
      <c r="C185" s="4"/>
    </row>
    <row r="186" spans="1:3" x14ac:dyDescent="0.25">
      <c r="A186" s="4"/>
      <c r="B186" s="4"/>
      <c r="C186" s="4"/>
    </row>
    <row r="187" spans="1:3" x14ac:dyDescent="0.25">
      <c r="A187" s="4"/>
      <c r="B187" s="4"/>
      <c r="C187" s="4"/>
    </row>
    <row r="188" spans="1:3" x14ac:dyDescent="0.25">
      <c r="A188" s="4"/>
      <c r="B188" s="4"/>
      <c r="C188" s="4"/>
    </row>
    <row r="189" spans="1:3" x14ac:dyDescent="0.25">
      <c r="A189" s="3"/>
      <c r="B189" s="3"/>
      <c r="C189" s="3"/>
    </row>
    <row r="190" spans="1:3" x14ac:dyDescent="0.25">
      <c r="A190" s="3"/>
      <c r="B190" s="3"/>
      <c r="C190" s="3"/>
    </row>
    <row r="191" spans="1:3" x14ac:dyDescent="0.25">
      <c r="A191" s="3"/>
      <c r="B191" s="3"/>
      <c r="C191" s="3"/>
    </row>
    <row r="192" spans="1:3" x14ac:dyDescent="0.25">
      <c r="A192" s="3"/>
      <c r="B192" s="3"/>
      <c r="C192" s="3"/>
    </row>
    <row r="193" spans="1:4" x14ac:dyDescent="0.25">
      <c r="A193" s="3"/>
      <c r="B193" s="3"/>
      <c r="C193" s="3"/>
    </row>
    <row r="194" spans="1:4" x14ac:dyDescent="0.25">
      <c r="A194" s="3"/>
      <c r="B194" s="3"/>
      <c r="C194" s="3"/>
    </row>
    <row r="195" spans="1:4" x14ac:dyDescent="0.25">
      <c r="A195" s="3"/>
      <c r="B195" s="3"/>
      <c r="C195" s="3"/>
    </row>
    <row r="196" spans="1:4" x14ac:dyDescent="0.25">
      <c r="A196" s="3"/>
      <c r="B196" s="3"/>
      <c r="C196" s="3"/>
    </row>
    <row r="197" spans="1:4" x14ac:dyDescent="0.25">
      <c r="A197" s="3"/>
      <c r="B197" s="3"/>
      <c r="C197" s="3"/>
    </row>
    <row r="198" spans="1:4" x14ac:dyDescent="0.25">
      <c r="A198" s="3"/>
      <c r="B198" s="3"/>
      <c r="C198" s="3"/>
    </row>
    <row r="199" spans="1:4" x14ac:dyDescent="0.25">
      <c r="A199" s="3"/>
      <c r="B199" s="3"/>
      <c r="C199" s="3"/>
    </row>
    <row r="201" spans="1:4" ht="15.5" x14ac:dyDescent="0.35">
      <c r="A201" s="2" t="s">
        <v>10</v>
      </c>
      <c r="B201" s="2"/>
      <c r="C201" s="2"/>
    </row>
    <row r="202" spans="1:4" ht="15.5" x14ac:dyDescent="0.35">
      <c r="A202" s="2" t="s">
        <v>11</v>
      </c>
      <c r="B202" s="2"/>
      <c r="C202" s="2"/>
    </row>
    <row r="203" spans="1:4" ht="15.5" x14ac:dyDescent="0.35">
      <c r="A203" s="2" t="s">
        <v>12</v>
      </c>
      <c r="B203" s="2"/>
      <c r="C203" s="2"/>
    </row>
    <row r="205" spans="1:4" x14ac:dyDescent="0.25">
      <c r="A205" t="s">
        <v>13</v>
      </c>
      <c r="D205">
        <v>4</v>
      </c>
    </row>
    <row r="206" spans="1:4" x14ac:dyDescent="0.25">
      <c r="A206" t="s">
        <v>16</v>
      </c>
      <c r="D206">
        <f>COUNT(C155:C200)</f>
        <v>16</v>
      </c>
    </row>
    <row r="207" spans="1:4" x14ac:dyDescent="0.25">
      <c r="A207" t="s">
        <v>17</v>
      </c>
      <c r="D207">
        <f>AVERAGE(C155:C200)</f>
        <v>9.7681250000000013</v>
      </c>
    </row>
    <row r="208" spans="1:4" x14ac:dyDescent="0.25">
      <c r="A208" t="s">
        <v>18</v>
      </c>
      <c r="D208">
        <f>D207*D206-8*D206-20*D205</f>
        <v>-51.70999999999998</v>
      </c>
    </row>
    <row r="211" spans="1:7" ht="15.5" x14ac:dyDescent="0.35">
      <c r="A211" s="2" t="s">
        <v>68</v>
      </c>
      <c r="B211" s="1"/>
      <c r="C211" s="1"/>
    </row>
    <row r="212" spans="1:7" x14ac:dyDescent="0.25">
      <c r="A212" t="s">
        <v>7</v>
      </c>
      <c r="B212" t="s">
        <v>8</v>
      </c>
      <c r="C212" t="s">
        <v>9</v>
      </c>
    </row>
    <row r="213" spans="1:7" x14ac:dyDescent="0.25">
      <c r="A213" s="4">
        <v>723</v>
      </c>
      <c r="B213" s="10">
        <v>18</v>
      </c>
      <c r="C213" s="10">
        <v>13</v>
      </c>
      <c r="D213" s="9"/>
    </row>
    <row r="214" spans="1:7" x14ac:dyDescent="0.25">
      <c r="A214" s="4"/>
      <c r="B214" s="10">
        <v>18</v>
      </c>
      <c r="C214" s="10">
        <v>13</v>
      </c>
      <c r="E214" s="10"/>
      <c r="F214" s="10"/>
      <c r="G214" s="10"/>
    </row>
    <row r="215" spans="1:7" x14ac:dyDescent="0.25">
      <c r="A215" s="4"/>
      <c r="B215" s="10">
        <v>12</v>
      </c>
      <c r="C215" s="10">
        <v>11.99</v>
      </c>
      <c r="E215" s="10"/>
      <c r="F215" s="10"/>
      <c r="G215" s="10"/>
    </row>
    <row r="216" spans="1:7" x14ac:dyDescent="0.25">
      <c r="A216" s="4"/>
      <c r="B216" s="10">
        <v>12</v>
      </c>
      <c r="C216" s="10">
        <v>11.99</v>
      </c>
      <c r="E216" s="10"/>
      <c r="F216" s="10"/>
      <c r="G216" s="10"/>
    </row>
    <row r="217" spans="1:7" x14ac:dyDescent="0.25">
      <c r="A217" s="4">
        <v>711</v>
      </c>
      <c r="B217" s="10">
        <v>18</v>
      </c>
      <c r="C217" s="10">
        <v>13.1</v>
      </c>
      <c r="E217" s="10"/>
      <c r="F217" s="10"/>
      <c r="G217" s="10"/>
    </row>
    <row r="218" spans="1:7" x14ac:dyDescent="0.25">
      <c r="A218" s="4"/>
      <c r="B218" s="10">
        <v>24</v>
      </c>
      <c r="C218" s="10">
        <v>12.9</v>
      </c>
    </row>
    <row r="219" spans="1:7" x14ac:dyDescent="0.25">
      <c r="A219" s="4"/>
      <c r="B219" s="10">
        <v>18</v>
      </c>
      <c r="C219" s="10">
        <v>13</v>
      </c>
      <c r="D219" s="9"/>
    </row>
    <row r="220" spans="1:7" x14ac:dyDescent="0.25">
      <c r="A220" s="4"/>
      <c r="B220" s="10">
        <v>24</v>
      </c>
      <c r="C220" s="10">
        <v>13.01</v>
      </c>
      <c r="E220" s="10"/>
      <c r="F220" s="10"/>
      <c r="G220" s="10"/>
    </row>
    <row r="221" spans="1:7" x14ac:dyDescent="0.25">
      <c r="A221" s="4">
        <v>728</v>
      </c>
      <c r="B221" s="10">
        <v>18</v>
      </c>
      <c r="C221" s="10">
        <v>13</v>
      </c>
      <c r="E221" s="10"/>
      <c r="F221" s="10"/>
      <c r="G221" s="10"/>
    </row>
    <row r="222" spans="1:7" x14ac:dyDescent="0.25">
      <c r="A222" s="4"/>
      <c r="B222" s="10">
        <v>24</v>
      </c>
      <c r="C222" s="10">
        <v>13</v>
      </c>
      <c r="E222" s="10"/>
      <c r="F222" s="10"/>
      <c r="G222" s="10"/>
    </row>
    <row r="223" spans="1:7" x14ac:dyDescent="0.25">
      <c r="A223" s="4"/>
      <c r="B223" s="10">
        <v>24</v>
      </c>
      <c r="C223" s="10">
        <v>13</v>
      </c>
      <c r="E223" s="10"/>
      <c r="F223" s="10"/>
      <c r="G223" s="10"/>
    </row>
    <row r="224" spans="1:7" x14ac:dyDescent="0.25">
      <c r="A224" s="4"/>
      <c r="B224" s="10">
        <v>24</v>
      </c>
      <c r="C224" s="10">
        <v>13</v>
      </c>
    </row>
    <row r="225" spans="1:7" x14ac:dyDescent="0.25">
      <c r="A225" s="4"/>
      <c r="B225" s="10"/>
      <c r="C225" s="10"/>
      <c r="D225" s="9"/>
    </row>
    <row r="226" spans="1:7" x14ac:dyDescent="0.25">
      <c r="A226" s="4"/>
      <c r="B226" s="10"/>
      <c r="C226" s="10"/>
      <c r="E226" s="10"/>
      <c r="F226" s="10"/>
      <c r="G226" s="10"/>
    </row>
    <row r="227" spans="1:7" x14ac:dyDescent="0.25">
      <c r="A227" s="4"/>
      <c r="B227" s="10"/>
      <c r="C227" s="10"/>
      <c r="E227" s="10"/>
      <c r="F227" s="10"/>
      <c r="G227" s="10"/>
    </row>
    <row r="228" spans="1:7" x14ac:dyDescent="0.25">
      <c r="A228" s="4"/>
      <c r="B228" s="10"/>
      <c r="C228" s="10"/>
      <c r="E228" s="10"/>
      <c r="F228" s="10"/>
      <c r="G228" s="10"/>
    </row>
    <row r="229" spans="1:7" x14ac:dyDescent="0.25">
      <c r="A229" s="4"/>
      <c r="B229" s="10"/>
      <c r="C229" s="10"/>
      <c r="E229" s="10"/>
      <c r="F229" s="10"/>
      <c r="G229" s="10"/>
    </row>
    <row r="230" spans="1:7" x14ac:dyDescent="0.25">
      <c r="A230" s="4"/>
      <c r="B230" s="10"/>
      <c r="C230" s="10"/>
    </row>
    <row r="231" spans="1:7" x14ac:dyDescent="0.25">
      <c r="A231" s="4"/>
      <c r="B231" s="10"/>
      <c r="C231" s="10"/>
    </row>
    <row r="232" spans="1:7" x14ac:dyDescent="0.25">
      <c r="A232" s="4"/>
      <c r="B232" s="4"/>
      <c r="C232" s="4"/>
    </row>
    <row r="233" spans="1:7" x14ac:dyDescent="0.25">
      <c r="A233" s="4"/>
      <c r="B233" s="4"/>
      <c r="C233" s="4"/>
    </row>
    <row r="234" spans="1:7" x14ac:dyDescent="0.25">
      <c r="A234" s="4"/>
      <c r="B234" s="4"/>
      <c r="C234" s="4"/>
    </row>
    <row r="235" spans="1:7" x14ac:dyDescent="0.25">
      <c r="A235" s="4"/>
      <c r="B235" s="4"/>
      <c r="C235" s="4"/>
    </row>
    <row r="236" spans="1:7" x14ac:dyDescent="0.25">
      <c r="A236" s="4"/>
      <c r="B236" s="4"/>
      <c r="C236" s="4"/>
    </row>
    <row r="237" spans="1:7" x14ac:dyDescent="0.25">
      <c r="A237" s="4"/>
      <c r="B237" s="4"/>
      <c r="C237" s="4"/>
    </row>
    <row r="238" spans="1:7" x14ac:dyDescent="0.25">
      <c r="A238" s="4"/>
      <c r="B238" s="4"/>
      <c r="C238" s="4"/>
    </row>
    <row r="239" spans="1:7" x14ac:dyDescent="0.25">
      <c r="A239" s="4"/>
      <c r="B239" s="4"/>
      <c r="C239" s="4"/>
    </row>
    <row r="240" spans="1:7" x14ac:dyDescent="0.25">
      <c r="A240" s="4"/>
      <c r="B240" s="4"/>
      <c r="C240" s="4"/>
    </row>
    <row r="241" spans="1:6" ht="15.5" x14ac:dyDescent="0.35">
      <c r="A241" s="4"/>
      <c r="B241" s="4"/>
      <c r="C241" s="4"/>
      <c r="D241" s="2"/>
      <c r="E241" s="2"/>
      <c r="F241" s="2"/>
    </row>
    <row r="242" spans="1:6" ht="15.5" x14ac:dyDescent="0.35">
      <c r="A242" s="4"/>
      <c r="B242" s="4"/>
      <c r="C242" s="4"/>
      <c r="D242" s="2"/>
      <c r="E242" s="2"/>
      <c r="F242" s="2"/>
    </row>
    <row r="243" spans="1:6" ht="15.5" x14ac:dyDescent="0.35">
      <c r="A243" s="4"/>
      <c r="B243" s="4"/>
      <c r="C243" s="4"/>
      <c r="D243" s="2"/>
      <c r="E243" s="2"/>
      <c r="F243" s="2"/>
    </row>
    <row r="244" spans="1:6" ht="15.5" x14ac:dyDescent="0.35">
      <c r="A244" s="4"/>
      <c r="B244" s="4"/>
      <c r="C244" s="4"/>
      <c r="D244" s="2"/>
      <c r="E244" s="2"/>
      <c r="F244" s="2"/>
    </row>
    <row r="245" spans="1:6" ht="15.5" x14ac:dyDescent="0.35">
      <c r="A245" s="4"/>
      <c r="B245" s="4"/>
      <c r="C245" s="4"/>
      <c r="D245" s="2"/>
      <c r="E245" s="2"/>
      <c r="F245" s="2"/>
    </row>
    <row r="246" spans="1:6" ht="15.5" x14ac:dyDescent="0.35">
      <c r="A246" s="4"/>
      <c r="B246" s="4"/>
      <c r="C246" s="4"/>
      <c r="D246" s="2"/>
      <c r="E246" s="2"/>
      <c r="F246" s="2"/>
    </row>
    <row r="247" spans="1:6" ht="15.5" x14ac:dyDescent="0.35">
      <c r="A247" s="3"/>
      <c r="B247" s="3"/>
      <c r="C247" s="3"/>
      <c r="D247" s="2"/>
      <c r="E247" s="2"/>
      <c r="F247" s="2"/>
    </row>
    <row r="248" spans="1:6" ht="15.5" x14ac:dyDescent="0.35">
      <c r="A248" s="3"/>
      <c r="B248" s="3"/>
      <c r="C248" s="3"/>
      <c r="D248" s="2"/>
      <c r="E248" s="2"/>
      <c r="F248" s="2"/>
    </row>
    <row r="249" spans="1:6" ht="15.5" x14ac:dyDescent="0.35">
      <c r="A249" s="3"/>
      <c r="B249" s="3"/>
      <c r="C249" s="3"/>
      <c r="D249" s="2"/>
      <c r="E249" s="2"/>
      <c r="F249" s="2"/>
    </row>
    <row r="250" spans="1:6" ht="15.5" x14ac:dyDescent="0.35">
      <c r="A250" s="3"/>
      <c r="B250" s="3"/>
      <c r="C250" s="3"/>
      <c r="D250" s="2"/>
      <c r="E250" s="2"/>
      <c r="F250" s="2"/>
    </row>
    <row r="251" spans="1:6" ht="15.5" x14ac:dyDescent="0.35">
      <c r="A251" s="3"/>
      <c r="B251" s="3"/>
      <c r="C251" s="3"/>
      <c r="D251" s="2"/>
      <c r="E251" s="2"/>
      <c r="F251" s="2"/>
    </row>
    <row r="252" spans="1:6" ht="15.5" x14ac:dyDescent="0.35">
      <c r="A252" s="3"/>
      <c r="B252" s="3"/>
      <c r="C252" s="3"/>
      <c r="D252" s="2"/>
      <c r="E252" s="2"/>
      <c r="F252" s="2"/>
    </row>
    <row r="253" spans="1:6" ht="15.5" x14ac:dyDescent="0.35">
      <c r="A253" s="3"/>
      <c r="B253" s="3"/>
      <c r="C253" s="3"/>
      <c r="D253" s="2"/>
      <c r="E253" s="2"/>
      <c r="F253" s="2"/>
    </row>
    <row r="254" spans="1:6" ht="15.5" x14ac:dyDescent="0.35">
      <c r="A254" s="3"/>
      <c r="B254" s="3"/>
      <c r="C254" s="3"/>
      <c r="D254" s="2"/>
      <c r="E254" s="2"/>
      <c r="F254" s="2"/>
    </row>
    <row r="255" spans="1:6" x14ac:dyDescent="0.25">
      <c r="A255" s="3"/>
      <c r="B255" s="3"/>
      <c r="C255" s="3"/>
    </row>
    <row r="256" spans="1:6" x14ac:dyDescent="0.25">
      <c r="A256" s="3"/>
      <c r="B256" s="3"/>
      <c r="C256" s="3"/>
    </row>
    <row r="257" spans="1:6" x14ac:dyDescent="0.25">
      <c r="A257" s="3"/>
      <c r="B257" s="3"/>
      <c r="C257" s="3"/>
      <c r="D257" s="1"/>
      <c r="E257" s="1"/>
      <c r="F257" s="1"/>
    </row>
    <row r="258" spans="1:6" x14ac:dyDescent="0.25">
      <c r="D258" s="1"/>
      <c r="E258" s="1"/>
      <c r="F258" s="1"/>
    </row>
    <row r="259" spans="1:6" ht="15.5" x14ac:dyDescent="0.35">
      <c r="A259" s="2" t="s">
        <v>10</v>
      </c>
      <c r="B259" s="2"/>
      <c r="C259" s="2"/>
      <c r="D259" s="1"/>
      <c r="E259" s="1"/>
      <c r="F259" s="1"/>
    </row>
    <row r="260" spans="1:6" ht="15.5" x14ac:dyDescent="0.35">
      <c r="A260" s="2" t="s">
        <v>11</v>
      </c>
      <c r="B260" s="2"/>
      <c r="C260" s="2"/>
    </row>
    <row r="261" spans="1:6" ht="15.5" x14ac:dyDescent="0.35">
      <c r="A261" s="2" t="s">
        <v>12</v>
      </c>
      <c r="B261" s="2"/>
      <c r="C261" s="2"/>
    </row>
    <row r="263" spans="1:6" x14ac:dyDescent="0.25">
      <c r="A263" t="s">
        <v>13</v>
      </c>
      <c r="D263">
        <v>3</v>
      </c>
    </row>
    <row r="264" spans="1:6" x14ac:dyDescent="0.25">
      <c r="A264" t="s">
        <v>16</v>
      </c>
      <c r="D264">
        <f>COUNT(C213:C257)</f>
        <v>12</v>
      </c>
    </row>
    <row r="265" spans="1:6" x14ac:dyDescent="0.25">
      <c r="A265" t="s">
        <v>17</v>
      </c>
      <c r="D265">
        <f>AVERAGE(C213:C258)</f>
        <v>12.832500000000001</v>
      </c>
    </row>
    <row r="266" spans="1:6" x14ac:dyDescent="0.25">
      <c r="A266" t="s">
        <v>18</v>
      </c>
      <c r="D266">
        <f>D265*D264-8*D264-20*D263</f>
        <v>-2.0099999999999909</v>
      </c>
    </row>
    <row r="268" spans="1:6" ht="15.5" x14ac:dyDescent="0.35">
      <c r="A268" s="2" t="s">
        <v>44</v>
      </c>
      <c r="B268" s="2"/>
      <c r="C268" s="2"/>
    </row>
    <row r="269" spans="1:6" ht="15.5" x14ac:dyDescent="0.35">
      <c r="A269" s="2" t="s">
        <v>80</v>
      </c>
      <c r="B269" s="2"/>
      <c r="C269" s="2"/>
    </row>
    <row r="270" spans="1:6" ht="15.5" x14ac:dyDescent="0.35">
      <c r="A270" s="2" t="s">
        <v>46</v>
      </c>
      <c r="B270" s="2"/>
      <c r="C270" s="2"/>
    </row>
    <row r="271" spans="1:6" ht="15.5" x14ac:dyDescent="0.35">
      <c r="A271" s="2" t="s">
        <v>54</v>
      </c>
      <c r="B271" s="2"/>
      <c r="C271" s="2"/>
    </row>
    <row r="272" spans="1:6" ht="15.5" x14ac:dyDescent="0.35">
      <c r="A272" s="2" t="s">
        <v>47</v>
      </c>
      <c r="B272" s="2"/>
      <c r="C272" s="2"/>
    </row>
    <row r="273" spans="1:3" ht="15.5" x14ac:dyDescent="0.35">
      <c r="A273" s="2" t="s">
        <v>48</v>
      </c>
      <c r="B273" s="2"/>
      <c r="C273" s="2"/>
    </row>
    <row r="274" spans="1:3" ht="15.5" x14ac:dyDescent="0.35">
      <c r="A274" s="2" t="s">
        <v>81</v>
      </c>
      <c r="B274" s="2"/>
      <c r="C274" s="2"/>
    </row>
    <row r="275" spans="1:3" ht="15.5" x14ac:dyDescent="0.35">
      <c r="A275" s="2" t="s">
        <v>50</v>
      </c>
      <c r="B275" s="2"/>
      <c r="C275" s="2"/>
    </row>
    <row r="276" spans="1:3" ht="15.5" x14ac:dyDescent="0.35">
      <c r="A276" s="2" t="s">
        <v>82</v>
      </c>
      <c r="B276" s="2"/>
      <c r="C276" s="2"/>
    </row>
    <row r="277" spans="1:3" ht="15.5" x14ac:dyDescent="0.35">
      <c r="A277" s="2" t="s">
        <v>56</v>
      </c>
      <c r="B277" s="2"/>
      <c r="C277" s="2"/>
    </row>
    <row r="278" spans="1:3" ht="15.5" x14ac:dyDescent="0.35">
      <c r="A278" s="2" t="s">
        <v>57</v>
      </c>
      <c r="B278" s="2"/>
      <c r="C278" s="2"/>
    </row>
    <row r="279" spans="1:3" ht="15.5" x14ac:dyDescent="0.35">
      <c r="A279" s="2" t="s">
        <v>83</v>
      </c>
      <c r="B279" s="2"/>
      <c r="C279" s="2"/>
    </row>
    <row r="280" spans="1:3" ht="15.5" x14ac:dyDescent="0.35">
      <c r="A280" s="2" t="s">
        <v>58</v>
      </c>
      <c r="B280" s="2"/>
      <c r="C280" s="2"/>
    </row>
    <row r="281" spans="1:3" ht="15.5" x14ac:dyDescent="0.35">
      <c r="A281" s="2" t="s">
        <v>84</v>
      </c>
      <c r="B281" s="2"/>
      <c r="C281" s="2"/>
    </row>
    <row r="282" spans="1:3" ht="15.5" x14ac:dyDescent="0.35">
      <c r="A282" s="2" t="s">
        <v>52</v>
      </c>
      <c r="B282" s="2"/>
      <c r="C282" s="2"/>
    </row>
    <row r="283" spans="1:3" ht="15.5" x14ac:dyDescent="0.35">
      <c r="A283" s="2" t="s">
        <v>85</v>
      </c>
      <c r="B283" s="2"/>
      <c r="C283" s="2"/>
    </row>
    <row r="284" spans="1:3" ht="15.5" x14ac:dyDescent="0.35">
      <c r="A284" s="2" t="s">
        <v>60</v>
      </c>
      <c r="B284" s="2"/>
      <c r="C284" s="2"/>
    </row>
    <row r="285" spans="1:3" ht="15.5" x14ac:dyDescent="0.35">
      <c r="A285" s="2" t="s">
        <v>61</v>
      </c>
      <c r="B285" s="2"/>
      <c r="C285" s="2"/>
    </row>
    <row r="286" spans="1:3" ht="15.5" x14ac:dyDescent="0.35">
      <c r="A286" s="2"/>
      <c r="B286" s="2"/>
      <c r="C286" s="2"/>
    </row>
    <row r="289" spans="1:3" ht="18" x14ac:dyDescent="0.4">
      <c r="A289" s="6" t="s">
        <v>91</v>
      </c>
      <c r="B289" s="1"/>
      <c r="C289" s="1"/>
    </row>
    <row r="290" spans="1:3" ht="18" x14ac:dyDescent="0.4">
      <c r="A290" s="6" t="s">
        <v>92</v>
      </c>
      <c r="B290" s="1"/>
      <c r="C290" s="1"/>
    </row>
    <row r="291" spans="1:3" ht="18" x14ac:dyDescent="0.4">
      <c r="A291" s="6" t="s">
        <v>93</v>
      </c>
      <c r="B291" s="1"/>
      <c r="C291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opLeftCell="A26" workbookViewId="0">
      <selection activeCell="A19" sqref="A19"/>
    </sheetView>
  </sheetViews>
  <sheetFormatPr defaultRowHeight="12.5" x14ac:dyDescent="0.25"/>
  <sheetData>
    <row r="1" spans="1:4" x14ac:dyDescent="0.25">
      <c r="B1" t="s">
        <v>20</v>
      </c>
      <c r="C1" t="s">
        <v>21</v>
      </c>
      <c r="D1" t="s">
        <v>21</v>
      </c>
    </row>
    <row r="2" spans="1:4" x14ac:dyDescent="0.25">
      <c r="A2" t="s">
        <v>19</v>
      </c>
      <c r="B2" t="s">
        <v>9</v>
      </c>
      <c r="C2" t="s">
        <v>22</v>
      </c>
      <c r="D2" t="s">
        <v>23</v>
      </c>
    </row>
    <row r="3" spans="1:4" x14ac:dyDescent="0.25">
      <c r="A3">
        <v>0</v>
      </c>
      <c r="B3">
        <v>30</v>
      </c>
    </row>
    <row r="4" spans="1:4" x14ac:dyDescent="0.25">
      <c r="A4">
        <v>0</v>
      </c>
      <c r="B4">
        <v>24</v>
      </c>
    </row>
    <row r="5" spans="1:4" x14ac:dyDescent="0.25">
      <c r="A5">
        <f>'Enter data'!B10</f>
        <v>5</v>
      </c>
      <c r="B5">
        <v>24</v>
      </c>
    </row>
    <row r="6" spans="1:4" x14ac:dyDescent="0.25">
      <c r="A6">
        <f>A5</f>
        <v>5</v>
      </c>
      <c r="B6">
        <v>18</v>
      </c>
    </row>
    <row r="7" spans="1:4" x14ac:dyDescent="0.25">
      <c r="A7">
        <f>A6+'Enter data'!B11</f>
        <v>10</v>
      </c>
      <c r="B7">
        <v>18</v>
      </c>
    </row>
    <row r="8" spans="1:4" x14ac:dyDescent="0.25">
      <c r="A8">
        <f>A7</f>
        <v>10</v>
      </c>
      <c r="B8">
        <v>12</v>
      </c>
    </row>
    <row r="9" spans="1:4" x14ac:dyDescent="0.25">
      <c r="A9">
        <f>A8+'Enter data'!B12</f>
        <v>15</v>
      </c>
      <c r="B9">
        <v>12</v>
      </c>
    </row>
    <row r="10" spans="1:4" x14ac:dyDescent="0.25">
      <c r="A10">
        <f>A9</f>
        <v>15</v>
      </c>
      <c r="B10">
        <v>8</v>
      </c>
    </row>
    <row r="11" spans="1:4" x14ac:dyDescent="0.25">
      <c r="A11">
        <f>A10+'Enter data'!B13</f>
        <v>22</v>
      </c>
      <c r="B11">
        <v>8</v>
      </c>
    </row>
    <row r="12" spans="1:4" x14ac:dyDescent="0.25">
      <c r="A12">
        <f>A11</f>
        <v>22</v>
      </c>
      <c r="B12">
        <v>0</v>
      </c>
    </row>
    <row r="13" spans="1:4" x14ac:dyDescent="0.25">
      <c r="A13">
        <v>0</v>
      </c>
      <c r="C13">
        <v>0</v>
      </c>
    </row>
    <row r="14" spans="1:4" x14ac:dyDescent="0.25">
      <c r="A14">
        <v>0</v>
      </c>
      <c r="C14">
        <v>5</v>
      </c>
    </row>
    <row r="15" spans="1:4" x14ac:dyDescent="0.25">
      <c r="A15">
        <f>4*'Enter data'!D69</f>
        <v>20</v>
      </c>
      <c r="C15">
        <v>5</v>
      </c>
    </row>
    <row r="16" spans="1:4" x14ac:dyDescent="0.25">
      <c r="A16">
        <f>A15</f>
        <v>20</v>
      </c>
      <c r="C16">
        <v>30</v>
      </c>
    </row>
    <row r="17" spans="1:4" x14ac:dyDescent="0.25">
      <c r="A17">
        <v>0</v>
      </c>
      <c r="D17">
        <v>0</v>
      </c>
    </row>
    <row r="18" spans="1:4" x14ac:dyDescent="0.25">
      <c r="A18">
        <v>0</v>
      </c>
      <c r="D18">
        <v>5</v>
      </c>
    </row>
    <row r="19" spans="1:4" x14ac:dyDescent="0.25">
      <c r="A19">
        <f>'Enter data'!D127*4</f>
        <v>16</v>
      </c>
      <c r="D19">
        <v>5</v>
      </c>
    </row>
    <row r="20" spans="1:4" x14ac:dyDescent="0.25">
      <c r="A20">
        <f>A19</f>
        <v>16</v>
      </c>
      <c r="D20">
        <v>30</v>
      </c>
    </row>
    <row r="29" spans="1:4" x14ac:dyDescent="0.25">
      <c r="B29" t="s">
        <v>20</v>
      </c>
      <c r="C29" t="s">
        <v>21</v>
      </c>
      <c r="D29" t="s">
        <v>21</v>
      </c>
    </row>
    <row r="30" spans="1:4" x14ac:dyDescent="0.25">
      <c r="A30" t="s">
        <v>19</v>
      </c>
      <c r="B30" t="s">
        <v>9</v>
      </c>
      <c r="C30" t="s">
        <v>22</v>
      </c>
      <c r="D30" t="s">
        <v>23</v>
      </c>
    </row>
    <row r="31" spans="1:4" x14ac:dyDescent="0.25">
      <c r="A31">
        <v>0</v>
      </c>
      <c r="B31">
        <v>30</v>
      </c>
    </row>
    <row r="32" spans="1:4" x14ac:dyDescent="0.25">
      <c r="A32">
        <v>0</v>
      </c>
      <c r="B32">
        <v>24</v>
      </c>
    </row>
    <row r="33" spans="1:4" x14ac:dyDescent="0.25">
      <c r="A33">
        <f>'Enter data'!B10</f>
        <v>5</v>
      </c>
      <c r="B33">
        <v>24</v>
      </c>
    </row>
    <row r="34" spans="1:4" x14ac:dyDescent="0.25">
      <c r="A34">
        <f>A33</f>
        <v>5</v>
      </c>
      <c r="B34">
        <v>18</v>
      </c>
    </row>
    <row r="35" spans="1:4" x14ac:dyDescent="0.25">
      <c r="A35">
        <f>A34+'Enter data'!B11</f>
        <v>10</v>
      </c>
      <c r="B35">
        <v>18</v>
      </c>
    </row>
    <row r="36" spans="1:4" x14ac:dyDescent="0.25">
      <c r="A36">
        <f>A35</f>
        <v>10</v>
      </c>
      <c r="B36">
        <v>12</v>
      </c>
    </row>
    <row r="37" spans="1:4" x14ac:dyDescent="0.25">
      <c r="A37">
        <f>A36+'Enter data'!B12</f>
        <v>15</v>
      </c>
      <c r="B37">
        <v>12</v>
      </c>
    </row>
    <row r="38" spans="1:4" x14ac:dyDescent="0.25">
      <c r="A38">
        <f>A37</f>
        <v>15</v>
      </c>
      <c r="B38">
        <v>8</v>
      </c>
    </row>
    <row r="39" spans="1:4" x14ac:dyDescent="0.25">
      <c r="A39">
        <f>A38+'Enter data'!B13</f>
        <v>22</v>
      </c>
      <c r="B39">
        <v>8</v>
      </c>
    </row>
    <row r="40" spans="1:4" x14ac:dyDescent="0.25">
      <c r="A40">
        <f>A39</f>
        <v>22</v>
      </c>
      <c r="B40">
        <v>0</v>
      </c>
    </row>
    <row r="41" spans="1:4" x14ac:dyDescent="0.25">
      <c r="A41">
        <v>0</v>
      </c>
      <c r="C41">
        <v>0</v>
      </c>
    </row>
    <row r="42" spans="1:4" x14ac:dyDescent="0.25">
      <c r="A42">
        <v>0</v>
      </c>
      <c r="C42">
        <v>8</v>
      </c>
    </row>
    <row r="43" spans="1:4" x14ac:dyDescent="0.25">
      <c r="A43">
        <f>'Enter data'!D205*4</f>
        <v>16</v>
      </c>
      <c r="C43">
        <v>8</v>
      </c>
    </row>
    <row r="44" spans="1:4" x14ac:dyDescent="0.25">
      <c r="A44">
        <f>A43</f>
        <v>16</v>
      </c>
      <c r="C44">
        <v>30</v>
      </c>
    </row>
    <row r="45" spans="1:4" x14ac:dyDescent="0.25">
      <c r="A45">
        <v>0</v>
      </c>
      <c r="D45">
        <v>0</v>
      </c>
    </row>
    <row r="46" spans="1:4" x14ac:dyDescent="0.25">
      <c r="A46">
        <v>0</v>
      </c>
      <c r="D46">
        <v>8</v>
      </c>
    </row>
    <row r="47" spans="1:4" x14ac:dyDescent="0.25">
      <c r="A47">
        <f>'Enter data'!D263*4</f>
        <v>12</v>
      </c>
      <c r="D47">
        <v>8</v>
      </c>
    </row>
    <row r="48" spans="1:4" x14ac:dyDescent="0.25">
      <c r="A48">
        <f>A47</f>
        <v>12</v>
      </c>
      <c r="D48">
        <v>30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topLeftCell="A79" workbookViewId="0">
      <selection activeCell="F112" sqref="F112"/>
    </sheetView>
  </sheetViews>
  <sheetFormatPr defaultRowHeight="12.5" x14ac:dyDescent="0.25"/>
  <sheetData>
    <row r="1" spans="1:3" x14ac:dyDescent="0.25">
      <c r="A1" t="s">
        <v>24</v>
      </c>
    </row>
    <row r="2" spans="1:3" x14ac:dyDescent="0.25">
      <c r="A2" t="s">
        <v>25</v>
      </c>
    </row>
    <row r="3" spans="1:3" x14ac:dyDescent="0.25">
      <c r="A3" t="s">
        <v>29</v>
      </c>
    </row>
    <row r="4" spans="1:3" x14ac:dyDescent="0.25">
      <c r="A4" t="s">
        <v>26</v>
      </c>
    </row>
    <row r="5" spans="1:3" x14ac:dyDescent="0.25">
      <c r="A5" t="s">
        <v>27</v>
      </c>
      <c r="C5">
        <v>5</v>
      </c>
    </row>
    <row r="6" spans="1:3" x14ac:dyDescent="0.25">
      <c r="A6" t="s">
        <v>28</v>
      </c>
      <c r="C6">
        <v>4</v>
      </c>
    </row>
    <row r="8" spans="1:3" x14ac:dyDescent="0.25">
      <c r="A8" t="s">
        <v>30</v>
      </c>
    </row>
    <row r="9" spans="1:3" x14ac:dyDescent="0.25">
      <c r="A9" t="s">
        <v>31</v>
      </c>
    </row>
    <row r="30" spans="1:6" x14ac:dyDescent="0.25">
      <c r="A30" t="s">
        <v>32</v>
      </c>
    </row>
    <row r="31" spans="1:6" x14ac:dyDescent="0.25">
      <c r="D31" t="s">
        <v>35</v>
      </c>
      <c r="E31" t="s">
        <v>37</v>
      </c>
      <c r="F31" t="s">
        <v>39</v>
      </c>
    </row>
    <row r="32" spans="1:6" x14ac:dyDescent="0.25">
      <c r="D32" t="s">
        <v>36</v>
      </c>
      <c r="E32" t="s">
        <v>38</v>
      </c>
      <c r="F32" t="s">
        <v>40</v>
      </c>
    </row>
    <row r="33" spans="1:6" x14ac:dyDescent="0.25">
      <c r="A33" t="s">
        <v>33</v>
      </c>
    </row>
    <row r="34" spans="1:6" x14ac:dyDescent="0.25">
      <c r="A34" t="s">
        <v>34</v>
      </c>
      <c r="D34" s="7">
        <v>5</v>
      </c>
      <c r="E34">
        <v>20</v>
      </c>
      <c r="F34" s="11">
        <f>20*5-20*5-20*4</f>
        <v>-80</v>
      </c>
    </row>
    <row r="35" spans="1:6" x14ac:dyDescent="0.25">
      <c r="A35" t="s">
        <v>33</v>
      </c>
    </row>
    <row r="36" spans="1:6" x14ac:dyDescent="0.25">
      <c r="A36" t="s">
        <v>41</v>
      </c>
      <c r="D36" s="7">
        <v>12</v>
      </c>
      <c r="E36">
        <v>16</v>
      </c>
      <c r="F36" s="7">
        <f>16*12-16*5-4*20</f>
        <v>32</v>
      </c>
    </row>
    <row r="37" spans="1:6" x14ac:dyDescent="0.25">
      <c r="A37" t="s">
        <v>42</v>
      </c>
    </row>
    <row r="38" spans="1:6" x14ac:dyDescent="0.25">
      <c r="A38" t="s">
        <v>43</v>
      </c>
      <c r="D38" s="7">
        <v>12</v>
      </c>
      <c r="E38">
        <v>16</v>
      </c>
      <c r="F38" s="7">
        <v>32</v>
      </c>
    </row>
    <row r="40" spans="1:6" x14ac:dyDescent="0.25">
      <c r="A40" t="s">
        <v>62</v>
      </c>
    </row>
    <row r="41" spans="1:6" x14ac:dyDescent="0.25">
      <c r="D41" t="s">
        <v>35</v>
      </c>
      <c r="E41" t="s">
        <v>37</v>
      </c>
      <c r="F41" t="s">
        <v>39</v>
      </c>
    </row>
    <row r="42" spans="1:6" x14ac:dyDescent="0.25">
      <c r="D42" t="s">
        <v>36</v>
      </c>
      <c r="E42" t="s">
        <v>63</v>
      </c>
      <c r="F42" t="s">
        <v>64</v>
      </c>
    </row>
    <row r="43" spans="1:6" x14ac:dyDescent="0.25">
      <c r="A43" t="s">
        <v>65</v>
      </c>
      <c r="D43" s="5">
        <f>'Enter data'!D71</f>
        <v>9.567499999999999</v>
      </c>
      <c r="E43">
        <f>'Enter data'!D70</f>
        <v>20</v>
      </c>
      <c r="F43" s="5">
        <f>'Enter data'!D72</f>
        <v>-8.6500000000000341</v>
      </c>
    </row>
    <row r="44" spans="1:6" x14ac:dyDescent="0.25">
      <c r="A44" t="s">
        <v>66</v>
      </c>
      <c r="D44" s="5">
        <f>'Enter data'!D129</f>
        <v>10.421875</v>
      </c>
      <c r="E44">
        <f>'Enter data'!D128</f>
        <v>16</v>
      </c>
      <c r="F44" s="5">
        <f>'Enter data'!D130</f>
        <v>6.75</v>
      </c>
    </row>
    <row r="47" spans="1:6" x14ac:dyDescent="0.25">
      <c r="A47" t="s">
        <v>69</v>
      </c>
    </row>
    <row r="48" spans="1:6" x14ac:dyDescent="0.25">
      <c r="A48" t="s">
        <v>73</v>
      </c>
    </row>
    <row r="49" spans="1:3" x14ac:dyDescent="0.25">
      <c r="A49" t="s">
        <v>70</v>
      </c>
    </row>
    <row r="50" spans="1:3" x14ac:dyDescent="0.25">
      <c r="A50" t="s">
        <v>71</v>
      </c>
      <c r="C50">
        <f>'Enter data'!D205</f>
        <v>4</v>
      </c>
    </row>
    <row r="51" spans="1:3" x14ac:dyDescent="0.25">
      <c r="A51" t="s">
        <v>72</v>
      </c>
      <c r="C51">
        <f>'Enter data'!D263</f>
        <v>3</v>
      </c>
    </row>
    <row r="53" spans="1:3" x14ac:dyDescent="0.25">
      <c r="A53" t="s">
        <v>74</v>
      </c>
    </row>
    <row r="54" spans="1:3" x14ac:dyDescent="0.25">
      <c r="A54" t="s">
        <v>75</v>
      </c>
    </row>
    <row r="55" spans="1:3" x14ac:dyDescent="0.25">
      <c r="A55" t="s">
        <v>76</v>
      </c>
    </row>
    <row r="56" spans="1:3" x14ac:dyDescent="0.25">
      <c r="A56" t="s">
        <v>77</v>
      </c>
    </row>
    <row r="58" spans="1:3" x14ac:dyDescent="0.25">
      <c r="A58" t="s">
        <v>79</v>
      </c>
    </row>
    <row r="59" spans="1:3" x14ac:dyDescent="0.25">
      <c r="A59" t="s">
        <v>78</v>
      </c>
    </row>
    <row r="81" spans="1:6" x14ac:dyDescent="0.25">
      <c r="A81" t="s">
        <v>86</v>
      </c>
    </row>
    <row r="82" spans="1:6" x14ac:dyDescent="0.25">
      <c r="A82" t="s">
        <v>87</v>
      </c>
    </row>
    <row r="83" spans="1:6" x14ac:dyDescent="0.25">
      <c r="D83" t="s">
        <v>35</v>
      </c>
      <c r="E83" t="s">
        <v>37</v>
      </c>
      <c r="F83" t="s">
        <v>39</v>
      </c>
    </row>
    <row r="84" spans="1:6" x14ac:dyDescent="0.25">
      <c r="D84" t="s">
        <v>36</v>
      </c>
      <c r="E84" t="s">
        <v>38</v>
      </c>
      <c r="F84" t="s">
        <v>64</v>
      </c>
    </row>
    <row r="85" spans="1:6" x14ac:dyDescent="0.25">
      <c r="A85" t="s">
        <v>33</v>
      </c>
    </row>
    <row r="86" spans="1:6" x14ac:dyDescent="0.25">
      <c r="A86" t="s">
        <v>34</v>
      </c>
      <c r="D86" s="7">
        <v>8</v>
      </c>
      <c r="E86" s="8">
        <v>16</v>
      </c>
      <c r="F86" s="12">
        <f>E86*D86-E86*8-20*4</f>
        <v>-80</v>
      </c>
    </row>
    <row r="87" spans="1:6" x14ac:dyDescent="0.25">
      <c r="A87" t="s">
        <v>88</v>
      </c>
      <c r="E87" s="8"/>
      <c r="F87" s="12"/>
    </row>
    <row r="88" spans="1:6" x14ac:dyDescent="0.25">
      <c r="A88" t="s">
        <v>89</v>
      </c>
      <c r="D88" s="7">
        <v>12</v>
      </c>
      <c r="E88" s="8">
        <v>12</v>
      </c>
      <c r="F88" s="12">
        <f>E88*D88-E88*8-3*20</f>
        <v>-12</v>
      </c>
    </row>
    <row r="89" spans="1:6" x14ac:dyDescent="0.25">
      <c r="A89" t="s">
        <v>42</v>
      </c>
      <c r="D89" s="7"/>
      <c r="E89" s="8"/>
      <c r="F89" s="7"/>
    </row>
    <row r="90" spans="1:6" x14ac:dyDescent="0.25">
      <c r="A90" t="s">
        <v>43</v>
      </c>
      <c r="D90">
        <v>18</v>
      </c>
      <c r="E90" s="8">
        <v>8</v>
      </c>
      <c r="F90">
        <f>E90*D90-E90*8-2*20</f>
        <v>40</v>
      </c>
    </row>
    <row r="93" spans="1:6" x14ac:dyDescent="0.25">
      <c r="A93" t="s">
        <v>90</v>
      </c>
    </row>
    <row r="94" spans="1:6" x14ac:dyDescent="0.25">
      <c r="C94" t="s">
        <v>35</v>
      </c>
      <c r="D94" t="s">
        <v>37</v>
      </c>
      <c r="E94" t="s">
        <v>39</v>
      </c>
    </row>
    <row r="95" spans="1:6" x14ac:dyDescent="0.25">
      <c r="C95" t="s">
        <v>36</v>
      </c>
      <c r="D95" t="s">
        <v>38</v>
      </c>
      <c r="E95" t="s">
        <v>64</v>
      </c>
    </row>
    <row r="96" spans="1:6" x14ac:dyDescent="0.25">
      <c r="A96" t="s">
        <v>71</v>
      </c>
      <c r="C96" s="5">
        <f>'Enter data'!D207</f>
        <v>9.7681250000000013</v>
      </c>
      <c r="D96">
        <f>'Enter data'!D206</f>
        <v>16</v>
      </c>
      <c r="E96" s="5">
        <f>'Enter data'!D208</f>
        <v>-51.70999999999998</v>
      </c>
    </row>
    <row r="97" spans="1:5" x14ac:dyDescent="0.25">
      <c r="A97" t="s">
        <v>72</v>
      </c>
      <c r="C97" s="5">
        <f>'Enter data'!D265</f>
        <v>12.832500000000001</v>
      </c>
      <c r="D97">
        <f>'Enter data'!D264</f>
        <v>12</v>
      </c>
      <c r="E97" s="5">
        <f>'Enter data'!D266</f>
        <v>-2.0099999999999909</v>
      </c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Enter data</vt:lpstr>
      <vt:lpstr>Graphs</vt:lpstr>
      <vt:lpstr>Homework Answers</vt:lpstr>
    </vt:vector>
  </TitlesOfParts>
  <Company>UC Santa Barbara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Sonstelie</dc:creator>
  <cp:lastModifiedBy>Carina Negreanu</cp:lastModifiedBy>
  <dcterms:created xsi:type="dcterms:W3CDTF">2001-11-12T17:06:55Z</dcterms:created>
  <dcterms:modified xsi:type="dcterms:W3CDTF">2020-01-27T11:43:49Z</dcterms:modified>
</cp:coreProperties>
</file>