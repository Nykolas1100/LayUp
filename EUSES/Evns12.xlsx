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22B09C-1DEF-4DC2-87FC-B6959F26DEF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F4" i="1" l="1"/>
  <c r="F5" i="1"/>
  <c r="F10" i="1"/>
  <c r="H10" i="1"/>
  <c r="F11" i="1"/>
  <c r="H11" i="1"/>
  <c r="I14" i="1"/>
  <c r="I16" i="1"/>
  <c r="I19" i="1"/>
  <c r="I23" i="1"/>
  <c r="I25" i="1"/>
  <c r="B28" i="1"/>
  <c r="C28" i="1"/>
  <c r="I28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E47" i="1"/>
  <c r="H47" i="1"/>
  <c r="E48" i="1"/>
  <c r="H48" i="1"/>
  <c r="C67" i="1"/>
  <c r="H67" i="1"/>
  <c r="C68" i="1"/>
  <c r="E68" i="1"/>
  <c r="H68" i="1"/>
  <c r="C69" i="1"/>
  <c r="E69" i="1"/>
  <c r="H69" i="1"/>
  <c r="C70" i="1"/>
  <c r="E70" i="1"/>
  <c r="H70" i="1"/>
  <c r="C71" i="1"/>
  <c r="H71" i="1"/>
  <c r="C72" i="1"/>
  <c r="H72" i="1"/>
  <c r="C73" i="1"/>
  <c r="H73" i="1"/>
  <c r="C74" i="1"/>
  <c r="H74" i="1"/>
  <c r="C75" i="1"/>
  <c r="H75" i="1"/>
  <c r="C76" i="1"/>
  <c r="H76" i="1"/>
  <c r="A77" i="1"/>
  <c r="C77" i="1"/>
  <c r="E77" i="1"/>
  <c r="H77" i="1"/>
  <c r="A78" i="1"/>
  <c r="C78" i="1"/>
  <c r="E78" i="1"/>
  <c r="H78" i="1"/>
  <c r="A79" i="1"/>
  <c r="C79" i="1"/>
  <c r="E79" i="1"/>
  <c r="H79" i="1"/>
  <c r="A80" i="1"/>
  <c r="C80" i="1"/>
  <c r="H80" i="1"/>
  <c r="A81" i="1"/>
  <c r="C81" i="1"/>
  <c r="H81" i="1"/>
  <c r="A82" i="1"/>
  <c r="C82" i="1"/>
  <c r="H82" i="1"/>
  <c r="A83" i="1"/>
  <c r="C83" i="1"/>
  <c r="H83" i="1"/>
  <c r="A84" i="1"/>
  <c r="C84" i="1"/>
  <c r="H84" i="1"/>
  <c r="A85" i="1"/>
  <c r="C85" i="1"/>
  <c r="H85" i="1"/>
  <c r="A86" i="1"/>
  <c r="C86" i="1"/>
  <c r="H86" i="1"/>
  <c r="A87" i="1"/>
  <c r="C87" i="1"/>
  <c r="H87" i="1"/>
  <c r="A88" i="1"/>
  <c r="C88" i="1"/>
  <c r="H88" i="1"/>
  <c r="A89" i="1"/>
  <c r="C89" i="1"/>
  <c r="H89" i="1"/>
  <c r="A90" i="1"/>
  <c r="C90" i="1"/>
  <c r="H90" i="1"/>
  <c r="A91" i="1"/>
  <c r="C91" i="1"/>
  <c r="C92" i="1"/>
</calcChain>
</file>

<file path=xl/sharedStrings.xml><?xml version="1.0" encoding="utf-8"?>
<sst xmlns="http://schemas.openxmlformats.org/spreadsheetml/2006/main" count="62" uniqueCount="49">
  <si>
    <t>Chapter 12 Homework Problems</t>
  </si>
  <si>
    <t>Problem 3</t>
  </si>
  <si>
    <t>Grand Mean X =</t>
  </si>
  <si>
    <t>R-bar =</t>
  </si>
  <si>
    <t>Given:</t>
  </si>
  <si>
    <t>n =</t>
  </si>
  <si>
    <t>Sample</t>
  </si>
  <si>
    <t>x-bar</t>
  </si>
  <si>
    <t>R</t>
  </si>
  <si>
    <r>
      <t>A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>=</t>
    </r>
  </si>
  <si>
    <r>
      <t>D</t>
    </r>
    <r>
      <rPr>
        <vertAlign val="subscript"/>
        <sz val="10"/>
        <rFont val="Arial"/>
        <family val="2"/>
      </rPr>
      <t>3</t>
    </r>
    <r>
      <rPr>
        <sz val="10"/>
        <rFont val="Arial"/>
      </rPr>
      <t xml:space="preserve"> =</t>
    </r>
  </si>
  <si>
    <r>
      <t>D</t>
    </r>
    <r>
      <rPr>
        <vertAlign val="subscript"/>
        <sz val="10"/>
        <rFont val="Arial"/>
        <family val="2"/>
      </rPr>
      <t>4</t>
    </r>
    <r>
      <rPr>
        <sz val="10"/>
        <rFont val="Arial"/>
      </rPr>
      <t xml:space="preserve"> =   </t>
    </r>
  </si>
  <si>
    <r>
      <t>UCL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= </t>
    </r>
  </si>
  <si>
    <r>
      <t>UCL</t>
    </r>
    <r>
      <rPr>
        <vertAlign val="subscript"/>
        <sz val="10"/>
        <rFont val="Arial"/>
        <family val="2"/>
      </rPr>
      <t>R</t>
    </r>
    <r>
      <rPr>
        <sz val="10"/>
        <rFont val="Arial"/>
      </rPr>
      <t xml:space="preserve"> =</t>
    </r>
  </si>
  <si>
    <r>
      <t>LCL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=</t>
    </r>
  </si>
  <si>
    <r>
      <t>LCL</t>
    </r>
    <r>
      <rPr>
        <vertAlign val="subscript"/>
        <sz val="10"/>
        <rFont val="Arial"/>
        <family val="2"/>
      </rPr>
      <t>R</t>
    </r>
    <r>
      <rPr>
        <sz val="10"/>
        <rFont val="Arial"/>
      </rPr>
      <t xml:space="preserve"> = </t>
    </r>
  </si>
  <si>
    <t>X-bar Chart:</t>
  </si>
  <si>
    <t>UCL =</t>
  </si>
  <si>
    <t>LCL =</t>
  </si>
  <si>
    <t>R-Chart:</t>
  </si>
  <si>
    <t>Avg's</t>
  </si>
  <si>
    <t>Problem 4</t>
  </si>
  <si>
    <t>Observations</t>
  </si>
  <si>
    <t>X-Bar</t>
  </si>
  <si>
    <t>Range</t>
  </si>
  <si>
    <t>UCLx =</t>
  </si>
  <si>
    <t>UCLr =</t>
  </si>
  <si>
    <t>A2 =</t>
  </si>
  <si>
    <t>LCLx =</t>
  </si>
  <si>
    <t>LCLr =</t>
  </si>
  <si>
    <t>D3 =</t>
  </si>
  <si>
    <t>D4 =</t>
  </si>
  <si>
    <t xml:space="preserve">Now, assume that during the next 8 hours, a sample of five was drawn each hour with the following </t>
  </si>
  <si>
    <t xml:space="preserve"> means and ranges:</t>
  </si>
  <si>
    <t>X-bar</t>
  </si>
  <si>
    <t>Is the Process in control?</t>
  </si>
  <si>
    <t xml:space="preserve">No, the x-bar chart indicates that parts are increasing in size over time and all samples </t>
  </si>
  <si>
    <t>after number 3 are out of control.</t>
  </si>
  <si>
    <t>The R chart indicates that there is too much variability in sample 5, 7, and 8</t>
  </si>
  <si>
    <t>Problem 10</t>
  </si>
  <si>
    <t>Day</t>
  </si>
  <si>
    <t>No. w/errors</t>
  </si>
  <si>
    <t>p</t>
  </si>
  <si>
    <t>Data w/9, 23 out</t>
  </si>
  <si>
    <t>p-bar =</t>
  </si>
  <si>
    <t>Sp =</t>
  </si>
  <si>
    <t>Day 9 and 23 are out of control</t>
  </si>
  <si>
    <t>Answers with in-control data: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</si>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</sst>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"/>
  </numFmts>
  <fonts count="4" x14ac:knownFonts="1">
    <font>
      <sz val="10"/>
      <name val="Arial"/>
    </font>
    <font>
      <b/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173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14</xdr:row>
      <xdr:rowOff>0</xdr:rowOff>
    </xdr:from>
    <xdr:to>
      <xdr:col>7</xdr:col>
      <xdr:colOff>603250</xdr:colOff>
      <xdr:row>14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A0D4B1D6-1D72-4488-B9E2-3E6E55A740F9}"/>
            </a:ext>
          </a:extLst>
        </xdr:cNvPr>
        <xdr:cNvSpPr>
          <a:spLocks noChangeShapeType="1"/>
        </xdr:cNvSpPr>
      </xdr:nvSpPr>
      <xdr:spPr bwMode="auto">
        <a:xfrm>
          <a:off x="2298700" y="2597150"/>
          <a:ext cx="2476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12700</xdr:colOff>
      <xdr:row>14</xdr:row>
      <xdr:rowOff>0</xdr:rowOff>
    </xdr:from>
    <xdr:to>
      <xdr:col>4</xdr:col>
      <xdr:colOff>12700</xdr:colOff>
      <xdr:row>18</xdr:row>
      <xdr:rowOff>12700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5170351-E2DD-4E8C-B832-9B4FBC637F0F}"/>
            </a:ext>
          </a:extLst>
        </xdr:cNvPr>
        <xdr:cNvSpPr>
          <a:spLocks noChangeShapeType="1"/>
        </xdr:cNvSpPr>
      </xdr:nvSpPr>
      <xdr:spPr bwMode="auto">
        <a:xfrm flipH="1">
          <a:off x="2279650" y="2597150"/>
          <a:ext cx="0" cy="673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12700</xdr:colOff>
      <xdr:row>18</xdr:row>
      <xdr:rowOff>12700</xdr:rowOff>
    </xdr:from>
    <xdr:to>
      <xdr:col>8</xdr:col>
      <xdr:colOff>12700</xdr:colOff>
      <xdr:row>18</xdr:row>
      <xdr:rowOff>12700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6086F464-7D5A-4924-906E-31E58F98AA2A}"/>
            </a:ext>
          </a:extLst>
        </xdr:cNvPr>
        <xdr:cNvSpPr>
          <a:spLocks noChangeShapeType="1"/>
        </xdr:cNvSpPr>
      </xdr:nvSpPr>
      <xdr:spPr bwMode="auto">
        <a:xfrm>
          <a:off x="2279650" y="3270250"/>
          <a:ext cx="251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16</xdr:row>
      <xdr:rowOff>0</xdr:rowOff>
    </xdr:from>
    <xdr:to>
      <xdr:col>8</xdr:col>
      <xdr:colOff>12700</xdr:colOff>
      <xdr:row>16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ADBFF455-88A8-4EE6-B1A0-59A4263BE292}"/>
            </a:ext>
          </a:extLst>
        </xdr:cNvPr>
        <xdr:cNvSpPr>
          <a:spLocks noChangeShapeType="1"/>
        </xdr:cNvSpPr>
      </xdr:nvSpPr>
      <xdr:spPr bwMode="auto">
        <a:xfrm>
          <a:off x="2286000" y="2927350"/>
          <a:ext cx="250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12700</xdr:colOff>
      <xdr:row>23</xdr:row>
      <xdr:rowOff>0</xdr:rowOff>
    </xdr:from>
    <xdr:to>
      <xdr:col>8</xdr:col>
      <xdr:colOff>19050</xdr:colOff>
      <xdr:row>23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378FAEE0-3800-4CBB-BBFC-828206776013}"/>
            </a:ext>
          </a:extLst>
        </xdr:cNvPr>
        <xdr:cNvSpPr>
          <a:spLocks noChangeShapeType="1"/>
        </xdr:cNvSpPr>
      </xdr:nvSpPr>
      <xdr:spPr bwMode="auto">
        <a:xfrm>
          <a:off x="2279650" y="4083050"/>
          <a:ext cx="2520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27</xdr:row>
      <xdr:rowOff>12700</xdr:rowOff>
    </xdr:from>
    <xdr:to>
      <xdr:col>8</xdr:col>
      <xdr:colOff>12700</xdr:colOff>
      <xdr:row>27</xdr:row>
      <xdr:rowOff>12700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50944DF2-D4C3-43EC-B187-696AFE3461DD}"/>
            </a:ext>
          </a:extLst>
        </xdr:cNvPr>
        <xdr:cNvSpPr>
          <a:spLocks noChangeShapeType="1"/>
        </xdr:cNvSpPr>
      </xdr:nvSpPr>
      <xdr:spPr bwMode="auto">
        <a:xfrm>
          <a:off x="2266950" y="4756150"/>
          <a:ext cx="2527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25</xdr:row>
      <xdr:rowOff>0</xdr:rowOff>
    </xdr:from>
    <xdr:to>
      <xdr:col>8</xdr:col>
      <xdr:colOff>12700</xdr:colOff>
      <xdr:row>25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15432D34-12B4-462C-8A60-A21D73043C12}"/>
            </a:ext>
          </a:extLst>
        </xdr:cNvPr>
        <xdr:cNvSpPr>
          <a:spLocks noChangeShapeType="1"/>
        </xdr:cNvSpPr>
      </xdr:nvSpPr>
      <xdr:spPr bwMode="auto">
        <a:xfrm>
          <a:off x="2286000" y="4413250"/>
          <a:ext cx="250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603250</xdr:colOff>
      <xdr:row>23</xdr:row>
      <xdr:rowOff>12700</xdr:rowOff>
    </xdr:from>
    <xdr:to>
      <xdr:col>3</xdr:col>
      <xdr:colOff>603250</xdr:colOff>
      <xdr:row>27</xdr:row>
      <xdr:rowOff>12700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8EEA2FAC-D981-4A69-8487-8CFA978436C9}"/>
            </a:ext>
          </a:extLst>
        </xdr:cNvPr>
        <xdr:cNvSpPr>
          <a:spLocks noChangeShapeType="1"/>
        </xdr:cNvSpPr>
      </xdr:nvSpPr>
      <xdr:spPr bwMode="auto">
        <a:xfrm>
          <a:off x="2260600" y="4095750"/>
          <a:ext cx="0" cy="660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0"/>
  <sheetViews>
    <sheetView tabSelected="1" topLeftCell="A83" workbookViewId="0">
      <selection activeCell="A62" sqref="A62"/>
    </sheetView>
  </sheetViews>
  <sheetFormatPr defaultRowHeight="12.5" x14ac:dyDescent="0.25"/>
  <cols>
    <col min="1" max="1" width="7.81640625" customWidth="1"/>
    <col min="2" max="2" width="8.1796875" customWidth="1"/>
    <col min="3" max="3" width="7.7265625" customWidth="1"/>
    <col min="7" max="7" width="9.81640625" customWidth="1"/>
  </cols>
  <sheetData>
    <row r="1" spans="1:9" x14ac:dyDescent="0.25">
      <c r="A1" t="s">
        <v>0</v>
      </c>
    </row>
    <row r="4" spans="1:9" ht="25" x14ac:dyDescent="0.25">
      <c r="A4" t="s">
        <v>1</v>
      </c>
      <c r="E4" s="9" t="s">
        <v>2</v>
      </c>
      <c r="F4" s="7">
        <f>$B$28</f>
        <v>95.397999999999996</v>
      </c>
    </row>
    <row r="5" spans="1:9" x14ac:dyDescent="0.25">
      <c r="E5" s="6" t="s">
        <v>3</v>
      </c>
      <c r="F5" s="7">
        <f>$C$28</f>
        <v>0.66500000000000004</v>
      </c>
    </row>
    <row r="6" spans="1:9" ht="13" x14ac:dyDescent="0.3">
      <c r="A6" s="4" t="s">
        <v>4</v>
      </c>
      <c r="B6" s="5"/>
      <c r="C6" s="5"/>
      <c r="E6" s="6" t="s">
        <v>5</v>
      </c>
      <c r="F6" s="7">
        <v>5</v>
      </c>
    </row>
    <row r="7" spans="1:9" ht="15.5" x14ac:dyDescent="0.4">
      <c r="A7" s="2" t="s">
        <v>6</v>
      </c>
      <c r="B7" s="2" t="s">
        <v>7</v>
      </c>
      <c r="C7" s="2" t="s">
        <v>8</v>
      </c>
      <c r="E7" s="6" t="s">
        <v>9</v>
      </c>
      <c r="F7" s="7">
        <v>0.57999999999999996</v>
      </c>
    </row>
    <row r="8" spans="1:9" ht="15.5" x14ac:dyDescent="0.4">
      <c r="A8" s="2">
        <v>1</v>
      </c>
      <c r="B8" s="2">
        <v>95.72</v>
      </c>
      <c r="C8" s="2">
        <v>1</v>
      </c>
      <c r="E8" s="6" t="s">
        <v>10</v>
      </c>
      <c r="F8" s="7">
        <v>0</v>
      </c>
    </row>
    <row r="9" spans="1:9" ht="15.5" x14ac:dyDescent="0.4">
      <c r="A9" s="2">
        <v>2</v>
      </c>
      <c r="B9" s="2">
        <v>95.24</v>
      </c>
      <c r="C9" s="2">
        <v>0.9</v>
      </c>
      <c r="E9" s="6" t="s">
        <v>11</v>
      </c>
      <c r="F9" s="7">
        <v>2.11</v>
      </c>
    </row>
    <row r="10" spans="1:9" ht="15.5" x14ac:dyDescent="0.4">
      <c r="A10" s="2">
        <v>3</v>
      </c>
      <c r="B10" s="2">
        <v>95.18</v>
      </c>
      <c r="C10" s="2">
        <v>0.8</v>
      </c>
      <c r="E10" s="6" t="s">
        <v>12</v>
      </c>
      <c r="F10" s="7">
        <f>F4+F7*F5</f>
        <v>95.783699999999996</v>
      </c>
      <c r="G10" s="6" t="s">
        <v>13</v>
      </c>
      <c r="H10" s="7">
        <f>F9*F5</f>
        <v>1.4031499999999999</v>
      </c>
    </row>
    <row r="11" spans="1:9" ht="15.5" x14ac:dyDescent="0.4">
      <c r="A11" s="2">
        <v>4</v>
      </c>
      <c r="B11" s="2">
        <v>95.44</v>
      </c>
      <c r="C11" s="2">
        <v>0.4</v>
      </c>
      <c r="E11" s="6" t="s">
        <v>14</v>
      </c>
      <c r="F11" s="7">
        <f>F4-F7*F5</f>
        <v>95.012299999999996</v>
      </c>
      <c r="G11" s="6" t="s">
        <v>15</v>
      </c>
      <c r="H11" s="7">
        <f>F8*F5</f>
        <v>0</v>
      </c>
    </row>
    <row r="12" spans="1:9" ht="13" x14ac:dyDescent="0.3">
      <c r="A12" s="2">
        <v>5</v>
      </c>
      <c r="B12" s="2">
        <v>95.46</v>
      </c>
      <c r="C12" s="2">
        <v>0.5</v>
      </c>
      <c r="F12" s="7"/>
      <c r="H12" s="7"/>
    </row>
    <row r="13" spans="1:9" ht="13" x14ac:dyDescent="0.3">
      <c r="A13" s="2">
        <v>6</v>
      </c>
      <c r="B13" s="2">
        <v>95.32</v>
      </c>
      <c r="C13" s="2">
        <v>1.1000000000000001</v>
      </c>
      <c r="D13" s="3" t="s">
        <v>16</v>
      </c>
    </row>
    <row r="14" spans="1:9" ht="13" x14ac:dyDescent="0.3">
      <c r="A14" s="2">
        <v>7</v>
      </c>
      <c r="B14" s="2">
        <v>95.4</v>
      </c>
      <c r="C14" s="2">
        <v>0.9</v>
      </c>
      <c r="H14" s="6" t="s">
        <v>17</v>
      </c>
      <c r="I14" s="11">
        <f>$F$10</f>
        <v>95.783699999999996</v>
      </c>
    </row>
    <row r="15" spans="1:9" ht="13" x14ac:dyDescent="0.3">
      <c r="A15" s="2">
        <v>8</v>
      </c>
      <c r="B15" s="2">
        <v>95.44</v>
      </c>
      <c r="C15" s="2">
        <v>0.3</v>
      </c>
      <c r="I15" s="11"/>
    </row>
    <row r="16" spans="1:9" ht="13" x14ac:dyDescent="0.3">
      <c r="A16" s="2">
        <v>9</v>
      </c>
      <c r="B16" s="2">
        <v>95.08</v>
      </c>
      <c r="C16" s="2">
        <v>0.2</v>
      </c>
      <c r="I16" s="11">
        <f>$F$4</f>
        <v>95.397999999999996</v>
      </c>
    </row>
    <row r="17" spans="1:9" ht="13" x14ac:dyDescent="0.3">
      <c r="A17" s="2">
        <v>10</v>
      </c>
      <c r="B17" s="2">
        <v>95.5</v>
      </c>
      <c r="C17" s="2">
        <v>0.6</v>
      </c>
      <c r="I17" s="11"/>
    </row>
    <row r="18" spans="1:9" ht="13" x14ac:dyDescent="0.3">
      <c r="A18" s="2">
        <v>11</v>
      </c>
      <c r="B18" s="2">
        <v>95.8</v>
      </c>
      <c r="C18" s="2">
        <v>0.6</v>
      </c>
      <c r="I18" s="11"/>
    </row>
    <row r="19" spans="1:9" ht="13" x14ac:dyDescent="0.3">
      <c r="A19" s="2">
        <v>12</v>
      </c>
      <c r="B19" s="2">
        <v>95.22</v>
      </c>
      <c r="C19" s="2">
        <v>0.2</v>
      </c>
      <c r="H19" s="6" t="s">
        <v>18</v>
      </c>
      <c r="I19" s="12">
        <f>$F$11</f>
        <v>95.012299999999996</v>
      </c>
    </row>
    <row r="20" spans="1:9" ht="13" x14ac:dyDescent="0.3">
      <c r="A20" s="2">
        <v>13</v>
      </c>
      <c r="B20" s="2">
        <v>95.56</v>
      </c>
      <c r="C20" s="2">
        <v>1.3</v>
      </c>
    </row>
    <row r="21" spans="1:9" ht="13" x14ac:dyDescent="0.3">
      <c r="A21" s="2">
        <v>14</v>
      </c>
      <c r="B21" s="2">
        <v>95.22</v>
      </c>
      <c r="C21" s="2">
        <v>0.5</v>
      </c>
      <c r="D21" s="3" t="s">
        <v>19</v>
      </c>
    </row>
    <row r="22" spans="1:9" ht="13" x14ac:dyDescent="0.3">
      <c r="A22" s="2">
        <v>15</v>
      </c>
      <c r="B22" s="2">
        <v>95.04</v>
      </c>
      <c r="C22" s="2">
        <v>0.8</v>
      </c>
    </row>
    <row r="23" spans="1:9" ht="13" x14ac:dyDescent="0.3">
      <c r="A23" s="2">
        <v>16</v>
      </c>
      <c r="B23" s="2">
        <v>95.72</v>
      </c>
      <c r="C23" s="2">
        <v>1.1000000000000001</v>
      </c>
      <c r="H23" s="6" t="s">
        <v>17</v>
      </c>
      <c r="I23" s="7">
        <f>$H$10</f>
        <v>1.4031499999999999</v>
      </c>
    </row>
    <row r="24" spans="1:9" ht="13" x14ac:dyDescent="0.3">
      <c r="A24" s="2">
        <v>17</v>
      </c>
      <c r="B24" s="2">
        <v>94.82</v>
      </c>
      <c r="C24" s="2">
        <v>0.6</v>
      </c>
      <c r="I24" s="7"/>
    </row>
    <row r="25" spans="1:9" ht="13" x14ac:dyDescent="0.3">
      <c r="A25" s="2">
        <v>18</v>
      </c>
      <c r="B25" s="2">
        <v>95.46</v>
      </c>
      <c r="C25" s="2">
        <v>0.5</v>
      </c>
      <c r="I25" s="7">
        <f>$F$5</f>
        <v>0.66500000000000004</v>
      </c>
    </row>
    <row r="26" spans="1:9" ht="13" x14ac:dyDescent="0.3">
      <c r="A26" s="2">
        <v>18</v>
      </c>
      <c r="B26" s="2">
        <v>95.6</v>
      </c>
      <c r="C26" s="2">
        <v>0.4</v>
      </c>
      <c r="I26" s="7"/>
    </row>
    <row r="27" spans="1:9" ht="13" x14ac:dyDescent="0.3">
      <c r="A27" s="2">
        <v>20</v>
      </c>
      <c r="B27" s="2">
        <v>95.74</v>
      </c>
      <c r="C27" s="2">
        <v>0.6</v>
      </c>
      <c r="I27" s="7"/>
    </row>
    <row r="28" spans="1:9" ht="13" x14ac:dyDescent="0.3">
      <c r="A28" s="2" t="s">
        <v>20</v>
      </c>
      <c r="B28" s="2">
        <f t="shared" ref="B28:C28" si="0">AVERAGE(B8:B27)</f>
        <v>95.397999999999996</v>
      </c>
      <c r="C28" s="2">
        <f t="shared" si="0"/>
        <v>0.66500000000000004</v>
      </c>
      <c r="H28" s="6" t="s">
        <v>18</v>
      </c>
      <c r="I28" s="7">
        <f>$H$11</f>
        <v>0</v>
      </c>
    </row>
    <row r="29" spans="1:9" ht="13" x14ac:dyDescent="0.3">
      <c r="A29" s="2"/>
      <c r="B29" s="2"/>
      <c r="C29" s="2"/>
    </row>
    <row r="30" spans="1:9" x14ac:dyDescent="0.25">
      <c r="A30" s="10" t="s">
        <v>21</v>
      </c>
      <c r="B30" s="1"/>
      <c r="C30" s="1"/>
    </row>
    <row r="31" spans="1:9" x14ac:dyDescent="0.25">
      <c r="A31" s="1"/>
      <c r="B31" s="1"/>
      <c r="C31" s="1"/>
    </row>
    <row r="32" spans="1:9" ht="13" x14ac:dyDescent="0.3">
      <c r="A32" s="1"/>
      <c r="B32" s="4" t="s">
        <v>22</v>
      </c>
      <c r="C32" s="4"/>
      <c r="D32" s="4"/>
      <c r="E32" s="4"/>
      <c r="F32" s="4"/>
    </row>
    <row r="33" spans="1:8" ht="13" x14ac:dyDescent="0.3">
      <c r="A33" s="2" t="s">
        <v>6</v>
      </c>
      <c r="B33" s="2">
        <v>1</v>
      </c>
      <c r="C33" s="2">
        <v>2</v>
      </c>
      <c r="D33" s="2">
        <v>3</v>
      </c>
      <c r="E33" s="2">
        <v>4</v>
      </c>
      <c r="F33" s="2">
        <v>5</v>
      </c>
      <c r="G33" s="2" t="s">
        <v>23</v>
      </c>
      <c r="H33" s="2" t="s">
        <v>24</v>
      </c>
    </row>
    <row r="34" spans="1:8" ht="13" x14ac:dyDescent="0.3">
      <c r="A34" s="2">
        <v>1</v>
      </c>
      <c r="B34" s="1">
        <v>3.05</v>
      </c>
      <c r="C34" s="1">
        <v>3.08</v>
      </c>
      <c r="D34">
        <v>3.07</v>
      </c>
      <c r="E34">
        <v>3.11</v>
      </c>
      <c r="F34">
        <v>3.11</v>
      </c>
      <c r="G34">
        <f>AVERAGE(B34:F34)</f>
        <v>3.0839999999999996</v>
      </c>
      <c r="H34">
        <f>MAX(B34:F34)-MIN(B34:F34)</f>
        <v>6.0000000000000053E-2</v>
      </c>
    </row>
    <row r="35" spans="1:8" ht="13" x14ac:dyDescent="0.3">
      <c r="A35" s="2">
        <v>2</v>
      </c>
      <c r="B35" s="1">
        <v>3.13</v>
      </c>
      <c r="C35" s="1">
        <v>3.07</v>
      </c>
      <c r="D35">
        <v>3.05</v>
      </c>
      <c r="E35">
        <v>3.1</v>
      </c>
      <c r="F35">
        <v>3.1</v>
      </c>
      <c r="G35">
        <f t="shared" ref="G35:G43" si="1">AVERAGE(B35:F35)</f>
        <v>3.09</v>
      </c>
      <c r="H35">
        <f t="shared" ref="H35:H43" si="2">MAX(B35:F35)-MIN(B35:F35)</f>
        <v>8.0000000000000071E-2</v>
      </c>
    </row>
    <row r="36" spans="1:8" ht="13" x14ac:dyDescent="0.3">
      <c r="A36" s="2">
        <v>3</v>
      </c>
      <c r="B36" s="1">
        <v>3.06</v>
      </c>
      <c r="C36" s="1">
        <v>3.04</v>
      </c>
      <c r="D36">
        <v>3.12</v>
      </c>
      <c r="E36">
        <v>3.11</v>
      </c>
      <c r="F36">
        <v>3.1</v>
      </c>
      <c r="G36">
        <f t="shared" si="1"/>
        <v>3.0859999999999994</v>
      </c>
      <c r="H36">
        <f t="shared" si="2"/>
        <v>8.0000000000000071E-2</v>
      </c>
    </row>
    <row r="37" spans="1:8" ht="13" x14ac:dyDescent="0.3">
      <c r="A37" s="2">
        <v>4</v>
      </c>
      <c r="B37" s="1">
        <v>3.09</v>
      </c>
      <c r="C37" s="1">
        <v>3.08</v>
      </c>
      <c r="D37">
        <v>3.09</v>
      </c>
      <c r="E37">
        <v>3.09</v>
      </c>
      <c r="F37">
        <v>3.07</v>
      </c>
      <c r="G37">
        <f t="shared" si="1"/>
        <v>3.0840000000000001</v>
      </c>
      <c r="H37">
        <f t="shared" si="2"/>
        <v>2.0000000000000018E-2</v>
      </c>
    </row>
    <row r="38" spans="1:8" ht="13" x14ac:dyDescent="0.3">
      <c r="A38" s="2">
        <v>5</v>
      </c>
      <c r="B38" s="1">
        <v>3.1</v>
      </c>
      <c r="C38" s="1">
        <v>3.06</v>
      </c>
      <c r="D38">
        <v>3.06</v>
      </c>
      <c r="E38">
        <v>3.07</v>
      </c>
      <c r="F38">
        <v>3.08</v>
      </c>
      <c r="G38">
        <f t="shared" si="1"/>
        <v>3.0740000000000003</v>
      </c>
      <c r="H38">
        <f t="shared" si="2"/>
        <v>4.0000000000000036E-2</v>
      </c>
    </row>
    <row r="39" spans="1:8" ht="13" x14ac:dyDescent="0.3">
      <c r="A39" s="2">
        <v>6</v>
      </c>
      <c r="B39" s="1">
        <v>3.08</v>
      </c>
      <c r="C39" s="1">
        <v>3.1</v>
      </c>
      <c r="D39">
        <v>3.13</v>
      </c>
      <c r="E39">
        <v>3.03</v>
      </c>
      <c r="F39">
        <v>3.06</v>
      </c>
      <c r="G39">
        <f t="shared" si="1"/>
        <v>3.0799999999999996</v>
      </c>
      <c r="H39">
        <f t="shared" si="2"/>
        <v>0.10000000000000009</v>
      </c>
    </row>
    <row r="40" spans="1:8" ht="13" x14ac:dyDescent="0.3">
      <c r="A40" s="2">
        <v>7</v>
      </c>
      <c r="B40" s="1">
        <v>3.06</v>
      </c>
      <c r="C40" s="1">
        <v>3.06</v>
      </c>
      <c r="D40">
        <v>3.08</v>
      </c>
      <c r="E40">
        <v>3.1</v>
      </c>
      <c r="F40">
        <v>3.08</v>
      </c>
      <c r="G40">
        <f t="shared" si="1"/>
        <v>3.0759999999999996</v>
      </c>
      <c r="H40">
        <f t="shared" si="2"/>
        <v>4.0000000000000036E-2</v>
      </c>
    </row>
    <row r="41" spans="1:8" ht="13" x14ac:dyDescent="0.3">
      <c r="A41" s="2">
        <v>8</v>
      </c>
      <c r="B41" s="1">
        <v>3.11</v>
      </c>
      <c r="C41" s="1">
        <v>3.08</v>
      </c>
      <c r="D41">
        <v>3.07</v>
      </c>
      <c r="E41">
        <v>3.07</v>
      </c>
      <c r="F41">
        <v>3.07</v>
      </c>
      <c r="G41">
        <f t="shared" si="1"/>
        <v>3.08</v>
      </c>
      <c r="H41">
        <f t="shared" si="2"/>
        <v>4.0000000000000036E-2</v>
      </c>
    </row>
    <row r="42" spans="1:8" ht="13" x14ac:dyDescent="0.3">
      <c r="A42" s="2">
        <v>9</v>
      </c>
      <c r="B42" s="1">
        <v>3.09</v>
      </c>
      <c r="C42" s="1">
        <v>3.09</v>
      </c>
      <c r="D42">
        <v>3.08</v>
      </c>
      <c r="E42">
        <v>3.07</v>
      </c>
      <c r="F42">
        <v>3.09</v>
      </c>
      <c r="G42">
        <f t="shared" si="1"/>
        <v>3.0840000000000001</v>
      </c>
      <c r="H42">
        <f t="shared" si="2"/>
        <v>2.0000000000000018E-2</v>
      </c>
    </row>
    <row r="43" spans="1:8" ht="13" x14ac:dyDescent="0.3">
      <c r="A43" s="2">
        <v>10</v>
      </c>
      <c r="B43" s="1">
        <v>3.06</v>
      </c>
      <c r="C43" s="1">
        <v>3.11</v>
      </c>
      <c r="D43">
        <v>3.07</v>
      </c>
      <c r="E43">
        <v>3.09</v>
      </c>
      <c r="F43">
        <v>3.07</v>
      </c>
      <c r="G43">
        <f t="shared" si="1"/>
        <v>3.08</v>
      </c>
      <c r="H43">
        <f t="shared" si="2"/>
        <v>4.9999999999999822E-2</v>
      </c>
    </row>
    <row r="44" spans="1:8" x14ac:dyDescent="0.25">
      <c r="A44" s="8"/>
      <c r="B44" s="1"/>
      <c r="C44" s="1"/>
      <c r="D44" s="1"/>
      <c r="E44" s="1"/>
      <c r="F44" s="1"/>
      <c r="G44" s="6">
        <f t="shared" ref="G44:H44" si="3">AVERAGE(G34:G43)</f>
        <v>3.0817999999999999</v>
      </c>
      <c r="H44" s="6">
        <f t="shared" si="3"/>
        <v>5.3000000000000026E-2</v>
      </c>
    </row>
    <row r="45" spans="1:8" x14ac:dyDescent="0.25">
      <c r="A45" s="1"/>
      <c r="B45" s="1"/>
      <c r="C45" s="1"/>
      <c r="D45" s="1"/>
      <c r="E45" s="1"/>
      <c r="F45" s="1"/>
      <c r="G45" s="6"/>
      <c r="H45" s="13"/>
    </row>
    <row r="46" spans="1:8" x14ac:dyDescent="0.25">
      <c r="A46" s="1"/>
      <c r="B46" s="1"/>
      <c r="C46" s="1"/>
    </row>
    <row r="47" spans="1:8" x14ac:dyDescent="0.25">
      <c r="A47" s="6" t="s">
        <v>5</v>
      </c>
      <c r="B47" s="1">
        <v>5</v>
      </c>
      <c r="C47" s="1"/>
      <c r="D47" t="s">
        <v>25</v>
      </c>
      <c r="E47">
        <f>$G$44-$B$48*$H$44</f>
        <v>3.0510599999999997</v>
      </c>
      <c r="G47" t="s">
        <v>26</v>
      </c>
      <c r="H47">
        <f>$H$44*$B$50</f>
        <v>0.11183000000000005</v>
      </c>
    </row>
    <row r="48" spans="1:8" x14ac:dyDescent="0.25">
      <c r="A48" s="6" t="s">
        <v>27</v>
      </c>
      <c r="B48" s="1">
        <v>0.57999999999999996</v>
      </c>
      <c r="C48" s="1"/>
      <c r="D48" t="s">
        <v>28</v>
      </c>
      <c r="E48">
        <f>$G$44+$B$48*$H$44</f>
        <v>3.1125400000000001</v>
      </c>
      <c r="G48" t="s">
        <v>29</v>
      </c>
      <c r="H48">
        <f>B49*H45</f>
        <v>0</v>
      </c>
    </row>
    <row r="49" spans="1:9" x14ac:dyDescent="0.25">
      <c r="A49" s="6" t="s">
        <v>30</v>
      </c>
      <c r="B49" s="1">
        <v>0</v>
      </c>
      <c r="C49" s="1"/>
    </row>
    <row r="50" spans="1:9" x14ac:dyDescent="0.25">
      <c r="A50" s="6" t="s">
        <v>31</v>
      </c>
      <c r="B50" s="1">
        <v>2.11</v>
      </c>
      <c r="C50" s="1"/>
    </row>
    <row r="51" spans="1:9" x14ac:dyDescent="0.25">
      <c r="A51" s="1"/>
      <c r="B51" s="1"/>
      <c r="C51" s="1"/>
    </row>
    <row r="52" spans="1:9" x14ac:dyDescent="0.25">
      <c r="A52" s="10" t="s">
        <v>32</v>
      </c>
      <c r="B52" s="1"/>
      <c r="C52" s="1"/>
    </row>
    <row r="53" spans="1:9" x14ac:dyDescent="0.25">
      <c r="A53" s="10" t="s">
        <v>33</v>
      </c>
      <c r="B53" s="1"/>
      <c r="C53" s="1"/>
    </row>
    <row r="54" spans="1:9" x14ac:dyDescent="0.25">
      <c r="A54" s="10"/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>
        <v>6</v>
      </c>
      <c r="H54" s="1">
        <v>7</v>
      </c>
      <c r="I54" s="1">
        <v>8</v>
      </c>
    </row>
    <row r="55" spans="1:9" x14ac:dyDescent="0.25">
      <c r="A55" s="1" t="s">
        <v>34</v>
      </c>
      <c r="B55" s="1">
        <v>3.0950000000000002</v>
      </c>
      <c r="C55" s="1">
        <v>3.1030000000000002</v>
      </c>
      <c r="D55">
        <v>3.1120000000000001</v>
      </c>
      <c r="E55">
        <v>3.1150000000000002</v>
      </c>
      <c r="F55">
        <v>3.1160000000000001</v>
      </c>
      <c r="G55">
        <v>3.1190000000000002</v>
      </c>
      <c r="H55">
        <v>3.1219999999999999</v>
      </c>
      <c r="I55">
        <v>3.129</v>
      </c>
    </row>
    <row r="56" spans="1:9" x14ac:dyDescent="0.25">
      <c r="A56" s="1" t="s">
        <v>24</v>
      </c>
      <c r="B56" s="1">
        <v>0.09</v>
      </c>
      <c r="C56" s="1">
        <v>0.08</v>
      </c>
      <c r="D56">
        <v>0.06</v>
      </c>
      <c r="E56">
        <v>0.11</v>
      </c>
      <c r="F56">
        <v>0.17</v>
      </c>
      <c r="G56">
        <v>0.1</v>
      </c>
      <c r="H56">
        <v>0.19</v>
      </c>
      <c r="I56">
        <v>0.24</v>
      </c>
    </row>
    <row r="57" spans="1:9" x14ac:dyDescent="0.25">
      <c r="A57" s="1"/>
      <c r="B57" s="1"/>
      <c r="C57" s="1"/>
    </row>
    <row r="58" spans="1:9" x14ac:dyDescent="0.25">
      <c r="A58" s="10" t="s">
        <v>35</v>
      </c>
      <c r="B58" s="1"/>
      <c r="C58" s="1"/>
    </row>
    <row r="59" spans="1:9" x14ac:dyDescent="0.25">
      <c r="A59" s="10" t="s">
        <v>36</v>
      </c>
      <c r="B59" s="1"/>
      <c r="C59" s="1"/>
    </row>
    <row r="60" spans="1:9" x14ac:dyDescent="0.25">
      <c r="A60" s="10" t="s">
        <v>37</v>
      </c>
      <c r="B60" s="1"/>
      <c r="C60" s="1"/>
    </row>
    <row r="61" spans="1:9" x14ac:dyDescent="0.25">
      <c r="A61" s="10" t="s">
        <v>38</v>
      </c>
      <c r="B61" s="1"/>
      <c r="C61" s="1"/>
    </row>
    <row r="62" spans="1:9" x14ac:dyDescent="0.25">
      <c r="A62" s="1"/>
      <c r="B62" s="1"/>
      <c r="C62" s="1"/>
    </row>
    <row r="63" spans="1:9" x14ac:dyDescent="0.25">
      <c r="A63" s="10" t="s">
        <v>39</v>
      </c>
      <c r="B63" s="1"/>
      <c r="C63" s="1"/>
    </row>
    <row r="64" spans="1:9" x14ac:dyDescent="0.25">
      <c r="A64" s="1"/>
      <c r="B64" s="1"/>
      <c r="C64" s="1"/>
    </row>
    <row r="65" spans="1:8" x14ac:dyDescent="0.25">
      <c r="A65" s="1"/>
      <c r="B65" s="1"/>
      <c r="C65" s="1"/>
    </row>
    <row r="66" spans="1:8" ht="26" x14ac:dyDescent="0.3">
      <c r="A66" s="14" t="s">
        <v>40</v>
      </c>
      <c r="B66" s="14" t="s">
        <v>41</v>
      </c>
      <c r="C66" s="2" t="s">
        <v>42</v>
      </c>
      <c r="G66" s="14" t="s">
        <v>43</v>
      </c>
      <c r="H66" s="2" t="s">
        <v>42</v>
      </c>
    </row>
    <row r="67" spans="1:8" x14ac:dyDescent="0.25">
      <c r="A67" s="1">
        <v>1</v>
      </c>
      <c r="B67" s="1">
        <v>2</v>
      </c>
      <c r="C67" s="1">
        <f>B67/100</f>
        <v>0.02</v>
      </c>
      <c r="G67" s="1">
        <v>2</v>
      </c>
      <c r="H67">
        <f>G67/100</f>
        <v>0.02</v>
      </c>
    </row>
    <row r="68" spans="1:8" x14ac:dyDescent="0.25">
      <c r="A68" s="1">
        <v>2</v>
      </c>
      <c r="B68" s="1">
        <v>1</v>
      </c>
      <c r="C68" s="1">
        <f t="shared" ref="C68:C83" si="4">B68/100</f>
        <v>0.01</v>
      </c>
      <c r="D68" t="s">
        <v>44</v>
      </c>
      <c r="E68">
        <f>$C$92</f>
        <v>1.8800000000000004E-2</v>
      </c>
      <c r="G68" s="1">
        <v>1</v>
      </c>
      <c r="H68">
        <f t="shared" ref="H68:H83" si="5">G68/100</f>
        <v>0.01</v>
      </c>
    </row>
    <row r="69" spans="1:8" x14ac:dyDescent="0.25">
      <c r="A69" s="1">
        <v>3</v>
      </c>
      <c r="B69" s="1">
        <v>2</v>
      </c>
      <c r="C69" s="1">
        <f t="shared" si="4"/>
        <v>0.02</v>
      </c>
      <c r="D69" t="s">
        <v>45</v>
      </c>
      <c r="E69">
        <f>SQRT(E68*(1-E68)/100)</f>
        <v>1.3581811366677129E-2</v>
      </c>
      <c r="G69" s="1">
        <v>2</v>
      </c>
      <c r="H69">
        <f t="shared" si="5"/>
        <v>0.02</v>
      </c>
    </row>
    <row r="70" spans="1:8" x14ac:dyDescent="0.25">
      <c r="A70" s="1">
        <v>4</v>
      </c>
      <c r="B70" s="1">
        <v>3</v>
      </c>
      <c r="C70" s="1">
        <f t="shared" si="4"/>
        <v>0.03</v>
      </c>
      <c r="D70" t="s">
        <v>17</v>
      </c>
      <c r="E70">
        <f>E68+3*E69</f>
        <v>5.9545434100031387E-2</v>
      </c>
      <c r="G70" s="1">
        <v>3</v>
      </c>
      <c r="H70">
        <f t="shared" si="5"/>
        <v>0.03</v>
      </c>
    </row>
    <row r="71" spans="1:8" x14ac:dyDescent="0.25">
      <c r="A71" s="1">
        <v>5</v>
      </c>
      <c r="B71" s="1">
        <v>0</v>
      </c>
      <c r="C71" s="1">
        <f t="shared" si="4"/>
        <v>0</v>
      </c>
      <c r="D71" t="s">
        <v>18</v>
      </c>
      <c r="E71">
        <v>0</v>
      </c>
      <c r="G71" s="1">
        <v>0</v>
      </c>
      <c r="H71">
        <f t="shared" si="5"/>
        <v>0</v>
      </c>
    </row>
    <row r="72" spans="1:8" x14ac:dyDescent="0.25">
      <c r="A72" s="1">
        <v>6</v>
      </c>
      <c r="B72" s="1">
        <v>2</v>
      </c>
      <c r="C72" s="1">
        <f t="shared" si="4"/>
        <v>0.02</v>
      </c>
      <c r="G72" s="1">
        <v>2</v>
      </c>
      <c r="H72">
        <f t="shared" si="5"/>
        <v>0.02</v>
      </c>
    </row>
    <row r="73" spans="1:8" x14ac:dyDescent="0.25">
      <c r="A73" s="1">
        <v>7</v>
      </c>
      <c r="B73" s="1">
        <v>0</v>
      </c>
      <c r="C73" s="1">
        <f t="shared" si="4"/>
        <v>0</v>
      </c>
      <c r="D73" t="s">
        <v>46</v>
      </c>
      <c r="G73" s="1">
        <v>0</v>
      </c>
      <c r="H73">
        <f t="shared" si="5"/>
        <v>0</v>
      </c>
    </row>
    <row r="74" spans="1:8" x14ac:dyDescent="0.25">
      <c r="A74" s="1">
        <v>8</v>
      </c>
      <c r="B74" s="1">
        <v>2</v>
      </c>
      <c r="C74" s="1">
        <f t="shared" si="4"/>
        <v>0.02</v>
      </c>
      <c r="G74" s="1">
        <v>2</v>
      </c>
      <c r="H74">
        <f t="shared" si="5"/>
        <v>0.02</v>
      </c>
    </row>
    <row r="75" spans="1:8" x14ac:dyDescent="0.25">
      <c r="A75" s="1">
        <v>9</v>
      </c>
      <c r="B75" s="1">
        <v>7</v>
      </c>
      <c r="C75" s="1">
        <f t="shared" si="4"/>
        <v>7.0000000000000007E-2</v>
      </c>
      <c r="D75" t="s">
        <v>47</v>
      </c>
      <c r="G75" s="1">
        <v>1</v>
      </c>
      <c r="H75">
        <f t="shared" si="5"/>
        <v>0.01</v>
      </c>
    </row>
    <row r="76" spans="1:8" x14ac:dyDescent="0.25">
      <c r="A76" s="1">
        <v>10</v>
      </c>
      <c r="B76" s="1">
        <v>1</v>
      </c>
      <c r="C76" s="1">
        <f t="shared" si="4"/>
        <v>0.01</v>
      </c>
      <c r="G76" s="1">
        <v>3</v>
      </c>
      <c r="H76">
        <f t="shared" si="5"/>
        <v>0.03</v>
      </c>
    </row>
    <row r="77" spans="1:8" x14ac:dyDescent="0.25">
      <c r="A77" s="1">
        <f>A76+1</f>
        <v>11</v>
      </c>
      <c r="B77" s="1">
        <v>3</v>
      </c>
      <c r="C77" s="1">
        <f t="shared" si="4"/>
        <v>0.03</v>
      </c>
      <c r="D77" t="s">
        <v>44</v>
      </c>
      <c r="E77">
        <f>$H$90</f>
        <v>1.3913043478260872E-2</v>
      </c>
      <c r="G77" s="1">
        <v>0</v>
      </c>
      <c r="H77">
        <f t="shared" si="5"/>
        <v>0</v>
      </c>
    </row>
    <row r="78" spans="1:8" x14ac:dyDescent="0.25">
      <c r="A78" s="1">
        <f t="shared" ref="A78:A91" si="6">A77+1</f>
        <v>12</v>
      </c>
      <c r="B78" s="1">
        <v>0</v>
      </c>
      <c r="C78" s="1">
        <f t="shared" si="4"/>
        <v>0</v>
      </c>
      <c r="D78" t="s">
        <v>45</v>
      </c>
      <c r="E78">
        <f>SQRT(E77*(1-E77)/100)</f>
        <v>1.1713014428161904E-2</v>
      </c>
      <c r="G78" s="1">
        <v>0</v>
      </c>
      <c r="H78">
        <f t="shared" si="5"/>
        <v>0</v>
      </c>
    </row>
    <row r="79" spans="1:8" x14ac:dyDescent="0.25">
      <c r="A79" s="1">
        <f t="shared" si="6"/>
        <v>13</v>
      </c>
      <c r="B79" s="1">
        <v>0</v>
      </c>
      <c r="C79" s="1">
        <f t="shared" si="4"/>
        <v>0</v>
      </c>
      <c r="D79" t="s">
        <v>17</v>
      </c>
      <c r="E79">
        <f>E77+3*E78</f>
        <v>4.9052086762746583E-2</v>
      </c>
      <c r="G79" s="1">
        <v>2</v>
      </c>
      <c r="H79">
        <f t="shared" si="5"/>
        <v>0.02</v>
      </c>
    </row>
    <row r="80" spans="1:8" x14ac:dyDescent="0.25">
      <c r="A80" s="1">
        <f t="shared" si="6"/>
        <v>14</v>
      </c>
      <c r="B80" s="1">
        <v>2</v>
      </c>
      <c r="C80" s="1">
        <f t="shared" si="4"/>
        <v>0.02</v>
      </c>
      <c r="D80" t="s">
        <v>18</v>
      </c>
      <c r="E80">
        <v>0</v>
      </c>
      <c r="G80" s="1">
        <v>1</v>
      </c>
      <c r="H80">
        <f t="shared" si="5"/>
        <v>0.01</v>
      </c>
    </row>
    <row r="81" spans="1:8" x14ac:dyDescent="0.25">
      <c r="A81" s="1">
        <f t="shared" si="6"/>
        <v>15</v>
      </c>
      <c r="B81" s="1">
        <v>1</v>
      </c>
      <c r="C81" s="1">
        <f t="shared" si="4"/>
        <v>0.01</v>
      </c>
      <c r="G81" s="1">
        <v>3</v>
      </c>
      <c r="H81">
        <f t="shared" si="5"/>
        <v>0.03</v>
      </c>
    </row>
    <row r="82" spans="1:8" x14ac:dyDescent="0.25">
      <c r="A82" s="1">
        <f t="shared" si="6"/>
        <v>16</v>
      </c>
      <c r="B82" s="1">
        <v>3</v>
      </c>
      <c r="C82" s="1">
        <f t="shared" si="4"/>
        <v>0.03</v>
      </c>
      <c r="G82" s="1">
        <v>4</v>
      </c>
      <c r="H82">
        <f t="shared" si="5"/>
        <v>0.04</v>
      </c>
    </row>
    <row r="83" spans="1:8" x14ac:dyDescent="0.25">
      <c r="A83" s="1">
        <f t="shared" si="6"/>
        <v>17</v>
      </c>
      <c r="B83" s="1">
        <v>4</v>
      </c>
      <c r="C83" s="1">
        <f t="shared" si="4"/>
        <v>0.04</v>
      </c>
      <c r="G83" s="1">
        <v>0</v>
      </c>
      <c r="H83">
        <f t="shared" si="5"/>
        <v>0</v>
      </c>
    </row>
    <row r="84" spans="1:8" x14ac:dyDescent="0.25">
      <c r="A84" s="1">
        <f t="shared" si="6"/>
        <v>18</v>
      </c>
      <c r="B84" s="1">
        <v>0</v>
      </c>
      <c r="C84" s="1">
        <f t="shared" ref="C84:C91" si="7">B84/100</f>
        <v>0</v>
      </c>
      <c r="G84" s="1">
        <v>0</v>
      </c>
      <c r="H84">
        <f t="shared" ref="H84:H89" si="8">G84/100</f>
        <v>0</v>
      </c>
    </row>
    <row r="85" spans="1:8" x14ac:dyDescent="0.25">
      <c r="A85" s="1">
        <f t="shared" si="6"/>
        <v>19</v>
      </c>
      <c r="B85" s="1">
        <v>0</v>
      </c>
      <c r="C85" s="1">
        <f t="shared" si="7"/>
        <v>0</v>
      </c>
      <c r="G85" s="1">
        <v>1</v>
      </c>
      <c r="H85">
        <f t="shared" si="8"/>
        <v>0.01</v>
      </c>
    </row>
    <row r="86" spans="1:8" x14ac:dyDescent="0.25">
      <c r="A86" s="1">
        <f t="shared" si="6"/>
        <v>20</v>
      </c>
      <c r="B86" s="1">
        <v>1</v>
      </c>
      <c r="C86" s="1">
        <f t="shared" si="7"/>
        <v>0.01</v>
      </c>
      <c r="G86" s="1">
        <v>0</v>
      </c>
      <c r="H86">
        <f t="shared" si="8"/>
        <v>0</v>
      </c>
    </row>
    <row r="87" spans="1:8" x14ac:dyDescent="0.25">
      <c r="A87" s="1">
        <f t="shared" si="6"/>
        <v>21</v>
      </c>
      <c r="B87" s="1">
        <v>0</v>
      </c>
      <c r="C87" s="1">
        <f t="shared" si="7"/>
        <v>0</v>
      </c>
      <c r="G87" s="1">
        <v>2</v>
      </c>
      <c r="H87">
        <f t="shared" si="8"/>
        <v>0.02</v>
      </c>
    </row>
    <row r="88" spans="1:8" x14ac:dyDescent="0.25">
      <c r="A88" s="1">
        <f t="shared" si="6"/>
        <v>22</v>
      </c>
      <c r="B88" s="1">
        <v>2</v>
      </c>
      <c r="C88" s="1">
        <f t="shared" si="7"/>
        <v>0.02</v>
      </c>
      <c r="G88" s="1">
        <v>2</v>
      </c>
      <c r="H88">
        <f t="shared" si="8"/>
        <v>0.02</v>
      </c>
    </row>
    <row r="89" spans="1:8" x14ac:dyDescent="0.25">
      <c r="A89" s="1">
        <f t="shared" si="6"/>
        <v>23</v>
      </c>
      <c r="B89" s="1">
        <v>8</v>
      </c>
      <c r="C89" s="1">
        <f t="shared" si="7"/>
        <v>0.08</v>
      </c>
      <c r="G89" s="1">
        <v>1</v>
      </c>
      <c r="H89">
        <f t="shared" si="8"/>
        <v>0.01</v>
      </c>
    </row>
    <row r="90" spans="1:8" x14ac:dyDescent="0.25">
      <c r="A90" s="1">
        <f t="shared" si="6"/>
        <v>24</v>
      </c>
      <c r="B90" s="1">
        <v>2</v>
      </c>
      <c r="C90" s="1">
        <f t="shared" si="7"/>
        <v>0.02</v>
      </c>
      <c r="G90" t="s">
        <v>48</v>
      </c>
      <c r="H90">
        <f>AVERAGE(H67:H89)</f>
        <v>1.3913043478260872E-2</v>
      </c>
    </row>
    <row r="91" spans="1:8" x14ac:dyDescent="0.25">
      <c r="A91" s="1">
        <f t="shared" si="6"/>
        <v>25</v>
      </c>
      <c r="B91" s="1">
        <v>1</v>
      </c>
      <c r="C91" s="1">
        <f t="shared" si="7"/>
        <v>0.01</v>
      </c>
    </row>
    <row r="92" spans="1:8" x14ac:dyDescent="0.25">
      <c r="A92" s="1" t="s">
        <v>48</v>
      </c>
      <c r="B92" s="1"/>
      <c r="C92" s="1">
        <f>AVERAGE(C67:C91)</f>
        <v>1.8800000000000004E-2</v>
      </c>
    </row>
    <row r="93" spans="1:8" x14ac:dyDescent="0.25">
      <c r="A93" s="1"/>
      <c r="B93" s="1"/>
      <c r="C93" s="1"/>
    </row>
    <row r="94" spans="1:8" x14ac:dyDescent="0.25">
      <c r="A94" s="1"/>
      <c r="B94" s="1"/>
      <c r="C94" s="1"/>
    </row>
    <row r="95" spans="1:8" x14ac:dyDescent="0.25">
      <c r="A95" s="1"/>
      <c r="B95" s="1"/>
      <c r="C95" s="1"/>
    </row>
    <row r="96" spans="1:8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</sheetData>
  <printOptions gridLines="1" gridLinesSet="0"/>
  <pageMargins left="0.75" right="0.75" top="1" bottom="1" header="0.5" footer="0.5"/>
  <pageSetup orientation="portrait" horizontalDpi="300" verticalDpi="300" copies="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Chapter 12 Homework Problems</dc:title>
  <dc:subject>Quality Control Charts</dc:subject>
  <dc:creator>Microsoft Education Select Agr</dc:creator>
  <cp:keywords/>
  <dc:description/>
  <cp:lastModifiedBy>Carina Negreanu</cp:lastModifiedBy>
  <dcterms:created xsi:type="dcterms:W3CDTF">2020-01-27T11:32:01Z</dcterms:created>
  <dcterms:modified xsi:type="dcterms:W3CDTF">2020-01-27T11:32:01Z</dcterms:modified>
</cp:coreProperties>
</file>