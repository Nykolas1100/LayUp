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292F7D-6E6E-4B40-B4AB-40DEB69DCA92}" xr6:coauthVersionLast="45" xr6:coauthVersionMax="45" xr10:uidLastSave="{00000000-0000-0000-0000-000000000000}"/>
  <bookViews>
    <workbookView xWindow="380" yWindow="380" windowWidth="28800" windowHeight="15460" tabRatio="601"/>
  </bookViews>
  <sheets>
    <sheet name="Internal Rate of Return" sheetId="18" r:id="rId1"/>
    <sheet name="Transaction Summary" sheetId="17" r:id="rId2"/>
    <sheet name="Recap Transaction Figure" sheetId="20" r:id="rId3"/>
    <sheet name="LBO Transaction Figure" sheetId="19" r:id="rId4"/>
    <sheet name="Assumptions" sheetId="4" r:id="rId5"/>
    <sheet name="Income Statement" sheetId="3" r:id="rId6"/>
    <sheet name="Balance Sheet" sheetId="2" r:id="rId7"/>
    <sheet name="Fixed Asset Schedule" sheetId="15" r:id="rId8"/>
    <sheet name="DCF" sheetId="16" r:id="rId9"/>
    <sheet name="SCF" sheetId="6" r:id="rId10"/>
    <sheet name="Dupont" sheetId="8" r:id="rId11"/>
    <sheet name="CMN SZ IS " sheetId="14" r:id="rId12"/>
    <sheet name="CMN SZ BS" sheetId="11" r:id="rId1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8" l="1"/>
  <c r="F17" i="15"/>
  <c r="G17" i="15"/>
  <c r="H17" i="15"/>
  <c r="I17" i="15"/>
  <c r="E17" i="15"/>
  <c r="D7" i="15"/>
  <c r="E6" i="3"/>
  <c r="D6" i="2" s="1"/>
  <c r="D6" i="3"/>
  <c r="C6" i="2" s="1"/>
  <c r="I6" i="2"/>
  <c r="H6" i="11" s="1"/>
  <c r="H27" i="11" s="1"/>
  <c r="I29" i="2"/>
  <c r="J6" i="2"/>
  <c r="I6" i="11" s="1"/>
  <c r="I27" i="11" s="1"/>
  <c r="J29" i="2"/>
  <c r="G6" i="2"/>
  <c r="F6" i="11" s="1"/>
  <c r="F27" i="11" s="1"/>
  <c r="G29" i="2"/>
  <c r="G6" i="3"/>
  <c r="G6" i="14" s="1"/>
  <c r="H6" i="3"/>
  <c r="I6" i="3"/>
  <c r="J6" i="3"/>
  <c r="G13" i="4"/>
  <c r="G49" i="4" s="1"/>
  <c r="F13" i="4"/>
  <c r="F49" i="4" s="1"/>
  <c r="E13" i="4"/>
  <c r="E49" i="4" s="1"/>
  <c r="D13" i="4"/>
  <c r="D49" i="4" s="1"/>
  <c r="C13" i="4"/>
  <c r="F6" i="3" s="1"/>
  <c r="E3" i="18" s="1"/>
  <c r="A1" i="19"/>
  <c r="A1" i="20"/>
  <c r="G6" i="17"/>
  <c r="E7" i="15"/>
  <c r="F7" i="15" s="1"/>
  <c r="B8" i="15"/>
  <c r="E35" i="15" s="1"/>
  <c r="E42" i="15" s="1"/>
  <c r="E8" i="15"/>
  <c r="E9" i="15"/>
  <c r="E14" i="15"/>
  <c r="F8" i="3"/>
  <c r="F9" i="3"/>
  <c r="F10" i="3"/>
  <c r="F11" i="3"/>
  <c r="F27" i="3" s="1"/>
  <c r="F27" i="14" s="1"/>
  <c r="F12" i="3"/>
  <c r="G12" i="3" s="1"/>
  <c r="F13" i="3"/>
  <c r="E13" i="2" s="1"/>
  <c r="F31" i="3"/>
  <c r="F31" i="14" s="1"/>
  <c r="F32" i="3"/>
  <c r="F34" i="3"/>
  <c r="F35" i="3"/>
  <c r="F17" i="3"/>
  <c r="F18" i="3"/>
  <c r="F19" i="3"/>
  <c r="F19" i="14" s="1"/>
  <c r="F20" i="3"/>
  <c r="F20" i="14" s="1"/>
  <c r="F21" i="3"/>
  <c r="F21" i="14" s="1"/>
  <c r="F22" i="3"/>
  <c r="F25" i="3"/>
  <c r="F26" i="3"/>
  <c r="F26" i="14" s="1"/>
  <c r="C22" i="20"/>
  <c r="E12" i="20"/>
  <c r="G17" i="20"/>
  <c r="E9" i="19"/>
  <c r="G9" i="19"/>
  <c r="A1" i="4"/>
  <c r="B16" i="2"/>
  <c r="B25" i="2"/>
  <c r="B27" i="2"/>
  <c r="B30" i="11" s="1"/>
  <c r="B35" i="2"/>
  <c r="B42" i="2"/>
  <c r="B44" i="2"/>
  <c r="B55" i="2"/>
  <c r="B57" i="2" s="1"/>
  <c r="C16" i="2"/>
  <c r="C25" i="2"/>
  <c r="C27" i="2" s="1"/>
  <c r="C35" i="2"/>
  <c r="C42" i="2"/>
  <c r="C44" i="2"/>
  <c r="D42" i="2"/>
  <c r="D44" i="2" s="1"/>
  <c r="D59" i="2" s="1"/>
  <c r="D16" i="2"/>
  <c r="D25" i="2"/>
  <c r="J19" i="2"/>
  <c r="I19" i="2"/>
  <c r="H19" i="2"/>
  <c r="G19" i="2"/>
  <c r="E19" i="2"/>
  <c r="A1" i="2"/>
  <c r="A4" i="2"/>
  <c r="G8" i="3"/>
  <c r="H8" i="3"/>
  <c r="I8" i="3"/>
  <c r="I21" i="3" s="1"/>
  <c r="I21" i="14" s="1"/>
  <c r="G9" i="3"/>
  <c r="H9" i="3"/>
  <c r="I9" i="3"/>
  <c r="G10" i="3"/>
  <c r="G11" i="3"/>
  <c r="H11" i="3"/>
  <c r="E10" i="2"/>
  <c r="E11" i="2"/>
  <c r="E12" i="2"/>
  <c r="E21" i="2"/>
  <c r="E22" i="2"/>
  <c r="E32" i="2"/>
  <c r="E40" i="2"/>
  <c r="E41" i="2"/>
  <c r="E31" i="2"/>
  <c r="E38" i="2"/>
  <c r="E8" i="2"/>
  <c r="E36" i="15"/>
  <c r="E19" i="15"/>
  <c r="B35" i="15"/>
  <c r="B36" i="15"/>
  <c r="F36" i="15"/>
  <c r="B37" i="15"/>
  <c r="B38" i="15"/>
  <c r="G38" i="15"/>
  <c r="F19" i="15"/>
  <c r="G19" i="15"/>
  <c r="H38" i="15"/>
  <c r="B39" i="15"/>
  <c r="H39" i="15" s="1"/>
  <c r="I39" i="15" s="1"/>
  <c r="H19" i="15"/>
  <c r="I38" i="15"/>
  <c r="B40" i="15"/>
  <c r="I40" i="15" s="1"/>
  <c r="I19" i="15"/>
  <c r="F41" i="3"/>
  <c r="F41" i="14" s="1"/>
  <c r="B38" i="11"/>
  <c r="B37" i="11"/>
  <c r="B36" i="11"/>
  <c r="B29" i="11"/>
  <c r="B20" i="11"/>
  <c r="B21" i="11"/>
  <c r="B22" i="11"/>
  <c r="E8" i="14"/>
  <c r="E9" i="14"/>
  <c r="E10" i="14"/>
  <c r="E11" i="14"/>
  <c r="E12" i="14"/>
  <c r="E13" i="14"/>
  <c r="E17" i="14"/>
  <c r="E18" i="14"/>
  <c r="E19" i="14"/>
  <c r="E20" i="14"/>
  <c r="E21" i="14"/>
  <c r="E22" i="14"/>
  <c r="E25" i="14"/>
  <c r="E26" i="14"/>
  <c r="E27" i="14"/>
  <c r="E28" i="14"/>
  <c r="E38" i="14"/>
  <c r="E40" i="14"/>
  <c r="E49" i="14"/>
  <c r="E48" i="14"/>
  <c r="E47" i="14"/>
  <c r="E45" i="14"/>
  <c r="E44" i="14"/>
  <c r="E42" i="14"/>
  <c r="E41" i="14"/>
  <c r="E36" i="14"/>
  <c r="E35" i="14"/>
  <c r="E34" i="14"/>
  <c r="E33" i="14"/>
  <c r="E32" i="14"/>
  <c r="E31" i="14"/>
  <c r="A1" i="14"/>
  <c r="D25" i="14"/>
  <c r="D26" i="14"/>
  <c r="D27" i="14"/>
  <c r="D28" i="14"/>
  <c r="C25" i="14"/>
  <c r="C26" i="14"/>
  <c r="C27" i="14"/>
  <c r="B27" i="14"/>
  <c r="B26" i="14"/>
  <c r="B25" i="14"/>
  <c r="B28" i="14" s="1"/>
  <c r="B17" i="14"/>
  <c r="B18" i="14"/>
  <c r="B19" i="14"/>
  <c r="B20" i="14"/>
  <c r="B21" i="14"/>
  <c r="B22" i="14"/>
  <c r="C18" i="14"/>
  <c r="C19" i="14"/>
  <c r="C20" i="14"/>
  <c r="C21" i="14"/>
  <c r="C17" i="14"/>
  <c r="C22" i="14"/>
  <c r="D18" i="14"/>
  <c r="D22" i="14" s="1"/>
  <c r="D19" i="14"/>
  <c r="D20" i="14"/>
  <c r="D21" i="14"/>
  <c r="D17" i="14"/>
  <c r="B13" i="3"/>
  <c r="B48" i="14" s="1"/>
  <c r="B45" i="14"/>
  <c r="B42" i="14"/>
  <c r="B41" i="14"/>
  <c r="B35" i="14"/>
  <c r="B34" i="14"/>
  <c r="B33" i="14"/>
  <c r="B32" i="14"/>
  <c r="B31" i="14"/>
  <c r="B9" i="14"/>
  <c r="B10" i="14"/>
  <c r="B11" i="14"/>
  <c r="B12" i="14"/>
  <c r="B8" i="14"/>
  <c r="B13" i="14"/>
  <c r="C13" i="3"/>
  <c r="C12" i="14" s="1"/>
  <c r="C48" i="14"/>
  <c r="C45" i="14"/>
  <c r="C42" i="14"/>
  <c r="C41" i="14"/>
  <c r="C9" i="14"/>
  <c r="C10" i="14"/>
  <c r="C11" i="14"/>
  <c r="F48" i="14"/>
  <c r="D13" i="3"/>
  <c r="D35" i="14" s="1"/>
  <c r="D45" i="14"/>
  <c r="D41" i="14"/>
  <c r="F9" i="14"/>
  <c r="F13" i="14" s="1"/>
  <c r="F10" i="14"/>
  <c r="F11" i="14"/>
  <c r="F12" i="14"/>
  <c r="D9" i="14"/>
  <c r="D10" i="14"/>
  <c r="D11" i="14"/>
  <c r="D12" i="14"/>
  <c r="F32" i="14"/>
  <c r="I18" i="3"/>
  <c r="I18" i="14"/>
  <c r="I19" i="3"/>
  <c r="I19" i="14"/>
  <c r="I20" i="3"/>
  <c r="I20" i="14"/>
  <c r="H18" i="3"/>
  <c r="H18" i="14"/>
  <c r="H19" i="3"/>
  <c r="H19" i="14" s="1"/>
  <c r="H20" i="3"/>
  <c r="H20" i="14"/>
  <c r="H21" i="3"/>
  <c r="H21" i="14" s="1"/>
  <c r="H17" i="3"/>
  <c r="H22" i="3" s="1"/>
  <c r="G18" i="3"/>
  <c r="G18" i="14"/>
  <c r="G19" i="3"/>
  <c r="G19" i="14"/>
  <c r="G20" i="3"/>
  <c r="G20" i="14" s="1"/>
  <c r="G21" i="3"/>
  <c r="G21" i="14"/>
  <c r="G17" i="3"/>
  <c r="G17" i="14" s="1"/>
  <c r="G22" i="14" s="1"/>
  <c r="F18" i="14"/>
  <c r="F17" i="14"/>
  <c r="B36" i="3"/>
  <c r="B36" i="14" s="1"/>
  <c r="C36" i="3"/>
  <c r="C36" i="14" s="1"/>
  <c r="D36" i="3"/>
  <c r="D36" i="14" s="1"/>
  <c r="B22" i="3"/>
  <c r="B38" i="3" s="1"/>
  <c r="B28" i="3"/>
  <c r="C22" i="3"/>
  <c r="C38" i="3" s="1"/>
  <c r="C28" i="3"/>
  <c r="C8" i="14"/>
  <c r="D22" i="3"/>
  <c r="D28" i="3"/>
  <c r="D38" i="3"/>
  <c r="D38" i="14" s="1"/>
  <c r="F35" i="14"/>
  <c r="F34" i="14"/>
  <c r="J41" i="3"/>
  <c r="I41" i="3"/>
  <c r="H41" i="3"/>
  <c r="G41" i="3"/>
  <c r="F8" i="14"/>
  <c r="A1" i="16"/>
  <c r="B26" i="16"/>
  <c r="B28" i="16"/>
  <c r="C12" i="16"/>
  <c r="C22" i="6"/>
  <c r="C25" i="6"/>
  <c r="C26" i="6"/>
  <c r="E25" i="6"/>
  <c r="D25" i="6"/>
  <c r="D13" i="8"/>
  <c r="A1" i="8"/>
  <c r="A1" i="15"/>
  <c r="A1" i="3"/>
  <c r="I16" i="18"/>
  <c r="I10" i="18"/>
  <c r="F17" i="18"/>
  <c r="A1" i="18"/>
  <c r="C37" i="6"/>
  <c r="A1" i="6"/>
  <c r="A4" i="6"/>
  <c r="C6" i="6"/>
  <c r="D6" i="6" s="1"/>
  <c r="E6" i="6" s="1"/>
  <c r="F6" i="6" s="1"/>
  <c r="G6" i="6" s="1"/>
  <c r="C15" i="6"/>
  <c r="C16" i="6"/>
  <c r="C17" i="6"/>
  <c r="C18" i="6"/>
  <c r="A1" i="17"/>
  <c r="C24" i="17"/>
  <c r="F23" i="2"/>
  <c r="D22" i="6" s="1"/>
  <c r="I11" i="3" l="1"/>
  <c r="F28" i="3"/>
  <c r="F25" i="14"/>
  <c r="F28" i="14" s="1"/>
  <c r="E33" i="2"/>
  <c r="C6" i="3"/>
  <c r="C29" i="2"/>
  <c r="C6" i="11"/>
  <c r="C27" i="11" s="1"/>
  <c r="F37" i="15"/>
  <c r="G37" i="15"/>
  <c r="H37" i="15"/>
  <c r="I37" i="15" s="1"/>
  <c r="G36" i="15"/>
  <c r="I36" i="15" s="1"/>
  <c r="H36" i="15"/>
  <c r="G26" i="3"/>
  <c r="G26" i="14" s="1"/>
  <c r="G27" i="3"/>
  <c r="G27" i="14" s="1"/>
  <c r="G25" i="3"/>
  <c r="D29" i="2"/>
  <c r="D6" i="11"/>
  <c r="D27" i="11" s="1"/>
  <c r="C10" i="6"/>
  <c r="F25" i="6"/>
  <c r="G35" i="15"/>
  <c r="D15" i="11"/>
  <c r="F8" i="15"/>
  <c r="F9" i="15"/>
  <c r="F10" i="15"/>
  <c r="G7" i="15"/>
  <c r="C13" i="14"/>
  <c r="C40" i="14" s="1"/>
  <c r="C11" i="11"/>
  <c r="C12" i="11"/>
  <c r="C13" i="11"/>
  <c r="C14" i="11"/>
  <c r="C18" i="11"/>
  <c r="C29" i="11"/>
  <c r="C19" i="11"/>
  <c r="C30" i="11"/>
  <c r="C20" i="11"/>
  <c r="C55" i="2"/>
  <c r="C57" i="2" s="1"/>
  <c r="C31" i="11"/>
  <c r="C21" i="11"/>
  <c r="C32" i="11"/>
  <c r="C22" i="11"/>
  <c r="C36" i="11"/>
  <c r="C37" i="11"/>
  <c r="C38" i="11"/>
  <c r="C39" i="11"/>
  <c r="F33" i="3"/>
  <c r="E20" i="15"/>
  <c r="G22" i="3"/>
  <c r="C38" i="14"/>
  <c r="C40" i="3"/>
  <c r="C44" i="3" s="1"/>
  <c r="G13" i="3"/>
  <c r="B38" i="14"/>
  <c r="B40" i="3"/>
  <c r="B44" i="3" s="1"/>
  <c r="B59" i="2"/>
  <c r="H26" i="3"/>
  <c r="H26" i="14" s="1"/>
  <c r="H27" i="3"/>
  <c r="H27" i="14" s="1"/>
  <c r="G25" i="6"/>
  <c r="D40" i="3"/>
  <c r="D44" i="3" s="1"/>
  <c r="B40" i="14"/>
  <c r="C10" i="11"/>
  <c r="C9" i="11"/>
  <c r="J6" i="14"/>
  <c r="I3" i="18"/>
  <c r="F6" i="14"/>
  <c r="C8" i="11"/>
  <c r="C15" i="11" s="1"/>
  <c r="C11" i="6"/>
  <c r="C12" i="6"/>
  <c r="I6" i="14"/>
  <c r="H3" i="18"/>
  <c r="E6" i="14"/>
  <c r="C28" i="14"/>
  <c r="F22" i="14"/>
  <c r="H12" i="3"/>
  <c r="H6" i="14"/>
  <c r="G3" i="18"/>
  <c r="D6" i="14"/>
  <c r="F35" i="15"/>
  <c r="D27" i="2"/>
  <c r="G23" i="2"/>
  <c r="H17" i="14"/>
  <c r="H22" i="14" s="1"/>
  <c r="D42" i="14"/>
  <c r="B19" i="11"/>
  <c r="B39" i="11"/>
  <c r="B40" i="11" s="1"/>
  <c r="H10" i="3"/>
  <c r="B18" i="11"/>
  <c r="B23" i="11" s="1"/>
  <c r="H35" i="15"/>
  <c r="D32" i="14"/>
  <c r="D48" i="14"/>
  <c r="J9" i="3"/>
  <c r="B14" i="11"/>
  <c r="J17" i="19"/>
  <c r="B13" i="11"/>
  <c r="B12" i="11"/>
  <c r="E18" i="15"/>
  <c r="E5" i="8"/>
  <c r="B11" i="11"/>
  <c r="J8" i="3"/>
  <c r="H6" i="2"/>
  <c r="I5" i="8"/>
  <c r="B10" i="11"/>
  <c r="H5" i="8"/>
  <c r="B9" i="11"/>
  <c r="C49" i="4"/>
  <c r="E6" i="2"/>
  <c r="G5" i="8"/>
  <c r="C31" i="14"/>
  <c r="B8" i="11"/>
  <c r="E24" i="2"/>
  <c r="F5" i="8"/>
  <c r="F3" i="18"/>
  <c r="C32" i="14"/>
  <c r="C33" i="14"/>
  <c r="I17" i="3"/>
  <c r="D31" i="14"/>
  <c r="D33" i="14"/>
  <c r="C34" i="14"/>
  <c r="B32" i="11"/>
  <c r="E15" i="2"/>
  <c r="D8" i="14"/>
  <c r="D13" i="14" s="1"/>
  <c r="D40" i="14" s="1"/>
  <c r="D34" i="14"/>
  <c r="C35" i="14"/>
  <c r="B31" i="11"/>
  <c r="B33" i="11" s="1"/>
  <c r="B42" i="11" s="1"/>
  <c r="E14" i="2"/>
  <c r="E29" i="2" l="1"/>
  <c r="E6" i="11"/>
  <c r="E27" i="11" s="1"/>
  <c r="B15" i="11"/>
  <c r="B25" i="11" s="1"/>
  <c r="B44" i="11" s="1"/>
  <c r="B46" i="11" s="1"/>
  <c r="C13" i="6"/>
  <c r="B6" i="2"/>
  <c r="B6" i="3"/>
  <c r="B6" i="14" s="1"/>
  <c r="C6" i="14"/>
  <c r="C25" i="11"/>
  <c r="C47" i="3"/>
  <c r="C44" i="14"/>
  <c r="D25" i="11"/>
  <c r="B47" i="3"/>
  <c r="B44" i="14"/>
  <c r="J11" i="3"/>
  <c r="I26" i="3"/>
  <c r="I26" i="14" s="1"/>
  <c r="I27" i="3"/>
  <c r="I27" i="14" s="1"/>
  <c r="G42" i="15"/>
  <c r="C24" i="6"/>
  <c r="D24" i="6"/>
  <c r="H42" i="15"/>
  <c r="C59" i="2"/>
  <c r="D7" i="8"/>
  <c r="E22" i="6"/>
  <c r="H23" i="2"/>
  <c r="E21" i="15"/>
  <c r="C9" i="6"/>
  <c r="F36" i="3"/>
  <c r="F33" i="14"/>
  <c r="C40" i="11"/>
  <c r="F14" i="15"/>
  <c r="H13" i="3"/>
  <c r="I10" i="3"/>
  <c r="I35" i="15"/>
  <c r="I42" i="15" s="1"/>
  <c r="C14" i="6"/>
  <c r="C23" i="11"/>
  <c r="G6" i="11"/>
  <c r="G27" i="11" s="1"/>
  <c r="H29" i="2"/>
  <c r="G10" i="2"/>
  <c r="G11" i="2"/>
  <c r="G12" i="2"/>
  <c r="G34" i="3"/>
  <c r="G34" i="14" s="1"/>
  <c r="G35" i="3"/>
  <c r="G35" i="14" s="1"/>
  <c r="G13" i="2"/>
  <c r="G9" i="14"/>
  <c r="G8" i="14"/>
  <c r="G14" i="2"/>
  <c r="D13" i="6" s="1"/>
  <c r="G48" i="14"/>
  <c r="G32" i="3"/>
  <c r="G32" i="14" s="1"/>
  <c r="G15" i="2"/>
  <c r="G21" i="2"/>
  <c r="G22" i="2"/>
  <c r="G31" i="2"/>
  <c r="G24" i="2"/>
  <c r="G38" i="2"/>
  <c r="G32" i="2"/>
  <c r="G8" i="2"/>
  <c r="G40" i="2"/>
  <c r="G41" i="2"/>
  <c r="G41" i="14"/>
  <c r="G31" i="3"/>
  <c r="J18" i="3"/>
  <c r="J18" i="14" s="1"/>
  <c r="J19" i="3"/>
  <c r="J19" i="14" s="1"/>
  <c r="J20" i="3"/>
  <c r="J20" i="14" s="1"/>
  <c r="J21" i="3"/>
  <c r="J21" i="14" s="1"/>
  <c r="J17" i="3"/>
  <c r="I17" i="14"/>
  <c r="I22" i="14" s="1"/>
  <c r="I22" i="3"/>
  <c r="G10" i="14"/>
  <c r="H7" i="15"/>
  <c r="G8" i="15"/>
  <c r="G9" i="15"/>
  <c r="G10" i="15"/>
  <c r="G11" i="15"/>
  <c r="D44" i="14"/>
  <c r="D47" i="3"/>
  <c r="C33" i="11"/>
  <c r="D31" i="11"/>
  <c r="D13" i="11"/>
  <c r="D32" i="11"/>
  <c r="D12" i="11"/>
  <c r="D11" i="11"/>
  <c r="D36" i="11"/>
  <c r="D10" i="11"/>
  <c r="D37" i="11"/>
  <c r="D9" i="11"/>
  <c r="D38" i="11"/>
  <c r="D8" i="11"/>
  <c r="D39" i="11"/>
  <c r="D9" i="8"/>
  <c r="D15" i="8"/>
  <c r="D22" i="11"/>
  <c r="D11" i="8"/>
  <c r="D21" i="11"/>
  <c r="D20" i="11"/>
  <c r="D14" i="11"/>
  <c r="D29" i="11"/>
  <c r="D30" i="11"/>
  <c r="D55" i="2"/>
  <c r="C32" i="6" s="1"/>
  <c r="D18" i="11"/>
  <c r="D19" i="11"/>
  <c r="F42" i="15"/>
  <c r="G11" i="14"/>
  <c r="G25" i="14"/>
  <c r="G28" i="14" s="1"/>
  <c r="G28" i="3"/>
  <c r="D23" i="11"/>
  <c r="E35" i="2"/>
  <c r="G12" i="14"/>
  <c r="I12" i="3"/>
  <c r="H25" i="3"/>
  <c r="J10" i="3" l="1"/>
  <c r="I13" i="3"/>
  <c r="I10" i="14" s="1"/>
  <c r="D40" i="11"/>
  <c r="G33" i="2"/>
  <c r="C42" i="11"/>
  <c r="C44" i="11" s="1"/>
  <c r="D47" i="14"/>
  <c r="D49" i="3"/>
  <c r="D49" i="14" s="1"/>
  <c r="H24" i="2"/>
  <c r="H32" i="2"/>
  <c r="H40" i="2"/>
  <c r="H41" i="14"/>
  <c r="H41" i="2"/>
  <c r="H9" i="14"/>
  <c r="H34" i="3"/>
  <c r="H34" i="14" s="1"/>
  <c r="H32" i="3"/>
  <c r="H32" i="14" s="1"/>
  <c r="H48" i="14"/>
  <c r="H8" i="14"/>
  <c r="H13" i="14" s="1"/>
  <c r="H10" i="2"/>
  <c r="H11" i="2"/>
  <c r="H12" i="2"/>
  <c r="H35" i="3"/>
  <c r="H35" i="14" s="1"/>
  <c r="H13" i="2"/>
  <c r="H31" i="2"/>
  <c r="H14" i="2"/>
  <c r="H38" i="2"/>
  <c r="H21" i="2"/>
  <c r="E26" i="6" s="1"/>
  <c r="H31" i="3"/>
  <c r="H15" i="2"/>
  <c r="H8" i="2"/>
  <c r="E12" i="16" s="1"/>
  <c r="H22" i="2"/>
  <c r="H11" i="14"/>
  <c r="J22" i="3"/>
  <c r="J17" i="14"/>
  <c r="J22" i="14" s="1"/>
  <c r="B49" i="3"/>
  <c r="B49" i="14" s="1"/>
  <c r="B47" i="14"/>
  <c r="G13" i="14"/>
  <c r="C49" i="3"/>
  <c r="C49" i="14" s="1"/>
  <c r="C47" i="14"/>
  <c r="G31" i="14"/>
  <c r="G36" i="3"/>
  <c r="G36" i="14" s="1"/>
  <c r="I12" i="14"/>
  <c r="J12" i="3"/>
  <c r="G14" i="15"/>
  <c r="H10" i="14"/>
  <c r="F20" i="15"/>
  <c r="G33" i="3"/>
  <c r="F36" i="14"/>
  <c r="F38" i="3"/>
  <c r="F22" i="6"/>
  <c r="I23" i="2"/>
  <c r="E11" i="6"/>
  <c r="D11" i="6"/>
  <c r="H28" i="3"/>
  <c r="H25" i="14"/>
  <c r="H28" i="14" s="1"/>
  <c r="D18" i="6"/>
  <c r="B29" i="2"/>
  <c r="B6" i="11"/>
  <c r="B27" i="11" s="1"/>
  <c r="H12" i="14"/>
  <c r="D16" i="6"/>
  <c r="H8" i="15"/>
  <c r="H9" i="15"/>
  <c r="I7" i="15"/>
  <c r="H10" i="15"/>
  <c r="H11" i="15"/>
  <c r="H12" i="15"/>
  <c r="D26" i="6"/>
  <c r="D33" i="11"/>
  <c r="D42" i="11" s="1"/>
  <c r="E12" i="6"/>
  <c r="D12" i="6"/>
  <c r="F18" i="15"/>
  <c r="F21" i="15" s="1"/>
  <c r="E20" i="2"/>
  <c r="D10" i="6"/>
  <c r="D12" i="16"/>
  <c r="D17" i="6"/>
  <c r="D14" i="6"/>
  <c r="G35" i="2"/>
  <c r="D15" i="6"/>
  <c r="I25" i="3"/>
  <c r="E18" i="6" l="1"/>
  <c r="I28" i="3"/>
  <c r="I25" i="14"/>
  <c r="I28" i="14" s="1"/>
  <c r="E16" i="6"/>
  <c r="H33" i="3"/>
  <c r="G20" i="15"/>
  <c r="H36" i="3"/>
  <c r="H36" i="14" s="1"/>
  <c r="H31" i="14"/>
  <c r="F24" i="6"/>
  <c r="E14" i="6"/>
  <c r="E17" i="6"/>
  <c r="F38" i="14"/>
  <c r="F40" i="14" s="1"/>
  <c r="F40" i="3"/>
  <c r="F26" i="6"/>
  <c r="I8" i="15"/>
  <c r="I9" i="15"/>
  <c r="I10" i="15"/>
  <c r="I11" i="15"/>
  <c r="I12" i="15"/>
  <c r="I13" i="15"/>
  <c r="J13" i="3"/>
  <c r="J12" i="14" s="1"/>
  <c r="G18" i="15"/>
  <c r="G20" i="2"/>
  <c r="D44" i="11"/>
  <c r="D46" i="11" s="1"/>
  <c r="H35" i="2"/>
  <c r="E15" i="6"/>
  <c r="J27" i="3"/>
  <c r="J27" i="14" s="1"/>
  <c r="G33" i="14"/>
  <c r="D9" i="6"/>
  <c r="J23" i="2"/>
  <c r="G22" i="6"/>
  <c r="C46" i="11"/>
  <c r="H33" i="2"/>
  <c r="J25" i="3"/>
  <c r="E13" i="6"/>
  <c r="H14" i="15"/>
  <c r="J26" i="3"/>
  <c r="J26" i="14" s="1"/>
  <c r="I11" i="2"/>
  <c r="I8" i="2"/>
  <c r="I12" i="2"/>
  <c r="F11" i="6" s="1"/>
  <c r="I13" i="2"/>
  <c r="I14" i="2"/>
  <c r="F13" i="6" s="1"/>
  <c r="I34" i="3"/>
  <c r="I34" i="14" s="1"/>
  <c r="I15" i="2"/>
  <c r="I21" i="2"/>
  <c r="I32" i="3"/>
  <c r="I32" i="14" s="1"/>
  <c r="I31" i="3"/>
  <c r="I22" i="2"/>
  <c r="I24" i="2"/>
  <c r="I48" i="14"/>
  <c r="I32" i="2"/>
  <c r="I40" i="2"/>
  <c r="I41" i="2"/>
  <c r="I41" i="14"/>
  <c r="I8" i="14"/>
  <c r="I10" i="2"/>
  <c r="I31" i="2"/>
  <c r="I38" i="2"/>
  <c r="I35" i="3"/>
  <c r="I35" i="14" s="1"/>
  <c r="I9" i="14"/>
  <c r="I11" i="14"/>
  <c r="E10" i="6"/>
  <c r="C23" i="6"/>
  <c r="C27" i="6" s="1"/>
  <c r="C11" i="16" s="1"/>
  <c r="E25" i="2"/>
  <c r="E24" i="6"/>
  <c r="G38" i="3"/>
  <c r="F17" i="6" l="1"/>
  <c r="G10" i="6"/>
  <c r="I35" i="2"/>
  <c r="F15" i="6"/>
  <c r="I36" i="3"/>
  <c r="I36" i="14" s="1"/>
  <c r="I31" i="14"/>
  <c r="F18" i="6"/>
  <c r="F12" i="16"/>
  <c r="G38" i="14"/>
  <c r="G40" i="14" s="1"/>
  <c r="G40" i="3"/>
  <c r="G21" i="15"/>
  <c r="F10" i="6"/>
  <c r="G25" i="2"/>
  <c r="D23" i="6"/>
  <c r="D27" i="6" s="1"/>
  <c r="D11" i="16" s="1"/>
  <c r="J31" i="2"/>
  <c r="J34" i="3"/>
  <c r="J34" i="14" s="1"/>
  <c r="J38" i="2"/>
  <c r="J8" i="2"/>
  <c r="J32" i="3"/>
  <c r="J32" i="14" s="1"/>
  <c r="J48" i="14"/>
  <c r="J10" i="2"/>
  <c r="J11" i="2"/>
  <c r="J12" i="2"/>
  <c r="J13" i="2"/>
  <c r="G12" i="6" s="1"/>
  <c r="J14" i="2"/>
  <c r="J15" i="2"/>
  <c r="J41" i="14"/>
  <c r="J21" i="2"/>
  <c r="J22" i="2"/>
  <c r="J31" i="3"/>
  <c r="J24" i="2"/>
  <c r="J32" i="2"/>
  <c r="J40" i="2"/>
  <c r="J41" i="2"/>
  <c r="J35" i="3"/>
  <c r="J35" i="14" s="1"/>
  <c r="J9" i="14"/>
  <c r="J8" i="14"/>
  <c r="J11" i="14"/>
  <c r="F12" i="6"/>
  <c r="I14" i="15"/>
  <c r="H20" i="15"/>
  <c r="I33" i="3"/>
  <c r="H33" i="14"/>
  <c r="E9" i="6"/>
  <c r="G26" i="6"/>
  <c r="G14" i="6"/>
  <c r="J10" i="14"/>
  <c r="I13" i="14"/>
  <c r="J25" i="14"/>
  <c r="J28" i="14" s="1"/>
  <c r="J28" i="3"/>
  <c r="F16" i="6"/>
  <c r="G20" i="17"/>
  <c r="G21" i="17" s="1"/>
  <c r="J33" i="2"/>
  <c r="H38" i="3"/>
  <c r="I33" i="2"/>
  <c r="G17" i="6" l="1"/>
  <c r="G18" i="6"/>
  <c r="G16" i="6"/>
  <c r="J36" i="3"/>
  <c r="J36" i="14" s="1"/>
  <c r="J31" i="14"/>
  <c r="H38" i="14"/>
  <c r="H40" i="14" s="1"/>
  <c r="H40" i="3"/>
  <c r="F9" i="6"/>
  <c r="I33" i="14"/>
  <c r="F14" i="6"/>
  <c r="J35" i="2"/>
  <c r="G15" i="6"/>
  <c r="J33" i="3"/>
  <c r="I20" i="15"/>
  <c r="G13" i="6"/>
  <c r="J13" i="14"/>
  <c r="I38" i="3"/>
  <c r="H20" i="2"/>
  <c r="H18" i="15"/>
  <c r="H21" i="15" s="1"/>
  <c r="G12" i="16"/>
  <c r="G24" i="6"/>
  <c r="G11" i="6"/>
  <c r="I38" i="14" l="1"/>
  <c r="I40" i="14" s="1"/>
  <c r="I40" i="3"/>
  <c r="E23" i="6"/>
  <c r="E27" i="6" s="1"/>
  <c r="E11" i="16" s="1"/>
  <c r="H25" i="2"/>
  <c r="J38" i="3"/>
  <c r="J33" i="14"/>
  <c r="G9" i="6"/>
  <c r="I18" i="15"/>
  <c r="I21" i="15" s="1"/>
  <c r="J20" i="2" s="1"/>
  <c r="I20" i="2"/>
  <c r="G23" i="6" l="1"/>
  <c r="G27" i="6" s="1"/>
  <c r="G11" i="16" s="1"/>
  <c r="J25" i="2"/>
  <c r="F23" i="6"/>
  <c r="F27" i="6" s="1"/>
  <c r="F11" i="16" s="1"/>
  <c r="I25" i="2"/>
  <c r="J38" i="14"/>
  <c r="J40" i="14" s="1"/>
  <c r="J40" i="3"/>
  <c r="I5" i="18" l="1"/>
  <c r="I7" i="18" s="1"/>
  <c r="G15" i="16"/>
  <c r="B23" i="16" s="1"/>
  <c r="E9" i="2"/>
  <c r="G9" i="2"/>
  <c r="H9" i="2"/>
  <c r="I9" i="2"/>
  <c r="J9" i="2"/>
  <c r="E16" i="2"/>
  <c r="G16" i="2"/>
  <c r="H16" i="2"/>
  <c r="I16" i="2"/>
  <c r="J16" i="2"/>
  <c r="E27" i="2"/>
  <c r="G27" i="2"/>
  <c r="H27" i="2"/>
  <c r="I27" i="2"/>
  <c r="J27" i="2"/>
  <c r="E39" i="2"/>
  <c r="F39" i="2"/>
  <c r="G39" i="2"/>
  <c r="H39" i="2"/>
  <c r="I39" i="2"/>
  <c r="J39" i="2"/>
  <c r="E42" i="2"/>
  <c r="G42" i="2"/>
  <c r="H42" i="2"/>
  <c r="I42" i="2"/>
  <c r="J42" i="2"/>
  <c r="E44" i="2"/>
  <c r="G44" i="2"/>
  <c r="H44" i="2"/>
  <c r="I44" i="2"/>
  <c r="J44" i="2"/>
  <c r="E53" i="2"/>
  <c r="G53" i="2"/>
  <c r="H53" i="2"/>
  <c r="I53" i="2"/>
  <c r="J53" i="2"/>
  <c r="F55" i="2"/>
  <c r="G55" i="2"/>
  <c r="H55" i="2"/>
  <c r="I55" i="2"/>
  <c r="J55" i="2"/>
  <c r="E57" i="2"/>
  <c r="G57" i="2"/>
  <c r="H57" i="2"/>
  <c r="I57" i="2"/>
  <c r="J57" i="2"/>
  <c r="E59" i="2"/>
  <c r="G59" i="2"/>
  <c r="H59" i="2"/>
  <c r="I59" i="2"/>
  <c r="J59" i="2"/>
  <c r="E8" i="11"/>
  <c r="F8" i="11"/>
  <c r="G8" i="11"/>
  <c r="H8" i="11"/>
  <c r="I8" i="11"/>
  <c r="E9" i="11"/>
  <c r="F9" i="11"/>
  <c r="G9" i="11"/>
  <c r="H9" i="11"/>
  <c r="I9" i="11"/>
  <c r="E10" i="11"/>
  <c r="F10" i="11"/>
  <c r="G10" i="11"/>
  <c r="H10" i="11"/>
  <c r="I10" i="11"/>
  <c r="E11" i="11"/>
  <c r="F11" i="11"/>
  <c r="G11" i="11"/>
  <c r="H11" i="11"/>
  <c r="I11" i="11"/>
  <c r="E12" i="11"/>
  <c r="F12" i="11"/>
  <c r="G12" i="11"/>
  <c r="H12" i="11"/>
  <c r="I12" i="11"/>
  <c r="E13" i="11"/>
  <c r="F13" i="11"/>
  <c r="G13" i="11"/>
  <c r="H13" i="11"/>
  <c r="I13" i="11"/>
  <c r="E14" i="11"/>
  <c r="F14" i="11"/>
  <c r="G14" i="11"/>
  <c r="H14" i="11"/>
  <c r="I14" i="11"/>
  <c r="E15" i="11"/>
  <c r="F15" i="11"/>
  <c r="G15" i="11"/>
  <c r="H15" i="11"/>
  <c r="I15" i="11"/>
  <c r="E18" i="11"/>
  <c r="F18" i="11"/>
  <c r="G18" i="11"/>
  <c r="H18" i="11"/>
  <c r="I18" i="11"/>
  <c r="E19" i="11"/>
  <c r="F19" i="11"/>
  <c r="G19" i="11"/>
  <c r="H19" i="11"/>
  <c r="I19" i="11"/>
  <c r="E20" i="11"/>
  <c r="F20" i="11"/>
  <c r="G20" i="11"/>
  <c r="H20" i="11"/>
  <c r="I20" i="11"/>
  <c r="E21" i="11"/>
  <c r="F21" i="11"/>
  <c r="G21" i="11"/>
  <c r="H21" i="11"/>
  <c r="I21" i="11"/>
  <c r="E22" i="11"/>
  <c r="F22" i="11"/>
  <c r="G22" i="11"/>
  <c r="H22" i="11"/>
  <c r="I22" i="11"/>
  <c r="E23" i="11"/>
  <c r="F23" i="11"/>
  <c r="G23" i="11"/>
  <c r="H23" i="11"/>
  <c r="I23" i="11"/>
  <c r="E25" i="11"/>
  <c r="F25" i="11"/>
  <c r="G25" i="11"/>
  <c r="H25" i="11"/>
  <c r="I25" i="11"/>
  <c r="E29" i="11"/>
  <c r="F29" i="11"/>
  <c r="G29" i="11"/>
  <c r="H29" i="11"/>
  <c r="I29" i="11"/>
  <c r="E30" i="11"/>
  <c r="F30" i="11"/>
  <c r="G30" i="11"/>
  <c r="H30" i="11"/>
  <c r="I30" i="11"/>
  <c r="E31" i="11"/>
  <c r="F31" i="11"/>
  <c r="G31" i="11"/>
  <c r="H31" i="11"/>
  <c r="I31" i="11"/>
  <c r="E32" i="11"/>
  <c r="F32" i="11"/>
  <c r="G32" i="11"/>
  <c r="H32" i="11"/>
  <c r="I32" i="11"/>
  <c r="E33" i="11"/>
  <c r="F33" i="11"/>
  <c r="G33" i="11"/>
  <c r="H33" i="11"/>
  <c r="I33" i="11"/>
  <c r="E36" i="11"/>
  <c r="F36" i="11"/>
  <c r="G36" i="11"/>
  <c r="H36" i="11"/>
  <c r="I36" i="11"/>
  <c r="E37" i="11"/>
  <c r="F37" i="11"/>
  <c r="G37" i="11"/>
  <c r="H37" i="11"/>
  <c r="I37" i="11"/>
  <c r="E38" i="11"/>
  <c r="F38" i="11"/>
  <c r="G38" i="11"/>
  <c r="H38" i="11"/>
  <c r="I38" i="11"/>
  <c r="E39" i="11"/>
  <c r="F39" i="11"/>
  <c r="G39" i="11"/>
  <c r="H39" i="11"/>
  <c r="I39" i="11"/>
  <c r="E40" i="11"/>
  <c r="F40" i="11"/>
  <c r="G40" i="11"/>
  <c r="H40" i="11"/>
  <c r="I40" i="11"/>
  <c r="E42" i="11"/>
  <c r="F42" i="11"/>
  <c r="G42" i="11"/>
  <c r="H42" i="11"/>
  <c r="I42" i="11"/>
  <c r="E44" i="11"/>
  <c r="F44" i="11"/>
  <c r="G44" i="11"/>
  <c r="H44" i="11"/>
  <c r="I44" i="11"/>
  <c r="E46" i="11"/>
  <c r="F46" i="11"/>
  <c r="G46" i="11"/>
  <c r="H46" i="11"/>
  <c r="I46" i="11"/>
  <c r="F42" i="14"/>
  <c r="G42" i="14"/>
  <c r="H42" i="14"/>
  <c r="I42" i="14"/>
  <c r="J42" i="14"/>
  <c r="F44" i="14"/>
  <c r="G44" i="14"/>
  <c r="H44" i="14"/>
  <c r="I44" i="14"/>
  <c r="J44" i="14"/>
  <c r="F45" i="14"/>
  <c r="G45" i="14"/>
  <c r="H45" i="14"/>
  <c r="I45" i="14"/>
  <c r="J45" i="14"/>
  <c r="F47" i="14"/>
  <c r="G47" i="14"/>
  <c r="H47" i="14"/>
  <c r="I47" i="14"/>
  <c r="J47" i="14"/>
  <c r="F49" i="14"/>
  <c r="G49" i="14"/>
  <c r="H49" i="14"/>
  <c r="I49" i="14"/>
  <c r="J49" i="14"/>
  <c r="C9" i="16"/>
  <c r="D9" i="16"/>
  <c r="E9" i="16"/>
  <c r="F9" i="16"/>
  <c r="G9" i="16"/>
  <c r="C10" i="16"/>
  <c r="D10" i="16"/>
  <c r="E10" i="16"/>
  <c r="F10" i="16"/>
  <c r="G10" i="16"/>
  <c r="C13" i="16"/>
  <c r="D13" i="16"/>
  <c r="E13" i="16"/>
  <c r="F13" i="16"/>
  <c r="G13" i="16"/>
  <c r="B22" i="16"/>
  <c r="B24" i="16"/>
  <c r="B25" i="16"/>
  <c r="B27" i="16"/>
  <c r="B29" i="16"/>
  <c r="B33" i="16"/>
  <c r="E7" i="8"/>
  <c r="F7" i="8"/>
  <c r="G7" i="8"/>
  <c r="H7" i="8"/>
  <c r="I7" i="8"/>
  <c r="E9" i="8"/>
  <c r="F9" i="8"/>
  <c r="G9" i="8"/>
  <c r="H9" i="8"/>
  <c r="I9" i="8"/>
  <c r="E11" i="8"/>
  <c r="F11" i="8"/>
  <c r="G11" i="8"/>
  <c r="H11" i="8"/>
  <c r="I11" i="8"/>
  <c r="E13" i="8"/>
  <c r="F13" i="8"/>
  <c r="G13" i="8"/>
  <c r="H13" i="8"/>
  <c r="I13" i="8"/>
  <c r="E15" i="8"/>
  <c r="F15" i="8"/>
  <c r="G15" i="8"/>
  <c r="H15" i="8"/>
  <c r="I15" i="8"/>
  <c r="F42" i="3"/>
  <c r="G42" i="3"/>
  <c r="H42" i="3"/>
  <c r="I42" i="3"/>
  <c r="J42" i="3"/>
  <c r="F44" i="3"/>
  <c r="G44" i="3"/>
  <c r="H44" i="3"/>
  <c r="I44" i="3"/>
  <c r="J44" i="3"/>
  <c r="F45" i="3"/>
  <c r="G45" i="3"/>
  <c r="H45" i="3"/>
  <c r="I45" i="3"/>
  <c r="J45" i="3"/>
  <c r="F47" i="3"/>
  <c r="G47" i="3"/>
  <c r="H47" i="3"/>
  <c r="I47" i="3"/>
  <c r="J47" i="3"/>
  <c r="F49" i="3"/>
  <c r="G49" i="3"/>
  <c r="H49" i="3"/>
  <c r="I49" i="3"/>
  <c r="J49" i="3"/>
  <c r="F51" i="3"/>
  <c r="G51" i="3"/>
  <c r="H51" i="3"/>
  <c r="I51" i="3"/>
  <c r="J51" i="3"/>
  <c r="E4" i="18"/>
  <c r="I8" i="18"/>
  <c r="I9" i="18"/>
  <c r="E12" i="18"/>
  <c r="I12" i="18"/>
  <c r="E14" i="18"/>
  <c r="I15" i="18"/>
  <c r="E17" i="18"/>
  <c r="I17" i="18"/>
  <c r="E19" i="18"/>
  <c r="E10" i="19"/>
  <c r="G10" i="19"/>
  <c r="C19" i="19"/>
  <c r="E13" i="20"/>
  <c r="G16" i="20"/>
  <c r="H22" i="20"/>
  <c r="C8" i="6"/>
  <c r="D8" i="6"/>
  <c r="E8" i="6"/>
  <c r="F8" i="6"/>
  <c r="G8" i="6"/>
  <c r="C19" i="6"/>
  <c r="D19" i="6"/>
  <c r="E19" i="6"/>
  <c r="F19" i="6"/>
  <c r="G19" i="6"/>
  <c r="C31" i="6"/>
  <c r="D31" i="6"/>
  <c r="E31" i="6"/>
  <c r="F31" i="6"/>
  <c r="G31" i="6"/>
  <c r="D32" i="6"/>
  <c r="E32" i="6"/>
  <c r="F32" i="6"/>
  <c r="G32" i="6"/>
  <c r="C33" i="6"/>
  <c r="D33" i="6"/>
  <c r="E33" i="6"/>
  <c r="F33" i="6"/>
  <c r="G33" i="6"/>
  <c r="C34" i="6"/>
  <c r="D34" i="6"/>
  <c r="E34" i="6"/>
  <c r="F34" i="6"/>
  <c r="G34" i="6"/>
  <c r="C36" i="6"/>
  <c r="D36" i="6"/>
  <c r="E36" i="6"/>
  <c r="F36" i="6"/>
  <c r="G36" i="6"/>
  <c r="D37" i="6"/>
  <c r="E37" i="6"/>
  <c r="F37" i="6"/>
  <c r="G37" i="6"/>
  <c r="C38" i="6"/>
  <c r="D38" i="6"/>
  <c r="E38" i="6"/>
  <c r="F38" i="6"/>
  <c r="G38" i="6"/>
  <c r="C39" i="6"/>
  <c r="D39" i="6"/>
  <c r="E39" i="6"/>
  <c r="F39" i="6"/>
  <c r="G39" i="6"/>
  <c r="C40" i="6"/>
  <c r="D40" i="6"/>
  <c r="E40" i="6"/>
  <c r="F40" i="6"/>
  <c r="G40" i="6"/>
  <c r="C6" i="17"/>
  <c r="C7" i="17"/>
  <c r="G7" i="17"/>
  <c r="C9" i="17"/>
  <c r="C10" i="17"/>
  <c r="G11" i="17"/>
  <c r="C13" i="17"/>
  <c r="C14" i="17"/>
  <c r="C15" i="17"/>
  <c r="C17" i="17"/>
  <c r="C18" i="17"/>
  <c r="C19" i="17"/>
  <c r="C20" i="17"/>
  <c r="G22" i="17"/>
  <c r="G23" i="17"/>
  <c r="C25" i="17"/>
  <c r="C27" i="17"/>
  <c r="C30" i="17"/>
  <c r="C31" i="17"/>
</calcChain>
</file>

<file path=xl/sharedStrings.xml><?xml version="1.0" encoding="utf-8"?>
<sst xmlns="http://schemas.openxmlformats.org/spreadsheetml/2006/main" count="389" uniqueCount="273">
  <si>
    <t>Consolidated Statements of Income</t>
  </si>
  <si>
    <t>Model Settings</t>
  </si>
  <si>
    <t>Company Name</t>
  </si>
  <si>
    <t>Financial Format (0 = Thousands, 1= Millions)</t>
  </si>
  <si>
    <t>Papa John's International, Inc.</t>
  </si>
  <si>
    <t>Revenues</t>
  </si>
  <si>
    <t>Restaurant Sales</t>
  </si>
  <si>
    <t>Franchise Royalties</t>
  </si>
  <si>
    <t>Franchise and Development Fees</t>
  </si>
  <si>
    <t>Commisary Sales</t>
  </si>
  <si>
    <t>Equipment and Other Sales</t>
  </si>
  <si>
    <t>Total Revenues</t>
  </si>
  <si>
    <t>Expenses</t>
  </si>
  <si>
    <t>Restaurant Expenses</t>
  </si>
  <si>
    <t>Cost of Sales</t>
  </si>
  <si>
    <t>Salaries and Benefits</t>
  </si>
  <si>
    <t>Advertising and Related Costs</t>
  </si>
  <si>
    <t>Occupancy Costs</t>
  </si>
  <si>
    <t>Other Operating Expenses</t>
  </si>
  <si>
    <t>Total Restaurant Expenses</t>
  </si>
  <si>
    <t>Total Commissary Equipment and Other Expenses</t>
  </si>
  <si>
    <t>General and Administrative Expenses</t>
  </si>
  <si>
    <t>Pre-Opening and Other General Expenses</t>
  </si>
  <si>
    <t>Depreciation and Amortization</t>
  </si>
  <si>
    <t>Total Expenses</t>
  </si>
  <si>
    <t>Investment Income</t>
  </si>
  <si>
    <t>Operating Income (EBIT)</t>
  </si>
  <si>
    <t>Income Before Taxes and Cumulative Effect of a Change in Accounting Principle</t>
  </si>
  <si>
    <t>Provision for Income Taxes</t>
  </si>
  <si>
    <t>Income Before Cumulative Effect of a Change in Accounting Principle</t>
  </si>
  <si>
    <t>Cumulative Effect of Accounting Change, Net of Tax</t>
  </si>
  <si>
    <t>Net Income</t>
  </si>
  <si>
    <t>Income Statement Assumptions</t>
  </si>
  <si>
    <t>Balance Sheet</t>
  </si>
  <si>
    <t>Assets</t>
  </si>
  <si>
    <t>Current Assets</t>
  </si>
  <si>
    <t>Cash and Cash Equivalents</t>
  </si>
  <si>
    <t>Accounts Receivable - Affiliates</t>
  </si>
  <si>
    <t>Accounts Receivable</t>
  </si>
  <si>
    <t>Inventories</t>
  </si>
  <si>
    <t>Deferred Pre-Opening Costs</t>
  </si>
  <si>
    <t>Prepaid Expenses and Other Current Assets</t>
  </si>
  <si>
    <t>Deferred Income Taxes</t>
  </si>
  <si>
    <t>Total Current Assets</t>
  </si>
  <si>
    <t>Investments</t>
  </si>
  <si>
    <t>Net Property and Equipment</t>
  </si>
  <si>
    <t>Notes Receivable - Franchisees</t>
  </si>
  <si>
    <t>Notes Receivable - Affiliates</t>
  </si>
  <si>
    <t>Other Assets</t>
  </si>
  <si>
    <t>Total Non-Current Assets</t>
  </si>
  <si>
    <t>Total Assets</t>
  </si>
  <si>
    <t>Current Liabilities</t>
  </si>
  <si>
    <t>Accounts Payable</t>
  </si>
  <si>
    <t>Accrued Expenses</t>
  </si>
  <si>
    <t>Total Current Liabilities</t>
  </si>
  <si>
    <t>Unearned Franchise and Development Fees</t>
  </si>
  <si>
    <t>Other Long-Term Liabilities</t>
  </si>
  <si>
    <t>Total Liabilities and Stockholders' Equity</t>
  </si>
  <si>
    <t>Total Stockholders' Equity</t>
  </si>
  <si>
    <t>Total Liabilities</t>
  </si>
  <si>
    <t>Balance Sheet Assumptions</t>
  </si>
  <si>
    <t>Non-Current Assets</t>
  </si>
  <si>
    <t>Non-Current Liabilities</t>
  </si>
  <si>
    <t>Total Non-Current Liabilities</t>
  </si>
  <si>
    <t>General and Administrative Expenses (As a % of Total Revenues)</t>
  </si>
  <si>
    <t>Restaurant Expenses (As a % of Restaurant Sales)</t>
  </si>
  <si>
    <t>Effective Tax Rate</t>
  </si>
  <si>
    <t>2002E</t>
  </si>
  <si>
    <t>2003E</t>
  </si>
  <si>
    <t>Other Expenses</t>
  </si>
  <si>
    <t>Total Other Expenses</t>
  </si>
  <si>
    <t>EPS</t>
  </si>
  <si>
    <t>Liabilities &amp; Stockholder's Equity</t>
  </si>
  <si>
    <t>Return on Equity</t>
  </si>
  <si>
    <t>Return on Assets</t>
  </si>
  <si>
    <t>Financial Leverage</t>
  </si>
  <si>
    <t>Net Income/Sales</t>
  </si>
  <si>
    <t>Asset Turnover</t>
  </si>
  <si>
    <t>Return on Sales</t>
  </si>
  <si>
    <t>Net Income/Average Total Assets</t>
  </si>
  <si>
    <t>Average Total Assets/Average Shareholder's Equity</t>
  </si>
  <si>
    <t>Sales/Average Total Assets</t>
  </si>
  <si>
    <t>Overall Profitability Measures</t>
  </si>
  <si>
    <t>Revenues (Growth Rates)</t>
  </si>
  <si>
    <t>Pre-Opening and Other General Expenses  (As a % of Total Revenues)</t>
  </si>
  <si>
    <t>Depreciation and Amortization  (As a % of Total Revenues)</t>
  </si>
  <si>
    <t>Commissary, Equipment and Other Expenses (As a % of Commissary and Equipment Revenue)</t>
  </si>
  <si>
    <t>Commissary, Equipment and Other Expenses</t>
  </si>
  <si>
    <t>Projected Shares Outstanding (Thousands)</t>
  </si>
  <si>
    <t>Investment Income (As a % of Investments)</t>
  </si>
  <si>
    <t>Net Income/Average Shareholder's Equity</t>
  </si>
  <si>
    <t>Other</t>
  </si>
  <si>
    <t>Dividend Payout (As a % of Net Income)</t>
  </si>
  <si>
    <t>Dupont ROE Decomposition</t>
  </si>
  <si>
    <t xml:space="preserve"> </t>
  </si>
  <si>
    <t>Assets (As a % of Total Revenues)</t>
  </si>
  <si>
    <t>Liabilities (As a % of Total Revenues)</t>
  </si>
  <si>
    <t>2004E</t>
  </si>
  <si>
    <t>Investments (Absolute Amount in Thousands)</t>
  </si>
  <si>
    <t>2005E</t>
  </si>
  <si>
    <t>Current portion of debt</t>
  </si>
  <si>
    <t>Long term debt, net of current portion</t>
  </si>
  <si>
    <t>International expenses (as a % of total revenues)</t>
  </si>
  <si>
    <t>Other expenses  (% of total revenues)</t>
  </si>
  <si>
    <t>Note: Some of the items of the 10K were grouped</t>
  </si>
  <si>
    <t>International expenses</t>
  </si>
  <si>
    <t>Interest expense</t>
  </si>
  <si>
    <t>Consolidated Statement of Cash Flows</t>
  </si>
  <si>
    <t>Cash Flow from Operations</t>
  </si>
  <si>
    <t>(Increase) Decrease in Net Receivables</t>
  </si>
  <si>
    <t>(Increase) Decrease in Inventories</t>
  </si>
  <si>
    <t>(Increase) Decrease in Deferred Pre-Opening Costs</t>
  </si>
  <si>
    <t>(Increase) Decrease in Prepaid Expenses and Other Current Assets</t>
  </si>
  <si>
    <t>(Increase) Decrease in Deferred Income Taxes</t>
  </si>
  <si>
    <t>Increase (Decrease) in Accounts Payable</t>
  </si>
  <si>
    <t>Increase (Decrease) in Accrued Expenses</t>
  </si>
  <si>
    <t>Increase (Decrease) in Unearned Franchise and Development Fees</t>
  </si>
  <si>
    <t>Increase (Decrease) in Other Liabilities</t>
  </si>
  <si>
    <t>Total</t>
  </si>
  <si>
    <t>Cash Flow from Investing</t>
  </si>
  <si>
    <t>CAPEX</t>
  </si>
  <si>
    <t>(Increase) Decrease in Other Assets</t>
  </si>
  <si>
    <t>(Increase) Decrease in Investments</t>
  </si>
  <si>
    <t>(Increase) Decrease in Notes Receivable</t>
  </si>
  <si>
    <t>Cash Flow from Financing</t>
  </si>
  <si>
    <t>(Dividends Paid)</t>
  </si>
  <si>
    <t>Equity Issues (Equity Repurchase)</t>
  </si>
  <si>
    <t>Net Change in Cash</t>
  </si>
  <si>
    <t>Cash at Beginning of Year</t>
  </si>
  <si>
    <t>Cash at End of Year</t>
  </si>
  <si>
    <t>Cash Per Balance Sheet</t>
  </si>
  <si>
    <t>Unreconciled Difference</t>
  </si>
  <si>
    <t>Cost of Sales (% Restaurant Sales)</t>
  </si>
  <si>
    <t>Salaries and Benefits (% Restaurant Sales)</t>
  </si>
  <si>
    <t>Advertising and Related Costs (% of Restaurant Sales)</t>
  </si>
  <si>
    <t>Occupancy Costs (% of Restaurant Sales)</t>
  </si>
  <si>
    <t>Other Operating Expenses (% of Restaurant Sales)</t>
  </si>
  <si>
    <t>Total Restaurant Expenses (% of Restaurant Sales)</t>
  </si>
  <si>
    <t>Cost of Sales (% of Com. Equip &amp; other expenses)</t>
  </si>
  <si>
    <t>General and Administrative Expenses (% total revenue)</t>
  </si>
  <si>
    <t>Pre-Opening and Other General Expenses (% of total revenue)</t>
  </si>
  <si>
    <t>Depreciation and Amortization (% of total revenue)</t>
  </si>
  <si>
    <t>International expenses (% of total revenue)</t>
  </si>
  <si>
    <t>Other Expenses (% of total revenue)</t>
  </si>
  <si>
    <t>Investment Income (% total revenue)</t>
  </si>
  <si>
    <t>Interest expense (% of total revenue)</t>
  </si>
  <si>
    <t>Operating Income (EBIT) (% of total revenue)</t>
  </si>
  <si>
    <t>Common Size</t>
  </si>
  <si>
    <t>Common size</t>
  </si>
  <si>
    <t>(Dollars in Thousands Except Per Share Data)</t>
  </si>
  <si>
    <t xml:space="preserve">Long Term Debt </t>
  </si>
  <si>
    <t>Current portion of debt (as a % of non-current LT debt)</t>
  </si>
  <si>
    <t>Interest expense (as a % of total LT debt)</t>
  </si>
  <si>
    <t>Long term debt,net of current portion (Absolute amount in thousands)</t>
  </si>
  <si>
    <t>Fixed Asset Schedule</t>
  </si>
  <si>
    <t>Beginning Net Property and Equipment</t>
  </si>
  <si>
    <t>2002 CAPEX</t>
  </si>
  <si>
    <t>2003 CAPEX</t>
  </si>
  <si>
    <t>2004 CAPEX</t>
  </si>
  <si>
    <t>2005 CAPEX</t>
  </si>
  <si>
    <t>Total Depreciation</t>
  </si>
  <si>
    <t>Beginning Balance</t>
  </si>
  <si>
    <t>Add:  CAPEX</t>
  </si>
  <si>
    <t>Less:  Depreciation</t>
  </si>
  <si>
    <t>Ending Balance</t>
  </si>
  <si>
    <t>SEE FIXED ASSET SCHEDULE</t>
  </si>
  <si>
    <t>Estimated useful life of beginning Net PPE (in years)</t>
  </si>
  <si>
    <t>Estimate useful life of 2002 CAPEX</t>
  </si>
  <si>
    <t>Estimate useful life of 2003 CAPEX</t>
  </si>
  <si>
    <t>Estimate useful life of 2004 CAPEX</t>
  </si>
  <si>
    <t># of years</t>
  </si>
  <si>
    <t>Estimate useful life of 2005 CAPEX</t>
  </si>
  <si>
    <t>%declining</t>
  </si>
  <si>
    <t>Straight-Line=0; Accelerated=1</t>
  </si>
  <si>
    <t>Discounted Cash Flow Analysis</t>
  </si>
  <si>
    <t>Do not use this year for discounting</t>
  </si>
  <si>
    <t xml:space="preserve">  CFO</t>
  </si>
  <si>
    <t>+CFI</t>
  </si>
  <si>
    <t>+Interest Expense net of tax</t>
  </si>
  <si>
    <t>=Free Cash Flows to the Firm</t>
  </si>
  <si>
    <t>Weighted Average Cost of Capital</t>
  </si>
  <si>
    <t>Terminal Growth Rate</t>
  </si>
  <si>
    <t>+NPV of Terminal Value</t>
  </si>
  <si>
    <t>-Debt (book value)</t>
  </si>
  <si>
    <t>=Value per share</t>
  </si>
  <si>
    <t>Sensitivity Analysis</t>
  </si>
  <si>
    <t>2006E</t>
  </si>
  <si>
    <t xml:space="preserve">   Common stock ($.01 par value per share;</t>
  </si>
  <si>
    <t xml:space="preserve">   authorized 50,000,000 shares, issued</t>
  </si>
  <si>
    <t xml:space="preserve">   30,504,185 in 1999 and 29,866,832 in 1998)</t>
  </si>
  <si>
    <t xml:space="preserve">   Additional paid-in capital</t>
  </si>
  <si>
    <t xml:space="preserve">   Accumulated other comprehensive income</t>
  </si>
  <si>
    <t xml:space="preserve">   (unrealized gain on investments, net of tax)</t>
  </si>
  <si>
    <t xml:space="preserve">   Retained earnings</t>
  </si>
  <si>
    <t xml:space="preserve">   Treasury stock (36,572 shares in 1998 and</t>
  </si>
  <si>
    <t xml:space="preserve">   36,644 shares in 1997, at cost)</t>
  </si>
  <si>
    <t>Total stockholders' equity</t>
  </si>
  <si>
    <t>Total liabilities and stockholders' equity</t>
  </si>
  <si>
    <t>2006 CAPEX</t>
  </si>
  <si>
    <t>Estimate useful life of 2006 CAPEX</t>
  </si>
  <si>
    <t xml:space="preserve">   NPV of FCF for years 2003-2006</t>
  </si>
  <si>
    <t>=Total Present Value of Firm at 12/31/2002</t>
  </si>
  <si>
    <t>+Excess Cash (=Investments) at 12/31/2002</t>
  </si>
  <si>
    <t>=Value of Equity at 12/31/2002</t>
  </si>
  <si>
    <t>Divided by # of shrs o/s at 12/31/2002</t>
  </si>
  <si>
    <t>Calculation of Total Enterprise Value at 12/31/2002:</t>
  </si>
  <si>
    <t>-Change in operating cash</t>
  </si>
  <si>
    <t>x   EBITDA</t>
  </si>
  <si>
    <t xml:space="preserve">Terminal value at 12/31/2006 </t>
  </si>
  <si>
    <t>EBITDA multiple</t>
  </si>
  <si>
    <t>WACC</t>
  </si>
  <si>
    <t>Depreciation Schedule</t>
  </si>
  <si>
    <t>Est. Salvage</t>
  </si>
  <si>
    <t>Depreciation for Tax Purposes</t>
  </si>
  <si>
    <t>Last Year of Audited Financials</t>
  </si>
  <si>
    <t>Excess cash</t>
  </si>
  <si>
    <t>Sources:</t>
  </si>
  <si>
    <t>Issuing New Debt</t>
  </si>
  <si>
    <t xml:space="preserve">Buyout Equity Investment </t>
  </si>
  <si>
    <t>% of Sources from Issuing New Debt</t>
  </si>
  <si>
    <t>% of Sources from Equity Investment</t>
  </si>
  <si>
    <t>Uses:</t>
  </si>
  <si>
    <t>Retire Old Debt</t>
  </si>
  <si>
    <t>Ownership Summary:</t>
  </si>
  <si>
    <t># of Shares Purchased by LBO Firm</t>
  </si>
  <si>
    <t># of Shares Outstanding After Buyback</t>
  </si>
  <si>
    <t>% Ownership of Buyout Firm Post Transaction</t>
  </si>
  <si>
    <t>Goodwill:</t>
  </si>
  <si>
    <t>Fair Value</t>
  </si>
  <si>
    <t>Book Value</t>
  </si>
  <si>
    <t>Goodwill if 100% change of control</t>
  </si>
  <si>
    <t>Goodwill for this transaction if LBO</t>
  </si>
  <si>
    <t>Amortization period for goodwill</t>
  </si>
  <si>
    <t>Not Required</t>
  </si>
  <si>
    <t>Pricing Information:</t>
  </si>
  <si>
    <t>Transaction Date</t>
  </si>
  <si>
    <t>Shares Outstanding (000s)</t>
  </si>
  <si>
    <t>Transaction Price</t>
  </si>
  <si>
    <t>Transaction Type:</t>
  </si>
  <si>
    <t xml:space="preserve">Recap=0 / LBO=1 </t>
  </si>
  <si>
    <t>Multiples:</t>
  </si>
  <si>
    <t>Implied EBITDA Multiple</t>
  </si>
  <si>
    <t>Implied P/E Multiple</t>
  </si>
  <si>
    <t>Assumed P/E Exit Multiple</t>
  </si>
  <si>
    <t>Assumed Exit Date</t>
  </si>
  <si>
    <t>2002 EBITDA</t>
  </si>
  <si>
    <t>2002 EPS</t>
  </si>
  <si>
    <t>Transaction</t>
  </si>
  <si>
    <t>Writeup of net assets</t>
  </si>
  <si>
    <t>Excess of Fair Value over Book Value</t>
  </si>
  <si>
    <t>Goodwill</t>
  </si>
  <si>
    <t>Assumed EBITDA Exit Multiple</t>
  </si>
  <si>
    <t>LBO/Leverage Recap Transaction Summary</t>
  </si>
  <si>
    <t>Internal Rate of Return</t>
  </si>
  <si>
    <t>EBITDA</t>
  </si>
  <si>
    <t>EBITDA Multiple</t>
  </si>
  <si>
    <t>Less Debt</t>
  </si>
  <si>
    <t>Total Cash Flow</t>
  </si>
  <si>
    <t>Total Investment Cash Flows</t>
  </si>
  <si>
    <t>Current Share Price</t>
  </si>
  <si>
    <t>(2) Based On P/E Multiple</t>
  </si>
  <si>
    <t>(1) Based on TEV/EBITDA Multiple</t>
  </si>
  <si>
    <t xml:space="preserve">% Shares Bought Back </t>
  </si>
  <si>
    <t>Outstanding Debt</t>
  </si>
  <si>
    <t>Percentage Owned</t>
  </si>
  <si>
    <t>Acquisition</t>
  </si>
  <si>
    <t>Equity repurchased</t>
  </si>
  <si>
    <t>New Debt</t>
  </si>
  <si>
    <t>Repay Old Debt</t>
  </si>
  <si>
    <t>Value of Firm</t>
  </si>
  <si>
    <t>Net new debt</t>
  </si>
  <si>
    <t># of Shares Repurchased with Debt</t>
  </si>
  <si>
    <t># of Shares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</si>
</sst>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5" formatCode="0.0%"/>
    <numFmt numFmtId="176" formatCode="0_);\(0\)"/>
    <numFmt numFmtId="177" formatCode="&quot;$&quot;#,##0.00"/>
    <numFmt numFmtId="179" formatCode="0.00000"/>
    <numFmt numFmtId="182" formatCode="_(* #,##0.0_);_(* \(#,##0.0\);_(* &quot;-&quot;??_);_(@_)"/>
    <numFmt numFmtId="183" formatCode="_(* #,##0_);_(* \(#,##0\);_(* &quot;-&quot;??_);_(@_)"/>
    <numFmt numFmtId="186" formatCode="_(&quot;$&quot;* #,##0_);_(&quot;$&quot;* \(#,##0\);_(&quot;$&quot;* &quot;-&quot;??_);_(@_)"/>
    <numFmt numFmtId="189" formatCode="&quot;$&quot;#,##0"/>
    <numFmt numFmtId="192" formatCode="#,##0.0_);[Red]\(#,##0.0\)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sz val="8"/>
      <color indexed="9"/>
      <name val="Arial"/>
      <family val="2"/>
    </font>
    <font>
      <sz val="8"/>
      <color indexed="12"/>
      <name val="Arial"/>
      <family val="2"/>
    </font>
    <font>
      <sz val="8"/>
      <color indexed="56"/>
      <name val="Arial"/>
      <family val="2"/>
    </font>
    <font>
      <b/>
      <i/>
      <sz val="8"/>
      <name val="Arial"/>
      <family val="2"/>
    </font>
    <font>
      <u/>
      <sz val="8"/>
      <name val="Arial"/>
      <family val="2"/>
    </font>
    <font>
      <b/>
      <sz val="8"/>
      <color indexed="12"/>
      <name val="Arial"/>
      <family val="2"/>
    </font>
    <font>
      <sz val="8"/>
      <name val="Arial"/>
      <family val="2"/>
    </font>
    <font>
      <b/>
      <sz val="8"/>
      <color indexed="56"/>
      <name val="Arial"/>
      <family val="2"/>
    </font>
    <font>
      <sz val="10"/>
      <color indexed="12"/>
      <name val="Arial"/>
      <family val="2"/>
    </font>
    <font>
      <sz val="10"/>
      <color indexed="56"/>
      <name val="Arial"/>
      <family val="2"/>
    </font>
    <font>
      <b/>
      <sz val="16"/>
      <color indexed="9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1"/>
  </cellStyleXfs>
  <cellXfs count="3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left" wrapText="1" indent="1"/>
    </xf>
    <xf numFmtId="3" fontId="2" fillId="0" borderId="0" xfId="0" applyNumberFormat="1" applyFont="1" applyAlignment="1">
      <alignment horizontal="left" wrapText="1" indent="2"/>
    </xf>
    <xf numFmtId="3" fontId="2" fillId="0" borderId="0" xfId="0" applyNumberFormat="1" applyFont="1" applyAlignment="1">
      <alignment horizontal="left" wrapText="1"/>
    </xf>
    <xf numFmtId="3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wrapText="1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0" fontId="2" fillId="2" borderId="0" xfId="0" applyFont="1" applyFill="1"/>
    <xf numFmtId="0" fontId="6" fillId="2" borderId="0" xfId="0" applyFont="1" applyFill="1"/>
    <xf numFmtId="3" fontId="7" fillId="2" borderId="0" xfId="0" applyNumberFormat="1" applyFont="1" applyFill="1" applyAlignment="1">
      <alignment horizontal="right"/>
    </xf>
    <xf numFmtId="3" fontId="6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0" fontId="2" fillId="0" borderId="0" xfId="0" applyFont="1" applyFill="1"/>
    <xf numFmtId="3" fontId="3" fillId="0" borderId="0" xfId="0" applyNumberFormat="1" applyFont="1" applyAlignment="1">
      <alignment horizontal="left" wrapText="1"/>
    </xf>
    <xf numFmtId="3" fontId="3" fillId="0" borderId="0" xfId="0" applyNumberFormat="1" applyFont="1" applyAlignment="1">
      <alignment wrapText="1"/>
    </xf>
    <xf numFmtId="3" fontId="2" fillId="0" borderId="1" xfId="0" applyNumberFormat="1" applyFont="1" applyBorder="1" applyAlignment="1">
      <alignment horizontal="right"/>
    </xf>
    <xf numFmtId="1" fontId="8" fillId="0" borderId="0" xfId="0" applyNumberFormat="1" applyFont="1" applyAlignment="1">
      <alignment wrapText="1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Fill="1" applyAlignment="1">
      <alignment horizontal="center"/>
    </xf>
    <xf numFmtId="3" fontId="8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horizontal="left"/>
    </xf>
    <xf numFmtId="171" fontId="2" fillId="0" borderId="0" xfId="1" applyFont="1" applyAlignment="1">
      <alignment horizontal="left" wrapText="1"/>
    </xf>
    <xf numFmtId="171" fontId="2" fillId="0" borderId="0" xfId="1" applyFont="1"/>
    <xf numFmtId="170" fontId="2" fillId="0" borderId="0" xfId="2" applyFont="1" applyAlignment="1">
      <alignment horizontal="right"/>
    </xf>
    <xf numFmtId="3" fontId="10" fillId="0" borderId="0" xfId="0" applyNumberFormat="1" applyFont="1" applyAlignment="1">
      <alignment horizontal="left" wrapText="1"/>
    </xf>
    <xf numFmtId="3" fontId="2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179" fontId="2" fillId="0" borderId="0" xfId="0" applyNumberFormat="1" applyFont="1"/>
    <xf numFmtId="10" fontId="2" fillId="0" borderId="0" xfId="3" applyNumberFormat="1" applyFont="1"/>
    <xf numFmtId="2" fontId="2" fillId="0" borderId="0" xfId="0" applyNumberFormat="1" applyFont="1"/>
    <xf numFmtId="179" fontId="11" fillId="2" borderId="0" xfId="0" applyNumberFormat="1" applyFont="1" applyFill="1"/>
    <xf numFmtId="179" fontId="6" fillId="2" borderId="0" xfId="0" applyNumberFormat="1" applyFont="1" applyFill="1"/>
    <xf numFmtId="179" fontId="3" fillId="0" borderId="0" xfId="0" applyNumberFormat="1" applyFont="1"/>
    <xf numFmtId="179" fontId="11" fillId="2" borderId="0" xfId="0" applyNumberFormat="1" applyFont="1" applyFill="1" applyAlignment="1">
      <alignment horizontal="center"/>
    </xf>
    <xf numFmtId="179" fontId="2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/>
    <xf numFmtId="3" fontId="12" fillId="0" borderId="0" xfId="0" applyNumberFormat="1" applyFont="1" applyAlignment="1">
      <alignment horizontal="right"/>
    </xf>
    <xf numFmtId="3" fontId="12" fillId="0" borderId="1" xfId="0" applyNumberFormat="1" applyFont="1" applyBorder="1" applyAlignment="1">
      <alignment horizontal="right"/>
    </xf>
    <xf numFmtId="3" fontId="12" fillId="0" borderId="0" xfId="0" applyNumberFormat="1" applyFont="1" applyBorder="1" applyAlignment="1">
      <alignment horizontal="right"/>
    </xf>
    <xf numFmtId="186" fontId="12" fillId="0" borderId="0" xfId="2" applyNumberFormat="1" applyFont="1" applyAlignment="1">
      <alignment horizontal="right"/>
    </xf>
    <xf numFmtId="186" fontId="2" fillId="0" borderId="0" xfId="2" applyNumberFormat="1" applyFont="1" applyAlignment="1">
      <alignment horizontal="right"/>
    </xf>
    <xf numFmtId="186" fontId="12" fillId="0" borderId="3" xfId="2" applyNumberFormat="1" applyFont="1" applyBorder="1" applyAlignment="1">
      <alignment horizontal="right"/>
    </xf>
    <xf numFmtId="186" fontId="2" fillId="0" borderId="3" xfId="2" applyNumberFormat="1" applyFont="1" applyBorder="1" applyAlignment="1">
      <alignment horizontal="right"/>
    </xf>
    <xf numFmtId="10" fontId="12" fillId="0" borderId="0" xfId="3" applyNumberFormat="1" applyFont="1" applyAlignment="1">
      <alignment horizontal="right"/>
    </xf>
    <xf numFmtId="3" fontId="4" fillId="0" borderId="0" xfId="0" applyNumberFormat="1" applyFont="1" applyFill="1" applyAlignment="1">
      <alignment horizontal="right"/>
    </xf>
    <xf numFmtId="3" fontId="4" fillId="0" borderId="0" xfId="0" applyNumberFormat="1" applyFont="1" applyFill="1"/>
    <xf numFmtId="0" fontId="0" fillId="0" borderId="0" xfId="0" applyAlignment="1">
      <alignment horizontal="center"/>
    </xf>
    <xf numFmtId="175" fontId="2" fillId="0" borderId="0" xfId="3" applyNumberFormat="1" applyFont="1" applyAlignment="1">
      <alignment horizontal="right"/>
    </xf>
    <xf numFmtId="175" fontId="2" fillId="0" borderId="0" xfId="0" applyNumberFormat="1" applyFont="1" applyFill="1" applyAlignment="1">
      <alignment horizontal="right"/>
    </xf>
    <xf numFmtId="175" fontId="2" fillId="0" borderId="0" xfId="3" applyNumberFormat="1" applyFont="1" applyFill="1" applyAlignment="1">
      <alignment horizontal="right"/>
    </xf>
    <xf numFmtId="175" fontId="2" fillId="0" borderId="0" xfId="0" applyNumberFormat="1" applyFont="1" applyAlignment="1">
      <alignment horizontal="right"/>
    </xf>
    <xf numFmtId="9" fontId="2" fillId="0" borderId="0" xfId="3" applyNumberFormat="1" applyFont="1" applyAlignment="1">
      <alignment horizontal="right"/>
    </xf>
    <xf numFmtId="17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2" fillId="0" borderId="1" xfId="3" applyNumberFormat="1" applyFont="1" applyBorder="1" applyAlignment="1">
      <alignment horizontal="right"/>
    </xf>
    <xf numFmtId="9" fontId="2" fillId="0" borderId="3" xfId="3" applyNumberFormat="1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1" xfId="0" applyFont="1" applyFill="1" applyBorder="1" applyAlignment="1">
      <alignment horizontal="center"/>
    </xf>
    <xf numFmtId="175" fontId="2" fillId="0" borderId="0" xfId="3" applyNumberFormat="1" applyFont="1" applyAlignment="1">
      <alignment horizontal="center"/>
    </xf>
    <xf numFmtId="175" fontId="2" fillId="0" borderId="0" xfId="0" applyNumberFormat="1" applyFont="1" applyFill="1" applyAlignment="1">
      <alignment horizontal="center"/>
    </xf>
    <xf numFmtId="175" fontId="2" fillId="0" borderId="0" xfId="3" applyNumberFormat="1" applyFont="1" applyFill="1" applyAlignment="1">
      <alignment horizontal="center"/>
    </xf>
    <xf numFmtId="175" fontId="2" fillId="0" borderId="0" xfId="0" applyNumberFormat="1" applyFont="1" applyAlignment="1">
      <alignment horizontal="center"/>
    </xf>
    <xf numFmtId="3" fontId="2" fillId="0" borderId="0" xfId="0" applyNumberFormat="1" applyFont="1" applyFill="1" applyAlignment="1">
      <alignment horizontal="left" wrapText="1"/>
    </xf>
    <xf numFmtId="3" fontId="1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>
      <alignment horizontal="right"/>
    </xf>
    <xf numFmtId="3" fontId="13" fillId="0" borderId="0" xfId="0" applyNumberFormat="1" applyFont="1" applyAlignment="1">
      <alignment horizontal="right"/>
    </xf>
    <xf numFmtId="186" fontId="2" fillId="0" borderId="1" xfId="2" applyNumberFormat="1" applyFont="1" applyBorder="1" applyAlignment="1">
      <alignment horizontal="right"/>
    </xf>
    <xf numFmtId="37" fontId="6" fillId="2" borderId="0" xfId="0" applyNumberFormat="1" applyFont="1" applyFill="1"/>
    <xf numFmtId="37" fontId="8" fillId="2" borderId="0" xfId="0" applyNumberFormat="1" applyFont="1" applyFill="1" applyAlignment="1">
      <alignment horizontal="right"/>
    </xf>
    <xf numFmtId="37" fontId="4" fillId="2" borderId="0" xfId="0" applyNumberFormat="1" applyFont="1" applyFill="1" applyAlignment="1">
      <alignment horizontal="right"/>
    </xf>
    <xf numFmtId="37" fontId="0" fillId="0" borderId="0" xfId="0" applyNumberFormat="1"/>
    <xf numFmtId="37" fontId="4" fillId="0" borderId="0" xfId="0" applyNumberFormat="1" applyFont="1"/>
    <xf numFmtId="37" fontId="4" fillId="0" borderId="0" xfId="0" applyNumberFormat="1" applyFont="1" applyAlignment="1">
      <alignment horizontal="right"/>
    </xf>
    <xf numFmtId="37" fontId="3" fillId="0" borderId="0" xfId="0" applyNumberFormat="1" applyFont="1" applyAlignment="1">
      <alignment wrapText="1"/>
    </xf>
    <xf numFmtId="37" fontId="2" fillId="0" borderId="0" xfId="0" applyNumberFormat="1" applyFont="1" applyAlignment="1">
      <alignment horizontal="right"/>
    </xf>
    <xf numFmtId="37" fontId="2" fillId="0" borderId="0" xfId="0" applyNumberFormat="1" applyFont="1"/>
    <xf numFmtId="37" fontId="10" fillId="0" borderId="0" xfId="0" applyNumberFormat="1" applyFont="1" applyAlignment="1">
      <alignment horizontal="left" wrapText="1"/>
    </xf>
    <xf numFmtId="37" fontId="8" fillId="0" borderId="0" xfId="0" applyNumberFormat="1" applyFont="1" applyAlignment="1">
      <alignment wrapText="1"/>
    </xf>
    <xf numFmtId="37" fontId="2" fillId="0" borderId="0" xfId="0" applyNumberFormat="1" applyFont="1" applyAlignment="1">
      <alignment horizontal="center"/>
    </xf>
    <xf numFmtId="37" fontId="5" fillId="0" borderId="0" xfId="0" applyNumberFormat="1" applyFont="1" applyAlignment="1">
      <alignment wrapText="1"/>
    </xf>
    <xf numFmtId="37" fontId="2" fillId="0" borderId="0" xfId="0" applyNumberFormat="1" applyFont="1" applyAlignment="1">
      <alignment horizontal="left" wrapText="1" indent="1"/>
    </xf>
    <xf numFmtId="37" fontId="2" fillId="0" borderId="0" xfId="0" applyNumberFormat="1" applyFont="1" applyBorder="1" applyAlignment="1">
      <alignment horizontal="right"/>
    </xf>
    <xf numFmtId="37" fontId="2" fillId="0" borderId="1" xfId="0" applyNumberFormat="1" applyFont="1" applyBorder="1" applyAlignment="1">
      <alignment horizontal="right"/>
    </xf>
    <xf numFmtId="37" fontId="2" fillId="0" borderId="0" xfId="0" applyNumberFormat="1" applyFont="1" applyAlignment="1">
      <alignment wrapText="1"/>
    </xf>
    <xf numFmtId="37" fontId="0" fillId="3" borderId="0" xfId="0" applyNumberFormat="1" applyFill="1"/>
    <xf numFmtId="37" fontId="2" fillId="3" borderId="0" xfId="0" applyNumberFormat="1" applyFont="1" applyFill="1"/>
    <xf numFmtId="37" fontId="0" fillId="0" borderId="0" xfId="0" applyNumberFormat="1" applyFill="1"/>
    <xf numFmtId="37" fontId="2" fillId="0" borderId="0" xfId="0" applyNumberFormat="1" applyFont="1" applyFill="1" applyAlignment="1">
      <alignment horizontal="right"/>
    </xf>
    <xf numFmtId="37" fontId="2" fillId="0" borderId="0" xfId="0" applyNumberFormat="1" applyFont="1" applyFill="1"/>
    <xf numFmtId="3" fontId="14" fillId="0" borderId="0" xfId="0" applyNumberFormat="1" applyFont="1" applyAlignment="1">
      <alignment horizontal="left" wrapText="1"/>
    </xf>
    <xf numFmtId="9" fontId="2" fillId="0" borderId="0" xfId="0" applyNumberFormat="1" applyFont="1"/>
    <xf numFmtId="9" fontId="2" fillId="0" borderId="0" xfId="0" applyNumberFormat="1" applyFont="1" applyAlignment="1">
      <alignment horizontal="right"/>
    </xf>
    <xf numFmtId="9" fontId="2" fillId="0" borderId="1" xfId="0" applyNumberFormat="1" applyFont="1" applyBorder="1" applyAlignment="1">
      <alignment horizontal="right"/>
    </xf>
    <xf numFmtId="0" fontId="4" fillId="0" borderId="0" xfId="0" applyFont="1" applyFill="1"/>
    <xf numFmtId="3" fontId="3" fillId="0" borderId="0" xfId="0" applyNumberFormat="1" applyFont="1" applyFill="1" applyAlignment="1">
      <alignment wrapText="1"/>
    </xf>
    <xf numFmtId="3" fontId="2" fillId="0" borderId="0" xfId="0" applyNumberFormat="1" applyFont="1" applyFill="1"/>
    <xf numFmtId="3" fontId="10" fillId="0" borderId="0" xfId="0" applyNumberFormat="1" applyFont="1" applyFill="1" applyAlignment="1">
      <alignment horizontal="left" wrapText="1"/>
    </xf>
    <xf numFmtId="1" fontId="8" fillId="0" borderId="0" xfId="0" applyNumberFormat="1" applyFont="1" applyFill="1" applyAlignment="1">
      <alignment wrapText="1"/>
    </xf>
    <xf numFmtId="1" fontId="5" fillId="0" borderId="2" xfId="0" applyNumberFormat="1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2" fillId="0" borderId="0" xfId="0" applyNumberFormat="1" applyFont="1" applyFill="1"/>
    <xf numFmtId="1" fontId="2" fillId="0" borderId="0" xfId="0" applyNumberFormat="1" applyFont="1" applyFill="1" applyAlignment="1">
      <alignment wrapText="1"/>
    </xf>
    <xf numFmtId="1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>
      <alignment horizontal="left" wrapText="1" indent="1"/>
    </xf>
    <xf numFmtId="3" fontId="2" fillId="0" borderId="0" xfId="0" applyNumberFormat="1" applyFont="1" applyFill="1" applyAlignment="1">
      <alignment wrapText="1"/>
    </xf>
    <xf numFmtId="9" fontId="2" fillId="0" borderId="0" xfId="3" applyFont="1" applyFill="1" applyBorder="1" applyAlignment="1">
      <alignment horizontal="right"/>
    </xf>
    <xf numFmtId="9" fontId="2" fillId="0" borderId="0" xfId="3" applyFont="1" applyFill="1" applyAlignment="1">
      <alignment horizontal="right"/>
    </xf>
    <xf numFmtId="9" fontId="2" fillId="0" borderId="4" xfId="3" applyNumberFormat="1" applyFont="1" applyFill="1" applyBorder="1" applyAlignment="1">
      <alignment horizontal="right"/>
    </xf>
    <xf numFmtId="175" fontId="2" fillId="0" borderId="1" xfId="3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9" fontId="2" fillId="0" borderId="1" xfId="3" applyFont="1" applyFill="1" applyBorder="1" applyAlignment="1">
      <alignment horizontal="right"/>
    </xf>
    <xf numFmtId="9" fontId="2" fillId="0" borderId="4" xfId="3" applyFont="1" applyFill="1" applyBorder="1" applyAlignment="1">
      <alignment horizontal="right"/>
    </xf>
    <xf numFmtId="3" fontId="1" fillId="0" borderId="0" xfId="0" applyNumberFormat="1" applyFont="1"/>
    <xf numFmtId="37" fontId="5" fillId="0" borderId="0" xfId="0" applyNumberFormat="1" applyFont="1" applyFill="1" applyAlignment="1">
      <alignment wrapText="1"/>
    </xf>
    <xf numFmtId="37" fontId="2" fillId="0" borderId="0" xfId="0" applyNumberFormat="1" applyFont="1" applyFill="1" applyAlignment="1">
      <alignment horizontal="left" wrapText="1" indent="1"/>
    </xf>
    <xf numFmtId="37" fontId="2" fillId="0" borderId="0" xfId="0" applyNumberFormat="1" applyFont="1" applyFill="1" applyBorder="1" applyAlignment="1">
      <alignment horizontal="right"/>
    </xf>
    <xf numFmtId="37" fontId="2" fillId="0" borderId="1" xfId="0" applyNumberFormat="1" applyFont="1" applyFill="1" applyBorder="1" applyAlignment="1">
      <alignment horizontal="right"/>
    </xf>
    <xf numFmtId="37" fontId="2" fillId="0" borderId="0" xfId="0" applyNumberFormat="1" applyFont="1" applyFill="1" applyAlignment="1">
      <alignment wrapText="1"/>
    </xf>
    <xf numFmtId="37" fontId="2" fillId="0" borderId="0" xfId="0" applyNumberFormat="1" applyFont="1" applyFill="1" applyAlignment="1">
      <alignment horizontal="left" indent="1"/>
    </xf>
    <xf numFmtId="37" fontId="2" fillId="0" borderId="3" xfId="0" applyNumberFormat="1" applyFont="1" applyFill="1" applyBorder="1" applyAlignment="1">
      <alignment horizontal="right"/>
    </xf>
    <xf numFmtId="186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left" wrapText="1" indent="2"/>
    </xf>
    <xf numFmtId="3" fontId="1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left" wrapText="1" indent="2"/>
    </xf>
    <xf numFmtId="3" fontId="12" fillId="0" borderId="1" xfId="0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left"/>
    </xf>
    <xf numFmtId="37" fontId="12" fillId="0" borderId="0" xfId="0" applyNumberFormat="1" applyFont="1" applyFill="1" applyAlignment="1">
      <alignment horizontal="right"/>
    </xf>
    <xf numFmtId="37" fontId="12" fillId="0" borderId="1" xfId="0" applyNumberFormat="1" applyFont="1" applyBorder="1" applyAlignment="1">
      <alignment horizontal="right"/>
    </xf>
    <xf numFmtId="9" fontId="2" fillId="0" borderId="0" xfId="3" applyNumberFormat="1" applyFont="1" applyFill="1" applyAlignment="1">
      <alignment horizontal="right"/>
    </xf>
    <xf numFmtId="9" fontId="2" fillId="0" borderId="0" xfId="3" applyNumberFormat="1" applyFont="1" applyFill="1" applyBorder="1" applyAlignment="1">
      <alignment horizontal="right"/>
    </xf>
    <xf numFmtId="9" fontId="2" fillId="0" borderId="1" xfId="0" applyNumberFormat="1" applyFont="1" applyFill="1" applyBorder="1" applyAlignment="1">
      <alignment horizontal="right"/>
    </xf>
    <xf numFmtId="0" fontId="0" fillId="0" borderId="0" xfId="0" applyFill="1"/>
    <xf numFmtId="189" fontId="2" fillId="0" borderId="0" xfId="0" applyNumberFormat="1" applyFont="1" applyFill="1" applyAlignment="1">
      <alignment horizontal="center"/>
    </xf>
    <xf numFmtId="0" fontId="0" fillId="2" borderId="0" xfId="0" applyFill="1"/>
    <xf numFmtId="3" fontId="3" fillId="0" borderId="0" xfId="0" applyNumberFormat="1" applyFont="1" applyAlignment="1">
      <alignment horizontal="left"/>
    </xf>
    <xf numFmtId="0" fontId="5" fillId="0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3" fontId="2" fillId="0" borderId="0" xfId="0" applyNumberFormat="1" applyFont="1" applyAlignment="1">
      <alignment horizontal="left" indent="1"/>
    </xf>
    <xf numFmtId="0" fontId="2" fillId="0" borderId="1" xfId="0" applyFont="1" applyBorder="1"/>
    <xf numFmtId="9" fontId="2" fillId="0" borderId="0" xfId="0" applyNumberFormat="1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2" fillId="5" borderId="0" xfId="0" applyFont="1" applyFill="1"/>
    <xf numFmtId="37" fontId="2" fillId="5" borderId="0" xfId="0" applyNumberFormat="1" applyFont="1" applyFill="1"/>
    <xf numFmtId="0" fontId="2" fillId="0" borderId="0" xfId="0" quotePrefix="1" applyFont="1"/>
    <xf numFmtId="0" fontId="2" fillId="0" borderId="1" xfId="0" quotePrefix="1" applyFont="1" applyBorder="1"/>
    <xf numFmtId="37" fontId="15" fillId="0" borderId="0" xfId="0" applyNumberFormat="1" applyFont="1"/>
    <xf numFmtId="183" fontId="2" fillId="0" borderId="0" xfId="1" applyNumberFormat="1" applyFont="1"/>
    <xf numFmtId="9" fontId="2" fillId="6" borderId="9" xfId="3" applyFont="1" applyFill="1" applyBorder="1"/>
    <xf numFmtId="0" fontId="2" fillId="0" borderId="0" xfId="0" quotePrefix="1" applyFont="1" applyAlignment="1">
      <alignment horizontal="left" indent="1"/>
    </xf>
    <xf numFmtId="3" fontId="2" fillId="0" borderId="1" xfId="0" applyNumberFormat="1" applyFont="1" applyBorder="1"/>
    <xf numFmtId="183" fontId="2" fillId="0" borderId="0" xfId="1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67" fontId="2" fillId="4" borderId="5" xfId="0" applyNumberFormat="1" applyFont="1" applyFill="1" applyBorder="1" applyAlignment="1">
      <alignment horizontal="right"/>
    </xf>
    <xf numFmtId="0" fontId="14" fillId="0" borderId="0" xfId="0" applyFont="1"/>
    <xf numFmtId="1" fontId="1" fillId="0" borderId="0" xfId="0" applyNumberFormat="1" applyFont="1"/>
    <xf numFmtId="37" fontId="12" fillId="0" borderId="0" xfId="1" applyNumberFormat="1" applyFont="1" applyAlignment="1">
      <alignment horizontal="right"/>
    </xf>
    <xf numFmtId="0" fontId="2" fillId="0" borderId="0" xfId="0" applyFont="1" applyFill="1" applyBorder="1"/>
    <xf numFmtId="10" fontId="5" fillId="0" borderId="0" xfId="0" applyNumberFormat="1" applyFont="1" applyFill="1" applyBorder="1"/>
    <xf numFmtId="175" fontId="5" fillId="0" borderId="0" xfId="3" applyNumberFormat="1" applyFont="1" applyFill="1" applyBorder="1"/>
    <xf numFmtId="177" fontId="2" fillId="0" borderId="0" xfId="0" applyNumberFormat="1" applyFont="1" applyFill="1" applyBorder="1"/>
    <xf numFmtId="183" fontId="12" fillId="0" borderId="0" xfId="1" applyNumberFormat="1" applyFont="1" applyAlignment="1" applyProtection="1">
      <alignment horizontal="right"/>
      <protection locked="0"/>
    </xf>
    <xf numFmtId="183" fontId="12" fillId="0" borderId="1" xfId="1" applyNumberFormat="1" applyFont="1" applyBorder="1" applyAlignment="1" applyProtection="1">
      <alignment horizontal="right"/>
      <protection locked="0"/>
    </xf>
    <xf numFmtId="183" fontId="16" fillId="0" borderId="0" xfId="1" applyNumberFormat="1" applyFont="1" applyAlignment="1" applyProtection="1">
      <alignment horizontal="right"/>
      <protection locked="0"/>
    </xf>
    <xf numFmtId="183" fontId="12" fillId="0" borderId="0" xfId="1" applyNumberFormat="1" applyFont="1" applyFill="1" applyAlignment="1">
      <alignment horizontal="right"/>
    </xf>
    <xf numFmtId="183" fontId="12" fillId="0" borderId="0" xfId="1" applyNumberFormat="1" applyFont="1" applyFill="1" applyAlignment="1" applyProtection="1">
      <alignment horizontal="right"/>
      <protection locked="0"/>
    </xf>
    <xf numFmtId="183" fontId="12" fillId="0" borderId="1" xfId="1" applyNumberFormat="1" applyFont="1" applyFill="1" applyBorder="1" applyAlignment="1" applyProtection="1">
      <alignment horizontal="right"/>
      <protection locked="0"/>
    </xf>
    <xf numFmtId="3" fontId="16" fillId="0" borderId="1" xfId="0" applyNumberFormat="1" applyFont="1" applyBorder="1" applyAlignment="1">
      <alignment horizontal="right"/>
    </xf>
    <xf numFmtId="1" fontId="12" fillId="0" borderId="0" xfId="0" applyNumberFormat="1" applyFont="1" applyAlignment="1" applyProtection="1">
      <alignment horizontal="right"/>
      <protection locked="0"/>
    </xf>
    <xf numFmtId="164" fontId="12" fillId="0" borderId="0" xfId="1" applyNumberFormat="1" applyFont="1" applyAlignment="1" applyProtection="1">
      <alignment horizontal="right"/>
      <protection locked="0"/>
    </xf>
    <xf numFmtId="37" fontId="12" fillId="0" borderId="0" xfId="1" applyNumberFormat="1" applyFont="1" applyAlignment="1" applyProtection="1">
      <alignment horizontal="right"/>
      <protection locked="0"/>
    </xf>
    <xf numFmtId="37" fontId="12" fillId="0" borderId="1" xfId="1" applyNumberFormat="1" applyFont="1" applyBorder="1" applyAlignment="1" applyProtection="1">
      <alignment horizontal="right"/>
      <protection locked="0"/>
    </xf>
    <xf numFmtId="37" fontId="12" fillId="0" borderId="0" xfId="0" applyNumberFormat="1" applyFont="1" applyAlignment="1">
      <alignment horizontal="right"/>
    </xf>
    <xf numFmtId="37" fontId="16" fillId="0" borderId="10" xfId="0" applyNumberFormat="1" applyFont="1" applyBorder="1" applyAlignment="1" applyProtection="1">
      <alignment horizontal="right"/>
      <protection locked="0"/>
    </xf>
    <xf numFmtId="1" fontId="5" fillId="0" borderId="2" xfId="0" applyNumberFormat="1" applyFont="1" applyFill="1" applyBorder="1" applyAlignment="1">
      <alignment horizontal="right"/>
    </xf>
    <xf numFmtId="37" fontId="12" fillId="0" borderId="1" xfId="0" applyNumberFormat="1" applyFont="1" applyBorder="1" applyAlignment="1" applyProtection="1">
      <alignment horizontal="right"/>
      <protection locked="0"/>
    </xf>
    <xf numFmtId="0" fontId="0" fillId="0" borderId="0" xfId="0" applyBorder="1"/>
    <xf numFmtId="1" fontId="17" fillId="0" borderId="0" xfId="0" applyNumberFormat="1" applyFont="1" applyAlignment="1" applyProtection="1">
      <alignment horizontal="left"/>
      <protection locked="0"/>
    </xf>
    <xf numFmtId="37" fontId="12" fillId="0" borderId="0" xfId="0" applyNumberFormat="1" applyFont="1" applyBorder="1" applyAlignment="1" applyProtection="1">
      <alignment horizontal="right"/>
      <protection locked="0"/>
    </xf>
    <xf numFmtId="37" fontId="12" fillId="0" borderId="0" xfId="0" applyNumberFormat="1" applyFont="1" applyAlignment="1" applyProtection="1">
      <alignment horizontal="right"/>
      <protection locked="0"/>
    </xf>
    <xf numFmtId="1" fontId="8" fillId="0" borderId="0" xfId="0" applyNumberFormat="1" applyFont="1" applyAlignment="1" applyProtection="1">
      <alignment horizontal="left"/>
      <protection locked="0"/>
    </xf>
    <xf numFmtId="37" fontId="16" fillId="0" borderId="0" xfId="0" applyNumberFormat="1" applyFont="1" applyAlignment="1" applyProtection="1">
      <alignment horizontal="right"/>
      <protection locked="0"/>
    </xf>
    <xf numFmtId="37" fontId="16" fillId="0" borderId="0" xfId="1" applyNumberFormat="1" applyFont="1" applyAlignment="1" applyProtection="1">
      <alignment horizontal="right"/>
      <protection locked="0"/>
    </xf>
    <xf numFmtId="37" fontId="2" fillId="0" borderId="0" xfId="1" applyNumberFormat="1" applyFont="1" applyAlignment="1" applyProtection="1">
      <alignment horizontal="right"/>
      <protection locked="0"/>
    </xf>
    <xf numFmtId="164" fontId="5" fillId="0" borderId="3" xfId="1" applyNumberFormat="1" applyFont="1" applyBorder="1" applyAlignment="1" applyProtection="1">
      <alignment horizontal="right"/>
      <protection locked="0"/>
    </xf>
    <xf numFmtId="37" fontId="2" fillId="5" borderId="1" xfId="0" applyNumberFormat="1" applyFont="1" applyFill="1" applyBorder="1"/>
    <xf numFmtId="37" fontId="2" fillId="0" borderId="1" xfId="0" applyNumberFormat="1" applyFont="1" applyFill="1" applyBorder="1"/>
    <xf numFmtId="183" fontId="2" fillId="0" borderId="0" xfId="1" applyNumberFormat="1" applyFont="1" applyFill="1" applyAlignment="1">
      <alignment horizontal="right"/>
    </xf>
    <xf numFmtId="176" fontId="5" fillId="0" borderId="2" xfId="0" applyNumberFormat="1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70" fontId="11" fillId="0" borderId="0" xfId="2" applyFont="1" applyFill="1" applyBorder="1"/>
    <xf numFmtId="182" fontId="5" fillId="5" borderId="9" xfId="1" applyNumberFormat="1" applyFont="1" applyFill="1" applyBorder="1"/>
    <xf numFmtId="166" fontId="2" fillId="0" borderId="9" xfId="2" applyNumberFormat="1" applyFont="1" applyFill="1" applyBorder="1"/>
    <xf numFmtId="0" fontId="5" fillId="0" borderId="0" xfId="0" applyFont="1" applyAlignment="1">
      <alignment horizontal="right"/>
    </xf>
    <xf numFmtId="175" fontId="5" fillId="5" borderId="9" xfId="3" applyNumberFormat="1" applyFont="1" applyFill="1" applyBorder="1"/>
    <xf numFmtId="0" fontId="2" fillId="6" borderId="6" xfId="0" applyFont="1" applyFill="1" applyBorder="1"/>
    <xf numFmtId="0" fontId="2" fillId="6" borderId="8" xfId="0" applyFont="1" applyFill="1" applyBorder="1"/>
    <xf numFmtId="9" fontId="2" fillId="0" borderId="0" xfId="3" applyFont="1" applyAlignment="1">
      <alignment horizontal="center"/>
    </xf>
    <xf numFmtId="0" fontId="11" fillId="0" borderId="0" xfId="0" applyFont="1"/>
    <xf numFmtId="186" fontId="11" fillId="0" borderId="0" xfId="0" applyNumberFormat="1" applyFont="1"/>
    <xf numFmtId="183" fontId="13" fillId="0" borderId="0" xfId="1" applyNumberFormat="1" applyFont="1" applyAlignment="1">
      <alignment horizontal="right"/>
    </xf>
    <xf numFmtId="164" fontId="18" fillId="0" borderId="3" xfId="1" applyNumberFormat="1" applyFont="1" applyBorder="1" applyAlignment="1" applyProtection="1">
      <alignment horizontal="right"/>
      <protection locked="0"/>
    </xf>
    <xf numFmtId="0" fontId="8" fillId="0" borderId="0" xfId="0" applyFont="1"/>
    <xf numFmtId="165" fontId="0" fillId="0" borderId="0" xfId="0" applyNumberFormat="1"/>
    <xf numFmtId="9" fontId="0" fillId="0" borderId="0" xfId="0" applyNumberFormat="1"/>
    <xf numFmtId="165" fontId="0" fillId="0" borderId="1" xfId="0" applyNumberFormat="1" applyBorder="1" applyAlignment="1">
      <alignment horizontal="right"/>
    </xf>
    <xf numFmtId="3" fontId="0" fillId="0" borderId="0" xfId="0" applyNumberFormat="1"/>
    <xf numFmtId="9" fontId="19" fillId="0" borderId="0" xfId="0" applyNumberFormat="1" applyFont="1"/>
    <xf numFmtId="38" fontId="0" fillId="0" borderId="0" xfId="0" applyNumberFormat="1"/>
    <xf numFmtId="15" fontId="0" fillId="0" borderId="0" xfId="0" applyNumberFormat="1"/>
    <xf numFmtId="167" fontId="19" fillId="0" borderId="0" xfId="0" applyNumberFormat="1" applyFont="1"/>
    <xf numFmtId="0" fontId="19" fillId="0" borderId="0" xfId="0" applyFont="1"/>
    <xf numFmtId="189" fontId="0" fillId="0" borderId="0" xfId="0" applyNumberFormat="1"/>
    <xf numFmtId="192" fontId="0" fillId="0" borderId="0" xfId="0" applyNumberFormat="1"/>
    <xf numFmtId="177" fontId="0" fillId="0" borderId="0" xfId="0" applyNumberFormat="1"/>
    <xf numFmtId="0" fontId="20" fillId="0" borderId="0" xfId="0" applyFont="1"/>
    <xf numFmtId="165" fontId="19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Border="1" applyAlignment="1">
      <alignment horizontal="right"/>
    </xf>
    <xf numFmtId="9" fontId="19" fillId="0" borderId="0" xfId="3" applyFont="1"/>
    <xf numFmtId="10" fontId="0" fillId="0" borderId="0" xfId="0" applyNumberFormat="1"/>
    <xf numFmtId="164" fontId="8" fillId="0" borderId="0" xfId="2" applyNumberFormat="1" applyFont="1"/>
    <xf numFmtId="3" fontId="2" fillId="0" borderId="0" xfId="0" applyNumberFormat="1" applyFont="1" applyBorder="1"/>
    <xf numFmtId="167" fontId="0" fillId="0" borderId="0" xfId="0" applyNumberFormat="1"/>
    <xf numFmtId="9" fontId="8" fillId="0" borderId="0" xfId="0" applyNumberFormat="1" applyFont="1" applyAlignment="1">
      <alignment horizontal="center"/>
    </xf>
    <xf numFmtId="186" fontId="8" fillId="0" borderId="0" xfId="2" applyNumberFormat="1" applyFont="1" applyAlignment="1">
      <alignment horizontal="center"/>
    </xf>
    <xf numFmtId="186" fontId="8" fillId="0" borderId="0" xfId="2" applyNumberFormat="1" applyFont="1"/>
    <xf numFmtId="164" fontId="8" fillId="0" borderId="0" xfId="0" applyNumberFormat="1" applyFont="1"/>
    <xf numFmtId="164" fontId="8" fillId="0" borderId="0" xfId="2" applyNumberFormat="1" applyFont="1" applyAlignment="1">
      <alignment horizontal="center"/>
    </xf>
    <xf numFmtId="9" fontId="8" fillId="0" borderId="0" xfId="0" applyNumberFormat="1" applyFont="1"/>
    <xf numFmtId="3" fontId="2" fillId="0" borderId="0" xfId="0" applyNumberFormat="1" applyFont="1" applyBorder="1" applyAlignment="1">
      <alignment horizontal="left" wrapText="1" indent="1"/>
    </xf>
    <xf numFmtId="175" fontId="2" fillId="0" borderId="0" xfId="0" applyNumberFormat="1" applyFont="1" applyBorder="1"/>
    <xf numFmtId="175" fontId="2" fillId="0" borderId="0" xfId="0" applyNumberFormat="1" applyFont="1" applyFill="1" applyBorder="1"/>
    <xf numFmtId="0" fontId="2" fillId="0" borderId="0" xfId="0" applyFont="1" applyBorder="1"/>
    <xf numFmtId="0" fontId="9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wrapText="1"/>
    </xf>
    <xf numFmtId="10" fontId="2" fillId="0" borderId="0" xfId="0" applyNumberFormat="1" applyFont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3" fontId="2" fillId="0" borderId="0" xfId="0" applyNumberFormat="1" applyFont="1" applyFill="1" applyBorder="1"/>
    <xf numFmtId="0" fontId="22" fillId="0" borderId="0" xfId="0" applyFont="1"/>
    <xf numFmtId="0" fontId="23" fillId="2" borderId="0" xfId="0" applyFont="1" applyFill="1"/>
    <xf numFmtId="0" fontId="23" fillId="0" borderId="0" xfId="0" applyFont="1"/>
    <xf numFmtId="3" fontId="23" fillId="0" borderId="0" xfId="0" applyNumberFormat="1" applyFont="1" applyAlignment="1">
      <alignment horizontal="right"/>
    </xf>
    <xf numFmtId="0" fontId="25" fillId="0" borderId="2" xfId="0" applyFont="1" applyBorder="1" applyAlignment="1">
      <alignment horizontal="right"/>
    </xf>
    <xf numFmtId="3" fontId="23" fillId="0" borderId="0" xfId="0" applyNumberFormat="1" applyFont="1" applyAlignment="1">
      <alignment horizontal="left"/>
    </xf>
    <xf numFmtId="164" fontId="23" fillId="0" borderId="0" xfId="0" applyNumberFormat="1" applyFont="1" applyFill="1" applyAlignment="1">
      <alignment horizontal="right"/>
    </xf>
    <xf numFmtId="183" fontId="23" fillId="0" borderId="0" xfId="1" applyNumberFormat="1" applyFont="1" applyAlignment="1">
      <alignment horizontal="right"/>
    </xf>
    <xf numFmtId="9" fontId="23" fillId="0" borderId="0" xfId="3" applyFont="1" applyAlignment="1">
      <alignment horizontal="right"/>
    </xf>
    <xf numFmtId="164" fontId="23" fillId="0" borderId="7" xfId="0" applyNumberFormat="1" applyFont="1" applyBorder="1" applyAlignment="1">
      <alignment horizontal="right"/>
    </xf>
    <xf numFmtId="3" fontId="23" fillId="0" borderId="7" xfId="0" applyNumberFormat="1" applyFont="1" applyBorder="1" applyAlignment="1">
      <alignment horizontal="right"/>
    </xf>
    <xf numFmtId="10" fontId="25" fillId="4" borderId="5" xfId="0" applyNumberFormat="1" applyFont="1" applyFill="1" applyBorder="1" applyAlignment="1">
      <alignment horizontal="center"/>
    </xf>
    <xf numFmtId="171" fontId="12" fillId="0" borderId="0" xfId="2" applyNumberFormat="1" applyFont="1" applyFill="1" applyAlignment="1">
      <alignment horizontal="right"/>
    </xf>
    <xf numFmtId="171" fontId="2" fillId="0" borderId="0" xfId="2" applyNumberFormat="1" applyFont="1" applyFill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79" fontId="22" fillId="0" borderId="0" xfId="0" applyNumberFormat="1" applyFont="1"/>
    <xf numFmtId="179" fontId="22" fillId="0" borderId="0" xfId="0" applyNumberFormat="1" applyFont="1" applyAlignment="1">
      <alignment horizontal="center"/>
    </xf>
    <xf numFmtId="179" fontId="26" fillId="0" borderId="0" xfId="0" applyNumberFormat="1" applyFont="1"/>
    <xf numFmtId="1" fontId="9" fillId="0" borderId="2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right"/>
    </xf>
    <xf numFmtId="179" fontId="9" fillId="0" borderId="0" xfId="0" applyNumberFormat="1" applyFont="1" applyBorder="1" applyAlignment="1">
      <alignment horizontal="right"/>
    </xf>
    <xf numFmtId="179" fontId="22" fillId="0" borderId="0" xfId="0" applyNumberFormat="1" applyFont="1" applyBorder="1" applyAlignment="1">
      <alignment horizontal="right"/>
    </xf>
    <xf numFmtId="179" fontId="22" fillId="0" borderId="0" xfId="0" applyNumberFormat="1" applyFont="1" applyFill="1" applyBorder="1" applyAlignment="1">
      <alignment horizontal="right"/>
    </xf>
    <xf numFmtId="9" fontId="22" fillId="0" borderId="0" xfId="3" applyNumberFormat="1" applyFont="1" applyAlignment="1">
      <alignment horizontal="right"/>
    </xf>
    <xf numFmtId="175" fontId="22" fillId="0" borderId="0" xfId="3" applyNumberFormat="1" applyFont="1" applyAlignment="1">
      <alignment horizontal="right"/>
    </xf>
    <xf numFmtId="9" fontId="22" fillId="0" borderId="0" xfId="0" applyNumberFormat="1" applyFont="1" applyAlignment="1">
      <alignment horizontal="right"/>
    </xf>
    <xf numFmtId="175" fontId="22" fillId="0" borderId="0" xfId="0" applyNumberFormat="1" applyFont="1" applyAlignment="1">
      <alignment horizontal="right"/>
    </xf>
    <xf numFmtId="171" fontId="22" fillId="0" borderId="0" xfId="1" applyNumberFormat="1" applyFont="1" applyAlignment="1">
      <alignment horizontal="right"/>
    </xf>
    <xf numFmtId="171" fontId="22" fillId="0" borderId="0" xfId="0" applyNumberFormat="1" applyFont="1" applyAlignment="1">
      <alignment horizontal="right"/>
    </xf>
    <xf numFmtId="171" fontId="22" fillId="0" borderId="0" xfId="3" applyNumberFormat="1" applyFont="1" applyAlignment="1">
      <alignment horizontal="right"/>
    </xf>
    <xf numFmtId="2" fontId="22" fillId="0" borderId="0" xfId="0" applyNumberFormat="1" applyFont="1"/>
    <xf numFmtId="0" fontId="22" fillId="0" borderId="0" xfId="0" applyFont="1" applyAlignment="1">
      <alignment horizontal="center"/>
    </xf>
    <xf numFmtId="179" fontId="22" fillId="0" borderId="0" xfId="0" applyNumberFormat="1" applyFont="1" applyAlignment="1">
      <alignment horizontal="right"/>
    </xf>
    <xf numFmtId="3" fontId="27" fillId="2" borderId="0" xfId="0" applyNumberFormat="1" applyFont="1" applyFill="1" applyAlignment="1">
      <alignment horizontal="right"/>
    </xf>
    <xf numFmtId="3" fontId="28" fillId="2" borderId="0" xfId="0" applyNumberFormat="1" applyFont="1" applyFill="1" applyAlignment="1">
      <alignment horizontal="right"/>
    </xf>
    <xf numFmtId="0" fontId="21" fillId="2" borderId="0" xfId="0" applyFont="1" applyFill="1"/>
    <xf numFmtId="3" fontId="25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3" fontId="23" fillId="0" borderId="0" xfId="0" applyNumberFormat="1" applyFont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75" fontId="5" fillId="0" borderId="0" xfId="3" applyNumberFormat="1" applyFont="1" applyAlignment="1">
      <alignment horizontal="center"/>
    </xf>
    <xf numFmtId="175" fontId="5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Table_Header_Units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3</xdr:col>
      <xdr:colOff>361950</xdr:colOff>
      <xdr:row>14</xdr:row>
      <xdr:rowOff>82550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B97B8428-979A-4729-826D-75A6F933E280}"/>
            </a:ext>
          </a:extLst>
        </xdr:cNvPr>
        <xdr:cNvSpPr txBox="1">
          <a:spLocks noChangeArrowheads="1"/>
        </xdr:cNvSpPr>
      </xdr:nvSpPr>
      <xdr:spPr bwMode="auto">
        <a:xfrm>
          <a:off x="609600" y="1524000"/>
          <a:ext cx="1651000" cy="88900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17</xdr:row>
      <xdr:rowOff>57150</xdr:rowOff>
    </xdr:from>
    <xdr:to>
      <xdr:col>6</xdr:col>
      <xdr:colOff>609600</xdr:colOff>
      <xdr:row>23</xdr:row>
      <xdr:rowOff>82550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26BA4A48-38FD-4D79-95C0-CC83AA2F12B0}"/>
            </a:ext>
          </a:extLst>
        </xdr:cNvPr>
        <xdr:cNvSpPr txBox="1">
          <a:spLocks noChangeArrowheads="1"/>
        </xdr:cNvSpPr>
      </xdr:nvSpPr>
      <xdr:spPr bwMode="auto">
        <a:xfrm>
          <a:off x="2508250" y="2876550"/>
          <a:ext cx="2076450" cy="99695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228600</xdr:colOff>
      <xdr:row>8</xdr:row>
      <xdr:rowOff>139700</xdr:rowOff>
    </xdr:from>
    <xdr:to>
      <xdr:col>9</xdr:col>
      <xdr:colOff>615950</xdr:colOff>
      <xdr:row>14</xdr:row>
      <xdr:rowOff>63500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776AD7E4-A82B-42D0-B26B-009192C93113}"/>
            </a:ext>
          </a:extLst>
        </xdr:cNvPr>
        <xdr:cNvSpPr txBox="1">
          <a:spLocks noChangeArrowheads="1"/>
        </xdr:cNvSpPr>
      </xdr:nvSpPr>
      <xdr:spPr bwMode="auto">
        <a:xfrm>
          <a:off x="5251450" y="1504950"/>
          <a:ext cx="1606550" cy="88900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400050</xdr:colOff>
      <xdr:row>12</xdr:row>
      <xdr:rowOff>114300</xdr:rowOff>
    </xdr:from>
    <xdr:to>
      <xdr:col>4</xdr:col>
      <xdr:colOff>419100</xdr:colOff>
      <xdr:row>16</xdr:row>
      <xdr:rowOff>57150</xdr:rowOff>
    </xdr:to>
    <xdr:sp macro="" textlink="">
      <xdr:nvSpPr>
        <xdr:cNvPr id="13319" name="Line 7">
          <a:extLst>
            <a:ext uri="{FF2B5EF4-FFF2-40B4-BE49-F238E27FC236}">
              <a16:creationId xmlns:a16="http://schemas.microsoft.com/office/drawing/2014/main" id="{2F97A80C-734D-4B83-B525-C09687EB5F4C}"/>
            </a:ext>
          </a:extLst>
        </xdr:cNvPr>
        <xdr:cNvSpPr>
          <a:spLocks noChangeShapeType="1"/>
        </xdr:cNvSpPr>
      </xdr:nvSpPr>
      <xdr:spPr bwMode="auto">
        <a:xfrm>
          <a:off x="2298700" y="2120900"/>
          <a:ext cx="62865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107950</xdr:colOff>
      <xdr:row>20</xdr:row>
      <xdr:rowOff>76200</xdr:rowOff>
    </xdr:from>
    <xdr:to>
      <xdr:col>3</xdr:col>
      <xdr:colOff>590550</xdr:colOff>
      <xdr:row>20</xdr:row>
      <xdr:rowOff>76200</xdr:rowOff>
    </xdr:to>
    <xdr:sp macro="" textlink="">
      <xdr:nvSpPr>
        <xdr:cNvPr id="13322" name="Line 10">
          <a:extLst>
            <a:ext uri="{FF2B5EF4-FFF2-40B4-BE49-F238E27FC236}">
              <a16:creationId xmlns:a16="http://schemas.microsoft.com/office/drawing/2014/main" id="{52F2B70F-B7A1-4505-BD7D-AB911B6B5302}"/>
            </a:ext>
          </a:extLst>
        </xdr:cNvPr>
        <xdr:cNvSpPr>
          <a:spLocks noChangeShapeType="1"/>
        </xdr:cNvSpPr>
      </xdr:nvSpPr>
      <xdr:spPr bwMode="auto">
        <a:xfrm>
          <a:off x="1327150" y="33782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628650</xdr:colOff>
      <xdr:row>19</xdr:row>
      <xdr:rowOff>69850</xdr:rowOff>
    </xdr:from>
    <xdr:to>
      <xdr:col>6</xdr:col>
      <xdr:colOff>12700</xdr:colOff>
      <xdr:row>21</xdr:row>
      <xdr:rowOff>31750</xdr:rowOff>
    </xdr:to>
    <xdr:sp macro="" textlink="">
      <xdr:nvSpPr>
        <xdr:cNvPr id="13324" name="WordArt 12">
          <a:extLst>
            <a:ext uri="{FF2B5EF4-FFF2-40B4-BE49-F238E27FC236}">
              <a16:creationId xmlns:a16="http://schemas.microsoft.com/office/drawing/2014/main" id="{1DA7FBF5-F477-4176-8D03-FC06B55984A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6900" y="3206750"/>
          <a:ext cx="850900" cy="2857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PZZA</a:t>
          </a:r>
        </a:p>
      </xdr:txBody>
    </xdr:sp>
    <xdr:clientData/>
  </xdr:twoCellAnchor>
  <xdr:twoCellAnchor>
    <xdr:from>
      <xdr:col>7</xdr:col>
      <xdr:colOff>171450</xdr:colOff>
      <xdr:row>9</xdr:row>
      <xdr:rowOff>139700</xdr:rowOff>
    </xdr:from>
    <xdr:to>
      <xdr:col>9</xdr:col>
      <xdr:colOff>819150</xdr:colOff>
      <xdr:row>13</xdr:row>
      <xdr:rowOff>63500</xdr:rowOff>
    </xdr:to>
    <xdr:sp macro="" textlink="">
      <xdr:nvSpPr>
        <xdr:cNvPr id="13325" name="WordArt 13">
          <a:extLst>
            <a:ext uri="{FF2B5EF4-FFF2-40B4-BE49-F238E27FC236}">
              <a16:creationId xmlns:a16="http://schemas.microsoft.com/office/drawing/2014/main" id="{10208071-BE1E-4A9D-986E-044AC4BA095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194300" y="1663700"/>
          <a:ext cx="1866900" cy="571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EXISTING</a:t>
          </a:r>
        </a:p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SHAREHOLDERS</a:t>
          </a:r>
        </a:p>
      </xdr:txBody>
    </xdr:sp>
    <xdr:clientData/>
  </xdr:twoCellAnchor>
  <xdr:twoCellAnchor>
    <xdr:from>
      <xdr:col>0</xdr:col>
      <xdr:colOff>533400</xdr:colOff>
      <xdr:row>10</xdr:row>
      <xdr:rowOff>25400</xdr:rowOff>
    </xdr:from>
    <xdr:to>
      <xdr:col>3</xdr:col>
      <xdr:colOff>381000</xdr:colOff>
      <xdr:row>13</xdr:row>
      <xdr:rowOff>57150</xdr:rowOff>
    </xdr:to>
    <xdr:sp macro="" textlink="">
      <xdr:nvSpPr>
        <xdr:cNvPr id="13326" name="WordArt 14">
          <a:extLst>
            <a:ext uri="{FF2B5EF4-FFF2-40B4-BE49-F238E27FC236}">
              <a16:creationId xmlns:a16="http://schemas.microsoft.com/office/drawing/2014/main" id="{BECC1EBC-17AE-4DA8-98CB-A7A24A73EF0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33400" y="1708150"/>
          <a:ext cx="1746250" cy="5207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NEW INVESTORS</a:t>
          </a:r>
        </a:p>
        <a:p>
          <a:pPr algn="ctr" rtl="0">
            <a:buNone/>
          </a:pPr>
          <a:r>
            <a:rPr lang="en-GB" sz="1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(BUYOUT FIRM)</a:t>
          </a:r>
        </a:p>
      </xdr:txBody>
    </xdr:sp>
    <xdr:clientData/>
  </xdr:twoCellAnchor>
  <xdr:twoCellAnchor>
    <xdr:from>
      <xdr:col>6</xdr:col>
      <xdr:colOff>0</xdr:colOff>
      <xdr:row>12</xdr:row>
      <xdr:rowOff>114300</xdr:rowOff>
    </xdr:from>
    <xdr:to>
      <xdr:col>7</xdr:col>
      <xdr:colOff>76200</xdr:colOff>
      <xdr:row>16</xdr:row>
      <xdr:rowOff>95250</xdr:rowOff>
    </xdr:to>
    <xdr:sp macro="" textlink="">
      <xdr:nvSpPr>
        <xdr:cNvPr id="13327" name="Line 15">
          <a:extLst>
            <a:ext uri="{FF2B5EF4-FFF2-40B4-BE49-F238E27FC236}">
              <a16:creationId xmlns:a16="http://schemas.microsoft.com/office/drawing/2014/main" id="{A25857E4-76AF-4E46-9BC0-AF2B2521C76F}"/>
            </a:ext>
          </a:extLst>
        </xdr:cNvPr>
        <xdr:cNvSpPr>
          <a:spLocks noChangeShapeType="1"/>
        </xdr:cNvSpPr>
      </xdr:nvSpPr>
      <xdr:spPr bwMode="auto">
        <a:xfrm flipV="1">
          <a:off x="3975100" y="2120900"/>
          <a:ext cx="1123950" cy="628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647700</xdr:colOff>
      <xdr:row>20</xdr:row>
      <xdr:rowOff>95250</xdr:rowOff>
    </xdr:from>
    <xdr:to>
      <xdr:col>7</xdr:col>
      <xdr:colOff>533400</xdr:colOff>
      <xdr:row>20</xdr:row>
      <xdr:rowOff>101600</xdr:rowOff>
    </xdr:to>
    <xdr:sp macro="" textlink="">
      <xdr:nvSpPr>
        <xdr:cNvPr id="13328" name="Line 16">
          <a:extLst>
            <a:ext uri="{FF2B5EF4-FFF2-40B4-BE49-F238E27FC236}">
              <a16:creationId xmlns:a16="http://schemas.microsoft.com/office/drawing/2014/main" id="{EC6FD064-969C-4771-B82C-F47A17E549D0}"/>
            </a:ext>
          </a:extLst>
        </xdr:cNvPr>
        <xdr:cNvSpPr>
          <a:spLocks noChangeShapeType="1"/>
        </xdr:cNvSpPr>
      </xdr:nvSpPr>
      <xdr:spPr bwMode="auto">
        <a:xfrm>
          <a:off x="4622800" y="3397250"/>
          <a:ext cx="93345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3</xdr:col>
      <xdr:colOff>361950</xdr:colOff>
      <xdr:row>11</xdr:row>
      <xdr:rowOff>82550</xdr:rowOff>
    </xdr:to>
    <xdr:sp macro="" textlink="">
      <xdr:nvSpPr>
        <xdr:cNvPr id="12289" name="Text Box 1">
          <a:extLst>
            <a:ext uri="{FF2B5EF4-FFF2-40B4-BE49-F238E27FC236}">
              <a16:creationId xmlns:a16="http://schemas.microsoft.com/office/drawing/2014/main" id="{54B666EE-7257-4964-8D51-15FD4B4595B5}"/>
            </a:ext>
          </a:extLst>
        </xdr:cNvPr>
        <xdr:cNvSpPr txBox="1">
          <a:spLocks noChangeArrowheads="1"/>
        </xdr:cNvSpPr>
      </xdr:nvSpPr>
      <xdr:spPr bwMode="auto">
        <a:xfrm>
          <a:off x="609600" y="1022350"/>
          <a:ext cx="1689100" cy="88900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14</xdr:row>
      <xdr:rowOff>57150</xdr:rowOff>
    </xdr:from>
    <xdr:to>
      <xdr:col>6</xdr:col>
      <xdr:colOff>609600</xdr:colOff>
      <xdr:row>20</xdr:row>
      <xdr:rowOff>82550</xdr:rowOff>
    </xdr:to>
    <xdr:sp macro="" textlink="">
      <xdr:nvSpPr>
        <xdr:cNvPr id="12290" name="Text Box 2">
          <a:extLst>
            <a:ext uri="{FF2B5EF4-FFF2-40B4-BE49-F238E27FC236}">
              <a16:creationId xmlns:a16="http://schemas.microsoft.com/office/drawing/2014/main" id="{882F3B6F-E293-4C8B-AF82-6D7A7627C9B7}"/>
            </a:ext>
          </a:extLst>
        </xdr:cNvPr>
        <xdr:cNvSpPr txBox="1">
          <a:spLocks noChangeArrowheads="1"/>
        </xdr:cNvSpPr>
      </xdr:nvSpPr>
      <xdr:spPr bwMode="auto">
        <a:xfrm>
          <a:off x="2546350" y="2362200"/>
          <a:ext cx="2089150" cy="100330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228600</xdr:colOff>
      <xdr:row>5</xdr:row>
      <xdr:rowOff>139700</xdr:rowOff>
    </xdr:from>
    <xdr:to>
      <xdr:col>9</xdr:col>
      <xdr:colOff>622300</xdr:colOff>
      <xdr:row>11</xdr:row>
      <xdr:rowOff>63500</xdr:rowOff>
    </xdr:to>
    <xdr:sp macro="" textlink="">
      <xdr:nvSpPr>
        <xdr:cNvPr id="12291" name="Text Box 3">
          <a:extLst>
            <a:ext uri="{FF2B5EF4-FFF2-40B4-BE49-F238E27FC236}">
              <a16:creationId xmlns:a16="http://schemas.microsoft.com/office/drawing/2014/main" id="{AFC42CBE-2F70-41E2-ABCC-A1ACC2CDB0F5}"/>
            </a:ext>
          </a:extLst>
        </xdr:cNvPr>
        <xdr:cNvSpPr txBox="1">
          <a:spLocks noChangeArrowheads="1"/>
        </xdr:cNvSpPr>
      </xdr:nvSpPr>
      <xdr:spPr bwMode="auto">
        <a:xfrm>
          <a:off x="5054600" y="1003300"/>
          <a:ext cx="1612900" cy="88900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19050</xdr:colOff>
      <xdr:row>17</xdr:row>
      <xdr:rowOff>88900</xdr:rowOff>
    </xdr:from>
    <xdr:to>
      <xdr:col>9</xdr:col>
      <xdr:colOff>0</xdr:colOff>
      <xdr:row>17</xdr:row>
      <xdr:rowOff>88900</xdr:rowOff>
    </xdr:to>
    <xdr:sp macro="" textlink="">
      <xdr:nvSpPr>
        <xdr:cNvPr id="12292" name="Line 4">
          <a:extLst>
            <a:ext uri="{FF2B5EF4-FFF2-40B4-BE49-F238E27FC236}">
              <a16:creationId xmlns:a16="http://schemas.microsoft.com/office/drawing/2014/main" id="{B217D92C-8A7F-4514-B3E5-42CF0D36A4A7}"/>
            </a:ext>
          </a:extLst>
        </xdr:cNvPr>
        <xdr:cNvSpPr>
          <a:spLocks noChangeShapeType="1"/>
        </xdr:cNvSpPr>
      </xdr:nvSpPr>
      <xdr:spPr bwMode="auto">
        <a:xfrm>
          <a:off x="4845050" y="2876550"/>
          <a:ext cx="1200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603250</xdr:colOff>
      <xdr:row>12</xdr:row>
      <xdr:rowOff>0</xdr:rowOff>
    </xdr:from>
    <xdr:to>
      <xdr:col>9</xdr:col>
      <xdr:colOff>0</xdr:colOff>
      <xdr:row>17</xdr:row>
      <xdr:rowOff>88900</xdr:rowOff>
    </xdr:to>
    <xdr:sp macro="" textlink="">
      <xdr:nvSpPr>
        <xdr:cNvPr id="12293" name="Line 5">
          <a:extLst>
            <a:ext uri="{FF2B5EF4-FFF2-40B4-BE49-F238E27FC236}">
              <a16:creationId xmlns:a16="http://schemas.microsoft.com/office/drawing/2014/main" id="{7F245F3E-3D5F-4C7A-ABEA-DE64EF67D113}"/>
            </a:ext>
          </a:extLst>
        </xdr:cNvPr>
        <xdr:cNvSpPr>
          <a:spLocks noChangeShapeType="1"/>
        </xdr:cNvSpPr>
      </xdr:nvSpPr>
      <xdr:spPr bwMode="auto">
        <a:xfrm flipH="1" flipV="1">
          <a:off x="6038850" y="1987550"/>
          <a:ext cx="6350" cy="889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177800</xdr:colOff>
      <xdr:row>9</xdr:row>
      <xdr:rowOff>88900</xdr:rowOff>
    </xdr:from>
    <xdr:to>
      <xdr:col>7</xdr:col>
      <xdr:colOff>209550</xdr:colOff>
      <xdr:row>13</xdr:row>
      <xdr:rowOff>82550</xdr:rowOff>
    </xdr:to>
    <xdr:sp macro="" textlink="">
      <xdr:nvSpPr>
        <xdr:cNvPr id="12294" name="Line 6">
          <a:extLst>
            <a:ext uri="{FF2B5EF4-FFF2-40B4-BE49-F238E27FC236}">
              <a16:creationId xmlns:a16="http://schemas.microsoft.com/office/drawing/2014/main" id="{1478D972-9702-4C5B-88EE-E8FF51572FA9}"/>
            </a:ext>
          </a:extLst>
        </xdr:cNvPr>
        <xdr:cNvSpPr>
          <a:spLocks noChangeShapeType="1"/>
        </xdr:cNvSpPr>
      </xdr:nvSpPr>
      <xdr:spPr bwMode="auto">
        <a:xfrm flipH="1">
          <a:off x="4203700" y="1593850"/>
          <a:ext cx="831850" cy="635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400050</xdr:colOff>
      <xdr:row>9</xdr:row>
      <xdr:rowOff>114300</xdr:rowOff>
    </xdr:from>
    <xdr:to>
      <xdr:col>4</xdr:col>
      <xdr:colOff>419100</xdr:colOff>
      <xdr:row>13</xdr:row>
      <xdr:rowOff>57150</xdr:rowOff>
    </xdr:to>
    <xdr:sp macro="" textlink="">
      <xdr:nvSpPr>
        <xdr:cNvPr id="12295" name="Line 7">
          <a:extLst>
            <a:ext uri="{FF2B5EF4-FFF2-40B4-BE49-F238E27FC236}">
              <a16:creationId xmlns:a16="http://schemas.microsoft.com/office/drawing/2014/main" id="{71811843-F470-42C8-B398-25F6CB2760FF}"/>
            </a:ext>
          </a:extLst>
        </xdr:cNvPr>
        <xdr:cNvSpPr>
          <a:spLocks noChangeShapeType="1"/>
        </xdr:cNvSpPr>
      </xdr:nvSpPr>
      <xdr:spPr bwMode="auto">
        <a:xfrm>
          <a:off x="2336800" y="1619250"/>
          <a:ext cx="628650" cy="584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22</xdr:row>
      <xdr:rowOff>25400</xdr:rowOff>
    </xdr:from>
    <xdr:to>
      <xdr:col>7</xdr:col>
      <xdr:colOff>12700</xdr:colOff>
      <xdr:row>28</xdr:row>
      <xdr:rowOff>57150</xdr:rowOff>
    </xdr:to>
    <xdr:sp macro="" textlink="">
      <xdr:nvSpPr>
        <xdr:cNvPr id="12297" name="Text Box 9">
          <a:extLst>
            <a:ext uri="{FF2B5EF4-FFF2-40B4-BE49-F238E27FC236}">
              <a16:creationId xmlns:a16="http://schemas.microsoft.com/office/drawing/2014/main" id="{C2F125E8-91FA-47C4-8DA8-9CB1DA1116A8}"/>
            </a:ext>
          </a:extLst>
        </xdr:cNvPr>
        <xdr:cNvSpPr txBox="1">
          <a:spLocks noChangeArrowheads="1"/>
        </xdr:cNvSpPr>
      </xdr:nvSpPr>
      <xdr:spPr bwMode="auto">
        <a:xfrm>
          <a:off x="2584450" y="3625850"/>
          <a:ext cx="2254250" cy="984250"/>
        </a:xfrm>
        <a:prstGeom prst="rect">
          <a:avLst/>
        </a:prstGeom>
        <a:solidFill>
          <a:srgbClr val="CC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209550</xdr:colOff>
      <xdr:row>20</xdr:row>
      <xdr:rowOff>95250</xdr:rowOff>
    </xdr:from>
    <xdr:to>
      <xdr:col>5</xdr:col>
      <xdr:colOff>209550</xdr:colOff>
      <xdr:row>21</xdr:row>
      <xdr:rowOff>101600</xdr:rowOff>
    </xdr:to>
    <xdr:sp macro="" textlink="">
      <xdr:nvSpPr>
        <xdr:cNvPr id="12298" name="Line 10">
          <a:extLst>
            <a:ext uri="{FF2B5EF4-FFF2-40B4-BE49-F238E27FC236}">
              <a16:creationId xmlns:a16="http://schemas.microsoft.com/office/drawing/2014/main" id="{A0029280-673B-49B5-9D77-6310238EEC29}"/>
            </a:ext>
          </a:extLst>
        </xdr:cNvPr>
        <xdr:cNvSpPr>
          <a:spLocks noChangeShapeType="1"/>
        </xdr:cNvSpPr>
      </xdr:nvSpPr>
      <xdr:spPr bwMode="auto">
        <a:xfrm>
          <a:off x="3625850" y="337820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107950</xdr:colOff>
      <xdr:row>17</xdr:row>
      <xdr:rowOff>76200</xdr:rowOff>
    </xdr:from>
    <xdr:to>
      <xdr:col>3</xdr:col>
      <xdr:colOff>590550</xdr:colOff>
      <xdr:row>17</xdr:row>
      <xdr:rowOff>76200</xdr:rowOff>
    </xdr:to>
    <xdr:sp macro="" textlink="">
      <xdr:nvSpPr>
        <xdr:cNvPr id="12299" name="Line 11">
          <a:extLst>
            <a:ext uri="{FF2B5EF4-FFF2-40B4-BE49-F238E27FC236}">
              <a16:creationId xmlns:a16="http://schemas.microsoft.com/office/drawing/2014/main" id="{9994CBE2-5D52-473A-B89F-0200276AE94C}"/>
            </a:ext>
          </a:extLst>
        </xdr:cNvPr>
        <xdr:cNvSpPr>
          <a:spLocks noChangeShapeType="1"/>
        </xdr:cNvSpPr>
      </xdr:nvSpPr>
      <xdr:spPr bwMode="auto">
        <a:xfrm>
          <a:off x="1327150" y="2863850"/>
          <a:ext cx="1200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539750</xdr:colOff>
      <xdr:row>23</xdr:row>
      <xdr:rowOff>95250</xdr:rowOff>
    </xdr:from>
    <xdr:to>
      <xdr:col>6</xdr:col>
      <xdr:colOff>228600</xdr:colOff>
      <xdr:row>27</xdr:row>
      <xdr:rowOff>19050</xdr:rowOff>
    </xdr:to>
    <xdr:sp macro="" textlink="">
      <xdr:nvSpPr>
        <xdr:cNvPr id="12300" name="WordArt 12">
          <a:extLst>
            <a:ext uri="{FF2B5EF4-FFF2-40B4-BE49-F238E27FC236}">
              <a16:creationId xmlns:a16="http://schemas.microsoft.com/office/drawing/2014/main" id="{20400002-5D8C-4F85-BC89-E506A4CFECD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86100" y="3854450"/>
          <a:ext cx="1168400" cy="5588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EXISTING</a:t>
          </a:r>
        </a:p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COMPANY</a:t>
          </a:r>
        </a:p>
      </xdr:txBody>
    </xdr:sp>
    <xdr:clientData/>
  </xdr:twoCellAnchor>
  <xdr:twoCellAnchor>
    <xdr:from>
      <xdr:col>4</xdr:col>
      <xdr:colOff>628650</xdr:colOff>
      <xdr:row>16</xdr:row>
      <xdr:rowOff>69850</xdr:rowOff>
    </xdr:from>
    <xdr:to>
      <xdr:col>6</xdr:col>
      <xdr:colOff>12700</xdr:colOff>
      <xdr:row>18</xdr:row>
      <xdr:rowOff>31750</xdr:rowOff>
    </xdr:to>
    <xdr:sp macro="" textlink="">
      <xdr:nvSpPr>
        <xdr:cNvPr id="12301" name="WordArt 13">
          <a:extLst>
            <a:ext uri="{FF2B5EF4-FFF2-40B4-BE49-F238E27FC236}">
              <a16:creationId xmlns:a16="http://schemas.microsoft.com/office/drawing/2014/main" id="{F7301C8A-C577-44F0-8C0D-CDB143A4AA1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75000" y="2692400"/>
          <a:ext cx="863600" cy="2921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NEWCO</a:t>
          </a:r>
        </a:p>
      </xdr:txBody>
    </xdr:sp>
    <xdr:clientData/>
  </xdr:twoCellAnchor>
  <xdr:twoCellAnchor>
    <xdr:from>
      <xdr:col>7</xdr:col>
      <xdr:colOff>171450</xdr:colOff>
      <xdr:row>6</xdr:row>
      <xdr:rowOff>139700</xdr:rowOff>
    </xdr:from>
    <xdr:to>
      <xdr:col>9</xdr:col>
      <xdr:colOff>819150</xdr:colOff>
      <xdr:row>10</xdr:row>
      <xdr:rowOff>63500</xdr:rowOff>
    </xdr:to>
    <xdr:sp macro="" textlink="">
      <xdr:nvSpPr>
        <xdr:cNvPr id="12302" name="WordArt 14">
          <a:extLst>
            <a:ext uri="{FF2B5EF4-FFF2-40B4-BE49-F238E27FC236}">
              <a16:creationId xmlns:a16="http://schemas.microsoft.com/office/drawing/2014/main" id="{7AE42BBF-F7E5-45A8-8AA5-82944A4315B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997450" y="1162050"/>
          <a:ext cx="1866900" cy="571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EXISTING</a:t>
          </a:r>
        </a:p>
        <a:p>
          <a:pPr algn="ctr" rtl="0">
            <a:buNone/>
          </a:pPr>
          <a:r>
            <a:rPr lang="en-GB" sz="1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SHAREHOLDERS</a:t>
          </a:r>
        </a:p>
      </xdr:txBody>
    </xdr:sp>
    <xdr:clientData/>
  </xdr:twoCellAnchor>
  <xdr:twoCellAnchor>
    <xdr:from>
      <xdr:col>0</xdr:col>
      <xdr:colOff>565150</xdr:colOff>
      <xdr:row>7</xdr:row>
      <xdr:rowOff>57150</xdr:rowOff>
    </xdr:from>
    <xdr:to>
      <xdr:col>3</xdr:col>
      <xdr:colOff>412750</xdr:colOff>
      <xdr:row>10</xdr:row>
      <xdr:rowOff>82550</xdr:rowOff>
    </xdr:to>
    <xdr:sp macro="" textlink="">
      <xdr:nvSpPr>
        <xdr:cNvPr id="12303" name="WordArt 15">
          <a:extLst>
            <a:ext uri="{FF2B5EF4-FFF2-40B4-BE49-F238E27FC236}">
              <a16:creationId xmlns:a16="http://schemas.microsoft.com/office/drawing/2014/main" id="{258371C3-FBF3-4C23-A2B8-92DECE9046D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65150" y="1238250"/>
          <a:ext cx="1784350" cy="5143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1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NEW INVESTORS</a:t>
          </a:r>
        </a:p>
        <a:p>
          <a:pPr algn="ctr" rtl="0">
            <a:buNone/>
          </a:pPr>
          <a:r>
            <a:rPr lang="en-GB" sz="1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(BUYOUT FIRM)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4</xdr:row>
      <xdr:rowOff>25400</xdr:rowOff>
    </xdr:from>
    <xdr:to>
      <xdr:col>2</xdr:col>
      <xdr:colOff>368300</xdr:colOff>
      <xdr:row>5</xdr:row>
      <xdr:rowOff>31750</xdr:rowOff>
    </xdr:to>
    <xdr:sp macro="" textlink="">
      <xdr:nvSpPr>
        <xdr:cNvPr id="9217" name="Line 1">
          <a:extLst>
            <a:ext uri="{FF2B5EF4-FFF2-40B4-BE49-F238E27FC236}">
              <a16:creationId xmlns:a16="http://schemas.microsoft.com/office/drawing/2014/main" id="{3043024E-9B27-4F6D-9051-1DE07DF6B2D8}"/>
            </a:ext>
          </a:extLst>
        </xdr:cNvPr>
        <xdr:cNvSpPr>
          <a:spLocks noChangeShapeType="1"/>
        </xdr:cNvSpPr>
      </xdr:nvSpPr>
      <xdr:spPr bwMode="auto">
        <a:xfrm>
          <a:off x="4140200" y="63500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showGridLines="0" tabSelected="1" workbookViewId="0">
      <selection activeCell="B21" sqref="B21"/>
    </sheetView>
  </sheetViews>
  <sheetFormatPr defaultRowHeight="12.5" x14ac:dyDescent="0.25"/>
  <cols>
    <col min="3" max="3" width="20.453125" customWidth="1"/>
    <col min="5" max="5" width="12.26953125" bestFit="1" customWidth="1"/>
    <col min="6" max="6" width="9.54296875" customWidth="1"/>
    <col min="7" max="7" width="10.26953125" customWidth="1"/>
    <col min="8" max="8" width="10.453125" customWidth="1"/>
    <col min="9" max="9" width="11.7265625" bestFit="1" customWidth="1"/>
  </cols>
  <sheetData>
    <row r="1" spans="1:10" ht="18" x14ac:dyDescent="0.4">
      <c r="A1" s="301" t="str">
        <f>+Assumptions!D6</f>
        <v>Papa John's International, Inc.</v>
      </c>
      <c r="B1" s="301"/>
      <c r="C1" s="301"/>
      <c r="D1" s="301"/>
      <c r="E1" s="301"/>
      <c r="F1" s="301"/>
      <c r="G1" s="301"/>
      <c r="H1" s="261"/>
      <c r="I1" s="261"/>
      <c r="J1" s="262"/>
    </row>
    <row r="2" spans="1:10" ht="14" x14ac:dyDescent="0.3">
      <c r="A2" s="300" t="s">
        <v>253</v>
      </c>
      <c r="B2" s="300"/>
      <c r="C2" s="300"/>
      <c r="D2" s="262"/>
      <c r="E2" s="262"/>
      <c r="F2" s="262"/>
      <c r="G2" s="262"/>
      <c r="H2" s="262"/>
      <c r="I2" s="262"/>
      <c r="J2" s="262"/>
    </row>
    <row r="3" spans="1:10" ht="14.5" thickBot="1" x14ac:dyDescent="0.35">
      <c r="A3" s="299" t="s">
        <v>261</v>
      </c>
      <c r="B3" s="299"/>
      <c r="C3" s="299"/>
      <c r="D3" s="263"/>
      <c r="E3" s="264" t="str">
        <f>+'Income Statement'!F6</f>
        <v>2002E</v>
      </c>
      <c r="F3" s="264" t="str">
        <f>+'Income Statement'!G6</f>
        <v>2003E</v>
      </c>
      <c r="G3" s="264" t="str">
        <f>+'Income Statement'!H6</f>
        <v>2004E</v>
      </c>
      <c r="H3" s="264" t="str">
        <f>+'Income Statement'!I6</f>
        <v>2005E</v>
      </c>
      <c r="I3" s="264" t="str">
        <f>+'Income Statement'!J6</f>
        <v>2006E</v>
      </c>
      <c r="J3" s="263"/>
    </row>
    <row r="4" spans="1:10" ht="14" x14ac:dyDescent="0.3">
      <c r="A4" s="302" t="s">
        <v>253</v>
      </c>
      <c r="B4" s="302"/>
      <c r="C4" s="302"/>
      <c r="D4" s="263"/>
      <c r="E4" s="266">
        <f ca="1">+'Transaction Summary'!C6*-1</f>
        <v>-224185.33017684886</v>
      </c>
      <c r="F4" s="263">
        <v>0</v>
      </c>
      <c r="G4" s="263">
        <v>0</v>
      </c>
      <c r="H4" s="263">
        <v>0</v>
      </c>
      <c r="I4" s="263">
        <v>0</v>
      </c>
      <c r="J4" s="263"/>
    </row>
    <row r="5" spans="1:10" ht="14" x14ac:dyDescent="0.3">
      <c r="A5" s="265"/>
      <c r="B5" s="265" t="s">
        <v>254</v>
      </c>
      <c r="C5" s="265"/>
      <c r="D5" s="263"/>
      <c r="E5" s="263"/>
      <c r="F5" s="263"/>
      <c r="G5" s="263"/>
      <c r="H5" s="263"/>
      <c r="I5" s="263">
        <f>+'Income Statement'!J40+('Income Statement'!J33)</f>
        <v>180621.31781924958</v>
      </c>
      <c r="J5" s="263"/>
    </row>
    <row r="6" spans="1:10" ht="14" x14ac:dyDescent="0.3">
      <c r="A6" s="265"/>
      <c r="B6" s="265" t="s">
        <v>255</v>
      </c>
      <c r="C6" s="265"/>
      <c r="D6" s="263"/>
      <c r="E6" s="263"/>
      <c r="F6" s="263"/>
      <c r="G6" s="263"/>
      <c r="H6" s="263"/>
      <c r="I6" s="263">
        <v>6</v>
      </c>
      <c r="J6" s="263"/>
    </row>
    <row r="7" spans="1:10" ht="14" x14ac:dyDescent="0.3">
      <c r="A7" s="265"/>
      <c r="B7" s="265"/>
      <c r="C7" s="265"/>
      <c r="D7" s="263"/>
      <c r="E7" s="263"/>
      <c r="F7" s="263"/>
      <c r="G7" s="263"/>
      <c r="H7" s="263"/>
      <c r="I7" s="263">
        <f>+I5*I6</f>
        <v>1083727.9069154975</v>
      </c>
      <c r="J7" s="263"/>
    </row>
    <row r="8" spans="1:10" ht="14" x14ac:dyDescent="0.3">
      <c r="A8" s="265"/>
      <c r="B8" s="265" t="s">
        <v>256</v>
      </c>
      <c r="C8" s="265"/>
      <c r="D8" s="263"/>
      <c r="E8" s="263"/>
      <c r="F8" s="263"/>
      <c r="G8" s="263"/>
      <c r="H8" s="263"/>
      <c r="I8" s="267">
        <f ca="1">-'Balance Sheet'!J39</f>
        <v>-510653.71011791669</v>
      </c>
      <c r="J8" s="263"/>
    </row>
    <row r="9" spans="1:10" ht="14" x14ac:dyDescent="0.3">
      <c r="A9" s="265"/>
      <c r="B9" s="265" t="s">
        <v>257</v>
      </c>
      <c r="C9" s="265"/>
      <c r="D9" s="263"/>
      <c r="E9" s="263"/>
      <c r="F9" s="263"/>
      <c r="G9" s="263"/>
      <c r="H9" s="263"/>
      <c r="I9" s="263">
        <f ca="1">+I7+I8</f>
        <v>573074.19679758081</v>
      </c>
      <c r="J9" s="263"/>
    </row>
    <row r="10" spans="1:10" ht="14" x14ac:dyDescent="0.3">
      <c r="A10" s="265"/>
      <c r="B10" s="265" t="s">
        <v>264</v>
      </c>
      <c r="C10" s="265"/>
      <c r="D10" s="263"/>
      <c r="E10" s="263"/>
      <c r="F10" s="263"/>
      <c r="G10" s="263"/>
      <c r="H10" s="263"/>
      <c r="I10" s="268">
        <f>+'Transaction Summary'!C21</f>
        <v>0.85</v>
      </c>
      <c r="J10" s="263"/>
    </row>
    <row r="11" spans="1:10" ht="14" x14ac:dyDescent="0.3">
      <c r="A11" s="265"/>
      <c r="B11" s="265"/>
      <c r="C11" s="265"/>
      <c r="D11" s="263"/>
      <c r="E11" s="263"/>
      <c r="F11" s="263"/>
      <c r="G11" s="263"/>
      <c r="H11" s="263"/>
      <c r="I11" s="263"/>
      <c r="J11" s="263"/>
    </row>
    <row r="12" spans="1:10" ht="14" x14ac:dyDescent="0.3">
      <c r="A12" s="302" t="s">
        <v>258</v>
      </c>
      <c r="B12" s="302"/>
      <c r="C12" s="302"/>
      <c r="D12" s="263"/>
      <c r="E12" s="269">
        <f ca="1">+E4</f>
        <v>-224185.33017684886</v>
      </c>
      <c r="F12" s="270">
        <v>0</v>
      </c>
      <c r="G12" s="270">
        <v>0</v>
      </c>
      <c r="H12" s="270">
        <v>0</v>
      </c>
      <c r="I12" s="269">
        <f ca="1">+I9*I10</f>
        <v>487113.06727794366</v>
      </c>
      <c r="J12" s="263"/>
    </row>
    <row r="13" spans="1:10" ht="14.5" thickBot="1" x14ac:dyDescent="0.35">
      <c r="A13" s="265"/>
      <c r="B13" s="265"/>
      <c r="C13" s="265"/>
      <c r="D13" s="263"/>
      <c r="E13" s="263"/>
      <c r="F13" s="263"/>
      <c r="G13" s="263"/>
      <c r="H13" s="263"/>
      <c r="I13" s="263"/>
      <c r="J13" s="263"/>
    </row>
    <row r="14" spans="1:10" ht="14.5" thickBot="1" x14ac:dyDescent="0.35">
      <c r="A14" s="262"/>
      <c r="B14" s="262"/>
      <c r="C14" s="262"/>
      <c r="D14" s="263"/>
      <c r="E14" s="271">
        <f ca="1">IRR(E12:I12)</f>
        <v>0.21410332185170011</v>
      </c>
      <c r="F14" s="263"/>
      <c r="G14" s="263"/>
      <c r="H14" s="263"/>
      <c r="I14" s="263"/>
      <c r="J14" s="263"/>
    </row>
    <row r="15" spans="1:10" ht="14" x14ac:dyDescent="0.3">
      <c r="A15" s="299" t="s">
        <v>260</v>
      </c>
      <c r="B15" s="299"/>
      <c r="C15" s="299"/>
      <c r="D15" s="263"/>
      <c r="E15" s="263"/>
      <c r="F15" s="263"/>
      <c r="G15" s="263"/>
      <c r="H15" s="263"/>
      <c r="I15" s="263">
        <f ca="1">+'Transaction Summary'!G26*'Income Statement'!J49</f>
        <v>571090.75631135155</v>
      </c>
      <c r="J15" s="263"/>
    </row>
    <row r="16" spans="1:10" ht="14" x14ac:dyDescent="0.3">
      <c r="A16" s="265"/>
      <c r="B16" s="265" t="s">
        <v>264</v>
      </c>
      <c r="C16" s="265"/>
      <c r="D16" s="263"/>
      <c r="E16" s="263"/>
      <c r="F16" s="263"/>
      <c r="G16" s="263"/>
      <c r="H16" s="263"/>
      <c r="I16" s="268">
        <f>+'Transaction Summary'!C21</f>
        <v>0.85</v>
      </c>
      <c r="J16" s="263"/>
    </row>
    <row r="17" spans="1:10" ht="14" x14ac:dyDescent="0.3">
      <c r="A17" s="262"/>
      <c r="B17" s="262"/>
      <c r="C17" s="262"/>
      <c r="D17" s="263"/>
      <c r="E17" s="269">
        <f ca="1">+E4</f>
        <v>-224185.33017684886</v>
      </c>
      <c r="F17" s="270">
        <f>+F12</f>
        <v>0</v>
      </c>
      <c r="G17" s="270">
        <v>0</v>
      </c>
      <c r="H17" s="270">
        <v>0</v>
      </c>
      <c r="I17" s="269">
        <f ca="1">+I15*I16</f>
        <v>485427.14286464878</v>
      </c>
      <c r="J17" s="263"/>
    </row>
    <row r="18" spans="1:10" ht="14.5" thickBot="1" x14ac:dyDescent="0.35">
      <c r="A18" s="265"/>
      <c r="B18" s="265"/>
      <c r="C18" s="265"/>
      <c r="D18" s="263"/>
      <c r="E18" s="263"/>
      <c r="F18" s="263"/>
      <c r="G18" s="263"/>
      <c r="H18" s="263"/>
      <c r="I18" s="263"/>
      <c r="J18" s="263"/>
    </row>
    <row r="19" spans="1:10" ht="14.5" thickBot="1" x14ac:dyDescent="0.35">
      <c r="A19" s="300" t="s">
        <v>253</v>
      </c>
      <c r="B19" s="300"/>
      <c r="C19" s="300"/>
      <c r="D19" s="263"/>
      <c r="E19" s="271">
        <f ca="1">IRR(E17:I17)</f>
        <v>0.21305143647410141</v>
      </c>
      <c r="F19" s="263"/>
      <c r="G19" s="263"/>
      <c r="H19" s="263"/>
      <c r="I19" s="263"/>
      <c r="J19" s="263"/>
    </row>
    <row r="20" spans="1:10" ht="14" x14ac:dyDescent="0.3">
      <c r="A20" s="265"/>
      <c r="B20" s="263"/>
      <c r="C20" s="263"/>
      <c r="D20" s="263"/>
      <c r="E20" s="263"/>
      <c r="F20" s="263"/>
      <c r="G20" s="263"/>
      <c r="H20" s="263"/>
      <c r="I20" s="263"/>
      <c r="J20" s="263"/>
    </row>
    <row r="21" spans="1:10" ht="14" x14ac:dyDescent="0.3">
      <c r="A21" s="262"/>
      <c r="B21" s="262"/>
      <c r="C21" s="262"/>
      <c r="D21" s="262"/>
      <c r="E21" s="262"/>
      <c r="F21" s="262"/>
      <c r="G21" s="262"/>
      <c r="H21" s="262"/>
      <c r="I21" s="262"/>
      <c r="J21" s="262"/>
    </row>
    <row r="24" spans="1:10" x14ac:dyDescent="0.25">
      <c r="E24" s="240"/>
    </row>
  </sheetData>
  <mergeCells count="7">
    <mergeCell ref="A15:C15"/>
    <mergeCell ref="A19:C19"/>
    <mergeCell ref="A3:C3"/>
    <mergeCell ref="A1:G1"/>
    <mergeCell ref="A4:C4"/>
    <mergeCell ref="A12:C12"/>
    <mergeCell ref="A2:C2"/>
  </mergeCells>
  <phoneticPr fontId="17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workbookViewId="0">
      <selection activeCell="G14" sqref="G14"/>
    </sheetView>
  </sheetViews>
  <sheetFormatPr defaultRowHeight="12.5" x14ac:dyDescent="0.25"/>
  <cols>
    <col min="1" max="1" width="20.81640625" bestFit="1" customWidth="1"/>
    <col min="2" max="2" width="40.26953125" bestFit="1" customWidth="1"/>
    <col min="3" max="3" width="13.453125" bestFit="1" customWidth="1"/>
    <col min="4" max="4" width="11.7265625" bestFit="1" customWidth="1"/>
    <col min="5" max="5" width="19.26953125" bestFit="1" customWidth="1"/>
    <col min="6" max="6" width="27.1796875" customWidth="1"/>
    <col min="7" max="7" width="9.7265625" bestFit="1" customWidth="1"/>
  </cols>
  <sheetData>
    <row r="1" spans="1:7" ht="18" x14ac:dyDescent="0.4">
      <c r="A1" s="301" t="str">
        <f>+Assumptions!D6</f>
        <v>Papa John's International, Inc.</v>
      </c>
      <c r="B1" s="301"/>
      <c r="C1" s="301"/>
      <c r="D1" s="301"/>
      <c r="E1" s="301"/>
      <c r="F1" s="301"/>
      <c r="G1" s="301"/>
    </row>
    <row r="2" spans="1:7" ht="13" x14ac:dyDescent="0.3">
      <c r="A2" s="222" t="s">
        <v>252</v>
      </c>
      <c r="B2" s="222"/>
    </row>
    <row r="5" spans="1:7" ht="13" x14ac:dyDescent="0.3">
      <c r="A5" s="222" t="s">
        <v>216</v>
      </c>
      <c r="B5" t="s">
        <v>217</v>
      </c>
      <c r="C5" s="236">
        <v>600000</v>
      </c>
      <c r="E5" s="222" t="s">
        <v>234</v>
      </c>
      <c r="F5" t="s">
        <v>235</v>
      </c>
      <c r="G5" s="229">
        <v>37622</v>
      </c>
    </row>
    <row r="6" spans="1:7" x14ac:dyDescent="0.25">
      <c r="B6" t="s">
        <v>218</v>
      </c>
      <c r="C6" s="225">
        <f ca="1">+C19*G9</f>
        <v>224185.33017684886</v>
      </c>
      <c r="F6" t="s">
        <v>236</v>
      </c>
      <c r="G6" s="226">
        <f>+Assumptions!C45</f>
        <v>22600</v>
      </c>
    </row>
    <row r="7" spans="1:7" x14ac:dyDescent="0.25">
      <c r="B7" t="s">
        <v>118</v>
      </c>
      <c r="C7" s="237">
        <f ca="1">+C5+C6</f>
        <v>824185.33017684892</v>
      </c>
      <c r="F7" t="s">
        <v>263</v>
      </c>
      <c r="G7" s="226">
        <f ca="1">+'Balance Sheet'!E39+'Balance Sheet'!E34</f>
        <v>140547.447266881</v>
      </c>
    </row>
    <row r="8" spans="1:7" x14ac:dyDescent="0.25">
      <c r="C8" s="67"/>
    </row>
    <row r="9" spans="1:7" x14ac:dyDescent="0.25">
      <c r="B9" t="s">
        <v>219</v>
      </c>
      <c r="C9" s="66">
        <f ca="1">+C5/C7</f>
        <v>0.72799160338276769</v>
      </c>
      <c r="F9" t="s">
        <v>237</v>
      </c>
      <c r="G9" s="230">
        <v>32</v>
      </c>
    </row>
    <row r="10" spans="1:7" x14ac:dyDescent="0.25">
      <c r="B10" t="s">
        <v>220</v>
      </c>
      <c r="C10" s="66">
        <f ca="1">+C6/C7</f>
        <v>0.27200839661723231</v>
      </c>
    </row>
    <row r="11" spans="1:7" x14ac:dyDescent="0.25">
      <c r="C11" s="67"/>
      <c r="F11" t="s">
        <v>262</v>
      </c>
      <c r="G11" s="224">
        <f ca="1">+C17/G6</f>
        <v>0.63530496782787471</v>
      </c>
    </row>
    <row r="12" spans="1:7" x14ac:dyDescent="0.25">
      <c r="C12" s="67"/>
    </row>
    <row r="13" spans="1:7" ht="13" x14ac:dyDescent="0.3">
      <c r="A13" s="222" t="s">
        <v>221</v>
      </c>
      <c r="B13" t="s">
        <v>222</v>
      </c>
      <c r="C13" s="238">
        <f ca="1">+'Balance Sheet'!E34+'Balance Sheet'!E39</f>
        <v>140547.447266881</v>
      </c>
      <c r="E13" s="222" t="s">
        <v>238</v>
      </c>
      <c r="F13" t="s">
        <v>239</v>
      </c>
      <c r="G13" s="231">
        <v>0</v>
      </c>
    </row>
    <row r="14" spans="1:7" x14ac:dyDescent="0.25">
      <c r="B14" t="s">
        <v>266</v>
      </c>
      <c r="C14" s="225">
        <f ca="1">+(C17+C19)*G9</f>
        <v>683637.8829099678</v>
      </c>
    </row>
    <row r="15" spans="1:7" x14ac:dyDescent="0.25">
      <c r="B15" t="s">
        <v>118</v>
      </c>
      <c r="C15" s="237">
        <f ca="1">+C13+C14</f>
        <v>824185.3301768488</v>
      </c>
    </row>
    <row r="17" spans="1:7" ht="13" x14ac:dyDescent="0.3">
      <c r="A17" s="222" t="s">
        <v>223</v>
      </c>
      <c r="B17" t="s">
        <v>271</v>
      </c>
      <c r="C17" s="228">
        <f ca="1">+(C5-'Balance Sheet'!E39)/G9</f>
        <v>14357.892272909969</v>
      </c>
    </row>
    <row r="18" spans="1:7" x14ac:dyDescent="0.25">
      <c r="B18" t="s">
        <v>272</v>
      </c>
      <c r="C18" s="228">
        <f ca="1">+G6-C17</f>
        <v>8242.1077270900314</v>
      </c>
    </row>
    <row r="19" spans="1:7" ht="13" x14ac:dyDescent="0.3">
      <c r="B19" t="s">
        <v>224</v>
      </c>
      <c r="C19" s="226">
        <f ca="1">+C18*C21</f>
        <v>7005.7915680265269</v>
      </c>
      <c r="E19" s="222" t="s">
        <v>240</v>
      </c>
      <c r="F19" t="s">
        <v>259</v>
      </c>
      <c r="G19" s="234">
        <v>23.44</v>
      </c>
    </row>
    <row r="20" spans="1:7" x14ac:dyDescent="0.25">
      <c r="B20" t="s">
        <v>225</v>
      </c>
      <c r="C20" s="226">
        <f ca="1">+C18-C19</f>
        <v>1236.3161590635045</v>
      </c>
      <c r="F20" t="s">
        <v>245</v>
      </c>
      <c r="G20" s="232">
        <f>+'Income Statement'!F40+('Income Statement'!F33*(1-Assumptions!C43))</f>
        <v>93249.17</v>
      </c>
    </row>
    <row r="21" spans="1:7" x14ac:dyDescent="0.25">
      <c r="B21" t="s">
        <v>226</v>
      </c>
      <c r="C21" s="227">
        <v>0.85</v>
      </c>
      <c r="F21" t="s">
        <v>241</v>
      </c>
      <c r="G21" s="233">
        <f>+(G19*G6)/G20</f>
        <v>5.6809513693258609</v>
      </c>
    </row>
    <row r="22" spans="1:7" x14ac:dyDescent="0.25">
      <c r="C22" s="226"/>
      <c r="F22" t="s">
        <v>246</v>
      </c>
      <c r="G22" s="234">
        <f ca="1">+'Income Statement'!F51</f>
        <v>1.9056177831763557</v>
      </c>
    </row>
    <row r="23" spans="1:7" x14ac:dyDescent="0.25">
      <c r="F23" t="s">
        <v>242</v>
      </c>
      <c r="G23" s="233">
        <f ca="1">+G19/G22</f>
        <v>12.300472952623965</v>
      </c>
    </row>
    <row r="24" spans="1:7" ht="13" x14ac:dyDescent="0.3">
      <c r="A24" s="222" t="s">
        <v>227</v>
      </c>
      <c r="B24" t="s">
        <v>228</v>
      </c>
      <c r="C24" s="223">
        <f>+G6*G9</f>
        <v>723200</v>
      </c>
    </row>
    <row r="25" spans="1:7" x14ac:dyDescent="0.25">
      <c r="B25" t="s">
        <v>229</v>
      </c>
      <c r="C25" s="223">
        <f ca="1">+'Balance Sheet'!E57</f>
        <v>238698.96189978567</v>
      </c>
      <c r="F25" t="s">
        <v>251</v>
      </c>
      <c r="G25" s="235">
        <v>6</v>
      </c>
    </row>
    <row r="26" spans="1:7" x14ac:dyDescent="0.25">
      <c r="B26" t="s">
        <v>248</v>
      </c>
      <c r="C26" s="239">
        <v>0</v>
      </c>
      <c r="F26" t="s">
        <v>243</v>
      </c>
      <c r="G26" s="235">
        <v>10</v>
      </c>
    </row>
    <row r="27" spans="1:7" x14ac:dyDescent="0.25">
      <c r="B27" t="s">
        <v>249</v>
      </c>
      <c r="C27" s="223">
        <f ca="1">+C24-(C25*(1+C26))</f>
        <v>484501.03810021433</v>
      </c>
    </row>
    <row r="28" spans="1:7" x14ac:dyDescent="0.25">
      <c r="F28" t="s">
        <v>244</v>
      </c>
      <c r="G28" s="229">
        <v>39082</v>
      </c>
    </row>
    <row r="30" spans="1:7" x14ac:dyDescent="0.25">
      <c r="B30" t="s">
        <v>230</v>
      </c>
      <c r="C30" s="223">
        <f ca="1">C27</f>
        <v>484501.03810021433</v>
      </c>
    </row>
    <row r="31" spans="1:7" x14ac:dyDescent="0.25">
      <c r="B31" t="s">
        <v>231</v>
      </c>
      <c r="C31" s="223">
        <f ca="1">+C21*C30</f>
        <v>411825.88238518219</v>
      </c>
    </row>
    <row r="32" spans="1:7" x14ac:dyDescent="0.25">
      <c r="B32" t="s">
        <v>232</v>
      </c>
      <c r="C32" t="s">
        <v>233</v>
      </c>
    </row>
    <row r="44" spans="3:4" x14ac:dyDescent="0.25">
      <c r="C44" s="223"/>
    </row>
    <row r="45" spans="3:4" x14ac:dyDescent="0.25">
      <c r="C45" s="243"/>
      <c r="D45" s="243"/>
    </row>
    <row r="46" spans="3:4" x14ac:dyDescent="0.25">
      <c r="D46" s="243"/>
    </row>
  </sheetData>
  <mergeCells count="1">
    <mergeCell ref="A1:G1"/>
  </mergeCells>
  <phoneticPr fontId="1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workbookViewId="0">
      <selection activeCell="F28" sqref="F28"/>
    </sheetView>
  </sheetViews>
  <sheetFormatPr defaultRowHeight="12.5" x14ac:dyDescent="0.25"/>
  <cols>
    <col min="3" max="3" width="9.7265625" bestFit="1" customWidth="1"/>
    <col min="5" max="5" width="12.26953125" bestFit="1" customWidth="1"/>
    <col min="7" max="7" width="15" customWidth="1"/>
    <col min="10" max="10" width="12.26953125" bestFit="1" customWidth="1"/>
  </cols>
  <sheetData>
    <row r="1" spans="1:10" ht="20" x14ac:dyDescent="0.4">
      <c r="A1" s="298" t="str">
        <f>+"Leveraged Recapitalization of " &amp;Assumptions!D6</f>
        <v>Leveraged Recapitalization of Papa John's International, Inc.</v>
      </c>
      <c r="B1" s="298"/>
      <c r="C1" s="298"/>
      <c r="D1" s="298"/>
      <c r="E1" s="298"/>
      <c r="F1" s="298"/>
      <c r="G1" s="298"/>
      <c r="H1" s="298"/>
      <c r="I1" s="298"/>
      <c r="J1" s="298"/>
    </row>
    <row r="12" spans="1:10" ht="13" x14ac:dyDescent="0.3">
      <c r="E12" s="244">
        <f>+'Transaction Summary'!C21</f>
        <v>0.85</v>
      </c>
      <c r="F12" s="60"/>
      <c r="G12" s="244"/>
    </row>
    <row r="13" spans="1:10" ht="13" x14ac:dyDescent="0.3">
      <c r="E13" s="248">
        <f ca="1">+'Transaction Summary'!C6</f>
        <v>224185.33017684886</v>
      </c>
      <c r="F13" s="60"/>
      <c r="G13" s="245"/>
    </row>
    <row r="16" spans="1:10" ht="13" x14ac:dyDescent="0.3">
      <c r="G16" s="247">
        <f ca="1">+E13+C22-H22</f>
        <v>683637.88290996791</v>
      </c>
    </row>
    <row r="17" spans="3:10" ht="13" x14ac:dyDescent="0.3">
      <c r="G17" s="249">
        <f>1-E12</f>
        <v>0.15000000000000002</v>
      </c>
    </row>
    <row r="20" spans="3:10" ht="13" x14ac:dyDescent="0.3">
      <c r="J20" s="246"/>
    </row>
    <row r="22" spans="3:10" ht="13" x14ac:dyDescent="0.3">
      <c r="C22" s="246">
        <f>+'Transaction Summary'!C5</f>
        <v>600000</v>
      </c>
      <c r="H22" s="247">
        <f ca="1">+'Balance Sheet'!E39+'Balance Sheet'!E34</f>
        <v>140547.447266881</v>
      </c>
      <c r="I22" s="222"/>
    </row>
    <row r="23" spans="3:10" ht="13" x14ac:dyDescent="0.3">
      <c r="C23" s="222" t="s">
        <v>267</v>
      </c>
      <c r="H23" s="222" t="s">
        <v>268</v>
      </c>
      <c r="I23" s="222"/>
    </row>
  </sheetData>
  <phoneticPr fontId="17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workbookViewId="0">
      <selection activeCell="K9" sqref="K9"/>
    </sheetView>
  </sheetViews>
  <sheetFormatPr defaultRowHeight="12.5" x14ac:dyDescent="0.25"/>
  <cols>
    <col min="3" max="3" width="10.26953125" bestFit="1" customWidth="1"/>
    <col min="5" max="5" width="12.453125" bestFit="1" customWidth="1"/>
    <col min="7" max="7" width="11.453125" bestFit="1" customWidth="1"/>
    <col min="10" max="10" width="12.453125" bestFit="1" customWidth="1"/>
  </cols>
  <sheetData>
    <row r="1" spans="1:10" ht="18" x14ac:dyDescent="0.4">
      <c r="A1" s="18" t="str">
        <f>+"LBO of "&amp;Assumptions!D6</f>
        <v>LBO of Papa John's International, Inc.</v>
      </c>
      <c r="B1" s="18"/>
      <c r="C1" s="18"/>
      <c r="D1" s="18"/>
      <c r="E1" s="18"/>
      <c r="F1" s="18"/>
      <c r="G1" s="18"/>
      <c r="H1" s="18"/>
      <c r="I1" s="18"/>
      <c r="J1" s="18"/>
    </row>
    <row r="9" spans="1:10" ht="13" x14ac:dyDescent="0.3">
      <c r="E9" s="244">
        <f>+'Transaction Summary'!C21</f>
        <v>0.85</v>
      </c>
      <c r="F9" s="60"/>
      <c r="G9" s="244">
        <f>1-'Transaction Summary'!C21</f>
        <v>0.15000000000000002</v>
      </c>
    </row>
    <row r="10" spans="1:10" ht="13" x14ac:dyDescent="0.3">
      <c r="E10" s="241">
        <f ca="1">+E9*(J17-C19)</f>
        <v>224185.33017684886</v>
      </c>
      <c r="F10" s="60"/>
      <c r="G10" s="248">
        <f ca="1">+G9*(J17-C19)</f>
        <v>39562.117090032159</v>
      </c>
    </row>
    <row r="17" spans="3:10" ht="13" x14ac:dyDescent="0.3">
      <c r="J17" s="241">
        <f>+'Transaction Summary'!G9*'Transaction Summary'!G6</f>
        <v>723200</v>
      </c>
    </row>
    <row r="18" spans="3:10" ht="13" x14ac:dyDescent="0.3">
      <c r="J18" s="222" t="s">
        <v>269</v>
      </c>
    </row>
    <row r="19" spans="3:10" ht="13" x14ac:dyDescent="0.3">
      <c r="C19" s="246">
        <f ca="1">+'Balance Sheet'!F39</f>
        <v>459452.552733119</v>
      </c>
    </row>
    <row r="20" spans="3:10" ht="13" x14ac:dyDescent="0.3">
      <c r="C20" s="222" t="s">
        <v>270</v>
      </c>
    </row>
  </sheetData>
  <phoneticPr fontId="17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9"/>
  <sheetViews>
    <sheetView showGridLines="0" workbookViewId="0">
      <selection activeCell="H52" sqref="H52"/>
    </sheetView>
  </sheetViews>
  <sheetFormatPr defaultColWidth="8.81640625" defaultRowHeight="10" x14ac:dyDescent="0.2"/>
  <cols>
    <col min="1" max="1" width="68" style="1" bestFit="1" customWidth="1"/>
    <col min="2" max="2" width="10.26953125" style="1" customWidth="1"/>
    <col min="3" max="3" width="11.1796875" style="1" bestFit="1" customWidth="1"/>
    <col min="4" max="4" width="9.26953125" style="1" customWidth="1"/>
    <col min="5" max="5" width="11.1796875" style="1" bestFit="1" customWidth="1"/>
    <col min="6" max="6" width="11.1796875" style="22" bestFit="1" customWidth="1"/>
    <col min="7" max="7" width="11.1796875" style="1" bestFit="1" customWidth="1"/>
    <col min="8" max="16384" width="8.81640625" style="1"/>
  </cols>
  <sheetData>
    <row r="1" spans="1:9" ht="18" x14ac:dyDescent="0.4">
      <c r="A1" s="18" t="str">
        <f>D6</f>
        <v>Papa John's International, Inc.</v>
      </c>
      <c r="B1" s="18"/>
      <c r="C1" s="17"/>
      <c r="D1" s="17"/>
      <c r="E1" s="17"/>
      <c r="F1" s="17"/>
      <c r="G1" s="17"/>
    </row>
    <row r="2" spans="1:9" x14ac:dyDescent="0.2">
      <c r="E2" s="22"/>
      <c r="F2" s="1"/>
    </row>
    <row r="3" spans="1:9" x14ac:dyDescent="0.2">
      <c r="E3" s="22"/>
      <c r="F3" s="1"/>
    </row>
    <row r="4" spans="1:9" ht="16" thickBot="1" x14ac:dyDescent="0.4">
      <c r="A4" s="303" t="s">
        <v>1</v>
      </c>
      <c r="B4" s="303"/>
      <c r="C4" s="303"/>
      <c r="D4" s="303"/>
      <c r="E4" s="303"/>
      <c r="F4" s="303"/>
      <c r="G4" s="70"/>
    </row>
    <row r="5" spans="1:9" x14ac:dyDescent="0.2">
      <c r="E5" s="22"/>
      <c r="F5" s="1"/>
      <c r="I5" s="1" t="s">
        <v>94</v>
      </c>
    </row>
    <row r="6" spans="1:9" x14ac:dyDescent="0.2">
      <c r="A6" s="1" t="s">
        <v>2</v>
      </c>
      <c r="C6" s="71"/>
      <c r="D6" s="71" t="s">
        <v>4</v>
      </c>
      <c r="E6" s="22"/>
      <c r="F6" s="1"/>
    </row>
    <row r="7" spans="1:9" x14ac:dyDescent="0.2">
      <c r="A7" s="1" t="s">
        <v>3</v>
      </c>
      <c r="C7" s="2"/>
      <c r="D7" s="2">
        <v>0</v>
      </c>
      <c r="E7" s="22"/>
      <c r="F7" s="1"/>
    </row>
    <row r="8" spans="1:9" x14ac:dyDescent="0.2">
      <c r="A8" s="1" t="s">
        <v>214</v>
      </c>
      <c r="C8" s="2"/>
      <c r="D8" s="2">
        <v>2001</v>
      </c>
      <c r="E8" s="22"/>
      <c r="F8" s="1"/>
    </row>
    <row r="9" spans="1:9" x14ac:dyDescent="0.2">
      <c r="A9" s="10"/>
      <c r="B9" s="10"/>
      <c r="E9" s="22"/>
      <c r="F9" s="1"/>
    </row>
    <row r="10" spans="1:9" x14ac:dyDescent="0.2">
      <c r="A10" s="10"/>
      <c r="B10" s="10"/>
      <c r="E10" s="22"/>
      <c r="F10" s="1"/>
    </row>
    <row r="11" spans="1:9" ht="16" thickBot="1" x14ac:dyDescent="0.4">
      <c r="A11" s="303" t="s">
        <v>32</v>
      </c>
      <c r="B11" s="303"/>
      <c r="C11" s="303"/>
      <c r="D11" s="303"/>
      <c r="E11" s="303"/>
      <c r="F11" s="303"/>
      <c r="G11" s="70"/>
      <c r="I11" s="1" t="s">
        <v>94</v>
      </c>
    </row>
    <row r="12" spans="1:9" x14ac:dyDescent="0.2">
      <c r="A12" s="10"/>
      <c r="B12" s="10"/>
      <c r="E12" s="22"/>
      <c r="F12" s="1"/>
    </row>
    <row r="13" spans="1:9" ht="10.5" x14ac:dyDescent="0.25">
      <c r="A13" s="10"/>
      <c r="B13" s="10"/>
      <c r="C13" s="72" t="str">
        <f>+$D$8+1&amp;"E"</f>
        <v>2002E</v>
      </c>
      <c r="D13" s="72" t="str">
        <f>+$D$8+2&amp;"E"</f>
        <v>2003E</v>
      </c>
      <c r="E13" s="72" t="str">
        <f>+$D$8+3&amp;"E"</f>
        <v>2004E</v>
      </c>
      <c r="F13" s="72" t="str">
        <f>+$D$8+4&amp;"E"</f>
        <v>2005E</v>
      </c>
      <c r="G13" s="72" t="str">
        <f>+$D$8+5&amp;"E"</f>
        <v>2006E</v>
      </c>
      <c r="H13" s="49"/>
    </row>
    <row r="14" spans="1:9" x14ac:dyDescent="0.2">
      <c r="A14" s="12" t="s">
        <v>83</v>
      </c>
      <c r="B14" s="12"/>
      <c r="D14" s="22"/>
      <c r="F14" s="1"/>
    </row>
    <row r="15" spans="1:9" x14ac:dyDescent="0.2">
      <c r="A15" s="11" t="s">
        <v>6</v>
      </c>
      <c r="B15" s="11"/>
      <c r="C15" s="73">
        <v>0.25</v>
      </c>
      <c r="D15" s="74">
        <v>0.2</v>
      </c>
      <c r="E15" s="74">
        <v>0.15</v>
      </c>
      <c r="F15" s="74">
        <v>0.1</v>
      </c>
      <c r="G15" s="74">
        <v>0.05</v>
      </c>
    </row>
    <row r="16" spans="1:9" x14ac:dyDescent="0.2">
      <c r="A16" s="11" t="s">
        <v>7</v>
      </c>
      <c r="B16" s="11"/>
      <c r="C16" s="73">
        <v>0.25</v>
      </c>
      <c r="D16" s="74">
        <v>0.2</v>
      </c>
      <c r="E16" s="74">
        <v>0.15</v>
      </c>
      <c r="F16" s="74">
        <v>0.1</v>
      </c>
      <c r="G16" s="74">
        <v>0.05</v>
      </c>
    </row>
    <row r="17" spans="1:8" x14ac:dyDescent="0.2">
      <c r="A17" s="11" t="s">
        <v>8</v>
      </c>
      <c r="B17" s="11"/>
      <c r="C17" s="73">
        <v>0.25</v>
      </c>
      <c r="D17" s="74">
        <v>0.2</v>
      </c>
      <c r="E17" s="74">
        <v>0.15</v>
      </c>
      <c r="F17" s="74">
        <v>0.1</v>
      </c>
      <c r="G17" s="74">
        <v>0.05</v>
      </c>
    </row>
    <row r="18" spans="1:8" x14ac:dyDescent="0.2">
      <c r="A18" s="11" t="s">
        <v>9</v>
      </c>
      <c r="B18" s="11"/>
      <c r="C18" s="73">
        <v>0.25</v>
      </c>
      <c r="D18" s="74">
        <v>0.2</v>
      </c>
      <c r="E18" s="74">
        <v>0.15</v>
      </c>
      <c r="F18" s="74">
        <v>0.1</v>
      </c>
      <c r="G18" s="74">
        <v>0.05</v>
      </c>
    </row>
    <row r="19" spans="1:8" x14ac:dyDescent="0.2">
      <c r="A19" s="11" t="s">
        <v>10</v>
      </c>
      <c r="B19" s="11"/>
      <c r="C19" s="73">
        <v>0.25</v>
      </c>
      <c r="D19" s="74">
        <v>0.2</v>
      </c>
      <c r="E19" s="74">
        <v>0.15</v>
      </c>
      <c r="F19" s="74">
        <v>0.1</v>
      </c>
      <c r="G19" s="74">
        <v>0.05</v>
      </c>
    </row>
    <row r="20" spans="1:8" x14ac:dyDescent="0.2">
      <c r="A20" s="10"/>
      <c r="B20" s="10"/>
      <c r="C20" s="73"/>
      <c r="D20" s="74"/>
      <c r="E20" s="74"/>
      <c r="F20" s="74"/>
      <c r="G20" s="74"/>
    </row>
    <row r="21" spans="1:8" x14ac:dyDescent="0.2">
      <c r="A21" s="12" t="s">
        <v>12</v>
      </c>
      <c r="B21" s="12"/>
      <c r="C21" s="73"/>
      <c r="D21" s="74"/>
      <c r="E21" s="74"/>
      <c r="F21" s="74"/>
      <c r="G21" s="74"/>
    </row>
    <row r="22" spans="1:8" x14ac:dyDescent="0.2">
      <c r="A22" s="10" t="s">
        <v>65</v>
      </c>
      <c r="B22" s="10"/>
      <c r="C22" s="73"/>
      <c r="D22" s="74"/>
      <c r="E22" s="74"/>
      <c r="F22" s="74"/>
      <c r="G22" s="74"/>
    </row>
    <row r="23" spans="1:8" x14ac:dyDescent="0.2">
      <c r="A23" s="11" t="s">
        <v>14</v>
      </c>
      <c r="B23" s="11"/>
      <c r="C23" s="73">
        <v>0.26800000000000002</v>
      </c>
      <c r="D23" s="73">
        <v>0.26800000000000002</v>
      </c>
      <c r="E23" s="73">
        <v>0.26800000000000002</v>
      </c>
      <c r="F23" s="73">
        <v>0.26800000000000002</v>
      </c>
      <c r="G23" s="73">
        <v>0.26800000000000002</v>
      </c>
    </row>
    <row r="24" spans="1:8" x14ac:dyDescent="0.2">
      <c r="A24" s="11" t="s">
        <v>15</v>
      </c>
      <c r="B24" s="11"/>
      <c r="C24" s="73">
        <v>0.27100000000000002</v>
      </c>
      <c r="D24" s="73">
        <v>0.26800000000000002</v>
      </c>
      <c r="E24" s="73">
        <v>0.26800000000000002</v>
      </c>
      <c r="F24" s="73">
        <v>0.26800000000000002</v>
      </c>
      <c r="G24" s="73">
        <v>0.26800000000000002</v>
      </c>
    </row>
    <row r="25" spans="1:8" x14ac:dyDescent="0.2">
      <c r="A25" s="11" t="s">
        <v>16</v>
      </c>
      <c r="B25" s="11"/>
      <c r="C25" s="73">
        <v>8.6999999999999994E-2</v>
      </c>
      <c r="D25" s="75">
        <v>8.3000000000000004E-2</v>
      </c>
      <c r="E25" s="75">
        <v>8.3000000000000004E-2</v>
      </c>
      <c r="F25" s="75">
        <v>8.3000000000000004E-2</v>
      </c>
      <c r="G25" s="75">
        <v>8.3000000000000004E-2</v>
      </c>
    </row>
    <row r="26" spans="1:8" x14ac:dyDescent="0.2">
      <c r="A26" s="11" t="s">
        <v>17</v>
      </c>
      <c r="B26" s="11"/>
      <c r="C26" s="73">
        <v>4.9000000000000002E-2</v>
      </c>
      <c r="D26" s="75">
        <v>4.9000000000000002E-2</v>
      </c>
      <c r="E26" s="75">
        <v>4.9000000000000002E-2</v>
      </c>
      <c r="F26" s="75">
        <v>4.9000000000000002E-2</v>
      </c>
      <c r="G26" s="75">
        <v>4.9000000000000002E-2</v>
      </c>
    </row>
    <row r="27" spans="1:8" x14ac:dyDescent="0.2">
      <c r="A27" s="11" t="s">
        <v>18</v>
      </c>
      <c r="B27" s="11"/>
      <c r="C27" s="73">
        <v>0.13100000000000001</v>
      </c>
      <c r="D27" s="73">
        <v>0.13</v>
      </c>
      <c r="E27" s="73">
        <v>0.13</v>
      </c>
      <c r="F27" s="73">
        <v>0.13</v>
      </c>
      <c r="G27" s="73">
        <v>0.13</v>
      </c>
    </row>
    <row r="28" spans="1:8" x14ac:dyDescent="0.2">
      <c r="A28" s="12"/>
      <c r="B28" s="12"/>
      <c r="C28" s="73"/>
      <c r="D28" s="73"/>
      <c r="E28" s="73"/>
      <c r="F28" s="73"/>
      <c r="G28" s="73"/>
    </row>
    <row r="29" spans="1:8" ht="12.75" customHeight="1" x14ac:dyDescent="0.2">
      <c r="A29" s="10" t="s">
        <v>86</v>
      </c>
      <c r="B29" s="10"/>
      <c r="C29" s="73"/>
      <c r="D29" s="73"/>
      <c r="E29" s="73"/>
      <c r="F29" s="73"/>
      <c r="G29" s="73"/>
    </row>
    <row r="30" spans="1:8" x14ac:dyDescent="0.2">
      <c r="A30" s="11" t="s">
        <v>14</v>
      </c>
      <c r="B30" s="11"/>
      <c r="C30" s="73">
        <v>0.78200000000000003</v>
      </c>
      <c r="D30" s="73">
        <v>0.78200000000000003</v>
      </c>
      <c r="E30" s="73">
        <v>0.78200000000000003</v>
      </c>
      <c r="F30" s="73">
        <v>0.78200000000000003</v>
      </c>
      <c r="G30" s="73">
        <v>0.78200000000000003</v>
      </c>
      <c r="H30" s="61"/>
    </row>
    <row r="31" spans="1:8" x14ac:dyDescent="0.2">
      <c r="A31" s="11" t="s">
        <v>15</v>
      </c>
      <c r="B31" s="11"/>
      <c r="C31" s="73">
        <v>5.6000000000000001E-2</v>
      </c>
      <c r="D31" s="73">
        <v>5.6000000000000001E-2</v>
      </c>
      <c r="E31" s="73">
        <v>5.6000000000000001E-2</v>
      </c>
      <c r="F31" s="73">
        <v>5.6000000000000001E-2</v>
      </c>
      <c r="G31" s="73">
        <v>5.6000000000000001E-2</v>
      </c>
    </row>
    <row r="32" spans="1:8" x14ac:dyDescent="0.2">
      <c r="A32" s="11" t="s">
        <v>18</v>
      </c>
      <c r="B32" s="11"/>
      <c r="C32" s="73">
        <v>7.3999999999999996E-2</v>
      </c>
      <c r="D32" s="73">
        <v>7.3999999999999996E-2</v>
      </c>
      <c r="E32" s="73">
        <v>7.3999999999999996E-2</v>
      </c>
      <c r="F32" s="73">
        <v>7.3999999999999996E-2</v>
      </c>
      <c r="G32" s="73">
        <v>7.3999999999999996E-2</v>
      </c>
    </row>
    <row r="33" spans="1:8" x14ac:dyDescent="0.2">
      <c r="A33" s="12"/>
      <c r="B33" s="12"/>
      <c r="C33" s="73"/>
      <c r="D33" s="73"/>
      <c r="E33" s="73"/>
      <c r="F33" s="73"/>
      <c r="G33" s="73"/>
    </row>
    <row r="34" spans="1:8" x14ac:dyDescent="0.2">
      <c r="A34" s="10" t="s">
        <v>64</v>
      </c>
      <c r="B34" s="10"/>
      <c r="C34" s="73">
        <v>7.0999999999999994E-2</v>
      </c>
      <c r="D34" s="73">
        <v>6.8000000000000005E-2</v>
      </c>
      <c r="E34" s="73">
        <v>6.8000000000000005E-2</v>
      </c>
      <c r="F34" s="73">
        <v>6.8000000000000005E-2</v>
      </c>
      <c r="G34" s="73">
        <v>6.8000000000000005E-2</v>
      </c>
      <c r="H34" s="61"/>
    </row>
    <row r="35" spans="1:8" x14ac:dyDescent="0.2">
      <c r="A35" s="10" t="s">
        <v>84</v>
      </c>
      <c r="B35" s="10"/>
      <c r="C35" s="73">
        <v>3.0000000000000001E-3</v>
      </c>
      <c r="D35" s="73">
        <v>3.0000000000000001E-3</v>
      </c>
      <c r="E35" s="73">
        <v>3.0000000000000001E-3</v>
      </c>
      <c r="F35" s="73">
        <v>3.0000000000000001E-3</v>
      </c>
      <c r="G35" s="73">
        <v>3.0000000000000001E-3</v>
      </c>
    </row>
    <row r="36" spans="1:8" ht="10.5" x14ac:dyDescent="0.25">
      <c r="A36" s="10" t="s">
        <v>85</v>
      </c>
      <c r="B36" s="10"/>
      <c r="C36" s="305" t="s">
        <v>165</v>
      </c>
      <c r="D36" s="305"/>
      <c r="E36" s="305"/>
      <c r="F36" s="305"/>
      <c r="G36" s="305"/>
    </row>
    <row r="37" spans="1:8" x14ac:dyDescent="0.2">
      <c r="A37" s="118" t="s">
        <v>102</v>
      </c>
      <c r="B37" s="118"/>
      <c r="C37" s="75">
        <v>8.0000000000000002E-3</v>
      </c>
      <c r="D37" s="75">
        <v>8.0000000000000002E-3</v>
      </c>
      <c r="E37" s="75">
        <v>8.0000000000000002E-3</v>
      </c>
      <c r="F37" s="75">
        <v>8.0000000000000002E-3</v>
      </c>
      <c r="G37" s="75">
        <v>8.0000000000000002E-3</v>
      </c>
    </row>
    <row r="38" spans="1:8" x14ac:dyDescent="0.2">
      <c r="A38" s="118" t="s">
        <v>103</v>
      </c>
      <c r="B38" s="118"/>
      <c r="C38" s="75">
        <v>2.7E-2</v>
      </c>
      <c r="D38" s="75">
        <v>2.7E-2</v>
      </c>
      <c r="E38" s="75">
        <v>2.7E-2</v>
      </c>
      <c r="F38" s="75">
        <v>2.7E-2</v>
      </c>
      <c r="G38" s="75">
        <v>2.7E-2</v>
      </c>
    </row>
    <row r="39" spans="1:8" x14ac:dyDescent="0.2">
      <c r="A39" s="141"/>
      <c r="B39" s="141"/>
      <c r="C39" s="75"/>
      <c r="D39" s="75"/>
      <c r="E39" s="75"/>
      <c r="F39" s="75"/>
      <c r="G39" s="75"/>
    </row>
    <row r="40" spans="1:8" x14ac:dyDescent="0.2">
      <c r="A40" s="141" t="s">
        <v>89</v>
      </c>
      <c r="B40" s="141"/>
      <c r="C40" s="75">
        <v>0.06</v>
      </c>
      <c r="D40" s="75">
        <v>0.06</v>
      </c>
      <c r="E40" s="75">
        <v>0.06</v>
      </c>
      <c r="F40" s="75">
        <v>0.06</v>
      </c>
      <c r="G40" s="75">
        <v>0.06</v>
      </c>
    </row>
    <row r="41" spans="1:8" x14ac:dyDescent="0.2">
      <c r="A41" s="141" t="s">
        <v>152</v>
      </c>
      <c r="B41" s="141"/>
      <c r="C41" s="75">
        <v>4.4999999999999998E-2</v>
      </c>
      <c r="D41" s="75">
        <v>0.08</v>
      </c>
      <c r="E41" s="75">
        <v>0.08</v>
      </c>
      <c r="F41" s="75">
        <v>0.08</v>
      </c>
      <c r="G41" s="75">
        <v>0.08</v>
      </c>
    </row>
    <row r="42" spans="1:8" x14ac:dyDescent="0.2">
      <c r="A42" s="13"/>
      <c r="B42" s="13"/>
      <c r="C42" s="73"/>
      <c r="D42" s="73"/>
      <c r="E42" s="75"/>
      <c r="F42" s="73"/>
      <c r="G42" s="73"/>
    </row>
    <row r="43" spans="1:8" x14ac:dyDescent="0.2">
      <c r="A43" s="13" t="s">
        <v>66</v>
      </c>
      <c r="B43" s="73"/>
      <c r="C43" s="73">
        <v>0.375</v>
      </c>
      <c r="D43" s="73">
        <v>0.375</v>
      </c>
      <c r="E43" s="73">
        <v>0.375</v>
      </c>
      <c r="F43" s="73">
        <v>0.375</v>
      </c>
      <c r="G43" s="73">
        <v>0.375</v>
      </c>
    </row>
    <row r="44" spans="1:8" x14ac:dyDescent="0.2">
      <c r="A44" s="13"/>
      <c r="B44" s="13"/>
      <c r="C44" s="73"/>
      <c r="D44" s="73"/>
      <c r="E44" s="73"/>
      <c r="F44" s="73"/>
      <c r="G44" s="73"/>
    </row>
    <row r="45" spans="1:8" s="32" customFormat="1" ht="12.5" x14ac:dyDescent="0.25">
      <c r="A45" s="31" t="s">
        <v>88</v>
      </c>
      <c r="B45" s="127"/>
      <c r="C45" s="35">
        <v>22600</v>
      </c>
      <c r="D45" s="35">
        <v>22600</v>
      </c>
      <c r="E45" s="35">
        <v>22600</v>
      </c>
      <c r="F45" s="35">
        <v>22600</v>
      </c>
      <c r="G45" s="35">
        <v>22600</v>
      </c>
    </row>
    <row r="46" spans="1:8" x14ac:dyDescent="0.2">
      <c r="A46" s="13"/>
      <c r="B46" s="13"/>
      <c r="E46" s="22"/>
      <c r="F46" s="1"/>
    </row>
    <row r="47" spans="1:8" ht="16" thickBot="1" x14ac:dyDescent="0.4">
      <c r="A47" s="303" t="s">
        <v>60</v>
      </c>
      <c r="B47" s="303"/>
      <c r="C47" s="303"/>
      <c r="D47" s="303"/>
      <c r="E47" s="303"/>
      <c r="F47" s="303"/>
      <c r="G47" s="70"/>
    </row>
    <row r="48" spans="1:8" x14ac:dyDescent="0.2">
      <c r="A48" s="12"/>
      <c r="B48" s="12"/>
      <c r="E48" s="22"/>
      <c r="F48" s="1"/>
    </row>
    <row r="49" spans="1:7" ht="10.5" x14ac:dyDescent="0.25">
      <c r="A49" s="10"/>
      <c r="B49" s="10"/>
      <c r="C49" s="72" t="str">
        <f>+C13</f>
        <v>2002E</v>
      </c>
      <c r="D49" s="72" t="str">
        <f>+D13</f>
        <v>2003E</v>
      </c>
      <c r="E49" s="72" t="str">
        <f>+E13</f>
        <v>2004E</v>
      </c>
      <c r="F49" s="72" t="str">
        <f>+F13</f>
        <v>2005E</v>
      </c>
      <c r="G49" s="72" t="str">
        <f>+G13</f>
        <v>2006E</v>
      </c>
    </row>
    <row r="50" spans="1:7" ht="13" x14ac:dyDescent="0.3">
      <c r="A50" s="30" t="s">
        <v>95</v>
      </c>
      <c r="B50" s="30"/>
      <c r="C50" s="2"/>
      <c r="D50" s="2"/>
      <c r="E50" s="28"/>
      <c r="F50" s="2"/>
      <c r="G50" s="2"/>
    </row>
    <row r="51" spans="1:7" x14ac:dyDescent="0.2">
      <c r="A51" s="3" t="s">
        <v>35</v>
      </c>
      <c r="B51" s="3"/>
      <c r="C51" s="2"/>
      <c r="D51" s="2"/>
      <c r="E51" s="28"/>
      <c r="F51" s="2"/>
    </row>
    <row r="52" spans="1:7" x14ac:dyDescent="0.2">
      <c r="A52" s="10" t="s">
        <v>36</v>
      </c>
      <c r="B52" s="10"/>
      <c r="C52" s="76">
        <v>5.0000000000000001E-3</v>
      </c>
      <c r="D52" s="76">
        <v>5.0000000000000001E-3</v>
      </c>
      <c r="E52" s="76">
        <v>5.0000000000000001E-3</v>
      </c>
      <c r="F52" s="76">
        <v>5.0000000000000001E-3</v>
      </c>
      <c r="G52" s="76">
        <v>5.0000000000000001E-3</v>
      </c>
    </row>
    <row r="53" spans="1:7" x14ac:dyDescent="0.2">
      <c r="A53" s="10" t="s">
        <v>38</v>
      </c>
      <c r="B53" s="10"/>
      <c r="C53" s="76">
        <v>2.4E-2</v>
      </c>
      <c r="D53" s="76">
        <v>2.4E-2</v>
      </c>
      <c r="E53" s="76">
        <v>2.4E-2</v>
      </c>
      <c r="F53" s="76">
        <v>2.4E-2</v>
      </c>
      <c r="G53" s="76">
        <v>2.4E-2</v>
      </c>
    </row>
    <row r="54" spans="1:7" x14ac:dyDescent="0.2">
      <c r="A54" s="10" t="s">
        <v>37</v>
      </c>
      <c r="B54" s="10"/>
      <c r="C54" s="76">
        <v>4.0000000000000001E-3</v>
      </c>
      <c r="D54" s="76">
        <v>4.0000000000000001E-3</v>
      </c>
      <c r="E54" s="76">
        <v>4.0000000000000001E-3</v>
      </c>
      <c r="F54" s="76">
        <v>4.0000000000000001E-3</v>
      </c>
      <c r="G54" s="76">
        <v>4.0000000000000001E-3</v>
      </c>
    </row>
    <row r="55" spans="1:7" x14ac:dyDescent="0.2">
      <c r="A55" s="10" t="s">
        <v>39</v>
      </c>
      <c r="B55" s="10"/>
      <c r="C55" s="76">
        <v>1.6E-2</v>
      </c>
      <c r="D55" s="76">
        <v>1.6E-2</v>
      </c>
      <c r="E55" s="76">
        <v>1.6E-2</v>
      </c>
      <c r="F55" s="76">
        <v>1.6E-2</v>
      </c>
      <c r="G55" s="76">
        <v>1.6E-2</v>
      </c>
    </row>
    <row r="56" spans="1:7" x14ac:dyDescent="0.2">
      <c r="A56" s="10" t="s">
        <v>40</v>
      </c>
      <c r="B56" s="10"/>
      <c r="C56" s="76">
        <v>4.0000000000000001E-3</v>
      </c>
      <c r="D56" s="76">
        <v>4.0000000000000001E-3</v>
      </c>
      <c r="E56" s="76">
        <v>4.0000000000000001E-3</v>
      </c>
      <c r="F56" s="76">
        <v>4.0000000000000001E-3</v>
      </c>
      <c r="G56" s="76">
        <v>4.0000000000000001E-3</v>
      </c>
    </row>
    <row r="57" spans="1:7" x14ac:dyDescent="0.2">
      <c r="A57" s="10" t="s">
        <v>41</v>
      </c>
      <c r="B57" s="10"/>
      <c r="C57" s="76">
        <v>6.0000000000000001E-3</v>
      </c>
      <c r="D57" s="76">
        <v>6.0000000000000001E-3</v>
      </c>
      <c r="E57" s="76">
        <v>6.0000000000000001E-3</v>
      </c>
      <c r="F57" s="76">
        <v>6.0000000000000001E-3</v>
      </c>
      <c r="G57" s="76">
        <v>6.0000000000000001E-3</v>
      </c>
    </row>
    <row r="58" spans="1:7" x14ac:dyDescent="0.2">
      <c r="A58" s="10" t="s">
        <v>42</v>
      </c>
      <c r="B58" s="10"/>
      <c r="C58" s="76">
        <v>2E-3</v>
      </c>
      <c r="D58" s="76">
        <v>2E-3</v>
      </c>
      <c r="E58" s="76">
        <v>2E-3</v>
      </c>
      <c r="F58" s="76">
        <v>2E-3</v>
      </c>
      <c r="G58" s="76">
        <v>2E-3</v>
      </c>
    </row>
    <row r="59" spans="1:7" x14ac:dyDescent="0.2">
      <c r="A59" s="9"/>
      <c r="B59" s="9"/>
      <c r="C59" s="76"/>
      <c r="D59" s="76"/>
      <c r="E59" s="76"/>
      <c r="F59" s="76"/>
      <c r="G59" s="76"/>
    </row>
    <row r="60" spans="1:7" x14ac:dyDescent="0.2">
      <c r="A60" s="9" t="s">
        <v>61</v>
      </c>
      <c r="B60" s="9"/>
      <c r="C60" s="76"/>
      <c r="D60" s="76"/>
      <c r="E60" s="76"/>
      <c r="F60" s="76"/>
      <c r="G60" s="76"/>
    </row>
    <row r="61" spans="1:7" x14ac:dyDescent="0.2">
      <c r="A61" s="118" t="s">
        <v>98</v>
      </c>
      <c r="B61" s="118"/>
      <c r="C61" s="135">
        <v>25000</v>
      </c>
      <c r="D61" s="135">
        <v>25000</v>
      </c>
      <c r="E61" s="135">
        <v>25000</v>
      </c>
      <c r="F61" s="135">
        <v>25000</v>
      </c>
      <c r="G61" s="135">
        <v>25000</v>
      </c>
    </row>
    <row r="62" spans="1:7" ht="10.5" x14ac:dyDescent="0.25">
      <c r="A62" s="10" t="s">
        <v>45</v>
      </c>
      <c r="B62" s="10"/>
      <c r="C62" s="306" t="s">
        <v>165</v>
      </c>
      <c r="D62" s="306"/>
      <c r="E62" s="306"/>
      <c r="F62" s="306"/>
      <c r="G62" s="306"/>
    </row>
    <row r="63" spans="1:7" x14ac:dyDescent="0.2">
      <c r="A63" s="10" t="s">
        <v>46</v>
      </c>
      <c r="B63" s="10"/>
      <c r="C63" s="76">
        <v>8.9999999999999993E-3</v>
      </c>
      <c r="D63" s="76">
        <v>8.9999999999999993E-3</v>
      </c>
      <c r="E63" s="76">
        <v>8.9999999999999993E-3</v>
      </c>
      <c r="F63" s="76">
        <v>8.9999999999999993E-3</v>
      </c>
      <c r="G63" s="76">
        <v>8.9999999999999993E-3</v>
      </c>
    </row>
    <row r="64" spans="1:7" x14ac:dyDescent="0.2">
      <c r="A64" s="10" t="s">
        <v>47</v>
      </c>
      <c r="B64" s="10"/>
      <c r="C64" s="76">
        <v>8.0000000000000002E-3</v>
      </c>
      <c r="D64" s="76">
        <v>8.0000000000000002E-3</v>
      </c>
      <c r="E64" s="76">
        <v>8.0000000000000002E-3</v>
      </c>
      <c r="F64" s="76">
        <v>8.0000000000000002E-3</v>
      </c>
      <c r="G64" s="76">
        <v>8.0000000000000002E-3</v>
      </c>
    </row>
    <row r="65" spans="1:7" x14ac:dyDescent="0.2">
      <c r="A65" s="10" t="s">
        <v>48</v>
      </c>
      <c r="B65" s="10"/>
      <c r="C65" s="76">
        <v>4.1000000000000002E-2</v>
      </c>
      <c r="D65" s="76">
        <v>4.1000000000000002E-2</v>
      </c>
      <c r="E65" s="76">
        <v>4.1000000000000002E-2</v>
      </c>
      <c r="F65" s="76">
        <v>4.1000000000000002E-2</v>
      </c>
      <c r="G65" s="76">
        <v>4.1000000000000002E-2</v>
      </c>
    </row>
    <row r="66" spans="1:7" x14ac:dyDescent="0.2">
      <c r="A66" s="9"/>
      <c r="B66" s="9"/>
      <c r="C66" s="76"/>
      <c r="D66" s="76"/>
      <c r="E66" s="76"/>
      <c r="F66" s="76"/>
      <c r="G66" s="76"/>
    </row>
    <row r="67" spans="1:7" ht="13" x14ac:dyDescent="0.3">
      <c r="A67" s="26" t="s">
        <v>96</v>
      </c>
      <c r="B67" s="26"/>
      <c r="C67" s="76"/>
      <c r="D67" s="76"/>
      <c r="E67" s="76"/>
      <c r="F67" s="76"/>
      <c r="G67" s="76"/>
    </row>
    <row r="68" spans="1:7" x14ac:dyDescent="0.2">
      <c r="A68" s="12" t="s">
        <v>51</v>
      </c>
      <c r="B68" s="12"/>
      <c r="C68" s="76"/>
      <c r="D68" s="76"/>
      <c r="E68" s="76"/>
      <c r="F68" s="76"/>
      <c r="G68" s="76"/>
    </row>
    <row r="69" spans="1:7" x14ac:dyDescent="0.2">
      <c r="A69" s="10" t="s">
        <v>52</v>
      </c>
      <c r="B69" s="10"/>
      <c r="C69" s="76">
        <v>2.8000000000000001E-2</v>
      </c>
      <c r="D69" s="76">
        <v>2.8000000000000001E-2</v>
      </c>
      <c r="E69" s="76">
        <v>2.8000000000000001E-2</v>
      </c>
      <c r="F69" s="76">
        <v>2.8000000000000001E-2</v>
      </c>
      <c r="G69" s="76">
        <v>2.8000000000000001E-2</v>
      </c>
    </row>
    <row r="70" spans="1:7" x14ac:dyDescent="0.2">
      <c r="A70" s="10" t="s">
        <v>53</v>
      </c>
      <c r="B70" s="10"/>
      <c r="C70" s="76">
        <v>3.4000000000000002E-2</v>
      </c>
      <c r="D70" s="76">
        <v>3.4000000000000002E-2</v>
      </c>
      <c r="E70" s="76">
        <v>3.4000000000000002E-2</v>
      </c>
      <c r="F70" s="76">
        <v>3.4000000000000002E-2</v>
      </c>
      <c r="G70" s="76">
        <v>3.4000000000000002E-2</v>
      </c>
    </row>
    <row r="71" spans="1:7" x14ac:dyDescent="0.2">
      <c r="A71" s="10" t="s">
        <v>42</v>
      </c>
      <c r="B71" s="10"/>
      <c r="C71" s="76">
        <v>0</v>
      </c>
      <c r="D71" s="76">
        <v>0</v>
      </c>
      <c r="E71" s="76">
        <v>0</v>
      </c>
      <c r="F71" s="76">
        <v>0</v>
      </c>
      <c r="G71" s="76">
        <v>0</v>
      </c>
    </row>
    <row r="72" spans="1:7" x14ac:dyDescent="0.2">
      <c r="A72" s="118" t="s">
        <v>151</v>
      </c>
      <c r="B72" s="118"/>
      <c r="C72" s="74">
        <v>0.08</v>
      </c>
      <c r="D72" s="74">
        <v>0.08</v>
      </c>
      <c r="E72" s="74">
        <v>0.08</v>
      </c>
      <c r="F72" s="74">
        <v>0.08</v>
      </c>
      <c r="G72" s="74">
        <v>0.08</v>
      </c>
    </row>
    <row r="73" spans="1:7" x14ac:dyDescent="0.2">
      <c r="A73" s="77"/>
      <c r="B73" s="77"/>
      <c r="C73" s="74"/>
      <c r="D73" s="74"/>
      <c r="E73" s="74"/>
      <c r="F73" s="74"/>
      <c r="G73" s="74"/>
    </row>
    <row r="74" spans="1:7" x14ac:dyDescent="0.2">
      <c r="A74" s="119" t="s">
        <v>62</v>
      </c>
      <c r="B74" s="119"/>
      <c r="C74" s="74"/>
      <c r="D74" s="74"/>
      <c r="E74" s="74"/>
      <c r="F74" s="74"/>
      <c r="G74" s="74"/>
    </row>
    <row r="75" spans="1:7" x14ac:dyDescent="0.2">
      <c r="A75" s="118" t="s">
        <v>55</v>
      </c>
      <c r="B75" s="118"/>
      <c r="C75" s="74">
        <v>8.9999999999999993E-3</v>
      </c>
      <c r="D75" s="74">
        <v>8.9999999999999993E-3</v>
      </c>
      <c r="E75" s="74">
        <v>8.9999999999999993E-3</v>
      </c>
      <c r="F75" s="74">
        <v>8.9999999999999993E-3</v>
      </c>
      <c r="G75" s="74">
        <v>8.9999999999999993E-3</v>
      </c>
    </row>
    <row r="76" spans="1:7" x14ac:dyDescent="0.2">
      <c r="A76" s="118" t="s">
        <v>153</v>
      </c>
      <c r="B76" s="118"/>
      <c r="C76" s="148">
        <v>150000</v>
      </c>
      <c r="D76" s="148">
        <v>150000</v>
      </c>
      <c r="E76" s="148">
        <v>150000</v>
      </c>
      <c r="F76" s="148">
        <v>150000</v>
      </c>
      <c r="G76" s="148">
        <v>150000</v>
      </c>
    </row>
    <row r="77" spans="1:7" x14ac:dyDescent="0.2">
      <c r="A77" s="10" t="s">
        <v>42</v>
      </c>
      <c r="B77" s="10"/>
      <c r="C77" s="76">
        <v>4.0000000000000001E-3</v>
      </c>
      <c r="D77" s="76">
        <v>4.0000000000000001E-3</v>
      </c>
      <c r="E77" s="76">
        <v>4.0000000000000001E-3</v>
      </c>
      <c r="F77" s="76">
        <v>4.0000000000000001E-3</v>
      </c>
      <c r="G77" s="76">
        <v>4.0000000000000001E-3</v>
      </c>
    </row>
    <row r="78" spans="1:7" x14ac:dyDescent="0.2">
      <c r="A78" s="10" t="s">
        <v>56</v>
      </c>
      <c r="B78" s="10"/>
      <c r="C78" s="76">
        <v>2E-3</v>
      </c>
      <c r="D78" s="76">
        <v>2E-3</v>
      </c>
      <c r="E78" s="76">
        <v>2E-3</v>
      </c>
      <c r="F78" s="76">
        <v>2E-3</v>
      </c>
      <c r="G78" s="76">
        <v>2E-3</v>
      </c>
    </row>
    <row r="79" spans="1:7" x14ac:dyDescent="0.2">
      <c r="A79" s="9"/>
      <c r="B79" s="9"/>
      <c r="C79" s="64"/>
      <c r="D79" s="64"/>
      <c r="E79" s="64"/>
      <c r="F79" s="62"/>
      <c r="G79" s="64"/>
    </row>
    <row r="80" spans="1:7" ht="13" x14ac:dyDescent="0.3">
      <c r="A80" s="29" t="s">
        <v>91</v>
      </c>
      <c r="B80" s="29"/>
      <c r="C80" s="64"/>
      <c r="D80" s="64"/>
      <c r="E80" s="64"/>
      <c r="F80" s="62"/>
      <c r="G80" s="64"/>
    </row>
    <row r="81" spans="1:8" x14ac:dyDescent="0.2">
      <c r="A81" s="12" t="s">
        <v>92</v>
      </c>
      <c r="B81" s="12"/>
      <c r="C81" s="76">
        <v>0</v>
      </c>
      <c r="D81" s="73">
        <v>0</v>
      </c>
      <c r="E81" s="73">
        <v>0</v>
      </c>
      <c r="F81" s="75">
        <v>0</v>
      </c>
      <c r="G81" s="73">
        <v>0</v>
      </c>
      <c r="H81" s="40"/>
    </row>
    <row r="82" spans="1:8" x14ac:dyDescent="0.2">
      <c r="A82" s="10"/>
      <c r="B82" s="10"/>
      <c r="C82" s="76"/>
      <c r="D82" s="76"/>
      <c r="E82" s="76"/>
      <c r="F82" s="74"/>
      <c r="G82" s="76"/>
    </row>
    <row r="83" spans="1:8" x14ac:dyDescent="0.2">
      <c r="A83" s="250"/>
      <c r="B83" s="250"/>
      <c r="C83" s="251"/>
      <c r="D83" s="251"/>
      <c r="E83" s="251"/>
      <c r="F83" s="252"/>
      <c r="G83" s="251"/>
      <c r="H83" s="253"/>
    </row>
    <row r="84" spans="1:8" ht="15.5" x14ac:dyDescent="0.35">
      <c r="A84" s="304"/>
      <c r="B84" s="304"/>
      <c r="C84" s="304"/>
      <c r="D84" s="304"/>
      <c r="E84" s="304"/>
      <c r="F84" s="254"/>
      <c r="G84" s="254"/>
      <c r="H84" s="253"/>
    </row>
    <row r="85" spans="1:8" x14ac:dyDescent="0.2">
      <c r="A85" s="255"/>
      <c r="B85" s="256"/>
      <c r="C85" s="253"/>
      <c r="D85" s="253"/>
      <c r="E85" s="177"/>
      <c r="F85" s="253"/>
      <c r="G85" s="253"/>
      <c r="H85" s="253"/>
    </row>
    <row r="86" spans="1:8" x14ac:dyDescent="0.2">
      <c r="A86" s="253"/>
      <c r="B86" s="253"/>
      <c r="C86" s="253"/>
      <c r="D86" s="253"/>
      <c r="E86" s="253"/>
      <c r="F86" s="177"/>
      <c r="G86" s="253"/>
      <c r="H86" s="253"/>
    </row>
    <row r="87" spans="1:8" ht="10.5" x14ac:dyDescent="0.25">
      <c r="A87" s="253"/>
      <c r="B87" s="253"/>
      <c r="C87" s="257"/>
      <c r="D87" s="258"/>
      <c r="E87" s="258"/>
      <c r="F87" s="258"/>
      <c r="G87" s="258"/>
      <c r="H87" s="253"/>
    </row>
    <row r="88" spans="1:8" x14ac:dyDescent="0.2">
      <c r="A88" s="253"/>
      <c r="B88" s="253"/>
      <c r="C88" s="253"/>
      <c r="D88" s="253"/>
      <c r="E88" s="253"/>
      <c r="F88" s="177"/>
      <c r="G88" s="253"/>
      <c r="H88" s="253"/>
    </row>
    <row r="89" spans="1:8" x14ac:dyDescent="0.2">
      <c r="A89" s="253"/>
      <c r="B89" s="253"/>
      <c r="C89" s="242"/>
      <c r="D89" s="242"/>
      <c r="E89" s="242"/>
      <c r="F89" s="259"/>
      <c r="G89" s="242"/>
      <c r="H89" s="253"/>
    </row>
  </sheetData>
  <mergeCells count="6">
    <mergeCell ref="A4:F4"/>
    <mergeCell ref="A11:F11"/>
    <mergeCell ref="A47:F47"/>
    <mergeCell ref="A84:E84"/>
    <mergeCell ref="C36:G36"/>
    <mergeCell ref="C62:G62"/>
  </mergeCells>
  <phoneticPr fontId="0" type="noConversion"/>
  <pageMargins left="0.75" right="0.75" top="1" bottom="1" header="0.5" footer="0.5"/>
  <pageSetup scale="71" orientation="portrait" horizontalDpi="4294967292" r:id="rId1"/>
  <headerFooter alignWithMargins="0">
    <oddHeader>&amp;C&amp;F
Page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8"/>
  <sheetViews>
    <sheetView showGridLines="0" workbookViewId="0"/>
  </sheetViews>
  <sheetFormatPr defaultColWidth="8.81640625" defaultRowHeight="10" x14ac:dyDescent="0.2"/>
  <cols>
    <col min="1" max="1" width="57.54296875" style="13" bestFit="1" customWidth="1"/>
    <col min="2" max="2" width="9.26953125" style="6" bestFit="1" customWidth="1"/>
    <col min="3" max="16384" width="8.81640625" style="6"/>
  </cols>
  <sheetData>
    <row r="1" spans="1:15" ht="18" x14ac:dyDescent="0.4">
      <c r="A1" s="20" t="str">
        <f>Assumptions!D6</f>
        <v>Papa John's International, Inc.</v>
      </c>
      <c r="B1" s="19"/>
      <c r="C1" s="19"/>
      <c r="D1" s="19"/>
      <c r="E1" s="19"/>
      <c r="F1" s="37"/>
      <c r="G1" s="37"/>
      <c r="H1" s="37"/>
      <c r="I1" s="37"/>
      <c r="J1" s="37"/>
      <c r="K1"/>
      <c r="L1"/>
      <c r="M1"/>
      <c r="N1"/>
      <c r="O1"/>
    </row>
    <row r="2" spans="1:15" ht="12.5" x14ac:dyDescent="0.25">
      <c r="A2" s="12"/>
      <c r="J2"/>
      <c r="K2"/>
      <c r="L2"/>
      <c r="M2"/>
      <c r="N2"/>
      <c r="O2"/>
    </row>
    <row r="3" spans="1:15" ht="15.5" x14ac:dyDescent="0.35">
      <c r="A3" s="23" t="s">
        <v>0</v>
      </c>
      <c r="J3"/>
      <c r="K3"/>
      <c r="L3"/>
      <c r="M3"/>
      <c r="N3"/>
      <c r="O3"/>
    </row>
    <row r="4" spans="1:15" ht="10.9" customHeight="1" x14ac:dyDescent="0.25">
      <c r="A4" s="34" t="s">
        <v>149</v>
      </c>
      <c r="B4" s="35"/>
      <c r="C4" s="35"/>
      <c r="D4" s="35"/>
      <c r="E4" s="35"/>
      <c r="F4" s="35"/>
      <c r="G4" s="35"/>
      <c r="H4" s="35"/>
      <c r="I4" s="35"/>
      <c r="J4"/>
      <c r="K4"/>
      <c r="L4"/>
      <c r="M4"/>
      <c r="N4"/>
      <c r="O4"/>
    </row>
    <row r="5" spans="1:15" ht="12.5" x14ac:dyDescent="0.25">
      <c r="A5" s="12" t="s">
        <v>104</v>
      </c>
      <c r="J5"/>
      <c r="K5"/>
      <c r="L5"/>
      <c r="M5"/>
      <c r="N5"/>
      <c r="O5"/>
    </row>
    <row r="6" spans="1:15" s="8" customFormat="1" ht="13" thickBot="1" x14ac:dyDescent="0.3">
      <c r="A6" s="14"/>
      <c r="B6" s="47">
        <f>+C6-1</f>
        <v>1998</v>
      </c>
      <c r="C6" s="47">
        <f>+D6-1</f>
        <v>1999</v>
      </c>
      <c r="D6" s="47">
        <f>+E6-1</f>
        <v>2000</v>
      </c>
      <c r="E6" s="47">
        <f>+Assumptions!D8</f>
        <v>2001</v>
      </c>
      <c r="F6" s="48" t="str">
        <f>+Assumptions!C13</f>
        <v>2002E</v>
      </c>
      <c r="G6" s="48" t="str">
        <f>+Assumptions!D13</f>
        <v>2003E</v>
      </c>
      <c r="H6" s="48" t="str">
        <f>+Assumptions!E13</f>
        <v>2004E</v>
      </c>
      <c r="I6" s="48" t="str">
        <f>+Assumptions!F13</f>
        <v>2005E</v>
      </c>
      <c r="J6" s="48" t="str">
        <f>+Assumptions!G13</f>
        <v>2006E</v>
      </c>
      <c r="K6"/>
      <c r="L6"/>
      <c r="M6"/>
      <c r="N6"/>
      <c r="O6"/>
    </row>
    <row r="7" spans="1:15" ht="12.5" x14ac:dyDescent="0.25">
      <c r="A7" s="12" t="s">
        <v>5</v>
      </c>
      <c r="K7"/>
      <c r="L7"/>
      <c r="M7"/>
      <c r="N7"/>
      <c r="O7"/>
    </row>
    <row r="8" spans="1:15" ht="12.5" x14ac:dyDescent="0.25">
      <c r="A8" s="10" t="s">
        <v>6</v>
      </c>
      <c r="B8" s="53">
        <v>344089</v>
      </c>
      <c r="C8" s="53">
        <v>397197</v>
      </c>
      <c r="D8" s="53">
        <v>482183</v>
      </c>
      <c r="E8" s="181">
        <v>471863</v>
      </c>
      <c r="F8" s="54">
        <f>E8*(1+Assumptions!C15)</f>
        <v>589828.75</v>
      </c>
      <c r="G8" s="54">
        <f>F8*(1+Assumptions!D15)</f>
        <v>707794.5</v>
      </c>
      <c r="H8" s="54">
        <f>G8*(1+Assumptions!E15)</f>
        <v>813963.67499999993</v>
      </c>
      <c r="I8" s="54">
        <f>H8*(1+Assumptions!F15)</f>
        <v>895360.04249999998</v>
      </c>
      <c r="J8" s="54">
        <f>I8*(1+Assumptions!G15)</f>
        <v>940128.04462499998</v>
      </c>
      <c r="K8"/>
      <c r="L8"/>
      <c r="M8"/>
      <c r="N8"/>
      <c r="O8"/>
    </row>
    <row r="9" spans="1:15" ht="12.5" x14ac:dyDescent="0.25">
      <c r="A9" s="10" t="s">
        <v>7</v>
      </c>
      <c r="B9" s="50">
        <v>32120</v>
      </c>
      <c r="C9" s="50">
        <v>40567</v>
      </c>
      <c r="D9" s="50">
        <v>47145</v>
      </c>
      <c r="E9" s="181">
        <v>50768</v>
      </c>
      <c r="F9" s="54">
        <f>E9*(1+Assumptions!C16)</f>
        <v>63460</v>
      </c>
      <c r="G9" s="54">
        <f>F9*(1+Assumptions!D16)</f>
        <v>76152</v>
      </c>
      <c r="H9" s="54">
        <f>G9*(1+Assumptions!E16)</f>
        <v>87574.799999999988</v>
      </c>
      <c r="I9" s="54">
        <f>H9*(1+Assumptions!F16)</f>
        <v>96332.28</v>
      </c>
      <c r="J9" s="54">
        <f>I9*(1+Assumptions!G16)</f>
        <v>101148.894</v>
      </c>
      <c r="K9"/>
      <c r="L9"/>
      <c r="M9"/>
      <c r="N9"/>
      <c r="O9"/>
    </row>
    <row r="10" spans="1:15" ht="12.5" x14ac:dyDescent="0.25">
      <c r="A10" s="10" t="s">
        <v>8</v>
      </c>
      <c r="B10" s="50">
        <v>5456</v>
      </c>
      <c r="C10" s="50">
        <v>7574</v>
      </c>
      <c r="D10" s="50">
        <v>10861</v>
      </c>
      <c r="E10" s="181">
        <v>8822</v>
      </c>
      <c r="F10" s="54">
        <f>E10*(1+Assumptions!C17)</f>
        <v>11027.5</v>
      </c>
      <c r="G10" s="54">
        <f>F10*(1+Assumptions!D17)</f>
        <v>13233</v>
      </c>
      <c r="H10" s="54">
        <f>G10*(1+Assumptions!E17)</f>
        <v>15217.949999999999</v>
      </c>
      <c r="I10" s="54">
        <f>H10*(1+Assumptions!F17)</f>
        <v>16739.744999999999</v>
      </c>
      <c r="J10" s="54">
        <f>I10*(1+Assumptions!G17)</f>
        <v>17576.732250000001</v>
      </c>
      <c r="K10"/>
      <c r="L10"/>
      <c r="M10"/>
      <c r="N10"/>
      <c r="O10"/>
    </row>
    <row r="11" spans="1:15" ht="12.5" x14ac:dyDescent="0.25">
      <c r="A11" s="10" t="s">
        <v>9</v>
      </c>
      <c r="B11" s="50">
        <v>255083</v>
      </c>
      <c r="C11" s="50">
        <v>306909</v>
      </c>
      <c r="D11" s="50">
        <v>351255</v>
      </c>
      <c r="E11" s="181">
        <v>387049</v>
      </c>
      <c r="F11" s="54">
        <f>E11*(1+Assumptions!C18)</f>
        <v>483811.25</v>
      </c>
      <c r="G11" s="54">
        <f>F11*(1+Assumptions!D18)</f>
        <v>580573.5</v>
      </c>
      <c r="H11" s="54">
        <f>G11*(1+Assumptions!E18)</f>
        <v>667659.52499999991</v>
      </c>
      <c r="I11" s="54">
        <f>H11*(1+Assumptions!F18)</f>
        <v>734425.47749999992</v>
      </c>
      <c r="J11" s="54">
        <f>I11*(1+Assumptions!G18)</f>
        <v>771146.75137499999</v>
      </c>
      <c r="K11"/>
      <c r="L11"/>
      <c r="M11"/>
      <c r="N11"/>
      <c r="O11"/>
    </row>
    <row r="12" spans="1:15" ht="12.5" x14ac:dyDescent="0.25">
      <c r="A12" s="10" t="s">
        <v>10</v>
      </c>
      <c r="B12" s="51">
        <v>45404</v>
      </c>
      <c r="C12" s="51">
        <v>53078</v>
      </c>
      <c r="D12" s="51">
        <v>53233</v>
      </c>
      <c r="E12" s="182">
        <v>52730</v>
      </c>
      <c r="F12" s="81">
        <f>E12*(1+Assumptions!C19)</f>
        <v>65912.5</v>
      </c>
      <c r="G12" s="81">
        <f>F12*(1+Assumptions!D19)</f>
        <v>79095</v>
      </c>
      <c r="H12" s="81">
        <f>G12*(1+Assumptions!E19)</f>
        <v>90959.25</v>
      </c>
      <c r="I12" s="81">
        <f>H12*(1+Assumptions!F19)</f>
        <v>100055.175</v>
      </c>
      <c r="J12" s="81">
        <f>I12*(1+Assumptions!G19)</f>
        <v>105057.93375000001</v>
      </c>
      <c r="K12"/>
      <c r="L12"/>
      <c r="M12"/>
      <c r="N12"/>
      <c r="O12"/>
    </row>
    <row r="13" spans="1:15" ht="12.5" x14ac:dyDescent="0.25">
      <c r="A13" s="77" t="s">
        <v>11</v>
      </c>
      <c r="B13" s="78">
        <f>SUM(B8:B12)</f>
        <v>682152</v>
      </c>
      <c r="C13" s="78">
        <f t="shared" ref="C13:J13" si="0">SUM(C8:C12)</f>
        <v>805325</v>
      </c>
      <c r="D13" s="78">
        <f t="shared" si="0"/>
        <v>944677</v>
      </c>
      <c r="E13" s="78">
        <v>971232</v>
      </c>
      <c r="F13" s="79">
        <f t="shared" si="0"/>
        <v>1214040</v>
      </c>
      <c r="G13" s="79">
        <f t="shared" si="0"/>
        <v>1456848</v>
      </c>
      <c r="H13" s="79">
        <f t="shared" si="0"/>
        <v>1675375.1999999997</v>
      </c>
      <c r="I13" s="79">
        <f t="shared" si="0"/>
        <v>1842912.72</v>
      </c>
      <c r="J13" s="79">
        <f t="shared" si="0"/>
        <v>1935058.3559999999</v>
      </c>
      <c r="K13"/>
      <c r="L13"/>
      <c r="M13"/>
      <c r="N13"/>
      <c r="O13"/>
    </row>
    <row r="14" spans="1:15" ht="12.5" x14ac:dyDescent="0.25">
      <c r="A14" s="12"/>
      <c r="B14" s="50"/>
      <c r="C14" s="50"/>
      <c r="D14" s="50"/>
      <c r="E14" s="183"/>
      <c r="K14"/>
      <c r="L14"/>
      <c r="M14"/>
      <c r="N14"/>
      <c r="O14"/>
    </row>
    <row r="15" spans="1:15" ht="12.5" x14ac:dyDescent="0.25">
      <c r="A15" s="12" t="s">
        <v>12</v>
      </c>
      <c r="B15" s="50"/>
      <c r="C15" s="50"/>
      <c r="D15" s="50"/>
      <c r="E15" s="181"/>
      <c r="K15"/>
      <c r="L15"/>
      <c r="M15"/>
      <c r="N15"/>
      <c r="O15"/>
    </row>
    <row r="16" spans="1:15" ht="12.5" x14ac:dyDescent="0.25">
      <c r="A16" s="10" t="s">
        <v>13</v>
      </c>
      <c r="B16" s="50"/>
      <c r="C16" s="50"/>
      <c r="D16" s="50"/>
      <c r="E16" s="181"/>
      <c r="K16"/>
      <c r="L16"/>
      <c r="M16"/>
      <c r="N16"/>
      <c r="O16"/>
    </row>
    <row r="17" spans="1:15" ht="12.5" x14ac:dyDescent="0.25">
      <c r="A17" s="11" t="s">
        <v>14</v>
      </c>
      <c r="B17" s="50">
        <v>92612</v>
      </c>
      <c r="C17" s="50">
        <v>100261</v>
      </c>
      <c r="D17" s="50">
        <v>111609</v>
      </c>
      <c r="E17" s="181">
        <v>110632</v>
      </c>
      <c r="F17" s="6">
        <f>F$8*Assumptions!C23</f>
        <v>158074.10500000001</v>
      </c>
      <c r="G17" s="6">
        <f>G$8*Assumptions!D23</f>
        <v>189688.92600000001</v>
      </c>
      <c r="H17" s="6">
        <f>H$8*Assumptions!E23</f>
        <v>218142.26489999998</v>
      </c>
      <c r="I17" s="6">
        <f>I$8*Assumptions!F23</f>
        <v>239956.49139000001</v>
      </c>
      <c r="J17" s="6">
        <f>J$8*Assumptions!G23</f>
        <v>251954.3159595</v>
      </c>
      <c r="K17"/>
      <c r="L17"/>
      <c r="M17"/>
      <c r="N17"/>
      <c r="O17"/>
    </row>
    <row r="18" spans="1:15" ht="12.5" x14ac:dyDescent="0.25">
      <c r="A18" s="11" t="s">
        <v>15</v>
      </c>
      <c r="B18" s="50">
        <v>92372</v>
      </c>
      <c r="C18" s="50">
        <v>106713</v>
      </c>
      <c r="D18" s="50">
        <v>127318</v>
      </c>
      <c r="E18" s="181">
        <v>130882</v>
      </c>
      <c r="F18" s="6">
        <f>F$8*Assumptions!C24</f>
        <v>159843.59125</v>
      </c>
      <c r="G18" s="6">
        <f>G$8*Assumptions!D24</f>
        <v>189688.92600000001</v>
      </c>
      <c r="H18" s="6">
        <f>H$8*Assumptions!E24</f>
        <v>218142.26489999998</v>
      </c>
      <c r="I18" s="6">
        <f>I$8*Assumptions!F24</f>
        <v>239956.49139000001</v>
      </c>
      <c r="J18" s="6">
        <f>J$8*Assumptions!G24</f>
        <v>251954.3159595</v>
      </c>
      <c r="K18"/>
      <c r="L18"/>
      <c r="M18"/>
      <c r="N18"/>
      <c r="O18"/>
    </row>
    <row r="19" spans="1:15" ht="12.5" x14ac:dyDescent="0.25">
      <c r="A19" s="11" t="s">
        <v>16</v>
      </c>
      <c r="B19" s="50">
        <v>29846</v>
      </c>
      <c r="C19" s="50">
        <v>36008</v>
      </c>
      <c r="D19" s="50">
        <v>41729</v>
      </c>
      <c r="E19" s="181">
        <v>35297</v>
      </c>
      <c r="F19" s="6">
        <f>F$8*Assumptions!C25</f>
        <v>51315.10125</v>
      </c>
      <c r="G19" s="6">
        <f>G$8*Assumptions!D25</f>
        <v>58746.943500000001</v>
      </c>
      <c r="H19" s="6">
        <f>H$8*Assumptions!E25</f>
        <v>67558.985025000002</v>
      </c>
      <c r="I19" s="6">
        <f>I$8*Assumptions!F25</f>
        <v>74314.883527500002</v>
      </c>
      <c r="J19" s="6">
        <f>J$8*Assumptions!G25</f>
        <v>78030.627703874998</v>
      </c>
      <c r="K19"/>
      <c r="L19"/>
      <c r="M19"/>
      <c r="N19"/>
      <c r="O19"/>
    </row>
    <row r="20" spans="1:15" ht="12.5" x14ac:dyDescent="0.25">
      <c r="A20" s="11" t="s">
        <v>17</v>
      </c>
      <c r="B20" s="50">
        <v>17138</v>
      </c>
      <c r="C20" s="50">
        <v>19541</v>
      </c>
      <c r="D20" s="50">
        <v>23248</v>
      </c>
      <c r="E20" s="181">
        <v>25326</v>
      </c>
      <c r="F20" s="6">
        <f>F$8*Assumptions!C26</f>
        <v>28901.608749999999</v>
      </c>
      <c r="G20" s="6">
        <f>G$8*Assumptions!D26</f>
        <v>34681.930500000002</v>
      </c>
      <c r="H20" s="6">
        <f>H$8*Assumptions!E26</f>
        <v>39884.220074999997</v>
      </c>
      <c r="I20" s="6">
        <f>I$8*Assumptions!F26</f>
        <v>43872.642082500002</v>
      </c>
      <c r="J20" s="6">
        <f>J$8*Assumptions!G26</f>
        <v>46066.274186625</v>
      </c>
      <c r="K20"/>
      <c r="L20"/>
      <c r="M20"/>
      <c r="N20"/>
      <c r="O20"/>
    </row>
    <row r="21" spans="1:15" ht="12.5" x14ac:dyDescent="0.25">
      <c r="A21" s="11" t="s">
        <v>18</v>
      </c>
      <c r="B21" s="51">
        <v>44685</v>
      </c>
      <c r="C21" s="51">
        <v>53463</v>
      </c>
      <c r="D21" s="51">
        <v>65074</v>
      </c>
      <c r="E21" s="182">
        <v>60721</v>
      </c>
      <c r="F21" s="25">
        <f>F$8*Assumptions!C27</f>
        <v>77267.566250000003</v>
      </c>
      <c r="G21" s="25">
        <f>G$8*Assumptions!D27</f>
        <v>92013.285000000003</v>
      </c>
      <c r="H21" s="25">
        <f>H$8*Assumptions!E27</f>
        <v>105815.27774999999</v>
      </c>
      <c r="I21" s="25">
        <f>I$8*Assumptions!F27</f>
        <v>116396.805525</v>
      </c>
      <c r="J21" s="25">
        <f>J$8*Assumptions!G27</f>
        <v>122216.64580125001</v>
      </c>
      <c r="K21"/>
      <c r="L21"/>
      <c r="M21"/>
      <c r="N21"/>
      <c r="O21"/>
    </row>
    <row r="22" spans="1:15" ht="12.5" x14ac:dyDescent="0.25">
      <c r="A22" s="10" t="s">
        <v>19</v>
      </c>
      <c r="B22" s="50">
        <f>SUM(B17:B21)</f>
        <v>276653</v>
      </c>
      <c r="C22" s="50">
        <f t="shared" ref="C22:J22" si="1">SUM(C17:C21)</f>
        <v>315986</v>
      </c>
      <c r="D22" s="50">
        <f t="shared" si="1"/>
        <v>368978</v>
      </c>
      <c r="E22" s="181">
        <v>362858</v>
      </c>
      <c r="F22" s="6">
        <f t="shared" si="1"/>
        <v>475401.97250000003</v>
      </c>
      <c r="G22" s="6">
        <f t="shared" si="1"/>
        <v>564820.01100000006</v>
      </c>
      <c r="H22" s="6">
        <f t="shared" si="1"/>
        <v>649543.01264999993</v>
      </c>
      <c r="I22" s="6">
        <f t="shared" si="1"/>
        <v>714497.31391500006</v>
      </c>
      <c r="J22" s="6">
        <f t="shared" si="1"/>
        <v>750222.17961075006</v>
      </c>
      <c r="K22"/>
      <c r="L22"/>
      <c r="M22"/>
      <c r="N22"/>
      <c r="O22"/>
    </row>
    <row r="23" spans="1:15" ht="12.5" x14ac:dyDescent="0.25">
      <c r="A23" s="12"/>
      <c r="B23" s="50"/>
      <c r="C23" s="50"/>
      <c r="D23" s="50"/>
      <c r="E23" s="181"/>
      <c r="K23"/>
      <c r="L23"/>
      <c r="M23"/>
      <c r="N23"/>
      <c r="O23"/>
    </row>
    <row r="24" spans="1:15" ht="12.5" x14ac:dyDescent="0.25">
      <c r="A24" s="10" t="s">
        <v>87</v>
      </c>
      <c r="B24" s="50"/>
      <c r="C24" s="50"/>
      <c r="D24" s="50"/>
      <c r="E24" s="181"/>
      <c r="K24"/>
      <c r="L24"/>
      <c r="M24"/>
      <c r="N24"/>
      <c r="O24"/>
    </row>
    <row r="25" spans="1:15" ht="12.5" x14ac:dyDescent="0.25">
      <c r="A25" s="11" t="s">
        <v>14</v>
      </c>
      <c r="B25" s="50">
        <v>235934</v>
      </c>
      <c r="C25" s="50">
        <v>274613</v>
      </c>
      <c r="D25" s="50">
        <v>304338</v>
      </c>
      <c r="E25" s="50">
        <v>323954</v>
      </c>
      <c r="F25" s="6">
        <f>(F$11+F$12)*Assumptions!C30</f>
        <v>429883.97250000003</v>
      </c>
      <c r="G25" s="6">
        <f>(G$11+G$12)*Assumptions!D30</f>
        <v>515860.76699999999</v>
      </c>
      <c r="H25" s="6">
        <f>(H$11+H$12)*Assumptions!E30</f>
        <v>593239.8820499999</v>
      </c>
      <c r="I25" s="6">
        <f>(I$11+I$12)*Assumptions!F30</f>
        <v>652563.87025499996</v>
      </c>
      <c r="J25" s="6">
        <f>(J$11+J$12)*Assumptions!G30</f>
        <v>685192.06376775005</v>
      </c>
      <c r="K25"/>
      <c r="L25"/>
      <c r="M25"/>
      <c r="N25"/>
      <c r="O25"/>
    </row>
    <row r="26" spans="1:15" ht="12.5" x14ac:dyDescent="0.25">
      <c r="A26" s="11" t="s">
        <v>15</v>
      </c>
      <c r="B26" s="50">
        <v>16981</v>
      </c>
      <c r="C26" s="50">
        <v>23719</v>
      </c>
      <c r="D26" s="50">
        <v>27682</v>
      </c>
      <c r="E26" s="50">
        <v>30124</v>
      </c>
      <c r="F26" s="6">
        <f>(F$11+F$12)*Assumptions!C31</f>
        <v>30784.53</v>
      </c>
      <c r="G26" s="6">
        <f>(G$11+G$12)*Assumptions!D31</f>
        <v>36941.436000000002</v>
      </c>
      <c r="H26" s="6">
        <f>(H$11+H$12)*Assumptions!E31</f>
        <v>42482.651399999995</v>
      </c>
      <c r="I26" s="6">
        <f>(I$11+I$12)*Assumptions!F31</f>
        <v>46730.916539999998</v>
      </c>
      <c r="J26" s="6">
        <f>(J$11+J$12)*Assumptions!G31</f>
        <v>49067.462367</v>
      </c>
      <c r="K26"/>
      <c r="L26"/>
      <c r="M26"/>
      <c r="N26"/>
      <c r="O26"/>
    </row>
    <row r="27" spans="1:15" ht="12.5" x14ac:dyDescent="0.25">
      <c r="A27" s="11" t="s">
        <v>18</v>
      </c>
      <c r="B27" s="51">
        <v>22560</v>
      </c>
      <c r="C27" s="51">
        <v>27702</v>
      </c>
      <c r="D27" s="51">
        <v>30736</v>
      </c>
      <c r="E27" s="51">
        <v>41053</v>
      </c>
      <c r="F27" s="25">
        <f>(F$11+F$12)*Assumptions!C32</f>
        <v>40679.557499999995</v>
      </c>
      <c r="G27" s="25">
        <f>(G$11+G$12)*Assumptions!D32</f>
        <v>48815.468999999997</v>
      </c>
      <c r="H27" s="25">
        <f>(H$11+H$12)*Assumptions!E32</f>
        <v>56137.789349999992</v>
      </c>
      <c r="I27" s="25">
        <f>(I$11+I$12)*Assumptions!F32</f>
        <v>61751.568284999994</v>
      </c>
      <c r="J27" s="25">
        <f>(J$11+J$12)*Assumptions!G32</f>
        <v>64839.146699249992</v>
      </c>
      <c r="K27"/>
      <c r="L27"/>
      <c r="M27"/>
      <c r="N27"/>
      <c r="O27"/>
    </row>
    <row r="28" spans="1:15" ht="12.5" x14ac:dyDescent="0.25">
      <c r="A28" s="10" t="s">
        <v>20</v>
      </c>
      <c r="B28" s="50">
        <f t="shared" ref="B28:J28" si="2">SUM(B25:B27)</f>
        <v>275475</v>
      </c>
      <c r="C28" s="50">
        <f t="shared" si="2"/>
        <v>326034</v>
      </c>
      <c r="D28" s="50">
        <f t="shared" si="2"/>
        <v>362756</v>
      </c>
      <c r="E28" s="181">
        <v>395131</v>
      </c>
      <c r="F28" s="6">
        <f t="shared" si="2"/>
        <v>501348.06000000006</v>
      </c>
      <c r="G28" s="6">
        <f t="shared" si="2"/>
        <v>601617.67200000002</v>
      </c>
      <c r="H28" s="6">
        <f t="shared" si="2"/>
        <v>691860.32279999985</v>
      </c>
      <c r="I28" s="6">
        <f t="shared" si="2"/>
        <v>761046.35508000001</v>
      </c>
      <c r="J28" s="6">
        <f t="shared" si="2"/>
        <v>799098.67283400008</v>
      </c>
      <c r="K28"/>
      <c r="L28"/>
      <c r="M28"/>
      <c r="N28"/>
      <c r="O28"/>
    </row>
    <row r="29" spans="1:15" ht="12.5" x14ac:dyDescent="0.25">
      <c r="A29" s="10"/>
      <c r="B29" s="50"/>
      <c r="C29" s="50"/>
      <c r="D29" s="50"/>
      <c r="E29" s="181"/>
      <c r="K29"/>
      <c r="L29"/>
      <c r="M29"/>
      <c r="N29"/>
      <c r="O29"/>
    </row>
    <row r="30" spans="1:15" ht="12.5" x14ac:dyDescent="0.25">
      <c r="A30" s="10" t="s">
        <v>69</v>
      </c>
      <c r="B30" s="50"/>
      <c r="C30" s="57"/>
      <c r="D30" s="50"/>
      <c r="E30" s="181"/>
      <c r="K30"/>
      <c r="L30"/>
      <c r="M30"/>
      <c r="N30"/>
      <c r="O30"/>
    </row>
    <row r="31" spans="1:15" ht="12.5" x14ac:dyDescent="0.25">
      <c r="A31" s="11" t="s">
        <v>21</v>
      </c>
      <c r="B31" s="50">
        <v>53008</v>
      </c>
      <c r="C31" s="50">
        <v>54386</v>
      </c>
      <c r="D31" s="50">
        <v>72402</v>
      </c>
      <c r="E31" s="184">
        <v>69487</v>
      </c>
      <c r="F31" s="6">
        <f>F$13*Assumptions!C34</f>
        <v>86196.84</v>
      </c>
      <c r="G31" s="6">
        <f>G$13*Assumptions!D34</f>
        <v>99065.664000000004</v>
      </c>
      <c r="H31" s="6">
        <f>H$13*Assumptions!E34</f>
        <v>113925.51359999999</v>
      </c>
      <c r="I31" s="6">
        <f>I$13*Assumptions!F34</f>
        <v>125318.06496</v>
      </c>
      <c r="J31" s="6">
        <f>J$13*Assumptions!G34</f>
        <v>131583.96820800001</v>
      </c>
      <c r="K31"/>
      <c r="L31"/>
      <c r="M31"/>
      <c r="N31"/>
      <c r="O31"/>
    </row>
    <row r="32" spans="1:15" ht="12.5" x14ac:dyDescent="0.25">
      <c r="A32" s="11" t="s">
        <v>22</v>
      </c>
      <c r="B32" s="50">
        <v>2838</v>
      </c>
      <c r="C32" s="50">
        <v>3414</v>
      </c>
      <c r="D32" s="50">
        <v>2158</v>
      </c>
      <c r="E32" s="184">
        <v>3521</v>
      </c>
      <c r="F32" s="6">
        <f>F$13*Assumptions!C35</f>
        <v>3642.12</v>
      </c>
      <c r="G32" s="6">
        <f>G$13*Assumptions!D35</f>
        <v>4370.5439999999999</v>
      </c>
      <c r="H32" s="6">
        <f>H$13*Assumptions!E35</f>
        <v>5026.1255999999994</v>
      </c>
      <c r="I32" s="6">
        <f>I$13*Assumptions!F35</f>
        <v>5528.7381599999999</v>
      </c>
      <c r="J32" s="6">
        <f>J$13*Assumptions!G35</f>
        <v>5805.1750679999996</v>
      </c>
      <c r="K32"/>
      <c r="L32"/>
      <c r="M32"/>
      <c r="N32"/>
      <c r="O32"/>
    </row>
    <row r="33" spans="1:15" ht="12.5" x14ac:dyDescent="0.25">
      <c r="A33" s="11" t="s">
        <v>23</v>
      </c>
      <c r="B33" s="52">
        <v>20490</v>
      </c>
      <c r="C33" s="52">
        <v>24827</v>
      </c>
      <c r="D33" s="52">
        <v>34172</v>
      </c>
      <c r="E33" s="185">
        <v>35176</v>
      </c>
      <c r="F33" s="27">
        <f>+'Fixed Asset Schedule'!E14</f>
        <v>31227.833333333332</v>
      </c>
      <c r="G33" s="27">
        <f>+'Fixed Asset Schedule'!F14</f>
        <v>35894.5</v>
      </c>
      <c r="H33" s="27">
        <f>+'Fixed Asset Schedule'!G14</f>
        <v>40561.166666666664</v>
      </c>
      <c r="I33" s="27">
        <f>+'Fixed Asset Schedule'!H14</f>
        <v>45227.833333333328</v>
      </c>
      <c r="J33" s="27">
        <f>+'Fixed Asset Schedule'!I14</f>
        <v>49894.499999999993</v>
      </c>
      <c r="K33"/>
      <c r="L33"/>
      <c r="M33"/>
      <c r="N33"/>
      <c r="O33"/>
    </row>
    <row r="34" spans="1:15" ht="12.5" x14ac:dyDescent="0.25">
      <c r="A34" s="136" t="s">
        <v>105</v>
      </c>
      <c r="B34" s="137">
        <v>0</v>
      </c>
      <c r="C34" s="137">
        <v>2090</v>
      </c>
      <c r="D34" s="137">
        <v>21700</v>
      </c>
      <c r="E34" s="185">
        <v>21739</v>
      </c>
      <c r="F34" s="138">
        <f>F$13*Assumptions!C37</f>
        <v>9712.32</v>
      </c>
      <c r="G34" s="138">
        <f>G$13*Assumptions!D37</f>
        <v>11654.784</v>
      </c>
      <c r="H34" s="138">
        <f>H$13*Assumptions!E37</f>
        <v>13403.001599999998</v>
      </c>
      <c r="I34" s="138">
        <f>I$13*Assumptions!F37</f>
        <v>14743.30176</v>
      </c>
      <c r="J34" s="138">
        <f>J$13*Assumptions!G37</f>
        <v>15480.466848</v>
      </c>
      <c r="K34" s="1"/>
      <c r="L34"/>
      <c r="M34"/>
      <c r="N34"/>
      <c r="O34"/>
    </row>
    <row r="35" spans="1:15" ht="12.5" x14ac:dyDescent="0.25">
      <c r="A35" s="139" t="s">
        <v>69</v>
      </c>
      <c r="B35" s="140">
        <v>0</v>
      </c>
      <c r="C35" s="140">
        <v>6104</v>
      </c>
      <c r="D35" s="140">
        <v>25122</v>
      </c>
      <c r="E35" s="186">
        <v>537</v>
      </c>
      <c r="F35" s="124">
        <f>F$13*Assumptions!C38</f>
        <v>32779.08</v>
      </c>
      <c r="G35" s="124">
        <f>G$13*Assumptions!D38</f>
        <v>39334.896000000001</v>
      </c>
      <c r="H35" s="124">
        <f>H$13*Assumptions!E38</f>
        <v>45235.130399999995</v>
      </c>
      <c r="I35" s="124">
        <f>I$13*Assumptions!F38</f>
        <v>49758.64344</v>
      </c>
      <c r="J35" s="124">
        <f>J$13*Assumptions!G38</f>
        <v>52246.575612000001</v>
      </c>
      <c r="K35" s="1"/>
      <c r="L35"/>
      <c r="M35"/>
      <c r="N35"/>
      <c r="O35"/>
    </row>
    <row r="36" spans="1:15" ht="12.5" x14ac:dyDescent="0.25">
      <c r="A36" s="10" t="s">
        <v>70</v>
      </c>
      <c r="B36" s="52">
        <f t="shared" ref="B36:J36" si="3">SUM(B31:B35)</f>
        <v>76336</v>
      </c>
      <c r="C36" s="52">
        <f t="shared" si="3"/>
        <v>90821</v>
      </c>
      <c r="D36" s="52">
        <f t="shared" si="3"/>
        <v>155554</v>
      </c>
      <c r="E36" s="50">
        <v>130460</v>
      </c>
      <c r="F36" s="6">
        <f t="shared" si="3"/>
        <v>163558.1933333333</v>
      </c>
      <c r="G36" s="6">
        <f t="shared" si="3"/>
        <v>190320.38799999998</v>
      </c>
      <c r="H36" s="6">
        <f t="shared" si="3"/>
        <v>218150.93786666665</v>
      </c>
      <c r="I36" s="6">
        <f t="shared" si="3"/>
        <v>240576.58165333333</v>
      </c>
      <c r="J36" s="6">
        <f t="shared" si="3"/>
        <v>255010.68573600001</v>
      </c>
      <c r="K36"/>
      <c r="L36"/>
      <c r="M36"/>
      <c r="N36"/>
      <c r="O36"/>
    </row>
    <row r="37" spans="1:15" ht="12.5" x14ac:dyDescent="0.25">
      <c r="A37" s="11"/>
      <c r="B37" s="51"/>
      <c r="C37" s="51"/>
      <c r="D37" s="51"/>
      <c r="E37" s="51"/>
      <c r="F37" s="25"/>
      <c r="G37" s="25"/>
      <c r="H37" s="25"/>
      <c r="I37" s="25"/>
      <c r="J37" s="25"/>
      <c r="K37"/>
      <c r="L37"/>
      <c r="M37"/>
      <c r="N37"/>
      <c r="O37"/>
    </row>
    <row r="38" spans="1:15" ht="12.5" x14ac:dyDescent="0.25">
      <c r="A38" s="12" t="s">
        <v>24</v>
      </c>
      <c r="B38" s="52">
        <f t="shared" ref="B38:J38" si="4">B22+B28+B36</f>
        <v>628464</v>
      </c>
      <c r="C38" s="52">
        <f t="shared" si="4"/>
        <v>732841</v>
      </c>
      <c r="D38" s="52">
        <f t="shared" si="4"/>
        <v>887288</v>
      </c>
      <c r="E38" s="52">
        <v>888449</v>
      </c>
      <c r="F38" s="6">
        <f t="shared" si="4"/>
        <v>1140308.2258333333</v>
      </c>
      <c r="G38" s="6">
        <f t="shared" si="4"/>
        <v>1356758.0710000002</v>
      </c>
      <c r="H38" s="6">
        <f t="shared" si="4"/>
        <v>1559554.2733166663</v>
      </c>
      <c r="I38" s="6">
        <f t="shared" si="4"/>
        <v>1716120.2506483332</v>
      </c>
      <c r="J38" s="6">
        <f t="shared" si="4"/>
        <v>1804331.5381807503</v>
      </c>
      <c r="K38"/>
      <c r="L38"/>
      <c r="M38"/>
      <c r="N38"/>
      <c r="O38"/>
    </row>
    <row r="39" spans="1:15" ht="12.5" x14ac:dyDescent="0.25">
      <c r="A39" s="12"/>
      <c r="B39" s="51"/>
      <c r="C39" s="51"/>
      <c r="D39" s="51"/>
      <c r="E39" s="186"/>
      <c r="F39" s="25"/>
      <c r="G39" s="25"/>
      <c r="H39" s="25"/>
      <c r="I39" s="25"/>
      <c r="J39" s="25"/>
      <c r="K39"/>
      <c r="L39"/>
      <c r="M39"/>
      <c r="N39"/>
      <c r="O39"/>
    </row>
    <row r="40" spans="1:15" ht="12.5" x14ac:dyDescent="0.25">
      <c r="A40" s="13" t="s">
        <v>26</v>
      </c>
      <c r="B40" s="80">
        <f t="shared" ref="B40:J40" si="5">B13-B38</f>
        <v>53688</v>
      </c>
      <c r="C40" s="80">
        <f t="shared" si="5"/>
        <v>72484</v>
      </c>
      <c r="D40" s="80">
        <f t="shared" si="5"/>
        <v>57389</v>
      </c>
      <c r="E40" s="50">
        <v>82783</v>
      </c>
      <c r="F40" s="6">
        <f t="shared" si="5"/>
        <v>73731.77416666667</v>
      </c>
      <c r="G40" s="6">
        <f t="shared" si="5"/>
        <v>100089.92899999977</v>
      </c>
      <c r="H40" s="6">
        <f t="shared" si="5"/>
        <v>115820.92668333347</v>
      </c>
      <c r="I40" s="6">
        <f t="shared" si="5"/>
        <v>126792.46935166675</v>
      </c>
      <c r="J40" s="6">
        <f t="shared" si="5"/>
        <v>130726.81781924958</v>
      </c>
      <c r="K40"/>
      <c r="L40"/>
      <c r="M40"/>
      <c r="N40"/>
      <c r="O40"/>
    </row>
    <row r="41" spans="1:15" ht="12.5" x14ac:dyDescent="0.25">
      <c r="A41" s="141" t="s">
        <v>25</v>
      </c>
      <c r="B41" s="78">
        <v>4100</v>
      </c>
      <c r="C41" s="78">
        <v>3384</v>
      </c>
      <c r="D41" s="78">
        <v>1943</v>
      </c>
      <c r="E41" s="50">
        <v>1958</v>
      </c>
      <c r="F41" s="79">
        <f>+Assumptions!C40*Assumptions!C61</f>
        <v>1500</v>
      </c>
      <c r="G41" s="79">
        <f>+Assumptions!D40*Assumptions!D61</f>
        <v>1500</v>
      </c>
      <c r="H41" s="79">
        <f>+Assumptions!E40*Assumptions!E61</f>
        <v>1500</v>
      </c>
      <c r="I41" s="79">
        <f>+Assumptions!F40*Assumptions!F61</f>
        <v>1500</v>
      </c>
      <c r="J41" s="79">
        <f>+Assumptions!G40*Assumptions!G61</f>
        <v>1500</v>
      </c>
      <c r="K41" s="1"/>
      <c r="L41"/>
      <c r="M41"/>
      <c r="N41"/>
      <c r="O41"/>
    </row>
    <row r="42" spans="1:15" ht="12.5" x14ac:dyDescent="0.25">
      <c r="A42" s="141" t="s">
        <v>106</v>
      </c>
      <c r="B42" s="142">
        <v>-643</v>
      </c>
      <c r="C42" s="142">
        <v>-151</v>
      </c>
      <c r="D42" s="142">
        <v>-7746</v>
      </c>
      <c r="E42" s="142">
        <v>-8857</v>
      </c>
      <c r="F42" s="102">
        <f ca="1">-Assumptions!C41*('Balance Sheet'!E39+'Balance Sheet'!E34)</f>
        <v>-6324.6351270096447</v>
      </c>
      <c r="G42" s="102">
        <f ca="1">-Assumptions!D41*('Balance Sheet'!G39+'Balance Sheet'!G34)</f>
        <v>-47838.607821052647</v>
      </c>
      <c r="H42" s="102">
        <f ca="1">-Assumptions!E41*('Balance Sheet'!H39+'Balance Sheet'!H34)</f>
        <v>-46508.216574265942</v>
      </c>
      <c r="I42" s="102">
        <f ca="1">-Assumptions!F41*('Balance Sheet'!I39+'Balance Sheet'!I34)</f>
        <v>-44103.545754964151</v>
      </c>
      <c r="J42" s="102">
        <f ca="1">-Assumptions!G41*('Balance Sheet'!J39+'Balance Sheet'!J34)</f>
        <v>-40852.296809433334</v>
      </c>
      <c r="K42" s="1"/>
      <c r="L42"/>
      <c r="M42"/>
      <c r="N42"/>
      <c r="O42"/>
    </row>
    <row r="43" spans="1:15" ht="12.5" x14ac:dyDescent="0.25">
      <c r="B43" s="51"/>
      <c r="C43" s="51"/>
      <c r="D43" s="51"/>
      <c r="E43" s="187"/>
      <c r="F43" s="25"/>
      <c r="G43" s="25"/>
      <c r="H43" s="25"/>
      <c r="I43" s="25"/>
      <c r="J43" s="25"/>
      <c r="K43"/>
      <c r="L43"/>
      <c r="M43"/>
      <c r="N43"/>
      <c r="O43"/>
    </row>
    <row r="44" spans="1:15" ht="12.5" x14ac:dyDescent="0.25">
      <c r="A44" s="13" t="s">
        <v>27</v>
      </c>
      <c r="B44" s="50">
        <f t="shared" ref="B44:J44" si="6">SUM(B40:B42)</f>
        <v>57145</v>
      </c>
      <c r="C44" s="50">
        <f t="shared" si="6"/>
        <v>75717</v>
      </c>
      <c r="D44" s="50">
        <f t="shared" si="6"/>
        <v>51586</v>
      </c>
      <c r="E44" s="50">
        <v>75884</v>
      </c>
      <c r="F44" s="6">
        <f t="shared" ca="1" si="6"/>
        <v>68907.13903965702</v>
      </c>
      <c r="G44" s="6">
        <f t="shared" ca="1" si="6"/>
        <v>53751.321178947124</v>
      </c>
      <c r="H44" s="6">
        <f t="shared" ca="1" si="6"/>
        <v>70812.710109067528</v>
      </c>
      <c r="I44" s="6">
        <f t="shared" ca="1" si="6"/>
        <v>84188.923596702603</v>
      </c>
      <c r="J44" s="6">
        <f t="shared" ca="1" si="6"/>
        <v>91374.52100981625</v>
      </c>
      <c r="K44"/>
      <c r="L44"/>
      <c r="M44"/>
      <c r="N44"/>
      <c r="O44"/>
    </row>
    <row r="45" spans="1:15" ht="12.5" x14ac:dyDescent="0.25">
      <c r="A45" s="13" t="s">
        <v>28</v>
      </c>
      <c r="B45" s="50">
        <v>22181</v>
      </c>
      <c r="C45" s="50">
        <v>28431</v>
      </c>
      <c r="D45" s="50">
        <v>19762</v>
      </c>
      <c r="E45" s="188">
        <v>28639</v>
      </c>
      <c r="F45" s="6">
        <f ca="1">+F44*Assumptions!C43</f>
        <v>25840.177139871383</v>
      </c>
      <c r="G45" s="6">
        <f ca="1">+G44*Assumptions!D43</f>
        <v>20156.745442105173</v>
      </c>
      <c r="H45" s="6">
        <f ca="1">+H44*Assumptions!E43</f>
        <v>26554.766290900323</v>
      </c>
      <c r="I45" s="6">
        <f ca="1">+I44*Assumptions!F43</f>
        <v>31570.846348763476</v>
      </c>
      <c r="J45" s="6">
        <f ca="1">+J44*Assumptions!G43</f>
        <v>34265.445378681092</v>
      </c>
      <c r="K45"/>
      <c r="L45"/>
      <c r="M45"/>
      <c r="N45"/>
      <c r="O45"/>
    </row>
    <row r="46" spans="1:15" ht="12.5" x14ac:dyDescent="0.25">
      <c r="B46" s="51"/>
      <c r="C46" s="51"/>
      <c r="D46" s="51"/>
      <c r="E46" s="182"/>
      <c r="F46" s="25"/>
      <c r="G46" s="25"/>
      <c r="H46" s="25"/>
      <c r="I46" s="25"/>
      <c r="J46" s="25"/>
      <c r="K46"/>
      <c r="L46"/>
      <c r="M46"/>
      <c r="N46"/>
      <c r="O46"/>
    </row>
    <row r="47" spans="1:15" ht="12.5" x14ac:dyDescent="0.25">
      <c r="A47" s="13" t="s">
        <v>29</v>
      </c>
      <c r="B47" s="50">
        <f t="shared" ref="B47:J47" si="7">B44-B45</f>
        <v>34964</v>
      </c>
      <c r="C47" s="50">
        <f t="shared" si="7"/>
        <v>47286</v>
      </c>
      <c r="D47" s="50">
        <f t="shared" si="7"/>
        <v>31824</v>
      </c>
      <c r="E47" s="50">
        <v>47245</v>
      </c>
      <c r="F47" s="6">
        <f t="shared" ca="1" si="7"/>
        <v>43066.961899785638</v>
      </c>
      <c r="G47" s="6">
        <f t="shared" ca="1" si="7"/>
        <v>33594.575736841951</v>
      </c>
      <c r="H47" s="6">
        <f t="shared" ca="1" si="7"/>
        <v>44257.943818167201</v>
      </c>
      <c r="I47" s="6">
        <f t="shared" ca="1" si="7"/>
        <v>52618.077247939131</v>
      </c>
      <c r="J47" s="6">
        <f t="shared" ca="1" si="7"/>
        <v>57109.075631135158</v>
      </c>
      <c r="K47"/>
      <c r="L47"/>
      <c r="M47"/>
      <c r="N47"/>
      <c r="O47"/>
    </row>
    <row r="48" spans="1:15" ht="12.5" x14ac:dyDescent="0.25">
      <c r="A48" s="13" t="s">
        <v>30</v>
      </c>
      <c r="B48" s="143">
        <v>-2603</v>
      </c>
      <c r="C48" s="51">
        <v>0</v>
      </c>
      <c r="D48" s="51">
        <v>0</v>
      </c>
      <c r="E48" s="182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/>
      <c r="L48"/>
      <c r="M48"/>
      <c r="N48"/>
      <c r="O48"/>
    </row>
    <row r="49" spans="1:15" ht="13" thickBot="1" x14ac:dyDescent="0.3">
      <c r="A49" s="13" t="s">
        <v>31</v>
      </c>
      <c r="B49" s="55">
        <f t="shared" ref="B49:J49" si="8">SUM(B47:B48)</f>
        <v>32361</v>
      </c>
      <c r="C49" s="55">
        <f t="shared" si="8"/>
        <v>47286</v>
      </c>
      <c r="D49" s="55">
        <f t="shared" si="8"/>
        <v>31824</v>
      </c>
      <c r="E49" s="55">
        <v>47245</v>
      </c>
      <c r="F49" s="56">
        <f t="shared" ca="1" si="8"/>
        <v>43066.961899785638</v>
      </c>
      <c r="G49" s="56">
        <f t="shared" ca="1" si="8"/>
        <v>33594.575736841951</v>
      </c>
      <c r="H49" s="56">
        <f t="shared" ca="1" si="8"/>
        <v>44257.943818167201</v>
      </c>
      <c r="I49" s="56">
        <f t="shared" ca="1" si="8"/>
        <v>52618.077247939131</v>
      </c>
      <c r="J49" s="56">
        <f t="shared" ca="1" si="8"/>
        <v>57109.075631135158</v>
      </c>
      <c r="K49"/>
      <c r="L49"/>
      <c r="M49"/>
      <c r="N49"/>
      <c r="O49"/>
    </row>
    <row r="50" spans="1:15" ht="13" thickTop="1" x14ac:dyDescent="0.25">
      <c r="K50"/>
    </row>
    <row r="51" spans="1:15" ht="12.5" x14ac:dyDescent="0.25">
      <c r="A51" s="13" t="s">
        <v>71</v>
      </c>
      <c r="D51" s="33"/>
      <c r="E51" s="33"/>
      <c r="F51" s="33">
        <f ca="1">+F49/Assumptions!C45</f>
        <v>1.9056177831763557</v>
      </c>
      <c r="G51" s="33">
        <f ca="1">+G49/Assumptions!D45</f>
        <v>1.4864856520726526</v>
      </c>
      <c r="H51" s="33">
        <f ca="1">+H49/Assumptions!E45</f>
        <v>1.9583160981489911</v>
      </c>
      <c r="I51" s="33">
        <f ca="1">+I49/Assumptions!F45</f>
        <v>2.3282335065459794</v>
      </c>
      <c r="J51" s="33">
        <f ca="1">+J49/Assumptions!G45</f>
        <v>2.5269502491652727</v>
      </c>
      <c r="K51"/>
    </row>
    <row r="104" customFormat="1" ht="12.5" x14ac:dyDescent="0.25"/>
    <row r="105" customFormat="1" ht="12.5" x14ac:dyDescent="0.25"/>
    <row r="106" customFormat="1" ht="12.5" x14ac:dyDescent="0.25"/>
    <row r="107" customFormat="1" ht="12.5" x14ac:dyDescent="0.25"/>
    <row r="108" customFormat="1" ht="12.5" x14ac:dyDescent="0.25"/>
  </sheetData>
  <phoneticPr fontId="0" type="noConversion"/>
  <pageMargins left="0.75" right="0.75" top="1" bottom="1" header="0.5" footer="0.5"/>
  <pageSetup scale="70" orientation="portrait" horizontalDpi="4294967292" verticalDpi="0" r:id="rId1"/>
  <headerFooter alignWithMargins="0">
    <oddHeader>&amp;C&amp;F
Page 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60"/>
  <sheetViews>
    <sheetView showGridLines="0" workbookViewId="0">
      <selection activeCell="F63" sqref="F63"/>
    </sheetView>
  </sheetViews>
  <sheetFormatPr defaultColWidth="8.81640625" defaultRowHeight="10.9" customHeight="1" x14ac:dyDescent="0.25"/>
  <cols>
    <col min="1" max="1" width="44.1796875" style="15" customWidth="1"/>
    <col min="2" max="4" width="10.7265625" style="16" bestFit="1" customWidth="1"/>
    <col min="5" max="5" width="12.453125" style="16" bestFit="1" customWidth="1"/>
    <col min="6" max="6" width="12.453125" style="16" customWidth="1"/>
    <col min="7" max="7" width="12.26953125" style="16" bestFit="1" customWidth="1"/>
    <col min="8" max="8" width="11.54296875" style="16" bestFit="1" customWidth="1"/>
    <col min="9" max="9" width="12.26953125" style="16" bestFit="1" customWidth="1"/>
    <col min="10" max="10" width="11.7265625" style="16" bestFit="1" customWidth="1"/>
    <col min="11" max="15" width="8.7265625" customWidth="1"/>
    <col min="16" max="16384" width="8.81640625" style="15"/>
  </cols>
  <sheetData>
    <row r="1" spans="1:45" ht="18" x14ac:dyDescent="0.4">
      <c r="A1" s="20" t="str">
        <f>Assumptions!D6</f>
        <v>Papa John's International, Inc.</v>
      </c>
      <c r="B1" s="21"/>
      <c r="C1" s="21"/>
      <c r="D1" s="21"/>
      <c r="E1" s="21"/>
      <c r="F1" s="21"/>
      <c r="G1" s="21"/>
      <c r="H1" s="38"/>
      <c r="I1" s="38"/>
      <c r="J1" s="38"/>
    </row>
    <row r="3" spans="1:45" s="7" customFormat="1" ht="15.5" x14ac:dyDescent="0.35">
      <c r="A3" s="24" t="s">
        <v>33</v>
      </c>
      <c r="B3" s="6"/>
      <c r="C3" s="6"/>
      <c r="D3" s="6"/>
      <c r="E3" s="6"/>
      <c r="F3" s="6"/>
      <c r="G3" s="6"/>
      <c r="H3" s="6"/>
      <c r="I3" s="6"/>
      <c r="J3" s="6"/>
      <c r="K3"/>
      <c r="L3"/>
      <c r="M3"/>
      <c r="N3"/>
      <c r="O3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s="7" customFormat="1" ht="10.9" customHeight="1" x14ac:dyDescent="0.25">
      <c r="A4" s="34" t="str">
        <f>"(Dollars in "&amp; IF(Assumptions!D6=1, "Millions", "Thousands") &amp;" Except Per Share Data)"</f>
        <v>(Dollars in Thousands Except Per Share Data)</v>
      </c>
      <c r="B4" s="6"/>
      <c r="C4" s="6"/>
      <c r="D4" s="6"/>
      <c r="E4" s="6"/>
      <c r="F4" s="6"/>
      <c r="G4" s="6"/>
      <c r="H4" s="6"/>
      <c r="I4" s="6"/>
      <c r="J4" s="6"/>
      <c r="K4"/>
      <c r="L4"/>
      <c r="M4"/>
      <c r="N4"/>
      <c r="O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s="7" customFormat="1" ht="10.9" customHeight="1" x14ac:dyDescent="0.25">
      <c r="A5" s="34"/>
      <c r="B5" s="6"/>
      <c r="C5" s="6"/>
      <c r="D5" s="6"/>
      <c r="E5" s="6"/>
      <c r="F5" s="6"/>
      <c r="G5" s="6"/>
      <c r="H5" s="6"/>
      <c r="I5" s="6"/>
      <c r="J5" s="6"/>
      <c r="K5"/>
      <c r="L5"/>
      <c r="M5"/>
      <c r="N5"/>
      <c r="O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1:45" s="5" customFormat="1" ht="13.5" thickBot="1" x14ac:dyDescent="0.35">
      <c r="A6" s="26" t="s">
        <v>34</v>
      </c>
      <c r="B6" s="152">
        <f>+'Income Statement'!C6</f>
        <v>1999</v>
      </c>
      <c r="C6" s="152">
        <f>+'Income Statement'!D6</f>
        <v>2000</v>
      </c>
      <c r="D6" s="152">
        <f>+'Income Statement'!E6</f>
        <v>2001</v>
      </c>
      <c r="E6" s="152" t="str">
        <f>+Assumptions!C13</f>
        <v>2002E</v>
      </c>
      <c r="F6" s="152" t="s">
        <v>247</v>
      </c>
      <c r="G6" s="151" t="str">
        <f>+Assumptions!D13</f>
        <v>2003E</v>
      </c>
      <c r="H6" s="151" t="str">
        <f>+Assumptions!E13</f>
        <v>2004E</v>
      </c>
      <c r="I6" s="151" t="str">
        <f>+Assumptions!F13</f>
        <v>2005E</v>
      </c>
      <c r="J6" s="151" t="str">
        <f>+Assumptions!G13</f>
        <v>2006E</v>
      </c>
      <c r="K6"/>
      <c r="L6"/>
      <c r="M6"/>
      <c r="N6"/>
      <c r="O6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s="5" customFormat="1" ht="10.9" customHeight="1" x14ac:dyDescent="0.25">
      <c r="A7" s="3" t="s">
        <v>35</v>
      </c>
      <c r="B7" s="8"/>
      <c r="C7" s="8"/>
      <c r="D7" s="8"/>
      <c r="E7" s="8"/>
      <c r="F7" s="8"/>
      <c r="G7" s="8"/>
      <c r="H7" s="8"/>
      <c r="I7" s="8"/>
      <c r="J7" s="8"/>
      <c r="K7"/>
      <c r="L7"/>
      <c r="M7"/>
      <c r="N7"/>
      <c r="O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7" customFormat="1" ht="10.9" customHeight="1" x14ac:dyDescent="0.25">
      <c r="A8" s="10" t="s">
        <v>36</v>
      </c>
      <c r="B8" s="50">
        <v>3698</v>
      </c>
      <c r="C8" s="50">
        <v>6141</v>
      </c>
      <c r="D8" s="189">
        <v>17609</v>
      </c>
      <c r="E8" s="6">
        <f>Assumptions!C52*'Income Statement'!F$13</f>
        <v>6070.2</v>
      </c>
      <c r="F8" s="6"/>
      <c r="G8" s="6">
        <f>Assumptions!D52*'Income Statement'!G$13</f>
        <v>7284.24</v>
      </c>
      <c r="H8" s="6">
        <f>Assumptions!E52*'Income Statement'!H$13</f>
        <v>8376.8759999999984</v>
      </c>
      <c r="I8" s="6">
        <f>Assumptions!F52*'Income Statement'!I$13</f>
        <v>9214.5635999999995</v>
      </c>
      <c r="J8" s="6">
        <f>Assumptions!G52*'Income Statement'!J$13</f>
        <v>9675.2917799999996</v>
      </c>
      <c r="K8"/>
      <c r="L8"/>
      <c r="M8"/>
      <c r="N8" s="147"/>
      <c r="O8" s="147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s="7" customFormat="1" ht="10.9" customHeight="1" x14ac:dyDescent="0.25">
      <c r="A9" s="10" t="s">
        <v>215</v>
      </c>
      <c r="B9" s="50">
        <v>0</v>
      </c>
      <c r="C9" s="50">
        <v>0</v>
      </c>
      <c r="D9" s="189">
        <v>0</v>
      </c>
      <c r="E9" s="6">
        <f ca="1">+E44+SUM(E49:E55)-E25-SUM(E10:E15)-E8</f>
        <v>-6.0936145018786192E-11</v>
      </c>
      <c r="F9" s="6"/>
      <c r="G9" s="6">
        <f ca="1">+G44+SUM(G49:G55)-G25-SUM(G10:G15)-G8</f>
        <v>1.2187229003757238E-10</v>
      </c>
      <c r="H9" s="6">
        <f ca="1">+H44+SUM(H49:H55)-H25-SUM(H10:H15)-H8</f>
        <v>0</v>
      </c>
      <c r="I9" s="6">
        <f ca="1">+I44+SUM(I49:I55)-I25-SUM(I10:I15)-I8</f>
        <v>6.730260793119669E-11</v>
      </c>
      <c r="J9" s="6">
        <f ca="1">+J44+SUM(J49:J55)-J25-SUM(J10:J15)-J8</f>
        <v>1.0186340659856796E-10</v>
      </c>
      <c r="K9"/>
      <c r="L9"/>
      <c r="M9"/>
      <c r="N9" s="147"/>
      <c r="O9" s="147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s="7" customFormat="1" ht="12.5" x14ac:dyDescent="0.25">
      <c r="A10" s="10" t="s">
        <v>38</v>
      </c>
      <c r="B10" s="50">
        <v>18113</v>
      </c>
      <c r="C10" s="50">
        <v>20259</v>
      </c>
      <c r="D10" s="190">
        <v>18891</v>
      </c>
      <c r="E10" s="6">
        <f>Assumptions!C53*'Income Statement'!F$13</f>
        <v>29136.959999999999</v>
      </c>
      <c r="F10" s="6"/>
      <c r="G10" s="6">
        <f>Assumptions!D53*'Income Statement'!G$13</f>
        <v>34964.351999999999</v>
      </c>
      <c r="H10" s="6">
        <f>Assumptions!E53*'Income Statement'!H$13</f>
        <v>40209.004799999995</v>
      </c>
      <c r="I10" s="6">
        <f>Assumptions!F53*'Income Statement'!I$13</f>
        <v>44229.905279999999</v>
      </c>
      <c r="J10" s="6">
        <f>Assumptions!G53*'Income Statement'!J$13</f>
        <v>46441.400543999996</v>
      </c>
      <c r="K10"/>
      <c r="L10"/>
      <c r="M10"/>
      <c r="N10" s="147"/>
      <c r="O10" s="147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s="7" customFormat="1" ht="10.9" customHeight="1" x14ac:dyDescent="0.25">
      <c r="A11" s="10" t="s">
        <v>37</v>
      </c>
      <c r="B11" s="50">
        <v>3302</v>
      </c>
      <c r="C11" s="50">
        <v>2805</v>
      </c>
      <c r="D11" s="190">
        <v>4347</v>
      </c>
      <c r="E11" s="6">
        <f>Assumptions!C54*'Income Statement'!F$13</f>
        <v>4856.16</v>
      </c>
      <c r="F11" s="6"/>
      <c r="G11" s="6">
        <f>Assumptions!D54*'Income Statement'!G$13</f>
        <v>5827.3919999999998</v>
      </c>
      <c r="H11" s="6">
        <f>Assumptions!E54*'Income Statement'!H$13</f>
        <v>6701.5007999999989</v>
      </c>
      <c r="I11" s="6">
        <f>Assumptions!F54*'Income Statement'!I$13</f>
        <v>7371.6508800000001</v>
      </c>
      <c r="J11" s="6">
        <f>Assumptions!G54*'Income Statement'!J$13</f>
        <v>7740.233424</v>
      </c>
      <c r="K11"/>
      <c r="L11"/>
      <c r="M11"/>
      <c r="N11" s="147"/>
      <c r="O11" s="147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45" s="7" customFormat="1" ht="10.9" customHeight="1" x14ac:dyDescent="0.25">
      <c r="A12" s="10" t="s">
        <v>39</v>
      </c>
      <c r="B12" s="50">
        <v>10637</v>
      </c>
      <c r="C12" s="50">
        <v>18321</v>
      </c>
      <c r="D12" s="190">
        <v>12659</v>
      </c>
      <c r="E12" s="6">
        <f>Assumptions!C55*'Income Statement'!F$13</f>
        <v>19424.64</v>
      </c>
      <c r="F12" s="6"/>
      <c r="G12" s="6">
        <f>Assumptions!D55*'Income Statement'!G$13</f>
        <v>23309.567999999999</v>
      </c>
      <c r="H12" s="6">
        <f>Assumptions!E55*'Income Statement'!H$13</f>
        <v>26806.003199999996</v>
      </c>
      <c r="I12" s="6">
        <f>Assumptions!F55*'Income Statement'!I$13</f>
        <v>29486.603520000001</v>
      </c>
      <c r="J12" s="6">
        <f>Assumptions!G55*'Income Statement'!J$13</f>
        <v>30960.933696</v>
      </c>
      <c r="K12"/>
      <c r="L12"/>
      <c r="M12"/>
      <c r="N12" s="147"/>
      <c r="O12" s="147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s="7" customFormat="1" ht="10.9" customHeight="1" x14ac:dyDescent="0.25">
      <c r="A13" s="118" t="s">
        <v>40</v>
      </c>
      <c r="B13" s="78">
        <v>0</v>
      </c>
      <c r="C13" s="78">
        <v>0</v>
      </c>
      <c r="D13" s="190"/>
      <c r="E13" s="79">
        <f>Assumptions!C56*'Income Statement'!F$13</f>
        <v>4856.16</v>
      </c>
      <c r="F13" s="79"/>
      <c r="G13" s="79">
        <f>Assumptions!D56*'Income Statement'!G$13</f>
        <v>5827.3919999999998</v>
      </c>
      <c r="H13" s="79">
        <f>Assumptions!E56*'Income Statement'!H$13</f>
        <v>6701.5007999999989</v>
      </c>
      <c r="I13" s="79">
        <f>Assumptions!F56*'Income Statement'!I$13</f>
        <v>7371.6508800000001</v>
      </c>
      <c r="J13" s="79">
        <f>Assumptions!G56*'Income Statement'!J$13</f>
        <v>7740.233424</v>
      </c>
      <c r="K13" s="147"/>
      <c r="L13" s="147"/>
      <c r="M13" s="147"/>
      <c r="N13" s="147"/>
      <c r="O13" s="147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s="7" customFormat="1" ht="10.9" customHeight="1" x14ac:dyDescent="0.25">
      <c r="A14" s="118" t="s">
        <v>41</v>
      </c>
      <c r="B14" s="78">
        <v>7378</v>
      </c>
      <c r="C14" s="78">
        <v>13167</v>
      </c>
      <c r="D14" s="190">
        <v>8986</v>
      </c>
      <c r="E14" s="79">
        <f>Assumptions!C57*'Income Statement'!F$13</f>
        <v>7284.24</v>
      </c>
      <c r="F14" s="79"/>
      <c r="G14" s="79">
        <f>Assumptions!D57*'Income Statement'!G$13</f>
        <v>8741.0879999999997</v>
      </c>
      <c r="H14" s="79">
        <f>Assumptions!E57*'Income Statement'!H$13</f>
        <v>10052.251199999999</v>
      </c>
      <c r="I14" s="79">
        <f>Assumptions!F57*'Income Statement'!I$13</f>
        <v>11057.47632</v>
      </c>
      <c r="J14" s="79">
        <f>Assumptions!G57*'Income Statement'!J$13</f>
        <v>11610.350135999999</v>
      </c>
      <c r="K14" s="147"/>
      <c r="L14" s="147"/>
      <c r="M14" s="147"/>
      <c r="N14" s="147"/>
      <c r="O14" s="147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s="7" customFormat="1" ht="10.9" customHeight="1" x14ac:dyDescent="0.25">
      <c r="A15" s="118" t="s">
        <v>42</v>
      </c>
      <c r="B15" s="140">
        <v>2977</v>
      </c>
      <c r="C15" s="140">
        <v>4822</v>
      </c>
      <c r="D15" s="191">
        <v>2639</v>
      </c>
      <c r="E15" s="124">
        <f>Assumptions!C58*'Income Statement'!F$13</f>
        <v>2428.08</v>
      </c>
      <c r="F15" s="124"/>
      <c r="G15" s="124">
        <f>Assumptions!D58*'Income Statement'!G$13</f>
        <v>2913.6959999999999</v>
      </c>
      <c r="H15" s="124">
        <f>Assumptions!E58*'Income Statement'!H$13</f>
        <v>3350.7503999999994</v>
      </c>
      <c r="I15" s="124">
        <f>Assumptions!F58*'Income Statement'!I$13</f>
        <v>3685.8254400000001</v>
      </c>
      <c r="J15" s="124">
        <f>Assumptions!G58*'Income Statement'!J$13</f>
        <v>3870.116712</v>
      </c>
      <c r="K15" s="147"/>
      <c r="L15" s="147"/>
      <c r="M15" s="147"/>
      <c r="N15" s="147"/>
      <c r="O15" s="147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s="7" customFormat="1" ht="10.9" customHeight="1" x14ac:dyDescent="0.25">
      <c r="A16" s="119" t="s">
        <v>43</v>
      </c>
      <c r="B16" s="78">
        <f t="shared" ref="B16:J16" si="0">SUM(B8:B15)</f>
        <v>46105</v>
      </c>
      <c r="C16" s="78">
        <f t="shared" si="0"/>
        <v>65515</v>
      </c>
      <c r="D16" s="78">
        <f t="shared" si="0"/>
        <v>65131</v>
      </c>
      <c r="E16" s="79">
        <f t="shared" ca="1" si="0"/>
        <v>74056.439999999944</v>
      </c>
      <c r="F16" s="79"/>
      <c r="G16" s="79">
        <f t="shared" ca="1" si="0"/>
        <v>88867.728000000105</v>
      </c>
      <c r="H16" s="79">
        <f t="shared" ca="1" si="0"/>
        <v>102197.88719999998</v>
      </c>
      <c r="I16" s="79">
        <f t="shared" ca="1" si="0"/>
        <v>112417.67592000007</v>
      </c>
      <c r="J16" s="79">
        <f t="shared" ca="1" si="0"/>
        <v>118038.55971600009</v>
      </c>
      <c r="K16" s="147"/>
      <c r="L16" s="147"/>
      <c r="M16" s="147"/>
      <c r="N16" s="147"/>
      <c r="O16" s="147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s="7" customFormat="1" ht="10.9" customHeight="1" x14ac:dyDescent="0.25">
      <c r="A17" s="119"/>
      <c r="B17" s="78"/>
      <c r="C17" s="78" t="s">
        <v>94</v>
      </c>
      <c r="D17" s="192"/>
      <c r="E17" s="79"/>
      <c r="F17" s="79"/>
      <c r="G17" s="79"/>
      <c r="H17" s="79"/>
      <c r="I17" s="79"/>
      <c r="J17" s="79"/>
      <c r="K17" s="147"/>
      <c r="L17" s="147"/>
      <c r="M17" s="147"/>
      <c r="N17" s="147"/>
      <c r="O17" s="147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s="7" customFormat="1" ht="10.9" customHeight="1" x14ac:dyDescent="0.25">
      <c r="A18" s="119" t="s">
        <v>61</v>
      </c>
      <c r="B18" s="78" t="s">
        <v>94</v>
      </c>
      <c r="C18" s="78"/>
      <c r="D18" s="190"/>
      <c r="E18" s="79"/>
      <c r="F18" s="79"/>
      <c r="G18" s="79"/>
      <c r="H18" s="79"/>
      <c r="I18" s="79"/>
      <c r="J18" s="79"/>
      <c r="K18" s="147"/>
      <c r="L18" s="147"/>
      <c r="M18" s="147"/>
      <c r="N18" s="147"/>
      <c r="O18" s="147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s="7" customFormat="1" ht="10.9" customHeight="1" x14ac:dyDescent="0.25">
      <c r="A19" s="118" t="s">
        <v>44</v>
      </c>
      <c r="B19" s="78">
        <v>22086</v>
      </c>
      <c r="C19" s="78">
        <v>0</v>
      </c>
      <c r="D19" s="190">
        <v>3424</v>
      </c>
      <c r="E19" s="79">
        <f>Assumptions!C61</f>
        <v>25000</v>
      </c>
      <c r="F19" s="79"/>
      <c r="G19" s="79">
        <f>Assumptions!D61</f>
        <v>25000</v>
      </c>
      <c r="H19" s="79">
        <f>Assumptions!E61</f>
        <v>25000</v>
      </c>
      <c r="I19" s="79">
        <f>Assumptions!F61</f>
        <v>25000</v>
      </c>
      <c r="J19" s="79">
        <f>Assumptions!G61</f>
        <v>25000</v>
      </c>
      <c r="K19" s="147"/>
      <c r="L19" s="147"/>
      <c r="M19" s="147"/>
      <c r="N19" s="147"/>
      <c r="O19" s="147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s="7" customFormat="1" ht="10.9" customHeight="1" x14ac:dyDescent="0.25">
      <c r="A20" s="118" t="s">
        <v>45</v>
      </c>
      <c r="B20" s="78">
        <v>227813</v>
      </c>
      <c r="C20" s="78">
        <v>245874</v>
      </c>
      <c r="D20" s="190">
        <v>238945</v>
      </c>
      <c r="E20" s="79">
        <f>+'Fixed Asset Schedule'!E21</f>
        <v>317717.16666666669</v>
      </c>
      <c r="F20" s="79"/>
      <c r="G20" s="79">
        <f>+'Fixed Asset Schedule'!F21</f>
        <v>351822.66666666669</v>
      </c>
      <c r="H20" s="79">
        <f>+'Fixed Asset Schedule'!G21</f>
        <v>381261.5</v>
      </c>
      <c r="I20" s="79">
        <f>+'Fixed Asset Schedule'!H21</f>
        <v>406033.66666666669</v>
      </c>
      <c r="J20" s="79">
        <f>+'Fixed Asset Schedule'!I21</f>
        <v>426139.16666666669</v>
      </c>
      <c r="K20" s="79"/>
      <c r="L20" s="147"/>
      <c r="M20" s="147"/>
      <c r="N20" s="147"/>
      <c r="O20" s="147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s="7" customFormat="1" ht="10.9" customHeight="1" x14ac:dyDescent="0.25">
      <c r="A21" s="118" t="s">
        <v>46</v>
      </c>
      <c r="B21" s="78">
        <v>8153</v>
      </c>
      <c r="C21" s="78">
        <v>9862</v>
      </c>
      <c r="D21" s="190">
        <v>16913</v>
      </c>
      <c r="E21" s="79">
        <f>'Income Statement'!F$13*Assumptions!C63</f>
        <v>10926.359999999999</v>
      </c>
      <c r="F21" s="79"/>
      <c r="G21" s="79">
        <f>'Income Statement'!G$13*Assumptions!D63</f>
        <v>13111.632</v>
      </c>
      <c r="H21" s="79">
        <f>'Income Statement'!H$13*Assumptions!E63</f>
        <v>15078.376799999996</v>
      </c>
      <c r="I21" s="79">
        <f>'Income Statement'!I$13*Assumptions!F63</f>
        <v>16586.214479999999</v>
      </c>
      <c r="J21" s="79">
        <f>'Income Statement'!J$13*Assumptions!G63</f>
        <v>17415.525203999998</v>
      </c>
      <c r="K21" s="147"/>
      <c r="L21" s="147"/>
      <c r="M21" s="147"/>
      <c r="N21" s="147"/>
      <c r="O21" s="147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s="7" customFormat="1" ht="10.9" customHeight="1" x14ac:dyDescent="0.25">
      <c r="A22" s="118" t="s">
        <v>47</v>
      </c>
      <c r="B22" s="78">
        <v>3590</v>
      </c>
      <c r="C22" s="78">
        <v>6813</v>
      </c>
      <c r="D22" s="190">
        <v>661</v>
      </c>
      <c r="E22" s="79">
        <f>'Income Statement'!F$13*Assumptions!C64</f>
        <v>9712.32</v>
      </c>
      <c r="F22" s="79"/>
      <c r="G22" s="79">
        <f>'Income Statement'!G$13*Assumptions!D64</f>
        <v>11654.784</v>
      </c>
      <c r="H22" s="79">
        <f>'Income Statement'!H$13*Assumptions!E64</f>
        <v>13403.001599999998</v>
      </c>
      <c r="I22" s="79">
        <f>'Income Statement'!I$13*Assumptions!F64</f>
        <v>14743.30176</v>
      </c>
      <c r="J22" s="79">
        <f>'Income Statement'!J$13*Assumptions!G64</f>
        <v>15480.466848</v>
      </c>
      <c r="K22" s="147"/>
      <c r="L22" s="147"/>
      <c r="M22" s="147"/>
      <c r="N22" s="147"/>
      <c r="O22" s="147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 s="7" customFormat="1" ht="10.9" customHeight="1" x14ac:dyDescent="0.25">
      <c r="A23" s="118" t="s">
        <v>250</v>
      </c>
      <c r="B23" s="272">
        <v>0</v>
      </c>
      <c r="C23" s="272">
        <v>0</v>
      </c>
      <c r="D23" s="272">
        <v>0</v>
      </c>
      <c r="E23" s="273">
        <v>0</v>
      </c>
      <c r="F23" s="273">
        <f>IF('Transaction Summary'!G13=0,0,'Transaction Summary'!C31)</f>
        <v>0</v>
      </c>
      <c r="G23" s="273">
        <f>+E23+F23</f>
        <v>0</v>
      </c>
      <c r="H23" s="273">
        <f>+G23</f>
        <v>0</v>
      </c>
      <c r="I23" s="273">
        <f>+H23</f>
        <v>0</v>
      </c>
      <c r="J23" s="273">
        <f>+I23</f>
        <v>0</v>
      </c>
      <c r="K23" s="147"/>
      <c r="L23" s="147"/>
      <c r="M23" s="147"/>
      <c r="N23" s="147"/>
      <c r="O23" s="147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 s="7" customFormat="1" ht="10.9" customHeight="1" x14ac:dyDescent="0.25">
      <c r="A24" s="118" t="s">
        <v>48</v>
      </c>
      <c r="B24" s="140">
        <v>64304</v>
      </c>
      <c r="C24" s="140">
        <v>67594</v>
      </c>
      <c r="D24" s="191">
        <v>62365</v>
      </c>
      <c r="E24" s="124">
        <f>'Income Statement'!F$13*Assumptions!C65</f>
        <v>49775.64</v>
      </c>
      <c r="F24" s="124"/>
      <c r="G24" s="124">
        <f>'Income Statement'!G$13*Assumptions!D65</f>
        <v>59730.768000000004</v>
      </c>
      <c r="H24" s="124">
        <f>'Income Statement'!H$13*Assumptions!E65</f>
        <v>68690.383199999997</v>
      </c>
      <c r="I24" s="124">
        <f>'Income Statement'!I$13*Assumptions!F65</f>
        <v>75559.421520000004</v>
      </c>
      <c r="J24" s="124">
        <f>'Income Statement'!J$13*Assumptions!G65</f>
        <v>79337.392596000005</v>
      </c>
      <c r="K24" s="147"/>
      <c r="L24" s="147"/>
      <c r="M24" s="147"/>
      <c r="N24" s="147"/>
      <c r="O24" s="147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 s="7" customFormat="1" ht="10.9" customHeight="1" x14ac:dyDescent="0.25">
      <c r="A25" s="119" t="s">
        <v>49</v>
      </c>
      <c r="B25" s="78">
        <f>SUM(B19:B24)</f>
        <v>325946</v>
      </c>
      <c r="C25" s="78">
        <f t="shared" ref="C25:J25" si="1">SUM(C19:C24)</f>
        <v>330143</v>
      </c>
      <c r="D25" s="78">
        <f t="shared" si="1"/>
        <v>322308</v>
      </c>
      <c r="E25" s="79">
        <f t="shared" si="1"/>
        <v>413131.48666666669</v>
      </c>
      <c r="F25" s="79"/>
      <c r="G25" s="79">
        <f t="shared" si="1"/>
        <v>461319.85066666664</v>
      </c>
      <c r="H25" s="79">
        <f t="shared" si="1"/>
        <v>503433.26159999997</v>
      </c>
      <c r="I25" s="79">
        <f t="shared" si="1"/>
        <v>537922.60442666674</v>
      </c>
      <c r="J25" s="79">
        <f t="shared" si="1"/>
        <v>563372.55131466675</v>
      </c>
      <c r="K25" s="147"/>
      <c r="L25" s="147"/>
      <c r="M25" s="147"/>
      <c r="N25" s="147"/>
      <c r="O25" s="147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 s="7" customFormat="1" ht="10.9" customHeight="1" x14ac:dyDescent="0.25">
      <c r="A26" s="119"/>
      <c r="B26" s="78"/>
      <c r="C26" s="78"/>
      <c r="D26" s="192"/>
      <c r="E26" s="79"/>
      <c r="F26" s="79"/>
      <c r="G26" s="79"/>
      <c r="H26" s="79"/>
      <c r="I26" s="79"/>
      <c r="J26" s="79"/>
      <c r="K26" s="147"/>
      <c r="L26" s="147"/>
      <c r="M26" s="147"/>
      <c r="N26" s="147"/>
      <c r="O26" s="147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 s="7" customFormat="1" ht="10.9" customHeight="1" thickBot="1" x14ac:dyDescent="0.3">
      <c r="A27" s="119" t="s">
        <v>50</v>
      </c>
      <c r="B27" s="221">
        <f t="shared" ref="B27:J27" si="2">B16+B25</f>
        <v>372051</v>
      </c>
      <c r="C27" s="221">
        <f>C16+C25</f>
        <v>395658</v>
      </c>
      <c r="D27" s="221">
        <f>D16+D25</f>
        <v>387439</v>
      </c>
      <c r="E27" s="204">
        <f t="shared" ca="1" si="2"/>
        <v>487187.92666666664</v>
      </c>
      <c r="F27" s="204"/>
      <c r="G27" s="204">
        <f t="shared" ca="1" si="2"/>
        <v>550187.57866666676</v>
      </c>
      <c r="H27" s="204">
        <f t="shared" ca="1" si="2"/>
        <v>605631.14879999997</v>
      </c>
      <c r="I27" s="204">
        <f t="shared" ca="1" si="2"/>
        <v>650340.28034666681</v>
      </c>
      <c r="J27" s="204">
        <f t="shared" ca="1" si="2"/>
        <v>681411.11103066686</v>
      </c>
      <c r="K27" s="147"/>
      <c r="L27" s="147"/>
      <c r="M27" s="147"/>
      <c r="N27" s="147"/>
      <c r="O27" s="147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 s="7" customFormat="1" ht="10.9" customHeight="1" thickTop="1" x14ac:dyDescent="0.25">
      <c r="A28" s="119"/>
      <c r="B28" s="79"/>
      <c r="C28" s="79"/>
      <c r="D28" s="193"/>
      <c r="E28" s="79"/>
      <c r="F28" s="79"/>
      <c r="G28" s="79"/>
      <c r="H28" s="79"/>
      <c r="I28" s="79"/>
      <c r="J28" s="79"/>
      <c r="K28" s="147"/>
      <c r="L28" s="147"/>
      <c r="M28" s="147"/>
      <c r="N28" s="147"/>
      <c r="O28" s="147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s="5" customFormat="1" ht="13.5" thickBot="1" x14ac:dyDescent="0.35">
      <c r="A29" s="112" t="s">
        <v>72</v>
      </c>
      <c r="B29" s="151">
        <f>+B6</f>
        <v>1999</v>
      </c>
      <c r="C29" s="151">
        <f>+C6</f>
        <v>2000</v>
      </c>
      <c r="D29" s="151">
        <f>+D6</f>
        <v>2001</v>
      </c>
      <c r="E29" s="151" t="str">
        <f>+E6</f>
        <v>2002E</v>
      </c>
      <c r="F29" s="151"/>
      <c r="G29" s="151" t="str">
        <f>+G6</f>
        <v>2003E</v>
      </c>
      <c r="H29" s="151" t="str">
        <f>+H6</f>
        <v>2004E</v>
      </c>
      <c r="I29" s="151" t="str">
        <f>+I6</f>
        <v>2005E</v>
      </c>
      <c r="J29" s="151" t="str">
        <f>+J6</f>
        <v>2006E</v>
      </c>
      <c r="K29" s="147"/>
      <c r="L29" s="147"/>
      <c r="M29" s="147"/>
      <c r="N29" s="147"/>
      <c r="O29" s="14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5" s="7" customFormat="1" ht="10.9" customHeight="1" x14ac:dyDescent="0.25">
      <c r="A30" s="77" t="s">
        <v>51</v>
      </c>
      <c r="B30" s="79"/>
      <c r="C30" s="79"/>
      <c r="D30" s="190"/>
      <c r="E30" s="79"/>
      <c r="F30" s="79"/>
      <c r="G30" s="79"/>
      <c r="H30" s="79"/>
      <c r="I30" s="79"/>
      <c r="J30" s="79"/>
      <c r="K30" s="147"/>
      <c r="L30" s="147"/>
      <c r="M30" s="147"/>
      <c r="N30" s="147"/>
      <c r="O30" s="147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s="7" customFormat="1" ht="10.9" customHeight="1" x14ac:dyDescent="0.25">
      <c r="A31" s="118" t="s">
        <v>52</v>
      </c>
      <c r="B31" s="78">
        <v>24947</v>
      </c>
      <c r="C31" s="78">
        <v>23586</v>
      </c>
      <c r="D31" s="190">
        <v>23808</v>
      </c>
      <c r="E31" s="79">
        <f>'Income Statement'!F$13*Assumptions!C69</f>
        <v>33993.120000000003</v>
      </c>
      <c r="F31" s="79"/>
      <c r="G31" s="79">
        <f>'Income Statement'!G$13*Assumptions!D69</f>
        <v>40791.743999999999</v>
      </c>
      <c r="H31" s="79">
        <f>'Income Statement'!H$13*Assumptions!E69</f>
        <v>46910.505599999997</v>
      </c>
      <c r="I31" s="79">
        <f>'Income Statement'!I$13*Assumptions!F69</f>
        <v>51601.55616</v>
      </c>
      <c r="J31" s="79">
        <f>'Income Statement'!J$13*Assumptions!G69</f>
        <v>54181.633968000002</v>
      </c>
      <c r="K31" s="147"/>
      <c r="L31" s="147"/>
      <c r="M31" s="147"/>
      <c r="N31" s="147"/>
      <c r="O31" s="147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s="7" customFormat="1" ht="10.9" customHeight="1" x14ac:dyDescent="0.25">
      <c r="A32" s="118" t="s">
        <v>53</v>
      </c>
      <c r="B32" s="78">
        <v>38516</v>
      </c>
      <c r="C32" s="78">
        <v>45266</v>
      </c>
      <c r="D32" s="190">
        <v>42401</v>
      </c>
      <c r="E32" s="79">
        <f>'Income Statement'!F$13*Assumptions!C70</f>
        <v>41277.360000000001</v>
      </c>
      <c r="F32" s="79"/>
      <c r="G32" s="79">
        <f>'Income Statement'!G$13*Assumptions!D70</f>
        <v>49532.832000000002</v>
      </c>
      <c r="H32" s="79">
        <f>'Income Statement'!H$13*Assumptions!E70</f>
        <v>56962.756799999996</v>
      </c>
      <c r="I32" s="79">
        <f>'Income Statement'!I$13*Assumptions!F70</f>
        <v>62659.032480000002</v>
      </c>
      <c r="J32" s="79">
        <f>'Income Statement'!J$13*Assumptions!G70</f>
        <v>65791.984104000003</v>
      </c>
      <c r="K32" s="147"/>
      <c r="L32" s="147"/>
      <c r="M32" s="147"/>
      <c r="N32" s="147"/>
      <c r="O32" s="147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s="7" customFormat="1" ht="10.9" customHeight="1" x14ac:dyDescent="0.25">
      <c r="A33" s="118" t="s">
        <v>42</v>
      </c>
      <c r="B33" s="78">
        <v>0</v>
      </c>
      <c r="C33" s="78">
        <v>0</v>
      </c>
      <c r="D33" s="78">
        <v>0</v>
      </c>
      <c r="E33" s="138">
        <f>+SUM('Fixed Asset Schedule'!$E$42:'Fixed Asset Schedule'!E42)*Assumptions!C43-SUM('Fixed Asset Schedule'!$E$14:'Fixed Asset Schedule'!E14)*Assumptions!C43</f>
        <v>14460.4375</v>
      </c>
      <c r="F33" s="138"/>
      <c r="G33" s="138">
        <f>+SUM('Fixed Asset Schedule'!$E$42:'Fixed Asset Schedule'!F42)*Assumptions!D43-SUM('Fixed Asset Schedule'!$E$14:'Fixed Asset Schedule'!F14)*Assumptions!D43</f>
        <v>27186.700000000004</v>
      </c>
      <c r="H33" s="138">
        <f>+SUM('Fixed Asset Schedule'!$E$42:'Fixed Asset Schedule'!G42)*Assumptions!E43-SUM('Fixed Asset Schedule'!$E$14:'Fixed Asset Schedule'!G14)*Assumptions!E43</f>
        <v>38175.622499999998</v>
      </c>
      <c r="I33" s="138">
        <f>+SUM('Fixed Asset Schedule'!$E$42:'Fixed Asset Schedule'!H42)*Assumptions!F43-SUM('Fixed Asset Schedule'!$E$14:'Fixed Asset Schedule'!H14)*Assumptions!F43</f>
        <v>47424.673000000017</v>
      </c>
      <c r="J33" s="138">
        <f>+SUM('Fixed Asset Schedule'!$E$42:'Fixed Asset Schedule'!I42)*Assumptions!G43-SUM('Fixed Asset Schedule'!$E$14:'Fixed Asset Schedule'!I14)*Assumptions!G43</f>
        <v>54931.825899999996</v>
      </c>
      <c r="K33" s="147"/>
      <c r="L33" s="147"/>
      <c r="M33" s="147"/>
      <c r="N33" s="147"/>
      <c r="O33" s="147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s="7" customFormat="1" ht="10.9" customHeight="1" x14ac:dyDescent="0.25">
      <c r="A34" s="118" t="s">
        <v>100</v>
      </c>
      <c r="B34" s="140">
        <v>5308</v>
      </c>
      <c r="C34" s="140">
        <v>897</v>
      </c>
      <c r="D34" s="191">
        <v>225</v>
      </c>
      <c r="E34" s="124">
        <v>0</v>
      </c>
      <c r="F34" s="124"/>
      <c r="G34" s="124">
        <v>0</v>
      </c>
      <c r="H34" s="124">
        <v>0</v>
      </c>
      <c r="I34" s="124">
        <v>0</v>
      </c>
      <c r="J34" s="124">
        <v>0</v>
      </c>
      <c r="K34" s="147"/>
      <c r="L34" s="147"/>
      <c r="M34" s="147"/>
      <c r="N34" s="147"/>
      <c r="O34" s="147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s="7" customFormat="1" ht="10.9" customHeight="1" x14ac:dyDescent="0.25">
      <c r="A35" s="77" t="s">
        <v>54</v>
      </c>
      <c r="B35" s="78">
        <f t="shared" ref="B35:J35" si="3">SUM(B31:B34)</f>
        <v>68771</v>
      </c>
      <c r="C35" s="78">
        <f>SUM(C31:C34)</f>
        <v>69749</v>
      </c>
      <c r="D35" s="190">
        <v>66434</v>
      </c>
      <c r="E35" s="79">
        <f t="shared" si="3"/>
        <v>89730.91750000001</v>
      </c>
      <c r="F35" s="79"/>
      <c r="G35" s="79">
        <f t="shared" si="3"/>
        <v>117511.27600000001</v>
      </c>
      <c r="H35" s="79">
        <f t="shared" si="3"/>
        <v>142048.8849</v>
      </c>
      <c r="I35" s="79">
        <f t="shared" si="3"/>
        <v>161685.26164000001</v>
      </c>
      <c r="J35" s="79">
        <f t="shared" si="3"/>
        <v>174905.44397200001</v>
      </c>
      <c r="K35" s="147"/>
      <c r="L35" s="147"/>
      <c r="M35" s="147"/>
      <c r="N35" s="147"/>
      <c r="O35" s="147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s="7" customFormat="1" ht="10.9" customHeight="1" x14ac:dyDescent="0.25">
      <c r="A36" s="77"/>
      <c r="B36" s="78"/>
      <c r="C36" s="78"/>
      <c r="D36" s="192"/>
      <c r="E36" s="79"/>
      <c r="F36" s="79"/>
      <c r="G36" s="79"/>
      <c r="H36" s="79"/>
      <c r="I36" s="79"/>
      <c r="J36" s="79"/>
      <c r="K36" s="147"/>
      <c r="L36" s="147"/>
      <c r="M36" s="147"/>
      <c r="N36" s="147"/>
      <c r="O36" s="147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s="7" customFormat="1" ht="10.9" customHeight="1" x14ac:dyDescent="0.25">
      <c r="A37" s="119" t="s">
        <v>62</v>
      </c>
      <c r="B37" s="78"/>
      <c r="C37" s="78"/>
      <c r="D37" s="190"/>
      <c r="E37" s="79"/>
      <c r="F37" s="79"/>
      <c r="G37" s="79"/>
      <c r="H37" s="79"/>
      <c r="I37" s="79"/>
      <c r="J37" s="79"/>
      <c r="K37" s="147"/>
      <c r="L37" s="147"/>
      <c r="M37" s="147"/>
      <c r="N37" s="147"/>
      <c r="O37" s="147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s="7" customFormat="1" ht="10.9" customHeight="1" x14ac:dyDescent="0.25">
      <c r="A38" s="118" t="s">
        <v>55</v>
      </c>
      <c r="B38" s="78">
        <v>6222</v>
      </c>
      <c r="C38" s="78">
        <v>6033</v>
      </c>
      <c r="D38" s="190">
        <v>3292</v>
      </c>
      <c r="E38" s="79">
        <f>'Income Statement'!F$13*Assumptions!C75</f>
        <v>10926.359999999999</v>
      </c>
      <c r="F38" s="79"/>
      <c r="G38" s="79">
        <f>'Income Statement'!G$13*Assumptions!D75</f>
        <v>13111.632</v>
      </c>
      <c r="H38" s="79">
        <f>'Income Statement'!H$13*Assumptions!E75</f>
        <v>15078.376799999996</v>
      </c>
      <c r="I38" s="79">
        <f>'Income Statement'!I$13*Assumptions!F75</f>
        <v>16586.214479999999</v>
      </c>
      <c r="J38" s="79">
        <f>'Income Statement'!J$13*Assumptions!G75</f>
        <v>17415.525203999998</v>
      </c>
      <c r="K38" s="147"/>
      <c r="L38" s="147"/>
      <c r="M38" s="147"/>
      <c r="N38" s="147"/>
      <c r="O38" s="147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s="7" customFormat="1" ht="10.9" customHeight="1" x14ac:dyDescent="0.25">
      <c r="A39" s="118" t="s">
        <v>101</v>
      </c>
      <c r="B39" s="78">
        <v>925</v>
      </c>
      <c r="C39" s="78">
        <v>145710</v>
      </c>
      <c r="D39" s="190">
        <v>105085</v>
      </c>
      <c r="E39" s="79">
        <f ca="1">MAX(E8+SUM(E10:E15)+E25-E38-E35-E40-E41-SUM(E49:E55),0)</f>
        <v>140547.447266881</v>
      </c>
      <c r="F39" s="79">
        <f ca="1">IF('Transaction Summary'!G13=0,'Transaction Summary'!C5-'Transaction Summary'!C13,'Transaction Summary'!C5-'Transaction Summary'!C13)</f>
        <v>459452.552733119</v>
      </c>
      <c r="G39" s="79">
        <f ca="1">MAX(G8+SUM(G10:G15)+G25-G38-G35-G40-G41-SUM(G49:G55),0)</f>
        <v>597982.59776315803</v>
      </c>
      <c r="H39" s="79">
        <f ca="1">MAX(H8+SUM(H10:H15)+H25-H38-H35-H40-H41-SUM(H49:H55),0)</f>
        <v>581352.70717832423</v>
      </c>
      <c r="I39" s="79">
        <f ca="1">MAX(I8+SUM(I10:I15)+I25-I38-I35-I40-I41-SUM(I49:I55),0)</f>
        <v>551294.32193705183</v>
      </c>
      <c r="J39" s="79">
        <f ca="1">MAX(J8+SUM(J10:J15)+J25-J38-J35-J40-J41-SUM(J49:J55),0)</f>
        <v>510653.71011791669</v>
      </c>
      <c r="K39" s="147"/>
      <c r="L39" s="147"/>
      <c r="M39" s="147"/>
      <c r="N39" s="147"/>
      <c r="O39" s="147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s="7" customFormat="1" ht="10.9" customHeight="1" x14ac:dyDescent="0.25">
      <c r="A40" s="118" t="s">
        <v>42</v>
      </c>
      <c r="B40" s="78">
        <v>2109</v>
      </c>
      <c r="C40" s="78">
        <v>0</v>
      </c>
      <c r="D40" s="190">
        <v>3467</v>
      </c>
      <c r="E40" s="79">
        <f>'Income Statement'!F$13*Assumptions!C77</f>
        <v>4856.16</v>
      </c>
      <c r="F40" s="79"/>
      <c r="G40" s="79">
        <f>'Income Statement'!G$13*Assumptions!D77</f>
        <v>5827.3919999999998</v>
      </c>
      <c r="H40" s="79">
        <f>'Income Statement'!H$13*Assumptions!E77</f>
        <v>6701.5007999999989</v>
      </c>
      <c r="I40" s="79">
        <f>'Income Statement'!I$13*Assumptions!F77</f>
        <v>7371.6508800000001</v>
      </c>
      <c r="J40" s="79">
        <f>'Income Statement'!J$13*Assumptions!G77</f>
        <v>7740.233424</v>
      </c>
      <c r="K40" s="147"/>
      <c r="L40" s="147"/>
      <c r="M40" s="147"/>
      <c r="N40" s="147"/>
      <c r="O40" s="147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s="7" customFormat="1" ht="10.9" customHeight="1" x14ac:dyDescent="0.25">
      <c r="A41" s="118" t="s">
        <v>56</v>
      </c>
      <c r="B41" s="140">
        <v>1891</v>
      </c>
      <c r="C41" s="140">
        <v>7845</v>
      </c>
      <c r="D41" s="191">
        <v>13529</v>
      </c>
      <c r="E41" s="124">
        <f>'Income Statement'!F$13*Assumptions!C78</f>
        <v>2428.08</v>
      </c>
      <c r="F41" s="124"/>
      <c r="G41" s="124">
        <f>'Income Statement'!G$13*Assumptions!D78</f>
        <v>2913.6959999999999</v>
      </c>
      <c r="H41" s="124">
        <f>'Income Statement'!H$13*Assumptions!E78</f>
        <v>3350.7503999999994</v>
      </c>
      <c r="I41" s="124">
        <f>'Income Statement'!I$13*Assumptions!F78</f>
        <v>3685.8254400000001</v>
      </c>
      <c r="J41" s="124">
        <f>'Income Statement'!J$13*Assumptions!G78</f>
        <v>3870.116712</v>
      </c>
      <c r="K41" s="147"/>
      <c r="L41" s="147"/>
      <c r="M41" s="147"/>
      <c r="N41" s="147"/>
      <c r="O41" s="147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s="7" customFormat="1" ht="10.9" customHeight="1" x14ac:dyDescent="0.25">
      <c r="A42" s="77" t="s">
        <v>63</v>
      </c>
      <c r="B42" s="78">
        <f t="shared" ref="B42:J42" si="4">SUM(B38:B41)</f>
        <v>11147</v>
      </c>
      <c r="C42" s="78">
        <f>SUM(C38:C41)</f>
        <v>159588</v>
      </c>
      <c r="D42" s="78">
        <f t="shared" si="4"/>
        <v>125373</v>
      </c>
      <c r="E42" s="79">
        <f t="shared" ca="1" si="4"/>
        <v>158758.04726688098</v>
      </c>
      <c r="F42" s="79"/>
      <c r="G42" s="79">
        <f t="shared" ca="1" si="4"/>
        <v>619835.317763158</v>
      </c>
      <c r="H42" s="79">
        <f t="shared" ca="1" si="4"/>
        <v>606483.33517832425</v>
      </c>
      <c r="I42" s="79">
        <f t="shared" ca="1" si="4"/>
        <v>578938.01273705182</v>
      </c>
      <c r="J42" s="79">
        <f t="shared" ca="1" si="4"/>
        <v>539679.5854579166</v>
      </c>
      <c r="K42" s="147"/>
      <c r="L42" s="147"/>
      <c r="M42" s="147"/>
      <c r="N42" s="147"/>
      <c r="O42" s="147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s="7" customFormat="1" ht="10.9" customHeight="1" x14ac:dyDescent="0.25">
      <c r="A43" s="12"/>
      <c r="B43" s="51"/>
      <c r="C43" s="51"/>
      <c r="D43" s="195"/>
      <c r="E43" s="25"/>
      <c r="F43" s="25"/>
      <c r="G43" s="25"/>
      <c r="H43" s="25"/>
      <c r="I43" s="25"/>
      <c r="J43" s="25"/>
      <c r="K43"/>
      <c r="L43"/>
      <c r="M43"/>
      <c r="N43"/>
      <c r="O4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s="7" customFormat="1" ht="10.9" customHeight="1" x14ac:dyDescent="0.25">
      <c r="A44" s="12" t="s">
        <v>59</v>
      </c>
      <c r="B44" s="50">
        <f t="shared" ref="B44:J44" si="5">B35+B42</f>
        <v>79918</v>
      </c>
      <c r="C44" s="50">
        <f>C35+C42</f>
        <v>229337</v>
      </c>
      <c r="D44" s="50">
        <f t="shared" si="5"/>
        <v>191807</v>
      </c>
      <c r="E44" s="6">
        <f t="shared" ca="1" si="5"/>
        <v>248488.96476688099</v>
      </c>
      <c r="F44" s="6"/>
      <c r="G44" s="6">
        <f t="shared" ca="1" si="5"/>
        <v>737346.59376315796</v>
      </c>
      <c r="H44" s="6">
        <f t="shared" ca="1" si="5"/>
        <v>748532.2200783242</v>
      </c>
      <c r="I44" s="6">
        <f t="shared" ca="1" si="5"/>
        <v>740623.27437705186</v>
      </c>
      <c r="J44" s="6">
        <f t="shared" ca="1" si="5"/>
        <v>714585.02942991664</v>
      </c>
      <c r="K44"/>
      <c r="L44"/>
      <c r="M44"/>
      <c r="N44"/>
      <c r="O4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s="7" customFormat="1" ht="10.9" customHeight="1" x14ac:dyDescent="0.25">
      <c r="A45" s="12"/>
      <c r="B45" s="50"/>
      <c r="C45" s="50"/>
      <c r="D45" s="50"/>
      <c r="E45" s="6"/>
      <c r="F45" s="6"/>
      <c r="G45" s="6"/>
      <c r="H45" s="6"/>
      <c r="I45" s="6"/>
      <c r="J45" s="6"/>
      <c r="K45"/>
      <c r="L45"/>
      <c r="M45"/>
      <c r="N45"/>
      <c r="O4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s="7" customFormat="1" ht="10.9" customHeight="1" x14ac:dyDescent="0.25">
      <c r="A46" s="12"/>
      <c r="B46" s="50"/>
      <c r="C46" s="50"/>
      <c r="D46" s="50"/>
      <c r="E46" s="6"/>
      <c r="F46" s="6"/>
      <c r="G46" s="6"/>
      <c r="H46" s="6"/>
      <c r="I46" s="6"/>
      <c r="J46" s="6"/>
      <c r="K46"/>
      <c r="L46"/>
      <c r="M46"/>
      <c r="N46"/>
      <c r="O4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s="7" customFormat="1" ht="10.9" customHeight="1" x14ac:dyDescent="0.25">
      <c r="A47" s="197" t="s">
        <v>187</v>
      </c>
      <c r="B47" s="52"/>
      <c r="C47" s="52"/>
      <c r="D47" s="198"/>
      <c r="E47" s="6"/>
      <c r="F47" s="6"/>
      <c r="G47" s="6"/>
      <c r="H47" s="6"/>
      <c r="I47" s="6"/>
      <c r="J47" s="6"/>
      <c r="K47"/>
      <c r="L47"/>
      <c r="M47"/>
      <c r="N47"/>
      <c r="O4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s="7" customFormat="1" ht="10.9" customHeight="1" x14ac:dyDescent="0.25">
      <c r="A48" s="197" t="s">
        <v>188</v>
      </c>
      <c r="B48" s="52"/>
      <c r="C48" s="52"/>
      <c r="D48" s="198"/>
      <c r="E48" s="6"/>
      <c r="F48" s="6"/>
      <c r="G48" s="6"/>
      <c r="H48" s="6"/>
      <c r="I48" s="6"/>
      <c r="J48" s="6"/>
      <c r="K48"/>
      <c r="L48"/>
      <c r="M48"/>
      <c r="N48"/>
      <c r="O4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s="7" customFormat="1" ht="10.9" customHeight="1" x14ac:dyDescent="0.25">
      <c r="A49" s="197" t="s">
        <v>189</v>
      </c>
      <c r="B49" s="199">
        <v>305</v>
      </c>
      <c r="C49" s="199">
        <v>307</v>
      </c>
      <c r="D49" s="190">
        <v>310</v>
      </c>
      <c r="E49" s="203">
        <v>310</v>
      </c>
      <c r="F49" s="203"/>
      <c r="G49" s="203">
        <v>310</v>
      </c>
      <c r="H49" s="203">
        <v>310</v>
      </c>
      <c r="I49" s="203">
        <v>310</v>
      </c>
      <c r="J49" s="203">
        <v>310</v>
      </c>
      <c r="K49" s="196"/>
      <c r="L49"/>
      <c r="M49"/>
      <c r="N49"/>
      <c r="O4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s="7" customFormat="1" ht="10.9" customHeight="1" x14ac:dyDescent="0.25">
      <c r="A50" s="197" t="s">
        <v>190</v>
      </c>
      <c r="B50" s="199">
        <v>189920</v>
      </c>
      <c r="C50" s="199">
        <v>193029</v>
      </c>
      <c r="D50" s="190">
        <v>201797</v>
      </c>
      <c r="E50" s="203">
        <v>201797</v>
      </c>
      <c r="F50" s="203"/>
      <c r="G50" s="203">
        <v>201797</v>
      </c>
      <c r="H50" s="203">
        <v>201797</v>
      </c>
      <c r="I50" s="203">
        <v>201797</v>
      </c>
      <c r="J50" s="203">
        <v>201797</v>
      </c>
      <c r="K50" s="196"/>
      <c r="L50"/>
      <c r="M50"/>
      <c r="N50"/>
      <c r="O50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s="7" customFormat="1" ht="10.9" customHeight="1" x14ac:dyDescent="0.25">
      <c r="A51" s="197" t="s">
        <v>191</v>
      </c>
      <c r="B51" s="199"/>
      <c r="C51" s="199"/>
      <c r="D51" s="190"/>
      <c r="E51" s="27"/>
      <c r="F51" s="27"/>
      <c r="G51" s="27"/>
      <c r="H51" s="27"/>
      <c r="I51" s="27"/>
      <c r="J51" s="27"/>
      <c r="K51" s="196"/>
      <c r="L51"/>
      <c r="M51"/>
      <c r="N51"/>
      <c r="O5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s="7" customFormat="1" ht="10.9" customHeight="1" x14ac:dyDescent="0.25">
      <c r="A52" s="197" t="s">
        <v>192</v>
      </c>
      <c r="B52" s="199">
        <v>-390</v>
      </c>
      <c r="C52" s="199">
        <v>-277</v>
      </c>
      <c r="D52" s="190">
        <v>-2934</v>
      </c>
      <c r="E52" s="203">
        <v>-2934</v>
      </c>
      <c r="F52" s="203"/>
      <c r="G52" s="203">
        <v>-2934</v>
      </c>
      <c r="H52" s="203">
        <v>-2934</v>
      </c>
      <c r="I52" s="203">
        <v>-2934</v>
      </c>
      <c r="J52" s="203">
        <v>-2934</v>
      </c>
      <c r="K52" s="196"/>
      <c r="L52"/>
      <c r="M52"/>
      <c r="N52"/>
      <c r="O52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s="7" customFormat="1" ht="10.9" customHeight="1" x14ac:dyDescent="0.25">
      <c r="A53" s="197" t="s">
        <v>193</v>
      </c>
      <c r="B53" s="199">
        <v>134492</v>
      </c>
      <c r="C53" s="199">
        <v>166316</v>
      </c>
      <c r="D53" s="190">
        <v>213561</v>
      </c>
      <c r="E53" s="27">
        <f ca="1">D53+'Income Statement'!F49-('Income Statement'!F49*Assumptions!C81)</f>
        <v>256627.96189978565</v>
      </c>
      <c r="F53" s="27"/>
      <c r="G53" s="27">
        <f ca="1">E53+'Income Statement'!G49-('Income Statement'!G49*Assumptions!D81)</f>
        <v>290222.53763662756</v>
      </c>
      <c r="H53" s="27">
        <f ca="1">G53+'Income Statement'!H49-('Income Statement'!H49*Assumptions!E81)</f>
        <v>334480.48145479476</v>
      </c>
      <c r="I53" s="27">
        <f ca="1">H53+'Income Statement'!I49-('Income Statement'!I49*Assumptions!F81)</f>
        <v>387098.55870273389</v>
      </c>
      <c r="J53" s="27">
        <f ca="1">I53+'Income Statement'!J49-('Income Statement'!J49*Assumptions!G81)</f>
        <v>444207.63433386903</v>
      </c>
      <c r="K53" s="196"/>
      <c r="L53" s="226"/>
      <c r="M53"/>
      <c r="N53"/>
      <c r="O5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s="7" customFormat="1" ht="10.9" customHeight="1" x14ac:dyDescent="0.25">
      <c r="A54" s="197" t="s">
        <v>194</v>
      </c>
      <c r="B54" s="199"/>
      <c r="C54" s="199"/>
      <c r="D54" s="190"/>
      <c r="E54" s="27"/>
      <c r="F54" s="27"/>
      <c r="G54" s="27"/>
      <c r="H54" s="27"/>
      <c r="I54" s="27"/>
      <c r="J54" s="27"/>
      <c r="K54" s="196"/>
      <c r="L54"/>
      <c r="M54"/>
      <c r="N54"/>
      <c r="O54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s="7" customFormat="1" ht="10.9" customHeight="1" x14ac:dyDescent="0.25">
      <c r="A55" s="197" t="s">
        <v>195</v>
      </c>
      <c r="B55" s="220">
        <f>B27-B44-SUM(B49:B53)</f>
        <v>-32194</v>
      </c>
      <c r="C55" s="220">
        <f>C27-C44-SUM(C49:C53)</f>
        <v>-193054</v>
      </c>
      <c r="D55" s="220">
        <f>D27-D44-SUM(D49:D53)</f>
        <v>-217102</v>
      </c>
      <c r="E55" s="170">
        <v>-217102</v>
      </c>
      <c r="F55" s="170">
        <f ca="1">IF('Transaction Summary'!G13=0,('Transaction Summary'!C5-'Transaction Summary'!C13)*-1,('Transaction Summary'!C5-'Transaction Summary'!C13-'Transaction Summary'!C31)*-1)</f>
        <v>-459452.552733119</v>
      </c>
      <c r="G55" s="170">
        <f ca="1">+E55+F55</f>
        <v>-676554.552733119</v>
      </c>
      <c r="H55" s="170">
        <f ca="1">+G55</f>
        <v>-676554.552733119</v>
      </c>
      <c r="I55" s="170">
        <f ca="1">+H55</f>
        <v>-676554.552733119</v>
      </c>
      <c r="J55" s="170">
        <f ca="1">+I55</f>
        <v>-676554.552733119</v>
      </c>
      <c r="K55"/>
      <c r="L55"/>
      <c r="M55"/>
      <c r="N55"/>
      <c r="O5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ht="10.9" customHeight="1" x14ac:dyDescent="0.25">
      <c r="A56" s="175"/>
      <c r="B56" s="192"/>
      <c r="C56" s="192"/>
      <c r="D56" s="176"/>
      <c r="E56" s="6"/>
      <c r="F56" s="6"/>
      <c r="G56" s="6"/>
      <c r="H56" s="6"/>
      <c r="I56" s="6"/>
      <c r="J56" s="6"/>
    </row>
    <row r="57" spans="1:45" ht="10.9" customHeight="1" x14ac:dyDescent="0.3">
      <c r="A57" s="200" t="s">
        <v>196</v>
      </c>
      <c r="B57" s="201">
        <f>SUM(B47:B55)</f>
        <v>292133</v>
      </c>
      <c r="C57" s="201">
        <f>SUM(C47:C55)</f>
        <v>166321</v>
      </c>
      <c r="D57" s="202">
        <v>195632</v>
      </c>
      <c r="E57" s="6">
        <f ca="1">SUM(E49:E55)</f>
        <v>238698.96189978567</v>
      </c>
      <c r="F57" s="6"/>
      <c r="G57" s="170">
        <f ca="1">SUM(G49:G55)</f>
        <v>-187159.01509649144</v>
      </c>
      <c r="H57" s="170">
        <f ca="1">SUM(H49:H55)</f>
        <v>-142901.07127832423</v>
      </c>
      <c r="I57" s="170">
        <f ca="1">SUM(I49:I55)</f>
        <v>-90282.994030385162</v>
      </c>
      <c r="J57" s="170">
        <f ca="1">SUM(J49:J55)</f>
        <v>-33173.918399250018</v>
      </c>
    </row>
    <row r="58" spans="1:45" ht="10.9" customHeight="1" x14ac:dyDescent="0.25">
      <c r="A58" s="175"/>
      <c r="B58" s="192"/>
      <c r="C58" s="192"/>
      <c r="D58" s="176"/>
      <c r="E58" s="6"/>
      <c r="F58" s="6"/>
      <c r="G58" s="6"/>
      <c r="H58" s="6"/>
      <c r="I58" s="6"/>
      <c r="J58" s="6"/>
    </row>
    <row r="59" spans="1:45" ht="10.9" customHeight="1" thickBot="1" x14ac:dyDescent="0.35">
      <c r="A59" s="200" t="s">
        <v>197</v>
      </c>
      <c r="B59" s="221">
        <f>B44+B57</f>
        <v>372051</v>
      </c>
      <c r="C59" s="221">
        <f>C44+C57</f>
        <v>395658</v>
      </c>
      <c r="D59" s="221">
        <f>D44+D57</f>
        <v>387439</v>
      </c>
      <c r="E59" s="204">
        <f ca="1">E44+E57</f>
        <v>487187.92666666664</v>
      </c>
      <c r="F59" s="204"/>
      <c r="G59" s="204">
        <f ca="1">G44+G57</f>
        <v>550187.57866666652</v>
      </c>
      <c r="H59" s="204">
        <f ca="1">H44+H57</f>
        <v>605631.14879999997</v>
      </c>
      <c r="I59" s="204">
        <f ca="1">I44+I57</f>
        <v>650340.2803466667</v>
      </c>
      <c r="J59" s="204">
        <f ca="1">J44+J57</f>
        <v>681411.11103066662</v>
      </c>
    </row>
    <row r="60" spans="1:45" ht="10.9" customHeight="1" thickTop="1" x14ac:dyDescent="0.25"/>
  </sheetData>
  <phoneticPr fontId="0" type="noConversion"/>
  <pageMargins left="0.75" right="0.75" top="1" bottom="1" header="0.5" footer="0.5"/>
  <pageSetup scale="83" orientation="portrait" r:id="rId1"/>
  <headerFooter alignWithMargins="0">
    <oddHeader>&amp;C&amp;F
Page 3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showGridLines="0" workbookViewId="0">
      <selection activeCell="J25" sqref="J25"/>
    </sheetView>
  </sheetViews>
  <sheetFormatPr defaultRowHeight="12.5" x14ac:dyDescent="0.25"/>
  <cols>
    <col min="1" max="1" width="36.26953125" customWidth="1"/>
    <col min="2" max="2" width="10.7265625" bestFit="1" customWidth="1"/>
    <col min="3" max="3" width="1.81640625" customWidth="1"/>
    <col min="4" max="4" width="8" customWidth="1"/>
    <col min="5" max="5" width="8.453125" customWidth="1"/>
  </cols>
  <sheetData>
    <row r="1" spans="1:12" ht="18" x14ac:dyDescent="0.4">
      <c r="A1" s="20" t="str">
        <f>+Assumptions!D6</f>
        <v>Papa John's International, Inc.</v>
      </c>
      <c r="B1" s="21"/>
      <c r="C1" s="21"/>
      <c r="D1" s="21"/>
      <c r="E1" s="21"/>
      <c r="F1" s="38"/>
      <c r="G1" s="38"/>
      <c r="H1" s="38"/>
      <c r="I1" s="149"/>
    </row>
    <row r="2" spans="1:12" x14ac:dyDescent="0.25">
      <c r="A2" s="15"/>
      <c r="B2" s="16"/>
      <c r="C2" s="16"/>
      <c r="D2" s="16"/>
      <c r="E2" s="16"/>
      <c r="F2" s="16"/>
      <c r="G2" s="16"/>
      <c r="H2" s="16"/>
    </row>
    <row r="3" spans="1:12" ht="15.5" x14ac:dyDescent="0.35">
      <c r="A3" s="150" t="s">
        <v>154</v>
      </c>
      <c r="B3" s="6"/>
      <c r="C3" s="6"/>
      <c r="D3" s="6"/>
      <c r="E3" s="6"/>
      <c r="F3" s="6"/>
      <c r="G3" s="6"/>
      <c r="H3" s="6"/>
    </row>
    <row r="4" spans="1:12" x14ac:dyDescent="0.25">
      <c r="A4" s="34" t="s">
        <v>149</v>
      </c>
      <c r="B4" s="6"/>
      <c r="C4" s="6"/>
      <c r="D4" s="6"/>
      <c r="E4" s="6"/>
      <c r="F4" s="6"/>
      <c r="G4" s="6"/>
      <c r="H4" s="6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2"/>
      <c r="B6" s="6"/>
      <c r="C6" s="6"/>
      <c r="D6" s="6"/>
      <c r="E6" s="307" t="s">
        <v>211</v>
      </c>
      <c r="F6" s="307"/>
      <c r="G6" s="307"/>
      <c r="H6" s="307"/>
      <c r="I6" s="6"/>
      <c r="J6" s="1"/>
      <c r="K6" s="1"/>
      <c r="L6" s="1"/>
    </row>
    <row r="7" spans="1:12" ht="13" thickBot="1" x14ac:dyDescent="0.3">
      <c r="A7" s="12"/>
      <c r="C7" s="209"/>
      <c r="D7" s="36">
        <f>+Assumptions!D8</f>
        <v>2001</v>
      </c>
      <c r="E7" s="194">
        <f>+D7+1</f>
        <v>2002</v>
      </c>
      <c r="F7" s="194">
        <f>+E7+1</f>
        <v>2003</v>
      </c>
      <c r="G7" s="194">
        <f>+F7+1</f>
        <v>2004</v>
      </c>
      <c r="H7" s="194">
        <f>+G7+1</f>
        <v>2005</v>
      </c>
      <c r="I7" s="194">
        <f>+H7+1</f>
        <v>2006</v>
      </c>
      <c r="J7" s="1"/>
      <c r="K7" s="1"/>
      <c r="L7" s="1"/>
    </row>
    <row r="8" spans="1:12" x14ac:dyDescent="0.25">
      <c r="A8" s="12" t="s">
        <v>155</v>
      </c>
      <c r="B8" s="54">
        <f>+'Balance Sheet'!D20</f>
        <v>238945</v>
      </c>
      <c r="C8" s="6"/>
      <c r="E8" s="6">
        <f>IF($J$24=0,IF(E7-$D$7&gt;$B$26,0,($B$8-(D26*B8))/$B$26),B8*$E$26)</f>
        <v>23894.5</v>
      </c>
      <c r="F8" s="6">
        <f>IF($J$24=0,IF(F7-$D$7&gt;$B$26,0,($B$8-($B8*$D$26))/$B$26),($B$8-SUM($E8:E8))*$E$26)</f>
        <v>23894.5</v>
      </c>
      <c r="G8" s="6">
        <f>IF($J$24=0,IF(G7-$D$7&gt;$B$26,0,($B$8-($B8*$D$26))/$B$26),($B$8-SUM($E8:F8))*$E$26)</f>
        <v>23894.5</v>
      </c>
      <c r="H8" s="6">
        <f>IF($J$24=0,IF(H7-$D$7&gt;$B$26,0,($B$8-($B8*$D$26))/$B$26),($B$8-SUM($E8:G8))*$E$26)</f>
        <v>23894.5</v>
      </c>
      <c r="I8" s="6">
        <f>IF($J$24=0,IF(I7-$D$7&gt;$B$26,0,($B$8-($B8*$D$26))/$B$26),($B$8-SUM($E8:H8))*$E$26)</f>
        <v>23894.5</v>
      </c>
      <c r="J8" s="1"/>
      <c r="K8" s="1"/>
      <c r="L8" s="1"/>
    </row>
    <row r="9" spans="1:12" x14ac:dyDescent="0.25">
      <c r="A9" s="10" t="s">
        <v>156</v>
      </c>
      <c r="B9" s="54">
        <v>110000</v>
      </c>
      <c r="C9" s="6"/>
      <c r="D9" s="6"/>
      <c r="E9" s="6">
        <f>IF($J$24=0,IF(E7-$D$7&gt;$B$27,0,($B$9-($B$9*$D$27))/$B$27),$B$9*$E$26)</f>
        <v>7333.333333333333</v>
      </c>
      <c r="F9" s="6">
        <f>IF($J$24=0,IF(F$7-$D$7&gt;$B$27,0,($B$9-($B$9*$D$27))/$B$27),($B$9-SUM($C9:E9))*$E$27)</f>
        <v>7333.333333333333</v>
      </c>
      <c r="G9" s="6">
        <f>IF($J$24=0,IF(G$7-$D$7&gt;$B$27,0,($B$9-($B$9*$D$27))/$B$27),($B$9-SUM($C9:F9))*$E$27)</f>
        <v>7333.333333333333</v>
      </c>
      <c r="H9" s="6">
        <f>IF($J$24=0,IF(H$7-$D$7&gt;$B$27,0,($B$9-($B$9*$D$27))/$B$27),($B$9-SUM($C9:G9))*$E$27)</f>
        <v>7333.333333333333</v>
      </c>
      <c r="I9" s="6">
        <f>IF($J$24=0,IF(I$7-$D$7&gt;$B$27,0,($B$9-($B$9*$D$27))/$B$27),($B$9-SUM($C9:H9))*$E$27)</f>
        <v>7333.333333333333</v>
      </c>
      <c r="J9" s="1"/>
      <c r="K9" s="1"/>
      <c r="L9" s="1"/>
    </row>
    <row r="10" spans="1:12" x14ac:dyDescent="0.25">
      <c r="A10" s="10" t="s">
        <v>157</v>
      </c>
      <c r="B10" s="54">
        <v>70000</v>
      </c>
      <c r="C10" s="6"/>
      <c r="D10" s="6"/>
      <c r="E10" s="6"/>
      <c r="F10" s="6">
        <f>IF($J$24=0,IF(F7-$E$7&gt;$B$28,0,($B$10-($B$10*$D$28))/$B$28),($B$10-SUM($E10:E10))*$E$28)</f>
        <v>4666.666666666667</v>
      </c>
      <c r="G10" s="6">
        <f>IF($J$24=0,IF(G7-$E$7&gt;$B$28,0,($B$10-($B$10*$D$28))/$B$28),($B$10-SUM($E10:F10))*$E$28)</f>
        <v>4666.666666666667</v>
      </c>
      <c r="H10" s="6">
        <f>IF($J$24=0,IF(H7-$E$7&gt;$B$28,0,($B$10-($B$10*$D$28))/$B$28),($B$10-SUM($E10:G10))*$E$28)</f>
        <v>4666.666666666667</v>
      </c>
      <c r="I10" s="6">
        <f>IF($J$24=0,IF(I7-$E$7&gt;$B$28,0,($B$10-($B$10*$D$28))/$B$28),($B$10-SUM($E10:H10))*$E$28)</f>
        <v>4666.666666666667</v>
      </c>
      <c r="J10" s="1"/>
      <c r="K10" s="1"/>
      <c r="L10" s="1"/>
    </row>
    <row r="11" spans="1:12" x14ac:dyDescent="0.25">
      <c r="A11" s="153" t="s">
        <v>158</v>
      </c>
      <c r="B11" s="54">
        <v>70000</v>
      </c>
      <c r="C11" s="6"/>
      <c r="D11" s="6"/>
      <c r="E11" s="6"/>
      <c r="F11" s="6"/>
      <c r="G11" s="6">
        <f>IF($J$24=0,IF(G7-$F$7&gt;$B$29,0,($B$11-($B$11*$D$29))/$B$29),($B$11-SUM($E11:F11))*$E$29)</f>
        <v>4666.666666666667</v>
      </c>
      <c r="H11" s="6">
        <f>IF($J$24=0,IF(H7-$F$7&gt;$B$29,0,($B$11-($B$11*$D$29))/$B$29),($B$11-SUM($E11:G11))*$E$29)</f>
        <v>4666.666666666667</v>
      </c>
      <c r="I11" s="6">
        <f>IF($J$24=0,IF(I7-$F$7&gt;$B$29,0,($B$11-($B$11*$D$29))/$B$29),($B$11-SUM($E11:H11))*$E$29)</f>
        <v>4666.666666666667</v>
      </c>
      <c r="J11" s="1"/>
      <c r="K11" s="1"/>
      <c r="L11" s="1"/>
    </row>
    <row r="12" spans="1:12" x14ac:dyDescent="0.25">
      <c r="A12" s="153" t="s">
        <v>159</v>
      </c>
      <c r="B12" s="54">
        <v>70000</v>
      </c>
      <c r="C12" s="6"/>
      <c r="D12" s="6"/>
      <c r="E12" s="6"/>
      <c r="F12" s="6"/>
      <c r="G12" s="6"/>
      <c r="H12" s="6">
        <f>IF($J$24=0,IF(H7-$G$7&gt;$B$30,0,($B$12-($B$12*$D$30))/$B$30),($B$12-SUM($E12:G12))*$E$30)</f>
        <v>4666.666666666667</v>
      </c>
      <c r="I12" s="6">
        <f>IF($J$24=0,IF(I7-$G$7&gt;$B$30,0,($B$12-($B$12*$D$30))/$B$30),($B$12-SUM($E12:H12))*$E$30)</f>
        <v>4666.666666666667</v>
      </c>
      <c r="J12" s="1"/>
      <c r="K12" s="1"/>
      <c r="L12" s="1"/>
    </row>
    <row r="13" spans="1:12" x14ac:dyDescent="0.25">
      <c r="A13" s="153" t="s">
        <v>198</v>
      </c>
      <c r="B13" s="54">
        <v>70000</v>
      </c>
      <c r="C13" s="6"/>
      <c r="D13" s="6"/>
      <c r="E13" s="25"/>
      <c r="F13" s="25"/>
      <c r="G13" s="25"/>
      <c r="H13" s="25"/>
      <c r="I13" s="25">
        <f>IF($J$24=0,IF(I7-$I$7&gt;$B$31,0,($B$13-($B$13*$D$31))/$B$31),($B$13-SUM($E13:H13))*$E$31)</f>
        <v>4666.666666666667</v>
      </c>
      <c r="J13" s="1"/>
      <c r="K13" s="1"/>
      <c r="L13" s="1"/>
    </row>
    <row r="14" spans="1:12" x14ac:dyDescent="0.25">
      <c r="A14" s="13" t="s">
        <v>160</v>
      </c>
      <c r="B14" s="6"/>
      <c r="C14" s="6"/>
      <c r="D14" s="6"/>
      <c r="E14" s="27">
        <f>SUM(E8:E13)</f>
        <v>31227.833333333332</v>
      </c>
      <c r="F14" s="27">
        <f>SUM(F8:F13)</f>
        <v>35894.5</v>
      </c>
      <c r="G14" s="27">
        <f>SUM(G8:G13)</f>
        <v>40561.166666666664</v>
      </c>
      <c r="H14" s="27">
        <f>SUM(H8:H13)</f>
        <v>45227.833333333328</v>
      </c>
      <c r="I14" s="27">
        <f>SUM(I8:I13)</f>
        <v>49894.499999999993</v>
      </c>
      <c r="J14" s="1"/>
      <c r="K14" s="1"/>
      <c r="L14" s="1"/>
    </row>
    <row r="15" spans="1:12" x14ac:dyDescent="0.25">
      <c r="A15" s="13"/>
      <c r="B15" s="6"/>
      <c r="C15" s="6"/>
      <c r="D15" s="6"/>
      <c r="E15" s="27"/>
      <c r="F15" s="27"/>
      <c r="G15" s="27"/>
      <c r="H15" s="27"/>
      <c r="I15" s="27"/>
      <c r="J15" s="1"/>
      <c r="K15" s="1"/>
      <c r="L15" s="1"/>
    </row>
    <row r="16" spans="1:12" x14ac:dyDescent="0.25">
      <c r="A16" s="13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</row>
    <row r="17" spans="1:12" ht="13" thickBot="1" x14ac:dyDescent="0.3">
      <c r="A17" s="13"/>
      <c r="B17" s="6"/>
      <c r="C17" s="6"/>
      <c r="D17" s="6"/>
      <c r="E17" s="151" t="str">
        <f>+Assumptions!C13</f>
        <v>2002E</v>
      </c>
      <c r="F17" s="151" t="str">
        <f>+Assumptions!D13</f>
        <v>2003E</v>
      </c>
      <c r="G17" s="151" t="str">
        <f>+Assumptions!E13</f>
        <v>2004E</v>
      </c>
      <c r="H17" s="151" t="str">
        <f>+Assumptions!F13</f>
        <v>2005E</v>
      </c>
      <c r="I17" s="151" t="str">
        <f>+Assumptions!G13</f>
        <v>2006E</v>
      </c>
      <c r="J17" s="1"/>
      <c r="K17" s="1"/>
      <c r="L17" s="1"/>
    </row>
    <row r="18" spans="1:12" x14ac:dyDescent="0.25">
      <c r="A18" s="13" t="s">
        <v>161</v>
      </c>
      <c r="B18" s="6"/>
      <c r="C18" s="6"/>
      <c r="D18" s="6"/>
      <c r="E18" s="6">
        <f>B8</f>
        <v>238945</v>
      </c>
      <c r="F18" s="6">
        <f>E21</f>
        <v>317717.16666666669</v>
      </c>
      <c r="G18" s="6">
        <f>F21</f>
        <v>351822.66666666669</v>
      </c>
      <c r="H18" s="6">
        <f>G21</f>
        <v>381261.5</v>
      </c>
      <c r="I18" s="6">
        <f>H21</f>
        <v>406033.66666666669</v>
      </c>
      <c r="J18" s="1"/>
      <c r="K18" s="1"/>
      <c r="L18" s="1"/>
    </row>
    <row r="19" spans="1:12" x14ac:dyDescent="0.25">
      <c r="A19" s="153" t="s">
        <v>162</v>
      </c>
      <c r="B19" s="6"/>
      <c r="C19" s="6"/>
      <c r="D19" s="6"/>
      <c r="E19" s="6">
        <f>B9</f>
        <v>110000</v>
      </c>
      <c r="F19" s="6">
        <f>B10</f>
        <v>70000</v>
      </c>
      <c r="G19" s="6">
        <f>B11</f>
        <v>70000</v>
      </c>
      <c r="H19" s="6">
        <f>B12</f>
        <v>70000</v>
      </c>
      <c r="I19" s="6">
        <f>B13</f>
        <v>70000</v>
      </c>
      <c r="J19" s="1"/>
      <c r="K19" s="1"/>
      <c r="L19" s="1"/>
    </row>
    <row r="20" spans="1:12" x14ac:dyDescent="0.25">
      <c r="A20" s="153" t="s">
        <v>163</v>
      </c>
      <c r="B20" s="6"/>
      <c r="C20" s="6"/>
      <c r="D20" s="6"/>
      <c r="E20" s="25">
        <f>E14</f>
        <v>31227.833333333332</v>
      </c>
      <c r="F20" s="25">
        <f>F14</f>
        <v>35894.5</v>
      </c>
      <c r="G20" s="25">
        <f>G14</f>
        <v>40561.166666666664</v>
      </c>
      <c r="H20" s="25">
        <f>H14</f>
        <v>45227.833333333328</v>
      </c>
      <c r="I20" s="25">
        <f>I14</f>
        <v>49894.499999999993</v>
      </c>
      <c r="J20" s="1"/>
      <c r="K20" s="1"/>
      <c r="L20" s="1"/>
    </row>
    <row r="21" spans="1:12" x14ac:dyDescent="0.25">
      <c r="A21" s="13" t="s">
        <v>164</v>
      </c>
      <c r="B21" s="6"/>
      <c r="C21" s="6"/>
      <c r="D21" s="6"/>
      <c r="E21" s="6">
        <f>E18+E19-E20</f>
        <v>317717.16666666669</v>
      </c>
      <c r="F21" s="6">
        <f>F18+F19-F20</f>
        <v>351822.66666666669</v>
      </c>
      <c r="G21" s="6">
        <f>G18+G19-G20</f>
        <v>381261.5</v>
      </c>
      <c r="H21" s="6">
        <f>H18+H19-H20</f>
        <v>406033.66666666669</v>
      </c>
      <c r="I21" s="6">
        <f>I18+I19-I20</f>
        <v>426139.16666666669</v>
      </c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3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3" thickBot="1" x14ac:dyDescent="0.3">
      <c r="A24" s="1"/>
      <c r="B24" s="1"/>
      <c r="C24" s="1"/>
      <c r="D24" s="1"/>
      <c r="E24" s="1"/>
      <c r="F24" s="1"/>
      <c r="G24" s="1" t="s">
        <v>173</v>
      </c>
      <c r="H24" s="1"/>
      <c r="I24" s="1"/>
      <c r="J24" s="156">
        <v>0</v>
      </c>
      <c r="K24" s="1"/>
      <c r="L24" s="1"/>
    </row>
    <row r="25" spans="1:12" x14ac:dyDescent="0.25">
      <c r="A25" s="1"/>
      <c r="B25" s="154" t="s">
        <v>170</v>
      </c>
      <c r="C25" s="308" t="s">
        <v>212</v>
      </c>
      <c r="D25" s="308"/>
      <c r="E25" s="154" t="s">
        <v>172</v>
      </c>
      <c r="F25" s="1"/>
      <c r="G25" s="1"/>
      <c r="H25" s="1"/>
      <c r="I25" s="1"/>
      <c r="J25" s="1" t="s">
        <v>94</v>
      </c>
      <c r="K25" s="1"/>
      <c r="L25" s="1"/>
    </row>
    <row r="26" spans="1:12" x14ac:dyDescent="0.25">
      <c r="A26" s="1" t="s">
        <v>166</v>
      </c>
      <c r="B26" s="2">
        <v>10</v>
      </c>
      <c r="C26" s="2"/>
      <c r="D26" s="217">
        <v>0</v>
      </c>
      <c r="E26" s="155">
        <v>0.2</v>
      </c>
      <c r="F26" s="1"/>
      <c r="G26" s="1"/>
      <c r="H26" s="1"/>
      <c r="I26" s="1"/>
      <c r="J26" s="1"/>
      <c r="K26" s="1"/>
      <c r="L26" s="1"/>
    </row>
    <row r="27" spans="1:12" x14ac:dyDescent="0.25">
      <c r="A27" s="1" t="s">
        <v>167</v>
      </c>
      <c r="B27" s="2">
        <v>15</v>
      </c>
      <c r="C27" s="2"/>
      <c r="D27" s="217">
        <v>0</v>
      </c>
      <c r="E27" s="155">
        <v>0.2</v>
      </c>
      <c r="F27" s="1"/>
      <c r="G27" s="1"/>
      <c r="H27" s="1"/>
      <c r="I27" s="1"/>
      <c r="J27" s="1"/>
      <c r="K27" s="1"/>
      <c r="L27" s="1"/>
    </row>
    <row r="28" spans="1:12" x14ac:dyDescent="0.25">
      <c r="A28" s="1" t="s">
        <v>168</v>
      </c>
      <c r="B28" s="2">
        <v>15</v>
      </c>
      <c r="C28" s="2"/>
      <c r="D28" s="217">
        <v>0</v>
      </c>
      <c r="E28" s="155">
        <v>0.2</v>
      </c>
      <c r="F28" s="1"/>
      <c r="G28" s="1"/>
      <c r="H28" s="1"/>
      <c r="I28" s="1"/>
      <c r="J28" s="1"/>
      <c r="K28" s="1"/>
      <c r="L28" s="1"/>
    </row>
    <row r="29" spans="1:12" x14ac:dyDescent="0.25">
      <c r="A29" s="1" t="s">
        <v>169</v>
      </c>
      <c r="B29" s="2">
        <v>15</v>
      </c>
      <c r="C29" s="2"/>
      <c r="D29" s="217">
        <v>0</v>
      </c>
      <c r="E29" s="155">
        <v>0.2</v>
      </c>
      <c r="F29" s="1"/>
      <c r="G29" s="1"/>
      <c r="H29" s="1"/>
      <c r="I29" s="1"/>
      <c r="J29" s="1"/>
      <c r="K29" s="1"/>
      <c r="L29" s="1"/>
    </row>
    <row r="30" spans="1:12" x14ac:dyDescent="0.25">
      <c r="A30" s="1" t="s">
        <v>171</v>
      </c>
      <c r="B30" s="2">
        <v>15</v>
      </c>
      <c r="C30" s="2"/>
      <c r="D30" s="217">
        <v>0</v>
      </c>
      <c r="E30" s="155">
        <v>0.2</v>
      </c>
      <c r="F30" s="1"/>
      <c r="G30" s="1"/>
      <c r="H30" s="1"/>
      <c r="I30" s="1"/>
      <c r="J30" s="1"/>
      <c r="K30" s="1"/>
      <c r="L30" s="1"/>
    </row>
    <row r="31" spans="1:12" x14ac:dyDescent="0.25">
      <c r="A31" s="1" t="s">
        <v>199</v>
      </c>
      <c r="B31" s="2">
        <v>15</v>
      </c>
      <c r="C31" s="2"/>
      <c r="D31" s="217">
        <v>0</v>
      </c>
      <c r="E31" s="155">
        <v>0.2</v>
      </c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217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218"/>
      <c r="C34" s="218"/>
      <c r="D34" s="218"/>
      <c r="E34" s="218" t="s">
        <v>213</v>
      </c>
      <c r="F34" s="218"/>
      <c r="G34" s="218"/>
      <c r="H34" s="218"/>
      <c r="I34" s="218"/>
      <c r="J34" s="218"/>
      <c r="K34" s="1"/>
      <c r="L34" s="1"/>
    </row>
    <row r="35" spans="1:12" x14ac:dyDescent="0.25">
      <c r="A35" s="1"/>
      <c r="B35" s="219">
        <f t="shared" ref="B35:B40" si="0">+B8</f>
        <v>238945</v>
      </c>
      <c r="C35" s="218"/>
      <c r="D35" s="218"/>
      <c r="E35" s="219">
        <f>$B$8*$E$26</f>
        <v>47789</v>
      </c>
      <c r="F35" s="219">
        <f>($B$35-SUM($E35:E35))*$E$26</f>
        <v>38231.200000000004</v>
      </c>
      <c r="G35" s="219">
        <f>($B$35-SUM($E35:F35))*$E$26</f>
        <v>30584.959999999999</v>
      </c>
      <c r="H35" s="219">
        <f>($B$35-SUM($E35:G35))*$E$26</f>
        <v>24467.968000000001</v>
      </c>
      <c r="I35" s="219">
        <f>($B$35-SUM($E35:H35))*$E$26</f>
        <v>19574.374400000001</v>
      </c>
      <c r="J35" s="218"/>
      <c r="K35" s="1"/>
      <c r="L35" s="1"/>
    </row>
    <row r="36" spans="1:12" x14ac:dyDescent="0.25">
      <c r="A36" s="1"/>
      <c r="B36" s="219">
        <f t="shared" si="0"/>
        <v>110000</v>
      </c>
      <c r="C36" s="218"/>
      <c r="D36" s="218"/>
      <c r="E36" s="219">
        <f>+B9*E27</f>
        <v>22000</v>
      </c>
      <c r="F36" s="219">
        <f>($B36-SUM($E36:E36))*$E27</f>
        <v>17600</v>
      </c>
      <c r="G36" s="219">
        <f>($B36-SUM($E36:F36))*$E27</f>
        <v>14080</v>
      </c>
      <c r="H36" s="219">
        <f>($B36-SUM($E36:G36))*$E27</f>
        <v>11264</v>
      </c>
      <c r="I36" s="219">
        <f>($B36-SUM($E36:H36))*$E27</f>
        <v>9011.2000000000007</v>
      </c>
      <c r="J36" s="218"/>
      <c r="K36" s="1"/>
      <c r="L36" s="1"/>
    </row>
    <row r="37" spans="1:12" x14ac:dyDescent="0.25">
      <c r="A37" s="1"/>
      <c r="B37" s="219">
        <f t="shared" si="0"/>
        <v>70000</v>
      </c>
      <c r="C37" s="218"/>
      <c r="D37" s="218"/>
      <c r="E37" s="218"/>
      <c r="F37" s="219">
        <f>($B37-SUM($E37:E37))*$E28</f>
        <v>14000</v>
      </c>
      <c r="G37" s="219">
        <f>($B37-SUM($E37:F37))*$E28</f>
        <v>11200</v>
      </c>
      <c r="H37" s="219">
        <f>($B37-SUM($E37:G37))*$E28</f>
        <v>8960</v>
      </c>
      <c r="I37" s="219">
        <f>($B37-SUM($E37:H37))*$E28</f>
        <v>7168</v>
      </c>
      <c r="J37" s="218"/>
      <c r="K37" s="1"/>
      <c r="L37" s="1"/>
    </row>
    <row r="38" spans="1:12" x14ac:dyDescent="0.25">
      <c r="A38" s="1"/>
      <c r="B38" s="219">
        <f t="shared" si="0"/>
        <v>70000</v>
      </c>
      <c r="C38" s="218"/>
      <c r="D38" s="218"/>
      <c r="E38" s="218"/>
      <c r="F38" s="218"/>
      <c r="G38" s="219">
        <f>($B38-SUM($E38:F38))*$E29</f>
        <v>14000</v>
      </c>
      <c r="H38" s="219">
        <f>($B38-SUM($E38:G38))*$E29</f>
        <v>11200</v>
      </c>
      <c r="I38" s="219">
        <f>($B38-SUM($E38:H38))*$E29</f>
        <v>8960</v>
      </c>
      <c r="J38" s="218"/>
      <c r="K38" s="1"/>
      <c r="L38" s="1"/>
    </row>
    <row r="39" spans="1:12" x14ac:dyDescent="0.25">
      <c r="A39" s="1"/>
      <c r="B39" s="219">
        <f t="shared" si="0"/>
        <v>70000</v>
      </c>
      <c r="C39" s="218"/>
      <c r="D39" s="218"/>
      <c r="E39" s="218"/>
      <c r="F39" s="218"/>
      <c r="G39" s="218"/>
      <c r="H39" s="219">
        <f>($B39-SUM($E39:G39))*$E30</f>
        <v>14000</v>
      </c>
      <c r="I39" s="219">
        <f>($B39-SUM($E39:H39))*$E30</f>
        <v>11200</v>
      </c>
      <c r="J39" s="218"/>
      <c r="K39" s="1"/>
      <c r="L39" s="1"/>
    </row>
    <row r="40" spans="1:12" x14ac:dyDescent="0.25">
      <c r="A40" s="1"/>
      <c r="B40" s="219">
        <f t="shared" si="0"/>
        <v>70000</v>
      </c>
      <c r="C40" s="218"/>
      <c r="D40" s="218"/>
      <c r="E40" s="218"/>
      <c r="F40" s="218"/>
      <c r="G40" s="218"/>
      <c r="H40" s="218"/>
      <c r="I40" s="219">
        <f>($B40-SUM($E40:H40))*$E31</f>
        <v>14000</v>
      </c>
      <c r="J40" s="218"/>
      <c r="K40" s="1"/>
      <c r="L40" s="1"/>
    </row>
    <row r="41" spans="1:12" x14ac:dyDescent="0.25">
      <c r="A41" s="1"/>
      <c r="B41" s="218"/>
      <c r="C41" s="218"/>
      <c r="D41" s="218"/>
      <c r="E41" s="218"/>
      <c r="F41" s="218"/>
      <c r="G41" s="218"/>
      <c r="H41" s="218"/>
      <c r="I41" s="218"/>
      <c r="J41" s="218"/>
      <c r="K41" s="1"/>
      <c r="L41" s="1"/>
    </row>
    <row r="42" spans="1:12" x14ac:dyDescent="0.25">
      <c r="A42" s="1"/>
      <c r="B42" s="218"/>
      <c r="C42" s="218"/>
      <c r="D42" s="218"/>
      <c r="E42" s="219">
        <f>SUM(E35:E40)</f>
        <v>69789</v>
      </c>
      <c r="F42" s="219">
        <f>SUM(F35:F40)</f>
        <v>69831.200000000012</v>
      </c>
      <c r="G42" s="219">
        <f>SUM(G35:G40)</f>
        <v>69864.959999999992</v>
      </c>
      <c r="H42" s="219">
        <f>SUM(H35:H40)</f>
        <v>69891.967999999993</v>
      </c>
      <c r="I42" s="219">
        <f>SUM(I35:I40)</f>
        <v>69913.574399999998</v>
      </c>
      <c r="J42" s="218"/>
      <c r="K42" s="1"/>
      <c r="L42" s="1"/>
    </row>
    <row r="43" spans="1:12" x14ac:dyDescent="0.25">
      <c r="A43" s="1"/>
      <c r="B43" s="218"/>
      <c r="C43" s="218"/>
      <c r="D43" s="218"/>
      <c r="E43" s="218"/>
      <c r="F43" s="218"/>
      <c r="G43" s="218"/>
      <c r="H43" s="218"/>
      <c r="I43" s="218"/>
      <c r="J43" s="218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2">
    <mergeCell ref="E6:H6"/>
    <mergeCell ref="C25:D2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showGridLines="0" workbookViewId="0">
      <selection activeCell="G16" sqref="G16"/>
    </sheetView>
  </sheetViews>
  <sheetFormatPr defaultColWidth="8.81640625" defaultRowHeight="10" x14ac:dyDescent="0.2"/>
  <cols>
    <col min="1" max="1" width="42.81640625" style="13" customWidth="1"/>
    <col min="2" max="2" width="11.1796875" style="6" bestFit="1" customWidth="1"/>
    <col min="3" max="6" width="10.7265625" style="6" customWidth="1"/>
    <col min="7" max="7" width="8.81640625" style="6" customWidth="1"/>
    <col min="8" max="8" width="3.1796875" style="6" customWidth="1"/>
    <col min="9" max="9" width="9.453125" style="6" customWidth="1"/>
    <col min="10" max="16384" width="8.81640625" style="6"/>
  </cols>
  <sheetData>
    <row r="1" spans="1:12" ht="18" x14ac:dyDescent="0.4">
      <c r="A1" s="82" t="str">
        <f>+Assumptions!D6</f>
        <v>Papa John's International, Inc.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</row>
    <row r="2" spans="1:12" x14ac:dyDescent="0.2">
      <c r="A2" s="12"/>
    </row>
    <row r="3" spans="1:12" x14ac:dyDescent="0.2"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2" x14ac:dyDescent="0.2">
      <c r="A4" s="104" t="s">
        <v>174</v>
      </c>
      <c r="B4" s="157"/>
      <c r="C4" s="158"/>
      <c r="D4" s="158" t="s">
        <v>175</v>
      </c>
      <c r="E4" s="159"/>
    </row>
    <row r="5" spans="1:12" x14ac:dyDescent="0.2">
      <c r="A5" s="34"/>
      <c r="B5" s="35"/>
      <c r="C5" s="35"/>
      <c r="D5" s="35"/>
      <c r="E5" s="35"/>
      <c r="F5" s="35"/>
    </row>
    <row r="6" spans="1:12" x14ac:dyDescent="0.2">
      <c r="A6" s="34"/>
      <c r="B6" s="35"/>
      <c r="C6" s="35"/>
      <c r="D6" s="35"/>
      <c r="E6" s="35"/>
      <c r="F6" s="35"/>
      <c r="G6" s="1"/>
      <c r="H6" s="1"/>
      <c r="I6" s="1"/>
      <c r="J6" s="1"/>
      <c r="K6" s="1"/>
    </row>
    <row r="7" spans="1:12" ht="11" thickBot="1" x14ac:dyDescent="0.3">
      <c r="A7" s="34"/>
      <c r="B7" s="152"/>
      <c r="C7" s="160" t="s">
        <v>67</v>
      </c>
      <c r="D7" s="152" t="s">
        <v>68</v>
      </c>
      <c r="E7" s="152" t="s">
        <v>97</v>
      </c>
      <c r="F7" s="152" t="s">
        <v>99</v>
      </c>
      <c r="G7" s="152" t="s">
        <v>186</v>
      </c>
      <c r="H7" s="1"/>
      <c r="I7" s="1"/>
      <c r="J7" s="1"/>
      <c r="K7" s="1"/>
    </row>
    <row r="8" spans="1:12" s="1" customFormat="1" x14ac:dyDescent="0.2">
      <c r="C8" s="161"/>
    </row>
    <row r="9" spans="1:12" s="1" customFormat="1" x14ac:dyDescent="0.2">
      <c r="A9" s="1" t="s">
        <v>176</v>
      </c>
      <c r="B9" s="90"/>
      <c r="C9" s="162">
        <f ca="1">+SCF!C19</f>
        <v>75275.07273311897</v>
      </c>
      <c r="D9" s="103">
        <f ca="1">+SCF!D19</f>
        <v>87314.306236841934</v>
      </c>
      <c r="E9" s="103">
        <f ca="1">+SCF!E19</f>
        <v>100397.10418483385</v>
      </c>
      <c r="F9" s="103">
        <f ca="1">+SCF!F19</f>
        <v>110613.24900127246</v>
      </c>
      <c r="G9" s="103">
        <f ca="1">+SCF!G19</f>
        <v>116445.78688713511</v>
      </c>
    </row>
    <row r="10" spans="1:12" s="1" customFormat="1" x14ac:dyDescent="0.2">
      <c r="A10" s="164" t="s">
        <v>178</v>
      </c>
      <c r="B10" s="165"/>
      <c r="C10" s="162">
        <f ca="1">-(1-Assumptions!C$43)*'Income Statement'!F42</f>
        <v>3952.8969543810281</v>
      </c>
      <c r="D10" s="103">
        <f ca="1">-(1-Assumptions!D$43)*'Income Statement'!G42</f>
        <v>29899.12988815791</v>
      </c>
      <c r="E10" s="103">
        <f ca="1">-(1-Assumptions!E$43)*'Income Statement'!H42</f>
        <v>29067.635358916214</v>
      </c>
      <c r="F10" s="103">
        <f ca="1">-(1-Assumptions!F$43)*'Income Statement'!I42</f>
        <v>27564.716096852593</v>
      </c>
      <c r="G10" s="103">
        <f ca="1">-(1-Assumptions!G$43)*'Income Statement'!J42</f>
        <v>25532.685505895843</v>
      </c>
    </row>
    <row r="11" spans="1:12" s="1" customFormat="1" x14ac:dyDescent="0.2">
      <c r="A11" s="163" t="s">
        <v>177</v>
      </c>
      <c r="B11" s="90"/>
      <c r="C11" s="162">
        <f>+SCF!C27</f>
        <v>-122051.32</v>
      </c>
      <c r="D11" s="103">
        <f>+SCF!D27</f>
        <v>-84082.864000000001</v>
      </c>
      <c r="E11" s="103">
        <f>+SCF!E27</f>
        <v>-82674.577599999961</v>
      </c>
      <c r="F11" s="103">
        <f>+SCF!F27</f>
        <v>-79717.176160000032</v>
      </c>
      <c r="G11" s="103">
        <f>+SCF!G27</f>
        <v>-75344.446888000006</v>
      </c>
    </row>
    <row r="12" spans="1:12" s="1" customFormat="1" x14ac:dyDescent="0.2">
      <c r="A12" s="163" t="s">
        <v>206</v>
      </c>
      <c r="B12" s="90"/>
      <c r="C12" s="205">
        <f>'Balance Sheet'!D8-'Balance Sheet'!E8</f>
        <v>11538.8</v>
      </c>
      <c r="D12" s="206">
        <f>'Balance Sheet'!E8-'Balance Sheet'!G8</f>
        <v>-1214.04</v>
      </c>
      <c r="E12" s="206">
        <f>'Balance Sheet'!G8-'Balance Sheet'!H8</f>
        <v>-1092.6359999999986</v>
      </c>
      <c r="F12" s="206">
        <f>'Balance Sheet'!H8-'Balance Sheet'!I8</f>
        <v>-837.68760000000111</v>
      </c>
      <c r="G12" s="206">
        <f>'Balance Sheet'!I8-'Balance Sheet'!J8</f>
        <v>-460.72818000000007</v>
      </c>
      <c r="H12" s="90"/>
      <c r="I12" s="90"/>
      <c r="J12" s="90"/>
      <c r="K12" s="90"/>
    </row>
    <row r="13" spans="1:12" s="1" customFormat="1" x14ac:dyDescent="0.2">
      <c r="A13" s="163" t="s">
        <v>179</v>
      </c>
      <c r="B13" s="90"/>
      <c r="C13" s="162">
        <f ca="1">SUM(C9:C12)</f>
        <v>-31284.550312500014</v>
      </c>
      <c r="D13" s="90">
        <f ca="1">SUM(D9:D12)</f>
        <v>31916.532124999845</v>
      </c>
      <c r="E13" s="90">
        <f ca="1">SUM(E9:E12)</f>
        <v>45697.525943750108</v>
      </c>
      <c r="F13" s="90">
        <f ca="1">SUM(F9:F12)</f>
        <v>57623.101338125009</v>
      </c>
      <c r="G13" s="90">
        <f ca="1">SUM(G9:G12)</f>
        <v>66173.29732503093</v>
      </c>
    </row>
    <row r="14" spans="1:12" s="1" customFormat="1" x14ac:dyDescent="0.2"/>
    <row r="15" spans="1:12" s="1" customFormat="1" x14ac:dyDescent="0.2">
      <c r="A15" s="1" t="s">
        <v>208</v>
      </c>
      <c r="F15" s="166"/>
      <c r="G15" s="7">
        <f>H15*('Income Statement'!J40+('Income Statement'!J33))</f>
        <v>1083727.9069154975</v>
      </c>
      <c r="H15" s="215">
        <v>6</v>
      </c>
      <c r="I15" s="216" t="s">
        <v>207</v>
      </c>
    </row>
    <row r="16" spans="1:12" s="1" customFormat="1" x14ac:dyDescent="0.2"/>
    <row r="17" spans="1:5" s="1" customFormat="1" x14ac:dyDescent="0.2">
      <c r="A17" s="1" t="s">
        <v>180</v>
      </c>
      <c r="B17" s="167">
        <v>0.1</v>
      </c>
    </row>
    <row r="18" spans="1:5" s="1" customFormat="1" x14ac:dyDescent="0.2">
      <c r="A18" s="1" t="s">
        <v>181</v>
      </c>
      <c r="B18" s="167">
        <v>0.02</v>
      </c>
    </row>
    <row r="19" spans="1:5" s="1" customFormat="1" x14ac:dyDescent="0.2"/>
    <row r="20" spans="1:5" s="1" customFormat="1" x14ac:dyDescent="0.2">
      <c r="A20" s="1" t="s">
        <v>205</v>
      </c>
    </row>
    <row r="21" spans="1:5" s="1" customFormat="1" x14ac:dyDescent="0.2"/>
    <row r="22" spans="1:5" s="1" customFormat="1" x14ac:dyDescent="0.2">
      <c r="A22" s="1" t="s">
        <v>200</v>
      </c>
      <c r="B22" s="207">
        <f ca="1">NPV($B$17,$D$13:$G$13)</f>
        <v>155271.92093933528</v>
      </c>
    </row>
    <row r="23" spans="1:5" s="1" customFormat="1" x14ac:dyDescent="0.2">
      <c r="A23" s="168" t="s">
        <v>182</v>
      </c>
      <c r="B23" s="169">
        <f>G15/(1+B17)^4</f>
        <v>740200.74237790948</v>
      </c>
    </row>
    <row r="24" spans="1:5" s="1" customFormat="1" x14ac:dyDescent="0.2">
      <c r="A24" s="168" t="s">
        <v>201</v>
      </c>
      <c r="B24" s="170">
        <f ca="1">SUM(B22:B23)</f>
        <v>895472.66331724473</v>
      </c>
    </row>
    <row r="25" spans="1:5" s="1" customFormat="1" x14ac:dyDescent="0.2">
      <c r="A25" s="168" t="s">
        <v>183</v>
      </c>
      <c r="B25" s="207">
        <f ca="1">-'Balance Sheet'!$E$39-'Balance Sheet'!$E$34</f>
        <v>-140547.447266881</v>
      </c>
    </row>
    <row r="26" spans="1:5" s="1" customFormat="1" x14ac:dyDescent="0.2">
      <c r="A26" s="168" t="s">
        <v>202</v>
      </c>
      <c r="B26" s="170">
        <f>+'Balance Sheet'!$E$19</f>
        <v>25000</v>
      </c>
    </row>
    <row r="27" spans="1:5" s="1" customFormat="1" x14ac:dyDescent="0.2">
      <c r="A27" s="168" t="s">
        <v>203</v>
      </c>
      <c r="B27" s="171">
        <f ca="1">SUM(B24:B26)</f>
        <v>779925.21605036373</v>
      </c>
    </row>
    <row r="28" spans="1:5" s="1" customFormat="1" ht="10.5" thickBot="1" x14ac:dyDescent="0.25">
      <c r="A28" s="172" t="s">
        <v>204</v>
      </c>
      <c r="B28" s="89">
        <f>+Assumptions!C45</f>
        <v>22600</v>
      </c>
    </row>
    <row r="29" spans="1:5" s="1" customFormat="1" ht="10.5" thickBot="1" x14ac:dyDescent="0.25">
      <c r="A29" s="163" t="s">
        <v>184</v>
      </c>
      <c r="B29" s="173">
        <f ca="1">B27/B28</f>
        <v>34.509965311962993</v>
      </c>
    </row>
    <row r="30" spans="1:5" s="1" customFormat="1" x14ac:dyDescent="0.2"/>
    <row r="31" spans="1:5" s="1" customFormat="1" x14ac:dyDescent="0.2"/>
    <row r="32" spans="1:5" s="1" customFormat="1" ht="10.5" x14ac:dyDescent="0.25">
      <c r="D32" s="309" t="s">
        <v>209</v>
      </c>
      <c r="E32" s="309"/>
    </row>
    <row r="33" spans="1:11" s="1" customFormat="1" ht="10.5" x14ac:dyDescent="0.25">
      <c r="A33" s="174" t="s">
        <v>185</v>
      </c>
      <c r="B33" s="210">
        <f ca="1">+B27/B28</f>
        <v>34.509965311962993</v>
      </c>
      <c r="C33" s="211">
        <v>5</v>
      </c>
      <c r="D33" s="211">
        <v>5.5</v>
      </c>
      <c r="E33" s="211">
        <v>6</v>
      </c>
      <c r="F33" s="211">
        <v>6.5</v>
      </c>
      <c r="G33" s="211">
        <v>7</v>
      </c>
      <c r="H33" s="177"/>
      <c r="I33" s="177"/>
      <c r="J33" s="177"/>
      <c r="K33" s="177"/>
    </row>
    <row r="34" spans="1:11" s="1" customFormat="1" ht="10.5" x14ac:dyDescent="0.25">
      <c r="B34" s="214">
        <v>8.5000000000000006E-2</v>
      </c>
      <c r="C34" s="212">
        <f t="dataTable" ref="C34:G40" dt2D="1" dtr="0" r1="H15" r2="B17" ca="1"/>
        <v>30.849900414788451</v>
      </c>
      <c r="D34" s="212">
        <v>33.733345063659236</v>
      </c>
      <c r="E34" s="212">
        <v>36.616789712530021</v>
      </c>
      <c r="F34" s="212">
        <v>39.500234361400807</v>
      </c>
      <c r="G34" s="212">
        <v>42.383679010271599</v>
      </c>
      <c r="H34" s="177"/>
      <c r="I34" s="177"/>
      <c r="J34" s="177"/>
      <c r="K34" s="177"/>
    </row>
    <row r="35" spans="1:11" s="1" customFormat="1" ht="10.5" x14ac:dyDescent="0.25">
      <c r="B35" s="214">
        <v>0.09</v>
      </c>
      <c r="C35" s="212">
        <v>30.236919612265893</v>
      </c>
      <c r="D35" s="212">
        <v>33.06781994852642</v>
      </c>
      <c r="E35" s="212">
        <v>35.898720284786947</v>
      </c>
      <c r="F35" s="212">
        <v>38.729620621047481</v>
      </c>
      <c r="G35" s="212">
        <v>41.560520957308007</v>
      </c>
      <c r="H35" s="178"/>
      <c r="I35" s="178"/>
      <c r="J35" s="178"/>
      <c r="K35" s="177"/>
    </row>
    <row r="36" spans="1:11" s="1" customFormat="1" ht="10.5" x14ac:dyDescent="0.25">
      <c r="B36" s="214">
        <v>9.5000000000000001E-2</v>
      </c>
      <c r="C36" s="212">
        <v>29.637492819276321</v>
      </c>
      <c r="D36" s="212">
        <v>32.417040286758805</v>
      </c>
      <c r="E36" s="212">
        <v>35.196587754241285</v>
      </c>
      <c r="F36" s="212">
        <v>37.976135221723773</v>
      </c>
      <c r="G36" s="212">
        <v>40.755682689206253</v>
      </c>
      <c r="H36" s="180"/>
      <c r="I36" s="180"/>
      <c r="J36" s="180"/>
      <c r="K36" s="177"/>
    </row>
    <row r="37" spans="1:11" s="1" customFormat="1" ht="10.5" x14ac:dyDescent="0.25">
      <c r="A37" s="213" t="s">
        <v>210</v>
      </c>
      <c r="B37" s="214">
        <v>0.1</v>
      </c>
      <c r="C37" s="212">
        <v>29.051257772302893</v>
      </c>
      <c r="D37" s="212">
        <v>31.780611542132945</v>
      </c>
      <c r="E37" s="212">
        <v>34.509965311962993</v>
      </c>
      <c r="F37" s="212">
        <v>37.239319081793049</v>
      </c>
      <c r="G37" s="212">
        <v>39.968672851623097</v>
      </c>
      <c r="H37" s="180"/>
      <c r="I37" s="180"/>
      <c r="J37" s="180"/>
      <c r="K37" s="177"/>
    </row>
    <row r="38" spans="1:11" s="1" customFormat="1" ht="10.5" x14ac:dyDescent="0.25">
      <c r="B38" s="214">
        <v>0.105</v>
      </c>
      <c r="C38" s="212">
        <v>28.477863509982434</v>
      </c>
      <c r="D38" s="212">
        <v>31.158151495858498</v>
      </c>
      <c r="E38" s="212">
        <v>33.838439481734561</v>
      </c>
      <c r="F38" s="212">
        <v>36.518727467610631</v>
      </c>
      <c r="G38" s="212">
        <v>39.199015453486695</v>
      </c>
      <c r="H38" s="180"/>
      <c r="I38" s="180"/>
      <c r="J38" s="180"/>
      <c r="K38" s="177"/>
    </row>
    <row r="39" spans="1:11" s="1" customFormat="1" ht="10.5" x14ac:dyDescent="0.25">
      <c r="B39" s="214">
        <v>0.11</v>
      </c>
      <c r="C39" s="212">
        <v>27.916969970866194</v>
      </c>
      <c r="D39" s="212">
        <v>30.549289807999561</v>
      </c>
      <c r="E39" s="212">
        <v>33.181609645132916</v>
      </c>
      <c r="F39" s="212">
        <v>35.813929482266282</v>
      </c>
      <c r="G39" s="212">
        <v>38.446249319399641</v>
      </c>
      <c r="H39" s="180"/>
      <c r="I39" s="180"/>
      <c r="J39" s="180"/>
      <c r="K39" s="177"/>
    </row>
    <row r="40" spans="1:11" s="1" customFormat="1" ht="10.5" x14ac:dyDescent="0.25">
      <c r="B40" s="214">
        <v>0.115</v>
      </c>
      <c r="C40" s="212">
        <v>27.368247607239017</v>
      </c>
      <c r="D40" s="212">
        <v>29.953667596411105</v>
      </c>
      <c r="E40" s="212">
        <v>32.539087585583196</v>
      </c>
      <c r="F40" s="212">
        <v>35.124507574755285</v>
      </c>
      <c r="G40" s="212">
        <v>37.709927563927366</v>
      </c>
      <c r="H40" s="180"/>
      <c r="I40" s="180"/>
      <c r="J40" s="180"/>
      <c r="K40" s="177"/>
    </row>
    <row r="41" spans="1:11" s="1" customFormat="1" ht="10.5" x14ac:dyDescent="0.25">
      <c r="B41" s="177"/>
      <c r="C41" s="179"/>
      <c r="D41" s="180"/>
      <c r="E41" s="180"/>
      <c r="F41" s="180"/>
      <c r="G41" s="180"/>
      <c r="H41" s="180"/>
      <c r="I41" s="180"/>
      <c r="J41" s="180"/>
      <c r="K41" s="177"/>
    </row>
    <row r="42" spans="1:11" s="1" customFormat="1" ht="10.5" x14ac:dyDescent="0.25">
      <c r="B42" s="177"/>
      <c r="C42" s="179"/>
      <c r="D42" s="180"/>
      <c r="E42" s="180"/>
      <c r="F42" s="180"/>
      <c r="G42" s="180"/>
      <c r="H42" s="180"/>
      <c r="I42" s="180"/>
      <c r="J42" s="180"/>
      <c r="K42" s="177"/>
    </row>
    <row r="43" spans="1:11" s="1" customFormat="1" x14ac:dyDescent="0.2">
      <c r="B43" s="177"/>
      <c r="C43" s="177"/>
      <c r="D43" s="177"/>
      <c r="E43" s="177"/>
      <c r="F43" s="177"/>
      <c r="G43" s="177"/>
      <c r="H43" s="177"/>
      <c r="I43" s="177"/>
      <c r="J43" s="177"/>
      <c r="K43" s="177"/>
    </row>
    <row r="44" spans="1:11" s="1" customFormat="1" x14ac:dyDescent="0.2">
      <c r="B44" s="177"/>
      <c r="C44" s="177"/>
      <c r="D44" s="177"/>
      <c r="E44" s="177"/>
      <c r="F44" s="177"/>
      <c r="G44" s="177"/>
      <c r="H44" s="177"/>
      <c r="I44" s="177"/>
      <c r="J44" s="177"/>
      <c r="K44" s="177"/>
    </row>
    <row r="45" spans="1:11" s="1" customFormat="1" x14ac:dyDescent="0.2"/>
    <row r="46" spans="1:11" s="1" customFormat="1" x14ac:dyDescent="0.2"/>
    <row r="47" spans="1:11" s="1" customFormat="1" x14ac:dyDescent="0.2"/>
    <row r="48" spans="1:11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pans="3:3" s="1" customFormat="1" x14ac:dyDescent="0.2"/>
    <row r="66" spans="3:3" s="1" customFormat="1" x14ac:dyDescent="0.2"/>
    <row r="67" spans="3:3" s="1" customFormat="1" x14ac:dyDescent="0.2"/>
    <row r="68" spans="3:3" s="1" customFormat="1" x14ac:dyDescent="0.2"/>
    <row r="69" spans="3:3" s="1" customFormat="1" x14ac:dyDescent="0.2"/>
    <row r="70" spans="3:3" s="1" customFormat="1" x14ac:dyDescent="0.2"/>
    <row r="71" spans="3:3" s="1" customFormat="1" x14ac:dyDescent="0.2"/>
    <row r="72" spans="3:3" s="1" customFormat="1" x14ac:dyDescent="0.2"/>
    <row r="73" spans="3:3" s="1" customFormat="1" x14ac:dyDescent="0.2"/>
    <row r="74" spans="3:3" s="1" customFormat="1" x14ac:dyDescent="0.2"/>
    <row r="75" spans="3:3" s="1" customFormat="1" x14ac:dyDescent="0.2"/>
    <row r="76" spans="3:3" s="1" customFormat="1" x14ac:dyDescent="0.2"/>
    <row r="77" spans="3:3" s="1" customFormat="1" x14ac:dyDescent="0.2"/>
    <row r="78" spans="3:3" x14ac:dyDescent="0.2">
      <c r="C78" s="1"/>
    </row>
  </sheetData>
  <mergeCells count="1">
    <mergeCell ref="D32:E32"/>
  </mergeCells>
  <phoneticPr fontId="0" type="noConversion"/>
  <pageMargins left="0.75" right="0.75" top="1" bottom="1" header="0.5" footer="0.5"/>
  <pageSetup scale="9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"/>
  <sheetViews>
    <sheetView showGridLines="0" workbookViewId="0">
      <selection activeCell="E47" sqref="E47"/>
    </sheetView>
  </sheetViews>
  <sheetFormatPr defaultColWidth="8.81640625" defaultRowHeight="10.9" customHeight="1" x14ac:dyDescent="0.25"/>
  <cols>
    <col min="1" max="1" width="66.26953125" style="86" customWidth="1"/>
    <col min="2" max="3" width="8.26953125" style="87" bestFit="1" customWidth="1"/>
    <col min="4" max="5" width="8.54296875" style="87" bestFit="1" customWidth="1"/>
    <col min="6" max="6" width="9.7265625" style="87" customWidth="1"/>
    <col min="7" max="7" width="8.81640625" style="85" customWidth="1"/>
    <col min="8" max="10" width="8.81640625" style="99" customWidth="1"/>
    <col min="11" max="16" width="8.81640625" style="85" customWidth="1"/>
    <col min="17" max="16384" width="8.81640625" style="86"/>
  </cols>
  <sheetData>
    <row r="1" spans="1:41" ht="18" x14ac:dyDescent="0.4">
      <c r="A1" s="82" t="str">
        <f>+Assumptions!D6</f>
        <v>Papa John's International, Inc.</v>
      </c>
      <c r="B1" s="83"/>
      <c r="C1" s="83"/>
      <c r="D1" s="84"/>
      <c r="E1" s="84"/>
      <c r="F1" s="84"/>
    </row>
    <row r="3" spans="1:41" s="90" customFormat="1" ht="15.5" x14ac:dyDescent="0.35">
      <c r="A3" s="88" t="s">
        <v>107</v>
      </c>
      <c r="B3" s="89"/>
      <c r="C3" s="89"/>
      <c r="D3" s="89"/>
      <c r="E3" s="89"/>
      <c r="F3" s="89"/>
      <c r="G3" s="85"/>
      <c r="H3" s="99"/>
      <c r="I3" s="99"/>
      <c r="J3" s="99"/>
      <c r="K3" s="85"/>
      <c r="L3" s="85"/>
      <c r="M3" s="85"/>
      <c r="N3" s="85"/>
      <c r="O3" s="85"/>
      <c r="P3" s="85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spans="1:41" s="90" customFormat="1" ht="10.9" customHeight="1" x14ac:dyDescent="0.25">
      <c r="A4" s="34" t="str">
        <f>"(Dollars in "&amp; IF(Assumptions!D6=1, "Millions", "Thousands") &amp;" Except Per Share Data)"</f>
        <v>(Dollars in Thousands Except Per Share Data)</v>
      </c>
      <c r="B4" s="89"/>
      <c r="C4" s="89"/>
      <c r="D4" s="89"/>
      <c r="E4" s="89"/>
      <c r="F4" s="89"/>
      <c r="G4" s="85"/>
      <c r="H4" s="99"/>
      <c r="I4" s="99"/>
      <c r="J4" s="99"/>
      <c r="K4" s="85"/>
      <c r="L4" s="85"/>
      <c r="M4" s="85"/>
      <c r="N4" s="85"/>
      <c r="O4" s="85"/>
      <c r="P4" s="85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</row>
    <row r="5" spans="1:41" s="90" customFormat="1" ht="10.9" customHeight="1" x14ac:dyDescent="0.25">
      <c r="A5" s="91"/>
      <c r="B5" s="89"/>
      <c r="C5" s="89"/>
      <c r="D5" s="89"/>
      <c r="E5" s="89"/>
      <c r="F5" s="89"/>
      <c r="G5" s="85"/>
      <c r="H5" s="99"/>
      <c r="I5" s="99"/>
      <c r="J5" s="99"/>
      <c r="K5" s="85"/>
      <c r="L5" s="85"/>
      <c r="M5" s="85"/>
      <c r="N5" s="85"/>
      <c r="O5" s="85"/>
      <c r="P5" s="85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</row>
    <row r="6" spans="1:41" s="90" customFormat="1" ht="13.5" thickBot="1" x14ac:dyDescent="0.35">
      <c r="A6" s="92"/>
      <c r="B6" s="208">
        <v>2001</v>
      </c>
      <c r="C6" s="208">
        <f>+B6+1</f>
        <v>2002</v>
      </c>
      <c r="D6" s="208">
        <f>+C6+1</f>
        <v>2003</v>
      </c>
      <c r="E6" s="208">
        <f>+D6+1</f>
        <v>2004</v>
      </c>
      <c r="F6" s="208">
        <f>+E6+1</f>
        <v>2005</v>
      </c>
      <c r="G6" s="208">
        <f>+F6+1</f>
        <v>2006</v>
      </c>
      <c r="H6" s="99"/>
      <c r="I6" s="99"/>
      <c r="J6" s="99"/>
      <c r="K6" s="85"/>
      <c r="L6" s="85"/>
      <c r="M6" s="85"/>
      <c r="N6" s="85"/>
      <c r="O6" s="85"/>
      <c r="P6" s="85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</row>
    <row r="7" spans="1:41" s="90" customFormat="1" ht="10.9" customHeight="1" x14ac:dyDescent="0.25">
      <c r="A7" s="94" t="s">
        <v>108</v>
      </c>
      <c r="B7" s="89"/>
      <c r="C7" s="89"/>
      <c r="D7" s="89"/>
      <c r="E7" s="89"/>
      <c r="F7" s="89"/>
      <c r="G7" s="85"/>
      <c r="H7" s="99"/>
      <c r="I7" s="99"/>
      <c r="J7" s="99"/>
      <c r="K7" s="85"/>
      <c r="L7" s="85"/>
      <c r="M7" s="85"/>
      <c r="N7" s="85"/>
      <c r="O7" s="85"/>
      <c r="P7" s="85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</row>
    <row r="8" spans="1:41" s="90" customFormat="1" ht="10.9" customHeight="1" x14ac:dyDescent="0.25">
      <c r="A8" s="95" t="s">
        <v>31</v>
      </c>
      <c r="B8" s="54"/>
      <c r="C8" s="54">
        <f ca="1">+'Income Statement'!F49</f>
        <v>43066.961899785638</v>
      </c>
      <c r="D8" s="54">
        <f ca="1">+'Income Statement'!G49</f>
        <v>33594.575736841951</v>
      </c>
      <c r="E8" s="54">
        <f ca="1">+'Income Statement'!H49</f>
        <v>44257.943818167201</v>
      </c>
      <c r="F8" s="54">
        <f ca="1">+'Income Statement'!I49</f>
        <v>52618.077247939131</v>
      </c>
      <c r="G8" s="54">
        <f ca="1">+'Income Statement'!J49</f>
        <v>57109.075631135158</v>
      </c>
      <c r="H8" s="99"/>
      <c r="I8" s="99"/>
      <c r="J8" s="99"/>
      <c r="K8" s="85"/>
      <c r="L8" s="85"/>
      <c r="M8" s="85"/>
      <c r="N8" s="85"/>
      <c r="O8" s="85"/>
      <c r="P8" s="85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spans="1:41" s="90" customFormat="1" ht="10.9" customHeight="1" x14ac:dyDescent="0.25">
      <c r="A9" s="95" t="s">
        <v>23</v>
      </c>
      <c r="B9" s="89"/>
      <c r="C9" s="89">
        <f>+'Income Statement'!F33</f>
        <v>31227.833333333332</v>
      </c>
      <c r="D9" s="89">
        <f>+'Income Statement'!G33</f>
        <v>35894.5</v>
      </c>
      <c r="E9" s="89">
        <f>+'Income Statement'!H33</f>
        <v>40561.166666666664</v>
      </c>
      <c r="F9" s="89">
        <f>+'Income Statement'!I33</f>
        <v>45227.833333333328</v>
      </c>
      <c r="G9" s="89">
        <f>+'Income Statement'!J33</f>
        <v>49894.499999999993</v>
      </c>
      <c r="H9" s="99"/>
      <c r="I9" s="99"/>
      <c r="J9" s="99"/>
      <c r="K9" s="85"/>
      <c r="L9" s="85"/>
      <c r="M9" s="85"/>
      <c r="N9" s="85"/>
      <c r="O9" s="85"/>
      <c r="P9" s="85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spans="1:41" s="103" customFormat="1" ht="10.9" customHeight="1" x14ac:dyDescent="0.25">
      <c r="A10" s="95" t="s">
        <v>109</v>
      </c>
      <c r="B10" s="89"/>
      <c r="C10" s="89">
        <f>+('Balance Sheet'!D10-'Balance Sheet'!E10)+('Balance Sheet'!D11-'Balance Sheet'!E11)</f>
        <v>-10755.119999999999</v>
      </c>
      <c r="D10" s="89">
        <f>+('Balance Sheet'!E10-'Balance Sheet'!G10)+('Balance Sheet'!E11-'Balance Sheet'!G11)</f>
        <v>-6798.6239999999998</v>
      </c>
      <c r="E10" s="89">
        <f>+('Balance Sheet'!G10-'Balance Sheet'!H10)+('Balance Sheet'!G11-'Balance Sheet'!H11)</f>
        <v>-6118.7615999999953</v>
      </c>
      <c r="F10" s="89">
        <f>+('Balance Sheet'!H10-'Balance Sheet'!I10)+('Balance Sheet'!H11-'Balance Sheet'!I11)</f>
        <v>-4691.0505600000051</v>
      </c>
      <c r="G10" s="89">
        <f>+('Balance Sheet'!I10-'Balance Sheet'!J10)+('Balance Sheet'!I11-'Balance Sheet'!J11)</f>
        <v>-2580.0778079999973</v>
      </c>
      <c r="H10" s="99"/>
      <c r="I10" s="99"/>
      <c r="J10" s="99"/>
      <c r="K10" s="101"/>
      <c r="L10" s="101"/>
      <c r="M10" s="101"/>
      <c r="N10" s="101"/>
      <c r="O10" s="101"/>
      <c r="P10" s="101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</row>
    <row r="11" spans="1:41" s="103" customFormat="1" ht="10.9" customHeight="1" x14ac:dyDescent="0.25">
      <c r="A11" s="95" t="s">
        <v>110</v>
      </c>
      <c r="B11" s="89"/>
      <c r="C11" s="89">
        <f>+'Balance Sheet'!D12-'Balance Sheet'!E12</f>
        <v>-6765.6399999999994</v>
      </c>
      <c r="D11" s="89">
        <f>+'Balance Sheet'!E12-'Balance Sheet'!G12</f>
        <v>-3884.9279999999999</v>
      </c>
      <c r="E11" s="89">
        <f>+'Balance Sheet'!G12-'Balance Sheet'!H12</f>
        <v>-3496.4351999999963</v>
      </c>
      <c r="F11" s="89">
        <f>+'Balance Sheet'!H12-'Balance Sheet'!I12</f>
        <v>-2680.600320000005</v>
      </c>
      <c r="G11" s="89">
        <f>+'Balance Sheet'!I12-'Balance Sheet'!J12</f>
        <v>-1474.3301759999995</v>
      </c>
      <c r="H11" s="99"/>
      <c r="I11" s="99"/>
      <c r="J11" s="99"/>
      <c r="K11" s="101"/>
      <c r="L11" s="101"/>
      <c r="M11" s="101"/>
      <c r="N11" s="101"/>
      <c r="O11" s="101"/>
      <c r="P11" s="101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</row>
    <row r="12" spans="1:41" s="103" customFormat="1" ht="10.9" customHeight="1" x14ac:dyDescent="0.25">
      <c r="A12" s="95" t="s">
        <v>111</v>
      </c>
      <c r="B12" s="89"/>
      <c r="C12" s="89">
        <f>+'Balance Sheet'!D13-'Balance Sheet'!E13</f>
        <v>-4856.16</v>
      </c>
      <c r="D12" s="89">
        <f>+'Balance Sheet'!E13-'Balance Sheet'!G13</f>
        <v>-971.23199999999997</v>
      </c>
      <c r="E12" s="89">
        <f>+'Balance Sheet'!G13-'Balance Sheet'!H13</f>
        <v>-874.10879999999906</v>
      </c>
      <c r="F12" s="89">
        <f>+'Balance Sheet'!H13-'Balance Sheet'!I13</f>
        <v>-670.15008000000125</v>
      </c>
      <c r="G12" s="89">
        <f>+'Balance Sheet'!I13-'Balance Sheet'!J13</f>
        <v>-368.58254399999987</v>
      </c>
      <c r="H12" s="99"/>
      <c r="I12" s="99"/>
      <c r="J12" s="99"/>
      <c r="K12" s="101"/>
      <c r="L12" s="101"/>
      <c r="M12" s="101"/>
      <c r="N12" s="101"/>
      <c r="O12" s="101"/>
      <c r="P12" s="101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</row>
    <row r="13" spans="1:41" s="103" customFormat="1" ht="10.9" customHeight="1" x14ac:dyDescent="0.25">
      <c r="A13" s="95" t="s">
        <v>112</v>
      </c>
      <c r="B13" s="89"/>
      <c r="C13" s="89">
        <f>+'Balance Sheet'!D14-'Balance Sheet'!E14</f>
        <v>1701.7600000000002</v>
      </c>
      <c r="D13" s="89">
        <f>+'Balance Sheet'!E14-'Balance Sheet'!G14</f>
        <v>-1456.848</v>
      </c>
      <c r="E13" s="89">
        <f>+'Balance Sheet'!G14-'Balance Sheet'!H14</f>
        <v>-1311.1631999999991</v>
      </c>
      <c r="F13" s="89">
        <f>+'Balance Sheet'!H14-'Balance Sheet'!I14</f>
        <v>-1005.225120000001</v>
      </c>
      <c r="G13" s="89">
        <f>+'Balance Sheet'!I14-'Balance Sheet'!J14</f>
        <v>-552.87381599999935</v>
      </c>
      <c r="H13" s="99"/>
      <c r="I13" s="99"/>
      <c r="J13" s="99"/>
      <c r="K13" s="101"/>
      <c r="L13" s="101"/>
      <c r="M13" s="101"/>
      <c r="N13" s="101"/>
      <c r="O13" s="101"/>
      <c r="P13" s="101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</row>
    <row r="14" spans="1:41" s="103" customFormat="1" ht="10.9" customHeight="1" x14ac:dyDescent="0.25">
      <c r="A14" s="95" t="s">
        <v>113</v>
      </c>
      <c r="B14" s="96"/>
      <c r="C14" s="96">
        <f>+('Balance Sheet'!D15-'Balance Sheet'!E15)+('Balance Sheet'!E33-'Balance Sheet'!D33)+('Balance Sheet'!E40-'Balance Sheet'!D40)</f>
        <v>16060.5175</v>
      </c>
      <c r="D14" s="96">
        <f>+('Balance Sheet'!E15-'Balance Sheet'!G15)+('Balance Sheet'!G33-'Balance Sheet'!E33)+('Balance Sheet'!G40-'Balance Sheet'!E40)</f>
        <v>13211.878500000004</v>
      </c>
      <c r="E14" s="96">
        <f>+('Balance Sheet'!G15-'Balance Sheet'!H15)+('Balance Sheet'!H33-'Balance Sheet'!G33)+('Balance Sheet'!H40-'Balance Sheet'!G40)</f>
        <v>11425.976899999994</v>
      </c>
      <c r="F14" s="96">
        <f>+('Balance Sheet'!H15-'Balance Sheet'!I15)+('Balance Sheet'!I33-'Balance Sheet'!H33)+('Balance Sheet'!I40-'Balance Sheet'!H40)</f>
        <v>9584.1255400000209</v>
      </c>
      <c r="G14" s="96">
        <f>+('Balance Sheet'!I15-'Balance Sheet'!J15)+('Balance Sheet'!J33-'Balance Sheet'!I33)+('Balance Sheet'!J40-'Balance Sheet'!I40)</f>
        <v>7691.4441719999786</v>
      </c>
      <c r="H14" s="99"/>
      <c r="I14" s="99"/>
      <c r="J14" s="99"/>
      <c r="K14" s="101"/>
      <c r="L14" s="101"/>
      <c r="M14" s="101"/>
      <c r="N14" s="101"/>
      <c r="O14" s="101"/>
      <c r="P14" s="101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</row>
    <row r="15" spans="1:41" s="103" customFormat="1" ht="10.9" customHeight="1" x14ac:dyDescent="0.25">
      <c r="A15" s="95" t="s">
        <v>114</v>
      </c>
      <c r="B15" s="96"/>
      <c r="C15" s="96">
        <f>+'Balance Sheet'!E31-'Balance Sheet'!D31</f>
        <v>10185.120000000003</v>
      </c>
      <c r="D15" s="96">
        <f>+'Balance Sheet'!G31-'Balance Sheet'!E31</f>
        <v>6798.6239999999962</v>
      </c>
      <c r="E15" s="96">
        <f>+'Balance Sheet'!H31-'Balance Sheet'!G31</f>
        <v>6118.761599999998</v>
      </c>
      <c r="F15" s="96">
        <f>+'Balance Sheet'!I31-'Balance Sheet'!H31</f>
        <v>4691.0505600000033</v>
      </c>
      <c r="G15" s="96">
        <f>+'Balance Sheet'!J31-'Balance Sheet'!I31</f>
        <v>2580.0778080000018</v>
      </c>
      <c r="H15" s="99"/>
      <c r="I15" s="99"/>
      <c r="J15" s="99"/>
      <c r="K15" s="101"/>
      <c r="L15" s="101"/>
      <c r="M15" s="101"/>
      <c r="N15" s="101"/>
      <c r="O15" s="101"/>
      <c r="P15" s="101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</row>
    <row r="16" spans="1:41" s="103" customFormat="1" ht="10.9" customHeight="1" x14ac:dyDescent="0.25">
      <c r="A16" s="95" t="s">
        <v>115</v>
      </c>
      <c r="B16" s="96"/>
      <c r="C16" s="96">
        <f>+'Balance Sheet'!E32-'Balance Sheet'!D32</f>
        <v>-1123.6399999999994</v>
      </c>
      <c r="D16" s="96">
        <f>+'Balance Sheet'!G32-'Balance Sheet'!E32</f>
        <v>8255.4720000000016</v>
      </c>
      <c r="E16" s="96">
        <f>+'Balance Sheet'!H32-'Balance Sheet'!G32</f>
        <v>7429.9247999999934</v>
      </c>
      <c r="F16" s="96">
        <f>+'Balance Sheet'!I32-'Balance Sheet'!H32</f>
        <v>5696.2756800000061</v>
      </c>
      <c r="G16" s="96">
        <f>+'Balance Sheet'!J32-'Balance Sheet'!I32</f>
        <v>3132.9516240000012</v>
      </c>
      <c r="H16" s="99"/>
      <c r="I16" s="99"/>
      <c r="J16" s="99"/>
      <c r="K16" s="101"/>
      <c r="L16" s="101"/>
      <c r="M16" s="101"/>
      <c r="N16" s="101"/>
      <c r="O16" s="101"/>
      <c r="P16" s="101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</row>
    <row r="17" spans="1:41" s="103" customFormat="1" ht="10.9" customHeight="1" x14ac:dyDescent="0.25">
      <c r="A17" s="95" t="s">
        <v>116</v>
      </c>
      <c r="B17" s="96"/>
      <c r="C17" s="96">
        <f>+'Balance Sheet'!E38-'Balance Sheet'!D38</f>
        <v>7634.3599999999988</v>
      </c>
      <c r="D17" s="96">
        <f>+'Balance Sheet'!G38-'Balance Sheet'!E38</f>
        <v>2185.2720000000008</v>
      </c>
      <c r="E17" s="96">
        <f>+'Balance Sheet'!H38-'Balance Sheet'!G38</f>
        <v>1966.7447999999968</v>
      </c>
      <c r="F17" s="96">
        <f>+'Balance Sheet'!I38-'Balance Sheet'!H38</f>
        <v>1507.8376800000024</v>
      </c>
      <c r="G17" s="96">
        <f>+'Balance Sheet'!J38-'Balance Sheet'!I38</f>
        <v>829.31072399999903</v>
      </c>
      <c r="H17" s="99"/>
      <c r="I17" s="99"/>
      <c r="J17" s="99"/>
      <c r="K17" s="101"/>
      <c r="L17" s="101"/>
      <c r="M17" s="101"/>
      <c r="N17" s="101"/>
      <c r="O17" s="101"/>
      <c r="P17" s="101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</row>
    <row r="18" spans="1:41" s="103" customFormat="1" ht="10.9" customHeight="1" x14ac:dyDescent="0.25">
      <c r="A18" s="95" t="s">
        <v>117</v>
      </c>
      <c r="B18" s="97"/>
      <c r="C18" s="97">
        <f>+'Balance Sheet'!E41-'Balance Sheet'!D41</f>
        <v>-11100.92</v>
      </c>
      <c r="D18" s="97">
        <f>+'Balance Sheet'!G41-'Balance Sheet'!E41</f>
        <v>485.61599999999999</v>
      </c>
      <c r="E18" s="97">
        <f>+'Balance Sheet'!H41-'Balance Sheet'!G41</f>
        <v>437.05439999999953</v>
      </c>
      <c r="F18" s="97">
        <f>+'Balance Sheet'!I41-'Balance Sheet'!H41</f>
        <v>335.07504000000063</v>
      </c>
      <c r="G18" s="97">
        <f>+'Balance Sheet'!J41-'Balance Sheet'!I41</f>
        <v>184.29127199999994</v>
      </c>
      <c r="H18" s="99"/>
      <c r="I18" s="99"/>
      <c r="J18" s="99"/>
      <c r="K18" s="101"/>
      <c r="L18" s="101"/>
      <c r="M18" s="101"/>
      <c r="N18" s="101"/>
      <c r="O18" s="101"/>
      <c r="P18" s="101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</row>
    <row r="19" spans="1:41" s="103" customFormat="1" ht="10.9" customHeight="1" x14ac:dyDescent="0.25">
      <c r="A19" s="94" t="s">
        <v>118</v>
      </c>
      <c r="B19" s="89"/>
      <c r="C19" s="89">
        <f ca="1">SUM(C8:C18)</f>
        <v>75275.07273311897</v>
      </c>
      <c r="D19" s="89">
        <f ca="1">SUM(D8:D18)</f>
        <v>87314.306236841934</v>
      </c>
      <c r="E19" s="89">
        <f ca="1">SUM(E8:E18)</f>
        <v>100397.10418483385</v>
      </c>
      <c r="F19" s="89">
        <f ca="1">SUM(F8:F18)</f>
        <v>110613.24900127246</v>
      </c>
      <c r="G19" s="89">
        <f ca="1">SUM(G8:G18)</f>
        <v>116445.78688713511</v>
      </c>
      <c r="H19" s="99"/>
      <c r="I19" s="99"/>
      <c r="J19" s="99"/>
      <c r="K19" s="101"/>
      <c r="L19" s="101"/>
      <c r="M19" s="101"/>
      <c r="N19" s="101"/>
      <c r="O19" s="101"/>
      <c r="P19" s="101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</row>
    <row r="20" spans="1:41" s="103" customFormat="1" ht="10.9" customHeight="1" x14ac:dyDescent="0.25">
      <c r="A20" s="98"/>
      <c r="B20" s="89"/>
      <c r="C20" s="89"/>
      <c r="D20" s="89"/>
      <c r="E20" s="89"/>
      <c r="F20" s="89"/>
      <c r="G20" s="89"/>
      <c r="H20" s="99"/>
      <c r="I20" s="99"/>
      <c r="J20" s="99"/>
      <c r="K20" s="101"/>
      <c r="L20" s="101"/>
      <c r="M20" s="101"/>
      <c r="N20" s="101"/>
      <c r="O20" s="101"/>
      <c r="P20" s="101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</row>
    <row r="21" spans="1:41" s="103" customFormat="1" ht="10.9" customHeight="1" x14ac:dyDescent="0.25">
      <c r="A21" s="128" t="s">
        <v>119</v>
      </c>
      <c r="B21" s="102"/>
      <c r="C21" s="102"/>
      <c r="D21" s="102"/>
      <c r="E21" s="102"/>
      <c r="F21" s="102"/>
      <c r="G21" s="102"/>
      <c r="H21" s="101"/>
      <c r="I21" s="101"/>
      <c r="J21" s="99"/>
      <c r="K21" s="101"/>
      <c r="L21" s="101"/>
      <c r="M21" s="101"/>
      <c r="N21" s="101"/>
      <c r="O21" s="101"/>
      <c r="P21" s="101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</row>
    <row r="22" spans="1:41" s="103" customFormat="1" ht="10.9" customHeight="1" x14ac:dyDescent="0.25">
      <c r="A22" s="129" t="s">
        <v>265</v>
      </c>
      <c r="B22" s="102"/>
      <c r="C22" s="102">
        <f>-(+'Balance Sheet'!E23-'Balance Sheet'!D23)</f>
        <v>0</v>
      </c>
      <c r="D22" s="102">
        <f>-(+'Balance Sheet'!F23-'Balance Sheet'!E23)</f>
        <v>0</v>
      </c>
      <c r="E22" s="102">
        <f>-(+'Balance Sheet'!G23-'Balance Sheet'!F23)</f>
        <v>0</v>
      </c>
      <c r="F22" s="102">
        <f>-(+'Balance Sheet'!H23-'Balance Sheet'!G23)</f>
        <v>0</v>
      </c>
      <c r="G22" s="102">
        <f>-(+'Balance Sheet'!I23-'Balance Sheet'!H23)</f>
        <v>0</v>
      </c>
      <c r="H22" s="101"/>
      <c r="I22" s="101"/>
      <c r="J22" s="99"/>
      <c r="K22" s="101"/>
      <c r="L22" s="101"/>
      <c r="M22" s="101"/>
      <c r="N22" s="101"/>
      <c r="O22" s="101"/>
      <c r="P22" s="101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</row>
    <row r="23" spans="1:41" s="103" customFormat="1" ht="10.9" customHeight="1" x14ac:dyDescent="0.25">
      <c r="A23" s="129" t="s">
        <v>120</v>
      </c>
      <c r="B23" s="102"/>
      <c r="C23" s="102">
        <f>-(('Balance Sheet'!E20-'Balance Sheet'!D20)+'Income Statement'!F33)</f>
        <v>-110000.00000000001</v>
      </c>
      <c r="D23" s="102">
        <f>-(('Balance Sheet'!G20-'Balance Sheet'!E20)+'Income Statement'!G33)</f>
        <v>-70000</v>
      </c>
      <c r="E23" s="102">
        <f>-(('Balance Sheet'!H20-'Balance Sheet'!G20)+'Income Statement'!H33)</f>
        <v>-69999.999999999971</v>
      </c>
      <c r="F23" s="102">
        <f>-(('Balance Sheet'!I20-'Balance Sheet'!H20)+'Income Statement'!I33)</f>
        <v>-70000.000000000015</v>
      </c>
      <c r="G23" s="102">
        <f>-(('Balance Sheet'!J20-'Balance Sheet'!I20)+'Income Statement'!J33)</f>
        <v>-70000</v>
      </c>
      <c r="H23" s="101"/>
      <c r="I23" s="101"/>
      <c r="J23" s="99"/>
      <c r="K23" s="101"/>
      <c r="L23" s="101"/>
      <c r="M23" s="101"/>
      <c r="N23" s="101"/>
      <c r="O23" s="101"/>
      <c r="P23" s="101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</row>
    <row r="24" spans="1:41" s="103" customFormat="1" ht="10.9" customHeight="1" x14ac:dyDescent="0.25">
      <c r="A24" s="129" t="s">
        <v>121</v>
      </c>
      <c r="B24" s="102"/>
      <c r="C24" s="102">
        <f>+'Balance Sheet'!D24-'Balance Sheet'!E24</f>
        <v>12589.36</v>
      </c>
      <c r="D24" s="102">
        <f>+'Balance Sheet'!E24-'Balance Sheet'!G24</f>
        <v>-9955.1280000000042</v>
      </c>
      <c r="E24" s="102">
        <f>+'Balance Sheet'!G24-'Balance Sheet'!H24</f>
        <v>-8959.6151999999929</v>
      </c>
      <c r="F24" s="102">
        <f>+'Balance Sheet'!H24-'Balance Sheet'!I24</f>
        <v>-6869.0383200000069</v>
      </c>
      <c r="G24" s="102">
        <f>+'Balance Sheet'!I24-'Balance Sheet'!J24</f>
        <v>-3777.9710760000016</v>
      </c>
      <c r="H24" s="101"/>
      <c r="I24" s="101"/>
      <c r="J24" s="99"/>
      <c r="K24" s="101"/>
      <c r="L24" s="101"/>
      <c r="M24" s="101"/>
      <c r="N24" s="101"/>
      <c r="O24" s="101"/>
      <c r="P24" s="101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</row>
    <row r="25" spans="1:41" s="103" customFormat="1" ht="10.9" customHeight="1" x14ac:dyDescent="0.25">
      <c r="A25" s="129" t="s">
        <v>122</v>
      </c>
      <c r="B25" s="130"/>
      <c r="C25" s="130">
        <f>+'Balance Sheet'!D19-'Balance Sheet'!E19</f>
        <v>-21576</v>
      </c>
      <c r="D25" s="130">
        <f>+'Balance Sheet'!E19-'Balance Sheet'!G19</f>
        <v>0</v>
      </c>
      <c r="E25" s="130">
        <f>+'Balance Sheet'!G19-'Balance Sheet'!H19</f>
        <v>0</v>
      </c>
      <c r="F25" s="130">
        <f>+'Balance Sheet'!H19-'Balance Sheet'!I19</f>
        <v>0</v>
      </c>
      <c r="G25" s="130">
        <f>+'Balance Sheet'!I19-'Balance Sheet'!J19</f>
        <v>0</v>
      </c>
      <c r="H25" s="101"/>
      <c r="I25" s="101"/>
      <c r="J25" s="99"/>
      <c r="K25" s="101"/>
      <c r="L25" s="101"/>
      <c r="M25" s="101"/>
      <c r="N25" s="101"/>
      <c r="O25" s="101"/>
      <c r="P25" s="101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</row>
    <row r="26" spans="1:41" s="103" customFormat="1" ht="10.9" customHeight="1" x14ac:dyDescent="0.25">
      <c r="A26" s="129" t="s">
        <v>123</v>
      </c>
      <c r="B26" s="131"/>
      <c r="C26" s="131">
        <f>+('Balance Sheet'!D21-'Balance Sheet'!E21)+('Balance Sheet'!D22-'Balance Sheet'!E22)</f>
        <v>-3064.6799999999985</v>
      </c>
      <c r="D26" s="131">
        <f>+('Balance Sheet'!E21-'Balance Sheet'!G21)+('Balance Sheet'!E22-'Balance Sheet'!G22)</f>
        <v>-4127.7360000000008</v>
      </c>
      <c r="E26" s="131">
        <f>+('Balance Sheet'!G21-'Balance Sheet'!H21)+('Balance Sheet'!G22-'Balance Sheet'!H22)</f>
        <v>-3714.9623999999949</v>
      </c>
      <c r="F26" s="131">
        <f>+('Balance Sheet'!H21-'Balance Sheet'!I21)+('Balance Sheet'!H22-'Balance Sheet'!I22)</f>
        <v>-2848.1378400000049</v>
      </c>
      <c r="G26" s="131">
        <f>+('Balance Sheet'!I21-'Balance Sheet'!J21)+('Balance Sheet'!I22-'Balance Sheet'!J22)</f>
        <v>-1566.4758119999988</v>
      </c>
      <c r="H26" s="101"/>
      <c r="I26" s="101"/>
      <c r="J26" s="99"/>
      <c r="K26" s="101"/>
      <c r="L26" s="101"/>
      <c r="M26" s="101"/>
      <c r="N26" s="101"/>
      <c r="O26" s="101"/>
      <c r="P26" s="101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</row>
    <row r="27" spans="1:41" s="103" customFormat="1" ht="10.9" customHeight="1" x14ac:dyDescent="0.25">
      <c r="A27" s="128" t="s">
        <v>118</v>
      </c>
      <c r="B27" s="102"/>
      <c r="C27" s="102">
        <f>SUM(C22:C26)</f>
        <v>-122051.32</v>
      </c>
      <c r="D27" s="102">
        <f>SUM(D22:D26)</f>
        <v>-84082.864000000001</v>
      </c>
      <c r="E27" s="102">
        <f>SUM(E22:E26)</f>
        <v>-82674.577599999961</v>
      </c>
      <c r="F27" s="102">
        <f>SUM(F22:F26)</f>
        <v>-79717.176160000032</v>
      </c>
      <c r="G27" s="102">
        <f>SUM(G22:G26)</f>
        <v>-75344.446888000006</v>
      </c>
      <c r="H27" s="101"/>
      <c r="I27" s="101"/>
      <c r="J27" s="99"/>
      <c r="K27" s="101"/>
      <c r="L27" s="101"/>
      <c r="M27" s="101"/>
      <c r="N27" s="101"/>
      <c r="O27" s="101"/>
      <c r="P27" s="101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</row>
    <row r="28" spans="1:41" s="103" customFormat="1" ht="10.9" customHeight="1" x14ac:dyDescent="0.25">
      <c r="A28" s="132"/>
      <c r="B28" s="102"/>
      <c r="C28" s="102"/>
      <c r="D28" s="102"/>
      <c r="E28" s="102"/>
      <c r="F28" s="102"/>
      <c r="G28" s="102"/>
      <c r="H28" s="101"/>
      <c r="I28" s="101"/>
      <c r="J28" s="99"/>
      <c r="K28" s="101"/>
      <c r="L28" s="101"/>
      <c r="M28" s="101"/>
      <c r="N28" s="101"/>
      <c r="O28" s="101"/>
      <c r="P28" s="101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</row>
    <row r="29" spans="1:41" s="103" customFormat="1" ht="10.9" customHeight="1" x14ac:dyDescent="0.25">
      <c r="A29" s="128" t="s">
        <v>124</v>
      </c>
      <c r="B29" s="102"/>
      <c r="C29" s="102"/>
      <c r="D29" s="102"/>
      <c r="E29" s="102"/>
      <c r="F29" s="102"/>
      <c r="G29" s="102"/>
      <c r="J29" s="100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</row>
    <row r="30" spans="1:41" s="103" customFormat="1" ht="10.9" customHeight="1" x14ac:dyDescent="0.25">
      <c r="A30" s="128"/>
      <c r="B30" s="102"/>
      <c r="C30" s="102"/>
      <c r="D30" s="102"/>
      <c r="E30" s="102"/>
      <c r="F30" s="102"/>
      <c r="G30" s="102"/>
      <c r="J30" s="100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</row>
    <row r="31" spans="1:41" s="103" customFormat="1" ht="10.9" customHeight="1" x14ac:dyDescent="0.2">
      <c r="A31" s="133" t="s">
        <v>125</v>
      </c>
      <c r="B31" s="102"/>
      <c r="C31" s="102">
        <f ca="1">+Assumptions!C81*'Income Statement'!F49</f>
        <v>0</v>
      </c>
      <c r="D31" s="102">
        <f ca="1">+Assumptions!D81*'Income Statement'!G49</f>
        <v>0</v>
      </c>
      <c r="E31" s="102">
        <f ca="1">+Assumptions!E81*'Income Statement'!H49</f>
        <v>0</v>
      </c>
      <c r="F31" s="102">
        <f ca="1">+Assumptions!F81*'Income Statement'!I49</f>
        <v>0</v>
      </c>
      <c r="G31" s="102">
        <f ca="1">+Assumptions!G81*'Income Statement'!J49</f>
        <v>0</v>
      </c>
      <c r="J31" s="100"/>
    </row>
    <row r="32" spans="1:41" s="103" customFormat="1" ht="10.9" customHeight="1" x14ac:dyDescent="0.2">
      <c r="A32" s="129" t="s">
        <v>126</v>
      </c>
      <c r="B32" s="130"/>
      <c r="C32" s="130">
        <f>'Balance Sheet'!E55-'Balance Sheet'!D55</f>
        <v>0</v>
      </c>
      <c r="D32" s="130">
        <f ca="1">'Balance Sheet'!G55-'Balance Sheet'!E55</f>
        <v>-459452.552733119</v>
      </c>
      <c r="E32" s="130">
        <f ca="1">'Balance Sheet'!H55-'Balance Sheet'!G55</f>
        <v>0</v>
      </c>
      <c r="F32" s="130">
        <f ca="1">'Balance Sheet'!I55-'Balance Sheet'!H55</f>
        <v>0</v>
      </c>
      <c r="G32" s="130">
        <f ca="1">'Balance Sheet'!J55-'Balance Sheet'!I55</f>
        <v>0</v>
      </c>
      <c r="J32" s="100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</row>
    <row r="33" spans="1:41" s="103" customFormat="1" ht="10.9" customHeight="1" x14ac:dyDescent="0.2">
      <c r="A33" s="129" t="s">
        <v>150</v>
      </c>
      <c r="B33" s="131"/>
      <c r="C33" s="131">
        <f ca="1">('Balance Sheet'!E39-'Balance Sheet'!D39)+('Balance Sheet'!E34-'Balance Sheet'!D34)</f>
        <v>35237.447266881005</v>
      </c>
      <c r="D33" s="131">
        <f ca="1">('Balance Sheet'!G39-'Balance Sheet'!E39)+('Balance Sheet'!G34-'Balance Sheet'!E34)</f>
        <v>457435.15049627703</v>
      </c>
      <c r="E33" s="131">
        <f ca="1">('Balance Sheet'!H39-'Balance Sheet'!G39)+('Balance Sheet'!H34-'Balance Sheet'!G34)</f>
        <v>-16629.890584833804</v>
      </c>
      <c r="F33" s="131">
        <f ca="1">('Balance Sheet'!I39-'Balance Sheet'!H39)+('Balance Sheet'!I34-'Balance Sheet'!H34)</f>
        <v>-30058.385241272394</v>
      </c>
      <c r="G33" s="131">
        <f ca="1">('Balance Sheet'!J39-'Balance Sheet'!I39)+('Balance Sheet'!J34-'Balance Sheet'!I34)</f>
        <v>-40640.611819135142</v>
      </c>
      <c r="J33" s="100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</row>
    <row r="34" spans="1:41" s="90" customFormat="1" ht="10.9" customHeight="1" x14ac:dyDescent="0.25">
      <c r="A34" s="128" t="s">
        <v>118</v>
      </c>
      <c r="B34" s="102"/>
      <c r="C34" s="102">
        <f ca="1">SUM(C31:C33)</f>
        <v>35237.447266881005</v>
      </c>
      <c r="D34" s="102">
        <f ca="1">SUM(D31:D33)</f>
        <v>-2017.4022368419683</v>
      </c>
      <c r="E34" s="102">
        <f ca="1">SUM(E31:E33)</f>
        <v>-16629.890584833804</v>
      </c>
      <c r="F34" s="102">
        <f ca="1">SUM(F31:F33)</f>
        <v>-30058.385241272394</v>
      </c>
      <c r="G34" s="102">
        <f ca="1">SUM(G31:G33)</f>
        <v>-40640.611819135142</v>
      </c>
      <c r="H34" s="103"/>
      <c r="I34" s="103"/>
      <c r="J34" s="100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</row>
    <row r="35" spans="1:41" ht="10.9" customHeight="1" x14ac:dyDescent="0.25">
      <c r="A35" s="103"/>
      <c r="B35" s="102"/>
      <c r="C35" s="102"/>
      <c r="D35" s="102"/>
      <c r="E35" s="102"/>
      <c r="F35" s="102"/>
      <c r="G35" s="102"/>
      <c r="H35" s="101"/>
      <c r="I35" s="101"/>
    </row>
    <row r="36" spans="1:41" ht="10.9" customHeight="1" x14ac:dyDescent="0.25">
      <c r="A36" s="103" t="s">
        <v>127</v>
      </c>
      <c r="B36" s="102"/>
      <c r="C36" s="102">
        <f ca="1">+C19+C27+C34</f>
        <v>-11538.800000000032</v>
      </c>
      <c r="D36" s="102">
        <f ca="1">+D19+D27+D34</f>
        <v>1214.0399999999645</v>
      </c>
      <c r="E36" s="102">
        <f ca="1">+E19+E27+E34</f>
        <v>1092.6360000000859</v>
      </c>
      <c r="F36" s="102">
        <f ca="1">+F19+F27+F34</f>
        <v>837.68760000003385</v>
      </c>
      <c r="G36" s="102">
        <f ca="1">+G19+G27+G34</f>
        <v>460.72817999996187</v>
      </c>
      <c r="H36" s="101"/>
      <c r="I36" s="101"/>
    </row>
    <row r="37" spans="1:41" ht="10.9" customHeight="1" x14ac:dyDescent="0.25">
      <c r="A37" s="103" t="s">
        <v>128</v>
      </c>
      <c r="B37" s="102"/>
      <c r="C37" s="102">
        <f>'Balance Sheet'!D8+'Balance Sheet'!D9</f>
        <v>17609</v>
      </c>
      <c r="D37" s="102">
        <f ca="1">'Balance Sheet'!E8+'Balance Sheet'!E9</f>
        <v>6070.1999999999389</v>
      </c>
      <c r="E37" s="102">
        <f ca="1">'Balance Sheet'!G8+'Balance Sheet'!G9</f>
        <v>7284.2400000001217</v>
      </c>
      <c r="F37" s="102">
        <f ca="1">'Balance Sheet'!H8+'Balance Sheet'!H9</f>
        <v>8376.8759999999984</v>
      </c>
      <c r="G37" s="102">
        <f ca="1">'Balance Sheet'!I8+'Balance Sheet'!I9</f>
        <v>9214.5636000000668</v>
      </c>
      <c r="H37" s="101"/>
      <c r="I37" s="101"/>
    </row>
    <row r="38" spans="1:41" ht="10.9" customHeight="1" x14ac:dyDescent="0.25">
      <c r="A38" s="103" t="s">
        <v>129</v>
      </c>
      <c r="B38" s="131"/>
      <c r="C38" s="131">
        <f ca="1">+C36+C37</f>
        <v>6070.199999999968</v>
      </c>
      <c r="D38" s="131">
        <f ca="1">+D36+D37</f>
        <v>7284.2399999999034</v>
      </c>
      <c r="E38" s="131">
        <f ca="1">+E36+E37</f>
        <v>8376.8760000002076</v>
      </c>
      <c r="F38" s="131">
        <f ca="1">+F36+F37</f>
        <v>9214.5636000000322</v>
      </c>
      <c r="G38" s="131">
        <f ca="1">+G36+G37</f>
        <v>9675.2917800000287</v>
      </c>
      <c r="H38" s="101"/>
      <c r="I38" s="101"/>
    </row>
    <row r="39" spans="1:41" ht="10.9" customHeight="1" thickBot="1" x14ac:dyDescent="0.3">
      <c r="A39" s="103" t="s">
        <v>130</v>
      </c>
      <c r="B39" s="134"/>
      <c r="C39" s="134">
        <f ca="1">'Balance Sheet'!E8+'Balance Sheet'!E9</f>
        <v>6070.1999999999389</v>
      </c>
      <c r="D39" s="134">
        <f ca="1">'Balance Sheet'!G8+'Balance Sheet'!G9</f>
        <v>7284.2400000001217</v>
      </c>
      <c r="E39" s="134">
        <f ca="1">'Balance Sheet'!H8+'Balance Sheet'!H9</f>
        <v>8376.8759999999984</v>
      </c>
      <c r="F39" s="134">
        <f ca="1">'Balance Sheet'!I8+'Balance Sheet'!I9</f>
        <v>9214.5636000000668</v>
      </c>
      <c r="G39" s="134">
        <f ca="1">'Balance Sheet'!J8+'Balance Sheet'!J9</f>
        <v>9675.2917800001014</v>
      </c>
      <c r="H39" s="101"/>
      <c r="I39" s="101"/>
    </row>
    <row r="40" spans="1:41" ht="10.5" customHeight="1" thickTop="1" x14ac:dyDescent="0.25">
      <c r="A40" s="90" t="s">
        <v>131</v>
      </c>
      <c r="B40" s="89"/>
      <c r="C40" s="6">
        <f ca="1">+C39-C38</f>
        <v>-2.9103830456733704E-11</v>
      </c>
      <c r="D40" s="6">
        <f ca="1">+D39-D38</f>
        <v>2.1827872842550278E-10</v>
      </c>
      <c r="E40" s="6">
        <f ca="1">+E39-E38</f>
        <v>-2.0918378140777349E-10</v>
      </c>
      <c r="F40" s="6">
        <f ca="1">+F39-F38</f>
        <v>3.4560798667371273E-11</v>
      </c>
      <c r="G40" s="6">
        <f ca="1">+G39-G38</f>
        <v>7.2759576141834259E-11</v>
      </c>
    </row>
    <row r="41" spans="1:41" ht="10.9" customHeight="1" x14ac:dyDescent="0.25">
      <c r="A41" s="90"/>
      <c r="B41" s="89"/>
      <c r="C41" s="89"/>
      <c r="D41" s="89"/>
      <c r="E41" s="89"/>
      <c r="F41" s="89"/>
    </row>
    <row r="42" spans="1:41" ht="10.9" customHeight="1" x14ac:dyDescent="0.25">
      <c r="A42" s="90"/>
      <c r="B42" s="89"/>
      <c r="C42" s="89"/>
      <c r="D42" s="89"/>
      <c r="E42" s="89"/>
      <c r="F42" s="89"/>
    </row>
    <row r="43" spans="1:41" ht="10.9" customHeight="1" x14ac:dyDescent="0.25">
      <c r="A43" s="90"/>
      <c r="B43" s="89"/>
      <c r="C43" s="89"/>
      <c r="D43" s="89"/>
      <c r="E43" s="89"/>
      <c r="F43" s="89"/>
    </row>
    <row r="44" spans="1:41" ht="10.9" customHeight="1" x14ac:dyDescent="0.25">
      <c r="A44" s="90"/>
      <c r="B44" s="89"/>
      <c r="C44" s="89"/>
      <c r="D44" s="89"/>
      <c r="E44" s="89"/>
      <c r="F44" s="89"/>
    </row>
    <row r="45" spans="1:41" ht="10.9" customHeight="1" x14ac:dyDescent="0.25">
      <c r="A45" s="90"/>
      <c r="B45" s="89"/>
      <c r="C45" s="89"/>
      <c r="D45" s="89"/>
      <c r="E45" s="89"/>
      <c r="F45" s="89"/>
    </row>
    <row r="46" spans="1:41" ht="10.9" customHeight="1" x14ac:dyDescent="0.25">
      <c r="A46" s="90"/>
      <c r="B46" s="89"/>
      <c r="C46" s="89"/>
      <c r="D46" s="89"/>
      <c r="E46" s="89"/>
      <c r="F46" s="89"/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3"/>
  <sheetViews>
    <sheetView showGridLines="0" workbookViewId="0">
      <selection activeCell="B30" sqref="B30"/>
    </sheetView>
  </sheetViews>
  <sheetFormatPr defaultColWidth="8.81640625" defaultRowHeight="12.5" x14ac:dyDescent="0.25"/>
  <cols>
    <col min="1" max="1" width="32" style="39" customWidth="1"/>
    <col min="2" max="2" width="53.7265625" style="39" customWidth="1"/>
    <col min="3" max="3" width="7.54296875" style="46" customWidth="1"/>
    <col min="4" max="4" width="9.1796875" style="46" bestFit="1" customWidth="1"/>
    <col min="5" max="5" width="9.453125" style="46" bestFit="1" customWidth="1"/>
    <col min="6" max="6" width="10.7265625" style="46" bestFit="1" customWidth="1"/>
    <col min="7" max="8" width="10" style="46" bestFit="1" customWidth="1"/>
    <col min="9" max="9" width="10.81640625" style="46" bestFit="1" customWidth="1"/>
    <col min="10" max="14" width="9" bestFit="1" customWidth="1"/>
    <col min="15" max="16384" width="8.81640625" style="39"/>
  </cols>
  <sheetData>
    <row r="1" spans="1:14" ht="18" x14ac:dyDescent="0.4">
      <c r="A1" s="43" t="str">
        <f>Assumptions!D6</f>
        <v>Papa John's International, Inc.</v>
      </c>
      <c r="B1" s="42"/>
      <c r="C1" s="45"/>
      <c r="D1" s="45"/>
      <c r="E1" s="45"/>
      <c r="F1" s="45"/>
      <c r="G1" s="45"/>
      <c r="H1" s="45"/>
      <c r="I1" s="45"/>
    </row>
    <row r="3" spans="1:14" ht="15.5" x14ac:dyDescent="0.35">
      <c r="A3" s="44" t="s">
        <v>93</v>
      </c>
      <c r="B3" s="276"/>
      <c r="C3" s="277"/>
      <c r="D3" s="277"/>
      <c r="E3" s="277"/>
      <c r="F3" s="277"/>
      <c r="G3" s="277"/>
      <c r="H3" s="277"/>
      <c r="I3" s="277"/>
      <c r="J3" s="260"/>
      <c r="K3" s="260"/>
      <c r="L3" s="260"/>
      <c r="M3" s="260"/>
    </row>
    <row r="4" spans="1:14" ht="13.15" customHeight="1" x14ac:dyDescent="0.35">
      <c r="A4" s="276"/>
      <c r="B4" s="276"/>
      <c r="C4" s="277"/>
      <c r="D4" s="277"/>
      <c r="E4" s="277"/>
      <c r="F4" s="277"/>
      <c r="G4" s="277"/>
      <c r="H4" s="277"/>
      <c r="I4" s="277"/>
      <c r="J4" s="260"/>
      <c r="K4" s="260"/>
      <c r="L4" s="260"/>
      <c r="M4" s="260"/>
    </row>
    <row r="5" spans="1:14" ht="16" thickBot="1" x14ac:dyDescent="0.4">
      <c r="A5" s="278" t="s">
        <v>82</v>
      </c>
      <c r="B5" s="276"/>
      <c r="C5" s="279"/>
      <c r="D5" s="280">
        <f>+Assumptions!D8</f>
        <v>2001</v>
      </c>
      <c r="E5" s="281" t="str">
        <f>+Assumptions!C13</f>
        <v>2002E</v>
      </c>
      <c r="F5" s="281" t="str">
        <f>+Assumptions!D13</f>
        <v>2003E</v>
      </c>
      <c r="G5" s="281" t="str">
        <f>+Assumptions!E13</f>
        <v>2004E</v>
      </c>
      <c r="H5" s="281" t="str">
        <f>+Assumptions!F13</f>
        <v>2005E</v>
      </c>
      <c r="I5" s="281" t="str">
        <f>+Assumptions!G13</f>
        <v>2006E</v>
      </c>
      <c r="J5" s="282"/>
      <c r="K5" s="260"/>
      <c r="L5" s="260"/>
      <c r="M5" s="260"/>
    </row>
    <row r="6" spans="1:14" ht="15.5" x14ac:dyDescent="0.35">
      <c r="A6" s="276"/>
      <c r="B6" s="276"/>
      <c r="C6" s="283"/>
      <c r="D6" s="283"/>
      <c r="E6" s="284"/>
      <c r="F6" s="284"/>
      <c r="G6" s="285"/>
      <c r="H6" s="284"/>
      <c r="I6" s="284"/>
      <c r="J6" s="282"/>
      <c r="K6" s="260"/>
      <c r="L6" s="260"/>
      <c r="M6" s="260"/>
    </row>
    <row r="7" spans="1:14" ht="15.5" x14ac:dyDescent="0.35">
      <c r="A7" s="276" t="s">
        <v>73</v>
      </c>
      <c r="B7" s="276" t="s">
        <v>90</v>
      </c>
      <c r="C7" s="286"/>
      <c r="D7" s="287">
        <f>'Income Statement'!E49/(('Balance Sheet'!D57+'Balance Sheet'!C57)/2)</f>
        <v>0.26105599345771413</v>
      </c>
      <c r="E7" s="287">
        <f ca="1">'Income Statement'!F49/(('Balance Sheet'!E57+'Balance Sheet'!D57)/2)</f>
        <v>0.19831403090126737</v>
      </c>
      <c r="F7" s="287">
        <f ca="1">'Income Statement'!G49/(('Balance Sheet'!G57+'Balance Sheet'!E57)/2)</f>
        <v>1.3036325343934854</v>
      </c>
      <c r="G7" s="287">
        <f ca="1">'Income Statement'!H49/(('Balance Sheet'!H57+'Balance Sheet'!G57)/2)</f>
        <v>-0.26818113213427419</v>
      </c>
      <c r="H7" s="287">
        <f ca="1">'Income Statement'!I49/(('Balance Sheet'!I57+'Balance Sheet'!H57)/2)</f>
        <v>-0.45130079689003388</v>
      </c>
      <c r="I7" s="287">
        <f ca="1">'Income Statement'!J49/(('Balance Sheet'!J57+'Balance Sheet'!I57)/2)</f>
        <v>-0.92516610868078719</v>
      </c>
      <c r="J7" s="288"/>
      <c r="K7" s="260"/>
      <c r="L7" s="260"/>
      <c r="M7" s="260"/>
    </row>
    <row r="8" spans="1:14" ht="15.5" x14ac:dyDescent="0.35">
      <c r="A8" s="276"/>
      <c r="B8" s="276"/>
      <c r="C8" s="287"/>
      <c r="D8" s="287"/>
      <c r="E8" s="287"/>
      <c r="F8" s="287"/>
      <c r="G8" s="287"/>
      <c r="H8" s="287"/>
      <c r="I8" s="287"/>
      <c r="J8" s="288"/>
      <c r="K8" s="260"/>
      <c r="L8" s="260"/>
      <c r="M8" s="260"/>
    </row>
    <row r="9" spans="1:14" ht="15.5" x14ac:dyDescent="0.35">
      <c r="A9" s="276" t="s">
        <v>74</v>
      </c>
      <c r="B9" s="276" t="s">
        <v>79</v>
      </c>
      <c r="C9" s="287"/>
      <c r="D9" s="287">
        <f>'Income Statement'!E49/(('Balance Sheet'!D27+'Balance Sheet'!C27)/2)</f>
        <v>0.12066193587767543</v>
      </c>
      <c r="E9" s="287">
        <f ca="1">'Income Statement'!F49/(('Balance Sheet'!E27+'Balance Sheet'!D27)/2)</f>
        <v>9.8480759251079172E-2</v>
      </c>
      <c r="F9" s="287">
        <f ca="1">'Income Statement'!G49/(('Balance Sheet'!G27+'Balance Sheet'!E27)/2)</f>
        <v>6.4768399801472476E-2</v>
      </c>
      <c r="G9" s="287">
        <f ca="1">'Income Statement'!H49/(('Balance Sheet'!H27+'Balance Sheet'!G27)/2)</f>
        <v>7.6582846023220519E-2</v>
      </c>
      <c r="H9" s="287">
        <f ca="1">'Income Statement'!I49/(('Balance Sheet'!I27+'Balance Sheet'!H27)/2)</f>
        <v>8.3788653192037904E-2</v>
      </c>
      <c r="I9" s="287">
        <f ca="1">'Income Statement'!J49/(('Balance Sheet'!J27+'Balance Sheet'!I27)/2)</f>
        <v>8.5765370324969406E-2</v>
      </c>
      <c r="J9" s="288"/>
      <c r="K9" s="260"/>
      <c r="L9" s="260"/>
      <c r="M9" s="260"/>
    </row>
    <row r="10" spans="1:14" ht="15.5" x14ac:dyDescent="0.35">
      <c r="A10" s="276"/>
      <c r="B10" s="276"/>
      <c r="C10" s="289"/>
      <c r="D10" s="289"/>
      <c r="E10" s="289"/>
      <c r="F10" s="289"/>
      <c r="G10" s="289"/>
      <c r="H10" s="289"/>
      <c r="I10" s="289"/>
      <c r="J10" s="289"/>
      <c r="K10" s="260"/>
      <c r="L10" s="260"/>
      <c r="M10" s="260"/>
    </row>
    <row r="11" spans="1:14" ht="15.5" x14ac:dyDescent="0.35">
      <c r="A11" s="276" t="s">
        <v>75</v>
      </c>
      <c r="B11" s="276" t="s">
        <v>80</v>
      </c>
      <c r="C11" s="289"/>
      <c r="D11" s="290">
        <f>(('Balance Sheet'!D27+'Balance Sheet'!C27)/2)/(('Balance Sheet'!D57+'Balance Sheet'!C57)/2)</f>
        <v>2.1635322818155949</v>
      </c>
      <c r="E11" s="290">
        <f ca="1">(('Balance Sheet'!E27+'Balance Sheet'!D27)/2)/(('Balance Sheet'!E57+'Balance Sheet'!D57)/2)</f>
        <v>2.0137337730679019</v>
      </c>
      <c r="F11" s="290">
        <f ca="1">(('Balance Sheet'!G27+'Balance Sheet'!E27)/2)/(('Balance Sheet'!G57+'Balance Sheet'!E57)/2)</f>
        <v>20.127601398048558</v>
      </c>
      <c r="G11" s="290">
        <f ca="1">(('Balance Sheet'!H27+'Balance Sheet'!G27)/2)/(('Balance Sheet'!H57+'Balance Sheet'!G57)/2)</f>
        <v>-3.5018433769484045</v>
      </c>
      <c r="H11" s="290">
        <f ca="1">(('Balance Sheet'!I27+'Balance Sheet'!H27)/2)/(('Balance Sheet'!I57+'Balance Sheet'!H57)/2)</f>
        <v>-5.3861803442010601</v>
      </c>
      <c r="I11" s="290">
        <f ca="1">(('Balance Sheet'!J27+'Balance Sheet'!I27)/2)/(('Balance Sheet'!J57+'Balance Sheet'!I57)/2)</f>
        <v>-10.787175583516809</v>
      </c>
      <c r="J11" s="289"/>
      <c r="K11" s="260"/>
      <c r="L11" s="260"/>
      <c r="M11" s="260"/>
    </row>
    <row r="12" spans="1:14" customFormat="1" ht="15.5" x14ac:dyDescent="0.35">
      <c r="A12" s="260"/>
      <c r="B12" s="260"/>
      <c r="C12" s="288"/>
      <c r="D12" s="291"/>
      <c r="E12" s="291"/>
      <c r="F12" s="291"/>
      <c r="G12" s="291"/>
      <c r="H12" s="291"/>
      <c r="I12" s="291"/>
      <c r="J12" s="288"/>
      <c r="K12" s="260"/>
      <c r="L12" s="260"/>
      <c r="M12" s="260"/>
    </row>
    <row r="13" spans="1:14" ht="15.5" x14ac:dyDescent="0.35">
      <c r="A13" s="276" t="s">
        <v>78</v>
      </c>
      <c r="B13" s="276" t="s">
        <v>76</v>
      </c>
      <c r="C13" s="286"/>
      <c r="D13" s="292">
        <f>'Income Statement'!E49/'Income Statement'!E13</f>
        <v>4.8644402161378539E-2</v>
      </c>
      <c r="E13" s="292">
        <f ca="1">'Income Statement'!F49/'Income Statement'!F13</f>
        <v>3.5474088085883197E-2</v>
      </c>
      <c r="F13" s="292">
        <f ca="1">'Income Statement'!G49/'Income Statement'!G13</f>
        <v>2.3059767207589222E-2</v>
      </c>
      <c r="G13" s="292">
        <f ca="1">'Income Statement'!H49/'Income Statement'!H13</f>
        <v>2.6416735676979823E-2</v>
      </c>
      <c r="H13" s="292">
        <f ca="1">'Income Statement'!I49/'Income Statement'!I13</f>
        <v>2.855158395560867E-2</v>
      </c>
      <c r="I13" s="292">
        <f ca="1">'Income Statement'!J49/'Income Statement'!J13</f>
        <v>2.9512844123826074E-2</v>
      </c>
      <c r="J13" s="288"/>
      <c r="K13" s="260"/>
      <c r="L13" s="260"/>
      <c r="M13" s="260"/>
    </row>
    <row r="14" spans="1:14" ht="15.5" x14ac:dyDescent="0.35">
      <c r="A14" s="276"/>
      <c r="B14" s="276"/>
      <c r="C14" s="289"/>
      <c r="D14" s="291"/>
      <c r="E14" s="291"/>
      <c r="F14" s="291"/>
      <c r="G14" s="291"/>
      <c r="H14" s="291"/>
      <c r="I14" s="291"/>
      <c r="J14" s="289"/>
      <c r="K14" s="260"/>
      <c r="L14" s="260"/>
      <c r="M14" s="260"/>
    </row>
    <row r="15" spans="1:14" s="41" customFormat="1" ht="15.5" x14ac:dyDescent="0.35">
      <c r="A15" s="293" t="s">
        <v>77</v>
      </c>
      <c r="B15" s="293" t="s">
        <v>81</v>
      </c>
      <c r="C15" s="289"/>
      <c r="D15" s="290">
        <f>'Income Statement'!E13/(('Balance Sheet'!D27+'Balance Sheet'!C27)/2)</f>
        <v>2.4804896455994596</v>
      </c>
      <c r="E15" s="290">
        <f ca="1">'Income Statement'!F13/(('Balance Sheet'!E27+'Balance Sheet'!D27)/2)</f>
        <v>2.7761322296053406</v>
      </c>
      <c r="F15" s="290">
        <f ca="1">'Income Statement'!G13/(('Balance Sheet'!G27+'Balance Sheet'!E27)/2)</f>
        <v>2.8087187185548208</v>
      </c>
      <c r="G15" s="290">
        <f ca="1">'Income Statement'!H13/(('Balance Sheet'!H27+'Balance Sheet'!G27)/2)</f>
        <v>2.8990276073344154</v>
      </c>
      <c r="H15" s="290">
        <f ca="1">'Income Statement'!I13/(('Balance Sheet'!I27+'Balance Sheet'!H27)/2)</f>
        <v>2.934641150638456</v>
      </c>
      <c r="I15" s="290">
        <f ca="1">'Income Statement'!J13/(('Balance Sheet'!J27+'Balance Sheet'!I27)/2)</f>
        <v>2.9060354185156285</v>
      </c>
      <c r="J15" s="289"/>
      <c r="K15" s="294"/>
      <c r="L15" s="260"/>
      <c r="M15" s="260"/>
      <c r="N15"/>
    </row>
    <row r="16" spans="1:14" ht="15.5" x14ac:dyDescent="0.35">
      <c r="A16" s="276"/>
      <c r="B16" s="276"/>
      <c r="C16" s="295"/>
      <c r="D16" s="295"/>
      <c r="E16" s="295"/>
      <c r="F16" s="295"/>
      <c r="G16" s="295"/>
      <c r="H16" s="295"/>
      <c r="I16" s="295"/>
      <c r="J16" s="282"/>
      <c r="K16" s="260"/>
      <c r="L16" s="260"/>
      <c r="M16" s="260"/>
    </row>
    <row r="17" spans="1:13" ht="15.5" x14ac:dyDescent="0.35">
      <c r="A17" s="260"/>
      <c r="B17" s="260"/>
      <c r="C17" s="282"/>
      <c r="D17" s="282"/>
      <c r="E17" s="282"/>
      <c r="F17" s="282"/>
      <c r="G17" s="282"/>
      <c r="H17" s="282"/>
      <c r="I17" s="282"/>
      <c r="J17" s="282"/>
      <c r="K17" s="260"/>
      <c r="L17" s="260"/>
      <c r="M17" s="260"/>
    </row>
    <row r="18" spans="1:13" ht="17.5" x14ac:dyDescent="0.35">
      <c r="A18" s="274"/>
      <c r="B18" s="274"/>
      <c r="C18" s="275"/>
      <c r="D18" s="275"/>
      <c r="E18" s="275"/>
      <c r="F18" s="275"/>
      <c r="G18" s="275"/>
      <c r="H18" s="275"/>
      <c r="I18" s="275"/>
      <c r="J18" s="67"/>
    </row>
    <row r="19" spans="1:13" x14ac:dyDescent="0.25">
      <c r="A19"/>
      <c r="B19"/>
      <c r="C19"/>
      <c r="D19"/>
      <c r="E19"/>
      <c r="F19"/>
      <c r="G19"/>
      <c r="H19"/>
      <c r="I19"/>
    </row>
    <row r="20" spans="1:13" x14ac:dyDescent="0.25">
      <c r="A20"/>
      <c r="B20"/>
      <c r="C20"/>
      <c r="D20"/>
      <c r="E20"/>
      <c r="F20"/>
      <c r="G20"/>
      <c r="H20"/>
      <c r="I20"/>
    </row>
    <row r="21" spans="1:13" x14ac:dyDescent="0.25">
      <c r="A21"/>
      <c r="B21"/>
      <c r="C21"/>
      <c r="D21"/>
      <c r="E21"/>
      <c r="F21"/>
      <c r="G21"/>
      <c r="H21"/>
      <c r="I21"/>
    </row>
    <row r="22" spans="1:13" x14ac:dyDescent="0.25">
      <c r="A22"/>
      <c r="B22"/>
      <c r="C22"/>
      <c r="D22"/>
      <c r="E22"/>
      <c r="F22"/>
      <c r="G22"/>
      <c r="H22"/>
      <c r="I22"/>
    </row>
    <row r="23" spans="1:13" x14ac:dyDescent="0.25">
      <c r="A23"/>
      <c r="B23"/>
      <c r="C23"/>
      <c r="D23"/>
      <c r="E23"/>
      <c r="F23"/>
      <c r="G23"/>
      <c r="H23"/>
      <c r="I23"/>
    </row>
    <row r="24" spans="1:13" x14ac:dyDescent="0.25">
      <c r="A24"/>
      <c r="B24"/>
      <c r="C24"/>
      <c r="D24"/>
      <c r="E24"/>
      <c r="F24"/>
      <c r="G24"/>
      <c r="H24"/>
      <c r="I24"/>
    </row>
    <row r="25" spans="1:13" x14ac:dyDescent="0.25">
      <c r="A25"/>
      <c r="B25"/>
      <c r="C25"/>
      <c r="D25"/>
      <c r="E25"/>
      <c r="F25"/>
      <c r="G25"/>
      <c r="H25"/>
      <c r="I25"/>
    </row>
    <row r="26" spans="1:13" x14ac:dyDescent="0.25">
      <c r="A26"/>
      <c r="B26"/>
      <c r="C26"/>
      <c r="D26"/>
      <c r="E26"/>
      <c r="F26"/>
      <c r="G26"/>
      <c r="H26"/>
      <c r="I26"/>
    </row>
    <row r="27" spans="1:13" x14ac:dyDescent="0.25">
      <c r="A27"/>
      <c r="B27"/>
      <c r="C27"/>
      <c r="D27"/>
      <c r="E27"/>
      <c r="F27"/>
      <c r="G27"/>
      <c r="H27"/>
      <c r="I27"/>
    </row>
    <row r="28" spans="1:13" x14ac:dyDescent="0.25">
      <c r="A28"/>
      <c r="B28"/>
      <c r="C28"/>
      <c r="D28"/>
      <c r="E28"/>
      <c r="F28"/>
      <c r="G28"/>
      <c r="H28"/>
      <c r="I28"/>
    </row>
    <row r="29" spans="1:13" x14ac:dyDescent="0.25">
      <c r="A29"/>
      <c r="B29"/>
      <c r="C29"/>
      <c r="D29"/>
      <c r="E29"/>
      <c r="F29"/>
      <c r="G29"/>
      <c r="H29"/>
      <c r="I29"/>
    </row>
    <row r="30" spans="1:13" x14ac:dyDescent="0.25">
      <c r="A30"/>
      <c r="B30"/>
      <c r="C30"/>
      <c r="D30"/>
      <c r="E30"/>
      <c r="F30"/>
      <c r="G30"/>
      <c r="H30"/>
      <c r="I30"/>
    </row>
    <row r="31" spans="1:13" x14ac:dyDescent="0.25">
      <c r="A31"/>
      <c r="B31"/>
      <c r="C31"/>
      <c r="D31"/>
      <c r="E31"/>
      <c r="F31"/>
      <c r="G31"/>
      <c r="H31"/>
      <c r="I31"/>
    </row>
    <row r="32" spans="1:13" x14ac:dyDescent="0.25">
      <c r="A32"/>
      <c r="B32"/>
      <c r="C32"/>
      <c r="D32"/>
      <c r="E32"/>
      <c r="F32"/>
      <c r="G32"/>
      <c r="H32"/>
      <c r="I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phoneticPr fontId="0" type="noConversion"/>
  <pageMargins left="0.75" right="0.75" top="1" bottom="1" header="0.5" footer="0.5"/>
  <pageSetup scale="68" orientation="portrait" r:id="rId1"/>
  <headerFooter alignWithMargins="0">
    <oddHeader>&amp;C&amp;F
Page 4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showGridLines="0" workbookViewId="0">
      <selection activeCell="K20" sqref="K20"/>
    </sheetView>
  </sheetViews>
  <sheetFormatPr defaultColWidth="8.81640625" defaultRowHeight="10" x14ac:dyDescent="0.2"/>
  <cols>
    <col min="1" max="1" width="48.54296875" style="13" customWidth="1"/>
    <col min="2" max="2" width="9.54296875" style="6" customWidth="1"/>
    <col min="3" max="3" width="9.1796875" style="6" bestFit="1" customWidth="1"/>
    <col min="4" max="16384" width="8.81640625" style="6"/>
  </cols>
  <sheetData>
    <row r="1" spans="1:15" ht="18" x14ac:dyDescent="0.4">
      <c r="A1" s="43" t="str">
        <f>Assumptions!D6</f>
        <v>Papa John's International, Inc.</v>
      </c>
      <c r="B1" s="37"/>
      <c r="C1" s="37"/>
      <c r="D1" s="37"/>
      <c r="E1" s="37"/>
      <c r="F1" s="37"/>
      <c r="G1" s="37"/>
      <c r="H1" s="37"/>
      <c r="I1" s="37"/>
      <c r="J1" s="37"/>
      <c r="K1" s="1"/>
      <c r="L1" s="1"/>
      <c r="M1" s="1"/>
      <c r="N1" s="1"/>
      <c r="O1" s="1"/>
    </row>
    <row r="2" spans="1:15" x14ac:dyDescent="0.2">
      <c r="A2" s="12"/>
      <c r="J2" s="1"/>
      <c r="K2" s="1"/>
      <c r="L2" s="1"/>
      <c r="M2" s="1"/>
      <c r="N2" s="1"/>
      <c r="O2" s="1"/>
    </row>
    <row r="3" spans="1:15" x14ac:dyDescent="0.2">
      <c r="A3" s="104" t="s">
        <v>0</v>
      </c>
      <c r="J3" s="1"/>
      <c r="K3" s="1"/>
      <c r="L3" s="1"/>
      <c r="M3" s="1"/>
      <c r="N3" s="1"/>
      <c r="O3" s="1"/>
    </row>
    <row r="4" spans="1:15" ht="10.9" customHeight="1" x14ac:dyDescent="0.2">
      <c r="A4" s="34" t="s">
        <v>147</v>
      </c>
      <c r="B4" s="35"/>
      <c r="C4" s="35"/>
      <c r="D4" s="35"/>
      <c r="E4" s="35"/>
      <c r="F4" s="35"/>
      <c r="G4" s="35"/>
      <c r="H4" s="35"/>
      <c r="I4" s="35"/>
      <c r="J4" s="1"/>
      <c r="K4" s="1"/>
      <c r="L4" s="1"/>
      <c r="M4" s="1"/>
      <c r="N4" s="1"/>
      <c r="O4" s="1"/>
    </row>
    <row r="5" spans="1:15" x14ac:dyDescent="0.2">
      <c r="A5" s="12" t="s">
        <v>104</v>
      </c>
      <c r="J5" s="1"/>
      <c r="K5" s="1"/>
      <c r="L5" s="1"/>
      <c r="M5" s="1"/>
      <c r="N5" s="1"/>
      <c r="O5" s="1"/>
    </row>
    <row r="6" spans="1:15" s="8" customFormat="1" ht="11" thickBot="1" x14ac:dyDescent="0.3">
      <c r="A6" s="14"/>
      <c r="B6" s="36">
        <f>+'Income Statement'!B6</f>
        <v>1998</v>
      </c>
      <c r="C6" s="36">
        <f>+'Income Statement'!C6</f>
        <v>1999</v>
      </c>
      <c r="D6" s="36">
        <f>+'Income Statement'!D6</f>
        <v>2000</v>
      </c>
      <c r="E6" s="36">
        <f>+'Income Statement'!E6</f>
        <v>2001</v>
      </c>
      <c r="F6" s="36" t="str">
        <f>+'Income Statement'!F6</f>
        <v>2002E</v>
      </c>
      <c r="G6" s="36" t="str">
        <f>+'Income Statement'!G6</f>
        <v>2003E</v>
      </c>
      <c r="H6" s="36" t="str">
        <f>+'Income Statement'!H6</f>
        <v>2004E</v>
      </c>
      <c r="I6" s="36" t="str">
        <f>+'Income Statement'!I6</f>
        <v>2005E</v>
      </c>
      <c r="J6" s="36" t="str">
        <f>+'Income Statement'!J6</f>
        <v>2006E</v>
      </c>
      <c r="K6" s="1"/>
      <c r="L6" s="1"/>
      <c r="M6" s="1"/>
      <c r="N6" s="1"/>
      <c r="O6" s="1"/>
    </row>
    <row r="7" spans="1:15" x14ac:dyDescent="0.2">
      <c r="A7" s="12" t="s">
        <v>5</v>
      </c>
      <c r="K7" s="1"/>
      <c r="L7" s="1"/>
      <c r="M7" s="1"/>
      <c r="N7" s="1"/>
      <c r="O7" s="1"/>
    </row>
    <row r="8" spans="1:15" x14ac:dyDescent="0.2">
      <c r="A8" s="10" t="s">
        <v>6</v>
      </c>
      <c r="B8" s="65">
        <f>+'Income Statement'!B8/'Income Statement'!B$13</f>
        <v>0.50441690415039464</v>
      </c>
      <c r="C8" s="65">
        <f>+'Income Statement'!C8/'Income Statement'!C$13</f>
        <v>0.49321329897867322</v>
      </c>
      <c r="D8" s="65">
        <f>+'Income Statement'!D8/'Income Statement'!D$13</f>
        <v>0.51042102221182484</v>
      </c>
      <c r="E8" s="65">
        <f>+'Income Statement'!E8/'Income Statement'!E$13</f>
        <v>0.48583963460841489</v>
      </c>
      <c r="F8" s="65">
        <f>+'Income Statement'!F8/'Income Statement'!F$13</f>
        <v>0.48583963460841489</v>
      </c>
      <c r="G8" s="65">
        <f>+'Income Statement'!G8/'Income Statement'!G$13</f>
        <v>0.48583963460841489</v>
      </c>
      <c r="H8" s="65">
        <f>+'Income Statement'!H8/'Income Statement'!H$13</f>
        <v>0.48583963460841489</v>
      </c>
      <c r="I8" s="65">
        <f>+'Income Statement'!I8/'Income Statement'!I$13</f>
        <v>0.48583963460841489</v>
      </c>
      <c r="J8" s="65">
        <f>+'Income Statement'!J8/'Income Statement'!J$13</f>
        <v>0.48583963460841489</v>
      </c>
      <c r="K8" s="105"/>
      <c r="L8" s="1"/>
      <c r="M8" s="1"/>
      <c r="N8" s="1"/>
      <c r="O8" s="1"/>
    </row>
    <row r="9" spans="1:15" x14ac:dyDescent="0.2">
      <c r="A9" s="10" t="s">
        <v>7</v>
      </c>
      <c r="B9" s="65">
        <f>+'Income Statement'!B9/'Income Statement'!B$13</f>
        <v>4.708627989069885E-2</v>
      </c>
      <c r="C9" s="65">
        <f>+'Income Statement'!C9/'Income Statement'!C$13</f>
        <v>5.0373451712041724E-2</v>
      </c>
      <c r="D9" s="65">
        <f>+'Income Statement'!D9/'Income Statement'!D$13</f>
        <v>4.9905946688656548E-2</v>
      </c>
      <c r="E9" s="65">
        <f>+'Income Statement'!E9/'Income Statement'!E$13</f>
        <v>5.2271753813712893E-2</v>
      </c>
      <c r="F9" s="65">
        <f>+'Income Statement'!F9/'Income Statement'!F$13</f>
        <v>5.2271753813712893E-2</v>
      </c>
      <c r="G9" s="65">
        <f>+'Income Statement'!G9/'Income Statement'!G$13</f>
        <v>5.2271753813712893E-2</v>
      </c>
      <c r="H9" s="65">
        <f>+'Income Statement'!H9/'Income Statement'!H$13</f>
        <v>5.2271753813712893E-2</v>
      </c>
      <c r="I9" s="65">
        <f>+'Income Statement'!I9/'Income Statement'!I$13</f>
        <v>5.2271753813712893E-2</v>
      </c>
      <c r="J9" s="65">
        <f>+'Income Statement'!J9/'Income Statement'!J$13</f>
        <v>5.2271753813712893E-2</v>
      </c>
      <c r="K9" s="105"/>
      <c r="L9" s="1"/>
      <c r="M9" s="1"/>
      <c r="N9" s="1"/>
      <c r="O9" s="1"/>
    </row>
    <row r="10" spans="1:15" x14ac:dyDescent="0.2">
      <c r="A10" s="10" t="s">
        <v>8</v>
      </c>
      <c r="B10" s="65">
        <f>+'Income Statement'!B10/'Income Statement'!B$13</f>
        <v>7.9982174060913118E-3</v>
      </c>
      <c r="C10" s="65">
        <f>+'Income Statement'!C10/'Income Statement'!C$13</f>
        <v>9.4048986434048364E-3</v>
      </c>
      <c r="D10" s="65">
        <f>+'Income Statement'!D10/'Income Statement'!D$13</f>
        <v>1.1497051373114832E-2</v>
      </c>
      <c r="E10" s="65">
        <f>+'Income Statement'!E10/'Income Statement'!E$13</f>
        <v>9.0833086224506605E-3</v>
      </c>
      <c r="F10" s="65">
        <f>+'Income Statement'!F10/'Income Statement'!F$13</f>
        <v>9.0833086224506605E-3</v>
      </c>
      <c r="G10" s="65">
        <f>+'Income Statement'!G10/'Income Statement'!G$13</f>
        <v>9.0833086224506605E-3</v>
      </c>
      <c r="H10" s="65">
        <f>+'Income Statement'!H10/'Income Statement'!H$13</f>
        <v>9.0833086224506622E-3</v>
      </c>
      <c r="I10" s="65">
        <f>+'Income Statement'!I10/'Income Statement'!I$13</f>
        <v>9.0833086224506605E-3</v>
      </c>
      <c r="J10" s="65">
        <f>+'Income Statement'!J10/'Income Statement'!J$13</f>
        <v>9.0833086224506622E-3</v>
      </c>
      <c r="K10" s="105"/>
      <c r="L10" s="1"/>
      <c r="M10" s="1"/>
      <c r="N10" s="1"/>
      <c r="O10" s="1"/>
    </row>
    <row r="11" spans="1:15" x14ac:dyDescent="0.2">
      <c r="A11" s="10" t="s">
        <v>9</v>
      </c>
      <c r="B11" s="65">
        <f>+'Income Statement'!B11/'Income Statement'!B$13</f>
        <v>0.37393865296883977</v>
      </c>
      <c r="C11" s="65">
        <f>+'Income Statement'!C11/'Income Statement'!C$13</f>
        <v>0.38109955607984353</v>
      </c>
      <c r="D11" s="65">
        <f>+'Income Statement'!D11/'Income Statement'!D$13</f>
        <v>0.37182550226161959</v>
      </c>
      <c r="E11" s="65">
        <f>+'Income Statement'!E11/'Income Statement'!E$13</f>
        <v>0.39851343448321308</v>
      </c>
      <c r="F11" s="65">
        <f>+'Income Statement'!F11/'Income Statement'!F$13</f>
        <v>0.39851343448321308</v>
      </c>
      <c r="G11" s="65">
        <f>+'Income Statement'!G11/'Income Statement'!G$13</f>
        <v>0.39851343448321308</v>
      </c>
      <c r="H11" s="65">
        <f>+'Income Statement'!H11/'Income Statement'!H$13</f>
        <v>0.39851343448321308</v>
      </c>
      <c r="I11" s="65">
        <f>+'Income Statement'!I11/'Income Statement'!I$13</f>
        <v>0.39851343448321302</v>
      </c>
      <c r="J11" s="65">
        <f>+'Income Statement'!J11/'Income Statement'!J$13</f>
        <v>0.39851343448321308</v>
      </c>
      <c r="K11" s="105"/>
      <c r="L11" s="1"/>
      <c r="M11" s="1"/>
      <c r="N11" s="1"/>
      <c r="O11" s="1"/>
    </row>
    <row r="12" spans="1:15" x14ac:dyDescent="0.2">
      <c r="A12" s="10" t="s">
        <v>10</v>
      </c>
      <c r="B12" s="68">
        <f>+'Income Statement'!B12/'Income Statement'!B$13</f>
        <v>6.6559945583975419E-2</v>
      </c>
      <c r="C12" s="68">
        <f>+'Income Statement'!C12/'Income Statement'!C$13</f>
        <v>6.5908794586036698E-2</v>
      </c>
      <c r="D12" s="68">
        <f>+'Income Statement'!D12/'Income Statement'!D$13</f>
        <v>5.6350477464784263E-2</v>
      </c>
      <c r="E12" s="68">
        <f>+'Income Statement'!E12/'Income Statement'!E$13</f>
        <v>5.4291868472208495E-2</v>
      </c>
      <c r="F12" s="68">
        <f>+'Income Statement'!F12/'Income Statement'!F$13</f>
        <v>5.4291868472208495E-2</v>
      </c>
      <c r="G12" s="68">
        <f>+'Income Statement'!G12/'Income Statement'!G$13</f>
        <v>5.4291868472208495E-2</v>
      </c>
      <c r="H12" s="68">
        <f>+'Income Statement'!H12/'Income Statement'!H$13</f>
        <v>5.4291868472208502E-2</v>
      </c>
      <c r="I12" s="68">
        <f>+'Income Statement'!I12/'Income Statement'!I$13</f>
        <v>5.4291868472208495E-2</v>
      </c>
      <c r="J12" s="68">
        <f>+'Income Statement'!J12/'Income Statement'!J$13</f>
        <v>5.4291868472208502E-2</v>
      </c>
      <c r="K12" s="105"/>
      <c r="L12" s="1"/>
      <c r="M12" s="1"/>
      <c r="N12" s="1"/>
      <c r="O12" s="1"/>
    </row>
    <row r="13" spans="1:15" x14ac:dyDescent="0.2">
      <c r="A13" s="77" t="s">
        <v>11</v>
      </c>
      <c r="B13" s="65">
        <f>SUM(B8:B12)</f>
        <v>0.99999999999999989</v>
      </c>
      <c r="C13" s="65">
        <f t="shared" ref="C13:J13" si="0">SUM(C8:C12)</f>
        <v>1</v>
      </c>
      <c r="D13" s="65">
        <f t="shared" si="0"/>
        <v>1</v>
      </c>
      <c r="E13" s="65">
        <f t="shared" si="0"/>
        <v>1</v>
      </c>
      <c r="F13" s="65">
        <f t="shared" si="0"/>
        <v>1</v>
      </c>
      <c r="G13" s="65">
        <f t="shared" si="0"/>
        <v>1</v>
      </c>
      <c r="H13" s="65">
        <f t="shared" si="0"/>
        <v>1</v>
      </c>
      <c r="I13" s="65">
        <f t="shared" si="0"/>
        <v>1</v>
      </c>
      <c r="J13" s="65">
        <f t="shared" si="0"/>
        <v>1</v>
      </c>
      <c r="K13" s="105"/>
      <c r="L13" s="1"/>
      <c r="M13" s="1"/>
      <c r="N13" s="1"/>
      <c r="O13" s="1"/>
    </row>
    <row r="14" spans="1:15" x14ac:dyDescent="0.2">
      <c r="A14" s="12"/>
      <c r="B14" s="106"/>
      <c r="C14" s="106"/>
      <c r="D14" s="106"/>
      <c r="E14" s="106"/>
      <c r="F14" s="106"/>
      <c r="G14" s="106"/>
      <c r="H14" s="106"/>
      <c r="I14" s="106"/>
      <c r="J14" s="106"/>
      <c r="K14" s="105"/>
      <c r="L14" s="1"/>
      <c r="M14" s="1"/>
      <c r="N14" s="1"/>
      <c r="O14" s="1"/>
    </row>
    <row r="15" spans="1:15" x14ac:dyDescent="0.2">
      <c r="A15" s="12" t="s">
        <v>12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5"/>
      <c r="L15" s="1"/>
      <c r="M15" s="1"/>
      <c r="N15" s="1"/>
      <c r="O15" s="1"/>
    </row>
    <row r="16" spans="1:15" x14ac:dyDescent="0.2">
      <c r="A16" s="10" t="s">
        <v>13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5"/>
      <c r="L16" s="1"/>
      <c r="M16" s="1"/>
      <c r="N16" s="1"/>
      <c r="O16" s="1"/>
    </row>
    <row r="17" spans="1:15" x14ac:dyDescent="0.2">
      <c r="A17" s="11" t="s">
        <v>132</v>
      </c>
      <c r="B17" s="65">
        <f>+'Income Statement'!B17/'Income Statement'!B$8</f>
        <v>0.2691512951591013</v>
      </c>
      <c r="C17" s="65">
        <f>+'Income Statement'!C17/'Income Statement'!C$8</f>
        <v>0.25242134255797499</v>
      </c>
      <c r="D17" s="65">
        <f>+'Income Statement'!D17/'Income Statement'!D$8</f>
        <v>0.23146606164049749</v>
      </c>
      <c r="E17" s="65">
        <f>+'Income Statement'!E17/'Income Statement'!E$8</f>
        <v>0.23445788290245262</v>
      </c>
      <c r="F17" s="65">
        <f>+'Income Statement'!F17/'Income Statement'!F$8</f>
        <v>0.26800000000000002</v>
      </c>
      <c r="G17" s="65">
        <f>+'Income Statement'!G17/'Income Statement'!G$8</f>
        <v>0.26800000000000002</v>
      </c>
      <c r="H17" s="65">
        <f>+'Income Statement'!H17/'Income Statement'!H$8</f>
        <v>0.26800000000000002</v>
      </c>
      <c r="I17" s="65">
        <f>+'Income Statement'!I17/'Income Statement'!I$8</f>
        <v>0.26800000000000002</v>
      </c>
      <c r="J17" s="65">
        <f>+'Income Statement'!J17/'Income Statement'!J$8</f>
        <v>0.26800000000000002</v>
      </c>
      <c r="K17" s="105"/>
      <c r="L17" s="1"/>
      <c r="M17" s="1"/>
      <c r="N17" s="1"/>
      <c r="O17" s="1"/>
    </row>
    <row r="18" spans="1:15" x14ac:dyDescent="0.2">
      <c r="A18" s="11" t="s">
        <v>133</v>
      </c>
      <c r="B18" s="65">
        <f>+'Income Statement'!B18/'Income Statement'!B$8</f>
        <v>0.26845380119678341</v>
      </c>
      <c r="C18" s="65">
        <f>+'Income Statement'!C18/'Income Statement'!C$8</f>
        <v>0.26866517118709354</v>
      </c>
      <c r="D18" s="65">
        <f>+'Income Statement'!D18/'Income Statement'!D$8</f>
        <v>0.26404497877361915</v>
      </c>
      <c r="E18" s="65">
        <f>+'Income Statement'!E18/'Income Statement'!E$8</f>
        <v>0.27737288153553041</v>
      </c>
      <c r="F18" s="65">
        <f>+'Income Statement'!F18/'Income Statement'!F$8</f>
        <v>0.27100000000000002</v>
      </c>
      <c r="G18" s="65">
        <f>+'Income Statement'!G18/'Income Statement'!G$8</f>
        <v>0.26800000000000002</v>
      </c>
      <c r="H18" s="65">
        <f>+'Income Statement'!H18/'Income Statement'!H$8</f>
        <v>0.26800000000000002</v>
      </c>
      <c r="I18" s="65">
        <f>+'Income Statement'!I18/'Income Statement'!I$8</f>
        <v>0.26800000000000002</v>
      </c>
      <c r="J18" s="65">
        <f>+'Income Statement'!J18/'Income Statement'!J$8</f>
        <v>0.26800000000000002</v>
      </c>
      <c r="K18" s="105"/>
      <c r="L18" s="1"/>
      <c r="M18" s="1"/>
      <c r="N18" s="1"/>
      <c r="O18" s="1"/>
    </row>
    <row r="19" spans="1:15" ht="12" customHeight="1" x14ac:dyDescent="0.2">
      <c r="A19" s="11" t="s">
        <v>134</v>
      </c>
      <c r="B19" s="65">
        <f>+'Income Statement'!B19/'Income Statement'!B$8</f>
        <v>8.6739186663915446E-2</v>
      </c>
      <c r="C19" s="65">
        <f>+'Income Statement'!C19/'Income Statement'!C$8</f>
        <v>9.0655266781974692E-2</v>
      </c>
      <c r="D19" s="65">
        <f>+'Income Statement'!D19/'Income Statement'!D$8</f>
        <v>8.6541831628240737E-2</v>
      </c>
      <c r="E19" s="65">
        <f>+'Income Statement'!E19/'Income Statement'!E$8</f>
        <v>7.4803491691444332E-2</v>
      </c>
      <c r="F19" s="65">
        <f>+'Income Statement'!F19/'Income Statement'!F$8</f>
        <v>8.6999999999999994E-2</v>
      </c>
      <c r="G19" s="65">
        <f>+'Income Statement'!G19/'Income Statement'!G$8</f>
        <v>8.3000000000000004E-2</v>
      </c>
      <c r="H19" s="65">
        <f>+'Income Statement'!H19/'Income Statement'!H$8</f>
        <v>8.3000000000000004E-2</v>
      </c>
      <c r="I19" s="65">
        <f>+'Income Statement'!I19/'Income Statement'!I$8</f>
        <v>8.3000000000000004E-2</v>
      </c>
      <c r="J19" s="65">
        <f>+'Income Statement'!J19/'Income Statement'!J$8</f>
        <v>8.3000000000000004E-2</v>
      </c>
      <c r="K19" s="105"/>
      <c r="L19" s="1"/>
      <c r="M19" s="1"/>
      <c r="N19" s="1"/>
      <c r="O19" s="1"/>
    </row>
    <row r="20" spans="1:15" x14ac:dyDescent="0.2">
      <c r="A20" s="11" t="s">
        <v>135</v>
      </c>
      <c r="B20" s="65">
        <f>+'Income Statement'!B20/'Income Statement'!B$8</f>
        <v>4.9806881359183236E-2</v>
      </c>
      <c r="C20" s="65">
        <f>+'Income Statement'!C20/'Income Statement'!C$8</f>
        <v>4.9197249727465212E-2</v>
      </c>
      <c r="D20" s="65">
        <f>+'Income Statement'!D20/'Income Statement'!D$8</f>
        <v>4.8214059807168648E-2</v>
      </c>
      <c r="E20" s="65">
        <f>+'Income Statement'!E20/'Income Statement'!E$8</f>
        <v>5.3672358290435998E-2</v>
      </c>
      <c r="F20" s="65">
        <f>+'Income Statement'!F20/'Income Statement'!F$8</f>
        <v>4.9000000000000002E-2</v>
      </c>
      <c r="G20" s="65">
        <f>+'Income Statement'!G20/'Income Statement'!G$8</f>
        <v>4.9000000000000002E-2</v>
      </c>
      <c r="H20" s="65">
        <f>+'Income Statement'!H20/'Income Statement'!H$8</f>
        <v>4.9000000000000002E-2</v>
      </c>
      <c r="I20" s="65">
        <f>+'Income Statement'!I20/'Income Statement'!I$8</f>
        <v>4.9000000000000002E-2</v>
      </c>
      <c r="J20" s="65">
        <f>+'Income Statement'!J20/'Income Statement'!J$8</f>
        <v>4.9000000000000002E-2</v>
      </c>
      <c r="K20" s="105"/>
      <c r="L20" s="1"/>
      <c r="M20" s="1"/>
      <c r="N20" s="1"/>
      <c r="O20" s="1"/>
    </row>
    <row r="21" spans="1:15" x14ac:dyDescent="0.2">
      <c r="A21" s="11" t="s">
        <v>136</v>
      </c>
      <c r="B21" s="68">
        <f>+'Income Statement'!B21/'Income Statement'!B$8</f>
        <v>0.12986465710906189</v>
      </c>
      <c r="C21" s="68">
        <f>+'Income Statement'!C21/'Income Statement'!C$8</f>
        <v>0.13460071450690717</v>
      </c>
      <c r="D21" s="68">
        <f>+'Income Statement'!D21/'Income Statement'!D$8</f>
        <v>0.13495705987145959</v>
      </c>
      <c r="E21" s="68">
        <f>+'Income Statement'!E21/'Income Statement'!E$8</f>
        <v>0.12868353738267252</v>
      </c>
      <c r="F21" s="68">
        <f>+'Income Statement'!F21/'Income Statement'!F$8</f>
        <v>0.13100000000000001</v>
      </c>
      <c r="G21" s="68">
        <f>+'Income Statement'!G21/'Income Statement'!G$8</f>
        <v>0.13</v>
      </c>
      <c r="H21" s="68">
        <f>+'Income Statement'!H21/'Income Statement'!H$8</f>
        <v>0.13</v>
      </c>
      <c r="I21" s="68">
        <f>+'Income Statement'!I21/'Income Statement'!I$8</f>
        <v>0.13</v>
      </c>
      <c r="J21" s="68">
        <f>+'Income Statement'!J21/'Income Statement'!J$8</f>
        <v>0.13</v>
      </c>
      <c r="K21" s="105"/>
      <c r="L21" s="1"/>
      <c r="M21" s="1"/>
      <c r="N21" s="1"/>
      <c r="O21" s="1"/>
    </row>
    <row r="22" spans="1:15" x14ac:dyDescent="0.2">
      <c r="A22" s="10" t="s">
        <v>137</v>
      </c>
      <c r="B22" s="65">
        <f t="shared" ref="B22:J22" si="1">SUM(B17:B21)</f>
        <v>0.80401582148804529</v>
      </c>
      <c r="C22" s="65">
        <f t="shared" si="1"/>
        <v>0.79553974476141553</v>
      </c>
      <c r="D22" s="65">
        <f t="shared" si="1"/>
        <v>0.76522399172098554</v>
      </c>
      <c r="E22" s="65">
        <f t="shared" si="1"/>
        <v>0.76899015180253594</v>
      </c>
      <c r="F22" s="65">
        <f t="shared" si="1"/>
        <v>0.80600000000000005</v>
      </c>
      <c r="G22" s="65">
        <f t="shared" si="1"/>
        <v>0.79800000000000004</v>
      </c>
      <c r="H22" s="65">
        <f t="shared" si="1"/>
        <v>0.79800000000000004</v>
      </c>
      <c r="I22" s="65">
        <f t="shared" si="1"/>
        <v>0.79800000000000004</v>
      </c>
      <c r="J22" s="65">
        <f t="shared" si="1"/>
        <v>0.79800000000000004</v>
      </c>
      <c r="K22" s="105"/>
      <c r="L22" s="1"/>
      <c r="M22" s="1"/>
      <c r="N22" s="1"/>
      <c r="O22" s="1"/>
    </row>
    <row r="23" spans="1:15" x14ac:dyDescent="0.2">
      <c r="A23" s="12"/>
      <c r="B23" s="106"/>
      <c r="C23" s="106"/>
      <c r="D23" s="106"/>
      <c r="E23" s="106"/>
      <c r="F23" s="106"/>
      <c r="G23" s="106"/>
      <c r="H23" s="106"/>
      <c r="I23" s="106"/>
      <c r="J23" s="106"/>
      <c r="K23" s="105"/>
      <c r="L23" s="1"/>
      <c r="M23" s="1"/>
      <c r="N23" s="1"/>
      <c r="O23" s="1"/>
    </row>
    <row r="24" spans="1:15" x14ac:dyDescent="0.2">
      <c r="A24" s="10" t="s">
        <v>87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5"/>
      <c r="L24" s="1"/>
      <c r="M24" s="1"/>
      <c r="N24" s="1"/>
      <c r="O24" s="1"/>
    </row>
    <row r="25" spans="1:15" x14ac:dyDescent="0.2">
      <c r="A25" s="11" t="s">
        <v>138</v>
      </c>
      <c r="B25" s="65">
        <f>+'Income Statement'!B25/'Income Statement'!B$11</f>
        <v>0.92493031679884585</v>
      </c>
      <c r="C25" s="65">
        <f>+'Income Statement'!C25/'Income Statement'!C$11</f>
        <v>0.89477011101010395</v>
      </c>
      <c r="D25" s="65">
        <f>+'Income Statement'!D25/'Income Statement'!D$11</f>
        <v>0.86643037109792032</v>
      </c>
      <c r="E25" s="65">
        <f>+'Income Statement'!E25/'Income Statement'!E$11</f>
        <v>0.83698446449932695</v>
      </c>
      <c r="F25" s="65">
        <f>+'Income Statement'!F25/'Income Statement'!F$11</f>
        <v>0.88853653671757327</v>
      </c>
      <c r="G25" s="65">
        <f>+'Income Statement'!G25/'Income Statement'!G$11</f>
        <v>0.88853653671757327</v>
      </c>
      <c r="H25" s="65">
        <f>+'Income Statement'!H25/'Income Statement'!H$11</f>
        <v>0.88853653671757316</v>
      </c>
      <c r="I25" s="65">
        <f>+'Income Statement'!I25/'Income Statement'!I$11</f>
        <v>0.88853653671757327</v>
      </c>
      <c r="J25" s="65">
        <f>+'Income Statement'!J25/'Income Statement'!J$11</f>
        <v>0.88853653671757327</v>
      </c>
      <c r="K25" s="105"/>
      <c r="L25" s="1"/>
      <c r="M25" s="1"/>
      <c r="N25" s="1"/>
      <c r="O25" s="1"/>
    </row>
    <row r="26" spans="1:15" x14ac:dyDescent="0.2">
      <c r="A26" s="11" t="s">
        <v>15</v>
      </c>
      <c r="B26" s="65">
        <f>+'Income Statement'!B26/'Income Statement'!B$11</f>
        <v>6.657048882128562E-2</v>
      </c>
      <c r="C26" s="65">
        <f>+'Income Statement'!C26/'Income Statement'!C$11</f>
        <v>7.728349445601139E-2</v>
      </c>
      <c r="D26" s="65">
        <f>+'Income Statement'!D26/'Income Statement'!D$11</f>
        <v>7.8808842578753327E-2</v>
      </c>
      <c r="E26" s="65">
        <f>+'Income Statement'!E26/'Income Statement'!E$11</f>
        <v>7.7829938844952443E-2</v>
      </c>
      <c r="F26" s="65">
        <f>+'Income Statement'!F26/'Income Statement'!F$11</f>
        <v>6.362921490560626E-2</v>
      </c>
      <c r="G26" s="65">
        <f>+'Income Statement'!G26/'Income Statement'!G$11</f>
        <v>6.3629214905606274E-2</v>
      </c>
      <c r="H26" s="65">
        <f>+'Income Statement'!H26/'Income Statement'!H$11</f>
        <v>6.3629214905606274E-2</v>
      </c>
      <c r="I26" s="65">
        <f>+'Income Statement'!I26/'Income Statement'!I$11</f>
        <v>6.3629214905606274E-2</v>
      </c>
      <c r="J26" s="65">
        <f>+'Income Statement'!J26/'Income Statement'!J$11</f>
        <v>6.3629214905606274E-2</v>
      </c>
      <c r="K26" s="105"/>
      <c r="L26" s="1"/>
      <c r="M26" s="1"/>
      <c r="N26" s="1"/>
      <c r="O26" s="1"/>
    </row>
    <row r="27" spans="1:15" x14ac:dyDescent="0.2">
      <c r="A27" s="11" t="s">
        <v>18</v>
      </c>
      <c r="B27" s="68">
        <f>+'Income Statement'!B27/'Income Statement'!B$11</f>
        <v>8.8441801296048742E-2</v>
      </c>
      <c r="C27" s="68">
        <f>+'Income Statement'!C27/'Income Statement'!C$11</f>
        <v>9.0261282660332537E-2</v>
      </c>
      <c r="D27" s="68">
        <f>+'Income Statement'!D27/'Income Statement'!D$11</f>
        <v>8.7503380734793815E-2</v>
      </c>
      <c r="E27" s="68">
        <f>+'Income Statement'!E27/'Income Statement'!E$11</f>
        <v>0.10606667372864935</v>
      </c>
      <c r="F27" s="68">
        <f>+'Income Statement'!F27/'Income Statement'!F$11</f>
        <v>8.4081462553836847E-2</v>
      </c>
      <c r="G27" s="68">
        <f>+'Income Statement'!G27/'Income Statement'!G$11</f>
        <v>8.4081462553836847E-2</v>
      </c>
      <c r="H27" s="68">
        <f>+'Income Statement'!H27/'Income Statement'!H$11</f>
        <v>8.4081462553836847E-2</v>
      </c>
      <c r="I27" s="68">
        <f>+'Income Statement'!I27/'Income Statement'!I$11</f>
        <v>8.4081462553836847E-2</v>
      </c>
      <c r="J27" s="68">
        <f>+'Income Statement'!J27/'Income Statement'!J$11</f>
        <v>8.4081462553836847E-2</v>
      </c>
      <c r="K27" s="105"/>
      <c r="L27" s="1"/>
      <c r="M27" s="1"/>
      <c r="N27" s="1"/>
      <c r="O27" s="1"/>
    </row>
    <row r="28" spans="1:15" x14ac:dyDescent="0.2">
      <c r="A28" s="10" t="s">
        <v>20</v>
      </c>
      <c r="B28" s="65">
        <f t="shared" ref="B28:J28" si="2">SUM(B25:B27)</f>
        <v>1.0799426069161802</v>
      </c>
      <c r="C28" s="65">
        <f t="shared" si="2"/>
        <v>1.0623148881264479</v>
      </c>
      <c r="D28" s="65">
        <f t="shared" si="2"/>
        <v>1.0327425944114674</v>
      </c>
      <c r="E28" s="65">
        <f t="shared" si="2"/>
        <v>1.0208810770729289</v>
      </c>
      <c r="F28" s="65">
        <f t="shared" si="2"/>
        <v>1.0362472141770163</v>
      </c>
      <c r="G28" s="65">
        <f t="shared" si="2"/>
        <v>1.0362472141770163</v>
      </c>
      <c r="H28" s="65">
        <f t="shared" si="2"/>
        <v>1.0362472141770163</v>
      </c>
      <c r="I28" s="65">
        <f t="shared" si="2"/>
        <v>1.0362472141770163</v>
      </c>
      <c r="J28" s="65">
        <f t="shared" si="2"/>
        <v>1.0362472141770163</v>
      </c>
      <c r="K28" s="105"/>
      <c r="L28" s="1"/>
      <c r="M28" s="1"/>
      <c r="N28" s="1"/>
      <c r="O28" s="1"/>
    </row>
    <row r="29" spans="1:15" x14ac:dyDescent="0.2">
      <c r="A29" s="10"/>
      <c r="B29" s="106"/>
      <c r="C29" s="106"/>
      <c r="D29" s="106"/>
      <c r="E29" s="106"/>
      <c r="F29" s="106"/>
      <c r="G29" s="106"/>
      <c r="H29" s="106"/>
      <c r="I29" s="106"/>
      <c r="J29" s="106"/>
      <c r="K29" s="105"/>
      <c r="L29" s="1"/>
      <c r="M29" s="1"/>
      <c r="N29" s="1"/>
      <c r="O29" s="1"/>
    </row>
    <row r="30" spans="1:15" x14ac:dyDescent="0.2">
      <c r="A30" s="10" t="s">
        <v>69</v>
      </c>
      <c r="B30" s="106"/>
      <c r="C30" s="65"/>
      <c r="D30" s="106"/>
      <c r="E30" s="106"/>
      <c r="F30" s="106"/>
      <c r="G30" s="106"/>
      <c r="H30" s="106"/>
      <c r="I30" s="106"/>
      <c r="J30" s="106"/>
      <c r="K30" s="105"/>
      <c r="L30" s="1"/>
      <c r="M30" s="1"/>
      <c r="N30" s="1"/>
      <c r="O30" s="1"/>
    </row>
    <row r="31" spans="1:15" x14ac:dyDescent="0.2">
      <c r="A31" s="11" t="s">
        <v>139</v>
      </c>
      <c r="B31" s="65">
        <f>+'Income Statement'!B31/'Income Statement'!B$13</f>
        <v>7.7707021309033758E-2</v>
      </c>
      <c r="C31" s="65">
        <f>+'Income Statement'!C31/'Income Statement'!C$13</f>
        <v>6.753298357805855E-2</v>
      </c>
      <c r="D31" s="65">
        <f>+'Income Statement'!D31/'Income Statement'!D$13</f>
        <v>7.6642069194020807E-2</v>
      </c>
      <c r="E31" s="65">
        <f>+'Income Statement'!E31/'Income Statement'!E$13</f>
        <v>7.1545212678330208E-2</v>
      </c>
      <c r="F31" s="65">
        <f>+'Income Statement'!F31/'Income Statement'!F$13</f>
        <v>7.0999999999999994E-2</v>
      </c>
      <c r="G31" s="65">
        <f>+'Income Statement'!G31/'Income Statement'!G$13</f>
        <v>6.8000000000000005E-2</v>
      </c>
      <c r="H31" s="65">
        <f>+'Income Statement'!H31/'Income Statement'!H$13</f>
        <v>6.8000000000000005E-2</v>
      </c>
      <c r="I31" s="65">
        <f>+'Income Statement'!I31/'Income Statement'!I$13</f>
        <v>6.8000000000000005E-2</v>
      </c>
      <c r="J31" s="65">
        <f>+'Income Statement'!J31/'Income Statement'!J$13</f>
        <v>6.8000000000000005E-2</v>
      </c>
      <c r="K31" s="105"/>
      <c r="L31" s="1"/>
      <c r="M31" s="1"/>
      <c r="N31" s="1"/>
      <c r="O31" s="1"/>
    </row>
    <row r="32" spans="1:15" ht="12.75" customHeight="1" x14ac:dyDescent="0.2">
      <c r="A32" s="11" t="s">
        <v>140</v>
      </c>
      <c r="B32" s="65">
        <f>+'Income Statement'!B32/'Income Statement'!B$13</f>
        <v>4.1603630862329802E-3</v>
      </c>
      <c r="C32" s="65">
        <f>+'Income Statement'!C32/'Income Statement'!C$13</f>
        <v>4.2392822773414463E-3</v>
      </c>
      <c r="D32" s="65">
        <f>+'Income Statement'!D32/'Income Statement'!D$13</f>
        <v>2.2843786818139956E-3</v>
      </c>
      <c r="E32" s="65">
        <f>+'Income Statement'!E32/'Income Statement'!E$13</f>
        <v>3.6252924121116274E-3</v>
      </c>
      <c r="F32" s="65">
        <f>+'Income Statement'!F32/'Income Statement'!F$13</f>
        <v>3.0000000000000001E-3</v>
      </c>
      <c r="G32" s="65">
        <f>+'Income Statement'!G32/'Income Statement'!G$13</f>
        <v>3.0000000000000001E-3</v>
      </c>
      <c r="H32" s="65">
        <f>+'Income Statement'!H32/'Income Statement'!H$13</f>
        <v>3.0000000000000001E-3</v>
      </c>
      <c r="I32" s="65">
        <f>+'Income Statement'!I32/'Income Statement'!I$13</f>
        <v>3.0000000000000001E-3</v>
      </c>
      <c r="J32" s="65">
        <f>+'Income Statement'!J32/'Income Statement'!J$13</f>
        <v>3.0000000000000001E-3</v>
      </c>
      <c r="K32" s="105"/>
      <c r="L32" s="1"/>
      <c r="M32" s="1"/>
      <c r="N32" s="1"/>
      <c r="O32" s="1"/>
    </row>
    <row r="33" spans="1:15" x14ac:dyDescent="0.2">
      <c r="A33" s="11" t="s">
        <v>141</v>
      </c>
      <c r="B33" s="65">
        <f>+'Income Statement'!B33/'Income Statement'!B$13</f>
        <v>3.0037293740984412E-2</v>
      </c>
      <c r="C33" s="65">
        <f>+'Income Statement'!C33/'Income Statement'!C$13</f>
        <v>3.082854748083072E-2</v>
      </c>
      <c r="D33" s="65">
        <f>+'Income Statement'!D33/'Income Statement'!D$13</f>
        <v>3.6173210525925793E-2</v>
      </c>
      <c r="E33" s="65">
        <f>+'Income Statement'!E33/'Income Statement'!E$13</f>
        <v>3.6217917037329905E-2</v>
      </c>
      <c r="F33" s="65">
        <f>+'Income Statement'!F33/'Income Statement'!F$13</f>
        <v>2.5722244187451265E-2</v>
      </c>
      <c r="G33" s="65">
        <f>+'Income Statement'!G33/'Income Statement'!G$13</f>
        <v>2.4638466058229821E-2</v>
      </c>
      <c r="H33" s="65">
        <f>+'Income Statement'!H33/'Income Statement'!H$13</f>
        <v>2.4210198806014719E-2</v>
      </c>
      <c r="I33" s="65">
        <f>+'Income Statement'!I33/'Income Statement'!I$13</f>
        <v>2.4541495016287766E-2</v>
      </c>
      <c r="J33" s="65">
        <f>+'Income Statement'!J33/'Income Statement'!J$13</f>
        <v>2.5784493705470448E-2</v>
      </c>
      <c r="K33" s="105"/>
      <c r="L33" s="1"/>
      <c r="M33" s="1"/>
      <c r="N33" s="1"/>
      <c r="O33" s="1"/>
    </row>
    <row r="34" spans="1:15" x14ac:dyDescent="0.2">
      <c r="A34" s="136" t="s">
        <v>142</v>
      </c>
      <c r="B34" s="144">
        <f>+'Income Statement'!B34/'Income Statement'!B$13</f>
        <v>0</v>
      </c>
      <c r="C34" s="144">
        <f>+'Income Statement'!C34/'Income Statement'!C$13</f>
        <v>2.5952255300655015E-3</v>
      </c>
      <c r="D34" s="144">
        <f>+'Income Statement'!D34/'Income Statement'!D$13</f>
        <v>2.2970814363004497E-2</v>
      </c>
      <c r="E34" s="65">
        <f>+'Income Statement'!E34/'Income Statement'!E$13</f>
        <v>2.238291160093572E-2</v>
      </c>
      <c r="F34" s="144">
        <f>+'Income Statement'!F34/'Income Statement'!F$13</f>
        <v>8.0000000000000002E-3</v>
      </c>
      <c r="G34" s="144">
        <f>+'Income Statement'!G34/'Income Statement'!G$13</f>
        <v>8.0000000000000002E-3</v>
      </c>
      <c r="H34" s="144">
        <f>+'Income Statement'!H34/'Income Statement'!H$13</f>
        <v>8.0000000000000002E-3</v>
      </c>
      <c r="I34" s="144">
        <f>+'Income Statement'!I34/'Income Statement'!I$13</f>
        <v>8.0000000000000002E-3</v>
      </c>
      <c r="J34" s="144">
        <f>+'Income Statement'!J34/'Income Statement'!J$13</f>
        <v>8.0000000000000002E-3</v>
      </c>
      <c r="K34" s="105"/>
      <c r="L34" s="1"/>
      <c r="M34" s="1"/>
      <c r="N34" s="1"/>
      <c r="O34" s="1"/>
    </row>
    <row r="35" spans="1:15" x14ac:dyDescent="0.2">
      <c r="A35" s="139" t="s">
        <v>143</v>
      </c>
      <c r="B35" s="144">
        <f>+'Income Statement'!B35/'Income Statement'!B$13</f>
        <v>0</v>
      </c>
      <c r="C35" s="144">
        <f>+'Income Statement'!C35/'Income Statement'!C$13</f>
        <v>7.5795486294353209E-3</v>
      </c>
      <c r="D35" s="144">
        <f>+'Income Statement'!D35/'Income Statement'!D$13</f>
        <v>2.659321651739166E-2</v>
      </c>
      <c r="E35" s="65">
        <f>+'Income Statement'!E35/'Income Statement'!E$13</f>
        <v>5.529059998023129E-4</v>
      </c>
      <c r="F35" s="144">
        <f>+'Income Statement'!F35/'Income Statement'!F$13</f>
        <v>2.7000000000000003E-2</v>
      </c>
      <c r="G35" s="144">
        <f>+'Income Statement'!G35/'Income Statement'!G$13</f>
        <v>2.7E-2</v>
      </c>
      <c r="H35" s="144">
        <f>+'Income Statement'!H35/'Income Statement'!H$13</f>
        <v>2.7E-2</v>
      </c>
      <c r="I35" s="144">
        <f>+'Income Statement'!I35/'Income Statement'!I$13</f>
        <v>2.7E-2</v>
      </c>
      <c r="J35" s="144">
        <f>+'Income Statement'!J35/'Income Statement'!J$13</f>
        <v>2.7000000000000003E-2</v>
      </c>
      <c r="K35" s="105"/>
      <c r="L35" s="1"/>
      <c r="M35" s="1"/>
      <c r="N35" s="1"/>
      <c r="O35" s="1"/>
    </row>
    <row r="36" spans="1:15" x14ac:dyDescent="0.2">
      <c r="A36" s="118" t="s">
        <v>70</v>
      </c>
      <c r="B36" s="145">
        <f>+'Income Statement'!B36/'Income Statement'!B13</f>
        <v>0.11190467813625116</v>
      </c>
      <c r="C36" s="145">
        <f>+'Income Statement'!C36/'Income Statement'!C13</f>
        <v>0.11277558749573154</v>
      </c>
      <c r="D36" s="145">
        <f>+'Income Statement'!D36/'Income Statement'!D13</f>
        <v>0.16466368928215677</v>
      </c>
      <c r="E36" s="65">
        <f>+'Income Statement'!E36/'Income Statement'!E$13</f>
        <v>0.13432423972850976</v>
      </c>
      <c r="F36" s="145">
        <f>+'Income Statement'!F36/'Income Statement'!F13</f>
        <v>0.13472224418745124</v>
      </c>
      <c r="G36" s="145">
        <f>+'Income Statement'!G36/'Income Statement'!G13</f>
        <v>0.13063846605822982</v>
      </c>
      <c r="H36" s="145">
        <f>+'Income Statement'!H36/'Income Statement'!H13</f>
        <v>0.13021019880601473</v>
      </c>
      <c r="I36" s="145">
        <f>+'Income Statement'!I36/'Income Statement'!I13</f>
        <v>0.13054149501628776</v>
      </c>
      <c r="J36" s="145">
        <f>+'Income Statement'!J36/'Income Statement'!J13</f>
        <v>0.13178449370547046</v>
      </c>
      <c r="K36" s="105"/>
      <c r="L36" s="1"/>
      <c r="M36" s="1"/>
      <c r="N36" s="1"/>
      <c r="O36" s="1"/>
    </row>
    <row r="37" spans="1:15" x14ac:dyDescent="0.2">
      <c r="A37" s="136"/>
      <c r="B37" s="146"/>
      <c r="C37" s="146"/>
      <c r="D37" s="146"/>
      <c r="E37" s="146"/>
      <c r="F37" s="146"/>
      <c r="G37" s="146"/>
      <c r="H37" s="146"/>
      <c r="I37" s="146"/>
      <c r="J37" s="146"/>
      <c r="K37" s="105"/>
      <c r="L37" s="1"/>
      <c r="M37" s="1"/>
      <c r="N37" s="1"/>
      <c r="O37" s="1"/>
    </row>
    <row r="38" spans="1:15" x14ac:dyDescent="0.2">
      <c r="A38" s="77" t="s">
        <v>24</v>
      </c>
      <c r="B38" s="145">
        <f>+'Income Statement'!B38/'Income Statement'!B13</f>
        <v>0.92129613341308092</v>
      </c>
      <c r="C38" s="145">
        <f>+'Income Statement'!C38/'Income Statement'!C13</f>
        <v>0.90999410176015894</v>
      </c>
      <c r="D38" s="145">
        <f>+'Income Statement'!D38/'Income Statement'!D13</f>
        <v>0.9392501352314071</v>
      </c>
      <c r="E38" s="145">
        <f>+'Income Statement'!E38/'Income Statement'!E13</f>
        <v>0.91476495832097793</v>
      </c>
      <c r="F38" s="145">
        <f>+'Income Statement'!F38/'Income Statement'!F13</f>
        <v>0.93926742597717816</v>
      </c>
      <c r="G38" s="145">
        <f>+'Income Statement'!G38/'Income Statement'!G13</f>
        <v>0.93129693077108955</v>
      </c>
      <c r="H38" s="145">
        <f>+'Income Statement'!H38/'Income Statement'!H13</f>
        <v>0.93086866351887421</v>
      </c>
      <c r="I38" s="145">
        <f>+'Income Statement'!I38/'Income Statement'!I13</f>
        <v>0.93119995972914726</v>
      </c>
      <c r="J38" s="145">
        <f>+'Income Statement'!J38/'Income Statement'!J13</f>
        <v>0.93244295841833025</v>
      </c>
      <c r="K38" s="105"/>
      <c r="L38" s="1"/>
      <c r="M38" s="1"/>
      <c r="N38" s="1"/>
      <c r="O38" s="1"/>
    </row>
    <row r="39" spans="1:15" x14ac:dyDescent="0.2">
      <c r="A39" s="77"/>
      <c r="B39" s="146"/>
      <c r="C39" s="146"/>
      <c r="D39" s="146"/>
      <c r="E39" s="146"/>
      <c r="F39" s="146"/>
      <c r="G39" s="146"/>
      <c r="H39" s="146"/>
      <c r="I39" s="146"/>
      <c r="J39" s="146"/>
      <c r="K39" s="105"/>
      <c r="L39" s="1"/>
      <c r="M39" s="1"/>
      <c r="N39" s="1"/>
      <c r="O39" s="1"/>
    </row>
    <row r="40" spans="1:15" x14ac:dyDescent="0.2">
      <c r="A40" s="141" t="s">
        <v>146</v>
      </c>
      <c r="B40" s="144">
        <f t="shared" ref="B40:J40" si="3">B13-B38</f>
        <v>7.8703866586918969E-2</v>
      </c>
      <c r="C40" s="144">
        <f t="shared" si="3"/>
        <v>9.0005898239841065E-2</v>
      </c>
      <c r="D40" s="144">
        <f t="shared" si="3"/>
        <v>6.0749864768592898E-2</v>
      </c>
      <c r="E40" s="144">
        <f t="shared" si="3"/>
        <v>8.5235041679022072E-2</v>
      </c>
      <c r="F40" s="144">
        <f t="shared" si="3"/>
        <v>6.0732574022821839E-2</v>
      </c>
      <c r="G40" s="144">
        <f t="shared" si="3"/>
        <v>6.8703069228910452E-2</v>
      </c>
      <c r="H40" s="144">
        <f t="shared" si="3"/>
        <v>6.9131336481125794E-2</v>
      </c>
      <c r="I40" s="144">
        <f t="shared" si="3"/>
        <v>6.8800040270852736E-2</v>
      </c>
      <c r="J40" s="144">
        <f t="shared" si="3"/>
        <v>6.7557041581669752E-2</v>
      </c>
      <c r="K40" s="105"/>
      <c r="L40" s="1"/>
      <c r="M40" s="1"/>
      <c r="N40" s="1"/>
      <c r="O40" s="1"/>
    </row>
    <row r="41" spans="1:15" x14ac:dyDescent="0.2">
      <c r="A41" s="141" t="s">
        <v>144</v>
      </c>
      <c r="B41" s="144">
        <f>+'Income Statement'!B41/'Income Statement'!B13</f>
        <v>6.0103906460730163E-3</v>
      </c>
      <c r="C41" s="144">
        <f>+'Income Statement'!C41/'Income Statement'!C13</f>
        <v>4.2020302362400274E-3</v>
      </c>
      <c r="D41" s="144">
        <f>+'Income Statement'!D41/'Income Statement'!D13</f>
        <v>2.0567876639316931E-3</v>
      </c>
      <c r="E41" s="144">
        <f>+'Income Statement'!E41/'Income Statement'!E13</f>
        <v>2.0159961780501466E-3</v>
      </c>
      <c r="F41" s="144">
        <f>+'Income Statement'!F41/'Income Statement'!F13</f>
        <v>1.2355441336364536E-3</v>
      </c>
      <c r="G41" s="144">
        <f>+'Income Statement'!G41/'Income Statement'!G13</f>
        <v>1.0296201113637112E-3</v>
      </c>
      <c r="H41" s="144">
        <f>+'Income Statement'!H41/'Income Statement'!H13</f>
        <v>8.9532183596844467E-4</v>
      </c>
      <c r="I41" s="144">
        <f>+'Income Statement'!I41/'Income Statement'!I13</f>
        <v>8.1392894178949503E-4</v>
      </c>
      <c r="J41" s="144">
        <f>+'Income Statement'!J41/'Income Statement'!J13</f>
        <v>7.7517042075190006E-4</v>
      </c>
      <c r="K41" s="105"/>
      <c r="L41" s="1"/>
      <c r="M41" s="1"/>
      <c r="N41" s="1"/>
      <c r="O41" s="1"/>
    </row>
    <row r="42" spans="1:15" x14ac:dyDescent="0.2">
      <c r="A42" s="141" t="s">
        <v>145</v>
      </c>
      <c r="B42" s="144">
        <f>+'Income Statement'!B42/'Income Statement'!B13</f>
        <v>-9.4260516717681688E-4</v>
      </c>
      <c r="C42" s="144">
        <f>+'Income Statement'!C42/'Income Statement'!C13</f>
        <v>-1.8750194021047403E-4</v>
      </c>
      <c r="D42" s="144">
        <f>+'Income Statement'!D42/'Income Statement'!D13</f>
        <v>-8.1996280210061209E-3</v>
      </c>
      <c r="E42" s="144">
        <f>+'Income Statement'!E42/'Income Statement'!E13</f>
        <v>-9.1193453263483902E-3</v>
      </c>
      <c r="F42" s="144">
        <f ca="1">+'Income Statement'!F42/'Income Statement'!F13</f>
        <v>-5.2095772190452081E-3</v>
      </c>
      <c r="G42" s="144">
        <f ca="1">+'Income Statement'!G42/'Income Statement'!G13</f>
        <v>-3.2837061808131431E-2</v>
      </c>
      <c r="H42" s="144">
        <f ca="1">+'Income Statement'!H42/'Income Statement'!H13</f>
        <v>-2.7759881233926555E-2</v>
      </c>
      <c r="I42" s="144">
        <f ca="1">+'Income Statement'!I42/'Income Statement'!I13</f>
        <v>-2.3931434883668366E-2</v>
      </c>
      <c r="J42" s="144">
        <f ca="1">+'Income Statement'!J42/'Income Statement'!J13</f>
        <v>-2.1111661404299969E-2</v>
      </c>
      <c r="K42" s="105"/>
      <c r="L42" s="1"/>
      <c r="M42" s="1"/>
      <c r="N42" s="1"/>
      <c r="O42" s="1"/>
    </row>
    <row r="43" spans="1:15" x14ac:dyDescent="0.2">
      <c r="B43" s="107"/>
      <c r="C43" s="107"/>
      <c r="D43" s="107"/>
      <c r="E43" s="107"/>
      <c r="F43" s="107"/>
      <c r="G43" s="107"/>
      <c r="H43" s="107"/>
      <c r="I43" s="107"/>
      <c r="J43" s="107"/>
      <c r="K43" s="105"/>
      <c r="L43" s="1"/>
      <c r="M43" s="1"/>
      <c r="N43" s="1"/>
      <c r="O43" s="1"/>
    </row>
    <row r="44" spans="1:15" x14ac:dyDescent="0.2">
      <c r="A44" s="13" t="s">
        <v>27</v>
      </c>
      <c r="B44" s="65">
        <f>+'Income Statement'!B44/'Income Statement'!B13</f>
        <v>8.3771652065815244E-2</v>
      </c>
      <c r="C44" s="65">
        <f>+'Income Statement'!C44/'Income Statement'!C13</f>
        <v>9.4020426535870616E-2</v>
      </c>
      <c r="D44" s="65">
        <f>+'Income Statement'!D44/'Income Statement'!D13</f>
        <v>5.4607024411518434E-2</v>
      </c>
      <c r="E44" s="65">
        <f>+'Income Statement'!E44/'Income Statement'!E13</f>
        <v>7.813169253072387E-2</v>
      </c>
      <c r="F44" s="65">
        <f ca="1">+'Income Statement'!F44/'Income Statement'!F13</f>
        <v>5.6758540937413116E-2</v>
      </c>
      <c r="G44" s="65">
        <f ca="1">+'Income Statement'!G44/'Income Statement'!G13</f>
        <v>3.6895627532142761E-2</v>
      </c>
      <c r="H44" s="65">
        <f ca="1">+'Income Statement'!H44/'Income Statement'!H13</f>
        <v>4.2266777083167721E-2</v>
      </c>
      <c r="I44" s="65">
        <f ca="1">+'Income Statement'!I44/'Income Statement'!I13</f>
        <v>4.5682534328973866E-2</v>
      </c>
      <c r="J44" s="65">
        <f ca="1">+'Income Statement'!J44/'Income Statement'!J13</f>
        <v>4.7220550598121726E-2</v>
      </c>
      <c r="K44" s="105"/>
      <c r="L44" s="1"/>
      <c r="M44" s="1"/>
      <c r="N44" s="1"/>
      <c r="O44" s="1"/>
    </row>
    <row r="45" spans="1:15" x14ac:dyDescent="0.2">
      <c r="A45" s="13" t="s">
        <v>28</v>
      </c>
      <c r="B45" s="65">
        <f>+'Income Statement'!B45/'Income Statement'!B13</f>
        <v>3.2516213395255018E-2</v>
      </c>
      <c r="C45" s="65">
        <f>+'Income Statement'!C45/'Income Statement'!C13</f>
        <v>3.5303759351814484E-2</v>
      </c>
      <c r="D45" s="65">
        <f>+'Income Statement'!D45/'Income Statement'!D13</f>
        <v>2.0919319513442159E-2</v>
      </c>
      <c r="E45" s="65">
        <f>+'Income Statement'!E45/'Income Statement'!E13</f>
        <v>2.9487290369345328E-2</v>
      </c>
      <c r="F45" s="65">
        <f ca="1">+'Income Statement'!F45/'Income Statement'!F13</f>
        <v>2.1284452851529918E-2</v>
      </c>
      <c r="G45" s="65">
        <f ca="1">+'Income Statement'!G45/'Income Statement'!G13</f>
        <v>1.3835860324553535E-2</v>
      </c>
      <c r="H45" s="65">
        <f ca="1">+'Income Statement'!H45/'Income Statement'!H13</f>
        <v>1.5850041406187895E-2</v>
      </c>
      <c r="I45" s="65">
        <f ca="1">+'Income Statement'!I45/'Income Statement'!I13</f>
        <v>1.7130950373365199E-2</v>
      </c>
      <c r="J45" s="65">
        <f ca="1">+'Income Statement'!J45/'Income Statement'!J13</f>
        <v>1.7707706474295648E-2</v>
      </c>
      <c r="K45" s="105"/>
      <c r="L45" s="1"/>
      <c r="M45" s="1"/>
      <c r="N45" s="1"/>
      <c r="O45" s="1"/>
    </row>
    <row r="46" spans="1:15" x14ac:dyDescent="0.2">
      <c r="B46" s="107"/>
      <c r="C46" s="107"/>
      <c r="D46" s="107"/>
      <c r="E46" s="107"/>
      <c r="F46" s="107"/>
      <c r="G46" s="107"/>
      <c r="H46" s="107"/>
      <c r="I46" s="107"/>
      <c r="J46" s="107"/>
      <c r="K46" s="105"/>
      <c r="L46" s="1"/>
      <c r="M46" s="1"/>
      <c r="N46" s="1"/>
      <c r="O46" s="1"/>
    </row>
    <row r="47" spans="1:15" x14ac:dyDescent="0.2">
      <c r="A47" s="13" t="s">
        <v>29</v>
      </c>
      <c r="B47" s="65">
        <f>+'Income Statement'!B47/'Income Statement'!B13</f>
        <v>5.1255438670560226E-2</v>
      </c>
      <c r="C47" s="65">
        <f>+'Income Statement'!C47/'Income Statement'!C13</f>
        <v>5.8716667184056125E-2</v>
      </c>
      <c r="D47" s="65">
        <f>+'Income Statement'!D47/'Income Statement'!D13</f>
        <v>3.3687704898076272E-2</v>
      </c>
      <c r="E47" s="65">
        <f>+'Income Statement'!E47/'Income Statement'!E13</f>
        <v>4.8644402161378539E-2</v>
      </c>
      <c r="F47" s="65">
        <f ca="1">+'Income Statement'!F47/'Income Statement'!F13</f>
        <v>3.5474088085883197E-2</v>
      </c>
      <c r="G47" s="65">
        <f ca="1">+'Income Statement'!G47/'Income Statement'!G13</f>
        <v>2.3059767207589222E-2</v>
      </c>
      <c r="H47" s="65">
        <f ca="1">+'Income Statement'!H47/'Income Statement'!H13</f>
        <v>2.6416735676979823E-2</v>
      </c>
      <c r="I47" s="65">
        <f ca="1">+'Income Statement'!I47/'Income Statement'!I13</f>
        <v>2.855158395560867E-2</v>
      </c>
      <c r="J47" s="65">
        <f ca="1">+'Income Statement'!J47/'Income Statement'!J13</f>
        <v>2.9512844123826074E-2</v>
      </c>
      <c r="K47" s="105"/>
      <c r="L47" s="1"/>
      <c r="M47" s="1"/>
      <c r="N47" s="1"/>
      <c r="O47" s="1"/>
    </row>
    <row r="48" spans="1:15" x14ac:dyDescent="0.2">
      <c r="A48" s="13" t="s">
        <v>30</v>
      </c>
      <c r="B48" s="68">
        <f>+'Income Statement'!B48/'Income Statement'!B13</f>
        <v>-3.815865085787332E-3</v>
      </c>
      <c r="C48" s="68">
        <f>+'Income Statement'!C48/'Income Statement'!C13</f>
        <v>0</v>
      </c>
      <c r="D48" s="68">
        <f>+'Income Statement'!D48/'Income Statement'!D13</f>
        <v>0</v>
      </c>
      <c r="E48" s="68">
        <f>+'Income Statement'!E48/'Income Statement'!E13</f>
        <v>0</v>
      </c>
      <c r="F48" s="68">
        <f>+'Income Statement'!F48/'Income Statement'!F13</f>
        <v>0</v>
      </c>
      <c r="G48" s="68">
        <f>+'Income Statement'!G48/'Income Statement'!G13</f>
        <v>0</v>
      </c>
      <c r="H48" s="68">
        <f>+'Income Statement'!H48/'Income Statement'!H13</f>
        <v>0</v>
      </c>
      <c r="I48" s="68">
        <f>+'Income Statement'!I48/'Income Statement'!I13</f>
        <v>0</v>
      </c>
      <c r="J48" s="68">
        <f>+'Income Statement'!J48/'Income Statement'!J13</f>
        <v>0</v>
      </c>
      <c r="K48" s="105"/>
      <c r="L48" s="1"/>
      <c r="M48" s="1"/>
      <c r="N48" s="1"/>
      <c r="O48" s="1"/>
    </row>
    <row r="49" spans="1:15" ht="10.5" thickBot="1" x14ac:dyDescent="0.25">
      <c r="A49" s="13" t="s">
        <v>31</v>
      </c>
      <c r="B49" s="69">
        <f>+'Income Statement'!B49/'Income Statement'!B13</f>
        <v>4.7439573584772896E-2</v>
      </c>
      <c r="C49" s="69">
        <f>+'Income Statement'!C49/'Income Statement'!C13</f>
        <v>5.8716667184056125E-2</v>
      </c>
      <c r="D49" s="69">
        <f>+'Income Statement'!D49/'Income Statement'!D13</f>
        <v>3.3687704898076272E-2</v>
      </c>
      <c r="E49" s="69">
        <f>+'Income Statement'!E49/'Income Statement'!E13</f>
        <v>4.8644402161378539E-2</v>
      </c>
      <c r="F49" s="69">
        <f ca="1">+'Income Statement'!F49/'Income Statement'!F13</f>
        <v>3.5474088085883197E-2</v>
      </c>
      <c r="G49" s="69">
        <f ca="1">+'Income Statement'!G49/'Income Statement'!G13</f>
        <v>2.3059767207589222E-2</v>
      </c>
      <c r="H49" s="69">
        <f ca="1">+'Income Statement'!H49/'Income Statement'!H13</f>
        <v>2.6416735676979823E-2</v>
      </c>
      <c r="I49" s="69">
        <f ca="1">+'Income Statement'!I49/'Income Statement'!I13</f>
        <v>2.855158395560867E-2</v>
      </c>
      <c r="J49" s="69">
        <f ca="1">+'Income Statement'!J49/'Income Statement'!J13</f>
        <v>2.9512844123826074E-2</v>
      </c>
      <c r="K49" s="105"/>
      <c r="L49" s="1"/>
      <c r="M49" s="1"/>
      <c r="N49" s="1"/>
      <c r="O49" s="1"/>
    </row>
    <row r="50" spans="1:15" ht="10.5" thickTop="1" x14ac:dyDescent="0.2">
      <c r="K50" s="1"/>
    </row>
    <row r="51" spans="1:15" x14ac:dyDescent="0.2">
      <c r="A51" s="13" t="s">
        <v>71</v>
      </c>
      <c r="D51" s="33"/>
      <c r="E51" s="33"/>
      <c r="F51" s="33"/>
      <c r="G51" s="33"/>
      <c r="H51" s="33"/>
      <c r="I51" s="33"/>
      <c r="J51" s="1"/>
      <c r="K51" s="1"/>
    </row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</sheetData>
  <phoneticPr fontId="0" type="noConversion"/>
  <pageMargins left="0.75" right="0.75" top="1" bottom="1" header="0.5" footer="0.5"/>
  <pageSetup orientation="portrait" horizontalDpi="200" verticalDpi="200" copies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8"/>
  <sheetViews>
    <sheetView showGridLines="0" workbookViewId="0">
      <selection activeCell="J33" sqref="J33"/>
    </sheetView>
  </sheetViews>
  <sheetFormatPr defaultColWidth="8.81640625" defaultRowHeight="10.9" customHeight="1" x14ac:dyDescent="0.25"/>
  <cols>
    <col min="1" max="1" width="44.1796875" style="59" customWidth="1"/>
    <col min="2" max="4" width="8.81640625" style="58" customWidth="1"/>
    <col min="5" max="5" width="12" style="58" bestFit="1" customWidth="1"/>
    <col min="6" max="9" width="8.81640625" style="58" customWidth="1"/>
    <col min="10" max="13" width="9.1796875" style="108" customWidth="1"/>
    <col min="14" max="16384" width="8.81640625" style="59"/>
  </cols>
  <sheetData>
    <row r="1" spans="1:43" ht="18" x14ac:dyDescent="0.4">
      <c r="A1" s="20" t="s">
        <v>4</v>
      </c>
      <c r="B1" s="296"/>
      <c r="C1" s="296"/>
      <c r="D1" s="296"/>
      <c r="E1" s="296"/>
      <c r="F1" s="296"/>
      <c r="G1" s="297"/>
      <c r="H1" s="297"/>
      <c r="I1" s="297"/>
    </row>
    <row r="3" spans="1:43" s="110" customFormat="1" ht="15.5" x14ac:dyDescent="0.35">
      <c r="A3" s="109" t="s">
        <v>33</v>
      </c>
      <c r="B3" s="79"/>
      <c r="C3" s="79"/>
      <c r="D3" s="79"/>
      <c r="E3" s="79"/>
      <c r="F3" s="79"/>
      <c r="G3" s="79"/>
      <c r="H3" s="79"/>
      <c r="I3" s="79"/>
      <c r="J3" s="108"/>
      <c r="K3" s="108"/>
      <c r="L3" s="108"/>
      <c r="M3" s="10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</row>
    <row r="4" spans="1:43" s="110" customFormat="1" ht="10.9" customHeight="1" x14ac:dyDescent="0.25">
      <c r="A4" s="111" t="s">
        <v>148</v>
      </c>
      <c r="B4" s="79"/>
      <c r="C4" s="79"/>
      <c r="D4" s="79"/>
      <c r="E4" s="79"/>
      <c r="F4" s="79"/>
      <c r="G4" s="79"/>
      <c r="H4" s="79"/>
      <c r="I4" s="79"/>
      <c r="J4" s="108"/>
      <c r="K4" s="108"/>
      <c r="L4" s="108"/>
      <c r="M4" s="108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</row>
    <row r="5" spans="1:43" s="110" customFormat="1" ht="10.9" customHeight="1" x14ac:dyDescent="0.25">
      <c r="A5" s="111"/>
      <c r="B5" s="79"/>
      <c r="C5" s="79"/>
      <c r="D5" s="79"/>
      <c r="E5" s="79"/>
      <c r="F5" s="79"/>
      <c r="G5" s="79"/>
      <c r="H5" s="79"/>
      <c r="I5" s="79"/>
      <c r="J5" s="108"/>
      <c r="K5" s="108"/>
      <c r="L5" s="108"/>
      <c r="M5" s="108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</row>
    <row r="6" spans="1:43" s="115" customFormat="1" ht="13.5" thickBot="1" x14ac:dyDescent="0.35">
      <c r="A6" s="112" t="s">
        <v>34</v>
      </c>
      <c r="B6" s="113">
        <f>+'Balance Sheet'!B6</f>
        <v>1999</v>
      </c>
      <c r="C6" s="113">
        <f>+'Balance Sheet'!C6</f>
        <v>2000</v>
      </c>
      <c r="D6" s="113">
        <f>+'Balance Sheet'!D6</f>
        <v>2001</v>
      </c>
      <c r="E6" s="48" t="str">
        <f>+'Balance Sheet'!E6</f>
        <v>2002E</v>
      </c>
      <c r="F6" s="48" t="str">
        <f>+'Balance Sheet'!G6</f>
        <v>2003E</v>
      </c>
      <c r="G6" s="48" t="str">
        <f>+'Balance Sheet'!H6</f>
        <v>2004E</v>
      </c>
      <c r="H6" s="48" t="str">
        <f>+'Balance Sheet'!I6</f>
        <v>2005E</v>
      </c>
      <c r="I6" s="48" t="str">
        <f>+'Balance Sheet'!J6</f>
        <v>2006E</v>
      </c>
      <c r="J6" s="108"/>
      <c r="K6" s="108"/>
      <c r="L6" s="108"/>
      <c r="M6" s="108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</row>
    <row r="7" spans="1:43" s="115" customFormat="1" ht="10.9" customHeight="1" x14ac:dyDescent="0.25">
      <c r="A7" s="116" t="s">
        <v>35</v>
      </c>
      <c r="B7" s="117"/>
      <c r="C7" s="117"/>
      <c r="D7" s="117"/>
      <c r="E7" s="117"/>
      <c r="F7" s="117"/>
      <c r="G7" s="117"/>
      <c r="H7" s="117"/>
      <c r="I7" s="117"/>
      <c r="J7" s="108"/>
      <c r="K7" s="108"/>
      <c r="L7" s="108"/>
      <c r="M7" s="108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</row>
    <row r="8" spans="1:43" s="110" customFormat="1" ht="10.9" customHeight="1" x14ac:dyDescent="0.25">
      <c r="A8" s="118" t="s">
        <v>36</v>
      </c>
      <c r="B8" s="63">
        <f>+'Balance Sheet'!B8/'Balance Sheet'!B$27</f>
        <v>9.9394975420036506E-3</v>
      </c>
      <c r="C8" s="63">
        <f>+'Balance Sheet'!C8/'Balance Sheet'!C$27</f>
        <v>1.5520980240510743E-2</v>
      </c>
      <c r="D8" s="63">
        <f>+'Balance Sheet'!D8/'Balance Sheet'!D$27</f>
        <v>4.5449735313171882E-2</v>
      </c>
      <c r="E8" s="63">
        <f ca="1">+'Balance Sheet'!E8/'Balance Sheet'!E$27</f>
        <v>1.2459668369723832E-2</v>
      </c>
      <c r="F8" s="63">
        <f ca="1">+'Balance Sheet'!G8/'Balance Sheet'!G$27</f>
        <v>1.3239557348155228E-2</v>
      </c>
      <c r="G8" s="63">
        <f ca="1">+'Balance Sheet'!H8/'Balance Sheet'!H$27</f>
        <v>1.3831646566722955E-2</v>
      </c>
      <c r="H8" s="63">
        <f ca="1">+'Balance Sheet'!I8/'Balance Sheet'!I$27</f>
        <v>1.4168834191060924E-2</v>
      </c>
      <c r="I8" s="63">
        <f ca="1">+'Balance Sheet'!J8/'Balance Sheet'!J$27</f>
        <v>1.4198905217975765E-2</v>
      </c>
      <c r="J8" s="108"/>
      <c r="K8" s="108"/>
      <c r="L8" s="108"/>
      <c r="M8" s="108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</row>
    <row r="9" spans="1:43" s="110" customFormat="1" ht="12.5" x14ac:dyDescent="0.25">
      <c r="A9" s="118" t="s">
        <v>38</v>
      </c>
      <c r="B9" s="63">
        <f>+'Balance Sheet'!B10/'Balance Sheet'!B$27</f>
        <v>4.8684185770230426E-2</v>
      </c>
      <c r="C9" s="63">
        <f>+'Balance Sheet'!C10/'Balance Sheet'!C$27</f>
        <v>5.120331195123061E-2</v>
      </c>
      <c r="D9" s="63">
        <f>+'Balance Sheet'!D10/'Balance Sheet'!D$27</f>
        <v>4.875864329610597E-2</v>
      </c>
      <c r="E9" s="63">
        <f ca="1">+'Balance Sheet'!E10/'Balance Sheet'!E$27</f>
        <v>5.9806408174674391E-2</v>
      </c>
      <c r="F9" s="63">
        <f ca="1">+'Balance Sheet'!G10/'Balance Sheet'!G$27</f>
        <v>6.3549875271145084E-2</v>
      </c>
      <c r="G9" s="63">
        <f ca="1">+'Balance Sheet'!H10/'Balance Sheet'!H$27</f>
        <v>6.639190352027019E-2</v>
      </c>
      <c r="H9" s="63">
        <f ca="1">+'Balance Sheet'!I10/'Balance Sheet'!I$27</f>
        <v>6.8010404117092443E-2</v>
      </c>
      <c r="I9" s="63">
        <f ca="1">+'Balance Sheet'!J10/'Balance Sheet'!J$27</f>
        <v>6.8154745046283674E-2</v>
      </c>
      <c r="J9" s="108"/>
      <c r="K9" s="108"/>
      <c r="L9" s="108"/>
      <c r="M9" s="108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</row>
    <row r="10" spans="1:43" s="110" customFormat="1" ht="10.9" customHeight="1" x14ac:dyDescent="0.25">
      <c r="A10" s="118" t="s">
        <v>37</v>
      </c>
      <c r="B10" s="63">
        <f>+'Balance Sheet'!B11/'Balance Sheet'!B$27</f>
        <v>8.8751273346933616E-3</v>
      </c>
      <c r="C10" s="63">
        <f>+'Balance Sheet'!C11/'Balance Sheet'!C$27</f>
        <v>7.0894560453725183E-3</v>
      </c>
      <c r="D10" s="63">
        <f>+'Balance Sheet'!D11/'Balance Sheet'!D$27</f>
        <v>1.121983073464468E-2</v>
      </c>
      <c r="E10" s="63">
        <f ca="1">+'Balance Sheet'!E11/'Balance Sheet'!E$27</f>
        <v>9.9677346957790652E-3</v>
      </c>
      <c r="F10" s="63">
        <f ca="1">+'Balance Sheet'!G11/'Balance Sheet'!G$27</f>
        <v>1.0591645878524181E-2</v>
      </c>
      <c r="G10" s="63">
        <f ca="1">+'Balance Sheet'!H11/'Balance Sheet'!H$27</f>
        <v>1.1065317253378363E-2</v>
      </c>
      <c r="H10" s="63">
        <f ca="1">+'Balance Sheet'!I11/'Balance Sheet'!I$27</f>
        <v>1.1335067352848741E-2</v>
      </c>
      <c r="I10" s="63">
        <f ca="1">+'Balance Sheet'!J11/'Balance Sheet'!J$27</f>
        <v>1.1359124174380614E-2</v>
      </c>
      <c r="J10" s="108"/>
      <c r="K10" s="108"/>
      <c r="L10" s="108"/>
      <c r="M10" s="108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</row>
    <row r="11" spans="1:43" s="110" customFormat="1" ht="10.9" customHeight="1" x14ac:dyDescent="0.25">
      <c r="A11" s="118" t="s">
        <v>39</v>
      </c>
      <c r="B11" s="63">
        <f>+'Balance Sheet'!B12/'Balance Sheet'!B$27</f>
        <v>2.8590166401918016E-2</v>
      </c>
      <c r="C11" s="63">
        <f>+'Balance Sheet'!C12/'Balance Sheet'!C$27</f>
        <v>4.6305142319882323E-2</v>
      </c>
      <c r="D11" s="63">
        <f>+'Balance Sheet'!D12/'Balance Sheet'!D$27</f>
        <v>3.2673530542872559E-2</v>
      </c>
      <c r="E11" s="63">
        <f ca="1">+'Balance Sheet'!E12/'Balance Sheet'!E$27</f>
        <v>3.9870938783116261E-2</v>
      </c>
      <c r="F11" s="63">
        <f ca="1">+'Balance Sheet'!G12/'Balance Sheet'!G$27</f>
        <v>4.2366583514096723E-2</v>
      </c>
      <c r="G11" s="63">
        <f ca="1">+'Balance Sheet'!H12/'Balance Sheet'!H$27</f>
        <v>4.4261269013513453E-2</v>
      </c>
      <c r="H11" s="63">
        <f ca="1">+'Balance Sheet'!I12/'Balance Sheet'!I$27</f>
        <v>4.5340269411394962E-2</v>
      </c>
      <c r="I11" s="63">
        <f ca="1">+'Balance Sheet'!J12/'Balance Sheet'!J$27</f>
        <v>4.5436496697522456E-2</v>
      </c>
      <c r="J11" s="108"/>
      <c r="K11" s="108"/>
      <c r="L11" s="108"/>
      <c r="M11" s="108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</row>
    <row r="12" spans="1:43" s="110" customFormat="1" ht="10.9" customHeight="1" x14ac:dyDescent="0.25">
      <c r="A12" s="118" t="s">
        <v>40</v>
      </c>
      <c r="B12" s="63">
        <f>+'Balance Sheet'!B13/'Balance Sheet'!B$27</f>
        <v>0</v>
      </c>
      <c r="C12" s="63">
        <f>+'Balance Sheet'!C13/'Balance Sheet'!C$27</f>
        <v>0</v>
      </c>
      <c r="D12" s="63">
        <f>+'Balance Sheet'!D13/'Balance Sheet'!D$27</f>
        <v>0</v>
      </c>
      <c r="E12" s="63">
        <f ca="1">+'Balance Sheet'!E13/'Balance Sheet'!E$27</f>
        <v>9.9677346957790652E-3</v>
      </c>
      <c r="F12" s="63">
        <f ca="1">+'Balance Sheet'!G13/'Balance Sheet'!G$27</f>
        <v>1.0591645878524181E-2</v>
      </c>
      <c r="G12" s="63">
        <f ca="1">+'Balance Sheet'!H13/'Balance Sheet'!H$27</f>
        <v>1.1065317253378363E-2</v>
      </c>
      <c r="H12" s="63">
        <f ca="1">+'Balance Sheet'!I13/'Balance Sheet'!I$27</f>
        <v>1.1335067352848741E-2</v>
      </c>
      <c r="I12" s="63">
        <f ca="1">+'Balance Sheet'!J13/'Balance Sheet'!J$27</f>
        <v>1.1359124174380614E-2</v>
      </c>
      <c r="J12" s="108"/>
      <c r="K12" s="108"/>
      <c r="L12" s="108"/>
      <c r="M12" s="108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</row>
    <row r="13" spans="1:43" s="110" customFormat="1" ht="10.9" customHeight="1" x14ac:dyDescent="0.25">
      <c r="A13" s="118" t="s">
        <v>41</v>
      </c>
      <c r="B13" s="63">
        <f>+'Balance Sheet'!B14/'Balance Sheet'!B$27</f>
        <v>1.9830614620038652E-2</v>
      </c>
      <c r="C13" s="63">
        <f>+'Balance Sheet'!C14/'Balance Sheet'!C$27</f>
        <v>3.3278740730631001E-2</v>
      </c>
      <c r="D13" s="63">
        <f>+'Balance Sheet'!D14/'Balance Sheet'!D$27</f>
        <v>2.3193328498163582E-2</v>
      </c>
      <c r="E13" s="63">
        <f ca="1">+'Balance Sheet'!E14/'Balance Sheet'!E$27</f>
        <v>1.4951602043668598E-2</v>
      </c>
      <c r="F13" s="63">
        <f ca="1">+'Balance Sheet'!G14/'Balance Sheet'!G$27</f>
        <v>1.5887468817786271E-2</v>
      </c>
      <c r="G13" s="63">
        <f ca="1">+'Balance Sheet'!H14/'Balance Sheet'!H$27</f>
        <v>1.6597975880067548E-2</v>
      </c>
      <c r="H13" s="63">
        <f ca="1">+'Balance Sheet'!I14/'Balance Sheet'!I$27</f>
        <v>1.7002601029273111E-2</v>
      </c>
      <c r="I13" s="63">
        <f ca="1">+'Balance Sheet'!J14/'Balance Sheet'!J$27</f>
        <v>1.7038686261570919E-2</v>
      </c>
      <c r="J13" s="108"/>
      <c r="K13" s="108"/>
      <c r="L13" s="108"/>
      <c r="M13" s="10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</row>
    <row r="14" spans="1:43" s="110" customFormat="1" ht="10.9" customHeight="1" x14ac:dyDescent="0.25">
      <c r="A14" s="118" t="s">
        <v>42</v>
      </c>
      <c r="B14" s="63">
        <f>+'Balance Sheet'!B15/'Balance Sheet'!B$27</f>
        <v>8.0015911797038583E-3</v>
      </c>
      <c r="C14" s="63">
        <f>+'Balance Sheet'!C15/'Balance Sheet'!C$27</f>
        <v>1.218729306623397E-2</v>
      </c>
      <c r="D14" s="63">
        <f>+'Balance Sheet'!D15/'Balance Sheet'!D$27</f>
        <v>6.8113948260242257E-3</v>
      </c>
      <c r="E14" s="63">
        <f ca="1">+'Balance Sheet'!E15/'Balance Sheet'!E$27</f>
        <v>4.9838673478895326E-3</v>
      </c>
      <c r="F14" s="63">
        <f ca="1">+'Balance Sheet'!G15/'Balance Sheet'!G$27</f>
        <v>5.2958229392620904E-3</v>
      </c>
      <c r="G14" s="63">
        <f ca="1">+'Balance Sheet'!H15/'Balance Sheet'!H$27</f>
        <v>5.5326586266891816E-3</v>
      </c>
      <c r="H14" s="63">
        <f ca="1">+'Balance Sheet'!I15/'Balance Sheet'!I$27</f>
        <v>5.6675336764243703E-3</v>
      </c>
      <c r="I14" s="63">
        <f ca="1">+'Balance Sheet'!J15/'Balance Sheet'!J$27</f>
        <v>5.679562087190307E-3</v>
      </c>
      <c r="J14" s="108"/>
      <c r="K14" s="108"/>
      <c r="L14" s="108"/>
      <c r="M14" s="108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</row>
    <row r="15" spans="1:43" s="110" customFormat="1" ht="10.9" customHeight="1" x14ac:dyDescent="0.25">
      <c r="A15" s="119" t="s">
        <v>43</v>
      </c>
      <c r="B15" s="120">
        <f>+SUM(B8:B14)</f>
        <v>0.12392118284858797</v>
      </c>
      <c r="C15" s="120">
        <f t="shared" ref="C15:I15" si="0">+SUM(C8:C14)</f>
        <v>0.16558492435386116</v>
      </c>
      <c r="D15" s="63">
        <f>+'Balance Sheet'!D16/'Balance Sheet'!D$27</f>
        <v>0.16810646321098288</v>
      </c>
      <c r="E15" s="120">
        <f t="shared" ca="1" si="0"/>
        <v>0.15200795411063076</v>
      </c>
      <c r="F15" s="120">
        <f t="shared" ca="1" si="0"/>
        <v>0.16152259964749377</v>
      </c>
      <c r="G15" s="120">
        <f t="shared" ca="1" si="0"/>
        <v>0.16874608811402003</v>
      </c>
      <c r="H15" s="120">
        <f t="shared" ca="1" si="0"/>
        <v>0.17285977713094328</v>
      </c>
      <c r="I15" s="120">
        <f t="shared" ca="1" si="0"/>
        <v>0.17322664365930437</v>
      </c>
      <c r="J15" s="108"/>
      <c r="K15" s="108"/>
      <c r="L15" s="108"/>
      <c r="M15" s="108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</row>
    <row r="16" spans="1:43" s="110" customFormat="1" ht="10.9" customHeight="1" x14ac:dyDescent="0.25">
      <c r="A16" s="119"/>
      <c r="B16" s="79"/>
      <c r="C16" s="79" t="s">
        <v>94</v>
      </c>
      <c r="D16" s="79"/>
      <c r="E16" s="79"/>
      <c r="F16" s="79"/>
      <c r="G16" s="79"/>
      <c r="H16" s="79"/>
      <c r="I16" s="79"/>
      <c r="J16" s="108"/>
      <c r="K16" s="108"/>
      <c r="L16" s="108"/>
      <c r="M16" s="108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</row>
    <row r="17" spans="1:43" s="110" customFormat="1" ht="10.9" customHeight="1" x14ac:dyDescent="0.25">
      <c r="A17" s="119" t="s">
        <v>61</v>
      </c>
      <c r="B17" s="79" t="s">
        <v>94</v>
      </c>
      <c r="C17" s="79"/>
      <c r="D17" s="79"/>
      <c r="E17" s="79"/>
      <c r="F17" s="79"/>
      <c r="G17" s="79"/>
      <c r="H17" s="79"/>
      <c r="I17" s="79"/>
      <c r="J17" s="108"/>
      <c r="K17" s="108"/>
      <c r="L17" s="108"/>
      <c r="M17" s="108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</row>
    <row r="18" spans="1:43" s="110" customFormat="1" ht="10.9" customHeight="1" x14ac:dyDescent="0.25">
      <c r="A18" s="118" t="s">
        <v>44</v>
      </c>
      <c r="B18" s="63">
        <f>+'Balance Sheet'!B19/'Balance Sheet'!B$27</f>
        <v>5.936282928953289E-2</v>
      </c>
      <c r="C18" s="63">
        <f>+'Balance Sheet'!C19/'Balance Sheet'!C$27</f>
        <v>0</v>
      </c>
      <c r="D18" s="63">
        <f>+'Balance Sheet'!D19/'Balance Sheet'!D$27</f>
        <v>8.8375202289908868E-3</v>
      </c>
      <c r="E18" s="63">
        <f ca="1">+'Balance Sheet'!E19/'Balance Sheet'!E$27</f>
        <v>5.1314900537559847E-2</v>
      </c>
      <c r="F18" s="63">
        <f ca="1">+'Balance Sheet'!G19/'Balance Sheet'!G$27</f>
        <v>4.5439048370712755E-2</v>
      </c>
      <c r="G18" s="63">
        <f ca="1">+'Balance Sheet'!H19/'Balance Sheet'!H$27</f>
        <v>4.1279250661950102E-2</v>
      </c>
      <c r="H18" s="63">
        <f ca="1">+'Balance Sheet'!I19/'Balance Sheet'!I$27</f>
        <v>3.8441414065070116E-2</v>
      </c>
      <c r="I18" s="63">
        <f ca="1">+'Balance Sheet'!J19/'Balance Sheet'!J$27</f>
        <v>3.6688571106782079E-2</v>
      </c>
      <c r="J18" s="79"/>
      <c r="K18" s="108"/>
      <c r="L18" s="108"/>
      <c r="M18" s="10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</row>
    <row r="19" spans="1:43" s="110" customFormat="1" ht="10.9" customHeight="1" x14ac:dyDescent="0.25">
      <c r="A19" s="118" t="s">
        <v>45</v>
      </c>
      <c r="B19" s="63">
        <f>+'Balance Sheet'!B20/'Balance Sheet'!B$27</f>
        <v>0.61231659100499658</v>
      </c>
      <c r="C19" s="63">
        <f>+'Balance Sheet'!C20/'Balance Sheet'!C$27</f>
        <v>0.6214306294830384</v>
      </c>
      <c r="D19" s="63">
        <f>+'Balance Sheet'!D20/'Balance Sheet'!D$27</f>
        <v>0.61672934319983275</v>
      </c>
      <c r="E19" s="63">
        <f ca="1">+'Balance Sheet'!E20/'Balance Sheet'!E$27</f>
        <v>0.65214499226301303</v>
      </c>
      <c r="F19" s="63">
        <f ca="1">+'Balance Sheet'!G20/'Balance Sheet'!G$27</f>
        <v>0.63945948674319275</v>
      </c>
      <c r="G19" s="63">
        <f ca="1">+'Balance Sheet'!H20/'Balance Sheet'!H$27</f>
        <v>0.62952756105004359</v>
      </c>
      <c r="H19" s="63">
        <f ca="1">+'Balance Sheet'!I20/'Balance Sheet'!I$27</f>
        <v>0.6243403321876797</v>
      </c>
      <c r="I19" s="63">
        <f ca="1">+'Balance Sheet'!J20/'Balance Sheet'!J$27</f>
        <v>0.62537748470539445</v>
      </c>
      <c r="J19" s="79"/>
      <c r="K19" s="108"/>
      <c r="L19" s="108"/>
      <c r="M19" s="108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</row>
    <row r="20" spans="1:43" s="110" customFormat="1" ht="10.9" customHeight="1" x14ac:dyDescent="0.25">
      <c r="A20" s="118" t="s">
        <v>46</v>
      </c>
      <c r="B20" s="63">
        <f>+'Balance Sheet'!B21/'Balance Sheet'!B$27</f>
        <v>2.1913662374244393E-2</v>
      </c>
      <c r="C20" s="63">
        <f>+'Balance Sheet'!C21/'Balance Sheet'!C$27</f>
        <v>2.4925567030111864E-2</v>
      </c>
      <c r="D20" s="63">
        <f>+'Balance Sheet'!D21/'Balance Sheet'!D$27</f>
        <v>4.3653323490923733E-2</v>
      </c>
      <c r="E20" s="63">
        <f ca="1">+'Balance Sheet'!E21/'Balance Sheet'!E$27</f>
        <v>2.2427403065502893E-2</v>
      </c>
      <c r="F20" s="63">
        <f ca="1">+'Balance Sheet'!G21/'Balance Sheet'!G$27</f>
        <v>2.383120322667941E-2</v>
      </c>
      <c r="G20" s="63">
        <f ca="1">+'Balance Sheet'!H21/'Balance Sheet'!H$27</f>
        <v>2.4896963820101318E-2</v>
      </c>
      <c r="H20" s="63">
        <f ca="1">+'Balance Sheet'!I21/'Balance Sheet'!I$27</f>
        <v>2.5503901543909663E-2</v>
      </c>
      <c r="I20" s="63">
        <f ca="1">+'Balance Sheet'!J21/'Balance Sheet'!J$27</f>
        <v>2.5558029392356376E-2</v>
      </c>
      <c r="J20" s="108"/>
      <c r="K20" s="108"/>
      <c r="L20" s="108"/>
      <c r="M20" s="10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</row>
    <row r="21" spans="1:43" s="110" customFormat="1" ht="10.9" customHeight="1" x14ac:dyDescent="0.25">
      <c r="A21" s="118" t="s">
        <v>47</v>
      </c>
      <c r="B21" s="63">
        <f>+'Balance Sheet'!B22/'Balance Sheet'!B$27</f>
        <v>9.6492147581917539E-3</v>
      </c>
      <c r="C21" s="63">
        <f>+'Balance Sheet'!C22/'Balance Sheet'!C$27</f>
        <v>1.7219416769027798E-2</v>
      </c>
      <c r="D21" s="63">
        <f>+'Balance Sheet'!D22/'Balance Sheet'!D$27</f>
        <v>1.7060750208419907E-3</v>
      </c>
      <c r="E21" s="63">
        <f ca="1">+'Balance Sheet'!E22/'Balance Sheet'!E$27</f>
        <v>1.993546939155813E-2</v>
      </c>
      <c r="F21" s="63">
        <f ca="1">+'Balance Sheet'!G22/'Balance Sheet'!G$27</f>
        <v>2.1183291757048361E-2</v>
      </c>
      <c r="G21" s="63">
        <f ca="1">+'Balance Sheet'!H22/'Balance Sheet'!H$27</f>
        <v>2.2130634506756727E-2</v>
      </c>
      <c r="H21" s="63">
        <f ca="1">+'Balance Sheet'!I22/'Balance Sheet'!I$27</f>
        <v>2.2670134705697481E-2</v>
      </c>
      <c r="I21" s="63">
        <f ca="1">+'Balance Sheet'!J22/'Balance Sheet'!J$27</f>
        <v>2.2718248348761228E-2</v>
      </c>
      <c r="J21" s="108"/>
      <c r="K21" s="108"/>
      <c r="L21" s="108"/>
      <c r="M21" s="108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</row>
    <row r="22" spans="1:43" s="110" customFormat="1" ht="10.9" customHeight="1" x14ac:dyDescent="0.25">
      <c r="A22" s="118" t="s">
        <v>48</v>
      </c>
      <c r="B22" s="63">
        <f>+'Balance Sheet'!B24/'Balance Sheet'!B$27</f>
        <v>0.17283651972444639</v>
      </c>
      <c r="C22" s="63">
        <f>+'Balance Sheet'!C24/'Balance Sheet'!C$27</f>
        <v>0.1708394623639608</v>
      </c>
      <c r="D22" s="63">
        <f>+'Balance Sheet'!D24/'Balance Sheet'!D$27</f>
        <v>0.16096727484842777</v>
      </c>
      <c r="E22" s="63">
        <f ca="1">+'Balance Sheet'!E24/'Balance Sheet'!E$27</f>
        <v>0.10216928063173542</v>
      </c>
      <c r="F22" s="63">
        <f ca="1">+'Balance Sheet'!G24/'Balance Sheet'!G$27</f>
        <v>0.10856437025487287</v>
      </c>
      <c r="G22" s="63">
        <f ca="1">+'Balance Sheet'!H24/'Balance Sheet'!H$27</f>
        <v>0.11341950184712825</v>
      </c>
      <c r="H22" s="63">
        <f ca="1">+'Balance Sheet'!I24/'Balance Sheet'!I$27</f>
        <v>0.11618444036669959</v>
      </c>
      <c r="I22" s="63">
        <f ca="1">+'Balance Sheet'!J24/'Balance Sheet'!J$27</f>
        <v>0.11643102278740129</v>
      </c>
      <c r="J22" s="108"/>
      <c r="K22" s="108"/>
      <c r="L22" s="108"/>
      <c r="M22" s="108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</row>
    <row r="23" spans="1:43" s="110" customFormat="1" ht="10.9" customHeight="1" x14ac:dyDescent="0.25">
      <c r="A23" s="119" t="s">
        <v>49</v>
      </c>
      <c r="B23" s="121">
        <f>+SUM(B18:B22)</f>
        <v>0.876078817151412</v>
      </c>
      <c r="C23" s="121">
        <f t="shared" ref="C23:I23" si="1">+SUM(C18:C22)</f>
        <v>0.83441507564613882</v>
      </c>
      <c r="D23" s="63">
        <f>+'Balance Sheet'!D25/'Balance Sheet'!D$27</f>
        <v>0.83189353678901712</v>
      </c>
      <c r="E23" s="121">
        <f t="shared" ca="1" si="1"/>
        <v>0.84799204588936927</v>
      </c>
      <c r="F23" s="121">
        <f t="shared" ca="1" si="1"/>
        <v>0.83847740035250617</v>
      </c>
      <c r="G23" s="121">
        <f t="shared" ca="1" si="1"/>
        <v>0.83125391188597997</v>
      </c>
      <c r="H23" s="121">
        <f t="shared" ca="1" si="1"/>
        <v>0.82714022286905653</v>
      </c>
      <c r="I23" s="121">
        <f t="shared" ca="1" si="1"/>
        <v>0.82677335634069538</v>
      </c>
      <c r="J23" s="108"/>
      <c r="K23" s="108"/>
      <c r="L23" s="108"/>
      <c r="M23" s="10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</row>
    <row r="24" spans="1:43" s="110" customFormat="1" ht="10.9" customHeight="1" x14ac:dyDescent="0.25">
      <c r="A24" s="119"/>
      <c r="B24" s="79"/>
      <c r="C24" s="79"/>
      <c r="D24" s="79"/>
      <c r="E24" s="79"/>
      <c r="F24" s="79"/>
      <c r="G24" s="79"/>
      <c r="H24" s="79"/>
      <c r="I24" s="79"/>
      <c r="J24" s="108"/>
      <c r="K24" s="108"/>
      <c r="L24" s="108"/>
      <c r="M24" s="108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</row>
    <row r="25" spans="1:43" s="110" customFormat="1" ht="10.9" customHeight="1" thickBot="1" x14ac:dyDescent="0.3">
      <c r="A25" s="119" t="s">
        <v>50</v>
      </c>
      <c r="B25" s="122">
        <f>+B15+B23</f>
        <v>1</v>
      </c>
      <c r="C25" s="122">
        <f t="shared" ref="C25:I25" si="2">+C15+C23</f>
        <v>1</v>
      </c>
      <c r="D25" s="122">
        <f t="shared" si="2"/>
        <v>1</v>
      </c>
      <c r="E25" s="122">
        <f t="shared" ca="1" si="2"/>
        <v>1</v>
      </c>
      <c r="F25" s="122">
        <f t="shared" ca="1" si="2"/>
        <v>1</v>
      </c>
      <c r="G25" s="122">
        <f t="shared" ca="1" si="2"/>
        <v>1</v>
      </c>
      <c r="H25" s="122">
        <f t="shared" ca="1" si="2"/>
        <v>0.99999999999999978</v>
      </c>
      <c r="I25" s="122">
        <f t="shared" ca="1" si="2"/>
        <v>0.99999999999999978</v>
      </c>
      <c r="J25" s="108"/>
      <c r="K25" s="108"/>
      <c r="L25" s="108"/>
      <c r="M25" s="108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</row>
    <row r="26" spans="1:43" s="110" customFormat="1" ht="10.9" customHeight="1" thickTop="1" x14ac:dyDescent="0.25">
      <c r="A26" s="119"/>
      <c r="B26" s="79"/>
      <c r="C26" s="79"/>
      <c r="D26" s="79"/>
      <c r="E26" s="79"/>
      <c r="F26" s="79"/>
      <c r="G26" s="79"/>
      <c r="H26" s="79"/>
      <c r="I26" s="79"/>
      <c r="J26" s="108"/>
      <c r="K26" s="108"/>
      <c r="L26" s="108"/>
      <c r="M26" s="108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</row>
    <row r="27" spans="1:43" s="115" customFormat="1" ht="13.5" thickBot="1" x14ac:dyDescent="0.35">
      <c r="A27" s="112" t="s">
        <v>72</v>
      </c>
      <c r="B27" s="113">
        <f>+B6</f>
        <v>1999</v>
      </c>
      <c r="C27" s="113">
        <f t="shared" ref="C27:I27" si="3">+C6</f>
        <v>2000</v>
      </c>
      <c r="D27" s="113">
        <f t="shared" si="3"/>
        <v>2001</v>
      </c>
      <c r="E27" s="113" t="str">
        <f t="shared" si="3"/>
        <v>2002E</v>
      </c>
      <c r="F27" s="113" t="str">
        <f t="shared" si="3"/>
        <v>2003E</v>
      </c>
      <c r="G27" s="113" t="str">
        <f t="shared" si="3"/>
        <v>2004E</v>
      </c>
      <c r="H27" s="113" t="str">
        <f t="shared" si="3"/>
        <v>2005E</v>
      </c>
      <c r="I27" s="113" t="str">
        <f t="shared" si="3"/>
        <v>2006E</v>
      </c>
      <c r="J27" s="108"/>
      <c r="K27" s="108"/>
      <c r="L27" s="108"/>
      <c r="M27" s="108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</row>
    <row r="28" spans="1:43" s="110" customFormat="1" ht="10.9" customHeight="1" x14ac:dyDescent="0.25">
      <c r="A28" s="77" t="s">
        <v>51</v>
      </c>
      <c r="B28" s="79"/>
      <c r="C28" s="79"/>
      <c r="D28" s="79"/>
      <c r="E28" s="79"/>
      <c r="F28" s="79"/>
      <c r="G28" s="79"/>
      <c r="H28" s="79"/>
      <c r="I28" s="79"/>
      <c r="J28" s="108"/>
      <c r="K28" s="108"/>
      <c r="L28" s="108"/>
      <c r="M28" s="108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</row>
    <row r="29" spans="1:43" s="110" customFormat="1" ht="10.9" customHeight="1" x14ac:dyDescent="0.25">
      <c r="A29" s="118" t="s">
        <v>52</v>
      </c>
      <c r="B29" s="63">
        <f>+'Balance Sheet'!B31/'Balance Sheet'!B$27</f>
        <v>6.7052635256994342E-2</v>
      </c>
      <c r="C29" s="63">
        <f>+'Balance Sheet'!C31/'Balance Sheet'!C$27</f>
        <v>5.9612089228576193E-2</v>
      </c>
      <c r="D29" s="63">
        <f>+'Balance Sheet'!D31/'Balance Sheet'!D$27</f>
        <v>6.1449673367936629E-2</v>
      </c>
      <c r="E29" s="63">
        <f ca="1">+'Balance Sheet'!E31/'Balance Sheet'!E$27</f>
        <v>6.9774142870453457E-2</v>
      </c>
      <c r="F29" s="63">
        <f ca="1">+'Balance Sheet'!G31/'Balance Sheet'!G$27</f>
        <v>7.4141521149669265E-2</v>
      </c>
      <c r="G29" s="63">
        <f ca="1">+'Balance Sheet'!H31/'Balance Sheet'!H$27</f>
        <v>7.7457220773648555E-2</v>
      </c>
      <c r="H29" s="63">
        <f ca="1">+'Balance Sheet'!I31/'Balance Sheet'!I$27</f>
        <v>7.9345471469941184E-2</v>
      </c>
      <c r="I29" s="63">
        <f ca="1">+'Balance Sheet'!J31/'Balance Sheet'!J$27</f>
        <v>7.9513869220664293E-2</v>
      </c>
      <c r="J29" s="108"/>
      <c r="K29" s="108"/>
      <c r="L29" s="108"/>
      <c r="M29" s="108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</row>
    <row r="30" spans="1:43" s="110" customFormat="1" ht="10.9" customHeight="1" x14ac:dyDescent="0.25">
      <c r="A30" s="118" t="s">
        <v>53</v>
      </c>
      <c r="B30" s="63">
        <f>+'Balance Sheet'!B32/'Balance Sheet'!B$27</f>
        <v>0.10352344167869459</v>
      </c>
      <c r="C30" s="63">
        <f>+'Balance Sheet'!C32/'Balance Sheet'!C$27</f>
        <v>0.11440688675573349</v>
      </c>
      <c r="D30" s="63">
        <f>+'Balance Sheet'!D32/'Balance Sheet'!D$27</f>
        <v>0.10943916332635589</v>
      </c>
      <c r="E30" s="63">
        <f ca="1">+'Balance Sheet'!E32/'Balance Sheet'!E$27</f>
        <v>8.4725744914122061E-2</v>
      </c>
      <c r="F30" s="63">
        <f ca="1">+'Balance Sheet'!G32/'Balance Sheet'!G$27</f>
        <v>9.002898996745555E-2</v>
      </c>
      <c r="G30" s="63">
        <f ca="1">+'Balance Sheet'!H32/'Balance Sheet'!H$27</f>
        <v>9.4055196653716103E-2</v>
      </c>
      <c r="H30" s="63">
        <f ca="1">+'Balance Sheet'!I32/'Balance Sheet'!I$27</f>
        <v>9.6348072499214288E-2</v>
      </c>
      <c r="I30" s="63">
        <f ca="1">+'Balance Sheet'!J32/'Balance Sheet'!J$27</f>
        <v>9.6552555482235222E-2</v>
      </c>
      <c r="J30" s="108"/>
      <c r="K30" s="108"/>
      <c r="L30" s="108"/>
      <c r="M30" s="108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</row>
    <row r="31" spans="1:43" s="110" customFormat="1" ht="10.9" customHeight="1" x14ac:dyDescent="0.25">
      <c r="A31" s="118" t="s">
        <v>42</v>
      </c>
      <c r="B31" s="63">
        <f>+'Balance Sheet'!B33/'Balance Sheet'!B$27</f>
        <v>0</v>
      </c>
      <c r="C31" s="63">
        <f>+'Balance Sheet'!C33/'Balance Sheet'!C$27</f>
        <v>0</v>
      </c>
      <c r="D31" s="63">
        <f>+'Balance Sheet'!D33/'Balance Sheet'!D$27</f>
        <v>0</v>
      </c>
      <c r="E31" s="63">
        <f ca="1">+'Balance Sheet'!E33/'Balance Sheet'!E$27</f>
        <v>2.9681436481684025E-2</v>
      </c>
      <c r="F31" s="63">
        <f ca="1">+'Balance Sheet'!G33/'Balance Sheet'!G$27</f>
        <v>4.9413511053602269E-2</v>
      </c>
      <c r="G31" s="63">
        <f ca="1">+'Balance Sheet'!H33/'Balance Sheet'!H$27</f>
        <v>6.3034443614139291E-2</v>
      </c>
      <c r="H31" s="63">
        <f ca="1">+'Balance Sheet'!I33/'Balance Sheet'!I$27</f>
        <v>7.2922859667742063E-2</v>
      </c>
      <c r="I31" s="63">
        <f ca="1">+'Balance Sheet'!J33/'Balance Sheet'!J$27</f>
        <v>8.0614808022300935E-2</v>
      </c>
      <c r="J31" s="108"/>
      <c r="K31" s="108"/>
      <c r="L31" s="108"/>
      <c r="M31" s="108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</row>
    <row r="32" spans="1:43" s="110" customFormat="1" ht="10.9" customHeight="1" x14ac:dyDescent="0.25">
      <c r="A32" s="118" t="s">
        <v>100</v>
      </c>
      <c r="B32" s="123">
        <f>+'Balance Sheet'!B34/'Balance Sheet'!B$27</f>
        <v>1.4266861263643963E-2</v>
      </c>
      <c r="C32" s="123">
        <f>+'Balance Sheet'!C34/'Balance Sheet'!C$27</f>
        <v>2.2671094733330301E-3</v>
      </c>
      <c r="D32" s="123">
        <f>+'Balance Sheet'!D34/'Balance Sheet'!D$27</f>
        <v>5.8073658046815108E-4</v>
      </c>
      <c r="E32" s="123">
        <f ca="1">+'Balance Sheet'!E34/'Balance Sheet'!E$27</f>
        <v>0</v>
      </c>
      <c r="F32" s="123">
        <f ca="1">+'Balance Sheet'!G34/'Balance Sheet'!G$27</f>
        <v>0</v>
      </c>
      <c r="G32" s="123">
        <f ca="1">+'Balance Sheet'!H34/'Balance Sheet'!H$27</f>
        <v>0</v>
      </c>
      <c r="H32" s="123">
        <f ca="1">+'Balance Sheet'!I34/'Balance Sheet'!I$27</f>
        <v>0</v>
      </c>
      <c r="I32" s="123">
        <f ca="1">+'Balance Sheet'!J34/'Balance Sheet'!J$27</f>
        <v>0</v>
      </c>
      <c r="J32" s="108"/>
      <c r="K32" s="108"/>
      <c r="L32" s="108"/>
      <c r="M32" s="108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</row>
    <row r="33" spans="1:43" s="110" customFormat="1" ht="10.9" customHeight="1" x14ac:dyDescent="0.25">
      <c r="A33" s="77" t="s">
        <v>54</v>
      </c>
      <c r="B33" s="121">
        <f>+SUM(B29:B32)</f>
        <v>0.1848429381993329</v>
      </c>
      <c r="C33" s="121">
        <f t="shared" ref="C33:I33" si="4">+SUM(C29:C32)</f>
        <v>0.17628608545764271</v>
      </c>
      <c r="D33" s="121">
        <f t="shared" si="4"/>
        <v>0.17146957327476067</v>
      </c>
      <c r="E33" s="121">
        <f t="shared" ca="1" si="4"/>
        <v>0.18418132426625955</v>
      </c>
      <c r="F33" s="121">
        <f t="shared" ca="1" si="4"/>
        <v>0.21358402217072708</v>
      </c>
      <c r="G33" s="121">
        <f t="shared" ca="1" si="4"/>
        <v>0.23454686104150396</v>
      </c>
      <c r="H33" s="121">
        <f t="shared" ca="1" si="4"/>
        <v>0.24861640363689755</v>
      </c>
      <c r="I33" s="121">
        <f t="shared" ca="1" si="4"/>
        <v>0.25668123272520044</v>
      </c>
      <c r="J33" s="108"/>
      <c r="K33" s="108"/>
      <c r="L33" s="108"/>
      <c r="M33" s="10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</row>
    <row r="34" spans="1:43" s="110" customFormat="1" ht="10.9" customHeight="1" x14ac:dyDescent="0.25">
      <c r="A34" s="77"/>
      <c r="B34" s="79"/>
      <c r="C34" s="79"/>
      <c r="D34" s="79"/>
      <c r="E34" s="79"/>
      <c r="F34" s="79"/>
      <c r="G34" s="79"/>
      <c r="H34" s="79"/>
      <c r="I34" s="79"/>
      <c r="J34" s="108"/>
      <c r="K34" s="108"/>
      <c r="L34" s="108"/>
      <c r="M34" s="108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</row>
    <row r="35" spans="1:43" s="110" customFormat="1" ht="10.9" customHeight="1" x14ac:dyDescent="0.25">
      <c r="A35" s="119" t="s">
        <v>62</v>
      </c>
      <c r="B35" s="79"/>
      <c r="C35" s="79"/>
      <c r="D35" s="79"/>
      <c r="E35" s="79"/>
      <c r="F35" s="79"/>
      <c r="G35" s="79"/>
      <c r="H35" s="79"/>
      <c r="I35" s="79"/>
      <c r="J35" s="108"/>
      <c r="K35" s="108"/>
      <c r="L35" s="108"/>
      <c r="M35" s="108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</row>
    <row r="36" spans="1:43" s="110" customFormat="1" ht="10.9" customHeight="1" x14ac:dyDescent="0.25">
      <c r="A36" s="118" t="s">
        <v>55</v>
      </c>
      <c r="B36" s="63">
        <f>+'Balance Sheet'!B38/'Balance Sheet'!B$27</f>
        <v>1.672351371182983E-2</v>
      </c>
      <c r="C36" s="63">
        <f>+'Balance Sheet'!C38/'Balance Sheet'!C$27</f>
        <v>1.5248017226999075E-2</v>
      </c>
      <c r="D36" s="63">
        <f>+'Balance Sheet'!D38/'Balance Sheet'!D$27</f>
        <v>8.4968214351162381E-3</v>
      </c>
      <c r="E36" s="63">
        <f ca="1">+'Balance Sheet'!E38/'Balance Sheet'!E$27</f>
        <v>2.2427403065502893E-2</v>
      </c>
      <c r="F36" s="63">
        <f ca="1">+'Balance Sheet'!G38/'Balance Sheet'!G$27</f>
        <v>2.383120322667941E-2</v>
      </c>
      <c r="G36" s="63">
        <f ca="1">+'Balance Sheet'!H38/'Balance Sheet'!H$27</f>
        <v>2.4896963820101318E-2</v>
      </c>
      <c r="H36" s="63">
        <f ca="1">+'Balance Sheet'!I38/'Balance Sheet'!I$27</f>
        <v>2.5503901543909663E-2</v>
      </c>
      <c r="I36" s="63">
        <f ca="1">+'Balance Sheet'!J38/'Balance Sheet'!J$27</f>
        <v>2.5558029392356376E-2</v>
      </c>
      <c r="J36" s="108"/>
      <c r="K36" s="108"/>
      <c r="L36" s="108"/>
      <c r="M36" s="108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</row>
    <row r="37" spans="1:43" s="110" customFormat="1" ht="10.9" customHeight="1" x14ac:dyDescent="0.25">
      <c r="A37" s="118" t="s">
        <v>101</v>
      </c>
      <c r="B37" s="63">
        <f>+'Balance Sheet'!B39/'Balance Sheet'!B$27</f>
        <v>2.4862182872778193E-3</v>
      </c>
      <c r="C37" s="63">
        <f>+'Balance Sheet'!C39/'Balance Sheet'!C$27</f>
        <v>0.368272599062827</v>
      </c>
      <c r="D37" s="63">
        <f>+'Balance Sheet'!D39/'Balance Sheet'!D$27</f>
        <v>0.27122979359331406</v>
      </c>
      <c r="E37" s="63">
        <f ca="1">+'Balance Sheet'!E39/'Balance Sheet'!E$27</f>
        <v>0.28848713109231744</v>
      </c>
      <c r="F37" s="63">
        <f ca="1">+'Balance Sheet'!G39/'Balance Sheet'!G$27</f>
        <v>1.0868704073841844</v>
      </c>
      <c r="G37" s="63">
        <f ca="1">+'Balance Sheet'!H39/'Balance Sheet'!H$27</f>
        <v>0.959912164904693</v>
      </c>
      <c r="H37" s="63">
        <f ca="1">+'Balance Sheet'!I39/'Balance Sheet'!I$27</f>
        <v>0.84770133205217113</v>
      </c>
      <c r="I37" s="63">
        <f ca="1">+'Balance Sheet'!J39/'Balance Sheet'!J$27</f>
        <v>0.74940619818413079</v>
      </c>
      <c r="J37" s="108"/>
      <c r="K37" s="108"/>
      <c r="L37" s="108"/>
      <c r="M37" s="108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</row>
    <row r="38" spans="1:43" s="110" customFormat="1" ht="10.9" customHeight="1" x14ac:dyDescent="0.25">
      <c r="A38" s="118" t="s">
        <v>42</v>
      </c>
      <c r="B38" s="63">
        <f>+'Balance Sheet'!B40/'Balance Sheet'!B$27</f>
        <v>5.6685776949934284E-3</v>
      </c>
      <c r="C38" s="63">
        <f>+'Balance Sheet'!C40/'Balance Sheet'!C$27</f>
        <v>0</v>
      </c>
      <c r="D38" s="63">
        <f>+'Balance Sheet'!D40/'Balance Sheet'!D$27</f>
        <v>8.9485054421470211E-3</v>
      </c>
      <c r="E38" s="63">
        <f ca="1">+'Balance Sheet'!E40/'Balance Sheet'!E$27</f>
        <v>9.9677346957790652E-3</v>
      </c>
      <c r="F38" s="63">
        <f ca="1">+'Balance Sheet'!G40/'Balance Sheet'!G$27</f>
        <v>1.0591645878524181E-2</v>
      </c>
      <c r="G38" s="63">
        <f ca="1">+'Balance Sheet'!H40/'Balance Sheet'!H$27</f>
        <v>1.1065317253378363E-2</v>
      </c>
      <c r="H38" s="63">
        <f ca="1">+'Balance Sheet'!I40/'Balance Sheet'!I$27</f>
        <v>1.1335067352848741E-2</v>
      </c>
      <c r="I38" s="63">
        <f ca="1">+'Balance Sheet'!J40/'Balance Sheet'!J$27</f>
        <v>1.1359124174380614E-2</v>
      </c>
      <c r="J38" s="108"/>
      <c r="K38" s="108"/>
      <c r="L38" s="108"/>
      <c r="M38" s="108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</row>
    <row r="39" spans="1:43" s="110" customFormat="1" ht="10.9" customHeight="1" x14ac:dyDescent="0.25">
      <c r="A39" s="118" t="s">
        <v>56</v>
      </c>
      <c r="B39" s="63">
        <f>+'Balance Sheet'!B41/'Balance Sheet'!B$27</f>
        <v>5.0826365202620068E-3</v>
      </c>
      <c r="C39" s="63">
        <f>+'Balance Sheet'!C41/'Balance Sheet'!C$27</f>
        <v>1.9827730009250415E-2</v>
      </c>
      <c r="D39" s="63">
        <f>+'Balance Sheet'!D41/'Balance Sheet'!D$27</f>
        <v>3.491904532068274E-2</v>
      </c>
      <c r="E39" s="63">
        <f ca="1">+'Balance Sheet'!E41/'Balance Sheet'!E$27</f>
        <v>4.9838673478895326E-3</v>
      </c>
      <c r="F39" s="63">
        <f ca="1">+'Balance Sheet'!G41/'Balance Sheet'!G$27</f>
        <v>5.2958229392620904E-3</v>
      </c>
      <c r="G39" s="63">
        <f ca="1">+'Balance Sheet'!H41/'Balance Sheet'!H$27</f>
        <v>5.5326586266891816E-3</v>
      </c>
      <c r="H39" s="63">
        <f ca="1">+'Balance Sheet'!I41/'Balance Sheet'!I$27</f>
        <v>5.6675336764243703E-3</v>
      </c>
      <c r="I39" s="63">
        <f ca="1">+'Balance Sheet'!J41/'Balance Sheet'!J$27</f>
        <v>5.679562087190307E-3</v>
      </c>
      <c r="J39" s="108"/>
      <c r="K39" s="108"/>
      <c r="L39" s="108"/>
      <c r="M39" s="108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</row>
    <row r="40" spans="1:43" s="110" customFormat="1" ht="10.9" customHeight="1" x14ac:dyDescent="0.25">
      <c r="A40" s="77" t="s">
        <v>63</v>
      </c>
      <c r="B40" s="79">
        <f>+SUM(B36:B39)</f>
        <v>2.9960946214363085E-2</v>
      </c>
      <c r="C40" s="79">
        <f t="shared" ref="C40:I40" si="5">+SUM(C36:C39)</f>
        <v>0.40334834629907651</v>
      </c>
      <c r="D40" s="79">
        <f t="shared" si="5"/>
        <v>0.3235941657912601</v>
      </c>
      <c r="E40" s="79">
        <f t="shared" ca="1" si="5"/>
        <v>0.32586613620148891</v>
      </c>
      <c r="F40" s="79">
        <f t="shared" ca="1" si="5"/>
        <v>1.1265890794286502</v>
      </c>
      <c r="G40" s="79">
        <f t="shared" ca="1" si="5"/>
        <v>1.0014071046048618</v>
      </c>
      <c r="H40" s="79">
        <f t="shared" ca="1" si="5"/>
        <v>0.89020783462535391</v>
      </c>
      <c r="I40" s="79">
        <f t="shared" ca="1" si="5"/>
        <v>0.7920029138380581</v>
      </c>
      <c r="J40" s="108"/>
      <c r="K40" s="108"/>
      <c r="L40" s="108"/>
      <c r="M40" s="108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</row>
    <row r="41" spans="1:43" s="110" customFormat="1" ht="10.9" customHeight="1" x14ac:dyDescent="0.25">
      <c r="A41" s="77"/>
      <c r="B41" s="124"/>
      <c r="C41" s="124"/>
      <c r="D41" s="124"/>
      <c r="E41" s="124"/>
      <c r="F41" s="124"/>
      <c r="G41" s="124"/>
      <c r="H41" s="124"/>
      <c r="I41" s="124"/>
      <c r="J41" s="108"/>
      <c r="K41" s="108"/>
      <c r="L41" s="108"/>
      <c r="M41" s="108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</row>
    <row r="42" spans="1:43" s="110" customFormat="1" ht="10.9" customHeight="1" x14ac:dyDescent="0.25">
      <c r="A42" s="77" t="s">
        <v>59</v>
      </c>
      <c r="B42" s="121">
        <f>+B33+B40</f>
        <v>0.21480388441369597</v>
      </c>
      <c r="C42" s="121">
        <f t="shared" ref="C42:I42" si="6">+C33+C40</f>
        <v>0.57963443175671925</v>
      </c>
      <c r="D42" s="121">
        <f t="shared" si="6"/>
        <v>0.49506373906602075</v>
      </c>
      <c r="E42" s="121">
        <f t="shared" ca="1" si="6"/>
        <v>0.51004746046774851</v>
      </c>
      <c r="F42" s="121">
        <f t="shared" ca="1" si="6"/>
        <v>1.3401731015993772</v>
      </c>
      <c r="G42" s="121">
        <f t="shared" ca="1" si="6"/>
        <v>1.2359539656463658</v>
      </c>
      <c r="H42" s="121">
        <f t="shared" ca="1" si="6"/>
        <v>1.1388242382622515</v>
      </c>
      <c r="I42" s="121">
        <f t="shared" ca="1" si="6"/>
        <v>1.0486841465632586</v>
      </c>
      <c r="J42" s="108"/>
      <c r="K42" s="108"/>
      <c r="L42" s="108"/>
      <c r="M42" s="108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</row>
    <row r="43" spans="1:43" s="110" customFormat="1" ht="10.9" customHeight="1" x14ac:dyDescent="0.25">
      <c r="A43" s="119"/>
      <c r="B43" s="125"/>
      <c r="C43" s="125"/>
      <c r="D43" s="125"/>
      <c r="E43" s="125"/>
      <c r="F43" s="125"/>
      <c r="G43" s="125"/>
      <c r="H43" s="125"/>
      <c r="I43" s="125"/>
      <c r="J43" s="108"/>
      <c r="K43" s="108"/>
      <c r="L43" s="108"/>
      <c r="M43" s="10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</row>
    <row r="44" spans="1:43" s="110" customFormat="1" ht="10.9" customHeight="1" x14ac:dyDescent="0.25">
      <c r="A44" s="119" t="s">
        <v>58</v>
      </c>
      <c r="B44" s="121">
        <f>+B25-B42</f>
        <v>0.78519611558630409</v>
      </c>
      <c r="C44" s="121">
        <f t="shared" ref="C44:I44" si="7">+C25-C42</f>
        <v>0.42036556824328075</v>
      </c>
      <c r="D44" s="121">
        <f t="shared" si="7"/>
        <v>0.50493626093397925</v>
      </c>
      <c r="E44" s="121">
        <f t="shared" ca="1" si="7"/>
        <v>0.48995253953225149</v>
      </c>
      <c r="F44" s="121">
        <f t="shared" ca="1" si="7"/>
        <v>-0.34017310159937719</v>
      </c>
      <c r="G44" s="121">
        <f t="shared" ca="1" si="7"/>
        <v>-0.23595396564636584</v>
      </c>
      <c r="H44" s="121">
        <f t="shared" ca="1" si="7"/>
        <v>-0.13882423826225176</v>
      </c>
      <c r="I44" s="121">
        <f t="shared" ca="1" si="7"/>
        <v>-4.8684146563258812E-2</v>
      </c>
      <c r="J44" s="108"/>
      <c r="K44" s="108"/>
      <c r="L44" s="108"/>
      <c r="M44" s="108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</row>
    <row r="45" spans="1:43" s="110" customFormat="1" ht="10.9" customHeight="1" x14ac:dyDescent="0.25">
      <c r="A45" s="119"/>
      <c r="B45" s="121"/>
      <c r="C45" s="121"/>
      <c r="D45" s="121"/>
      <c r="E45" s="121"/>
      <c r="F45" s="121"/>
      <c r="G45" s="121"/>
      <c r="H45" s="121"/>
      <c r="I45" s="121"/>
      <c r="J45" s="108"/>
      <c r="K45" s="108"/>
      <c r="L45" s="108"/>
      <c r="M45" s="108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</row>
    <row r="46" spans="1:43" s="110" customFormat="1" ht="10.9" customHeight="1" thickBot="1" x14ac:dyDescent="0.3">
      <c r="A46" s="119" t="s">
        <v>57</v>
      </c>
      <c r="B46" s="126">
        <f>+B42+B44</f>
        <v>1</v>
      </c>
      <c r="C46" s="126">
        <f t="shared" ref="C46:I46" si="8">+C42+C44</f>
        <v>1</v>
      </c>
      <c r="D46" s="126">
        <f t="shared" si="8"/>
        <v>1</v>
      </c>
      <c r="E46" s="126">
        <f t="shared" ca="1" si="8"/>
        <v>1</v>
      </c>
      <c r="F46" s="126">
        <f t="shared" ca="1" si="8"/>
        <v>1</v>
      </c>
      <c r="G46" s="126">
        <f t="shared" ca="1" si="8"/>
        <v>1</v>
      </c>
      <c r="H46" s="126">
        <f t="shared" ca="1" si="8"/>
        <v>0.99999999999999978</v>
      </c>
      <c r="I46" s="126">
        <f t="shared" ca="1" si="8"/>
        <v>0.99999999999999978</v>
      </c>
      <c r="J46" s="108"/>
      <c r="K46" s="108"/>
      <c r="L46" s="108"/>
      <c r="M46" s="108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</row>
    <row r="47" spans="1:43" s="110" customFormat="1" ht="10.9" customHeight="1" thickTop="1" x14ac:dyDescent="0.25">
      <c r="A47" s="119"/>
      <c r="B47" s="79"/>
      <c r="C47" s="79"/>
      <c r="D47" s="79"/>
      <c r="E47" s="79"/>
      <c r="F47" s="79"/>
      <c r="G47" s="79"/>
      <c r="H47" s="79"/>
      <c r="I47" s="79"/>
      <c r="J47" s="108"/>
      <c r="K47" s="108"/>
      <c r="L47" s="108"/>
      <c r="M47" s="108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</row>
    <row r="48" spans="1:43" s="110" customFormat="1" ht="10.9" customHeight="1" x14ac:dyDescent="0.25">
      <c r="A48" s="119"/>
      <c r="B48" s="79"/>
      <c r="C48" s="79"/>
      <c r="D48" s="79"/>
      <c r="E48" s="79"/>
      <c r="F48" s="79"/>
      <c r="G48" s="79"/>
      <c r="H48" s="79"/>
      <c r="I48" s="79"/>
      <c r="J48" s="108"/>
      <c r="K48" s="108"/>
      <c r="L48" s="108"/>
      <c r="M48" s="108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</row>
  </sheetData>
  <phoneticPr fontId="0" type="noConversion"/>
  <pageMargins left="0.75" right="0.75" top="1" bottom="1" header="0.5" footer="0.5"/>
  <pageSetup scale="57" orientation="portrait" horizontalDpi="4294967292" verticalDpi="0" r:id="rId1"/>
  <headerFooter alignWithMargins="0">
    <oddHeader>&amp;C&amp;F
Page 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Internal Rate of Return</vt:lpstr>
      <vt:lpstr>Transaction Summary</vt:lpstr>
      <vt:lpstr>Recap Transaction Figure</vt:lpstr>
      <vt:lpstr>LBO Transaction Figure</vt:lpstr>
      <vt:lpstr>Assumptions</vt:lpstr>
      <vt:lpstr>Income Statement</vt:lpstr>
      <vt:lpstr>Balance Sheet</vt:lpstr>
      <vt:lpstr>Fixed Asset Schedule</vt:lpstr>
      <vt:lpstr>DCF</vt:lpstr>
      <vt:lpstr>SCF</vt:lpstr>
      <vt:lpstr>Dupont</vt:lpstr>
      <vt:lpstr>CMN SZ IS </vt:lpstr>
      <vt:lpstr>CMN SZ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Disclosure Worldscope Database Financials</dc:title>
  <dc:subject/>
  <dc:creator/>
  <cp:keywords/>
  <dc:description>Copyright Disclosure Inc, 1996</dc:description>
  <cp:lastModifiedBy>Carina Negreanu</cp:lastModifiedBy>
  <cp:lastPrinted>2002-02-17T19:41:27Z</cp:lastPrinted>
  <dcterms:created xsi:type="dcterms:W3CDTF">1996-06-27T13:43:43Z</dcterms:created>
  <dcterms:modified xsi:type="dcterms:W3CDTF">2020-01-27T11:48:37Z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105974342</vt:i4>
  </property>
  <property fmtid="{D5CDD505-2E9C-101B-9397-08002B2CF9AE}" pid="3" name="_EmailSubject">
    <vt:lpwstr>fixed asset and debt plug</vt:lpwstr>
  </property>
  <property fmtid="{D5CDD505-2E9C-101B-9397-08002B2CF9AE}" pid="4" name="_AuthorEmail">
    <vt:lpwstr>sph24@cornell.edu</vt:lpwstr>
  </property>
  <property fmtid="{D5CDD505-2E9C-101B-9397-08002B2CF9AE}" pid="5" name="_AuthorEmailDisplayName">
    <vt:lpwstr>Paul Hribar</vt:lpwstr>
  </property>
  <property fmtid="{D5CDD505-2E9C-101B-9397-08002B2CF9AE}" pid="6" name="_ReviewingToolsShownOnce">
    <vt:lpwstr/>
  </property>
</Properties>
</file>