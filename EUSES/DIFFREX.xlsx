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273F0C-AFD0-4E6D-B4BD-2D696F08D92A}" xr6:coauthVersionLast="45" xr6:coauthVersionMax="45" xr10:uidLastSave="{00000000-0000-0000-0000-000000000000}"/>
  <bookViews>
    <workbookView xWindow="3420" yWindow="3420" windowWidth="28800" windowHeight="15460"/>
  </bookViews>
  <sheets>
    <sheet name="Diffraction" sheetId="1" r:id="rId1"/>
    <sheet name="table_hkl" sheetId="3" r:id="rId2"/>
  </sheets>
  <definedNames>
    <definedName name="Results">Diffraction!#REF!</definedName>
  </definedNames>
  <calcPr calcId="0"/>
</workbook>
</file>

<file path=xl/calcChain.xml><?xml version="1.0" encoding="utf-8"?>
<calcChain xmlns="http://schemas.openxmlformats.org/spreadsheetml/2006/main">
  <c r="I5" i="1" l="1"/>
  <c r="I6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F25" i="1"/>
  <c r="G25" i="1"/>
  <c r="H25" i="1"/>
  <c r="I25" i="1"/>
  <c r="F26" i="1"/>
  <c r="G26" i="1"/>
  <c r="H26" i="1"/>
  <c r="I26" i="1"/>
</calcChain>
</file>

<file path=xl/sharedStrings.xml><?xml version="1.0" encoding="utf-8"?>
<sst xmlns="http://schemas.openxmlformats.org/spreadsheetml/2006/main" count="38" uniqueCount="26">
  <si>
    <t xml:space="preserve"> X-Ray Diffraction</t>
  </si>
  <si>
    <t>Sample Identification:</t>
  </si>
  <si>
    <t>Metallic Sample</t>
  </si>
  <si>
    <r>
      <t>Wave Length</t>
    </r>
    <r>
      <rPr>
        <b/>
        <sz val="10"/>
        <rFont val="Symbol"/>
        <family val="1"/>
        <charset val="2"/>
      </rPr>
      <t xml:space="preserve"> l [A]</t>
    </r>
  </si>
  <si>
    <t>Maximum Intensity [cps]</t>
  </si>
  <si>
    <t xml:space="preserve"> </t>
  </si>
  <si>
    <r>
      <t>Angle 2</t>
    </r>
    <r>
      <rPr>
        <b/>
        <sz val="8"/>
        <rFont val="Symbol"/>
        <family val="1"/>
        <charset val="2"/>
      </rPr>
      <t>Q</t>
    </r>
  </si>
  <si>
    <t>Intensity</t>
  </si>
  <si>
    <t>Relative</t>
  </si>
  <si>
    <t>d</t>
  </si>
  <si>
    <r>
      <t>sin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</rPr>
      <t>(</t>
    </r>
    <r>
      <rPr>
        <b/>
        <sz val="10"/>
        <rFont val="Symbol"/>
        <family val="1"/>
        <charset val="2"/>
      </rPr>
      <t>Q</t>
    </r>
    <r>
      <rPr>
        <b/>
        <sz val="10"/>
        <rFont val="Arial"/>
      </rPr>
      <t>)</t>
    </r>
  </si>
  <si>
    <t>C</t>
  </si>
  <si>
    <t>[degrees]</t>
  </si>
  <si>
    <t>[cps]</t>
  </si>
  <si>
    <t>[A]</t>
  </si>
  <si>
    <t>s.c.</t>
  </si>
  <si>
    <t>b.c.c.</t>
  </si>
  <si>
    <t>f.c.c.</t>
  </si>
  <si>
    <t>d.c.</t>
  </si>
  <si>
    <t>Average</t>
  </si>
  <si>
    <t>Standard Deviation</t>
  </si>
  <si>
    <t>Crystallographic System</t>
  </si>
  <si>
    <t xml:space="preserve">   Body Centered Cubic</t>
  </si>
  <si>
    <t>Lattice Parameter [A]</t>
  </si>
  <si>
    <r>
      <t>h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 xml:space="preserve"> + k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 xml:space="preserve"> + l</t>
    </r>
    <r>
      <rPr>
        <b/>
        <vertAlign val="superscript"/>
        <sz val="10"/>
        <rFont val="Arial"/>
      </rPr>
      <t>2</t>
    </r>
  </si>
  <si>
    <t>c.f.c.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</si>
</sst>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1" formatCode="0.0%"/>
    <numFmt numFmtId="183" formatCode="0.0"/>
    <numFmt numFmtId="186" formatCode="0.000"/>
    <numFmt numFmtId="189" formatCode="h:mm:ss"/>
    <numFmt numFmtId="190" formatCode="0.0000"/>
  </numFmts>
  <fonts count="16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8"/>
      <name val="Symbol"/>
      <family val="1"/>
      <charset val="2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sz val="10"/>
      <color indexed="8"/>
      <name val="Arial"/>
      <family val="2"/>
    </font>
    <font>
      <b/>
      <vertAlign val="superscript"/>
      <sz val="10"/>
      <name val="Arial"/>
    </font>
    <font>
      <sz val="10"/>
      <color indexed="8"/>
      <name val="Arial"/>
      <family val="2"/>
    </font>
    <font>
      <u/>
      <sz val="10"/>
      <name val="Arial"/>
      <family val="2"/>
    </font>
    <font>
      <b/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2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5" fillId="0" borderId="0" xfId="0" applyFont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86" fontId="7" fillId="0" borderId="6" xfId="0" applyNumberFormat="1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14" fontId="0" fillId="0" borderId="7" xfId="0" applyNumberFormat="1" applyBorder="1" applyAlignment="1">
      <alignment horizontal="center"/>
    </xf>
    <xf numFmtId="189" fontId="0" fillId="0" borderId="6" xfId="0" applyNumberFormat="1" applyBorder="1" applyAlignment="1">
      <alignment horizontal="center"/>
    </xf>
    <xf numFmtId="0" fontId="1" fillId="0" borderId="8" xfId="0" applyFont="1" applyBorder="1"/>
    <xf numFmtId="0" fontId="6" fillId="0" borderId="9" xfId="0" applyFont="1" applyBorder="1"/>
    <xf numFmtId="0" fontId="9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83" fontId="11" fillId="0" borderId="6" xfId="1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83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90" fontId="0" fillId="0" borderId="14" xfId="0" applyNumberFormat="1" applyBorder="1" applyAlignment="1">
      <alignment horizontal="center"/>
    </xf>
    <xf numFmtId="190" fontId="0" fillId="0" borderId="6" xfId="0" applyNumberFormat="1" applyBorder="1" applyAlignment="1">
      <alignment horizontal="center"/>
    </xf>
    <xf numFmtId="183" fontId="13" fillId="0" borderId="6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9" fillId="0" borderId="19" xfId="0" applyFont="1" applyBorder="1"/>
    <xf numFmtId="0" fontId="9" fillId="0" borderId="9" xfId="0" applyFont="1" applyBorder="1"/>
    <xf numFmtId="0" fontId="9" fillId="0" borderId="19" xfId="0" applyFont="1" applyBorder="1" applyAlignment="1">
      <alignment horizontal="left"/>
    </xf>
    <xf numFmtId="0" fontId="2" fillId="0" borderId="9" xfId="0" applyFont="1" applyBorder="1"/>
    <xf numFmtId="9" fontId="0" fillId="0" borderId="1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81" fontId="0" fillId="0" borderId="21" xfId="0" applyNumberForma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90" fontId="0" fillId="0" borderId="21" xfId="0" applyNumberFormat="1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0" fillId="0" borderId="20" xfId="0" applyBorder="1"/>
    <xf numFmtId="0" fontId="1" fillId="0" borderId="0" xfId="0" applyFont="1"/>
    <xf numFmtId="0" fontId="4" fillId="0" borderId="10" xfId="0" applyFont="1" applyBorder="1" applyAlignment="1">
      <alignment horizontal="center"/>
    </xf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2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4" xfId="0" applyBorder="1"/>
    <xf numFmtId="0" fontId="0" fillId="0" borderId="23" xfId="0" applyBorder="1"/>
    <xf numFmtId="190" fontId="0" fillId="0" borderId="12" xfId="0" applyNumberFormat="1" applyBorder="1"/>
    <xf numFmtId="0" fontId="5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1B10E8E-3D52-46FA-9302-6252E636C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10</xdr:row>
          <xdr:rowOff>158750</xdr:rowOff>
        </xdr:to>
        <xdr:sp macro="" textlink="">
          <xdr:nvSpPr>
            <xdr:cNvPr id="1099" name="Button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6CB85626-CED3-4393-A264-5C3C96CAB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1"/>
  <sheetViews>
    <sheetView showGridLines="0" tabSelected="1" topLeftCell="A15" workbookViewId="0">
      <selection activeCell="A15" sqref="A15"/>
    </sheetView>
  </sheetViews>
  <sheetFormatPr defaultRowHeight="12.5" x14ac:dyDescent="0.25"/>
  <cols>
    <col min="1" max="256" width="10.90625" customWidth="1"/>
  </cols>
  <sheetData>
    <row r="1" spans="1:10" ht="26" thickTop="1" thickBot="1" x14ac:dyDescent="0.55000000000000004">
      <c r="A1" s="2" t="s">
        <v>0</v>
      </c>
      <c r="B1" s="3"/>
      <c r="C1" s="4"/>
    </row>
    <row r="2" spans="1:10" ht="13" thickTop="1" x14ac:dyDescent="0.25"/>
    <row r="4" spans="1:10" ht="13" thickBot="1" x14ac:dyDescent="0.3"/>
    <row r="5" spans="1:10" ht="14" thickTop="1" thickBot="1" x14ac:dyDescent="0.35">
      <c r="A5" s="36" t="s">
        <v>1</v>
      </c>
      <c r="B5" s="37"/>
      <c r="C5" s="60" t="s">
        <v>2</v>
      </c>
      <c r="D5" s="6"/>
      <c r="E5" s="7"/>
      <c r="F5" s="7"/>
      <c r="G5" s="8"/>
      <c r="I5" s="12">
        <f ca="1">TODAY()</f>
        <v>43857</v>
      </c>
    </row>
    <row r="6" spans="1:10" ht="14" thickTop="1" thickBot="1" x14ac:dyDescent="0.35">
      <c r="A6" s="5"/>
      <c r="B6" s="5"/>
      <c r="C6" s="38" t="s">
        <v>3</v>
      </c>
      <c r="D6" s="15"/>
      <c r="E6" s="25">
        <v>1.5409999999999999</v>
      </c>
      <c r="I6" s="13">
        <f ca="1">NOW()</f>
        <v>43857.478339120367</v>
      </c>
    </row>
    <row r="7" spans="1:10" ht="14" thickTop="1" thickBot="1" x14ac:dyDescent="0.35">
      <c r="A7" s="5"/>
      <c r="B7" s="5"/>
      <c r="C7" s="14" t="s">
        <v>4</v>
      </c>
      <c r="D7" s="39"/>
      <c r="E7" s="25">
        <v>7400</v>
      </c>
      <c r="G7" s="5"/>
      <c r="I7" t="s">
        <v>5</v>
      </c>
    </row>
    <row r="8" spans="1:10" ht="13" thickTop="1" x14ac:dyDescent="0.25">
      <c r="A8" s="5"/>
      <c r="B8" s="5"/>
      <c r="G8" s="5"/>
      <c r="I8" s="11"/>
      <c r="J8" s="10"/>
    </row>
    <row r="9" spans="1:10" x14ac:dyDescent="0.25">
      <c r="I9" s="11"/>
    </row>
    <row r="10" spans="1:10" ht="13.5" customHeight="1" x14ac:dyDescent="0.25">
      <c r="I10" s="11"/>
    </row>
    <row r="11" spans="1:10" x14ac:dyDescent="0.25">
      <c r="G11" s="1"/>
    </row>
    <row r="12" spans="1:10" x14ac:dyDescent="0.25">
      <c r="F12" t="s">
        <v>5</v>
      </c>
    </row>
    <row r="13" spans="1:10" ht="13" thickBot="1" x14ac:dyDescent="0.3"/>
    <row r="14" spans="1:10" ht="15.5" thickTop="1" x14ac:dyDescent="0.3">
      <c r="A14" s="52" t="s">
        <v>6</v>
      </c>
      <c r="B14" s="16" t="s">
        <v>7</v>
      </c>
      <c r="C14" s="17" t="s">
        <v>8</v>
      </c>
      <c r="D14" s="55" t="s">
        <v>9</v>
      </c>
      <c r="E14" s="55" t="s">
        <v>10</v>
      </c>
      <c r="F14" s="55" t="s">
        <v>11</v>
      </c>
      <c r="G14" s="55" t="s">
        <v>11</v>
      </c>
      <c r="H14" s="55" t="s">
        <v>11</v>
      </c>
      <c r="I14" s="55" t="s">
        <v>11</v>
      </c>
    </row>
    <row r="15" spans="1:10" ht="13.5" thickBot="1" x14ac:dyDescent="0.35">
      <c r="A15" s="9" t="s">
        <v>12</v>
      </c>
      <c r="B15" s="18" t="s">
        <v>13</v>
      </c>
      <c r="C15" s="21" t="s">
        <v>7</v>
      </c>
      <c r="D15" s="56" t="s">
        <v>14</v>
      </c>
      <c r="E15" s="56" t="s">
        <v>5</v>
      </c>
      <c r="F15" s="56" t="s">
        <v>15</v>
      </c>
      <c r="G15" s="56" t="s">
        <v>16</v>
      </c>
      <c r="H15" s="56" t="s">
        <v>17</v>
      </c>
      <c r="I15" s="56" t="s">
        <v>18</v>
      </c>
    </row>
    <row r="16" spans="1:10" ht="13" thickTop="1" x14ac:dyDescent="0.25">
      <c r="A16" s="26">
        <v>40.200000000000003</v>
      </c>
      <c r="B16" s="27">
        <v>7400</v>
      </c>
      <c r="C16" s="40">
        <f t="shared" ref="C16:C23" si="0">B16/$E$7</f>
        <v>1</v>
      </c>
      <c r="D16" s="28">
        <f t="shared" ref="D16:D23" si="1" xml:space="preserve"> $E$6/(2*SIN((A16*PI())/(2*180)))</f>
        <v>2.2420435452259446</v>
      </c>
      <c r="E16" s="28">
        <f t="shared" ref="E16:E23" si="2">SIN((A16*PI())/(2*180))^2</f>
        <v>0.11810198568267892</v>
      </c>
      <c r="F16" s="28">
        <v>0.118101985682679</v>
      </c>
      <c r="G16" s="28">
        <v>5.9050992841339502E-2</v>
      </c>
      <c r="H16" s="28">
        <v>3.9367328560892999E-2</v>
      </c>
      <c r="I16" s="28">
        <v>2.3620397136535801E-2</v>
      </c>
    </row>
    <row r="17" spans="1:14" x14ac:dyDescent="0.25">
      <c r="A17" s="26">
        <v>58.4</v>
      </c>
      <c r="B17" s="27">
        <v>2232</v>
      </c>
      <c r="C17" s="40">
        <f t="shared" si="0"/>
        <v>0.30162162162162159</v>
      </c>
      <c r="D17" s="28">
        <f t="shared" si="1"/>
        <v>1.5793476373107804</v>
      </c>
      <c r="E17" s="28">
        <f t="shared" si="2"/>
        <v>0.23800704701496034</v>
      </c>
      <c r="F17" s="28">
        <v>0.11900352350748</v>
      </c>
      <c r="G17" s="28">
        <v>5.9501761753740098E-2</v>
      </c>
      <c r="H17" s="28">
        <v>5.9501761753740098E-2</v>
      </c>
      <c r="I17" s="28">
        <v>7.9335682338320099E-2</v>
      </c>
    </row>
    <row r="18" spans="1:14" x14ac:dyDescent="0.25">
      <c r="A18" s="26">
        <v>73.2</v>
      </c>
      <c r="B18" s="27">
        <v>4003</v>
      </c>
      <c r="C18" s="40">
        <f t="shared" si="0"/>
        <v>0.54094594594594592</v>
      </c>
      <c r="D18" s="28">
        <f t="shared" si="1"/>
        <v>1.292297641966774</v>
      </c>
      <c r="E18" s="28">
        <f t="shared" si="2"/>
        <v>0.35548410152776422</v>
      </c>
      <c r="F18" s="28">
        <v>0.11849470050925499</v>
      </c>
      <c r="G18" s="28">
        <v>5.92473502546274E-2</v>
      </c>
      <c r="H18" s="28">
        <v>4.4435512690970499E-2</v>
      </c>
      <c r="I18" s="28">
        <v>4.4435512690970499E-2</v>
      </c>
    </row>
    <row r="19" spans="1:14" x14ac:dyDescent="0.25">
      <c r="A19" s="26">
        <v>87.2</v>
      </c>
      <c r="B19" s="27">
        <v>1010</v>
      </c>
      <c r="C19" s="40">
        <f t="shared" si="0"/>
        <v>0.13648648648648648</v>
      </c>
      <c r="D19" s="28">
        <f t="shared" si="1"/>
        <v>1.1172827205943159</v>
      </c>
      <c r="E19" s="28">
        <f t="shared" si="2"/>
        <v>0.47557511510219341</v>
      </c>
      <c r="F19" s="28">
        <v>0.11889377877554801</v>
      </c>
      <c r="G19" s="28">
        <v>5.9446889387774197E-2</v>
      </c>
      <c r="H19" s="28">
        <v>4.32341013729267E-2</v>
      </c>
      <c r="I19" s="28">
        <v>4.32341013729267E-2</v>
      </c>
    </row>
    <row r="20" spans="1:14" x14ac:dyDescent="0.25">
      <c r="A20" s="26">
        <v>100.4</v>
      </c>
      <c r="B20" s="27">
        <v>1340</v>
      </c>
      <c r="C20" s="40">
        <f t="shared" si="0"/>
        <v>0.18108108108108109</v>
      </c>
      <c r="D20" s="28">
        <f t="shared" si="1"/>
        <v>1.0028849719386268</v>
      </c>
      <c r="E20" s="28">
        <f t="shared" si="2"/>
        <v>0.59025957262527995</v>
      </c>
      <c r="F20" s="28">
        <v>0.11805191452505601</v>
      </c>
      <c r="G20" s="28">
        <v>5.9025957262528003E-2</v>
      </c>
      <c r="H20" s="28">
        <v>4.9188297718773297E-2</v>
      </c>
      <c r="I20" s="28">
        <v>3.6891223289079997E-2</v>
      </c>
    </row>
    <row r="21" spans="1:14" x14ac:dyDescent="0.25">
      <c r="A21" s="26">
        <v>114.8</v>
      </c>
      <c r="B21" s="27">
        <v>434</v>
      </c>
      <c r="C21" s="40">
        <f t="shared" si="0"/>
        <v>5.8648648648648646E-2</v>
      </c>
      <c r="D21" s="28">
        <f t="shared" si="1"/>
        <v>0.91459173567223273</v>
      </c>
      <c r="E21" s="28">
        <f t="shared" si="2"/>
        <v>0.70972604122308858</v>
      </c>
      <c r="F21" s="28">
        <v>0.118287673537181</v>
      </c>
      <c r="G21" s="28">
        <v>5.9143836768590703E-2</v>
      </c>
      <c r="H21" s="28">
        <v>4.4357877576443001E-2</v>
      </c>
      <c r="I21" s="28"/>
    </row>
    <row r="22" spans="1:14" x14ac:dyDescent="0.25">
      <c r="A22" s="26">
        <v>131.5</v>
      </c>
      <c r="B22" s="27">
        <v>2244</v>
      </c>
      <c r="C22" s="40">
        <f t="shared" si="0"/>
        <v>0.30324324324324325</v>
      </c>
      <c r="D22" s="28">
        <f t="shared" si="1"/>
        <v>0.84506698368043542</v>
      </c>
      <c r="E22" s="28">
        <f t="shared" si="2"/>
        <v>0.83131002410786869</v>
      </c>
      <c r="F22" s="28">
        <v>0.103913753013484</v>
      </c>
      <c r="G22" s="28">
        <v>5.9379287436276303E-2</v>
      </c>
      <c r="H22" s="28">
        <v>4.3753159163572003E-2</v>
      </c>
      <c r="I22" s="28"/>
    </row>
    <row r="23" spans="1:14" ht="13" thickBot="1" x14ac:dyDescent="0.3">
      <c r="A23" s="30">
        <v>152.6</v>
      </c>
      <c r="B23" s="31">
        <v>389</v>
      </c>
      <c r="C23" s="41">
        <f t="shared" si="0"/>
        <v>5.2567567567567565E-2</v>
      </c>
      <c r="D23" s="29">
        <f t="shared" si="1"/>
        <v>0.79306335021112129</v>
      </c>
      <c r="E23" s="29">
        <f t="shared" si="2"/>
        <v>0.94390769256820062</v>
      </c>
      <c r="F23" s="29">
        <v>0.10487863250757801</v>
      </c>
      <c r="G23" s="29">
        <v>5.8994230785512497E-2</v>
      </c>
      <c r="H23" s="29">
        <v>4.7195384628409998E-2</v>
      </c>
      <c r="I23" s="29"/>
    </row>
    <row r="24" spans="1:14" ht="13.5" thickTop="1" thickBot="1" x14ac:dyDescent="0.3"/>
    <row r="25" spans="1:14" ht="14" thickTop="1" thickBot="1" x14ac:dyDescent="0.35">
      <c r="D25" s="45" t="s">
        <v>19</v>
      </c>
      <c r="E25" s="46"/>
      <c r="F25" s="47">
        <f t="shared" ref="F25:I25" si="3">AVERAGE(F16:F23)</f>
        <v>0.11495324525728262</v>
      </c>
      <c r="G25" s="47">
        <f t="shared" si="3"/>
        <v>5.9223788311298584E-2</v>
      </c>
      <c r="H25" s="47">
        <f t="shared" si="3"/>
        <v>4.6379177933216081E-2</v>
      </c>
      <c r="I25" s="47">
        <f t="shared" si="3"/>
        <v>4.550338336556662E-2</v>
      </c>
    </row>
    <row r="26" spans="1:14" ht="14" thickTop="1" thickBot="1" x14ac:dyDescent="0.35">
      <c r="D26" s="42" t="s">
        <v>20</v>
      </c>
      <c r="E26" s="43"/>
      <c r="F26" s="44">
        <f t="shared" ref="F26:I26" si="4">STDEV(F16:F23)/F25</f>
        <v>5.6804857286836305E-2</v>
      </c>
      <c r="G26" s="44">
        <f t="shared" si="4"/>
        <v>3.3761937580028076E-3</v>
      </c>
      <c r="H26" s="44">
        <f t="shared" si="4"/>
        <v>0.13002807612857625</v>
      </c>
      <c r="I26" s="44">
        <f t="shared" si="4"/>
        <v>0.45358072325965082</v>
      </c>
    </row>
    <row r="27" spans="1:14" ht="13" thickTop="1" x14ac:dyDescent="0.25"/>
    <row r="28" spans="1:14" ht="13" thickBot="1" x14ac:dyDescent="0.3"/>
    <row r="29" spans="1:14" ht="14" thickTop="1" thickBot="1" x14ac:dyDescent="0.35">
      <c r="A29" s="51"/>
      <c r="B29" s="51"/>
      <c r="D29" s="53" t="s">
        <v>21</v>
      </c>
      <c r="E29" s="57"/>
      <c r="F29" s="48" t="s">
        <v>22</v>
      </c>
      <c r="G29" s="49"/>
    </row>
    <row r="30" spans="1:14" s="51" customFormat="1" ht="14" thickTop="1" thickBot="1" x14ac:dyDescent="0.35">
      <c r="C30"/>
      <c r="D30" s="54" t="s">
        <v>23</v>
      </c>
      <c r="E30" s="58"/>
      <c r="F30" s="59">
        <v>3.1660994029498899</v>
      </c>
      <c r="G30" s="50"/>
      <c r="H30"/>
      <c r="I30"/>
      <c r="J30"/>
      <c r="K30"/>
      <c r="L30"/>
      <c r="M30"/>
      <c r="N30"/>
    </row>
    <row r="31" spans="1:14" ht="13" thickTop="1" x14ac:dyDescent="0.25"/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Identif.Identif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" name="Button 75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2.5" x14ac:dyDescent="0.25"/>
  <cols>
    <col min="1" max="256" width="10.90625" customWidth="1"/>
  </cols>
  <sheetData>
    <row r="1" spans="1:4" ht="15.5" thickTop="1" x14ac:dyDescent="0.3">
      <c r="A1" s="19" t="s">
        <v>24</v>
      </c>
      <c r="B1" s="19" t="s">
        <v>24</v>
      </c>
      <c r="C1" s="19" t="s">
        <v>24</v>
      </c>
      <c r="D1" s="17" t="s">
        <v>24</v>
      </c>
    </row>
    <row r="2" spans="1:4" ht="13" x14ac:dyDescent="0.3">
      <c r="A2" s="32" t="s">
        <v>15</v>
      </c>
      <c r="B2" s="32" t="s">
        <v>16</v>
      </c>
      <c r="C2" s="32" t="s">
        <v>25</v>
      </c>
      <c r="D2" s="33" t="s">
        <v>18</v>
      </c>
    </row>
    <row r="3" spans="1:4" ht="13" thickBot="1" x14ac:dyDescent="0.3">
      <c r="A3" s="34">
        <v>17</v>
      </c>
      <c r="B3" s="35">
        <v>10</v>
      </c>
      <c r="C3" s="35">
        <v>8</v>
      </c>
      <c r="D3" s="35">
        <v>5</v>
      </c>
    </row>
    <row r="4" spans="1:4" ht="13.5" thickTop="1" x14ac:dyDescent="0.3">
      <c r="A4" s="22">
        <v>1</v>
      </c>
      <c r="B4" s="22">
        <v>2</v>
      </c>
      <c r="C4" s="22">
        <v>3</v>
      </c>
      <c r="D4" s="23">
        <v>5</v>
      </c>
    </row>
    <row r="5" spans="1:4" ht="13" x14ac:dyDescent="0.3">
      <c r="A5" s="22">
        <v>2</v>
      </c>
      <c r="B5" s="24">
        <v>4</v>
      </c>
      <c r="C5" s="22">
        <v>4</v>
      </c>
      <c r="D5" s="23">
        <v>3</v>
      </c>
    </row>
    <row r="6" spans="1:4" ht="13" x14ac:dyDescent="0.3">
      <c r="A6" s="22">
        <v>3</v>
      </c>
      <c r="B6" s="22">
        <v>6</v>
      </c>
      <c r="C6" s="22">
        <v>8</v>
      </c>
      <c r="D6" s="23">
        <v>8</v>
      </c>
    </row>
    <row r="7" spans="1:4" ht="13" x14ac:dyDescent="0.3">
      <c r="A7" s="22">
        <v>4</v>
      </c>
      <c r="B7" s="22">
        <v>8</v>
      </c>
      <c r="C7" s="22">
        <v>11</v>
      </c>
      <c r="D7" s="23">
        <v>11</v>
      </c>
    </row>
    <row r="8" spans="1:4" ht="13" x14ac:dyDescent="0.3">
      <c r="A8" s="22">
        <v>5</v>
      </c>
      <c r="B8" s="22">
        <v>10</v>
      </c>
      <c r="C8" s="22">
        <v>12</v>
      </c>
      <c r="D8" s="23">
        <v>16</v>
      </c>
    </row>
    <row r="9" spans="1:4" ht="13" x14ac:dyDescent="0.3">
      <c r="A9" s="22">
        <v>6</v>
      </c>
      <c r="B9" s="22">
        <v>12</v>
      </c>
      <c r="C9" s="22">
        <v>16</v>
      </c>
      <c r="D9" s="23">
        <v>19</v>
      </c>
    </row>
    <row r="10" spans="1:4" ht="13" x14ac:dyDescent="0.3">
      <c r="A10" s="22">
        <v>8</v>
      </c>
      <c r="B10" s="22">
        <v>14</v>
      </c>
      <c r="C10" s="22">
        <v>19</v>
      </c>
      <c r="D10" s="23"/>
    </row>
    <row r="11" spans="1:4" ht="13" x14ac:dyDescent="0.3">
      <c r="A11" s="22">
        <v>9</v>
      </c>
      <c r="B11" s="22">
        <v>16</v>
      </c>
      <c r="C11" s="22">
        <v>20</v>
      </c>
      <c r="D11" s="23"/>
    </row>
    <row r="12" spans="1:4" ht="13" x14ac:dyDescent="0.3">
      <c r="A12" s="22">
        <v>10</v>
      </c>
      <c r="B12" s="22">
        <v>18</v>
      </c>
      <c r="C12" s="22"/>
      <c r="D12" s="23"/>
    </row>
    <row r="13" spans="1:4" ht="13" x14ac:dyDescent="0.3">
      <c r="A13" s="22">
        <v>11</v>
      </c>
      <c r="B13" s="22">
        <v>20</v>
      </c>
      <c r="C13" s="22"/>
      <c r="D13" s="23"/>
    </row>
    <row r="14" spans="1:4" ht="13" x14ac:dyDescent="0.3">
      <c r="A14" s="22">
        <v>12</v>
      </c>
      <c r="B14" s="22"/>
      <c r="C14" s="22"/>
      <c r="D14" s="23"/>
    </row>
    <row r="15" spans="1:4" ht="13" x14ac:dyDescent="0.3">
      <c r="A15" s="22">
        <v>14</v>
      </c>
      <c r="B15" s="22"/>
      <c r="C15" s="22"/>
      <c r="D15" s="23"/>
    </row>
    <row r="16" spans="1:4" ht="13" x14ac:dyDescent="0.3">
      <c r="A16" s="22">
        <v>16</v>
      </c>
      <c r="B16" s="22"/>
      <c r="C16" s="22"/>
      <c r="D16" s="23"/>
    </row>
    <row r="17" spans="1:4" ht="13" x14ac:dyDescent="0.3">
      <c r="A17" s="22">
        <v>17</v>
      </c>
      <c r="B17" s="22"/>
      <c r="C17" s="22"/>
      <c r="D17" s="23"/>
    </row>
    <row r="18" spans="1:4" ht="13" x14ac:dyDescent="0.3">
      <c r="A18" s="22">
        <v>18</v>
      </c>
      <c r="B18" s="22"/>
      <c r="C18" s="22"/>
      <c r="D18" s="23"/>
    </row>
    <row r="19" spans="1:4" ht="13" x14ac:dyDescent="0.3">
      <c r="A19" s="22">
        <v>19</v>
      </c>
      <c r="B19" s="22"/>
      <c r="C19" s="22"/>
      <c r="D19" s="23"/>
    </row>
    <row r="20" spans="1:4" ht="13.5" thickBot="1" x14ac:dyDescent="0.35">
      <c r="A20" s="20">
        <v>20</v>
      </c>
      <c r="B20" s="20"/>
      <c r="C20" s="20"/>
      <c r="D20" s="21"/>
    </row>
    <row r="21" spans="1:4" ht="13" thickTop="1" x14ac:dyDescent="0.25"/>
  </sheetData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Diffraction</vt:lpstr>
      <vt:lpstr>table_hkl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1997-01-11T19:28:43Z</cp:lastPrinted>
  <dcterms:created xsi:type="dcterms:W3CDTF">1996-12-23T23:13:19Z</dcterms:created>
  <dcterms:modified xsi:type="dcterms:W3CDTF">2020-01-27T11:28:50Z</dcterms:modified>
</cp:coreProperties>
</file>