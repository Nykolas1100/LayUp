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3F5A9B-645D-4FB9-B30B-C3565B3564A0}" xr6:coauthVersionLast="45" xr6:coauthVersionMax="45" xr10:uidLastSave="{00000000-0000-0000-0000-000000000000}"/>
  <bookViews>
    <workbookView xWindow="2280" yWindow="2280" windowWidth="28800" windowHeight="15460"/>
  </bookViews>
  <sheets>
    <sheet name="Jerry" sheetId="1" r:id="rId1"/>
  </sheets>
  <externalReferences>
    <externalReference r:id="rId2"/>
  </externalReferences>
  <definedNames>
    <definedName name="_xlnm.Print_Area" localSheetId="0">Jerry!$A$1:$H$496</definedName>
  </definedNames>
  <calcPr calcId="0" calcMode="manual" calcCompleted="0" calcOnSave="0"/>
</workbook>
</file>

<file path=xl/calcChain.xml><?xml version="1.0" encoding="utf-8"?>
<calcChain xmlns="http://schemas.openxmlformats.org/spreadsheetml/2006/main">
  <c r="C5" i="1" l="1"/>
  <c r="F5" i="1"/>
  <c r="C6" i="1"/>
  <c r="F6" i="1"/>
  <c r="C7" i="1"/>
  <c r="F7" i="1"/>
  <c r="C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5" i="1"/>
  <c r="F15" i="1"/>
  <c r="C16" i="1"/>
  <c r="D16" i="1"/>
  <c r="E16" i="1"/>
  <c r="F16" i="1"/>
  <c r="C18" i="1"/>
  <c r="F18" i="1"/>
  <c r="C19" i="1"/>
  <c r="D19" i="1"/>
  <c r="E19" i="1"/>
  <c r="F19" i="1"/>
  <c r="C21" i="1"/>
  <c r="D21" i="1"/>
  <c r="E21" i="1"/>
  <c r="F21" i="1"/>
  <c r="C22" i="1"/>
  <c r="D22" i="1"/>
  <c r="E22" i="1"/>
  <c r="F22" i="1"/>
  <c r="C24" i="1"/>
  <c r="F24" i="1"/>
  <c r="C25" i="1"/>
  <c r="D25" i="1"/>
  <c r="E25" i="1"/>
  <c r="F25" i="1"/>
  <c r="C27" i="1"/>
  <c r="D27" i="1"/>
  <c r="E27" i="1"/>
  <c r="F27" i="1"/>
  <c r="C28" i="1"/>
  <c r="D28" i="1"/>
  <c r="E28" i="1"/>
  <c r="F28" i="1"/>
  <c r="C30" i="1"/>
  <c r="D30" i="1"/>
  <c r="E30" i="1"/>
  <c r="F30" i="1"/>
  <c r="C31" i="1"/>
  <c r="D31" i="1"/>
  <c r="E31" i="1"/>
  <c r="F31" i="1"/>
  <c r="C33" i="1"/>
  <c r="F33" i="1"/>
  <c r="C34" i="1"/>
  <c r="D34" i="1"/>
  <c r="E34" i="1"/>
  <c r="F34" i="1"/>
  <c r="C36" i="1"/>
  <c r="D36" i="1"/>
  <c r="E36" i="1"/>
  <c r="F36" i="1"/>
  <c r="C37" i="1"/>
  <c r="D37" i="1"/>
  <c r="E37" i="1"/>
  <c r="F37" i="1"/>
  <c r="C38" i="1"/>
  <c r="D38" i="1"/>
  <c r="E38" i="1"/>
  <c r="F38" i="1"/>
  <c r="C40" i="1"/>
  <c r="D40" i="1"/>
  <c r="E40" i="1"/>
  <c r="F40" i="1"/>
  <c r="C41" i="1"/>
  <c r="D41" i="1"/>
  <c r="E41" i="1"/>
  <c r="F41" i="1"/>
  <c r="C43" i="1"/>
  <c r="D43" i="1"/>
  <c r="E43" i="1"/>
  <c r="F43" i="1"/>
  <c r="C44" i="1"/>
  <c r="D44" i="1"/>
  <c r="E44" i="1"/>
  <c r="F44" i="1"/>
  <c r="C46" i="1"/>
  <c r="D46" i="1"/>
  <c r="E46" i="1"/>
  <c r="F46" i="1"/>
  <c r="C47" i="1"/>
  <c r="D47" i="1"/>
  <c r="E47" i="1"/>
  <c r="F47" i="1"/>
  <c r="C49" i="1"/>
  <c r="D49" i="1"/>
  <c r="E49" i="1"/>
  <c r="F49" i="1"/>
  <c r="C50" i="1"/>
  <c r="D50" i="1"/>
  <c r="E50" i="1"/>
  <c r="F50" i="1"/>
  <c r="C52" i="1"/>
  <c r="D52" i="1"/>
  <c r="E52" i="1"/>
  <c r="F52" i="1"/>
  <c r="C53" i="1"/>
  <c r="D53" i="1"/>
  <c r="E53" i="1"/>
  <c r="F53" i="1"/>
  <c r="C55" i="1"/>
  <c r="D55" i="1"/>
  <c r="E55" i="1"/>
  <c r="F55" i="1"/>
  <c r="C56" i="1"/>
  <c r="D56" i="1"/>
  <c r="E56" i="1"/>
  <c r="F56" i="1"/>
  <c r="C58" i="1"/>
  <c r="D58" i="1"/>
  <c r="E58" i="1"/>
  <c r="F58" i="1"/>
  <c r="C59" i="1"/>
  <c r="D59" i="1"/>
  <c r="E59" i="1"/>
  <c r="F59" i="1"/>
  <c r="C61" i="1"/>
  <c r="D61" i="1"/>
  <c r="E61" i="1"/>
  <c r="F61" i="1"/>
  <c r="C62" i="1"/>
  <c r="D62" i="1"/>
  <c r="E62" i="1"/>
  <c r="F62" i="1"/>
  <c r="C67" i="1"/>
  <c r="D67" i="1"/>
  <c r="E67" i="1"/>
  <c r="F67" i="1"/>
  <c r="C68" i="1"/>
  <c r="D68" i="1"/>
  <c r="E68" i="1"/>
  <c r="F68" i="1"/>
  <c r="C70" i="1"/>
  <c r="D70" i="1"/>
  <c r="E70" i="1"/>
  <c r="F70" i="1"/>
  <c r="C71" i="1"/>
  <c r="D71" i="1"/>
  <c r="E71" i="1"/>
  <c r="F71" i="1"/>
  <c r="C73" i="1"/>
  <c r="D73" i="1"/>
  <c r="E73" i="1"/>
  <c r="F73" i="1"/>
  <c r="C74" i="1"/>
  <c r="D74" i="1"/>
  <c r="E74" i="1"/>
  <c r="F74" i="1"/>
  <c r="C76" i="1"/>
  <c r="D76" i="1"/>
  <c r="E76" i="1"/>
  <c r="F76" i="1"/>
  <c r="C77" i="1"/>
  <c r="D77" i="1"/>
  <c r="E77" i="1"/>
  <c r="F77" i="1"/>
  <c r="C79" i="1"/>
  <c r="D79" i="1"/>
  <c r="E79" i="1"/>
  <c r="F79" i="1"/>
  <c r="C80" i="1"/>
  <c r="D80" i="1"/>
  <c r="E80" i="1"/>
  <c r="F80" i="1"/>
  <c r="C82" i="1"/>
  <c r="D82" i="1"/>
  <c r="E82" i="1"/>
  <c r="F82" i="1"/>
  <c r="C83" i="1"/>
  <c r="D83" i="1"/>
  <c r="E83" i="1"/>
  <c r="F83" i="1"/>
  <c r="C85" i="1"/>
  <c r="D85" i="1"/>
  <c r="E85" i="1"/>
  <c r="F85" i="1"/>
  <c r="C86" i="1"/>
  <c r="D86" i="1"/>
  <c r="E86" i="1"/>
  <c r="F86" i="1"/>
  <c r="C88" i="1"/>
  <c r="D88" i="1"/>
  <c r="E88" i="1"/>
  <c r="F88" i="1"/>
  <c r="C89" i="1"/>
  <c r="D89" i="1"/>
  <c r="E89" i="1"/>
  <c r="F89" i="1"/>
  <c r="C91" i="1"/>
  <c r="D91" i="1"/>
  <c r="E91" i="1"/>
  <c r="F91" i="1"/>
  <c r="C92" i="1"/>
  <c r="D92" i="1"/>
  <c r="E92" i="1"/>
  <c r="F92" i="1"/>
  <c r="C94" i="1"/>
  <c r="D94" i="1"/>
  <c r="E94" i="1"/>
  <c r="F94" i="1"/>
  <c r="C95" i="1"/>
  <c r="D95" i="1"/>
  <c r="E95" i="1"/>
  <c r="F95" i="1"/>
  <c r="D97" i="1"/>
  <c r="E97" i="1"/>
  <c r="F97" i="1"/>
  <c r="D98" i="1"/>
  <c r="E98" i="1"/>
  <c r="F98" i="1"/>
  <c r="C100" i="1"/>
  <c r="D100" i="1"/>
  <c r="E100" i="1"/>
  <c r="F100" i="1"/>
  <c r="C101" i="1"/>
  <c r="D101" i="1"/>
  <c r="E101" i="1"/>
  <c r="F101" i="1"/>
  <c r="C103" i="1"/>
  <c r="D103" i="1"/>
  <c r="E103" i="1"/>
  <c r="F103" i="1"/>
  <c r="C104" i="1"/>
  <c r="D104" i="1"/>
  <c r="E104" i="1"/>
  <c r="F104" i="1"/>
  <c r="C106" i="1"/>
  <c r="D106" i="1"/>
  <c r="E106" i="1"/>
  <c r="F106" i="1"/>
  <c r="C107" i="1"/>
  <c r="D107" i="1"/>
  <c r="E107" i="1"/>
  <c r="F107" i="1"/>
  <c r="C109" i="1"/>
  <c r="D109" i="1"/>
  <c r="E109" i="1"/>
  <c r="F109" i="1"/>
  <c r="C110" i="1"/>
  <c r="D110" i="1"/>
  <c r="E110" i="1"/>
  <c r="F110" i="1"/>
  <c r="C112" i="1"/>
  <c r="D112" i="1"/>
  <c r="E112" i="1"/>
  <c r="F112" i="1"/>
  <c r="C113" i="1"/>
  <c r="D113" i="1"/>
  <c r="E113" i="1"/>
  <c r="F113" i="1"/>
  <c r="C115" i="1"/>
  <c r="D115" i="1"/>
  <c r="E115" i="1"/>
  <c r="F115" i="1"/>
  <c r="C116" i="1"/>
  <c r="D116" i="1"/>
  <c r="E116" i="1"/>
  <c r="F116" i="1"/>
  <c r="C118" i="1"/>
  <c r="D118" i="1"/>
  <c r="E118" i="1"/>
  <c r="F118" i="1"/>
  <c r="C119" i="1"/>
  <c r="D119" i="1"/>
  <c r="E119" i="1"/>
  <c r="F119" i="1"/>
  <c r="C121" i="1"/>
  <c r="D121" i="1"/>
  <c r="E121" i="1"/>
  <c r="F121" i="1"/>
  <c r="C122" i="1"/>
  <c r="D122" i="1"/>
  <c r="E122" i="1"/>
  <c r="F122" i="1"/>
  <c r="C124" i="1"/>
  <c r="D124" i="1"/>
  <c r="E124" i="1"/>
  <c r="F124" i="1"/>
  <c r="C125" i="1"/>
  <c r="D125" i="1"/>
  <c r="E125" i="1"/>
  <c r="F125" i="1"/>
  <c r="C127" i="1"/>
  <c r="D127" i="1"/>
  <c r="E127" i="1"/>
  <c r="F127" i="1"/>
  <c r="C128" i="1"/>
  <c r="D128" i="1"/>
  <c r="E128" i="1"/>
  <c r="F128" i="1"/>
  <c r="C132" i="1"/>
  <c r="D132" i="1"/>
  <c r="E132" i="1"/>
  <c r="F132" i="1"/>
  <c r="C133" i="1"/>
  <c r="D133" i="1"/>
  <c r="E133" i="1"/>
  <c r="F133" i="1"/>
  <c r="C135" i="1"/>
  <c r="D135" i="1"/>
  <c r="E135" i="1"/>
  <c r="F135" i="1"/>
  <c r="C136" i="1"/>
  <c r="D136" i="1"/>
  <c r="E136" i="1"/>
  <c r="F136" i="1"/>
  <c r="C138" i="1"/>
  <c r="D138" i="1"/>
  <c r="E138" i="1"/>
  <c r="F138" i="1"/>
  <c r="C139" i="1"/>
  <c r="D139" i="1"/>
  <c r="E139" i="1"/>
  <c r="F139" i="1"/>
  <c r="C141" i="1"/>
  <c r="D141" i="1"/>
  <c r="E141" i="1"/>
  <c r="F141" i="1"/>
  <c r="C142" i="1"/>
  <c r="D142" i="1"/>
  <c r="E142" i="1"/>
  <c r="F142" i="1"/>
  <c r="D144" i="1"/>
  <c r="E144" i="1"/>
  <c r="F144" i="1"/>
  <c r="D145" i="1"/>
  <c r="E145" i="1"/>
  <c r="F145" i="1"/>
  <c r="C147" i="1"/>
  <c r="D147" i="1"/>
  <c r="E147" i="1"/>
  <c r="F147" i="1"/>
  <c r="C148" i="1"/>
  <c r="D148" i="1"/>
  <c r="E148" i="1"/>
  <c r="F148" i="1"/>
  <c r="C150" i="1"/>
  <c r="D150" i="1"/>
  <c r="E150" i="1"/>
  <c r="F150" i="1"/>
  <c r="C151" i="1"/>
  <c r="D151" i="1"/>
  <c r="E151" i="1"/>
  <c r="F151" i="1"/>
  <c r="C153" i="1"/>
  <c r="D153" i="1"/>
  <c r="E153" i="1"/>
  <c r="F153" i="1"/>
  <c r="C154" i="1"/>
  <c r="D154" i="1"/>
  <c r="E154" i="1"/>
  <c r="F154" i="1"/>
  <c r="C156" i="1"/>
  <c r="D156" i="1"/>
  <c r="E156" i="1"/>
  <c r="F156" i="1"/>
  <c r="C157" i="1"/>
  <c r="D157" i="1"/>
  <c r="E157" i="1"/>
  <c r="F157" i="1"/>
  <c r="C159" i="1"/>
  <c r="D159" i="1"/>
  <c r="E159" i="1"/>
  <c r="F159" i="1"/>
  <c r="C160" i="1"/>
  <c r="D160" i="1"/>
  <c r="E160" i="1"/>
  <c r="F160" i="1"/>
  <c r="C162" i="1"/>
  <c r="D162" i="1"/>
  <c r="E162" i="1"/>
  <c r="F162" i="1"/>
  <c r="C163" i="1"/>
  <c r="D163" i="1"/>
  <c r="E163" i="1"/>
  <c r="F163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9" i="1"/>
  <c r="D169" i="1"/>
  <c r="E169" i="1"/>
  <c r="F169" i="1"/>
  <c r="C170" i="1"/>
  <c r="D170" i="1"/>
  <c r="E170" i="1"/>
  <c r="F170" i="1"/>
  <c r="C172" i="1"/>
  <c r="D172" i="1"/>
  <c r="E172" i="1"/>
  <c r="F172" i="1"/>
  <c r="C173" i="1"/>
  <c r="D173" i="1"/>
  <c r="E173" i="1"/>
  <c r="F173" i="1"/>
  <c r="C175" i="1"/>
  <c r="D175" i="1"/>
  <c r="E175" i="1"/>
  <c r="F175" i="1"/>
  <c r="C176" i="1"/>
  <c r="D176" i="1"/>
  <c r="E176" i="1"/>
  <c r="F176" i="1"/>
  <c r="C178" i="1"/>
  <c r="D178" i="1"/>
  <c r="E178" i="1"/>
  <c r="F178" i="1"/>
  <c r="C179" i="1"/>
  <c r="D179" i="1"/>
  <c r="E179" i="1"/>
  <c r="F179" i="1"/>
  <c r="C181" i="1"/>
  <c r="D181" i="1"/>
  <c r="E181" i="1"/>
  <c r="F181" i="1"/>
  <c r="C182" i="1"/>
  <c r="D182" i="1"/>
  <c r="E182" i="1"/>
  <c r="F182" i="1"/>
  <c r="C184" i="1"/>
  <c r="D184" i="1"/>
  <c r="E184" i="1"/>
  <c r="F184" i="1"/>
  <c r="C185" i="1"/>
  <c r="D185" i="1"/>
  <c r="E185" i="1"/>
  <c r="F185" i="1"/>
  <c r="C187" i="1"/>
  <c r="D187" i="1"/>
  <c r="E187" i="1"/>
  <c r="F187" i="1"/>
  <c r="C188" i="1"/>
  <c r="D188" i="1"/>
  <c r="E188" i="1"/>
  <c r="F188" i="1"/>
  <c r="C190" i="1"/>
  <c r="D190" i="1"/>
  <c r="E190" i="1"/>
  <c r="F190" i="1"/>
  <c r="C191" i="1"/>
  <c r="D191" i="1"/>
  <c r="E191" i="1"/>
  <c r="F191" i="1"/>
  <c r="C193" i="1"/>
  <c r="D193" i="1"/>
  <c r="E193" i="1"/>
  <c r="F193" i="1"/>
  <c r="C194" i="1"/>
  <c r="D194" i="1"/>
  <c r="E194" i="1"/>
  <c r="F194" i="1"/>
  <c r="C197" i="1"/>
  <c r="D197" i="1"/>
  <c r="E197" i="1"/>
  <c r="F197" i="1"/>
  <c r="C198" i="1"/>
  <c r="D198" i="1"/>
  <c r="E198" i="1"/>
  <c r="F198" i="1"/>
  <c r="C200" i="1"/>
  <c r="D200" i="1"/>
  <c r="E200" i="1"/>
  <c r="F200" i="1"/>
  <c r="C201" i="1"/>
  <c r="D201" i="1"/>
  <c r="E201" i="1"/>
  <c r="F201" i="1"/>
  <c r="C203" i="1"/>
  <c r="D203" i="1"/>
  <c r="E203" i="1"/>
  <c r="F203" i="1"/>
  <c r="C204" i="1"/>
  <c r="D204" i="1"/>
  <c r="E204" i="1"/>
  <c r="F204" i="1"/>
  <c r="C206" i="1"/>
  <c r="D206" i="1"/>
  <c r="E206" i="1"/>
  <c r="F206" i="1"/>
  <c r="C207" i="1"/>
  <c r="D207" i="1"/>
  <c r="E207" i="1"/>
  <c r="F207" i="1"/>
  <c r="C209" i="1"/>
  <c r="D209" i="1"/>
  <c r="E209" i="1"/>
  <c r="F209" i="1"/>
  <c r="C210" i="1"/>
  <c r="D210" i="1"/>
  <c r="E210" i="1"/>
  <c r="F210" i="1"/>
  <c r="C212" i="1"/>
  <c r="D212" i="1"/>
  <c r="E212" i="1"/>
  <c r="F212" i="1"/>
  <c r="C213" i="1"/>
  <c r="D213" i="1"/>
  <c r="E213" i="1"/>
  <c r="F213" i="1"/>
  <c r="C215" i="1"/>
  <c r="D215" i="1"/>
  <c r="E215" i="1"/>
  <c r="F215" i="1"/>
  <c r="C216" i="1"/>
  <c r="D216" i="1"/>
  <c r="E216" i="1"/>
  <c r="F216" i="1"/>
  <c r="C218" i="1"/>
  <c r="D218" i="1"/>
  <c r="E218" i="1"/>
  <c r="F218" i="1"/>
  <c r="C219" i="1"/>
  <c r="D219" i="1"/>
  <c r="E219" i="1"/>
  <c r="F219" i="1"/>
  <c r="C221" i="1"/>
  <c r="D221" i="1"/>
  <c r="E221" i="1"/>
  <c r="F221" i="1"/>
  <c r="C222" i="1"/>
  <c r="D222" i="1"/>
  <c r="E222" i="1"/>
  <c r="F222" i="1"/>
  <c r="C224" i="1"/>
  <c r="D224" i="1"/>
  <c r="E224" i="1"/>
  <c r="F224" i="1"/>
  <c r="C225" i="1"/>
  <c r="D225" i="1"/>
  <c r="E225" i="1"/>
  <c r="F225" i="1"/>
  <c r="C227" i="1"/>
  <c r="D227" i="1"/>
  <c r="E227" i="1"/>
  <c r="F227" i="1"/>
  <c r="C228" i="1"/>
  <c r="D228" i="1"/>
  <c r="E228" i="1"/>
  <c r="F228" i="1"/>
  <c r="C230" i="1"/>
  <c r="D230" i="1"/>
  <c r="E230" i="1"/>
  <c r="F230" i="1"/>
  <c r="C231" i="1"/>
  <c r="D231" i="1"/>
  <c r="E231" i="1"/>
  <c r="F231" i="1"/>
  <c r="C233" i="1"/>
  <c r="D233" i="1"/>
  <c r="E233" i="1"/>
  <c r="F233" i="1"/>
  <c r="C234" i="1"/>
  <c r="D234" i="1"/>
  <c r="E234" i="1"/>
  <c r="F234" i="1"/>
  <c r="C236" i="1"/>
  <c r="D236" i="1"/>
  <c r="E236" i="1"/>
  <c r="F236" i="1"/>
  <c r="C237" i="1"/>
  <c r="D237" i="1"/>
  <c r="E237" i="1"/>
  <c r="F237" i="1"/>
  <c r="D239" i="1"/>
  <c r="E239" i="1"/>
  <c r="F239" i="1"/>
  <c r="D240" i="1"/>
  <c r="E240" i="1"/>
  <c r="F240" i="1"/>
  <c r="D242" i="1"/>
  <c r="E242" i="1"/>
  <c r="F242" i="1"/>
  <c r="D243" i="1"/>
  <c r="E243" i="1"/>
  <c r="F243" i="1"/>
  <c r="C245" i="1"/>
  <c r="D245" i="1"/>
  <c r="E245" i="1"/>
  <c r="F245" i="1"/>
  <c r="C246" i="1"/>
  <c r="D246" i="1"/>
  <c r="E246" i="1"/>
  <c r="F246" i="1"/>
  <c r="C248" i="1"/>
  <c r="D248" i="1"/>
  <c r="E248" i="1"/>
  <c r="F248" i="1"/>
  <c r="C249" i="1"/>
  <c r="D249" i="1"/>
  <c r="E249" i="1"/>
  <c r="F249" i="1"/>
  <c r="C251" i="1"/>
  <c r="D251" i="1"/>
  <c r="E251" i="1"/>
  <c r="F251" i="1"/>
  <c r="C252" i="1"/>
  <c r="D252" i="1"/>
  <c r="E252" i="1"/>
  <c r="F252" i="1"/>
  <c r="C254" i="1"/>
  <c r="D254" i="1"/>
  <c r="E254" i="1"/>
  <c r="F254" i="1"/>
  <c r="C255" i="1"/>
  <c r="D255" i="1"/>
  <c r="E255" i="1"/>
  <c r="F255" i="1"/>
  <c r="C257" i="1"/>
  <c r="D257" i="1"/>
  <c r="E257" i="1"/>
  <c r="F257" i="1"/>
  <c r="C258" i="1"/>
  <c r="D258" i="1"/>
  <c r="E258" i="1"/>
  <c r="F258" i="1"/>
  <c r="C262" i="1"/>
  <c r="D262" i="1"/>
  <c r="E262" i="1"/>
  <c r="F262" i="1"/>
  <c r="C263" i="1"/>
  <c r="D263" i="1"/>
  <c r="E263" i="1"/>
  <c r="F263" i="1"/>
  <c r="C265" i="1"/>
  <c r="D265" i="1"/>
  <c r="E265" i="1"/>
  <c r="F265" i="1"/>
  <c r="C266" i="1"/>
  <c r="D266" i="1"/>
  <c r="E266" i="1"/>
  <c r="F266" i="1"/>
  <c r="C268" i="1"/>
  <c r="D268" i="1"/>
  <c r="E268" i="1"/>
  <c r="F268" i="1"/>
  <c r="C269" i="1"/>
  <c r="D269" i="1"/>
  <c r="E269" i="1"/>
  <c r="F269" i="1"/>
  <c r="C271" i="1"/>
  <c r="D271" i="1"/>
  <c r="E271" i="1"/>
  <c r="F271" i="1"/>
  <c r="C272" i="1"/>
  <c r="D272" i="1"/>
  <c r="E272" i="1"/>
  <c r="F272" i="1"/>
  <c r="C273" i="1"/>
  <c r="D273" i="1"/>
  <c r="E273" i="1"/>
  <c r="F273" i="1"/>
  <c r="C274" i="1"/>
  <c r="D274" i="1"/>
  <c r="E274" i="1"/>
  <c r="F274" i="1"/>
  <c r="C275" i="1"/>
  <c r="D275" i="1"/>
  <c r="E275" i="1"/>
  <c r="F275" i="1"/>
  <c r="C277" i="1"/>
  <c r="D277" i="1"/>
  <c r="E277" i="1"/>
  <c r="F277" i="1"/>
  <c r="C278" i="1"/>
  <c r="D278" i="1"/>
  <c r="E278" i="1"/>
  <c r="F278" i="1"/>
  <c r="C280" i="1"/>
  <c r="D280" i="1"/>
  <c r="E280" i="1"/>
  <c r="F280" i="1"/>
  <c r="C281" i="1"/>
  <c r="D281" i="1"/>
  <c r="E281" i="1"/>
  <c r="F281" i="1"/>
  <c r="C283" i="1"/>
  <c r="D283" i="1"/>
  <c r="E283" i="1"/>
  <c r="F283" i="1"/>
  <c r="C284" i="1"/>
  <c r="D284" i="1"/>
  <c r="E284" i="1"/>
  <c r="F284" i="1"/>
  <c r="C286" i="1"/>
  <c r="D286" i="1"/>
  <c r="E286" i="1"/>
  <c r="F286" i="1"/>
  <c r="C287" i="1"/>
  <c r="D287" i="1"/>
  <c r="E287" i="1"/>
  <c r="F287" i="1"/>
  <c r="C289" i="1"/>
  <c r="D289" i="1"/>
  <c r="E289" i="1"/>
  <c r="F289" i="1"/>
  <c r="C290" i="1"/>
  <c r="D290" i="1"/>
  <c r="E290" i="1"/>
  <c r="F290" i="1"/>
  <c r="C291" i="1"/>
  <c r="D291" i="1"/>
  <c r="E291" i="1"/>
  <c r="F291" i="1"/>
  <c r="C292" i="1"/>
  <c r="D292" i="1"/>
  <c r="E292" i="1"/>
  <c r="F292" i="1"/>
  <c r="C293" i="1"/>
  <c r="D293" i="1"/>
  <c r="E293" i="1"/>
  <c r="F293" i="1"/>
  <c r="C295" i="1"/>
  <c r="D295" i="1"/>
  <c r="E295" i="1"/>
  <c r="F295" i="1"/>
  <c r="C296" i="1"/>
  <c r="D296" i="1"/>
  <c r="E296" i="1"/>
  <c r="F296" i="1"/>
  <c r="C298" i="1"/>
  <c r="D298" i="1"/>
  <c r="E298" i="1"/>
  <c r="F298" i="1"/>
  <c r="C299" i="1"/>
  <c r="D299" i="1"/>
  <c r="E299" i="1"/>
  <c r="F299" i="1"/>
  <c r="C301" i="1"/>
  <c r="D301" i="1"/>
  <c r="E301" i="1"/>
  <c r="F301" i="1"/>
  <c r="C302" i="1"/>
  <c r="D302" i="1"/>
  <c r="E302" i="1"/>
  <c r="F302" i="1"/>
  <c r="C304" i="1"/>
  <c r="D304" i="1"/>
  <c r="E304" i="1"/>
  <c r="F304" i="1"/>
  <c r="C305" i="1"/>
  <c r="D305" i="1"/>
  <c r="E305" i="1"/>
  <c r="F305" i="1"/>
  <c r="C307" i="1"/>
  <c r="D307" i="1"/>
  <c r="E307" i="1"/>
  <c r="F307" i="1"/>
  <c r="C308" i="1"/>
  <c r="D308" i="1"/>
  <c r="E308" i="1"/>
  <c r="F308" i="1"/>
  <c r="C309" i="1"/>
  <c r="D309" i="1"/>
  <c r="E309" i="1"/>
  <c r="F309" i="1"/>
  <c r="C311" i="1"/>
  <c r="D311" i="1"/>
  <c r="E311" i="1"/>
  <c r="F311" i="1"/>
  <c r="C312" i="1"/>
  <c r="D312" i="1"/>
  <c r="E312" i="1"/>
  <c r="F312" i="1"/>
  <c r="C314" i="1"/>
  <c r="D314" i="1"/>
  <c r="E314" i="1"/>
  <c r="F314" i="1"/>
  <c r="C315" i="1"/>
  <c r="D315" i="1"/>
  <c r="E315" i="1"/>
  <c r="F315" i="1"/>
  <c r="C316" i="1"/>
  <c r="D316" i="1"/>
  <c r="E316" i="1"/>
  <c r="F316" i="1"/>
  <c r="C318" i="1"/>
  <c r="D318" i="1"/>
  <c r="E318" i="1"/>
  <c r="F318" i="1"/>
  <c r="C319" i="1"/>
  <c r="D319" i="1"/>
  <c r="E319" i="1"/>
  <c r="F319" i="1"/>
  <c r="C321" i="1"/>
  <c r="D321" i="1"/>
  <c r="E321" i="1"/>
  <c r="F321" i="1"/>
  <c r="C322" i="1"/>
  <c r="D322" i="1"/>
  <c r="E322" i="1"/>
  <c r="F322" i="1"/>
  <c r="C327" i="1"/>
  <c r="D327" i="1"/>
  <c r="E327" i="1"/>
  <c r="F327" i="1"/>
  <c r="C328" i="1"/>
  <c r="D328" i="1"/>
  <c r="E328" i="1"/>
  <c r="F328" i="1"/>
  <c r="D330" i="1"/>
  <c r="E330" i="1"/>
  <c r="F330" i="1"/>
  <c r="D331" i="1"/>
  <c r="E331" i="1"/>
  <c r="F331" i="1"/>
  <c r="C333" i="1"/>
  <c r="D333" i="1"/>
  <c r="E333" i="1"/>
  <c r="F333" i="1"/>
  <c r="C334" i="1"/>
  <c r="D334" i="1"/>
  <c r="E334" i="1"/>
  <c r="F334" i="1"/>
  <c r="C336" i="1"/>
  <c r="D336" i="1"/>
  <c r="E336" i="1"/>
  <c r="F336" i="1"/>
  <c r="C337" i="1"/>
  <c r="D337" i="1"/>
  <c r="E337" i="1"/>
  <c r="F337" i="1"/>
  <c r="C339" i="1"/>
  <c r="D339" i="1"/>
  <c r="E339" i="1"/>
  <c r="F339" i="1"/>
  <c r="C340" i="1"/>
  <c r="D340" i="1"/>
  <c r="E340" i="1"/>
  <c r="F340" i="1"/>
  <c r="C342" i="1"/>
  <c r="D342" i="1"/>
  <c r="E342" i="1"/>
  <c r="F342" i="1"/>
  <c r="C343" i="1"/>
  <c r="D343" i="1"/>
  <c r="E343" i="1"/>
  <c r="F343" i="1"/>
  <c r="C345" i="1"/>
  <c r="D345" i="1"/>
  <c r="E345" i="1"/>
  <c r="F345" i="1"/>
  <c r="C346" i="1"/>
  <c r="D346" i="1"/>
  <c r="E346" i="1"/>
  <c r="F346" i="1"/>
  <c r="C348" i="1"/>
  <c r="D348" i="1"/>
  <c r="E348" i="1"/>
  <c r="F348" i="1"/>
  <c r="C349" i="1"/>
  <c r="D349" i="1"/>
  <c r="E349" i="1"/>
  <c r="F349" i="1"/>
  <c r="C351" i="1"/>
  <c r="D351" i="1"/>
  <c r="E351" i="1"/>
  <c r="F351" i="1"/>
  <c r="C352" i="1"/>
  <c r="D352" i="1"/>
  <c r="E352" i="1"/>
  <c r="F352" i="1"/>
  <c r="C354" i="1"/>
  <c r="D354" i="1"/>
  <c r="E354" i="1"/>
  <c r="F354" i="1"/>
  <c r="C355" i="1"/>
  <c r="D355" i="1"/>
  <c r="E355" i="1"/>
  <c r="F355" i="1"/>
  <c r="C357" i="1"/>
  <c r="D357" i="1"/>
  <c r="E357" i="1"/>
  <c r="F357" i="1"/>
  <c r="C358" i="1"/>
  <c r="D358" i="1"/>
  <c r="E358" i="1"/>
  <c r="F358" i="1"/>
  <c r="C359" i="1"/>
  <c r="D359" i="1"/>
  <c r="E359" i="1"/>
  <c r="F359" i="1"/>
  <c r="C361" i="1"/>
  <c r="D361" i="1"/>
  <c r="E361" i="1"/>
  <c r="F361" i="1"/>
  <c r="C362" i="1"/>
  <c r="D362" i="1"/>
  <c r="E362" i="1"/>
  <c r="F362" i="1"/>
  <c r="C363" i="1"/>
  <c r="D363" i="1"/>
  <c r="E363" i="1"/>
  <c r="F363" i="1"/>
  <c r="C365" i="1"/>
  <c r="D365" i="1"/>
  <c r="E365" i="1"/>
  <c r="F365" i="1"/>
  <c r="C366" i="1"/>
  <c r="D366" i="1"/>
  <c r="E366" i="1"/>
  <c r="F366" i="1"/>
  <c r="C368" i="1"/>
  <c r="D368" i="1"/>
  <c r="E368" i="1"/>
  <c r="F368" i="1"/>
  <c r="C369" i="1"/>
  <c r="D369" i="1"/>
  <c r="E369" i="1"/>
  <c r="F369" i="1"/>
  <c r="C371" i="1"/>
  <c r="D371" i="1"/>
  <c r="E371" i="1"/>
  <c r="F371" i="1"/>
  <c r="C372" i="1"/>
  <c r="D372" i="1"/>
  <c r="E372" i="1"/>
  <c r="F372" i="1"/>
  <c r="C374" i="1"/>
  <c r="D374" i="1"/>
  <c r="E374" i="1"/>
  <c r="F374" i="1"/>
  <c r="C375" i="1"/>
  <c r="D375" i="1"/>
  <c r="E375" i="1"/>
  <c r="F375" i="1"/>
  <c r="D377" i="1"/>
  <c r="E377" i="1"/>
  <c r="F377" i="1"/>
  <c r="D378" i="1"/>
  <c r="E378" i="1"/>
  <c r="F378" i="1"/>
  <c r="C380" i="1"/>
  <c r="D380" i="1"/>
  <c r="E380" i="1"/>
  <c r="F380" i="1"/>
  <c r="C381" i="1"/>
  <c r="D381" i="1"/>
  <c r="E381" i="1"/>
  <c r="F381" i="1"/>
  <c r="C382" i="1"/>
  <c r="D382" i="1"/>
  <c r="E382" i="1"/>
  <c r="F382" i="1"/>
  <c r="C384" i="1"/>
  <c r="D384" i="1"/>
  <c r="E384" i="1"/>
  <c r="F384" i="1"/>
  <c r="C385" i="1"/>
  <c r="D385" i="1"/>
  <c r="E385" i="1"/>
  <c r="F385" i="1"/>
  <c r="C387" i="1"/>
  <c r="D387" i="1"/>
  <c r="E387" i="1"/>
  <c r="F387" i="1"/>
  <c r="C388" i="1"/>
  <c r="D388" i="1"/>
  <c r="E388" i="1"/>
  <c r="F388" i="1"/>
  <c r="C392" i="1"/>
  <c r="D392" i="1"/>
  <c r="E392" i="1"/>
  <c r="F392" i="1"/>
  <c r="C393" i="1"/>
  <c r="D393" i="1"/>
  <c r="E393" i="1"/>
  <c r="F393" i="1"/>
  <c r="C395" i="1"/>
  <c r="D395" i="1"/>
  <c r="E395" i="1"/>
  <c r="F395" i="1"/>
  <c r="C396" i="1"/>
  <c r="D396" i="1"/>
  <c r="E396" i="1"/>
  <c r="F396" i="1"/>
  <c r="C398" i="1"/>
  <c r="D398" i="1"/>
  <c r="E398" i="1"/>
  <c r="F398" i="1"/>
  <c r="C399" i="1"/>
  <c r="D399" i="1"/>
  <c r="E399" i="1"/>
  <c r="F399" i="1"/>
  <c r="C401" i="1"/>
  <c r="D401" i="1"/>
  <c r="E401" i="1"/>
  <c r="F401" i="1"/>
  <c r="C402" i="1"/>
  <c r="D402" i="1"/>
  <c r="E402" i="1"/>
  <c r="F402" i="1"/>
  <c r="C404" i="1"/>
  <c r="D404" i="1"/>
  <c r="E404" i="1"/>
  <c r="F404" i="1"/>
  <c r="C405" i="1"/>
  <c r="D405" i="1"/>
  <c r="E405" i="1"/>
  <c r="F405" i="1"/>
  <c r="C407" i="1"/>
  <c r="D407" i="1"/>
  <c r="E407" i="1"/>
  <c r="F407" i="1"/>
  <c r="C408" i="1"/>
  <c r="D408" i="1"/>
  <c r="E408" i="1"/>
  <c r="F408" i="1"/>
  <c r="C410" i="1"/>
  <c r="D410" i="1"/>
  <c r="E410" i="1"/>
  <c r="F410" i="1"/>
  <c r="C411" i="1"/>
  <c r="D411" i="1"/>
  <c r="E411" i="1"/>
  <c r="F411" i="1"/>
  <c r="C413" i="1"/>
  <c r="D413" i="1"/>
  <c r="E413" i="1"/>
  <c r="F413" i="1"/>
  <c r="C414" i="1"/>
  <c r="D414" i="1"/>
  <c r="E414" i="1"/>
  <c r="F414" i="1"/>
  <c r="C416" i="1"/>
  <c r="D416" i="1"/>
  <c r="E416" i="1"/>
  <c r="F416" i="1"/>
  <c r="C417" i="1"/>
  <c r="D417" i="1"/>
  <c r="E417" i="1"/>
  <c r="F417" i="1"/>
  <c r="D419" i="1"/>
  <c r="E419" i="1"/>
  <c r="F419" i="1"/>
  <c r="D420" i="1"/>
  <c r="E420" i="1"/>
  <c r="F420" i="1"/>
  <c r="G456" i="1"/>
  <c r="C458" i="1"/>
  <c r="D458" i="1"/>
  <c r="E458" i="1"/>
  <c r="F458" i="1"/>
  <c r="C459" i="1"/>
  <c r="D459" i="1"/>
  <c r="E459" i="1"/>
  <c r="F459" i="1"/>
  <c r="C460" i="1"/>
  <c r="D460" i="1"/>
  <c r="E460" i="1"/>
  <c r="F460" i="1"/>
  <c r="C461" i="1"/>
  <c r="D461" i="1"/>
  <c r="E461" i="1"/>
  <c r="F461" i="1"/>
  <c r="C469" i="1"/>
  <c r="F469" i="1"/>
  <c r="D471" i="1"/>
  <c r="E471" i="1"/>
  <c r="C472" i="1"/>
  <c r="D472" i="1"/>
  <c r="E472" i="1"/>
  <c r="D474" i="1"/>
  <c r="E474" i="1"/>
  <c r="C475" i="1"/>
  <c r="D475" i="1"/>
  <c r="E475" i="1"/>
  <c r="D477" i="1"/>
  <c r="E477" i="1"/>
  <c r="C478" i="1"/>
  <c r="D478" i="1"/>
  <c r="E478" i="1"/>
  <c r="D480" i="1"/>
  <c r="E480" i="1"/>
  <c r="C481" i="1"/>
  <c r="D481" i="1"/>
  <c r="E481" i="1"/>
  <c r="C482" i="1"/>
  <c r="D482" i="1"/>
  <c r="E482" i="1"/>
  <c r="D484" i="1"/>
  <c r="E484" i="1"/>
  <c r="C485" i="1"/>
  <c r="D485" i="1"/>
  <c r="E485" i="1"/>
  <c r="D487" i="1"/>
  <c r="E487" i="1"/>
  <c r="C488" i="1"/>
  <c r="D488" i="1"/>
  <c r="E488" i="1"/>
  <c r="D490" i="1"/>
  <c r="E490" i="1"/>
  <c r="C491" i="1"/>
  <c r="D491" i="1"/>
  <c r="E491" i="1"/>
  <c r="D493" i="1"/>
  <c r="E493" i="1"/>
  <c r="C494" i="1"/>
  <c r="D494" i="1"/>
  <c r="E494" i="1"/>
</calcChain>
</file>

<file path=xl/sharedStrings.xml><?xml version="1.0" encoding="utf-8"?>
<sst xmlns="http://schemas.openxmlformats.org/spreadsheetml/2006/main" count="180" uniqueCount="159">
  <si>
    <t>VOL.</t>
  </si>
  <si>
    <t>PREV.</t>
  </si>
  <si>
    <t>CONTRACT</t>
  </si>
  <si>
    <t>SPOT</t>
  </si>
  <si>
    <t>BID</t>
  </si>
  <si>
    <t>OFFER</t>
  </si>
  <si>
    <t>M-T-M</t>
  </si>
  <si>
    <t>CHANGES</t>
  </si>
  <si>
    <t>VOLS.</t>
  </si>
  <si>
    <t xml:space="preserve"> </t>
  </si>
  <si>
    <t>INTEREST ON INITIAL MARGIN AT:</t>
  </si>
  <si>
    <t>OVERNIGHT DEPOSIT RATE :</t>
  </si>
  <si>
    <t>ABIL (ABLQ)</t>
  </si>
  <si>
    <t>AMPLATS (AMSQ)</t>
  </si>
  <si>
    <t>ANGLO GOLD (ANGQ)</t>
  </si>
  <si>
    <t>ABSA GROUP (ASAQ)</t>
  </si>
  <si>
    <t xml:space="preserve">COMPAREX (CPXQ) </t>
  </si>
  <si>
    <t>DIDATA (DDTQ)</t>
  </si>
  <si>
    <t>EDGARS (ECOQ)</t>
  </si>
  <si>
    <t>FIRSTRAND (FSRQ)</t>
  </si>
  <si>
    <t>GFIELDS (GFIQ)</t>
  </si>
  <si>
    <t>IMPLATS (IMPQ)</t>
  </si>
  <si>
    <t>FOSCHINI (FOSQ)</t>
  </si>
  <si>
    <t>DATATEC (DTCQ)</t>
  </si>
  <si>
    <t>BIDVEST (BVTQ)</t>
  </si>
  <si>
    <t>BILLITON (BILQ)</t>
  </si>
  <si>
    <t>IMPERIAL (IPLQ)</t>
  </si>
  <si>
    <t>ISCOR (ISCQ)</t>
  </si>
  <si>
    <t>JD GROUP LTD (JDGQ)</t>
  </si>
  <si>
    <t>JOHNNIC (JNCQ)</t>
  </si>
  <si>
    <t>LIBERTY GROUP (LGLQ)</t>
  </si>
  <si>
    <t>METRO (MTCQ)</t>
  </si>
  <si>
    <t>NEDCOR (NEDQ)</t>
  </si>
  <si>
    <t>NAMPAK (NPKQ)</t>
  </si>
  <si>
    <t>NASPERS (NPNQ)</t>
  </si>
  <si>
    <t>OLD MUTUAL (OMLQ)</t>
  </si>
  <si>
    <t>RMB HOLDINGS (RMHQ)</t>
  </si>
  <si>
    <t>SAPPI (SAPQ)</t>
  </si>
  <si>
    <t>SANLAM (SLMQ)</t>
  </si>
  <si>
    <t>SASOL (SOLQ)</t>
  </si>
  <si>
    <t>TIGER BRANDS (TBSQ)</t>
  </si>
  <si>
    <t>TONGAAT (TNTQ)</t>
  </si>
  <si>
    <t>WOOLWORTHS (WHLQ)</t>
  </si>
  <si>
    <t>LIBERTY-INT (LBTQ)</t>
  </si>
  <si>
    <t xml:space="preserve">REMGRO (REMQ) </t>
  </si>
  <si>
    <t>BARWORLD (BAWQ)</t>
  </si>
  <si>
    <t>ELLERINE (ELHQ)</t>
  </si>
  <si>
    <t>DATE :</t>
  </si>
  <si>
    <t>VENFIN (VNFQ)</t>
  </si>
  <si>
    <t>PICK N PAY (PIKQ)</t>
  </si>
  <si>
    <t>NORTHAM (NHMQ)</t>
  </si>
  <si>
    <t>HARMONY (HARQ)</t>
  </si>
  <si>
    <t>DBN ROODEPT DEEP (DURQ)</t>
  </si>
  <si>
    <t>KUMBA RESOURCES (KMBQ)</t>
  </si>
  <si>
    <t>ALEXANDER FORBES (AFBQ)</t>
  </si>
  <si>
    <t>GENCOR LIMITED (GMFQ)</t>
  </si>
  <si>
    <t>JSE FINANCIAL DERIVATIVES CLOSING PRICES</t>
  </si>
  <si>
    <t>MASSMART (MSMQ)</t>
  </si>
  <si>
    <t>WOOLTRU (WLOQ)</t>
  </si>
  <si>
    <t>SANTAM LTD (SNTQ)</t>
  </si>
  <si>
    <t>3 MNTH JIBAR FUTURE (JBAR)</t>
  </si>
  <si>
    <t>JIBAR SPOT CLOSES</t>
  </si>
  <si>
    <t xml:space="preserve">1 MONTH </t>
  </si>
  <si>
    <t>YIELD</t>
  </si>
  <si>
    <t xml:space="preserve">3 MONTH </t>
  </si>
  <si>
    <t>DISCOUNT</t>
  </si>
  <si>
    <t xml:space="preserve">6 MONTH </t>
  </si>
  <si>
    <t xml:space="preserve">12 MONTH </t>
  </si>
  <si>
    <t>RSA 153 BOND (R153)</t>
  </si>
  <si>
    <t>RSA 157 BOND (R157)</t>
  </si>
  <si>
    <t>RSA 186 BOND (R186)</t>
  </si>
  <si>
    <t>GOVT.BOND INDEX (GOVI)</t>
  </si>
  <si>
    <t>RAND DOLLAR (RNDD)</t>
  </si>
  <si>
    <t>RSA 194 BOND (R194)</t>
  </si>
  <si>
    <t>FTSE/JSE TOP 40 INDEX (ALSI)</t>
  </si>
  <si>
    <t xml:space="preserve">FTSE/JSE INDI 25 INDEX (INDI) </t>
  </si>
  <si>
    <t>FTSE/JSE FINI 25 INDEX (FINI)</t>
  </si>
  <si>
    <t>FTSE/JSE RESI 20 INDEX (RESI)</t>
  </si>
  <si>
    <t>FTSE/JSE GOLD INDEX (GLDX)</t>
  </si>
  <si>
    <t>SAB MILLER (SABQ)</t>
  </si>
  <si>
    <t>INVESTEC PLC (INPQ)</t>
  </si>
  <si>
    <t>INVESTEC LIMITED (INLQ)</t>
  </si>
  <si>
    <t>FTSE/JSE FNDI 30 INDEX (FNDI)</t>
  </si>
  <si>
    <t>MESSINA LTD (MESQ)</t>
  </si>
  <si>
    <t>BARPLATS INV LTD (BPLQ)</t>
  </si>
  <si>
    <t>MVELA RES LTD (MVLQ)</t>
  </si>
  <si>
    <t>SHOPRITE HOLDINGS (SHPQ)</t>
  </si>
  <si>
    <t>WESTERN AREAS LTD (WARQ)</t>
  </si>
  <si>
    <t>REBSERV (RBVQ)</t>
  </si>
  <si>
    <t>MTN GROUP (MTNQ)</t>
  </si>
  <si>
    <t xml:space="preserve">STD BANK (SBKQ)  </t>
  </si>
  <si>
    <t>AFRIKANDER LEASE (AFLQ)</t>
  </si>
  <si>
    <t>KERSAF INVESTMENTS (KERQ)</t>
  </si>
  <si>
    <t>RANDGOLD EXP (RNGQ)</t>
  </si>
  <si>
    <t>ABI (ABIQ)</t>
  </si>
  <si>
    <t>AVENG LTD (AEGQ)</t>
  </si>
  <si>
    <t>NEW CLICKS (NCLQ)</t>
  </si>
  <si>
    <t>STEINHOFF INT (SHFQ)</t>
  </si>
  <si>
    <t>KRUGER RAND (KGRD)</t>
  </si>
  <si>
    <t>TELKOM (TKGQ)</t>
  </si>
  <si>
    <t>DELTA ELECTRICAL (DELQ)</t>
  </si>
  <si>
    <t>MR PRICEGROUP LTD (MPCQ)</t>
  </si>
  <si>
    <t>MURRAY &amp; ROBERTS (MURQ)</t>
  </si>
  <si>
    <t>TRUWORTHS INT (TRUQ)</t>
  </si>
  <si>
    <t>ALTECH (ALTQ)</t>
  </si>
  <si>
    <t>FTSE/JSE CAP TOP40 (CTOP)</t>
  </si>
  <si>
    <t>FTSE/JSE WEIGHT TOP40 (DTOP)</t>
  </si>
  <si>
    <t>OMNIA HOLDINGS LTD (OMNQ)</t>
  </si>
  <si>
    <t>NEDBANK LTD PREF (NBKQ)</t>
  </si>
  <si>
    <t>NETCARE HOLDINGS (NTCQ)</t>
  </si>
  <si>
    <t>JCI LIMITED (JCDQ)</t>
  </si>
  <si>
    <t>ASPEN PHARMACARE (APNQ)</t>
  </si>
  <si>
    <t>AVGOLD LIMITED (AVGQ)</t>
  </si>
  <si>
    <t>INVESTEC BANK PREF (IBKQ)</t>
  </si>
  <si>
    <t>ILLOVO SUGAR (ILVQ)</t>
  </si>
  <si>
    <t>UNITED SERVICES (USVQ)</t>
  </si>
  <si>
    <t>RSA 201 BOND (R201)</t>
  </si>
  <si>
    <t>CAPITAL ALLIANCE (CPTQ)</t>
  </si>
  <si>
    <t>AFRICAN OXYGEN LIMITED (AFXQ)</t>
  </si>
  <si>
    <t>LIBERTY HOLDINGS LTD (LBHQ)</t>
  </si>
  <si>
    <t>MUTUAL &amp; FEDERAL (MAFQ)</t>
  </si>
  <si>
    <t>SUN INTERNATIONAL SA (SISQ)</t>
  </si>
  <si>
    <t>ELECTRONIC MEDIA (MNSQ)</t>
  </si>
  <si>
    <t>BELL EQUIPMENT LTD (BELQ)</t>
  </si>
  <si>
    <t>AVI LIMITED (AVIQ)</t>
  </si>
  <si>
    <t>AFROX HEALTHCARE (AHHQ)</t>
  </si>
  <si>
    <t>LONMIN PLC (LONQ)</t>
  </si>
  <si>
    <t>APPLIED TEHNOLOGY (APLQ)</t>
  </si>
  <si>
    <t>BIDBEE LIMITED (BDEQ)</t>
  </si>
  <si>
    <t>BIDBEE CALL OPTION (BDOQ)</t>
  </si>
  <si>
    <t>PANGBOURNE PROP (PAPQ)</t>
  </si>
  <si>
    <t>AFRICAN LIFE ASSURANCE (AFIQ)</t>
  </si>
  <si>
    <t>AFGRI LIMITED (AFRQ)</t>
  </si>
  <si>
    <t>ILIAD AFRICA LIMITED (ILAQ)</t>
  </si>
  <si>
    <t>INVICTA HOLDINGS LIMITED (IVTQ)</t>
  </si>
  <si>
    <t>PEREGRINE HOLDINGS LTD (PGRQ)</t>
  </si>
  <si>
    <t>REDEFINE INCOME FUND (RDFQ)</t>
  </si>
  <si>
    <t>RICHEMOND (RCHQ)</t>
  </si>
  <si>
    <t>REUNERT LIMITED (RLOQ)</t>
  </si>
  <si>
    <t>ANGLOVAAL MINING LTD (AINQ)</t>
  </si>
  <si>
    <t>PPC CEMENT (PPCQ)</t>
  </si>
  <si>
    <t>SA CHROME &amp; ALLOYS (SCEQ)</t>
  </si>
  <si>
    <t>METROPOLITAN HOLDINGS (METQ)</t>
  </si>
  <si>
    <t>ANGLO AMERICAN (AGLQ)</t>
  </si>
  <si>
    <t>COR FUND MANAGERS (CMLQ)</t>
  </si>
  <si>
    <t>SAGE GROUP LIMITED (SGGQ)</t>
  </si>
  <si>
    <t>METBOARD PROP LTD (MPLQ)</t>
  </si>
  <si>
    <t>MEDI-CLINIC LIMITED (MDCQ)</t>
  </si>
  <si>
    <t>RSA 151 BOND (R151)</t>
  </si>
  <si>
    <t>RSA 152 BOND (R152)</t>
  </si>
  <si>
    <t>APEXHI PROP LTD-A (APAQ)</t>
  </si>
  <si>
    <t>APEXHI PROP LTD-B (APBQ)</t>
  </si>
  <si>
    <t>AQUILA GROWTH LIMITED (AQLQ)</t>
  </si>
  <si>
    <t>DISCOVERY LIMITED (DSYQ)</t>
  </si>
  <si>
    <t>GLENRAND MIB LIMITED (GMBQ)</t>
  </si>
  <si>
    <t>RAINBOW CHICKEN (RBWQ)</t>
  </si>
  <si>
    <t>SUPER GROUP (SPGQ)</t>
  </si>
  <si>
    <t>GENCOR LIMITED (GNDQ)</t>
  </si>
  <si>
    <t>HIGHVELD STEEL (HVLQ)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</si>
</sst>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5" formatCode="&quot;R&quot;\ #,##0;[Red]&quot;R&quot;\ \-#,##0"/>
    <numFmt numFmtId="193" formatCode="0.000"/>
    <numFmt numFmtId="194" formatCode="0.0000"/>
    <numFmt numFmtId="196" formatCode="0.000%"/>
    <numFmt numFmtId="201" formatCode="dd\-mmm\-yyyy"/>
    <numFmt numFmtId="206" formatCode="m/d/yy"/>
  </numFmts>
  <fonts count="12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name val="Bookman Old Style"/>
      <family val="1"/>
    </font>
    <font>
      <sz val="10"/>
      <name val="Arial"/>
      <family val="2"/>
    </font>
    <font>
      <b/>
      <sz val="10"/>
      <color indexed="10"/>
      <name val="Bookman Old Style"/>
      <family val="1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u/>
      <sz val="10"/>
      <color indexed="1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00">
    <xf numFmtId="0" fontId="0" fillId="0" borderId="0" xfId="0"/>
    <xf numFmtId="1" fontId="3" fillId="0" borderId="1" xfId="0" applyNumberFormat="1" applyFont="1" applyBorder="1" applyAlignment="1" applyProtection="1">
      <alignment horizontal="center"/>
      <protection locked="0"/>
    </xf>
    <xf numFmtId="2" fontId="3" fillId="0" borderId="1" xfId="0" applyNumberFormat="1" applyFont="1" applyBorder="1" applyAlignment="1" applyProtection="1">
      <alignment horizontal="center"/>
      <protection locked="0"/>
    </xf>
    <xf numFmtId="2" fontId="3" fillId="0" borderId="2" xfId="0" applyNumberFormat="1" applyFont="1" applyBorder="1" applyAlignment="1" applyProtection="1">
      <alignment horizontal="center"/>
      <protection locked="0"/>
    </xf>
    <xf numFmtId="2" fontId="3" fillId="0" borderId="3" xfId="0" applyNumberFormat="1" applyFont="1" applyBorder="1" applyAlignment="1" applyProtection="1">
      <alignment horizontal="center"/>
      <protection locked="0"/>
    </xf>
    <xf numFmtId="2" fontId="3" fillId="0" borderId="4" xfId="0" applyNumberFormat="1" applyFont="1" applyBorder="1" applyAlignment="1" applyProtection="1">
      <alignment horizontal="center"/>
      <protection locked="0"/>
    </xf>
    <xf numFmtId="2" fontId="3" fillId="0" borderId="5" xfId="0" applyNumberFormat="1" applyFont="1" applyBorder="1" applyAlignment="1" applyProtection="1">
      <alignment horizontal="center"/>
      <protection locked="0"/>
    </xf>
    <xf numFmtId="2" fontId="3" fillId="0" borderId="6" xfId="0" applyNumberFormat="1" applyFont="1" applyBorder="1" applyAlignment="1" applyProtection="1">
      <alignment horizontal="center"/>
      <protection locked="0"/>
    </xf>
    <xf numFmtId="2" fontId="3" fillId="0" borderId="0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2" fontId="3" fillId="0" borderId="8" xfId="0" applyNumberFormat="1" applyFont="1" applyBorder="1" applyAlignment="1" applyProtection="1">
      <alignment horizontal="center"/>
      <protection locked="0"/>
    </xf>
    <xf numFmtId="194" fontId="3" fillId="0" borderId="0" xfId="0" applyNumberFormat="1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2" fontId="3" fillId="0" borderId="9" xfId="0" applyNumberFormat="1" applyFont="1" applyBorder="1" applyAlignment="1" applyProtection="1">
      <alignment horizontal="center"/>
      <protection locked="0"/>
    </xf>
    <xf numFmtId="2" fontId="3" fillId="0" borderId="10" xfId="0" applyNumberFormat="1" applyFont="1" applyBorder="1" applyAlignment="1" applyProtection="1">
      <alignment horizontal="center"/>
      <protection locked="0"/>
    </xf>
    <xf numFmtId="2" fontId="3" fillId="0" borderId="11" xfId="0" applyNumberFormat="1" applyFont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0" fontId="10" fillId="0" borderId="0" xfId="0" applyNumberFormat="1" applyFont="1" applyBorder="1" applyProtection="1">
      <protection locked="0"/>
    </xf>
    <xf numFmtId="10" fontId="3" fillId="0" borderId="0" xfId="0" applyNumberFormat="1" applyFont="1" applyBorder="1" applyAlignment="1" applyProtection="1">
      <alignment horizontal="left"/>
      <protection locked="0"/>
    </xf>
    <xf numFmtId="10" fontId="8" fillId="0" borderId="0" xfId="0" applyNumberFormat="1" applyFont="1" applyBorder="1" applyProtection="1">
      <protection locked="0"/>
    </xf>
    <xf numFmtId="194" fontId="9" fillId="0" borderId="0" xfId="0" applyNumberFormat="1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2" fillId="0" borderId="0" xfId="0" applyFont="1" applyBorder="1" applyProtection="1">
      <protection locked="0"/>
    </xf>
    <xf numFmtId="196" fontId="3" fillId="0" borderId="0" xfId="0" applyNumberFormat="1" applyFont="1" applyBorder="1" applyAlignment="1" applyProtection="1">
      <alignment horizontal="left"/>
      <protection locked="0"/>
    </xf>
    <xf numFmtId="0" fontId="1" fillId="0" borderId="0" xfId="1" applyFont="1" applyAlignment="1" applyProtection="1">
      <protection locked="0"/>
    </xf>
    <xf numFmtId="0" fontId="3" fillId="0" borderId="0" xfId="0" applyFont="1" applyBorder="1" applyProtection="1">
      <protection locked="0"/>
    </xf>
    <xf numFmtId="0" fontId="7" fillId="0" borderId="0" xfId="0" applyFont="1" applyBorder="1" applyAlignment="1" applyProtection="1">
      <alignment horizontal="right"/>
      <protection locked="0"/>
    </xf>
    <xf numFmtId="2" fontId="3" fillId="0" borderId="12" xfId="0" applyNumberFormat="1" applyFont="1" applyBorder="1" applyAlignment="1" applyProtection="1">
      <alignment horizontal="center"/>
      <protection locked="0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1" fontId="3" fillId="0" borderId="10" xfId="0" applyNumberFormat="1" applyFont="1" applyBorder="1" applyAlignment="1" applyProtection="1">
      <alignment horizontal="center"/>
      <protection locked="0"/>
    </xf>
    <xf numFmtId="2" fontId="3" fillId="0" borderId="13" xfId="0" applyNumberFormat="1" applyFont="1" applyBorder="1" applyAlignment="1" applyProtection="1">
      <alignment horizontal="center"/>
      <protection locked="0"/>
    </xf>
    <xf numFmtId="2" fontId="3" fillId="0" borderId="7" xfId="0" applyNumberFormat="1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6" xfId="0" applyFont="1" applyBorder="1" applyProtection="1">
      <protection locked="0"/>
    </xf>
    <xf numFmtId="1" fontId="3" fillId="0" borderId="13" xfId="0" applyNumberFormat="1" applyFont="1" applyBorder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2" fontId="3" fillId="0" borderId="16" xfId="0" applyNumberFormat="1" applyFont="1" applyBorder="1" applyAlignment="1" applyProtection="1">
      <alignment horizontal="center"/>
      <protection locked="0"/>
    </xf>
    <xf numFmtId="193" fontId="3" fillId="0" borderId="1" xfId="0" applyNumberFormat="1" applyFont="1" applyBorder="1" applyAlignment="1" applyProtection="1">
      <alignment horizontal="center"/>
      <protection locked="0"/>
    </xf>
    <xf numFmtId="193" fontId="3" fillId="0" borderId="17" xfId="0" applyNumberFormat="1" applyFont="1" applyBorder="1" applyAlignment="1" applyProtection="1">
      <alignment horizontal="center"/>
      <protection locked="0"/>
    </xf>
    <xf numFmtId="2" fontId="3" fillId="0" borderId="17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8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centerContinuous"/>
      <protection locked="0"/>
    </xf>
    <xf numFmtId="15" fontId="3" fillId="0" borderId="20" xfId="0" applyNumberFormat="1" applyFont="1" applyBorder="1" applyAlignment="1" applyProtection="1">
      <alignment horizontal="centerContinuous"/>
      <protection locked="0"/>
    </xf>
    <xf numFmtId="0" fontId="3" fillId="0" borderId="21" xfId="0" applyFont="1" applyBorder="1" applyAlignment="1" applyProtection="1">
      <alignment horizontal="center"/>
      <protection locked="0"/>
    </xf>
    <xf numFmtId="15" fontId="3" fillId="0" borderId="22" xfId="0" applyNumberFormat="1" applyFont="1" applyBorder="1" applyAlignment="1" applyProtection="1">
      <alignment horizontal="centerContinuous"/>
      <protection locked="0"/>
    </xf>
    <xf numFmtId="0" fontId="3" fillId="0" borderId="19" xfId="0" applyFont="1" applyBorder="1" applyAlignment="1" applyProtection="1">
      <alignment horizontal="center"/>
      <protection locked="0"/>
    </xf>
    <xf numFmtId="15" fontId="3" fillId="0" borderId="17" xfId="0" applyNumberFormat="1" applyFont="1" applyBorder="1" applyAlignment="1" applyProtection="1">
      <alignment horizontal="centerContinuous"/>
      <protection locked="0"/>
    </xf>
    <xf numFmtId="0" fontId="3" fillId="0" borderId="5" xfId="0" applyFont="1" applyBorder="1" applyAlignment="1" applyProtection="1">
      <alignment horizontal="centerContinuous"/>
      <protection locked="0"/>
    </xf>
    <xf numFmtId="194" fontId="3" fillId="0" borderId="10" xfId="0" applyNumberFormat="1" applyFont="1" applyBorder="1" applyAlignment="1" applyProtection="1">
      <alignment horizontal="center"/>
      <protection locked="0"/>
    </xf>
    <xf numFmtId="2" fontId="3" fillId="0" borderId="23" xfId="0" applyNumberFormat="1" applyFont="1" applyBorder="1" applyAlignment="1" applyProtection="1">
      <alignment horizontal="center"/>
      <protection locked="0"/>
    </xf>
    <xf numFmtId="2" fontId="3" fillId="0" borderId="15" xfId="0" applyNumberFormat="1" applyFont="1" applyBorder="1" applyAlignment="1" applyProtection="1">
      <alignment horizontal="center"/>
      <protection locked="0"/>
    </xf>
    <xf numFmtId="1" fontId="3" fillId="0" borderId="13" xfId="0" applyNumberFormat="1" applyFont="1" applyBorder="1" applyAlignment="1" applyProtection="1">
      <alignment horizontal="center"/>
      <protection locked="0"/>
    </xf>
    <xf numFmtId="2" fontId="8" fillId="0" borderId="13" xfId="0" applyNumberFormat="1" applyFont="1" applyBorder="1" applyAlignment="1" applyProtection="1">
      <alignment horizontal="center"/>
      <protection locked="0"/>
    </xf>
    <xf numFmtId="2" fontId="3" fillId="0" borderId="24" xfId="0" applyNumberFormat="1" applyFont="1" applyBorder="1" applyAlignment="1" applyProtection="1">
      <alignment horizontal="center"/>
      <protection locked="0"/>
    </xf>
    <xf numFmtId="0" fontId="3" fillId="0" borderId="25" xfId="0" applyFont="1" applyBorder="1" applyProtection="1">
      <protection locked="0"/>
    </xf>
    <xf numFmtId="1" fontId="3" fillId="0" borderId="0" xfId="0" applyNumberFormat="1" applyFont="1" applyBorder="1" applyAlignment="1" applyProtection="1">
      <alignment horizontal="center"/>
      <protection locked="0"/>
    </xf>
    <xf numFmtId="0" fontId="3" fillId="0" borderId="26" xfId="0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3" fillId="0" borderId="28" xfId="0" applyFont="1" applyBorder="1" applyProtection="1"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3" fillId="0" borderId="29" xfId="0" applyFont="1" applyBorder="1" applyAlignment="1" applyProtection="1">
      <alignment horizontal="centerContinuous"/>
      <protection locked="0"/>
    </xf>
    <xf numFmtId="0" fontId="3" fillId="0" borderId="30" xfId="0" applyFont="1" applyBorder="1" applyAlignment="1" applyProtection="1">
      <alignment horizontal="centerContinuous"/>
      <protection locked="0"/>
    </xf>
    <xf numFmtId="0" fontId="3" fillId="0" borderId="13" xfId="0" applyFont="1" applyBorder="1" applyAlignment="1" applyProtection="1">
      <alignment horizontal="centerContinuous"/>
      <protection locked="0"/>
    </xf>
    <xf numFmtId="165" fontId="3" fillId="0" borderId="31" xfId="0" applyNumberFormat="1" applyFont="1" applyBorder="1" applyAlignment="1" applyProtection="1">
      <alignment horizontal="centerContinuous"/>
      <protection locked="0"/>
    </xf>
    <xf numFmtId="17" fontId="3" fillId="0" borderId="13" xfId="0" applyNumberFormat="1" applyFont="1" applyBorder="1" applyAlignment="1" applyProtection="1">
      <alignment horizontal="centerContinuous"/>
      <protection locked="0"/>
    </xf>
    <xf numFmtId="201" fontId="3" fillId="0" borderId="23" xfId="0" applyNumberFormat="1" applyFont="1" applyBorder="1" applyAlignment="1" applyProtection="1">
      <alignment horizontal="center"/>
      <protection locked="0"/>
    </xf>
    <xf numFmtId="15" fontId="3" fillId="0" borderId="23" xfId="0" applyNumberFormat="1" applyFont="1" applyBorder="1" applyAlignment="1" applyProtection="1">
      <alignment horizontal="center"/>
      <protection locked="0"/>
    </xf>
    <xf numFmtId="193" fontId="3" fillId="0" borderId="24" xfId="0" applyNumberFormat="1" applyFont="1" applyBorder="1" applyAlignment="1" applyProtection="1">
      <alignment horizontal="center"/>
      <protection locked="0"/>
    </xf>
    <xf numFmtId="165" fontId="3" fillId="0" borderId="21" xfId="0" applyNumberFormat="1" applyFont="1" applyBorder="1" applyAlignment="1" applyProtection="1">
      <alignment horizontal="centerContinuous"/>
      <protection locked="0"/>
    </xf>
    <xf numFmtId="0" fontId="3" fillId="0" borderId="32" xfId="0" applyFont="1" applyBorder="1" applyAlignment="1" applyProtection="1">
      <alignment horizontal="centerContinuous"/>
      <protection locked="0"/>
    </xf>
    <xf numFmtId="193" fontId="3" fillId="0" borderId="13" xfId="0" applyNumberFormat="1" applyFont="1" applyBorder="1" applyAlignment="1" applyProtection="1">
      <alignment horizontal="center"/>
      <protection locked="0"/>
    </xf>
    <xf numFmtId="194" fontId="3" fillId="0" borderId="3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2" fontId="3" fillId="0" borderId="3" xfId="0" applyNumberFormat="1" applyFont="1" applyFill="1" applyBorder="1" applyAlignment="1" applyProtection="1">
      <alignment horizontal="center"/>
      <protection locked="0"/>
    </xf>
    <xf numFmtId="194" fontId="3" fillId="0" borderId="16" xfId="0" applyNumberFormat="1" applyFont="1" applyBorder="1" applyProtection="1">
      <protection locked="0"/>
    </xf>
    <xf numFmtId="0" fontId="3" fillId="0" borderId="16" xfId="0" applyFont="1" applyBorder="1" applyAlignment="1" applyProtection="1">
      <alignment horizontal="center"/>
      <protection locked="0"/>
    </xf>
    <xf numFmtId="165" fontId="3" fillId="0" borderId="0" xfId="0" applyNumberFormat="1" applyFont="1" applyBorder="1" applyAlignment="1" applyProtection="1">
      <alignment horizontal="centerContinuous"/>
      <protection locked="0"/>
    </xf>
    <xf numFmtId="0" fontId="3" fillId="0" borderId="0" xfId="0" applyFont="1" applyBorder="1" applyAlignment="1" applyProtection="1">
      <alignment horizontal="centerContinuous"/>
      <protection locked="0"/>
    </xf>
    <xf numFmtId="193" fontId="3" fillId="0" borderId="0" xfId="0" applyNumberFormat="1" applyFont="1" applyBorder="1" applyAlignment="1" applyProtection="1">
      <alignment horizontal="center"/>
      <protection locked="0"/>
    </xf>
    <xf numFmtId="0" fontId="3" fillId="0" borderId="0" xfId="0" quotePrefix="1" applyFont="1" applyBorder="1" applyAlignment="1" applyProtection="1">
      <alignment horizontal="right"/>
      <protection locked="0"/>
    </xf>
    <xf numFmtId="17" fontId="3" fillId="0" borderId="0" xfId="0" applyNumberFormat="1" applyFont="1" applyBorder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201" fontId="5" fillId="0" borderId="0" xfId="0" applyNumberFormat="1" applyFont="1" applyBorder="1" applyAlignment="1" applyProtection="1">
      <alignment horizontal="left"/>
      <protection locked="0"/>
    </xf>
    <xf numFmtId="201" fontId="7" fillId="0" borderId="0" xfId="0" applyNumberFormat="1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right"/>
      <protection locked="0"/>
    </xf>
    <xf numFmtId="1" fontId="3" fillId="0" borderId="16" xfId="0" applyNumberFormat="1" applyFont="1" applyBorder="1" applyAlignment="1" applyProtection="1">
      <alignment horizontal="center"/>
      <protection locked="0"/>
    </xf>
    <xf numFmtId="0" fontId="4" fillId="0" borderId="0" xfId="0" applyFont="1" applyBorder="1" applyProtection="1">
      <protection locked="0"/>
    </xf>
    <xf numFmtId="2" fontId="4" fillId="0" borderId="0" xfId="0" applyNumberFormat="1" applyFont="1" applyBorder="1" applyAlignment="1" applyProtection="1">
      <alignment horizontal="center"/>
      <protection locked="0"/>
    </xf>
    <xf numFmtId="2" fontId="3" fillId="0" borderId="10" xfId="0" applyNumberFormat="1" applyFont="1" applyFill="1" applyBorder="1" applyAlignment="1" applyProtection="1">
      <alignment horizontal="center"/>
      <protection locked="0"/>
    </xf>
    <xf numFmtId="193" fontId="3" fillId="0" borderId="10" xfId="0" applyNumberFormat="1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Continuous"/>
      <protection locked="0"/>
    </xf>
    <xf numFmtId="2" fontId="3" fillId="0" borderId="34" xfId="0" applyNumberFormat="1" applyFont="1" applyBorder="1" applyAlignment="1" applyProtection="1">
      <alignment horizontal="center"/>
      <protection locked="0"/>
    </xf>
    <xf numFmtId="2" fontId="3" fillId="0" borderId="35" xfId="0" applyNumberFormat="1" applyFont="1" applyBorder="1" applyAlignment="1" applyProtection="1">
      <alignment horizontal="center"/>
      <protection locked="0"/>
    </xf>
    <xf numFmtId="10" fontId="10" fillId="0" borderId="27" xfId="0" applyNumberFormat="1" applyFont="1" applyBorder="1" applyProtection="1">
      <protection locked="0"/>
    </xf>
    <xf numFmtId="196" fontId="9" fillId="0" borderId="27" xfId="0" applyNumberFormat="1" applyFont="1" applyBorder="1" applyAlignment="1" applyProtection="1">
      <alignment horizontal="right"/>
      <protection locked="0"/>
    </xf>
    <xf numFmtId="0" fontId="3" fillId="0" borderId="27" xfId="0" applyFont="1" applyBorder="1" applyAlignment="1" applyProtection="1">
      <alignment horizontal="center"/>
      <protection locked="0"/>
    </xf>
    <xf numFmtId="194" fontId="3" fillId="0" borderId="13" xfId="0" applyNumberFormat="1" applyFont="1" applyBorder="1" applyAlignment="1" applyProtection="1">
      <alignment horizontal="center"/>
      <protection locked="0"/>
    </xf>
    <xf numFmtId="165" fontId="3" fillId="0" borderId="36" xfId="0" applyNumberFormat="1" applyFont="1" applyBorder="1" applyAlignment="1" applyProtection="1">
      <alignment horizontal="centerContinuous"/>
      <protection locked="0"/>
    </xf>
    <xf numFmtId="0" fontId="9" fillId="0" borderId="5" xfId="0" applyFont="1" applyBorder="1" applyAlignment="1" applyProtection="1">
      <alignment horizontal="center"/>
      <protection locked="0"/>
    </xf>
    <xf numFmtId="2" fontId="3" fillId="0" borderId="37" xfId="0" applyNumberFormat="1" applyFont="1" applyBorder="1" applyAlignment="1" applyProtection="1">
      <alignment horizontal="center"/>
      <protection locked="0"/>
    </xf>
    <xf numFmtId="201" fontId="3" fillId="0" borderId="0" xfId="0" applyNumberFormat="1" applyFont="1" applyBorder="1" applyAlignment="1" applyProtection="1">
      <alignment horizontal="center"/>
      <protection locked="0"/>
    </xf>
    <xf numFmtId="0" fontId="3" fillId="0" borderId="38" xfId="0" applyFont="1" applyBorder="1" applyAlignment="1" applyProtection="1">
      <alignment horizontal="center"/>
      <protection locked="0"/>
    </xf>
    <xf numFmtId="15" fontId="3" fillId="0" borderId="39" xfId="0" applyNumberFormat="1" applyFont="1" applyBorder="1" applyAlignment="1" applyProtection="1">
      <alignment horizontal="centerContinuous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0" fontId="9" fillId="0" borderId="0" xfId="0" applyNumberFormat="1" applyFont="1" applyBorder="1" applyAlignment="1" applyProtection="1">
      <alignment horizontal="right"/>
      <protection locked="0"/>
    </xf>
    <xf numFmtId="2" fontId="11" fillId="0" borderId="3" xfId="0" applyNumberFormat="1" applyFont="1" applyBorder="1" applyAlignment="1" applyProtection="1">
      <alignment horizontal="center"/>
      <protection locked="0"/>
    </xf>
    <xf numFmtId="2" fontId="11" fillId="0" borderId="10" xfId="0" applyNumberFormat="1" applyFont="1" applyBorder="1" applyAlignment="1" applyProtection="1">
      <alignment horizontal="center"/>
      <protection locked="0"/>
    </xf>
    <xf numFmtId="2" fontId="11" fillId="0" borderId="16" xfId="0" applyNumberFormat="1" applyFont="1" applyBorder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left"/>
      <protection locked="0"/>
    </xf>
    <xf numFmtId="165" fontId="3" fillId="0" borderId="40" xfId="0" applyNumberFormat="1" applyFont="1" applyBorder="1" applyAlignment="1" applyProtection="1">
      <alignment horizontal="centerContinuous"/>
      <protection locked="0"/>
    </xf>
    <xf numFmtId="0" fontId="3" fillId="0" borderId="5" xfId="0" applyFont="1" applyBorder="1" applyAlignment="1" applyProtection="1">
      <alignment horizontal="center"/>
      <protection locked="0"/>
    </xf>
    <xf numFmtId="193" fontId="3" fillId="0" borderId="5" xfId="0" applyNumberFormat="1" applyFont="1" applyBorder="1" applyAlignment="1" applyProtection="1">
      <alignment horizontal="center"/>
      <protection locked="0"/>
    </xf>
    <xf numFmtId="194" fontId="3" fillId="0" borderId="1" xfId="0" applyNumberFormat="1" applyFont="1" applyBorder="1" applyAlignment="1" applyProtection="1">
      <alignment horizontal="center"/>
      <protection locked="0"/>
    </xf>
    <xf numFmtId="206" fontId="6" fillId="0" borderId="0" xfId="0" applyNumberFormat="1" applyFont="1" applyProtection="1">
      <protection locked="0"/>
    </xf>
    <xf numFmtId="2" fontId="3" fillId="0" borderId="11" xfId="0" applyNumberFormat="1" applyFont="1" applyFill="1" applyBorder="1" applyAlignment="1" applyProtection="1">
      <alignment horizontal="center"/>
      <protection locked="0"/>
    </xf>
    <xf numFmtId="2" fontId="3" fillId="0" borderId="4" xfId="0" applyNumberFormat="1" applyFont="1" applyFill="1" applyBorder="1" applyAlignment="1" applyProtection="1">
      <alignment horizontal="center"/>
      <protection locked="0"/>
    </xf>
    <xf numFmtId="0" fontId="3" fillId="0" borderId="31" xfId="0" applyFont="1" applyBorder="1" applyAlignment="1" applyProtection="1">
      <alignment horizontal="centerContinuous"/>
      <protection locked="0"/>
    </xf>
    <xf numFmtId="15" fontId="3" fillId="0" borderId="0" xfId="0" applyNumberFormat="1" applyFont="1" applyBorder="1" applyAlignment="1" applyProtection="1">
      <alignment horizontal="center"/>
      <protection locked="0"/>
    </xf>
    <xf numFmtId="2" fontId="3" fillId="0" borderId="5" xfId="0" applyNumberFormat="1" applyFont="1" applyBorder="1" applyProtection="1">
      <protection locked="0"/>
    </xf>
    <xf numFmtId="2" fontId="3" fillId="0" borderId="6" xfId="0" applyNumberFormat="1" applyFont="1" applyBorder="1" applyProtection="1">
      <protection locked="0"/>
    </xf>
    <xf numFmtId="194" fontId="3" fillId="0" borderId="16" xfId="0" applyNumberFormat="1" applyFont="1" applyBorder="1" applyAlignment="1" applyProtection="1">
      <alignment horizontal="center"/>
      <protection locked="0"/>
    </xf>
    <xf numFmtId="194" fontId="3" fillId="0" borderId="34" xfId="0" applyNumberFormat="1" applyFont="1" applyBorder="1" applyAlignment="1" applyProtection="1">
      <alignment horizontal="center"/>
      <protection locked="0"/>
    </xf>
    <xf numFmtId="2" fontId="11" fillId="0" borderId="11" xfId="0" applyNumberFormat="1" applyFont="1" applyBorder="1" applyAlignment="1" applyProtection="1">
      <alignment horizontal="center"/>
      <protection locked="0"/>
    </xf>
    <xf numFmtId="2" fontId="11" fillId="0" borderId="4" xfId="0" applyNumberFormat="1" applyFont="1" applyBorder="1" applyAlignment="1" applyProtection="1">
      <alignment horizontal="center"/>
      <protection locked="0"/>
    </xf>
    <xf numFmtId="2" fontId="11" fillId="0" borderId="1" xfId="0" applyNumberFormat="1" applyFont="1" applyBorder="1" applyAlignment="1" applyProtection="1">
      <alignment horizontal="center"/>
      <protection locked="0"/>
    </xf>
    <xf numFmtId="1" fontId="11" fillId="0" borderId="3" xfId="0" applyNumberFormat="1" applyFont="1" applyBorder="1" applyAlignment="1" applyProtection="1">
      <alignment horizontal="center"/>
      <protection locked="0"/>
    </xf>
    <xf numFmtId="17" fontId="3" fillId="0" borderId="5" xfId="0" applyNumberFormat="1" applyFont="1" applyBorder="1" applyAlignment="1" applyProtection="1">
      <alignment horizontal="centerContinuous"/>
      <protection locked="0"/>
    </xf>
    <xf numFmtId="1" fontId="11" fillId="0" borderId="10" xfId="0" applyNumberFormat="1" applyFont="1" applyBorder="1" applyAlignment="1" applyProtection="1">
      <alignment horizontal="center"/>
      <protection locked="0"/>
    </xf>
    <xf numFmtId="1" fontId="3" fillId="0" borderId="41" xfId="0" applyNumberFormat="1" applyFont="1" applyBorder="1" applyAlignment="1" applyProtection="1">
      <alignment horizontal="center"/>
      <protection locked="0"/>
    </xf>
    <xf numFmtId="165" fontId="3" fillId="0" borderId="42" xfId="0" applyNumberFormat="1" applyFont="1" applyBorder="1" applyAlignment="1" applyProtection="1">
      <alignment horizontal="centerContinuous"/>
      <protection locked="0"/>
    </xf>
    <xf numFmtId="17" fontId="3" fillId="0" borderId="12" xfId="0" applyNumberFormat="1" applyFont="1" applyBorder="1" applyAlignment="1" applyProtection="1">
      <alignment horizontal="centerContinuous"/>
      <protection locked="0"/>
    </xf>
    <xf numFmtId="2" fontId="11" fillId="0" borderId="13" xfId="0" applyNumberFormat="1" applyFont="1" applyBorder="1" applyAlignment="1" applyProtection="1">
      <alignment horizontal="center"/>
      <protection locked="0"/>
    </xf>
    <xf numFmtId="2" fontId="11" fillId="0" borderId="7" xfId="0" applyNumberFormat="1" applyFont="1" applyBorder="1" applyAlignment="1" applyProtection="1">
      <alignment horizontal="center"/>
      <protection locked="0"/>
    </xf>
    <xf numFmtId="0" fontId="3" fillId="0" borderId="37" xfId="0" applyFont="1" applyBorder="1" applyAlignment="1" applyProtection="1">
      <alignment horizontal="center"/>
      <protection locked="0"/>
    </xf>
    <xf numFmtId="15" fontId="3" fillId="0" borderId="27" xfId="0" applyNumberFormat="1" applyFont="1" applyBorder="1" applyAlignment="1" applyProtection="1">
      <alignment horizontal="center"/>
      <protection locked="0"/>
    </xf>
    <xf numFmtId="2" fontId="3" fillId="0" borderId="27" xfId="0" applyNumberFormat="1" applyFont="1" applyBorder="1" applyAlignment="1" applyProtection="1">
      <alignment horizontal="center"/>
      <protection locked="0"/>
    </xf>
    <xf numFmtId="0" fontId="5" fillId="0" borderId="27" xfId="0" applyFont="1" applyBorder="1" applyAlignment="1" applyProtection="1">
      <alignment horizontal="left"/>
      <protection locked="0"/>
    </xf>
    <xf numFmtId="0" fontId="7" fillId="0" borderId="27" xfId="0" applyFont="1" applyBorder="1" applyAlignment="1" applyProtection="1">
      <alignment horizontal="right"/>
      <protection locked="0"/>
    </xf>
    <xf numFmtId="201" fontId="7" fillId="0" borderId="27" xfId="0" applyNumberFormat="1" applyFont="1" applyBorder="1" applyAlignment="1" applyProtection="1">
      <alignment horizontal="center"/>
      <protection locked="0"/>
    </xf>
    <xf numFmtId="201" fontId="3" fillId="0" borderId="45" xfId="0" applyNumberFormat="1" applyFont="1" applyBorder="1" applyAlignment="1" applyProtection="1">
      <alignment horizontal="center"/>
      <protection locked="0"/>
    </xf>
    <xf numFmtId="15" fontId="3" fillId="0" borderId="1" xfId="0" applyNumberFormat="1" applyFont="1" applyBorder="1" applyAlignment="1" applyProtection="1">
      <alignment horizontal="center"/>
      <protection locked="0"/>
    </xf>
    <xf numFmtId="201" fontId="3" fillId="0" borderId="44" xfId="0" applyNumberFormat="1" applyFont="1" applyBorder="1" applyAlignment="1" applyProtection="1">
      <alignment horizontal="center"/>
      <protection locked="0"/>
    </xf>
    <xf numFmtId="15" fontId="3" fillId="0" borderId="3" xfId="0" applyNumberFormat="1" applyFont="1" applyBorder="1" applyAlignment="1" applyProtection="1">
      <alignment horizontal="center"/>
      <protection locked="0"/>
    </xf>
    <xf numFmtId="201" fontId="3" fillId="0" borderId="36" xfId="0" applyNumberFormat="1" applyFont="1" applyBorder="1" applyAlignment="1" applyProtection="1">
      <alignment horizontal="center"/>
      <protection locked="0"/>
    </xf>
    <xf numFmtId="201" fontId="3" fillId="0" borderId="16" xfId="0" applyNumberFormat="1" applyFont="1" applyBorder="1" applyAlignment="1" applyProtection="1">
      <alignment horizontal="center"/>
      <protection locked="0"/>
    </xf>
    <xf numFmtId="201" fontId="3" fillId="0" borderId="43" xfId="0" applyNumberFormat="1" applyFont="1" applyBorder="1" applyAlignment="1" applyProtection="1">
      <alignment horizontal="center"/>
      <protection locked="0"/>
    </xf>
    <xf numFmtId="15" fontId="3" fillId="0" borderId="10" xfId="0" applyNumberFormat="1" applyFont="1" applyBorder="1" applyAlignment="1" applyProtection="1">
      <alignment horizontal="center"/>
      <protection locked="0"/>
    </xf>
    <xf numFmtId="201" fontId="3" fillId="0" borderId="31" xfId="0" applyNumberFormat="1" applyFont="1" applyBorder="1" applyAlignment="1" applyProtection="1">
      <alignment horizontal="center"/>
      <protection locked="0"/>
    </xf>
    <xf numFmtId="201" fontId="3" fillId="0" borderId="13" xfId="0" applyNumberFormat="1" applyFont="1" applyBorder="1" applyAlignment="1" applyProtection="1">
      <alignment horizontal="center"/>
      <protection locked="0"/>
    </xf>
    <xf numFmtId="201" fontId="3" fillId="0" borderId="40" xfId="0" applyNumberFormat="1" applyFont="1" applyBorder="1" applyAlignment="1" applyProtection="1">
      <alignment horizontal="center"/>
      <protection locked="0"/>
    </xf>
    <xf numFmtId="201" fontId="3" fillId="0" borderId="5" xfId="0" applyNumberFormat="1" applyFont="1" applyBorder="1" applyAlignment="1" applyProtection="1">
      <alignment horizontal="center"/>
      <protection locked="0"/>
    </xf>
    <xf numFmtId="165" fontId="3" fillId="0" borderId="40" xfId="0" applyNumberFormat="1" applyFont="1" applyBorder="1" applyAlignment="1" applyProtection="1">
      <alignment horizontal="center"/>
      <protection locked="0"/>
    </xf>
    <xf numFmtId="165" fontId="3" fillId="0" borderId="5" xfId="0" applyNumberFormat="1" applyFont="1" applyBorder="1" applyAlignment="1" applyProtection="1">
      <alignment horizontal="center"/>
      <protection locked="0"/>
    </xf>
    <xf numFmtId="201" fontId="3" fillId="0" borderId="42" xfId="0" applyNumberFormat="1" applyFont="1" applyBorder="1" applyAlignment="1" applyProtection="1">
      <alignment horizontal="center"/>
      <protection locked="0"/>
    </xf>
    <xf numFmtId="201" fontId="3" fillId="0" borderId="12" xfId="0" applyNumberFormat="1" applyFont="1" applyBorder="1" applyAlignment="1" applyProtection="1">
      <alignment horizontal="center"/>
      <protection locked="0"/>
    </xf>
    <xf numFmtId="165" fontId="3" fillId="0" borderId="31" xfId="0" applyNumberFormat="1" applyFont="1" applyBorder="1" applyAlignment="1" applyProtection="1">
      <alignment horizontal="center"/>
      <protection locked="0"/>
    </xf>
    <xf numFmtId="165" fontId="3" fillId="0" borderId="13" xfId="0" applyNumberFormat="1" applyFont="1" applyBorder="1" applyAlignment="1" applyProtection="1">
      <alignment horizontal="center"/>
      <protection locked="0"/>
    </xf>
    <xf numFmtId="201" fontId="3" fillId="0" borderId="3" xfId="0" applyNumberFormat="1" applyFont="1" applyBorder="1" applyAlignment="1" applyProtection="1">
      <alignment horizontal="center"/>
      <protection locked="0"/>
    </xf>
    <xf numFmtId="201" fontId="3" fillId="0" borderId="52" xfId="0" applyNumberFormat="1" applyFont="1" applyBorder="1" applyAlignment="1" applyProtection="1">
      <alignment horizontal="center"/>
      <protection locked="0"/>
    </xf>
    <xf numFmtId="201" fontId="3" fillId="0" borderId="24" xfId="0" applyNumberFormat="1" applyFont="1" applyBorder="1" applyAlignment="1" applyProtection="1">
      <alignment horizontal="center"/>
      <protection locked="0"/>
    </xf>
    <xf numFmtId="201" fontId="3" fillId="0" borderId="10" xfId="0" applyNumberFormat="1" applyFont="1" applyBorder="1" applyAlignment="1" applyProtection="1">
      <alignment horizontal="center"/>
      <protection locked="0"/>
    </xf>
    <xf numFmtId="201" fontId="3" fillId="0" borderId="1" xfId="0" applyNumberFormat="1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  <protection locked="0"/>
    </xf>
    <xf numFmtId="201" fontId="3" fillId="0" borderId="46" xfId="0" applyNumberFormat="1" applyFont="1" applyBorder="1" applyAlignment="1" applyProtection="1">
      <alignment horizontal="center"/>
      <protection locked="0"/>
    </xf>
    <xf numFmtId="15" fontId="3" fillId="0" borderId="34" xfId="0" applyNumberFormat="1" applyFont="1" applyBorder="1" applyAlignment="1" applyProtection="1">
      <alignment horizontal="center"/>
      <protection locked="0"/>
    </xf>
    <xf numFmtId="201" fontId="3" fillId="0" borderId="34" xfId="0" applyNumberFormat="1" applyFont="1" applyBorder="1" applyAlignment="1" applyProtection="1">
      <alignment horizontal="center"/>
      <protection locked="0"/>
    </xf>
    <xf numFmtId="201" fontId="3" fillId="0" borderId="0" xfId="0" applyNumberFormat="1" applyFont="1" applyBorder="1" applyAlignment="1" applyProtection="1">
      <alignment horizontal="center"/>
      <protection locked="0"/>
    </xf>
    <xf numFmtId="15" fontId="3" fillId="0" borderId="0" xfId="0" applyNumberFormat="1" applyFont="1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3" fillId="0" borderId="48" xfId="0" applyFont="1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3" fillId="0" borderId="50" xfId="0" applyFont="1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15" fontId="3" fillId="0" borderId="16" xfId="0" applyNumberFormat="1" applyFont="1" applyBorder="1" applyAlignment="1" applyProtection="1">
      <alignment horizontal="center"/>
      <protection locked="0"/>
    </xf>
    <xf numFmtId="201" fontId="11" fillId="0" borderId="44" xfId="0" applyNumberFormat="1" applyFont="1" applyBorder="1" applyAlignment="1" applyProtection="1">
      <alignment horizontal="center"/>
      <protection locked="0"/>
    </xf>
    <xf numFmtId="15" fontId="11" fillId="0" borderId="3" xfId="0" applyNumberFormat="1" applyFont="1" applyBorder="1" applyAlignment="1" applyProtection="1">
      <alignment horizontal="center"/>
      <protection locked="0"/>
    </xf>
    <xf numFmtId="201" fontId="3" fillId="0" borderId="38" xfId="0" applyNumberFormat="1" applyFont="1" applyBorder="1" applyAlignment="1" applyProtection="1">
      <alignment horizontal="center"/>
      <protection locked="0"/>
    </xf>
    <xf numFmtId="201" fontId="3" fillId="0" borderId="47" xfId="0" applyNumberFormat="1" applyFont="1" applyBorder="1" applyAlignment="1" applyProtection="1">
      <alignment horizontal="center"/>
      <protection locked="0"/>
    </xf>
    <xf numFmtId="0" fontId="3" fillId="0" borderId="40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201" fontId="3" fillId="0" borderId="21" xfId="0" applyNumberFormat="1" applyFont="1" applyBorder="1" applyAlignment="1" applyProtection="1">
      <alignment horizontal="center"/>
      <protection locked="0"/>
    </xf>
    <xf numFmtId="201" fontId="3" fillId="0" borderId="32" xfId="0" applyNumberFormat="1" applyFont="1" applyBorder="1" applyAlignment="1" applyProtection="1">
      <alignment horizontal="center"/>
      <protection locked="0"/>
    </xf>
    <xf numFmtId="165" fontId="3" fillId="0" borderId="42" xfId="0" applyNumberFormat="1" applyFont="1" applyBorder="1" applyAlignment="1" applyProtection="1">
      <alignment horizontal="center"/>
      <protection locked="0"/>
    </xf>
    <xf numFmtId="165" fontId="3" fillId="0" borderId="12" xfId="0" applyNumberFormat="1" applyFont="1" applyBorder="1" applyAlignment="1" applyProtection="1">
      <alignment horizontal="center"/>
      <protection locked="0"/>
    </xf>
    <xf numFmtId="201" fontId="11" fillId="0" borderId="31" xfId="0" applyNumberFormat="1" applyFont="1" applyBorder="1" applyAlignment="1" applyProtection="1">
      <alignment horizontal="center"/>
      <protection locked="0"/>
    </xf>
    <xf numFmtId="201" fontId="11" fillId="0" borderId="13" xfId="0" applyNumberFormat="1" applyFont="1" applyBorder="1" applyAlignment="1" applyProtection="1">
      <alignment horizontal="center"/>
      <protection locked="0"/>
    </xf>
    <xf numFmtId="201" fontId="11" fillId="0" borderId="43" xfId="0" applyNumberFormat="1" applyFont="1" applyBorder="1" applyAlignment="1" applyProtection="1">
      <alignment horizontal="center"/>
      <protection locked="0"/>
    </xf>
    <xf numFmtId="15" fontId="11" fillId="0" borderId="10" xfId="0" applyNumberFormat="1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GLDDEML" ddeTopic="Action">
    <ddeItems>
      <ddeItem name="SGABI,LA" advise="1">
        <values>
          <value>
            <val>7150</val>
          </value>
        </values>
      </ddeItem>
      <ddeItem name="SGABL,LA" advise="1">
        <values>
          <value>
            <val>1200</val>
          </value>
        </values>
      </ddeItem>
      <ddeItem name="SGAEG,LA" advise="1">
        <values>
          <value>
            <val>730</val>
          </value>
        </values>
      </ddeItem>
      <ddeItem name="SGAFB,LA" advise="1">
        <values>
          <value>
            <val>1030</val>
          </value>
        </values>
      </ddeItem>
      <ddeItem name="SGAFI,LA" advise="1">
        <values>
          <value>
            <val>1550</val>
          </value>
        </values>
      </ddeItem>
      <ddeItem name="SGAFL,LA" advise="1">
        <values>
          <value>
            <val>250</val>
          </value>
        </values>
      </ddeItem>
      <ddeItem name="SGAFR,LA" advise="1">
        <values>
          <value>
            <val>665</val>
          </value>
        </values>
      </ddeItem>
      <ddeItem name="SGAFX,LA" advise="1">
        <values>
          <value>
            <val>1900</val>
          </value>
        </values>
      </ddeItem>
      <ddeItem name="SGAGL,LA" advise="1">
        <values>
          <value>
            <val>15375</val>
          </value>
        </values>
      </ddeItem>
      <ddeItem name="SGAHH,LA" advise="1">
        <values>
          <value>
            <val>1392</val>
          </value>
        </values>
      </ddeItem>
      <ddeItem name="SGAIN,LA" advise="1">
        <values>
          <value>
            <val>4500</val>
          </value>
        </values>
      </ddeItem>
      <ddeItem name="SGALT,LA" advise="1">
        <values>
          <value>
            <val>3101</val>
          </value>
        </values>
      </ddeItem>
      <ddeItem name="SGAMS,LA" advise="1">
        <values>
          <value>
            <val>27750</val>
          </value>
        </values>
      </ddeItem>
      <ddeItem name="SGANG,LA" advise="1">
        <values>
          <value>
            <val>26950</val>
          </value>
        </values>
      </ddeItem>
      <ddeItem name="SGAPA,LA" advise="1">
        <values>
          <value>
            <val>825</val>
          </value>
        </values>
      </ddeItem>
      <ddeItem name="SGAPB,LA" advise="1">
        <values>
          <value>
            <val>740</val>
          </value>
        </values>
      </ddeItem>
      <ddeItem name="SGAPL,LA" advise="1">
        <values>
          <value>
            <val>780</val>
          </value>
        </values>
      </ddeItem>
      <ddeItem name="SGAPN,LA" advise="1">
        <values>
          <value>
            <val>1240</val>
          </value>
        </values>
      </ddeItem>
      <ddeItem name="SGASA,LA" advise="1">
        <values>
          <value>
            <val>4749</val>
          </value>
        </values>
      </ddeItem>
      <ddeItem name="SGAVG,LA" advise="1">
        <values>
          <value>
            <val>963</val>
          </value>
        </values>
      </ddeItem>
      <ddeItem name="SGAVI,LA" advise="1">
        <values>
          <value>
            <val>1740</val>
          </value>
        </values>
      </ddeItem>
      <ddeItem name="SGBAW,LA" advise="1">
        <values>
          <value>
            <val>6690</val>
          </value>
        </values>
      </ddeItem>
      <ddeItem name="SGBDE,LA" advise="1">
        <values>
          <value>
            <val>3850</val>
          </value>
        </values>
      </ddeItem>
      <ddeItem name="SGBDEO,LA" advise="1">
        <values>
          <value>
            <val>630</val>
          </value>
        </values>
      </ddeItem>
      <ddeItem name="SGBEL,LA" advise="1">
        <values>
          <value>
            <val>800</val>
          </value>
        </values>
      </ddeItem>
      <ddeItem name="SGBIL,LA" advise="1">
        <values>
          <value>
            <val>5901</val>
          </value>
        </values>
      </ddeItem>
      <ddeItem name="SGBPL,LA" advise="1">
        <values>
          <value>
            <val>155</val>
          </value>
        </values>
      </ddeItem>
      <ddeItem name="SGBVT,LA" advise="1">
        <values>
          <value>
            <val>5174</val>
          </value>
        </values>
      </ddeItem>
      <ddeItem name="SGCML,LA" advise="1">
        <values>
          <value>
            <val>410</val>
          </value>
        </values>
      </ddeItem>
      <ddeItem name="SGCPT,LA" advise="1">
        <values>
          <value>
            <val>1150</val>
          </value>
        </values>
      </ddeItem>
      <ddeItem name="SGCPX,LA" advise="1">
        <values>
          <value>
            <val>455</val>
          </value>
        </values>
      </ddeItem>
      <ddeItem name="SGDDT,LA" advise="1">
        <values>
          <value>
            <val>452</val>
          </value>
        </values>
      </ddeItem>
      <ddeItem name="SGDSY,LA" advise="1">
        <values>
          <value>
            <val>1290</val>
          </value>
        </values>
      </ddeItem>
      <ddeItem name="SGDTC,LA" advise="1">
        <values>
          <value>
            <val>1440</val>
          </value>
        </values>
      </ddeItem>
      <ddeItem name="SGDUR,LA" advise="1">
        <values>
          <value>
            <val>2201</val>
          </value>
        </values>
      </ddeItem>
      <ddeItem name="SGECO,LA" advise="1">
        <values>
          <value>
            <val>14321</val>
          </value>
        </values>
      </ddeItem>
      <ddeItem name="SGELH,LA" advise="1">
        <values>
          <value>
            <val>3280</val>
          </value>
        </values>
      </ddeItem>
      <ddeItem name="SGFOS,LA" advise="1">
        <values>
          <value>
            <val>2000</val>
          </value>
        </values>
      </ddeItem>
      <ddeItem name="SGFSR,LA" advise="1">
        <values>
          <value>
            <val>980</val>
          </value>
        </values>
      </ddeItem>
      <ddeItem name="SGGFI,LA" advise="1">
        <values>
          <value>
            <val>8500</val>
          </value>
        </values>
      </ddeItem>
      <ddeItem name="SGGMB,LA" advise="1">
        <values>
          <value>
            <val>371</val>
          </value>
        </values>
      </ddeItem>
      <ddeItem name="SGGMF,LA" advise="1">
        <values>
          <value>
            <val>12</val>
          </value>
        </values>
      </ddeItem>
      <ddeItem name="SGGND,LA" advise="1">
        <values>
          <value>
            <val>2040</val>
          </value>
        </values>
      </ddeItem>
      <ddeItem name="SGHAR,LA" advise="1">
        <values>
          <value>
            <val>9725</val>
          </value>
        </values>
      </ddeItem>
      <ddeItem name="SGHVL,LA" advise="1">
        <values>
          <value>
            <val>2155</val>
          </value>
        </values>
      </ddeItem>
      <ddeItem name="SGILA,LA" advise="1">
        <values>
          <value>
            <val>575</val>
          </value>
        </values>
      </ddeItem>
      <ddeItem name="SGILV,LA" advise="1">
        <values>
          <value>
            <val>760</val>
          </value>
        </values>
      </ddeItem>
      <ddeItem name="SGIMP,LA" advise="1">
        <values>
          <value>
            <val>51502</val>
          </value>
        </values>
      </ddeItem>
      <ddeItem name="SGINL,LA" advise="1">
        <values>
          <value>
            <val>12550</val>
          </value>
        </values>
      </ddeItem>
      <ddeItem name="SGINLP,LA" advise="1">
        <values>
          <value>
            <val>11700</val>
          </value>
        </values>
      </ddeItem>
      <ddeItem name="SGINP,LA" advise="1">
        <values>
          <value>
            <val>12750</val>
          </value>
        </values>
      </ddeItem>
      <ddeItem name="SGIPL,LA" advise="1">
        <values>
          <value>
            <val>6682</val>
          </value>
        </values>
      </ddeItem>
      <ddeItem name="SGISC,LA" advise="1">
        <values>
          <value>
            <val>3650</val>
          </value>
        </values>
      </ddeItem>
      <ddeItem name="SGIVT,LA" advise="1">
        <values>
          <value>
            <val>1000</val>
          </value>
        </values>
      </ddeItem>
      <ddeItem name="SGJ150,LA" advise="1">
        <values>
          <value>
            <val>2254.37</val>
          </value>
        </values>
      </ddeItem>
      <ddeItem name="SGJ200,LA" advise="1">
        <values>
          <value>
            <val>9846.18</val>
          </value>
        </values>
      </ddeItem>
      <ddeItem name="SGJ210,LA" advise="1">
        <values>
          <value>
            <val>20195.68</val>
          </value>
        </values>
      </ddeItem>
      <ddeItem name="SGJ211,LA" advise="1">
        <values>
          <value>
            <val>7321.46</val>
          </value>
        </values>
      </ddeItem>
      <ddeItem name="SGJ212,LA" advise="1">
        <values>
          <value>
            <val>3805.6</val>
          </value>
        </values>
      </ddeItem>
      <ddeItem name="SGJ213,LA" advise="1">
        <values>
          <value>
            <val>9988.0499999999993</val>
          </value>
        </values>
      </ddeItem>
      <ddeItem name="SGJ300,LA" advise="1">
        <values>
          <value>
            <val>4970.47</val>
          </value>
        </values>
      </ddeItem>
      <ddeItem name="SGJ400,LA" advise="1">
        <values>
          <value>
            <val>2055.94</val>
          </value>
        </values>
      </ddeItem>
      <ddeItem name="SGJCD,LA" advise="1">
        <values>
          <value>
            <val>63</val>
          </value>
        </values>
      </ddeItem>
      <ddeItem name="SGJDG,LA" advise="1">
        <values>
          <value>
            <val>4190</val>
          </value>
        </values>
      </ddeItem>
      <ddeItem name="SGJNC,LA" advise="1">
        <values>
          <value>
            <val>1630</val>
          </value>
        </values>
      </ddeItem>
      <ddeItem name="SGKER,LA" advise="1">
        <values>
          <value>
            <val>3700</val>
          </value>
        </values>
      </ddeItem>
      <ddeItem name="SGKMB,LA" advise="1">
        <values>
          <value>
            <val>4200</val>
          </value>
        </values>
      </ddeItem>
      <ddeItem name="SGKR,LA" advise="1">
        <values>
          <value>
            <val>280000</val>
          </value>
        </values>
      </ddeItem>
      <ddeItem name="SGLBH,LA" advise="1">
        <values>
          <value>
            <val>13200</val>
          </value>
        </values>
      </ddeItem>
      <ddeItem name="SGLBT,LA" advise="1">
        <values>
          <value>
            <val>8950</val>
          </value>
        </values>
      </ddeItem>
      <ddeItem name="SGLGL,LA" advise="1">
        <values>
          <value>
            <val>5090</val>
          </value>
        </values>
      </ddeItem>
      <ddeItem name="SGMDC,LA" advise="1">
        <values>
          <value>
            <val>1200</val>
          </value>
        </values>
      </ddeItem>
      <ddeItem name="SGMES,LA" advise="1">
        <values>
          <value>
            <val>6140</val>
          </value>
        </values>
      </ddeItem>
      <ddeItem name="SGMET,LA" advise="1">
        <values>
          <value>
            <val>730</val>
          </value>
        </values>
      </ddeItem>
      <ddeItem name="SGMNS,LA" advise="1">
        <values>
          <value>
            <val>961</val>
          </value>
        </values>
      </ddeItem>
      <ddeItem name="SGMPC,LA" advise="1">
        <values>
          <value>
            <val>775</val>
          </value>
        </values>
      </ddeItem>
      <ddeItem name="SGMPL,LA" advise="1">
        <values>
          <value>
            <val>325</val>
          </value>
        </values>
      </ddeItem>
      <ddeItem name="SGMSM,LA" advise="1">
        <values>
          <value>
            <val>3200</val>
          </value>
        </values>
      </ddeItem>
      <ddeItem name="SGMTC,LA" advise="1">
        <values>
          <value>
            <val>230</val>
          </value>
        </values>
      </ddeItem>
      <ddeItem name="SGMTN,LA" advise="1">
        <values>
          <value>
            <val>3280</val>
          </value>
        </values>
      </ddeItem>
      <ddeItem name="SGMUR,LA" advise="1">
        <values>
          <value>
            <val>1285</val>
          </value>
        </values>
      </ddeItem>
      <ddeItem name="SGMVL,LA" advise="1">
        <values>
          <value>
            <val>2625</val>
          </value>
        </values>
      </ddeItem>
      <ddeItem name="SGNBKP,LA" advise="1">
        <values>
          <value>
            <val>1115</val>
          </value>
        </values>
      </ddeItem>
      <ddeItem name="SGNCL,LA" advise="1">
        <values>
          <value>
            <val>722</val>
          </value>
        </values>
      </ddeItem>
      <ddeItem name="SGNED,LA" advise="1">
        <values>
          <value>
            <val>6450</val>
          </value>
        </values>
      </ddeItem>
      <ddeItem name="SGNHM,LA" advise="1">
        <values>
          <value>
            <val>1040</val>
          </value>
        </values>
      </ddeItem>
      <ddeItem name="SGNPK,LA" advise="1">
        <values>
          <value>
            <val>1300</val>
          </value>
        </values>
      </ddeItem>
      <ddeItem name="SGNPN,LA" advise="1">
        <values>
          <value>
            <val>4395</val>
          </value>
        </values>
      </ddeItem>
      <ddeItem name="SGNTC,LA" advise="1">
        <values>
          <value>
            <val>459</val>
          </value>
        </values>
      </ddeItem>
      <ddeItem name="SGOML,LA" advise="1">
        <values>
          <value>
            <val>1168</val>
          </value>
        </values>
      </ddeItem>
      <ddeItem name="SGOMN,LA" advise="1">
        <values>
          <value>
            <val>2670</val>
          </value>
        </values>
      </ddeItem>
      <ddeItem name="SGPAP,LA" advise="1">
        <values>
          <value>
            <val>765</val>
          </value>
        </values>
      </ddeItem>
      <ddeItem name="SGPGR,LA" advise="1">
        <values>
          <value>
            <val>250</val>
          </value>
        </values>
      </ddeItem>
      <ddeItem name="SGPIK,LA" advise="1">
        <values>
          <value>
            <val>1801</val>
          </value>
        </values>
      </ddeItem>
      <ddeItem name="SGPPC,LA" advise="1">
        <values>
          <value>
            <val>13100</val>
          </value>
        </values>
      </ddeItem>
      <ddeItem name="SGRBW,LA" advise="1">
        <values>
          <value>
            <val>550</val>
          </value>
        </values>
      </ddeItem>
      <ddeItem name="SGRCH,LA" advise="1">
        <values>
          <value>
            <val>1680</val>
          </value>
        </values>
      </ddeItem>
      <ddeItem name="SGRDF,LA" advise="1">
        <values>
          <value>
            <val>266</val>
          </value>
        </values>
      </ddeItem>
      <ddeItem name="SGREM,LA" advise="1">
        <values>
          <value>
            <val>7220</val>
          </value>
        </values>
      </ddeItem>
      <ddeItem name="SGRLO,LA" advise="1">
        <values>
          <value>
            <val>2432</val>
          </value>
        </values>
      </ddeItem>
      <ddeItem name="SGRMH,LA" advise="1">
        <values>
          <value>
            <val>1485</val>
          </value>
        </values>
      </ddeItem>
      <ddeItem name="SGRNG,LA" advise="1">
        <values>
          <value>
            <val>2500</val>
          </value>
        </values>
      </ddeItem>
      <ddeItem name="SGSAB,LA" advise="1">
        <values>
          <value>
            <val>7452</val>
          </value>
        </values>
      </ddeItem>
      <ddeItem name="SGSAP,LA" advise="1">
        <values>
          <value>
            <val>8650</val>
          </value>
        </values>
      </ddeItem>
      <ddeItem name="SGSBK,LA" advise="1">
        <values>
          <value>
            <val>4273</val>
          </value>
        </values>
      </ddeItem>
      <ddeItem name="SGSCE,LA" advise="1">
        <values>
          <value>
            <val>93</val>
          </value>
        </values>
      </ddeItem>
      <ddeItem name="SGSGG,LA" advise="1">
        <values>
          <value>
            <val>174</val>
          </value>
        </values>
      </ddeItem>
      <ddeItem name="SGSHF,LA" advise="1">
        <values>
          <value>
            <val>800</val>
          </value>
        </values>
      </ddeItem>
      <ddeItem name="SGSHP,LA" advise="1">
        <values>
          <value>
            <val>981</val>
          </value>
        </values>
      </ddeItem>
      <ddeItem name="SGSLM,LA" advise="1">
        <values>
          <value>
            <val>930</val>
          </value>
        </values>
      </ddeItem>
      <ddeItem name="SGSNT,LA" advise="1">
        <values>
          <value>
            <val>4540</val>
          </value>
        </values>
      </ddeItem>
      <ddeItem name="SGSOL,LA" advise="1">
        <values>
          <value>
            <val>9900</val>
          </value>
        </values>
      </ddeItem>
      <ddeItem name="SGSPG,LA" advise="1">
        <values>
          <value>
            <val>1050</val>
          </value>
        </values>
      </ddeItem>
      <ddeItem name="SGTBS,LA" advise="1">
        <values>
          <value>
            <val>8555</val>
          </value>
        </values>
      </ddeItem>
      <ddeItem name="SGTKG,LA" advise="1">
        <values>
          <value>
            <val>8025</val>
          </value>
        </values>
      </ddeItem>
      <ddeItem name="SGTNT,LA" advise="1">
        <values>
          <value>
            <val>4650</val>
          </value>
        </values>
      </ddeItem>
      <ddeItem name="SGTRU,LA" advise="1">
        <values>
          <value>
            <val>1040</val>
          </value>
        </values>
      </ddeItem>
      <ddeItem name="SGUSV,LA" advise="1">
        <values>
          <value>
            <val>3550</val>
          </value>
        </values>
      </ddeItem>
      <ddeItem name="SGVNF,LA" advise="1">
        <values>
          <value>
            <val>2132</val>
          </value>
        </values>
      </ddeItem>
      <ddeItem name="SGWAR,LA" advise="1">
        <values>
          <value>
            <val>3250</val>
          </value>
        </values>
      </ddeItem>
      <ddeItem name="SGWHL,LA" advise="1">
        <values>
          <value>
            <val>726</val>
          </value>
        </values>
      </ddeItem>
      <ddeItem name="StdDocumentName" ole="1" advise="1"/>
    </ddeItems>
  </dd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9"/>
  <sheetViews>
    <sheetView tabSelected="1" topLeftCell="A328" zoomScaleNormal="100" workbookViewId="0">
      <selection activeCell="C330" sqref="C330"/>
    </sheetView>
  </sheetViews>
  <sheetFormatPr defaultColWidth="6.7265625" defaultRowHeight="12.75" customHeight="1" x14ac:dyDescent="0.25"/>
  <cols>
    <col min="1" max="1" width="10.1796875" style="17" customWidth="1"/>
    <col min="2" max="2" width="23" style="17" customWidth="1"/>
    <col min="3" max="6" width="9.7265625" style="17" customWidth="1"/>
    <col min="7" max="7" width="9.453125" style="17" customWidth="1"/>
    <col min="8" max="8" width="9.7265625" style="17" customWidth="1"/>
    <col min="9" max="9" width="6.7265625" style="17" customWidth="1"/>
    <col min="10" max="10" width="8.453125" style="17" customWidth="1"/>
    <col min="11" max="16384" width="6.7265625" style="17"/>
  </cols>
  <sheetData>
    <row r="1" spans="1:13" ht="12.75" customHeight="1" thickBot="1" x14ac:dyDescent="0.35">
      <c r="A1" s="63" t="s">
        <v>56</v>
      </c>
      <c r="B1" s="22"/>
      <c r="C1" s="22"/>
      <c r="F1" s="27" t="s">
        <v>47</v>
      </c>
      <c r="G1" s="149">
        <v>38078</v>
      </c>
      <c r="H1" s="149"/>
    </row>
    <row r="2" spans="1:13" ht="12.75" customHeight="1" x14ac:dyDescent="0.3">
      <c r="A2" s="64"/>
      <c r="B2" s="65"/>
      <c r="C2" s="97"/>
      <c r="D2" s="97"/>
      <c r="E2" s="97"/>
      <c r="F2" s="97"/>
      <c r="G2" s="97" t="s">
        <v>0</v>
      </c>
      <c r="H2" s="34" t="s">
        <v>1</v>
      </c>
      <c r="I2" s="22"/>
      <c r="J2" s="22"/>
    </row>
    <row r="3" spans="1:13" ht="12.75" customHeight="1" x14ac:dyDescent="0.3">
      <c r="A3" s="183" t="s">
        <v>2</v>
      </c>
      <c r="B3" s="184"/>
      <c r="C3" s="79" t="s">
        <v>3</v>
      </c>
      <c r="D3" s="79" t="s">
        <v>4</v>
      </c>
      <c r="E3" s="79" t="s">
        <v>5</v>
      </c>
      <c r="F3" s="79" t="s">
        <v>6</v>
      </c>
      <c r="G3" s="79" t="s">
        <v>7</v>
      </c>
      <c r="H3" s="35" t="s">
        <v>8</v>
      </c>
      <c r="I3" s="22"/>
      <c r="J3" s="22"/>
      <c r="K3" s="22"/>
      <c r="L3" s="22"/>
      <c r="M3" s="22"/>
    </row>
    <row r="4" spans="1:13" ht="12.75" customHeight="1" x14ac:dyDescent="0.3">
      <c r="A4" s="181" t="s">
        <v>74</v>
      </c>
      <c r="B4" s="182"/>
      <c r="C4" s="30"/>
      <c r="D4" s="30"/>
      <c r="E4" s="30"/>
      <c r="F4" s="30"/>
      <c r="G4" s="106"/>
      <c r="H4" s="36"/>
      <c r="I4" s="22"/>
      <c r="J4" s="22"/>
      <c r="K4" s="22"/>
      <c r="L4" s="22"/>
      <c r="M4" s="22"/>
    </row>
    <row r="5" spans="1:13" ht="12.75" customHeight="1" x14ac:dyDescent="0.3">
      <c r="A5" s="156">
        <v>38155</v>
      </c>
      <c r="B5" s="157"/>
      <c r="C5" s="1">
        <f>[1]!'SGJ200,LA'</f>
        <v>9846.18</v>
      </c>
      <c r="D5" s="31">
        <v>9927</v>
      </c>
      <c r="E5" s="31">
        <v>9930</v>
      </c>
      <c r="F5" s="1">
        <f>SUM(D5:E5)/2</f>
        <v>9928.5</v>
      </c>
      <c r="G5" s="15"/>
      <c r="H5" s="16">
        <v>20</v>
      </c>
      <c r="I5" s="85"/>
      <c r="J5" s="86"/>
      <c r="K5" s="85"/>
      <c r="L5" s="85"/>
      <c r="M5" s="85"/>
    </row>
    <row r="6" spans="1:13" ht="12.75" customHeight="1" x14ac:dyDescent="0.3">
      <c r="A6" s="156">
        <v>38246</v>
      </c>
      <c r="B6" s="157"/>
      <c r="C6" s="31">
        <f>C5</f>
        <v>9846.18</v>
      </c>
      <c r="D6" s="31">
        <v>10017</v>
      </c>
      <c r="E6" s="31">
        <v>10035</v>
      </c>
      <c r="F6" s="1">
        <f>SUM(D6:E6)/2</f>
        <v>10026</v>
      </c>
      <c r="G6" s="15"/>
      <c r="H6" s="16">
        <v>20.5</v>
      </c>
      <c r="I6" s="85"/>
      <c r="J6" s="86"/>
      <c r="K6" s="85"/>
      <c r="L6" s="85"/>
      <c r="M6" s="85"/>
    </row>
    <row r="7" spans="1:13" ht="12.75" customHeight="1" x14ac:dyDescent="0.3">
      <c r="A7" s="156">
        <v>38336</v>
      </c>
      <c r="B7" s="157"/>
      <c r="C7" s="31">
        <f>C6</f>
        <v>9846.18</v>
      </c>
      <c r="D7" s="31">
        <v>10100</v>
      </c>
      <c r="E7" s="31">
        <v>10160</v>
      </c>
      <c r="F7" s="1">
        <f>SUM(D7:E7)/2</f>
        <v>10130</v>
      </c>
      <c r="G7" s="15"/>
      <c r="H7" s="16">
        <v>20.5</v>
      </c>
      <c r="I7" s="85"/>
      <c r="J7" s="86"/>
      <c r="K7" s="85"/>
      <c r="L7" s="85"/>
      <c r="M7" s="85"/>
    </row>
    <row r="8" spans="1:13" ht="12.75" customHeight="1" x14ac:dyDescent="0.3">
      <c r="A8" s="156">
        <v>38428</v>
      </c>
      <c r="B8" s="157"/>
      <c r="C8" s="31">
        <f>C7</f>
        <v>9846.18</v>
      </c>
      <c r="D8" s="31">
        <v>10227</v>
      </c>
      <c r="E8" s="31">
        <v>10260</v>
      </c>
      <c r="F8" s="1">
        <f>SUM(D8:E8)/2</f>
        <v>10243.5</v>
      </c>
      <c r="G8" s="15"/>
      <c r="H8" s="16">
        <v>20</v>
      </c>
      <c r="I8" s="85"/>
      <c r="J8" s="86"/>
      <c r="K8" s="85"/>
      <c r="L8" s="85"/>
      <c r="M8" s="85"/>
    </row>
    <row r="9" spans="1:13" ht="12.75" customHeight="1" x14ac:dyDescent="0.3">
      <c r="A9" s="156">
        <v>38518</v>
      </c>
      <c r="B9" s="157"/>
      <c r="C9" s="31">
        <f>C8</f>
        <v>9846.18</v>
      </c>
      <c r="D9" s="31">
        <f>F9-50</f>
        <v>10318.5</v>
      </c>
      <c r="E9" s="31">
        <f>F9+50</f>
        <v>10418.5</v>
      </c>
      <c r="F9" s="1">
        <f>F5+440</f>
        <v>10368.5</v>
      </c>
      <c r="G9" s="15"/>
      <c r="H9" s="16">
        <v>19.5</v>
      </c>
      <c r="I9" s="85"/>
      <c r="J9" s="86"/>
      <c r="K9" s="85"/>
      <c r="L9" s="85"/>
      <c r="M9" s="85"/>
    </row>
    <row r="10" spans="1:13" ht="12.75" customHeight="1" x14ac:dyDescent="0.3">
      <c r="A10" s="150">
        <v>38610</v>
      </c>
      <c r="B10" s="151"/>
      <c r="C10" s="1">
        <f>C8</f>
        <v>9846.18</v>
      </c>
      <c r="D10" s="1">
        <f>F10-60</f>
        <v>10418</v>
      </c>
      <c r="E10" s="1">
        <f>F10+60</f>
        <v>10538</v>
      </c>
      <c r="F10" s="1">
        <f>F6+452</f>
        <v>10478</v>
      </c>
      <c r="G10" s="2"/>
      <c r="H10" s="3">
        <v>22.7</v>
      </c>
      <c r="I10" s="85"/>
      <c r="J10" s="86"/>
      <c r="K10" s="85"/>
      <c r="L10" s="85"/>
      <c r="M10" s="85"/>
    </row>
    <row r="11" spans="1:13" ht="12.75" customHeight="1" x14ac:dyDescent="0.3">
      <c r="A11" s="150">
        <v>38701</v>
      </c>
      <c r="B11" s="151"/>
      <c r="C11" s="31">
        <f>C10</f>
        <v>9846.18</v>
      </c>
      <c r="D11" s="31">
        <f>F11-70</f>
        <v>10605</v>
      </c>
      <c r="E11" s="31">
        <f>F11+70</f>
        <v>10745</v>
      </c>
      <c r="F11" s="1">
        <f>F7+545</f>
        <v>10675</v>
      </c>
      <c r="G11" s="15"/>
      <c r="H11" s="16">
        <v>19.5</v>
      </c>
      <c r="I11" s="85"/>
      <c r="J11" s="86"/>
      <c r="K11" s="85"/>
      <c r="L11" s="85"/>
      <c r="M11" s="85"/>
    </row>
    <row r="12" spans="1:13" ht="12.75" customHeight="1" x14ac:dyDescent="0.3">
      <c r="A12" s="156">
        <v>38792</v>
      </c>
      <c r="B12" s="157"/>
      <c r="C12" s="31">
        <f>C8</f>
        <v>9846.18</v>
      </c>
      <c r="D12" s="31">
        <f>F12-80</f>
        <v>10799.5</v>
      </c>
      <c r="E12" s="31">
        <f>F12+80</f>
        <v>10959.5</v>
      </c>
      <c r="F12" s="1">
        <f>F8+636</f>
        <v>10879.5</v>
      </c>
      <c r="G12" s="15"/>
      <c r="H12" s="16">
        <v>19.5</v>
      </c>
      <c r="I12" s="85"/>
      <c r="J12" s="86"/>
      <c r="K12" s="85"/>
      <c r="L12" s="85"/>
      <c r="M12" s="85"/>
    </row>
    <row r="13" spans="1:13" ht="12.75" customHeight="1" x14ac:dyDescent="0.3">
      <c r="A13" s="152">
        <v>39156</v>
      </c>
      <c r="B13" s="153"/>
      <c r="C13" s="29">
        <f>C12</f>
        <v>9846.18</v>
      </c>
      <c r="D13" s="29">
        <f>F13-100</f>
        <v>11301.5</v>
      </c>
      <c r="E13" s="29">
        <f>F13+100</f>
        <v>11501.5</v>
      </c>
      <c r="F13" s="29">
        <f>F12+522</f>
        <v>11401.5</v>
      </c>
      <c r="G13" s="4"/>
      <c r="H13" s="5">
        <v>22.8</v>
      </c>
      <c r="I13" s="85"/>
      <c r="J13" s="86"/>
      <c r="K13" s="85"/>
      <c r="L13" s="85"/>
      <c r="M13" s="85"/>
    </row>
    <row r="14" spans="1:13" ht="12.75" customHeight="1" x14ac:dyDescent="0.3">
      <c r="A14" s="181" t="s">
        <v>75</v>
      </c>
      <c r="B14" s="182"/>
      <c r="C14" s="37"/>
      <c r="D14" s="37"/>
      <c r="E14" s="37"/>
      <c r="F14" s="37"/>
      <c r="G14" s="38"/>
      <c r="H14" s="9"/>
    </row>
    <row r="15" spans="1:13" s="87" customFormat="1" ht="12.75" customHeight="1" x14ac:dyDescent="0.3">
      <c r="A15" s="156">
        <v>38155</v>
      </c>
      <c r="B15" s="157"/>
      <c r="C15" s="31">
        <f>[1]!'SGJ211,LA'</f>
        <v>7321.46</v>
      </c>
      <c r="D15" s="138">
        <v>7400</v>
      </c>
      <c r="E15" s="138">
        <v>7440</v>
      </c>
      <c r="F15" s="31">
        <f>SUM(D15:E15)/2</f>
        <v>7420</v>
      </c>
      <c r="G15" s="15"/>
      <c r="H15" s="16">
        <v>22</v>
      </c>
    </row>
    <row r="16" spans="1:13" s="87" customFormat="1" ht="12.75" customHeight="1" x14ac:dyDescent="0.3">
      <c r="A16" s="152">
        <v>38246</v>
      </c>
      <c r="B16" s="153"/>
      <c r="C16" s="29">
        <f>[1]!'SGJ211,LA'</f>
        <v>7321.46</v>
      </c>
      <c r="D16" s="136">
        <f>F16-40</f>
        <v>7480</v>
      </c>
      <c r="E16" s="136">
        <f>F16+40</f>
        <v>7560</v>
      </c>
      <c r="F16" s="29">
        <f>F15+100</f>
        <v>7520</v>
      </c>
      <c r="G16" s="4"/>
      <c r="H16" s="5">
        <v>22</v>
      </c>
    </row>
    <row r="17" spans="1:8" ht="12.75" customHeight="1" x14ac:dyDescent="0.3">
      <c r="A17" s="173" t="s">
        <v>76</v>
      </c>
      <c r="B17" s="180"/>
      <c r="C17" s="55"/>
      <c r="D17" s="55"/>
      <c r="E17" s="55"/>
      <c r="F17" s="55"/>
      <c r="G17" s="32"/>
      <c r="H17" s="33"/>
    </row>
    <row r="18" spans="1:8" ht="12.75" customHeight="1" x14ac:dyDescent="0.3">
      <c r="A18" s="156">
        <v>38155</v>
      </c>
      <c r="B18" s="157"/>
      <c r="C18" s="31">
        <f>[1]!'SGJ212,LA'</f>
        <v>3805.6</v>
      </c>
      <c r="D18" s="31">
        <v>3780</v>
      </c>
      <c r="E18" s="31">
        <v>3810</v>
      </c>
      <c r="F18" s="31">
        <f>SUM(D18:E18)/2</f>
        <v>3795</v>
      </c>
      <c r="G18" s="15"/>
      <c r="H18" s="16">
        <v>25</v>
      </c>
    </row>
    <row r="19" spans="1:8" ht="12.75" customHeight="1" x14ac:dyDescent="0.3">
      <c r="A19" s="152">
        <v>38246</v>
      </c>
      <c r="B19" s="153"/>
      <c r="C19" s="29">
        <f>[1]!'SGJ212,LA'</f>
        <v>3805.6</v>
      </c>
      <c r="D19" s="29">
        <f>F19-40</f>
        <v>3855</v>
      </c>
      <c r="E19" s="29">
        <f>F19+40</f>
        <v>3935</v>
      </c>
      <c r="F19" s="29">
        <f>F18+100</f>
        <v>3895</v>
      </c>
      <c r="G19" s="4"/>
      <c r="H19" s="5">
        <v>25</v>
      </c>
    </row>
    <row r="20" spans="1:8" ht="12.75" customHeight="1" x14ac:dyDescent="0.3">
      <c r="A20" s="173" t="s">
        <v>82</v>
      </c>
      <c r="B20" s="180"/>
      <c r="C20" s="55"/>
      <c r="D20" s="55"/>
      <c r="E20" s="55"/>
      <c r="F20" s="55"/>
      <c r="G20" s="32"/>
      <c r="H20" s="33"/>
    </row>
    <row r="21" spans="1:8" ht="12.75" customHeight="1" x14ac:dyDescent="0.3">
      <c r="A21" s="156">
        <v>38155</v>
      </c>
      <c r="B21" s="157"/>
      <c r="C21" s="31">
        <f>[1]!'SGJ213,LA'</f>
        <v>9988.0499999999993</v>
      </c>
      <c r="D21" s="31">
        <f>F21-40</f>
        <v>10148.049999999999</v>
      </c>
      <c r="E21" s="31">
        <f>F21+40</f>
        <v>10228.049999999999</v>
      </c>
      <c r="F21" s="31">
        <f>C21+200</f>
        <v>10188.049999999999</v>
      </c>
      <c r="G21" s="15"/>
      <c r="H21" s="16">
        <v>27.5</v>
      </c>
    </row>
    <row r="22" spans="1:8" ht="12.75" customHeight="1" x14ac:dyDescent="0.3">
      <c r="A22" s="152">
        <v>38246</v>
      </c>
      <c r="B22" s="153"/>
      <c r="C22" s="29">
        <f>[1]!'SGJ213,LA'</f>
        <v>9988.0499999999993</v>
      </c>
      <c r="D22" s="29">
        <f>F22-50</f>
        <v>10238.049999999999</v>
      </c>
      <c r="E22" s="29">
        <f>F22+50</f>
        <v>10338.049999999999</v>
      </c>
      <c r="F22" s="29">
        <f>F21+100</f>
        <v>10288.049999999999</v>
      </c>
      <c r="G22" s="4"/>
      <c r="H22" s="5">
        <v>27.5</v>
      </c>
    </row>
    <row r="23" spans="1:8" ht="12.75" customHeight="1" x14ac:dyDescent="0.3">
      <c r="A23" s="173" t="s">
        <v>77</v>
      </c>
      <c r="B23" s="180"/>
      <c r="C23" s="55"/>
      <c r="D23" s="55"/>
      <c r="E23" s="55"/>
      <c r="F23" s="55"/>
      <c r="G23" s="32"/>
      <c r="H23" s="33"/>
    </row>
    <row r="24" spans="1:8" ht="12.75" customHeight="1" x14ac:dyDescent="0.3">
      <c r="A24" s="156">
        <v>38155</v>
      </c>
      <c r="B24" s="157"/>
      <c r="C24" s="31">
        <f>[1]!'SGJ210,LA'</f>
        <v>20195.68</v>
      </c>
      <c r="D24" s="31">
        <v>20349</v>
      </c>
      <c r="E24" s="31">
        <v>20369</v>
      </c>
      <c r="F24" s="31">
        <f>SUM(D24:E24)/2</f>
        <v>20359</v>
      </c>
      <c r="G24" s="15"/>
      <c r="H24" s="16">
        <v>30</v>
      </c>
    </row>
    <row r="25" spans="1:8" ht="12.75" customHeight="1" x14ac:dyDescent="0.3">
      <c r="A25" s="152">
        <v>38246</v>
      </c>
      <c r="B25" s="153"/>
      <c r="C25" s="29">
        <f>[1]!'SGJ210,LA'</f>
        <v>20195.68</v>
      </c>
      <c r="D25" s="29">
        <f>F25-40</f>
        <v>20419</v>
      </c>
      <c r="E25" s="29">
        <f>F25+40</f>
        <v>20499</v>
      </c>
      <c r="F25" s="29">
        <f>F24+100</f>
        <v>20459</v>
      </c>
      <c r="G25" s="4"/>
      <c r="H25" s="5">
        <v>30</v>
      </c>
    </row>
    <row r="26" spans="1:8" ht="12.75" customHeight="1" x14ac:dyDescent="0.3">
      <c r="A26" s="173" t="s">
        <v>105</v>
      </c>
      <c r="B26" s="180"/>
      <c r="C26" s="55"/>
      <c r="D26" s="55"/>
      <c r="E26" s="55"/>
      <c r="F26" s="55"/>
      <c r="G26" s="32"/>
      <c r="H26" s="33"/>
    </row>
    <row r="27" spans="1:8" ht="12.75" customHeight="1" x14ac:dyDescent="0.3">
      <c r="A27" s="156">
        <v>38155</v>
      </c>
      <c r="B27" s="157"/>
      <c r="C27" s="31">
        <f>[1]!'SGJ300,LA'</f>
        <v>4970.47</v>
      </c>
      <c r="D27" s="31">
        <f>F27-40</f>
        <v>5130.47</v>
      </c>
      <c r="E27" s="31">
        <f>F27+40</f>
        <v>5210.47</v>
      </c>
      <c r="F27" s="31">
        <f>C27+200</f>
        <v>5170.47</v>
      </c>
      <c r="G27" s="15"/>
      <c r="H27" s="16">
        <v>30</v>
      </c>
    </row>
    <row r="28" spans="1:8" ht="12.75" customHeight="1" x14ac:dyDescent="0.3">
      <c r="A28" s="152">
        <v>38246</v>
      </c>
      <c r="B28" s="153"/>
      <c r="C28" s="29">
        <f>[1]!'SGJ300,LA'</f>
        <v>4970.47</v>
      </c>
      <c r="D28" s="29">
        <f>F28-50</f>
        <v>5220.47</v>
      </c>
      <c r="E28" s="29">
        <f>F28+50</f>
        <v>5320.47</v>
      </c>
      <c r="F28" s="29">
        <f>F27+100</f>
        <v>5270.47</v>
      </c>
      <c r="G28" s="4"/>
      <c r="H28" s="5">
        <v>30</v>
      </c>
    </row>
    <row r="29" spans="1:8" ht="12.75" customHeight="1" x14ac:dyDescent="0.3">
      <c r="A29" s="173" t="s">
        <v>106</v>
      </c>
      <c r="B29" s="180"/>
      <c r="C29" s="55"/>
      <c r="D29" s="55"/>
      <c r="E29" s="55"/>
      <c r="F29" s="55"/>
      <c r="G29" s="32"/>
      <c r="H29" s="33"/>
    </row>
    <row r="30" spans="1:8" ht="12.75" customHeight="1" x14ac:dyDescent="0.3">
      <c r="A30" s="156">
        <v>38155</v>
      </c>
      <c r="B30" s="157"/>
      <c r="C30" s="31">
        <f>[1]!'SGJ400,LA'</f>
        <v>2055.94</v>
      </c>
      <c r="D30" s="31">
        <f>F30-40</f>
        <v>2215.94</v>
      </c>
      <c r="E30" s="31">
        <f>F30+40</f>
        <v>2295.94</v>
      </c>
      <c r="F30" s="31">
        <f>C30+200</f>
        <v>2255.94</v>
      </c>
      <c r="G30" s="15"/>
      <c r="H30" s="16">
        <v>30</v>
      </c>
    </row>
    <row r="31" spans="1:8" ht="12.75" customHeight="1" x14ac:dyDescent="0.3">
      <c r="A31" s="152">
        <v>38246</v>
      </c>
      <c r="B31" s="153"/>
      <c r="C31" s="29">
        <f>[1]!'SGJ400,LA'</f>
        <v>2055.94</v>
      </c>
      <c r="D31" s="29">
        <f>F31-50</f>
        <v>2305.94</v>
      </c>
      <c r="E31" s="29">
        <f>F31+50</f>
        <v>2405.94</v>
      </c>
      <c r="F31" s="29">
        <f>F30+100</f>
        <v>2355.94</v>
      </c>
      <c r="G31" s="4"/>
      <c r="H31" s="5">
        <v>30</v>
      </c>
    </row>
    <row r="32" spans="1:8" ht="12.75" customHeight="1" x14ac:dyDescent="0.3">
      <c r="A32" s="173" t="s">
        <v>78</v>
      </c>
      <c r="B32" s="174"/>
      <c r="C32" s="92"/>
      <c r="D32" s="92"/>
      <c r="E32" s="92"/>
      <c r="F32" s="92"/>
      <c r="G32" s="39"/>
      <c r="H32" s="54"/>
    </row>
    <row r="33" spans="1:8" ht="12.75" customHeight="1" x14ac:dyDescent="0.3">
      <c r="A33" s="156">
        <v>38155</v>
      </c>
      <c r="B33" s="157"/>
      <c r="C33" s="31">
        <f>[1]!'SGJ150,LA'</f>
        <v>2254.37</v>
      </c>
      <c r="D33" s="31">
        <v>2405</v>
      </c>
      <c r="E33" s="31">
        <v>2425</v>
      </c>
      <c r="F33" s="31">
        <f>SUM(D33:E33)/2</f>
        <v>2415</v>
      </c>
      <c r="G33" s="15"/>
      <c r="H33" s="16">
        <v>30</v>
      </c>
    </row>
    <row r="34" spans="1:8" ht="12.75" customHeight="1" x14ac:dyDescent="0.3">
      <c r="A34" s="152">
        <v>38246</v>
      </c>
      <c r="B34" s="153"/>
      <c r="C34" s="29">
        <f>[1]!'SGJ150,LA'</f>
        <v>2254.37</v>
      </c>
      <c r="D34" s="29">
        <f>F34-40</f>
        <v>2475</v>
      </c>
      <c r="E34" s="29">
        <f>F34+40</f>
        <v>2555</v>
      </c>
      <c r="F34" s="29">
        <f>F33+100</f>
        <v>2515</v>
      </c>
      <c r="G34" s="4"/>
      <c r="H34" s="5">
        <v>30</v>
      </c>
    </row>
    <row r="35" spans="1:8" ht="12.75" customHeight="1" x14ac:dyDescent="0.3">
      <c r="A35" s="192" t="s">
        <v>98</v>
      </c>
      <c r="B35" s="193"/>
      <c r="C35" s="55"/>
      <c r="D35" s="55"/>
      <c r="E35" s="55"/>
      <c r="F35" s="55"/>
      <c r="G35" s="32"/>
      <c r="H35" s="33"/>
    </row>
    <row r="36" spans="1:8" ht="12.75" customHeight="1" x14ac:dyDescent="0.3">
      <c r="A36" s="150">
        <v>38155</v>
      </c>
      <c r="B36" s="151"/>
      <c r="C36" s="2">
        <f>[1]!'SGKR,LA'/100</f>
        <v>2800</v>
      </c>
      <c r="D36" s="2">
        <f>F36-40</f>
        <v>2812.56</v>
      </c>
      <c r="E36" s="2">
        <f>F36+40</f>
        <v>2892.56</v>
      </c>
      <c r="F36" s="2">
        <f>C36+52.56</f>
        <v>2852.56</v>
      </c>
      <c r="G36" s="2"/>
      <c r="H36" s="3">
        <v>28</v>
      </c>
    </row>
    <row r="37" spans="1:8" ht="12.75" customHeight="1" x14ac:dyDescent="0.3">
      <c r="A37" s="150">
        <v>38246</v>
      </c>
      <c r="B37" s="151"/>
      <c r="C37" s="2">
        <f>[1]!'SGKR,LA'/100</f>
        <v>2800</v>
      </c>
      <c r="D37" s="2">
        <f>F37-50</f>
        <v>2865.95</v>
      </c>
      <c r="E37" s="2">
        <f>F37+50</f>
        <v>2965.95</v>
      </c>
      <c r="F37" s="2">
        <f>C37+115.95</f>
        <v>2915.95</v>
      </c>
      <c r="G37" s="2"/>
      <c r="H37" s="3">
        <v>28</v>
      </c>
    </row>
    <row r="38" spans="1:8" ht="12.75" customHeight="1" x14ac:dyDescent="0.3">
      <c r="A38" s="175">
        <v>38336</v>
      </c>
      <c r="B38" s="176"/>
      <c r="C38" s="99">
        <f>[1]!'SGKR,LA'/100</f>
        <v>2800</v>
      </c>
      <c r="D38" s="99">
        <f>F38-60</f>
        <v>2921.48</v>
      </c>
      <c r="E38" s="99">
        <f>F38+60</f>
        <v>3041.48</v>
      </c>
      <c r="F38" s="99">
        <f>C38+181.48</f>
        <v>2981.48</v>
      </c>
      <c r="G38" s="99"/>
      <c r="H38" s="100">
        <v>28</v>
      </c>
    </row>
    <row r="39" spans="1:8" ht="12.75" customHeight="1" x14ac:dyDescent="0.3">
      <c r="A39" s="158" t="s">
        <v>94</v>
      </c>
      <c r="B39" s="159"/>
      <c r="C39" s="55"/>
      <c r="D39" s="55"/>
      <c r="E39" s="55"/>
      <c r="F39" s="55"/>
      <c r="G39" s="56"/>
      <c r="H39" s="33"/>
    </row>
    <row r="40" spans="1:8" ht="12.75" customHeight="1" x14ac:dyDescent="0.3">
      <c r="A40" s="156">
        <v>38155</v>
      </c>
      <c r="B40" s="157"/>
      <c r="C40" s="15">
        <f>[1]!'SGABI,LA'/100</f>
        <v>71.5</v>
      </c>
      <c r="D40" s="15">
        <f>F40-0.4</f>
        <v>72.399999999999991</v>
      </c>
      <c r="E40" s="15">
        <f>F40+0.4</f>
        <v>73.2</v>
      </c>
      <c r="F40" s="15">
        <f>C40+1.3</f>
        <v>72.8</v>
      </c>
      <c r="G40" s="15"/>
      <c r="H40" s="16">
        <v>30</v>
      </c>
    </row>
    <row r="41" spans="1:8" ht="12.75" customHeight="1" x14ac:dyDescent="0.3">
      <c r="A41" s="152">
        <v>38246</v>
      </c>
      <c r="B41" s="153"/>
      <c r="C41" s="4">
        <f>[1]!'SGABI,LA'/100</f>
        <v>71.5</v>
      </c>
      <c r="D41" s="4">
        <f>F41-0.5</f>
        <v>73.97</v>
      </c>
      <c r="E41" s="4">
        <f>F41+0.5</f>
        <v>74.97</v>
      </c>
      <c r="F41" s="4">
        <f>C41+2.97</f>
        <v>74.47</v>
      </c>
      <c r="G41" s="4"/>
      <c r="H41" s="5">
        <v>30</v>
      </c>
    </row>
    <row r="42" spans="1:8" ht="12.75" customHeight="1" x14ac:dyDescent="0.3">
      <c r="A42" s="158" t="s">
        <v>12</v>
      </c>
      <c r="B42" s="159"/>
      <c r="C42" s="55"/>
      <c r="D42" s="55"/>
      <c r="E42" s="55"/>
      <c r="F42" s="55"/>
      <c r="G42" s="56"/>
      <c r="H42" s="33"/>
    </row>
    <row r="43" spans="1:8" ht="12.75" customHeight="1" x14ac:dyDescent="0.3">
      <c r="A43" s="156">
        <v>38155</v>
      </c>
      <c r="B43" s="157"/>
      <c r="C43" s="15">
        <f>[1]!'SGABL,LA'/100</f>
        <v>12</v>
      </c>
      <c r="D43" s="15">
        <f>F43-0.4</f>
        <v>11.61</v>
      </c>
      <c r="E43" s="15">
        <f>F43+0.4</f>
        <v>12.41</v>
      </c>
      <c r="F43" s="15">
        <f>C43+0.01</f>
        <v>12.01</v>
      </c>
      <c r="G43" s="15"/>
      <c r="H43" s="16">
        <v>38</v>
      </c>
    </row>
    <row r="44" spans="1:8" ht="12.75" customHeight="1" x14ac:dyDescent="0.3">
      <c r="A44" s="152">
        <v>38246</v>
      </c>
      <c r="B44" s="153"/>
      <c r="C44" s="15">
        <f>[1]!'SGABL,LA'/100</f>
        <v>12</v>
      </c>
      <c r="D44" s="4">
        <f>F44-0.5</f>
        <v>11.83</v>
      </c>
      <c r="E44" s="4">
        <f>F44+0.5</f>
        <v>12.83</v>
      </c>
      <c r="F44" s="4">
        <f>C44+0.33</f>
        <v>12.33</v>
      </c>
      <c r="G44" s="4"/>
      <c r="H44" s="5">
        <v>38</v>
      </c>
    </row>
    <row r="45" spans="1:8" ht="12.75" customHeight="1" x14ac:dyDescent="0.3">
      <c r="A45" s="158" t="s">
        <v>95</v>
      </c>
      <c r="B45" s="159"/>
      <c r="C45" s="139"/>
      <c r="D45" s="55"/>
      <c r="E45" s="55"/>
      <c r="F45" s="55"/>
      <c r="G45" s="56"/>
      <c r="H45" s="33"/>
    </row>
    <row r="46" spans="1:8" ht="12.75" customHeight="1" x14ac:dyDescent="0.3">
      <c r="A46" s="156">
        <v>38155</v>
      </c>
      <c r="B46" s="157"/>
      <c r="C46" s="2">
        <f>[1]!'SGAEG,LA'/100</f>
        <v>7.3</v>
      </c>
      <c r="D46" s="15">
        <f>F46-0.4</f>
        <v>7.0399999999999991</v>
      </c>
      <c r="E46" s="15">
        <f>F46+0.4</f>
        <v>7.84</v>
      </c>
      <c r="F46" s="15">
        <f>C46+0.14</f>
        <v>7.4399999999999995</v>
      </c>
      <c r="G46" s="15"/>
      <c r="H46" s="16">
        <v>30</v>
      </c>
    </row>
    <row r="47" spans="1:8" ht="12.75" customHeight="1" x14ac:dyDescent="0.3">
      <c r="A47" s="152">
        <v>38246</v>
      </c>
      <c r="B47" s="153"/>
      <c r="C47" s="4">
        <f>[1]!'SGAEG,LA'/100</f>
        <v>7.3</v>
      </c>
      <c r="D47" s="4">
        <f>F47-0.5</f>
        <v>7.1099999999999994</v>
      </c>
      <c r="E47" s="4">
        <f>F47+0.5</f>
        <v>8.11</v>
      </c>
      <c r="F47" s="4">
        <f>C46+0.31</f>
        <v>7.6099999999999994</v>
      </c>
      <c r="G47" s="4"/>
      <c r="H47" s="5">
        <v>30</v>
      </c>
    </row>
    <row r="48" spans="1:8" ht="12.75" customHeight="1" x14ac:dyDescent="0.3">
      <c r="A48" s="158" t="s">
        <v>54</v>
      </c>
      <c r="B48" s="159"/>
      <c r="C48" s="32"/>
      <c r="D48" s="55"/>
      <c r="E48" s="55"/>
      <c r="F48" s="55"/>
      <c r="G48" s="56"/>
      <c r="H48" s="33"/>
    </row>
    <row r="49" spans="1:8" ht="12.75" customHeight="1" x14ac:dyDescent="0.3">
      <c r="A49" s="156">
        <v>38155</v>
      </c>
      <c r="B49" s="157"/>
      <c r="C49" s="15">
        <f>[1]!'SGAFB,LA'/100</f>
        <v>10.3</v>
      </c>
      <c r="D49" s="15">
        <f>F49-0.4</f>
        <v>10.08</v>
      </c>
      <c r="E49" s="15">
        <f>F49+0.4</f>
        <v>10.88</v>
      </c>
      <c r="F49" s="15">
        <f>C49+0.18</f>
        <v>10.48</v>
      </c>
      <c r="G49" s="15"/>
      <c r="H49" s="16">
        <v>33.5</v>
      </c>
    </row>
    <row r="50" spans="1:8" ht="12.75" customHeight="1" x14ac:dyDescent="0.3">
      <c r="A50" s="152">
        <v>38246</v>
      </c>
      <c r="B50" s="153"/>
      <c r="C50" s="4">
        <f>[1]!'SGAFB,LA'/100</f>
        <v>10.3</v>
      </c>
      <c r="D50" s="4">
        <f>F50-0.5</f>
        <v>9.32</v>
      </c>
      <c r="E50" s="4">
        <f>F50+0.5</f>
        <v>10.32</v>
      </c>
      <c r="F50" s="4">
        <f>C50-0.48</f>
        <v>9.82</v>
      </c>
      <c r="G50" s="4"/>
      <c r="H50" s="5">
        <v>33.5</v>
      </c>
    </row>
    <row r="51" spans="1:8" ht="12.75" customHeight="1" x14ac:dyDescent="0.3">
      <c r="A51" s="154" t="s">
        <v>131</v>
      </c>
      <c r="B51" s="155"/>
      <c r="C51" s="39"/>
      <c r="D51" s="39"/>
      <c r="E51" s="39"/>
      <c r="F51" s="39"/>
      <c r="G51" s="39"/>
      <c r="H51" s="54"/>
    </row>
    <row r="52" spans="1:8" ht="12.75" customHeight="1" x14ac:dyDescent="0.3">
      <c r="A52" s="156">
        <v>38155</v>
      </c>
      <c r="B52" s="157"/>
      <c r="C52" s="15">
        <f>[1]!'SGAFI,LA'/100</f>
        <v>15.5</v>
      </c>
      <c r="D52" s="15">
        <f>F52-0.4</f>
        <v>15.389999999999999</v>
      </c>
      <c r="E52" s="15">
        <f>F52+0.4</f>
        <v>16.189999999999998</v>
      </c>
      <c r="F52" s="15">
        <f>C52+0.29</f>
        <v>15.79</v>
      </c>
      <c r="G52" s="15"/>
      <c r="H52" s="16">
        <v>30</v>
      </c>
    </row>
    <row r="53" spans="1:8" ht="12.75" customHeight="1" x14ac:dyDescent="0.3">
      <c r="A53" s="152">
        <v>38246</v>
      </c>
      <c r="B53" s="153"/>
      <c r="C53" s="4">
        <f>[1]!'SGAFI,LA'/100</f>
        <v>15.5</v>
      </c>
      <c r="D53" s="4">
        <f>F53-0.5</f>
        <v>15.649999999999999</v>
      </c>
      <c r="E53" s="4">
        <f>F53+0.5</f>
        <v>16.649999999999999</v>
      </c>
      <c r="F53" s="4">
        <f>C53+0.65</f>
        <v>16.149999999999999</v>
      </c>
      <c r="G53" s="4"/>
      <c r="H53" s="5">
        <v>30</v>
      </c>
    </row>
    <row r="54" spans="1:8" ht="12.75" customHeight="1" x14ac:dyDescent="0.3">
      <c r="A54" s="158" t="s">
        <v>91</v>
      </c>
      <c r="B54" s="159"/>
      <c r="C54" s="32"/>
      <c r="D54" s="55"/>
      <c r="E54" s="55"/>
      <c r="F54" s="55"/>
      <c r="G54" s="56"/>
      <c r="H54" s="33"/>
    </row>
    <row r="55" spans="1:8" ht="12.75" customHeight="1" x14ac:dyDescent="0.3">
      <c r="A55" s="156">
        <v>38155</v>
      </c>
      <c r="B55" s="157"/>
      <c r="C55" s="15">
        <f>[1]!'SGAFL,LA'/100</f>
        <v>2.5</v>
      </c>
      <c r="D55" s="15">
        <f>F55-0.3</f>
        <v>2.25</v>
      </c>
      <c r="E55" s="15">
        <f>F55+0.3</f>
        <v>2.8499999999999996</v>
      </c>
      <c r="F55" s="15">
        <f>C55+0.05</f>
        <v>2.5499999999999998</v>
      </c>
      <c r="G55" s="15"/>
      <c r="H55" s="16">
        <v>30</v>
      </c>
    </row>
    <row r="56" spans="1:8" ht="12.75" customHeight="1" x14ac:dyDescent="0.3">
      <c r="A56" s="152">
        <v>38246</v>
      </c>
      <c r="B56" s="153"/>
      <c r="C56" s="4">
        <f>[1]!'SGAFL,LA'/100</f>
        <v>2.5</v>
      </c>
      <c r="D56" s="4">
        <f>F56-0.4</f>
        <v>2.2000000000000002</v>
      </c>
      <c r="E56" s="4">
        <f>F56+0.4</f>
        <v>3</v>
      </c>
      <c r="F56" s="4">
        <f>C56+0.1</f>
        <v>2.6</v>
      </c>
      <c r="G56" s="4"/>
      <c r="H56" s="5">
        <v>30</v>
      </c>
    </row>
    <row r="57" spans="1:8" ht="12.75" customHeight="1" x14ac:dyDescent="0.3">
      <c r="A57" s="158" t="s">
        <v>132</v>
      </c>
      <c r="B57" s="159"/>
      <c r="C57" s="32"/>
      <c r="D57" s="55"/>
      <c r="E57" s="55"/>
      <c r="F57" s="55"/>
      <c r="G57" s="56"/>
      <c r="H57" s="33"/>
    </row>
    <row r="58" spans="1:8" ht="12.75" customHeight="1" x14ac:dyDescent="0.3">
      <c r="A58" s="156">
        <v>38155</v>
      </c>
      <c r="B58" s="157"/>
      <c r="C58" s="15">
        <f>[1]!'SGAFR,LA'/100</f>
        <v>6.65</v>
      </c>
      <c r="D58" s="15">
        <f>F58-0.4</f>
        <v>6.37</v>
      </c>
      <c r="E58" s="15">
        <f>F58+0.4</f>
        <v>7.1700000000000008</v>
      </c>
      <c r="F58" s="15">
        <f>C58+0.12</f>
        <v>6.7700000000000005</v>
      </c>
      <c r="G58" s="15"/>
      <c r="H58" s="16">
        <v>30</v>
      </c>
    </row>
    <row r="59" spans="1:8" ht="12.75" customHeight="1" x14ac:dyDescent="0.3">
      <c r="A59" s="152">
        <v>38246</v>
      </c>
      <c r="B59" s="153"/>
      <c r="C59" s="4">
        <f>[1]!'SGAFR,LA'/100</f>
        <v>6.65</v>
      </c>
      <c r="D59" s="4">
        <f>F59-0.5</f>
        <v>6.42</v>
      </c>
      <c r="E59" s="4">
        <f>F59+0.5</f>
        <v>7.42</v>
      </c>
      <c r="F59" s="4">
        <f>C59+0.27</f>
        <v>6.92</v>
      </c>
      <c r="G59" s="4"/>
      <c r="H59" s="5">
        <v>30</v>
      </c>
    </row>
    <row r="60" spans="1:8" ht="12.75" customHeight="1" x14ac:dyDescent="0.3">
      <c r="A60" s="154" t="s">
        <v>118</v>
      </c>
      <c r="B60" s="155"/>
      <c r="C60" s="39"/>
      <c r="D60" s="39"/>
      <c r="E60" s="39"/>
      <c r="F60" s="39"/>
      <c r="G60" s="39"/>
      <c r="H60" s="54"/>
    </row>
    <row r="61" spans="1:8" ht="12.75" customHeight="1" x14ac:dyDescent="0.3">
      <c r="A61" s="156">
        <v>38155</v>
      </c>
      <c r="B61" s="157"/>
      <c r="C61" s="15">
        <f>[1]!'SGAFX,LA'/100</f>
        <v>19</v>
      </c>
      <c r="D61" s="15">
        <f>F61-0.4</f>
        <v>18.950000000000003</v>
      </c>
      <c r="E61" s="15">
        <f>F61+0.4</f>
        <v>19.75</v>
      </c>
      <c r="F61" s="15">
        <f>C61+0.35</f>
        <v>19.350000000000001</v>
      </c>
      <c r="G61" s="15"/>
      <c r="H61" s="16">
        <v>30</v>
      </c>
    </row>
    <row r="62" spans="1:8" ht="12.75" customHeight="1" thickBot="1" x14ac:dyDescent="0.35">
      <c r="A62" s="156">
        <v>38246</v>
      </c>
      <c r="B62" s="157"/>
      <c r="C62" s="15">
        <f>[1]!'SGAFX,LA'/100</f>
        <v>19</v>
      </c>
      <c r="D62" s="4">
        <f>F62-0.5</f>
        <v>19.29</v>
      </c>
      <c r="E62" s="4">
        <f>F62+0.5</f>
        <v>20.29</v>
      </c>
      <c r="F62" s="15">
        <f>C62+0.79</f>
        <v>19.79</v>
      </c>
      <c r="G62" s="39"/>
      <c r="H62" s="54">
        <v>30</v>
      </c>
    </row>
    <row r="63" spans="1:8" ht="12.75" customHeight="1" x14ac:dyDescent="0.3">
      <c r="A63" s="69"/>
      <c r="B63" s="70"/>
      <c r="C63" s="53"/>
      <c r="D63" s="53"/>
      <c r="E63" s="53"/>
      <c r="F63" s="53"/>
      <c r="G63" s="53"/>
      <c r="H63" s="53"/>
    </row>
    <row r="64" spans="1:8" ht="12.75" customHeight="1" x14ac:dyDescent="0.3">
      <c r="A64" s="108"/>
      <c r="B64" s="128"/>
      <c r="C64" s="8"/>
      <c r="D64" s="8"/>
      <c r="E64" s="8"/>
      <c r="F64" s="8"/>
      <c r="G64" s="8"/>
      <c r="H64" s="8"/>
    </row>
    <row r="65" spans="1:11" ht="12.75" customHeight="1" thickBot="1" x14ac:dyDescent="0.35">
      <c r="A65" s="108"/>
      <c r="B65" s="128"/>
      <c r="C65" s="8"/>
      <c r="D65" s="8"/>
      <c r="E65" s="8"/>
      <c r="F65" s="8"/>
      <c r="G65" s="8"/>
      <c r="H65" s="8"/>
    </row>
    <row r="66" spans="1:11" ht="12.75" customHeight="1" x14ac:dyDescent="0.3">
      <c r="A66" s="194" t="s">
        <v>143</v>
      </c>
      <c r="B66" s="195"/>
      <c r="C66" s="28"/>
      <c r="D66" s="28"/>
      <c r="E66" s="28"/>
      <c r="F66" s="28"/>
      <c r="G66" s="28"/>
      <c r="H66" s="107"/>
      <c r="K66" s="88"/>
    </row>
    <row r="67" spans="1:11" ht="12.75" customHeight="1" x14ac:dyDescent="0.3">
      <c r="A67" s="156">
        <v>38155</v>
      </c>
      <c r="B67" s="157"/>
      <c r="C67" s="15">
        <f>[1]!'SGAGL,LA'/100</f>
        <v>153.75</v>
      </c>
      <c r="D67" s="15">
        <f>F67-0.4</f>
        <v>156.07</v>
      </c>
      <c r="E67" s="15">
        <f>F67+0.4</f>
        <v>156.87</v>
      </c>
      <c r="F67" s="15">
        <f>C67+2.72</f>
        <v>156.47</v>
      </c>
      <c r="G67" s="15"/>
      <c r="H67" s="16">
        <v>31</v>
      </c>
      <c r="K67" s="88"/>
    </row>
    <row r="68" spans="1:11" ht="12.75" customHeight="1" x14ac:dyDescent="0.3">
      <c r="A68" s="152">
        <v>38246</v>
      </c>
      <c r="B68" s="153"/>
      <c r="C68" s="4">
        <f>[1]!'SGAGL,LA'/100</f>
        <v>153.75</v>
      </c>
      <c r="D68" s="4">
        <f>F68-0.5</f>
        <v>158.44</v>
      </c>
      <c r="E68" s="4">
        <f>F68+0.5</f>
        <v>159.44</v>
      </c>
      <c r="F68" s="4">
        <f>C68+5.19</f>
        <v>158.94</v>
      </c>
      <c r="G68" s="4"/>
      <c r="H68" s="5">
        <v>33.5</v>
      </c>
      <c r="K68" s="88"/>
    </row>
    <row r="69" spans="1:11" ht="12.75" customHeight="1" x14ac:dyDescent="0.3">
      <c r="A69" s="166" t="s">
        <v>125</v>
      </c>
      <c r="B69" s="167"/>
      <c r="C69" s="32"/>
      <c r="D69" s="32"/>
      <c r="E69" s="32"/>
      <c r="F69" s="32"/>
      <c r="G69" s="32"/>
      <c r="H69" s="33"/>
      <c r="K69" s="88"/>
    </row>
    <row r="70" spans="1:11" ht="12.75" customHeight="1" x14ac:dyDescent="0.3">
      <c r="A70" s="156">
        <v>38155</v>
      </c>
      <c r="B70" s="157"/>
      <c r="C70" s="15">
        <f>[1]!'SGAHH,LA'/100</f>
        <v>13.92</v>
      </c>
      <c r="D70" s="15">
        <f>F70-0.4</f>
        <v>13.78</v>
      </c>
      <c r="E70" s="15">
        <f>F70+0.4</f>
        <v>14.58</v>
      </c>
      <c r="F70" s="15">
        <f>C70+0.26</f>
        <v>14.18</v>
      </c>
      <c r="G70" s="15"/>
      <c r="H70" s="16">
        <v>30</v>
      </c>
      <c r="K70" s="88"/>
    </row>
    <row r="71" spans="1:11" ht="12.75" customHeight="1" x14ac:dyDescent="0.3">
      <c r="A71" s="152">
        <v>38246</v>
      </c>
      <c r="B71" s="153"/>
      <c r="C71" s="4">
        <f>[1]!'SGAHH,LA'/100</f>
        <v>13.92</v>
      </c>
      <c r="D71" s="4">
        <f>F71-0.5</f>
        <v>14.01</v>
      </c>
      <c r="E71" s="4">
        <f>F71+0.5</f>
        <v>15.01</v>
      </c>
      <c r="F71" s="4">
        <f>C71+0.59</f>
        <v>14.51</v>
      </c>
      <c r="G71" s="4"/>
      <c r="H71" s="5">
        <v>30</v>
      </c>
      <c r="K71" s="88"/>
    </row>
    <row r="72" spans="1:11" ht="12.75" customHeight="1" x14ac:dyDescent="0.3">
      <c r="A72" s="166" t="s">
        <v>139</v>
      </c>
      <c r="B72" s="167"/>
      <c r="C72" s="32"/>
      <c r="D72" s="32"/>
      <c r="E72" s="32"/>
      <c r="F72" s="32"/>
      <c r="G72" s="32"/>
      <c r="H72" s="33"/>
      <c r="K72" s="88"/>
    </row>
    <row r="73" spans="1:11" ht="12.75" customHeight="1" x14ac:dyDescent="0.3">
      <c r="A73" s="156">
        <v>38155</v>
      </c>
      <c r="B73" s="157"/>
      <c r="C73" s="15">
        <f>[1]!'SGAIN,LA'/100</f>
        <v>45</v>
      </c>
      <c r="D73" s="15">
        <f>F73-0.4</f>
        <v>45.4</v>
      </c>
      <c r="E73" s="15">
        <f>F73+0.4</f>
        <v>46.199999999999996</v>
      </c>
      <c r="F73" s="15">
        <f>C73+0.8</f>
        <v>45.8</v>
      </c>
      <c r="G73" s="15"/>
      <c r="H73" s="16">
        <v>30</v>
      </c>
      <c r="K73" s="88"/>
    </row>
    <row r="74" spans="1:11" ht="12.75" customHeight="1" x14ac:dyDescent="0.3">
      <c r="A74" s="152">
        <v>38246</v>
      </c>
      <c r="B74" s="153"/>
      <c r="C74" s="4">
        <f>[1]!'SGAIN,LA'/100</f>
        <v>45</v>
      </c>
      <c r="D74" s="4">
        <f>F74-0.5</f>
        <v>46.36</v>
      </c>
      <c r="E74" s="4">
        <f>F74+0.5</f>
        <v>47.36</v>
      </c>
      <c r="F74" s="4">
        <f>C74+1.86</f>
        <v>46.86</v>
      </c>
      <c r="G74" s="4"/>
      <c r="H74" s="5">
        <v>30</v>
      </c>
      <c r="K74" s="88"/>
    </row>
    <row r="75" spans="1:11" ht="12.75" customHeight="1" x14ac:dyDescent="0.3">
      <c r="A75" s="166" t="s">
        <v>104</v>
      </c>
      <c r="B75" s="167"/>
      <c r="C75" s="32"/>
      <c r="D75" s="32"/>
      <c r="E75" s="32"/>
      <c r="F75" s="32"/>
      <c r="G75" s="32"/>
      <c r="H75" s="33"/>
      <c r="K75" s="88"/>
    </row>
    <row r="76" spans="1:11" ht="12.75" customHeight="1" x14ac:dyDescent="0.3">
      <c r="A76" s="156">
        <v>38155</v>
      </c>
      <c r="B76" s="157"/>
      <c r="C76" s="15">
        <f>[1]!'SGALT,LA'/100</f>
        <v>31.01</v>
      </c>
      <c r="D76" s="15">
        <f>F76-0.4</f>
        <v>31.17</v>
      </c>
      <c r="E76" s="15">
        <f>F76+0.4</f>
        <v>31.97</v>
      </c>
      <c r="F76" s="15">
        <f>C76+0.56</f>
        <v>31.57</v>
      </c>
      <c r="G76" s="15"/>
      <c r="H76" s="16">
        <v>30</v>
      </c>
      <c r="K76" s="88"/>
    </row>
    <row r="77" spans="1:11" ht="12.75" customHeight="1" x14ac:dyDescent="0.3">
      <c r="A77" s="152">
        <v>38246</v>
      </c>
      <c r="B77" s="153"/>
      <c r="C77" s="4">
        <f>[1]!'SGALT,LA'/100</f>
        <v>31.01</v>
      </c>
      <c r="D77" s="4">
        <f>F77-0.5</f>
        <v>31.800000000000004</v>
      </c>
      <c r="E77" s="4">
        <f>F77+0.5</f>
        <v>32.800000000000004</v>
      </c>
      <c r="F77" s="4">
        <f>C77+1.29</f>
        <v>32.300000000000004</v>
      </c>
      <c r="G77" s="4"/>
      <c r="H77" s="5">
        <v>30</v>
      </c>
      <c r="K77" s="88"/>
    </row>
    <row r="78" spans="1:11" ht="12.75" customHeight="1" x14ac:dyDescent="0.3">
      <c r="A78" s="166" t="s">
        <v>13</v>
      </c>
      <c r="B78" s="167"/>
      <c r="C78" s="32"/>
      <c r="D78" s="32"/>
      <c r="E78" s="32"/>
      <c r="F78" s="32"/>
      <c r="G78" s="38"/>
      <c r="H78" s="9"/>
      <c r="K78" s="88"/>
    </row>
    <row r="79" spans="1:11" ht="12.75" customHeight="1" x14ac:dyDescent="0.3">
      <c r="A79" s="156">
        <v>38155</v>
      </c>
      <c r="B79" s="157"/>
      <c r="C79" s="15">
        <f>[1]!'SGAMS,LA'/100</f>
        <v>277.5</v>
      </c>
      <c r="D79" s="15">
        <f>F79-0.4</f>
        <v>282.09000000000003</v>
      </c>
      <c r="E79" s="15">
        <f>F79+0.4</f>
        <v>282.89</v>
      </c>
      <c r="F79" s="15">
        <f>C79+4.99</f>
        <v>282.49</v>
      </c>
      <c r="G79" s="15"/>
      <c r="H79" s="16">
        <v>32</v>
      </c>
      <c r="J79" s="85"/>
      <c r="K79" s="88"/>
    </row>
    <row r="80" spans="1:11" ht="12.75" customHeight="1" x14ac:dyDescent="0.3">
      <c r="A80" s="152">
        <v>38246</v>
      </c>
      <c r="B80" s="153"/>
      <c r="C80" s="4">
        <f>[1]!'SGAMS,LA'/100</f>
        <v>277.5</v>
      </c>
      <c r="D80" s="4">
        <f>F80-0.5</f>
        <v>287.55</v>
      </c>
      <c r="E80" s="4">
        <f>F80+0.5</f>
        <v>288.55</v>
      </c>
      <c r="F80" s="4">
        <f>C80+10.55</f>
        <v>288.05</v>
      </c>
      <c r="G80" s="4">
        <v>33.5</v>
      </c>
      <c r="H80" s="5">
        <v>35</v>
      </c>
      <c r="J80" s="85"/>
      <c r="K80" s="88"/>
    </row>
    <row r="81" spans="1:11" ht="12.75" customHeight="1" x14ac:dyDescent="0.3">
      <c r="A81" s="158" t="s">
        <v>14</v>
      </c>
      <c r="B81" s="159"/>
      <c r="C81" s="32"/>
      <c r="D81" s="32"/>
      <c r="E81" s="32"/>
      <c r="F81" s="32"/>
      <c r="G81" s="32"/>
      <c r="H81" s="33"/>
      <c r="K81" s="88"/>
    </row>
    <row r="82" spans="1:11" ht="12.75" customHeight="1" x14ac:dyDescent="0.3">
      <c r="A82" s="156">
        <v>38155</v>
      </c>
      <c r="B82" s="157"/>
      <c r="C82" s="15">
        <f>[1]!'SGANG,LA'/100</f>
        <v>269.5</v>
      </c>
      <c r="D82" s="15">
        <f>F82-0.4</f>
        <v>273.92</v>
      </c>
      <c r="E82" s="15">
        <f>F82+0.4</f>
        <v>274.71999999999997</v>
      </c>
      <c r="F82" s="15">
        <f>C82+4.82</f>
        <v>274.32</v>
      </c>
      <c r="G82" s="15"/>
      <c r="H82" s="16">
        <v>34</v>
      </c>
      <c r="K82" s="88"/>
    </row>
    <row r="83" spans="1:11" ht="12.75" customHeight="1" x14ac:dyDescent="0.3">
      <c r="A83" s="152">
        <v>38246</v>
      </c>
      <c r="B83" s="153"/>
      <c r="C83" s="4">
        <f>[1]!'SGANG,LA'/100</f>
        <v>269.5</v>
      </c>
      <c r="D83" s="4">
        <f>F83-0.5</f>
        <v>277.69</v>
      </c>
      <c r="E83" s="4">
        <f>F83+0.5</f>
        <v>278.69</v>
      </c>
      <c r="F83" s="4">
        <f>C83+8.69</f>
        <v>278.19</v>
      </c>
      <c r="G83" s="4"/>
      <c r="H83" s="5">
        <v>34</v>
      </c>
      <c r="K83" s="88"/>
    </row>
    <row r="84" spans="1:11" ht="12.75" customHeight="1" x14ac:dyDescent="0.3">
      <c r="A84" s="154" t="s">
        <v>150</v>
      </c>
      <c r="B84" s="155"/>
      <c r="C84" s="39"/>
      <c r="D84" s="39"/>
      <c r="E84" s="39"/>
      <c r="F84" s="39"/>
      <c r="G84" s="39"/>
      <c r="H84" s="54"/>
      <c r="K84" s="88"/>
    </row>
    <row r="85" spans="1:11" ht="12.75" customHeight="1" x14ac:dyDescent="0.3">
      <c r="A85" s="156">
        <v>38155</v>
      </c>
      <c r="B85" s="157"/>
      <c r="C85" s="15">
        <f>[1]!'SGAPA,LA'/100</f>
        <v>8.25</v>
      </c>
      <c r="D85" s="15">
        <f>F85-0.4</f>
        <v>7.85</v>
      </c>
      <c r="E85" s="15">
        <f>F85+0.4</f>
        <v>8.65</v>
      </c>
      <c r="F85" s="15">
        <f>C85</f>
        <v>8.25</v>
      </c>
      <c r="G85" s="15"/>
      <c r="H85" s="16">
        <v>30</v>
      </c>
      <c r="K85" s="88"/>
    </row>
    <row r="86" spans="1:11" ht="12.75" customHeight="1" x14ac:dyDescent="0.3">
      <c r="A86" s="152">
        <v>38246</v>
      </c>
      <c r="B86" s="153"/>
      <c r="C86" s="4">
        <f>[1]!'SGAPA,LA'/100</f>
        <v>8.25</v>
      </c>
      <c r="D86" s="4">
        <f>F86-0.5</f>
        <v>7.75</v>
      </c>
      <c r="E86" s="4">
        <f>F86+0.5</f>
        <v>8.75</v>
      </c>
      <c r="F86" s="4">
        <f>F85</f>
        <v>8.25</v>
      </c>
      <c r="G86" s="4"/>
      <c r="H86" s="5">
        <v>30</v>
      </c>
      <c r="K86" s="88"/>
    </row>
    <row r="87" spans="1:11" ht="12.75" customHeight="1" x14ac:dyDescent="0.3">
      <c r="A87" s="154" t="s">
        <v>151</v>
      </c>
      <c r="B87" s="155"/>
      <c r="C87" s="39"/>
      <c r="D87" s="39"/>
      <c r="E87" s="39"/>
      <c r="F87" s="39"/>
      <c r="G87" s="39"/>
      <c r="H87" s="54"/>
      <c r="K87" s="88"/>
    </row>
    <row r="88" spans="1:11" ht="12.75" customHeight="1" x14ac:dyDescent="0.3">
      <c r="A88" s="156">
        <v>38155</v>
      </c>
      <c r="B88" s="157"/>
      <c r="C88" s="15">
        <f>[1]!'SGAPB,LA'/100</f>
        <v>7.4</v>
      </c>
      <c r="D88" s="15">
        <f>F88-0.4</f>
        <v>7</v>
      </c>
      <c r="E88" s="15">
        <f>F88+0.4</f>
        <v>7.8000000000000007</v>
      </c>
      <c r="F88" s="15">
        <f>C88</f>
        <v>7.4</v>
      </c>
      <c r="G88" s="15"/>
      <c r="H88" s="16">
        <v>30</v>
      </c>
      <c r="K88" s="88"/>
    </row>
    <row r="89" spans="1:11" ht="12.75" customHeight="1" x14ac:dyDescent="0.3">
      <c r="A89" s="152">
        <v>38246</v>
      </c>
      <c r="B89" s="153"/>
      <c r="C89" s="4">
        <f>[1]!'SGAPB,LA'/100</f>
        <v>7.4</v>
      </c>
      <c r="D89" s="4">
        <f>F89-0.5</f>
        <v>6.9</v>
      </c>
      <c r="E89" s="4">
        <f>F89+0.5</f>
        <v>7.9</v>
      </c>
      <c r="F89" s="4">
        <f>F88</f>
        <v>7.4</v>
      </c>
      <c r="G89" s="4"/>
      <c r="H89" s="5">
        <v>30</v>
      </c>
      <c r="K89" s="88"/>
    </row>
    <row r="90" spans="1:11" ht="12.75" customHeight="1" x14ac:dyDescent="0.3">
      <c r="A90" s="158" t="s">
        <v>127</v>
      </c>
      <c r="B90" s="159"/>
      <c r="C90" s="32"/>
      <c r="D90" s="32"/>
      <c r="E90" s="32"/>
      <c r="F90" s="32"/>
      <c r="G90" s="32"/>
      <c r="H90" s="33"/>
      <c r="K90" s="88"/>
    </row>
    <row r="91" spans="1:11" ht="12.75" customHeight="1" x14ac:dyDescent="0.3">
      <c r="A91" s="156">
        <v>38155</v>
      </c>
      <c r="B91" s="157"/>
      <c r="C91" s="15">
        <f>[1]!'SGAPL,LA'/100</f>
        <v>7.8</v>
      </c>
      <c r="D91" s="15">
        <f>F91-0.4</f>
        <v>7.55</v>
      </c>
      <c r="E91" s="15">
        <f>F91+0.4</f>
        <v>8.35</v>
      </c>
      <c r="F91" s="15">
        <f>C91+0.15</f>
        <v>7.95</v>
      </c>
      <c r="G91" s="15"/>
      <c r="H91" s="16">
        <v>30</v>
      </c>
      <c r="K91" s="88"/>
    </row>
    <row r="92" spans="1:11" ht="12.75" customHeight="1" x14ac:dyDescent="0.3">
      <c r="A92" s="152">
        <v>38246</v>
      </c>
      <c r="B92" s="153"/>
      <c r="C92" s="4">
        <f>[1]!'SGAPL,LA'/100</f>
        <v>7.8</v>
      </c>
      <c r="D92" s="4">
        <f>F92-0.5</f>
        <v>7.6199999999999992</v>
      </c>
      <c r="E92" s="4">
        <f>F92+0.5</f>
        <v>8.6199999999999992</v>
      </c>
      <c r="F92" s="4">
        <f>C92+0.32</f>
        <v>8.1199999999999992</v>
      </c>
      <c r="G92" s="4"/>
      <c r="H92" s="5">
        <v>30</v>
      </c>
      <c r="K92" s="88"/>
    </row>
    <row r="93" spans="1:11" ht="12.75" customHeight="1" x14ac:dyDescent="0.3">
      <c r="A93" s="158" t="s">
        <v>111</v>
      </c>
      <c r="B93" s="159"/>
      <c r="C93" s="32"/>
      <c r="D93" s="32"/>
      <c r="E93" s="32"/>
      <c r="F93" s="32"/>
      <c r="G93" s="32"/>
      <c r="H93" s="33"/>
      <c r="K93" s="88"/>
    </row>
    <row r="94" spans="1:11" ht="12.75" customHeight="1" x14ac:dyDescent="0.3">
      <c r="A94" s="156">
        <v>38155</v>
      </c>
      <c r="B94" s="157"/>
      <c r="C94" s="15">
        <f>[1]!'SGAPN,LA'/100</f>
        <v>12.4</v>
      </c>
      <c r="D94" s="15">
        <f>F94-0.4</f>
        <v>12.23</v>
      </c>
      <c r="E94" s="15">
        <f>F94+0.4</f>
        <v>13.030000000000001</v>
      </c>
      <c r="F94" s="15">
        <f>C94+0.23</f>
        <v>12.63</v>
      </c>
      <c r="G94" s="15"/>
      <c r="H94" s="16">
        <v>30</v>
      </c>
      <c r="K94" s="88"/>
    </row>
    <row r="95" spans="1:11" ht="12.75" customHeight="1" x14ac:dyDescent="0.3">
      <c r="A95" s="152">
        <v>38246</v>
      </c>
      <c r="B95" s="153"/>
      <c r="C95" s="4">
        <f>[1]!'SGAPN,LA'/100</f>
        <v>12.4</v>
      </c>
      <c r="D95" s="4">
        <f>F95-0.5</f>
        <v>12.43</v>
      </c>
      <c r="E95" s="4">
        <f>F95+0.5</f>
        <v>13.43</v>
      </c>
      <c r="F95" s="4">
        <f>C95+0.53</f>
        <v>12.93</v>
      </c>
      <c r="G95" s="4"/>
      <c r="H95" s="5">
        <v>30</v>
      </c>
      <c r="K95" s="88"/>
    </row>
    <row r="96" spans="1:11" ht="12.75" customHeight="1" x14ac:dyDescent="0.3">
      <c r="A96" s="154" t="s">
        <v>152</v>
      </c>
      <c r="B96" s="155"/>
      <c r="C96" s="39"/>
      <c r="D96" s="39"/>
      <c r="E96" s="39"/>
      <c r="F96" s="39"/>
      <c r="G96" s="39"/>
      <c r="H96" s="54"/>
      <c r="K96" s="88"/>
    </row>
    <row r="97" spans="1:11" ht="12.75" customHeight="1" x14ac:dyDescent="0.3">
      <c r="A97" s="156">
        <v>38155</v>
      </c>
      <c r="B97" s="157"/>
      <c r="C97" s="15">
        <v>2.52</v>
      </c>
      <c r="D97" s="117">
        <f>F97-0.2</f>
        <v>2.3199999999999998</v>
      </c>
      <c r="E97" s="117">
        <f>F97+0.2</f>
        <v>2.72</v>
      </c>
      <c r="F97" s="117">
        <f>C97</f>
        <v>2.52</v>
      </c>
      <c r="G97" s="15"/>
      <c r="H97" s="16">
        <v>30</v>
      </c>
      <c r="K97" s="88"/>
    </row>
    <row r="98" spans="1:11" ht="12.75" customHeight="1" x14ac:dyDescent="0.3">
      <c r="A98" s="152">
        <v>38246</v>
      </c>
      <c r="B98" s="153"/>
      <c r="C98" s="4">
        <v>2.52</v>
      </c>
      <c r="D98" s="116">
        <f>F98-0.3</f>
        <v>2.2200000000000002</v>
      </c>
      <c r="E98" s="116">
        <f>F98+0.3</f>
        <v>2.82</v>
      </c>
      <c r="F98" s="116">
        <f>F97</f>
        <v>2.52</v>
      </c>
      <c r="G98" s="4"/>
      <c r="H98" s="5">
        <v>30</v>
      </c>
      <c r="K98" s="88"/>
    </row>
    <row r="99" spans="1:11" ht="12.75" customHeight="1" x14ac:dyDescent="0.3">
      <c r="A99" s="158" t="s">
        <v>15</v>
      </c>
      <c r="B99" s="159"/>
      <c r="C99" s="32"/>
      <c r="D99" s="32"/>
      <c r="E99" s="32"/>
      <c r="F99" s="32"/>
      <c r="G99" s="32"/>
      <c r="H99" s="33"/>
      <c r="K99" s="88"/>
    </row>
    <row r="100" spans="1:11" ht="12.75" customHeight="1" x14ac:dyDescent="0.3">
      <c r="A100" s="156">
        <v>38155</v>
      </c>
      <c r="B100" s="157"/>
      <c r="C100" s="15">
        <f>[1]!'SGASA,LA'/100</f>
        <v>47.49</v>
      </c>
      <c r="D100" s="15">
        <f>F100-0.4</f>
        <v>47.940000000000005</v>
      </c>
      <c r="E100" s="15">
        <f>F100+0.4</f>
        <v>48.74</v>
      </c>
      <c r="F100" s="15">
        <f>C100+0.85</f>
        <v>48.34</v>
      </c>
      <c r="G100" s="15"/>
      <c r="H100" s="16">
        <v>25</v>
      </c>
      <c r="K100" s="88"/>
    </row>
    <row r="101" spans="1:11" ht="12.75" customHeight="1" x14ac:dyDescent="0.3">
      <c r="A101" s="152">
        <v>38246</v>
      </c>
      <c r="B101" s="153"/>
      <c r="C101" s="4">
        <f>[1]!'SGASA,LA'/100</f>
        <v>47.49</v>
      </c>
      <c r="D101" s="4">
        <f>F101-0.5</f>
        <v>48.06</v>
      </c>
      <c r="E101" s="4">
        <f>F101+0.5</f>
        <v>49.06</v>
      </c>
      <c r="F101" s="4">
        <f>C101+1.07</f>
        <v>48.56</v>
      </c>
      <c r="G101" s="4"/>
      <c r="H101" s="5">
        <v>25</v>
      </c>
      <c r="K101" s="88"/>
    </row>
    <row r="102" spans="1:11" ht="12.75" customHeight="1" x14ac:dyDescent="0.3">
      <c r="A102" s="158" t="s">
        <v>112</v>
      </c>
      <c r="B102" s="159"/>
      <c r="C102" s="32"/>
      <c r="D102" s="32"/>
      <c r="E102" s="32"/>
      <c r="F102" s="32"/>
      <c r="G102" s="32"/>
      <c r="H102" s="33"/>
      <c r="K102" s="88"/>
    </row>
    <row r="103" spans="1:11" ht="12.75" customHeight="1" x14ac:dyDescent="0.3">
      <c r="A103" s="156">
        <v>38155</v>
      </c>
      <c r="B103" s="157"/>
      <c r="C103" s="15">
        <f>[1]!'SGAVG,LA'/100</f>
        <v>9.6300000000000008</v>
      </c>
      <c r="D103" s="15">
        <f>F103-0.4</f>
        <v>9.41</v>
      </c>
      <c r="E103" s="15">
        <f>F103+0.4</f>
        <v>10.210000000000001</v>
      </c>
      <c r="F103" s="15">
        <f>C103+0.18</f>
        <v>9.81</v>
      </c>
      <c r="G103" s="15"/>
      <c r="H103" s="16">
        <v>30</v>
      </c>
      <c r="K103" s="88"/>
    </row>
    <row r="104" spans="1:11" ht="12.75" customHeight="1" x14ac:dyDescent="0.3">
      <c r="A104" s="152">
        <v>38246</v>
      </c>
      <c r="B104" s="153"/>
      <c r="C104" s="4">
        <f>[1]!'SGAVG,LA'/100</f>
        <v>9.6300000000000008</v>
      </c>
      <c r="D104" s="4">
        <f>F104-0.5</f>
        <v>9.5400000000000009</v>
      </c>
      <c r="E104" s="4">
        <f>F104+0.5</f>
        <v>10.540000000000001</v>
      </c>
      <c r="F104" s="4">
        <f>C104+0.41</f>
        <v>10.040000000000001</v>
      </c>
      <c r="G104" s="4"/>
      <c r="H104" s="5">
        <v>30</v>
      </c>
      <c r="K104" s="88"/>
    </row>
    <row r="105" spans="1:11" ht="12.75" customHeight="1" x14ac:dyDescent="0.3">
      <c r="A105" s="158" t="s">
        <v>124</v>
      </c>
      <c r="B105" s="159"/>
      <c r="C105" s="55"/>
      <c r="D105" s="55"/>
      <c r="E105" s="55"/>
      <c r="F105" s="55"/>
      <c r="G105" s="56"/>
      <c r="H105" s="33"/>
      <c r="K105" s="88"/>
    </row>
    <row r="106" spans="1:11" ht="12.75" customHeight="1" x14ac:dyDescent="0.3">
      <c r="A106" s="156">
        <v>38155</v>
      </c>
      <c r="B106" s="157"/>
      <c r="C106" s="15">
        <f>[1]!'SGAVI,LA'/100</f>
        <v>17.399999999999999</v>
      </c>
      <c r="D106" s="15">
        <f>F106-0.4</f>
        <v>17.32</v>
      </c>
      <c r="E106" s="15">
        <f>F106+0.4</f>
        <v>18.119999999999997</v>
      </c>
      <c r="F106" s="15">
        <f>C106+0.32</f>
        <v>17.72</v>
      </c>
      <c r="G106" s="15"/>
      <c r="H106" s="16">
        <v>30</v>
      </c>
      <c r="K106" s="88"/>
    </row>
    <row r="107" spans="1:11" ht="12.75" customHeight="1" x14ac:dyDescent="0.3">
      <c r="A107" s="152">
        <v>38246</v>
      </c>
      <c r="B107" s="153"/>
      <c r="C107" s="4">
        <f>[1]!'SGAVI,LA'/100</f>
        <v>17.399999999999999</v>
      </c>
      <c r="D107" s="4">
        <f>F107-0.5</f>
        <v>17.619999999999997</v>
      </c>
      <c r="E107" s="4">
        <f>F107+0.5</f>
        <v>18.619999999999997</v>
      </c>
      <c r="F107" s="4">
        <f>C107+0.72</f>
        <v>18.119999999999997</v>
      </c>
      <c r="G107" s="4"/>
      <c r="H107" s="5">
        <v>30</v>
      </c>
      <c r="K107" s="88"/>
    </row>
    <row r="108" spans="1:11" ht="12.75" customHeight="1" x14ac:dyDescent="0.3">
      <c r="A108" s="158" t="s">
        <v>45</v>
      </c>
      <c r="B108" s="159"/>
      <c r="C108" s="32"/>
      <c r="D108" s="32"/>
      <c r="E108" s="32"/>
      <c r="F108" s="32"/>
      <c r="G108" s="32"/>
      <c r="H108" s="33"/>
      <c r="K108" s="88"/>
    </row>
    <row r="109" spans="1:11" ht="12.75" customHeight="1" x14ac:dyDescent="0.3">
      <c r="A109" s="156">
        <v>38155</v>
      </c>
      <c r="B109" s="157"/>
      <c r="C109" s="15">
        <f>[1]!'SGBAW,LA'/100</f>
        <v>66.900000000000006</v>
      </c>
      <c r="D109" s="15">
        <f>F109-0.4</f>
        <v>67.709999999999994</v>
      </c>
      <c r="E109" s="15">
        <f>F109+0.4</f>
        <v>68.510000000000005</v>
      </c>
      <c r="F109" s="15">
        <f>C109+1.21</f>
        <v>68.11</v>
      </c>
      <c r="G109" s="15"/>
      <c r="H109" s="16">
        <v>27</v>
      </c>
    </row>
    <row r="110" spans="1:11" ht="12.75" customHeight="1" x14ac:dyDescent="0.3">
      <c r="A110" s="152">
        <v>38246</v>
      </c>
      <c r="B110" s="153"/>
      <c r="C110" s="4">
        <f>[1]!'SGBAW,LA'/100</f>
        <v>66.900000000000006</v>
      </c>
      <c r="D110" s="4">
        <f>F110-0.5</f>
        <v>69.17</v>
      </c>
      <c r="E110" s="4">
        <f>F110+0.5</f>
        <v>70.17</v>
      </c>
      <c r="F110" s="4">
        <f>C110+2.77</f>
        <v>69.67</v>
      </c>
      <c r="G110" s="4"/>
      <c r="H110" s="5">
        <v>27</v>
      </c>
    </row>
    <row r="111" spans="1:11" ht="12.75" customHeight="1" x14ac:dyDescent="0.3">
      <c r="A111" s="158" t="s">
        <v>128</v>
      </c>
      <c r="B111" s="159"/>
      <c r="C111" s="32"/>
      <c r="D111" s="32"/>
      <c r="E111" s="32"/>
      <c r="F111" s="32"/>
      <c r="G111" s="32"/>
      <c r="H111" s="33"/>
    </row>
    <row r="112" spans="1:11" ht="12.75" customHeight="1" x14ac:dyDescent="0.3">
      <c r="A112" s="156">
        <v>38155</v>
      </c>
      <c r="B112" s="157"/>
      <c r="C112" s="15">
        <f>[1]!'SGBDE,LA'/100</f>
        <v>38.5</v>
      </c>
      <c r="D112" s="15">
        <f>F112-0.4</f>
        <v>38.800000000000004</v>
      </c>
      <c r="E112" s="15">
        <f>F112+0.4</f>
        <v>39.6</v>
      </c>
      <c r="F112" s="15">
        <f>C112+0.7</f>
        <v>39.200000000000003</v>
      </c>
      <c r="G112" s="15"/>
      <c r="H112" s="16">
        <v>30</v>
      </c>
    </row>
    <row r="113" spans="1:11" ht="12.75" customHeight="1" x14ac:dyDescent="0.3">
      <c r="A113" s="152">
        <v>38246</v>
      </c>
      <c r="B113" s="153"/>
      <c r="C113" s="4">
        <f>[1]!'SGBDE,LA'/100</f>
        <v>38.5</v>
      </c>
      <c r="D113" s="4">
        <f>F113-0.5</f>
        <v>39.6</v>
      </c>
      <c r="E113" s="4">
        <f>F113+0.5</f>
        <v>40.6</v>
      </c>
      <c r="F113" s="15">
        <f>C113+1.6</f>
        <v>40.1</v>
      </c>
      <c r="G113" s="4"/>
      <c r="H113" s="5">
        <v>30</v>
      </c>
    </row>
    <row r="114" spans="1:11" ht="12.75" customHeight="1" x14ac:dyDescent="0.3">
      <c r="A114" s="160" t="s">
        <v>129</v>
      </c>
      <c r="B114" s="161"/>
      <c r="C114" s="6"/>
      <c r="D114" s="6"/>
      <c r="E114" s="6"/>
      <c r="F114" s="6"/>
      <c r="G114" s="6"/>
      <c r="H114" s="7"/>
      <c r="K114" s="88"/>
    </row>
    <row r="115" spans="1:11" ht="12.75" customHeight="1" x14ac:dyDescent="0.3">
      <c r="A115" s="156">
        <v>38155</v>
      </c>
      <c r="B115" s="157"/>
      <c r="C115" s="15">
        <f>[1]!'SGBDEO,LA'/100</f>
        <v>6.3</v>
      </c>
      <c r="D115" s="15">
        <f>F115-0.4</f>
        <v>5.8999999999999995</v>
      </c>
      <c r="E115" s="15">
        <f>F115+0.4</f>
        <v>6.7</v>
      </c>
      <c r="F115" s="15">
        <f>C115</f>
        <v>6.3</v>
      </c>
      <c r="G115" s="15"/>
      <c r="H115" s="16">
        <v>30</v>
      </c>
      <c r="K115" s="88"/>
    </row>
    <row r="116" spans="1:11" ht="12.75" customHeight="1" x14ac:dyDescent="0.3">
      <c r="A116" s="152">
        <v>38246</v>
      </c>
      <c r="B116" s="153"/>
      <c r="C116" s="4">
        <f>[1]!'SGBDEO,LA'/100</f>
        <v>6.3</v>
      </c>
      <c r="D116" s="4">
        <f>F116-0.5</f>
        <v>5.8</v>
      </c>
      <c r="E116" s="4">
        <f>F116+0.5</f>
        <v>6.8</v>
      </c>
      <c r="F116" s="4">
        <f>F115</f>
        <v>6.3</v>
      </c>
      <c r="G116" s="4"/>
      <c r="H116" s="5">
        <v>30</v>
      </c>
      <c r="K116" s="88"/>
    </row>
    <row r="117" spans="1:11" ht="12.75" customHeight="1" x14ac:dyDescent="0.3">
      <c r="A117" s="158" t="s">
        <v>123</v>
      </c>
      <c r="B117" s="159"/>
      <c r="C117" s="32"/>
      <c r="D117" s="32"/>
      <c r="E117" s="32"/>
      <c r="F117" s="32"/>
      <c r="G117" s="32"/>
      <c r="H117" s="33"/>
      <c r="K117" s="88"/>
    </row>
    <row r="118" spans="1:11" ht="12.75" customHeight="1" x14ac:dyDescent="0.3">
      <c r="A118" s="156">
        <v>38155</v>
      </c>
      <c r="B118" s="157"/>
      <c r="C118" s="15">
        <f>[1]!'SGBEL,LA'/100</f>
        <v>8</v>
      </c>
      <c r="D118" s="15">
        <f>F118-0.4</f>
        <v>7.73</v>
      </c>
      <c r="E118" s="15">
        <f>F118+0.4</f>
        <v>8.5300000000000011</v>
      </c>
      <c r="F118" s="15">
        <f>C118+0.13</f>
        <v>8.1300000000000008</v>
      </c>
      <c r="G118" s="15"/>
      <c r="H118" s="16">
        <v>30</v>
      </c>
      <c r="K118" s="88"/>
    </row>
    <row r="119" spans="1:11" ht="12.75" customHeight="1" x14ac:dyDescent="0.3">
      <c r="A119" s="152">
        <v>38246</v>
      </c>
      <c r="B119" s="153"/>
      <c r="C119" s="15">
        <f>[1]!'SGBEL,LA'/100</f>
        <v>8</v>
      </c>
      <c r="D119" s="4">
        <f>F119-0.5</f>
        <v>7.8100000000000005</v>
      </c>
      <c r="E119" s="4">
        <f>F119+0.5</f>
        <v>8.81</v>
      </c>
      <c r="F119" s="4">
        <f>C119+0.31</f>
        <v>8.31</v>
      </c>
      <c r="G119" s="4"/>
      <c r="H119" s="5">
        <v>30</v>
      </c>
      <c r="K119" s="88"/>
    </row>
    <row r="120" spans="1:11" ht="12.75" customHeight="1" x14ac:dyDescent="0.3">
      <c r="A120" s="67" t="s">
        <v>25</v>
      </c>
      <c r="B120" s="68"/>
      <c r="C120" s="32"/>
      <c r="D120" s="32"/>
      <c r="E120" s="32"/>
      <c r="F120" s="32"/>
      <c r="G120" s="32"/>
      <c r="H120" s="33"/>
      <c r="K120" s="88"/>
    </row>
    <row r="121" spans="1:11" ht="12.75" customHeight="1" x14ac:dyDescent="0.3">
      <c r="A121" s="156">
        <v>38155</v>
      </c>
      <c r="B121" s="157"/>
      <c r="C121" s="15">
        <f>[1]!'SGBIL,LA'/100</f>
        <v>59.01</v>
      </c>
      <c r="D121" s="15">
        <f>F121-0.4</f>
        <v>58.99</v>
      </c>
      <c r="E121" s="15">
        <f>F121+0.4</f>
        <v>59.79</v>
      </c>
      <c r="F121" s="15">
        <f>C121+0.38</f>
        <v>59.39</v>
      </c>
      <c r="G121" s="15"/>
      <c r="H121" s="16">
        <v>30</v>
      </c>
    </row>
    <row r="122" spans="1:11" ht="12.75" customHeight="1" x14ac:dyDescent="0.3">
      <c r="A122" s="152">
        <v>38246</v>
      </c>
      <c r="B122" s="153"/>
      <c r="C122" s="4">
        <f>[1]!'SGBIL,LA'/100</f>
        <v>59.01</v>
      </c>
      <c r="D122" s="4">
        <f>F122-0.5</f>
        <v>60.339999999999996</v>
      </c>
      <c r="E122" s="4">
        <f>F122+0.5</f>
        <v>61.339999999999996</v>
      </c>
      <c r="F122" s="4">
        <f>C122+1.83</f>
        <v>60.839999999999996</v>
      </c>
      <c r="G122" s="4"/>
      <c r="H122" s="5">
        <v>30</v>
      </c>
    </row>
    <row r="123" spans="1:11" ht="12.75" customHeight="1" x14ac:dyDescent="0.3">
      <c r="A123" s="67" t="s">
        <v>84</v>
      </c>
      <c r="B123" s="68"/>
      <c r="C123" s="32"/>
      <c r="D123" s="32"/>
      <c r="E123" s="32"/>
      <c r="F123" s="32"/>
      <c r="G123" s="32"/>
      <c r="H123" s="33"/>
    </row>
    <row r="124" spans="1:11" ht="12.75" customHeight="1" x14ac:dyDescent="0.3">
      <c r="A124" s="156">
        <v>38155</v>
      </c>
      <c r="B124" s="157"/>
      <c r="C124" s="15">
        <f>[1]!'SGBPL,LA'/100</f>
        <v>1.55</v>
      </c>
      <c r="D124" s="15">
        <f>F124-0.3</f>
        <v>1.28</v>
      </c>
      <c r="E124" s="15">
        <f>F124+0.3</f>
        <v>1.8800000000000001</v>
      </c>
      <c r="F124" s="15">
        <f>C124+0.03</f>
        <v>1.58</v>
      </c>
      <c r="G124" s="15"/>
      <c r="H124" s="16">
        <v>30</v>
      </c>
    </row>
    <row r="125" spans="1:11" ht="12.75" customHeight="1" x14ac:dyDescent="0.3">
      <c r="A125" s="152">
        <v>38246</v>
      </c>
      <c r="B125" s="153"/>
      <c r="C125" s="4">
        <f>[1]!'SGBPL,LA'/100</f>
        <v>1.55</v>
      </c>
      <c r="D125" s="4">
        <f>F125-0.4</f>
        <v>1.2200000000000002</v>
      </c>
      <c r="E125" s="4">
        <f>F125+0.4</f>
        <v>2.02</v>
      </c>
      <c r="F125" s="15">
        <f>C125+0.07</f>
        <v>1.62</v>
      </c>
      <c r="G125" s="4"/>
      <c r="H125" s="5">
        <v>30</v>
      </c>
    </row>
    <row r="126" spans="1:11" ht="12.75" customHeight="1" x14ac:dyDescent="0.3">
      <c r="A126" s="120" t="s">
        <v>24</v>
      </c>
      <c r="B126" s="137"/>
      <c r="C126" s="6"/>
      <c r="D126" s="6"/>
      <c r="E126" s="6"/>
      <c r="F126" s="6"/>
      <c r="G126" s="6"/>
      <c r="H126" s="7"/>
      <c r="K126" s="88"/>
    </row>
    <row r="127" spans="1:11" ht="12.75" customHeight="1" x14ac:dyDescent="0.3">
      <c r="A127" s="156">
        <v>38155</v>
      </c>
      <c r="B127" s="157"/>
      <c r="C127" s="15">
        <f>[1]!'SGBVT,LA'/100</f>
        <v>51.74</v>
      </c>
      <c r="D127" s="15">
        <f>F127-0.4</f>
        <v>52.290000000000006</v>
      </c>
      <c r="E127" s="15">
        <f>F127+0.4</f>
        <v>53.09</v>
      </c>
      <c r="F127" s="15">
        <f>C127+0.95</f>
        <v>52.690000000000005</v>
      </c>
      <c r="G127" s="15"/>
      <c r="H127" s="16">
        <v>25</v>
      </c>
      <c r="K127" s="88"/>
    </row>
    <row r="128" spans="1:11" ht="12.75" customHeight="1" thickBot="1" x14ac:dyDescent="0.35">
      <c r="A128" s="156">
        <v>38246</v>
      </c>
      <c r="B128" s="157"/>
      <c r="C128" s="15">
        <f>[1]!'SGBVT,LA'/100</f>
        <v>51.74</v>
      </c>
      <c r="D128" s="15">
        <f>F128-0.5</f>
        <v>53.400000000000006</v>
      </c>
      <c r="E128" s="15">
        <f>F128+0.5</f>
        <v>54.400000000000006</v>
      </c>
      <c r="F128" s="15">
        <f>C128+2.16</f>
        <v>53.900000000000006</v>
      </c>
      <c r="G128" s="15"/>
      <c r="H128" s="16">
        <v>25</v>
      </c>
      <c r="K128" s="88"/>
    </row>
    <row r="129" spans="1:11" ht="12.75" customHeight="1" x14ac:dyDescent="0.3">
      <c r="A129" s="69"/>
      <c r="B129" s="70"/>
      <c r="C129" s="53"/>
      <c r="D129" s="53"/>
      <c r="E129" s="53"/>
      <c r="F129" s="53"/>
      <c r="G129" s="53"/>
      <c r="H129" s="53"/>
      <c r="K129" s="88"/>
    </row>
    <row r="130" spans="1:11" ht="12.75" customHeight="1" thickBot="1" x14ac:dyDescent="0.35">
      <c r="A130" s="108"/>
      <c r="B130" s="128"/>
      <c r="C130" s="8"/>
      <c r="D130" s="8"/>
      <c r="E130" s="8"/>
      <c r="F130" s="8"/>
      <c r="G130" s="8"/>
      <c r="H130" s="8"/>
      <c r="K130" s="88"/>
    </row>
    <row r="131" spans="1:11" ht="12.75" customHeight="1" x14ac:dyDescent="0.3">
      <c r="A131" s="140" t="s">
        <v>144</v>
      </c>
      <c r="B131" s="141"/>
      <c r="C131" s="28"/>
      <c r="D131" s="28"/>
      <c r="E131" s="28"/>
      <c r="F131" s="28"/>
      <c r="G131" s="28"/>
      <c r="H131" s="107"/>
      <c r="K131" s="88"/>
    </row>
    <row r="132" spans="1:11" ht="12.75" customHeight="1" x14ac:dyDescent="0.3">
      <c r="A132" s="156">
        <v>38155</v>
      </c>
      <c r="B132" s="157"/>
      <c r="C132" s="2">
        <f>[1]!'SGCML,LA'/100</f>
        <v>4.0999999999999996</v>
      </c>
      <c r="D132" s="15">
        <f>F132-0.3</f>
        <v>3.88</v>
      </c>
      <c r="E132" s="15">
        <f>F132+0.3</f>
        <v>4.4799999999999995</v>
      </c>
      <c r="F132" s="15">
        <f>C132+0.08</f>
        <v>4.18</v>
      </c>
      <c r="G132" s="15"/>
      <c r="H132" s="16">
        <v>30</v>
      </c>
      <c r="K132" s="88"/>
    </row>
    <row r="133" spans="1:11" ht="12.75" customHeight="1" x14ac:dyDescent="0.3">
      <c r="A133" s="152">
        <v>38246</v>
      </c>
      <c r="B133" s="153"/>
      <c r="C133" s="4">
        <f>[1]!'SGCML,LA'/100</f>
        <v>4.0999999999999996</v>
      </c>
      <c r="D133" s="4">
        <f>F133-0.4</f>
        <v>3.6999999999999997</v>
      </c>
      <c r="E133" s="4">
        <f>F133+0.4</f>
        <v>4.5</v>
      </c>
      <c r="F133" s="4">
        <f>C133</f>
        <v>4.0999999999999996</v>
      </c>
      <c r="G133" s="4"/>
      <c r="H133" s="5">
        <v>27</v>
      </c>
      <c r="K133" s="88"/>
    </row>
    <row r="134" spans="1:11" ht="12.75" customHeight="1" x14ac:dyDescent="0.3">
      <c r="A134" s="67" t="s">
        <v>117</v>
      </c>
      <c r="B134" s="68"/>
      <c r="C134" s="32"/>
      <c r="D134" s="32"/>
      <c r="E134" s="32"/>
      <c r="F134" s="32"/>
      <c r="G134" s="32"/>
      <c r="H134" s="33"/>
      <c r="K134" s="88"/>
    </row>
    <row r="135" spans="1:11" ht="12.75" customHeight="1" x14ac:dyDescent="0.3">
      <c r="A135" s="156">
        <v>38155</v>
      </c>
      <c r="B135" s="157"/>
      <c r="C135" s="15">
        <f>[1]!'SGCPT,LA'/100</f>
        <v>11.5</v>
      </c>
      <c r="D135" s="15">
        <f>F135-0.3</f>
        <v>11.41</v>
      </c>
      <c r="E135" s="15">
        <f>F135+0.3</f>
        <v>12.010000000000002</v>
      </c>
      <c r="F135" s="15">
        <f>C135+0.21</f>
        <v>11.71</v>
      </c>
      <c r="G135" s="15"/>
      <c r="H135" s="16">
        <v>30</v>
      </c>
      <c r="K135" s="88"/>
    </row>
    <row r="136" spans="1:11" ht="12.75" customHeight="1" x14ac:dyDescent="0.3">
      <c r="A136" s="152">
        <v>38246</v>
      </c>
      <c r="B136" s="153"/>
      <c r="C136" s="4">
        <f>[1]!'SGCPT,LA'/100</f>
        <v>11.5</v>
      </c>
      <c r="D136" s="4">
        <f>F136-0.4</f>
        <v>11.57</v>
      </c>
      <c r="E136" s="4">
        <f>F136+0.4</f>
        <v>12.370000000000001</v>
      </c>
      <c r="F136" s="4">
        <f>C136+0.47</f>
        <v>11.97</v>
      </c>
      <c r="G136" s="4"/>
      <c r="H136" s="5">
        <v>30</v>
      </c>
      <c r="K136" s="88"/>
    </row>
    <row r="137" spans="1:11" ht="12.75" customHeight="1" x14ac:dyDescent="0.3">
      <c r="A137" s="158" t="s">
        <v>16</v>
      </c>
      <c r="B137" s="159"/>
      <c r="C137" s="32"/>
      <c r="D137" s="32" t="s">
        <v>9</v>
      </c>
      <c r="E137" s="32"/>
      <c r="F137" s="32"/>
      <c r="G137" s="32"/>
      <c r="H137" s="33"/>
      <c r="K137" s="88"/>
    </row>
    <row r="138" spans="1:11" ht="12.75" customHeight="1" x14ac:dyDescent="0.3">
      <c r="A138" s="156">
        <v>38155</v>
      </c>
      <c r="B138" s="157"/>
      <c r="C138" s="15">
        <f>[1]!'SGCPX,LA'/100</f>
        <v>4.55</v>
      </c>
      <c r="D138" s="15">
        <f>F138-0.3</f>
        <v>4.33</v>
      </c>
      <c r="E138" s="15">
        <f>F138+0.3</f>
        <v>4.93</v>
      </c>
      <c r="F138" s="117">
        <f>C138+0.08</f>
        <v>4.63</v>
      </c>
      <c r="G138" s="15"/>
      <c r="H138" s="16">
        <v>45</v>
      </c>
      <c r="K138" s="88"/>
    </row>
    <row r="139" spans="1:11" ht="12.75" customHeight="1" x14ac:dyDescent="0.3">
      <c r="A139" s="152">
        <v>38246</v>
      </c>
      <c r="B139" s="153"/>
      <c r="C139" s="4">
        <f>[1]!'SGCPX,LA'/100</f>
        <v>4.55</v>
      </c>
      <c r="D139" s="4">
        <f>F139-0.4</f>
        <v>4.34</v>
      </c>
      <c r="E139" s="4">
        <f>F139+0.4</f>
        <v>5.1400000000000006</v>
      </c>
      <c r="F139" s="117">
        <f>C139+0.19</f>
        <v>4.74</v>
      </c>
      <c r="G139" s="4"/>
      <c r="H139" s="5">
        <v>45</v>
      </c>
      <c r="K139" s="88"/>
    </row>
    <row r="140" spans="1:11" ht="12.75" customHeight="1" x14ac:dyDescent="0.3">
      <c r="A140" s="120" t="s">
        <v>17</v>
      </c>
      <c r="B140" s="51"/>
      <c r="C140" s="6"/>
      <c r="D140" s="6"/>
      <c r="E140" s="6"/>
      <c r="F140" s="6"/>
      <c r="G140" s="6"/>
      <c r="H140" s="10"/>
      <c r="K140" s="88"/>
    </row>
    <row r="141" spans="1:11" ht="12.75" customHeight="1" x14ac:dyDescent="0.3">
      <c r="A141" s="156">
        <v>38155</v>
      </c>
      <c r="B141" s="157"/>
      <c r="C141" s="15">
        <f>[1]!'SGDDT,LA'/100</f>
        <v>4.5199999999999996</v>
      </c>
      <c r="D141" s="15">
        <f>F141-0.3</f>
        <v>4.3</v>
      </c>
      <c r="E141" s="15">
        <f>F141+0.3</f>
        <v>4.8999999999999995</v>
      </c>
      <c r="F141" s="15">
        <f>C141+0.08</f>
        <v>4.5999999999999996</v>
      </c>
      <c r="G141" s="15"/>
      <c r="H141" s="16">
        <v>65</v>
      </c>
      <c r="K141" s="88"/>
    </row>
    <row r="142" spans="1:11" ht="12.75" customHeight="1" x14ac:dyDescent="0.3">
      <c r="A142" s="152">
        <v>38246</v>
      </c>
      <c r="B142" s="153"/>
      <c r="C142" s="4">
        <f>[1]!'SGDDT,LA'/100</f>
        <v>4.5199999999999996</v>
      </c>
      <c r="D142" s="4">
        <f>F142-0.4</f>
        <v>4.2899999999999991</v>
      </c>
      <c r="E142" s="4">
        <f>F142+0.4</f>
        <v>5.09</v>
      </c>
      <c r="F142" s="4">
        <f>C142+0.17</f>
        <v>4.6899999999999995</v>
      </c>
      <c r="G142" s="4"/>
      <c r="H142" s="5">
        <v>65</v>
      </c>
      <c r="K142" s="88"/>
    </row>
    <row r="143" spans="1:11" ht="12.75" customHeight="1" x14ac:dyDescent="0.3">
      <c r="A143" s="105" t="s">
        <v>100</v>
      </c>
      <c r="B143" s="98"/>
      <c r="C143" s="39"/>
      <c r="D143" s="39"/>
      <c r="E143" s="39"/>
      <c r="F143" s="39"/>
      <c r="G143" s="39"/>
      <c r="H143" s="54"/>
      <c r="K143" s="88"/>
    </row>
    <row r="144" spans="1:11" ht="12.75" customHeight="1" x14ac:dyDescent="0.3">
      <c r="A144" s="156">
        <v>38155</v>
      </c>
      <c r="B144" s="157"/>
      <c r="C144" s="15">
        <v>39</v>
      </c>
      <c r="D144" s="15">
        <f>F144-0.3</f>
        <v>39.410000000000004</v>
      </c>
      <c r="E144" s="15">
        <f>F144+0.3</f>
        <v>40.01</v>
      </c>
      <c r="F144" s="15">
        <f>C144+0.71</f>
        <v>39.71</v>
      </c>
      <c r="G144" s="15"/>
      <c r="H144" s="16">
        <v>30</v>
      </c>
      <c r="K144" s="88"/>
    </row>
    <row r="145" spans="1:11" ht="12.75" customHeight="1" x14ac:dyDescent="0.3">
      <c r="A145" s="152">
        <v>38246</v>
      </c>
      <c r="B145" s="153"/>
      <c r="C145" s="15">
        <v>39</v>
      </c>
      <c r="D145" s="4">
        <f>F145-0.4</f>
        <v>40.22</v>
      </c>
      <c r="E145" s="4">
        <f>F145+0.4</f>
        <v>41.019999999999996</v>
      </c>
      <c r="F145" s="15">
        <f>C145+1.62</f>
        <v>40.619999999999997</v>
      </c>
      <c r="G145" s="4"/>
      <c r="H145" s="5">
        <v>30</v>
      </c>
      <c r="K145" s="88"/>
    </row>
    <row r="146" spans="1:11" ht="12.75" customHeight="1" x14ac:dyDescent="0.3">
      <c r="A146" s="120" t="s">
        <v>153</v>
      </c>
      <c r="B146" s="51"/>
      <c r="C146" s="6"/>
      <c r="D146" s="6"/>
      <c r="E146" s="6"/>
      <c r="F146" s="6"/>
      <c r="G146" s="6"/>
      <c r="H146" s="7"/>
      <c r="K146" s="88"/>
    </row>
    <row r="147" spans="1:11" ht="12.75" customHeight="1" x14ac:dyDescent="0.3">
      <c r="A147" s="156">
        <v>38155</v>
      </c>
      <c r="B147" s="157"/>
      <c r="C147" s="15">
        <f>[1]!'SGDSY,LA'/100</f>
        <v>12.9</v>
      </c>
      <c r="D147" s="15">
        <f>F147-0.3</f>
        <v>12.6</v>
      </c>
      <c r="E147" s="15">
        <f>F147+0.3</f>
        <v>13.200000000000001</v>
      </c>
      <c r="F147" s="15">
        <f>C147</f>
        <v>12.9</v>
      </c>
      <c r="G147" s="15"/>
      <c r="H147" s="16">
        <v>30</v>
      </c>
      <c r="K147" s="88"/>
    </row>
    <row r="148" spans="1:11" ht="12.75" customHeight="1" x14ac:dyDescent="0.3">
      <c r="A148" s="152">
        <v>38246</v>
      </c>
      <c r="B148" s="153"/>
      <c r="C148" s="4">
        <f>[1]!'SGDSY,LA'/100</f>
        <v>12.9</v>
      </c>
      <c r="D148" s="4">
        <f>F148-0.4</f>
        <v>12.5</v>
      </c>
      <c r="E148" s="4">
        <f>F148+0.4</f>
        <v>13.3</v>
      </c>
      <c r="F148" s="4">
        <f>F147</f>
        <v>12.9</v>
      </c>
      <c r="G148" s="4"/>
      <c r="H148" s="5">
        <v>30</v>
      </c>
      <c r="K148" s="88"/>
    </row>
    <row r="149" spans="1:11" ht="12.75" customHeight="1" x14ac:dyDescent="0.3">
      <c r="A149" s="162" t="s">
        <v>23</v>
      </c>
      <c r="B149" s="163"/>
      <c r="C149" s="6"/>
      <c r="D149" s="6"/>
      <c r="E149" s="6"/>
      <c r="F149" s="6"/>
      <c r="G149" s="6"/>
      <c r="H149" s="7"/>
      <c r="K149" s="88"/>
    </row>
    <row r="150" spans="1:11" ht="12.75" customHeight="1" x14ac:dyDescent="0.3">
      <c r="A150" s="156">
        <v>38155</v>
      </c>
      <c r="B150" s="157"/>
      <c r="C150" s="15">
        <f>[1]!'SGDTC,LA'/100</f>
        <v>14.4</v>
      </c>
      <c r="D150" s="15">
        <f>F150-0.3</f>
        <v>14.37</v>
      </c>
      <c r="E150" s="15">
        <f>F150+0.3</f>
        <v>14.97</v>
      </c>
      <c r="F150" s="15">
        <f>C150+0.27</f>
        <v>14.67</v>
      </c>
      <c r="G150" s="15"/>
      <c r="H150" s="16">
        <v>87.5</v>
      </c>
      <c r="K150" s="88"/>
    </row>
    <row r="151" spans="1:11" ht="12.75" customHeight="1" x14ac:dyDescent="0.3">
      <c r="A151" s="152">
        <v>38246</v>
      </c>
      <c r="B151" s="153"/>
      <c r="C151" s="4">
        <f>[1]!'SGDTC,LA'/100</f>
        <v>14.4</v>
      </c>
      <c r="D151" s="4">
        <f>F151-0.4</f>
        <v>14.62</v>
      </c>
      <c r="E151" s="4">
        <f>F151+0.4</f>
        <v>15.42</v>
      </c>
      <c r="F151" s="15">
        <f>C151+0.62</f>
        <v>15.02</v>
      </c>
      <c r="G151" s="4"/>
      <c r="H151" s="5">
        <v>87.5</v>
      </c>
      <c r="K151" s="88"/>
    </row>
    <row r="152" spans="1:11" ht="12.75" customHeight="1" x14ac:dyDescent="0.3">
      <c r="A152" s="162" t="s">
        <v>52</v>
      </c>
      <c r="B152" s="163"/>
      <c r="C152" s="6"/>
      <c r="D152" s="6"/>
      <c r="E152" s="6"/>
      <c r="F152" s="6"/>
      <c r="G152" s="6"/>
      <c r="H152" s="7"/>
      <c r="K152" s="88"/>
    </row>
    <row r="153" spans="1:11" ht="12.75" customHeight="1" x14ac:dyDescent="0.3">
      <c r="A153" s="156">
        <v>38155</v>
      </c>
      <c r="B153" s="157"/>
      <c r="C153" s="15">
        <f>[1]!'SGDUR,LA'/100</f>
        <v>22.01</v>
      </c>
      <c r="D153" s="15">
        <f>F153-0.3</f>
        <v>22.11</v>
      </c>
      <c r="E153" s="15">
        <f>F153+0.3</f>
        <v>22.71</v>
      </c>
      <c r="F153" s="15">
        <f>C153+0.4</f>
        <v>22.41</v>
      </c>
      <c r="G153" s="15"/>
      <c r="H153" s="16">
        <v>72.5</v>
      </c>
      <c r="K153" s="88"/>
    </row>
    <row r="154" spans="1:11" ht="12.75" customHeight="1" x14ac:dyDescent="0.3">
      <c r="A154" s="152">
        <v>38246</v>
      </c>
      <c r="B154" s="153"/>
      <c r="C154" s="4">
        <f>[1]!'SGDUR,LA'/100</f>
        <v>22.01</v>
      </c>
      <c r="D154" s="4">
        <f>F154-0.4</f>
        <v>22.51</v>
      </c>
      <c r="E154" s="4">
        <f>F154+0.4</f>
        <v>23.31</v>
      </c>
      <c r="F154" s="15">
        <f>C154+0.9</f>
        <v>22.91</v>
      </c>
      <c r="G154" s="4"/>
      <c r="H154" s="5">
        <v>72.5</v>
      </c>
      <c r="K154" s="88"/>
    </row>
    <row r="155" spans="1:11" ht="12.75" customHeight="1" x14ac:dyDescent="0.3">
      <c r="A155" s="162" t="s">
        <v>18</v>
      </c>
      <c r="B155" s="163"/>
      <c r="C155" s="6"/>
      <c r="D155" s="6"/>
      <c r="E155" s="6"/>
      <c r="F155" s="6"/>
      <c r="G155" s="6"/>
      <c r="H155" s="7"/>
      <c r="K155" s="88"/>
    </row>
    <row r="156" spans="1:11" ht="12.75" customHeight="1" x14ac:dyDescent="0.3">
      <c r="A156" s="156">
        <v>38155</v>
      </c>
      <c r="B156" s="157"/>
      <c r="C156" s="15">
        <f>[1]!'SGECO,LA'/100</f>
        <v>143.21</v>
      </c>
      <c r="D156" s="15">
        <f>F156-0.3</f>
        <v>145.47999999999999</v>
      </c>
      <c r="E156" s="15">
        <f>F156+0.3</f>
        <v>146.08000000000001</v>
      </c>
      <c r="F156" s="15">
        <f>C156+2.57</f>
        <v>145.78</v>
      </c>
      <c r="G156" s="15"/>
      <c r="H156" s="16">
        <v>37.5</v>
      </c>
      <c r="K156" s="88"/>
    </row>
    <row r="157" spans="1:11" ht="12.75" customHeight="1" x14ac:dyDescent="0.3">
      <c r="A157" s="152">
        <v>38246</v>
      </c>
      <c r="B157" s="153"/>
      <c r="C157" s="4">
        <f>[1]!'SGECO,LA'/100</f>
        <v>143.21</v>
      </c>
      <c r="D157" s="4">
        <f>F157-0.4</f>
        <v>148.71</v>
      </c>
      <c r="E157" s="4">
        <f>F157+0.4</f>
        <v>149.51000000000002</v>
      </c>
      <c r="F157" s="4">
        <f>C157+5.9</f>
        <v>149.11000000000001</v>
      </c>
      <c r="G157" s="4"/>
      <c r="H157" s="5">
        <v>37.5</v>
      </c>
      <c r="K157" s="88"/>
    </row>
    <row r="158" spans="1:11" ht="12.75" customHeight="1" x14ac:dyDescent="0.3">
      <c r="A158" s="162" t="s">
        <v>46</v>
      </c>
      <c r="B158" s="163"/>
      <c r="C158" s="6"/>
      <c r="D158" s="6"/>
      <c r="E158" s="6"/>
      <c r="F158" s="6"/>
      <c r="G158" s="6"/>
      <c r="H158" s="7"/>
      <c r="K158" s="88"/>
    </row>
    <row r="159" spans="1:11" ht="12.75" customHeight="1" x14ac:dyDescent="0.3">
      <c r="A159" s="156">
        <v>38155</v>
      </c>
      <c r="B159" s="157"/>
      <c r="C159" s="15">
        <f>[1]!'SGELH,LA'/100</f>
        <v>32.799999999999997</v>
      </c>
      <c r="D159" s="15">
        <f>F159-0.3</f>
        <v>33.1</v>
      </c>
      <c r="E159" s="15">
        <f>F159+0.3</f>
        <v>33.699999999999996</v>
      </c>
      <c r="F159" s="15">
        <f>C159+0.6</f>
        <v>33.4</v>
      </c>
      <c r="G159" s="15"/>
      <c r="H159" s="16">
        <v>53.75</v>
      </c>
      <c r="K159" s="88"/>
    </row>
    <row r="160" spans="1:11" ht="12.75" customHeight="1" x14ac:dyDescent="0.3">
      <c r="A160" s="152">
        <v>38246</v>
      </c>
      <c r="B160" s="153"/>
      <c r="C160" s="4">
        <f>[1]!'SGELH,LA'/100</f>
        <v>32.799999999999997</v>
      </c>
      <c r="D160" s="4">
        <f>F160-0.4</f>
        <v>33.76</v>
      </c>
      <c r="E160" s="4">
        <f>F160+0.4</f>
        <v>34.559999999999995</v>
      </c>
      <c r="F160" s="4">
        <f>C160+1.36</f>
        <v>34.159999999999997</v>
      </c>
      <c r="G160" s="4"/>
      <c r="H160" s="5">
        <v>53.75</v>
      </c>
      <c r="K160" s="88"/>
    </row>
    <row r="161" spans="1:11" ht="12.75" customHeight="1" x14ac:dyDescent="0.3">
      <c r="A161" s="166" t="s">
        <v>22</v>
      </c>
      <c r="B161" s="167"/>
      <c r="C161" s="32"/>
      <c r="D161" s="32"/>
      <c r="E161" s="32"/>
      <c r="F161" s="32"/>
      <c r="G161" s="32"/>
      <c r="H161" s="33"/>
      <c r="K161" s="88"/>
    </row>
    <row r="162" spans="1:11" ht="12.75" customHeight="1" x14ac:dyDescent="0.3">
      <c r="A162" s="156">
        <v>38155</v>
      </c>
      <c r="B162" s="157"/>
      <c r="C162" s="15">
        <f>[1]!'SGFOS,LA'/100</f>
        <v>20</v>
      </c>
      <c r="D162" s="15">
        <f>F162-0.3</f>
        <v>20.07</v>
      </c>
      <c r="E162" s="15">
        <f>F162+0.3</f>
        <v>20.67</v>
      </c>
      <c r="F162" s="15">
        <f>C162+0.37</f>
        <v>20.37</v>
      </c>
      <c r="G162" s="15"/>
      <c r="H162" s="16">
        <v>37.5</v>
      </c>
      <c r="K162" s="88"/>
    </row>
    <row r="163" spans="1:11" ht="12.75" customHeight="1" x14ac:dyDescent="0.3">
      <c r="A163" s="152">
        <v>38246</v>
      </c>
      <c r="B163" s="153"/>
      <c r="C163" s="4">
        <f>[1]!'SGFOS,LA'/100</f>
        <v>20</v>
      </c>
      <c r="D163" s="4">
        <f>F163-0.4</f>
        <v>20.21</v>
      </c>
      <c r="E163" s="4">
        <f>F163+0.4</f>
        <v>21.009999999999998</v>
      </c>
      <c r="F163" s="4">
        <f>C163+0.61</f>
        <v>20.61</v>
      </c>
      <c r="G163" s="4"/>
      <c r="H163" s="5">
        <v>37.5</v>
      </c>
      <c r="I163" s="85"/>
      <c r="K163" s="88"/>
    </row>
    <row r="164" spans="1:11" ht="12.75" customHeight="1" x14ac:dyDescent="0.3">
      <c r="A164" s="67" t="s">
        <v>19</v>
      </c>
      <c r="B164" s="66"/>
      <c r="C164" s="32"/>
      <c r="D164" s="32"/>
      <c r="E164" s="32"/>
      <c r="F164" s="32"/>
      <c r="G164" s="32"/>
      <c r="H164" s="9"/>
      <c r="K164" s="88"/>
    </row>
    <row r="165" spans="1:11" ht="12.75" customHeight="1" x14ac:dyDescent="0.3">
      <c r="A165" s="156">
        <v>38155</v>
      </c>
      <c r="B165" s="157"/>
      <c r="C165" s="15">
        <f>[1]!'SGFSR,LA'/100</f>
        <v>9.8000000000000007</v>
      </c>
      <c r="D165" s="15">
        <f>F165-0.3</f>
        <v>9.68</v>
      </c>
      <c r="E165" s="15">
        <f>F165+0.3</f>
        <v>10.280000000000001</v>
      </c>
      <c r="F165" s="15">
        <f>C165+0.18</f>
        <v>9.98</v>
      </c>
      <c r="G165" s="15"/>
      <c r="H165" s="16">
        <v>28</v>
      </c>
      <c r="K165" s="88"/>
    </row>
    <row r="166" spans="1:11" ht="12.75" customHeight="1" x14ac:dyDescent="0.3">
      <c r="A166" s="156">
        <v>38246</v>
      </c>
      <c r="B166" s="157"/>
      <c r="C166" s="15">
        <f>[1]!'SGFSR,LA'/100</f>
        <v>9.8000000000000007</v>
      </c>
      <c r="D166" s="15">
        <f>F166-0.4</f>
        <v>9.81</v>
      </c>
      <c r="E166" s="15">
        <f>F166+0.4</f>
        <v>10.610000000000001</v>
      </c>
      <c r="F166" s="15">
        <f>C166+0.41</f>
        <v>10.210000000000001</v>
      </c>
      <c r="G166" s="15"/>
      <c r="H166" s="16">
        <v>28</v>
      </c>
      <c r="K166" s="88"/>
    </row>
    <row r="167" spans="1:11" ht="12.75" customHeight="1" x14ac:dyDescent="0.3">
      <c r="A167" s="152">
        <v>38336</v>
      </c>
      <c r="B167" s="153"/>
      <c r="C167" s="4">
        <f>[1]!'SGFSR,LA'/100</f>
        <v>9.8000000000000007</v>
      </c>
      <c r="D167" s="4">
        <f>F167-0.5</f>
        <v>9.7600000000000016</v>
      </c>
      <c r="E167" s="4">
        <f>F167+0.5</f>
        <v>10.760000000000002</v>
      </c>
      <c r="F167" s="4">
        <f>C167+0.46</f>
        <v>10.260000000000002</v>
      </c>
      <c r="G167" s="4"/>
      <c r="H167" s="5">
        <v>28</v>
      </c>
      <c r="K167" s="88"/>
    </row>
    <row r="168" spans="1:11" ht="12.75" customHeight="1" x14ac:dyDescent="0.3">
      <c r="A168" s="158" t="s">
        <v>20</v>
      </c>
      <c r="B168" s="159"/>
      <c r="C168" s="32" t="s">
        <v>9</v>
      </c>
      <c r="D168" s="32"/>
      <c r="E168" s="32"/>
      <c r="F168" s="32"/>
      <c r="G168" s="32"/>
      <c r="H168" s="9"/>
      <c r="K168" s="88"/>
    </row>
    <row r="169" spans="1:11" ht="12.75" customHeight="1" x14ac:dyDescent="0.3">
      <c r="A169" s="156">
        <v>38155</v>
      </c>
      <c r="B169" s="157"/>
      <c r="C169" s="15">
        <f>[1]!'SGGFI,LA'/100</f>
        <v>85</v>
      </c>
      <c r="D169" s="15">
        <f>F169-0.3</f>
        <v>86.23</v>
      </c>
      <c r="E169" s="15">
        <f>F169+0.3</f>
        <v>86.83</v>
      </c>
      <c r="F169" s="15">
        <f>C169+1.53</f>
        <v>86.53</v>
      </c>
      <c r="G169" s="15"/>
      <c r="H169" s="16">
        <v>44</v>
      </c>
      <c r="K169" s="88"/>
    </row>
    <row r="170" spans="1:11" ht="12.75" customHeight="1" x14ac:dyDescent="0.3">
      <c r="A170" s="152">
        <v>38246</v>
      </c>
      <c r="B170" s="153"/>
      <c r="C170" s="4">
        <f>[1]!'SGGFI,LA'/100</f>
        <v>85</v>
      </c>
      <c r="D170" s="4">
        <f>F170-0.4</f>
        <v>87.699999999999989</v>
      </c>
      <c r="E170" s="4">
        <f>F170+0.4</f>
        <v>88.5</v>
      </c>
      <c r="F170" s="15">
        <f>C170+3.1</f>
        <v>88.1</v>
      </c>
      <c r="G170" s="4"/>
      <c r="H170" s="5">
        <v>37</v>
      </c>
      <c r="K170" s="88"/>
    </row>
    <row r="171" spans="1:11" ht="12.75" customHeight="1" x14ac:dyDescent="0.3">
      <c r="A171" s="160" t="s">
        <v>154</v>
      </c>
      <c r="B171" s="161"/>
      <c r="C171" s="6" t="s">
        <v>9</v>
      </c>
      <c r="D171" s="6"/>
      <c r="E171" s="6"/>
      <c r="F171" s="6"/>
      <c r="G171" s="6"/>
      <c r="H171" s="7"/>
      <c r="K171" s="88"/>
    </row>
    <row r="172" spans="1:11" ht="12.75" customHeight="1" x14ac:dyDescent="0.3">
      <c r="A172" s="156">
        <v>38155</v>
      </c>
      <c r="B172" s="157"/>
      <c r="C172" s="15">
        <f>[1]!'SGGMB,LA'/100</f>
        <v>3.71</v>
      </c>
      <c r="D172" s="15">
        <f>F172-0.3</f>
        <v>3.41</v>
      </c>
      <c r="E172" s="15">
        <f>F172+0.3</f>
        <v>4.01</v>
      </c>
      <c r="F172" s="15">
        <f>C172</f>
        <v>3.71</v>
      </c>
      <c r="G172" s="15"/>
      <c r="H172" s="16">
        <v>30</v>
      </c>
      <c r="K172" s="88"/>
    </row>
    <row r="173" spans="1:11" ht="12.75" customHeight="1" x14ac:dyDescent="0.3">
      <c r="A173" s="152">
        <v>38246</v>
      </c>
      <c r="B173" s="153"/>
      <c r="C173" s="4">
        <f>[1]!'SGGMB,LA'/100</f>
        <v>3.71</v>
      </c>
      <c r="D173" s="4">
        <f>F173-0.4</f>
        <v>3.31</v>
      </c>
      <c r="E173" s="4">
        <f>F173+0.4</f>
        <v>4.1100000000000003</v>
      </c>
      <c r="F173" s="4">
        <f>F172</f>
        <v>3.71</v>
      </c>
      <c r="G173" s="4"/>
      <c r="H173" s="5">
        <v>30</v>
      </c>
      <c r="K173" s="88"/>
    </row>
    <row r="174" spans="1:11" ht="12.75" customHeight="1" x14ac:dyDescent="0.3">
      <c r="A174" s="158" t="s">
        <v>55</v>
      </c>
      <c r="B174" s="159"/>
      <c r="C174" s="32" t="s">
        <v>9</v>
      </c>
      <c r="D174" s="32"/>
      <c r="E174" s="32"/>
      <c r="F174" s="32"/>
      <c r="G174" s="32"/>
      <c r="H174" s="9"/>
      <c r="K174" s="88"/>
    </row>
    <row r="175" spans="1:11" ht="12.75" customHeight="1" x14ac:dyDescent="0.3">
      <c r="A175" s="156">
        <v>38155</v>
      </c>
      <c r="B175" s="157"/>
      <c r="C175" s="15">
        <f>[1]!'SGGMF,LA'/100</f>
        <v>0.12</v>
      </c>
      <c r="D175" s="15">
        <f>F175-0.01</f>
        <v>0.11</v>
      </c>
      <c r="E175" s="15">
        <f>F175+0.01</f>
        <v>0.13</v>
      </c>
      <c r="F175" s="15">
        <f>C175</f>
        <v>0.12</v>
      </c>
      <c r="G175" s="15"/>
      <c r="H175" s="16">
        <v>41</v>
      </c>
      <c r="K175" s="88"/>
    </row>
    <row r="176" spans="1:11" ht="12.75" customHeight="1" x14ac:dyDescent="0.3">
      <c r="A176" s="152">
        <v>38246</v>
      </c>
      <c r="B176" s="153"/>
      <c r="C176" s="4">
        <f>[1]!'SGGMF,LA'/100</f>
        <v>0.12</v>
      </c>
      <c r="D176" s="4">
        <f>F176-0.02</f>
        <v>9.9999999999999992E-2</v>
      </c>
      <c r="E176" s="4">
        <f>F176+0.02</f>
        <v>0.13999999999999999</v>
      </c>
      <c r="F176" s="4">
        <f>C176+0</f>
        <v>0.12</v>
      </c>
      <c r="G176" s="4"/>
      <c r="H176" s="5">
        <v>41</v>
      </c>
      <c r="K176" s="88"/>
    </row>
    <row r="177" spans="1:11" ht="12.75" customHeight="1" x14ac:dyDescent="0.3">
      <c r="A177" s="154" t="s">
        <v>157</v>
      </c>
      <c r="B177" s="155"/>
      <c r="C177" s="39"/>
      <c r="D177" s="39"/>
      <c r="E177" s="39"/>
      <c r="F177" s="39"/>
      <c r="G177" s="39"/>
      <c r="H177" s="54"/>
      <c r="K177" s="88"/>
    </row>
    <row r="178" spans="1:11" ht="12.75" customHeight="1" x14ac:dyDescent="0.3">
      <c r="A178" s="150">
        <v>38155</v>
      </c>
      <c r="B178" s="151"/>
      <c r="C178" s="15">
        <f>[1]!'SGGND,LA'/100</f>
        <v>20.399999999999999</v>
      </c>
      <c r="D178" s="2">
        <f>F178-0.3</f>
        <v>20.49</v>
      </c>
      <c r="E178" s="2">
        <f>F178+0.3</f>
        <v>21.09</v>
      </c>
      <c r="F178" s="2">
        <f>C178+0.39</f>
        <v>20.79</v>
      </c>
      <c r="G178" s="2"/>
      <c r="H178" s="3">
        <v>30</v>
      </c>
      <c r="K178" s="88"/>
    </row>
    <row r="179" spans="1:11" ht="12.75" customHeight="1" x14ac:dyDescent="0.3">
      <c r="A179" s="152">
        <v>38246</v>
      </c>
      <c r="B179" s="153"/>
      <c r="C179" s="4">
        <f>[1]!'SGGND,LA'/100</f>
        <v>20.399999999999999</v>
      </c>
      <c r="D179" s="4">
        <f>F179-0.4</f>
        <v>20.87</v>
      </c>
      <c r="E179" s="4">
        <f>F179+0.4</f>
        <v>21.669999999999998</v>
      </c>
      <c r="F179" s="4">
        <f>C179+0.87</f>
        <v>21.27</v>
      </c>
      <c r="G179" s="4"/>
      <c r="H179" s="5">
        <v>30</v>
      </c>
      <c r="K179" s="88"/>
    </row>
    <row r="180" spans="1:11" ht="12.75" customHeight="1" x14ac:dyDescent="0.3">
      <c r="A180" s="158" t="s">
        <v>51</v>
      </c>
      <c r="B180" s="159"/>
      <c r="C180" s="32"/>
      <c r="D180" s="32"/>
      <c r="E180" s="32"/>
      <c r="F180" s="32"/>
      <c r="G180" s="32"/>
      <c r="H180" s="33"/>
      <c r="K180" s="88"/>
    </row>
    <row r="181" spans="1:11" ht="12.75" customHeight="1" x14ac:dyDescent="0.3">
      <c r="A181" s="156">
        <v>38155</v>
      </c>
      <c r="B181" s="157"/>
      <c r="C181" s="15">
        <f>[1]!'SGHAR,LA'/100</f>
        <v>97.25</v>
      </c>
      <c r="D181" s="15">
        <f>F181-0.3</f>
        <v>98.710000000000008</v>
      </c>
      <c r="E181" s="15">
        <f>F181+0.3</f>
        <v>99.31</v>
      </c>
      <c r="F181" s="15">
        <f>C181+1.76</f>
        <v>99.01</v>
      </c>
      <c r="G181" s="15"/>
      <c r="H181" s="16">
        <v>42</v>
      </c>
      <c r="K181" s="88"/>
    </row>
    <row r="182" spans="1:11" ht="12.75" customHeight="1" x14ac:dyDescent="0.3">
      <c r="A182" s="152">
        <v>38246</v>
      </c>
      <c r="B182" s="153"/>
      <c r="C182" s="4">
        <f>[1]!'SGHAR,LA'/100</f>
        <v>97.25</v>
      </c>
      <c r="D182" s="4">
        <f>F182-0.4</f>
        <v>100.53999999999999</v>
      </c>
      <c r="E182" s="4">
        <f>F182+0.4</f>
        <v>101.34</v>
      </c>
      <c r="F182" s="4">
        <f>C182+3.69</f>
        <v>100.94</v>
      </c>
      <c r="G182" s="4"/>
      <c r="H182" s="5">
        <v>42</v>
      </c>
      <c r="K182" s="88"/>
    </row>
    <row r="183" spans="1:11" ht="12.75" customHeight="1" x14ac:dyDescent="0.3">
      <c r="A183" s="154" t="s">
        <v>158</v>
      </c>
      <c r="B183" s="155"/>
      <c r="C183" s="39"/>
      <c r="D183" s="39"/>
      <c r="E183" s="39"/>
      <c r="F183" s="39"/>
      <c r="G183" s="39"/>
      <c r="H183" s="54"/>
      <c r="K183" s="88"/>
    </row>
    <row r="184" spans="1:11" ht="12.75" customHeight="1" x14ac:dyDescent="0.3">
      <c r="A184" s="150">
        <v>38155</v>
      </c>
      <c r="B184" s="151"/>
      <c r="C184" s="15">
        <f>[1]!'SGHVL,LA'/100</f>
        <v>21.55</v>
      </c>
      <c r="D184" s="2">
        <f>F184-0.3</f>
        <v>21.25</v>
      </c>
      <c r="E184" s="2">
        <f>F184+0.3</f>
        <v>21.85</v>
      </c>
      <c r="F184" s="2">
        <f>C184</f>
        <v>21.55</v>
      </c>
      <c r="G184" s="2"/>
      <c r="H184" s="3">
        <v>30</v>
      </c>
      <c r="K184" s="88"/>
    </row>
    <row r="185" spans="1:11" ht="12.75" customHeight="1" x14ac:dyDescent="0.3">
      <c r="A185" s="175">
        <v>38246</v>
      </c>
      <c r="B185" s="176"/>
      <c r="C185" s="15">
        <f>[1]!'SGHVL,LA'/100</f>
        <v>21.55</v>
      </c>
      <c r="D185" s="39">
        <f>F185-0.4</f>
        <v>21.150000000000002</v>
      </c>
      <c r="E185" s="39">
        <f>F185+0.4</f>
        <v>21.95</v>
      </c>
      <c r="F185" s="39">
        <f>C185</f>
        <v>21.55</v>
      </c>
      <c r="G185" s="39"/>
      <c r="H185" s="54">
        <v>30</v>
      </c>
      <c r="K185" s="88"/>
    </row>
    <row r="186" spans="1:11" ht="12.75" customHeight="1" x14ac:dyDescent="0.3">
      <c r="A186" s="160" t="s">
        <v>113</v>
      </c>
      <c r="B186" s="161"/>
      <c r="C186" s="6"/>
      <c r="D186" s="6"/>
      <c r="E186" s="6"/>
      <c r="F186" s="6"/>
      <c r="G186" s="6"/>
      <c r="H186" s="7"/>
      <c r="K186" s="88"/>
    </row>
    <row r="187" spans="1:11" ht="12.75" customHeight="1" x14ac:dyDescent="0.3">
      <c r="A187" s="156">
        <v>38155</v>
      </c>
      <c r="B187" s="157"/>
      <c r="C187" s="15">
        <f>[1]!'SGINLP,LA'/100</f>
        <v>117</v>
      </c>
      <c r="D187" s="15">
        <f>F187-0.3</f>
        <v>118.69</v>
      </c>
      <c r="E187" s="15">
        <f>F187+0.3</f>
        <v>119.28999999999999</v>
      </c>
      <c r="F187" s="15">
        <f>C187+1.99</f>
        <v>118.99</v>
      </c>
      <c r="G187" s="15"/>
      <c r="H187" s="16">
        <v>30</v>
      </c>
      <c r="K187" s="88"/>
    </row>
    <row r="188" spans="1:11" ht="12.75" customHeight="1" x14ac:dyDescent="0.3">
      <c r="A188" s="152">
        <v>38246</v>
      </c>
      <c r="B188" s="153"/>
      <c r="C188" s="4">
        <f>[1]!'SGINLP,LA'/100</f>
        <v>117</v>
      </c>
      <c r="D188" s="4">
        <f>F188-0.4</f>
        <v>118.58999999999999</v>
      </c>
      <c r="E188" s="4">
        <f>F188+0.4</f>
        <v>119.39</v>
      </c>
      <c r="F188" s="4">
        <f>F187</f>
        <v>118.99</v>
      </c>
      <c r="G188" s="4"/>
      <c r="H188" s="5">
        <v>30</v>
      </c>
      <c r="K188" s="88"/>
    </row>
    <row r="189" spans="1:11" ht="12.75" customHeight="1" x14ac:dyDescent="0.3">
      <c r="A189" s="158" t="s">
        <v>133</v>
      </c>
      <c r="B189" s="159"/>
      <c r="C189" s="32"/>
      <c r="D189" s="32"/>
      <c r="E189" s="32"/>
      <c r="F189" s="32"/>
      <c r="G189" s="32"/>
      <c r="H189" s="33"/>
      <c r="K189" s="88"/>
    </row>
    <row r="190" spans="1:11" ht="12.75" customHeight="1" x14ac:dyDescent="0.3">
      <c r="A190" s="156">
        <v>38155</v>
      </c>
      <c r="B190" s="157"/>
      <c r="C190" s="15">
        <f>[1]!'SGILA,LA'/100</f>
        <v>5.75</v>
      </c>
      <c r="D190" s="15">
        <f>F190-0.3</f>
        <v>5.5600000000000005</v>
      </c>
      <c r="E190" s="15">
        <f>F190+0.3</f>
        <v>6.16</v>
      </c>
      <c r="F190" s="15">
        <f>C190+0.11</f>
        <v>5.86</v>
      </c>
      <c r="G190" s="15"/>
      <c r="H190" s="16">
        <v>30</v>
      </c>
      <c r="K190" s="88"/>
    </row>
    <row r="191" spans="1:11" ht="12.75" customHeight="1" x14ac:dyDescent="0.3">
      <c r="A191" s="152">
        <v>38246</v>
      </c>
      <c r="B191" s="153"/>
      <c r="C191" s="4">
        <f>[1]!'SGILA,LA'/100</f>
        <v>5.75</v>
      </c>
      <c r="D191" s="4">
        <f>F191-0.4</f>
        <v>5.59</v>
      </c>
      <c r="E191" s="4">
        <f>F191+0.4</f>
        <v>6.3900000000000006</v>
      </c>
      <c r="F191" s="4">
        <f>C191+0.24</f>
        <v>5.99</v>
      </c>
      <c r="G191" s="4"/>
      <c r="H191" s="5">
        <v>30</v>
      </c>
      <c r="K191" s="88"/>
    </row>
    <row r="192" spans="1:11" ht="12.75" customHeight="1" x14ac:dyDescent="0.3">
      <c r="A192" s="158" t="s">
        <v>114</v>
      </c>
      <c r="B192" s="159"/>
      <c r="C192" s="32"/>
      <c r="D192" s="32"/>
      <c r="E192" s="32"/>
      <c r="F192" s="32"/>
      <c r="G192" s="32"/>
      <c r="H192" s="33"/>
      <c r="K192" s="88"/>
    </row>
    <row r="193" spans="1:11" ht="12.75" customHeight="1" x14ac:dyDescent="0.3">
      <c r="A193" s="156">
        <v>38155</v>
      </c>
      <c r="B193" s="157"/>
      <c r="C193" s="15">
        <f>[1]!'SGILV,LA'/100</f>
        <v>7.6</v>
      </c>
      <c r="D193" s="15">
        <f>F193-0.3</f>
        <v>7.4399999999999995</v>
      </c>
      <c r="E193" s="15">
        <f>F193+0.3</f>
        <v>8.0399999999999991</v>
      </c>
      <c r="F193" s="15">
        <f>C193+0.14</f>
        <v>7.7399999999999993</v>
      </c>
      <c r="G193" s="15"/>
      <c r="H193" s="16">
        <v>30</v>
      </c>
      <c r="K193" s="88"/>
    </row>
    <row r="194" spans="1:11" ht="12.75" customHeight="1" thickBot="1" x14ac:dyDescent="0.35">
      <c r="A194" s="156">
        <v>38246</v>
      </c>
      <c r="B194" s="157"/>
      <c r="C194" s="15">
        <f>[1]!'SGILV,LA'/100</f>
        <v>7.6</v>
      </c>
      <c r="D194" s="15">
        <f>F194-0.4</f>
        <v>7.5299999999999994</v>
      </c>
      <c r="E194" s="15">
        <f>F194+0.4</f>
        <v>8.33</v>
      </c>
      <c r="F194" s="15">
        <f>C194+0.33</f>
        <v>7.93</v>
      </c>
      <c r="G194" s="15"/>
      <c r="H194" s="16">
        <v>30</v>
      </c>
      <c r="K194" s="88"/>
    </row>
    <row r="195" spans="1:11" ht="12.75" customHeight="1" thickBot="1" x14ac:dyDescent="0.35">
      <c r="A195" s="69"/>
      <c r="B195" s="70"/>
      <c r="C195" s="53"/>
      <c r="D195" s="53"/>
      <c r="E195" s="53"/>
      <c r="F195" s="53"/>
      <c r="G195" s="53"/>
      <c r="H195" s="53"/>
      <c r="K195" s="88"/>
    </row>
    <row r="196" spans="1:11" ht="12.75" customHeight="1" x14ac:dyDescent="0.3">
      <c r="A196" s="164" t="s">
        <v>21</v>
      </c>
      <c r="B196" s="165"/>
      <c r="C196" s="28"/>
      <c r="D196" s="28"/>
      <c r="E196" s="28"/>
      <c r="F196" s="28"/>
      <c r="G196" s="28"/>
      <c r="H196" s="144"/>
      <c r="K196" s="88"/>
    </row>
    <row r="197" spans="1:11" ht="12.75" customHeight="1" x14ac:dyDescent="0.3">
      <c r="A197" s="156">
        <v>38155</v>
      </c>
      <c r="B197" s="157"/>
      <c r="C197" s="15">
        <f>[1]!'SGIMP,LA'/100</f>
        <v>515.02</v>
      </c>
      <c r="D197" s="15">
        <f>F197-0.3</f>
        <v>523.99</v>
      </c>
      <c r="E197" s="15">
        <f>F197+0.3</f>
        <v>524.58999999999992</v>
      </c>
      <c r="F197" s="15">
        <f>C197+9.27</f>
        <v>524.29</v>
      </c>
      <c r="G197" s="15"/>
      <c r="H197" s="16">
        <v>38</v>
      </c>
      <c r="J197" s="85"/>
      <c r="K197" s="88"/>
    </row>
    <row r="198" spans="1:11" ht="12.75" customHeight="1" x14ac:dyDescent="0.3">
      <c r="A198" s="152">
        <v>38246</v>
      </c>
      <c r="B198" s="153"/>
      <c r="C198" s="4">
        <f>[1]!'SGIMP,LA'/100</f>
        <v>515.02</v>
      </c>
      <c r="D198" s="4">
        <f>F198-0.4</f>
        <v>522.04999999999995</v>
      </c>
      <c r="E198" s="4">
        <f>F198+0.4</f>
        <v>522.84999999999991</v>
      </c>
      <c r="F198" s="4">
        <f>C198+7.43</f>
        <v>522.44999999999993</v>
      </c>
      <c r="G198" s="4"/>
      <c r="H198" s="5">
        <v>35</v>
      </c>
      <c r="J198" s="85"/>
      <c r="K198" s="88"/>
    </row>
    <row r="199" spans="1:11" ht="12.75" customHeight="1" x14ac:dyDescent="0.3">
      <c r="A199" s="158" t="s">
        <v>81</v>
      </c>
      <c r="B199" s="159"/>
      <c r="C199" s="32"/>
      <c r="D199" s="32"/>
      <c r="E199" s="32"/>
      <c r="F199" s="32"/>
      <c r="G199" s="32"/>
      <c r="H199" s="33"/>
      <c r="I199" s="86"/>
      <c r="J199" s="85"/>
      <c r="K199" s="88"/>
    </row>
    <row r="200" spans="1:11" ht="12.75" customHeight="1" x14ac:dyDescent="0.3">
      <c r="A200" s="156">
        <v>38155</v>
      </c>
      <c r="B200" s="157"/>
      <c r="C200" s="15">
        <f>[1]!'SGINL,LA'/100</f>
        <v>125.5</v>
      </c>
      <c r="D200" s="15">
        <f>F200-0.3</f>
        <v>127.46000000000001</v>
      </c>
      <c r="E200" s="15">
        <f>F200+0.3</f>
        <v>128.06</v>
      </c>
      <c r="F200" s="15">
        <f>C200+2.26</f>
        <v>127.76</v>
      </c>
      <c r="G200" s="15"/>
      <c r="H200" s="16">
        <v>41</v>
      </c>
      <c r="I200" s="86"/>
      <c r="J200" s="85"/>
      <c r="K200" s="88"/>
    </row>
    <row r="201" spans="1:11" ht="12.75" customHeight="1" x14ac:dyDescent="0.3">
      <c r="A201" s="156">
        <v>38246</v>
      </c>
      <c r="B201" s="157"/>
      <c r="C201" s="15">
        <f>[1]!'SGINL,LA'/100</f>
        <v>125.5</v>
      </c>
      <c r="D201" s="15">
        <f>F201-0.4</f>
        <v>126.69999999999999</v>
      </c>
      <c r="E201" s="15">
        <f>F201+0.4</f>
        <v>127.5</v>
      </c>
      <c r="F201" s="15">
        <f>C201+1.6</f>
        <v>127.1</v>
      </c>
      <c r="G201" s="15"/>
      <c r="H201" s="16">
        <v>41</v>
      </c>
      <c r="I201" s="86"/>
      <c r="J201" s="85"/>
      <c r="K201" s="88"/>
    </row>
    <row r="202" spans="1:11" ht="12.75" customHeight="1" x14ac:dyDescent="0.3">
      <c r="A202" s="160" t="s">
        <v>80</v>
      </c>
      <c r="B202" s="161"/>
      <c r="C202" s="6"/>
      <c r="D202" s="6"/>
      <c r="E202" s="6"/>
      <c r="F202" s="6"/>
      <c r="G202" s="6"/>
      <c r="H202" s="7"/>
      <c r="I202" s="86"/>
      <c r="J202" s="85"/>
      <c r="K202" s="88"/>
    </row>
    <row r="203" spans="1:11" ht="12.75" customHeight="1" x14ac:dyDescent="0.3">
      <c r="A203" s="156">
        <v>38155</v>
      </c>
      <c r="B203" s="157"/>
      <c r="C203" s="2">
        <f>[1]!'SGINP,LA'/100</f>
        <v>127.5</v>
      </c>
      <c r="D203" s="15">
        <f>F203-0.3</f>
        <v>129.47999999999999</v>
      </c>
      <c r="E203" s="15">
        <f>F203+0.3</f>
        <v>130.08000000000001</v>
      </c>
      <c r="F203" s="15">
        <f>C203+2.28</f>
        <v>129.78</v>
      </c>
      <c r="G203" s="15"/>
      <c r="H203" s="16">
        <v>35</v>
      </c>
      <c r="I203" s="86"/>
      <c r="J203" s="85"/>
      <c r="K203" s="88"/>
    </row>
    <row r="204" spans="1:11" ht="12.75" customHeight="1" x14ac:dyDescent="0.3">
      <c r="A204" s="152">
        <v>38246</v>
      </c>
      <c r="B204" s="153"/>
      <c r="C204" s="2">
        <f>[1]!'SGINP,LA'/100</f>
        <v>127.5</v>
      </c>
      <c r="D204" s="4">
        <f>F204-0.4</f>
        <v>128.75</v>
      </c>
      <c r="E204" s="4">
        <f>F204+0.4</f>
        <v>129.55000000000001</v>
      </c>
      <c r="F204" s="15">
        <f>C204+1.65</f>
        <v>129.15</v>
      </c>
      <c r="G204" s="39"/>
      <c r="H204" s="54">
        <v>35</v>
      </c>
      <c r="I204" s="86"/>
      <c r="J204" s="85"/>
      <c r="K204" s="88"/>
    </row>
    <row r="205" spans="1:11" ht="12.75" customHeight="1" x14ac:dyDescent="0.3">
      <c r="A205" s="160" t="s">
        <v>26</v>
      </c>
      <c r="B205" s="161"/>
      <c r="C205" s="6"/>
      <c r="D205" s="6"/>
      <c r="E205" s="6"/>
      <c r="F205" s="6"/>
      <c r="G205" s="6"/>
      <c r="H205" s="7"/>
      <c r="K205" s="88"/>
    </row>
    <row r="206" spans="1:11" ht="12.75" customHeight="1" x14ac:dyDescent="0.3">
      <c r="A206" s="156">
        <v>38155</v>
      </c>
      <c r="B206" s="157"/>
      <c r="C206" s="15">
        <f>[1]!'SGIPL,LA'/100</f>
        <v>66.819999999999993</v>
      </c>
      <c r="D206" s="15">
        <f>F206-0.3</f>
        <v>67.72</v>
      </c>
      <c r="E206" s="15">
        <f>F206+0.3</f>
        <v>68.319999999999993</v>
      </c>
      <c r="F206" s="15">
        <f>C206+1.2</f>
        <v>68.02</v>
      </c>
      <c r="G206" s="15"/>
      <c r="H206" s="16">
        <v>32</v>
      </c>
      <c r="K206" s="88"/>
    </row>
    <row r="207" spans="1:11" ht="12.75" customHeight="1" x14ac:dyDescent="0.3">
      <c r="A207" s="152">
        <v>38246</v>
      </c>
      <c r="B207" s="153"/>
      <c r="C207" s="4">
        <f>[1]!'SGIPL,LA'/100</f>
        <v>66.819999999999993</v>
      </c>
      <c r="D207" s="4">
        <f>F207-0.4</f>
        <v>69.199999999999989</v>
      </c>
      <c r="E207" s="4">
        <f>F207+0.4</f>
        <v>70</v>
      </c>
      <c r="F207" s="4">
        <f>C207+2.78</f>
        <v>69.599999999999994</v>
      </c>
      <c r="G207" s="4"/>
      <c r="H207" s="5">
        <v>32</v>
      </c>
      <c r="K207" s="88"/>
    </row>
    <row r="208" spans="1:11" ht="12.75" customHeight="1" x14ac:dyDescent="0.3">
      <c r="A208" s="158" t="s">
        <v>27</v>
      </c>
      <c r="B208" s="159"/>
      <c r="C208" s="32"/>
      <c r="D208" s="32"/>
      <c r="E208" s="32"/>
      <c r="F208" s="32"/>
      <c r="G208" s="32"/>
      <c r="H208" s="9"/>
      <c r="K208" s="88"/>
    </row>
    <row r="209" spans="1:11" ht="12.75" customHeight="1" x14ac:dyDescent="0.3">
      <c r="A209" s="156">
        <v>38155</v>
      </c>
      <c r="B209" s="157"/>
      <c r="C209" s="15">
        <f>[1]!'SGISC,LA'/100</f>
        <v>36.5</v>
      </c>
      <c r="D209" s="15">
        <f>F209-0.3</f>
        <v>36.85</v>
      </c>
      <c r="E209" s="15">
        <f>F209+0.3</f>
        <v>37.449999999999996</v>
      </c>
      <c r="F209" s="15">
        <f>C209+0.65</f>
        <v>37.15</v>
      </c>
      <c r="G209" s="15"/>
      <c r="H209" s="16">
        <v>32</v>
      </c>
      <c r="K209" s="88"/>
    </row>
    <row r="210" spans="1:11" ht="12.75" customHeight="1" x14ac:dyDescent="0.3">
      <c r="A210" s="152">
        <v>38246</v>
      </c>
      <c r="B210" s="153"/>
      <c r="C210" s="4">
        <f>[1]!'SGISC,LA'/100</f>
        <v>36.5</v>
      </c>
      <c r="D210" s="4">
        <f>F210-0.4</f>
        <v>37.6</v>
      </c>
      <c r="E210" s="4">
        <f>F210+0.4</f>
        <v>38.4</v>
      </c>
      <c r="F210" s="4">
        <f>C210+1.5</f>
        <v>38</v>
      </c>
      <c r="G210" s="4"/>
      <c r="H210" s="5">
        <v>36</v>
      </c>
      <c r="K210" s="88"/>
    </row>
    <row r="211" spans="1:11" ht="12.75" customHeight="1" x14ac:dyDescent="0.3">
      <c r="A211" s="158" t="s">
        <v>134</v>
      </c>
      <c r="B211" s="159"/>
      <c r="C211" s="32"/>
      <c r="D211" s="32"/>
      <c r="E211" s="32"/>
      <c r="F211" s="32"/>
      <c r="G211" s="32"/>
      <c r="H211" s="9"/>
      <c r="K211" s="88"/>
    </row>
    <row r="212" spans="1:11" ht="12.75" customHeight="1" x14ac:dyDescent="0.3">
      <c r="A212" s="156">
        <v>38155</v>
      </c>
      <c r="B212" s="157"/>
      <c r="C212" s="15">
        <f>[1]!'SGIVT,LA'/100</f>
        <v>10</v>
      </c>
      <c r="D212" s="15">
        <f>F212-0.3</f>
        <v>9.86</v>
      </c>
      <c r="E212" s="15">
        <f>F212+0.3</f>
        <v>10.46</v>
      </c>
      <c r="F212" s="15">
        <f>C212+0.16</f>
        <v>10.16</v>
      </c>
      <c r="G212" s="15"/>
      <c r="H212" s="16">
        <v>30</v>
      </c>
      <c r="K212" s="88"/>
    </row>
    <row r="213" spans="1:11" ht="12.75" customHeight="1" x14ac:dyDescent="0.3">
      <c r="A213" s="152">
        <v>38246</v>
      </c>
      <c r="B213" s="153"/>
      <c r="C213" s="15">
        <f>[1]!'SGIVT,LA'/100</f>
        <v>10</v>
      </c>
      <c r="D213" s="4">
        <f>F213-0.4</f>
        <v>9.99</v>
      </c>
      <c r="E213" s="4">
        <f>F213+0.4</f>
        <v>10.790000000000001</v>
      </c>
      <c r="F213" s="15">
        <f>C213+0.39</f>
        <v>10.39</v>
      </c>
      <c r="G213" s="4"/>
      <c r="H213" s="5">
        <v>30</v>
      </c>
      <c r="K213" s="88"/>
    </row>
    <row r="214" spans="1:11" ht="12.75" customHeight="1" x14ac:dyDescent="0.3">
      <c r="A214" s="160" t="s">
        <v>110</v>
      </c>
      <c r="B214" s="161"/>
      <c r="C214" s="6"/>
      <c r="D214" s="6"/>
      <c r="E214" s="6"/>
      <c r="F214" s="6"/>
      <c r="G214" s="6"/>
      <c r="H214" s="10"/>
      <c r="K214" s="88"/>
    </row>
    <row r="215" spans="1:11" ht="12.75" customHeight="1" x14ac:dyDescent="0.3">
      <c r="A215" s="156">
        <v>38155</v>
      </c>
      <c r="B215" s="157"/>
      <c r="C215" s="15">
        <f>[1]!'SGJCD,LA'/100</f>
        <v>0.63</v>
      </c>
      <c r="D215" s="15">
        <f>F215-0.02</f>
        <v>0.62</v>
      </c>
      <c r="E215" s="15">
        <f>F215+0.02</f>
        <v>0.66</v>
      </c>
      <c r="F215" s="15">
        <f>C215+0.01</f>
        <v>0.64</v>
      </c>
      <c r="G215" s="15"/>
      <c r="H215" s="16">
        <v>30</v>
      </c>
      <c r="K215" s="88"/>
    </row>
    <row r="216" spans="1:11" ht="12.75" customHeight="1" x14ac:dyDescent="0.3">
      <c r="A216" s="152">
        <v>38246</v>
      </c>
      <c r="B216" s="153"/>
      <c r="C216" s="4">
        <f>[1]!'SGJCD,LA'/100</f>
        <v>0.63</v>
      </c>
      <c r="D216" s="4">
        <f>F216-0.03</f>
        <v>0.63</v>
      </c>
      <c r="E216" s="4">
        <f>F216+0.03</f>
        <v>0.69000000000000006</v>
      </c>
      <c r="F216" s="4">
        <f>C216+0.03</f>
        <v>0.66</v>
      </c>
      <c r="G216" s="4"/>
      <c r="H216" s="5">
        <v>30</v>
      </c>
      <c r="K216" s="88"/>
    </row>
    <row r="217" spans="1:11" ht="12.75" customHeight="1" x14ac:dyDescent="0.3">
      <c r="A217" s="158" t="s">
        <v>28</v>
      </c>
      <c r="B217" s="159"/>
      <c r="C217" s="32"/>
      <c r="D217" s="32"/>
      <c r="E217" s="32"/>
      <c r="F217" s="32"/>
      <c r="G217" s="32"/>
      <c r="H217" s="33"/>
      <c r="K217" s="88"/>
    </row>
    <row r="218" spans="1:11" ht="12.75" customHeight="1" x14ac:dyDescent="0.3">
      <c r="A218" s="156">
        <v>38155</v>
      </c>
      <c r="B218" s="157"/>
      <c r="C218" s="15">
        <f>[1]!'SGJDG,LA'/100</f>
        <v>41.9</v>
      </c>
      <c r="D218" s="15">
        <f>F218-0.3</f>
        <v>41.5</v>
      </c>
      <c r="E218" s="15">
        <f>F218+0.3</f>
        <v>42.099999999999994</v>
      </c>
      <c r="F218" s="15">
        <f>C218-0.1</f>
        <v>41.8</v>
      </c>
      <c r="G218" s="15"/>
      <c r="H218" s="16">
        <v>37.5</v>
      </c>
      <c r="K218" s="88"/>
    </row>
    <row r="219" spans="1:11" ht="12.75" customHeight="1" x14ac:dyDescent="0.3">
      <c r="A219" s="152">
        <v>38246</v>
      </c>
      <c r="B219" s="153"/>
      <c r="C219" s="4">
        <f>[1]!'SGJDG,LA'/100</f>
        <v>41.9</v>
      </c>
      <c r="D219" s="4">
        <f>F219-0.4</f>
        <v>42.37</v>
      </c>
      <c r="E219" s="4">
        <f>F219+0.4</f>
        <v>43.169999999999995</v>
      </c>
      <c r="F219" s="15">
        <f>C219+0.87</f>
        <v>42.769999999999996</v>
      </c>
      <c r="G219" s="4"/>
      <c r="H219" s="5">
        <v>37.5</v>
      </c>
      <c r="K219" s="88"/>
    </row>
    <row r="220" spans="1:11" ht="12.75" customHeight="1" x14ac:dyDescent="0.3">
      <c r="A220" s="160" t="s">
        <v>29</v>
      </c>
      <c r="B220" s="161"/>
      <c r="C220" s="32"/>
      <c r="D220" s="6" t="s">
        <v>9</v>
      </c>
      <c r="E220" s="6"/>
      <c r="F220" s="6"/>
      <c r="G220" s="6"/>
      <c r="H220" s="7"/>
      <c r="K220" s="88"/>
    </row>
    <row r="221" spans="1:11" ht="12.75" customHeight="1" x14ac:dyDescent="0.3">
      <c r="A221" s="156">
        <v>38155</v>
      </c>
      <c r="B221" s="157"/>
      <c r="C221" s="15">
        <f>[1]!'SGJNC,LA'/100</f>
        <v>16.3</v>
      </c>
      <c r="D221" s="15">
        <f>F221-0.3</f>
        <v>16.3</v>
      </c>
      <c r="E221" s="15">
        <f>F221+0.3</f>
        <v>16.900000000000002</v>
      </c>
      <c r="F221" s="15">
        <f>C221+0.3</f>
        <v>16.600000000000001</v>
      </c>
      <c r="G221" s="15"/>
      <c r="H221" s="16">
        <v>32</v>
      </c>
      <c r="K221" s="88"/>
    </row>
    <row r="222" spans="1:11" ht="12.75" customHeight="1" x14ac:dyDescent="0.3">
      <c r="A222" s="152">
        <v>38246</v>
      </c>
      <c r="B222" s="153"/>
      <c r="C222" s="4">
        <f>[1]!'SGJNC,LA'/100</f>
        <v>16.3</v>
      </c>
      <c r="D222" s="4">
        <f>F222-0.4</f>
        <v>16.580000000000002</v>
      </c>
      <c r="E222" s="4">
        <f>F222+0.4</f>
        <v>17.38</v>
      </c>
      <c r="F222" s="15">
        <f>C222+0.68</f>
        <v>16.98</v>
      </c>
      <c r="G222" s="4"/>
      <c r="H222" s="5">
        <v>32</v>
      </c>
      <c r="K222" s="88"/>
    </row>
    <row r="223" spans="1:11" ht="12.75" customHeight="1" x14ac:dyDescent="0.3">
      <c r="A223" s="160" t="s">
        <v>92</v>
      </c>
      <c r="B223" s="161"/>
      <c r="C223" s="6"/>
      <c r="D223" s="6"/>
      <c r="E223" s="6"/>
      <c r="F223" s="6"/>
      <c r="G223" s="6"/>
      <c r="H223" s="7"/>
      <c r="K223" s="88"/>
    </row>
    <row r="224" spans="1:11" ht="12.75" customHeight="1" x14ac:dyDescent="0.3">
      <c r="A224" s="156">
        <v>38155</v>
      </c>
      <c r="B224" s="157"/>
      <c r="C224" s="15">
        <f>[1]!'SGKER,LA'/100</f>
        <v>37</v>
      </c>
      <c r="D224" s="15">
        <f>F224-0.3</f>
        <v>37.36</v>
      </c>
      <c r="E224" s="15">
        <f>F224+0.3</f>
        <v>37.959999999999994</v>
      </c>
      <c r="F224" s="15">
        <f>C224+0.66</f>
        <v>37.659999999999997</v>
      </c>
      <c r="G224" s="15"/>
      <c r="H224" s="16">
        <v>30</v>
      </c>
      <c r="K224" s="88"/>
    </row>
    <row r="225" spans="1:11" ht="12.75" customHeight="1" x14ac:dyDescent="0.3">
      <c r="A225" s="152">
        <v>38246</v>
      </c>
      <c r="B225" s="153"/>
      <c r="C225" s="4">
        <f>[1]!'SGKER,LA'/100</f>
        <v>37</v>
      </c>
      <c r="D225" s="4">
        <f>F225-0.4</f>
        <v>38.120000000000005</v>
      </c>
      <c r="E225" s="4">
        <f>F225+0.4</f>
        <v>38.92</v>
      </c>
      <c r="F225" s="15">
        <f>C225+1.52</f>
        <v>38.520000000000003</v>
      </c>
      <c r="G225" s="4"/>
      <c r="H225" s="5">
        <v>30</v>
      </c>
      <c r="K225" s="88"/>
    </row>
    <row r="226" spans="1:11" ht="12.75" customHeight="1" x14ac:dyDescent="0.3">
      <c r="A226" s="160" t="s">
        <v>53</v>
      </c>
      <c r="B226" s="161"/>
      <c r="C226" s="6"/>
      <c r="D226" s="6"/>
      <c r="E226" s="6"/>
      <c r="F226" s="6"/>
      <c r="G226" s="6"/>
      <c r="H226" s="7"/>
      <c r="K226" s="88"/>
    </row>
    <row r="227" spans="1:11" ht="12.75" customHeight="1" x14ac:dyDescent="0.3">
      <c r="A227" s="156">
        <v>38155</v>
      </c>
      <c r="B227" s="157"/>
      <c r="C227" s="15">
        <f>[1]!'SGKMB,LA'/100</f>
        <v>42</v>
      </c>
      <c r="D227" s="15">
        <f>F227-0.3</f>
        <v>42.46</v>
      </c>
      <c r="E227" s="15">
        <f>F227+0.3</f>
        <v>43.059999999999995</v>
      </c>
      <c r="F227" s="15">
        <f>C227+0.76</f>
        <v>42.76</v>
      </c>
      <c r="G227" s="15"/>
      <c r="H227" s="16">
        <v>36.25</v>
      </c>
      <c r="K227" s="88"/>
    </row>
    <row r="228" spans="1:11" ht="12.75" customHeight="1" x14ac:dyDescent="0.3">
      <c r="A228" s="152">
        <v>38246</v>
      </c>
      <c r="B228" s="153"/>
      <c r="C228" s="4">
        <f>[1]!'SGKMB,LA'/100</f>
        <v>42</v>
      </c>
      <c r="D228" s="4">
        <f>F228-0.4</f>
        <v>42.86</v>
      </c>
      <c r="E228" s="4">
        <f>F228+0.4</f>
        <v>43.66</v>
      </c>
      <c r="F228" s="4">
        <f>C228+1.26</f>
        <v>43.26</v>
      </c>
      <c r="G228" s="4"/>
      <c r="H228" s="5">
        <v>36.25</v>
      </c>
      <c r="K228" s="88"/>
    </row>
    <row r="229" spans="1:11" ht="12.75" customHeight="1" x14ac:dyDescent="0.3">
      <c r="A229" s="158" t="s">
        <v>119</v>
      </c>
      <c r="B229" s="159"/>
      <c r="C229" s="32"/>
      <c r="D229" s="32"/>
      <c r="E229" s="32"/>
      <c r="F229" s="32"/>
      <c r="G229" s="32"/>
      <c r="H229" s="33"/>
      <c r="K229" s="88"/>
    </row>
    <row r="230" spans="1:11" ht="12.75" customHeight="1" x14ac:dyDescent="0.3">
      <c r="A230" s="156">
        <v>38155</v>
      </c>
      <c r="B230" s="157"/>
      <c r="C230" s="15">
        <f>[1]!'SGLBH,LA'/100</f>
        <v>132</v>
      </c>
      <c r="D230" s="15">
        <f>F230-0.3</f>
        <v>134.11999999999998</v>
      </c>
      <c r="E230" s="15">
        <f>F230+0.3</f>
        <v>134.72</v>
      </c>
      <c r="F230" s="15">
        <f>C230+2.42</f>
        <v>134.41999999999999</v>
      </c>
      <c r="G230" s="15"/>
      <c r="H230" s="16">
        <v>30</v>
      </c>
      <c r="K230" s="88"/>
    </row>
    <row r="231" spans="1:11" ht="12.75" customHeight="1" x14ac:dyDescent="0.3">
      <c r="A231" s="152">
        <v>38246</v>
      </c>
      <c r="B231" s="153"/>
      <c r="C231" s="4">
        <f>[1]!'SGLBH,LA'/100</f>
        <v>132</v>
      </c>
      <c r="D231" s="4">
        <f>F231-0.4</f>
        <v>137.21</v>
      </c>
      <c r="E231" s="4">
        <f>F231+0.4</f>
        <v>138.01000000000002</v>
      </c>
      <c r="F231" s="4">
        <f>C231+5.61</f>
        <v>137.61000000000001</v>
      </c>
      <c r="G231" s="4"/>
      <c r="H231" s="5">
        <v>30</v>
      </c>
      <c r="K231" s="88"/>
    </row>
    <row r="232" spans="1:11" ht="12.75" customHeight="1" x14ac:dyDescent="0.3">
      <c r="A232" s="158" t="s">
        <v>43</v>
      </c>
      <c r="B232" s="159"/>
      <c r="C232" s="32"/>
      <c r="D232" s="32"/>
      <c r="E232" s="32"/>
      <c r="F232" s="32"/>
      <c r="G232" s="32"/>
      <c r="H232" s="33"/>
      <c r="K232" s="88"/>
    </row>
    <row r="233" spans="1:11" ht="12.75" customHeight="1" x14ac:dyDescent="0.3">
      <c r="A233" s="156">
        <v>38155</v>
      </c>
      <c r="B233" s="157"/>
      <c r="C233" s="15">
        <f>[1]!'SGLBT,LA'/100</f>
        <v>89.5</v>
      </c>
      <c r="D233" s="15">
        <f>F233-0.3</f>
        <v>89.100000000000009</v>
      </c>
      <c r="E233" s="15">
        <f>F233+0.3</f>
        <v>89.7</v>
      </c>
      <c r="F233" s="15">
        <f>C233-0.1</f>
        <v>89.4</v>
      </c>
      <c r="G233" s="15"/>
      <c r="H233" s="16">
        <v>23</v>
      </c>
      <c r="K233" s="88"/>
    </row>
    <row r="234" spans="1:11" ht="12.75" customHeight="1" x14ac:dyDescent="0.3">
      <c r="A234" s="152">
        <v>38246</v>
      </c>
      <c r="B234" s="153"/>
      <c r="C234" s="4">
        <f>[1]!'SGLBT,LA'/100</f>
        <v>89.5</v>
      </c>
      <c r="D234" s="4">
        <f>F234-0.4</f>
        <v>91.039999999999992</v>
      </c>
      <c r="E234" s="4">
        <f>F234+0.4</f>
        <v>91.84</v>
      </c>
      <c r="F234" s="4">
        <f>C234+1.94</f>
        <v>91.44</v>
      </c>
      <c r="G234" s="4"/>
      <c r="H234" s="5">
        <v>23</v>
      </c>
      <c r="K234" s="88"/>
    </row>
    <row r="235" spans="1:11" ht="12.75" customHeight="1" x14ac:dyDescent="0.3">
      <c r="A235" s="158" t="s">
        <v>30</v>
      </c>
      <c r="B235" s="159"/>
      <c r="C235" s="32"/>
      <c r="D235" s="32"/>
      <c r="E235" s="32"/>
      <c r="F235" s="32"/>
      <c r="G235" s="32"/>
      <c r="H235" s="9"/>
      <c r="K235" s="88"/>
    </row>
    <row r="236" spans="1:11" ht="12.75" customHeight="1" x14ac:dyDescent="0.3">
      <c r="A236" s="156">
        <v>38155</v>
      </c>
      <c r="B236" s="157"/>
      <c r="C236" s="15">
        <f>[1]!'SGLGL,LA'/100</f>
        <v>50.9</v>
      </c>
      <c r="D236" s="15">
        <f>F236-0.3</f>
        <v>50.93</v>
      </c>
      <c r="E236" s="15">
        <f>F236+0.3</f>
        <v>51.529999999999994</v>
      </c>
      <c r="F236" s="15">
        <f>C236+0.33</f>
        <v>51.23</v>
      </c>
      <c r="G236" s="15"/>
      <c r="H236" s="16">
        <v>28</v>
      </c>
      <c r="K236" s="88"/>
    </row>
    <row r="237" spans="1:11" ht="12.75" customHeight="1" x14ac:dyDescent="0.3">
      <c r="A237" s="152">
        <v>38246</v>
      </c>
      <c r="B237" s="153"/>
      <c r="C237" s="4">
        <f>[1]!'SGLGL,LA'/100</f>
        <v>50.9</v>
      </c>
      <c r="D237" s="4">
        <f>F237-0.4</f>
        <v>52.64</v>
      </c>
      <c r="E237" s="4">
        <f>F237+0.4</f>
        <v>53.44</v>
      </c>
      <c r="F237" s="4">
        <f>C237+2.14</f>
        <v>53.04</v>
      </c>
      <c r="G237" s="4"/>
      <c r="H237" s="5">
        <v>28</v>
      </c>
      <c r="K237" s="88"/>
    </row>
    <row r="238" spans="1:11" ht="12.75" customHeight="1" x14ac:dyDescent="0.3">
      <c r="A238" s="158" t="s">
        <v>126</v>
      </c>
      <c r="B238" s="159"/>
      <c r="C238" s="32"/>
      <c r="D238" s="32"/>
      <c r="E238" s="32"/>
      <c r="F238" s="32"/>
      <c r="G238" s="32"/>
      <c r="H238" s="33"/>
      <c r="K238" s="88"/>
    </row>
    <row r="239" spans="1:11" ht="12.75" customHeight="1" x14ac:dyDescent="0.3">
      <c r="A239" s="156">
        <v>38155</v>
      </c>
      <c r="B239" s="157"/>
      <c r="C239" s="15">
        <v>133</v>
      </c>
      <c r="D239" s="15">
        <f>F239-0.3</f>
        <v>134.95999999999998</v>
      </c>
      <c r="E239" s="15">
        <f>F239+0.3</f>
        <v>135.56</v>
      </c>
      <c r="F239" s="15">
        <f>C239+2.26</f>
        <v>135.26</v>
      </c>
      <c r="G239" s="15"/>
      <c r="H239" s="16">
        <v>30</v>
      </c>
      <c r="K239" s="88"/>
    </row>
    <row r="240" spans="1:11" ht="12.75" customHeight="1" x14ac:dyDescent="0.3">
      <c r="A240" s="152">
        <v>38246</v>
      </c>
      <c r="B240" s="153"/>
      <c r="C240" s="4">
        <v>133</v>
      </c>
      <c r="D240" s="4">
        <f>F240-0.4</f>
        <v>138.16</v>
      </c>
      <c r="E240" s="4">
        <f>F240+0.4</f>
        <v>138.96</v>
      </c>
      <c r="F240" s="4">
        <f>C240+5.56</f>
        <v>138.56</v>
      </c>
      <c r="G240" s="4"/>
      <c r="H240" s="5">
        <v>30</v>
      </c>
      <c r="K240" s="88"/>
    </row>
    <row r="241" spans="1:11" ht="12.75" customHeight="1" x14ac:dyDescent="0.3">
      <c r="A241" s="158" t="s">
        <v>120</v>
      </c>
      <c r="B241" s="159"/>
      <c r="C241" s="32"/>
      <c r="D241" s="32"/>
      <c r="E241" s="32"/>
      <c r="F241" s="32"/>
      <c r="G241" s="32"/>
      <c r="H241" s="33"/>
      <c r="K241" s="88"/>
    </row>
    <row r="242" spans="1:11" ht="12.75" customHeight="1" x14ac:dyDescent="0.3">
      <c r="A242" s="156">
        <v>38155</v>
      </c>
      <c r="B242" s="157"/>
      <c r="C242" s="15">
        <v>18.350000000000001</v>
      </c>
      <c r="D242" s="15">
        <f>F242-0.3</f>
        <v>18.38</v>
      </c>
      <c r="E242" s="15">
        <f>F242+0.3</f>
        <v>18.98</v>
      </c>
      <c r="F242" s="15">
        <f>C242+0.33</f>
        <v>18.68</v>
      </c>
      <c r="G242" s="15"/>
      <c r="H242" s="16">
        <v>30</v>
      </c>
      <c r="K242" s="88"/>
    </row>
    <row r="243" spans="1:11" ht="12.75" customHeight="1" x14ac:dyDescent="0.3">
      <c r="A243" s="152">
        <v>38246</v>
      </c>
      <c r="B243" s="153"/>
      <c r="C243" s="4">
        <v>18.350000000000001</v>
      </c>
      <c r="D243" s="4">
        <f>F243-0.4</f>
        <v>18.710000000000004</v>
      </c>
      <c r="E243" s="4">
        <f>F243+0.4</f>
        <v>19.510000000000002</v>
      </c>
      <c r="F243" s="4">
        <f>C243+0.76</f>
        <v>19.110000000000003</v>
      </c>
      <c r="G243" s="4"/>
      <c r="H243" s="5">
        <v>30</v>
      </c>
      <c r="K243" s="88"/>
    </row>
    <row r="244" spans="1:11" ht="12.75" customHeight="1" x14ac:dyDescent="0.3">
      <c r="A244" s="158" t="s">
        <v>147</v>
      </c>
      <c r="B244" s="159"/>
      <c r="C244" s="32"/>
      <c r="D244" s="32"/>
      <c r="E244" s="32"/>
      <c r="F244" s="32"/>
      <c r="G244" s="32"/>
      <c r="H244" s="33"/>
      <c r="K244" s="88"/>
    </row>
    <row r="245" spans="1:11" ht="12.75" customHeight="1" x14ac:dyDescent="0.3">
      <c r="A245" s="156">
        <v>38155</v>
      </c>
      <c r="B245" s="157"/>
      <c r="C245" s="15">
        <f>[1]!'SGMDC,LA'/100</f>
        <v>12</v>
      </c>
      <c r="D245" s="15">
        <f>F245-0.3</f>
        <v>11.899999999999999</v>
      </c>
      <c r="E245" s="15">
        <f>F245+0.3</f>
        <v>12.5</v>
      </c>
      <c r="F245" s="15">
        <f>C245+0.2</f>
        <v>12.2</v>
      </c>
      <c r="G245" s="15"/>
      <c r="H245" s="16">
        <v>30</v>
      </c>
      <c r="K245" s="88"/>
    </row>
    <row r="246" spans="1:11" ht="12.75" customHeight="1" x14ac:dyDescent="0.3">
      <c r="A246" s="152">
        <v>38246</v>
      </c>
      <c r="B246" s="153"/>
      <c r="C246" s="4">
        <f>[1]!'SGMDC,LA'/100</f>
        <v>12</v>
      </c>
      <c r="D246" s="4">
        <f>F246-0.4</f>
        <v>11.799999999999999</v>
      </c>
      <c r="E246" s="4">
        <f>F246+0.4</f>
        <v>12.6</v>
      </c>
      <c r="F246" s="4">
        <f>F245</f>
        <v>12.2</v>
      </c>
      <c r="G246" s="4"/>
      <c r="H246" s="5">
        <v>30</v>
      </c>
      <c r="K246" s="88"/>
    </row>
    <row r="247" spans="1:11" ht="12.75" customHeight="1" x14ac:dyDescent="0.3">
      <c r="A247" s="158" t="s">
        <v>83</v>
      </c>
      <c r="B247" s="159"/>
      <c r="C247" s="32"/>
      <c r="D247" s="32"/>
      <c r="E247" s="32"/>
      <c r="F247" s="32"/>
      <c r="G247" s="32"/>
      <c r="H247" s="33"/>
      <c r="K247" s="88"/>
    </row>
    <row r="248" spans="1:11" ht="12.75" customHeight="1" x14ac:dyDescent="0.3">
      <c r="A248" s="156">
        <v>38155</v>
      </c>
      <c r="B248" s="157"/>
      <c r="C248" s="15">
        <f>[1]!'SGMES,LA'/100</f>
        <v>61.4</v>
      </c>
      <c r="D248" s="15">
        <f>F248-0.3</f>
        <v>62.2</v>
      </c>
      <c r="E248" s="15">
        <f>F248+0.3</f>
        <v>62.8</v>
      </c>
      <c r="F248" s="15">
        <f>C248+1.1</f>
        <v>62.5</v>
      </c>
      <c r="G248" s="15"/>
      <c r="H248" s="16">
        <v>30</v>
      </c>
      <c r="K248" s="88"/>
    </row>
    <row r="249" spans="1:11" ht="12.75" customHeight="1" x14ac:dyDescent="0.3">
      <c r="A249" s="152">
        <v>38246</v>
      </c>
      <c r="B249" s="153"/>
      <c r="C249" s="4">
        <f>[1]!'SGMES,LA'/100</f>
        <v>61.4</v>
      </c>
      <c r="D249" s="4">
        <f>F249-0.4</f>
        <v>63.55</v>
      </c>
      <c r="E249" s="4">
        <f>F249+0.4</f>
        <v>64.349999999999994</v>
      </c>
      <c r="F249" s="4">
        <f>C249+2.55</f>
        <v>63.949999999999996</v>
      </c>
      <c r="G249" s="4"/>
      <c r="H249" s="5">
        <v>30</v>
      </c>
      <c r="K249" s="88"/>
    </row>
    <row r="250" spans="1:11" ht="12.75" customHeight="1" x14ac:dyDescent="0.3">
      <c r="A250" s="154" t="s">
        <v>142</v>
      </c>
      <c r="B250" s="155"/>
      <c r="C250" s="39"/>
      <c r="D250" s="39"/>
      <c r="E250" s="39"/>
      <c r="F250" s="39"/>
      <c r="G250" s="39"/>
      <c r="H250" s="54"/>
      <c r="K250" s="88"/>
    </row>
    <row r="251" spans="1:11" ht="12.75" customHeight="1" x14ac:dyDescent="0.3">
      <c r="A251" s="156">
        <v>38155</v>
      </c>
      <c r="B251" s="157"/>
      <c r="C251" s="15">
        <f>[1]!'SGMET,LA'/100</f>
        <v>7.3</v>
      </c>
      <c r="D251" s="15">
        <f>F251-0.3</f>
        <v>7.01</v>
      </c>
      <c r="E251" s="15">
        <f>F251+0.3</f>
        <v>7.6099999999999994</v>
      </c>
      <c r="F251" s="15">
        <f>C251+0.01</f>
        <v>7.31</v>
      </c>
      <c r="G251" s="15"/>
      <c r="H251" s="16">
        <v>35</v>
      </c>
      <c r="K251" s="88"/>
    </row>
    <row r="252" spans="1:11" ht="12.75" customHeight="1" x14ac:dyDescent="0.3">
      <c r="A252" s="152">
        <v>38246</v>
      </c>
      <c r="B252" s="153"/>
      <c r="C252" s="4">
        <f>[1]!'SGMET,LA'/100</f>
        <v>7.3</v>
      </c>
      <c r="D252" s="4">
        <f>F252-0.4</f>
        <v>7.1999999999999993</v>
      </c>
      <c r="E252" s="4">
        <f>F252+0.4</f>
        <v>8</v>
      </c>
      <c r="F252" s="4">
        <f>C252+0.3</f>
        <v>7.6</v>
      </c>
      <c r="G252" s="4"/>
      <c r="H252" s="5">
        <v>35</v>
      </c>
      <c r="K252" s="88"/>
    </row>
    <row r="253" spans="1:11" ht="12.75" customHeight="1" x14ac:dyDescent="0.3">
      <c r="A253" s="158" t="s">
        <v>122</v>
      </c>
      <c r="B253" s="159"/>
      <c r="C253" s="32"/>
      <c r="D253" s="32"/>
      <c r="E253" s="32"/>
      <c r="F253" s="32"/>
      <c r="G253" s="32"/>
      <c r="H253" s="33"/>
      <c r="K253" s="88"/>
    </row>
    <row r="254" spans="1:11" ht="12.75" customHeight="1" x14ac:dyDescent="0.3">
      <c r="A254" s="156">
        <v>38155</v>
      </c>
      <c r="B254" s="157"/>
      <c r="C254" s="15">
        <f>[1]!'SGMNS,LA'/100</f>
        <v>9.61</v>
      </c>
      <c r="D254" s="15">
        <f>F254-0.3</f>
        <v>9.4799999999999986</v>
      </c>
      <c r="E254" s="15">
        <f>F254+0.3</f>
        <v>10.08</v>
      </c>
      <c r="F254" s="15">
        <f>C254+0.17</f>
        <v>9.7799999999999994</v>
      </c>
      <c r="G254" s="15"/>
      <c r="H254" s="16">
        <v>30</v>
      </c>
      <c r="K254" s="88"/>
    </row>
    <row r="255" spans="1:11" ht="12.75" customHeight="1" x14ac:dyDescent="0.3">
      <c r="A255" s="152">
        <v>38246</v>
      </c>
      <c r="B255" s="153"/>
      <c r="C255" s="4">
        <f>[1]!'SGMNS,LA'/100</f>
        <v>9.61</v>
      </c>
      <c r="D255" s="4">
        <f>F255-0.4</f>
        <v>9.61</v>
      </c>
      <c r="E255" s="4">
        <f>F255+0.4</f>
        <v>10.41</v>
      </c>
      <c r="F255" s="4">
        <f>C255+0.4</f>
        <v>10.01</v>
      </c>
      <c r="G255" s="4"/>
      <c r="H255" s="5">
        <v>30</v>
      </c>
      <c r="K255" s="88"/>
    </row>
    <row r="256" spans="1:11" ht="12.75" customHeight="1" x14ac:dyDescent="0.3">
      <c r="A256" s="158" t="s">
        <v>101</v>
      </c>
      <c r="B256" s="159"/>
      <c r="C256" s="32"/>
      <c r="D256" s="32"/>
      <c r="E256" s="32"/>
      <c r="F256" s="32"/>
      <c r="G256" s="32"/>
      <c r="H256" s="33"/>
      <c r="K256" s="88"/>
    </row>
    <row r="257" spans="1:11" ht="12.75" customHeight="1" x14ac:dyDescent="0.3">
      <c r="A257" s="156">
        <v>38155</v>
      </c>
      <c r="B257" s="157"/>
      <c r="C257" s="15">
        <f>[1]!'SGMPC,LA'/100</f>
        <v>7.75</v>
      </c>
      <c r="D257" s="15">
        <f>F257-0.3</f>
        <v>7.59</v>
      </c>
      <c r="E257" s="15">
        <f>F257+0.3</f>
        <v>8.19</v>
      </c>
      <c r="F257" s="15">
        <f>C257+0.14</f>
        <v>7.89</v>
      </c>
      <c r="G257" s="15"/>
      <c r="H257" s="16">
        <v>30</v>
      </c>
      <c r="K257" s="88"/>
    </row>
    <row r="258" spans="1:11" ht="12.75" customHeight="1" thickBot="1" x14ac:dyDescent="0.35">
      <c r="A258" s="156">
        <v>38246</v>
      </c>
      <c r="B258" s="157"/>
      <c r="C258" s="15">
        <f>[1]!'SGMPC,LA'/100</f>
        <v>7.75</v>
      </c>
      <c r="D258" s="15">
        <f>F258-0.4</f>
        <v>7.68</v>
      </c>
      <c r="E258" s="15">
        <f>F258+0.4</f>
        <v>8.48</v>
      </c>
      <c r="F258" s="15">
        <f>C258+0.33</f>
        <v>8.08</v>
      </c>
      <c r="G258" s="15"/>
      <c r="H258" s="16">
        <v>30</v>
      </c>
      <c r="K258" s="88"/>
    </row>
    <row r="259" spans="1:11" ht="12.75" customHeight="1" x14ac:dyDescent="0.3">
      <c r="A259" s="69"/>
      <c r="B259" s="70"/>
      <c r="C259" s="53"/>
      <c r="D259" s="53"/>
      <c r="E259" s="53"/>
      <c r="F259" s="53"/>
      <c r="G259" s="53"/>
      <c r="H259" s="53"/>
      <c r="K259" s="88"/>
    </row>
    <row r="260" spans="1:11" ht="12.75" customHeight="1" thickBot="1" x14ac:dyDescent="0.35">
      <c r="A260" s="108"/>
      <c r="B260" s="128"/>
      <c r="C260" s="8"/>
      <c r="D260" s="8"/>
      <c r="E260" s="8"/>
      <c r="F260" s="8"/>
      <c r="G260" s="8"/>
      <c r="H260" s="8"/>
      <c r="K260" s="88"/>
    </row>
    <row r="261" spans="1:11" ht="12.75" customHeight="1" x14ac:dyDescent="0.3">
      <c r="A261" s="164" t="s">
        <v>146</v>
      </c>
      <c r="B261" s="165"/>
      <c r="C261" s="28"/>
      <c r="D261" s="28"/>
      <c r="E261" s="28"/>
      <c r="F261" s="28"/>
      <c r="G261" s="28"/>
      <c r="H261" s="107"/>
      <c r="K261" s="88"/>
    </row>
    <row r="262" spans="1:11" ht="12.75" customHeight="1" x14ac:dyDescent="0.3">
      <c r="A262" s="156">
        <v>38155</v>
      </c>
      <c r="B262" s="157"/>
      <c r="C262" s="15">
        <f>[1]!'SGMPL,LA'/100</f>
        <v>3.25</v>
      </c>
      <c r="D262" s="15">
        <f>F262-0.3</f>
        <v>3.0100000000000002</v>
      </c>
      <c r="E262" s="15">
        <f>F262+0.3</f>
        <v>3.61</v>
      </c>
      <c r="F262" s="15">
        <f>C262+0.06</f>
        <v>3.31</v>
      </c>
      <c r="G262" s="15"/>
      <c r="H262" s="16">
        <v>30</v>
      </c>
      <c r="K262" s="88"/>
    </row>
    <row r="263" spans="1:11" ht="12.75" customHeight="1" x14ac:dyDescent="0.3">
      <c r="A263" s="152">
        <v>38246</v>
      </c>
      <c r="B263" s="153"/>
      <c r="C263" s="4">
        <f>[1]!'SGMPL,LA'/100</f>
        <v>3.25</v>
      </c>
      <c r="D263" s="4">
        <f>F263-0.4</f>
        <v>2.91</v>
      </c>
      <c r="E263" s="4">
        <f>F263+0.4</f>
        <v>3.71</v>
      </c>
      <c r="F263" s="4">
        <f>F262</f>
        <v>3.31</v>
      </c>
      <c r="G263" s="4"/>
      <c r="H263" s="5">
        <v>30</v>
      </c>
      <c r="K263" s="88"/>
    </row>
    <row r="264" spans="1:11" ht="12.75" customHeight="1" x14ac:dyDescent="0.3">
      <c r="A264" s="160" t="s">
        <v>57</v>
      </c>
      <c r="B264" s="161"/>
      <c r="C264" s="6"/>
      <c r="D264" s="6"/>
      <c r="E264" s="6"/>
      <c r="F264" s="6"/>
      <c r="G264" s="6"/>
      <c r="H264" s="10"/>
      <c r="K264" s="88"/>
    </row>
    <row r="265" spans="1:11" ht="12.75" customHeight="1" x14ac:dyDescent="0.3">
      <c r="A265" s="156">
        <v>38155</v>
      </c>
      <c r="B265" s="157"/>
      <c r="C265" s="15">
        <f>[1]!'SGMSM,LA'/100</f>
        <v>32</v>
      </c>
      <c r="D265" s="15">
        <f>F265-0.3</f>
        <v>32.260000000000005</v>
      </c>
      <c r="E265" s="15">
        <f>F265+0.3</f>
        <v>32.86</v>
      </c>
      <c r="F265" s="15">
        <f>C265+0.56</f>
        <v>32.56</v>
      </c>
      <c r="G265" s="15"/>
      <c r="H265" s="16">
        <v>30</v>
      </c>
      <c r="K265" s="88"/>
    </row>
    <row r="266" spans="1:11" ht="12.75" customHeight="1" x14ac:dyDescent="0.3">
      <c r="A266" s="156">
        <v>38246</v>
      </c>
      <c r="B266" s="157"/>
      <c r="C266" s="15">
        <f>[1]!'SGMSM,LA'/100</f>
        <v>32</v>
      </c>
      <c r="D266" s="15">
        <f>F266-0.4</f>
        <v>32.89</v>
      </c>
      <c r="E266" s="15">
        <f>F266+0.4</f>
        <v>33.69</v>
      </c>
      <c r="F266" s="15">
        <f>C266+1.29</f>
        <v>33.29</v>
      </c>
      <c r="G266" s="15"/>
      <c r="H266" s="16">
        <v>30</v>
      </c>
      <c r="K266" s="88"/>
    </row>
    <row r="267" spans="1:11" ht="12.75" customHeight="1" x14ac:dyDescent="0.3">
      <c r="A267" s="160" t="s">
        <v>31</v>
      </c>
      <c r="B267" s="161"/>
      <c r="C267" s="6"/>
      <c r="D267" s="6"/>
      <c r="E267" s="6"/>
      <c r="F267" s="6"/>
      <c r="G267" s="6"/>
      <c r="H267" s="7"/>
      <c r="K267" s="88"/>
    </row>
    <row r="268" spans="1:11" ht="12.75" customHeight="1" x14ac:dyDescent="0.3">
      <c r="A268" s="156">
        <v>38155</v>
      </c>
      <c r="B268" s="157"/>
      <c r="C268" s="15">
        <f>[1]!'SGMTC,LA'/100</f>
        <v>2.2999999999999998</v>
      </c>
      <c r="D268" s="15">
        <f>F268-0.3</f>
        <v>2.04</v>
      </c>
      <c r="E268" s="15">
        <f>F268+0.3</f>
        <v>2.6399999999999997</v>
      </c>
      <c r="F268" s="15">
        <f>C268+0.04</f>
        <v>2.34</v>
      </c>
      <c r="G268" s="15"/>
      <c r="H268" s="16">
        <v>37.5</v>
      </c>
      <c r="K268" s="88"/>
    </row>
    <row r="269" spans="1:11" ht="12.75" customHeight="1" x14ac:dyDescent="0.3">
      <c r="A269" s="152">
        <v>38246</v>
      </c>
      <c r="B269" s="153"/>
      <c r="C269" s="4">
        <f>[1]!'SGMTC,LA'/100</f>
        <v>2.2999999999999998</v>
      </c>
      <c r="D269" s="4">
        <f>F269-0.4</f>
        <v>1.9899999999999998</v>
      </c>
      <c r="E269" s="4">
        <f>F269+0.4</f>
        <v>2.7899999999999996</v>
      </c>
      <c r="F269" s="4">
        <f>C269+0.09</f>
        <v>2.3899999999999997</v>
      </c>
      <c r="G269" s="4"/>
      <c r="H269" s="5">
        <v>37.5</v>
      </c>
      <c r="K269" s="88"/>
    </row>
    <row r="270" spans="1:11" ht="12.75" customHeight="1" x14ac:dyDescent="0.3">
      <c r="A270" s="158" t="s">
        <v>89</v>
      </c>
      <c r="B270" s="159"/>
      <c r="C270" s="32"/>
      <c r="D270" s="32"/>
      <c r="E270" s="32"/>
      <c r="F270" s="32"/>
      <c r="G270" s="32"/>
      <c r="H270" s="33"/>
      <c r="K270" s="88"/>
    </row>
    <row r="271" spans="1:11" ht="12.75" customHeight="1" x14ac:dyDescent="0.3">
      <c r="A271" s="156">
        <v>38155</v>
      </c>
      <c r="B271" s="157"/>
      <c r="C271" s="15">
        <f>[1]!'SGMTN,LA'/100</f>
        <v>32.799999999999997</v>
      </c>
      <c r="D271" s="15">
        <f>F271-0.4</f>
        <v>32.99</v>
      </c>
      <c r="E271" s="15">
        <f>F271+0.4</f>
        <v>33.79</v>
      </c>
      <c r="F271" s="15">
        <f>C271+0.59</f>
        <v>33.39</v>
      </c>
      <c r="G271" s="117"/>
      <c r="H271" s="16">
        <v>35</v>
      </c>
      <c r="I271" s="85"/>
      <c r="K271" s="88"/>
    </row>
    <row r="272" spans="1:11" ht="12.75" customHeight="1" x14ac:dyDescent="0.3">
      <c r="A272" s="156">
        <v>38246</v>
      </c>
      <c r="B272" s="157"/>
      <c r="C272" s="15">
        <f>[1]!'SGMTN,LA'/100</f>
        <v>32.799999999999997</v>
      </c>
      <c r="D272" s="15">
        <f>F272-0.5</f>
        <v>33.669999999999995</v>
      </c>
      <c r="E272" s="15">
        <f>F272+0.5</f>
        <v>34.669999999999995</v>
      </c>
      <c r="F272" s="15">
        <f>C272+1.37</f>
        <v>34.169999999999995</v>
      </c>
      <c r="G272" s="117"/>
      <c r="H272" s="16">
        <v>35</v>
      </c>
      <c r="I272" s="85"/>
      <c r="K272" s="88"/>
    </row>
    <row r="273" spans="1:11" ht="12.75" customHeight="1" x14ac:dyDescent="0.3">
      <c r="A273" s="156">
        <v>38336</v>
      </c>
      <c r="B273" s="157"/>
      <c r="C273" s="15">
        <f>[1]!'SGMTN,LA'/100</f>
        <v>32.799999999999997</v>
      </c>
      <c r="D273" s="15">
        <f>F273-0.6</f>
        <v>34.339999999999996</v>
      </c>
      <c r="E273" s="15">
        <f>F273+0.6</f>
        <v>35.54</v>
      </c>
      <c r="F273" s="15">
        <f>C273+2.14</f>
        <v>34.94</v>
      </c>
      <c r="G273" s="117"/>
      <c r="H273" s="16">
        <v>33.5</v>
      </c>
      <c r="I273" s="85"/>
      <c r="K273" s="88"/>
    </row>
    <row r="274" spans="1:11" ht="12.75" customHeight="1" x14ac:dyDescent="0.3">
      <c r="A274" s="156">
        <v>38428</v>
      </c>
      <c r="B274" s="157"/>
      <c r="C274" s="15">
        <f>[1]!'SGMTN,LA'/100</f>
        <v>32.799999999999997</v>
      </c>
      <c r="D274" s="15">
        <f>F274-0.7</f>
        <v>35.099999999999994</v>
      </c>
      <c r="E274" s="15">
        <f>F274+0.7</f>
        <v>36.5</v>
      </c>
      <c r="F274" s="15">
        <f>C274+3</f>
        <v>35.799999999999997</v>
      </c>
      <c r="G274" s="117"/>
      <c r="H274" s="16">
        <v>35</v>
      </c>
      <c r="I274" s="85"/>
      <c r="K274" s="88"/>
    </row>
    <row r="275" spans="1:11" ht="12.75" customHeight="1" x14ac:dyDescent="0.3">
      <c r="A275" s="152">
        <v>38518</v>
      </c>
      <c r="B275" s="153"/>
      <c r="C275" s="4">
        <f>[1]!'SGMTN,LA'/100</f>
        <v>32.799999999999997</v>
      </c>
      <c r="D275" s="4">
        <f>F275-0.8</f>
        <v>35.6</v>
      </c>
      <c r="E275" s="4">
        <f>F275+0.8</f>
        <v>37.199999999999996</v>
      </c>
      <c r="F275" s="4">
        <f>C275+3.6</f>
        <v>36.4</v>
      </c>
      <c r="G275" s="116"/>
      <c r="H275" s="5">
        <v>28.83</v>
      </c>
      <c r="I275" s="85"/>
      <c r="K275" s="88"/>
    </row>
    <row r="276" spans="1:11" ht="12.75" customHeight="1" x14ac:dyDescent="0.3">
      <c r="A276" s="154" t="s">
        <v>102</v>
      </c>
      <c r="B276" s="155"/>
      <c r="C276" s="39"/>
      <c r="D276" s="39"/>
      <c r="E276" s="39"/>
      <c r="F276" s="39"/>
      <c r="G276" s="118"/>
      <c r="H276" s="54"/>
      <c r="I276" s="85"/>
      <c r="K276" s="88"/>
    </row>
    <row r="277" spans="1:11" ht="12.75" customHeight="1" x14ac:dyDescent="0.3">
      <c r="A277" s="156">
        <v>38155</v>
      </c>
      <c r="B277" s="157"/>
      <c r="C277" s="15">
        <f>[1]!'SGMUR,LA'/100</f>
        <v>12.85</v>
      </c>
      <c r="D277" s="15">
        <f>F277-0.3</f>
        <v>12.629999999999999</v>
      </c>
      <c r="E277" s="15">
        <f>F277+0.3</f>
        <v>13.23</v>
      </c>
      <c r="F277" s="15">
        <f>C277+0.08</f>
        <v>12.93</v>
      </c>
      <c r="G277" s="117"/>
      <c r="H277" s="16">
        <v>30</v>
      </c>
      <c r="I277" s="85"/>
      <c r="K277" s="88"/>
    </row>
    <row r="278" spans="1:11" ht="12.75" customHeight="1" x14ac:dyDescent="0.3">
      <c r="A278" s="152">
        <v>38246</v>
      </c>
      <c r="B278" s="153"/>
      <c r="C278" s="4">
        <f>[1]!'SGMUR,LA'/100</f>
        <v>12.85</v>
      </c>
      <c r="D278" s="4">
        <f>F278-0.4</f>
        <v>12.83</v>
      </c>
      <c r="E278" s="4">
        <f>F278+0.4</f>
        <v>13.63</v>
      </c>
      <c r="F278" s="4">
        <f>C278+0.38</f>
        <v>13.23</v>
      </c>
      <c r="G278" s="116"/>
      <c r="H278" s="5">
        <v>30</v>
      </c>
      <c r="I278" s="85"/>
      <c r="K278" s="88"/>
    </row>
    <row r="279" spans="1:11" ht="12.75" customHeight="1" x14ac:dyDescent="0.3">
      <c r="A279" s="158" t="s">
        <v>85</v>
      </c>
      <c r="B279" s="159"/>
      <c r="C279" s="32"/>
      <c r="D279" s="32"/>
      <c r="E279" s="32"/>
      <c r="F279" s="32"/>
      <c r="G279" s="32"/>
      <c r="H279" s="33"/>
      <c r="K279" s="88"/>
    </row>
    <row r="280" spans="1:11" ht="12.75" customHeight="1" x14ac:dyDescent="0.3">
      <c r="A280" s="156">
        <v>38155</v>
      </c>
      <c r="B280" s="157"/>
      <c r="C280" s="15">
        <f>[1]!'SGMVL,LA'/100</f>
        <v>26.25</v>
      </c>
      <c r="D280" s="15">
        <f>F280-0.3</f>
        <v>26.419999999999998</v>
      </c>
      <c r="E280" s="15">
        <f>F280+0.3</f>
        <v>27.02</v>
      </c>
      <c r="F280" s="15">
        <f>C280+0.47</f>
        <v>26.72</v>
      </c>
      <c r="G280" s="15"/>
      <c r="H280" s="16">
        <v>30</v>
      </c>
      <c r="K280" s="88"/>
    </row>
    <row r="281" spans="1:11" ht="12.75" customHeight="1" x14ac:dyDescent="0.3">
      <c r="A281" s="152">
        <v>38246</v>
      </c>
      <c r="B281" s="153"/>
      <c r="C281" s="4">
        <f>[1]!'SGMVL,LA'/100</f>
        <v>26.25</v>
      </c>
      <c r="D281" s="4">
        <f>F281-0.4</f>
        <v>26.93</v>
      </c>
      <c r="E281" s="4">
        <f>F281+0.4</f>
        <v>27.729999999999997</v>
      </c>
      <c r="F281" s="4">
        <f>C281+1.08</f>
        <v>27.33</v>
      </c>
      <c r="G281" s="4"/>
      <c r="H281" s="5">
        <v>30</v>
      </c>
      <c r="K281" s="88"/>
    </row>
    <row r="282" spans="1:11" ht="12.75" customHeight="1" x14ac:dyDescent="0.3">
      <c r="A282" s="158" t="s">
        <v>108</v>
      </c>
      <c r="B282" s="159"/>
      <c r="C282" s="32"/>
      <c r="D282" s="32"/>
      <c r="E282" s="32"/>
      <c r="F282" s="32"/>
      <c r="G282" s="32"/>
      <c r="H282" s="33"/>
      <c r="K282" s="88"/>
    </row>
    <row r="283" spans="1:11" ht="12.75" customHeight="1" x14ac:dyDescent="0.3">
      <c r="A283" s="156">
        <v>38155</v>
      </c>
      <c r="B283" s="157"/>
      <c r="C283" s="15">
        <f>[1]!'SGNBKP,LA'/100</f>
        <v>11.15</v>
      </c>
      <c r="D283" s="15">
        <f>F283-0.3</f>
        <v>11.04</v>
      </c>
      <c r="E283" s="15">
        <f>F283+0.3</f>
        <v>11.64</v>
      </c>
      <c r="F283" s="15">
        <f>C283+0.19</f>
        <v>11.34</v>
      </c>
      <c r="G283" s="15"/>
      <c r="H283" s="16">
        <v>30</v>
      </c>
      <c r="K283" s="88"/>
    </row>
    <row r="284" spans="1:11" ht="12.75" customHeight="1" x14ac:dyDescent="0.3">
      <c r="A284" s="152">
        <v>38246</v>
      </c>
      <c r="B284" s="153"/>
      <c r="C284" s="4">
        <f>[1]!'SGNBKP,LA'/100</f>
        <v>11.15</v>
      </c>
      <c r="D284" s="4">
        <f>F284-0.4</f>
        <v>10.94</v>
      </c>
      <c r="E284" s="4">
        <f>F284+0.4</f>
        <v>11.74</v>
      </c>
      <c r="F284" s="4">
        <f>F283</f>
        <v>11.34</v>
      </c>
      <c r="G284" s="4"/>
      <c r="H284" s="5">
        <v>30</v>
      </c>
      <c r="K284" s="88"/>
    </row>
    <row r="285" spans="1:11" ht="12.75" customHeight="1" x14ac:dyDescent="0.3">
      <c r="A285" s="158" t="s">
        <v>96</v>
      </c>
      <c r="B285" s="159"/>
      <c r="C285" s="32"/>
      <c r="D285" s="32"/>
      <c r="E285" s="32"/>
      <c r="F285" s="32"/>
      <c r="G285" s="32"/>
      <c r="H285" s="33"/>
      <c r="K285" s="88"/>
    </row>
    <row r="286" spans="1:11" ht="12.75" customHeight="1" x14ac:dyDescent="0.3">
      <c r="A286" s="156">
        <v>38155</v>
      </c>
      <c r="B286" s="157"/>
      <c r="C286" s="15">
        <f>[1]!'SGNCL,LA'/100</f>
        <v>7.22</v>
      </c>
      <c r="D286" s="15">
        <f>F286-0.3</f>
        <v>7.05</v>
      </c>
      <c r="E286" s="15">
        <f>F286+0.3</f>
        <v>7.6499999999999995</v>
      </c>
      <c r="F286" s="15">
        <f>C286+0.13</f>
        <v>7.35</v>
      </c>
      <c r="G286" s="15"/>
      <c r="H286" s="16">
        <v>30</v>
      </c>
      <c r="K286" s="88"/>
    </row>
    <row r="287" spans="1:11" ht="12.75" customHeight="1" x14ac:dyDescent="0.3">
      <c r="A287" s="152">
        <v>38246</v>
      </c>
      <c r="B287" s="153"/>
      <c r="C287" s="4">
        <f>[1]!'SGNCL,LA'/100</f>
        <v>7.22</v>
      </c>
      <c r="D287" s="4">
        <f>F287-0.4</f>
        <v>7.1199999999999992</v>
      </c>
      <c r="E287" s="4">
        <f>F287+0.4</f>
        <v>7.92</v>
      </c>
      <c r="F287" s="4">
        <f>C287+0.3</f>
        <v>7.52</v>
      </c>
      <c r="G287" s="4"/>
      <c r="H287" s="5">
        <v>30</v>
      </c>
      <c r="K287" s="88"/>
    </row>
    <row r="288" spans="1:11" ht="12.75" customHeight="1" x14ac:dyDescent="0.3">
      <c r="A288" s="158" t="s">
        <v>32</v>
      </c>
      <c r="B288" s="159"/>
      <c r="C288" s="32"/>
      <c r="D288" s="32"/>
      <c r="E288" s="32"/>
      <c r="F288" s="32"/>
      <c r="G288" s="32"/>
      <c r="H288" s="9"/>
      <c r="K288" s="88"/>
    </row>
    <row r="289" spans="1:11" ht="12.75" customHeight="1" x14ac:dyDescent="0.3">
      <c r="A289" s="150">
        <v>38155</v>
      </c>
      <c r="B289" s="151"/>
      <c r="C289" s="2">
        <f>[1]!'SGNED,LA'/100</f>
        <v>64.5</v>
      </c>
      <c r="D289" s="15">
        <f>F289-0.4</f>
        <v>65.069999999999993</v>
      </c>
      <c r="E289" s="15">
        <f>F289+0.4</f>
        <v>65.87</v>
      </c>
      <c r="F289" s="2">
        <f>C289+0.97</f>
        <v>65.47</v>
      </c>
      <c r="G289" s="135"/>
      <c r="H289" s="3">
        <v>32</v>
      </c>
      <c r="I289" s="85"/>
      <c r="K289" s="88"/>
    </row>
    <row r="290" spans="1:11" ht="12.75" customHeight="1" x14ac:dyDescent="0.3">
      <c r="A290" s="156">
        <v>38246</v>
      </c>
      <c r="B290" s="157"/>
      <c r="C290" s="15">
        <f>[1]!'SGNED,LA'/100</f>
        <v>64.5</v>
      </c>
      <c r="D290" s="15">
        <f>F290-0.5</f>
        <v>66.66</v>
      </c>
      <c r="E290" s="15">
        <f>F290+0.5</f>
        <v>67.66</v>
      </c>
      <c r="F290" s="2">
        <f>C290+2.66</f>
        <v>67.16</v>
      </c>
      <c r="G290" s="118"/>
      <c r="H290" s="54">
        <v>33</v>
      </c>
      <c r="I290" s="85"/>
      <c r="K290" s="88"/>
    </row>
    <row r="291" spans="1:11" ht="12.75" customHeight="1" x14ac:dyDescent="0.3">
      <c r="A291" s="150">
        <v>38336</v>
      </c>
      <c r="B291" s="151"/>
      <c r="C291" s="2">
        <f>[1]!'SGNED,LA'/100</f>
        <v>64.5</v>
      </c>
      <c r="D291" s="2">
        <f>F291-0.6</f>
        <v>68.06</v>
      </c>
      <c r="E291" s="2">
        <f>F291+0.6</f>
        <v>69.259999999999991</v>
      </c>
      <c r="F291" s="2">
        <f>C291+4.16</f>
        <v>68.66</v>
      </c>
      <c r="G291" s="2"/>
      <c r="H291" s="3">
        <v>30</v>
      </c>
      <c r="I291" s="85"/>
      <c r="K291" s="88"/>
    </row>
    <row r="292" spans="1:11" ht="12.75" customHeight="1" x14ac:dyDescent="0.3">
      <c r="A292" s="156">
        <v>38428</v>
      </c>
      <c r="B292" s="157"/>
      <c r="C292" s="15">
        <f>[1]!'SGNED,LA'/100</f>
        <v>64.5</v>
      </c>
      <c r="D292" s="15">
        <f>F292-0.7</f>
        <v>67.8</v>
      </c>
      <c r="E292" s="15">
        <f>F292+0.7</f>
        <v>69.2</v>
      </c>
      <c r="F292" s="15">
        <f>C292+4</f>
        <v>68.5</v>
      </c>
      <c r="G292" s="15"/>
      <c r="H292" s="16">
        <v>30</v>
      </c>
      <c r="I292" s="85"/>
      <c r="K292" s="88"/>
    </row>
    <row r="293" spans="1:11" ht="12.75" customHeight="1" x14ac:dyDescent="0.3">
      <c r="A293" s="152">
        <v>38701</v>
      </c>
      <c r="B293" s="153"/>
      <c r="C293" s="4">
        <f>[1]!'SGNED,LA'/100</f>
        <v>64.5</v>
      </c>
      <c r="D293" s="4">
        <f>F293-0.8</f>
        <v>68.2</v>
      </c>
      <c r="E293" s="4">
        <f>F293+0.8</f>
        <v>69.8</v>
      </c>
      <c r="F293" s="4">
        <f>C293+4.5</f>
        <v>69</v>
      </c>
      <c r="G293" s="4"/>
      <c r="H293" s="5">
        <v>30</v>
      </c>
      <c r="I293" s="85"/>
      <c r="K293" s="88"/>
    </row>
    <row r="294" spans="1:11" ht="12.75" customHeight="1" x14ac:dyDescent="0.3">
      <c r="A294" s="158" t="s">
        <v>50</v>
      </c>
      <c r="B294" s="159"/>
      <c r="C294" s="32"/>
      <c r="D294" s="32"/>
      <c r="E294" s="32"/>
      <c r="F294" s="32"/>
      <c r="G294" s="32"/>
      <c r="H294" s="9"/>
      <c r="K294" s="88"/>
    </row>
    <row r="295" spans="1:11" ht="12.75" customHeight="1" x14ac:dyDescent="0.3">
      <c r="A295" s="156">
        <v>38155</v>
      </c>
      <c r="B295" s="157"/>
      <c r="C295" s="15">
        <f>[1]!'SGNHM,LA'/100</f>
        <v>10.4</v>
      </c>
      <c r="D295" s="15">
        <f>F295-0.3</f>
        <v>10.29</v>
      </c>
      <c r="E295" s="15">
        <f>F295+0.3</f>
        <v>10.89</v>
      </c>
      <c r="F295" s="15">
        <f>C295+0.19</f>
        <v>10.59</v>
      </c>
      <c r="G295" s="15"/>
      <c r="H295" s="16">
        <v>37.5</v>
      </c>
      <c r="K295" s="88"/>
    </row>
    <row r="296" spans="1:11" ht="12.75" customHeight="1" x14ac:dyDescent="0.3">
      <c r="A296" s="152">
        <v>38246</v>
      </c>
      <c r="B296" s="153"/>
      <c r="C296" s="4">
        <f>[1]!'SGNHM,LA'/100</f>
        <v>10.4</v>
      </c>
      <c r="D296" s="4">
        <f>F296-0.4</f>
        <v>10.43</v>
      </c>
      <c r="E296" s="4">
        <f>F296+0.4</f>
        <v>11.23</v>
      </c>
      <c r="F296" s="4">
        <f>C296+0.43</f>
        <v>10.83</v>
      </c>
      <c r="G296" s="4"/>
      <c r="H296" s="5">
        <v>37.5</v>
      </c>
      <c r="K296" s="88"/>
    </row>
    <row r="297" spans="1:11" ht="12.75" customHeight="1" x14ac:dyDescent="0.3">
      <c r="A297" s="158" t="s">
        <v>33</v>
      </c>
      <c r="B297" s="159"/>
      <c r="C297" s="32"/>
      <c r="D297" s="32"/>
      <c r="E297" s="32"/>
      <c r="F297" s="32"/>
      <c r="G297" s="32"/>
      <c r="H297" s="9"/>
      <c r="K297" s="88"/>
    </row>
    <row r="298" spans="1:11" ht="12.75" customHeight="1" x14ac:dyDescent="0.3">
      <c r="A298" s="156">
        <v>38155</v>
      </c>
      <c r="B298" s="157"/>
      <c r="C298" s="15">
        <f>[1]!'SGNPK,LA'/100</f>
        <v>13</v>
      </c>
      <c r="D298" s="15">
        <f>F298-0.3</f>
        <v>12.94</v>
      </c>
      <c r="E298" s="15">
        <f>F298+0.3</f>
        <v>13.540000000000001</v>
      </c>
      <c r="F298" s="15">
        <f>C298+0.24</f>
        <v>13.24</v>
      </c>
      <c r="G298" s="15"/>
      <c r="H298" s="16">
        <v>27</v>
      </c>
      <c r="K298" s="88"/>
    </row>
    <row r="299" spans="1:11" ht="12.75" customHeight="1" x14ac:dyDescent="0.3">
      <c r="A299" s="152">
        <v>38246</v>
      </c>
      <c r="B299" s="153"/>
      <c r="C299" s="4">
        <f>[1]!'SGNPK,LA'/100</f>
        <v>13</v>
      </c>
      <c r="D299" s="4">
        <f>F299-0.4</f>
        <v>12.9</v>
      </c>
      <c r="E299" s="4">
        <f>F299+0.4</f>
        <v>13.700000000000001</v>
      </c>
      <c r="F299" s="4">
        <f>C299+0.3</f>
        <v>13.3</v>
      </c>
      <c r="G299" s="4"/>
      <c r="H299" s="5">
        <v>27</v>
      </c>
      <c r="K299" s="88"/>
    </row>
    <row r="300" spans="1:11" ht="12.75" customHeight="1" x14ac:dyDescent="0.3">
      <c r="A300" s="158" t="s">
        <v>34</v>
      </c>
      <c r="B300" s="159"/>
      <c r="C300" s="32"/>
      <c r="D300" s="32"/>
      <c r="E300" s="32"/>
      <c r="F300" s="32"/>
      <c r="G300" s="32"/>
      <c r="H300" s="33"/>
      <c r="K300" s="88"/>
    </row>
    <row r="301" spans="1:11" ht="12.75" customHeight="1" x14ac:dyDescent="0.3">
      <c r="A301" s="156">
        <v>38155</v>
      </c>
      <c r="B301" s="157"/>
      <c r="C301" s="15">
        <f>[1]!'SGNPN,LA'/100</f>
        <v>43.95</v>
      </c>
      <c r="D301" s="15">
        <f>F301-0.3</f>
        <v>44.440000000000005</v>
      </c>
      <c r="E301" s="15">
        <f>F301+0.3</f>
        <v>45.04</v>
      </c>
      <c r="F301" s="15">
        <f>C301+0.79</f>
        <v>44.74</v>
      </c>
      <c r="G301" s="15"/>
      <c r="H301" s="16">
        <v>32.65</v>
      </c>
      <c r="K301" s="88"/>
    </row>
    <row r="302" spans="1:11" ht="12.75" customHeight="1" x14ac:dyDescent="0.3">
      <c r="A302" s="152">
        <v>38246</v>
      </c>
      <c r="B302" s="153"/>
      <c r="C302" s="4">
        <f>[1]!'SGNPN,LA'/100</f>
        <v>43.95</v>
      </c>
      <c r="D302" s="4">
        <f>F302-0.4</f>
        <v>45.110000000000007</v>
      </c>
      <c r="E302" s="4">
        <f>F302+0.4</f>
        <v>45.910000000000004</v>
      </c>
      <c r="F302" s="4">
        <f>C302+1.56</f>
        <v>45.510000000000005</v>
      </c>
      <c r="G302" s="4"/>
      <c r="H302" s="5">
        <v>32.65</v>
      </c>
      <c r="K302" s="88"/>
    </row>
    <row r="303" spans="1:11" ht="12.75" customHeight="1" x14ac:dyDescent="0.3">
      <c r="A303" s="158" t="s">
        <v>109</v>
      </c>
      <c r="B303" s="159"/>
      <c r="C303" s="32"/>
      <c r="D303" s="32"/>
      <c r="E303" s="32"/>
      <c r="F303" s="32"/>
      <c r="G303" s="32"/>
      <c r="H303" s="33"/>
      <c r="K303" s="88"/>
    </row>
    <row r="304" spans="1:11" ht="12.75" customHeight="1" x14ac:dyDescent="0.3">
      <c r="A304" s="156">
        <v>38155</v>
      </c>
      <c r="B304" s="157"/>
      <c r="C304" s="15">
        <f>[1]!'SGNTC,LA'/100</f>
        <v>4.59</v>
      </c>
      <c r="D304" s="15">
        <f>F304-0.3</f>
        <v>4.38</v>
      </c>
      <c r="E304" s="15">
        <f>F304+0.3</f>
        <v>4.9799999999999995</v>
      </c>
      <c r="F304" s="15">
        <f>C304+0.09</f>
        <v>4.68</v>
      </c>
      <c r="G304" s="15"/>
      <c r="H304" s="16">
        <v>30</v>
      </c>
      <c r="K304" s="88"/>
    </row>
    <row r="305" spans="1:11" ht="12.75" customHeight="1" x14ac:dyDescent="0.3">
      <c r="A305" s="152">
        <v>38246</v>
      </c>
      <c r="B305" s="153"/>
      <c r="C305" s="4">
        <f>[1]!'SGNTC,LA'/100</f>
        <v>4.59</v>
      </c>
      <c r="D305" s="4">
        <f>F305-0.4</f>
        <v>4.38</v>
      </c>
      <c r="E305" s="15">
        <f>F305+0.4</f>
        <v>5.1800000000000006</v>
      </c>
      <c r="F305" s="4">
        <f>C305+0.19</f>
        <v>4.78</v>
      </c>
      <c r="G305" s="4"/>
      <c r="H305" s="5">
        <v>30</v>
      </c>
      <c r="K305" s="88"/>
    </row>
    <row r="306" spans="1:11" ht="12.75" customHeight="1" x14ac:dyDescent="0.3">
      <c r="A306" s="158" t="s">
        <v>35</v>
      </c>
      <c r="B306" s="159"/>
      <c r="C306" s="32"/>
      <c r="D306" s="32"/>
      <c r="E306" s="6"/>
      <c r="F306" s="32"/>
      <c r="G306" s="32"/>
      <c r="H306" s="9"/>
      <c r="K306" s="88"/>
    </row>
    <row r="307" spans="1:11" ht="12.75" customHeight="1" x14ac:dyDescent="0.3">
      <c r="A307" s="156">
        <v>38155</v>
      </c>
      <c r="B307" s="157"/>
      <c r="C307" s="15">
        <f>[1]!'SGOML,LA'/100</f>
        <v>11.68</v>
      </c>
      <c r="D307" s="15">
        <f>F307-0.4</f>
        <v>11.09</v>
      </c>
      <c r="E307" s="39">
        <f>F307+0.4</f>
        <v>11.89</v>
      </c>
      <c r="F307" s="15">
        <f>C307-0.19</f>
        <v>11.49</v>
      </c>
      <c r="G307" s="15"/>
      <c r="H307" s="16">
        <v>28</v>
      </c>
      <c r="K307" s="88"/>
    </row>
    <row r="308" spans="1:11" ht="12.75" customHeight="1" x14ac:dyDescent="0.3">
      <c r="A308" s="150">
        <v>38246</v>
      </c>
      <c r="B308" s="151"/>
      <c r="C308" s="2">
        <f>[1]!'SGOML,LA'/100</f>
        <v>11.68</v>
      </c>
      <c r="D308" s="2">
        <f>F308-0.5</f>
        <v>10.969999999999999</v>
      </c>
      <c r="E308" s="2">
        <f>F308+0.5</f>
        <v>11.969999999999999</v>
      </c>
      <c r="F308" s="15">
        <f>C308-0.21</f>
        <v>11.469999999999999</v>
      </c>
      <c r="G308" s="2"/>
      <c r="H308" s="3">
        <v>28</v>
      </c>
      <c r="K308" s="88"/>
    </row>
    <row r="309" spans="1:11" ht="12.75" customHeight="1" x14ac:dyDescent="0.3">
      <c r="A309" s="175">
        <v>38428</v>
      </c>
      <c r="B309" s="176"/>
      <c r="C309" s="99">
        <f>[1]!'SGOML,LA'/100</f>
        <v>11.68</v>
      </c>
      <c r="D309" s="99">
        <f>F309-0.6</f>
        <v>11.16</v>
      </c>
      <c r="E309" s="99">
        <f>F309+0.6</f>
        <v>12.36</v>
      </c>
      <c r="F309" s="99">
        <f>C309+0.08</f>
        <v>11.76</v>
      </c>
      <c r="G309" s="99"/>
      <c r="H309" s="100">
        <v>30.5</v>
      </c>
      <c r="K309" s="88"/>
    </row>
    <row r="310" spans="1:11" ht="12.75" customHeight="1" x14ac:dyDescent="0.3">
      <c r="A310" s="158" t="s">
        <v>107</v>
      </c>
      <c r="B310" s="159"/>
      <c r="C310" s="32"/>
      <c r="D310" s="32"/>
      <c r="E310" s="32"/>
      <c r="F310" s="32"/>
      <c r="G310" s="32"/>
      <c r="H310" s="9"/>
      <c r="K310" s="88"/>
    </row>
    <row r="311" spans="1:11" ht="12.75" customHeight="1" x14ac:dyDescent="0.3">
      <c r="A311" s="156">
        <v>38155</v>
      </c>
      <c r="B311" s="157"/>
      <c r="C311" s="15">
        <f>[1]!'SGOMN,LA'/100</f>
        <v>26.7</v>
      </c>
      <c r="D311" s="15">
        <f>F311-0.3</f>
        <v>26.88</v>
      </c>
      <c r="E311" s="15">
        <f>F311+0.3</f>
        <v>27.48</v>
      </c>
      <c r="F311" s="15">
        <f>C311+0.48</f>
        <v>27.18</v>
      </c>
      <c r="G311" s="15"/>
      <c r="H311" s="16">
        <v>35</v>
      </c>
      <c r="K311" s="88"/>
    </row>
    <row r="312" spans="1:11" ht="12.75" customHeight="1" x14ac:dyDescent="0.3">
      <c r="A312" s="152">
        <v>38246</v>
      </c>
      <c r="B312" s="153"/>
      <c r="C312" s="4">
        <f>[1]!'SGOMN,LA'/100</f>
        <v>26.7</v>
      </c>
      <c r="D312" s="4">
        <f>F312-0.4</f>
        <v>27.41</v>
      </c>
      <c r="E312" s="4">
        <f>F312+0.4</f>
        <v>28.209999999999997</v>
      </c>
      <c r="F312" s="4">
        <f>C312+1.11</f>
        <v>27.81</v>
      </c>
      <c r="G312" s="4"/>
      <c r="H312" s="5">
        <v>35</v>
      </c>
      <c r="K312" s="88"/>
    </row>
    <row r="313" spans="1:11" ht="12.75" customHeight="1" x14ac:dyDescent="0.3">
      <c r="A313" s="196" t="s">
        <v>130</v>
      </c>
      <c r="B313" s="197"/>
      <c r="C313" s="142"/>
      <c r="D313" s="142"/>
      <c r="E313" s="142"/>
      <c r="F313" s="142"/>
      <c r="G313" s="142"/>
      <c r="H313" s="143"/>
      <c r="K313" s="88"/>
    </row>
    <row r="314" spans="1:11" ht="12.75" customHeight="1" x14ac:dyDescent="0.3">
      <c r="A314" s="198">
        <v>38155</v>
      </c>
      <c r="B314" s="199"/>
      <c r="C314" s="117">
        <f>[1]!'SGPAP,LA'/100</f>
        <v>7.65</v>
      </c>
      <c r="D314" s="15">
        <f>F314-0.3</f>
        <v>7.2700000000000005</v>
      </c>
      <c r="E314" s="15">
        <f>F314+0.3</f>
        <v>7.87</v>
      </c>
      <c r="F314" s="117">
        <f>C314-0.08</f>
        <v>7.57</v>
      </c>
      <c r="G314" s="117"/>
      <c r="H314" s="133">
        <v>30</v>
      </c>
      <c r="K314" s="88"/>
    </row>
    <row r="315" spans="1:11" ht="12.75" customHeight="1" x14ac:dyDescent="0.3">
      <c r="A315" s="156">
        <v>38246</v>
      </c>
      <c r="B315" s="157"/>
      <c r="C315" s="117">
        <f>[1]!'SGPAP,LA'/100</f>
        <v>7.65</v>
      </c>
      <c r="D315" s="15">
        <f>F315-0.4</f>
        <v>7.57</v>
      </c>
      <c r="E315" s="15">
        <f>F315+0.4</f>
        <v>8.370000000000001</v>
      </c>
      <c r="F315" s="117">
        <f>C315+0.32</f>
        <v>7.9700000000000006</v>
      </c>
      <c r="G315" s="117"/>
      <c r="H315" s="133">
        <v>30</v>
      </c>
      <c r="K315" s="88"/>
    </row>
    <row r="316" spans="1:11" ht="12.75" customHeight="1" x14ac:dyDescent="0.3">
      <c r="A316" s="186">
        <v>38518</v>
      </c>
      <c r="B316" s="187"/>
      <c r="C316" s="116">
        <f>[1]!'SGPAP,LA'/100</f>
        <v>7.65</v>
      </c>
      <c r="D316" s="116">
        <f>F316-0.6</f>
        <v>8.25</v>
      </c>
      <c r="E316" s="116">
        <f>F316+0.6</f>
        <v>9.4499999999999993</v>
      </c>
      <c r="F316" s="116">
        <f>C316+1.2</f>
        <v>8.85</v>
      </c>
      <c r="G316" s="116"/>
      <c r="H316" s="134">
        <v>30</v>
      </c>
      <c r="K316" s="88"/>
    </row>
    <row r="317" spans="1:11" ht="12.75" customHeight="1" x14ac:dyDescent="0.3">
      <c r="A317" s="158" t="s">
        <v>135</v>
      </c>
      <c r="B317" s="159"/>
      <c r="C317" s="32"/>
      <c r="D317" s="32"/>
      <c r="E317" s="32"/>
      <c r="F317" s="32"/>
      <c r="G317" s="32"/>
      <c r="H317" s="9"/>
      <c r="K317" s="88"/>
    </row>
    <row r="318" spans="1:11" ht="12.75" customHeight="1" x14ac:dyDescent="0.3">
      <c r="A318" s="156">
        <v>38155</v>
      </c>
      <c r="B318" s="157"/>
      <c r="C318" s="15">
        <f>[1]!'SGPGR,LA'/100</f>
        <v>2.5</v>
      </c>
      <c r="D318" s="15">
        <f>F318-0.3</f>
        <v>2.25</v>
      </c>
      <c r="E318" s="15">
        <f>F318+0.3</f>
        <v>2.8499999999999996</v>
      </c>
      <c r="F318" s="15">
        <f>C318+0.05</f>
        <v>2.5499999999999998</v>
      </c>
      <c r="G318" s="15"/>
      <c r="H318" s="16">
        <v>30</v>
      </c>
      <c r="K318" s="88"/>
    </row>
    <row r="319" spans="1:11" ht="12.75" customHeight="1" x14ac:dyDescent="0.3">
      <c r="A319" s="152">
        <v>38246</v>
      </c>
      <c r="B319" s="153"/>
      <c r="C319" s="4">
        <f>[1]!'SGPGR,LA'/100</f>
        <v>2.5</v>
      </c>
      <c r="D319" s="4">
        <f>F319-0.4</f>
        <v>2.2000000000000002</v>
      </c>
      <c r="E319" s="4">
        <f>F319+0.4</f>
        <v>3</v>
      </c>
      <c r="F319" s="4">
        <f>C319+0.1</f>
        <v>2.6</v>
      </c>
      <c r="G319" s="4"/>
      <c r="H319" s="5">
        <v>30</v>
      </c>
      <c r="K319" s="88"/>
    </row>
    <row r="320" spans="1:11" ht="12.75" customHeight="1" x14ac:dyDescent="0.3">
      <c r="A320" s="158" t="s">
        <v>49</v>
      </c>
      <c r="B320" s="159"/>
      <c r="C320" s="32"/>
      <c r="D320" s="32"/>
      <c r="E320" s="32"/>
      <c r="F320" s="32"/>
      <c r="G320" s="32"/>
      <c r="H320" s="33"/>
      <c r="K320" s="88"/>
    </row>
    <row r="321" spans="1:11" ht="12.75" customHeight="1" x14ac:dyDescent="0.3">
      <c r="A321" s="156">
        <v>38155</v>
      </c>
      <c r="B321" s="157"/>
      <c r="C321" s="15">
        <f>[1]!'SGPIK,LA'/100</f>
        <v>18.010000000000002</v>
      </c>
      <c r="D321" s="15">
        <f>F321-0.3</f>
        <v>17.690000000000001</v>
      </c>
      <c r="E321" s="15">
        <f>F321+0.3</f>
        <v>18.290000000000003</v>
      </c>
      <c r="F321" s="15">
        <f>C321-0.02</f>
        <v>17.990000000000002</v>
      </c>
      <c r="G321" s="15"/>
      <c r="H321" s="16">
        <v>35</v>
      </c>
      <c r="K321" s="88"/>
    </row>
    <row r="322" spans="1:11" ht="12.75" customHeight="1" thickBot="1" x14ac:dyDescent="0.35">
      <c r="A322" s="156">
        <v>38246</v>
      </c>
      <c r="B322" s="157"/>
      <c r="C322" s="15">
        <f>[1]!'SGPIK,LA'/100</f>
        <v>18.010000000000002</v>
      </c>
      <c r="D322" s="15">
        <f>F322-0.4</f>
        <v>18.360000000000003</v>
      </c>
      <c r="E322" s="15">
        <f>F322+0.4</f>
        <v>19.16</v>
      </c>
      <c r="F322" s="15">
        <f>C322+0.75</f>
        <v>18.760000000000002</v>
      </c>
      <c r="G322" s="15"/>
      <c r="H322" s="16">
        <v>35</v>
      </c>
      <c r="K322" s="88"/>
    </row>
    <row r="323" spans="1:11" ht="12.75" customHeight="1" x14ac:dyDescent="0.3">
      <c r="A323" s="69"/>
      <c r="B323" s="70"/>
      <c r="C323" s="53"/>
      <c r="D323" s="53"/>
      <c r="E323" s="53"/>
      <c r="F323" s="53"/>
      <c r="G323" s="53"/>
      <c r="H323" s="53"/>
      <c r="K323" s="88"/>
    </row>
    <row r="324" spans="1:11" ht="12.75" customHeight="1" x14ac:dyDescent="0.3">
      <c r="A324" s="108"/>
      <c r="B324" s="128"/>
      <c r="C324" s="8"/>
      <c r="D324" s="8"/>
      <c r="E324" s="8"/>
      <c r="F324" s="8"/>
      <c r="G324" s="8"/>
      <c r="H324" s="8"/>
      <c r="K324" s="88"/>
    </row>
    <row r="325" spans="1:11" ht="12.75" customHeight="1" thickBot="1" x14ac:dyDescent="0.35">
      <c r="A325" s="108"/>
      <c r="B325" s="128"/>
      <c r="C325" s="8"/>
      <c r="D325" s="8"/>
      <c r="E325" s="8"/>
      <c r="F325" s="8"/>
      <c r="G325" s="8"/>
      <c r="H325" s="8"/>
      <c r="K325" s="88"/>
    </row>
    <row r="326" spans="1:11" ht="12.75" customHeight="1" x14ac:dyDescent="0.3">
      <c r="A326" s="164" t="s">
        <v>140</v>
      </c>
      <c r="B326" s="165"/>
      <c r="C326" s="28"/>
      <c r="D326" s="28"/>
      <c r="E326" s="28"/>
      <c r="F326" s="28"/>
      <c r="G326" s="28"/>
      <c r="H326" s="107"/>
      <c r="K326" s="88"/>
    </row>
    <row r="327" spans="1:11" ht="12.75" customHeight="1" x14ac:dyDescent="0.3">
      <c r="A327" s="156">
        <v>38155</v>
      </c>
      <c r="B327" s="157"/>
      <c r="C327" s="15">
        <f>[1]!'SGPPC,LA'/100</f>
        <v>131</v>
      </c>
      <c r="D327" s="15">
        <f>F327-0.3</f>
        <v>133.04</v>
      </c>
      <c r="E327" s="15">
        <f>F327+0.3</f>
        <v>133.64000000000001</v>
      </c>
      <c r="F327" s="15">
        <f>C327+2.34</f>
        <v>133.34</v>
      </c>
      <c r="G327" s="15"/>
      <c r="H327" s="16">
        <v>30</v>
      </c>
      <c r="K327" s="88"/>
    </row>
    <row r="328" spans="1:11" ht="12.75" customHeight="1" x14ac:dyDescent="0.3">
      <c r="A328" s="152">
        <v>38246</v>
      </c>
      <c r="B328" s="153"/>
      <c r="C328" s="4">
        <f>[1]!'SGPPC,LA'/100</f>
        <v>131</v>
      </c>
      <c r="D328" s="4">
        <f>F328-0.4</f>
        <v>136</v>
      </c>
      <c r="E328" s="4">
        <f>F328+0.4</f>
        <v>136.80000000000001</v>
      </c>
      <c r="F328" s="4">
        <f>C328+5.4</f>
        <v>136.4</v>
      </c>
      <c r="G328" s="4"/>
      <c r="H328" s="5">
        <v>30</v>
      </c>
      <c r="K328" s="88"/>
    </row>
    <row r="329" spans="1:11" ht="12.75" customHeight="1" x14ac:dyDescent="0.3">
      <c r="A329" s="158" t="s">
        <v>88</v>
      </c>
      <c r="B329" s="159"/>
      <c r="C329" s="32"/>
      <c r="D329" s="32"/>
      <c r="E329" s="32"/>
      <c r="F329" s="32"/>
      <c r="G329" s="32"/>
      <c r="H329" s="33"/>
      <c r="K329" s="88"/>
    </row>
    <row r="330" spans="1:11" ht="12.75" customHeight="1" x14ac:dyDescent="0.3">
      <c r="A330" s="156">
        <v>38155</v>
      </c>
      <c r="B330" s="157"/>
      <c r="C330" s="15">
        <v>7.59</v>
      </c>
      <c r="D330" s="15">
        <f>F330-0.3</f>
        <v>7.43</v>
      </c>
      <c r="E330" s="15">
        <f>F330+0.3</f>
        <v>8.0299999999999994</v>
      </c>
      <c r="F330" s="15">
        <f>C330+0.14</f>
        <v>7.7299999999999995</v>
      </c>
      <c r="G330" s="15"/>
      <c r="H330" s="16">
        <v>37.5</v>
      </c>
      <c r="K330" s="88"/>
    </row>
    <row r="331" spans="1:11" ht="12.75" customHeight="1" x14ac:dyDescent="0.3">
      <c r="A331" s="156">
        <v>38246</v>
      </c>
      <c r="B331" s="157"/>
      <c r="C331" s="15">
        <v>7.59</v>
      </c>
      <c r="D331" s="15">
        <f>F331-0.4</f>
        <v>7.51</v>
      </c>
      <c r="E331" s="15">
        <f>F331+0.4</f>
        <v>8.31</v>
      </c>
      <c r="F331" s="15">
        <f>C331+0.32</f>
        <v>7.91</v>
      </c>
      <c r="G331" s="15"/>
      <c r="H331" s="16">
        <v>37.5</v>
      </c>
      <c r="K331" s="88"/>
    </row>
    <row r="332" spans="1:11" ht="12.75" customHeight="1" x14ac:dyDescent="0.3">
      <c r="A332" s="160" t="s">
        <v>155</v>
      </c>
      <c r="B332" s="161"/>
      <c r="C332" s="6"/>
      <c r="D332" s="6"/>
      <c r="E332" s="6"/>
      <c r="F332" s="6"/>
      <c r="G332" s="6"/>
      <c r="H332" s="7"/>
      <c r="K332" s="88"/>
    </row>
    <row r="333" spans="1:11" ht="12.75" customHeight="1" x14ac:dyDescent="0.3">
      <c r="A333" s="156">
        <v>38155</v>
      </c>
      <c r="B333" s="157"/>
      <c r="C333" s="15">
        <f>[1]!'SGRBW,LA'/100</f>
        <v>5.5</v>
      </c>
      <c r="D333" s="15">
        <f>F333-0.3</f>
        <v>5.3</v>
      </c>
      <c r="E333" s="15">
        <f>F333+0.3</f>
        <v>5.8999999999999995</v>
      </c>
      <c r="F333" s="117">
        <f>C333+0.1</f>
        <v>5.6</v>
      </c>
      <c r="G333" s="15"/>
      <c r="H333" s="16">
        <v>30</v>
      </c>
      <c r="K333" s="88"/>
    </row>
    <row r="334" spans="1:11" ht="12.75" customHeight="1" x14ac:dyDescent="0.3">
      <c r="A334" s="152">
        <v>38246</v>
      </c>
      <c r="B334" s="153"/>
      <c r="C334" s="4">
        <f>[1]!'SGRBW,LA'/100</f>
        <v>5.5</v>
      </c>
      <c r="D334" s="4">
        <f>F334-0.4</f>
        <v>5.33</v>
      </c>
      <c r="E334" s="4">
        <f>F334+0.4</f>
        <v>6.1300000000000008</v>
      </c>
      <c r="F334" s="116">
        <f>C334+0.23</f>
        <v>5.73</v>
      </c>
      <c r="G334" s="4"/>
      <c r="H334" s="5">
        <v>30</v>
      </c>
      <c r="K334" s="88"/>
    </row>
    <row r="335" spans="1:11" ht="12.75" customHeight="1" x14ac:dyDescent="0.3">
      <c r="A335" s="127" t="s">
        <v>137</v>
      </c>
      <c r="B335" s="68"/>
      <c r="C335" s="32"/>
      <c r="D335" s="32"/>
      <c r="E335" s="32"/>
      <c r="F335" s="32"/>
      <c r="G335" s="32"/>
      <c r="H335" s="9"/>
      <c r="J335" s="88"/>
    </row>
    <row r="336" spans="1:11" ht="12.75" customHeight="1" x14ac:dyDescent="0.3">
      <c r="A336" s="156">
        <v>38155</v>
      </c>
      <c r="B336" s="157"/>
      <c r="C336" s="15">
        <f>[1]!'SGRCH,LA'/100</f>
        <v>16.8</v>
      </c>
      <c r="D336" s="15">
        <f>F336-0.3</f>
        <v>16.809999999999999</v>
      </c>
      <c r="E336" s="15">
        <f>F336+0.3</f>
        <v>17.41</v>
      </c>
      <c r="F336" s="15">
        <f>C336+0.31</f>
        <v>17.11</v>
      </c>
      <c r="G336" s="15"/>
      <c r="H336" s="16">
        <v>30</v>
      </c>
      <c r="J336" s="88"/>
    </row>
    <row r="337" spans="1:11" ht="12.75" customHeight="1" x14ac:dyDescent="0.3">
      <c r="A337" s="152">
        <v>38246</v>
      </c>
      <c r="B337" s="153"/>
      <c r="C337" s="4">
        <f>[1]!'SGRCH,LA'/100</f>
        <v>16.8</v>
      </c>
      <c r="D337" s="4">
        <f>F337-0.4</f>
        <v>17.100000000000001</v>
      </c>
      <c r="E337" s="4">
        <f>F337+0.4</f>
        <v>17.899999999999999</v>
      </c>
      <c r="F337" s="4">
        <f>C337+0.7</f>
        <v>17.5</v>
      </c>
      <c r="G337" s="4"/>
      <c r="H337" s="5">
        <v>38</v>
      </c>
      <c r="J337" s="88"/>
    </row>
    <row r="338" spans="1:11" ht="12.75" customHeight="1" x14ac:dyDescent="0.3">
      <c r="A338" s="127" t="s">
        <v>136</v>
      </c>
      <c r="B338" s="68"/>
      <c r="C338" s="32"/>
      <c r="D338" s="32"/>
      <c r="E338" s="32"/>
      <c r="F338" s="32"/>
      <c r="G338" s="32"/>
      <c r="H338" s="9"/>
      <c r="J338" s="88"/>
    </row>
    <row r="339" spans="1:11" ht="12.75" customHeight="1" x14ac:dyDescent="0.3">
      <c r="A339" s="156">
        <v>38155</v>
      </c>
      <c r="B339" s="157"/>
      <c r="C339" s="15">
        <f>[1]!'SGRDF,LA'/100</f>
        <v>2.66</v>
      </c>
      <c r="D339" s="15">
        <f>F339-0.3</f>
        <v>2.41</v>
      </c>
      <c r="E339" s="15">
        <f>F339+0.3</f>
        <v>3.01</v>
      </c>
      <c r="F339" s="15">
        <f>C339+0.05</f>
        <v>2.71</v>
      </c>
      <c r="G339" s="15"/>
      <c r="H339" s="16">
        <v>30</v>
      </c>
      <c r="J339" s="88"/>
    </row>
    <row r="340" spans="1:11" ht="12.75" customHeight="1" x14ac:dyDescent="0.3">
      <c r="A340" s="152">
        <v>38246</v>
      </c>
      <c r="B340" s="153"/>
      <c r="C340" s="4">
        <f>[1]!'SGRDF,LA'/100</f>
        <v>2.66</v>
      </c>
      <c r="D340" s="4">
        <f>F340-0.4</f>
        <v>2.37</v>
      </c>
      <c r="E340" s="4">
        <f>F340+0.4</f>
        <v>3.17</v>
      </c>
      <c r="F340" s="4">
        <f>C340+0.11</f>
        <v>2.77</v>
      </c>
      <c r="G340" s="4"/>
      <c r="H340" s="5">
        <v>30</v>
      </c>
      <c r="J340" s="88"/>
    </row>
    <row r="341" spans="1:11" ht="12.75" customHeight="1" x14ac:dyDescent="0.3">
      <c r="A341" s="158" t="s">
        <v>44</v>
      </c>
      <c r="B341" s="159"/>
      <c r="C341" s="32"/>
      <c r="D341" s="32"/>
      <c r="E341" s="32"/>
      <c r="F341" s="32"/>
      <c r="G341" s="32"/>
      <c r="H341" s="9"/>
      <c r="K341" s="88"/>
    </row>
    <row r="342" spans="1:11" ht="12.75" customHeight="1" x14ac:dyDescent="0.3">
      <c r="A342" s="156">
        <v>38155</v>
      </c>
      <c r="B342" s="157"/>
      <c r="C342" s="15">
        <f>[1]!'SGREM,LA'/100</f>
        <v>72.2</v>
      </c>
      <c r="D342" s="15">
        <f>F342-0.3</f>
        <v>73.2</v>
      </c>
      <c r="E342" s="15">
        <f>F342+0.3</f>
        <v>73.8</v>
      </c>
      <c r="F342" s="15">
        <f>C342+1.3</f>
        <v>73.5</v>
      </c>
      <c r="G342" s="15"/>
      <c r="H342" s="16">
        <v>26</v>
      </c>
    </row>
    <row r="343" spans="1:11" ht="12.75" customHeight="1" x14ac:dyDescent="0.3">
      <c r="A343" s="152">
        <v>38246</v>
      </c>
      <c r="B343" s="153"/>
      <c r="C343" s="4">
        <f>[1]!'SGREM,LA'/100</f>
        <v>72.2</v>
      </c>
      <c r="D343" s="4">
        <f>F343-0.4</f>
        <v>74.789999999999992</v>
      </c>
      <c r="E343" s="4">
        <f>F343+0.4</f>
        <v>75.59</v>
      </c>
      <c r="F343" s="4">
        <f>C343+2.99</f>
        <v>75.19</v>
      </c>
      <c r="G343" s="4"/>
      <c r="H343" s="5">
        <v>26</v>
      </c>
    </row>
    <row r="344" spans="1:11" ht="12.75" customHeight="1" x14ac:dyDescent="0.3">
      <c r="A344" s="127" t="s">
        <v>138</v>
      </c>
      <c r="B344" s="68"/>
      <c r="C344" s="32"/>
      <c r="D344" s="32"/>
      <c r="E344" s="32"/>
      <c r="F344" s="32"/>
      <c r="G344" s="32"/>
      <c r="H344" s="9"/>
    </row>
    <row r="345" spans="1:11" ht="12.75" customHeight="1" x14ac:dyDescent="0.3">
      <c r="A345" s="156">
        <v>38155</v>
      </c>
      <c r="B345" s="157"/>
      <c r="C345" s="15">
        <f>[1]!'SGRLO,LA'/100</f>
        <v>24.32</v>
      </c>
      <c r="D345" s="15">
        <f>F345-0.3</f>
        <v>24.47</v>
      </c>
      <c r="E345" s="15">
        <f>F345+0.3</f>
        <v>25.07</v>
      </c>
      <c r="F345" s="15">
        <f>C345+0.45</f>
        <v>24.77</v>
      </c>
      <c r="G345" s="15"/>
      <c r="H345" s="16">
        <v>30</v>
      </c>
    </row>
    <row r="346" spans="1:11" ht="12.75" customHeight="1" x14ac:dyDescent="0.3">
      <c r="A346" s="152">
        <v>38246</v>
      </c>
      <c r="B346" s="153"/>
      <c r="C346" s="4">
        <f>[1]!'SGRLO,LA'/100</f>
        <v>24.32</v>
      </c>
      <c r="D346" s="4">
        <f>F346-0.4</f>
        <v>24.950000000000003</v>
      </c>
      <c r="E346" s="4">
        <f>F346+0.4</f>
        <v>25.75</v>
      </c>
      <c r="F346" s="15">
        <f>C346+1.03</f>
        <v>25.35</v>
      </c>
      <c r="G346" s="4"/>
      <c r="H346" s="5">
        <v>30</v>
      </c>
    </row>
    <row r="347" spans="1:11" ht="12.75" customHeight="1" x14ac:dyDescent="0.3">
      <c r="A347" s="160" t="s">
        <v>36</v>
      </c>
      <c r="B347" s="161"/>
      <c r="C347" s="6"/>
      <c r="D347" s="6"/>
      <c r="E347" s="6"/>
      <c r="F347" s="6"/>
      <c r="G347" s="6"/>
      <c r="H347" s="10"/>
    </row>
    <row r="348" spans="1:11" ht="12.75" customHeight="1" x14ac:dyDescent="0.3">
      <c r="A348" s="156">
        <v>38155</v>
      </c>
      <c r="B348" s="157"/>
      <c r="C348" s="15">
        <f>[1]!'SGRMH,LA'/100</f>
        <v>14.85</v>
      </c>
      <c r="D348" s="15">
        <f>F348-0.3</f>
        <v>14.819999999999999</v>
      </c>
      <c r="E348" s="15">
        <f>F348+0.3</f>
        <v>15.42</v>
      </c>
      <c r="F348" s="15">
        <f>C348+0.27</f>
        <v>15.12</v>
      </c>
      <c r="G348" s="15"/>
      <c r="H348" s="16">
        <v>26</v>
      </c>
      <c r="K348" s="88"/>
    </row>
    <row r="349" spans="1:11" ht="12.75" customHeight="1" x14ac:dyDescent="0.3">
      <c r="A349" s="152">
        <v>38246</v>
      </c>
      <c r="B349" s="153"/>
      <c r="C349" s="4">
        <f>[1]!'SGRMH,LA'/100</f>
        <v>14.85</v>
      </c>
      <c r="D349" s="4">
        <f>F349-0.4</f>
        <v>15.069999999999999</v>
      </c>
      <c r="E349" s="4">
        <f>F349+0.4</f>
        <v>15.87</v>
      </c>
      <c r="F349" s="4">
        <f>C349+0.62</f>
        <v>15.469999999999999</v>
      </c>
      <c r="G349" s="4"/>
      <c r="H349" s="5">
        <v>26</v>
      </c>
      <c r="K349" s="88"/>
    </row>
    <row r="350" spans="1:11" ht="12.75" customHeight="1" x14ac:dyDescent="0.3">
      <c r="A350" s="158" t="s">
        <v>93</v>
      </c>
      <c r="B350" s="159"/>
      <c r="C350" s="32"/>
      <c r="D350" s="32"/>
      <c r="E350" s="32"/>
      <c r="F350" s="32"/>
      <c r="G350" s="32"/>
      <c r="H350" s="33"/>
      <c r="K350" s="88"/>
    </row>
    <row r="351" spans="1:11" ht="12.75" customHeight="1" x14ac:dyDescent="0.3">
      <c r="A351" s="156">
        <v>38155</v>
      </c>
      <c r="B351" s="157"/>
      <c r="C351" s="15">
        <f>[1]!'SGRNG,LA'/100</f>
        <v>25</v>
      </c>
      <c r="D351" s="15">
        <f>F351-0.3</f>
        <v>25.14</v>
      </c>
      <c r="E351" s="15">
        <f>F351+0.3</f>
        <v>25.740000000000002</v>
      </c>
      <c r="F351" s="15">
        <f>C351+0.44</f>
        <v>25.44</v>
      </c>
      <c r="G351" s="15"/>
      <c r="H351" s="16">
        <v>30</v>
      </c>
      <c r="K351" s="88"/>
    </row>
    <row r="352" spans="1:11" ht="12.75" customHeight="1" x14ac:dyDescent="0.3">
      <c r="A352" s="152">
        <v>38246</v>
      </c>
      <c r="B352" s="153"/>
      <c r="C352" s="4">
        <f>[1]!'SGRNG,LA'/100</f>
        <v>25</v>
      </c>
      <c r="D352" s="4">
        <f>F352-0.4</f>
        <v>25.6</v>
      </c>
      <c r="E352" s="4">
        <f>F352+0.4</f>
        <v>26.4</v>
      </c>
      <c r="F352" s="15">
        <f>C352+1</f>
        <v>26</v>
      </c>
      <c r="G352" s="4"/>
      <c r="H352" s="5">
        <v>30</v>
      </c>
      <c r="K352" s="88"/>
    </row>
    <row r="353" spans="1:11" ht="12.75" customHeight="1" x14ac:dyDescent="0.3">
      <c r="A353" s="190" t="s">
        <v>79</v>
      </c>
      <c r="B353" s="191"/>
      <c r="C353" s="6"/>
      <c r="D353" s="30"/>
      <c r="E353" s="30"/>
      <c r="F353" s="129"/>
      <c r="G353" s="6"/>
      <c r="H353" s="130"/>
      <c r="K353" s="88"/>
    </row>
    <row r="354" spans="1:11" ht="12.75" customHeight="1" x14ac:dyDescent="0.3">
      <c r="A354" s="156">
        <v>38155</v>
      </c>
      <c r="B354" s="157"/>
      <c r="C354" s="15">
        <f>[1]!'SGSAB,LA'/100</f>
        <v>74.52</v>
      </c>
      <c r="D354" s="15">
        <f>F354-0.3</f>
        <v>75.539999999999992</v>
      </c>
      <c r="E354" s="15">
        <f>F354+0.3</f>
        <v>76.139999999999986</v>
      </c>
      <c r="F354" s="15">
        <f>C354+1.32</f>
        <v>75.839999999999989</v>
      </c>
      <c r="G354" s="15"/>
      <c r="H354" s="16">
        <v>23.25</v>
      </c>
      <c r="K354" s="88"/>
    </row>
    <row r="355" spans="1:11" ht="12.75" customHeight="1" x14ac:dyDescent="0.3">
      <c r="A355" s="152">
        <v>38246</v>
      </c>
      <c r="B355" s="153"/>
      <c r="C355" s="4">
        <f>[1]!'SGSAB,LA'/100</f>
        <v>74.52</v>
      </c>
      <c r="D355" s="4">
        <f>F355-0.4</f>
        <v>75.689999999999984</v>
      </c>
      <c r="E355" s="4">
        <f>F355+0.4</f>
        <v>76.489999999999995</v>
      </c>
      <c r="F355" s="15">
        <f>C355+1.57</f>
        <v>76.089999999999989</v>
      </c>
      <c r="G355" s="4"/>
      <c r="H355" s="5">
        <v>23.25</v>
      </c>
      <c r="K355" s="88"/>
    </row>
    <row r="356" spans="1:11" ht="12.75" customHeight="1" x14ac:dyDescent="0.3">
      <c r="A356" s="160" t="s">
        <v>37</v>
      </c>
      <c r="B356" s="161"/>
      <c r="C356" s="6"/>
      <c r="D356" s="6"/>
      <c r="E356" s="6"/>
      <c r="F356" s="6"/>
      <c r="G356" s="6"/>
      <c r="H356" s="10"/>
      <c r="K356" s="88"/>
    </row>
    <row r="357" spans="1:11" ht="12.75" customHeight="1" x14ac:dyDescent="0.3">
      <c r="A357" s="156">
        <v>38155</v>
      </c>
      <c r="B357" s="157"/>
      <c r="C357" s="15">
        <f>[1]!'SGSAP,LA'/100</f>
        <v>86.5</v>
      </c>
      <c r="D357" s="15">
        <f>F357-0.3</f>
        <v>87.76</v>
      </c>
      <c r="E357" s="15">
        <f>F357+0.3</f>
        <v>88.36</v>
      </c>
      <c r="F357" s="15">
        <f>C357+1.56</f>
        <v>88.06</v>
      </c>
      <c r="G357" s="15"/>
      <c r="H357" s="16">
        <v>31.5</v>
      </c>
      <c r="K357" s="88"/>
    </row>
    <row r="358" spans="1:11" ht="12.75" customHeight="1" x14ac:dyDescent="0.3">
      <c r="A358" s="150">
        <v>38246</v>
      </c>
      <c r="B358" s="151"/>
      <c r="C358" s="2">
        <f>[1]!'SGSAP,LA'/100</f>
        <v>86.5</v>
      </c>
      <c r="D358" s="2">
        <f>F358-0.4</f>
        <v>89.72</v>
      </c>
      <c r="E358" s="2">
        <f>F358+0.4</f>
        <v>90.52000000000001</v>
      </c>
      <c r="F358" s="15">
        <f>C358+3.62</f>
        <v>90.12</v>
      </c>
      <c r="G358" s="2"/>
      <c r="H358" s="3">
        <v>31.5</v>
      </c>
      <c r="K358" s="88"/>
    </row>
    <row r="359" spans="1:11" ht="12.75" customHeight="1" x14ac:dyDescent="0.3">
      <c r="A359" s="175">
        <v>38336</v>
      </c>
      <c r="B359" s="176"/>
      <c r="C359" s="99">
        <f>[1]!'SGSAP,LA'/100</f>
        <v>86.5</v>
      </c>
      <c r="D359" s="99">
        <f>F359-0.5</f>
        <v>91.67</v>
      </c>
      <c r="E359" s="99">
        <f>F359+0.5</f>
        <v>92.67</v>
      </c>
      <c r="F359" s="99">
        <f>C359+5.67</f>
        <v>92.17</v>
      </c>
      <c r="G359" s="99"/>
      <c r="H359" s="100">
        <v>30</v>
      </c>
      <c r="K359" s="88"/>
    </row>
    <row r="360" spans="1:11" ht="12.75" customHeight="1" x14ac:dyDescent="0.3">
      <c r="A360" s="158" t="s">
        <v>90</v>
      </c>
      <c r="B360" s="159"/>
      <c r="C360" s="32"/>
      <c r="D360" s="32"/>
      <c r="E360" s="32"/>
      <c r="F360" s="32"/>
      <c r="G360" s="32"/>
      <c r="H360" s="9"/>
      <c r="K360" s="88"/>
    </row>
    <row r="361" spans="1:11" ht="12.75" customHeight="1" x14ac:dyDescent="0.3">
      <c r="A361" s="156">
        <v>38155</v>
      </c>
      <c r="B361" s="157"/>
      <c r="C361" s="15">
        <f>[1]!'SGSBK,LA'/100</f>
        <v>42.73</v>
      </c>
      <c r="D361" s="15">
        <f>F361-0.3</f>
        <v>42.64</v>
      </c>
      <c r="E361" s="15">
        <f>F361+0.3</f>
        <v>43.239999999999995</v>
      </c>
      <c r="F361" s="15">
        <f>C361+0.21</f>
        <v>42.94</v>
      </c>
      <c r="G361" s="15"/>
      <c r="H361" s="16">
        <v>28</v>
      </c>
      <c r="I361" s="86"/>
      <c r="K361" s="88"/>
    </row>
    <row r="362" spans="1:11" ht="12.75" customHeight="1" x14ac:dyDescent="0.3">
      <c r="A362" s="150">
        <v>38246</v>
      </c>
      <c r="B362" s="151"/>
      <c r="C362" s="2">
        <f>[1]!'SGSBK,LA'/100</f>
        <v>42.73</v>
      </c>
      <c r="D362" s="2">
        <f>F362-0.4</f>
        <v>43.66</v>
      </c>
      <c r="E362" s="2">
        <f>F362+0.4</f>
        <v>44.459999999999994</v>
      </c>
      <c r="F362" s="15">
        <f>C362+1.33</f>
        <v>44.059999999999995</v>
      </c>
      <c r="G362" s="2"/>
      <c r="H362" s="3">
        <v>28</v>
      </c>
      <c r="I362" s="86"/>
      <c r="K362" s="88"/>
    </row>
    <row r="363" spans="1:11" ht="12.75" customHeight="1" x14ac:dyDescent="0.3">
      <c r="A363" s="154">
        <v>38336</v>
      </c>
      <c r="B363" s="185"/>
      <c r="C363" s="39">
        <f>[1]!'SGSBK,LA'/100</f>
        <v>42.73</v>
      </c>
      <c r="D363" s="39">
        <f>F363-0.5</f>
        <v>43.33</v>
      </c>
      <c r="E363" s="39">
        <f>F363+0.5</f>
        <v>44.33</v>
      </c>
      <c r="F363" s="39">
        <f>C363+1.1</f>
        <v>43.83</v>
      </c>
      <c r="G363" s="39"/>
      <c r="H363" s="54">
        <v>24.5</v>
      </c>
      <c r="I363" s="86"/>
      <c r="K363" s="88"/>
    </row>
    <row r="364" spans="1:11" ht="12.75" customHeight="1" x14ac:dyDescent="0.3">
      <c r="A364" s="160" t="s">
        <v>141</v>
      </c>
      <c r="B364" s="161"/>
      <c r="C364" s="6"/>
      <c r="D364" s="6"/>
      <c r="E364" s="6"/>
      <c r="F364" s="6"/>
      <c r="G364" s="6"/>
      <c r="H364" s="10"/>
      <c r="K364" s="88"/>
    </row>
    <row r="365" spans="1:11" ht="12.75" customHeight="1" x14ac:dyDescent="0.3">
      <c r="A365" s="188">
        <v>38155</v>
      </c>
      <c r="B365" s="189"/>
      <c r="C365" s="15">
        <f>[1]!'SGSCE,LA'/100</f>
        <v>0.93</v>
      </c>
      <c r="D365" s="15">
        <f>F365-0.02</f>
        <v>0.93</v>
      </c>
      <c r="E365" s="15">
        <f>F365+0.02</f>
        <v>0.97000000000000008</v>
      </c>
      <c r="F365" s="15">
        <f>C365+0.02</f>
        <v>0.95000000000000007</v>
      </c>
      <c r="G365" s="15"/>
      <c r="H365" s="16">
        <v>30</v>
      </c>
      <c r="K365" s="88"/>
    </row>
    <row r="366" spans="1:11" ht="12.75" customHeight="1" x14ac:dyDescent="0.3">
      <c r="A366" s="152">
        <v>38246</v>
      </c>
      <c r="B366" s="153"/>
      <c r="C366" s="4">
        <f>[1]!'SGSCE,LA'/100</f>
        <v>0.93</v>
      </c>
      <c r="D366" s="4">
        <f>F366-0.03</f>
        <v>0.94000000000000006</v>
      </c>
      <c r="E366" s="4">
        <f>F366+0.03</f>
        <v>1</v>
      </c>
      <c r="F366" s="15">
        <f>C366+0.04</f>
        <v>0.97000000000000008</v>
      </c>
      <c r="G366" s="4"/>
      <c r="H366" s="5">
        <v>30</v>
      </c>
      <c r="K366" s="88"/>
    </row>
    <row r="367" spans="1:11" ht="12.75" customHeight="1" x14ac:dyDescent="0.3">
      <c r="A367" s="160" t="s">
        <v>145</v>
      </c>
      <c r="B367" s="161"/>
      <c r="C367" s="6"/>
      <c r="D367" s="6"/>
      <c r="E367" s="6"/>
      <c r="F367" s="6"/>
      <c r="G367" s="6"/>
      <c r="H367" s="7"/>
      <c r="I367" s="86"/>
      <c r="K367" s="88"/>
    </row>
    <row r="368" spans="1:11" ht="12.75" customHeight="1" x14ac:dyDescent="0.3">
      <c r="A368" s="156">
        <v>38155</v>
      </c>
      <c r="B368" s="157"/>
      <c r="C368" s="15">
        <f>[1]!'SGSGG,LA'/100</f>
        <v>1.74</v>
      </c>
      <c r="D368" s="15">
        <f>F368-0.02</f>
        <v>1.75</v>
      </c>
      <c r="E368" s="15">
        <f>F368+0.02</f>
        <v>1.79</v>
      </c>
      <c r="F368" s="15">
        <f>C368+0.03</f>
        <v>1.77</v>
      </c>
      <c r="G368" s="15"/>
      <c r="H368" s="16">
        <v>30</v>
      </c>
      <c r="I368" s="86"/>
      <c r="K368" s="88"/>
    </row>
    <row r="369" spans="1:11" ht="12.75" customHeight="1" x14ac:dyDescent="0.3">
      <c r="A369" s="152">
        <v>38246</v>
      </c>
      <c r="B369" s="153"/>
      <c r="C369" s="4">
        <f>[1]!'SGSGG,LA'/100</f>
        <v>1.74</v>
      </c>
      <c r="D369" s="4">
        <f>F369-0.03</f>
        <v>1.74</v>
      </c>
      <c r="E369" s="4">
        <f>F369+0.03</f>
        <v>1.8</v>
      </c>
      <c r="F369" s="4">
        <f>F368</f>
        <v>1.77</v>
      </c>
      <c r="G369" s="4"/>
      <c r="H369" s="5">
        <v>30</v>
      </c>
      <c r="I369" s="86"/>
      <c r="K369" s="88"/>
    </row>
    <row r="370" spans="1:11" ht="12.75" customHeight="1" x14ac:dyDescent="0.3">
      <c r="A370" s="160" t="s">
        <v>97</v>
      </c>
      <c r="B370" s="161"/>
      <c r="C370" s="6"/>
      <c r="D370" s="6"/>
      <c r="E370" s="6"/>
      <c r="F370" s="6"/>
      <c r="G370" s="6"/>
      <c r="H370" s="7"/>
      <c r="K370" s="88"/>
    </row>
    <row r="371" spans="1:11" ht="12.75" customHeight="1" x14ac:dyDescent="0.3">
      <c r="A371" s="156">
        <v>38155</v>
      </c>
      <c r="B371" s="157"/>
      <c r="C371" s="15">
        <f>[1]!'SGSHF,LA'/100</f>
        <v>8</v>
      </c>
      <c r="D371" s="15">
        <f>F371-0.3</f>
        <v>7.8500000000000005</v>
      </c>
      <c r="E371" s="15">
        <f>F371+0.3</f>
        <v>8.4500000000000011</v>
      </c>
      <c r="F371" s="15">
        <f>C371+0.15</f>
        <v>8.15</v>
      </c>
      <c r="G371" s="15"/>
      <c r="H371" s="16">
        <v>38</v>
      </c>
      <c r="K371" s="88"/>
    </row>
    <row r="372" spans="1:11" ht="12.75" customHeight="1" x14ac:dyDescent="0.3">
      <c r="A372" s="152">
        <v>38246</v>
      </c>
      <c r="B372" s="153"/>
      <c r="C372" s="4">
        <f>[1]!'SGSHF,LA'/100</f>
        <v>8</v>
      </c>
      <c r="D372" s="4">
        <f>F372-0.4</f>
        <v>7.93</v>
      </c>
      <c r="E372" s="4">
        <f>F372+0.4</f>
        <v>8.73</v>
      </c>
      <c r="F372" s="15">
        <f>C372+0.33</f>
        <v>8.33</v>
      </c>
      <c r="G372" s="4"/>
      <c r="H372" s="5">
        <v>38</v>
      </c>
      <c r="K372" s="88"/>
    </row>
    <row r="373" spans="1:11" ht="12.75" customHeight="1" x14ac:dyDescent="0.3">
      <c r="A373" s="160" t="s">
        <v>86</v>
      </c>
      <c r="B373" s="161"/>
      <c r="C373" s="6"/>
      <c r="D373" s="6"/>
      <c r="E373" s="6"/>
      <c r="F373" s="6"/>
      <c r="G373" s="6"/>
      <c r="H373" s="7"/>
      <c r="K373" s="88"/>
    </row>
    <row r="374" spans="1:11" ht="12.75" customHeight="1" x14ac:dyDescent="0.3">
      <c r="A374" s="156">
        <v>38155</v>
      </c>
      <c r="B374" s="157"/>
      <c r="C374" s="15">
        <f>[1]!'SGSHP,LA'/100</f>
        <v>9.81</v>
      </c>
      <c r="D374" s="15">
        <f>F374-0.3</f>
        <v>9.69</v>
      </c>
      <c r="E374" s="15">
        <f>F374+0.3</f>
        <v>10.290000000000001</v>
      </c>
      <c r="F374" s="15">
        <f>C374+0.18</f>
        <v>9.99</v>
      </c>
      <c r="G374" s="15"/>
      <c r="H374" s="16">
        <v>30</v>
      </c>
      <c r="K374" s="88"/>
    </row>
    <row r="375" spans="1:11" ht="12.75" customHeight="1" x14ac:dyDescent="0.3">
      <c r="A375" s="152">
        <v>38246</v>
      </c>
      <c r="B375" s="153"/>
      <c r="C375" s="4">
        <f>[1]!'SGSHP,LA'/100</f>
        <v>9.81</v>
      </c>
      <c r="D375" s="4">
        <f>F375-0.4</f>
        <v>9.83</v>
      </c>
      <c r="E375" s="4">
        <f>F375+0.4</f>
        <v>10.63</v>
      </c>
      <c r="F375" s="4">
        <f>C375+0.42</f>
        <v>10.23</v>
      </c>
      <c r="G375" s="4"/>
      <c r="H375" s="5">
        <v>35</v>
      </c>
      <c r="K375" s="88"/>
    </row>
    <row r="376" spans="1:11" ht="12.75" customHeight="1" x14ac:dyDescent="0.3">
      <c r="A376" s="160" t="s">
        <v>121</v>
      </c>
      <c r="B376" s="161"/>
      <c r="C376" s="6"/>
      <c r="D376" s="6"/>
      <c r="E376" s="6"/>
      <c r="F376" s="6"/>
      <c r="G376" s="6"/>
      <c r="H376" s="7"/>
      <c r="K376" s="88"/>
    </row>
    <row r="377" spans="1:11" ht="12.75" customHeight="1" x14ac:dyDescent="0.3">
      <c r="A377" s="156">
        <v>38155</v>
      </c>
      <c r="B377" s="157"/>
      <c r="C377" s="15">
        <v>3.3</v>
      </c>
      <c r="D377" s="15">
        <f>F377-0.3</f>
        <v>3.06</v>
      </c>
      <c r="E377" s="15">
        <f>F377+0.3</f>
        <v>3.6599999999999997</v>
      </c>
      <c r="F377" s="15">
        <f>C377+0.06</f>
        <v>3.36</v>
      </c>
      <c r="G377" s="15"/>
      <c r="H377" s="16">
        <v>30</v>
      </c>
      <c r="K377" s="88"/>
    </row>
    <row r="378" spans="1:11" ht="12.75" customHeight="1" x14ac:dyDescent="0.3">
      <c r="A378" s="152">
        <v>38246</v>
      </c>
      <c r="B378" s="153"/>
      <c r="C378" s="15">
        <v>3.3</v>
      </c>
      <c r="D378" s="4">
        <f>F378-0.4</f>
        <v>3.04</v>
      </c>
      <c r="E378" s="4">
        <f>F378+0.4</f>
        <v>3.84</v>
      </c>
      <c r="F378" s="15">
        <f>C378+0.14</f>
        <v>3.44</v>
      </c>
      <c r="G378" s="4"/>
      <c r="H378" s="5">
        <v>30</v>
      </c>
      <c r="K378" s="88"/>
    </row>
    <row r="379" spans="1:11" ht="12.75" customHeight="1" x14ac:dyDescent="0.3">
      <c r="A379" s="160" t="s">
        <v>38</v>
      </c>
      <c r="B379" s="161"/>
      <c r="C379" s="6"/>
      <c r="D379" s="6"/>
      <c r="E379" s="6"/>
      <c r="F379" s="6"/>
      <c r="G379" s="6"/>
      <c r="H379" s="7"/>
      <c r="K379" s="88"/>
    </row>
    <row r="380" spans="1:11" ht="12.75" customHeight="1" x14ac:dyDescent="0.3">
      <c r="A380" s="156">
        <v>38155</v>
      </c>
      <c r="B380" s="157"/>
      <c r="C380" s="15">
        <f>[1]!'SGSLM,LA'/100</f>
        <v>9.3000000000000007</v>
      </c>
      <c r="D380" s="15">
        <f>F380-0.3</f>
        <v>8.76</v>
      </c>
      <c r="E380" s="15">
        <f>F380+0.3</f>
        <v>9.3600000000000012</v>
      </c>
      <c r="F380" s="15">
        <f>C380-0.24</f>
        <v>9.06</v>
      </c>
      <c r="G380" s="15"/>
      <c r="H380" s="16">
        <v>21</v>
      </c>
      <c r="I380" s="89"/>
      <c r="K380" s="88"/>
    </row>
    <row r="381" spans="1:11" ht="12.75" customHeight="1" x14ac:dyDescent="0.3">
      <c r="A381" s="156">
        <v>38246</v>
      </c>
      <c r="B381" s="157"/>
      <c r="C381" s="15">
        <f>[1]!'SGSLM,LA'/100</f>
        <v>9.3000000000000007</v>
      </c>
      <c r="D381" s="15">
        <f>F381-0.4</f>
        <v>8.870000000000001</v>
      </c>
      <c r="E381" s="15">
        <f>F381+0.4</f>
        <v>9.6700000000000017</v>
      </c>
      <c r="F381" s="15">
        <f>C381-0.03</f>
        <v>9.2700000000000014</v>
      </c>
      <c r="G381" s="15"/>
      <c r="H381" s="16">
        <v>25</v>
      </c>
      <c r="I381" s="89"/>
      <c r="K381" s="88"/>
    </row>
    <row r="382" spans="1:11" ht="12.75" customHeight="1" x14ac:dyDescent="0.3">
      <c r="A382" s="152">
        <v>38428</v>
      </c>
      <c r="B382" s="153"/>
      <c r="C382" s="4">
        <f>[1]!'SGSLM,LA'/100</f>
        <v>9.3000000000000007</v>
      </c>
      <c r="D382" s="4">
        <f>F382-0.5</f>
        <v>9.0400000000000009</v>
      </c>
      <c r="E382" s="4">
        <f>F382+0.5</f>
        <v>10.040000000000001</v>
      </c>
      <c r="F382" s="4">
        <f>C382+0.24</f>
        <v>9.5400000000000009</v>
      </c>
      <c r="G382" s="4"/>
      <c r="H382" s="5">
        <v>24</v>
      </c>
      <c r="I382" s="89"/>
      <c r="K382" s="88"/>
    </row>
    <row r="383" spans="1:11" ht="12.75" customHeight="1" x14ac:dyDescent="0.3">
      <c r="A383" s="158" t="s">
        <v>59</v>
      </c>
      <c r="B383" s="159"/>
      <c r="C383" s="32"/>
      <c r="D383" s="32"/>
      <c r="E383" s="32"/>
      <c r="F383" s="32"/>
      <c r="G383" s="32"/>
      <c r="H383" s="33"/>
      <c r="I383" s="89"/>
      <c r="K383" s="88"/>
    </row>
    <row r="384" spans="1:11" ht="12.75" customHeight="1" x14ac:dyDescent="0.3">
      <c r="A384" s="156">
        <v>38155</v>
      </c>
      <c r="B384" s="157"/>
      <c r="C384" s="15">
        <f>[1]!'SGSNT,LA'/100</f>
        <v>45.4</v>
      </c>
      <c r="D384" s="15">
        <f>F384-0.3</f>
        <v>45.92</v>
      </c>
      <c r="E384" s="15">
        <f>F384+0.3</f>
        <v>46.519999999999996</v>
      </c>
      <c r="F384" s="15">
        <f>C384+0.82</f>
        <v>46.22</v>
      </c>
      <c r="G384" s="15"/>
      <c r="H384" s="16">
        <v>30</v>
      </c>
      <c r="I384" s="89"/>
      <c r="K384" s="88"/>
    </row>
    <row r="385" spans="1:11" ht="12.75" customHeight="1" x14ac:dyDescent="0.3">
      <c r="A385" s="152">
        <v>38246</v>
      </c>
      <c r="B385" s="153"/>
      <c r="C385" s="4">
        <f>[1]!'SGSNT,LA'/100</f>
        <v>45.4</v>
      </c>
      <c r="D385" s="4">
        <f>F385-0.4</f>
        <v>46.89</v>
      </c>
      <c r="E385" s="4">
        <f>F385+0.4</f>
        <v>47.69</v>
      </c>
      <c r="F385" s="4">
        <f>C385+1.89</f>
        <v>47.29</v>
      </c>
      <c r="G385" s="4"/>
      <c r="H385" s="5">
        <v>30</v>
      </c>
      <c r="I385" s="89"/>
      <c r="K385" s="88"/>
    </row>
    <row r="386" spans="1:11" ht="12.75" customHeight="1" x14ac:dyDescent="0.3">
      <c r="A386" s="158" t="s">
        <v>39</v>
      </c>
      <c r="B386" s="159"/>
      <c r="C386" s="32"/>
      <c r="D386" s="32"/>
      <c r="E386" s="32"/>
      <c r="F386" s="32"/>
      <c r="G386" s="32"/>
      <c r="H386" s="33"/>
      <c r="I386" s="90"/>
      <c r="K386" s="88"/>
    </row>
    <row r="387" spans="1:11" ht="12.75" customHeight="1" x14ac:dyDescent="0.3">
      <c r="A387" s="156">
        <v>38155</v>
      </c>
      <c r="B387" s="157"/>
      <c r="C387" s="15">
        <f>[1]!'SGSOL,LA'/100</f>
        <v>99</v>
      </c>
      <c r="D387" s="15">
        <f>F387-0.3</f>
        <v>99.37</v>
      </c>
      <c r="E387" s="15">
        <f>F387+0.3</f>
        <v>99.97</v>
      </c>
      <c r="F387" s="15">
        <f>C387+0.67</f>
        <v>99.67</v>
      </c>
      <c r="G387" s="15"/>
      <c r="H387" s="16">
        <v>30</v>
      </c>
      <c r="I387" s="85"/>
      <c r="J387" s="124"/>
      <c r="K387" s="88"/>
    </row>
    <row r="388" spans="1:11" ht="12.75" customHeight="1" thickBot="1" x14ac:dyDescent="0.35">
      <c r="A388" s="156">
        <v>38246</v>
      </c>
      <c r="B388" s="157"/>
      <c r="C388" s="15">
        <f>[1]!'SGSOL,LA'/100</f>
        <v>99</v>
      </c>
      <c r="D388" s="15">
        <f>F388-0.4</f>
        <v>102.66999999999999</v>
      </c>
      <c r="E388" s="15">
        <f>F388+0.4</f>
        <v>103.47</v>
      </c>
      <c r="F388" s="15">
        <f>C388+4.07</f>
        <v>103.07</v>
      </c>
      <c r="G388" s="15"/>
      <c r="H388" s="16">
        <v>29.5</v>
      </c>
      <c r="I388" s="85"/>
      <c r="J388" s="124"/>
      <c r="K388" s="88"/>
    </row>
    <row r="389" spans="1:11" ht="12.75" customHeight="1" x14ac:dyDescent="0.3">
      <c r="A389" s="69"/>
      <c r="B389" s="70"/>
      <c r="C389" s="53"/>
      <c r="D389" s="53"/>
      <c r="E389" s="53"/>
      <c r="F389" s="53"/>
      <c r="G389" s="53"/>
      <c r="H389" s="53"/>
      <c r="I389" s="85"/>
      <c r="J389" s="124"/>
      <c r="K389" s="88"/>
    </row>
    <row r="390" spans="1:11" ht="12.75" customHeight="1" thickBot="1" x14ac:dyDescent="0.35">
      <c r="A390" s="108"/>
      <c r="B390" s="128"/>
      <c r="C390" s="8"/>
      <c r="D390" s="8"/>
      <c r="E390" s="8"/>
      <c r="F390" s="8"/>
      <c r="G390" s="8"/>
      <c r="H390" s="8"/>
      <c r="I390" s="85"/>
      <c r="J390" s="124"/>
      <c r="K390" s="88"/>
    </row>
    <row r="391" spans="1:11" ht="12.75" customHeight="1" x14ac:dyDescent="0.3">
      <c r="A391" s="164" t="s">
        <v>156</v>
      </c>
      <c r="B391" s="165"/>
      <c r="C391" s="28"/>
      <c r="D391" s="28"/>
      <c r="E391" s="28"/>
      <c r="F391" s="28"/>
      <c r="G391" s="28"/>
      <c r="H391" s="107"/>
      <c r="I391" s="85"/>
      <c r="J391" s="124"/>
      <c r="K391" s="88"/>
    </row>
    <row r="392" spans="1:11" ht="12.75" customHeight="1" x14ac:dyDescent="0.3">
      <c r="A392" s="156">
        <v>38155</v>
      </c>
      <c r="B392" s="157"/>
      <c r="C392" s="15">
        <f>[1]!'SGSPG,LA'/100</f>
        <v>10.5</v>
      </c>
      <c r="D392" s="15">
        <f>F392-0.3</f>
        <v>10.199999999999999</v>
      </c>
      <c r="E392" s="15">
        <f>F392+0.3</f>
        <v>10.8</v>
      </c>
      <c r="F392" s="15">
        <f>C392</f>
        <v>10.5</v>
      </c>
      <c r="G392" s="15"/>
      <c r="H392" s="16">
        <v>30</v>
      </c>
      <c r="I392" s="85"/>
      <c r="J392" s="124"/>
      <c r="K392" s="88"/>
    </row>
    <row r="393" spans="1:11" ht="12.75" customHeight="1" x14ac:dyDescent="0.3">
      <c r="A393" s="152">
        <v>38246</v>
      </c>
      <c r="B393" s="153"/>
      <c r="C393" s="4">
        <f>[1]!'SGSPG,LA'/100</f>
        <v>10.5</v>
      </c>
      <c r="D393" s="4">
        <f>F393-0.4</f>
        <v>10.1</v>
      </c>
      <c r="E393" s="4">
        <f>F393+0.4</f>
        <v>10.9</v>
      </c>
      <c r="F393" s="4">
        <f>F392</f>
        <v>10.5</v>
      </c>
      <c r="G393" s="4"/>
      <c r="H393" s="5">
        <v>30</v>
      </c>
      <c r="I393" s="85"/>
      <c r="J393" s="124"/>
      <c r="K393" s="88"/>
    </row>
    <row r="394" spans="1:11" ht="12.75" customHeight="1" x14ac:dyDescent="0.3">
      <c r="A394" s="158" t="s">
        <v>40</v>
      </c>
      <c r="B394" s="159"/>
      <c r="C394" s="32"/>
      <c r="D394" s="32"/>
      <c r="E394" s="32"/>
      <c r="F394" s="32"/>
      <c r="G394" s="32"/>
      <c r="H394" s="9"/>
      <c r="K394" s="88"/>
    </row>
    <row r="395" spans="1:11" ht="12.75" customHeight="1" x14ac:dyDescent="0.3">
      <c r="A395" s="156">
        <v>38155</v>
      </c>
      <c r="B395" s="157"/>
      <c r="C395" s="15">
        <f>[1]!'SGTBS,LA'/100</f>
        <v>85.55</v>
      </c>
      <c r="D395" s="15">
        <f>F395-0.3</f>
        <v>86.79</v>
      </c>
      <c r="E395" s="15">
        <f>F395+0.3</f>
        <v>87.39</v>
      </c>
      <c r="F395" s="15">
        <f>C395+1.54</f>
        <v>87.09</v>
      </c>
      <c r="G395" s="15"/>
      <c r="H395" s="16">
        <v>28</v>
      </c>
      <c r="K395" s="88"/>
    </row>
    <row r="396" spans="1:11" ht="12.75" customHeight="1" x14ac:dyDescent="0.3">
      <c r="A396" s="156">
        <v>38246</v>
      </c>
      <c r="B396" s="157"/>
      <c r="C396" s="15">
        <f>[1]!'SGTBS,LA'/100</f>
        <v>85.55</v>
      </c>
      <c r="D396" s="15">
        <f>F396-0.4</f>
        <v>88.719999999999985</v>
      </c>
      <c r="E396" s="15">
        <f>F396+0.4</f>
        <v>89.52</v>
      </c>
      <c r="F396" s="15">
        <f>C396+3.57</f>
        <v>89.11999999999999</v>
      </c>
      <c r="G396" s="15"/>
      <c r="H396" s="16">
        <v>15</v>
      </c>
      <c r="K396" s="88"/>
    </row>
    <row r="397" spans="1:11" s="113" customFormat="1" ht="12.75" customHeight="1" x14ac:dyDescent="0.3">
      <c r="A397" s="160" t="s">
        <v>99</v>
      </c>
      <c r="B397" s="161"/>
      <c r="C397" s="6"/>
      <c r="D397" s="6"/>
      <c r="E397" s="6"/>
      <c r="F397" s="6"/>
      <c r="G397" s="6"/>
      <c r="H397" s="7"/>
      <c r="K397" s="114"/>
    </row>
    <row r="398" spans="1:11" s="113" customFormat="1" ht="12.75" customHeight="1" x14ac:dyDescent="0.3">
      <c r="A398" s="150">
        <v>38155</v>
      </c>
      <c r="B398" s="151"/>
      <c r="C398" s="2">
        <f>[1]!'SGTKG,LA'/100</f>
        <v>80.25</v>
      </c>
      <c r="D398" s="15">
        <f>F398-0.3</f>
        <v>81.37</v>
      </c>
      <c r="E398" s="15">
        <f>F398+0.3</f>
        <v>81.97</v>
      </c>
      <c r="F398" s="2">
        <f>C398+1.42</f>
        <v>81.67</v>
      </c>
      <c r="G398" s="2"/>
      <c r="H398" s="3">
        <v>28</v>
      </c>
      <c r="K398" s="114"/>
    </row>
    <row r="399" spans="1:11" s="113" customFormat="1" ht="12.75" customHeight="1" x14ac:dyDescent="0.3">
      <c r="A399" s="152">
        <v>38246</v>
      </c>
      <c r="B399" s="153"/>
      <c r="C399" s="4">
        <f>[1]!'SGTKG,LA'/100</f>
        <v>80.25</v>
      </c>
      <c r="D399" s="15">
        <f>F399-0.4</f>
        <v>83.11999999999999</v>
      </c>
      <c r="E399" s="15">
        <f>F399+0.4</f>
        <v>83.92</v>
      </c>
      <c r="F399" s="4">
        <f>C399+3.27</f>
        <v>83.52</v>
      </c>
      <c r="G399" s="4">
        <v>32</v>
      </c>
      <c r="H399" s="5">
        <v>28</v>
      </c>
      <c r="K399" s="114"/>
    </row>
    <row r="400" spans="1:11" ht="12.75" customHeight="1" x14ac:dyDescent="0.3">
      <c r="A400" s="160" t="s">
        <v>41</v>
      </c>
      <c r="B400" s="161"/>
      <c r="C400" s="6"/>
      <c r="D400" s="6"/>
      <c r="E400" s="6"/>
      <c r="F400" s="6"/>
      <c r="G400" s="6"/>
      <c r="H400" s="7"/>
      <c r="K400" s="88"/>
    </row>
    <row r="401" spans="1:11" ht="12.75" customHeight="1" x14ac:dyDescent="0.3">
      <c r="A401" s="156">
        <v>38155</v>
      </c>
      <c r="B401" s="157"/>
      <c r="C401" s="15">
        <f>[1]!'SGTNT,LA'/100</f>
        <v>46.5</v>
      </c>
      <c r="D401" s="15">
        <f>F401-0.3</f>
        <v>47.03</v>
      </c>
      <c r="E401" s="15">
        <f>F401+0.3</f>
        <v>47.629999999999995</v>
      </c>
      <c r="F401" s="117">
        <f>C401+0.83</f>
        <v>47.33</v>
      </c>
      <c r="G401" s="15"/>
      <c r="H401" s="16">
        <v>23.5</v>
      </c>
      <c r="K401" s="88"/>
    </row>
    <row r="402" spans="1:11" ht="12.75" customHeight="1" x14ac:dyDescent="0.3">
      <c r="A402" s="152">
        <v>38246</v>
      </c>
      <c r="B402" s="153"/>
      <c r="C402" s="4">
        <f>[1]!'SGTNT,LA'/100</f>
        <v>46.5</v>
      </c>
      <c r="D402" s="4">
        <f>F402-0.4</f>
        <v>47.22</v>
      </c>
      <c r="E402" s="4">
        <f>F402+0.4</f>
        <v>48.019999999999996</v>
      </c>
      <c r="F402" s="116">
        <f>C402+1.12</f>
        <v>47.62</v>
      </c>
      <c r="G402" s="4"/>
      <c r="H402" s="5">
        <v>23.5</v>
      </c>
      <c r="K402" s="88"/>
    </row>
    <row r="403" spans="1:11" ht="12.75" customHeight="1" x14ac:dyDescent="0.3">
      <c r="A403" s="158" t="s">
        <v>103</v>
      </c>
      <c r="B403" s="159"/>
      <c r="C403" s="32"/>
      <c r="D403" s="32"/>
      <c r="E403" s="32"/>
      <c r="F403" s="32"/>
      <c r="G403" s="32"/>
      <c r="H403" s="33"/>
      <c r="K403" s="88"/>
    </row>
    <row r="404" spans="1:11" ht="12.75" customHeight="1" x14ac:dyDescent="0.3">
      <c r="A404" s="156">
        <v>38155</v>
      </c>
      <c r="B404" s="157"/>
      <c r="C404" s="15">
        <f>[1]!'SGTRU,LA'/100</f>
        <v>10.4</v>
      </c>
      <c r="D404" s="15">
        <f>F404-0.3</f>
        <v>10.29</v>
      </c>
      <c r="E404" s="15">
        <f>F404+0.3</f>
        <v>10.89</v>
      </c>
      <c r="F404" s="15">
        <f>C404+0.19</f>
        <v>10.59</v>
      </c>
      <c r="G404" s="15"/>
      <c r="H404" s="16">
        <v>30</v>
      </c>
      <c r="K404" s="88"/>
    </row>
    <row r="405" spans="1:11" ht="12.75" customHeight="1" x14ac:dyDescent="0.3">
      <c r="A405" s="152">
        <v>38246</v>
      </c>
      <c r="B405" s="153"/>
      <c r="C405" s="4">
        <f>[1]!'SGTRU,LA'/100</f>
        <v>10.4</v>
      </c>
      <c r="D405" s="4">
        <f>F405-0.4</f>
        <v>10.43</v>
      </c>
      <c r="E405" s="4">
        <f>F405+0.4</f>
        <v>11.23</v>
      </c>
      <c r="F405" s="15">
        <f>C405+0.43</f>
        <v>10.83</v>
      </c>
      <c r="G405" s="4"/>
      <c r="H405" s="5">
        <v>30</v>
      </c>
      <c r="K405" s="88"/>
    </row>
    <row r="406" spans="1:11" ht="12.75" customHeight="1" x14ac:dyDescent="0.3">
      <c r="A406" s="160" t="s">
        <v>115</v>
      </c>
      <c r="B406" s="161"/>
      <c r="C406" s="6"/>
      <c r="D406" s="6"/>
      <c r="E406" s="6"/>
      <c r="F406" s="6"/>
      <c r="G406" s="6"/>
      <c r="H406" s="7"/>
      <c r="K406" s="88"/>
    </row>
    <row r="407" spans="1:11" ht="12.75" customHeight="1" x14ac:dyDescent="0.3">
      <c r="A407" s="156">
        <v>38155</v>
      </c>
      <c r="B407" s="157"/>
      <c r="C407" s="15">
        <f>[1]!'SGUSV,LA'/100</f>
        <v>35.5</v>
      </c>
      <c r="D407" s="15">
        <f>F407-0.3</f>
        <v>35.830000000000005</v>
      </c>
      <c r="E407" s="15">
        <f>F407+0.3</f>
        <v>36.43</v>
      </c>
      <c r="F407" s="15">
        <f>C407+0.63</f>
        <v>36.130000000000003</v>
      </c>
      <c r="G407" s="15"/>
      <c r="H407" s="16">
        <v>30</v>
      </c>
      <c r="K407" s="88"/>
    </row>
    <row r="408" spans="1:11" ht="12.75" customHeight="1" x14ac:dyDescent="0.3">
      <c r="A408" s="152">
        <v>38246</v>
      </c>
      <c r="B408" s="153"/>
      <c r="C408" s="4">
        <f>[1]!'SGUSV,LA'/100</f>
        <v>35.5</v>
      </c>
      <c r="D408" s="4">
        <f>F408-0.4</f>
        <v>36.56</v>
      </c>
      <c r="E408" s="4">
        <f>F408+0.4</f>
        <v>37.36</v>
      </c>
      <c r="F408" s="4">
        <f>C408+1.46</f>
        <v>36.96</v>
      </c>
      <c r="G408" s="4"/>
      <c r="H408" s="5">
        <v>30</v>
      </c>
      <c r="K408" s="88"/>
    </row>
    <row r="409" spans="1:11" ht="12.75" customHeight="1" x14ac:dyDescent="0.3">
      <c r="A409" s="158" t="s">
        <v>48</v>
      </c>
      <c r="B409" s="159"/>
      <c r="C409" s="32"/>
      <c r="D409" s="32"/>
      <c r="E409" s="32"/>
      <c r="F409" s="32"/>
      <c r="G409" s="32"/>
      <c r="H409" s="33"/>
      <c r="K409" s="88"/>
    </row>
    <row r="410" spans="1:11" ht="12.75" customHeight="1" x14ac:dyDescent="0.3">
      <c r="A410" s="156">
        <v>38155</v>
      </c>
      <c r="B410" s="157"/>
      <c r="C410" s="15">
        <f>[1]!'SGVNF,LA'/100</f>
        <v>21.32</v>
      </c>
      <c r="D410" s="15">
        <f>F410-0.3</f>
        <v>21.4</v>
      </c>
      <c r="E410" s="15">
        <f>F410+0.3</f>
        <v>22</v>
      </c>
      <c r="F410" s="15">
        <f>C410+0.38</f>
        <v>21.7</v>
      </c>
      <c r="G410" s="15"/>
      <c r="H410" s="16">
        <v>30</v>
      </c>
      <c r="K410" s="88"/>
    </row>
    <row r="411" spans="1:11" ht="12.75" customHeight="1" x14ac:dyDescent="0.3">
      <c r="A411" s="152">
        <v>38246</v>
      </c>
      <c r="B411" s="168"/>
      <c r="C411" s="4">
        <f>[1]!'SGVNF,LA'/100</f>
        <v>21.32</v>
      </c>
      <c r="D411" s="4">
        <f>F411-0.4</f>
        <v>21.790000000000003</v>
      </c>
      <c r="E411" s="4">
        <f>F411+0.4</f>
        <v>22.59</v>
      </c>
      <c r="F411" s="4">
        <f>C411+0.87</f>
        <v>22.19</v>
      </c>
      <c r="G411" s="4"/>
      <c r="H411" s="5">
        <v>20</v>
      </c>
      <c r="K411" s="88"/>
    </row>
    <row r="412" spans="1:11" ht="12.75" customHeight="1" x14ac:dyDescent="0.3">
      <c r="A412" s="160" t="s">
        <v>87</v>
      </c>
      <c r="B412" s="161"/>
      <c r="C412" s="6"/>
      <c r="D412" s="6"/>
      <c r="E412" s="6"/>
      <c r="F412" s="6"/>
      <c r="G412" s="6"/>
      <c r="H412" s="7"/>
      <c r="K412" s="88"/>
    </row>
    <row r="413" spans="1:11" ht="12.75" customHeight="1" x14ac:dyDescent="0.3">
      <c r="A413" s="156">
        <v>38155</v>
      </c>
      <c r="B413" s="157"/>
      <c r="C413" s="15">
        <f>[1]!'SGWAR,LA'/100</f>
        <v>32.5</v>
      </c>
      <c r="D413" s="15">
        <f>F413-0.3</f>
        <v>32.78</v>
      </c>
      <c r="E413" s="15">
        <f>F413+0.3</f>
        <v>33.379999999999995</v>
      </c>
      <c r="F413" s="15">
        <f>C413+0.58</f>
        <v>33.08</v>
      </c>
      <c r="G413" s="15"/>
      <c r="H413" s="16">
        <v>30</v>
      </c>
      <c r="K413" s="88"/>
    </row>
    <row r="414" spans="1:11" ht="12.75" customHeight="1" x14ac:dyDescent="0.3">
      <c r="A414" s="152">
        <v>38246</v>
      </c>
      <c r="B414" s="153"/>
      <c r="C414" s="4">
        <f>[1]!'SGWAR,LA'/100</f>
        <v>32.5</v>
      </c>
      <c r="D414" s="4">
        <f>F414-0.4</f>
        <v>33.450000000000003</v>
      </c>
      <c r="E414" s="4">
        <f>F414+0.4</f>
        <v>34.25</v>
      </c>
      <c r="F414" s="15">
        <f>C414+1.35</f>
        <v>33.85</v>
      </c>
      <c r="G414" s="4"/>
      <c r="H414" s="5">
        <v>30</v>
      </c>
      <c r="K414" s="88"/>
    </row>
    <row r="415" spans="1:11" ht="12.75" customHeight="1" x14ac:dyDescent="0.3">
      <c r="A415" s="160" t="s">
        <v>42</v>
      </c>
      <c r="B415" s="161"/>
      <c r="C415" s="6" t="s">
        <v>9</v>
      </c>
      <c r="D415" s="6"/>
      <c r="E415" s="6"/>
      <c r="F415" s="6"/>
      <c r="G415" s="6"/>
      <c r="H415" s="7"/>
      <c r="K415" s="88"/>
    </row>
    <row r="416" spans="1:11" ht="12.75" customHeight="1" x14ac:dyDescent="0.3">
      <c r="A416" s="156">
        <v>38155</v>
      </c>
      <c r="B416" s="157"/>
      <c r="C416" s="15">
        <f>[1]!'SGWHL,LA'/100</f>
        <v>7.26</v>
      </c>
      <c r="D416" s="15">
        <f>F416-0.3</f>
        <v>7.09</v>
      </c>
      <c r="E416" s="15">
        <f>F416+0.3</f>
        <v>7.6899999999999995</v>
      </c>
      <c r="F416" s="15">
        <f>C416+0.13</f>
        <v>7.39</v>
      </c>
      <c r="G416" s="15"/>
      <c r="H416" s="16">
        <v>40</v>
      </c>
      <c r="K416" s="88"/>
    </row>
    <row r="417" spans="1:11" ht="12.75" customHeight="1" x14ac:dyDescent="0.3">
      <c r="A417" s="152">
        <v>38246</v>
      </c>
      <c r="B417" s="153"/>
      <c r="C417" s="4">
        <f>[1]!'SGWHL,LA'/100</f>
        <v>7.26</v>
      </c>
      <c r="D417" s="4">
        <f>F417-0.4</f>
        <v>7.1599999999999993</v>
      </c>
      <c r="E417" s="4">
        <f>F417+0.4</f>
        <v>7.96</v>
      </c>
      <c r="F417" s="4">
        <f>C417+0.3</f>
        <v>7.56</v>
      </c>
      <c r="G417" s="4"/>
      <c r="H417" s="5">
        <v>40</v>
      </c>
      <c r="K417" s="88"/>
    </row>
    <row r="418" spans="1:11" ht="12.75" customHeight="1" x14ac:dyDescent="0.3">
      <c r="A418" s="158" t="s">
        <v>58</v>
      </c>
      <c r="B418" s="159"/>
      <c r="C418" s="32" t="s">
        <v>9</v>
      </c>
      <c r="D418" s="32"/>
      <c r="E418" s="32"/>
      <c r="F418" s="32"/>
      <c r="G418" s="32"/>
      <c r="H418" s="33"/>
      <c r="K418" s="88"/>
    </row>
    <row r="419" spans="1:11" ht="12.75" customHeight="1" x14ac:dyDescent="0.3">
      <c r="A419" s="156">
        <v>38155</v>
      </c>
      <c r="B419" s="157"/>
      <c r="C419" s="15">
        <v>0.27</v>
      </c>
      <c r="D419" s="15">
        <f>F419-0.02</f>
        <v>0.26</v>
      </c>
      <c r="E419" s="15">
        <f>F419+0.02</f>
        <v>0.30000000000000004</v>
      </c>
      <c r="F419" s="15">
        <f>C419+0.01</f>
        <v>0.28000000000000003</v>
      </c>
      <c r="G419" s="15"/>
      <c r="H419" s="16">
        <v>37.5</v>
      </c>
      <c r="K419" s="88"/>
    </row>
    <row r="420" spans="1:11" ht="12.75" customHeight="1" thickBot="1" x14ac:dyDescent="0.35">
      <c r="A420" s="156">
        <v>38246</v>
      </c>
      <c r="B420" s="157"/>
      <c r="C420" s="15">
        <v>0.27</v>
      </c>
      <c r="D420" s="15">
        <f>F420-0.03</f>
        <v>0.25</v>
      </c>
      <c r="E420" s="15">
        <f>F420+0.03</f>
        <v>0.31000000000000005</v>
      </c>
      <c r="F420" s="15">
        <f>F419</f>
        <v>0.28000000000000003</v>
      </c>
      <c r="G420" s="15"/>
      <c r="H420" s="16">
        <v>37.5</v>
      </c>
      <c r="K420" s="88"/>
    </row>
    <row r="421" spans="1:11" ht="12.75" customHeight="1" x14ac:dyDescent="0.3">
      <c r="A421" s="69"/>
      <c r="B421" s="70"/>
      <c r="C421" s="53"/>
      <c r="D421" s="53"/>
      <c r="E421" s="53"/>
      <c r="F421" s="53"/>
      <c r="G421" s="53"/>
      <c r="H421" s="53"/>
      <c r="K421" s="88"/>
    </row>
    <row r="422" spans="1:11" ht="12.75" customHeight="1" x14ac:dyDescent="0.3">
      <c r="A422" s="108"/>
      <c r="B422" s="128"/>
      <c r="C422" s="8"/>
      <c r="D422" s="8"/>
      <c r="E422" s="8"/>
      <c r="F422" s="8"/>
      <c r="G422" s="8"/>
      <c r="H422" s="8"/>
      <c r="K422" s="88"/>
    </row>
    <row r="423" spans="1:11" ht="12.75" customHeight="1" x14ac:dyDescent="0.3">
      <c r="A423" s="108"/>
      <c r="B423" s="128"/>
      <c r="C423" s="8"/>
      <c r="D423" s="8"/>
      <c r="E423" s="8"/>
      <c r="F423" s="8"/>
      <c r="G423" s="8"/>
      <c r="H423" s="8"/>
      <c r="K423" s="88"/>
    </row>
    <row r="424" spans="1:11" ht="12.75" customHeight="1" x14ac:dyDescent="0.3">
      <c r="A424" s="108"/>
      <c r="B424" s="128"/>
      <c r="C424" s="8"/>
      <c r="D424" s="8"/>
      <c r="E424" s="8"/>
      <c r="F424" s="8"/>
      <c r="G424" s="8"/>
      <c r="H424" s="8"/>
      <c r="K424" s="88"/>
    </row>
    <row r="425" spans="1:11" ht="12.75" customHeight="1" x14ac:dyDescent="0.3">
      <c r="A425" s="108"/>
      <c r="B425" s="128"/>
      <c r="C425" s="8"/>
      <c r="D425" s="8"/>
      <c r="E425" s="8"/>
      <c r="F425" s="8"/>
      <c r="G425" s="8"/>
      <c r="H425" s="8"/>
      <c r="K425" s="88"/>
    </row>
    <row r="426" spans="1:11" ht="12.75" customHeight="1" x14ac:dyDescent="0.3">
      <c r="A426" s="108"/>
      <c r="B426" s="128"/>
      <c r="C426" s="8"/>
      <c r="D426" s="8"/>
      <c r="E426" s="8"/>
      <c r="F426" s="8"/>
      <c r="G426" s="8"/>
      <c r="H426" s="8"/>
      <c r="K426" s="88"/>
    </row>
    <row r="427" spans="1:11" ht="12.75" customHeight="1" x14ac:dyDescent="0.3">
      <c r="A427" s="108"/>
      <c r="B427" s="128"/>
      <c r="C427" s="8"/>
      <c r="D427" s="8"/>
      <c r="E427" s="8"/>
      <c r="F427" s="8"/>
      <c r="G427" s="8"/>
      <c r="H427" s="8"/>
      <c r="K427" s="88"/>
    </row>
    <row r="428" spans="1:11" ht="12.75" customHeight="1" x14ac:dyDescent="0.3">
      <c r="A428" s="108"/>
      <c r="B428" s="128"/>
      <c r="C428" s="8"/>
      <c r="D428" s="8"/>
      <c r="E428" s="8"/>
      <c r="F428" s="8"/>
      <c r="G428" s="8"/>
      <c r="H428" s="8"/>
      <c r="K428" s="88"/>
    </row>
    <row r="429" spans="1:11" ht="12.75" customHeight="1" x14ac:dyDescent="0.3">
      <c r="A429" s="108"/>
      <c r="B429" s="128"/>
      <c r="C429" s="8"/>
      <c r="D429" s="8"/>
      <c r="E429" s="8"/>
      <c r="F429" s="8"/>
      <c r="G429" s="8"/>
      <c r="H429" s="8"/>
      <c r="K429" s="88"/>
    </row>
    <row r="430" spans="1:11" ht="12.75" customHeight="1" x14ac:dyDescent="0.3">
      <c r="A430" s="108"/>
      <c r="B430" s="128"/>
      <c r="C430" s="8"/>
      <c r="D430" s="8"/>
      <c r="E430" s="8"/>
      <c r="F430" s="8"/>
      <c r="G430" s="8"/>
      <c r="H430" s="8"/>
      <c r="K430" s="88"/>
    </row>
    <row r="431" spans="1:11" ht="12.75" customHeight="1" x14ac:dyDescent="0.3">
      <c r="A431" s="108"/>
      <c r="B431" s="128"/>
      <c r="C431" s="8"/>
      <c r="D431" s="8"/>
      <c r="E431" s="8"/>
      <c r="F431" s="8"/>
      <c r="G431" s="8"/>
      <c r="H431" s="8"/>
      <c r="K431" s="88"/>
    </row>
    <row r="432" spans="1:11" ht="12.75" customHeight="1" x14ac:dyDescent="0.3">
      <c r="A432" s="108"/>
      <c r="B432" s="128"/>
      <c r="C432" s="8"/>
      <c r="D432" s="8"/>
      <c r="E432" s="8"/>
      <c r="F432" s="8"/>
      <c r="G432" s="8"/>
      <c r="H432" s="8"/>
      <c r="K432" s="88"/>
    </row>
    <row r="433" spans="1:11" ht="12.75" customHeight="1" x14ac:dyDescent="0.3">
      <c r="A433" s="108"/>
      <c r="B433" s="128"/>
      <c r="C433" s="8"/>
      <c r="D433" s="8"/>
      <c r="E433" s="8"/>
      <c r="F433" s="8"/>
      <c r="G433" s="8"/>
      <c r="H433" s="8"/>
      <c r="K433" s="88"/>
    </row>
    <row r="434" spans="1:11" ht="12.75" customHeight="1" x14ac:dyDescent="0.3">
      <c r="A434" s="108"/>
      <c r="B434" s="128"/>
      <c r="C434" s="8"/>
      <c r="D434" s="8"/>
      <c r="E434" s="8"/>
      <c r="F434" s="8"/>
      <c r="G434" s="8"/>
      <c r="H434" s="8"/>
      <c r="K434" s="88"/>
    </row>
    <row r="435" spans="1:11" ht="12.75" customHeight="1" x14ac:dyDescent="0.3">
      <c r="A435" s="108"/>
      <c r="B435" s="128"/>
      <c r="C435" s="8"/>
      <c r="D435" s="8"/>
      <c r="E435" s="8"/>
      <c r="F435" s="8"/>
      <c r="G435" s="8"/>
      <c r="H435" s="8"/>
      <c r="K435" s="88"/>
    </row>
    <row r="436" spans="1:11" ht="12.75" customHeight="1" x14ac:dyDescent="0.3">
      <c r="A436" s="108"/>
      <c r="B436" s="128"/>
      <c r="C436" s="8"/>
      <c r="D436" s="8"/>
      <c r="E436" s="8"/>
      <c r="F436" s="8"/>
      <c r="G436" s="8"/>
      <c r="H436" s="8"/>
      <c r="K436" s="88"/>
    </row>
    <row r="437" spans="1:11" ht="12.75" customHeight="1" x14ac:dyDescent="0.3">
      <c r="A437" s="108"/>
      <c r="B437" s="128"/>
      <c r="C437" s="8"/>
      <c r="D437" s="8"/>
      <c r="E437" s="8"/>
      <c r="F437" s="8"/>
      <c r="G437" s="8"/>
      <c r="H437" s="8"/>
      <c r="K437" s="88"/>
    </row>
    <row r="438" spans="1:11" ht="12.75" customHeight="1" x14ac:dyDescent="0.3">
      <c r="A438" s="108"/>
      <c r="B438" s="128"/>
      <c r="C438" s="8"/>
      <c r="D438" s="8"/>
      <c r="E438" s="8"/>
      <c r="F438" s="8"/>
      <c r="G438" s="8"/>
      <c r="H438" s="8"/>
      <c r="K438" s="88"/>
    </row>
    <row r="439" spans="1:11" ht="12.75" customHeight="1" x14ac:dyDescent="0.3">
      <c r="A439" s="108"/>
      <c r="B439" s="128"/>
      <c r="C439" s="8"/>
      <c r="D439" s="8"/>
      <c r="E439" s="8"/>
      <c r="F439" s="8"/>
      <c r="G439" s="8"/>
      <c r="H439" s="8"/>
      <c r="K439" s="88"/>
    </row>
    <row r="440" spans="1:11" ht="12.75" customHeight="1" x14ac:dyDescent="0.3">
      <c r="A440" s="108"/>
      <c r="B440" s="128"/>
      <c r="C440" s="8"/>
      <c r="D440" s="8"/>
      <c r="E440" s="8"/>
      <c r="F440" s="8"/>
      <c r="G440" s="8"/>
      <c r="H440" s="8"/>
      <c r="K440" s="88"/>
    </row>
    <row r="441" spans="1:11" ht="12.75" customHeight="1" x14ac:dyDescent="0.3">
      <c r="A441" s="108"/>
      <c r="B441" s="128"/>
      <c r="C441" s="8"/>
      <c r="D441" s="8"/>
      <c r="E441" s="8"/>
      <c r="F441" s="8"/>
      <c r="G441" s="8"/>
      <c r="H441" s="8"/>
      <c r="K441" s="88"/>
    </row>
    <row r="442" spans="1:11" ht="12.75" customHeight="1" x14ac:dyDescent="0.3">
      <c r="A442" s="108"/>
      <c r="B442" s="128"/>
      <c r="C442" s="8"/>
      <c r="D442" s="8"/>
      <c r="E442" s="8"/>
      <c r="F442" s="8"/>
      <c r="G442" s="8"/>
      <c r="H442" s="8"/>
      <c r="K442" s="88"/>
    </row>
    <row r="443" spans="1:11" ht="12.75" customHeight="1" x14ac:dyDescent="0.3">
      <c r="A443" s="108"/>
      <c r="B443" s="128"/>
      <c r="C443" s="8"/>
      <c r="D443" s="8"/>
      <c r="E443" s="8"/>
      <c r="F443" s="8"/>
      <c r="G443" s="8"/>
      <c r="H443" s="8"/>
      <c r="K443" s="88"/>
    </row>
    <row r="444" spans="1:11" ht="12.75" customHeight="1" x14ac:dyDescent="0.3">
      <c r="A444" s="108"/>
      <c r="B444" s="128"/>
      <c r="C444" s="8"/>
      <c r="D444" s="8"/>
      <c r="E444" s="8"/>
      <c r="F444" s="8"/>
      <c r="G444" s="8"/>
      <c r="H444" s="8"/>
      <c r="K444" s="88"/>
    </row>
    <row r="445" spans="1:11" ht="12.75" customHeight="1" x14ac:dyDescent="0.3">
      <c r="A445" s="108"/>
      <c r="B445" s="128"/>
      <c r="C445" s="8"/>
      <c r="D445" s="8"/>
      <c r="E445" s="8"/>
      <c r="F445" s="8"/>
      <c r="G445" s="8"/>
      <c r="H445" s="8"/>
      <c r="K445" s="88"/>
    </row>
    <row r="446" spans="1:11" ht="12.75" customHeight="1" x14ac:dyDescent="0.3">
      <c r="A446" s="108"/>
      <c r="B446" s="128"/>
      <c r="C446" s="8"/>
      <c r="D446" s="8"/>
      <c r="E446" s="8"/>
      <c r="F446" s="8"/>
      <c r="G446" s="8"/>
      <c r="H446" s="8"/>
      <c r="K446" s="88"/>
    </row>
    <row r="447" spans="1:11" ht="12.75" customHeight="1" x14ac:dyDescent="0.3">
      <c r="A447" s="108"/>
      <c r="B447" s="128"/>
      <c r="C447" s="8"/>
      <c r="D447" s="8"/>
      <c r="E447" s="8"/>
      <c r="F447" s="8"/>
      <c r="G447" s="8"/>
      <c r="H447" s="8"/>
      <c r="K447" s="88"/>
    </row>
    <row r="448" spans="1:11" ht="12.75" customHeight="1" x14ac:dyDescent="0.3">
      <c r="A448" s="108"/>
      <c r="B448" s="128"/>
      <c r="C448" s="8"/>
      <c r="D448" s="8"/>
      <c r="E448" s="8"/>
      <c r="F448" s="8"/>
      <c r="G448" s="8"/>
      <c r="H448" s="8"/>
      <c r="K448" s="88"/>
    </row>
    <row r="449" spans="1:11" ht="12.75" customHeight="1" x14ac:dyDescent="0.3">
      <c r="A449" s="108"/>
      <c r="B449" s="128"/>
      <c r="C449" s="8"/>
      <c r="D449" s="8"/>
      <c r="E449" s="8"/>
      <c r="F449" s="8"/>
      <c r="G449" s="8"/>
      <c r="H449" s="8"/>
      <c r="K449" s="88"/>
    </row>
    <row r="450" spans="1:11" ht="12.75" customHeight="1" x14ac:dyDescent="0.3">
      <c r="A450" s="108"/>
      <c r="B450" s="128"/>
      <c r="C450" s="8"/>
      <c r="D450" s="8"/>
      <c r="E450" s="8"/>
      <c r="F450" s="8"/>
      <c r="G450" s="8"/>
      <c r="H450" s="8"/>
      <c r="K450" s="88"/>
    </row>
    <row r="451" spans="1:11" ht="12.75" customHeight="1" x14ac:dyDescent="0.3">
      <c r="A451" s="108"/>
      <c r="B451" s="128"/>
      <c r="C451" s="8"/>
      <c r="D451" s="8"/>
      <c r="E451" s="8"/>
      <c r="F451" s="8"/>
      <c r="G451" s="8"/>
      <c r="H451" s="8"/>
      <c r="K451" s="88"/>
    </row>
    <row r="452" spans="1:11" ht="12.75" customHeight="1" x14ac:dyDescent="0.3">
      <c r="A452" s="108"/>
      <c r="B452" s="128"/>
      <c r="C452" s="8"/>
      <c r="D452" s="8"/>
      <c r="E452" s="8"/>
      <c r="F452" s="8"/>
      <c r="G452" s="8"/>
      <c r="H452" s="8"/>
      <c r="K452" s="88"/>
    </row>
    <row r="453" spans="1:11" ht="12.75" customHeight="1" x14ac:dyDescent="0.3">
      <c r="A453" s="108"/>
      <c r="B453" s="128"/>
      <c r="C453" s="8"/>
      <c r="D453" s="8"/>
      <c r="E453" s="8"/>
      <c r="F453" s="8"/>
      <c r="G453" s="8"/>
      <c r="H453" s="8"/>
      <c r="K453" s="88"/>
    </row>
    <row r="454" spans="1:11" ht="12.75" customHeight="1" x14ac:dyDescent="0.3">
      <c r="A454" s="108"/>
      <c r="B454" s="128"/>
      <c r="C454" s="8"/>
      <c r="D454" s="8"/>
      <c r="E454" s="8"/>
      <c r="F454" s="8"/>
      <c r="G454" s="8"/>
      <c r="H454" s="8"/>
      <c r="K454" s="88"/>
    </row>
    <row r="455" spans="1:11" ht="12.75" customHeight="1" x14ac:dyDescent="0.3">
      <c r="A455" s="108"/>
      <c r="B455" s="128"/>
      <c r="C455" s="8"/>
      <c r="D455" s="8"/>
      <c r="E455" s="8"/>
      <c r="F455" s="8"/>
      <c r="G455" s="8"/>
      <c r="H455" s="8"/>
      <c r="K455" s="88"/>
    </row>
    <row r="456" spans="1:11" ht="12.75" customHeight="1" thickBot="1" x14ac:dyDescent="0.35">
      <c r="A456" s="147" t="s">
        <v>56</v>
      </c>
      <c r="B456" s="145"/>
      <c r="C456" s="146"/>
      <c r="D456" s="146"/>
      <c r="E456" s="146"/>
      <c r="F456" s="148" t="s">
        <v>47</v>
      </c>
      <c r="G456" s="149">
        <f>G1</f>
        <v>38078</v>
      </c>
      <c r="H456" s="149"/>
      <c r="K456" s="88"/>
    </row>
    <row r="457" spans="1:11" ht="12.75" customHeight="1" x14ac:dyDescent="0.3">
      <c r="A457" s="158" t="s">
        <v>60</v>
      </c>
      <c r="B457" s="159"/>
      <c r="C457" s="74" t="s">
        <v>9</v>
      </c>
      <c r="D457" s="74" t="s">
        <v>9</v>
      </c>
      <c r="E457" s="74" t="s">
        <v>9</v>
      </c>
      <c r="F457" s="74"/>
      <c r="G457" s="32"/>
      <c r="H457" s="33" t="s">
        <v>9</v>
      </c>
      <c r="K457" s="88"/>
    </row>
    <row r="458" spans="1:11" ht="12.75" customHeight="1" x14ac:dyDescent="0.3">
      <c r="A458" s="150">
        <v>38153</v>
      </c>
      <c r="B458" s="151"/>
      <c r="C458" s="40">
        <f>100-C465</f>
        <v>91.933999999999997</v>
      </c>
      <c r="D458" s="40">
        <f>F458-0.05</f>
        <v>95.379000000000005</v>
      </c>
      <c r="E458" s="40">
        <f>F458+0.05</f>
        <v>95.478999999999999</v>
      </c>
      <c r="F458" s="41">
        <f>C458+3.495</f>
        <v>95.429000000000002</v>
      </c>
      <c r="G458" s="2"/>
      <c r="H458" s="3">
        <v>15</v>
      </c>
      <c r="K458" s="88"/>
    </row>
    <row r="459" spans="1:11" ht="12.75" customHeight="1" x14ac:dyDescent="0.3">
      <c r="A459" s="150">
        <v>38245</v>
      </c>
      <c r="B459" s="151"/>
      <c r="C459" s="40">
        <f>100-C465</f>
        <v>91.933999999999997</v>
      </c>
      <c r="D459" s="40">
        <f>F459-0.05</f>
        <v>95.599000000000004</v>
      </c>
      <c r="E459" s="40">
        <f>F459+0.05</f>
        <v>95.698999999999998</v>
      </c>
      <c r="F459" s="41">
        <f>C459+3.715</f>
        <v>95.649000000000001</v>
      </c>
      <c r="G459" s="2"/>
      <c r="H459" s="3">
        <v>15</v>
      </c>
      <c r="K459" s="88"/>
    </row>
    <row r="460" spans="1:11" ht="12.75" customHeight="1" x14ac:dyDescent="0.3">
      <c r="A460" s="156">
        <v>38336</v>
      </c>
      <c r="B460" s="157"/>
      <c r="C460" s="96">
        <f>100-C465</f>
        <v>91.933999999999997</v>
      </c>
      <c r="D460" s="40">
        <f>F460-0.05</f>
        <v>95.468999999999994</v>
      </c>
      <c r="E460" s="40">
        <f>F460+0.05</f>
        <v>95.568999999999988</v>
      </c>
      <c r="F460" s="41">
        <f>C460+3.585</f>
        <v>95.518999999999991</v>
      </c>
      <c r="G460" s="15"/>
      <c r="H460" s="16">
        <v>15</v>
      </c>
      <c r="K460" s="88"/>
    </row>
    <row r="461" spans="1:11" ht="12.75" customHeight="1" x14ac:dyDescent="0.3">
      <c r="A461" s="150">
        <v>38427</v>
      </c>
      <c r="B461" s="151"/>
      <c r="C461" s="40">
        <f>100-C465</f>
        <v>91.933999999999997</v>
      </c>
      <c r="D461" s="40">
        <f>F461-0.05</f>
        <v>95.483999999999995</v>
      </c>
      <c r="E461" s="40">
        <f>F461+0.05</f>
        <v>95.583999999999989</v>
      </c>
      <c r="F461" s="40">
        <f>C461+3.6</f>
        <v>95.533999999999992</v>
      </c>
      <c r="G461" s="2"/>
      <c r="H461" s="3">
        <v>15</v>
      </c>
      <c r="K461" s="88"/>
    </row>
    <row r="462" spans="1:11" ht="12.75" customHeight="1" x14ac:dyDescent="0.3">
      <c r="A462" s="45" t="s">
        <v>61</v>
      </c>
      <c r="B462" s="46"/>
      <c r="C462" s="40"/>
      <c r="D462" s="42"/>
      <c r="E462" s="2"/>
      <c r="F462" s="42"/>
      <c r="G462" s="43"/>
      <c r="H462" s="44"/>
      <c r="I462" s="22"/>
    </row>
    <row r="463" spans="1:11" ht="12.75" customHeight="1" x14ac:dyDescent="0.3">
      <c r="A463" s="47" t="s">
        <v>62</v>
      </c>
      <c r="B463" s="48" t="s">
        <v>63</v>
      </c>
      <c r="C463" s="40">
        <v>7.6689999999999996</v>
      </c>
      <c r="D463" s="42" t="s">
        <v>9</v>
      </c>
      <c r="E463" s="2"/>
      <c r="F463" s="42"/>
      <c r="G463" s="43"/>
      <c r="H463" s="44"/>
      <c r="I463" s="22"/>
    </row>
    <row r="464" spans="1:11" ht="12.75" customHeight="1" x14ac:dyDescent="0.3">
      <c r="A464" s="49" t="s">
        <v>64</v>
      </c>
      <c r="B464" s="50" t="s">
        <v>65</v>
      </c>
      <c r="C464" s="40">
        <v>7.907</v>
      </c>
      <c r="D464" s="42"/>
      <c r="E464" s="2"/>
      <c r="F464" s="42"/>
      <c r="G464" s="43"/>
      <c r="H464" s="44"/>
      <c r="I464" s="22"/>
    </row>
    <row r="465" spans="1:9" ht="12.75" customHeight="1" x14ac:dyDescent="0.3">
      <c r="A465" s="49" t="s">
        <v>64</v>
      </c>
      <c r="B465" s="50" t="s">
        <v>63</v>
      </c>
      <c r="C465" s="40">
        <v>8.0660000000000007</v>
      </c>
      <c r="D465" s="42"/>
      <c r="E465" s="2"/>
      <c r="F465" s="42"/>
      <c r="G465" s="43"/>
      <c r="H465" s="44"/>
      <c r="I465" s="22"/>
    </row>
    <row r="466" spans="1:9" ht="12.75" customHeight="1" x14ac:dyDescent="0.3">
      <c r="A466" s="49" t="s">
        <v>66</v>
      </c>
      <c r="B466" s="50" t="s">
        <v>63</v>
      </c>
      <c r="C466" s="40">
        <v>8.1880000000000006</v>
      </c>
      <c r="D466" s="42"/>
      <c r="E466" s="2"/>
      <c r="F466" s="42"/>
      <c r="G466" s="43"/>
      <c r="H466" s="44"/>
      <c r="I466" s="22"/>
    </row>
    <row r="467" spans="1:9" ht="12.75" customHeight="1" x14ac:dyDescent="0.3">
      <c r="A467" s="109" t="s">
        <v>67</v>
      </c>
      <c r="B467" s="110" t="s">
        <v>63</v>
      </c>
      <c r="C467" s="96">
        <v>8.6530000000000005</v>
      </c>
      <c r="D467" s="15"/>
      <c r="E467" s="15"/>
      <c r="F467" s="15"/>
      <c r="G467" s="111"/>
      <c r="H467" s="112"/>
      <c r="I467" s="22"/>
    </row>
    <row r="468" spans="1:9" ht="12.75" customHeight="1" x14ac:dyDescent="0.3">
      <c r="A468" s="160" t="s">
        <v>72</v>
      </c>
      <c r="B468" s="161"/>
      <c r="C468" s="122"/>
      <c r="D468" s="122"/>
      <c r="E468" s="122"/>
      <c r="F468" s="122"/>
      <c r="G468" s="121"/>
      <c r="H468" s="10"/>
      <c r="I468" s="22"/>
    </row>
    <row r="469" spans="1:9" ht="12.75" customHeight="1" x14ac:dyDescent="0.3">
      <c r="A469" s="152">
        <v>38425</v>
      </c>
      <c r="B469" s="168"/>
      <c r="C469" s="75">
        <f>F469</f>
        <v>6.3349500000000001</v>
      </c>
      <c r="D469" s="75">
        <v>6.3186999999999998</v>
      </c>
      <c r="E469" s="75">
        <v>6.3512000000000004</v>
      </c>
      <c r="F469" s="52">
        <f>SUM(D469:E469)/2</f>
        <v>6.3349500000000001</v>
      </c>
      <c r="G469" s="76"/>
      <c r="H469" s="5">
        <v>55.5</v>
      </c>
      <c r="I469" s="22"/>
    </row>
    <row r="470" spans="1:9" ht="12.75" customHeight="1" x14ac:dyDescent="0.3">
      <c r="A470" s="120" t="s">
        <v>148</v>
      </c>
      <c r="B470" s="51"/>
      <c r="C470" s="121"/>
      <c r="D470" s="121" t="s">
        <v>9</v>
      </c>
      <c r="E470" s="121"/>
      <c r="F470" s="122"/>
      <c r="G470" s="121"/>
      <c r="H470" s="10"/>
      <c r="I470" s="93"/>
    </row>
    <row r="471" spans="1:9" ht="12.75" customHeight="1" x14ac:dyDescent="0.3">
      <c r="A471" s="150">
        <v>38113</v>
      </c>
      <c r="B471" s="172"/>
      <c r="C471" s="123">
        <v>8.3049999999999997</v>
      </c>
      <c r="D471" s="123">
        <f>F471+0.01</f>
        <v>8.3672000000000004</v>
      </c>
      <c r="E471" s="123">
        <f>F471-0.01</f>
        <v>8.3472000000000008</v>
      </c>
      <c r="F471" s="123">
        <v>8.3572000000000006</v>
      </c>
      <c r="G471" s="2"/>
      <c r="H471" s="3">
        <v>1.7</v>
      </c>
      <c r="I471" s="93"/>
    </row>
    <row r="472" spans="1:9" ht="12.75" customHeight="1" x14ac:dyDescent="0.3">
      <c r="A472" s="152">
        <v>38204</v>
      </c>
      <c r="B472" s="168"/>
      <c r="C472" s="75">
        <f>C471</f>
        <v>8.3049999999999997</v>
      </c>
      <c r="D472" s="75">
        <f>F472+0.01</f>
        <v>8.3363999999999994</v>
      </c>
      <c r="E472" s="75">
        <f>F472-0.01</f>
        <v>8.3163999999999998</v>
      </c>
      <c r="F472" s="75">
        <v>8.3263999999999996</v>
      </c>
      <c r="G472" s="4"/>
      <c r="H472" s="5">
        <v>1.7</v>
      </c>
      <c r="I472" s="93"/>
    </row>
    <row r="473" spans="1:9" ht="12.75" customHeight="1" x14ac:dyDescent="0.3">
      <c r="A473" s="120" t="s">
        <v>149</v>
      </c>
      <c r="B473" s="51"/>
      <c r="C473" s="121"/>
      <c r="D473" s="121" t="s">
        <v>9</v>
      </c>
      <c r="E473" s="121"/>
      <c r="F473" s="122"/>
      <c r="G473" s="121"/>
      <c r="H473" s="10"/>
      <c r="I473" s="93"/>
    </row>
    <row r="474" spans="1:9" ht="12.75" customHeight="1" x14ac:dyDescent="0.3">
      <c r="A474" s="150">
        <v>38113</v>
      </c>
      <c r="B474" s="172"/>
      <c r="C474" s="123">
        <v>8.81</v>
      </c>
      <c r="D474" s="123">
        <f>F474+0.01</f>
        <v>8.8737999999999992</v>
      </c>
      <c r="E474" s="123">
        <f>F474-0.01</f>
        <v>8.8537999999999997</v>
      </c>
      <c r="F474" s="123">
        <v>8.8637999999999995</v>
      </c>
      <c r="G474" s="2"/>
      <c r="H474" s="3">
        <v>1.7</v>
      </c>
      <c r="I474" s="93"/>
    </row>
    <row r="475" spans="1:9" ht="12.75" customHeight="1" x14ac:dyDescent="0.3">
      <c r="A475" s="175">
        <v>38204</v>
      </c>
      <c r="B475" s="177"/>
      <c r="C475" s="132">
        <f>C474</f>
        <v>8.81</v>
      </c>
      <c r="D475" s="132">
        <f>F475+0.01</f>
        <v>8.9537999999999993</v>
      </c>
      <c r="E475" s="132">
        <f>F475-0.01</f>
        <v>8.9337999999999997</v>
      </c>
      <c r="F475" s="131">
        <v>8.9437999999999995</v>
      </c>
      <c r="G475" s="39"/>
      <c r="H475" s="54">
        <v>1.7</v>
      </c>
      <c r="I475" s="93"/>
    </row>
    <row r="476" spans="1:9" ht="12.75" customHeight="1" x14ac:dyDescent="0.3">
      <c r="A476" s="120" t="s">
        <v>73</v>
      </c>
      <c r="B476" s="51"/>
      <c r="C476" s="121"/>
      <c r="D476" s="121"/>
      <c r="E476" s="121"/>
      <c r="F476" s="122"/>
      <c r="G476" s="121"/>
      <c r="H476" s="10"/>
      <c r="I476" s="22"/>
    </row>
    <row r="477" spans="1:9" ht="12.75" customHeight="1" x14ac:dyDescent="0.3">
      <c r="A477" s="156">
        <v>38113</v>
      </c>
      <c r="B477" s="171"/>
      <c r="C477" s="52">
        <v>9.44</v>
      </c>
      <c r="D477" s="52">
        <f>F477+0.01</f>
        <v>9.4962999999999997</v>
      </c>
      <c r="E477" s="52">
        <f>F477-0.01</f>
        <v>9.4763000000000002</v>
      </c>
      <c r="F477" s="52">
        <v>9.4863</v>
      </c>
      <c r="G477" s="15"/>
      <c r="H477" s="16">
        <v>5.3</v>
      </c>
      <c r="I477" s="22"/>
    </row>
    <row r="478" spans="1:9" ht="12.75" customHeight="1" x14ac:dyDescent="0.3">
      <c r="A478" s="152">
        <v>38204</v>
      </c>
      <c r="B478" s="168"/>
      <c r="C478" s="75">
        <f>C477</f>
        <v>9.44</v>
      </c>
      <c r="D478" s="75">
        <f>F478+0.01</f>
        <v>9.587299999999999</v>
      </c>
      <c r="E478" s="75">
        <f>F478-0.01</f>
        <v>9.5672999999999995</v>
      </c>
      <c r="F478" s="75">
        <v>9.5772999999999993</v>
      </c>
      <c r="G478" s="4"/>
      <c r="H478" s="5">
        <v>5.3</v>
      </c>
      <c r="I478" s="22"/>
    </row>
    <row r="479" spans="1:9" ht="12.75" customHeight="1" x14ac:dyDescent="0.3">
      <c r="A479" s="72" t="s">
        <v>68</v>
      </c>
      <c r="B479" s="73"/>
      <c r="C479" s="38"/>
      <c r="D479" s="38"/>
      <c r="E479" s="38"/>
      <c r="F479" s="74"/>
      <c r="G479" s="38"/>
      <c r="H479" s="9"/>
      <c r="I479" s="93"/>
    </row>
    <row r="480" spans="1:9" ht="12.75" customHeight="1" x14ac:dyDescent="0.3">
      <c r="A480" s="156">
        <v>38113</v>
      </c>
      <c r="B480" s="171"/>
      <c r="C480" s="52">
        <v>9.5399999999999991</v>
      </c>
      <c r="D480" s="52">
        <f>F480+0.01</f>
        <v>9.5847999999999995</v>
      </c>
      <c r="E480" s="52">
        <f>F480-0.01</f>
        <v>9.5648</v>
      </c>
      <c r="F480" s="52">
        <v>9.5747999999999998</v>
      </c>
      <c r="G480" s="95"/>
      <c r="H480" s="125">
        <v>7.4</v>
      </c>
      <c r="I480" s="94"/>
    </row>
    <row r="481" spans="1:9" ht="12.75" customHeight="1" x14ac:dyDescent="0.3">
      <c r="A481" s="156">
        <v>38204</v>
      </c>
      <c r="B481" s="171"/>
      <c r="C481" s="52">
        <f>C480</f>
        <v>9.5399999999999991</v>
      </c>
      <c r="D481" s="52">
        <f>F481+0.01</f>
        <v>9.6527999999999992</v>
      </c>
      <c r="E481" s="52">
        <f>F481-0.01</f>
        <v>9.6327999999999996</v>
      </c>
      <c r="F481" s="52">
        <v>9.6427999999999994</v>
      </c>
      <c r="G481" s="95"/>
      <c r="H481" s="125">
        <v>7.4</v>
      </c>
      <c r="I481" s="94"/>
    </row>
    <row r="482" spans="1:9" ht="12.75" customHeight="1" x14ac:dyDescent="0.3">
      <c r="A482" s="152">
        <v>38295</v>
      </c>
      <c r="B482" s="168"/>
      <c r="C482" s="75">
        <f>C481</f>
        <v>9.5399999999999991</v>
      </c>
      <c r="D482" s="75">
        <f>F482+0.01</f>
        <v>9.7279999999999998</v>
      </c>
      <c r="E482" s="75">
        <f>F482-0.01</f>
        <v>9.7080000000000002</v>
      </c>
      <c r="F482" s="75">
        <v>9.718</v>
      </c>
      <c r="G482" s="77"/>
      <c r="H482" s="126">
        <v>8</v>
      </c>
      <c r="I482" s="94"/>
    </row>
    <row r="483" spans="1:9" ht="12.75" customHeight="1" x14ac:dyDescent="0.3">
      <c r="A483" s="67" t="s">
        <v>116</v>
      </c>
      <c r="B483" s="66"/>
      <c r="C483" s="38"/>
      <c r="D483" s="38"/>
      <c r="E483" s="38"/>
      <c r="F483" s="74"/>
      <c r="G483" s="38"/>
      <c r="H483" s="9"/>
      <c r="I483" s="94"/>
    </row>
    <row r="484" spans="1:9" ht="12.75" customHeight="1" x14ac:dyDescent="0.3">
      <c r="A484" s="156">
        <v>38113</v>
      </c>
      <c r="B484" s="171"/>
      <c r="C484" s="52">
        <v>9.8249999999999993</v>
      </c>
      <c r="D484" s="52">
        <f>F484+0.01</f>
        <v>9.8758999999999997</v>
      </c>
      <c r="E484" s="52">
        <f>F484-0.01</f>
        <v>9.8559000000000001</v>
      </c>
      <c r="F484" s="52">
        <v>9.8658999999999999</v>
      </c>
      <c r="G484" s="15"/>
      <c r="H484" s="16">
        <v>10.3</v>
      </c>
      <c r="I484" s="94"/>
    </row>
    <row r="485" spans="1:9" ht="12.75" customHeight="1" x14ac:dyDescent="0.3">
      <c r="A485" s="152">
        <v>38204</v>
      </c>
      <c r="B485" s="168"/>
      <c r="C485" s="75">
        <f>C484</f>
        <v>9.8249999999999993</v>
      </c>
      <c r="D485" s="75">
        <f>F485+0.01</f>
        <v>9.9613999999999994</v>
      </c>
      <c r="E485" s="75">
        <f>F485-0.01</f>
        <v>9.9413999999999998</v>
      </c>
      <c r="F485" s="75">
        <v>9.9513999999999996</v>
      </c>
      <c r="G485" s="4"/>
      <c r="H485" s="5">
        <v>10.3</v>
      </c>
      <c r="I485" s="94"/>
    </row>
    <row r="486" spans="1:9" ht="12.75" customHeight="1" x14ac:dyDescent="0.3">
      <c r="A486" s="67" t="s">
        <v>69</v>
      </c>
      <c r="B486" s="66"/>
      <c r="C486" s="38"/>
      <c r="D486" s="38"/>
      <c r="E486" s="38"/>
      <c r="F486" s="74"/>
      <c r="G486" s="38"/>
      <c r="H486" s="9"/>
      <c r="I486" s="94"/>
    </row>
    <row r="487" spans="1:9" ht="12.75" customHeight="1" x14ac:dyDescent="0.3">
      <c r="A487" s="156">
        <v>38113</v>
      </c>
      <c r="B487" s="171"/>
      <c r="C487" s="52">
        <v>9.7550000000000008</v>
      </c>
      <c r="D487" s="52">
        <f>F487+0.01</f>
        <v>9.7929999999999993</v>
      </c>
      <c r="E487" s="52">
        <f>F487-0.01</f>
        <v>9.7729999999999997</v>
      </c>
      <c r="F487" s="52">
        <v>9.7829999999999995</v>
      </c>
      <c r="G487" s="15"/>
      <c r="H487" s="16">
        <v>10.95</v>
      </c>
      <c r="I487" s="94"/>
    </row>
    <row r="488" spans="1:9" ht="12.75" customHeight="1" x14ac:dyDescent="0.3">
      <c r="A488" s="152">
        <v>38204</v>
      </c>
      <c r="B488" s="168"/>
      <c r="C488" s="75">
        <f>C487</f>
        <v>9.7550000000000008</v>
      </c>
      <c r="D488" s="75">
        <f>F488+0.01</f>
        <v>9.8491</v>
      </c>
      <c r="E488" s="75">
        <f>F488-0.01</f>
        <v>9.8291000000000004</v>
      </c>
      <c r="F488" s="75">
        <v>9.8391000000000002</v>
      </c>
      <c r="G488" s="4"/>
      <c r="H488" s="5">
        <v>10.95</v>
      </c>
      <c r="I488" s="94"/>
    </row>
    <row r="489" spans="1:9" ht="12.75" customHeight="1" x14ac:dyDescent="0.3">
      <c r="A489" s="67" t="s">
        <v>70</v>
      </c>
      <c r="B489" s="66"/>
      <c r="C489" s="104"/>
      <c r="D489" s="38"/>
      <c r="E489" s="38"/>
      <c r="F489" s="74"/>
      <c r="G489" s="38"/>
      <c r="H489" s="9"/>
      <c r="I489" s="22"/>
    </row>
    <row r="490" spans="1:9" ht="12.75" customHeight="1" x14ac:dyDescent="0.3">
      <c r="A490" s="150">
        <v>38113</v>
      </c>
      <c r="B490" s="172"/>
      <c r="C490" s="123">
        <v>8.9749999999999996</v>
      </c>
      <c r="D490" s="123">
        <f>F490+0.01</f>
        <v>8.9969999999999999</v>
      </c>
      <c r="E490" s="123">
        <f>F490-0.01</f>
        <v>8.9770000000000003</v>
      </c>
      <c r="F490" s="123">
        <v>8.9870000000000001</v>
      </c>
      <c r="G490" s="2"/>
      <c r="H490" s="3">
        <v>13.25</v>
      </c>
      <c r="I490" s="119"/>
    </row>
    <row r="491" spans="1:9" ht="12.75" customHeight="1" x14ac:dyDescent="0.3">
      <c r="A491" s="152">
        <v>38204</v>
      </c>
      <c r="B491" s="168"/>
      <c r="C491" s="75">
        <f>C490</f>
        <v>8.9749999999999996</v>
      </c>
      <c r="D491" s="75">
        <f>F491+0.01</f>
        <v>9.0145</v>
      </c>
      <c r="E491" s="75">
        <f>F491-0.01</f>
        <v>8.9945000000000004</v>
      </c>
      <c r="F491" s="75">
        <v>9.0045000000000002</v>
      </c>
      <c r="G491" s="4"/>
      <c r="H491" s="5">
        <v>13.25</v>
      </c>
      <c r="I491" s="119"/>
    </row>
    <row r="492" spans="1:9" ht="12.75" customHeight="1" x14ac:dyDescent="0.3">
      <c r="A492" s="173" t="s">
        <v>71</v>
      </c>
      <c r="B492" s="174"/>
      <c r="C492" s="78"/>
      <c r="D492" s="78"/>
      <c r="E492" s="78"/>
      <c r="F492" s="78"/>
      <c r="G492" s="79"/>
      <c r="H492" s="35"/>
      <c r="I492" s="22"/>
    </row>
    <row r="493" spans="1:9" ht="12.75" customHeight="1" x14ac:dyDescent="0.3">
      <c r="A493" s="156">
        <v>38113</v>
      </c>
      <c r="B493" s="171"/>
      <c r="C493" s="96">
        <v>183.82900000000001</v>
      </c>
      <c r="D493" s="96">
        <f>F493-0.06</f>
        <v>185.11699999999999</v>
      </c>
      <c r="E493" s="96">
        <f>F493+0.06</f>
        <v>185.23699999999999</v>
      </c>
      <c r="F493" s="96">
        <v>185.17699999999999</v>
      </c>
      <c r="G493" s="15"/>
      <c r="H493" s="16">
        <v>8.65</v>
      </c>
      <c r="I493" s="22"/>
    </row>
    <row r="494" spans="1:9" ht="12.75" customHeight="1" thickBot="1" x14ac:dyDescent="0.35">
      <c r="A494" s="169">
        <v>38204</v>
      </c>
      <c r="B494" s="170"/>
      <c r="C494" s="71">
        <f>C493</f>
        <v>183.82900000000001</v>
      </c>
      <c r="D494" s="71">
        <f>F494-0.06</f>
        <v>188.91399999999999</v>
      </c>
      <c r="E494" s="71">
        <f>F494+0.06</f>
        <v>189.03399999999999</v>
      </c>
      <c r="F494" s="71">
        <v>188.97399999999999</v>
      </c>
      <c r="G494" s="57"/>
      <c r="H494" s="14">
        <v>8.65</v>
      </c>
      <c r="I494" s="22"/>
    </row>
    <row r="495" spans="1:9" ht="12.75" customHeight="1" x14ac:dyDescent="0.3">
      <c r="A495" s="58" t="s">
        <v>10</v>
      </c>
      <c r="B495" s="26"/>
      <c r="C495" s="26"/>
      <c r="D495" s="18"/>
      <c r="E495" s="115">
        <v>7.4499999999999997E-2</v>
      </c>
      <c r="F495" s="59" t="s">
        <v>9</v>
      </c>
      <c r="G495" s="8"/>
      <c r="H495" s="11"/>
    </row>
    <row r="496" spans="1:9" ht="12.75" customHeight="1" thickBot="1" x14ac:dyDescent="0.35">
      <c r="A496" s="60" t="s">
        <v>11</v>
      </c>
      <c r="B496" s="61"/>
      <c r="C496" s="61"/>
      <c r="D496" s="101"/>
      <c r="E496" s="102">
        <v>7.5800000000000006E-2</v>
      </c>
      <c r="F496" s="103" t="s">
        <v>9</v>
      </c>
      <c r="G496" s="61"/>
      <c r="H496" s="62"/>
    </row>
    <row r="497" spans="1:8" ht="12.75" customHeight="1" x14ac:dyDescent="0.3">
      <c r="A497" s="26"/>
      <c r="B497" s="26"/>
      <c r="C497" s="26"/>
      <c r="D497" s="20"/>
      <c r="E497" s="19"/>
      <c r="F497" s="26"/>
      <c r="G497" s="26"/>
      <c r="H497" s="26"/>
    </row>
    <row r="498" spans="1:8" ht="12.75" customHeight="1" x14ac:dyDescent="0.3">
      <c r="A498" s="26"/>
      <c r="B498" s="26"/>
      <c r="C498" s="26"/>
      <c r="D498" s="20"/>
      <c r="E498" s="19"/>
      <c r="F498" s="26"/>
      <c r="G498" s="26"/>
      <c r="H498" s="26"/>
    </row>
    <row r="499" spans="1:8" ht="12.75" customHeight="1" x14ac:dyDescent="0.3">
      <c r="A499" s="26"/>
      <c r="B499" s="26"/>
      <c r="C499" s="26"/>
      <c r="D499" s="20"/>
      <c r="E499" s="19"/>
      <c r="F499" s="26"/>
      <c r="G499" s="26"/>
      <c r="H499" s="26"/>
    </row>
    <row r="500" spans="1:8" ht="12.75" customHeight="1" x14ac:dyDescent="0.3">
      <c r="A500" s="26"/>
      <c r="B500" s="26"/>
      <c r="C500" s="26"/>
      <c r="D500" s="20"/>
      <c r="E500" s="19"/>
      <c r="F500" s="26"/>
      <c r="G500" s="26"/>
      <c r="H500" s="26"/>
    </row>
    <row r="501" spans="1:8" ht="12.75" customHeight="1" x14ac:dyDescent="0.3">
      <c r="A501" s="26"/>
      <c r="B501" s="26"/>
      <c r="C501" s="26"/>
      <c r="D501" s="20"/>
      <c r="E501" s="19"/>
      <c r="F501" s="26"/>
      <c r="G501" s="26"/>
      <c r="H501" s="26"/>
    </row>
    <row r="502" spans="1:8" ht="12.75" customHeight="1" x14ac:dyDescent="0.3">
      <c r="A502" s="80"/>
      <c r="B502" s="81"/>
      <c r="C502" s="13"/>
      <c r="D502" s="13"/>
      <c r="E502" s="13"/>
      <c r="F502" s="82"/>
      <c r="G502" s="13"/>
      <c r="H502" s="13"/>
    </row>
    <row r="503" spans="1:8" ht="12.75" customHeight="1" x14ac:dyDescent="0.3">
      <c r="A503" s="178"/>
      <c r="B503" s="179"/>
      <c r="C503" s="12"/>
      <c r="D503" s="12"/>
      <c r="E503" s="12"/>
      <c r="F503" s="12"/>
      <c r="G503" s="13"/>
      <c r="H503" s="13"/>
    </row>
    <row r="504" spans="1:8" ht="12.75" customHeight="1" x14ac:dyDescent="0.3">
      <c r="A504" s="83"/>
      <c r="B504" s="84"/>
      <c r="C504" s="12"/>
      <c r="D504" s="12"/>
      <c r="E504" s="12"/>
      <c r="F504" s="12"/>
      <c r="G504" s="13"/>
      <c r="H504" s="13"/>
    </row>
    <row r="505" spans="1:8" ht="12.75" customHeight="1" x14ac:dyDescent="0.3">
      <c r="A505" s="81"/>
      <c r="B505" s="84"/>
      <c r="C505" s="12"/>
      <c r="D505" s="12"/>
      <c r="E505" s="12"/>
      <c r="F505" s="12"/>
      <c r="G505" s="13"/>
      <c r="H505" s="13"/>
    </row>
    <row r="506" spans="1:8" ht="12.75" customHeight="1" x14ac:dyDescent="0.3">
      <c r="A506" s="178"/>
      <c r="B506" s="179"/>
      <c r="C506" s="12"/>
      <c r="D506" s="12"/>
      <c r="E506" s="12"/>
      <c r="F506" s="12"/>
      <c r="G506" s="13"/>
      <c r="H506" s="13"/>
    </row>
    <row r="507" spans="1:8" ht="12.75" customHeight="1" x14ac:dyDescent="0.3">
      <c r="A507" s="91"/>
      <c r="B507" s="84"/>
      <c r="C507" s="21"/>
      <c r="D507" s="21"/>
      <c r="E507" s="21"/>
      <c r="F507" s="21"/>
      <c r="G507" s="13"/>
      <c r="H507" s="13"/>
    </row>
    <row r="508" spans="1:8" ht="12.75" customHeight="1" x14ac:dyDescent="0.3">
      <c r="A508" s="91"/>
      <c r="B508" s="84"/>
      <c r="C508" s="21"/>
      <c r="D508" s="21"/>
      <c r="E508" s="21"/>
      <c r="F508" s="21"/>
      <c r="G508" s="13"/>
      <c r="H508" s="13"/>
    </row>
    <row r="509" spans="1:8" ht="12.75" customHeight="1" x14ac:dyDescent="0.25">
      <c r="A509" s="22"/>
      <c r="B509" s="22"/>
      <c r="C509" s="22"/>
      <c r="D509" s="22"/>
      <c r="E509" s="22"/>
      <c r="F509" s="22"/>
      <c r="G509" s="22"/>
      <c r="H509" s="22"/>
    </row>
    <row r="510" spans="1:8" ht="12.75" customHeight="1" x14ac:dyDescent="0.25">
      <c r="A510" s="22"/>
      <c r="B510" s="22"/>
      <c r="C510" s="22"/>
      <c r="D510" s="22"/>
      <c r="E510" s="22"/>
      <c r="F510" s="22"/>
      <c r="G510" s="22"/>
      <c r="H510" s="22"/>
    </row>
    <row r="511" spans="1:8" ht="12.75" customHeight="1" x14ac:dyDescent="0.3">
      <c r="A511" s="26"/>
      <c r="B511" s="26"/>
      <c r="C511" s="26"/>
      <c r="D511" s="18"/>
      <c r="E511" s="19"/>
      <c r="F511" s="22"/>
      <c r="G511" s="22"/>
      <c r="H511" s="22"/>
    </row>
    <row r="512" spans="1:8" ht="12.75" customHeight="1" x14ac:dyDescent="0.25">
      <c r="A512" s="22"/>
      <c r="B512" s="22"/>
      <c r="C512" s="22"/>
      <c r="D512" s="22"/>
      <c r="E512" s="23"/>
      <c r="F512" s="22"/>
      <c r="G512" s="22"/>
      <c r="H512" s="22"/>
    </row>
    <row r="513" spans="1:8" ht="12.75" customHeight="1" x14ac:dyDescent="0.3">
      <c r="A513" s="26"/>
      <c r="B513" s="26"/>
      <c r="C513" s="26"/>
      <c r="D513" s="18"/>
      <c r="E513" s="24"/>
      <c r="F513" s="22"/>
      <c r="G513" s="22"/>
      <c r="H513" s="22"/>
    </row>
    <row r="515" spans="1:8" ht="12.75" customHeight="1" x14ac:dyDescent="0.3">
      <c r="A515" s="26"/>
      <c r="D515" s="25"/>
    </row>
    <row r="517" spans="1:8" ht="12.75" customHeight="1" x14ac:dyDescent="0.3">
      <c r="A517" s="26"/>
    </row>
    <row r="518" spans="1:8" ht="12.75" customHeight="1" x14ac:dyDescent="0.3">
      <c r="A518" s="26"/>
    </row>
    <row r="519" spans="1:8" ht="12.75" customHeight="1" x14ac:dyDescent="0.3">
      <c r="A519" s="26"/>
    </row>
  </sheetData>
  <mergeCells count="422">
    <mergeCell ref="A342:B342"/>
    <mergeCell ref="A417:B417"/>
    <mergeCell ref="A420:B420"/>
    <mergeCell ref="A385:B385"/>
    <mergeCell ref="A388:B388"/>
    <mergeCell ref="A393:B393"/>
    <mergeCell ref="A396:B396"/>
    <mergeCell ref="A398:B398"/>
    <mergeCell ref="A392:B392"/>
    <mergeCell ref="A348:B348"/>
    <mergeCell ref="A384:B384"/>
    <mergeCell ref="A375:B375"/>
    <mergeCell ref="A366:B366"/>
    <mergeCell ref="A369:B369"/>
    <mergeCell ref="A397:B397"/>
    <mergeCell ref="A315:B315"/>
    <mergeCell ref="A319:B319"/>
    <mergeCell ref="A313:B313"/>
    <mergeCell ref="A317:B317"/>
    <mergeCell ref="A314:B314"/>
    <mergeCell ref="A399:B399"/>
    <mergeCell ref="A343:B343"/>
    <mergeCell ref="A346:B346"/>
    <mergeCell ref="A349:B349"/>
    <mergeCell ref="A347:B347"/>
    <mergeCell ref="A301:B301"/>
    <mergeCell ref="A308:B308"/>
    <mergeCell ref="A312:B312"/>
    <mergeCell ref="A310:B310"/>
    <mergeCell ref="A306:B306"/>
    <mergeCell ref="A311:B311"/>
    <mergeCell ref="A307:B307"/>
    <mergeCell ref="A286:B286"/>
    <mergeCell ref="A291:B291"/>
    <mergeCell ref="A294:B294"/>
    <mergeCell ref="A293:B293"/>
    <mergeCell ref="A290:B290"/>
    <mergeCell ref="A289:B289"/>
    <mergeCell ref="A288:B288"/>
    <mergeCell ref="A292:B292"/>
    <mergeCell ref="A217:B217"/>
    <mergeCell ref="A243:B243"/>
    <mergeCell ref="A246:B246"/>
    <mergeCell ref="A241:B241"/>
    <mergeCell ref="A242:B242"/>
    <mergeCell ref="A244:B244"/>
    <mergeCell ref="A245:B245"/>
    <mergeCell ref="A237:B237"/>
    <mergeCell ref="A240:B240"/>
    <mergeCell ref="A238:B238"/>
    <mergeCell ref="A236:B236"/>
    <mergeCell ref="A216:B216"/>
    <mergeCell ref="A219:B219"/>
    <mergeCell ref="A222:B222"/>
    <mergeCell ref="A221:B221"/>
    <mergeCell ref="A218:B218"/>
    <mergeCell ref="A220:B220"/>
    <mergeCell ref="A224:B224"/>
    <mergeCell ref="A235:B235"/>
    <mergeCell ref="A233:B233"/>
    <mergeCell ref="A225:B225"/>
    <mergeCell ref="A228:B228"/>
    <mergeCell ref="A231:B231"/>
    <mergeCell ref="A234:B234"/>
    <mergeCell ref="A230:B230"/>
    <mergeCell ref="A227:B227"/>
    <mergeCell ref="A229:B229"/>
    <mergeCell ref="A176:B176"/>
    <mergeCell ref="A182:B182"/>
    <mergeCell ref="A188:B188"/>
    <mergeCell ref="A191:B191"/>
    <mergeCell ref="A181:B181"/>
    <mergeCell ref="A189:B189"/>
    <mergeCell ref="A187:B187"/>
    <mergeCell ref="A185:B185"/>
    <mergeCell ref="A145:B145"/>
    <mergeCell ref="A148:B148"/>
    <mergeCell ref="A151:B151"/>
    <mergeCell ref="A154:B154"/>
    <mergeCell ref="A147:B147"/>
    <mergeCell ref="A149:B149"/>
    <mergeCell ref="A150:B150"/>
    <mergeCell ref="A153:B153"/>
    <mergeCell ref="A116:B116"/>
    <mergeCell ref="A136:B136"/>
    <mergeCell ref="A125:B125"/>
    <mergeCell ref="A128:B128"/>
    <mergeCell ref="A139:B139"/>
    <mergeCell ref="A142:B142"/>
    <mergeCell ref="A133:B133"/>
    <mergeCell ref="A138:B138"/>
    <mergeCell ref="A135:B135"/>
    <mergeCell ref="A137:B137"/>
    <mergeCell ref="A92:B92"/>
    <mergeCell ref="A95:B95"/>
    <mergeCell ref="A98:B98"/>
    <mergeCell ref="A101:B101"/>
    <mergeCell ref="A100:B100"/>
    <mergeCell ref="A99:B99"/>
    <mergeCell ref="A93:B93"/>
    <mergeCell ref="A96:B96"/>
    <mergeCell ref="A94:B94"/>
    <mergeCell ref="A97:B97"/>
    <mergeCell ref="A75:B75"/>
    <mergeCell ref="A78:B78"/>
    <mergeCell ref="A81:B81"/>
    <mergeCell ref="A79:B79"/>
    <mergeCell ref="A77:B77"/>
    <mergeCell ref="A80:B80"/>
    <mergeCell ref="A66:B66"/>
    <mergeCell ref="A60:B60"/>
    <mergeCell ref="A61:B61"/>
    <mergeCell ref="A74:B74"/>
    <mergeCell ref="A73:B73"/>
    <mergeCell ref="A67:B67"/>
    <mergeCell ref="A70:B70"/>
    <mergeCell ref="A69:B69"/>
    <mergeCell ref="A72:B72"/>
    <mergeCell ref="A35:B35"/>
    <mergeCell ref="A33:B33"/>
    <mergeCell ref="A28:B28"/>
    <mergeCell ref="A29:B29"/>
    <mergeCell ref="A32:B32"/>
    <mergeCell ref="A34:B34"/>
    <mergeCell ref="A46:B46"/>
    <mergeCell ref="A49:B49"/>
    <mergeCell ref="A48:B48"/>
    <mergeCell ref="A59:B59"/>
    <mergeCell ref="A51:B51"/>
    <mergeCell ref="A58:B58"/>
    <mergeCell ref="A52:B52"/>
    <mergeCell ref="A54:B54"/>
    <mergeCell ref="A57:B57"/>
    <mergeCell ref="A55:B55"/>
    <mergeCell ref="A255:B255"/>
    <mergeCell ref="A258:B258"/>
    <mergeCell ref="A263:B263"/>
    <mergeCell ref="A47:B47"/>
    <mergeCell ref="A50:B50"/>
    <mergeCell ref="A62:B62"/>
    <mergeCell ref="A68:B68"/>
    <mergeCell ref="A71:B71"/>
    <mergeCell ref="A83:B83"/>
    <mergeCell ref="A76:B76"/>
    <mergeCell ref="A272:B272"/>
    <mergeCell ref="A274:B274"/>
    <mergeCell ref="A269:B269"/>
    <mergeCell ref="A251:B251"/>
    <mergeCell ref="A265:B265"/>
    <mergeCell ref="A256:B256"/>
    <mergeCell ref="A254:B254"/>
    <mergeCell ref="A262:B262"/>
    <mergeCell ref="A253:B253"/>
    <mergeCell ref="A252:B252"/>
    <mergeCell ref="A273:B273"/>
    <mergeCell ref="A275:B275"/>
    <mergeCell ref="A282:B282"/>
    <mergeCell ref="A296:B296"/>
    <mergeCell ref="A299:B299"/>
    <mergeCell ref="A302:B302"/>
    <mergeCell ref="A283:B283"/>
    <mergeCell ref="A285:B285"/>
    <mergeCell ref="A298:B298"/>
    <mergeCell ref="A295:B295"/>
    <mergeCell ref="A304:B304"/>
    <mergeCell ref="A318:B318"/>
    <mergeCell ref="A341:B341"/>
    <mergeCell ref="A330:B330"/>
    <mergeCell ref="A333:B333"/>
    <mergeCell ref="A332:B332"/>
    <mergeCell ref="A336:B336"/>
    <mergeCell ref="A339:B339"/>
    <mergeCell ref="A337:B337"/>
    <mergeCell ref="A305:B305"/>
    <mergeCell ref="A370:B370"/>
    <mergeCell ref="A368:B368"/>
    <mergeCell ref="A340:B340"/>
    <mergeCell ref="A357:B357"/>
    <mergeCell ref="A352:B352"/>
    <mergeCell ref="A355:B355"/>
    <mergeCell ref="A358:B358"/>
    <mergeCell ref="A367:B367"/>
    <mergeCell ref="A365:B365"/>
    <mergeCell ref="A353:B353"/>
    <mergeCell ref="A331:B331"/>
    <mergeCell ref="A334:B334"/>
    <mergeCell ref="A326:B326"/>
    <mergeCell ref="A329:B329"/>
    <mergeCell ref="A327:B327"/>
    <mergeCell ref="A322:B322"/>
    <mergeCell ref="A300:B300"/>
    <mergeCell ref="A303:B303"/>
    <mergeCell ref="A363:B363"/>
    <mergeCell ref="A316:B316"/>
    <mergeCell ref="A356:B356"/>
    <mergeCell ref="A351:B351"/>
    <mergeCell ref="A361:B361"/>
    <mergeCell ref="A345:B345"/>
    <mergeCell ref="A320:B320"/>
    <mergeCell ref="A328:B328"/>
    <mergeCell ref="A103:B103"/>
    <mergeCell ref="A106:B106"/>
    <mergeCell ref="A112:B112"/>
    <mergeCell ref="A132:B132"/>
    <mergeCell ref="A118:B118"/>
    <mergeCell ref="A105:B105"/>
    <mergeCell ref="A111:B111"/>
    <mergeCell ref="A117:B117"/>
    <mergeCell ref="A108:B108"/>
    <mergeCell ref="A107:B107"/>
    <mergeCell ref="A109:B109"/>
    <mergeCell ref="A115:B115"/>
    <mergeCell ref="A114:B114"/>
    <mergeCell ref="A152:B152"/>
    <mergeCell ref="A127:B127"/>
    <mergeCell ref="A141:B141"/>
    <mergeCell ref="A119:B119"/>
    <mergeCell ref="A122:B122"/>
    <mergeCell ref="A110:B110"/>
    <mergeCell ref="A113:B113"/>
    <mergeCell ref="A8:B8"/>
    <mergeCell ref="A9:B9"/>
    <mergeCell ref="A91:B91"/>
    <mergeCell ref="A82:B82"/>
    <mergeCell ref="A87:B87"/>
    <mergeCell ref="A90:B90"/>
    <mergeCell ref="A86:B86"/>
    <mergeCell ref="A89:B89"/>
    <mergeCell ref="A84:B84"/>
    <mergeCell ref="A85:B85"/>
    <mergeCell ref="A13:B13"/>
    <mergeCell ref="A11:B11"/>
    <mergeCell ref="A20:B20"/>
    <mergeCell ref="A10:B10"/>
    <mergeCell ref="A14:B14"/>
    <mergeCell ref="A16:B16"/>
    <mergeCell ref="A19:B19"/>
    <mergeCell ref="G1:H1"/>
    <mergeCell ref="A6:B6"/>
    <mergeCell ref="A4:B4"/>
    <mergeCell ref="A3:B3"/>
    <mergeCell ref="A5:B5"/>
    <mergeCell ref="A7:B7"/>
    <mergeCell ref="A15:B15"/>
    <mergeCell ref="A18:B18"/>
    <mergeCell ref="A25:B25"/>
    <mergeCell ref="A31:B31"/>
    <mergeCell ref="A26:B26"/>
    <mergeCell ref="A27:B27"/>
    <mergeCell ref="A30:B30"/>
    <mergeCell ref="A40:B40"/>
    <mergeCell ref="A43:B43"/>
    <mergeCell ref="A37:B37"/>
    <mergeCell ref="A41:B41"/>
    <mergeCell ref="A38:B38"/>
    <mergeCell ref="A39:B39"/>
    <mergeCell ref="A45:B45"/>
    <mergeCell ref="A12:B12"/>
    <mergeCell ref="A17:B17"/>
    <mergeCell ref="A44:B44"/>
    <mergeCell ref="A36:B36"/>
    <mergeCell ref="A42:B42"/>
    <mergeCell ref="A21:B21"/>
    <mergeCell ref="A24:B24"/>
    <mergeCell ref="A23:B23"/>
    <mergeCell ref="A22:B22"/>
    <mergeCell ref="A53:B53"/>
    <mergeCell ref="A56:B56"/>
    <mergeCell ref="A102:B102"/>
    <mergeCell ref="A124:B124"/>
    <mergeCell ref="A144:B144"/>
    <mergeCell ref="A158:B158"/>
    <mergeCell ref="A121:B121"/>
    <mergeCell ref="A88:B88"/>
    <mergeCell ref="A104:B104"/>
    <mergeCell ref="A156:B156"/>
    <mergeCell ref="A506:B506"/>
    <mergeCell ref="A503:B503"/>
    <mergeCell ref="A394:B394"/>
    <mergeCell ref="A386:B386"/>
    <mergeCell ref="A403:B403"/>
    <mergeCell ref="A458:B458"/>
    <mergeCell ref="A493:B493"/>
    <mergeCell ref="A395:B395"/>
    <mergeCell ref="A478:B478"/>
    <mergeCell ref="A471:B471"/>
    <mergeCell ref="A401:B401"/>
    <mergeCell ref="A404:B404"/>
    <mergeCell ref="A407:B407"/>
    <mergeCell ref="A371:B371"/>
    <mergeCell ref="A377:B377"/>
    <mergeCell ref="A372:B372"/>
    <mergeCell ref="A378:B378"/>
    <mergeCell ref="A381:B381"/>
    <mergeCell ref="A374:B374"/>
    <mergeCell ref="A373:B373"/>
    <mergeCell ref="A192:B192"/>
    <mergeCell ref="A214:B214"/>
    <mergeCell ref="A190:B190"/>
    <mergeCell ref="A210:B210"/>
    <mergeCell ref="A194:B194"/>
    <mergeCell ref="A211:B211"/>
    <mergeCell ref="A193:B193"/>
    <mergeCell ref="A197:B197"/>
    <mergeCell ref="A202:B202"/>
    <mergeCell ref="A212:B212"/>
    <mergeCell ref="A232:B232"/>
    <mergeCell ref="A350:B350"/>
    <mergeCell ref="A309:B309"/>
    <mergeCell ref="A321:B321"/>
    <mergeCell ref="A239:B239"/>
    <mergeCell ref="A247:B247"/>
    <mergeCell ref="A248:B248"/>
    <mergeCell ref="A281:B281"/>
    <mergeCell ref="A284:B284"/>
    <mergeCell ref="A287:B287"/>
    <mergeCell ref="A360:B360"/>
    <mergeCell ref="A402:B402"/>
    <mergeCell ref="A472:B472"/>
    <mergeCell ref="A474:B474"/>
    <mergeCell ref="A477:B477"/>
    <mergeCell ref="A475:B475"/>
    <mergeCell ref="A400:B400"/>
    <mergeCell ref="A411:B411"/>
    <mergeCell ref="A413:B413"/>
    <mergeCell ref="A459:B459"/>
    <mergeCell ref="A415:B415"/>
    <mergeCell ref="A460:B460"/>
    <mergeCell ref="A468:B468"/>
    <mergeCell ref="A364:B364"/>
    <mergeCell ref="A354:B354"/>
    <mergeCell ref="A362:B362"/>
    <mergeCell ref="A457:B457"/>
    <mergeCell ref="A418:B418"/>
    <mergeCell ref="A416:B416"/>
    <mergeCell ref="A359:B359"/>
    <mergeCell ref="A487:B487"/>
    <mergeCell ref="A484:B484"/>
    <mergeCell ref="A480:B480"/>
    <mergeCell ref="A387:B387"/>
    <mergeCell ref="A376:B376"/>
    <mergeCell ref="A391:B391"/>
    <mergeCell ref="A383:B383"/>
    <mergeCell ref="A379:B379"/>
    <mergeCell ref="A380:B380"/>
    <mergeCell ref="A382:B382"/>
    <mergeCell ref="A406:B406"/>
    <mergeCell ref="A409:B409"/>
    <mergeCell ref="A494:B494"/>
    <mergeCell ref="A481:B481"/>
    <mergeCell ref="A485:B485"/>
    <mergeCell ref="A488:B488"/>
    <mergeCell ref="A490:B490"/>
    <mergeCell ref="A492:B492"/>
    <mergeCell ref="A482:B482"/>
    <mergeCell ref="A491:B491"/>
    <mergeCell ref="A226:B226"/>
    <mergeCell ref="A278:B278"/>
    <mergeCell ref="A469:B469"/>
    <mergeCell ref="A461:B461"/>
    <mergeCell ref="A419:B419"/>
    <mergeCell ref="A405:B405"/>
    <mergeCell ref="A408:B408"/>
    <mergeCell ref="A414:B414"/>
    <mergeCell ref="A410:B410"/>
    <mergeCell ref="A412:B412"/>
    <mergeCell ref="A297:B297"/>
    <mergeCell ref="A261:B261"/>
    <mergeCell ref="A270:B270"/>
    <mergeCell ref="A267:B267"/>
    <mergeCell ref="A268:B268"/>
    <mergeCell ref="A266:B266"/>
    <mergeCell ref="A277:B277"/>
    <mergeCell ref="A280:B280"/>
    <mergeCell ref="A279:B279"/>
    <mergeCell ref="A276:B276"/>
    <mergeCell ref="A201:B201"/>
    <mergeCell ref="A204:B204"/>
    <mergeCell ref="A207:B207"/>
    <mergeCell ref="A200:B200"/>
    <mergeCell ref="A203:B203"/>
    <mergeCell ref="A199:B199"/>
    <mergeCell ref="A213:B213"/>
    <mergeCell ref="A215:B215"/>
    <mergeCell ref="A172:B172"/>
    <mergeCell ref="A161:B161"/>
    <mergeCell ref="A162:B162"/>
    <mergeCell ref="A163:B163"/>
    <mergeCell ref="A169:B169"/>
    <mergeCell ref="A168:B168"/>
    <mergeCell ref="A166:B166"/>
    <mergeCell ref="A198:B198"/>
    <mergeCell ref="A155:B155"/>
    <mergeCell ref="A186:B186"/>
    <mergeCell ref="A249:B249"/>
    <mergeCell ref="A271:B271"/>
    <mergeCell ref="A257:B257"/>
    <mergeCell ref="A264:B264"/>
    <mergeCell ref="A250:B250"/>
    <mergeCell ref="A171:B171"/>
    <mergeCell ref="A180:B180"/>
    <mergeCell ref="A196:B196"/>
    <mergeCell ref="A157:B157"/>
    <mergeCell ref="A160:B160"/>
    <mergeCell ref="A175:B175"/>
    <mergeCell ref="A177:B177"/>
    <mergeCell ref="A159:B159"/>
    <mergeCell ref="A165:B165"/>
    <mergeCell ref="A167:B167"/>
    <mergeCell ref="A174:B174"/>
    <mergeCell ref="A170:B170"/>
    <mergeCell ref="A173:B173"/>
    <mergeCell ref="G456:H456"/>
    <mergeCell ref="A178:B178"/>
    <mergeCell ref="A179:B179"/>
    <mergeCell ref="A183:B183"/>
    <mergeCell ref="A184:B184"/>
    <mergeCell ref="A209:B209"/>
    <mergeCell ref="A208:B208"/>
    <mergeCell ref="A206:B206"/>
    <mergeCell ref="A205:B205"/>
    <mergeCell ref="A223:B223"/>
  </mergeCells>
  <pageMargins left="0.43307086614173229" right="0.43307086614173229" top="0.19685039370078741" bottom="0.23622047244094491" header="0.27559055118110237" footer="0"/>
  <pageSetup paperSize="9" orientation="portrait" horizontalDpi="300" verticalDpi="300" r:id="rId1"/>
  <headerFooter alignWithMargins="0">
    <oddFooter>&amp;C&amp;"Times New Roman,Regular"JSE FINANCIAL DERIVATIVES CLOSING PRICES 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Jerry</vt:lpstr>
      <vt:lpstr>Jerry!Print_Area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CLOSING PRICES</dc:title>
  <dc:creator>ANTHONY</dc:creator>
  <cp:lastModifiedBy>Carina Negreanu</cp:lastModifiedBy>
  <cp:lastPrinted>2004-03-31T15:14:41Z</cp:lastPrinted>
  <dcterms:created xsi:type="dcterms:W3CDTF">1997-08-29T10:04:45Z</dcterms:created>
  <dcterms:modified xsi:type="dcterms:W3CDTF">2020-01-27T11:52:47Z</dcterms:modified>
</cp:coreProperties>
</file>