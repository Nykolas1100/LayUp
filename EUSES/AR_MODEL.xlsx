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278B46-93F0-439B-B0B6-A660EA9A95F6}" xr6:coauthVersionLast="45" xr6:coauthVersionMax="45" xr10:uidLastSave="{00000000-0000-0000-0000-000000000000}"/>
  <bookViews>
    <workbookView xWindow="3420" yWindow="3420" windowWidth="28800" windowHeight="15460" tabRatio="500"/>
  </bookViews>
  <sheets>
    <sheet name="Introduction" sheetId="1" r:id="rId1"/>
    <sheet name="Results Chart" sheetId="2" r:id="rId2"/>
    <sheet name="imperfect substutes model" sheetId="3" r:id="rId3"/>
    <sheet name="Armington elasticities" sheetId="4" r:id="rId4"/>
  </sheets>
  <definedNames>
    <definedName name="solver_adj" localSheetId="2" hidden="1">'imperfect substutes model'!$H$40:$I$44</definedName>
    <definedName name="solver_cvg" localSheetId="2" hidden="1">0.001</definedName>
    <definedName name="solver_drv" localSheetId="2" hidden="1">1</definedName>
    <definedName name="solver_est" localSheetId="2" hidden="1">1</definedName>
    <definedName name="solver_itr" localSheetId="2" hidden="1">100</definedName>
    <definedName name="solver_lhs1" localSheetId="2" hidden="1">'imperfect substutes model'!$A$40</definedName>
    <definedName name="solver_lhs2" localSheetId="2" hidden="1">'imperfect substutes model'!$A$42</definedName>
    <definedName name="solver_lhs3" localSheetId="2" hidden="1">'imperfect substutes model'!$A$43</definedName>
    <definedName name="solver_lhs4" localSheetId="2" hidden="1">'imperfect substutes model'!$A$44</definedName>
    <definedName name="solver_lhs5" localSheetId="2" hidden="1">'imperfect substutes model'!$C$40</definedName>
    <definedName name="solver_lhs6" localSheetId="2" hidden="1">'imperfect substutes model'!$C$41</definedName>
    <definedName name="solver_lhs7" localSheetId="2" hidden="1">'imperfect substutes model'!$C$42</definedName>
    <definedName name="solver_lhs8" localSheetId="2" hidden="1">'imperfect substutes model'!$C$43</definedName>
    <definedName name="solver_lhs9" localSheetId="2" hidden="1">'imperfect substutes model'!$C$44</definedName>
    <definedName name="solver_lin" localSheetId="2" hidden="1">0</definedName>
    <definedName name="solver_neg" localSheetId="2" hidden="1">2</definedName>
    <definedName name="solver_num" localSheetId="2" hidden="1">9</definedName>
    <definedName name="solver_nwt" localSheetId="2" hidden="1">1</definedName>
    <definedName name="solver_opt" localSheetId="2" hidden="1">'imperfect substutes model'!$A$41</definedName>
    <definedName name="solver_pre" localSheetId="2" hidden="1">0.000001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el8" localSheetId="2" hidden="1">2</definedName>
    <definedName name="solver_rel9" localSheetId="2" hidden="1">2</definedName>
    <definedName name="solver_rhs1" localSheetId="2" hidden="1">0</definedName>
    <definedName name="solver_rhs2" localSheetId="2" hidden="1">0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hs7" localSheetId="2" hidden="1">0</definedName>
    <definedName name="solver_rhs8" localSheetId="2" hidden="1">0</definedName>
    <definedName name="solver_rhs9" localSheetId="2" hidden="1">0</definedName>
    <definedName name="solver_scl" localSheetId="2" hidden="1">2</definedName>
    <definedName name="solver_sho" localSheetId="2" hidden="1">2</definedName>
    <definedName name="solver_tim" localSheetId="2" hidden="1">100</definedName>
    <definedName name="solver_tmp" localSheetId="2" hidden="1">0</definedName>
    <definedName name="solver_tol" localSheetId="2" hidden="1">0.05</definedName>
    <definedName name="solver_typ" localSheetId="2" hidden="1">3</definedName>
    <definedName name="solver_val" localSheetId="2" hidden="1">0</definedName>
  </definedNames>
  <calcPr calcId="0"/>
</workbook>
</file>

<file path=xl/calcChain.xml><?xml version="1.0" encoding="utf-8"?>
<calcChain xmlns="http://schemas.openxmlformats.org/spreadsheetml/2006/main">
  <c r="P4" i="3" l="1"/>
  <c r="P5" i="3"/>
  <c r="P6" i="3"/>
  <c r="B7" i="3"/>
  <c r="P7" i="3"/>
  <c r="P8" i="3"/>
  <c r="P9" i="3"/>
  <c r="P10" i="3"/>
  <c r="A28" i="3"/>
  <c r="A29" i="3"/>
  <c r="G29" i="3"/>
  <c r="A30" i="3"/>
  <c r="G30" i="3"/>
  <c r="A31" i="3"/>
  <c r="G31" i="3"/>
  <c r="A32" i="3"/>
  <c r="G32" i="3"/>
  <c r="A33" i="3"/>
  <c r="G33" i="3"/>
  <c r="A34" i="3"/>
  <c r="A40" i="3"/>
  <c r="C40" i="3"/>
  <c r="A41" i="3"/>
  <c r="C41" i="3"/>
  <c r="A42" i="3"/>
  <c r="C42" i="3"/>
  <c r="A43" i="3"/>
  <c r="C43" i="3"/>
  <c r="A44" i="3"/>
  <c r="C44" i="3"/>
  <c r="N44" i="3"/>
  <c r="G50" i="3"/>
  <c r="H50" i="3"/>
  <c r="I50" i="3"/>
  <c r="G51" i="3"/>
  <c r="H51" i="3"/>
  <c r="I51" i="3"/>
  <c r="G52" i="3"/>
  <c r="H52" i="3"/>
  <c r="I52" i="3"/>
  <c r="H53" i="3"/>
  <c r="I53" i="3"/>
  <c r="I54" i="3"/>
  <c r="I59" i="3"/>
  <c r="I60" i="3"/>
  <c r="I62" i="3"/>
  <c r="I63" i="3"/>
  <c r="I64" i="3"/>
  <c r="I66" i="3"/>
  <c r="I67" i="3"/>
  <c r="I68" i="3"/>
  <c r="I71" i="3"/>
  <c r="I72" i="3"/>
  <c r="I73" i="3"/>
  <c r="B3" i="2"/>
  <c r="C3" i="2"/>
  <c r="B4" i="2"/>
  <c r="C4" i="2"/>
  <c r="B5" i="2"/>
  <c r="C5" i="2"/>
  <c r="B6" i="2"/>
  <c r="C6" i="2"/>
  <c r="B7" i="2"/>
  <c r="C7" i="2"/>
</calcChain>
</file>

<file path=xl/sharedStrings.xml><?xml version="1.0" encoding="utf-8"?>
<sst xmlns="http://schemas.openxmlformats.org/spreadsheetml/2006/main" count="385" uniqueCount="261">
  <si>
    <t>Excel-based non-linear Armington model</t>
  </si>
  <si>
    <t>This notebook presents a simple, 2 import-source Armington model.</t>
  </si>
  <si>
    <t>The model is specified as a non-linear system of equations.  Welfare</t>
  </si>
  <si>
    <t>analytics involve comparison of both the status quo and the counterfactual to</t>
  </si>
  <si>
    <t xml:space="preserve">a free-trade equilibria.  This involves solving a set of non-linear equations </t>
  </si>
  <si>
    <t>(given in cells A39..43 and C39..43) for zero values, where the variables</t>
  </si>
  <si>
    <t xml:space="preserve">in the system are reported in cells H39..43 and I39..43.  </t>
  </si>
  <si>
    <t>The system of equations can be solved using the Excel add-in Solver,</t>
  </si>
  <si>
    <t>with one of the equation cells specified as the target cell, and the others</t>
  </si>
  <si>
    <t>as constraints.  All are to be solved for zero values (as they are excess demand</t>
  </si>
  <si>
    <t>equations).  You may need to adjust the solver options settings (convergence</t>
  </si>
  <si>
    <t>tolerance etc.) if you have trouble obtaining a solution.  Default values for the</t>
  </si>
  <si>
    <t>solver have already been set.  Use the "Calibrate" macro to calibrate the model first.</t>
  </si>
  <si>
    <t>The theory for this spreadsheet is reported in Francois and Hall, "Partial</t>
  </si>
  <si>
    <t>Equilibrium Modeling," Chapter 5 in J.F. Francois and K.A. Reinert, eds.,</t>
  </si>
  <si>
    <r>
      <t>Applied Methods for Trade Policy Analysis</t>
    </r>
    <r>
      <rPr>
        <sz val="12"/>
        <rFont val="Arial"/>
        <family val="2"/>
      </rPr>
      <t xml:space="preserve">:  A Handbook, Cambridge </t>
    </r>
  </si>
  <si>
    <t>University Press, 1997.</t>
  </si>
  <si>
    <t>This spreadsheet was written by Joseph Francois, October 1997, for the Windows95</t>
  </si>
  <si>
    <t>and Office97 versions of Excel.  Modified June 1998.</t>
  </si>
  <si>
    <t>Welfare effects</t>
  </si>
  <si>
    <t>Old regime</t>
  </si>
  <si>
    <t>New Regime</t>
  </si>
  <si>
    <t>welfare triangle</t>
  </si>
  <si>
    <t>terms-of-trade effects</t>
  </si>
  <si>
    <t>quota rent transfers</t>
  </si>
  <si>
    <t>secondary effects</t>
  </si>
  <si>
    <t>Total</t>
  </si>
  <si>
    <t>Inputs</t>
  </si>
  <si>
    <t>Non-linear Armington model</t>
  </si>
  <si>
    <t>note:  use "solver", under the "Tools" menu.  Solver settings have been set.</t>
  </si>
  <si>
    <t>{Optimizer.Reset}</t>
  </si>
  <si>
    <t xml:space="preserve">     Benchmark sales of X1  (i.e. domestic) industry</t>
  </si>
  <si>
    <t>{Optimizer.Solution_Cell A42}</t>
  </si>
  <si>
    <r>
      <t xml:space="preserve">     Benchmark sales of country 2 imports (</t>
    </r>
    <r>
      <rPr>
        <i/>
        <sz val="12"/>
        <color indexed="12"/>
        <rFont val="Tms Rmn"/>
      </rPr>
      <t>targeted by policy change</t>
    </r>
    <r>
      <rPr>
        <sz val="12"/>
        <rFont val="Tms Rmn"/>
      </rPr>
      <t>)</t>
    </r>
  </si>
  <si>
    <t>NOTE: sales at internal prices!</t>
  </si>
  <si>
    <t>{Optimizer.Solution_Goal "Target Value:"}</t>
  </si>
  <si>
    <t xml:space="preserve">     Benchmark sales of country 3 imports</t>
  </si>
  <si>
    <t>{Optimizer.Variable_Cells I39..I43}</t>
  </si>
  <si>
    <t xml:space="preserve">     Benchmark total sales (domestic origin and imported)</t>
  </si>
  <si>
    <t>{Optimizer.Add 1,"A39..A39","=","0"}</t>
  </si>
  <si>
    <t>{Optimizer.Add 2,"A40..A40","=","0"}</t>
  </si>
  <si>
    <t xml:space="preserve">     NA:  Composite elasticity of demand</t>
  </si>
  <si>
    <t>{Optimizer.Add 3,"A41..A41","=","0"}</t>
  </si>
  <si>
    <t xml:space="preserve">     Es1:  Elasticity of domestic supply</t>
  </si>
  <si>
    <t>{Optimizer.Add 4,"A43..A43","=","0"}</t>
  </si>
  <si>
    <t xml:space="preserve">     Es2:  Elasticity of country 2 import supply</t>
  </si>
  <si>
    <t>{Optimizer.Solve}</t>
  </si>
  <si>
    <t xml:space="preserve">     Es3:  Elasticity of country 3 import supply</t>
  </si>
  <si>
    <t xml:space="preserve">s:     </t>
  </si>
  <si>
    <t>Elasticity of substitution</t>
  </si>
  <si>
    <t>{Optimizer.Solution_Cell C42}</t>
  </si>
  <si>
    <t xml:space="preserve">     t2,0:   Initial tariff on country  2 imports</t>
  </si>
  <si>
    <t>{Optimizer.Variable_Cells H39..H43}</t>
  </si>
  <si>
    <t xml:space="preserve">     t3,0:   Initial tariff on country 3 imports</t>
  </si>
  <si>
    <t>{Optimizer.Add 1,"C39..C39","=","0"}</t>
  </si>
  <si>
    <t xml:space="preserve">     t2,1:   Final tariff on country 2 imports</t>
  </si>
  <si>
    <t>{Optimizer.Add 2,"C40..C40","=","0"}</t>
  </si>
  <si>
    <t xml:space="preserve">     t3,1:   Final tariff on country 3 imports</t>
  </si>
  <si>
    <t>{Optimizer.Add 3,"C41..C41","=","0"}</t>
  </si>
  <si>
    <t>{Optimizer.Add 4,"C43..C43","=","0"}</t>
  </si>
  <si>
    <t xml:space="preserve">     w2,0:   Initial export tax/quota price wedge on country 2 imports</t>
  </si>
  <si>
    <t xml:space="preserve">     w3,0:   Initial export tax/quota price wedge on country 3 imports</t>
  </si>
  <si>
    <t>{SelectBlock A1..A1}</t>
  </si>
  <si>
    <t xml:space="preserve"> </t>
  </si>
  <si>
    <t xml:space="preserve">     w2,1:   Final export tax/quota price wedge on country 2 imports</t>
  </si>
  <si>
    <t xml:space="preserve">     w3,1:   Final export tax/quota price wedge on country 3 imports</t>
  </si>
  <si>
    <t>Calibrated values</t>
  </si>
  <si>
    <t>Ks1 : domestic supply constant term</t>
  </si>
  <si>
    <t>P1: calibrated domestic product market</t>
  </si>
  <si>
    <t>Ks2 : country 2 import supply constant term</t>
  </si>
  <si>
    <t>P2: calibrated internal price for good 2</t>
  </si>
  <si>
    <t>Ks3 : country 3 import supply constant term</t>
  </si>
  <si>
    <t>P3: calibrated internal price for good 3</t>
  </si>
  <si>
    <t>KD : composite demand constant term</t>
  </si>
  <si>
    <t>P2*: calibrated country 2 border price</t>
  </si>
  <si>
    <t xml:space="preserve">  w1:</t>
  </si>
  <si>
    <t>CES weight for domestic good</t>
  </si>
  <si>
    <t>P3*: calibrated country 3 border price</t>
  </si>
  <si>
    <t xml:space="preserve">  w2:</t>
  </si>
  <si>
    <t>CES weight for country 2 import</t>
  </si>
  <si>
    <t>PA: calibrated composite good price</t>
  </si>
  <si>
    <t xml:space="preserve">  w3:</t>
  </si>
  <si>
    <t>CES weight for country 3 import</t>
  </si>
  <si>
    <t>Counterfactual solution values</t>
  </si>
  <si>
    <t xml:space="preserve">  counterfactual</t>
  </si>
  <si>
    <t>free-trade in X2</t>
  </si>
  <si>
    <t xml:space="preserve">       internal prices and Y</t>
  </si>
  <si>
    <t xml:space="preserve">  Excess demands</t>
  </si>
  <si>
    <t>excess demands</t>
  </si>
  <si>
    <t>free trade in X2</t>
  </si>
  <si>
    <t>counterfactual</t>
  </si>
  <si>
    <t>P1: domestic product market</t>
  </si>
  <si>
    <t>P2: good 2 market</t>
  </si>
  <si>
    <t>P3: good 3 market</t>
  </si>
  <si>
    <t>PA: composite good price</t>
  </si>
  <si>
    <t>Y: total expenditure</t>
  </si>
  <si>
    <t>Results</t>
  </si>
  <si>
    <t>National income effects of policy change in market for X2:</t>
  </si>
  <si>
    <t>old regime</t>
  </si>
  <si>
    <t>new regime</t>
  </si>
  <si>
    <t>change</t>
  </si>
  <si>
    <t xml:space="preserve">     welfare triangle</t>
  </si>
  <si>
    <t xml:space="preserve">     terms-of-trade effects</t>
  </si>
  <si>
    <t xml:space="preserve">     quota rent transfers</t>
  </si>
  <si>
    <t xml:space="preserve">     secondary effects for X3 (related to trade diversion)</t>
  </si>
  <si>
    <t>*</t>
  </si>
  <si>
    <t>Net welfare effect</t>
  </si>
  <si>
    <t>Price, quantity and tariff revenue effects of policy change in X2 market:</t>
  </si>
  <si>
    <t>percent change in internal price of domestic good</t>
  </si>
  <si>
    <t>percent change in shipments of domestic good</t>
  </si>
  <si>
    <t>percent change in border price of good 2</t>
  </si>
  <si>
    <t>percent change in internal price of good 2</t>
  </si>
  <si>
    <t>percent change in imports of good 2</t>
  </si>
  <si>
    <t>percent change in border price of good 3</t>
  </si>
  <si>
    <t>percent change in internal price of good 3</t>
  </si>
  <si>
    <t>percent change in imports of good 3</t>
  </si>
  <si>
    <t>Change in tariff revenue</t>
  </si>
  <si>
    <t>tariffs in market for X2</t>
  </si>
  <si>
    <t>tariffs in market for X3</t>
  </si>
  <si>
    <t>total change in tariff revenue</t>
  </si>
  <si>
    <t>Appendix Table 5A.3</t>
  </si>
  <si>
    <t>Estimated Elasticities of Substitution between Imports</t>
  </si>
  <si>
    <t>and Domestic Competing Goods  (based on U.S. imports)</t>
  </si>
  <si>
    <t>Sector No.</t>
  </si>
  <si>
    <t>Elasticity</t>
  </si>
  <si>
    <t>t-statistic</t>
  </si>
  <si>
    <t>Sector Name</t>
  </si>
  <si>
    <t>Iron and ferroalloy ores mining</t>
  </si>
  <si>
    <t>Coal mining</t>
  </si>
  <si>
    <t>Crude petroleum and natural gas</t>
  </si>
  <si>
    <t>Stone, sand, and gravel</t>
  </si>
  <si>
    <t>Chemical and fertilizer mineral mining</t>
  </si>
  <si>
    <t>Meat packing plants and prepared meats</t>
  </si>
  <si>
    <t>Creamery butter</t>
  </si>
  <si>
    <t>Cheese, natural and processed</t>
  </si>
  <si>
    <t>Fluid milk</t>
  </si>
  <si>
    <t>Flour and other grain mill products</t>
  </si>
  <si>
    <t>Cereals and flour</t>
  </si>
  <si>
    <t>Dog, cat, and other pet food</t>
  </si>
  <si>
    <t>Prepared feeds, n.e.c.</t>
  </si>
  <si>
    <t>Wet corn milling</t>
  </si>
  <si>
    <t>Bread, cake, cookies, and crackers</t>
  </si>
  <si>
    <t>Chocolate and other confectionary products</t>
  </si>
  <si>
    <t>Malt and malt beverages</t>
  </si>
  <si>
    <t>Wine, brandy, and brandy spirits</t>
  </si>
  <si>
    <t>Distilled liquor, except brandy</t>
  </si>
  <si>
    <t>Soft drinks, flavorings, and syrups</t>
  </si>
  <si>
    <t>Vegetable oil mills</t>
  </si>
  <si>
    <t>Animinal and marine fats and oils</t>
  </si>
  <si>
    <t>Shortening and cooking oils</t>
  </si>
  <si>
    <t>Sea foods, ice, and pasta</t>
  </si>
  <si>
    <t>Cigarettes</t>
  </si>
  <si>
    <t>Cigars</t>
  </si>
  <si>
    <t>Tobacco</t>
  </si>
  <si>
    <t>Yarn, thread, and broadwoven fabric mills</t>
  </si>
  <si>
    <t>Narrow fabric mills</t>
  </si>
  <si>
    <t>Floor coverings</t>
  </si>
  <si>
    <t>Felt, lace and other textile goods</t>
  </si>
  <si>
    <t>Hosiery</t>
  </si>
  <si>
    <t>Apparel made from purchased materials</t>
  </si>
  <si>
    <t>Housefurnish., textile bags, canvas</t>
  </si>
  <si>
    <t>Logging camps and logging contractors</t>
  </si>
  <si>
    <t>Sawmills</t>
  </si>
  <si>
    <t>Hardwood dimension and flooring mills</t>
  </si>
  <si>
    <t>Millwork, wood kitchens and cabinets</t>
  </si>
  <si>
    <t>Wood pallets, skids, and containers</t>
  </si>
  <si>
    <t>Wood preserving and particleboard</t>
  </si>
  <si>
    <t>Household furniture</t>
  </si>
  <si>
    <t>Paper mills, except building papers</t>
  </si>
  <si>
    <t>Paperboard mills</t>
  </si>
  <si>
    <t>::</t>
  </si>
  <si>
    <t>Appendix Table 5A.3 -- continued</t>
  </si>
  <si>
    <t>Sanitary paper products</t>
  </si>
  <si>
    <t>Building paper and board mills</t>
  </si>
  <si>
    <t>Paper coating and glazing</t>
  </si>
  <si>
    <t>Paperboard containers and boxes</t>
  </si>
  <si>
    <t>Newspapers</t>
  </si>
  <si>
    <t>Periodicals, books, and greeting cards</t>
  </si>
  <si>
    <t>Printing</t>
  </si>
  <si>
    <t>Industrial inorganic and organic chemicals</t>
  </si>
  <si>
    <t>Agricultural chemicals</t>
  </si>
  <si>
    <t>Chemical preparations</t>
  </si>
  <si>
    <t>Plastics materials and resins</t>
  </si>
  <si>
    <t>Synthetic rubber</t>
  </si>
  <si>
    <t>Organic fibers</t>
  </si>
  <si>
    <t>Drugs</t>
  </si>
  <si>
    <t>Soap, detergents, and sanitation goods</t>
  </si>
  <si>
    <t>Paving mixtures,blocks, asphalt felts</t>
  </si>
  <si>
    <t>Tires and inner tubes</t>
  </si>
  <si>
    <t>Rubber and plastics footwear</t>
  </si>
  <si>
    <t>Other rubber products</t>
  </si>
  <si>
    <t>Miscellaneous plastics products</t>
  </si>
  <si>
    <t>Leather tanning and finishing</t>
  </si>
  <si>
    <t>Other leather goods</t>
  </si>
  <si>
    <t>Glass and glass products, exc. containers</t>
  </si>
  <si>
    <t>Glass containers</t>
  </si>
  <si>
    <t>Cement, hydraulic</t>
  </si>
  <si>
    <t>Brick and structural clay tile</t>
  </si>
  <si>
    <t>Ceramic wall and floor tile</t>
  </si>
  <si>
    <t>Ceramic plumbing and electrical supplies</t>
  </si>
  <si>
    <t>China and earthenware products</t>
  </si>
  <si>
    <t>Stone and nonmetalic mineral products</t>
  </si>
  <si>
    <t>Primary steel</t>
  </si>
  <si>
    <t>Iron and steel foundries</t>
  </si>
  <si>
    <t>Metal heat treating and primary metal</t>
  </si>
  <si>
    <t>Primary copper</t>
  </si>
  <si>
    <t>Other nonfer. rolling, drawing, insulating</t>
  </si>
  <si>
    <t>Metal barrels, drums and pails</t>
  </si>
  <si>
    <t>Metal plumbing fixtures, heating equipment</t>
  </si>
  <si>
    <t>Fabricated metal work</t>
  </si>
  <si>
    <t>Fabricated plate work (boiler shops)</t>
  </si>
  <si>
    <t>Screw machine products and bolts, etc.</t>
  </si>
  <si>
    <t>Forgings and stampings</t>
  </si>
  <si>
    <t>Cutlery</t>
  </si>
  <si>
    <t>Hand tools</t>
  </si>
  <si>
    <t>Other fabricated metal products</t>
  </si>
  <si>
    <t>Pipe, valves, and pipe fittings</t>
  </si>
  <si>
    <t>Turbines and turbine generator sets</t>
  </si>
  <si>
    <t>Internal combustion engines, n.e.c.</t>
  </si>
  <si>
    <t>Farm and garden machinery and equipment</t>
  </si>
  <si>
    <t>Construction, mining, oil field machinery</t>
  </si>
  <si>
    <t>Elevators, conveyors, cranes</t>
  </si>
  <si>
    <t>Machine tools and power driven hand tools</t>
  </si>
  <si>
    <t>Special industry machinery</t>
  </si>
  <si>
    <t>Pumps, compressors, blowers, fans, furnaces</t>
  </si>
  <si>
    <t>Ball and roller bearings transmiss. equip.</t>
  </si>
  <si>
    <t>Electrical computing equipment</t>
  </si>
  <si>
    <t>Service industry machines</t>
  </si>
  <si>
    <t>Transformers, switchgear and switchboard</t>
  </si>
  <si>
    <t>Electrical industrial apparatus</t>
  </si>
  <si>
    <t>Household cooking equipment</t>
  </si>
  <si>
    <t>Household refrigerator and freezers</t>
  </si>
  <si>
    <t>Household laundry equipment</t>
  </si>
  <si>
    <t>Electric housewares and fans</t>
  </si>
  <si>
    <t>Household vacuum cleaners</t>
  </si>
  <si>
    <t>Sewing machines, household appliances</t>
  </si>
  <si>
    <t>Electric lamps, lighting, wiring devices</t>
  </si>
  <si>
    <t>Radio, TV, phonograph records and tapes</t>
  </si>
  <si>
    <t>Telephone and telegraph apparatus</t>
  </si>
  <si>
    <t>Radio and TV communication equipment</t>
  </si>
  <si>
    <t>Electron tubes</t>
  </si>
  <si>
    <t>Storage batteries</t>
  </si>
  <si>
    <t>Electrical equipment and supplies</t>
  </si>
  <si>
    <t>Motor vehicles parts and accessories</t>
  </si>
  <si>
    <t>Aircraft</t>
  </si>
  <si>
    <t>Aircraft and missile equipment, n.e.c.</t>
  </si>
  <si>
    <t>Boat building and repairing</t>
  </si>
  <si>
    <t>Railroad equipment</t>
  </si>
  <si>
    <t>Motorcycles, bicycles, and parts</t>
  </si>
  <si>
    <t>Transportation equipment, n.e.c.</t>
  </si>
  <si>
    <t>Ordnance and accessories</t>
  </si>
  <si>
    <t>Engineering, scientific, optical equipment</t>
  </si>
  <si>
    <t>Measuring devices, environmental controls</t>
  </si>
  <si>
    <t>Surgical, medical and dental equipment</t>
  </si>
  <si>
    <t>Watches, clocks, and ophthalmic goods</t>
  </si>
  <si>
    <t>Jewelry, musical instruments, toys</t>
  </si>
  <si>
    <t>* Indicates that the estimated elasticity is statistically significant</t>
  </si>
  <si>
    <t>at the 5 percent level.</t>
  </si>
  <si>
    <t>Source: Kenneth A. Reinert and David W. Roland-Holst  (with permission),</t>
  </si>
  <si>
    <t>"Disaggregated Armington Elasticities for the Mining and Manufacturing Sectors"</t>
  </si>
  <si>
    <t xml:space="preserve"> Journal of Policy Modeling, 4:5,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</si>
</sst>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6" formatCode="&quot;$&quot;#,##0.00_);\(&quot;$&quot;#,##0.00\)"/>
    <numFmt numFmtId="179" formatCode="0.0E+00"/>
    <numFmt numFmtId="181" formatCode="mmmm\ d\,\ yyyy"/>
  </numFmts>
  <fonts count="22" x14ac:knownFonts="1">
    <font>
      <sz val="10"/>
      <name val="Arial"/>
    </font>
    <font>
      <sz val="10"/>
      <name val="Arial"/>
    </font>
    <font>
      <b/>
      <sz val="18"/>
      <name val="Arial"/>
    </font>
    <font>
      <b/>
      <sz val="12"/>
      <name val="Arial"/>
    </font>
    <font>
      <sz val="12"/>
      <name val="Tms Rmn"/>
    </font>
    <font>
      <b/>
      <sz val="10"/>
      <name val="Arial"/>
    </font>
    <font>
      <sz val="12"/>
      <name val="Arial"/>
    </font>
    <font>
      <b/>
      <sz val="16"/>
      <name val="Arial"/>
    </font>
    <font>
      <sz val="12"/>
      <name val="Symbol"/>
    </font>
    <font>
      <u/>
      <sz val="12"/>
      <name val="Tms Rmn"/>
    </font>
    <font>
      <b/>
      <u/>
      <sz val="14"/>
      <name val="Tms Rmn"/>
    </font>
    <font>
      <b/>
      <sz val="18"/>
      <name val="Tms Rmn"/>
    </font>
    <font>
      <sz val="10"/>
      <name val="Tms Rmn"/>
    </font>
    <font>
      <b/>
      <sz val="14"/>
      <color indexed="18"/>
      <name val="Tms Rmn"/>
    </font>
    <font>
      <b/>
      <sz val="18"/>
      <name val="Times New Roman"/>
      <family val="1"/>
    </font>
    <font>
      <i/>
      <sz val="12"/>
      <color indexed="12"/>
      <name val="Tms Rmn"/>
    </font>
    <font>
      <b/>
      <sz val="18"/>
      <color indexed="18"/>
      <name val="Tms Rmn"/>
    </font>
    <font>
      <b/>
      <sz val="12"/>
      <color indexed="32"/>
      <name val="Arial"/>
      <family val="2"/>
    </font>
    <font>
      <b/>
      <sz val="10"/>
      <color indexed="10"/>
      <name val="Tms Rmn"/>
    </font>
    <font>
      <b/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gray125">
        <fgColor indexed="22"/>
        <bgColor indexed="9"/>
      </patternFill>
    </fill>
    <fill>
      <patternFill patternType="gray125">
        <fgColor indexed="9"/>
        <bgColor indexed="9"/>
      </patternFill>
    </fill>
  </fills>
  <borders count="2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181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1" applyNumberFormat="0" applyFill="0" applyAlignment="0" applyProtection="0"/>
  </cellStyleXfs>
  <cellXfs count="97">
    <xf numFmtId="0" fontId="0" fillId="0" borderId="0" xfId="0"/>
    <xf numFmtId="0" fontId="1" fillId="0" borderId="1" xfId="7" applyFont="1" applyBorder="1"/>
    <xf numFmtId="0" fontId="4" fillId="0" borderId="0" xfId="7" applyFont="1"/>
    <xf numFmtId="0" fontId="4" fillId="0" borderId="1" xfId="7" applyFont="1" applyBorder="1"/>
    <xf numFmtId="0" fontId="4" fillId="0" borderId="2" xfId="7" applyFont="1" applyBorder="1"/>
    <xf numFmtId="0" fontId="4" fillId="0" borderId="3" xfId="7" applyFont="1" applyBorder="1"/>
    <xf numFmtId="0" fontId="4" fillId="0" borderId="4" xfId="7" applyFont="1" applyBorder="1"/>
    <xf numFmtId="0" fontId="4" fillId="0" borderId="5" xfId="7" applyFont="1" applyBorder="1"/>
    <xf numFmtId="0" fontId="4" fillId="2" borderId="0" xfId="7" applyFont="1" applyFill="1"/>
    <xf numFmtId="0" fontId="1" fillId="0" borderId="3" xfId="7" applyFont="1" applyBorder="1"/>
    <xf numFmtId="0" fontId="1" fillId="0" borderId="4" xfId="7" applyFont="1" applyBorder="1"/>
    <xf numFmtId="0" fontId="1" fillId="0" borderId="5" xfId="7" applyFont="1" applyBorder="1"/>
    <xf numFmtId="0" fontId="4" fillId="0" borderId="0" xfId="7" applyFont="1" applyProtection="1">
      <protection locked="0"/>
    </xf>
    <xf numFmtId="0" fontId="1" fillId="0" borderId="0" xfId="7" applyFont="1" applyProtection="1">
      <protection locked="0"/>
    </xf>
    <xf numFmtId="0" fontId="4" fillId="0" borderId="6" xfId="7" applyFont="1" applyBorder="1" applyProtection="1">
      <protection locked="0"/>
    </xf>
    <xf numFmtId="0" fontId="4" fillId="0" borderId="7" xfId="7" applyFont="1" applyBorder="1" applyProtection="1">
      <protection locked="0"/>
    </xf>
    <xf numFmtId="0" fontId="4" fillId="2" borderId="7" xfId="7" applyFont="1" applyFill="1" applyBorder="1" applyProtection="1">
      <protection locked="0"/>
    </xf>
    <xf numFmtId="0" fontId="4" fillId="0" borderId="8" xfId="7" applyFont="1" applyBorder="1" applyProtection="1">
      <protection locked="0"/>
    </xf>
    <xf numFmtId="0" fontId="4" fillId="2" borderId="6" xfId="7" applyFont="1" applyFill="1" applyBorder="1" applyProtection="1">
      <protection locked="0"/>
    </xf>
    <xf numFmtId="0" fontId="1" fillId="0" borderId="7" xfId="7" applyFont="1" applyBorder="1" applyProtection="1">
      <protection locked="0"/>
    </xf>
    <xf numFmtId="0" fontId="1" fillId="2" borderId="7" xfId="7" applyFont="1" applyFill="1" applyBorder="1" applyProtection="1">
      <protection locked="0"/>
    </xf>
    <xf numFmtId="0" fontId="1" fillId="0" borderId="1" xfId="7" applyFont="1" applyBorder="1" applyProtection="1">
      <protection locked="0"/>
    </xf>
    <xf numFmtId="0" fontId="4" fillId="3" borderId="9" xfId="7" applyFont="1" applyFill="1" applyBorder="1" applyProtection="1">
      <protection locked="0"/>
    </xf>
    <xf numFmtId="0" fontId="4" fillId="2" borderId="0" xfId="7" applyFont="1" applyFill="1" applyProtection="1">
      <protection locked="0"/>
    </xf>
    <xf numFmtId="10" fontId="4" fillId="3" borderId="9" xfId="7" applyNumberFormat="1" applyFont="1" applyFill="1" applyBorder="1" applyProtection="1">
      <protection locked="0"/>
    </xf>
    <xf numFmtId="0" fontId="4" fillId="2" borderId="10" xfId="7" applyFont="1" applyFill="1" applyBorder="1" applyProtection="1">
      <protection locked="0"/>
    </xf>
    <xf numFmtId="0" fontId="4" fillId="0" borderId="2" xfId="7" applyFont="1" applyBorder="1" applyProtection="1">
      <protection locked="0"/>
    </xf>
    <xf numFmtId="0" fontId="4" fillId="0" borderId="1" xfId="7" applyFont="1" applyBorder="1" applyProtection="1">
      <protection locked="0"/>
    </xf>
    <xf numFmtId="0" fontId="4" fillId="2" borderId="1" xfId="7" applyFont="1" applyFill="1" applyBorder="1" applyProtection="1">
      <protection locked="0"/>
    </xf>
    <xf numFmtId="166" fontId="4" fillId="0" borderId="0" xfId="7" applyNumberFormat="1" applyFont="1" applyProtection="1">
      <protection locked="0"/>
    </xf>
    <xf numFmtId="166" fontId="4" fillId="2" borderId="0" xfId="7" applyNumberFormat="1" applyFont="1" applyFill="1" applyProtection="1">
      <protection locked="0"/>
    </xf>
    <xf numFmtId="10" fontId="4" fillId="0" borderId="0" xfId="7" applyNumberFormat="1" applyFont="1" applyProtection="1">
      <protection locked="0"/>
    </xf>
    <xf numFmtId="10" fontId="4" fillId="2" borderId="0" xfId="7" applyNumberFormat="1" applyFont="1" applyFill="1" applyProtection="1">
      <protection locked="0"/>
    </xf>
    <xf numFmtId="0" fontId="4" fillId="0" borderId="3" xfId="7" applyFont="1" applyBorder="1" applyProtection="1">
      <protection locked="0"/>
    </xf>
    <xf numFmtId="0" fontId="4" fillId="0" borderId="4" xfId="7" applyFont="1" applyBorder="1" applyProtection="1">
      <protection locked="0"/>
    </xf>
    <xf numFmtId="0" fontId="4" fillId="2" borderId="4" xfId="7" applyFont="1" applyFill="1" applyBorder="1" applyProtection="1">
      <protection locked="0"/>
    </xf>
    <xf numFmtId="0" fontId="4" fillId="0" borderId="5" xfId="7" applyFont="1" applyBorder="1" applyProtection="1">
      <protection locked="0"/>
    </xf>
    <xf numFmtId="0" fontId="4" fillId="2" borderId="3" xfId="7" applyFont="1" applyFill="1" applyBorder="1" applyProtection="1">
      <protection locked="0"/>
    </xf>
    <xf numFmtId="0" fontId="4" fillId="4" borderId="11" xfId="7" applyFont="1" applyFill="1" applyBorder="1"/>
    <xf numFmtId="0" fontId="1" fillId="2" borderId="0" xfId="7" applyFont="1" applyFill="1" applyProtection="1">
      <protection locked="0"/>
    </xf>
    <xf numFmtId="0" fontId="8" fillId="0" borderId="0" xfId="7" applyFont="1" applyProtection="1">
      <protection locked="0"/>
    </xf>
    <xf numFmtId="0" fontId="9" fillId="0" borderId="7" xfId="7" applyFont="1" applyBorder="1" applyProtection="1">
      <protection locked="0"/>
    </xf>
    <xf numFmtId="49" fontId="1" fillId="0" borderId="0" xfId="7" applyNumberFormat="1" applyFont="1" applyProtection="1">
      <protection locked="0"/>
    </xf>
    <xf numFmtId="0" fontId="4" fillId="2" borderId="2" xfId="7" applyFont="1" applyFill="1" applyBorder="1" applyProtection="1">
      <protection locked="0"/>
    </xf>
    <xf numFmtId="0" fontId="9" fillId="0" borderId="0" xfId="7" applyFont="1" applyProtection="1">
      <protection locked="0"/>
    </xf>
    <xf numFmtId="0" fontId="9" fillId="2" borderId="0" xfId="7" applyFont="1" applyFill="1" applyProtection="1">
      <protection locked="0"/>
    </xf>
    <xf numFmtId="2" fontId="4" fillId="2" borderId="0" xfId="7" applyNumberFormat="1" applyFont="1" applyFill="1" applyProtection="1">
      <protection locked="0"/>
    </xf>
    <xf numFmtId="2" fontId="4" fillId="0" borderId="0" xfId="7" applyNumberFormat="1" applyFont="1" applyProtection="1">
      <protection locked="0"/>
    </xf>
    <xf numFmtId="0" fontId="10" fillId="0" borderId="0" xfId="7" applyFont="1" applyProtection="1">
      <protection locked="0"/>
    </xf>
    <xf numFmtId="0" fontId="9" fillId="2" borderId="0" xfId="7" applyFont="1" applyFill="1" applyAlignment="1" applyProtection="1">
      <alignment horizontal="right"/>
      <protection locked="0"/>
    </xf>
    <xf numFmtId="166" fontId="9" fillId="0" borderId="0" xfId="7" applyNumberFormat="1" applyFont="1" applyAlignment="1" applyProtection="1">
      <alignment horizontal="right"/>
      <protection locked="0"/>
    </xf>
    <xf numFmtId="2" fontId="4" fillId="4" borderId="2" xfId="7" applyNumberFormat="1" applyFont="1" applyFill="1" applyBorder="1"/>
    <xf numFmtId="179" fontId="4" fillId="0" borderId="7" xfId="7" applyNumberFormat="1" applyFont="1" applyBorder="1" applyProtection="1">
      <protection locked="0"/>
    </xf>
    <xf numFmtId="179" fontId="4" fillId="2" borderId="7" xfId="7" applyNumberFormat="1" applyFont="1" applyFill="1" applyBorder="1" applyProtection="1">
      <protection locked="0"/>
    </xf>
    <xf numFmtId="179" fontId="4" fillId="0" borderId="8" xfId="7" applyNumberFormat="1" applyFont="1" applyBorder="1" applyProtection="1">
      <protection locked="0"/>
    </xf>
    <xf numFmtId="179" fontId="1" fillId="0" borderId="0" xfId="7" applyNumberFormat="1" applyFont="1"/>
    <xf numFmtId="179" fontId="4" fillId="2" borderId="0" xfId="7" applyNumberFormat="1" applyFont="1" applyFill="1" applyProtection="1">
      <protection locked="0"/>
    </xf>
    <xf numFmtId="179" fontId="4" fillId="0" borderId="2" xfId="7" applyNumberFormat="1" applyFont="1" applyBorder="1" applyProtection="1">
      <protection locked="0"/>
    </xf>
    <xf numFmtId="179" fontId="4" fillId="0" borderId="0" xfId="7" applyNumberFormat="1" applyFont="1" applyProtection="1">
      <protection locked="0"/>
    </xf>
    <xf numFmtId="2" fontId="4" fillId="0" borderId="7" xfId="7" applyNumberFormat="1" applyFont="1" applyBorder="1" applyProtection="1">
      <protection locked="0"/>
    </xf>
    <xf numFmtId="11" fontId="4" fillId="0" borderId="7" xfId="7" applyNumberFormat="1" applyFont="1" applyBorder="1" applyProtection="1">
      <protection locked="0"/>
    </xf>
    <xf numFmtId="0" fontId="11" fillId="0" borderId="0" xfId="7" applyFont="1" applyProtection="1">
      <protection locked="0"/>
    </xf>
    <xf numFmtId="0" fontId="9" fillId="0" borderId="0" xfId="7" applyFont="1" applyAlignment="1" applyProtection="1">
      <alignment horizontal="right"/>
      <protection locked="0"/>
    </xf>
    <xf numFmtId="0" fontId="5" fillId="2" borderId="0" xfId="7" applyFont="1" applyFill="1"/>
    <xf numFmtId="0" fontId="12" fillId="0" borderId="0" xfId="7" applyFont="1"/>
    <xf numFmtId="0" fontId="13" fillId="0" borderId="0" xfId="7" applyFont="1"/>
    <xf numFmtId="0" fontId="6" fillId="0" borderId="0" xfId="7" applyFont="1"/>
    <xf numFmtId="0" fontId="4" fillId="0" borderId="12" xfId="7" applyFont="1" applyBorder="1"/>
    <xf numFmtId="0" fontId="4" fillId="0" borderId="13" xfId="7" applyFont="1" applyBorder="1"/>
    <xf numFmtId="0" fontId="4" fillId="0" borderId="14" xfId="7" applyFont="1" applyBorder="1"/>
    <xf numFmtId="0" fontId="4" fillId="0" borderId="15" xfId="7" applyFont="1" applyBorder="1"/>
    <xf numFmtId="0" fontId="4" fillId="0" borderId="16" xfId="7" applyFont="1" applyBorder="1"/>
    <xf numFmtId="0" fontId="4" fillId="0" borderId="17" xfId="7" applyFont="1" applyBorder="1"/>
    <xf numFmtId="0" fontId="4" fillId="0" borderId="18" xfId="7" applyFont="1" applyBorder="1"/>
    <xf numFmtId="0" fontId="4" fillId="0" borderId="19" xfId="7" applyFont="1" applyBorder="1"/>
    <xf numFmtId="0" fontId="4" fillId="0" borderId="20" xfId="7" applyFont="1" applyBorder="1"/>
    <xf numFmtId="0" fontId="4" fillId="0" borderId="21" xfId="7" applyFont="1" applyBorder="1"/>
    <xf numFmtId="0" fontId="4" fillId="0" borderId="22" xfId="7" applyFont="1" applyBorder="1"/>
    <xf numFmtId="0" fontId="4" fillId="0" borderId="23" xfId="7" applyFont="1" applyBorder="1"/>
    <xf numFmtId="0" fontId="4" fillId="0" borderId="24" xfId="7" applyFont="1" applyBorder="1"/>
    <xf numFmtId="0" fontId="4" fillId="0" borderId="25" xfId="7" applyFont="1" applyBorder="1"/>
    <xf numFmtId="0" fontId="7" fillId="0" borderId="0" xfId="7" applyFont="1"/>
    <xf numFmtId="0" fontId="6" fillId="2" borderId="0" xfId="7" applyFont="1" applyFill="1"/>
    <xf numFmtId="0" fontId="16" fillId="0" borderId="0" xfId="7" applyFont="1" applyProtection="1">
      <protection locked="0"/>
    </xf>
    <xf numFmtId="0" fontId="17" fillId="0" borderId="0" xfId="0" applyFont="1"/>
    <xf numFmtId="0" fontId="18" fillId="0" borderId="0" xfId="7" applyFont="1"/>
    <xf numFmtId="0" fontId="4" fillId="2" borderId="0" xfId="7" applyFont="1" applyFill="1" applyAlignment="1" applyProtection="1">
      <alignment horizontal="right"/>
      <protection locked="0"/>
    </xf>
    <xf numFmtId="0" fontId="19" fillId="0" borderId="0" xfId="7" applyFont="1"/>
    <xf numFmtId="0" fontId="1" fillId="0" borderId="0" xfId="7"/>
    <xf numFmtId="2" fontId="1" fillId="0" borderId="0" xfId="7" applyNumberFormat="1"/>
    <xf numFmtId="2" fontId="1" fillId="0" borderId="10" xfId="7" applyNumberFormat="1" applyBorder="1"/>
    <xf numFmtId="2" fontId="1" fillId="0" borderId="0" xfId="7" applyNumberFormat="1" applyAlignment="1">
      <alignment horizontal="right"/>
    </xf>
    <xf numFmtId="0" fontId="1" fillId="0" borderId="26" xfId="7" applyFont="1" applyBorder="1"/>
    <xf numFmtId="0" fontId="1" fillId="0" borderId="0" xfId="7" applyFont="1"/>
    <xf numFmtId="0" fontId="20" fillId="0" borderId="0" xfId="0" applyFont="1"/>
    <xf numFmtId="0" fontId="20" fillId="0" borderId="0" xfId="0" quotePrefix="1" applyFont="1"/>
    <xf numFmtId="0" fontId="21" fillId="0" borderId="0" xfId="0" applyFont="1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 2" xfId="7"/>
    <cellStyle name="Total" xfId="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Welfare effects -- decomposition</a:t>
            </a:r>
          </a:p>
        </c:rich>
      </c:tx>
      <c:layout>
        <c:manualLayout>
          <c:xMode val="edge"/>
          <c:yMode val="edge"/>
          <c:x val="0.29139997465545875"/>
          <c:y val="4.52975544356691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2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141665610644115"/>
          <c:y val="0.30662959925683697"/>
          <c:w val="0.59604540270434747"/>
          <c:h val="0.4913042442637956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'Results Chart'!$A$3</c:f>
              <c:strCache>
                <c:ptCount val="1"/>
                <c:pt idx="0">
                  <c:v>welfare triangle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Chart'!$B$2:$C$2</c:f>
              <c:strCache>
                <c:ptCount val="2"/>
                <c:pt idx="0">
                  <c:v>Old regime</c:v>
                </c:pt>
                <c:pt idx="1">
                  <c:v>New Regime</c:v>
                </c:pt>
              </c:strCache>
            </c:strRef>
          </c:cat>
          <c:val>
            <c:numRef>
              <c:f>'Results Chart'!$B$3:$C$3</c:f>
              <c:numCache>
                <c:formatCode>0.00</c:formatCode>
                <c:ptCount val="2"/>
                <c:pt idx="0">
                  <c:v>-226.67627091312738</c:v>
                </c:pt>
                <c:pt idx="1">
                  <c:v>-421.88847134238824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6-43EB-88D1-FA1A31A4FC0F}"/>
            </c:ext>
          </c:extLst>
        </c:ser>
        <c:ser>
          <c:idx val="1"/>
          <c:order val="1"/>
          <c:tx>
            <c:strRef>
              <c:f>'Results Chart'!$A$4</c:f>
              <c:strCache>
                <c:ptCount val="1"/>
                <c:pt idx="0">
                  <c:v>terms-of-trade effects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Chart'!$B$2:$C$2</c:f>
              <c:strCache>
                <c:ptCount val="2"/>
                <c:pt idx="0">
                  <c:v>Old regime</c:v>
                </c:pt>
                <c:pt idx="1">
                  <c:v>New Regime</c:v>
                </c:pt>
              </c:strCache>
            </c:strRef>
          </c:cat>
          <c:val>
            <c:numRef>
              <c:f>'Results Chart'!$B$4:$C$4</c:f>
              <c:numCache>
                <c:formatCode>0.00</c:formatCode>
                <c:ptCount val="2"/>
                <c:pt idx="0">
                  <c:v>54.120011850588568</c:v>
                </c:pt>
                <c:pt idx="1">
                  <c:v>74.069605313544443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6-43EB-88D1-FA1A31A4FC0F}"/>
            </c:ext>
          </c:extLst>
        </c:ser>
        <c:ser>
          <c:idx val="2"/>
          <c:order val="2"/>
          <c:tx>
            <c:strRef>
              <c:f>'Results Chart'!$A$5</c:f>
              <c:strCache>
                <c:ptCount val="1"/>
                <c:pt idx="0">
                  <c:v>quota rent transfers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Chart'!$B$2:$C$2</c:f>
              <c:strCache>
                <c:ptCount val="2"/>
                <c:pt idx="0">
                  <c:v>Old regime</c:v>
                </c:pt>
                <c:pt idx="1">
                  <c:v>New Regime</c:v>
                </c:pt>
              </c:strCache>
            </c:strRef>
          </c:cat>
          <c:val>
            <c:numRef>
              <c:f>'Results Chart'!$B$5:$C$5</c:f>
              <c:numCache>
                <c:formatCode>0.00</c:formatCode>
                <c:ptCount val="2"/>
                <c:pt idx="0">
                  <c:v>0</c:v>
                </c:pt>
                <c:pt idx="1">
                  <c:v>-141.90698788826731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F6-43EB-88D1-FA1A31A4FC0F}"/>
            </c:ext>
          </c:extLst>
        </c:ser>
        <c:ser>
          <c:idx val="3"/>
          <c:order val="3"/>
          <c:tx>
            <c:strRef>
              <c:f>'Results Chart'!$A$6</c:f>
              <c:strCache>
                <c:ptCount val="1"/>
                <c:pt idx="0">
                  <c:v>secondary effects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Chart'!$B$2:$C$2</c:f>
              <c:strCache>
                <c:ptCount val="2"/>
                <c:pt idx="0">
                  <c:v>Old regime</c:v>
                </c:pt>
                <c:pt idx="1">
                  <c:v>New Regime</c:v>
                </c:pt>
              </c:strCache>
            </c:strRef>
          </c:cat>
          <c:val>
            <c:numRef>
              <c:f>'Results Chart'!$B$6:$C$6</c:f>
              <c:numCache>
                <c:formatCode>0.00</c:formatCode>
                <c:ptCount val="2"/>
                <c:pt idx="0">
                  <c:v>0</c:v>
                </c:pt>
                <c:pt idx="1">
                  <c:v>7.4050484665768508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F6-43EB-88D1-FA1A31A4F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7938159"/>
        <c:axId val="1"/>
        <c:axId val="0"/>
      </c:bar3DChart>
      <c:catAx>
        <c:axId val="797938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9381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622645111814766"/>
          <c:y val="0.41116241718530416"/>
          <c:w val="0.24945603890959725"/>
          <c:h val="0.407677989921021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7</xdr:row>
      <xdr:rowOff>63500</xdr:rowOff>
    </xdr:from>
    <xdr:to>
      <xdr:col>7</xdr:col>
      <xdr:colOff>279400</xdr:colOff>
      <xdr:row>18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70DA73B-6191-42B2-9646-69C6AA5BC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1047750</xdr:colOff>
          <xdr:row>10</xdr:row>
          <xdr:rowOff>95250</xdr:rowOff>
        </xdr:from>
        <xdr:to>
          <xdr:col>9</xdr:col>
          <xdr:colOff>19050</xdr:colOff>
          <xdr:row>14</xdr:row>
          <xdr:rowOff>177800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B8294827-000B-495C-8CE5-AD284F0F3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54864" tIns="45720" rIns="54864" bIns="45720" anchor="ctr" upright="1"/>
            <a:lstStyle/>
            <a:p>
              <a:pPr algn="ctr" rtl="0">
                <a:defRPr sz="1000"/>
              </a:pPr>
              <a:r>
                <a:rPr lang="en-GB" sz="18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Calibrate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RowColHeaders="0" tabSelected="1" defaultGridColor="0" colorId="9" workbookViewId="0">
      <selection activeCell="A2" sqref="A2"/>
    </sheetView>
  </sheetViews>
  <sheetFormatPr defaultRowHeight="12.5" x14ac:dyDescent="0.25"/>
  <cols>
    <col min="1" max="1" width="2.54296875" customWidth="1"/>
  </cols>
  <sheetData>
    <row r="1" spans="1:9" ht="15.5" x14ac:dyDescent="0.35">
      <c r="A1" s="84" t="s">
        <v>0</v>
      </c>
      <c r="B1" s="94"/>
      <c r="C1" s="94"/>
      <c r="D1" s="94"/>
      <c r="E1" s="94"/>
      <c r="F1" s="94"/>
      <c r="G1" s="94"/>
      <c r="H1" s="94"/>
      <c r="I1" s="94"/>
    </row>
    <row r="2" spans="1:9" ht="15.5" x14ac:dyDescent="0.35">
      <c r="A2" s="94"/>
      <c r="B2" s="94"/>
      <c r="C2" s="94"/>
      <c r="D2" s="94"/>
      <c r="E2" s="94"/>
      <c r="F2" s="94"/>
      <c r="G2" s="94"/>
      <c r="H2" s="94"/>
      <c r="I2" s="94"/>
    </row>
    <row r="3" spans="1:9" ht="15.5" x14ac:dyDescent="0.35">
      <c r="A3" s="94"/>
      <c r="B3" s="94" t="s">
        <v>1</v>
      </c>
      <c r="C3" s="94"/>
      <c r="D3" s="94"/>
      <c r="E3" s="94"/>
      <c r="F3" s="94"/>
      <c r="G3" s="94"/>
      <c r="H3" s="94"/>
      <c r="I3" s="94"/>
    </row>
    <row r="4" spans="1:9" ht="15.5" x14ac:dyDescent="0.35">
      <c r="A4" s="94"/>
      <c r="B4" s="94" t="s">
        <v>2</v>
      </c>
      <c r="C4" s="94"/>
      <c r="D4" s="94"/>
      <c r="E4" s="94"/>
      <c r="F4" s="94"/>
      <c r="G4" s="94"/>
      <c r="H4" s="94"/>
      <c r="I4" s="94"/>
    </row>
    <row r="5" spans="1:9" ht="15.5" x14ac:dyDescent="0.35">
      <c r="A5" s="94"/>
      <c r="B5" s="94" t="s">
        <v>3</v>
      </c>
      <c r="C5" s="94"/>
      <c r="D5" s="94"/>
      <c r="E5" s="94"/>
      <c r="F5" s="94"/>
      <c r="G5" s="94"/>
      <c r="H5" s="94"/>
      <c r="I5" s="94"/>
    </row>
    <row r="6" spans="1:9" ht="15.5" x14ac:dyDescent="0.35">
      <c r="A6" s="94"/>
      <c r="B6" s="94" t="s">
        <v>4</v>
      </c>
      <c r="C6" s="94"/>
      <c r="D6" s="94"/>
      <c r="E6" s="94"/>
      <c r="F6" s="94"/>
      <c r="G6" s="94"/>
      <c r="H6" s="94"/>
      <c r="I6" s="94"/>
    </row>
    <row r="7" spans="1:9" ht="15.5" x14ac:dyDescent="0.35">
      <c r="A7" s="94"/>
      <c r="B7" s="95" t="s">
        <v>5</v>
      </c>
      <c r="C7" s="94"/>
      <c r="D7" s="94"/>
      <c r="E7" s="94"/>
      <c r="F7" s="94"/>
      <c r="G7" s="94"/>
      <c r="H7" s="94"/>
      <c r="I7" s="94"/>
    </row>
    <row r="8" spans="1:9" ht="15.5" x14ac:dyDescent="0.35">
      <c r="A8" s="94"/>
      <c r="B8" s="94" t="s">
        <v>6</v>
      </c>
      <c r="C8" s="94"/>
      <c r="D8" s="94"/>
      <c r="E8" s="94"/>
      <c r="F8" s="94"/>
      <c r="G8" s="94"/>
      <c r="H8" s="94"/>
      <c r="I8" s="94"/>
    </row>
    <row r="9" spans="1:9" ht="15.5" x14ac:dyDescent="0.35">
      <c r="A9" s="94"/>
      <c r="B9" s="94"/>
      <c r="C9" s="94"/>
      <c r="D9" s="94"/>
      <c r="E9" s="94"/>
      <c r="F9" s="94"/>
      <c r="G9" s="94"/>
      <c r="H9" s="94"/>
      <c r="I9" s="94"/>
    </row>
    <row r="10" spans="1:9" ht="15.5" x14ac:dyDescent="0.35">
      <c r="A10" s="94"/>
      <c r="B10" s="94" t="s">
        <v>7</v>
      </c>
      <c r="C10" s="94"/>
      <c r="D10" s="94"/>
      <c r="E10" s="94"/>
      <c r="F10" s="94"/>
      <c r="G10" s="94"/>
      <c r="H10" s="94"/>
      <c r="I10" s="94"/>
    </row>
    <row r="11" spans="1:9" ht="15.5" x14ac:dyDescent="0.35">
      <c r="A11" s="94"/>
      <c r="B11" s="94" t="s">
        <v>8</v>
      </c>
      <c r="C11" s="94"/>
      <c r="D11" s="94"/>
      <c r="E11" s="94"/>
      <c r="F11" s="94"/>
      <c r="G11" s="94"/>
      <c r="H11" s="94"/>
      <c r="I11" s="94"/>
    </row>
    <row r="12" spans="1:9" ht="15.5" x14ac:dyDescent="0.35">
      <c r="A12" s="94"/>
      <c r="B12" s="94" t="s">
        <v>9</v>
      </c>
      <c r="C12" s="94"/>
      <c r="D12" s="94"/>
      <c r="E12" s="94"/>
      <c r="F12" s="94"/>
      <c r="G12" s="94"/>
      <c r="H12" s="94"/>
      <c r="I12" s="94"/>
    </row>
    <row r="13" spans="1:9" ht="15.5" x14ac:dyDescent="0.35">
      <c r="A13" s="94"/>
      <c r="B13" s="94" t="s">
        <v>10</v>
      </c>
      <c r="C13" s="94"/>
      <c r="D13" s="94"/>
      <c r="E13" s="94"/>
      <c r="F13" s="94"/>
      <c r="G13" s="94"/>
      <c r="H13" s="94"/>
      <c r="I13" s="94"/>
    </row>
    <row r="14" spans="1:9" ht="15.5" x14ac:dyDescent="0.35">
      <c r="A14" s="94"/>
      <c r="B14" s="94" t="s">
        <v>11</v>
      </c>
      <c r="C14" s="94"/>
      <c r="D14" s="94"/>
      <c r="E14" s="94"/>
      <c r="F14" s="94"/>
      <c r="G14" s="94"/>
      <c r="H14" s="94"/>
      <c r="I14" s="94"/>
    </row>
    <row r="15" spans="1:9" ht="15.5" x14ac:dyDescent="0.35">
      <c r="A15" s="94"/>
      <c r="B15" s="94" t="s">
        <v>12</v>
      </c>
      <c r="C15" s="94"/>
      <c r="D15" s="94"/>
      <c r="E15" s="94"/>
      <c r="F15" s="94"/>
      <c r="G15" s="94"/>
      <c r="H15" s="94"/>
      <c r="I15" s="94"/>
    </row>
    <row r="16" spans="1:9" ht="15.5" x14ac:dyDescent="0.35">
      <c r="A16" s="94"/>
      <c r="B16" s="94"/>
      <c r="C16" s="94"/>
      <c r="D16" s="94"/>
      <c r="E16" s="94"/>
      <c r="F16" s="94"/>
      <c r="G16" s="94"/>
      <c r="H16" s="94"/>
      <c r="I16" s="94"/>
    </row>
    <row r="17" spans="1:9" ht="15.5" x14ac:dyDescent="0.35">
      <c r="A17" s="94"/>
      <c r="B17" s="94" t="s">
        <v>13</v>
      </c>
      <c r="C17" s="94"/>
      <c r="D17" s="94"/>
      <c r="E17" s="94"/>
      <c r="F17" s="94"/>
      <c r="G17" s="94"/>
      <c r="H17" s="94"/>
      <c r="I17" s="94"/>
    </row>
    <row r="18" spans="1:9" ht="15.5" x14ac:dyDescent="0.35">
      <c r="A18" s="94"/>
      <c r="B18" s="94" t="s">
        <v>14</v>
      </c>
      <c r="C18" s="94"/>
      <c r="D18" s="94"/>
      <c r="E18" s="94"/>
      <c r="F18" s="94"/>
      <c r="G18" s="94"/>
      <c r="H18" s="94"/>
      <c r="I18" s="94"/>
    </row>
    <row r="19" spans="1:9" ht="15.5" x14ac:dyDescent="0.35">
      <c r="A19" s="94"/>
      <c r="B19" s="96" t="s">
        <v>15</v>
      </c>
      <c r="C19" s="94"/>
      <c r="D19" s="94"/>
      <c r="E19" s="94"/>
      <c r="F19" s="94"/>
      <c r="G19" s="94"/>
      <c r="H19" s="94"/>
      <c r="I19" s="94"/>
    </row>
    <row r="20" spans="1:9" ht="15.5" x14ac:dyDescent="0.35">
      <c r="A20" s="94"/>
      <c r="B20" s="94" t="s">
        <v>16</v>
      </c>
      <c r="C20" s="94"/>
      <c r="D20" s="94"/>
      <c r="E20" s="94"/>
      <c r="F20" s="94"/>
      <c r="G20" s="94"/>
      <c r="H20" s="94"/>
      <c r="I20" s="94"/>
    </row>
    <row r="21" spans="1:9" ht="15.5" x14ac:dyDescent="0.35">
      <c r="A21" s="94"/>
      <c r="B21" s="94"/>
      <c r="C21" s="94"/>
      <c r="D21" s="94"/>
      <c r="E21" s="94"/>
      <c r="F21" s="94"/>
      <c r="G21" s="94"/>
      <c r="H21" s="94"/>
      <c r="I21" s="94"/>
    </row>
    <row r="22" spans="1:9" ht="15.5" x14ac:dyDescent="0.35">
      <c r="A22" s="94"/>
      <c r="B22" s="94" t="s">
        <v>17</v>
      </c>
      <c r="C22" s="94"/>
      <c r="D22" s="94"/>
      <c r="E22" s="94"/>
      <c r="F22" s="94"/>
      <c r="G22" s="94"/>
      <c r="H22" s="94"/>
      <c r="I22" s="94"/>
    </row>
    <row r="23" spans="1:9" ht="15.5" x14ac:dyDescent="0.35">
      <c r="A23" s="94"/>
      <c r="B23" s="94" t="s">
        <v>18</v>
      </c>
      <c r="C23" s="94"/>
      <c r="D23" s="94"/>
      <c r="E23" s="94"/>
      <c r="F23" s="94"/>
      <c r="G23" s="94"/>
      <c r="H23" s="94"/>
      <c r="I23" s="94"/>
    </row>
    <row r="24" spans="1:9" ht="15.5" x14ac:dyDescent="0.35">
      <c r="A24" s="94"/>
      <c r="B24" s="94"/>
      <c r="C24" s="94"/>
      <c r="D24" s="94"/>
      <c r="E24" s="94"/>
      <c r="F24" s="94"/>
      <c r="G24" s="94"/>
      <c r="H24" s="94"/>
      <c r="I24" s="94"/>
    </row>
    <row r="25" spans="1:9" ht="15.5" x14ac:dyDescent="0.35">
      <c r="A25" s="94"/>
      <c r="B25" s="94"/>
      <c r="C25" s="94"/>
      <c r="D25" s="94"/>
      <c r="E25" s="94"/>
      <c r="F25" s="94"/>
      <c r="G25" s="94"/>
      <c r="H25" s="94"/>
      <c r="I25" s="94"/>
    </row>
    <row r="26" spans="1:9" ht="15.5" x14ac:dyDescent="0.35">
      <c r="A26" s="94"/>
      <c r="B26" s="94"/>
      <c r="C26" s="94"/>
      <c r="D26" s="94"/>
      <c r="E26" s="94"/>
      <c r="F26" s="94"/>
      <c r="G26" s="94"/>
      <c r="H26" s="94"/>
      <c r="I26" s="94"/>
    </row>
    <row r="27" spans="1:9" ht="15.5" x14ac:dyDescent="0.35">
      <c r="A27" s="94"/>
      <c r="B27" s="94"/>
      <c r="C27" s="94"/>
      <c r="D27" s="94"/>
      <c r="E27" s="94"/>
      <c r="F27" s="94"/>
      <c r="G27" s="94"/>
      <c r="H27" s="94"/>
      <c r="I27" s="94"/>
    </row>
    <row r="28" spans="1:9" ht="15.5" x14ac:dyDescent="0.35">
      <c r="A28" s="94"/>
      <c r="B28" s="94"/>
      <c r="C28" s="94"/>
      <c r="D28" s="94"/>
      <c r="E28" s="94"/>
      <c r="F28" s="94"/>
      <c r="G28" s="94"/>
      <c r="H28" s="94"/>
      <c r="I28" s="94"/>
    </row>
    <row r="29" spans="1:9" ht="15.5" x14ac:dyDescent="0.35">
      <c r="A29" s="94"/>
      <c r="B29" s="94"/>
      <c r="C29" s="94"/>
      <c r="D29" s="94"/>
      <c r="E29" s="94"/>
      <c r="F29" s="94"/>
      <c r="G29" s="94"/>
      <c r="H29" s="94"/>
      <c r="I29" s="94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activeCell="D2" sqref="D2"/>
    </sheetView>
  </sheetViews>
  <sheetFormatPr defaultRowHeight="12.5" x14ac:dyDescent="0.25"/>
  <cols>
    <col min="1" max="1" width="18.1796875" customWidth="1"/>
    <col min="2" max="2" width="13.1796875" customWidth="1"/>
    <col min="3" max="3" width="13.26953125" customWidth="1"/>
  </cols>
  <sheetData>
    <row r="1" spans="1:3" ht="13" x14ac:dyDescent="0.3">
      <c r="A1" s="87" t="s">
        <v>19</v>
      </c>
      <c r="B1" s="88"/>
      <c r="C1" s="88"/>
    </row>
    <row r="2" spans="1:3" x14ac:dyDescent="0.25">
      <c r="A2" s="88"/>
      <c r="B2" s="92" t="s">
        <v>20</v>
      </c>
      <c r="C2" s="92" t="s">
        <v>21</v>
      </c>
    </row>
    <row r="3" spans="1:3" x14ac:dyDescent="0.25">
      <c r="A3" s="88" t="s">
        <v>22</v>
      </c>
      <c r="B3" s="89">
        <f>'imperfect substutes model'!G50</f>
        <v>-226.67627091312738</v>
      </c>
      <c r="C3" s="89">
        <f>'imperfect substutes model'!H50</f>
        <v>-421.88847134238824</v>
      </c>
    </row>
    <row r="4" spans="1:3" x14ac:dyDescent="0.25">
      <c r="A4" s="88" t="s">
        <v>23</v>
      </c>
      <c r="B4" s="89">
        <f>'imperfect substutes model'!G51</f>
        <v>54.120011850588568</v>
      </c>
      <c r="C4" s="89">
        <f>'imperfect substutes model'!H51</f>
        <v>74.069605313544443</v>
      </c>
    </row>
    <row r="5" spans="1:3" x14ac:dyDescent="0.25">
      <c r="A5" s="88" t="s">
        <v>24</v>
      </c>
      <c r="B5" s="89">
        <f>'imperfect substutes model'!G52</f>
        <v>0</v>
      </c>
      <c r="C5" s="89">
        <f>'imperfect substutes model'!H52</f>
        <v>-141.90698788826731</v>
      </c>
    </row>
    <row r="6" spans="1:3" x14ac:dyDescent="0.25">
      <c r="A6" s="93" t="s">
        <v>25</v>
      </c>
      <c r="B6" s="91" t="str">
        <f>'imperfect substutes model'!G53</f>
        <v>*</v>
      </c>
      <c r="C6" s="91">
        <f>'imperfect substutes model'!H53</f>
        <v>7.4050484665768508</v>
      </c>
    </row>
    <row r="7" spans="1:3" ht="13" x14ac:dyDescent="0.3">
      <c r="A7" s="87" t="s">
        <v>26</v>
      </c>
      <c r="B7" s="90">
        <f t="shared" ref="B7:C7" si="0">SUM(B3:B6)</f>
        <v>-172.5562590625388</v>
      </c>
      <c r="C7" s="90">
        <f t="shared" si="0"/>
        <v>-482.32080545053424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U107"/>
  <sheetViews>
    <sheetView showGridLines="0" showOutlineSymbols="0" zoomScale="85" workbookViewId="0">
      <selection activeCell="A6" sqref="A6"/>
    </sheetView>
  </sheetViews>
  <sheetFormatPr defaultRowHeight="15.5" x14ac:dyDescent="0.35"/>
  <cols>
    <col min="1" max="1" width="12" style="12" customWidth="1"/>
    <col min="2" max="2" width="11.81640625" style="12" customWidth="1"/>
    <col min="3" max="3" width="10.26953125" style="12" customWidth="1"/>
    <col min="6" max="6" width="11.453125" customWidth="1"/>
    <col min="7" max="7" width="13.7265625" style="12" customWidth="1"/>
    <col min="8" max="8" width="16.26953125" style="23" customWidth="1"/>
    <col min="9" max="9" width="15.7265625" style="23" customWidth="1"/>
    <col min="10" max="10" width="17.1796875" style="12" customWidth="1"/>
  </cols>
  <sheetData>
    <row r="1" spans="1:21" ht="23.5" x14ac:dyDescent="0.55000000000000004">
      <c r="B1" s="61" t="s">
        <v>27</v>
      </c>
      <c r="C1"/>
      <c r="D1" s="83" t="s">
        <v>28</v>
      </c>
      <c r="E1" s="12"/>
      <c r="G1"/>
      <c r="H1"/>
      <c r="I1"/>
      <c r="J1"/>
    </row>
    <row r="2" spans="1:21" ht="24" thickBot="1" x14ac:dyDescent="0.6">
      <c r="B2" s="85" t="s">
        <v>29</v>
      </c>
      <c r="C2"/>
      <c r="D2" s="83"/>
      <c r="E2" s="12"/>
      <c r="G2"/>
      <c r="H2"/>
      <c r="I2"/>
      <c r="J2"/>
    </row>
    <row r="3" spans="1:21" ht="4.5" customHeight="1" thickTop="1" x14ac:dyDescent="0.35">
      <c r="A3" s="14"/>
      <c r="B3" s="21"/>
      <c r="C3" s="27"/>
      <c r="D3" s="27"/>
      <c r="E3" s="27"/>
      <c r="F3" s="27"/>
      <c r="G3" s="27"/>
      <c r="H3" s="28"/>
      <c r="I3" s="28"/>
      <c r="J3" s="33"/>
      <c r="N3" s="13"/>
      <c r="O3" s="13"/>
      <c r="R3" s="13" t="s">
        <v>30</v>
      </c>
    </row>
    <row r="4" spans="1:21" x14ac:dyDescent="0.35">
      <c r="A4" s="15"/>
      <c r="B4" s="22">
        <v>200</v>
      </c>
      <c r="C4" s="12" t="s">
        <v>31</v>
      </c>
      <c r="D4" s="12"/>
      <c r="E4" s="12"/>
      <c r="F4" s="12"/>
      <c r="J4" s="34"/>
      <c r="N4" s="13"/>
      <c r="O4" s="13"/>
      <c r="P4" t="b">
        <f>$A$41=0</f>
        <v>0</v>
      </c>
      <c r="R4" s="13" t="s">
        <v>32</v>
      </c>
    </row>
    <row r="5" spans="1:21" x14ac:dyDescent="0.35">
      <c r="A5" s="16"/>
      <c r="B5" s="22">
        <v>1000</v>
      </c>
      <c r="C5" s="23" t="s">
        <v>33</v>
      </c>
      <c r="D5" s="23"/>
      <c r="E5" s="23"/>
      <c r="F5" s="23"/>
      <c r="G5" s="23"/>
      <c r="I5" s="23" t="s">
        <v>34</v>
      </c>
      <c r="J5" s="35"/>
      <c r="N5" s="13"/>
      <c r="O5" s="13"/>
      <c r="P5">
        <f>COUNT($I$40:$I$44)</f>
        <v>5</v>
      </c>
      <c r="R5" s="13" t="s">
        <v>35</v>
      </c>
    </row>
    <row r="6" spans="1:21" x14ac:dyDescent="0.35">
      <c r="A6" s="16"/>
      <c r="B6" s="22">
        <v>200</v>
      </c>
      <c r="C6" s="23" t="s">
        <v>36</v>
      </c>
      <c r="D6" s="23"/>
      <c r="E6" s="23"/>
      <c r="F6" s="23"/>
      <c r="G6" s="23"/>
      <c r="J6" s="35"/>
      <c r="N6" s="13"/>
      <c r="O6" s="13"/>
      <c r="P6" t="b">
        <f>$A$40=0</f>
        <v>0</v>
      </c>
      <c r="R6" s="13" t="s">
        <v>37</v>
      </c>
    </row>
    <row r="7" spans="1:21" x14ac:dyDescent="0.35">
      <c r="A7" s="15"/>
      <c r="B7" s="38">
        <f>SUM(B4:B6)</f>
        <v>1400</v>
      </c>
      <c r="C7" s="12" t="s">
        <v>38</v>
      </c>
      <c r="D7" s="12"/>
      <c r="E7" s="12"/>
      <c r="F7" s="12"/>
      <c r="J7" s="34"/>
      <c r="N7" s="13"/>
      <c r="O7" s="13"/>
      <c r="P7" t="b">
        <f>$A$42=0</f>
        <v>0</v>
      </c>
      <c r="R7" s="13" t="s">
        <v>39</v>
      </c>
    </row>
    <row r="8" spans="1:21" ht="1.5" customHeight="1" x14ac:dyDescent="0.35">
      <c r="A8" s="15"/>
      <c r="D8" s="12"/>
      <c r="E8" s="12"/>
      <c r="F8" s="12"/>
      <c r="J8" s="34"/>
      <c r="N8" s="13"/>
      <c r="O8" s="13"/>
      <c r="P8" t="b">
        <f>$A$43=0</f>
        <v>0</v>
      </c>
      <c r="R8" s="13" t="s">
        <v>40</v>
      </c>
    </row>
    <row r="9" spans="1:21" x14ac:dyDescent="0.35">
      <c r="A9" s="15"/>
      <c r="B9" s="22">
        <v>1.5</v>
      </c>
      <c r="C9" s="12" t="s">
        <v>41</v>
      </c>
      <c r="D9" s="12"/>
      <c r="E9" s="12"/>
      <c r="F9" s="12"/>
      <c r="J9" s="34"/>
      <c r="N9" s="13"/>
      <c r="O9" s="13"/>
      <c r="P9" t="b">
        <f>$A$44=0</f>
        <v>0</v>
      </c>
      <c r="R9" s="13" t="s">
        <v>42</v>
      </c>
    </row>
    <row r="10" spans="1:21" x14ac:dyDescent="0.35">
      <c r="A10" s="15"/>
      <c r="B10" s="22">
        <v>3</v>
      </c>
      <c r="C10" s="12" t="s">
        <v>43</v>
      </c>
      <c r="D10" s="12"/>
      <c r="E10" s="12"/>
      <c r="F10" s="12"/>
      <c r="J10" s="34"/>
      <c r="N10" s="13"/>
      <c r="O10" s="13"/>
      <c r="P10">
        <f>{600,1000,0.00001,0.1,FALSE,FALSE,FALSE,2,1,1,0.001,FALSE}</f>
        <v>600</v>
      </c>
      <c r="R10" s="13" t="s">
        <v>44</v>
      </c>
    </row>
    <row r="11" spans="1:21" x14ac:dyDescent="0.35">
      <c r="A11" s="16"/>
      <c r="B11" s="22">
        <v>5</v>
      </c>
      <c r="C11" s="12" t="s">
        <v>45</v>
      </c>
      <c r="D11" s="23"/>
      <c r="E11" s="23"/>
      <c r="F11" s="23"/>
      <c r="G11" s="23"/>
      <c r="J11" s="35"/>
      <c r="N11" s="13"/>
      <c r="O11" s="13"/>
      <c r="R11" s="13" t="s">
        <v>46</v>
      </c>
    </row>
    <row r="12" spans="1:21" x14ac:dyDescent="0.35">
      <c r="A12" s="16"/>
      <c r="B12" s="22">
        <v>5</v>
      </c>
      <c r="C12" s="12" t="s">
        <v>47</v>
      </c>
      <c r="D12" s="23"/>
      <c r="E12" s="23"/>
      <c r="F12" s="23"/>
      <c r="G12" s="23"/>
      <c r="J12" s="35"/>
      <c r="N12" s="13"/>
      <c r="O12" s="13"/>
      <c r="R12" s="13" t="s">
        <v>30</v>
      </c>
    </row>
    <row r="13" spans="1:21" x14ac:dyDescent="0.35">
      <c r="A13" s="15"/>
      <c r="B13" s="22">
        <v>5</v>
      </c>
      <c r="C13" s="40" t="s">
        <v>48</v>
      </c>
      <c r="D13" s="12" t="s">
        <v>49</v>
      </c>
      <c r="E13" s="12"/>
      <c r="F13" s="12"/>
      <c r="J13" s="34"/>
      <c r="L13" s="13"/>
      <c r="N13" s="13"/>
      <c r="O13" s="13"/>
      <c r="R13" s="13" t="s">
        <v>50</v>
      </c>
    </row>
    <row r="14" spans="1:21" ht="3" customHeight="1" x14ac:dyDescent="0.35">
      <c r="A14" s="16"/>
      <c r="B14" s="23"/>
      <c r="C14" s="23"/>
      <c r="D14" s="23"/>
      <c r="E14" s="23"/>
      <c r="F14" s="23"/>
      <c r="G14" s="23"/>
      <c r="J14" s="35"/>
      <c r="L14" s="13"/>
      <c r="N14" s="13"/>
      <c r="O14" s="13"/>
      <c r="R14" s="13" t="s">
        <v>35</v>
      </c>
    </row>
    <row r="15" spans="1:21" x14ac:dyDescent="0.35">
      <c r="A15" s="15"/>
      <c r="B15" s="24">
        <v>0.25</v>
      </c>
      <c r="C15" s="12" t="s">
        <v>51</v>
      </c>
      <c r="D15" s="12"/>
      <c r="E15" s="12"/>
      <c r="J15" s="34"/>
      <c r="L15" s="13"/>
      <c r="N15" s="13"/>
      <c r="O15" s="13"/>
      <c r="R15" s="13" t="s">
        <v>52</v>
      </c>
    </row>
    <row r="16" spans="1:21" x14ac:dyDescent="0.35">
      <c r="A16" s="16"/>
      <c r="B16" s="24">
        <v>0.25</v>
      </c>
      <c r="C16" s="12" t="s">
        <v>53</v>
      </c>
      <c r="D16" s="12"/>
      <c r="E16" s="12"/>
      <c r="F16" s="12"/>
      <c r="J16" s="35"/>
      <c r="L16" s="39"/>
      <c r="N16" s="13"/>
      <c r="O16" s="13"/>
      <c r="R16" s="13" t="s">
        <v>54</v>
      </c>
      <c r="U16" s="13"/>
    </row>
    <row r="17" spans="1:255" x14ac:dyDescent="0.35">
      <c r="A17" s="15"/>
      <c r="B17" s="24">
        <v>0.25</v>
      </c>
      <c r="C17" s="12" t="s">
        <v>55</v>
      </c>
      <c r="D17" s="12"/>
      <c r="E17" s="12"/>
      <c r="F17" s="12"/>
      <c r="J17" s="34"/>
      <c r="L17" s="13"/>
      <c r="N17" s="13"/>
      <c r="O17" s="13"/>
      <c r="R17" s="13" t="s">
        <v>56</v>
      </c>
      <c r="U17" s="13"/>
    </row>
    <row r="18" spans="1:255" x14ac:dyDescent="0.35">
      <c r="A18" s="15"/>
      <c r="B18" s="24">
        <v>0.25</v>
      </c>
      <c r="C18" s="12" t="s">
        <v>57</v>
      </c>
      <c r="D18" s="12"/>
      <c r="E18" s="12"/>
      <c r="F18" s="12"/>
      <c r="J18" s="34"/>
      <c r="L18" s="13"/>
      <c r="N18" s="13"/>
      <c r="O18" s="13"/>
      <c r="R18" s="13" t="s">
        <v>58</v>
      </c>
      <c r="U18" s="13"/>
    </row>
    <row r="19" spans="1:255" ht="7.5" customHeight="1" x14ac:dyDescent="0.35">
      <c r="A19" s="16"/>
      <c r="B19" s="25"/>
      <c r="D19" s="12"/>
      <c r="E19" s="12"/>
      <c r="F19" s="12"/>
      <c r="J19" s="35"/>
      <c r="L19" s="13"/>
      <c r="N19" s="13"/>
      <c r="O19" s="13"/>
      <c r="R19" s="13" t="s">
        <v>59</v>
      </c>
      <c r="U19" s="13"/>
    </row>
    <row r="20" spans="1:255" x14ac:dyDescent="0.35">
      <c r="A20" s="16"/>
      <c r="B20" s="24">
        <v>0</v>
      </c>
      <c r="C20" s="12" t="s">
        <v>60</v>
      </c>
      <c r="D20" s="23"/>
      <c r="E20" s="23"/>
      <c r="F20" s="23"/>
      <c r="G20" s="23"/>
      <c r="J20" s="35"/>
      <c r="L20" s="39"/>
      <c r="N20" s="13"/>
      <c r="O20" s="13"/>
      <c r="R20" s="13" t="s">
        <v>46</v>
      </c>
      <c r="U20" s="13"/>
    </row>
    <row r="21" spans="1:255" x14ac:dyDescent="0.35">
      <c r="A21" s="16"/>
      <c r="B21" s="24">
        <v>0</v>
      </c>
      <c r="C21" s="12" t="s">
        <v>61</v>
      </c>
      <c r="D21" s="23"/>
      <c r="E21" s="23"/>
      <c r="F21" s="23"/>
      <c r="G21" s="23"/>
      <c r="J21" s="35"/>
      <c r="L21" s="39"/>
      <c r="N21" s="13"/>
      <c r="O21" s="13"/>
      <c r="R21" s="13" t="s">
        <v>62</v>
      </c>
      <c r="U21" s="13"/>
    </row>
    <row r="22" spans="1:255" x14ac:dyDescent="0.35">
      <c r="A22" s="16" t="s">
        <v>63</v>
      </c>
      <c r="B22" s="24">
        <v>0.25</v>
      </c>
      <c r="C22" s="12" t="s">
        <v>64</v>
      </c>
      <c r="D22" s="12"/>
      <c r="E22" s="12"/>
      <c r="F22" s="12"/>
      <c r="J22" s="35"/>
      <c r="L22" s="13"/>
      <c r="N22" s="13"/>
      <c r="O22" s="13"/>
      <c r="R22" s="13"/>
      <c r="U22" s="13"/>
    </row>
    <row r="23" spans="1:255" x14ac:dyDescent="0.35">
      <c r="A23" s="16"/>
      <c r="B23" s="24">
        <v>0</v>
      </c>
      <c r="C23" s="12" t="s">
        <v>65</v>
      </c>
      <c r="D23" s="12"/>
      <c r="E23" s="12"/>
      <c r="F23" s="12"/>
      <c r="J23" s="35"/>
      <c r="L23" s="13"/>
      <c r="N23" s="13"/>
      <c r="O23" s="13"/>
      <c r="R23" s="13"/>
      <c r="U23" s="13"/>
    </row>
    <row r="24" spans="1:255" ht="6" customHeight="1" thickBot="1" x14ac:dyDescent="0.4">
      <c r="A24" s="17"/>
      <c r="B24" s="26"/>
      <c r="C24" s="26"/>
      <c r="D24" s="26"/>
      <c r="E24" s="26"/>
      <c r="F24" s="26"/>
      <c r="G24" s="26"/>
      <c r="H24" s="43"/>
      <c r="I24" s="43"/>
      <c r="J24" s="36"/>
      <c r="L24" s="13"/>
      <c r="N24" s="13"/>
      <c r="O24" s="13"/>
      <c r="R24" s="13"/>
      <c r="U24" s="13"/>
    </row>
    <row r="25" spans="1:255" ht="16" thickTop="1" x14ac:dyDescent="0.35">
      <c r="D25" s="12"/>
      <c r="E25" s="12"/>
      <c r="F25" s="12"/>
      <c r="L25" s="13"/>
      <c r="N25" s="13"/>
      <c r="O25" s="13"/>
      <c r="R25" s="13"/>
      <c r="U25" s="13"/>
    </row>
    <row r="26" spans="1:255" ht="23.5" x14ac:dyDescent="0.55000000000000004">
      <c r="B26" s="61" t="s">
        <v>66</v>
      </c>
      <c r="D26" s="12"/>
      <c r="E26" s="12"/>
      <c r="F26" s="12"/>
      <c r="L26" s="13"/>
      <c r="N26" s="13"/>
      <c r="O26" s="13"/>
      <c r="R26" s="13"/>
      <c r="U26" s="13"/>
    </row>
    <row r="27" spans="1:255" ht="7.9" customHeight="1" x14ac:dyDescent="0.35">
      <c r="A27" s="14"/>
      <c r="B27" s="27"/>
      <c r="C27" s="27"/>
      <c r="D27" s="27"/>
      <c r="E27" s="27"/>
      <c r="F27" s="27"/>
      <c r="G27" s="27"/>
      <c r="H27" s="28"/>
      <c r="I27" s="28"/>
      <c r="J27" s="3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</row>
    <row r="28" spans="1:255" x14ac:dyDescent="0.35">
      <c r="A28" s="60">
        <f>(B4)</f>
        <v>200</v>
      </c>
      <c r="B28" s="12" t="s">
        <v>67</v>
      </c>
      <c r="C28"/>
      <c r="D28" s="12"/>
      <c r="E28" s="12"/>
      <c r="F28" s="12"/>
      <c r="G28" s="46">
        <v>1</v>
      </c>
      <c r="H28" s="12" t="s">
        <v>68</v>
      </c>
      <c r="I28"/>
      <c r="J28" s="3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</row>
    <row r="29" spans="1:255" x14ac:dyDescent="0.35">
      <c r="A29" s="60">
        <f t="shared" ref="A29:A30" si="0">(B5)*(((1+B15+B20))^(B11))</f>
        <v>3051.7578125</v>
      </c>
      <c r="B29" s="12" t="s">
        <v>69</v>
      </c>
      <c r="C29"/>
      <c r="D29" s="23"/>
      <c r="E29" s="23"/>
      <c r="F29" s="23"/>
      <c r="G29" s="46">
        <f t="shared" ref="G29:G30" si="1">(1+B15+B20)*G31</f>
        <v>1</v>
      </c>
      <c r="H29" s="23" t="s">
        <v>70</v>
      </c>
      <c r="I29"/>
      <c r="J29" s="35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</row>
    <row r="30" spans="1:255" x14ac:dyDescent="0.35">
      <c r="A30" s="60">
        <f t="shared" si="0"/>
        <v>610.3515625</v>
      </c>
      <c r="B30" s="12" t="s">
        <v>71</v>
      </c>
      <c r="C30"/>
      <c r="D30" s="23"/>
      <c r="E30" s="23"/>
      <c r="F30" s="23"/>
      <c r="G30" s="46">
        <f t="shared" si="1"/>
        <v>1</v>
      </c>
      <c r="H30" s="23" t="s">
        <v>72</v>
      </c>
      <c r="I30"/>
      <c r="J30" s="35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</row>
    <row r="31" spans="1:255" x14ac:dyDescent="0.35">
      <c r="A31" s="60">
        <f>(B7)</f>
        <v>1400</v>
      </c>
      <c r="B31" s="12" t="s">
        <v>73</v>
      </c>
      <c r="C31"/>
      <c r="D31" s="23"/>
      <c r="E31" s="23"/>
      <c r="F31" s="23"/>
      <c r="G31" s="46">
        <f t="shared" ref="G31:G32" si="2">(1/((1+B15+B20)))</f>
        <v>0.8</v>
      </c>
      <c r="H31" s="12" t="s">
        <v>74</v>
      </c>
      <c r="I31"/>
      <c r="J31" s="35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</row>
    <row r="32" spans="1:255" x14ac:dyDescent="0.35">
      <c r="A32" s="59">
        <f t="shared" ref="A32:A34" si="3">(B4/A$31)^(1/B$13)</f>
        <v>0.67761091340048096</v>
      </c>
      <c r="B32" s="40" t="s">
        <v>75</v>
      </c>
      <c r="C32" s="12" t="s">
        <v>76</v>
      </c>
      <c r="E32" s="12"/>
      <c r="F32" s="12"/>
      <c r="G32" s="46">
        <f t="shared" si="2"/>
        <v>0.8</v>
      </c>
      <c r="H32" s="12" t="s">
        <v>77</v>
      </c>
      <c r="I32"/>
      <c r="J32" s="34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</row>
    <row r="33" spans="1:255" x14ac:dyDescent="0.35">
      <c r="A33" s="59">
        <f t="shared" si="3"/>
        <v>0.93491987614847016</v>
      </c>
      <c r="B33" s="40" t="s">
        <v>78</v>
      </c>
      <c r="C33" s="12" t="s">
        <v>79</v>
      </c>
      <c r="E33" s="12"/>
      <c r="F33" s="12"/>
      <c r="G33" s="47">
        <f>(((A32)^B13)+((A33)^B13)+((A34)^B13))^(-1/(B13-1))</f>
        <v>1</v>
      </c>
      <c r="H33" s="23" t="s">
        <v>80</v>
      </c>
      <c r="I33"/>
      <c r="J33" s="34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</row>
    <row r="34" spans="1:255" x14ac:dyDescent="0.35">
      <c r="A34" s="59">
        <f t="shared" si="3"/>
        <v>0.67761091340048096</v>
      </c>
      <c r="B34" s="40" t="s">
        <v>81</v>
      </c>
      <c r="C34" s="12" t="s">
        <v>82</v>
      </c>
      <c r="E34" s="12"/>
      <c r="F34" s="12"/>
      <c r="J34" s="34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</row>
    <row r="35" spans="1:255" ht="7.9" customHeight="1" x14ac:dyDescent="0.35">
      <c r="A35" s="17"/>
      <c r="B35" s="26"/>
      <c r="C35" s="26"/>
      <c r="D35" s="26"/>
      <c r="E35" s="26"/>
      <c r="F35" s="26"/>
      <c r="G35" s="26"/>
      <c r="H35" s="43"/>
      <c r="I35" s="43"/>
      <c r="J35" s="36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255" x14ac:dyDescent="0.35">
      <c r="D36" s="12"/>
      <c r="E36" s="12"/>
      <c r="F36" s="12"/>
      <c r="K36" s="13"/>
      <c r="L36" s="42"/>
      <c r="M36" s="42"/>
      <c r="N36" s="4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255" ht="23.5" x14ac:dyDescent="0.55000000000000004">
      <c r="B37" s="61" t="s">
        <v>83</v>
      </c>
      <c r="D37" s="12"/>
      <c r="E37" s="12"/>
      <c r="F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255" x14ac:dyDescent="0.35">
      <c r="A38" s="14" t="s">
        <v>84</v>
      </c>
      <c r="B38" s="1"/>
      <c r="C38" s="27" t="s">
        <v>85</v>
      </c>
      <c r="D38" s="27"/>
      <c r="E38" s="27"/>
      <c r="F38" s="27"/>
      <c r="G38" s="27"/>
      <c r="H38" s="28" t="s">
        <v>86</v>
      </c>
      <c r="I38" s="28"/>
      <c r="J38" s="9"/>
      <c r="K38" s="13"/>
      <c r="L38" s="42"/>
      <c r="M38" s="42"/>
      <c r="N38" s="4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255" x14ac:dyDescent="0.35">
      <c r="A39" s="41" t="s">
        <v>87</v>
      </c>
      <c r="B39"/>
      <c r="C39" s="44" t="s">
        <v>88</v>
      </c>
      <c r="H39" s="45" t="s">
        <v>89</v>
      </c>
      <c r="I39" s="62" t="s">
        <v>90</v>
      </c>
      <c r="J39" s="10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255" x14ac:dyDescent="0.35">
      <c r="A40" s="52">
        <f>(((A32/I40)^(B$13))*(I$44)*(I$43^(B$13-1)))-(A28*(I40^B10))</f>
        <v>-9.1820908210138441E-8</v>
      </c>
      <c r="B40" s="55"/>
      <c r="C40" s="58">
        <f>(((A32/H40)^(B$13))*(H$44)*(H$43^(B$13-1)))-(A28*(H40^B10))</f>
        <v>0</v>
      </c>
      <c r="E40" s="12" t="s">
        <v>91</v>
      </c>
      <c r="F40" s="12"/>
      <c r="H40" s="46">
        <v>0.94398997000444196</v>
      </c>
      <c r="I40" s="47">
        <v>1.0433767404663872</v>
      </c>
      <c r="J40" s="10"/>
      <c r="K40" s="13"/>
      <c r="L40" s="42"/>
      <c r="N40" s="42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255" x14ac:dyDescent="0.35">
      <c r="A41" s="52">
        <f t="shared" ref="A41:A42" si="4">(((A33/I41)^(B$13))*(I$44)*(I$43^(B$13-1)))-(A29*(((I41/((1+B17+B22)))^B11)))</f>
        <v>-8.3927170635433868E-7</v>
      </c>
      <c r="B41" s="55"/>
      <c r="C41" s="58">
        <f>(((A33/H41)^(B$13))*(H$44)*(H$43^(B$13-1)))-(A29*(((H41/((1)*(1)))^B11)))</f>
        <v>2.2737367544323206E-13</v>
      </c>
      <c r="E41" s="12" t="s">
        <v>92</v>
      </c>
      <c r="F41" s="12"/>
      <c r="H41" s="46">
        <v>0.85412001185058861</v>
      </c>
      <c r="I41" s="47">
        <v>1.1332964903464882</v>
      </c>
      <c r="J41" s="10"/>
      <c r="K41" s="13"/>
      <c r="L41" s="42"/>
      <c r="N41" s="42">
        <v>1</v>
      </c>
      <c r="O41" s="13"/>
      <c r="R41" s="13"/>
    </row>
    <row r="42" spans="1:255" x14ac:dyDescent="0.35">
      <c r="A42" s="52">
        <f t="shared" si="4"/>
        <v>-1.6414858805546828E-7</v>
      </c>
      <c r="B42" s="55"/>
      <c r="C42" s="58">
        <f>(((A34/H42)^(B$13))*(H$44)*(H$43^(B$13-1)))-(A30*(((H42/((1+B18+B23)))^B12)))</f>
        <v>-5.6843418860808015E-14</v>
      </c>
      <c r="E42" s="12" t="s">
        <v>93</v>
      </c>
      <c r="F42" s="12"/>
      <c r="H42" s="46">
        <v>0.95493520372042107</v>
      </c>
      <c r="I42" s="46">
        <v>1.0345534201297557</v>
      </c>
      <c r="J42" s="10"/>
      <c r="K42" s="13"/>
      <c r="L42" s="42"/>
      <c r="N42" s="42">
        <v>1</v>
      </c>
      <c r="O42" s="13"/>
      <c r="R42" s="13"/>
    </row>
    <row r="43" spans="1:255" x14ac:dyDescent="0.35">
      <c r="A43" s="53">
        <f>(((A32)^(B$13))*(I40^(1-B$13))+((A33)^(B$13))*(I41^(1-B$13))+((A34)^(B$13))*(I42^(1-B$13)))^(1/(1-B13))-I43</f>
        <v>-2.6128210706133359E-11</v>
      </c>
      <c r="B43" s="56"/>
      <c r="C43" s="56">
        <f>(((A32)^(B$13))*(H40^(1-B$13))+((A33)^(B$13))*(H41^(1-B$13))+((A34)^(B$13))*(H42^(1-B$13)))^(1/(1-B13))-H43</f>
        <v>0</v>
      </c>
      <c r="E43" s="23" t="s">
        <v>94</v>
      </c>
      <c r="F43" s="23"/>
      <c r="G43" s="23"/>
      <c r="H43" s="46">
        <v>0.87656188510453525</v>
      </c>
      <c r="I43" s="46">
        <v>1.1019228836357964</v>
      </c>
      <c r="J43" s="10" t="s">
        <v>63</v>
      </c>
      <c r="K43" s="13"/>
      <c r="L43" s="42"/>
      <c r="M43" s="23"/>
      <c r="N43" s="42">
        <v>1</v>
      </c>
      <c r="O43" s="13"/>
      <c r="R43" s="13"/>
    </row>
    <row r="44" spans="1:255" x14ac:dyDescent="0.35">
      <c r="A44" s="54">
        <f>(A31)*(I43^(-B9+1))-I44</f>
        <v>8.6279214883688837E-8</v>
      </c>
      <c r="B44" s="57"/>
      <c r="C44" s="57">
        <f>(A31)*(H43^(-B9+1))-H44</f>
        <v>0</v>
      </c>
      <c r="D44" s="26"/>
      <c r="E44" s="26" t="s">
        <v>95</v>
      </c>
      <c r="F44" s="26"/>
      <c r="G44" s="26"/>
      <c r="H44" s="51">
        <v>1495.3289600122741</v>
      </c>
      <c r="I44" s="51">
        <v>1333.6824446827347</v>
      </c>
      <c r="J44" s="11"/>
      <c r="K44" s="13"/>
      <c r="L44" s="13"/>
      <c r="M44" s="13"/>
      <c r="N44" s="13">
        <f>(B7)</f>
        <v>1400</v>
      </c>
      <c r="O44" s="13"/>
      <c r="R44" s="13"/>
    </row>
    <row r="45" spans="1:255" x14ac:dyDescent="0.35">
      <c r="A45" s="58"/>
      <c r="D45" s="12"/>
      <c r="E45" s="12"/>
      <c r="F45" s="12"/>
      <c r="K45" s="13"/>
      <c r="L45" s="13"/>
      <c r="M45" s="13"/>
      <c r="N45" s="13"/>
      <c r="O45" s="13"/>
      <c r="R45" s="13"/>
    </row>
    <row r="46" spans="1:255" ht="23.5" x14ac:dyDescent="0.55000000000000004">
      <c r="B46" s="61" t="s">
        <v>96</v>
      </c>
      <c r="D46" s="12"/>
      <c r="E46" s="12"/>
      <c r="F46" s="12"/>
      <c r="L46" s="13"/>
      <c r="M46" s="13"/>
      <c r="O46" s="13"/>
      <c r="R46" s="13"/>
    </row>
    <row r="47" spans="1:255" ht="9.65" customHeight="1" x14ac:dyDescent="0.35">
      <c r="A47" s="18"/>
      <c r="B47" s="28" t="s">
        <v>63</v>
      </c>
      <c r="C47" s="28"/>
      <c r="D47" s="28"/>
      <c r="E47" s="28"/>
      <c r="F47" s="28"/>
      <c r="G47" s="28"/>
      <c r="H47" s="28"/>
      <c r="I47" s="28"/>
      <c r="J47" s="37"/>
      <c r="L47" s="13"/>
      <c r="N47" s="13"/>
      <c r="O47" s="13"/>
      <c r="R47" s="13"/>
    </row>
    <row r="48" spans="1:255" ht="17" x14ac:dyDescent="0.35">
      <c r="A48" s="15"/>
      <c r="B48" s="48" t="s">
        <v>97</v>
      </c>
      <c r="C48" s="23"/>
      <c r="D48" s="23"/>
      <c r="E48" s="23"/>
      <c r="F48" s="12"/>
      <c r="I48" s="12"/>
      <c r="J48" s="10"/>
      <c r="L48" s="13"/>
      <c r="M48" s="13"/>
      <c r="N48" s="13"/>
      <c r="O48" s="13"/>
      <c r="R48" s="13"/>
    </row>
    <row r="49" spans="1:18" x14ac:dyDescent="0.35">
      <c r="A49" s="15"/>
      <c r="B49"/>
      <c r="C49" s="23"/>
      <c r="D49" s="23"/>
      <c r="E49" s="23"/>
      <c r="G49" s="49" t="s">
        <v>98</v>
      </c>
      <c r="H49" s="50" t="s">
        <v>99</v>
      </c>
      <c r="I49" s="50" t="s">
        <v>100</v>
      </c>
      <c r="J49" s="10"/>
      <c r="L49" s="13"/>
      <c r="M49" s="13"/>
      <c r="N49" s="13"/>
      <c r="O49" s="13"/>
      <c r="R49" s="13"/>
    </row>
    <row r="50" spans="1:18" x14ac:dyDescent="0.35">
      <c r="A50" s="19"/>
      <c r="B50" s="23" t="s">
        <v>101</v>
      </c>
      <c r="C50" s="23"/>
      <c r="D50" s="23"/>
      <c r="E50" s="12" t="s">
        <v>63</v>
      </c>
      <c r="F50" s="12"/>
      <c r="G50" s="47">
        <f>(((B5)-(((A33/H41)^(B$13))*(H$44)*(H$43^(B$13-1))))*(1/H41))*0.5</f>
        <v>-226.67627091312738</v>
      </c>
      <c r="H50" s="47">
        <f>(((B5*(1+I64))-(((A33/H41)^(B$13))*(H$44)*(H$43^(B$13-1))))*(I41/H41))*0.5</f>
        <v>-421.88847134238824</v>
      </c>
      <c r="I50" s="47">
        <f t="shared" ref="I50:I52" si="5">(H50-G50)</f>
        <v>-195.21220042926086</v>
      </c>
      <c r="J50" s="10"/>
      <c r="L50" s="13"/>
      <c r="M50" s="13"/>
      <c r="N50" s="13"/>
      <c r="O50" s="13"/>
      <c r="R50" s="13"/>
    </row>
    <row r="51" spans="1:18" x14ac:dyDescent="0.35">
      <c r="A51" s="15"/>
      <c r="B51" s="12" t="s">
        <v>102</v>
      </c>
      <c r="D51" s="12"/>
      <c r="E51" s="12"/>
      <c r="F51" s="29"/>
      <c r="G51" s="47">
        <f>(H41-G31)*B5</f>
        <v>54.120011850588568</v>
      </c>
      <c r="H51" s="47">
        <f>(H41-(I41/(1+B22+B17)))*(1+I64)*B5</f>
        <v>74.069605313544443</v>
      </c>
      <c r="I51" s="47">
        <f t="shared" si="5"/>
        <v>19.949593462955875</v>
      </c>
      <c r="J51" s="10"/>
      <c r="L51" s="13"/>
      <c r="M51" s="13"/>
      <c r="N51" s="13"/>
      <c r="O51" s="13"/>
      <c r="R51" s="13"/>
    </row>
    <row r="52" spans="1:18" x14ac:dyDescent="0.35">
      <c r="A52" s="16"/>
      <c r="B52" s="23" t="s">
        <v>103</v>
      </c>
      <c r="C52" s="23"/>
      <c r="D52" s="23"/>
      <c r="E52" s="23"/>
      <c r="F52" s="23"/>
      <c r="G52" s="46">
        <f>-((1/(1+B20+B15)))*B20*B5</f>
        <v>0</v>
      </c>
      <c r="H52" s="47">
        <f>-(I41/(1+B22+B17))*B22*B5*(1+I64)</f>
        <v>-141.90698788826731</v>
      </c>
      <c r="I52" s="47">
        <f t="shared" si="5"/>
        <v>-141.90698788826731</v>
      </c>
      <c r="J52" s="10"/>
      <c r="M52" s="13"/>
      <c r="N52" s="13"/>
      <c r="O52" s="13"/>
      <c r="R52" s="13"/>
    </row>
    <row r="53" spans="1:18" x14ac:dyDescent="0.35">
      <c r="A53" s="15"/>
      <c r="B53" s="12" t="s">
        <v>104</v>
      </c>
      <c r="C53"/>
      <c r="F53" s="23"/>
      <c r="G53" s="86" t="s">
        <v>105</v>
      </c>
      <c r="H53" s="47">
        <f>(G32*(1+I68)*B6*B18)-(B6*G32*B16)</f>
        <v>7.4050484665768508</v>
      </c>
      <c r="I53" s="47">
        <f>(H53)</f>
        <v>7.4050484665768508</v>
      </c>
      <c r="J53" s="10"/>
      <c r="L53" s="13"/>
      <c r="M53" s="13"/>
      <c r="N53" s="13"/>
      <c r="O53" s="13"/>
      <c r="R53" s="13"/>
    </row>
    <row r="54" spans="1:18" x14ac:dyDescent="0.35">
      <c r="A54" s="15"/>
      <c r="B54" s="23" t="s">
        <v>106</v>
      </c>
      <c r="C54"/>
      <c r="F54" s="29"/>
      <c r="G54" s="23"/>
      <c r="H54" s="29"/>
      <c r="I54" s="47">
        <f>SUM(I50:I53)</f>
        <v>-309.76454638799549</v>
      </c>
      <c r="J54" s="10"/>
      <c r="L54" s="13"/>
      <c r="M54" s="13"/>
      <c r="N54" s="13"/>
      <c r="O54" s="13"/>
      <c r="R54" s="13"/>
    </row>
    <row r="55" spans="1:18" x14ac:dyDescent="0.35">
      <c r="A55" s="16"/>
      <c r="B55"/>
      <c r="C55"/>
      <c r="F55" s="30"/>
      <c r="G55" s="23" t="s">
        <v>63</v>
      </c>
      <c r="H55" s="30"/>
      <c r="I55"/>
      <c r="J55" s="10"/>
      <c r="L55" s="13"/>
      <c r="M55" s="13"/>
      <c r="N55" s="13"/>
      <c r="O55" s="13"/>
      <c r="R55" s="13"/>
    </row>
    <row r="56" spans="1:18" x14ac:dyDescent="0.35">
      <c r="A56" s="16"/>
      <c r="B56"/>
      <c r="C56"/>
      <c r="G56"/>
      <c r="H56"/>
      <c r="I56"/>
      <c r="J56" s="10"/>
      <c r="L56" s="13"/>
      <c r="M56" s="13"/>
      <c r="N56" s="13"/>
      <c r="O56" s="13"/>
      <c r="R56" s="13"/>
    </row>
    <row r="57" spans="1:18" ht="17" x14ac:dyDescent="0.35">
      <c r="A57" s="16"/>
      <c r="B57" s="48" t="s">
        <v>107</v>
      </c>
      <c r="C57" s="23"/>
      <c r="D57" s="23"/>
      <c r="E57" s="23"/>
      <c r="F57" s="30"/>
      <c r="G57" s="23"/>
      <c r="I57" s="30"/>
      <c r="J57" s="10"/>
      <c r="L57" s="13"/>
      <c r="M57" s="13"/>
      <c r="N57" s="13"/>
      <c r="O57" s="13"/>
      <c r="R57" s="13"/>
    </row>
    <row r="58" spans="1:18" x14ac:dyDescent="0.35">
      <c r="A58" s="16"/>
      <c r="B58" s="23"/>
      <c r="C58" s="23"/>
      <c r="D58" s="23"/>
      <c r="E58" s="23"/>
      <c r="F58" s="23"/>
      <c r="G58" s="23"/>
      <c r="J58" s="10"/>
      <c r="L58" s="13"/>
      <c r="M58" s="13"/>
      <c r="N58" s="13"/>
      <c r="O58" s="13"/>
      <c r="R58" s="13"/>
    </row>
    <row r="59" spans="1:18" x14ac:dyDescent="0.35">
      <c r="A59" s="15"/>
      <c r="B59" s="23" t="s">
        <v>108</v>
      </c>
      <c r="C59" s="23"/>
      <c r="D59" s="23"/>
      <c r="E59" s="23"/>
      <c r="F59" s="23"/>
      <c r="G59" s="23"/>
      <c r="H59" s="32"/>
      <c r="I59" s="32">
        <f>(I40-1)</f>
        <v>4.3376740466387176E-2</v>
      </c>
      <c r="J59" s="10"/>
      <c r="L59" s="13"/>
      <c r="M59" s="13"/>
      <c r="N59" s="13"/>
      <c r="O59" s="13"/>
      <c r="R59" s="13"/>
    </row>
    <row r="60" spans="1:18" x14ac:dyDescent="0.35">
      <c r="A60" s="20"/>
      <c r="B60" s="12" t="s">
        <v>109</v>
      </c>
      <c r="C60" s="23"/>
      <c r="D60" s="23"/>
      <c r="E60" s="23"/>
      <c r="F60" s="23"/>
      <c r="G60" s="23"/>
      <c r="H60" s="31"/>
      <c r="I60" s="31">
        <f>((((A32/I40)^(B$13))*(I$44)*(I$43^(B$13-1)))-B4)/B4</f>
        <v>0.13585646092276676</v>
      </c>
      <c r="J60" s="10"/>
      <c r="L60" s="13"/>
      <c r="M60" s="13"/>
      <c r="N60" s="13"/>
      <c r="O60" s="13"/>
      <c r="R60" s="13"/>
    </row>
    <row r="61" spans="1:18" ht="7.15" customHeight="1" x14ac:dyDescent="0.35">
      <c r="A61" s="20"/>
      <c r="B61" s="23"/>
      <c r="C61" s="23"/>
      <c r="D61" s="23"/>
      <c r="E61" s="23"/>
      <c r="F61" s="23"/>
      <c r="G61" s="23"/>
      <c r="H61" s="32"/>
      <c r="I61" s="32"/>
      <c r="J61" s="10"/>
      <c r="L61" s="13"/>
      <c r="M61" s="13"/>
      <c r="N61" s="13"/>
      <c r="O61" s="13"/>
      <c r="R61" s="13"/>
    </row>
    <row r="62" spans="1:18" x14ac:dyDescent="0.35">
      <c r="A62" s="20"/>
      <c r="B62" s="12" t="s">
        <v>110</v>
      </c>
      <c r="C62" s="23"/>
      <c r="D62" s="23"/>
      <c r="E62" s="23"/>
      <c r="F62" s="23"/>
      <c r="G62" s="23"/>
      <c r="H62" s="31"/>
      <c r="I62" s="31">
        <f>((I41/((1+B17+B22)))-G31)/G31</f>
        <v>-5.5586258044593301E-2</v>
      </c>
      <c r="J62" s="10"/>
      <c r="L62" s="39"/>
      <c r="M62" s="39"/>
      <c r="N62" s="13"/>
      <c r="O62" s="13"/>
      <c r="R62" s="13"/>
    </row>
    <row r="63" spans="1:18" x14ac:dyDescent="0.35">
      <c r="A63" s="20"/>
      <c r="B63" s="23" t="s">
        <v>111</v>
      </c>
      <c r="C63" s="23"/>
      <c r="D63" s="23"/>
      <c r="E63" s="23"/>
      <c r="F63" s="23"/>
      <c r="G63" s="23"/>
      <c r="H63" s="32"/>
      <c r="I63" s="32">
        <f>(I41-1)</f>
        <v>0.13329649034648816</v>
      </c>
      <c r="J63" s="10"/>
      <c r="L63" s="39"/>
      <c r="M63" s="39"/>
      <c r="N63" s="13"/>
      <c r="O63" s="13"/>
      <c r="R63" s="13"/>
    </row>
    <row r="64" spans="1:18" x14ac:dyDescent="0.35">
      <c r="A64" s="20"/>
      <c r="B64" s="12" t="s">
        <v>112</v>
      </c>
      <c r="C64" s="23"/>
      <c r="D64" s="23"/>
      <c r="E64" s="23"/>
      <c r="F64" s="23"/>
      <c r="G64" s="23"/>
      <c r="H64" s="31"/>
      <c r="I64" s="31">
        <f>((((A33/I41)^(B$13))*(I$44)*(I$43^(B$13-1)))-B5)/B5</f>
        <v>-0.24870328763721092</v>
      </c>
      <c r="J64" s="10"/>
      <c r="L64" s="39"/>
      <c r="M64" s="39"/>
      <c r="N64" s="13"/>
      <c r="O64" s="13"/>
      <c r="R64" s="13"/>
    </row>
    <row r="65" spans="1:18" ht="8.5" customHeight="1" x14ac:dyDescent="0.35">
      <c r="A65" s="20"/>
      <c r="B65" s="23"/>
      <c r="C65" s="23"/>
      <c r="D65" s="23"/>
      <c r="E65" s="23"/>
      <c r="F65" s="23"/>
      <c r="G65" s="23"/>
      <c r="H65" s="32"/>
      <c r="I65" s="32"/>
      <c r="J65" s="10"/>
      <c r="L65" s="39"/>
      <c r="M65" s="39"/>
      <c r="N65" s="13"/>
      <c r="O65" s="13"/>
      <c r="R65" s="13"/>
    </row>
    <row r="66" spans="1:18" x14ac:dyDescent="0.35">
      <c r="A66" s="20"/>
      <c r="B66" s="12" t="s">
        <v>113</v>
      </c>
      <c r="D66" s="12"/>
      <c r="E66" s="12"/>
      <c r="F66" s="31"/>
      <c r="H66" s="31"/>
      <c r="I66" s="31">
        <f>((I42/((1+B18+B23)))-G32)/G32</f>
        <v>3.4553420129755652E-2</v>
      </c>
      <c r="J66" s="10"/>
      <c r="L66" s="13"/>
      <c r="M66" s="13"/>
      <c r="N66" s="13"/>
    </row>
    <row r="67" spans="1:18" x14ac:dyDescent="0.35">
      <c r="A67" s="20"/>
      <c r="B67" s="23" t="s">
        <v>114</v>
      </c>
      <c r="D67" s="12"/>
      <c r="E67" s="12"/>
      <c r="F67" s="32"/>
      <c r="H67" s="32"/>
      <c r="I67" s="32">
        <f>(I42-1)</f>
        <v>3.4553420129755708E-2</v>
      </c>
      <c r="J67" s="10"/>
      <c r="L67" s="39"/>
      <c r="M67" s="13"/>
      <c r="N67" s="13"/>
    </row>
    <row r="68" spans="1:18" x14ac:dyDescent="0.35">
      <c r="A68" s="20"/>
      <c r="B68" s="12" t="s">
        <v>115</v>
      </c>
      <c r="D68" s="12"/>
      <c r="E68" s="12"/>
      <c r="F68" s="31"/>
      <c r="H68" s="31"/>
      <c r="I68" s="31">
        <f>((((A34/I42)^(B$13))*(I$44)*(I$43^(B$13-1)))-B6)/B6</f>
        <v>0.18512621166442117</v>
      </c>
      <c r="J68" s="10"/>
      <c r="L68" s="39"/>
      <c r="M68" s="13"/>
      <c r="N68" s="13"/>
    </row>
    <row r="69" spans="1:18" ht="7.15" customHeight="1" x14ac:dyDescent="0.35">
      <c r="A69" s="20"/>
      <c r="D69" s="12"/>
      <c r="E69" s="12"/>
      <c r="F69" s="31"/>
      <c r="I69" s="31" t="s">
        <v>63</v>
      </c>
      <c r="J69" s="10"/>
      <c r="M69" s="13"/>
      <c r="N69" s="13"/>
    </row>
    <row r="70" spans="1:18" x14ac:dyDescent="0.35">
      <c r="A70" s="20"/>
      <c r="B70" s="12" t="s">
        <v>116</v>
      </c>
      <c r="D70" s="12"/>
      <c r="E70" s="12"/>
      <c r="F70" s="12"/>
      <c r="I70" s="12"/>
      <c r="J70" s="10"/>
      <c r="M70" s="13"/>
      <c r="N70" s="13"/>
    </row>
    <row r="71" spans="1:18" x14ac:dyDescent="0.35">
      <c r="A71" s="19"/>
      <c r="B71" s="12" t="s">
        <v>63</v>
      </c>
      <c r="C71" s="12" t="s">
        <v>117</v>
      </c>
      <c r="D71" s="12"/>
      <c r="E71" s="13"/>
      <c r="F71" s="29"/>
      <c r="H71" s="46"/>
      <c r="I71" s="47">
        <f>((1+I62)*G31*(1+I64)*B5*B17)-(B5*G31*B15)</f>
        <v>-58.093012111732691</v>
      </c>
      <c r="J71" s="10"/>
      <c r="M71" s="13"/>
      <c r="N71" s="13"/>
    </row>
    <row r="72" spans="1:18" x14ac:dyDescent="0.35">
      <c r="A72" s="15"/>
      <c r="B72" s="12" t="s">
        <v>63</v>
      </c>
      <c r="C72" s="12" t="s">
        <v>118</v>
      </c>
      <c r="D72" s="12"/>
      <c r="E72" s="13"/>
      <c r="F72" s="29"/>
      <c r="H72" s="46"/>
      <c r="I72" s="47">
        <f>((1+I66)*G32*(1+I68)*B6*B18)-(B6*G32*B16)</f>
        <v>9.0430550225139115</v>
      </c>
      <c r="J72" s="10"/>
      <c r="M72" s="13"/>
      <c r="N72" s="13"/>
    </row>
    <row r="73" spans="1:18" x14ac:dyDescent="0.35">
      <c r="A73" s="15"/>
      <c r="B73" s="23"/>
      <c r="C73" s="23" t="s">
        <v>119</v>
      </c>
      <c r="D73" s="23"/>
      <c r="E73" s="39"/>
      <c r="F73" s="23"/>
      <c r="G73" s="23"/>
      <c r="H73" s="46"/>
      <c r="I73" s="47">
        <f>SUM(I71:I72)</f>
        <v>-49.049957089218779</v>
      </c>
      <c r="J73" s="10"/>
      <c r="M73" s="13"/>
      <c r="N73" s="13"/>
    </row>
    <row r="74" spans="1:18" ht="9.65" customHeight="1" x14ac:dyDescent="0.35">
      <c r="A74" s="17"/>
      <c r="B74" s="26"/>
      <c r="C74" s="26"/>
      <c r="D74" s="26"/>
      <c r="E74" s="26"/>
      <c r="F74" s="26"/>
      <c r="G74" s="26"/>
      <c r="H74" s="43"/>
      <c r="I74" s="43"/>
      <c r="J74" s="36"/>
      <c r="L74" s="13"/>
      <c r="M74" s="13"/>
      <c r="N74" s="13"/>
    </row>
    <row r="75" spans="1:18" x14ac:dyDescent="0.35">
      <c r="D75" s="12"/>
      <c r="E75" s="12"/>
      <c r="F75" s="12"/>
      <c r="L75" s="13"/>
      <c r="M75" s="13"/>
      <c r="N75" s="13"/>
    </row>
    <row r="76" spans="1:18" x14ac:dyDescent="0.35">
      <c r="D76" s="12"/>
      <c r="E76" s="12"/>
      <c r="F76" s="12"/>
      <c r="L76" s="13"/>
      <c r="M76" s="13"/>
      <c r="N76" s="13"/>
    </row>
    <row r="77" spans="1:18" x14ac:dyDescent="0.35">
      <c r="D77" s="12"/>
      <c r="E77" s="12"/>
      <c r="F77" s="12"/>
      <c r="L77" s="13"/>
      <c r="M77" s="13"/>
      <c r="N77" s="13"/>
    </row>
    <row r="78" spans="1:18" x14ac:dyDescent="0.35">
      <c r="D78" s="12"/>
      <c r="E78" s="12"/>
      <c r="F78" s="12"/>
      <c r="I78"/>
      <c r="L78" s="13"/>
      <c r="M78" s="13"/>
      <c r="N78" s="13"/>
    </row>
    <row r="79" spans="1:18" x14ac:dyDescent="0.35">
      <c r="D79" s="12"/>
      <c r="E79" s="12"/>
      <c r="F79" s="12"/>
      <c r="L79" s="13"/>
      <c r="M79" s="13"/>
    </row>
    <row r="80" spans="1:18" x14ac:dyDescent="0.35">
      <c r="D80" s="12"/>
      <c r="E80" s="12"/>
      <c r="F80" s="12"/>
      <c r="L80" s="13"/>
    </row>
    <row r="81" spans="3:12" x14ac:dyDescent="0.35">
      <c r="D81" s="12"/>
      <c r="E81" s="12"/>
      <c r="F81" s="12"/>
      <c r="L81" s="13"/>
    </row>
    <row r="82" spans="3:12" x14ac:dyDescent="0.35">
      <c r="D82" s="12"/>
      <c r="E82" s="12"/>
      <c r="F82" s="12"/>
      <c r="L82" s="13"/>
    </row>
    <row r="83" spans="3:12" x14ac:dyDescent="0.35">
      <c r="D83" s="12"/>
      <c r="E83" s="12"/>
      <c r="F83" s="12"/>
    </row>
    <row r="84" spans="3:12" x14ac:dyDescent="0.35">
      <c r="D84" s="12"/>
      <c r="E84" s="12"/>
      <c r="F84" s="12"/>
    </row>
    <row r="85" spans="3:12" x14ac:dyDescent="0.35">
      <c r="D85" s="12"/>
      <c r="E85" s="12"/>
      <c r="F85" s="12"/>
    </row>
    <row r="86" spans="3:12" x14ac:dyDescent="0.35">
      <c r="D86" s="12"/>
      <c r="E86" s="12"/>
      <c r="F86" s="12"/>
    </row>
    <row r="87" spans="3:12" x14ac:dyDescent="0.35">
      <c r="D87" s="12"/>
      <c r="E87" s="12"/>
      <c r="F87" s="12"/>
    </row>
    <row r="88" spans="3:12" x14ac:dyDescent="0.35">
      <c r="D88" s="12"/>
      <c r="E88" s="12"/>
      <c r="F88" s="12"/>
    </row>
    <row r="89" spans="3:12" x14ac:dyDescent="0.35">
      <c r="D89" s="12"/>
      <c r="E89" s="12"/>
      <c r="F89" s="12"/>
    </row>
    <row r="90" spans="3:12" x14ac:dyDescent="0.35">
      <c r="D90" s="12"/>
      <c r="E90" s="12"/>
      <c r="F90" s="12"/>
    </row>
    <row r="91" spans="3:12" x14ac:dyDescent="0.35">
      <c r="D91" s="12"/>
      <c r="E91" s="12"/>
      <c r="F91" s="12"/>
    </row>
    <row r="92" spans="3:12" x14ac:dyDescent="0.35">
      <c r="D92" s="12"/>
      <c r="E92" s="12"/>
      <c r="F92" s="12"/>
    </row>
    <row r="93" spans="3:12" x14ac:dyDescent="0.35">
      <c r="D93" s="12"/>
      <c r="E93" s="12"/>
      <c r="F93" s="12"/>
    </row>
    <row r="94" spans="3:12" x14ac:dyDescent="0.35">
      <c r="D94" s="12"/>
      <c r="E94" s="12"/>
      <c r="F94" s="12"/>
    </row>
    <row r="95" spans="3:12" x14ac:dyDescent="0.35">
      <c r="C95"/>
      <c r="E95" s="12"/>
      <c r="F95" s="12"/>
      <c r="G95"/>
      <c r="H95"/>
      <c r="I95"/>
      <c r="J95"/>
    </row>
    <row r="96" spans="3:12" x14ac:dyDescent="0.35">
      <c r="C96"/>
      <c r="E96" s="12"/>
      <c r="F96" s="12"/>
      <c r="G96"/>
      <c r="H96"/>
      <c r="I96"/>
      <c r="J96"/>
    </row>
    <row r="97" spans="1:10" x14ac:dyDescent="0.35">
      <c r="C97"/>
      <c r="E97" s="12"/>
      <c r="F97" s="12"/>
      <c r="G97"/>
      <c r="H97"/>
      <c r="I97"/>
      <c r="J97"/>
    </row>
    <row r="98" spans="1:10" x14ac:dyDescent="0.35">
      <c r="C98"/>
      <c r="E98" s="12"/>
      <c r="F98" s="12"/>
      <c r="G98"/>
      <c r="H98"/>
      <c r="I98"/>
      <c r="J98"/>
    </row>
    <row r="99" spans="1:10" x14ac:dyDescent="0.35">
      <c r="C99"/>
      <c r="E99" s="12"/>
      <c r="F99" s="12"/>
      <c r="G99"/>
      <c r="H99"/>
      <c r="I99"/>
      <c r="J99"/>
    </row>
    <row r="100" spans="1:10" x14ac:dyDescent="0.35">
      <c r="C100"/>
      <c r="E100" s="12"/>
      <c r="F100" s="12"/>
      <c r="G100"/>
      <c r="H100"/>
      <c r="I100"/>
      <c r="J100"/>
    </row>
    <row r="101" spans="1:10" x14ac:dyDescent="0.35">
      <c r="C101"/>
      <c r="E101" s="12"/>
      <c r="F101" s="12"/>
      <c r="G101"/>
      <c r="H101"/>
      <c r="I101"/>
      <c r="J101"/>
    </row>
    <row r="102" spans="1:10" x14ac:dyDescent="0.35">
      <c r="C102"/>
      <c r="E102" s="12"/>
      <c r="F102" s="12"/>
      <c r="G102"/>
      <c r="H102"/>
      <c r="I102"/>
      <c r="J102"/>
    </row>
    <row r="103" spans="1:10" x14ac:dyDescent="0.35">
      <c r="C103"/>
      <c r="E103" s="12"/>
      <c r="F103" s="12"/>
      <c r="G103"/>
      <c r="H103"/>
      <c r="I103"/>
      <c r="J103"/>
    </row>
    <row r="104" spans="1:10" x14ac:dyDescent="0.35">
      <c r="C104"/>
      <c r="F104" s="12"/>
      <c r="G104"/>
      <c r="H104"/>
      <c r="I104"/>
      <c r="J104"/>
    </row>
    <row r="105" spans="1:10" x14ac:dyDescent="0.35">
      <c r="C105"/>
      <c r="F105" s="12"/>
      <c r="G105"/>
      <c r="H105"/>
      <c r="I105"/>
      <c r="J105"/>
    </row>
    <row r="106" spans="1:10" x14ac:dyDescent="0.35">
      <c r="C106"/>
      <c r="F106" s="12"/>
      <c r="G106"/>
      <c r="H106"/>
      <c r="I106"/>
      <c r="J106"/>
    </row>
    <row r="107" spans="1:10" x14ac:dyDescent="0.35">
      <c r="A107"/>
      <c r="C107"/>
      <c r="F107" s="12"/>
      <c r="G107"/>
      <c r="H107"/>
      <c r="I107"/>
      <c r="J107"/>
    </row>
  </sheetData>
  <pageMargins left="0.78888888888888897" right="0.59513888888888888" top="0.83333333333333337" bottom="0.71250000000000002" header="0.33333333333333337" footer="0.21249999999999999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calibrate">
                <anchor moveWithCells="1" sizeWithCells="1">
                  <from>
                    <xdr:col>7</xdr:col>
                    <xdr:colOff>1047750</xdr:colOff>
                    <xdr:row>10</xdr:row>
                    <xdr:rowOff>95250</xdr:rowOff>
                  </from>
                  <to>
                    <xdr:col>9</xdr:col>
                    <xdr:colOff>19050</xdr:colOff>
                    <xdr:row>14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F156"/>
  <sheetViews>
    <sheetView showOutlineSymbols="0" workbookViewId="0">
      <selection activeCell="B1" sqref="B1"/>
    </sheetView>
  </sheetViews>
  <sheetFormatPr defaultRowHeight="15.5" x14ac:dyDescent="0.35"/>
  <cols>
    <col min="2" max="2" width="12.54296875" style="66" customWidth="1"/>
    <col min="6" max="6" width="48" style="66" customWidth="1"/>
  </cols>
  <sheetData>
    <row r="1" spans="2:6" x14ac:dyDescent="0.35">
      <c r="B1"/>
      <c r="C1" s="66"/>
      <c r="D1" s="66"/>
      <c r="E1" s="66"/>
    </row>
    <row r="2" spans="2:6" ht="20" x14ac:dyDescent="0.4">
      <c r="B2" s="81" t="s">
        <v>120</v>
      </c>
      <c r="C2" s="66"/>
      <c r="D2" s="66"/>
      <c r="E2" s="66"/>
    </row>
    <row r="3" spans="2:6" x14ac:dyDescent="0.35">
      <c r="B3"/>
      <c r="C3" s="66"/>
      <c r="D3" s="66"/>
      <c r="E3" s="66"/>
    </row>
    <row r="4" spans="2:6" ht="17" x14ac:dyDescent="0.35">
      <c r="B4" s="65" t="s">
        <v>121</v>
      </c>
      <c r="C4" s="2"/>
      <c r="D4" s="2"/>
      <c r="E4" s="2"/>
      <c r="F4" s="2"/>
    </row>
    <row r="5" spans="2:6" ht="17" x14ac:dyDescent="0.35">
      <c r="B5" s="65" t="s">
        <v>122</v>
      </c>
      <c r="C5" s="2"/>
      <c r="D5" s="2"/>
      <c r="E5" s="2"/>
      <c r="F5" s="2"/>
    </row>
    <row r="6" spans="2:6" x14ac:dyDescent="0.35">
      <c r="C6" s="2"/>
      <c r="D6" s="2"/>
      <c r="E6" s="2"/>
      <c r="F6" s="2"/>
    </row>
    <row r="7" spans="2:6" x14ac:dyDescent="0.35">
      <c r="B7" s="2"/>
      <c r="C7" s="2"/>
      <c r="D7" s="2"/>
      <c r="E7" s="2"/>
      <c r="F7" s="2"/>
    </row>
    <row r="8" spans="2:6" x14ac:dyDescent="0.35">
      <c r="B8" s="67" t="s">
        <v>123</v>
      </c>
      <c r="C8" s="71" t="s">
        <v>124</v>
      </c>
      <c r="D8" s="75" t="s">
        <v>125</v>
      </c>
      <c r="E8" s="76"/>
      <c r="F8" s="80" t="s">
        <v>126</v>
      </c>
    </row>
    <row r="9" spans="2:6" x14ac:dyDescent="0.35">
      <c r="B9" s="68"/>
      <c r="C9" s="72"/>
      <c r="D9" s="3"/>
      <c r="E9" s="77"/>
      <c r="F9" s="5"/>
    </row>
    <row r="10" spans="2:6" x14ac:dyDescent="0.35">
      <c r="B10" s="69">
        <v>1</v>
      </c>
      <c r="C10" s="73">
        <v>1.22</v>
      </c>
      <c r="D10" s="2">
        <v>1.63</v>
      </c>
      <c r="E10" s="78"/>
      <c r="F10" s="6" t="s">
        <v>127</v>
      </c>
    </row>
    <row r="11" spans="2:6" x14ac:dyDescent="0.35">
      <c r="B11" s="69">
        <v>4</v>
      </c>
      <c r="C11" s="73">
        <v>0.16</v>
      </c>
      <c r="D11" s="2">
        <v>0.23</v>
      </c>
      <c r="E11" s="78"/>
      <c r="F11" s="6" t="s">
        <v>128</v>
      </c>
    </row>
    <row r="12" spans="2:6" x14ac:dyDescent="0.35">
      <c r="B12" s="69">
        <v>5</v>
      </c>
      <c r="C12" s="73">
        <v>0.31</v>
      </c>
      <c r="D12" s="2">
        <v>2.2999999999999998</v>
      </c>
      <c r="E12" s="78" t="s">
        <v>105</v>
      </c>
      <c r="F12" s="6" t="s">
        <v>129</v>
      </c>
    </row>
    <row r="13" spans="2:6" x14ac:dyDescent="0.35">
      <c r="B13" s="69">
        <v>6</v>
      </c>
      <c r="C13" s="73">
        <v>0.97</v>
      </c>
      <c r="D13" s="2">
        <v>17.84</v>
      </c>
      <c r="E13" s="78" t="s">
        <v>105</v>
      </c>
      <c r="F13" s="6" t="s">
        <v>130</v>
      </c>
    </row>
    <row r="14" spans="2:6" x14ac:dyDescent="0.35">
      <c r="B14" s="69">
        <v>8</v>
      </c>
      <c r="C14" s="73">
        <v>1.1299999999999999</v>
      </c>
      <c r="D14" s="2">
        <v>1.78</v>
      </c>
      <c r="E14" s="78"/>
      <c r="F14" s="6" t="s">
        <v>131</v>
      </c>
    </row>
    <row r="15" spans="2:6" x14ac:dyDescent="0.35">
      <c r="B15" s="69">
        <v>9</v>
      </c>
      <c r="C15" s="73">
        <v>1.68</v>
      </c>
      <c r="D15" s="2">
        <v>3.3</v>
      </c>
      <c r="E15" s="78" t="s">
        <v>105</v>
      </c>
      <c r="F15" s="6" t="s">
        <v>132</v>
      </c>
    </row>
    <row r="16" spans="2:6" x14ac:dyDescent="0.35">
      <c r="B16" s="69">
        <v>11</v>
      </c>
      <c r="C16" s="73">
        <v>1</v>
      </c>
      <c r="D16" s="2">
        <v>33.92</v>
      </c>
      <c r="E16" s="78" t="s">
        <v>105</v>
      </c>
      <c r="F16" s="6" t="s">
        <v>133</v>
      </c>
    </row>
    <row r="17" spans="2:6" x14ac:dyDescent="0.35">
      <c r="B17" s="69">
        <v>12</v>
      </c>
      <c r="C17" s="73">
        <v>1.99</v>
      </c>
      <c r="D17" s="2">
        <v>6.74</v>
      </c>
      <c r="E17" s="78" t="s">
        <v>105</v>
      </c>
      <c r="F17" s="6" t="s">
        <v>134</v>
      </c>
    </row>
    <row r="18" spans="2:6" x14ac:dyDescent="0.35">
      <c r="B18" s="69">
        <v>15</v>
      </c>
      <c r="C18" s="73">
        <v>0.67</v>
      </c>
      <c r="D18" s="2">
        <v>3.1</v>
      </c>
      <c r="E18" s="78" t="s">
        <v>105</v>
      </c>
      <c r="F18" s="6" t="s">
        <v>135</v>
      </c>
    </row>
    <row r="19" spans="2:6" x14ac:dyDescent="0.35">
      <c r="B19" s="69">
        <v>17</v>
      </c>
      <c r="C19" s="73">
        <v>1.1599999999999999</v>
      </c>
      <c r="D19" s="2">
        <v>2.84</v>
      </c>
      <c r="E19" s="78" t="s">
        <v>105</v>
      </c>
      <c r="F19" s="6" t="s">
        <v>136</v>
      </c>
    </row>
    <row r="20" spans="2:6" x14ac:dyDescent="0.35">
      <c r="B20" s="69">
        <v>18</v>
      </c>
      <c r="C20" s="73">
        <v>0.35</v>
      </c>
      <c r="D20" s="2">
        <v>8.0399999999999991</v>
      </c>
      <c r="E20" s="78" t="s">
        <v>105</v>
      </c>
      <c r="F20" s="6" t="s">
        <v>137</v>
      </c>
    </row>
    <row r="21" spans="2:6" x14ac:dyDescent="0.35">
      <c r="B21" s="69">
        <v>19</v>
      </c>
      <c r="C21" s="73">
        <v>1.88</v>
      </c>
      <c r="D21" s="2">
        <v>7.9</v>
      </c>
      <c r="E21" s="78" t="s">
        <v>105</v>
      </c>
      <c r="F21" s="6" t="s">
        <v>138</v>
      </c>
    </row>
    <row r="22" spans="2:6" x14ac:dyDescent="0.35">
      <c r="B22" s="69">
        <v>20</v>
      </c>
      <c r="C22" s="73">
        <v>1.26</v>
      </c>
      <c r="D22" s="2">
        <v>6.24</v>
      </c>
      <c r="E22" s="78" t="s">
        <v>105</v>
      </c>
      <c r="F22" s="6" t="s">
        <v>139</v>
      </c>
    </row>
    <row r="23" spans="2:6" x14ac:dyDescent="0.35">
      <c r="B23" s="69">
        <v>21</v>
      </c>
      <c r="C23" s="73">
        <v>0.59</v>
      </c>
      <c r="D23" s="2">
        <v>1.67</v>
      </c>
      <c r="E23" s="78"/>
      <c r="F23" s="6" t="s">
        <v>140</v>
      </c>
    </row>
    <row r="24" spans="2:6" x14ac:dyDescent="0.35">
      <c r="B24" s="69">
        <v>22</v>
      </c>
      <c r="C24" s="73">
        <v>1.1100000000000001</v>
      </c>
      <c r="D24" s="2">
        <v>7.68</v>
      </c>
      <c r="E24" s="78" t="s">
        <v>105</v>
      </c>
      <c r="F24" s="6" t="s">
        <v>141</v>
      </c>
    </row>
    <row r="25" spans="2:6" x14ac:dyDescent="0.35">
      <c r="B25" s="69">
        <v>24</v>
      </c>
      <c r="C25" s="73">
        <v>0.13</v>
      </c>
      <c r="D25" s="2">
        <v>6.57</v>
      </c>
      <c r="E25" s="78" t="s">
        <v>105</v>
      </c>
      <c r="F25" s="6" t="s">
        <v>142</v>
      </c>
    </row>
    <row r="26" spans="2:6" x14ac:dyDescent="0.35">
      <c r="B26" s="69">
        <v>25</v>
      </c>
      <c r="C26" s="73">
        <v>0.02</v>
      </c>
      <c r="D26" s="2">
        <v>0.8</v>
      </c>
      <c r="E26" s="78"/>
      <c r="F26" s="6" t="s">
        <v>143</v>
      </c>
    </row>
    <row r="27" spans="2:6" x14ac:dyDescent="0.35">
      <c r="B27" s="69">
        <v>26</v>
      </c>
      <c r="C27" s="73">
        <v>3.49</v>
      </c>
      <c r="D27" s="2">
        <v>6.95</v>
      </c>
      <c r="E27" s="78" t="s">
        <v>105</v>
      </c>
      <c r="F27" s="6" t="s">
        <v>144</v>
      </c>
    </row>
    <row r="28" spans="2:6" x14ac:dyDescent="0.35">
      <c r="B28" s="69">
        <v>27</v>
      </c>
      <c r="C28" s="73">
        <v>0.15</v>
      </c>
      <c r="D28" s="2">
        <v>8.4600000000000009</v>
      </c>
      <c r="E28" s="78" t="s">
        <v>105</v>
      </c>
      <c r="F28" s="6" t="s">
        <v>145</v>
      </c>
    </row>
    <row r="29" spans="2:6" x14ac:dyDescent="0.35">
      <c r="B29" s="69">
        <v>28</v>
      </c>
      <c r="C29" s="73">
        <v>1.49</v>
      </c>
      <c r="D29" s="2">
        <v>4.75</v>
      </c>
      <c r="E29" s="78" t="s">
        <v>105</v>
      </c>
      <c r="F29" s="6" t="s">
        <v>146</v>
      </c>
    </row>
    <row r="30" spans="2:6" x14ac:dyDescent="0.35">
      <c r="B30" s="69">
        <v>29</v>
      </c>
      <c r="C30" s="73">
        <v>0.93</v>
      </c>
      <c r="D30" s="2">
        <v>2.82</v>
      </c>
      <c r="E30" s="78" t="s">
        <v>105</v>
      </c>
      <c r="F30" s="6" t="s">
        <v>147</v>
      </c>
    </row>
    <row r="31" spans="2:6" x14ac:dyDescent="0.35">
      <c r="B31" s="69">
        <v>30</v>
      </c>
      <c r="C31" s="73">
        <v>0.06</v>
      </c>
      <c r="D31" s="2">
        <v>0.14000000000000001</v>
      </c>
      <c r="E31" s="78"/>
      <c r="F31" s="6" t="s">
        <v>148</v>
      </c>
    </row>
    <row r="32" spans="2:6" x14ac:dyDescent="0.35">
      <c r="B32" s="69">
        <v>32</v>
      </c>
      <c r="C32" s="73">
        <v>1.85</v>
      </c>
      <c r="D32" s="2">
        <v>4.12</v>
      </c>
      <c r="E32" s="78" t="s">
        <v>105</v>
      </c>
      <c r="F32" s="6" t="s">
        <v>149</v>
      </c>
    </row>
    <row r="33" spans="2:6" x14ac:dyDescent="0.35">
      <c r="B33" s="69">
        <v>33</v>
      </c>
      <c r="C33" s="73">
        <v>0.27</v>
      </c>
      <c r="D33" s="2">
        <v>5.16</v>
      </c>
      <c r="E33" s="78" t="s">
        <v>105</v>
      </c>
      <c r="F33" s="6" t="s">
        <v>150</v>
      </c>
    </row>
    <row r="34" spans="2:6" x14ac:dyDescent="0.35">
      <c r="B34" s="69">
        <v>34</v>
      </c>
      <c r="C34" s="73">
        <v>0.69</v>
      </c>
      <c r="D34" s="2">
        <v>1.52</v>
      </c>
      <c r="E34" s="78"/>
      <c r="F34" s="6" t="s">
        <v>151</v>
      </c>
    </row>
    <row r="35" spans="2:6" x14ac:dyDescent="0.35">
      <c r="B35" s="69">
        <v>35</v>
      </c>
      <c r="C35" s="73">
        <v>0.15</v>
      </c>
      <c r="D35" s="2">
        <v>3.28</v>
      </c>
      <c r="E35" s="78" t="s">
        <v>105</v>
      </c>
      <c r="F35" s="6" t="s">
        <v>152</v>
      </c>
    </row>
    <row r="36" spans="2:6" x14ac:dyDescent="0.35">
      <c r="B36" s="69">
        <v>36</v>
      </c>
      <c r="C36" s="73">
        <v>0.99</v>
      </c>
      <c r="D36" s="2">
        <v>6.21</v>
      </c>
      <c r="E36" s="78" t="s">
        <v>105</v>
      </c>
      <c r="F36" s="6" t="s">
        <v>153</v>
      </c>
    </row>
    <row r="37" spans="2:6" x14ac:dyDescent="0.35">
      <c r="B37" s="69">
        <v>37</v>
      </c>
      <c r="C37" s="73">
        <v>0.54</v>
      </c>
      <c r="D37" s="2">
        <v>3.96</v>
      </c>
      <c r="E37" s="78" t="s">
        <v>105</v>
      </c>
      <c r="F37" s="6" t="s">
        <v>154</v>
      </c>
    </row>
    <row r="38" spans="2:6" x14ac:dyDescent="0.35">
      <c r="B38" s="69">
        <v>38</v>
      </c>
      <c r="C38" s="73">
        <v>0.82</v>
      </c>
      <c r="D38" s="2">
        <v>7.41</v>
      </c>
      <c r="E38" s="78" t="s">
        <v>105</v>
      </c>
      <c r="F38" s="6" t="s">
        <v>155</v>
      </c>
    </row>
    <row r="39" spans="2:6" x14ac:dyDescent="0.35">
      <c r="B39" s="69">
        <v>39</v>
      </c>
      <c r="C39" s="73">
        <v>1.21</v>
      </c>
      <c r="D39" s="2">
        <v>2.5499999999999998</v>
      </c>
      <c r="E39" s="78" t="s">
        <v>105</v>
      </c>
      <c r="F39" s="6" t="s">
        <v>156</v>
      </c>
    </row>
    <row r="40" spans="2:6" x14ac:dyDescent="0.35">
      <c r="B40" s="69">
        <v>40</v>
      </c>
      <c r="C40" s="73">
        <v>0.56999999999999995</v>
      </c>
      <c r="D40" s="2">
        <v>1.91</v>
      </c>
      <c r="E40" s="78"/>
      <c r="F40" s="6" t="s">
        <v>157</v>
      </c>
    </row>
    <row r="41" spans="2:6" x14ac:dyDescent="0.35">
      <c r="B41" s="69">
        <v>41</v>
      </c>
      <c r="C41" s="73">
        <v>2.5299999999999998</v>
      </c>
      <c r="D41" s="2">
        <v>9.8000000000000007</v>
      </c>
      <c r="E41" s="78" t="s">
        <v>105</v>
      </c>
      <c r="F41" s="6" t="s">
        <v>158</v>
      </c>
    </row>
    <row r="42" spans="2:6" x14ac:dyDescent="0.35">
      <c r="B42" s="69">
        <v>43</v>
      </c>
      <c r="C42" s="73">
        <v>0.45</v>
      </c>
      <c r="D42" s="2">
        <v>3.55</v>
      </c>
      <c r="E42" s="78" t="s">
        <v>105</v>
      </c>
      <c r="F42" s="6" t="s">
        <v>159</v>
      </c>
    </row>
    <row r="43" spans="2:6" x14ac:dyDescent="0.35">
      <c r="B43" s="69">
        <v>44</v>
      </c>
      <c r="C43" s="73">
        <v>2.1800000000000002</v>
      </c>
      <c r="D43" s="2">
        <v>3.74</v>
      </c>
      <c r="E43" s="78" t="s">
        <v>105</v>
      </c>
      <c r="F43" s="6" t="s">
        <v>160</v>
      </c>
    </row>
    <row r="44" spans="2:6" x14ac:dyDescent="0.35">
      <c r="B44" s="69">
        <v>45</v>
      </c>
      <c r="C44" s="73">
        <v>0.64</v>
      </c>
      <c r="D44" s="2">
        <v>2.6</v>
      </c>
      <c r="E44" s="78" t="s">
        <v>105</v>
      </c>
      <c r="F44" s="6" t="s">
        <v>161</v>
      </c>
    </row>
    <row r="45" spans="2:6" x14ac:dyDescent="0.35">
      <c r="B45" s="69">
        <v>46</v>
      </c>
      <c r="C45" s="73">
        <v>0.57999999999999996</v>
      </c>
      <c r="D45" s="2">
        <v>0.64</v>
      </c>
      <c r="E45" s="78"/>
      <c r="F45" s="6" t="s">
        <v>162</v>
      </c>
    </row>
    <row r="46" spans="2:6" x14ac:dyDescent="0.35">
      <c r="B46" s="69">
        <v>47</v>
      </c>
      <c r="C46" s="73">
        <v>1.73</v>
      </c>
      <c r="D46" s="2">
        <v>8.5299999999999994</v>
      </c>
      <c r="E46" s="78" t="s">
        <v>105</v>
      </c>
      <c r="F46" s="6" t="s">
        <v>163</v>
      </c>
    </row>
    <row r="47" spans="2:6" x14ac:dyDescent="0.35">
      <c r="B47" s="69">
        <v>48</v>
      </c>
      <c r="C47" s="73">
        <v>0.06</v>
      </c>
      <c r="D47" s="2">
        <v>2.1</v>
      </c>
      <c r="E47" s="78" t="s">
        <v>105</v>
      </c>
      <c r="F47" s="6" t="s">
        <v>164</v>
      </c>
    </row>
    <row r="48" spans="2:6" x14ac:dyDescent="0.35">
      <c r="B48" s="69">
        <v>50</v>
      </c>
      <c r="C48" s="73">
        <v>1.02</v>
      </c>
      <c r="D48" s="2">
        <v>20.13</v>
      </c>
      <c r="E48" s="78" t="s">
        <v>105</v>
      </c>
      <c r="F48" s="6" t="s">
        <v>165</v>
      </c>
    </row>
    <row r="49" spans="1:6" x14ac:dyDescent="0.35">
      <c r="B49" s="69">
        <v>52</v>
      </c>
      <c r="C49" s="73">
        <v>0.49</v>
      </c>
      <c r="D49" s="2">
        <v>9.92</v>
      </c>
      <c r="E49" s="78" t="s">
        <v>105</v>
      </c>
      <c r="F49" s="6" t="s">
        <v>166</v>
      </c>
    </row>
    <row r="50" spans="1:6" x14ac:dyDescent="0.35">
      <c r="B50" s="69">
        <v>53</v>
      </c>
      <c r="C50" s="73">
        <v>0.05</v>
      </c>
      <c r="D50" s="2">
        <v>0.91</v>
      </c>
      <c r="E50" s="78"/>
      <c r="F50" s="6" t="s">
        <v>167</v>
      </c>
    </row>
    <row r="51" spans="1:6" x14ac:dyDescent="0.35">
      <c r="B51" s="69">
        <v>56</v>
      </c>
      <c r="C51" s="73">
        <v>0.97</v>
      </c>
      <c r="D51" s="2">
        <v>16.600000000000001</v>
      </c>
      <c r="E51" s="78" t="s">
        <v>105</v>
      </c>
      <c r="F51" s="6" t="s">
        <v>168</v>
      </c>
    </row>
    <row r="52" spans="1:6" x14ac:dyDescent="0.35">
      <c r="B52" s="70">
        <v>57</v>
      </c>
      <c r="C52" s="74">
        <v>1.5</v>
      </c>
      <c r="D52" s="4">
        <v>6.92</v>
      </c>
      <c r="E52" s="79" t="s">
        <v>105</v>
      </c>
      <c r="F52" s="7" t="s">
        <v>169</v>
      </c>
    </row>
    <row r="53" spans="1:6" x14ac:dyDescent="0.35">
      <c r="A53" s="63"/>
      <c r="C53" s="66"/>
      <c r="D53" s="66"/>
      <c r="E53" s="66"/>
    </row>
    <row r="54" spans="1:6" x14ac:dyDescent="0.35">
      <c r="A54" s="64" t="s">
        <v>170</v>
      </c>
      <c r="C54" s="66"/>
      <c r="D54" s="66"/>
      <c r="E54" s="66"/>
    </row>
    <row r="55" spans="1:6" ht="20" x14ac:dyDescent="0.4">
      <c r="B55" s="81" t="s">
        <v>171</v>
      </c>
      <c r="C55" s="82"/>
      <c r="D55" s="82"/>
      <c r="E55" s="82"/>
      <c r="F55" s="82"/>
    </row>
    <row r="56" spans="1:6" x14ac:dyDescent="0.35">
      <c r="B56" s="82"/>
      <c r="C56" s="82"/>
      <c r="D56" s="82"/>
      <c r="E56" s="82"/>
      <c r="F56" s="82"/>
    </row>
    <row r="57" spans="1:6" x14ac:dyDescent="0.35">
      <c r="B57" s="67" t="s">
        <v>123</v>
      </c>
      <c r="C57" s="71" t="s">
        <v>124</v>
      </c>
      <c r="D57" s="75" t="s">
        <v>125</v>
      </c>
      <c r="E57" s="76"/>
      <c r="F57" s="80" t="s">
        <v>126</v>
      </c>
    </row>
    <row r="58" spans="1:6" x14ac:dyDescent="0.35">
      <c r="B58" s="69">
        <v>59</v>
      </c>
      <c r="C58" s="73">
        <v>1.42</v>
      </c>
      <c r="D58" s="2">
        <v>8.19</v>
      </c>
      <c r="E58" s="78" t="s">
        <v>105</v>
      </c>
      <c r="F58" s="6" t="s">
        <v>172</v>
      </c>
    </row>
    <row r="59" spans="1:6" x14ac:dyDescent="0.35">
      <c r="B59" s="69">
        <v>60</v>
      </c>
      <c r="C59" s="73">
        <v>0.97</v>
      </c>
      <c r="D59" s="2">
        <v>1</v>
      </c>
      <c r="E59" s="78"/>
      <c r="F59" s="6" t="s">
        <v>173</v>
      </c>
    </row>
    <row r="60" spans="1:6" x14ac:dyDescent="0.35">
      <c r="B60" s="69">
        <v>61</v>
      </c>
      <c r="C60" s="73">
        <v>1.68</v>
      </c>
      <c r="D60" s="2">
        <v>10.15</v>
      </c>
      <c r="E60" s="78" t="s">
        <v>105</v>
      </c>
      <c r="F60" s="6" t="s">
        <v>174</v>
      </c>
    </row>
    <row r="61" spans="1:6" x14ac:dyDescent="0.35">
      <c r="B61" s="69">
        <v>62</v>
      </c>
      <c r="C61" s="73">
        <v>1.48</v>
      </c>
      <c r="D61" s="2">
        <v>4.57</v>
      </c>
      <c r="E61" s="78" t="s">
        <v>105</v>
      </c>
      <c r="F61" s="6" t="s">
        <v>175</v>
      </c>
    </row>
    <row r="62" spans="1:6" x14ac:dyDescent="0.35">
      <c r="B62" s="69">
        <v>63</v>
      </c>
      <c r="C62" s="73">
        <v>0.98</v>
      </c>
      <c r="D62" s="2">
        <v>9.26</v>
      </c>
      <c r="E62" s="78" t="s">
        <v>105</v>
      </c>
      <c r="F62" s="6" t="s">
        <v>176</v>
      </c>
    </row>
    <row r="63" spans="1:6" x14ac:dyDescent="0.35">
      <c r="B63" s="69">
        <v>64</v>
      </c>
      <c r="C63" s="73">
        <v>1</v>
      </c>
      <c r="D63" s="2">
        <v>43.12</v>
      </c>
      <c r="E63" s="78" t="s">
        <v>105</v>
      </c>
      <c r="F63" s="6" t="s">
        <v>177</v>
      </c>
    </row>
    <row r="64" spans="1:6" x14ac:dyDescent="0.35">
      <c r="B64" s="69">
        <v>65</v>
      </c>
      <c r="C64" s="73">
        <v>0.8</v>
      </c>
      <c r="D64" s="2">
        <v>11.48</v>
      </c>
      <c r="E64" s="78" t="s">
        <v>105</v>
      </c>
      <c r="F64" s="6" t="s">
        <v>178</v>
      </c>
    </row>
    <row r="65" spans="2:6" x14ac:dyDescent="0.35">
      <c r="B65" s="69">
        <v>66</v>
      </c>
      <c r="C65" s="73">
        <v>0.48</v>
      </c>
      <c r="D65" s="2">
        <v>4.17</v>
      </c>
      <c r="E65" s="78" t="s">
        <v>105</v>
      </c>
      <c r="F65" s="6" t="s">
        <v>179</v>
      </c>
    </row>
    <row r="66" spans="2:6" x14ac:dyDescent="0.35">
      <c r="B66" s="69">
        <v>67</v>
      </c>
      <c r="C66" s="73">
        <v>0.31</v>
      </c>
      <c r="D66" s="2">
        <v>3.62</v>
      </c>
      <c r="E66" s="78" t="s">
        <v>105</v>
      </c>
      <c r="F66" s="6" t="s">
        <v>180</v>
      </c>
    </row>
    <row r="67" spans="2:6" x14ac:dyDescent="0.35">
      <c r="B67" s="69">
        <v>68</v>
      </c>
      <c r="C67" s="73">
        <v>0.96</v>
      </c>
      <c r="D67" s="2">
        <v>18.73</v>
      </c>
      <c r="E67" s="78" t="s">
        <v>105</v>
      </c>
      <c r="F67" s="6" t="s">
        <v>181</v>
      </c>
    </row>
    <row r="68" spans="2:6" x14ac:dyDescent="0.35">
      <c r="B68" s="69">
        <v>69</v>
      </c>
      <c r="C68" s="73">
        <v>1.71</v>
      </c>
      <c r="D68" s="2">
        <v>11.55</v>
      </c>
      <c r="E68" s="78" t="s">
        <v>105</v>
      </c>
      <c r="F68" s="6" t="s">
        <v>182</v>
      </c>
    </row>
    <row r="69" spans="2:6" x14ac:dyDescent="0.35">
      <c r="B69" s="69">
        <v>70</v>
      </c>
      <c r="C69" s="73">
        <v>0.87</v>
      </c>
      <c r="D69" s="2">
        <v>4.47</v>
      </c>
      <c r="E69" s="78" t="s">
        <v>105</v>
      </c>
      <c r="F69" s="6" t="s">
        <v>183</v>
      </c>
    </row>
    <row r="70" spans="2:6" x14ac:dyDescent="0.35">
      <c r="B70" s="69">
        <v>71</v>
      </c>
      <c r="C70" s="73">
        <v>0.66</v>
      </c>
      <c r="D70" s="2">
        <v>2.31</v>
      </c>
      <c r="E70" s="78" t="s">
        <v>105</v>
      </c>
      <c r="F70" s="6" t="s">
        <v>184</v>
      </c>
    </row>
    <row r="71" spans="2:6" x14ac:dyDescent="0.35">
      <c r="B71" s="69">
        <v>72</v>
      </c>
      <c r="C71" s="73">
        <v>1.0900000000000001</v>
      </c>
      <c r="D71" s="2">
        <v>6.49</v>
      </c>
      <c r="E71" s="78" t="s">
        <v>105</v>
      </c>
      <c r="F71" s="6" t="s">
        <v>185</v>
      </c>
    </row>
    <row r="72" spans="2:6" x14ac:dyDescent="0.35">
      <c r="B72" s="69">
        <v>73</v>
      </c>
      <c r="C72" s="73">
        <v>0.57999999999999996</v>
      </c>
      <c r="D72" s="2">
        <v>1.44</v>
      </c>
      <c r="E72" s="78"/>
      <c r="F72" s="6" t="s">
        <v>186</v>
      </c>
    </row>
    <row r="73" spans="2:6" x14ac:dyDescent="0.35">
      <c r="B73" s="69">
        <v>76</v>
      </c>
      <c r="C73" s="73">
        <v>0.4</v>
      </c>
      <c r="D73" s="2">
        <v>1.53</v>
      </c>
      <c r="E73" s="78"/>
      <c r="F73" s="6" t="s">
        <v>187</v>
      </c>
    </row>
    <row r="74" spans="2:6" x14ac:dyDescent="0.35">
      <c r="B74" s="69">
        <v>77</v>
      </c>
      <c r="C74" s="73">
        <v>0.02</v>
      </c>
      <c r="D74" s="2">
        <v>0.34</v>
      </c>
      <c r="E74" s="78"/>
      <c r="F74" s="6" t="s">
        <v>188</v>
      </c>
    </row>
    <row r="75" spans="2:6" x14ac:dyDescent="0.35">
      <c r="B75" s="69">
        <v>78</v>
      </c>
      <c r="C75" s="73">
        <v>0.28999999999999998</v>
      </c>
      <c r="D75" s="2">
        <v>4.32</v>
      </c>
      <c r="E75" s="78" t="s">
        <v>105</v>
      </c>
      <c r="F75" s="6" t="s">
        <v>189</v>
      </c>
    </row>
    <row r="76" spans="2:6" x14ac:dyDescent="0.35">
      <c r="B76" s="69">
        <v>79</v>
      </c>
      <c r="C76" s="73">
        <v>0.01</v>
      </c>
      <c r="D76" s="2">
        <v>0.14000000000000001</v>
      </c>
      <c r="E76" s="78"/>
      <c r="F76" s="6" t="s">
        <v>190</v>
      </c>
    </row>
    <row r="77" spans="2:6" x14ac:dyDescent="0.35">
      <c r="B77" s="69">
        <v>80</v>
      </c>
      <c r="C77" s="73">
        <v>1.46</v>
      </c>
      <c r="D77" s="2">
        <v>1.71</v>
      </c>
      <c r="E77" s="78" t="s">
        <v>105</v>
      </c>
      <c r="F77" s="6" t="s">
        <v>191</v>
      </c>
    </row>
    <row r="78" spans="2:6" x14ac:dyDescent="0.35">
      <c r="B78" s="69">
        <v>81</v>
      </c>
      <c r="C78" s="73">
        <v>1.07</v>
      </c>
      <c r="D78" s="2">
        <v>1.89</v>
      </c>
      <c r="E78" s="78" t="s">
        <v>105</v>
      </c>
      <c r="F78" s="6" t="s">
        <v>192</v>
      </c>
    </row>
    <row r="79" spans="2:6" x14ac:dyDescent="0.35">
      <c r="B79" s="69">
        <v>83</v>
      </c>
      <c r="C79" s="73">
        <v>1.27</v>
      </c>
      <c r="D79" s="2">
        <v>14.85</v>
      </c>
      <c r="E79" s="78" t="s">
        <v>105</v>
      </c>
      <c r="F79" s="6" t="s">
        <v>193</v>
      </c>
    </row>
    <row r="80" spans="2:6" x14ac:dyDescent="0.35">
      <c r="B80" s="69">
        <v>84</v>
      </c>
      <c r="C80" s="73">
        <v>0.36</v>
      </c>
      <c r="D80" s="2">
        <v>11.95</v>
      </c>
      <c r="E80" s="78" t="s">
        <v>105</v>
      </c>
      <c r="F80" s="6" t="s">
        <v>194</v>
      </c>
    </row>
    <row r="81" spans="2:6" x14ac:dyDescent="0.35">
      <c r="B81" s="69">
        <v>85</v>
      </c>
      <c r="C81" s="73">
        <v>0.23</v>
      </c>
      <c r="D81" s="2">
        <v>1.1299999999999999</v>
      </c>
      <c r="E81" s="78"/>
      <c r="F81" s="6" t="s">
        <v>195</v>
      </c>
    </row>
    <row r="82" spans="2:6" x14ac:dyDescent="0.35">
      <c r="B82" s="69">
        <v>86</v>
      </c>
      <c r="C82" s="73">
        <v>1.0900000000000001</v>
      </c>
      <c r="D82" s="2">
        <v>12.73</v>
      </c>
      <c r="E82" s="78" t="s">
        <v>105</v>
      </c>
      <c r="F82" s="6" t="s">
        <v>196</v>
      </c>
    </row>
    <row r="83" spans="2:6" x14ac:dyDescent="0.35">
      <c r="B83" s="69">
        <v>87</v>
      </c>
      <c r="C83" s="73">
        <v>1.04</v>
      </c>
      <c r="D83" s="2">
        <v>28.48</v>
      </c>
      <c r="E83" s="78" t="s">
        <v>105</v>
      </c>
      <c r="F83" s="6" t="s">
        <v>197</v>
      </c>
    </row>
    <row r="84" spans="2:6" x14ac:dyDescent="0.35">
      <c r="B84" s="69">
        <v>88</v>
      </c>
      <c r="C84" s="73">
        <v>0.88</v>
      </c>
      <c r="D84" s="2">
        <v>24.13</v>
      </c>
      <c r="E84" s="78" t="s">
        <v>105</v>
      </c>
      <c r="F84" s="6" t="s">
        <v>198</v>
      </c>
    </row>
    <row r="85" spans="2:6" x14ac:dyDescent="0.35">
      <c r="B85" s="69">
        <v>90</v>
      </c>
      <c r="C85" s="73">
        <v>0.84</v>
      </c>
      <c r="D85" s="2">
        <v>8.94</v>
      </c>
      <c r="E85" s="78" t="s">
        <v>105</v>
      </c>
      <c r="F85" s="6" t="s">
        <v>199</v>
      </c>
    </row>
    <row r="86" spans="2:6" x14ac:dyDescent="0.35">
      <c r="B86" s="69">
        <v>91</v>
      </c>
      <c r="C86" s="73">
        <v>1.45</v>
      </c>
      <c r="D86" s="2">
        <v>7.38</v>
      </c>
      <c r="E86" s="78" t="s">
        <v>105</v>
      </c>
      <c r="F86" s="6" t="s">
        <v>200</v>
      </c>
    </row>
    <row r="87" spans="2:6" x14ac:dyDescent="0.35">
      <c r="B87" s="69">
        <v>93</v>
      </c>
      <c r="C87" s="73">
        <v>0.82</v>
      </c>
      <c r="D87" s="2">
        <v>16.13</v>
      </c>
      <c r="E87" s="78" t="s">
        <v>105</v>
      </c>
      <c r="F87" s="6" t="s">
        <v>201</v>
      </c>
    </row>
    <row r="88" spans="2:6" x14ac:dyDescent="0.35">
      <c r="B88" s="69">
        <v>94</v>
      </c>
      <c r="C88" s="73">
        <v>0.76</v>
      </c>
      <c r="D88" s="2">
        <v>7.75</v>
      </c>
      <c r="E88" s="78" t="s">
        <v>105</v>
      </c>
      <c r="F88" s="6" t="s">
        <v>202</v>
      </c>
    </row>
    <row r="89" spans="2:6" x14ac:dyDescent="0.35">
      <c r="B89" s="69">
        <v>95</v>
      </c>
      <c r="C89" s="73">
        <v>3.08</v>
      </c>
      <c r="D89" s="2">
        <v>4.0599999999999996</v>
      </c>
      <c r="E89" s="78" t="s">
        <v>105</v>
      </c>
      <c r="F89" s="6" t="s">
        <v>203</v>
      </c>
    </row>
    <row r="90" spans="2:6" x14ac:dyDescent="0.35">
      <c r="B90" s="69">
        <v>96</v>
      </c>
      <c r="C90" s="73">
        <v>0.69</v>
      </c>
      <c r="D90" s="2">
        <v>2.17</v>
      </c>
      <c r="E90" s="78" t="s">
        <v>105</v>
      </c>
      <c r="F90" s="6" t="s">
        <v>204</v>
      </c>
    </row>
    <row r="91" spans="2:6" x14ac:dyDescent="0.35">
      <c r="B91" s="69">
        <v>97</v>
      </c>
      <c r="C91" s="73">
        <v>0.91</v>
      </c>
      <c r="D91" s="2">
        <v>0.98</v>
      </c>
      <c r="E91" s="78"/>
      <c r="F91" s="6" t="s">
        <v>205</v>
      </c>
    </row>
    <row r="92" spans="2:6" x14ac:dyDescent="0.35">
      <c r="B92" s="69">
        <v>103</v>
      </c>
      <c r="C92" s="73">
        <v>0.16</v>
      </c>
      <c r="D92" s="2">
        <v>1.3</v>
      </c>
      <c r="E92" s="78"/>
      <c r="F92" s="6" t="s">
        <v>206</v>
      </c>
    </row>
    <row r="93" spans="2:6" x14ac:dyDescent="0.35">
      <c r="B93" s="69">
        <v>106</v>
      </c>
      <c r="C93" s="73">
        <v>1.03</v>
      </c>
      <c r="D93" s="2">
        <v>2.76</v>
      </c>
      <c r="E93" s="78" t="s">
        <v>105</v>
      </c>
      <c r="F93" s="6" t="s">
        <v>207</v>
      </c>
    </row>
    <row r="94" spans="2:6" x14ac:dyDescent="0.35">
      <c r="B94" s="69">
        <v>107</v>
      </c>
      <c r="C94" s="73">
        <v>0.45</v>
      </c>
      <c r="D94" s="2">
        <v>1.47</v>
      </c>
      <c r="E94" s="78"/>
      <c r="F94" s="6" t="s">
        <v>208</v>
      </c>
    </row>
    <row r="95" spans="2:6" x14ac:dyDescent="0.35">
      <c r="B95" s="69">
        <v>108</v>
      </c>
      <c r="C95" s="73">
        <v>0.74</v>
      </c>
      <c r="D95" s="2">
        <v>6.26</v>
      </c>
      <c r="E95" s="78" t="s">
        <v>105</v>
      </c>
      <c r="F95" s="6" t="s">
        <v>209</v>
      </c>
    </row>
    <row r="96" spans="2:6" x14ac:dyDescent="0.35">
      <c r="B96" s="69">
        <v>109</v>
      </c>
      <c r="C96" s="73">
        <v>1.07</v>
      </c>
      <c r="D96" s="2">
        <v>2.34</v>
      </c>
      <c r="E96" s="78" t="s">
        <v>105</v>
      </c>
      <c r="F96" s="6" t="s">
        <v>210</v>
      </c>
    </row>
    <row r="97" spans="1:6" x14ac:dyDescent="0.35">
      <c r="B97" s="69">
        <v>110</v>
      </c>
      <c r="C97" s="73">
        <v>0.22</v>
      </c>
      <c r="D97" s="2">
        <v>2.34</v>
      </c>
      <c r="E97" s="78" t="s">
        <v>105</v>
      </c>
      <c r="F97" s="6" t="s">
        <v>211</v>
      </c>
    </row>
    <row r="98" spans="1:6" x14ac:dyDescent="0.35">
      <c r="B98" s="69">
        <v>111</v>
      </c>
      <c r="C98" s="73">
        <v>1.17</v>
      </c>
      <c r="D98" s="2">
        <v>23.65</v>
      </c>
      <c r="E98" s="78" t="s">
        <v>105</v>
      </c>
      <c r="F98" s="6" t="s">
        <v>212</v>
      </c>
    </row>
    <row r="99" spans="1:6" x14ac:dyDescent="0.35">
      <c r="B99" s="69">
        <v>112</v>
      </c>
      <c r="C99" s="73">
        <v>0.2</v>
      </c>
      <c r="D99" s="2">
        <v>0.48</v>
      </c>
      <c r="E99" s="78"/>
      <c r="F99" s="6" t="s">
        <v>213</v>
      </c>
    </row>
    <row r="100" spans="1:6" x14ac:dyDescent="0.35">
      <c r="B100" s="69">
        <v>113</v>
      </c>
      <c r="C100" s="73">
        <v>0.22</v>
      </c>
      <c r="D100" s="2">
        <v>8.8699999999999992</v>
      </c>
      <c r="E100" s="78" t="s">
        <v>105</v>
      </c>
      <c r="F100" s="6" t="s">
        <v>214</v>
      </c>
    </row>
    <row r="101" spans="1:6" x14ac:dyDescent="0.35">
      <c r="B101" s="69">
        <v>115</v>
      </c>
      <c r="C101" s="73">
        <v>0.24</v>
      </c>
      <c r="D101" s="2">
        <v>2.75</v>
      </c>
      <c r="E101" s="78" t="s">
        <v>105</v>
      </c>
      <c r="F101" s="6" t="s">
        <v>215</v>
      </c>
    </row>
    <row r="102" spans="1:6" x14ac:dyDescent="0.35">
      <c r="B102" s="69">
        <v>116</v>
      </c>
      <c r="C102" s="73">
        <v>0.3</v>
      </c>
      <c r="D102" s="2">
        <v>1.25</v>
      </c>
      <c r="E102" s="78"/>
      <c r="F102" s="6" t="s">
        <v>216</v>
      </c>
    </row>
    <row r="103" spans="1:6" x14ac:dyDescent="0.35">
      <c r="B103" s="69">
        <v>117</v>
      </c>
      <c r="C103" s="73">
        <v>0.99</v>
      </c>
      <c r="D103" s="2">
        <v>21.77</v>
      </c>
      <c r="E103" s="78" t="s">
        <v>105</v>
      </c>
      <c r="F103" s="6" t="s">
        <v>217</v>
      </c>
    </row>
    <row r="104" spans="1:6" x14ac:dyDescent="0.35">
      <c r="B104" s="69">
        <v>118</v>
      </c>
      <c r="C104" s="73">
        <v>0.3</v>
      </c>
      <c r="D104" s="2">
        <v>17.75</v>
      </c>
      <c r="E104" s="78" t="s">
        <v>105</v>
      </c>
      <c r="F104" s="6" t="s">
        <v>218</v>
      </c>
    </row>
    <row r="105" spans="1:6" x14ac:dyDescent="0.35">
      <c r="B105" s="69">
        <v>119</v>
      </c>
      <c r="C105" s="73">
        <v>1.06</v>
      </c>
      <c r="D105" s="2">
        <v>11.08</v>
      </c>
      <c r="E105" s="78" t="s">
        <v>105</v>
      </c>
      <c r="F105" s="6" t="s">
        <v>219</v>
      </c>
    </row>
    <row r="106" spans="1:6" x14ac:dyDescent="0.35">
      <c r="B106" s="70">
        <v>120</v>
      </c>
      <c r="C106" s="74">
        <v>0.97</v>
      </c>
      <c r="D106" s="4">
        <v>7.6</v>
      </c>
      <c r="E106" s="79" t="s">
        <v>105</v>
      </c>
      <c r="F106" s="7" t="s">
        <v>220</v>
      </c>
    </row>
    <row r="107" spans="1:6" x14ac:dyDescent="0.35">
      <c r="B107" s="8"/>
      <c r="C107" s="8"/>
      <c r="D107" s="8"/>
      <c r="E107" s="8"/>
      <c r="F107" s="8"/>
    </row>
    <row r="108" spans="1:6" x14ac:dyDescent="0.35">
      <c r="B108" s="8"/>
      <c r="C108" s="8"/>
      <c r="D108" s="8"/>
      <c r="E108" s="8"/>
      <c r="F108" s="8"/>
    </row>
    <row r="109" spans="1:6" x14ac:dyDescent="0.35">
      <c r="A109" s="63"/>
      <c r="B109" s="2"/>
      <c r="C109" s="2"/>
      <c r="D109" s="2"/>
      <c r="E109" s="2"/>
      <c r="F109" s="2"/>
    </row>
    <row r="110" spans="1:6" x14ac:dyDescent="0.35">
      <c r="A110" s="64" t="s">
        <v>170</v>
      </c>
      <c r="B110" s="2"/>
      <c r="C110" s="2"/>
      <c r="D110" s="2"/>
      <c r="E110" s="2"/>
      <c r="F110" s="2"/>
    </row>
    <row r="111" spans="1:6" ht="20" x14ac:dyDescent="0.4">
      <c r="B111" s="81" t="s">
        <v>171</v>
      </c>
      <c r="C111" s="2"/>
      <c r="D111" s="2"/>
      <c r="E111" s="2"/>
      <c r="F111" s="2"/>
    </row>
    <row r="112" spans="1:6" x14ac:dyDescent="0.35">
      <c r="B112" s="8"/>
      <c r="C112" s="8"/>
      <c r="D112" s="8"/>
      <c r="E112" s="8"/>
      <c r="F112" s="8"/>
    </row>
    <row r="113" spans="2:6" x14ac:dyDescent="0.35">
      <c r="B113" s="67" t="s">
        <v>123</v>
      </c>
      <c r="C113" s="71" t="s">
        <v>124</v>
      </c>
      <c r="D113" s="75" t="s">
        <v>125</v>
      </c>
      <c r="E113" s="76"/>
      <c r="F113" s="80" t="s">
        <v>126</v>
      </c>
    </row>
    <row r="114" spans="2:6" x14ac:dyDescent="0.35">
      <c r="B114" s="69">
        <v>121</v>
      </c>
      <c r="C114" s="73">
        <v>0.94</v>
      </c>
      <c r="D114" s="2">
        <v>10.79</v>
      </c>
      <c r="E114" s="78" t="s">
        <v>105</v>
      </c>
      <c r="F114" s="6" t="s">
        <v>221</v>
      </c>
    </row>
    <row r="115" spans="2:6" x14ac:dyDescent="0.35">
      <c r="B115" s="69">
        <v>122</v>
      </c>
      <c r="C115" s="73">
        <v>0.79</v>
      </c>
      <c r="D115" s="2">
        <v>8.01</v>
      </c>
      <c r="E115" s="78" t="s">
        <v>105</v>
      </c>
      <c r="F115" s="6" t="s">
        <v>222</v>
      </c>
    </row>
    <row r="116" spans="2:6" x14ac:dyDescent="0.35">
      <c r="B116" s="69">
        <v>123</v>
      </c>
      <c r="C116" s="73">
        <v>0.69</v>
      </c>
      <c r="D116" s="2">
        <v>7.05</v>
      </c>
      <c r="E116" s="78" t="s">
        <v>105</v>
      </c>
      <c r="F116" s="6" t="s">
        <v>223</v>
      </c>
    </row>
    <row r="117" spans="2:6" x14ac:dyDescent="0.35">
      <c r="B117" s="69">
        <v>124</v>
      </c>
      <c r="C117" s="73">
        <v>0.26</v>
      </c>
      <c r="D117" s="2">
        <v>2.77</v>
      </c>
      <c r="E117" s="78" t="s">
        <v>105</v>
      </c>
      <c r="F117" s="6" t="s">
        <v>224</v>
      </c>
    </row>
    <row r="118" spans="2:6" x14ac:dyDescent="0.35">
      <c r="B118" s="69">
        <v>125</v>
      </c>
      <c r="C118" s="73">
        <v>0.83</v>
      </c>
      <c r="D118" s="2">
        <v>10.89</v>
      </c>
      <c r="E118" s="78" t="s">
        <v>105</v>
      </c>
      <c r="F118" s="6" t="s">
        <v>225</v>
      </c>
    </row>
    <row r="119" spans="2:6" x14ac:dyDescent="0.35">
      <c r="B119" s="69">
        <v>127</v>
      </c>
      <c r="C119" s="73">
        <v>0.85</v>
      </c>
      <c r="D119" s="2">
        <v>5.6</v>
      </c>
      <c r="E119" s="78" t="s">
        <v>105</v>
      </c>
      <c r="F119" s="6" t="s">
        <v>226</v>
      </c>
    </row>
    <row r="120" spans="2:6" x14ac:dyDescent="0.35">
      <c r="B120" s="69">
        <v>128</v>
      </c>
      <c r="C120" s="73">
        <v>1.22</v>
      </c>
      <c r="D120" s="2">
        <v>9.67</v>
      </c>
      <c r="E120" s="78" t="s">
        <v>105</v>
      </c>
      <c r="F120" s="6" t="s">
        <v>227</v>
      </c>
    </row>
    <row r="121" spans="2:6" x14ac:dyDescent="0.35">
      <c r="B121" s="69">
        <v>129</v>
      </c>
      <c r="C121" s="73">
        <v>0.2</v>
      </c>
      <c r="D121" s="2">
        <v>2.13</v>
      </c>
      <c r="E121" s="78" t="s">
        <v>105</v>
      </c>
      <c r="F121" s="6" t="s">
        <v>228</v>
      </c>
    </row>
    <row r="122" spans="2:6" x14ac:dyDescent="0.35">
      <c r="B122" s="69">
        <v>130</v>
      </c>
      <c r="C122" s="73">
        <v>0.72</v>
      </c>
      <c r="D122" s="2">
        <v>3.3</v>
      </c>
      <c r="E122" s="78" t="s">
        <v>105</v>
      </c>
      <c r="F122" s="6" t="s">
        <v>229</v>
      </c>
    </row>
    <row r="123" spans="2:6" x14ac:dyDescent="0.35">
      <c r="B123" s="69">
        <v>131</v>
      </c>
      <c r="C123" s="73">
        <v>2.69</v>
      </c>
      <c r="D123" s="2">
        <v>2.6</v>
      </c>
      <c r="E123" s="78" t="s">
        <v>105</v>
      </c>
      <c r="F123" s="6" t="s">
        <v>230</v>
      </c>
    </row>
    <row r="124" spans="2:6" x14ac:dyDescent="0.35">
      <c r="B124" s="69">
        <v>132</v>
      </c>
      <c r="C124" s="73">
        <v>1.1299999999999999</v>
      </c>
      <c r="D124" s="2">
        <v>5.91</v>
      </c>
      <c r="E124" s="78" t="s">
        <v>105</v>
      </c>
      <c r="F124" s="6" t="s">
        <v>231</v>
      </c>
    </row>
    <row r="125" spans="2:6" x14ac:dyDescent="0.35">
      <c r="B125" s="69">
        <v>133</v>
      </c>
      <c r="C125" s="73">
        <v>1.01</v>
      </c>
      <c r="D125" s="2">
        <v>19.66</v>
      </c>
      <c r="E125" s="78" t="s">
        <v>105</v>
      </c>
      <c r="F125" s="6" t="s">
        <v>232</v>
      </c>
    </row>
    <row r="126" spans="2:6" x14ac:dyDescent="0.35">
      <c r="B126" s="69">
        <v>134</v>
      </c>
      <c r="C126" s="73">
        <v>1.97</v>
      </c>
      <c r="D126" s="2">
        <v>11.77</v>
      </c>
      <c r="E126" s="78" t="s">
        <v>105</v>
      </c>
      <c r="F126" s="6" t="s">
        <v>233</v>
      </c>
    </row>
    <row r="127" spans="2:6" x14ac:dyDescent="0.35">
      <c r="B127" s="69">
        <v>135</v>
      </c>
      <c r="C127" s="73">
        <v>1.99</v>
      </c>
      <c r="D127" s="2">
        <v>3.92</v>
      </c>
      <c r="E127" s="78" t="s">
        <v>105</v>
      </c>
      <c r="F127" s="6" t="s">
        <v>234</v>
      </c>
    </row>
    <row r="128" spans="2:6" x14ac:dyDescent="0.35">
      <c r="B128" s="69">
        <v>136</v>
      </c>
      <c r="C128" s="73">
        <v>0.09</v>
      </c>
      <c r="D128" s="2">
        <v>1.1200000000000001</v>
      </c>
      <c r="E128" s="78"/>
      <c r="F128" s="6" t="s">
        <v>235</v>
      </c>
    </row>
    <row r="129" spans="2:6" x14ac:dyDescent="0.35">
      <c r="B129" s="69">
        <v>137</v>
      </c>
      <c r="C129" s="73">
        <v>0.82</v>
      </c>
      <c r="D129" s="2">
        <v>3.59</v>
      </c>
      <c r="E129" s="78" t="s">
        <v>105</v>
      </c>
      <c r="F129" s="6" t="s">
        <v>236</v>
      </c>
    </row>
    <row r="130" spans="2:6" x14ac:dyDescent="0.35">
      <c r="B130" s="69">
        <v>138</v>
      </c>
      <c r="C130" s="73">
        <v>1.41</v>
      </c>
      <c r="D130" s="2">
        <v>3.52</v>
      </c>
      <c r="E130" s="78" t="s">
        <v>105</v>
      </c>
      <c r="F130" s="6" t="s">
        <v>237</v>
      </c>
    </row>
    <row r="131" spans="2:6" x14ac:dyDescent="0.35">
      <c r="B131" s="69">
        <v>139</v>
      </c>
      <c r="C131" s="73">
        <v>0.63</v>
      </c>
      <c r="D131" s="2">
        <v>4.18</v>
      </c>
      <c r="E131" s="78" t="s">
        <v>105</v>
      </c>
      <c r="F131" s="6" t="s">
        <v>238</v>
      </c>
    </row>
    <row r="132" spans="2:6" x14ac:dyDescent="0.35">
      <c r="B132" s="69">
        <v>140</v>
      </c>
      <c r="C132" s="73">
        <v>1.42</v>
      </c>
      <c r="D132" s="2">
        <v>16.54</v>
      </c>
      <c r="E132" s="78" t="s">
        <v>105</v>
      </c>
      <c r="F132" s="6" t="s">
        <v>239</v>
      </c>
    </row>
    <row r="133" spans="2:6" x14ac:dyDescent="0.35">
      <c r="B133" s="69">
        <v>141</v>
      </c>
      <c r="C133" s="73">
        <v>0.62</v>
      </c>
      <c r="D133" s="2">
        <v>9.8000000000000007</v>
      </c>
      <c r="E133" s="78" t="s">
        <v>105</v>
      </c>
      <c r="F133" s="6" t="s">
        <v>240</v>
      </c>
    </row>
    <row r="134" spans="2:6" x14ac:dyDescent="0.35">
      <c r="B134" s="69">
        <v>143</v>
      </c>
      <c r="C134" s="73">
        <v>2.65</v>
      </c>
      <c r="D134" s="2">
        <v>11.6</v>
      </c>
      <c r="E134" s="78" t="s">
        <v>105</v>
      </c>
      <c r="F134" s="6" t="s">
        <v>241</v>
      </c>
    </row>
    <row r="135" spans="2:6" x14ac:dyDescent="0.35">
      <c r="B135" s="69">
        <v>144</v>
      </c>
      <c r="C135" s="73">
        <v>0.36</v>
      </c>
      <c r="D135" s="2">
        <v>5.99</v>
      </c>
      <c r="E135" s="78" t="s">
        <v>105</v>
      </c>
      <c r="F135" s="6" t="s">
        <v>242</v>
      </c>
    </row>
    <row r="136" spans="2:6" x14ac:dyDescent="0.35">
      <c r="B136" s="69">
        <v>145</v>
      </c>
      <c r="C136" s="73">
        <v>1.1599999999999999</v>
      </c>
      <c r="D136" s="2">
        <v>12.02</v>
      </c>
      <c r="E136" s="78" t="s">
        <v>105</v>
      </c>
      <c r="F136" s="6" t="s">
        <v>243</v>
      </c>
    </row>
    <row r="137" spans="2:6" x14ac:dyDescent="0.35">
      <c r="B137" s="69">
        <v>146</v>
      </c>
      <c r="C137" s="73">
        <v>0.76</v>
      </c>
      <c r="D137" s="2">
        <v>3.3</v>
      </c>
      <c r="E137" s="78" t="s">
        <v>105</v>
      </c>
      <c r="F137" s="6" t="s">
        <v>244</v>
      </c>
    </row>
    <row r="138" spans="2:6" x14ac:dyDescent="0.35">
      <c r="B138" s="69">
        <v>147</v>
      </c>
      <c r="C138" s="73">
        <v>0.62</v>
      </c>
      <c r="D138" s="2">
        <v>3.24</v>
      </c>
      <c r="E138" s="78" t="s">
        <v>105</v>
      </c>
      <c r="F138" s="6" t="s">
        <v>245</v>
      </c>
    </row>
    <row r="139" spans="2:6" x14ac:dyDescent="0.35">
      <c r="B139" s="69">
        <v>149</v>
      </c>
      <c r="C139" s="73">
        <v>0.3</v>
      </c>
      <c r="D139" s="2">
        <v>2.4700000000000002</v>
      </c>
      <c r="E139" s="78" t="s">
        <v>105</v>
      </c>
      <c r="F139" s="6" t="s">
        <v>246</v>
      </c>
    </row>
    <row r="140" spans="2:6" x14ac:dyDescent="0.35">
      <c r="B140" s="69">
        <v>150</v>
      </c>
      <c r="C140" s="73">
        <v>0.92</v>
      </c>
      <c r="D140" s="2">
        <v>5.07</v>
      </c>
      <c r="E140" s="78" t="s">
        <v>105</v>
      </c>
      <c r="F140" s="6" t="s">
        <v>247</v>
      </c>
    </row>
    <row r="141" spans="2:6" x14ac:dyDescent="0.35">
      <c r="B141" s="69">
        <v>151</v>
      </c>
      <c r="C141" s="73">
        <v>1.73</v>
      </c>
      <c r="D141" s="2">
        <v>6.3</v>
      </c>
      <c r="E141" s="78" t="s">
        <v>105</v>
      </c>
      <c r="F141" s="6" t="s">
        <v>248</v>
      </c>
    </row>
    <row r="142" spans="2:6" x14ac:dyDescent="0.35">
      <c r="B142" s="69">
        <v>153</v>
      </c>
      <c r="C142" s="73">
        <v>0.65</v>
      </c>
      <c r="D142" s="2">
        <v>2.31</v>
      </c>
      <c r="E142" s="78" t="s">
        <v>105</v>
      </c>
      <c r="F142" s="6" t="s">
        <v>249</v>
      </c>
    </row>
    <row r="143" spans="2:6" x14ac:dyDescent="0.35">
      <c r="B143" s="69">
        <v>155</v>
      </c>
      <c r="C143" s="73">
        <v>0.89</v>
      </c>
      <c r="D143" s="2">
        <v>1.64</v>
      </c>
      <c r="E143" s="78"/>
      <c r="F143" s="6" t="s">
        <v>250</v>
      </c>
    </row>
    <row r="144" spans="2:6" x14ac:dyDescent="0.35">
      <c r="B144" s="69">
        <v>157</v>
      </c>
      <c r="C144" s="73">
        <v>0.89</v>
      </c>
      <c r="D144" s="2">
        <v>22.52</v>
      </c>
      <c r="E144" s="78" t="s">
        <v>105</v>
      </c>
      <c r="F144" s="6" t="s">
        <v>251</v>
      </c>
    </row>
    <row r="145" spans="2:6" x14ac:dyDescent="0.35">
      <c r="B145" s="69">
        <v>158</v>
      </c>
      <c r="C145" s="73">
        <v>1.05</v>
      </c>
      <c r="D145" s="2">
        <v>18.18</v>
      </c>
      <c r="E145" s="78" t="s">
        <v>105</v>
      </c>
      <c r="F145" s="6" t="s">
        <v>252</v>
      </c>
    </row>
    <row r="146" spans="2:6" x14ac:dyDescent="0.35">
      <c r="B146" s="69">
        <v>159</v>
      </c>
      <c r="C146" s="73">
        <v>0.66</v>
      </c>
      <c r="D146" s="2">
        <v>2.61</v>
      </c>
      <c r="E146" s="78" t="s">
        <v>105</v>
      </c>
      <c r="F146" s="6" t="s">
        <v>253</v>
      </c>
    </row>
    <row r="147" spans="2:6" x14ac:dyDescent="0.35">
      <c r="B147" s="69">
        <v>160</v>
      </c>
      <c r="C147" s="73">
        <v>0.28000000000000003</v>
      </c>
      <c r="D147" s="2">
        <v>2.2599999999999998</v>
      </c>
      <c r="E147" s="78" t="s">
        <v>105</v>
      </c>
      <c r="F147" s="6" t="s">
        <v>254</v>
      </c>
    </row>
    <row r="148" spans="2:6" x14ac:dyDescent="0.35">
      <c r="B148" s="70">
        <v>162</v>
      </c>
      <c r="C148" s="74">
        <v>0.14000000000000001</v>
      </c>
      <c r="D148" s="4">
        <v>4.13</v>
      </c>
      <c r="E148" s="79" t="s">
        <v>105</v>
      </c>
      <c r="F148" s="7" t="s">
        <v>255</v>
      </c>
    </row>
    <row r="149" spans="2:6" x14ac:dyDescent="0.35">
      <c r="B149" s="2"/>
      <c r="C149" s="2"/>
      <c r="D149" s="2"/>
      <c r="E149" s="2"/>
      <c r="F149" s="2"/>
    </row>
    <row r="150" spans="2:6" x14ac:dyDescent="0.35">
      <c r="B150" s="2" t="s">
        <v>256</v>
      </c>
      <c r="C150" s="2"/>
      <c r="D150" s="2"/>
      <c r="E150" s="2"/>
      <c r="F150" s="2"/>
    </row>
    <row r="151" spans="2:6" x14ac:dyDescent="0.35">
      <c r="B151" s="2" t="s">
        <v>257</v>
      </c>
      <c r="C151" s="2"/>
      <c r="D151" s="2"/>
      <c r="E151" s="2"/>
      <c r="F151" s="2"/>
    </row>
    <row r="152" spans="2:6" x14ac:dyDescent="0.35">
      <c r="B152" s="2"/>
      <c r="C152" s="2"/>
      <c r="D152" s="2"/>
      <c r="E152" s="2"/>
      <c r="F152" s="2"/>
    </row>
    <row r="153" spans="2:6" x14ac:dyDescent="0.35">
      <c r="B153" s="2" t="s">
        <v>258</v>
      </c>
      <c r="C153" s="66"/>
      <c r="D153" s="66"/>
      <c r="E153" s="66"/>
    </row>
    <row r="154" spans="2:6" x14ac:dyDescent="0.35">
      <c r="B154" s="2" t="s">
        <v>259</v>
      </c>
      <c r="C154" s="66"/>
      <c r="D154" s="66"/>
      <c r="E154" s="66"/>
    </row>
    <row r="155" spans="2:6" x14ac:dyDescent="0.35">
      <c r="B155" s="2" t="s">
        <v>260</v>
      </c>
      <c r="C155" s="66"/>
      <c r="D155" s="66"/>
      <c r="E155" s="66"/>
    </row>
    <row r="156" spans="2:6" x14ac:dyDescent="0.35">
      <c r="C156" s="66"/>
      <c r="D156" s="66"/>
      <c r="E156" s="66"/>
    </row>
  </sheetData>
  <pageMargins left="0.78888888888888897" right="0.59513888888888888" top="0.83333333333333337" bottom="0.71250000000000002" header="0.33333333333333337" footer="0.21249999999999999"/>
  <pageSetup orientation="portrait" horizontalDpi="30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Results Chart</vt:lpstr>
      <vt:lpstr>imperfect substutes model</vt:lpstr>
      <vt:lpstr>Armington elasticities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2020-01-27T11:15:32Z</dcterms:created>
  <dcterms:modified xsi:type="dcterms:W3CDTF">2020-01-27T11:15:32Z</dcterms:modified>
</cp:coreProperties>
</file>