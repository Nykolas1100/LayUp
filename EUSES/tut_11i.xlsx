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76B58A-504C-46D9-913E-23971D901763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" i="1" l="1"/>
  <c r="E9" i="1"/>
  <c r="E12" i="1"/>
  <c r="E13" i="1"/>
  <c r="E16" i="1"/>
  <c r="E17" i="1"/>
  <c r="E20" i="1"/>
  <c r="E21" i="1"/>
  <c r="E23" i="1"/>
  <c r="E24" i="1"/>
  <c r="E27" i="1"/>
  <c r="E28" i="1"/>
  <c r="E30" i="1"/>
  <c r="E31" i="1"/>
  <c r="E35" i="1"/>
  <c r="E36" i="1"/>
  <c r="E38" i="1"/>
  <c r="E39" i="1"/>
  <c r="E43" i="1"/>
  <c r="E44" i="1"/>
  <c r="E46" i="1"/>
  <c r="E47" i="1"/>
  <c r="E57" i="1"/>
  <c r="E58" i="1"/>
  <c r="E61" i="1"/>
  <c r="E62" i="1"/>
  <c r="E63" i="1"/>
  <c r="E66" i="1"/>
  <c r="E67" i="1"/>
  <c r="E68" i="1"/>
  <c r="E72" i="1"/>
  <c r="E73" i="1"/>
  <c r="E74" i="1"/>
  <c r="B75" i="1"/>
  <c r="C75" i="1"/>
  <c r="A77" i="1"/>
  <c r="C80" i="1"/>
  <c r="B81" i="1"/>
  <c r="B82" i="1"/>
  <c r="C83" i="1"/>
  <c r="C85" i="1" s="1"/>
  <c r="C87" i="1" s="1"/>
  <c r="C84" i="1"/>
  <c r="C92" i="1"/>
  <c r="C95" i="1"/>
  <c r="C96" i="1"/>
  <c r="C98" i="1" s="1"/>
  <c r="A100" i="1" s="1"/>
  <c r="C97" i="1"/>
  <c r="C88" i="1" l="1"/>
  <c r="C89" i="1" s="1"/>
  <c r="A89" i="1" s="1"/>
</calcChain>
</file>

<file path=xl/sharedStrings.xml><?xml version="1.0" encoding="utf-8"?>
<sst xmlns="http://schemas.openxmlformats.org/spreadsheetml/2006/main" count="50" uniqueCount="43">
  <si>
    <t>Accounting tutorial</t>
  </si>
  <si>
    <t>#11</t>
  </si>
  <si>
    <t>Inventories</t>
  </si>
  <si>
    <t>Inventory</t>
  </si>
  <si>
    <t xml:space="preserve">   Accounts payable</t>
  </si>
  <si>
    <t>Dr.</t>
  </si>
  <si>
    <t>Cr.</t>
  </si>
  <si>
    <t>Accounts receivable</t>
  </si>
  <si>
    <t xml:space="preserve">   Sales</t>
  </si>
  <si>
    <t>Cost of merchandise sold</t>
  </si>
  <si>
    <t xml:space="preserve">   Inventory</t>
  </si>
  <si>
    <t>#2: Returning inventory</t>
  </si>
  <si>
    <t># 1: Purchasing inventory on credit</t>
  </si>
  <si>
    <t>#4: Selling inventory on credit</t>
  </si>
  <si>
    <t xml:space="preserve">         Visa or Mastercard</t>
  </si>
  <si>
    <t>#6: Selling inventory with</t>
  </si>
  <si>
    <t xml:space="preserve">        American Express</t>
  </si>
  <si>
    <t>#7: Sales returns</t>
  </si>
  <si>
    <t>#8: Sales discounts</t>
  </si>
  <si>
    <t>#3: Purchasing inventory with cash</t>
  </si>
  <si>
    <t>#9: Cash from American Express</t>
  </si>
  <si>
    <t>#10: Paying accounts payable</t>
  </si>
  <si>
    <t xml:space="preserve">         with 2% discount</t>
  </si>
  <si>
    <t>Totals</t>
  </si>
  <si>
    <t>Computing gross profit or margin:</t>
  </si>
  <si>
    <t>Journal entries:</t>
  </si>
  <si>
    <t>Sales</t>
  </si>
  <si>
    <t>Less: sales returns</t>
  </si>
  <si>
    <t xml:space="preserve">         sales discounts</t>
  </si>
  <si>
    <t>Net sales</t>
  </si>
  <si>
    <t>Gross profit</t>
  </si>
  <si>
    <t>Gross profit rate</t>
  </si>
  <si>
    <t>Cost compliment</t>
  </si>
  <si>
    <t>Computing ending inventory:</t>
  </si>
  <si>
    <t>Proof:</t>
  </si>
  <si>
    <t>Inventory purchased:</t>
  </si>
  <si>
    <t>Inventory returned:</t>
  </si>
  <si>
    <t>Inventory sold:</t>
  </si>
  <si>
    <t>Equals: inventory on hand</t>
  </si>
  <si>
    <t>Accounts</t>
  </si>
  <si>
    <t>#5a: Selling inventory for cash</t>
  </si>
  <si>
    <t>#5b: Selling inventory with</t>
  </si>
  <si>
    <t xml:space="preserve">Initial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</si>
</sst>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3" formatCode="_(&quot;$&quot;* #,##0_);_(&quot;$&quot;* \(#,##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u val="doubleAccounting"/>
      <sz val="10"/>
      <name val="Arial"/>
      <family val="2"/>
    </font>
    <font>
      <u val="singleAccounting"/>
      <sz val="10"/>
      <name val="Arial"/>
      <family val="2"/>
    </font>
    <font>
      <b/>
      <u val="doubleAccounting"/>
      <sz val="10"/>
      <name val="Arial"/>
      <family val="2"/>
    </font>
    <font>
      <b/>
      <u val="singleAccounting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73" fontId="0" fillId="0" borderId="0" xfId="1" applyNumberFormat="1" applyFont="1"/>
    <xf numFmtId="173" fontId="6" fillId="0" borderId="0" xfId="1" applyNumberFormat="1" applyFont="1"/>
    <xf numFmtId="173" fontId="0" fillId="0" borderId="0" xfId="0" applyNumberFormat="1"/>
    <xf numFmtId="10" fontId="0" fillId="0" borderId="0" xfId="2" applyNumberFormat="1" applyFont="1"/>
    <xf numFmtId="173" fontId="7" fillId="0" borderId="0" xfId="0" applyNumberFormat="1" applyFont="1"/>
    <xf numFmtId="173" fontId="6" fillId="0" borderId="0" xfId="0" applyNumberFormat="1" applyFont="1"/>
    <xf numFmtId="0" fontId="8" fillId="0" borderId="0" xfId="0" applyFont="1"/>
    <xf numFmtId="0" fontId="2" fillId="0" borderId="0" xfId="0" applyNumberFormat="1" applyFont="1"/>
    <xf numFmtId="173" fontId="9" fillId="0" borderId="0" xfId="1" applyNumberFormat="1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"/>
  <sheetViews>
    <sheetView tabSelected="1" workbookViewId="0">
      <selection activeCell="A5" sqref="A5"/>
    </sheetView>
  </sheetViews>
  <sheetFormatPr defaultRowHeight="12.5" x14ac:dyDescent="0.25"/>
  <cols>
    <col min="1" max="1" width="32.7265625" customWidth="1"/>
    <col min="2" max="2" width="10.7265625" customWidth="1"/>
    <col min="3" max="3" width="10.26953125" bestFit="1" customWidth="1"/>
    <col min="4" max="4" width="10.26953125" customWidth="1"/>
    <col min="5" max="6" width="12.7265625" customWidth="1"/>
  </cols>
  <sheetData>
    <row r="1" spans="1:6" ht="13" x14ac:dyDescent="0.3">
      <c r="A1" s="2" t="s">
        <v>0</v>
      </c>
    </row>
    <row r="2" spans="1:6" ht="13" x14ac:dyDescent="0.3">
      <c r="A2" s="2" t="s">
        <v>1</v>
      </c>
    </row>
    <row r="3" spans="1:6" ht="13" x14ac:dyDescent="0.3">
      <c r="A3" s="2" t="s">
        <v>2</v>
      </c>
    </row>
    <row r="4" spans="1:6" ht="13" x14ac:dyDescent="0.3">
      <c r="A4" s="3" t="s">
        <v>42</v>
      </c>
    </row>
    <row r="5" spans="1:6" ht="13" x14ac:dyDescent="0.3">
      <c r="A5" s="3"/>
    </row>
    <row r="6" spans="1:6" ht="13" x14ac:dyDescent="0.3">
      <c r="A6" s="4" t="s">
        <v>25</v>
      </c>
      <c r="B6" s="5" t="s">
        <v>5</v>
      </c>
      <c r="C6" s="5" t="s">
        <v>6</v>
      </c>
      <c r="D6" s="5"/>
      <c r="E6" s="5" t="s">
        <v>39</v>
      </c>
      <c r="F6" s="5"/>
    </row>
    <row r="7" spans="1:6" ht="13" x14ac:dyDescent="0.3">
      <c r="A7" s="1" t="s">
        <v>12</v>
      </c>
    </row>
    <row r="8" spans="1:6" ht="13" x14ac:dyDescent="0.3">
      <c r="A8" s="1" t="s">
        <v>3</v>
      </c>
      <c r="B8" s="6">
        <v>525</v>
      </c>
      <c r="C8" s="6"/>
      <c r="D8" s="6"/>
      <c r="E8" t="str">
        <f>IF(A8="Inventory", "Correct","not correct")</f>
        <v>Correct</v>
      </c>
    </row>
    <row r="9" spans="1:6" ht="13" x14ac:dyDescent="0.3">
      <c r="A9" s="1" t="s">
        <v>4</v>
      </c>
      <c r="B9" s="6"/>
      <c r="C9" s="6">
        <v>525</v>
      </c>
      <c r="D9" s="6"/>
      <c r="E9" t="str">
        <f>IF(A9="   Accounts payable", "Correct","not correct")</f>
        <v>Correct</v>
      </c>
    </row>
    <row r="10" spans="1:6" ht="13" x14ac:dyDescent="0.3">
      <c r="A10" s="1"/>
      <c r="B10" s="6"/>
      <c r="C10" s="6"/>
      <c r="D10" s="6"/>
    </row>
    <row r="11" spans="1:6" ht="13" x14ac:dyDescent="0.3">
      <c r="A11" s="1" t="s">
        <v>11</v>
      </c>
      <c r="B11" s="6"/>
      <c r="C11" s="6"/>
      <c r="D11" s="6"/>
    </row>
    <row r="12" spans="1:6" ht="13" x14ac:dyDescent="0.3">
      <c r="A12" s="1"/>
      <c r="B12" s="6"/>
      <c r="C12" s="6"/>
      <c r="D12" s="6"/>
      <c r="E12" t="str">
        <f>IF(A12="Accounts payable", "Correct","not correct")</f>
        <v>not correct</v>
      </c>
    </row>
    <row r="13" spans="1:6" ht="13" x14ac:dyDescent="0.3">
      <c r="A13" s="1"/>
      <c r="B13" s="6"/>
      <c r="C13" s="6"/>
      <c r="D13" s="6"/>
      <c r="E13" t="str">
        <f>IF(A13="   Inventory", "Correct","not correct")</f>
        <v>not correct</v>
      </c>
    </row>
    <row r="14" spans="1:6" ht="13" x14ac:dyDescent="0.3">
      <c r="A14" s="1"/>
      <c r="B14" s="6"/>
      <c r="C14" s="6"/>
      <c r="D14" s="6"/>
    </row>
    <row r="15" spans="1:6" ht="13" x14ac:dyDescent="0.3">
      <c r="A15" s="1" t="s">
        <v>19</v>
      </c>
      <c r="B15" s="6"/>
      <c r="C15" s="6"/>
      <c r="D15" s="6"/>
    </row>
    <row r="16" spans="1:6" ht="13" x14ac:dyDescent="0.3">
      <c r="A16" s="1"/>
      <c r="B16" s="6"/>
      <c r="C16" s="6"/>
      <c r="D16" s="6"/>
      <c r="E16" t="str">
        <f>IF(A16="Inventory", "Correct","not correct")</f>
        <v>not correct</v>
      </c>
    </row>
    <row r="17" spans="1:5" ht="13" x14ac:dyDescent="0.3">
      <c r="A17" s="1"/>
      <c r="B17" s="6"/>
      <c r="C17" s="6"/>
      <c r="D17" s="6"/>
      <c r="E17" t="str">
        <f>IF(A17="   Cash", "Correct","not correct")</f>
        <v>not correct</v>
      </c>
    </row>
    <row r="18" spans="1:5" ht="13" x14ac:dyDescent="0.3">
      <c r="A18" s="1"/>
      <c r="B18" s="6"/>
      <c r="C18" s="6"/>
      <c r="D18" s="6"/>
    </row>
    <row r="19" spans="1:5" ht="13" x14ac:dyDescent="0.3">
      <c r="A19" s="1" t="s">
        <v>13</v>
      </c>
      <c r="B19" s="6"/>
      <c r="C19" s="6"/>
      <c r="D19" s="6"/>
    </row>
    <row r="20" spans="1:5" ht="13" x14ac:dyDescent="0.3">
      <c r="A20" s="1" t="s">
        <v>7</v>
      </c>
      <c r="B20" s="6">
        <v>810</v>
      </c>
      <c r="C20" s="6"/>
      <c r="D20" s="6"/>
      <c r="E20" t="str">
        <f>IF(A20="Accounts receivable", "Correct","not correct")</f>
        <v>Correct</v>
      </c>
    </row>
    <row r="21" spans="1:5" ht="13" x14ac:dyDescent="0.3">
      <c r="A21" s="1" t="s">
        <v>8</v>
      </c>
      <c r="B21" s="6"/>
      <c r="C21" s="6">
        <v>810</v>
      </c>
      <c r="D21" s="6"/>
      <c r="E21" t="str">
        <f>IF(A21="   Sales", "Correct","not correct")</f>
        <v>Correct</v>
      </c>
    </row>
    <row r="22" spans="1:5" ht="13" x14ac:dyDescent="0.3">
      <c r="A22" s="1"/>
      <c r="B22" s="6"/>
      <c r="C22" s="6"/>
      <c r="D22" s="6"/>
    </row>
    <row r="23" spans="1:5" ht="13" x14ac:dyDescent="0.3">
      <c r="A23" s="1" t="s">
        <v>9</v>
      </c>
      <c r="B23" s="6">
        <v>400</v>
      </c>
      <c r="C23" s="6"/>
      <c r="D23" s="6"/>
      <c r="E23" t="str">
        <f>IF(A23="Cost of merchandise sold", "Correct","not correct")</f>
        <v>Correct</v>
      </c>
    </row>
    <row r="24" spans="1:5" ht="13" x14ac:dyDescent="0.3">
      <c r="A24" s="1" t="s">
        <v>10</v>
      </c>
      <c r="B24" s="6"/>
      <c r="C24" s="6">
        <v>400</v>
      </c>
      <c r="D24" s="6"/>
      <c r="E24" t="str">
        <f>IF(A24="   Inventory", "Correct","not correct")</f>
        <v>Correct</v>
      </c>
    </row>
    <row r="25" spans="1:5" ht="13" x14ac:dyDescent="0.3">
      <c r="A25" s="1"/>
      <c r="B25" s="6"/>
      <c r="C25" s="6"/>
      <c r="D25" s="6"/>
    </row>
    <row r="26" spans="1:5" ht="13" x14ac:dyDescent="0.3">
      <c r="A26" s="1" t="s">
        <v>40</v>
      </c>
      <c r="B26" s="6"/>
      <c r="C26" s="6"/>
      <c r="D26" s="6"/>
    </row>
    <row r="27" spans="1:5" ht="13" x14ac:dyDescent="0.3">
      <c r="A27" s="1"/>
      <c r="B27" s="6"/>
      <c r="C27" s="6"/>
      <c r="D27" s="6"/>
      <c r="E27" t="str">
        <f>IF(A27="Cash", "Correct","not correct")</f>
        <v>not correct</v>
      </c>
    </row>
    <row r="28" spans="1:5" ht="13" x14ac:dyDescent="0.3">
      <c r="A28" s="1"/>
      <c r="B28" s="6"/>
      <c r="C28" s="6"/>
      <c r="D28" s="6"/>
      <c r="E28" t="str">
        <f>IF(A28="   Sales", "Correct","not correct")</f>
        <v>not correct</v>
      </c>
    </row>
    <row r="29" spans="1:5" ht="13" x14ac:dyDescent="0.3">
      <c r="A29" s="1"/>
      <c r="B29" s="6"/>
      <c r="C29" s="6"/>
      <c r="D29" s="6"/>
    </row>
    <row r="30" spans="1:5" ht="13" x14ac:dyDescent="0.3">
      <c r="A30" s="1"/>
      <c r="B30" s="6"/>
      <c r="C30" s="6"/>
      <c r="D30" s="6"/>
      <c r="E30" t="str">
        <f>IF(A30="Cost of merchandise sold", "Correct","not correct")</f>
        <v>not correct</v>
      </c>
    </row>
    <row r="31" spans="1:5" ht="13" x14ac:dyDescent="0.3">
      <c r="A31" s="1"/>
      <c r="B31" s="6"/>
      <c r="C31" s="6"/>
      <c r="D31" s="6"/>
      <c r="E31" t="str">
        <f>IF(A31="   Inventory", "Correct","not correct")</f>
        <v>not correct</v>
      </c>
    </row>
    <row r="32" spans="1:5" ht="13" x14ac:dyDescent="0.3">
      <c r="A32" s="1"/>
      <c r="B32" s="6"/>
      <c r="C32" s="6"/>
      <c r="D32" s="6"/>
    </row>
    <row r="33" spans="1:5" ht="13" x14ac:dyDescent="0.3">
      <c r="A33" s="1" t="s">
        <v>41</v>
      </c>
      <c r="B33" s="6"/>
      <c r="C33" s="6"/>
      <c r="D33" s="6"/>
    </row>
    <row r="34" spans="1:5" ht="13" x14ac:dyDescent="0.3">
      <c r="A34" s="1" t="s">
        <v>14</v>
      </c>
      <c r="B34" s="6"/>
      <c r="C34" s="6"/>
      <c r="D34" s="6"/>
    </row>
    <row r="35" spans="1:5" ht="13" x14ac:dyDescent="0.3">
      <c r="A35" s="1"/>
      <c r="B35" s="6"/>
      <c r="C35" s="6"/>
      <c r="D35" s="6"/>
      <c r="E35" t="str">
        <f>IF(A35="Cash", "Correct","not correct")</f>
        <v>not correct</v>
      </c>
    </row>
    <row r="36" spans="1:5" ht="13" x14ac:dyDescent="0.3">
      <c r="A36" s="1"/>
      <c r="B36" s="6"/>
      <c r="C36" s="6"/>
      <c r="D36" s="6"/>
      <c r="E36" t="str">
        <f>IF(A36="   Sales", "Correct","not correct")</f>
        <v>not correct</v>
      </c>
    </row>
    <row r="37" spans="1:5" ht="13" x14ac:dyDescent="0.3">
      <c r="A37" s="1"/>
      <c r="B37" s="6"/>
      <c r="C37" s="6"/>
      <c r="D37" s="6"/>
    </row>
    <row r="38" spans="1:5" ht="13" x14ac:dyDescent="0.3">
      <c r="A38" s="1"/>
      <c r="B38" s="6"/>
      <c r="C38" s="6"/>
      <c r="D38" s="6"/>
      <c r="E38" t="str">
        <f>IF(A38="Cost of merchandise sold", "Correct","not correct")</f>
        <v>not correct</v>
      </c>
    </row>
    <row r="39" spans="1:5" ht="13" x14ac:dyDescent="0.3">
      <c r="A39" s="1"/>
      <c r="B39" s="6"/>
      <c r="C39" s="6"/>
      <c r="D39" s="6"/>
      <c r="E39" t="str">
        <f>IF(A39="   Inventory", "Correct","Not correct")</f>
        <v>Not correct</v>
      </c>
    </row>
    <row r="40" spans="1:5" ht="13" x14ac:dyDescent="0.3">
      <c r="A40" s="1"/>
      <c r="B40" s="6"/>
      <c r="C40" s="6"/>
      <c r="D40" s="6"/>
    </row>
    <row r="41" spans="1:5" ht="13" x14ac:dyDescent="0.3">
      <c r="A41" s="1" t="s">
        <v>15</v>
      </c>
      <c r="B41" s="6"/>
      <c r="C41" s="6"/>
      <c r="D41" s="6"/>
    </row>
    <row r="42" spans="1:5" ht="13" x14ac:dyDescent="0.3">
      <c r="A42" s="1" t="s">
        <v>16</v>
      </c>
      <c r="B42" s="6"/>
      <c r="C42" s="6"/>
      <c r="D42" s="6"/>
    </row>
    <row r="43" spans="1:5" ht="13" x14ac:dyDescent="0.3">
      <c r="A43" s="1"/>
      <c r="B43" s="6"/>
      <c r="C43" s="6"/>
      <c r="D43" s="6"/>
      <c r="E43" t="str">
        <f>IF(A43="Accounts receivable", "Correct","not correct")</f>
        <v>not correct</v>
      </c>
    </row>
    <row r="44" spans="1:5" ht="13" x14ac:dyDescent="0.3">
      <c r="A44" s="1"/>
      <c r="B44" s="6"/>
      <c r="C44" s="6"/>
      <c r="D44" s="6"/>
      <c r="E44" t="str">
        <f>IF(A44="   Sales", "Correct","not correct")</f>
        <v>not correct</v>
      </c>
    </row>
    <row r="45" spans="1:5" ht="13" x14ac:dyDescent="0.3">
      <c r="A45" s="1"/>
      <c r="B45" s="6"/>
      <c r="C45" s="6"/>
      <c r="D45" s="6"/>
    </row>
    <row r="46" spans="1:5" ht="13" x14ac:dyDescent="0.3">
      <c r="A46" s="1"/>
      <c r="B46" s="6"/>
      <c r="C46" s="6"/>
      <c r="D46" s="6"/>
      <c r="E46" t="str">
        <f>IF(A46="Cost of merchandise sold", "Correct","not correct")</f>
        <v>not correct</v>
      </c>
    </row>
    <row r="47" spans="1:5" ht="13" x14ac:dyDescent="0.3">
      <c r="A47" s="1"/>
      <c r="B47" s="6"/>
      <c r="C47" s="6"/>
      <c r="D47" s="6"/>
      <c r="E47" t="str">
        <f>IF(A47="   Inventory", "Correct","not correct")</f>
        <v>not correct</v>
      </c>
    </row>
    <row r="48" spans="1:5" ht="13" x14ac:dyDescent="0.3">
      <c r="A48" s="1"/>
      <c r="B48" s="6"/>
      <c r="C48" s="6"/>
      <c r="D48" s="6"/>
    </row>
    <row r="49" spans="1:5" x14ac:dyDescent="0.25">
      <c r="B49" s="6"/>
      <c r="C49" s="6"/>
      <c r="D49" s="6"/>
    </row>
    <row r="50" spans="1:5" x14ac:dyDescent="0.25">
      <c r="B50" s="6"/>
      <c r="C50" s="6"/>
      <c r="D50" s="6"/>
    </row>
    <row r="51" spans="1:5" ht="13" x14ac:dyDescent="0.3">
      <c r="A51" s="2"/>
      <c r="B51" s="6"/>
      <c r="C51" s="6"/>
      <c r="D51" s="6"/>
    </row>
    <row r="52" spans="1:5" ht="13" x14ac:dyDescent="0.3">
      <c r="A52" s="2" t="s">
        <v>0</v>
      </c>
      <c r="B52" s="6"/>
      <c r="C52" s="6"/>
      <c r="D52" s="6"/>
    </row>
    <row r="53" spans="1:5" ht="13" x14ac:dyDescent="0.3">
      <c r="A53" s="2" t="s">
        <v>1</v>
      </c>
      <c r="B53" s="6"/>
      <c r="C53" s="6"/>
      <c r="D53" s="6"/>
    </row>
    <row r="54" spans="1:5" ht="13" x14ac:dyDescent="0.3">
      <c r="A54" s="2"/>
      <c r="B54" s="6"/>
      <c r="C54" s="6"/>
      <c r="D54" s="6"/>
    </row>
    <row r="55" spans="1:5" ht="13" x14ac:dyDescent="0.3">
      <c r="A55" s="1" t="s">
        <v>17</v>
      </c>
      <c r="B55" s="6"/>
      <c r="C55" s="6"/>
      <c r="D55" s="6"/>
    </row>
    <row r="56" spans="1:5" ht="16" x14ac:dyDescent="0.6">
      <c r="A56" s="1"/>
      <c r="B56" s="14" t="s">
        <v>5</v>
      </c>
      <c r="C56" s="14" t="s">
        <v>6</v>
      </c>
      <c r="D56" s="14"/>
      <c r="E56" s="5" t="s">
        <v>39</v>
      </c>
    </row>
    <row r="57" spans="1:5" ht="13" x14ac:dyDescent="0.3">
      <c r="A57" s="1"/>
      <c r="B57" s="6"/>
      <c r="C57" s="6"/>
      <c r="D57" s="6"/>
      <c r="E57" t="str">
        <f>IF(A57="Sales returns and allowances", "Correct","not correct")</f>
        <v>not correct</v>
      </c>
    </row>
    <row r="58" spans="1:5" ht="13" x14ac:dyDescent="0.3">
      <c r="A58" s="1"/>
      <c r="B58" s="6"/>
      <c r="C58" s="6"/>
      <c r="D58" s="6"/>
      <c r="E58" t="str">
        <f>IF(A58="   Accounts receivable", "Correct","not correct")</f>
        <v>not correct</v>
      </c>
    </row>
    <row r="59" spans="1:5" ht="13" x14ac:dyDescent="0.3">
      <c r="A59" s="1"/>
      <c r="B59" s="6"/>
      <c r="C59" s="6"/>
      <c r="D59" s="6"/>
    </row>
    <row r="60" spans="1:5" ht="13" x14ac:dyDescent="0.3">
      <c r="A60" s="1" t="s">
        <v>18</v>
      </c>
      <c r="B60" s="6"/>
      <c r="C60" s="6"/>
      <c r="D60" s="6"/>
    </row>
    <row r="61" spans="1:5" ht="13" x14ac:dyDescent="0.3">
      <c r="A61" s="1"/>
      <c r="B61" s="6"/>
      <c r="C61" s="6"/>
      <c r="D61" s="6"/>
      <c r="E61" t="str">
        <f>IF(A61="Sales discounts", "Correct","not correct")</f>
        <v>not correct</v>
      </c>
    </row>
    <row r="62" spans="1:5" ht="13" x14ac:dyDescent="0.3">
      <c r="A62" s="1"/>
      <c r="B62" s="6"/>
      <c r="C62" s="6"/>
      <c r="D62" s="6"/>
      <c r="E62" t="str">
        <f>IF(A62="Cash", "Correct","not correct")</f>
        <v>not correct</v>
      </c>
    </row>
    <row r="63" spans="1:5" ht="13" x14ac:dyDescent="0.3">
      <c r="A63" s="1"/>
      <c r="B63" s="6"/>
      <c r="C63" s="6"/>
      <c r="D63" s="6"/>
      <c r="E63" t="str">
        <f>IF(A63="   Accounts receivable", "Correct","not correct")</f>
        <v>not correct</v>
      </c>
    </row>
    <row r="64" spans="1:5" ht="13" x14ac:dyDescent="0.3">
      <c r="A64" s="1"/>
      <c r="B64" s="6"/>
      <c r="C64" s="6"/>
      <c r="D64" s="6"/>
    </row>
    <row r="65" spans="1:5" ht="13" x14ac:dyDescent="0.3">
      <c r="A65" s="1" t="s">
        <v>20</v>
      </c>
      <c r="B65" s="6"/>
      <c r="C65" s="6"/>
      <c r="D65" s="6"/>
    </row>
    <row r="66" spans="1:5" ht="13" x14ac:dyDescent="0.3">
      <c r="A66" s="1"/>
      <c r="B66" s="6"/>
      <c r="C66" s="6"/>
      <c r="D66" s="6"/>
      <c r="E66" t="str">
        <f>IF(A66="Cash", "Correct","not correct")</f>
        <v>not correct</v>
      </c>
    </row>
    <row r="67" spans="1:5" ht="13" x14ac:dyDescent="0.3">
      <c r="A67" s="1"/>
      <c r="B67" s="6"/>
      <c r="C67" s="6"/>
      <c r="D67" s="6"/>
      <c r="E67" t="str">
        <f>IF(A67="Credit card expense", "Correct","not correct")</f>
        <v>not correct</v>
      </c>
    </row>
    <row r="68" spans="1:5" ht="13" x14ac:dyDescent="0.3">
      <c r="A68" s="1"/>
      <c r="B68" s="6"/>
      <c r="C68" s="6"/>
      <c r="D68" s="6"/>
      <c r="E68" t="str">
        <f>IF(A68="   Accounts receivable", "Correct","not correct")</f>
        <v>not correct</v>
      </c>
    </row>
    <row r="69" spans="1:5" ht="13" x14ac:dyDescent="0.3">
      <c r="A69" s="1"/>
      <c r="B69" s="6"/>
      <c r="C69" s="6"/>
      <c r="D69" s="6"/>
    </row>
    <row r="70" spans="1:5" ht="13" x14ac:dyDescent="0.3">
      <c r="A70" s="1" t="s">
        <v>21</v>
      </c>
      <c r="B70" s="6"/>
      <c r="C70" s="6"/>
      <c r="D70" s="6"/>
    </row>
    <row r="71" spans="1:5" ht="13" x14ac:dyDescent="0.3">
      <c r="A71" s="1" t="s">
        <v>22</v>
      </c>
      <c r="B71" s="6"/>
      <c r="C71" s="6"/>
      <c r="D71" s="6"/>
    </row>
    <row r="72" spans="1:5" ht="13" x14ac:dyDescent="0.3">
      <c r="A72" s="1"/>
      <c r="B72" s="6"/>
      <c r="C72" s="6"/>
      <c r="D72" s="6"/>
      <c r="E72" t="str">
        <f>IF(A72="Accounts payable", "Correct","not correct")</f>
        <v>not correct</v>
      </c>
    </row>
    <row r="73" spans="1:5" ht="13" x14ac:dyDescent="0.3">
      <c r="A73" s="1"/>
      <c r="B73" s="6"/>
      <c r="C73" s="6"/>
      <c r="D73" s="6"/>
      <c r="E73" t="str">
        <f>IF(A73="   Cash", "Correct","not correct")</f>
        <v>not correct</v>
      </c>
    </row>
    <row r="74" spans="1:5" ht="14" x14ac:dyDescent="0.4">
      <c r="A74" s="1"/>
      <c r="B74" s="7"/>
      <c r="C74" s="7"/>
      <c r="D74" s="7"/>
      <c r="E74" t="str">
        <f>IF(A74="   Purchase discounts", "Correct","not correct")</f>
        <v>not correct</v>
      </c>
    </row>
    <row r="75" spans="1:5" ht="14" x14ac:dyDescent="0.4">
      <c r="A75" s="1" t="s">
        <v>23</v>
      </c>
      <c r="B75" s="7">
        <f>SUM(B8:B74)</f>
        <v>1735</v>
      </c>
      <c r="C75" s="7">
        <f>SUM(C8:C74)</f>
        <v>1735</v>
      </c>
      <c r="D75" s="7"/>
    </row>
    <row r="77" spans="1:5" ht="14.5" x14ac:dyDescent="0.45">
      <c r="A77" s="12" t="str">
        <f>IF(B75=C75, "In balance", "Not in balance")</f>
        <v>In balance</v>
      </c>
    </row>
    <row r="79" spans="1:5" ht="13" x14ac:dyDescent="0.3">
      <c r="A79" s="4" t="s">
        <v>24</v>
      </c>
    </row>
    <row r="80" spans="1:5" ht="13" x14ac:dyDescent="0.3">
      <c r="A80" s="1" t="s">
        <v>26</v>
      </c>
      <c r="C80" s="8">
        <f>SUM(C21+C28+C36+C44)</f>
        <v>810</v>
      </c>
      <c r="D80" s="8"/>
    </row>
    <row r="81" spans="1:4" ht="13" x14ac:dyDescent="0.3">
      <c r="A81" s="1" t="s">
        <v>27</v>
      </c>
      <c r="B81" s="8">
        <f>B57</f>
        <v>0</v>
      </c>
    </row>
    <row r="82" spans="1:4" ht="13" x14ac:dyDescent="0.3">
      <c r="A82" s="1" t="s">
        <v>28</v>
      </c>
      <c r="B82" s="8">
        <f>B61</f>
        <v>0</v>
      </c>
    </row>
    <row r="83" spans="1:4" ht="13" x14ac:dyDescent="0.3">
      <c r="A83" s="1" t="s">
        <v>29</v>
      </c>
      <c r="C83" s="8">
        <f>C80-B81-B82</f>
        <v>810</v>
      </c>
      <c r="D83" s="8"/>
    </row>
    <row r="84" spans="1:4" ht="14" x14ac:dyDescent="0.4">
      <c r="A84" s="1" t="s">
        <v>9</v>
      </c>
      <c r="C84" s="10">
        <f>B23+B30+B38+B46</f>
        <v>400</v>
      </c>
      <c r="D84" s="10"/>
    </row>
    <row r="85" spans="1:4" ht="14" x14ac:dyDescent="0.4">
      <c r="A85" s="1" t="s">
        <v>30</v>
      </c>
      <c r="C85" s="11">
        <f>C83-C84</f>
        <v>410</v>
      </c>
      <c r="D85" s="11"/>
    </row>
    <row r="86" spans="1:4" ht="13" x14ac:dyDescent="0.3">
      <c r="A86" s="1"/>
    </row>
    <row r="87" spans="1:4" ht="13" x14ac:dyDescent="0.3">
      <c r="A87" s="1" t="s">
        <v>31</v>
      </c>
      <c r="C87" s="9">
        <f>C85/C83</f>
        <v>0.50617283950617287</v>
      </c>
      <c r="D87" s="9"/>
    </row>
    <row r="88" spans="1:4" ht="13" x14ac:dyDescent="0.3">
      <c r="A88" s="1" t="s">
        <v>32</v>
      </c>
      <c r="C88" s="9">
        <f>C84/C83</f>
        <v>0.49382716049382713</v>
      </c>
      <c r="D88" s="9"/>
    </row>
    <row r="89" spans="1:4" ht="13" x14ac:dyDescent="0.3">
      <c r="A89" s="1" t="str">
        <f>IF(C89=100%,"Equals 100%","Does not equal 100"%)</f>
        <v>Equals 100%</v>
      </c>
      <c r="C89" s="9">
        <f>C87+C88</f>
        <v>1</v>
      </c>
      <c r="D89" s="9"/>
    </row>
    <row r="91" spans="1:4" ht="13" x14ac:dyDescent="0.3">
      <c r="A91" s="4" t="s">
        <v>33</v>
      </c>
    </row>
    <row r="92" spans="1:4" ht="14" x14ac:dyDescent="0.4">
      <c r="A92" s="1" t="s">
        <v>3</v>
      </c>
      <c r="C92" s="11">
        <f>B8-C13+B16-C24-C31-C39-C47</f>
        <v>125</v>
      </c>
      <c r="D92" s="11"/>
    </row>
    <row r="94" spans="1:4" ht="13" x14ac:dyDescent="0.3">
      <c r="A94" s="1" t="s">
        <v>34</v>
      </c>
    </row>
    <row r="95" spans="1:4" ht="13" x14ac:dyDescent="0.3">
      <c r="A95" s="1" t="s">
        <v>35</v>
      </c>
      <c r="C95" s="8">
        <f>B8+B16</f>
        <v>525</v>
      </c>
      <c r="D95" s="8"/>
    </row>
    <row r="96" spans="1:4" ht="13" x14ac:dyDescent="0.3">
      <c r="A96" s="1" t="s">
        <v>36</v>
      </c>
      <c r="C96" s="8">
        <f>-B12</f>
        <v>0</v>
      </c>
      <c r="D96" s="8"/>
    </row>
    <row r="97" spans="1:4" ht="14" x14ac:dyDescent="0.4">
      <c r="A97" s="1" t="s">
        <v>37</v>
      </c>
      <c r="C97" s="10">
        <f>-C84</f>
        <v>-400</v>
      </c>
      <c r="D97" s="10"/>
    </row>
    <row r="98" spans="1:4" ht="14" x14ac:dyDescent="0.4">
      <c r="A98" s="13" t="s">
        <v>38</v>
      </c>
      <c r="C98" s="11">
        <f>C95+C96+C97</f>
        <v>125</v>
      </c>
      <c r="D98" s="11"/>
    </row>
    <row r="100" spans="1:4" ht="13" x14ac:dyDescent="0.3">
      <c r="A100" s="1" t="str">
        <f>IF(C92=C98,"Reconciled", "Not Reconciled")</f>
        <v>Reconciled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Penn State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Dailey</dc:creator>
  <cp:lastModifiedBy>Carina Negreanu</cp:lastModifiedBy>
  <cp:lastPrinted>2000-07-11T19:22:59Z</cp:lastPrinted>
  <dcterms:created xsi:type="dcterms:W3CDTF">2000-07-11T16:12:51Z</dcterms:created>
  <dcterms:modified xsi:type="dcterms:W3CDTF">2020-01-27T10:40:49Z</dcterms:modified>
</cp:coreProperties>
</file>