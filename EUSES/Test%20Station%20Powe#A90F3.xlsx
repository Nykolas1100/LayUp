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ml.chartshape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ml.chartshapes+xml"/>
  <Override PartName="/xl/charts/chart21.xml" ContentType="application/vnd.openxmlformats-officedocument.drawingml.chart+xml"/>
  <Override PartName="/xl/drawings/drawing8.xml" ContentType="application/vnd.openxmlformats-officedocument.drawingml.chartshapes+xml"/>
  <Override PartName="/xl/charts/chart22.xml" ContentType="application/vnd.openxmlformats-officedocument.drawingml.chart+xml"/>
  <Override PartName="/xl/drawings/drawing9.xml" ContentType="application/vnd.openxmlformats-officedocument.drawingml.chartshapes+xml"/>
  <Override PartName="/xl/charts/chart23.xml" ContentType="application/vnd.openxmlformats-officedocument.drawingml.chart+xml"/>
  <Override PartName="/xl/drawings/drawing10.xml" ContentType="application/vnd.openxmlformats-officedocument.drawingml.chartshapes+xml"/>
  <Override PartName="/xl/charts/chart24.xml" ContentType="application/vnd.openxmlformats-officedocument.drawingml.chart+xml"/>
  <Override PartName="/xl/drawings/drawing11.xml" ContentType="application/vnd.openxmlformats-officedocument.drawingml.chartshapes+xml"/>
  <Override PartName="/xl/charts/chart25.xml" ContentType="application/vnd.openxmlformats-officedocument.drawingml.chart+xml"/>
  <Override PartName="/xl/drawings/drawing12.xml" ContentType="application/vnd.openxmlformats-officedocument.drawingml.chartshapes+xml"/>
  <Override PartName="/xl/charts/chart26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drawings/drawing15.xml" ContentType="application/vnd.openxmlformats-officedocument.drawing+xml"/>
  <Override PartName="/xl/charts/chart28.xml" ContentType="application/vnd.openxmlformats-officedocument.drawingml.chart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7.xml" ContentType="application/vnd.openxmlformats-officedocument.drawing+xml"/>
  <Override PartName="/xl/charts/chart35.xml" ContentType="application/vnd.openxmlformats-officedocument.drawingml.chart+xml"/>
  <Override PartName="/xl/drawings/drawing18.xml" ContentType="application/vnd.openxmlformats-officedocument.drawing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3EB5E2-107D-48F5-9ABD-88FEB7DA3FA9}" xr6:coauthVersionLast="45" xr6:coauthVersionMax="45" xr10:uidLastSave="{00000000-0000-0000-0000-000000000000}"/>
  <bookViews>
    <workbookView xWindow="3420" yWindow="3420" windowWidth="28800" windowHeight="15460" firstSheet="7" activeTab="7"/>
  </bookViews>
  <sheets>
    <sheet name="Pulse width data" sheetId="9" r:id="rId1"/>
    <sheet name="Dummy load chart" sheetId="11" r:id="rId2"/>
    <sheet name="Dummy Load" sheetId="10" r:id="rId3"/>
    <sheet name="Spice analysis" sheetId="8" r:id="rId4"/>
    <sheet name="Data" sheetId="1" r:id="rId5"/>
    <sheet name="Grad vs Rogowski" sheetId="5" r:id="rId6"/>
    <sheet name="Grad vs Bdot" sheetId="6" r:id="rId7"/>
    <sheet name="HV measurements 10-02" sheetId="7" r:id="rId8"/>
    <sheet name="Bdot vs Rogowski all" sheetId="2" r:id="rId9"/>
    <sheet name="Bdot vs Pot by lens" sheetId="4" r:id="rId10"/>
    <sheet name="Rogowski vs Pot by lens" sheetId="3" r:id="rId11"/>
  </sheets>
  <definedNames>
    <definedName name="_xlnm.Print_Area" localSheetId="4">Data!$A$1:$H$59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I2" i="1"/>
  <c r="Q2" i="1"/>
  <c r="S2" i="1" s="1"/>
  <c r="R2" i="1"/>
  <c r="T2" i="1"/>
  <c r="F3" i="1"/>
  <c r="G3" i="1"/>
  <c r="H3" i="1"/>
  <c r="I3" i="1"/>
  <c r="Q3" i="1"/>
  <c r="R3" i="1"/>
  <c r="S3" i="1" s="1"/>
  <c r="T3" i="1"/>
  <c r="F4" i="1"/>
  <c r="G4" i="1"/>
  <c r="H4" i="1"/>
  <c r="I4" i="1"/>
  <c r="I145" i="1" s="1"/>
  <c r="Q4" i="1"/>
  <c r="R4" i="1"/>
  <c r="S4" i="1"/>
  <c r="T4" i="1"/>
  <c r="F5" i="1"/>
  <c r="H5" i="1" s="1"/>
  <c r="G5" i="1"/>
  <c r="I5" i="1"/>
  <c r="Q5" i="1"/>
  <c r="R5" i="1"/>
  <c r="S5" i="1"/>
  <c r="T5" i="1"/>
  <c r="F6" i="1"/>
  <c r="G6" i="1"/>
  <c r="H6" i="1" s="1"/>
  <c r="I6" i="1"/>
  <c r="Q6" i="1"/>
  <c r="R6" i="1"/>
  <c r="S6" i="1"/>
  <c r="T6" i="1"/>
  <c r="T145" i="1" s="1"/>
  <c r="F7" i="1"/>
  <c r="G7" i="1"/>
  <c r="H7" i="1"/>
  <c r="I7" i="1"/>
  <c r="Q7" i="1"/>
  <c r="S7" i="1" s="1"/>
  <c r="R7" i="1"/>
  <c r="T7" i="1"/>
  <c r="F8" i="1"/>
  <c r="G8" i="1"/>
  <c r="H8" i="1"/>
  <c r="I8" i="1"/>
  <c r="Q8" i="1"/>
  <c r="R8" i="1"/>
  <c r="S8" i="1" s="1"/>
  <c r="T8" i="1"/>
  <c r="F9" i="1"/>
  <c r="G9" i="1"/>
  <c r="H9" i="1"/>
  <c r="I9" i="1"/>
  <c r="Q9" i="1"/>
  <c r="R9" i="1"/>
  <c r="S9" i="1"/>
  <c r="T9" i="1"/>
  <c r="F10" i="1"/>
  <c r="H10" i="1" s="1"/>
  <c r="G10" i="1"/>
  <c r="I10" i="1"/>
  <c r="Q10" i="1"/>
  <c r="R10" i="1"/>
  <c r="S10" i="1"/>
  <c r="T10" i="1"/>
  <c r="F11" i="1"/>
  <c r="G11" i="1"/>
  <c r="H11" i="1" s="1"/>
  <c r="I11" i="1"/>
  <c r="Q11" i="1"/>
  <c r="R11" i="1"/>
  <c r="S11" i="1"/>
  <c r="T11" i="1"/>
  <c r="F12" i="1"/>
  <c r="G12" i="1"/>
  <c r="H12" i="1"/>
  <c r="I12" i="1"/>
  <c r="Q12" i="1"/>
  <c r="S12" i="1" s="1"/>
  <c r="R12" i="1"/>
  <c r="T12" i="1"/>
  <c r="F13" i="1"/>
  <c r="G13" i="1"/>
  <c r="H13" i="1"/>
  <c r="I13" i="1"/>
  <c r="Q13" i="1"/>
  <c r="R13" i="1"/>
  <c r="S13" i="1" s="1"/>
  <c r="T13" i="1"/>
  <c r="F14" i="1"/>
  <c r="G14" i="1"/>
  <c r="H14" i="1"/>
  <c r="I14" i="1"/>
  <c r="Q14" i="1"/>
  <c r="R14" i="1"/>
  <c r="S14" i="1"/>
  <c r="T14" i="1"/>
  <c r="F15" i="1"/>
  <c r="H15" i="1" s="1"/>
  <c r="G15" i="1"/>
  <c r="I15" i="1"/>
  <c r="Q15" i="1"/>
  <c r="R15" i="1"/>
  <c r="S15" i="1"/>
  <c r="T15" i="1"/>
  <c r="F16" i="1"/>
  <c r="G16" i="1"/>
  <c r="H16" i="1" s="1"/>
  <c r="I16" i="1"/>
  <c r="Q16" i="1"/>
  <c r="R16" i="1"/>
  <c r="S16" i="1"/>
  <c r="T16" i="1"/>
  <c r="F17" i="1"/>
  <c r="G17" i="1"/>
  <c r="H17" i="1"/>
  <c r="I17" i="1"/>
  <c r="Q17" i="1"/>
  <c r="S17" i="1" s="1"/>
  <c r="R17" i="1"/>
  <c r="T17" i="1"/>
  <c r="F18" i="1"/>
  <c r="G18" i="1"/>
  <c r="H18" i="1"/>
  <c r="I18" i="1"/>
  <c r="Q18" i="1"/>
  <c r="R18" i="1"/>
  <c r="S18" i="1" s="1"/>
  <c r="T18" i="1"/>
  <c r="F19" i="1"/>
  <c r="G19" i="1"/>
  <c r="H19" i="1"/>
  <c r="I19" i="1"/>
  <c r="Q19" i="1"/>
  <c r="R19" i="1"/>
  <c r="S19" i="1"/>
  <c r="T19" i="1"/>
  <c r="F20" i="1"/>
  <c r="H20" i="1" s="1"/>
  <c r="G20" i="1"/>
  <c r="I20" i="1"/>
  <c r="Q20" i="1"/>
  <c r="R20" i="1"/>
  <c r="S20" i="1"/>
  <c r="T20" i="1"/>
  <c r="F21" i="1"/>
  <c r="G21" i="1"/>
  <c r="H21" i="1" s="1"/>
  <c r="I21" i="1"/>
  <c r="Q21" i="1"/>
  <c r="R21" i="1"/>
  <c r="S21" i="1"/>
  <c r="T21" i="1"/>
  <c r="F22" i="1"/>
  <c r="G22" i="1"/>
  <c r="H22" i="1"/>
  <c r="I22" i="1"/>
  <c r="Q22" i="1"/>
  <c r="S22" i="1" s="1"/>
  <c r="R22" i="1"/>
  <c r="T22" i="1"/>
  <c r="F23" i="1"/>
  <c r="G23" i="1"/>
  <c r="H23" i="1"/>
  <c r="I23" i="1"/>
  <c r="Q23" i="1"/>
  <c r="R23" i="1"/>
  <c r="S23" i="1" s="1"/>
  <c r="T23" i="1"/>
  <c r="F24" i="1"/>
  <c r="G24" i="1"/>
  <c r="H24" i="1"/>
  <c r="I24" i="1"/>
  <c r="Q24" i="1"/>
  <c r="R24" i="1"/>
  <c r="S24" i="1"/>
  <c r="T24" i="1"/>
  <c r="F25" i="1"/>
  <c r="H25" i="1" s="1"/>
  <c r="G25" i="1"/>
  <c r="I25" i="1"/>
  <c r="Q25" i="1"/>
  <c r="R25" i="1"/>
  <c r="S25" i="1"/>
  <c r="T25" i="1"/>
  <c r="F26" i="1"/>
  <c r="G26" i="1"/>
  <c r="H26" i="1" s="1"/>
  <c r="I26" i="1"/>
  <c r="Q26" i="1"/>
  <c r="R26" i="1"/>
  <c r="S26" i="1"/>
  <c r="T26" i="1"/>
  <c r="F27" i="1"/>
  <c r="G27" i="1"/>
  <c r="H27" i="1"/>
  <c r="I27" i="1"/>
  <c r="Q27" i="1"/>
  <c r="S27" i="1" s="1"/>
  <c r="R27" i="1"/>
  <c r="T27" i="1"/>
  <c r="F28" i="1"/>
  <c r="G28" i="1"/>
  <c r="H28" i="1"/>
  <c r="I28" i="1"/>
  <c r="Q28" i="1"/>
  <c r="R28" i="1"/>
  <c r="S28" i="1" s="1"/>
  <c r="T28" i="1"/>
  <c r="F29" i="1"/>
  <c r="G29" i="1"/>
  <c r="H29" i="1"/>
  <c r="I29" i="1"/>
  <c r="Q29" i="1"/>
  <c r="R29" i="1"/>
  <c r="S29" i="1" s="1"/>
  <c r="T29" i="1"/>
  <c r="F30" i="1"/>
  <c r="H30" i="1" s="1"/>
  <c r="G30" i="1"/>
  <c r="I30" i="1"/>
  <c r="Q30" i="1"/>
  <c r="R30" i="1"/>
  <c r="S30" i="1"/>
  <c r="T30" i="1"/>
  <c r="F31" i="1"/>
  <c r="G31" i="1"/>
  <c r="H31" i="1" s="1"/>
  <c r="I31" i="1"/>
  <c r="Q31" i="1"/>
  <c r="R31" i="1"/>
  <c r="S31" i="1"/>
  <c r="T31" i="1"/>
  <c r="F32" i="1"/>
  <c r="G32" i="1"/>
  <c r="H32" i="1" s="1"/>
  <c r="I32" i="1"/>
  <c r="Q32" i="1"/>
  <c r="S32" i="1" s="1"/>
  <c r="R32" i="1"/>
  <c r="T32" i="1"/>
  <c r="F33" i="1"/>
  <c r="G33" i="1"/>
  <c r="H33" i="1"/>
  <c r="I33" i="1"/>
  <c r="Q33" i="1"/>
  <c r="R33" i="1"/>
  <c r="S33" i="1" s="1"/>
  <c r="T33" i="1"/>
  <c r="F34" i="1"/>
  <c r="G34" i="1"/>
  <c r="H34" i="1"/>
  <c r="I34" i="1"/>
  <c r="Q34" i="1"/>
  <c r="R34" i="1"/>
  <c r="S34" i="1" s="1"/>
  <c r="T34" i="1"/>
  <c r="F35" i="1"/>
  <c r="H35" i="1" s="1"/>
  <c r="G35" i="1"/>
  <c r="I35" i="1"/>
  <c r="Q35" i="1"/>
  <c r="R35" i="1"/>
  <c r="S35" i="1"/>
  <c r="T35" i="1"/>
  <c r="F36" i="1"/>
  <c r="G36" i="1"/>
  <c r="H36" i="1" s="1"/>
  <c r="I36" i="1"/>
  <c r="Q36" i="1"/>
  <c r="R36" i="1"/>
  <c r="S36" i="1"/>
  <c r="T36" i="1"/>
  <c r="F37" i="1"/>
  <c r="G37" i="1"/>
  <c r="H37" i="1" s="1"/>
  <c r="I37" i="1"/>
  <c r="Q37" i="1"/>
  <c r="S37" i="1" s="1"/>
  <c r="R37" i="1"/>
  <c r="T37" i="1"/>
  <c r="F38" i="1"/>
  <c r="G38" i="1"/>
  <c r="H38" i="1"/>
  <c r="I38" i="1"/>
  <c r="Q38" i="1"/>
  <c r="R38" i="1"/>
  <c r="S38" i="1" s="1"/>
  <c r="T38" i="1"/>
  <c r="F39" i="1"/>
  <c r="G39" i="1"/>
  <c r="H39" i="1"/>
  <c r="I39" i="1"/>
  <c r="Q39" i="1"/>
  <c r="R39" i="1"/>
  <c r="S39" i="1" s="1"/>
  <c r="T39" i="1"/>
  <c r="F40" i="1"/>
  <c r="H40" i="1" s="1"/>
  <c r="G40" i="1"/>
  <c r="I40" i="1"/>
  <c r="Q40" i="1"/>
  <c r="R40" i="1"/>
  <c r="S40" i="1"/>
  <c r="T40" i="1"/>
  <c r="F41" i="1"/>
  <c r="G41" i="1"/>
  <c r="H41" i="1" s="1"/>
  <c r="I41" i="1"/>
  <c r="Q41" i="1"/>
  <c r="R41" i="1"/>
  <c r="S41" i="1"/>
  <c r="T41" i="1"/>
  <c r="F42" i="1"/>
  <c r="G42" i="1"/>
  <c r="H42" i="1" s="1"/>
  <c r="I42" i="1"/>
  <c r="Q42" i="1"/>
  <c r="S42" i="1" s="1"/>
  <c r="R42" i="1"/>
  <c r="T42" i="1"/>
  <c r="F43" i="1"/>
  <c r="G43" i="1"/>
  <c r="H43" i="1"/>
  <c r="I43" i="1"/>
  <c r="Q43" i="1"/>
  <c r="R43" i="1"/>
  <c r="S43" i="1" s="1"/>
  <c r="T43" i="1"/>
  <c r="F44" i="1"/>
  <c r="G44" i="1"/>
  <c r="H44" i="1"/>
  <c r="I44" i="1"/>
  <c r="Q44" i="1"/>
  <c r="R44" i="1"/>
  <c r="S44" i="1" s="1"/>
  <c r="T44" i="1"/>
  <c r="F45" i="1"/>
  <c r="H45" i="1" s="1"/>
  <c r="G45" i="1"/>
  <c r="I45" i="1"/>
  <c r="Q45" i="1"/>
  <c r="R45" i="1"/>
  <c r="S45" i="1"/>
  <c r="T45" i="1"/>
  <c r="F46" i="1"/>
  <c r="G46" i="1"/>
  <c r="H46" i="1" s="1"/>
  <c r="I46" i="1"/>
  <c r="Q46" i="1"/>
  <c r="R46" i="1"/>
  <c r="S46" i="1"/>
  <c r="T46" i="1"/>
  <c r="F47" i="1"/>
  <c r="G47" i="1"/>
  <c r="H47" i="1" s="1"/>
  <c r="I47" i="1"/>
  <c r="Q47" i="1"/>
  <c r="S47" i="1" s="1"/>
  <c r="R47" i="1"/>
  <c r="T47" i="1"/>
  <c r="F48" i="1"/>
  <c r="G48" i="1"/>
  <c r="H48" i="1"/>
  <c r="I48" i="1"/>
  <c r="Q48" i="1"/>
  <c r="R48" i="1"/>
  <c r="S48" i="1" s="1"/>
  <c r="T48" i="1"/>
  <c r="F49" i="1"/>
  <c r="G49" i="1"/>
  <c r="H49" i="1"/>
  <c r="I49" i="1"/>
  <c r="Q49" i="1"/>
  <c r="R49" i="1"/>
  <c r="S49" i="1" s="1"/>
  <c r="T49" i="1"/>
  <c r="F50" i="1"/>
  <c r="H50" i="1" s="1"/>
  <c r="G50" i="1"/>
  <c r="I50" i="1"/>
  <c r="Q50" i="1"/>
  <c r="R50" i="1"/>
  <c r="S50" i="1"/>
  <c r="T50" i="1"/>
  <c r="F51" i="1"/>
  <c r="G51" i="1"/>
  <c r="H51" i="1" s="1"/>
  <c r="I51" i="1"/>
  <c r="Q51" i="1"/>
  <c r="R51" i="1"/>
  <c r="S51" i="1"/>
  <c r="T51" i="1"/>
  <c r="F52" i="1"/>
  <c r="G52" i="1"/>
  <c r="H52" i="1" s="1"/>
  <c r="I52" i="1"/>
  <c r="Q52" i="1"/>
  <c r="S52" i="1" s="1"/>
  <c r="R52" i="1"/>
  <c r="T52" i="1"/>
  <c r="F53" i="1"/>
  <c r="G53" i="1"/>
  <c r="H53" i="1"/>
  <c r="I53" i="1"/>
  <c r="Q53" i="1"/>
  <c r="R53" i="1"/>
  <c r="S53" i="1" s="1"/>
  <c r="T53" i="1"/>
  <c r="F54" i="1"/>
  <c r="G54" i="1"/>
  <c r="H54" i="1"/>
  <c r="I54" i="1"/>
  <c r="Q54" i="1"/>
  <c r="R54" i="1"/>
  <c r="S54" i="1" s="1"/>
  <c r="T54" i="1"/>
  <c r="F55" i="1"/>
  <c r="H55" i="1" s="1"/>
  <c r="G55" i="1"/>
  <c r="I55" i="1"/>
  <c r="Q55" i="1"/>
  <c r="R55" i="1"/>
  <c r="S55" i="1"/>
  <c r="T55" i="1"/>
  <c r="F56" i="1"/>
  <c r="G56" i="1"/>
  <c r="H56" i="1" s="1"/>
  <c r="I56" i="1"/>
  <c r="Q56" i="1"/>
  <c r="R56" i="1"/>
  <c r="S56" i="1"/>
  <c r="T56" i="1"/>
  <c r="F57" i="1"/>
  <c r="G57" i="1"/>
  <c r="H57" i="1" s="1"/>
  <c r="I57" i="1"/>
  <c r="Q57" i="1"/>
  <c r="S57" i="1" s="1"/>
  <c r="R57" i="1"/>
  <c r="T57" i="1"/>
  <c r="F58" i="1"/>
  <c r="G58" i="1"/>
  <c r="H58" i="1"/>
  <c r="I58" i="1"/>
  <c r="Q58" i="1"/>
  <c r="R58" i="1"/>
  <c r="S58" i="1" s="1"/>
  <c r="T58" i="1"/>
  <c r="F59" i="1"/>
  <c r="G59" i="1"/>
  <c r="H59" i="1"/>
  <c r="I59" i="1"/>
  <c r="Q59" i="1"/>
  <c r="R59" i="1"/>
  <c r="S59" i="1" s="1"/>
  <c r="T59" i="1"/>
  <c r="F60" i="1"/>
  <c r="H60" i="1" s="1"/>
  <c r="G60" i="1"/>
  <c r="I60" i="1"/>
  <c r="Q60" i="1"/>
  <c r="R60" i="1"/>
  <c r="S60" i="1"/>
  <c r="T60" i="1"/>
  <c r="F61" i="1"/>
  <c r="G61" i="1"/>
  <c r="H61" i="1" s="1"/>
  <c r="I61" i="1"/>
  <c r="Q61" i="1"/>
  <c r="R61" i="1"/>
  <c r="S61" i="1"/>
  <c r="T61" i="1"/>
  <c r="F62" i="1"/>
  <c r="G62" i="1"/>
  <c r="H62" i="1" s="1"/>
  <c r="I62" i="1"/>
  <c r="Q62" i="1"/>
  <c r="S62" i="1" s="1"/>
  <c r="R62" i="1"/>
  <c r="T62" i="1"/>
  <c r="F63" i="1"/>
  <c r="G63" i="1"/>
  <c r="H63" i="1"/>
  <c r="I63" i="1"/>
  <c r="Q63" i="1"/>
  <c r="R63" i="1"/>
  <c r="S63" i="1" s="1"/>
  <c r="T63" i="1"/>
  <c r="F64" i="1"/>
  <c r="G64" i="1"/>
  <c r="H64" i="1"/>
  <c r="I64" i="1"/>
  <c r="Q64" i="1"/>
  <c r="R64" i="1"/>
  <c r="S64" i="1" s="1"/>
  <c r="T64" i="1"/>
  <c r="F65" i="1"/>
  <c r="H65" i="1" s="1"/>
  <c r="G65" i="1"/>
  <c r="I65" i="1"/>
  <c r="Q65" i="1"/>
  <c r="R65" i="1"/>
  <c r="S65" i="1"/>
  <c r="T65" i="1"/>
  <c r="F66" i="1"/>
  <c r="G66" i="1"/>
  <c r="H66" i="1" s="1"/>
  <c r="I66" i="1"/>
  <c r="Q66" i="1"/>
  <c r="R66" i="1"/>
  <c r="S66" i="1"/>
  <c r="T66" i="1"/>
  <c r="F67" i="1"/>
  <c r="G67" i="1"/>
  <c r="H67" i="1" s="1"/>
  <c r="I67" i="1"/>
  <c r="Q67" i="1"/>
  <c r="S67" i="1" s="1"/>
  <c r="R67" i="1"/>
  <c r="T67" i="1"/>
  <c r="F68" i="1"/>
  <c r="G68" i="1"/>
  <c r="H68" i="1"/>
  <c r="I68" i="1"/>
  <c r="Q68" i="1"/>
  <c r="R68" i="1"/>
  <c r="S68" i="1" s="1"/>
  <c r="T68" i="1"/>
  <c r="F69" i="1"/>
  <c r="G69" i="1"/>
  <c r="H69" i="1"/>
  <c r="I69" i="1"/>
  <c r="Q69" i="1"/>
  <c r="R69" i="1"/>
  <c r="S69" i="1" s="1"/>
  <c r="T69" i="1"/>
  <c r="F70" i="1"/>
  <c r="H70" i="1" s="1"/>
  <c r="G70" i="1"/>
  <c r="I70" i="1"/>
  <c r="Q70" i="1"/>
  <c r="R70" i="1"/>
  <c r="S70" i="1"/>
  <c r="T70" i="1"/>
  <c r="F71" i="1"/>
  <c r="G71" i="1"/>
  <c r="H71" i="1" s="1"/>
  <c r="I71" i="1"/>
  <c r="Q71" i="1"/>
  <c r="R71" i="1"/>
  <c r="S71" i="1"/>
  <c r="T71" i="1"/>
  <c r="F72" i="1"/>
  <c r="G72" i="1"/>
  <c r="H72" i="1" s="1"/>
  <c r="I72" i="1"/>
  <c r="Q72" i="1"/>
  <c r="S72" i="1" s="1"/>
  <c r="R72" i="1"/>
  <c r="T72" i="1"/>
  <c r="F73" i="1"/>
  <c r="G73" i="1"/>
  <c r="H73" i="1"/>
  <c r="I73" i="1"/>
  <c r="Q73" i="1"/>
  <c r="R73" i="1"/>
  <c r="S73" i="1" s="1"/>
  <c r="T73" i="1"/>
  <c r="F74" i="1"/>
  <c r="G74" i="1"/>
  <c r="H74" i="1"/>
  <c r="I74" i="1"/>
  <c r="Q74" i="1"/>
  <c r="R74" i="1"/>
  <c r="S74" i="1" s="1"/>
  <c r="T74" i="1"/>
  <c r="F75" i="1"/>
  <c r="H75" i="1" s="1"/>
  <c r="G75" i="1"/>
  <c r="I75" i="1"/>
  <c r="Q75" i="1"/>
  <c r="R75" i="1"/>
  <c r="S75" i="1"/>
  <c r="T75" i="1"/>
  <c r="F76" i="1"/>
  <c r="G76" i="1"/>
  <c r="H76" i="1" s="1"/>
  <c r="I76" i="1"/>
  <c r="Q76" i="1"/>
  <c r="R76" i="1"/>
  <c r="S76" i="1"/>
  <c r="T76" i="1"/>
  <c r="F77" i="1"/>
  <c r="G77" i="1"/>
  <c r="H77" i="1" s="1"/>
  <c r="I77" i="1"/>
  <c r="Q77" i="1"/>
  <c r="S77" i="1" s="1"/>
  <c r="R77" i="1"/>
  <c r="T77" i="1"/>
  <c r="F78" i="1"/>
  <c r="G78" i="1"/>
  <c r="H78" i="1"/>
  <c r="I78" i="1"/>
  <c r="Q78" i="1"/>
  <c r="R78" i="1"/>
  <c r="S78" i="1" s="1"/>
  <c r="T78" i="1"/>
  <c r="F79" i="1"/>
  <c r="G79" i="1"/>
  <c r="H79" i="1"/>
  <c r="I79" i="1"/>
  <c r="Q79" i="1"/>
  <c r="R79" i="1"/>
  <c r="S79" i="1" s="1"/>
  <c r="T79" i="1"/>
  <c r="F80" i="1"/>
  <c r="H80" i="1" s="1"/>
  <c r="G80" i="1"/>
  <c r="I80" i="1"/>
  <c r="Q80" i="1"/>
  <c r="R80" i="1"/>
  <c r="S80" i="1"/>
  <c r="T80" i="1"/>
  <c r="F81" i="1"/>
  <c r="G81" i="1"/>
  <c r="H81" i="1" s="1"/>
  <c r="I81" i="1"/>
  <c r="Q81" i="1"/>
  <c r="R81" i="1"/>
  <c r="S81" i="1"/>
  <c r="T81" i="1"/>
  <c r="F82" i="1"/>
  <c r="G82" i="1"/>
  <c r="H82" i="1" s="1"/>
  <c r="I82" i="1"/>
  <c r="Q82" i="1"/>
  <c r="S82" i="1" s="1"/>
  <c r="R82" i="1"/>
  <c r="T82" i="1"/>
  <c r="F83" i="1"/>
  <c r="G83" i="1"/>
  <c r="H83" i="1"/>
  <c r="I83" i="1"/>
  <c r="Q83" i="1"/>
  <c r="R83" i="1"/>
  <c r="S83" i="1" s="1"/>
  <c r="T83" i="1"/>
  <c r="F84" i="1"/>
  <c r="G84" i="1"/>
  <c r="H84" i="1"/>
  <c r="I84" i="1"/>
  <c r="Q84" i="1"/>
  <c r="R84" i="1"/>
  <c r="S84" i="1" s="1"/>
  <c r="T84" i="1"/>
  <c r="F85" i="1"/>
  <c r="H85" i="1" s="1"/>
  <c r="G85" i="1"/>
  <c r="I85" i="1"/>
  <c r="Q85" i="1"/>
  <c r="R85" i="1"/>
  <c r="S85" i="1"/>
  <c r="T85" i="1"/>
  <c r="F86" i="1"/>
  <c r="G86" i="1"/>
  <c r="H86" i="1" s="1"/>
  <c r="I86" i="1"/>
  <c r="Q86" i="1"/>
  <c r="R86" i="1"/>
  <c r="S86" i="1"/>
  <c r="T86" i="1"/>
  <c r="F87" i="1"/>
  <c r="G87" i="1"/>
  <c r="H87" i="1" s="1"/>
  <c r="I87" i="1"/>
  <c r="Q87" i="1"/>
  <c r="S87" i="1" s="1"/>
  <c r="R87" i="1"/>
  <c r="T87" i="1"/>
  <c r="F88" i="1"/>
  <c r="G88" i="1"/>
  <c r="H88" i="1"/>
  <c r="I88" i="1"/>
  <c r="Q88" i="1"/>
  <c r="R88" i="1"/>
  <c r="S88" i="1" s="1"/>
  <c r="T88" i="1"/>
  <c r="F89" i="1"/>
  <c r="G89" i="1"/>
  <c r="H89" i="1"/>
  <c r="I89" i="1"/>
  <c r="Q89" i="1"/>
  <c r="R89" i="1"/>
  <c r="S89" i="1" s="1"/>
  <c r="T89" i="1"/>
  <c r="F90" i="1"/>
  <c r="H90" i="1" s="1"/>
  <c r="G90" i="1"/>
  <c r="I90" i="1"/>
  <c r="Q90" i="1"/>
  <c r="R90" i="1"/>
  <c r="S90" i="1"/>
  <c r="T90" i="1"/>
  <c r="F91" i="1"/>
  <c r="G91" i="1"/>
  <c r="H91" i="1" s="1"/>
  <c r="I91" i="1"/>
  <c r="Q91" i="1"/>
  <c r="R91" i="1"/>
  <c r="S91" i="1"/>
  <c r="T91" i="1"/>
  <c r="F92" i="1"/>
  <c r="G92" i="1"/>
  <c r="H92" i="1" s="1"/>
  <c r="I92" i="1"/>
  <c r="Q92" i="1"/>
  <c r="S92" i="1" s="1"/>
  <c r="R92" i="1"/>
  <c r="T92" i="1"/>
  <c r="F93" i="1"/>
  <c r="G93" i="1"/>
  <c r="H93" i="1"/>
  <c r="I93" i="1"/>
  <c r="Q93" i="1"/>
  <c r="R93" i="1"/>
  <c r="S93" i="1" s="1"/>
  <c r="T93" i="1"/>
  <c r="F94" i="1"/>
  <c r="G94" i="1"/>
  <c r="H94" i="1"/>
  <c r="I94" i="1"/>
  <c r="Q94" i="1"/>
  <c r="R94" i="1"/>
  <c r="S94" i="1" s="1"/>
  <c r="T94" i="1"/>
  <c r="F95" i="1"/>
  <c r="H95" i="1" s="1"/>
  <c r="G95" i="1"/>
  <c r="I95" i="1"/>
  <c r="Q95" i="1"/>
  <c r="R95" i="1"/>
  <c r="S95" i="1"/>
  <c r="T95" i="1"/>
  <c r="F96" i="1"/>
  <c r="G96" i="1"/>
  <c r="H96" i="1" s="1"/>
  <c r="I96" i="1"/>
  <c r="Q96" i="1"/>
  <c r="R96" i="1"/>
  <c r="S96" i="1"/>
  <c r="T96" i="1"/>
  <c r="F97" i="1"/>
  <c r="G97" i="1"/>
  <c r="H97" i="1" s="1"/>
  <c r="I97" i="1"/>
  <c r="Q97" i="1"/>
  <c r="S97" i="1" s="1"/>
  <c r="R97" i="1"/>
  <c r="T97" i="1"/>
  <c r="F98" i="1"/>
  <c r="G98" i="1"/>
  <c r="H98" i="1"/>
  <c r="I98" i="1"/>
  <c r="Q98" i="1"/>
  <c r="R98" i="1"/>
  <c r="S98" i="1" s="1"/>
  <c r="T98" i="1"/>
  <c r="F99" i="1"/>
  <c r="G99" i="1"/>
  <c r="H99" i="1"/>
  <c r="I99" i="1"/>
  <c r="Q99" i="1"/>
  <c r="R99" i="1"/>
  <c r="S99" i="1" s="1"/>
  <c r="T99" i="1"/>
  <c r="F100" i="1"/>
  <c r="H100" i="1" s="1"/>
  <c r="G100" i="1"/>
  <c r="I100" i="1"/>
  <c r="Q100" i="1"/>
  <c r="R100" i="1"/>
  <c r="S100" i="1"/>
  <c r="T100" i="1"/>
  <c r="F101" i="1"/>
  <c r="G101" i="1"/>
  <c r="H101" i="1" s="1"/>
  <c r="I101" i="1"/>
  <c r="Q101" i="1"/>
  <c r="R101" i="1"/>
  <c r="S101" i="1"/>
  <c r="T101" i="1"/>
  <c r="F102" i="1"/>
  <c r="G102" i="1"/>
  <c r="H102" i="1" s="1"/>
  <c r="I102" i="1"/>
  <c r="Q102" i="1"/>
  <c r="S102" i="1" s="1"/>
  <c r="R102" i="1"/>
  <c r="T102" i="1"/>
  <c r="F103" i="1"/>
  <c r="G103" i="1"/>
  <c r="H103" i="1"/>
  <c r="I103" i="1"/>
  <c r="Q103" i="1"/>
  <c r="R103" i="1"/>
  <c r="S103" i="1" s="1"/>
  <c r="T103" i="1"/>
  <c r="F104" i="1"/>
  <c r="G104" i="1"/>
  <c r="H104" i="1"/>
  <c r="I104" i="1"/>
  <c r="Q104" i="1"/>
  <c r="R104" i="1"/>
  <c r="S104" i="1" s="1"/>
  <c r="T104" i="1"/>
  <c r="F105" i="1"/>
  <c r="H105" i="1" s="1"/>
  <c r="G105" i="1"/>
  <c r="I105" i="1"/>
  <c r="Q105" i="1"/>
  <c r="R105" i="1"/>
  <c r="S105" i="1"/>
  <c r="T105" i="1"/>
  <c r="F106" i="1"/>
  <c r="G106" i="1"/>
  <c r="H106" i="1" s="1"/>
  <c r="I106" i="1"/>
  <c r="Q106" i="1"/>
  <c r="R106" i="1"/>
  <c r="S106" i="1"/>
  <c r="T106" i="1"/>
  <c r="F107" i="1"/>
  <c r="G107" i="1"/>
  <c r="H107" i="1" s="1"/>
  <c r="I107" i="1"/>
  <c r="Q107" i="1"/>
  <c r="S107" i="1" s="1"/>
  <c r="R107" i="1"/>
  <c r="T107" i="1"/>
  <c r="F108" i="1"/>
  <c r="G108" i="1"/>
  <c r="H108" i="1"/>
  <c r="I108" i="1"/>
  <c r="Q108" i="1"/>
  <c r="R108" i="1"/>
  <c r="S108" i="1" s="1"/>
  <c r="T108" i="1"/>
  <c r="F109" i="1"/>
  <c r="G109" i="1"/>
  <c r="H109" i="1"/>
  <c r="I109" i="1"/>
  <c r="Q109" i="1"/>
  <c r="R109" i="1"/>
  <c r="S109" i="1" s="1"/>
  <c r="T109" i="1"/>
  <c r="F110" i="1"/>
  <c r="H110" i="1" s="1"/>
  <c r="G110" i="1"/>
  <c r="I110" i="1"/>
  <c r="Q110" i="1"/>
  <c r="R110" i="1"/>
  <c r="S110" i="1"/>
  <c r="T110" i="1"/>
  <c r="F111" i="1"/>
  <c r="G111" i="1"/>
  <c r="H111" i="1" s="1"/>
  <c r="I111" i="1"/>
  <c r="Q111" i="1"/>
  <c r="R111" i="1"/>
  <c r="S111" i="1"/>
  <c r="T111" i="1"/>
  <c r="F112" i="1"/>
  <c r="G112" i="1"/>
  <c r="H112" i="1" s="1"/>
  <c r="I112" i="1"/>
  <c r="Q112" i="1"/>
  <c r="S112" i="1" s="1"/>
  <c r="R112" i="1"/>
  <c r="T112" i="1"/>
  <c r="F113" i="1"/>
  <c r="G113" i="1"/>
  <c r="H113" i="1"/>
  <c r="I113" i="1"/>
  <c r="Q113" i="1"/>
  <c r="R113" i="1"/>
  <c r="S113" i="1" s="1"/>
  <c r="T113" i="1"/>
  <c r="F114" i="1"/>
  <c r="G114" i="1"/>
  <c r="H114" i="1"/>
  <c r="I114" i="1"/>
  <c r="Q114" i="1"/>
  <c r="R114" i="1"/>
  <c r="S114" i="1" s="1"/>
  <c r="T114" i="1"/>
  <c r="F115" i="1"/>
  <c r="H115" i="1" s="1"/>
  <c r="G115" i="1"/>
  <c r="I115" i="1"/>
  <c r="Q115" i="1"/>
  <c r="R115" i="1"/>
  <c r="S115" i="1"/>
  <c r="T115" i="1"/>
  <c r="F116" i="1"/>
  <c r="G116" i="1"/>
  <c r="H116" i="1" s="1"/>
  <c r="I116" i="1"/>
  <c r="Q116" i="1"/>
  <c r="R116" i="1"/>
  <c r="S116" i="1"/>
  <c r="T116" i="1"/>
  <c r="F117" i="1"/>
  <c r="G117" i="1"/>
  <c r="H117" i="1" s="1"/>
  <c r="I117" i="1"/>
  <c r="Q117" i="1"/>
  <c r="S117" i="1" s="1"/>
  <c r="R117" i="1"/>
  <c r="T117" i="1"/>
  <c r="F118" i="1"/>
  <c r="G118" i="1"/>
  <c r="H118" i="1"/>
  <c r="I118" i="1"/>
  <c r="Q118" i="1"/>
  <c r="R118" i="1"/>
  <c r="S118" i="1" s="1"/>
  <c r="T118" i="1"/>
  <c r="F119" i="1"/>
  <c r="G119" i="1"/>
  <c r="H119" i="1"/>
  <c r="I119" i="1"/>
  <c r="Q119" i="1"/>
  <c r="R119" i="1"/>
  <c r="S119" i="1" s="1"/>
  <c r="T119" i="1"/>
  <c r="F120" i="1"/>
  <c r="H120" i="1" s="1"/>
  <c r="G120" i="1"/>
  <c r="I120" i="1"/>
  <c r="Q120" i="1"/>
  <c r="R120" i="1"/>
  <c r="S120" i="1"/>
  <c r="T120" i="1"/>
  <c r="F121" i="1"/>
  <c r="G121" i="1"/>
  <c r="H121" i="1" s="1"/>
  <c r="I121" i="1"/>
  <c r="Q121" i="1"/>
  <c r="R121" i="1"/>
  <c r="S121" i="1"/>
  <c r="T121" i="1"/>
  <c r="F122" i="1"/>
  <c r="G122" i="1"/>
  <c r="H122" i="1" s="1"/>
  <c r="I122" i="1"/>
  <c r="Q122" i="1"/>
  <c r="S122" i="1" s="1"/>
  <c r="R122" i="1"/>
  <c r="T122" i="1"/>
  <c r="F123" i="1"/>
  <c r="G123" i="1"/>
  <c r="H123" i="1"/>
  <c r="I123" i="1"/>
  <c r="Q123" i="1"/>
  <c r="R123" i="1"/>
  <c r="S123" i="1" s="1"/>
  <c r="T123" i="1"/>
  <c r="F124" i="1"/>
  <c r="G124" i="1"/>
  <c r="H124" i="1"/>
  <c r="I124" i="1"/>
  <c r="Q124" i="1"/>
  <c r="R124" i="1"/>
  <c r="S124" i="1" s="1"/>
  <c r="T124" i="1"/>
  <c r="F125" i="1"/>
  <c r="H125" i="1" s="1"/>
  <c r="G125" i="1"/>
  <c r="I125" i="1"/>
  <c r="Q125" i="1"/>
  <c r="R125" i="1"/>
  <c r="S125" i="1"/>
  <c r="T125" i="1"/>
  <c r="F126" i="1"/>
  <c r="G126" i="1"/>
  <c r="H126" i="1" s="1"/>
  <c r="I126" i="1"/>
  <c r="Q126" i="1"/>
  <c r="R126" i="1"/>
  <c r="S126" i="1"/>
  <c r="T126" i="1"/>
  <c r="F127" i="1"/>
  <c r="G127" i="1"/>
  <c r="H127" i="1" s="1"/>
  <c r="I127" i="1"/>
  <c r="Q127" i="1"/>
  <c r="S127" i="1" s="1"/>
  <c r="R127" i="1"/>
  <c r="T127" i="1"/>
  <c r="F128" i="1"/>
  <c r="G128" i="1"/>
  <c r="H128" i="1"/>
  <c r="I128" i="1"/>
  <c r="Q128" i="1"/>
  <c r="R128" i="1"/>
  <c r="S128" i="1" s="1"/>
  <c r="T128" i="1"/>
  <c r="F129" i="1"/>
  <c r="G129" i="1"/>
  <c r="H129" i="1"/>
  <c r="I129" i="1"/>
  <c r="Q129" i="1"/>
  <c r="R129" i="1"/>
  <c r="S129" i="1" s="1"/>
  <c r="T129" i="1"/>
  <c r="F130" i="1"/>
  <c r="H130" i="1" s="1"/>
  <c r="G130" i="1"/>
  <c r="I130" i="1"/>
  <c r="Q130" i="1"/>
  <c r="R130" i="1"/>
  <c r="S130" i="1"/>
  <c r="T130" i="1"/>
  <c r="F131" i="1"/>
  <c r="G131" i="1"/>
  <c r="H131" i="1" s="1"/>
  <c r="I131" i="1"/>
  <c r="Q131" i="1"/>
  <c r="R131" i="1"/>
  <c r="S131" i="1"/>
  <c r="T131" i="1"/>
  <c r="F132" i="1"/>
  <c r="G132" i="1"/>
  <c r="H132" i="1" s="1"/>
  <c r="I132" i="1"/>
  <c r="Q132" i="1"/>
  <c r="S132" i="1" s="1"/>
  <c r="R132" i="1"/>
  <c r="T132" i="1"/>
  <c r="F133" i="1"/>
  <c r="G133" i="1"/>
  <c r="H133" i="1"/>
  <c r="I133" i="1"/>
  <c r="Q133" i="1"/>
  <c r="R133" i="1"/>
  <c r="S133" i="1" s="1"/>
  <c r="T133" i="1"/>
  <c r="F134" i="1"/>
  <c r="G134" i="1"/>
  <c r="H134" i="1"/>
  <c r="I134" i="1"/>
  <c r="Q134" i="1"/>
  <c r="R134" i="1"/>
  <c r="S134" i="1" s="1"/>
  <c r="T134" i="1"/>
  <c r="F135" i="1"/>
  <c r="H135" i="1" s="1"/>
  <c r="G135" i="1"/>
  <c r="I135" i="1"/>
  <c r="Q135" i="1"/>
  <c r="R135" i="1"/>
  <c r="S135" i="1"/>
  <c r="T135" i="1"/>
  <c r="F136" i="1"/>
  <c r="G136" i="1"/>
  <c r="H136" i="1" s="1"/>
  <c r="I136" i="1"/>
  <c r="Q136" i="1"/>
  <c r="R136" i="1"/>
  <c r="S136" i="1"/>
  <c r="T136" i="1"/>
  <c r="F137" i="1"/>
  <c r="G137" i="1"/>
  <c r="H137" i="1" s="1"/>
  <c r="I137" i="1"/>
  <c r="Q137" i="1"/>
  <c r="S137" i="1" s="1"/>
  <c r="R137" i="1"/>
  <c r="T137" i="1"/>
  <c r="F138" i="1"/>
  <c r="G138" i="1"/>
  <c r="H138" i="1"/>
  <c r="I138" i="1"/>
  <c r="Q138" i="1"/>
  <c r="R138" i="1"/>
  <c r="S138" i="1" s="1"/>
  <c r="T138" i="1"/>
  <c r="F139" i="1"/>
  <c r="G139" i="1"/>
  <c r="H139" i="1"/>
  <c r="I139" i="1"/>
  <c r="Q139" i="1"/>
  <c r="R139" i="1"/>
  <c r="S139" i="1" s="1"/>
  <c r="T139" i="1"/>
  <c r="F140" i="1"/>
  <c r="H140" i="1" s="1"/>
  <c r="G140" i="1"/>
  <c r="I140" i="1"/>
  <c r="Q140" i="1"/>
  <c r="R140" i="1"/>
  <c r="S140" i="1"/>
  <c r="T140" i="1"/>
  <c r="F141" i="1"/>
  <c r="G141" i="1"/>
  <c r="H141" i="1" s="1"/>
  <c r="I141" i="1"/>
  <c r="Q141" i="1"/>
  <c r="R141" i="1"/>
  <c r="S141" i="1"/>
  <c r="T141" i="1"/>
  <c r="F142" i="1"/>
  <c r="G142" i="1"/>
  <c r="H142" i="1" s="1"/>
  <c r="I142" i="1"/>
  <c r="Q142" i="1"/>
  <c r="S142" i="1" s="1"/>
  <c r="R142" i="1"/>
  <c r="T142" i="1"/>
  <c r="F143" i="1"/>
  <c r="G143" i="1"/>
  <c r="H143" i="1"/>
  <c r="I143" i="1"/>
  <c r="Q143" i="1"/>
  <c r="R143" i="1"/>
  <c r="S143" i="1" s="1"/>
  <c r="T143" i="1"/>
  <c r="F144" i="1"/>
  <c r="G144" i="1"/>
  <c r="H144" i="1"/>
  <c r="I144" i="1"/>
  <c r="Q144" i="1"/>
  <c r="R144" i="1"/>
  <c r="S144" i="1" s="1"/>
  <c r="T144" i="1"/>
  <c r="N84" i="8"/>
  <c r="C98" i="8"/>
  <c r="D98" i="8"/>
  <c r="E98" i="8"/>
  <c r="E2" i="10"/>
  <c r="H2" i="10"/>
  <c r="I2" i="10"/>
  <c r="J2" i="10" s="1"/>
  <c r="K2" i="10" s="1"/>
  <c r="E3" i="10"/>
  <c r="H3" i="10"/>
  <c r="I3" i="10"/>
  <c r="J3" i="10" s="1"/>
  <c r="K3" i="10" s="1"/>
  <c r="E4" i="10"/>
  <c r="H4" i="10"/>
  <c r="I4" i="10"/>
  <c r="J4" i="10" s="1"/>
  <c r="K4" i="10" s="1"/>
  <c r="E5" i="10"/>
  <c r="H5" i="10"/>
  <c r="I5" i="10"/>
  <c r="J5" i="10"/>
  <c r="K5" i="10" s="1"/>
  <c r="E6" i="10"/>
  <c r="H6" i="10"/>
  <c r="I6" i="10"/>
  <c r="J6" i="10" s="1"/>
  <c r="K6" i="10" s="1"/>
  <c r="E7" i="10"/>
  <c r="H7" i="10"/>
  <c r="I7" i="10"/>
  <c r="J7" i="10" s="1"/>
  <c r="K7" i="10" s="1"/>
  <c r="E8" i="10"/>
  <c r="H8" i="10"/>
  <c r="I8" i="10"/>
  <c r="J8" i="10" s="1"/>
  <c r="K8" i="10" s="1"/>
  <c r="E9" i="10"/>
  <c r="E10" i="10"/>
  <c r="E11" i="10"/>
  <c r="L11" i="10"/>
  <c r="E12" i="10"/>
  <c r="L12" i="10"/>
  <c r="E13" i="10"/>
  <c r="L13" i="10"/>
  <c r="E14" i="10"/>
  <c r="L14" i="10"/>
  <c r="E15" i="10"/>
  <c r="L15" i="10"/>
  <c r="E16" i="10"/>
  <c r="L16" i="10"/>
  <c r="E17" i="10"/>
  <c r="L17" i="10"/>
  <c r="E18" i="10"/>
  <c r="L18" i="10"/>
  <c r="E19" i="10"/>
  <c r="L19" i="10"/>
  <c r="E20" i="10"/>
  <c r="L20" i="10"/>
  <c r="E21" i="10"/>
  <c r="L21" i="10"/>
  <c r="E22" i="10"/>
  <c r="L22" i="10"/>
  <c r="E23" i="10"/>
  <c r="L23" i="10"/>
  <c r="E24" i="10"/>
  <c r="L24" i="10"/>
  <c r="E25" i="10"/>
  <c r="E26" i="10"/>
  <c r="E27" i="10"/>
  <c r="E28" i="10"/>
  <c r="E29" i="10"/>
  <c r="E30" i="10"/>
  <c r="E31" i="10"/>
  <c r="E32" i="10"/>
  <c r="E33" i="10"/>
  <c r="E34" i="10"/>
  <c r="O34" i="10"/>
  <c r="R34" i="10"/>
  <c r="E35" i="10"/>
  <c r="R35" i="10"/>
  <c r="E36" i="10"/>
  <c r="O36" i="10"/>
  <c r="R36" i="10"/>
  <c r="E37" i="10"/>
  <c r="O37" i="10"/>
  <c r="R37" i="10"/>
  <c r="E38" i="10"/>
  <c r="O38" i="10"/>
  <c r="R38" i="10"/>
  <c r="E39" i="10"/>
  <c r="R39" i="10"/>
  <c r="E40" i="10"/>
  <c r="R40" i="10"/>
  <c r="E41" i="10"/>
  <c r="R41" i="10"/>
  <c r="E42" i="10"/>
  <c r="E43" i="10"/>
  <c r="R43" i="10"/>
  <c r="E44" i="10"/>
  <c r="R44" i="10"/>
  <c r="E45" i="10"/>
  <c r="R45" i="10"/>
  <c r="E46" i="10"/>
  <c r="R46" i="10"/>
  <c r="E47" i="10"/>
  <c r="R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B90" i="10"/>
  <c r="C90" i="10"/>
  <c r="E90" i="10"/>
  <c r="B91" i="10"/>
  <c r="C91" i="10"/>
  <c r="E91" i="10"/>
  <c r="B92" i="10"/>
  <c r="C92" i="10"/>
  <c r="E92" i="10"/>
  <c r="B93" i="10"/>
  <c r="C93" i="10"/>
  <c r="E93" i="10"/>
  <c r="B94" i="10"/>
  <c r="C94" i="10"/>
  <c r="E94" i="10"/>
  <c r="B95" i="10"/>
  <c r="C95" i="10"/>
  <c r="E95" i="10"/>
  <c r="B105" i="10"/>
  <c r="C105" i="10"/>
  <c r="B106" i="10"/>
  <c r="C106" i="10"/>
  <c r="B107" i="10"/>
  <c r="C107" i="10"/>
  <c r="B108" i="10"/>
  <c r="C108" i="10"/>
  <c r="B109" i="10"/>
  <c r="C109" i="10"/>
  <c r="B110" i="10"/>
  <c r="C110" i="10"/>
  <c r="F134" i="10"/>
  <c r="G134" i="10"/>
  <c r="F135" i="10"/>
  <c r="G135" i="10"/>
  <c r="F136" i="10"/>
  <c r="G136" i="10"/>
  <c r="F137" i="10"/>
  <c r="G137" i="10"/>
  <c r="F138" i="10"/>
  <c r="G138" i="10"/>
  <c r="B139" i="10"/>
  <c r="B144" i="10" s="1"/>
  <c r="C139" i="10"/>
  <c r="C141" i="10" s="1"/>
  <c r="B141" i="10"/>
  <c r="B142" i="10"/>
  <c r="B143" i="10"/>
  <c r="B145" i="10"/>
  <c r="F149" i="10"/>
  <c r="F150" i="10"/>
  <c r="F151" i="10"/>
  <c r="F152" i="10"/>
  <c r="F153" i="10"/>
  <c r="B154" i="10"/>
  <c r="B158" i="10" s="1"/>
  <c r="C154" i="10"/>
  <c r="B156" i="10"/>
  <c r="C156" i="10"/>
  <c r="B157" i="10"/>
  <c r="C157" i="10"/>
  <c r="C158" i="10"/>
  <c r="B159" i="10"/>
  <c r="C159" i="10"/>
  <c r="B160" i="10"/>
  <c r="C160" i="10"/>
  <c r="E2" i="9"/>
  <c r="F2" i="9"/>
  <c r="H2" i="9" s="1"/>
  <c r="G2" i="9"/>
  <c r="E3" i="9"/>
  <c r="F3" i="9" s="1"/>
  <c r="G3" i="9"/>
  <c r="E4" i="9"/>
  <c r="F4" i="9" s="1"/>
  <c r="H4" i="9" s="1"/>
  <c r="G4" i="9"/>
  <c r="E5" i="9"/>
  <c r="F5" i="9"/>
  <c r="H5" i="9" s="1"/>
  <c r="G5" i="9"/>
  <c r="E6" i="9"/>
  <c r="F6" i="9"/>
  <c r="H6" i="9" s="1"/>
  <c r="G6" i="9"/>
  <c r="E7" i="9"/>
  <c r="F7" i="9"/>
  <c r="H7" i="9" s="1"/>
  <c r="G7" i="9"/>
  <c r="E8" i="9"/>
  <c r="F8" i="9" s="1"/>
  <c r="H8" i="9" s="1"/>
  <c r="G8" i="9"/>
  <c r="E9" i="9"/>
  <c r="F9" i="9" s="1"/>
  <c r="H9" i="9" s="1"/>
  <c r="G9" i="9"/>
  <c r="E10" i="9"/>
  <c r="F10" i="9"/>
  <c r="H10" i="9" s="1"/>
  <c r="G10" i="9"/>
  <c r="E11" i="9"/>
  <c r="F11" i="9"/>
  <c r="H11" i="9" s="1"/>
  <c r="G11" i="9"/>
  <c r="E12" i="9"/>
  <c r="F12" i="9"/>
  <c r="H12" i="9" s="1"/>
  <c r="G12" i="9"/>
  <c r="E13" i="9"/>
  <c r="F13" i="9" s="1"/>
  <c r="H13" i="9" s="1"/>
  <c r="G13" i="9"/>
  <c r="E14" i="9"/>
  <c r="F14" i="9" s="1"/>
  <c r="H14" i="9" s="1"/>
  <c r="G14" i="9"/>
  <c r="E15" i="9"/>
  <c r="F15" i="9"/>
  <c r="H15" i="9" s="1"/>
  <c r="G15" i="9"/>
  <c r="E16" i="9"/>
  <c r="F16" i="9"/>
  <c r="H16" i="9" s="1"/>
  <c r="G16" i="9"/>
  <c r="E17" i="9"/>
  <c r="F17" i="9"/>
  <c r="H17" i="9" s="1"/>
  <c r="G17" i="9"/>
  <c r="E18" i="9"/>
  <c r="F18" i="9" s="1"/>
  <c r="H18" i="9" s="1"/>
  <c r="G18" i="9"/>
  <c r="E19" i="9"/>
  <c r="F19" i="9" s="1"/>
  <c r="H19" i="9" s="1"/>
  <c r="G19" i="9"/>
  <c r="E20" i="9"/>
  <c r="F20" i="9"/>
  <c r="H20" i="9" s="1"/>
  <c r="G20" i="9"/>
  <c r="Q20" i="9"/>
  <c r="E21" i="9"/>
  <c r="F21" i="9"/>
  <c r="H21" i="9" s="1"/>
  <c r="G21" i="9"/>
  <c r="E22" i="9"/>
  <c r="F22" i="9" s="1"/>
  <c r="H22" i="9" s="1"/>
  <c r="G22" i="9"/>
  <c r="E23" i="9"/>
  <c r="F23" i="9"/>
  <c r="H23" i="9" s="1"/>
  <c r="G23" i="9"/>
  <c r="E24" i="9"/>
  <c r="F24" i="9"/>
  <c r="G24" i="9"/>
  <c r="H24" i="9"/>
  <c r="E25" i="9"/>
  <c r="F25" i="9" s="1"/>
  <c r="H25" i="9" s="1"/>
  <c r="G25" i="9"/>
  <c r="E26" i="9"/>
  <c r="F26" i="9"/>
  <c r="H26" i="9" s="1"/>
  <c r="G26" i="9"/>
  <c r="E27" i="9"/>
  <c r="F27" i="9" s="1"/>
  <c r="H27" i="9" s="1"/>
  <c r="G27" i="9"/>
  <c r="E28" i="9"/>
  <c r="F28" i="9"/>
  <c r="H28" i="9" s="1"/>
  <c r="G28" i="9"/>
  <c r="E29" i="9"/>
  <c r="F29" i="9"/>
  <c r="G29" i="9"/>
  <c r="H29" i="9"/>
  <c r="E30" i="9"/>
  <c r="F30" i="9" s="1"/>
  <c r="H30" i="9" s="1"/>
  <c r="G30" i="9"/>
  <c r="E31" i="9"/>
  <c r="F31" i="9"/>
  <c r="H31" i="9" s="1"/>
  <c r="G31" i="9"/>
  <c r="E32" i="9"/>
  <c r="F32" i="9" s="1"/>
  <c r="H32" i="9" s="1"/>
  <c r="G32" i="9"/>
  <c r="E33" i="9"/>
  <c r="F33" i="9"/>
  <c r="H33" i="9" s="1"/>
  <c r="G33" i="9"/>
  <c r="E34" i="9"/>
  <c r="F34" i="9"/>
  <c r="G34" i="9"/>
  <c r="H34" i="9"/>
  <c r="E35" i="9"/>
  <c r="F35" i="9" s="1"/>
  <c r="H35" i="9" s="1"/>
  <c r="G35" i="9"/>
  <c r="E36" i="9"/>
  <c r="F36" i="9"/>
  <c r="H36" i="9" s="1"/>
  <c r="G36" i="9"/>
  <c r="E37" i="9"/>
  <c r="F37" i="9" s="1"/>
  <c r="H37" i="9" s="1"/>
  <c r="G37" i="9"/>
  <c r="E38" i="9"/>
  <c r="F38" i="9"/>
  <c r="H38" i="9" s="1"/>
  <c r="G38" i="9"/>
  <c r="E39" i="9"/>
  <c r="F39" i="9"/>
  <c r="G39" i="9"/>
  <c r="H39" i="9"/>
  <c r="E40" i="9"/>
  <c r="F40" i="9" s="1"/>
  <c r="H40" i="9" s="1"/>
  <c r="G40" i="9"/>
  <c r="E41" i="9"/>
  <c r="F41" i="9"/>
  <c r="H41" i="9" s="1"/>
  <c r="G41" i="9"/>
  <c r="E42" i="9"/>
  <c r="F42" i="9" s="1"/>
  <c r="H42" i="9" s="1"/>
  <c r="G42" i="9"/>
  <c r="E48" i="9"/>
  <c r="F48" i="9"/>
  <c r="E49" i="9"/>
  <c r="F49" i="9"/>
  <c r="E50" i="9"/>
  <c r="F50" i="9" s="1"/>
  <c r="E51" i="9"/>
  <c r="F51" i="9" s="1"/>
  <c r="E52" i="9"/>
  <c r="F52" i="9"/>
  <c r="E53" i="9"/>
  <c r="F53" i="9"/>
  <c r="E54" i="9"/>
  <c r="F54" i="9" s="1"/>
  <c r="E55" i="9"/>
  <c r="F55" i="9"/>
  <c r="E61" i="9"/>
  <c r="F61" i="9"/>
  <c r="E62" i="9"/>
  <c r="F62" i="9"/>
  <c r="E63" i="9"/>
  <c r="F63" i="9" s="1"/>
  <c r="F64" i="9" s="1"/>
  <c r="E66" i="9"/>
  <c r="F66" i="9"/>
  <c r="E68" i="9"/>
  <c r="F68" i="9" s="1"/>
  <c r="E69" i="9"/>
  <c r="F69" i="9"/>
  <c r="E71" i="9"/>
  <c r="F71" i="9"/>
  <c r="E73" i="9"/>
  <c r="F73" i="9" s="1"/>
  <c r="E75" i="9"/>
  <c r="F75" i="9"/>
  <c r="F83" i="9" s="1"/>
  <c r="E76" i="9"/>
  <c r="F76" i="9" s="1"/>
  <c r="E77" i="9"/>
  <c r="F77" i="9"/>
  <c r="E78" i="9"/>
  <c r="F78" i="9"/>
  <c r="E79" i="9"/>
  <c r="F79" i="9"/>
  <c r="E80" i="9"/>
  <c r="F80" i="9"/>
  <c r="E81" i="9"/>
  <c r="F81" i="9" s="1"/>
  <c r="E82" i="9"/>
  <c r="F82" i="9"/>
  <c r="E88" i="9"/>
  <c r="F88" i="9"/>
  <c r="E90" i="9"/>
  <c r="F90" i="9" s="1"/>
  <c r="E91" i="9"/>
  <c r="F91" i="9"/>
  <c r="E92" i="9"/>
  <c r="F92" i="9"/>
  <c r="E93" i="9"/>
  <c r="F93" i="9"/>
  <c r="E95" i="9"/>
  <c r="F95" i="9"/>
  <c r="E97" i="9"/>
  <c r="F97" i="9" s="1"/>
  <c r="E99" i="9"/>
  <c r="F99" i="9"/>
  <c r="E101" i="9"/>
  <c r="F101" i="9"/>
  <c r="E103" i="9"/>
  <c r="F103" i="9" s="1"/>
  <c r="E104" i="9"/>
  <c r="F104" i="9"/>
  <c r="E106" i="9"/>
  <c r="F106" i="9" s="1"/>
  <c r="E108" i="9"/>
  <c r="F108" i="9"/>
  <c r="E110" i="9"/>
  <c r="F110" i="9"/>
  <c r="E111" i="9"/>
  <c r="F111" i="9"/>
  <c r="E113" i="9"/>
  <c r="F113" i="9"/>
  <c r="E114" i="9"/>
  <c r="F114" i="9" s="1"/>
  <c r="E115" i="9"/>
  <c r="F115" i="9"/>
  <c r="E116" i="9"/>
  <c r="F116" i="9"/>
  <c r="E117" i="9"/>
  <c r="F117" i="9" s="1"/>
  <c r="E118" i="9"/>
  <c r="F118" i="9"/>
  <c r="C121" i="9"/>
  <c r="D121" i="9"/>
  <c r="R121" i="9"/>
  <c r="S121" i="9"/>
  <c r="T121" i="9"/>
  <c r="U121" i="9"/>
  <c r="V121" i="9"/>
  <c r="D122" i="9"/>
  <c r="R122" i="9"/>
  <c r="S122" i="9"/>
  <c r="U122" i="9" s="1"/>
  <c r="T122" i="9"/>
  <c r="V122" i="9"/>
  <c r="V162" i="9" s="1"/>
  <c r="D123" i="9"/>
  <c r="R123" i="9"/>
  <c r="S123" i="9"/>
  <c r="T123" i="9"/>
  <c r="U123" i="9"/>
  <c r="V123" i="9"/>
  <c r="C124" i="9"/>
  <c r="D124" i="9"/>
  <c r="R124" i="9"/>
  <c r="S124" i="9"/>
  <c r="T124" i="9"/>
  <c r="U124" i="9"/>
  <c r="V124" i="9"/>
  <c r="C125" i="9"/>
  <c r="D125" i="9"/>
  <c r="R125" i="9"/>
  <c r="S125" i="9"/>
  <c r="U125" i="9" s="1"/>
  <c r="T125" i="9"/>
  <c r="V125" i="9"/>
  <c r="D126" i="9"/>
  <c r="R126" i="9"/>
  <c r="S126" i="9"/>
  <c r="T126" i="9"/>
  <c r="U126" i="9"/>
  <c r="V126" i="9"/>
  <c r="C127" i="9"/>
  <c r="D127" i="9"/>
  <c r="R127" i="9"/>
  <c r="S127" i="9"/>
  <c r="T127" i="9"/>
  <c r="U127" i="9"/>
  <c r="V127" i="9"/>
  <c r="C128" i="9"/>
  <c r="D128" i="9"/>
  <c r="R128" i="9"/>
  <c r="S128" i="9"/>
  <c r="U128" i="9" s="1"/>
  <c r="T128" i="9"/>
  <c r="V128" i="9"/>
  <c r="D129" i="9"/>
  <c r="R129" i="9"/>
  <c r="S129" i="9"/>
  <c r="T129" i="9"/>
  <c r="U129" i="9"/>
  <c r="V129" i="9"/>
  <c r="D130" i="9"/>
  <c r="R130" i="9"/>
  <c r="S130" i="9" s="1"/>
  <c r="T130" i="9"/>
  <c r="V130" i="9"/>
  <c r="C131" i="9"/>
  <c r="D131" i="9"/>
  <c r="R131" i="9"/>
  <c r="S131" i="9" s="1"/>
  <c r="U131" i="9" s="1"/>
  <c r="T131" i="9"/>
  <c r="V131" i="9"/>
  <c r="D132" i="9"/>
  <c r="R132" i="9"/>
  <c r="S132" i="9" s="1"/>
  <c r="U132" i="9" s="1"/>
  <c r="T132" i="9"/>
  <c r="V132" i="9"/>
  <c r="D133" i="9"/>
  <c r="R133" i="9"/>
  <c r="S133" i="9" s="1"/>
  <c r="U133" i="9" s="1"/>
  <c r="T133" i="9"/>
  <c r="V133" i="9"/>
  <c r="C134" i="9"/>
  <c r="D134" i="9"/>
  <c r="R134" i="9"/>
  <c r="S134" i="9"/>
  <c r="U134" i="9" s="1"/>
  <c r="T134" i="9"/>
  <c r="V134" i="9"/>
  <c r="D135" i="9"/>
  <c r="R135" i="9"/>
  <c r="S135" i="9"/>
  <c r="U135" i="9" s="1"/>
  <c r="T135" i="9"/>
  <c r="V135" i="9"/>
  <c r="D136" i="9"/>
  <c r="R136" i="9"/>
  <c r="S136" i="9"/>
  <c r="U136" i="9" s="1"/>
  <c r="T136" i="9"/>
  <c r="V136" i="9"/>
  <c r="D137" i="9"/>
  <c r="R137" i="9"/>
  <c r="S137" i="9"/>
  <c r="T137" i="9"/>
  <c r="U137" i="9"/>
  <c r="V137" i="9"/>
  <c r="D138" i="9"/>
  <c r="R138" i="9"/>
  <c r="S138" i="9" s="1"/>
  <c r="U138" i="9" s="1"/>
  <c r="T138" i="9"/>
  <c r="V138" i="9"/>
  <c r="D139" i="9"/>
  <c r="R139" i="9"/>
  <c r="S139" i="9" s="1"/>
  <c r="U139" i="9" s="1"/>
  <c r="T139" i="9"/>
  <c r="V139" i="9"/>
  <c r="C140" i="9"/>
  <c r="D140" i="9"/>
  <c r="R140" i="9"/>
  <c r="S140" i="9"/>
  <c r="U140" i="9" s="1"/>
  <c r="T140" i="9"/>
  <c r="V140" i="9"/>
  <c r="D141" i="9"/>
  <c r="R141" i="9"/>
  <c r="S141" i="9"/>
  <c r="U141" i="9" s="1"/>
  <c r="T141" i="9"/>
  <c r="V141" i="9"/>
  <c r="D142" i="9"/>
  <c r="R142" i="9"/>
  <c r="S142" i="9"/>
  <c r="T142" i="9"/>
  <c r="U142" i="9"/>
  <c r="V142" i="9"/>
  <c r="C143" i="9"/>
  <c r="D143" i="9"/>
  <c r="R143" i="9"/>
  <c r="S143" i="9"/>
  <c r="T143" i="9"/>
  <c r="U143" i="9"/>
  <c r="V143" i="9"/>
  <c r="D144" i="9"/>
  <c r="R144" i="9"/>
  <c r="S144" i="9"/>
  <c r="U144" i="9" s="1"/>
  <c r="T144" i="9"/>
  <c r="V144" i="9"/>
  <c r="D145" i="9"/>
  <c r="R145" i="9"/>
  <c r="S145" i="9"/>
  <c r="T145" i="9"/>
  <c r="U145" i="9"/>
  <c r="V145" i="9"/>
  <c r="D146" i="9"/>
  <c r="R146" i="9"/>
  <c r="S146" i="9" s="1"/>
  <c r="U146" i="9" s="1"/>
  <c r="T146" i="9"/>
  <c r="V146" i="9"/>
  <c r="D147" i="9"/>
  <c r="R147" i="9"/>
  <c r="S147" i="9"/>
  <c r="U147" i="9" s="1"/>
  <c r="T147" i="9"/>
  <c r="V147" i="9"/>
  <c r="D148" i="9"/>
  <c r="R148" i="9"/>
  <c r="S148" i="9"/>
  <c r="U148" i="9" s="1"/>
  <c r="T148" i="9"/>
  <c r="V148" i="9"/>
  <c r="D149" i="9"/>
  <c r="R149" i="9"/>
  <c r="S149" i="9"/>
  <c r="U149" i="9" s="1"/>
  <c r="T149" i="9"/>
  <c r="V149" i="9"/>
  <c r="D150" i="9"/>
  <c r="R150" i="9"/>
  <c r="S150" i="9"/>
  <c r="T150" i="9"/>
  <c r="U150" i="9"/>
  <c r="V150" i="9"/>
  <c r="D151" i="9"/>
  <c r="R151" i="9"/>
  <c r="S151" i="9" s="1"/>
  <c r="U151" i="9" s="1"/>
  <c r="T151" i="9"/>
  <c r="V151" i="9"/>
  <c r="D152" i="9"/>
  <c r="R152" i="9"/>
  <c r="S152" i="9" s="1"/>
  <c r="U152" i="9" s="1"/>
  <c r="T152" i="9"/>
  <c r="V152" i="9"/>
  <c r="C153" i="9"/>
  <c r="D153" i="9"/>
  <c r="R153" i="9"/>
  <c r="S153" i="9"/>
  <c r="U153" i="9" s="1"/>
  <c r="T153" i="9"/>
  <c r="V153" i="9"/>
  <c r="D154" i="9"/>
  <c r="R154" i="9"/>
  <c r="S154" i="9"/>
  <c r="U154" i="9" s="1"/>
  <c r="T154" i="9"/>
  <c r="V154" i="9"/>
  <c r="C155" i="9"/>
  <c r="D155" i="9"/>
  <c r="R155" i="9"/>
  <c r="S155" i="9" s="1"/>
  <c r="U155" i="9" s="1"/>
  <c r="T155" i="9"/>
  <c r="V155" i="9"/>
  <c r="C156" i="9"/>
  <c r="D156" i="9"/>
  <c r="R156" i="9"/>
  <c r="S156" i="9"/>
  <c r="U156" i="9" s="1"/>
  <c r="T156" i="9"/>
  <c r="V156" i="9"/>
  <c r="D157" i="9"/>
  <c r="R157" i="9"/>
  <c r="S157" i="9"/>
  <c r="U157" i="9" s="1"/>
  <c r="T157" i="9"/>
  <c r="V157" i="9"/>
  <c r="D158" i="9"/>
  <c r="R158" i="9"/>
  <c r="S158" i="9"/>
  <c r="T158" i="9"/>
  <c r="U158" i="9"/>
  <c r="V158" i="9"/>
  <c r="D159" i="9"/>
  <c r="R159" i="9"/>
  <c r="S159" i="9"/>
  <c r="T159" i="9"/>
  <c r="U159" i="9"/>
  <c r="V159" i="9"/>
  <c r="D160" i="9"/>
  <c r="R160" i="9"/>
  <c r="S160" i="9" s="1"/>
  <c r="U160" i="9" s="1"/>
  <c r="T160" i="9"/>
  <c r="V160" i="9"/>
  <c r="D161" i="9"/>
  <c r="R161" i="9"/>
  <c r="S161" i="9" s="1"/>
  <c r="U161" i="9" s="1"/>
  <c r="T161" i="9"/>
  <c r="V161" i="9"/>
  <c r="D162" i="9"/>
  <c r="D163" i="9"/>
  <c r="D164" i="9"/>
  <c r="D165" i="9"/>
  <c r="D166" i="9"/>
  <c r="D167" i="9"/>
  <c r="R167" i="9"/>
  <c r="S167" i="9"/>
  <c r="U167" i="9" s="1"/>
  <c r="T167" i="9"/>
  <c r="V167" i="9"/>
  <c r="D168" i="9"/>
  <c r="R168" i="9"/>
  <c r="S168" i="9"/>
  <c r="T168" i="9"/>
  <c r="U168" i="9"/>
  <c r="V168" i="9"/>
  <c r="D169" i="9"/>
  <c r="R169" i="9"/>
  <c r="S169" i="9"/>
  <c r="T169" i="9"/>
  <c r="U169" i="9"/>
  <c r="V169" i="9"/>
  <c r="D170" i="9"/>
  <c r="R170" i="9"/>
  <c r="S170" i="9" s="1"/>
  <c r="T170" i="9"/>
  <c r="V170" i="9"/>
  <c r="D171" i="9"/>
  <c r="R171" i="9"/>
  <c r="S171" i="9" s="1"/>
  <c r="U171" i="9" s="1"/>
  <c r="T171" i="9"/>
  <c r="V171" i="9"/>
  <c r="D172" i="9"/>
  <c r="R172" i="9"/>
  <c r="S172" i="9" s="1"/>
  <c r="U172" i="9" s="1"/>
  <c r="T172" i="9"/>
  <c r="V172" i="9"/>
  <c r="D173" i="9"/>
  <c r="R173" i="9"/>
  <c r="S173" i="9" s="1"/>
  <c r="U173" i="9" s="1"/>
  <c r="T173" i="9"/>
  <c r="V173" i="9"/>
  <c r="D174" i="9"/>
  <c r="R174" i="9"/>
  <c r="S174" i="9"/>
  <c r="U174" i="9" s="1"/>
  <c r="T174" i="9"/>
  <c r="V174" i="9"/>
  <c r="D175" i="9"/>
  <c r="D176" i="9"/>
  <c r="D177" i="9"/>
  <c r="D178" i="9"/>
  <c r="D179" i="9"/>
  <c r="D180" i="9"/>
  <c r="R180" i="9"/>
  <c r="S180" i="9"/>
  <c r="U180" i="9" s="1"/>
  <c r="T180" i="9"/>
  <c r="V180" i="9"/>
  <c r="D181" i="9"/>
  <c r="R181" i="9"/>
  <c r="S181" i="9"/>
  <c r="U181" i="9" s="1"/>
  <c r="T181" i="9"/>
  <c r="V181" i="9"/>
  <c r="D182" i="9"/>
  <c r="R182" i="9"/>
  <c r="S182" i="9"/>
  <c r="U182" i="9" s="1"/>
  <c r="T182" i="9"/>
  <c r="V182" i="9"/>
  <c r="D183" i="9"/>
  <c r="D184" i="9"/>
  <c r="D185" i="9"/>
  <c r="R185" i="9"/>
  <c r="S185" i="9" s="1"/>
  <c r="U185" i="9" s="1"/>
  <c r="T185" i="9"/>
  <c r="V185" i="9"/>
  <c r="D186" i="9"/>
  <c r="D187" i="9"/>
  <c r="R187" i="9"/>
  <c r="S187" i="9"/>
  <c r="T187" i="9"/>
  <c r="U187" i="9"/>
  <c r="V187" i="9"/>
  <c r="D188" i="9"/>
  <c r="R188" i="9"/>
  <c r="S188" i="9" s="1"/>
  <c r="U188" i="9" s="1"/>
  <c r="T188" i="9"/>
  <c r="V188" i="9"/>
  <c r="D189" i="9"/>
  <c r="D190" i="9"/>
  <c r="R190" i="9"/>
  <c r="S190" i="9" s="1"/>
  <c r="U190" i="9" s="1"/>
  <c r="T190" i="9"/>
  <c r="V190" i="9"/>
  <c r="D191" i="9"/>
  <c r="D192" i="9"/>
  <c r="R192" i="9"/>
  <c r="S192" i="9"/>
  <c r="T192" i="9"/>
  <c r="U192" i="9"/>
  <c r="V192" i="9"/>
  <c r="D193" i="9"/>
  <c r="D194" i="9"/>
  <c r="R194" i="9"/>
  <c r="S194" i="9"/>
  <c r="T194" i="9"/>
  <c r="U194" i="9"/>
  <c r="V194" i="9"/>
  <c r="D195" i="9"/>
  <c r="R195" i="9"/>
  <c r="S195" i="9" s="1"/>
  <c r="T195" i="9"/>
  <c r="V195" i="9"/>
  <c r="D196" i="9"/>
  <c r="R196" i="9"/>
  <c r="S196" i="9" s="1"/>
  <c r="U196" i="9" s="1"/>
  <c r="T196" i="9"/>
  <c r="V196" i="9"/>
  <c r="C197" i="9"/>
  <c r="D197" i="9"/>
  <c r="R197" i="9"/>
  <c r="S197" i="9" s="1"/>
  <c r="U197" i="9" s="1"/>
  <c r="T197" i="9"/>
  <c r="V197" i="9"/>
  <c r="D198" i="9"/>
  <c r="R198" i="9"/>
  <c r="S198" i="9"/>
  <c r="U198" i="9" s="1"/>
  <c r="T198" i="9"/>
  <c r="V198" i="9"/>
  <c r="D199" i="9"/>
  <c r="R199" i="9"/>
  <c r="S199" i="9"/>
  <c r="U199" i="9" s="1"/>
  <c r="T199" i="9"/>
  <c r="V199" i="9"/>
  <c r="D200" i="9"/>
  <c r="R200" i="9"/>
  <c r="S200" i="9"/>
  <c r="U200" i="9" s="1"/>
  <c r="T200" i="9"/>
  <c r="V200" i="9"/>
  <c r="D201" i="9"/>
  <c r="R201" i="9"/>
  <c r="S201" i="9"/>
  <c r="T201" i="9"/>
  <c r="U201" i="9"/>
  <c r="V201" i="9"/>
  <c r="D202" i="9"/>
  <c r="D203" i="9"/>
  <c r="D204" i="9"/>
  <c r="C205" i="9"/>
  <c r="D205" i="9"/>
  <c r="B207" i="9"/>
  <c r="R207" i="9"/>
  <c r="S207" i="9" s="1"/>
  <c r="U207" i="9" s="1"/>
  <c r="T207" i="9"/>
  <c r="V207" i="9"/>
  <c r="R209" i="9"/>
  <c r="S209" i="9"/>
  <c r="T209" i="9"/>
  <c r="U209" i="9"/>
  <c r="V209" i="9"/>
  <c r="R210" i="9"/>
  <c r="S210" i="9"/>
  <c r="U210" i="9" s="1"/>
  <c r="T210" i="9"/>
  <c r="V210" i="9"/>
  <c r="R211" i="9"/>
  <c r="S211" i="9"/>
  <c r="T211" i="9"/>
  <c r="U211" i="9"/>
  <c r="V211" i="9"/>
  <c r="R212" i="9"/>
  <c r="S212" i="9" s="1"/>
  <c r="U212" i="9" s="1"/>
  <c r="T212" i="9"/>
  <c r="V212" i="9"/>
  <c r="R214" i="9"/>
  <c r="S214" i="9"/>
  <c r="T214" i="9"/>
  <c r="U214" i="9"/>
  <c r="V214" i="9"/>
  <c r="R216" i="9"/>
  <c r="S216" i="9"/>
  <c r="U216" i="9" s="1"/>
  <c r="T216" i="9"/>
  <c r="V216" i="9"/>
  <c r="R218" i="9"/>
  <c r="S218" i="9"/>
  <c r="T218" i="9"/>
  <c r="U218" i="9"/>
  <c r="V218" i="9"/>
  <c r="R220" i="9"/>
  <c r="S220" i="9" s="1"/>
  <c r="U220" i="9" s="1"/>
  <c r="T220" i="9"/>
  <c r="V220" i="9"/>
  <c r="R222" i="9"/>
  <c r="S222" i="9"/>
  <c r="T222" i="9"/>
  <c r="U222" i="9"/>
  <c r="V222" i="9"/>
  <c r="R223" i="9"/>
  <c r="S223" i="9"/>
  <c r="U223" i="9" s="1"/>
  <c r="T223" i="9"/>
  <c r="V223" i="9"/>
  <c r="R225" i="9"/>
  <c r="S225" i="9"/>
  <c r="T225" i="9"/>
  <c r="U225" i="9"/>
  <c r="V225" i="9"/>
  <c r="R227" i="9"/>
  <c r="S227" i="9" s="1"/>
  <c r="U227" i="9" s="1"/>
  <c r="T227" i="9"/>
  <c r="V227" i="9"/>
  <c r="R229" i="9"/>
  <c r="S229" i="9"/>
  <c r="U229" i="9" s="1"/>
  <c r="T229" i="9"/>
  <c r="V229" i="9"/>
  <c r="R230" i="9"/>
  <c r="S230" i="9"/>
  <c r="U230" i="9" s="1"/>
  <c r="T230" i="9"/>
  <c r="V230" i="9"/>
  <c r="R232" i="9"/>
  <c r="S232" i="9"/>
  <c r="T232" i="9"/>
  <c r="U232" i="9"/>
  <c r="V232" i="9"/>
  <c r="R233" i="9"/>
  <c r="S233" i="9" s="1"/>
  <c r="U233" i="9" s="1"/>
  <c r="T233" i="9"/>
  <c r="V233" i="9"/>
  <c r="R234" i="9"/>
  <c r="S234" i="9"/>
  <c r="T234" i="9"/>
  <c r="U234" i="9"/>
  <c r="V234" i="9"/>
  <c r="R235" i="9"/>
  <c r="S235" i="9"/>
  <c r="U235" i="9" s="1"/>
  <c r="T235" i="9"/>
  <c r="V235" i="9"/>
  <c r="R236" i="9"/>
  <c r="S236" i="9"/>
  <c r="T236" i="9"/>
  <c r="U236" i="9"/>
  <c r="V236" i="9"/>
  <c r="R237" i="9"/>
  <c r="S237" i="9" s="1"/>
  <c r="U237" i="9" s="1"/>
  <c r="T237" i="9"/>
  <c r="V237" i="9"/>
  <c r="F57" i="9" l="1"/>
  <c r="F56" i="9"/>
  <c r="U170" i="9"/>
  <c r="S176" i="9"/>
  <c r="H3" i="9"/>
  <c r="F45" i="9"/>
  <c r="U195" i="9"/>
  <c r="S202" i="9"/>
  <c r="S203" i="9"/>
  <c r="S205" i="9"/>
  <c r="S204" i="9"/>
  <c r="S165" i="9"/>
  <c r="S162" i="9"/>
  <c r="U130" i="9"/>
  <c r="S164" i="9"/>
  <c r="S178" i="9"/>
  <c r="S163" i="9"/>
  <c r="S177" i="9"/>
  <c r="S183" i="9"/>
  <c r="F59" i="9"/>
  <c r="F46" i="9"/>
  <c r="F58" i="9"/>
  <c r="F44" i="9"/>
  <c r="S175" i="9"/>
  <c r="F86" i="9"/>
  <c r="F43" i="9"/>
  <c r="F85" i="9"/>
  <c r="F84" i="9"/>
  <c r="C145" i="10"/>
  <c r="T146" i="1"/>
  <c r="C144" i="10"/>
  <c r="I146" i="1"/>
  <c r="C143" i="10"/>
  <c r="C142" i="10"/>
</calcChain>
</file>

<file path=xl/sharedStrings.xml><?xml version="1.0" encoding="utf-8"?>
<sst xmlns="http://schemas.openxmlformats.org/spreadsheetml/2006/main" count="178" uniqueCount="89">
  <si>
    <t>Lens #</t>
  </si>
  <si>
    <t>POT</t>
  </si>
  <si>
    <t>ROG</t>
  </si>
  <si>
    <t>Bdot</t>
  </si>
  <si>
    <t>date</t>
  </si>
  <si>
    <t>Grad(Bdot)</t>
  </si>
  <si>
    <t>Grad(Rog)</t>
  </si>
  <si>
    <t>grad(Bdot)/grad(Rog)</t>
  </si>
  <si>
    <t>Pot</t>
  </si>
  <si>
    <t>Panel (KV)</t>
  </si>
  <si>
    <t>1000:1 probe (KV)</t>
  </si>
  <si>
    <t>Bdot (V)</t>
  </si>
  <si>
    <t>Rog (V)</t>
  </si>
  <si>
    <t>data from 10/24</t>
  </si>
  <si>
    <t>data from 10/25</t>
  </si>
  <si>
    <t>cap volts 2050</t>
  </si>
  <si>
    <t>pulse width</t>
  </si>
  <si>
    <t>peak current</t>
  </si>
  <si>
    <t>pulse width and peak current vs lens primary inductance</t>
  </si>
  <si>
    <t>Inductance</t>
  </si>
  <si>
    <t>Pulse wave form as function of capacitance</t>
  </si>
  <si>
    <t>Peak current vs capacitor voltage</t>
  </si>
  <si>
    <t>peak current and pulse width vs primary resistance</t>
  </si>
  <si>
    <t>primary resistance</t>
  </si>
  <si>
    <t>period</t>
  </si>
  <si>
    <t>Lens</t>
  </si>
  <si>
    <t>pot</t>
  </si>
  <si>
    <t>scale factor</t>
  </si>
  <si>
    <t>width (us)</t>
  </si>
  <si>
    <t>width (cm)</t>
  </si>
  <si>
    <t>bdot (V)</t>
  </si>
  <si>
    <t>average</t>
  </si>
  <si>
    <t>min</t>
  </si>
  <si>
    <t>max</t>
  </si>
  <si>
    <t>deviation</t>
  </si>
  <si>
    <t>bins</t>
  </si>
  <si>
    <t>output</t>
  </si>
  <si>
    <t>Bin</t>
  </si>
  <si>
    <t>More</t>
  </si>
  <si>
    <t>Frequency</t>
  </si>
  <si>
    <t>18b</t>
  </si>
  <si>
    <t>From spice analysis come the following values</t>
  </si>
  <si>
    <t>milliohms</t>
  </si>
  <si>
    <t>calculated primary effective resistance</t>
  </si>
  <si>
    <t>calculated primary resistance (mohms)</t>
  </si>
  <si>
    <t>C</t>
  </si>
  <si>
    <t>L</t>
  </si>
  <si>
    <t>R</t>
  </si>
  <si>
    <t>Total</t>
  </si>
  <si>
    <t>C1</t>
  </si>
  <si>
    <t>Lps</t>
  </si>
  <si>
    <t>Lcoax</t>
  </si>
  <si>
    <t>Rcoax</t>
  </si>
  <si>
    <t>Lpot</t>
  </si>
  <si>
    <t>Lsla</t>
  </si>
  <si>
    <t xml:space="preserve">Rsla </t>
  </si>
  <si>
    <t>Lslb</t>
  </si>
  <si>
    <t>Rslb</t>
  </si>
  <si>
    <t>Lslc</t>
  </si>
  <si>
    <t>Rslc</t>
  </si>
  <si>
    <t xml:space="preserve">Lpri </t>
  </si>
  <si>
    <t xml:space="preserve">Rpri  </t>
  </si>
  <si>
    <t>y = 0.2027x + 1.2055</t>
  </si>
  <si>
    <t>Pot setting</t>
  </si>
  <si>
    <t>Pearson</t>
  </si>
  <si>
    <t>dummy load</t>
  </si>
  <si>
    <t>pot setting</t>
  </si>
  <si>
    <t>lens 28</t>
  </si>
  <si>
    <t>delta</t>
  </si>
  <si>
    <t>% difference</t>
  </si>
  <si>
    <t>Selected data</t>
  </si>
  <si>
    <t>psi</t>
  </si>
  <si>
    <t>flowrate</t>
  </si>
  <si>
    <t>BNC mV</t>
  </si>
  <si>
    <t>capvolts</t>
  </si>
  <si>
    <t>DUMMY LOAD RETEST 1/10/03</t>
  </si>
  <si>
    <t>pulse width 454 usec</t>
  </si>
  <si>
    <t>DUMMY LOAD RETEST 1/17/03</t>
  </si>
  <si>
    <t>1000:1 capvolts</t>
  </si>
  <si>
    <t>BNC V</t>
  </si>
  <si>
    <t>BDOT (V)</t>
  </si>
  <si>
    <t>Pearson (KA)</t>
  </si>
  <si>
    <t>1/17/03 afternoon with chill water</t>
  </si>
  <si>
    <t>pulse width 478 us</t>
  </si>
  <si>
    <t>Dummy Load</t>
  </si>
  <si>
    <t>BDOT raw</t>
  </si>
  <si>
    <t>BDOT</t>
  </si>
  <si>
    <t>Capvolts</t>
  </si>
  <si>
    <t>New BDOT coil 01-24-03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</si>
</sst>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00"/>
    <numFmt numFmtId="177" formatCode="0.000E+00"/>
    <numFmt numFmtId="178" formatCode="mm/dd/yy"/>
    <numFmt numFmtId="179" formatCode="0.0000"/>
  </numFmts>
  <fonts count="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MathSoftText"/>
    </font>
    <font>
      <b/>
      <sz val="10"/>
      <name val="Arial"/>
      <family val="2"/>
    </font>
    <font>
      <sz val="10"/>
      <name val="MathSoftText"/>
    </font>
    <font>
      <sz val="10"/>
      <name val="MathSoftText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10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ck">
        <color indexed="39"/>
      </left>
      <right/>
      <top/>
      <bottom/>
      <diagonal/>
    </border>
    <border>
      <left/>
      <right style="thick">
        <color indexed="39"/>
      </right>
      <top/>
      <bottom/>
      <diagonal/>
    </border>
    <border>
      <left style="thick">
        <color indexed="39"/>
      </left>
      <right/>
      <top/>
      <bottom style="thick">
        <color indexed="39"/>
      </bottom>
      <diagonal/>
    </border>
    <border>
      <left/>
      <right/>
      <top/>
      <bottom style="thick">
        <color indexed="39"/>
      </bottom>
      <diagonal/>
    </border>
    <border>
      <left/>
      <right style="thick">
        <color indexed="39"/>
      </right>
      <top/>
      <bottom style="thick">
        <color indexed="39"/>
      </bottom>
      <diagonal/>
    </border>
    <border>
      <left style="thick">
        <color indexed="17"/>
      </left>
      <right/>
      <top style="thick">
        <color indexed="17"/>
      </top>
      <bottom/>
      <diagonal/>
    </border>
    <border>
      <left/>
      <right/>
      <top style="thick">
        <color indexed="17"/>
      </top>
      <bottom/>
      <diagonal/>
    </border>
    <border>
      <left/>
      <right style="thick">
        <color indexed="17"/>
      </right>
      <top style="thick">
        <color indexed="17"/>
      </top>
      <bottom/>
      <diagonal/>
    </border>
    <border>
      <left style="thick">
        <color indexed="17"/>
      </left>
      <right/>
      <top/>
      <bottom/>
      <diagonal/>
    </border>
    <border>
      <left/>
      <right style="thick">
        <color indexed="17"/>
      </right>
      <top/>
      <bottom/>
      <diagonal/>
    </border>
    <border>
      <left style="thick">
        <color indexed="17"/>
      </left>
      <right/>
      <top/>
      <bottom style="thick">
        <color indexed="17"/>
      </bottom>
      <diagonal/>
    </border>
    <border>
      <left/>
      <right/>
      <top/>
      <bottom style="thick">
        <color indexed="17"/>
      </bottom>
      <diagonal/>
    </border>
    <border>
      <left/>
      <right style="thick">
        <color indexed="17"/>
      </right>
      <top/>
      <bottom style="thick">
        <color indexed="17"/>
      </bottom>
      <diagonal/>
    </border>
  </borders>
  <cellStyleXfs count="1">
    <xf numFmtId="0" fontId="0" fillId="0" borderId="0"/>
  </cellStyleXfs>
  <cellXfs count="47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17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5" fillId="0" borderId="0" xfId="0" applyFont="1" applyFill="1" applyBorder="1" applyAlignment="1"/>
    <xf numFmtId="0" fontId="5" fillId="0" borderId="0" xfId="0" applyNumberFormat="1" applyFont="1" applyFill="1" applyBorder="1" applyAlignment="1"/>
    <xf numFmtId="0" fontId="5" fillId="0" borderId="0" xfId="0" applyFont="1" applyAlignment="1">
      <alignment horizontal="center" vertical="center" wrapText="1"/>
    </xf>
    <xf numFmtId="11" fontId="0" fillId="0" borderId="0" xfId="0" applyNumberFormat="1"/>
    <xf numFmtId="177" fontId="0" fillId="0" borderId="0" xfId="0" applyNumberFormat="1"/>
    <xf numFmtId="0" fontId="6" fillId="0" borderId="0" xfId="0" applyFont="1" applyAlignment="1">
      <alignment horizontal="left" vertical="center"/>
    </xf>
    <xf numFmtId="0" fontId="5" fillId="0" borderId="2" xfId="0" applyFont="1" applyBorder="1"/>
    <xf numFmtId="1" fontId="5" fillId="0" borderId="0" xfId="0" applyNumberFormat="1" applyFont="1"/>
    <xf numFmtId="10" fontId="5" fillId="0" borderId="0" xfId="0" applyNumberFormat="1" applyFont="1"/>
    <xf numFmtId="0" fontId="5" fillId="0" borderId="3" xfId="0" applyFont="1" applyBorder="1"/>
    <xf numFmtId="1" fontId="5" fillId="0" borderId="3" xfId="0" applyNumberFormat="1" applyFont="1" applyBorder="1"/>
    <xf numFmtId="14" fontId="5" fillId="0" borderId="0" xfId="0" applyNumberFormat="1" applyFont="1"/>
    <xf numFmtId="178" fontId="5" fillId="0" borderId="0" xfId="0" applyNumberFormat="1" applyFont="1"/>
    <xf numFmtId="179" fontId="0" fillId="0" borderId="0" xfId="0" applyNumberFormat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17" fontId="5" fillId="0" borderId="0" xfId="0" applyNumberFormat="1" applyFont="1"/>
    <xf numFmtId="1" fontId="5" fillId="0" borderId="0" xfId="0" applyNumberFormat="1" applyFont="1" applyAlignment="1">
      <alignment horizontal="center"/>
    </xf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3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Lens 27 pulse width histogram</a:t>
            </a:r>
          </a:p>
        </c:rich>
      </c:tx>
      <c:layout>
        <c:manualLayout>
          <c:xMode val="edge"/>
          <c:yMode val="edge"/>
          <c:x val="0.17850861950145328"/>
          <c:y val="4.03036023081893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34751454449527"/>
          <c:y val="0.23930263870487409"/>
          <c:w val="0.77929569373752716"/>
          <c:h val="0.511351954285152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'Pulse width data'!$R$3:$R$7</c:f>
              <c:numCache>
                <c:formatCode>General</c:formatCode>
                <c:ptCount val="5"/>
                <c:pt idx="0">
                  <c:v>374</c:v>
                </c:pt>
                <c:pt idx="1">
                  <c:v>376</c:v>
                </c:pt>
                <c:pt idx="2">
                  <c:v>377</c:v>
                </c:pt>
                <c:pt idx="3">
                  <c:v>379</c:v>
                </c:pt>
                <c:pt idx="4">
                  <c:v>382</c:v>
                </c:pt>
              </c:numCache>
            </c:numRef>
          </c:cat>
          <c:val>
            <c:numRef>
              <c:f>'Pulse width data'!$S$3:$S$7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8</c:v>
                </c:pt>
                <c:pt idx="3">
                  <c:v>19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9-4E84-815A-C6E0FD489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774143"/>
        <c:axId val="1"/>
      </c:barChart>
      <c:catAx>
        <c:axId val="788774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pulse width</a:t>
                </a:r>
              </a:p>
            </c:rich>
          </c:tx>
          <c:layout>
            <c:manualLayout>
              <c:xMode val="edge"/>
              <c:yMode val="edge"/>
              <c:x val="0.47218409029416669"/>
              <c:y val="0.864008474481808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number of measurements</a:t>
                </a:r>
              </a:p>
            </c:rich>
          </c:tx>
          <c:layout>
            <c:manualLayout>
              <c:xMode val="edge"/>
              <c:yMode val="edge"/>
              <c:x val="4.2227845473462061E-2"/>
              <c:y val="0.206555961829470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7887741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712268596291685E-2"/>
          <c:y val="9.1814265010154411E-2"/>
          <c:w val="0.75744428960693799"/>
          <c:h val="0.746921453190715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'Pulse width data'!$L$3:$L$8</c:f>
              <c:numCache>
                <c:formatCode>General</c:formatCode>
                <c:ptCount val="6"/>
                <c:pt idx="0">
                  <c:v>12.65</c:v>
                </c:pt>
                <c:pt idx="1">
                  <c:v>12.7</c:v>
                </c:pt>
                <c:pt idx="2">
                  <c:v>12.75</c:v>
                </c:pt>
                <c:pt idx="3">
                  <c:v>12.8</c:v>
                </c:pt>
                <c:pt idx="4">
                  <c:v>12.85</c:v>
                </c:pt>
                <c:pt idx="5">
                  <c:v>12.9</c:v>
                </c:pt>
              </c:numCache>
            </c:numRef>
          </c:cat>
          <c:val>
            <c:numRef>
              <c:f>'Pulse width data'!$M$3:$M$8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9</c:v>
                </c:pt>
                <c:pt idx="3">
                  <c:v>18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2-4BD6-B20B-321347F24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8234479"/>
        <c:axId val="1"/>
      </c:barChart>
      <c:catAx>
        <c:axId val="1018234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0182344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80239914651923"/>
          <c:y val="0.42929372558801931"/>
          <c:w val="0.12903650589556012"/>
          <c:h val="7.44439986568819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pulse width by lens</a:t>
            </a:r>
          </a:p>
        </c:rich>
      </c:tx>
      <c:layout>
        <c:manualLayout>
          <c:xMode val="edge"/>
          <c:yMode val="edge"/>
          <c:x val="0.37672417982735079"/>
          <c:y val="3.99016614250934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00837291423995"/>
          <c:y val="0.23691611471149251"/>
          <c:w val="0.84020907985736415"/>
          <c:h val="0.5162277446871468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'Pulse width data'!$A$121:$A$205</c:f>
              <c:numCache>
                <c:formatCode>General</c:formatCode>
                <c:ptCount val="85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25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</c:numCache>
            </c:numRef>
          </c:xVal>
          <c:yVal>
            <c:numRef>
              <c:f>'Pulse width data'!$B$121:$B$205</c:f>
              <c:numCache>
                <c:formatCode>General</c:formatCode>
                <c:ptCount val="85"/>
                <c:pt idx="0">
                  <c:v>375.96899224806197</c:v>
                </c:pt>
                <c:pt idx="1">
                  <c:v>372.09302325581393</c:v>
                </c:pt>
                <c:pt idx="2">
                  <c:v>372.09302325581393</c:v>
                </c:pt>
                <c:pt idx="3">
                  <c:v>375.96899224806197</c:v>
                </c:pt>
                <c:pt idx="4">
                  <c:v>375.96899224806197</c:v>
                </c:pt>
                <c:pt idx="5">
                  <c:v>389.31297709923666</c:v>
                </c:pt>
                <c:pt idx="6">
                  <c:v>372.09302325581393</c:v>
                </c:pt>
                <c:pt idx="7">
                  <c:v>387.21804511278197</c:v>
                </c:pt>
                <c:pt idx="8">
                  <c:v>383.45864661654127</c:v>
                </c:pt>
                <c:pt idx="9">
                  <c:v>384.49612403100775</c:v>
                </c:pt>
                <c:pt idx="10">
                  <c:v>379.84496124031006</c:v>
                </c:pt>
                <c:pt idx="11">
                  <c:v>372.09302325581393</c:v>
                </c:pt>
                <c:pt idx="12">
                  <c:v>372.09302325581393</c:v>
                </c:pt>
                <c:pt idx="13">
                  <c:v>375</c:v>
                </c:pt>
                <c:pt idx="14">
                  <c:v>384.61538461538458</c:v>
                </c:pt>
                <c:pt idx="15">
                  <c:v>376.74418604651163</c:v>
                </c:pt>
                <c:pt idx="16">
                  <c:v>379.84496124031006</c:v>
                </c:pt>
                <c:pt idx="17">
                  <c:v>380.95238095238096</c:v>
                </c:pt>
                <c:pt idx="18">
                  <c:v>387.59689922480618</c:v>
                </c:pt>
                <c:pt idx="19">
                  <c:v>387.59689922480618</c:v>
                </c:pt>
                <c:pt idx="20">
                  <c:v>375.51744529863981</c:v>
                </c:pt>
                <c:pt idx="21">
                  <c:v>371.91358024691363</c:v>
                </c:pt>
                <c:pt idx="22">
                  <c:v>375.96899224806197</c:v>
                </c:pt>
                <c:pt idx="23">
                  <c:v>378.47427557658193</c:v>
                </c:pt>
                <c:pt idx="24">
                  <c:v>371.08219988172681</c:v>
                </c:pt>
                <c:pt idx="25">
                  <c:v>376.99586043761087</c:v>
                </c:pt>
                <c:pt idx="26">
                  <c:v>372.56061502069781</c:v>
                </c:pt>
                <c:pt idx="27">
                  <c:v>378.47427557658193</c:v>
                </c:pt>
                <c:pt idx="28">
                  <c:v>379.95269071555288</c:v>
                </c:pt>
                <c:pt idx="29">
                  <c:v>378.47427557658193</c:v>
                </c:pt>
                <c:pt idx="30">
                  <c:v>379.95269071555288</c:v>
                </c:pt>
                <c:pt idx="31">
                  <c:v>372.56061502069781</c:v>
                </c:pt>
                <c:pt idx="32">
                  <c:v>377.21893491124263</c:v>
                </c:pt>
                <c:pt idx="33">
                  <c:v>377.21893491124263</c:v>
                </c:pt>
                <c:pt idx="34">
                  <c:v>379.82195845697328</c:v>
                </c:pt>
                <c:pt idx="35">
                  <c:v>414.2011834319527</c:v>
                </c:pt>
                <c:pt idx="36">
                  <c:v>376.77304964539002</c:v>
                </c:pt>
                <c:pt idx="37">
                  <c:v>376.77304964539002</c:v>
                </c:pt>
                <c:pt idx="38">
                  <c:v>375.29550827423162</c:v>
                </c:pt>
                <c:pt idx="39">
                  <c:v>378.25059101654847</c:v>
                </c:pt>
                <c:pt idx="40">
                  <c:v>378.25059101654847</c:v>
                </c:pt>
                <c:pt idx="41">
                  <c:v>375.88652482269504</c:v>
                </c:pt>
                <c:pt idx="42">
                  <c:v>375.29550827423162</c:v>
                </c:pt>
                <c:pt idx="43">
                  <c:v>376.77304964539002</c:v>
                </c:pt>
                <c:pt idx="44">
                  <c:v>375.29550827423162</c:v>
                </c:pt>
                <c:pt idx="45">
                  <c:v>375.29550827423162</c:v>
                </c:pt>
                <c:pt idx="46">
                  <c:v>373.81796690307328</c:v>
                </c:pt>
                <c:pt idx="47">
                  <c:v>375.29550827423162</c:v>
                </c:pt>
                <c:pt idx="48">
                  <c:v>378.25059101654847</c:v>
                </c:pt>
                <c:pt idx="49">
                  <c:v>378.25059101654847</c:v>
                </c:pt>
                <c:pt idx="50">
                  <c:v>375.29550827423162</c:v>
                </c:pt>
                <c:pt idx="51">
                  <c:v>376.77304964539002</c:v>
                </c:pt>
                <c:pt idx="52">
                  <c:v>378.84160756501177</c:v>
                </c:pt>
                <c:pt idx="53">
                  <c:v>378.25059101654847</c:v>
                </c:pt>
                <c:pt idx="54">
                  <c:v>378.25059101654847</c:v>
                </c:pt>
                <c:pt idx="55">
                  <c:v>378.69822485207106</c:v>
                </c:pt>
                <c:pt idx="56">
                  <c:v>378.69822485207106</c:v>
                </c:pt>
                <c:pt idx="57">
                  <c:v>378.69822485207106</c:v>
                </c:pt>
                <c:pt idx="58">
                  <c:v>375.73964497041425</c:v>
                </c:pt>
                <c:pt idx="59">
                  <c:v>381.65680473372788</c:v>
                </c:pt>
                <c:pt idx="60">
                  <c:v>381.65680473372788</c:v>
                </c:pt>
                <c:pt idx="61">
                  <c:v>378.69822485207106</c:v>
                </c:pt>
                <c:pt idx="62">
                  <c:v>378.69822485207106</c:v>
                </c:pt>
                <c:pt idx="63">
                  <c:v>375.73964497041425</c:v>
                </c:pt>
                <c:pt idx="64">
                  <c:v>378.69822485207106</c:v>
                </c:pt>
                <c:pt idx="65">
                  <c:v>375.73964497041425</c:v>
                </c:pt>
                <c:pt idx="66">
                  <c:v>378.69822485207106</c:v>
                </c:pt>
                <c:pt idx="67">
                  <c:v>378.69822485207106</c:v>
                </c:pt>
                <c:pt idx="68">
                  <c:v>378.69822485207106</c:v>
                </c:pt>
                <c:pt idx="69">
                  <c:v>378.69822485207106</c:v>
                </c:pt>
                <c:pt idx="70">
                  <c:v>378.69822485207106</c:v>
                </c:pt>
                <c:pt idx="71">
                  <c:v>378.69822485207106</c:v>
                </c:pt>
                <c:pt idx="72">
                  <c:v>376.99586043761087</c:v>
                </c:pt>
                <c:pt idx="73">
                  <c:v>376.99586043761087</c:v>
                </c:pt>
                <c:pt idx="74">
                  <c:v>376.99586043761087</c:v>
                </c:pt>
                <c:pt idx="75">
                  <c:v>375.51744529863981</c:v>
                </c:pt>
                <c:pt idx="76">
                  <c:v>376.99586043761087</c:v>
                </c:pt>
                <c:pt idx="77">
                  <c:v>384.16075650118199</c:v>
                </c:pt>
                <c:pt idx="78">
                  <c:v>382.6832151300236</c:v>
                </c:pt>
                <c:pt idx="79">
                  <c:v>382.6832151300236</c:v>
                </c:pt>
                <c:pt idx="80">
                  <c:v>382.6832151300236</c:v>
                </c:pt>
                <c:pt idx="81">
                  <c:v>381.2056737588652</c:v>
                </c:pt>
                <c:pt idx="82">
                  <c:v>379.72813238770681</c:v>
                </c:pt>
                <c:pt idx="83">
                  <c:v>381.2056737588652</c:v>
                </c:pt>
                <c:pt idx="84">
                  <c:v>376.77304964539002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F-4BD3-A37F-2A9530813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0095"/>
        <c:axId val="1"/>
      </c:scatterChart>
      <c:valAx>
        <c:axId val="99516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lens</a:t>
                </a:r>
              </a:p>
            </c:rich>
          </c:tx>
          <c:layout>
            <c:manualLayout>
              <c:xMode val="edge"/>
              <c:yMode val="edge"/>
              <c:x val="0.51828114436853712"/>
              <c:y val="0.865367282156714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At val="370"/>
        <c:crossBetween val="midCat"/>
      </c:valAx>
      <c:valAx>
        <c:axId val="1"/>
        <c:scaling>
          <c:orientation val="minMax"/>
          <c:max val="390"/>
          <c:min val="37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pulse width (us)</a:t>
                </a:r>
              </a:p>
            </c:rich>
          </c:tx>
          <c:layout>
            <c:manualLayout>
              <c:xMode val="edge"/>
              <c:yMode val="edge"/>
              <c:x val="2.5114945321823384E-2"/>
              <c:y val="0.314225583722611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60095"/>
        <c:crosses val="autoZero"/>
        <c:crossBetween val="midCat"/>
        <c:majorUnit val="5"/>
        <c:minorUnit val="1"/>
      </c:valAx>
      <c:spPr>
        <a:noFill/>
        <a:ln w="12700">
          <a:solidFill>
            <a:srgbClr val="99CC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average pulse width by lens</a:t>
            </a:r>
          </a:p>
        </c:rich>
      </c:tx>
      <c:layout>
        <c:manualLayout>
          <c:xMode val="edge"/>
          <c:yMode val="edge"/>
          <c:x val="0.32458154910382597"/>
          <c:y val="3.9703465950337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4663452466745"/>
          <c:y val="0.23822079570202226"/>
          <c:w val="0.84002619222292996"/>
          <c:h val="0.5161450573543815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'Pulse width data'!$A$121:$A$205</c:f>
              <c:numCache>
                <c:formatCode>General</c:formatCode>
                <c:ptCount val="85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25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</c:numCache>
            </c:numRef>
          </c:xVal>
          <c:yVal>
            <c:numRef>
              <c:f>'Pulse width data'!$C$121:$C$205</c:f>
              <c:numCache>
                <c:formatCode>General</c:formatCode>
                <c:ptCount val="85"/>
                <c:pt idx="0">
                  <c:v>375.96899224806197</c:v>
                </c:pt>
                <c:pt idx="3">
                  <c:v>373.38501291989661</c:v>
                </c:pt>
                <c:pt idx="4">
                  <c:v>375.96899224806197</c:v>
                </c:pt>
                <c:pt idx="6">
                  <c:v>380.70300017752527</c:v>
                </c:pt>
                <c:pt idx="7">
                  <c:v>387.21804511278197</c:v>
                </c:pt>
                <c:pt idx="10">
                  <c:v>382.59991062928634</c:v>
                </c:pt>
                <c:pt idx="13">
                  <c:v>373.06201550387595</c:v>
                </c:pt>
                <c:pt idx="19">
                  <c:v>382.89178521736659</c:v>
                </c:pt>
                <c:pt idx="22">
                  <c:v>374.46667259787182</c:v>
                </c:pt>
                <c:pt idx="32">
                  <c:v>376.57464334328273</c:v>
                </c:pt>
                <c:pt idx="34">
                  <c:v>378.52044668410792</c:v>
                </c:pt>
                <c:pt idx="35">
                  <c:v>414.2011834319527</c:v>
                </c:pt>
                <c:pt idx="76">
                  <c:v>377.44700056755249</c:v>
                </c:pt>
                <c:pt idx="84">
                  <c:v>381.39036643025997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E-41B7-9AA8-50147263B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70911"/>
        <c:axId val="1"/>
      </c:scatterChart>
      <c:valAx>
        <c:axId val="99517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lens number</a:t>
                </a:r>
              </a:p>
            </c:rich>
          </c:tx>
          <c:layout>
            <c:manualLayout>
              <c:xMode val="edge"/>
              <c:yMode val="edge"/>
              <c:x val="0.4765862886489276"/>
              <c:y val="0.866031851041726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90"/>
          <c:min val="37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pulse width (us)</a:t>
                </a:r>
              </a:p>
            </c:rich>
          </c:tx>
          <c:layout>
            <c:manualLayout>
              <c:xMode val="edge"/>
              <c:yMode val="edge"/>
              <c:x val="2.5143641127761168E-2"/>
              <c:y val="0.317627727602696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70911"/>
        <c:crosses val="autoZero"/>
        <c:crossBetween val="midCat"/>
        <c:majorUnit val="5"/>
        <c:minorUnit val="1"/>
      </c:valAx>
      <c:spPr>
        <a:noFill/>
        <a:ln w="12700">
          <a:solidFill>
            <a:srgbClr val="99CC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resistance as function of pulse width</a:t>
            </a:r>
          </a:p>
        </c:rich>
      </c:tx>
      <c:layout>
        <c:manualLayout>
          <c:xMode val="edge"/>
          <c:yMode val="edge"/>
          <c:x val="0.27871885273440988"/>
          <c:y val="4.14379382737261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42322036495972"/>
          <c:y val="0.24034004198761144"/>
          <c:w val="0.83357582808531849"/>
          <c:h val="0.4972552592847133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FF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Mode val="edge"/>
                  <c:yMode val="edge"/>
                  <c:x val="0.54324368982030813"/>
                  <c:y val="0.4779175547569745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FF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'Pulse width data'!$Q$24:$W$24</c:f>
              <c:numCache>
                <c:formatCode>General</c:formatCode>
                <c:ptCount val="7"/>
                <c:pt idx="0">
                  <c:v>384.9</c:v>
                </c:pt>
                <c:pt idx="1">
                  <c:v>440.4</c:v>
                </c:pt>
                <c:pt idx="2">
                  <c:v>374</c:v>
                </c:pt>
                <c:pt idx="3">
                  <c:v>376.7</c:v>
                </c:pt>
                <c:pt idx="4">
                  <c:v>388.58</c:v>
                </c:pt>
                <c:pt idx="5">
                  <c:v>404.7</c:v>
                </c:pt>
                <c:pt idx="6">
                  <c:v>371.8</c:v>
                </c:pt>
              </c:numCache>
            </c:numRef>
          </c:xVal>
          <c:yVal>
            <c:numRef>
              <c:f>'Pulse width data'!$Q$23:$W$23</c:f>
              <c:numCache>
                <c:formatCode>General</c:formatCode>
                <c:ptCount val="7"/>
                <c:pt idx="0">
                  <c:v>13.5</c:v>
                </c:pt>
                <c:pt idx="1">
                  <c:v>27</c:v>
                </c:pt>
                <c:pt idx="2">
                  <c:v>6.75</c:v>
                </c:pt>
                <c:pt idx="3">
                  <c:v>9</c:v>
                </c:pt>
                <c:pt idx="4">
                  <c:v>15</c:v>
                </c:pt>
                <c:pt idx="5">
                  <c:v>20</c:v>
                </c:pt>
                <c:pt idx="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5-4F49-A711-FFC5E5B7C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1759"/>
        <c:axId val="1"/>
      </c:scatterChart>
      <c:valAx>
        <c:axId val="995161759"/>
        <c:scaling>
          <c:orientation val="minMax"/>
          <c:max val="450"/>
          <c:min val="370"/>
        </c:scaling>
        <c:delete val="0"/>
        <c:axPos val="b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time (us)</a:t>
                </a:r>
              </a:p>
            </c:rich>
          </c:tx>
          <c:layout>
            <c:manualLayout>
              <c:xMode val="edge"/>
              <c:yMode val="edge"/>
              <c:x val="0.48646762722626169"/>
              <c:y val="0.85638405765700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milliohms</a:t>
                </a:r>
              </a:p>
            </c:rich>
          </c:tx>
          <c:layout>
            <c:manualLayout>
              <c:xMode val="edge"/>
              <c:yMode val="edge"/>
              <c:x val="2.838803129702323E-2"/>
              <c:y val="0.381229032118280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61759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calculated effective primary resistance by lens derived from SPICE model</a:t>
            </a:r>
          </a:p>
        </c:rich>
      </c:tx>
      <c:layout>
        <c:manualLayout>
          <c:xMode val="edge"/>
          <c:yMode val="edge"/>
          <c:x val="0.13098368738100197"/>
          <c:y val="3.94101585673166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0391566256685"/>
          <c:y val="0.31281813362807565"/>
          <c:w val="0.85310245085539549"/>
          <c:h val="0.4433642838823119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'Pulse width data'!$A$121:$A$205</c:f>
              <c:numCache>
                <c:formatCode>General</c:formatCode>
                <c:ptCount val="85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25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</c:numCache>
            </c:numRef>
          </c:xVal>
          <c:yVal>
            <c:numRef>
              <c:f>'Pulse width data'!$D$121:$D$205</c:f>
              <c:numCache>
                <c:formatCode>General</c:formatCode>
                <c:ptCount val="85"/>
                <c:pt idx="0">
                  <c:v>3.3856330749352992</c:v>
                </c:pt>
                <c:pt idx="1">
                  <c:v>1.2246511627906784</c:v>
                </c:pt>
                <c:pt idx="2">
                  <c:v>1.2246511627906784</c:v>
                </c:pt>
                <c:pt idx="3">
                  <c:v>3.3856330749352992</c:v>
                </c:pt>
                <c:pt idx="4">
                  <c:v>3.3856330749352992</c:v>
                </c:pt>
                <c:pt idx="5">
                  <c:v>9.8372833750947848</c:v>
                </c:pt>
                <c:pt idx="6">
                  <c:v>1.2246511627906784</c:v>
                </c:pt>
                <c:pt idx="7">
                  <c:v>8.9257436825146215</c:v>
                </c:pt>
                <c:pt idx="8">
                  <c:v>7.1953293006953345</c:v>
                </c:pt>
                <c:pt idx="9">
                  <c:v>7.6850129198965078</c:v>
                </c:pt>
                <c:pt idx="10">
                  <c:v>5.417416020671908</c:v>
                </c:pt>
                <c:pt idx="11">
                  <c:v>1.2246511627906784</c:v>
                </c:pt>
                <c:pt idx="12">
                  <c:v>1.2246511627906784</c:v>
                </c:pt>
                <c:pt idx="13">
                  <c:v>2.8575000000000728</c:v>
                </c:pt>
                <c:pt idx="14">
                  <c:v>7.7407100591716471</c:v>
                </c:pt>
                <c:pt idx="15">
                  <c:v>3.8023255813953938</c:v>
                </c:pt>
                <c:pt idx="16">
                  <c:v>5.417416020671908</c:v>
                </c:pt>
                <c:pt idx="17">
                  <c:v>5.9741950113379971</c:v>
                </c:pt>
                <c:pt idx="18">
                  <c:v>9.0933850129200664</c:v>
                </c:pt>
                <c:pt idx="19">
                  <c:v>9.0933850129200664</c:v>
                </c:pt>
                <c:pt idx="20">
                  <c:v>3.1405296345734541</c:v>
                </c:pt>
                <c:pt idx="21">
                  <c:v>1.1214765279684116</c:v>
                </c:pt>
                <c:pt idx="22">
                  <c:v>3.3856330749352992</c:v>
                </c:pt>
                <c:pt idx="23">
                  <c:v>4.7136686062960962</c:v>
                </c:pt>
                <c:pt idx="24">
                  <c:v>0.63984279664737187</c:v>
                </c:pt>
                <c:pt idx="25">
                  <c:v>3.9364976791242725</c:v>
                </c:pt>
                <c:pt idx="26">
                  <c:v>1.4922021933350607</c:v>
                </c:pt>
                <c:pt idx="27">
                  <c:v>4.7136686062960962</c:v>
                </c:pt>
                <c:pt idx="28">
                  <c:v>5.4720424160888115</c:v>
                </c:pt>
                <c:pt idx="29">
                  <c:v>4.7136686062960962</c:v>
                </c:pt>
                <c:pt idx="30">
                  <c:v>5.4720424160888115</c:v>
                </c:pt>
                <c:pt idx="31">
                  <c:v>1.4922021933350607</c:v>
                </c:pt>
                <c:pt idx="32">
                  <c:v>4.0549672630511395</c:v>
                </c:pt>
                <c:pt idx="33">
                  <c:v>4.0549672630511395</c:v>
                </c:pt>
                <c:pt idx="34">
                  <c:v>5.4057390661184854</c:v>
                </c:pt>
                <c:pt idx="35">
                  <c:v>17.778838976226439</c:v>
                </c:pt>
                <c:pt idx="36">
                  <c:v>3.8177409335546599</c:v>
                </c:pt>
                <c:pt idx="37">
                  <c:v>3.8177409335546599</c:v>
                </c:pt>
                <c:pt idx="38">
                  <c:v>3.0194176461055804</c:v>
                </c:pt>
                <c:pt idx="39">
                  <c:v>4.5972893158739225</c:v>
                </c:pt>
                <c:pt idx="40">
                  <c:v>4.5972893158739225</c:v>
                </c:pt>
                <c:pt idx="41">
                  <c:v>3.3409999497006311</c:v>
                </c:pt>
                <c:pt idx="42">
                  <c:v>3.0194176461055804</c:v>
                </c:pt>
                <c:pt idx="43">
                  <c:v>3.8177409335546599</c:v>
                </c:pt>
                <c:pt idx="44">
                  <c:v>3.0194176461055804</c:v>
                </c:pt>
                <c:pt idx="45">
                  <c:v>3.0194176461055804</c:v>
                </c:pt>
                <c:pt idx="46">
                  <c:v>2.2023194535262292</c:v>
                </c:pt>
                <c:pt idx="47">
                  <c:v>3.0194176461055804</c:v>
                </c:pt>
                <c:pt idx="48">
                  <c:v>4.5972893158739225</c:v>
                </c:pt>
                <c:pt idx="49">
                  <c:v>4.5972893158739225</c:v>
                </c:pt>
                <c:pt idx="50">
                  <c:v>3.0194176461055804</c:v>
                </c:pt>
                <c:pt idx="51">
                  <c:v>3.8177409335546599</c:v>
                </c:pt>
                <c:pt idx="52">
                  <c:v>4.9038516953652334</c:v>
                </c:pt>
                <c:pt idx="53">
                  <c:v>4.5972893158739225</c:v>
                </c:pt>
                <c:pt idx="54">
                  <c:v>4.5972893158739225</c:v>
                </c:pt>
                <c:pt idx="55">
                  <c:v>4.8297545604145853</c:v>
                </c:pt>
                <c:pt idx="56">
                  <c:v>4.8297545604145853</c:v>
                </c:pt>
                <c:pt idx="57">
                  <c:v>4.8297545604145853</c:v>
                </c:pt>
                <c:pt idx="58">
                  <c:v>3.2613605966178056</c:v>
                </c:pt>
                <c:pt idx="59">
                  <c:v>6.3228710479324945</c:v>
                </c:pt>
                <c:pt idx="60">
                  <c:v>6.3228710479324945</c:v>
                </c:pt>
                <c:pt idx="61">
                  <c:v>4.8297545604145853</c:v>
                </c:pt>
                <c:pt idx="62">
                  <c:v>4.8297545604145853</c:v>
                </c:pt>
                <c:pt idx="63">
                  <c:v>3.2613605966178056</c:v>
                </c:pt>
                <c:pt idx="64">
                  <c:v>4.8297545604145853</c:v>
                </c:pt>
                <c:pt idx="65">
                  <c:v>3.2613605966178056</c:v>
                </c:pt>
                <c:pt idx="66">
                  <c:v>4.8297545604145853</c:v>
                </c:pt>
                <c:pt idx="67">
                  <c:v>4.8297545604145853</c:v>
                </c:pt>
                <c:pt idx="68">
                  <c:v>4.8297545604145853</c:v>
                </c:pt>
                <c:pt idx="69">
                  <c:v>4.8297545604145853</c:v>
                </c:pt>
                <c:pt idx="70">
                  <c:v>4.8297545604145853</c:v>
                </c:pt>
                <c:pt idx="71">
                  <c:v>4.8297545604145853</c:v>
                </c:pt>
                <c:pt idx="72">
                  <c:v>3.9364976791242725</c:v>
                </c:pt>
                <c:pt idx="73">
                  <c:v>3.9364976791242725</c:v>
                </c:pt>
                <c:pt idx="74">
                  <c:v>3.9364976791242725</c:v>
                </c:pt>
                <c:pt idx="75">
                  <c:v>3.1405296345734541</c:v>
                </c:pt>
                <c:pt idx="76">
                  <c:v>3.9364976791242725</c:v>
                </c:pt>
                <c:pt idx="77">
                  <c:v>7.5277337938512119</c:v>
                </c:pt>
                <c:pt idx="78">
                  <c:v>6.8232850320518992</c:v>
                </c:pt>
                <c:pt idx="79">
                  <c:v>6.8232850320518992</c:v>
                </c:pt>
                <c:pt idx="80">
                  <c:v>6.8232850320518992</c:v>
                </c:pt>
                <c:pt idx="81">
                  <c:v>6.1000613651223148</c:v>
                </c:pt>
                <c:pt idx="82">
                  <c:v>5.3580627930631408</c:v>
                </c:pt>
                <c:pt idx="83">
                  <c:v>6.1000613651223148</c:v>
                </c:pt>
                <c:pt idx="84">
                  <c:v>3.8177409335546599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C-44A5-987A-C28031C9F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6751"/>
        <c:axId val="1"/>
      </c:scatterChart>
      <c:valAx>
        <c:axId val="99516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lens</a:t>
                </a:r>
              </a:p>
            </c:rich>
          </c:tx>
          <c:layout>
            <c:manualLayout>
              <c:xMode val="edge"/>
              <c:yMode val="edge"/>
              <c:x val="0.51140587507886859"/>
              <c:y val="0.867023488480965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milliohms</a:t>
                </a:r>
              </a:p>
            </c:rich>
          </c:tx>
          <c:layout>
            <c:manualLayout>
              <c:xMode val="edge"/>
              <c:yMode val="edge"/>
              <c:x val="2.5057748890278637E-2"/>
              <c:y val="0.431048609330025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66751"/>
        <c:crosses val="autoZero"/>
        <c:crossBetween val="midCat"/>
        <c:majorUnit val="5"/>
        <c:minorUnit val="1"/>
      </c:valAx>
      <c:spPr>
        <a:noFill/>
        <a:ln w="12700">
          <a:solidFill>
            <a:srgbClr val="99CC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Test station power supply parameters vs. pot setting</a:t>
            </a:r>
          </a:p>
        </c:rich>
      </c:tx>
      <c:layout>
        <c:manualLayout>
          <c:xMode val="edge"/>
          <c:yMode val="edge"/>
          <c:x val="0.25925925925925924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370370370370365E-2"/>
          <c:y val="0.14705882352941177"/>
          <c:w val="0.59851851851851856"/>
          <c:h val="0.73638344226579522"/>
        </c:manualLayout>
      </c:layout>
      <c:scatterChart>
        <c:scatterStyle val="lineMarker"/>
        <c:varyColors val="0"/>
        <c:ser>
          <c:idx val="1"/>
          <c:order val="1"/>
          <c:tx>
            <c:v>Bdot (mV)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84"/>
                  <c:y val="0.5348583877995642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Load'!$A$2:$A$66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5.5</c:v>
                </c:pt>
                <c:pt idx="56">
                  <c:v>5.5</c:v>
                </c:pt>
                <c:pt idx="57">
                  <c:v>5.5</c:v>
                </c:pt>
                <c:pt idx="58">
                  <c:v>6</c:v>
                </c:pt>
                <c:pt idx="61">
                  <c:v>6.5</c:v>
                </c:pt>
                <c:pt idx="62">
                  <c:v>6.5</c:v>
                </c:pt>
                <c:pt idx="63">
                  <c:v>7</c:v>
                </c:pt>
                <c:pt idx="64">
                  <c:v>7</c:v>
                </c:pt>
              </c:numCache>
            </c:numRef>
          </c:xVal>
          <c:yVal>
            <c:numRef>
              <c:f>'Dummy Load'!$C$2:$C$66</c:f>
              <c:numCache>
                <c:formatCode>General</c:formatCode>
                <c:ptCount val="65"/>
                <c:pt idx="0">
                  <c:v>880</c:v>
                </c:pt>
                <c:pt idx="1">
                  <c:v>820</c:v>
                </c:pt>
                <c:pt idx="2">
                  <c:v>1060</c:v>
                </c:pt>
                <c:pt idx="3">
                  <c:v>1380</c:v>
                </c:pt>
                <c:pt idx="4">
                  <c:v>1440</c:v>
                </c:pt>
                <c:pt idx="5">
                  <c:v>1400</c:v>
                </c:pt>
                <c:pt idx="6">
                  <c:v>1280</c:v>
                </c:pt>
                <c:pt idx="7">
                  <c:v>1222</c:v>
                </c:pt>
                <c:pt idx="8">
                  <c:v>1280</c:v>
                </c:pt>
                <c:pt idx="9">
                  <c:v>1400</c:v>
                </c:pt>
                <c:pt idx="10">
                  <c:v>940</c:v>
                </c:pt>
                <c:pt idx="11">
                  <c:v>1280</c:v>
                </c:pt>
                <c:pt idx="12">
                  <c:v>1540</c:v>
                </c:pt>
                <c:pt idx="13">
                  <c:v>1600</c:v>
                </c:pt>
                <c:pt idx="14">
                  <c:v>1260</c:v>
                </c:pt>
                <c:pt idx="15">
                  <c:v>1660</c:v>
                </c:pt>
                <c:pt idx="16">
                  <c:v>1420</c:v>
                </c:pt>
                <c:pt idx="17">
                  <c:v>1640</c:v>
                </c:pt>
                <c:pt idx="18">
                  <c:v>1780</c:v>
                </c:pt>
                <c:pt idx="19">
                  <c:v>1100</c:v>
                </c:pt>
                <c:pt idx="20">
                  <c:v>1780</c:v>
                </c:pt>
                <c:pt idx="21">
                  <c:v>1680</c:v>
                </c:pt>
                <c:pt idx="22">
                  <c:v>1800</c:v>
                </c:pt>
                <c:pt idx="23">
                  <c:v>1760</c:v>
                </c:pt>
                <c:pt idx="24">
                  <c:v>1920</c:v>
                </c:pt>
                <c:pt idx="25">
                  <c:v>2060</c:v>
                </c:pt>
                <c:pt idx="26">
                  <c:v>1060</c:v>
                </c:pt>
                <c:pt idx="27">
                  <c:v>1920</c:v>
                </c:pt>
                <c:pt idx="28">
                  <c:v>2080</c:v>
                </c:pt>
                <c:pt idx="29">
                  <c:v>2000</c:v>
                </c:pt>
                <c:pt idx="30">
                  <c:v>2080</c:v>
                </c:pt>
                <c:pt idx="31">
                  <c:v>2000</c:v>
                </c:pt>
                <c:pt idx="32">
                  <c:v>2080</c:v>
                </c:pt>
                <c:pt idx="33">
                  <c:v>2200</c:v>
                </c:pt>
                <c:pt idx="34">
                  <c:v>2200</c:v>
                </c:pt>
                <c:pt idx="35">
                  <c:v>2200</c:v>
                </c:pt>
                <c:pt idx="36">
                  <c:v>2200</c:v>
                </c:pt>
                <c:pt idx="37">
                  <c:v>2320</c:v>
                </c:pt>
                <c:pt idx="38">
                  <c:v>2320</c:v>
                </c:pt>
                <c:pt idx="39">
                  <c:v>2360</c:v>
                </c:pt>
                <c:pt idx="40">
                  <c:v>2400</c:v>
                </c:pt>
                <c:pt idx="41">
                  <c:v>2440</c:v>
                </c:pt>
                <c:pt idx="42">
                  <c:v>2400</c:v>
                </c:pt>
                <c:pt idx="43">
                  <c:v>2520</c:v>
                </c:pt>
                <c:pt idx="44">
                  <c:v>2520</c:v>
                </c:pt>
                <c:pt idx="45">
                  <c:v>2520</c:v>
                </c:pt>
                <c:pt idx="46">
                  <c:v>2520</c:v>
                </c:pt>
                <c:pt idx="47">
                  <c:v>2200</c:v>
                </c:pt>
                <c:pt idx="48">
                  <c:v>2480</c:v>
                </c:pt>
                <c:pt idx="49">
                  <c:v>1720</c:v>
                </c:pt>
                <c:pt idx="50">
                  <c:v>2600</c:v>
                </c:pt>
                <c:pt idx="51">
                  <c:v>2640</c:v>
                </c:pt>
                <c:pt idx="52">
                  <c:v>2800</c:v>
                </c:pt>
                <c:pt idx="53">
                  <c:v>2800</c:v>
                </c:pt>
                <c:pt idx="54">
                  <c:v>2800</c:v>
                </c:pt>
                <c:pt idx="55">
                  <c:v>2880</c:v>
                </c:pt>
                <c:pt idx="56">
                  <c:v>2880</c:v>
                </c:pt>
                <c:pt idx="57">
                  <c:v>2920</c:v>
                </c:pt>
                <c:pt idx="58">
                  <c:v>3080</c:v>
                </c:pt>
                <c:pt idx="59">
                  <c:v>3080</c:v>
                </c:pt>
                <c:pt idx="60">
                  <c:v>3080</c:v>
                </c:pt>
                <c:pt idx="61">
                  <c:v>3200</c:v>
                </c:pt>
                <c:pt idx="62">
                  <c:v>3240</c:v>
                </c:pt>
                <c:pt idx="63">
                  <c:v>1640</c:v>
                </c:pt>
                <c:pt idx="64">
                  <c:v>2320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0E-483D-ABCE-46B758B19EB9}"/>
            </c:ext>
          </c:extLst>
        </c:ser>
        <c:ser>
          <c:idx val="2"/>
          <c:order val="2"/>
          <c:tx>
            <c:v>Capacitor volts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3399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84888888888888892"/>
                  <c:y val="0.7200435729847494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99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Load'!$A$2:$A$67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5.5</c:v>
                </c:pt>
                <c:pt idx="56">
                  <c:v>5.5</c:v>
                </c:pt>
                <c:pt idx="57">
                  <c:v>5.5</c:v>
                </c:pt>
                <c:pt idx="58">
                  <c:v>6</c:v>
                </c:pt>
                <c:pt idx="61">
                  <c:v>6.5</c:v>
                </c:pt>
                <c:pt idx="62">
                  <c:v>6.5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</c:numCache>
            </c:numRef>
          </c:xVal>
          <c:yVal>
            <c:numRef>
              <c:f>'Dummy Load'!$E$2:$E$67</c:f>
              <c:numCache>
                <c:formatCode>0</c:formatCode>
                <c:ptCount val="66"/>
                <c:pt idx="0">
                  <c:v>1139.4000000000001</c:v>
                </c:pt>
                <c:pt idx="1">
                  <c:v>1152.5875000000001</c:v>
                </c:pt>
                <c:pt idx="2">
                  <c:v>1152.5875000000001</c:v>
                </c:pt>
                <c:pt idx="3">
                  <c:v>1152.5875000000001</c:v>
                </c:pt>
                <c:pt idx="4">
                  <c:v>1152.5875000000001</c:v>
                </c:pt>
                <c:pt idx="5">
                  <c:v>1152.5875000000001</c:v>
                </c:pt>
                <c:pt idx="6">
                  <c:v>1152.5875000000001</c:v>
                </c:pt>
                <c:pt idx="7">
                  <c:v>1152.5875000000001</c:v>
                </c:pt>
                <c:pt idx="8">
                  <c:v>1152.5875000000001</c:v>
                </c:pt>
                <c:pt idx="9">
                  <c:v>1152.5875000000001</c:v>
                </c:pt>
                <c:pt idx="10">
                  <c:v>1152.5875000000001</c:v>
                </c:pt>
                <c:pt idx="11">
                  <c:v>1152.5875000000001</c:v>
                </c:pt>
                <c:pt idx="12">
                  <c:v>1152.5875000000001</c:v>
                </c:pt>
                <c:pt idx="13">
                  <c:v>1234.3499999999999</c:v>
                </c:pt>
                <c:pt idx="14">
                  <c:v>1234.3499999999999</c:v>
                </c:pt>
                <c:pt idx="15">
                  <c:v>1255.45</c:v>
                </c:pt>
                <c:pt idx="16">
                  <c:v>1255.45</c:v>
                </c:pt>
                <c:pt idx="17">
                  <c:v>1255.45</c:v>
                </c:pt>
                <c:pt idx="18">
                  <c:v>1350.4</c:v>
                </c:pt>
                <c:pt idx="19">
                  <c:v>1350.4</c:v>
                </c:pt>
                <c:pt idx="20">
                  <c:v>1350.4</c:v>
                </c:pt>
                <c:pt idx="21">
                  <c:v>1350.4</c:v>
                </c:pt>
                <c:pt idx="22">
                  <c:v>1350.4</c:v>
                </c:pt>
                <c:pt idx="23">
                  <c:v>1350.4</c:v>
                </c:pt>
                <c:pt idx="24">
                  <c:v>1450.625</c:v>
                </c:pt>
                <c:pt idx="25">
                  <c:v>1450.625</c:v>
                </c:pt>
                <c:pt idx="26">
                  <c:v>1450.625</c:v>
                </c:pt>
                <c:pt idx="27">
                  <c:v>1450.625</c:v>
                </c:pt>
                <c:pt idx="28">
                  <c:v>1542.9375</c:v>
                </c:pt>
                <c:pt idx="29">
                  <c:v>1548.2125000000001</c:v>
                </c:pt>
                <c:pt idx="30">
                  <c:v>1548.2125000000001</c:v>
                </c:pt>
                <c:pt idx="31">
                  <c:v>1548.2125000000001</c:v>
                </c:pt>
                <c:pt idx="32">
                  <c:v>1548.2125000000001</c:v>
                </c:pt>
                <c:pt idx="33">
                  <c:v>1688</c:v>
                </c:pt>
                <c:pt idx="34">
                  <c:v>1688</c:v>
                </c:pt>
                <c:pt idx="35">
                  <c:v>1688</c:v>
                </c:pt>
                <c:pt idx="36">
                  <c:v>1688</c:v>
                </c:pt>
                <c:pt idx="37">
                  <c:v>1809.325</c:v>
                </c:pt>
                <c:pt idx="38">
                  <c:v>1804.05</c:v>
                </c:pt>
                <c:pt idx="39">
                  <c:v>1804.05</c:v>
                </c:pt>
                <c:pt idx="40">
                  <c:v>1893.7249999999999</c:v>
                </c:pt>
                <c:pt idx="41">
                  <c:v>1893.7249999999999</c:v>
                </c:pt>
                <c:pt idx="42">
                  <c:v>1893.7249999999999</c:v>
                </c:pt>
                <c:pt idx="43">
                  <c:v>1993.9499999999998</c:v>
                </c:pt>
                <c:pt idx="44">
                  <c:v>1993.9499999999998</c:v>
                </c:pt>
                <c:pt idx="45">
                  <c:v>2009.7750000000001</c:v>
                </c:pt>
                <c:pt idx="46">
                  <c:v>2009.7750000000001</c:v>
                </c:pt>
                <c:pt idx="47">
                  <c:v>2009.7750000000001</c:v>
                </c:pt>
                <c:pt idx="48">
                  <c:v>2009.7750000000001</c:v>
                </c:pt>
                <c:pt idx="49">
                  <c:v>2110</c:v>
                </c:pt>
                <c:pt idx="50">
                  <c:v>2110</c:v>
                </c:pt>
                <c:pt idx="51">
                  <c:v>2110</c:v>
                </c:pt>
                <c:pt idx="52">
                  <c:v>2189.125</c:v>
                </c:pt>
                <c:pt idx="53">
                  <c:v>2199.6750000000002</c:v>
                </c:pt>
                <c:pt idx="54">
                  <c:v>2199.6750000000002</c:v>
                </c:pt>
                <c:pt idx="55">
                  <c:v>2289.35</c:v>
                </c:pt>
                <c:pt idx="56">
                  <c:v>2289.35</c:v>
                </c:pt>
                <c:pt idx="57">
                  <c:v>2262.9749999999999</c:v>
                </c:pt>
                <c:pt idx="58">
                  <c:v>2363.2000000000003</c:v>
                </c:pt>
                <c:pt idx="59">
                  <c:v>2363.2000000000003</c:v>
                </c:pt>
                <c:pt idx="60">
                  <c:v>2363.2000000000003</c:v>
                </c:pt>
                <c:pt idx="61">
                  <c:v>2452.875</c:v>
                </c:pt>
                <c:pt idx="62">
                  <c:v>2452.875</c:v>
                </c:pt>
                <c:pt idx="63">
                  <c:v>2558.375</c:v>
                </c:pt>
                <c:pt idx="64">
                  <c:v>2558.375</c:v>
                </c:pt>
                <c:pt idx="65">
                  <c:v>2558.375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0E-483D-ABCE-46B758B19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4719"/>
        <c:axId val="1"/>
      </c:scatterChart>
      <c:scatterChart>
        <c:scatterStyle val="lineMarker"/>
        <c:varyColors val="0"/>
        <c:ser>
          <c:idx val="0"/>
          <c:order val="0"/>
          <c:tx>
            <c:v>Primary Current (kA)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84518518518518515"/>
                  <c:y val="0.6274509803921568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Load'!$A$2:$A$66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5.5</c:v>
                </c:pt>
                <c:pt idx="56">
                  <c:v>5.5</c:v>
                </c:pt>
                <c:pt idx="57">
                  <c:v>5.5</c:v>
                </c:pt>
                <c:pt idx="58">
                  <c:v>6</c:v>
                </c:pt>
                <c:pt idx="61">
                  <c:v>6.5</c:v>
                </c:pt>
                <c:pt idx="62">
                  <c:v>6.5</c:v>
                </c:pt>
                <c:pt idx="63">
                  <c:v>7</c:v>
                </c:pt>
                <c:pt idx="64">
                  <c:v>7</c:v>
                </c:pt>
              </c:numCache>
            </c:numRef>
          </c:xVal>
          <c:yVal>
            <c:numRef>
              <c:f>'Dummy Load'!$B$2:$B$66</c:f>
              <c:numCache>
                <c:formatCode>General</c:formatCode>
                <c:ptCount val="65"/>
                <c:pt idx="0">
                  <c:v>20</c:v>
                </c:pt>
                <c:pt idx="1">
                  <c:v>18.8</c:v>
                </c:pt>
                <c:pt idx="2">
                  <c:v>17.2</c:v>
                </c:pt>
                <c:pt idx="3">
                  <c:v>16.8</c:v>
                </c:pt>
                <c:pt idx="4">
                  <c:v>19.600000000000001</c:v>
                </c:pt>
                <c:pt idx="5">
                  <c:v>18.399999999999999</c:v>
                </c:pt>
                <c:pt idx="6">
                  <c:v>16.399999999999999</c:v>
                </c:pt>
                <c:pt idx="7">
                  <c:v>19.600000000000001</c:v>
                </c:pt>
                <c:pt idx="8">
                  <c:v>17.600000000000001</c:v>
                </c:pt>
                <c:pt idx="9">
                  <c:v>18.8</c:v>
                </c:pt>
                <c:pt idx="10">
                  <c:v>12.8</c:v>
                </c:pt>
                <c:pt idx="11">
                  <c:v>20</c:v>
                </c:pt>
                <c:pt idx="12">
                  <c:v>19.2</c:v>
                </c:pt>
                <c:pt idx="13">
                  <c:v>12.4</c:v>
                </c:pt>
                <c:pt idx="14">
                  <c:v>20.399999999999999</c:v>
                </c:pt>
                <c:pt idx="15">
                  <c:v>14</c:v>
                </c:pt>
                <c:pt idx="16">
                  <c:v>15.6</c:v>
                </c:pt>
                <c:pt idx="17">
                  <c:v>22.4</c:v>
                </c:pt>
                <c:pt idx="18">
                  <c:v>23.2</c:v>
                </c:pt>
                <c:pt idx="19">
                  <c:v>22.8</c:v>
                </c:pt>
                <c:pt idx="20">
                  <c:v>20.399999999999999</c:v>
                </c:pt>
                <c:pt idx="21">
                  <c:v>24.8</c:v>
                </c:pt>
                <c:pt idx="22">
                  <c:v>24.4</c:v>
                </c:pt>
                <c:pt idx="23">
                  <c:v>18.399999999999999</c:v>
                </c:pt>
                <c:pt idx="24">
                  <c:v>26.8</c:v>
                </c:pt>
                <c:pt idx="25">
                  <c:v>26.8</c:v>
                </c:pt>
                <c:pt idx="26">
                  <c:v>18</c:v>
                </c:pt>
                <c:pt idx="27">
                  <c:v>20.399999999999999</c:v>
                </c:pt>
                <c:pt idx="28">
                  <c:v>28.8</c:v>
                </c:pt>
                <c:pt idx="29">
                  <c:v>28.8</c:v>
                </c:pt>
                <c:pt idx="30">
                  <c:v>28.8</c:v>
                </c:pt>
                <c:pt idx="31">
                  <c:v>28.8</c:v>
                </c:pt>
                <c:pt idx="32">
                  <c:v>28.8</c:v>
                </c:pt>
                <c:pt idx="33">
                  <c:v>30.4</c:v>
                </c:pt>
                <c:pt idx="34">
                  <c:v>30.8</c:v>
                </c:pt>
                <c:pt idx="35">
                  <c:v>30.4</c:v>
                </c:pt>
                <c:pt idx="36">
                  <c:v>30.8</c:v>
                </c:pt>
                <c:pt idx="37">
                  <c:v>32.4</c:v>
                </c:pt>
                <c:pt idx="38">
                  <c:v>32.799999999999997</c:v>
                </c:pt>
                <c:pt idx="39">
                  <c:v>32.4</c:v>
                </c:pt>
                <c:pt idx="40">
                  <c:v>34.799999999999997</c:v>
                </c:pt>
                <c:pt idx="41">
                  <c:v>34</c:v>
                </c:pt>
                <c:pt idx="42">
                  <c:v>34.4</c:v>
                </c:pt>
                <c:pt idx="43">
                  <c:v>35.6</c:v>
                </c:pt>
                <c:pt idx="44">
                  <c:v>35.6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36.4</c:v>
                </c:pt>
                <c:pt idx="49">
                  <c:v>38.4</c:v>
                </c:pt>
                <c:pt idx="50">
                  <c:v>38</c:v>
                </c:pt>
                <c:pt idx="51">
                  <c:v>38.799999999999997</c:v>
                </c:pt>
                <c:pt idx="52">
                  <c:v>40</c:v>
                </c:pt>
                <c:pt idx="53">
                  <c:v>39.6</c:v>
                </c:pt>
                <c:pt idx="54">
                  <c:v>39.6</c:v>
                </c:pt>
                <c:pt idx="55">
                  <c:v>42.4</c:v>
                </c:pt>
                <c:pt idx="56">
                  <c:v>41.6</c:v>
                </c:pt>
                <c:pt idx="57">
                  <c:v>41.6</c:v>
                </c:pt>
                <c:pt idx="58">
                  <c:v>24.4</c:v>
                </c:pt>
                <c:pt idx="59">
                  <c:v>44.4</c:v>
                </c:pt>
                <c:pt idx="60">
                  <c:v>44</c:v>
                </c:pt>
                <c:pt idx="61">
                  <c:v>46.4</c:v>
                </c:pt>
                <c:pt idx="62">
                  <c:v>44.4</c:v>
                </c:pt>
                <c:pt idx="63">
                  <c:v>38.799999999999997</c:v>
                </c:pt>
                <c:pt idx="64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0E-483D-ABCE-46B758B19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26864719"/>
        <c:scaling>
          <c:orientation val="minMax"/>
          <c:max val="7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 setting</a:t>
                </a:r>
              </a:p>
            </c:rich>
          </c:tx>
          <c:layout>
            <c:manualLayout>
              <c:xMode val="edge"/>
              <c:yMode val="edge"/>
              <c:x val="0.34518518518518521"/>
              <c:y val="0.93246187363834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Bdot &amp; capacitor</a:t>
                </a:r>
              </a:p>
            </c:rich>
          </c:tx>
          <c:layout>
            <c:manualLayout>
              <c:xMode val="edge"/>
              <c:yMode val="edge"/>
              <c:x val="1.2592592592592593E-2"/>
              <c:y val="0.415032679738562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4719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current</a:t>
                </a:r>
              </a:p>
            </c:rich>
          </c:tx>
          <c:layout>
            <c:manualLayout>
              <c:xMode val="edge"/>
              <c:yMode val="edge"/>
              <c:x val="0.71851851851851856"/>
              <c:y val="0.469498910675381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11111111111106"/>
          <c:y val="0.26034858387799564"/>
          <c:w val="0.2311111111111111"/>
          <c:h val="0.190631808278867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Test Station Supply Parameters</a:t>
            </a:r>
          </a:p>
        </c:rich>
      </c:tx>
      <c:layout>
        <c:manualLayout>
          <c:xMode val="edge"/>
          <c:yMode val="edge"/>
          <c:x val="0.30491951534295703"/>
          <c:y val="4.14379382737261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41553475876367"/>
          <c:y val="0.24034004198761144"/>
          <c:w val="0.40052987184879946"/>
          <c:h val="0.49725525928471331"/>
        </c:manualLayout>
      </c:layout>
      <c:scatterChart>
        <c:scatterStyle val="lineMarker"/>
        <c:varyColors val="0"/>
        <c:ser>
          <c:idx val="1"/>
          <c:order val="1"/>
          <c:tx>
            <c:v>Bdot Dec-02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99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5.5557369320962509E-2"/>
                  <c:y val="0.8425714115657643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99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Load'!$G$11:$G$24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'Dummy Load'!$I$11:$I$24</c:f>
              <c:numCache>
                <c:formatCode>General</c:formatCode>
                <c:ptCount val="14"/>
                <c:pt idx="0">
                  <c:v>1440</c:v>
                </c:pt>
                <c:pt idx="1">
                  <c:v>1640</c:v>
                </c:pt>
                <c:pt idx="2">
                  <c:v>1800</c:v>
                </c:pt>
                <c:pt idx="3">
                  <c:v>2060</c:v>
                </c:pt>
                <c:pt idx="4">
                  <c:v>2080</c:v>
                </c:pt>
                <c:pt idx="5">
                  <c:v>2200</c:v>
                </c:pt>
                <c:pt idx="6">
                  <c:v>2360</c:v>
                </c:pt>
                <c:pt idx="7">
                  <c:v>2400</c:v>
                </c:pt>
                <c:pt idx="9">
                  <c:v>2640</c:v>
                </c:pt>
                <c:pt idx="10">
                  <c:v>2800</c:v>
                </c:pt>
                <c:pt idx="11">
                  <c:v>2920</c:v>
                </c:pt>
                <c:pt idx="12">
                  <c:v>3080</c:v>
                </c:pt>
                <c:pt idx="13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03-48C7-9F24-A7069CED04BD}"/>
            </c:ext>
          </c:extLst>
        </c:ser>
        <c:ser>
          <c:idx val="3"/>
          <c:order val="2"/>
          <c:tx>
            <c:v>cap volts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45867130485910906"/>
                  <c:y val="0.8425714115657643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Load'!$G$11:$G$24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'Dummy Load'!$K$11:$K$24</c:f>
              <c:numCache>
                <c:formatCode>General</c:formatCode>
                <c:ptCount val="14"/>
                <c:pt idx="0">
                  <c:v>1152.5875000000001</c:v>
                </c:pt>
                <c:pt idx="1">
                  <c:v>1255.45</c:v>
                </c:pt>
                <c:pt idx="2">
                  <c:v>1350.4</c:v>
                </c:pt>
                <c:pt idx="3">
                  <c:v>1450.625</c:v>
                </c:pt>
                <c:pt idx="4">
                  <c:v>1542.9375</c:v>
                </c:pt>
                <c:pt idx="5">
                  <c:v>1688</c:v>
                </c:pt>
                <c:pt idx="6">
                  <c:v>1804.05</c:v>
                </c:pt>
                <c:pt idx="7">
                  <c:v>1893.7249999999999</c:v>
                </c:pt>
                <c:pt idx="9">
                  <c:v>2110</c:v>
                </c:pt>
                <c:pt idx="10">
                  <c:v>2199.6750000000002</c:v>
                </c:pt>
                <c:pt idx="11">
                  <c:v>2262.9749999999999</c:v>
                </c:pt>
                <c:pt idx="12">
                  <c:v>2363.1999999999998</c:v>
                </c:pt>
                <c:pt idx="13">
                  <c:v>2452.875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03-48C7-9F24-A7069CED04BD}"/>
            </c:ext>
          </c:extLst>
        </c:ser>
        <c:ser>
          <c:idx val="2"/>
          <c:order val="3"/>
          <c:tx>
            <c:v>Sep-99 BDOT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4.6513146408247677E-2"/>
                  <c:y val="2.210023374598725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FF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Load'!$G$25:$G$30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0</c:v>
                </c:pt>
                <c:pt idx="4">
                  <c:v>1</c:v>
                </c:pt>
                <c:pt idx="5">
                  <c:v>1.5</c:v>
                </c:pt>
              </c:numCache>
            </c:numRef>
          </c:xVal>
          <c:yVal>
            <c:numRef>
              <c:f>'Dummy Load'!$I$25:$I$30</c:f>
              <c:numCache>
                <c:formatCode>General</c:formatCode>
                <c:ptCount val="6"/>
                <c:pt idx="0">
                  <c:v>2120</c:v>
                </c:pt>
                <c:pt idx="1">
                  <c:v>2520</c:v>
                </c:pt>
                <c:pt idx="2">
                  <c:v>2640</c:v>
                </c:pt>
                <c:pt idx="3">
                  <c:v>2080</c:v>
                </c:pt>
                <c:pt idx="4">
                  <c:v>2480</c:v>
                </c:pt>
                <c:pt idx="5">
                  <c:v>2640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03-48C7-9F24-A7069CED04BD}"/>
            </c:ext>
          </c:extLst>
        </c:ser>
        <c:ser>
          <c:idx val="4"/>
          <c:order val="4"/>
          <c:tx>
            <c:v>capvolts 1-10-03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9933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32429999301306023"/>
                  <c:y val="0.7431203597088216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9933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Load'!$A$71:$A$79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6.75</c:v>
                </c:pt>
              </c:numCache>
            </c:numRef>
          </c:xVal>
          <c:yVal>
            <c:numRef>
              <c:f>'Dummy Load'!$E$71:$E$79</c:f>
              <c:numCache>
                <c:formatCode>0</c:formatCode>
                <c:ptCount val="9"/>
                <c:pt idx="0">
                  <c:v>1076</c:v>
                </c:pt>
                <c:pt idx="1">
                  <c:v>1255</c:v>
                </c:pt>
                <c:pt idx="2">
                  <c:v>1466</c:v>
                </c:pt>
                <c:pt idx="4">
                  <c:v>1867</c:v>
                </c:pt>
                <c:pt idx="5">
                  <c:v>2131</c:v>
                </c:pt>
                <c:pt idx="6">
                  <c:v>2342</c:v>
                </c:pt>
                <c:pt idx="7">
                  <c:v>2448</c:v>
                </c:pt>
                <c:pt idx="8">
                  <c:v>2490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03-48C7-9F24-A7069CED04BD}"/>
            </c:ext>
          </c:extLst>
        </c:ser>
        <c:ser>
          <c:idx val="6"/>
          <c:order val="6"/>
          <c:tx>
            <c:v>Bdot 1-10-03</c:v>
          </c:tx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0155696776907328"/>
                  <c:y val="0.2431025712058598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Load'!$A$71:$A$79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6.75</c:v>
                </c:pt>
              </c:numCache>
            </c:numRef>
          </c:xVal>
          <c:yVal>
            <c:numRef>
              <c:f>'Dummy Load'!$C$71:$C$79</c:f>
              <c:numCache>
                <c:formatCode>General</c:formatCode>
                <c:ptCount val="9"/>
                <c:pt idx="0">
                  <c:v>2700</c:v>
                </c:pt>
                <c:pt idx="1">
                  <c:v>3200</c:v>
                </c:pt>
                <c:pt idx="2">
                  <c:v>3700</c:v>
                </c:pt>
                <c:pt idx="4">
                  <c:v>4640</c:v>
                </c:pt>
                <c:pt idx="5">
                  <c:v>5040</c:v>
                </c:pt>
                <c:pt idx="6">
                  <c:v>5640</c:v>
                </c:pt>
                <c:pt idx="7">
                  <c:v>5880</c:v>
                </c:pt>
                <c:pt idx="8">
                  <c:v>5880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D03-48C7-9F24-A7069CED04BD}"/>
            </c:ext>
          </c:extLst>
        </c:ser>
        <c:ser>
          <c:idx val="7"/>
          <c:order val="7"/>
          <c:tx>
            <c:v>Bdot 10-99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'Dummy Load'!$G$32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'Dummy Load'!$I$32</c:f>
              <c:numCache>
                <c:formatCode>General</c:formatCode>
                <c:ptCount val="1"/>
                <c:pt idx="0">
                  <c:v>4640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D03-48C7-9F24-A7069CED0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50447"/>
        <c:axId val="1"/>
      </c:scatterChart>
      <c:scatterChart>
        <c:scatterStyle val="lineMarker"/>
        <c:varyColors val="0"/>
        <c:ser>
          <c:idx val="0"/>
          <c:order val="0"/>
          <c:tx>
            <c:v>Pearson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9459958447423118"/>
                  <c:y val="0.1243138148211783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Load'!$G$11:$G$24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'Dummy Load'!$H$11:$H$24</c:f>
              <c:numCache>
                <c:formatCode>General</c:formatCode>
                <c:ptCount val="14"/>
                <c:pt idx="0">
                  <c:v>19.600000000000001</c:v>
                </c:pt>
                <c:pt idx="1">
                  <c:v>22.4</c:v>
                </c:pt>
                <c:pt idx="2">
                  <c:v>24.4</c:v>
                </c:pt>
                <c:pt idx="3">
                  <c:v>26.8</c:v>
                </c:pt>
                <c:pt idx="4">
                  <c:v>28.8</c:v>
                </c:pt>
                <c:pt idx="5">
                  <c:v>30.4</c:v>
                </c:pt>
                <c:pt idx="6">
                  <c:v>32.4</c:v>
                </c:pt>
                <c:pt idx="7">
                  <c:v>34.4</c:v>
                </c:pt>
                <c:pt idx="9">
                  <c:v>38.799999999999997</c:v>
                </c:pt>
                <c:pt idx="10">
                  <c:v>39.6</c:v>
                </c:pt>
                <c:pt idx="11">
                  <c:v>41.6</c:v>
                </c:pt>
                <c:pt idx="12">
                  <c:v>44</c:v>
                </c:pt>
                <c:pt idx="13">
                  <c:v>46.4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D03-48C7-9F24-A7069CED04BD}"/>
            </c:ext>
          </c:extLst>
        </c:ser>
        <c:ser>
          <c:idx val="5"/>
          <c:order val="5"/>
          <c:tx>
            <c:v>Pearson 1-10-03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9933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33076015223642796"/>
                  <c:y val="0.10221358107519107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9933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Load'!$A$71:$A$79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6.75</c:v>
                </c:pt>
              </c:numCache>
            </c:numRef>
          </c:xVal>
          <c:yVal>
            <c:numRef>
              <c:f>'Dummy Load'!$B$71:$B$79</c:f>
              <c:numCache>
                <c:formatCode>General</c:formatCode>
                <c:ptCount val="9"/>
                <c:pt idx="0">
                  <c:v>27.8</c:v>
                </c:pt>
                <c:pt idx="1">
                  <c:v>33</c:v>
                </c:pt>
                <c:pt idx="2">
                  <c:v>37.799999999999997</c:v>
                </c:pt>
                <c:pt idx="4">
                  <c:v>47.8</c:v>
                </c:pt>
                <c:pt idx="5">
                  <c:v>52.6</c:v>
                </c:pt>
                <c:pt idx="6">
                  <c:v>58.8</c:v>
                </c:pt>
                <c:pt idx="7">
                  <c:v>61</c:v>
                </c:pt>
                <c:pt idx="8">
                  <c:v>61.4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D03-48C7-9F24-A7069CED0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47350447"/>
        <c:scaling>
          <c:orientation val="minMax"/>
          <c:max val="7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potentiometer</a:t>
                </a:r>
              </a:p>
            </c:rich>
          </c:tx>
          <c:layout>
            <c:manualLayout>
              <c:xMode val="edge"/>
              <c:yMode val="edge"/>
              <c:x val="0.27003465553677125"/>
              <c:y val="0.85638405765700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Bdot (mv)</a:t>
                </a:r>
              </a:p>
            </c:rich>
          </c:tx>
          <c:layout>
            <c:manualLayout>
              <c:xMode val="edge"/>
              <c:yMode val="edge"/>
              <c:x val="2.8424700582818027E-2"/>
              <c:y val="0.375703973681783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47350447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KA</a:t>
                </a:r>
              </a:p>
            </c:rich>
          </c:tx>
          <c:layout>
            <c:manualLayout>
              <c:xMode val="edge"/>
              <c:yMode val="edge"/>
              <c:x val="0.5930426167051579"/>
              <c:y val="0.4502922625744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33996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506014524948819"/>
          <c:y val="2.2100233745987258E-2"/>
          <c:w val="0.33076015223642796"/>
          <c:h val="0.961360167950445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bdot vs Pearson
dummy load on test station power supply</a:t>
            </a:r>
          </a:p>
        </c:rich>
      </c:tx>
      <c:layout>
        <c:manualLayout>
          <c:xMode val="edge"/>
          <c:yMode val="edge"/>
          <c:x val="0.25420191661425345"/>
          <c:y val="4.10971789585988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1490225153898"/>
          <c:y val="0.3041191242936318"/>
          <c:w val="0.53937259464344134"/>
          <c:h val="0.41371160151656217"/>
        </c:manualLayout>
      </c:layout>
      <c:scatterChart>
        <c:scatterStyle val="lineMarker"/>
        <c:varyColors val="0"/>
        <c:ser>
          <c:idx val="0"/>
          <c:order val="0"/>
          <c:tx>
            <c:v>12/31/2002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8582573676584304"/>
                  <c:y val="0.2383636379598735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Load'!$H$11:$H$24</c:f>
              <c:numCache>
                <c:formatCode>General</c:formatCode>
                <c:ptCount val="14"/>
                <c:pt idx="0">
                  <c:v>19.600000000000001</c:v>
                </c:pt>
                <c:pt idx="1">
                  <c:v>22.4</c:v>
                </c:pt>
                <c:pt idx="2">
                  <c:v>24.4</c:v>
                </c:pt>
                <c:pt idx="3">
                  <c:v>26.8</c:v>
                </c:pt>
                <c:pt idx="4">
                  <c:v>28.8</c:v>
                </c:pt>
                <c:pt idx="5">
                  <c:v>30.4</c:v>
                </c:pt>
                <c:pt idx="6">
                  <c:v>32.4</c:v>
                </c:pt>
                <c:pt idx="7">
                  <c:v>34.4</c:v>
                </c:pt>
                <c:pt idx="9">
                  <c:v>38.799999999999997</c:v>
                </c:pt>
                <c:pt idx="10">
                  <c:v>39.6</c:v>
                </c:pt>
                <c:pt idx="11">
                  <c:v>41.6</c:v>
                </c:pt>
                <c:pt idx="12">
                  <c:v>44</c:v>
                </c:pt>
                <c:pt idx="13">
                  <c:v>46.4</c:v>
                </c:pt>
              </c:numCache>
            </c:numRef>
          </c:xVal>
          <c:yVal>
            <c:numRef>
              <c:f>'Dummy Load'!$I$11:$I$24</c:f>
              <c:numCache>
                <c:formatCode>General</c:formatCode>
                <c:ptCount val="14"/>
                <c:pt idx="0">
                  <c:v>1440</c:v>
                </c:pt>
                <c:pt idx="1">
                  <c:v>1640</c:v>
                </c:pt>
                <c:pt idx="2">
                  <c:v>1800</c:v>
                </c:pt>
                <c:pt idx="3">
                  <c:v>2060</c:v>
                </c:pt>
                <c:pt idx="4">
                  <c:v>2080</c:v>
                </c:pt>
                <c:pt idx="5">
                  <c:v>2200</c:v>
                </c:pt>
                <c:pt idx="6">
                  <c:v>2360</c:v>
                </c:pt>
                <c:pt idx="7">
                  <c:v>2400</c:v>
                </c:pt>
                <c:pt idx="9">
                  <c:v>2640</c:v>
                </c:pt>
                <c:pt idx="10">
                  <c:v>2800</c:v>
                </c:pt>
                <c:pt idx="11">
                  <c:v>2920</c:v>
                </c:pt>
                <c:pt idx="12">
                  <c:v>3080</c:v>
                </c:pt>
                <c:pt idx="13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6C-40C1-8CAB-7F5A7D3D1445}"/>
            </c:ext>
          </c:extLst>
        </c:ser>
        <c:ser>
          <c:idx val="1"/>
          <c:order val="1"/>
          <c:tx>
            <c:v>10/14/1999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7163830525544963"/>
                  <c:y val="0.81372414338025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FF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Load'!$H$31:$H$35</c:f>
              <c:numCache>
                <c:formatCode>General</c:formatCode>
                <c:ptCount val="5"/>
                <c:pt idx="0">
                  <c:v>27.6</c:v>
                </c:pt>
                <c:pt idx="2">
                  <c:v>62.4</c:v>
                </c:pt>
                <c:pt idx="3">
                  <c:v>54</c:v>
                </c:pt>
                <c:pt idx="4">
                  <c:v>48.4</c:v>
                </c:pt>
              </c:numCache>
            </c:numRef>
          </c:xVal>
          <c:yVal>
            <c:numRef>
              <c:f>'Dummy Load'!$I$31:$I$35</c:f>
              <c:numCache>
                <c:formatCode>General</c:formatCode>
                <c:ptCount val="5"/>
                <c:pt idx="0">
                  <c:v>2520</c:v>
                </c:pt>
                <c:pt idx="1">
                  <c:v>4640</c:v>
                </c:pt>
                <c:pt idx="2">
                  <c:v>6400</c:v>
                </c:pt>
                <c:pt idx="3">
                  <c:v>4880</c:v>
                </c:pt>
                <c:pt idx="4">
                  <c:v>4760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6C-40C1-8CAB-7F5A7D3D1445}"/>
            </c:ext>
          </c:extLst>
        </c:ser>
        <c:ser>
          <c:idx val="2"/>
          <c:order val="2"/>
          <c:tx>
            <c:v>7/15/1990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9744560643456164"/>
                  <c:y val="7.1235110194904749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Load'!$H$37:$H$40</c:f>
              <c:numCache>
                <c:formatCode>General</c:formatCode>
                <c:ptCount val="4"/>
                <c:pt idx="0">
                  <c:v>59.99</c:v>
                </c:pt>
                <c:pt idx="1">
                  <c:v>57.15</c:v>
                </c:pt>
                <c:pt idx="2">
                  <c:v>57.26</c:v>
                </c:pt>
                <c:pt idx="3">
                  <c:v>64.760000000000005</c:v>
                </c:pt>
              </c:numCache>
            </c:numRef>
          </c:xVal>
          <c:yVal>
            <c:numRef>
              <c:f>'Dummy Load'!$I$37:$I$40</c:f>
              <c:numCache>
                <c:formatCode>General</c:formatCode>
                <c:ptCount val="4"/>
                <c:pt idx="0">
                  <c:v>5280</c:v>
                </c:pt>
                <c:pt idx="1">
                  <c:v>5030</c:v>
                </c:pt>
                <c:pt idx="2">
                  <c:v>5040</c:v>
                </c:pt>
                <c:pt idx="3">
                  <c:v>5700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6C-40C1-8CAB-7F5A7D3D1445}"/>
            </c:ext>
          </c:extLst>
        </c:ser>
        <c:ser>
          <c:idx val="3"/>
          <c:order val="3"/>
          <c:tx>
            <c:v>1/10/2003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993366"/>
              </a:solidFill>
              <a:ln>
                <a:solidFill>
                  <a:srgbClr val="993366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9933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0387767931498502"/>
                  <c:y val="0.3178181839464980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9933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Load'!$B$71:$B$79</c:f>
              <c:numCache>
                <c:formatCode>General</c:formatCode>
                <c:ptCount val="9"/>
                <c:pt idx="0">
                  <c:v>27.8</c:v>
                </c:pt>
                <c:pt idx="1">
                  <c:v>33</c:v>
                </c:pt>
                <c:pt idx="2">
                  <c:v>37.799999999999997</c:v>
                </c:pt>
                <c:pt idx="4">
                  <c:v>47.8</c:v>
                </c:pt>
                <c:pt idx="5">
                  <c:v>52.6</c:v>
                </c:pt>
                <c:pt idx="6">
                  <c:v>58.8</c:v>
                </c:pt>
                <c:pt idx="7">
                  <c:v>61</c:v>
                </c:pt>
                <c:pt idx="8">
                  <c:v>61.4</c:v>
                </c:pt>
              </c:numCache>
            </c:numRef>
          </c:xVal>
          <c:yVal>
            <c:numRef>
              <c:f>'Dummy Load'!$C$71:$C$79</c:f>
              <c:numCache>
                <c:formatCode>General</c:formatCode>
                <c:ptCount val="9"/>
                <c:pt idx="0">
                  <c:v>2700</c:v>
                </c:pt>
                <c:pt idx="1">
                  <c:v>3200</c:v>
                </c:pt>
                <c:pt idx="2">
                  <c:v>3700</c:v>
                </c:pt>
                <c:pt idx="4">
                  <c:v>4640</c:v>
                </c:pt>
                <c:pt idx="5">
                  <c:v>5040</c:v>
                </c:pt>
                <c:pt idx="6">
                  <c:v>5640</c:v>
                </c:pt>
                <c:pt idx="7">
                  <c:v>5880</c:v>
                </c:pt>
                <c:pt idx="8">
                  <c:v>5880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6C-40C1-8CAB-7F5A7D3D1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41295"/>
        <c:axId val="1"/>
      </c:scatterChart>
      <c:valAx>
        <c:axId val="94734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Pearson (KA)</a:t>
                </a:r>
              </a:p>
            </c:rich>
          </c:tx>
          <c:layout>
            <c:manualLayout>
              <c:xMode val="edge"/>
              <c:yMode val="edge"/>
              <c:x val="0.35614075627174596"/>
              <c:y val="0.835642638824844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Bdot (mV)</a:t>
                </a:r>
              </a:p>
            </c:rich>
          </c:tx>
          <c:layout>
            <c:manualLayout>
              <c:xMode val="edge"/>
              <c:yMode val="edge"/>
              <c:x val="4.3872412004490442E-2"/>
              <c:y val="0.394532918002549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47341295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71200523076695"/>
          <c:y val="0.31507837201592481"/>
          <c:w val="0.27355739249858746"/>
          <c:h val="0.59453918893439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collection lens cooling water system pump flow vs total head</a:t>
            </a:r>
          </a:p>
        </c:rich>
      </c:tx>
      <c:layout>
        <c:manualLayout>
          <c:xMode val="edge"/>
          <c:yMode val="edge"/>
          <c:x val="0.24401659943938928"/>
          <c:y val="6.37777991443093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65086044399126"/>
          <c:y val="0.25000897264569261"/>
          <c:w val="0.83771770075397478"/>
          <c:h val="0.4770579375994338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'Dummy Load'!$A$116:$A$129</c:f>
              <c:numCache>
                <c:formatCode>General</c:formatCode>
                <c:ptCount val="14"/>
                <c:pt idx="0">
                  <c:v>8.6</c:v>
                </c:pt>
                <c:pt idx="1">
                  <c:v>17.2</c:v>
                </c:pt>
                <c:pt idx="2">
                  <c:v>26</c:v>
                </c:pt>
                <c:pt idx="3">
                  <c:v>43.3</c:v>
                </c:pt>
                <c:pt idx="4">
                  <c:v>54.1</c:v>
                </c:pt>
                <c:pt idx="5">
                  <c:v>64.900000000000006</c:v>
                </c:pt>
                <c:pt idx="6">
                  <c:v>75.8</c:v>
                </c:pt>
                <c:pt idx="7">
                  <c:v>86.6</c:v>
                </c:pt>
                <c:pt idx="8">
                  <c:v>97.4</c:v>
                </c:pt>
                <c:pt idx="9">
                  <c:v>108.3</c:v>
                </c:pt>
                <c:pt idx="10">
                  <c:v>119.1</c:v>
                </c:pt>
                <c:pt idx="11">
                  <c:v>130</c:v>
                </c:pt>
                <c:pt idx="12">
                  <c:v>140.1</c:v>
                </c:pt>
                <c:pt idx="13">
                  <c:v>151.6</c:v>
                </c:pt>
              </c:numCache>
            </c:numRef>
          </c:xVal>
          <c:yVal>
            <c:numRef>
              <c:f>'Dummy Load'!$B$116:$B$129</c:f>
              <c:numCache>
                <c:formatCode>General</c:formatCode>
                <c:ptCount val="14"/>
                <c:pt idx="0">
                  <c:v>26.5</c:v>
                </c:pt>
                <c:pt idx="1">
                  <c:v>25.5</c:v>
                </c:pt>
                <c:pt idx="2">
                  <c:v>24.6</c:v>
                </c:pt>
                <c:pt idx="3">
                  <c:v>23</c:v>
                </c:pt>
                <c:pt idx="4">
                  <c:v>22</c:v>
                </c:pt>
                <c:pt idx="5">
                  <c:v>21.3</c:v>
                </c:pt>
                <c:pt idx="6">
                  <c:v>20.5</c:v>
                </c:pt>
                <c:pt idx="7">
                  <c:v>19.8</c:v>
                </c:pt>
                <c:pt idx="8">
                  <c:v>19.2</c:v>
                </c:pt>
                <c:pt idx="9">
                  <c:v>18.5</c:v>
                </c:pt>
                <c:pt idx="10">
                  <c:v>18</c:v>
                </c:pt>
                <c:pt idx="11">
                  <c:v>17.399999999999999</c:v>
                </c:pt>
                <c:pt idx="12">
                  <c:v>16.8</c:v>
                </c:pt>
                <c:pt idx="13">
                  <c:v>16.3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E9-440C-8BB6-2B8FCA5C4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41711"/>
        <c:axId val="1"/>
      </c:scatterChart>
      <c:valAx>
        <c:axId val="947341711"/>
        <c:scaling>
          <c:orientation val="minMax"/>
          <c:max val="150"/>
        </c:scaling>
        <c:delete val="0"/>
        <c:axPos val="b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psi</a:t>
                </a:r>
              </a:p>
            </c:rich>
          </c:tx>
          <c:layout>
            <c:manualLayout>
              <c:xMode val="edge"/>
              <c:yMode val="edge"/>
              <c:x val="0.52071399344655389"/>
              <c:y val="0.839315836739110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  <c:majorUnit val="25"/>
        <c:minorUnit val="5"/>
      </c:valAx>
      <c:valAx>
        <c:axId val="1"/>
        <c:scaling>
          <c:orientation val="minMax"/>
          <c:min val="15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gpm</a:t>
                </a:r>
              </a:p>
            </c:rich>
          </c:tx>
          <c:layout>
            <c:manualLayout>
              <c:xMode val="edge"/>
              <c:yMode val="edge"/>
              <c:x val="4.0306313300256261E-2"/>
              <c:y val="0.436240146147075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47341711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bdot vs Pearson
dummy load on test station power supply</a:t>
            </a:r>
          </a:p>
        </c:rich>
      </c:tx>
      <c:layout>
        <c:manualLayout>
          <c:xMode val="edge"/>
          <c:yMode val="edge"/>
          <c:x val="0.2448534975820898"/>
          <c:y val="4.08732669275796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51042211893182"/>
          <c:y val="0.30791194418776691"/>
          <c:w val="0.53867769468059756"/>
          <c:h val="0.41145755373763543"/>
        </c:manualLayout>
      </c:layout>
      <c:scatterChart>
        <c:scatterStyle val="lineMarker"/>
        <c:varyColors val="0"/>
        <c:ser>
          <c:idx val="0"/>
          <c:order val="0"/>
          <c:tx>
            <c:v>12/31/2002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47037645588138305"/>
                  <c:y val="0.5558764302150835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Load'!$H$11:$H$24</c:f>
              <c:numCache>
                <c:formatCode>General</c:formatCode>
                <c:ptCount val="14"/>
                <c:pt idx="0">
                  <c:v>19.600000000000001</c:v>
                </c:pt>
                <c:pt idx="1">
                  <c:v>22.4</c:v>
                </c:pt>
                <c:pt idx="2">
                  <c:v>24.4</c:v>
                </c:pt>
                <c:pt idx="3">
                  <c:v>26.8</c:v>
                </c:pt>
                <c:pt idx="4">
                  <c:v>28.8</c:v>
                </c:pt>
                <c:pt idx="5">
                  <c:v>30.4</c:v>
                </c:pt>
                <c:pt idx="6">
                  <c:v>32.4</c:v>
                </c:pt>
                <c:pt idx="7">
                  <c:v>34.4</c:v>
                </c:pt>
                <c:pt idx="9">
                  <c:v>38.799999999999997</c:v>
                </c:pt>
                <c:pt idx="10">
                  <c:v>39.6</c:v>
                </c:pt>
                <c:pt idx="11">
                  <c:v>41.6</c:v>
                </c:pt>
                <c:pt idx="12">
                  <c:v>44</c:v>
                </c:pt>
                <c:pt idx="13">
                  <c:v>46.4</c:v>
                </c:pt>
              </c:numCache>
            </c:numRef>
          </c:xVal>
          <c:yVal>
            <c:numRef>
              <c:f>'Dummy Load'!$I$11:$I$24</c:f>
              <c:numCache>
                <c:formatCode>General</c:formatCode>
                <c:ptCount val="14"/>
                <c:pt idx="0">
                  <c:v>1440</c:v>
                </c:pt>
                <c:pt idx="1">
                  <c:v>1640</c:v>
                </c:pt>
                <c:pt idx="2">
                  <c:v>1800</c:v>
                </c:pt>
                <c:pt idx="3">
                  <c:v>2060</c:v>
                </c:pt>
                <c:pt idx="4">
                  <c:v>2080</c:v>
                </c:pt>
                <c:pt idx="5">
                  <c:v>2200</c:v>
                </c:pt>
                <c:pt idx="6">
                  <c:v>2360</c:v>
                </c:pt>
                <c:pt idx="7">
                  <c:v>2400</c:v>
                </c:pt>
                <c:pt idx="9">
                  <c:v>2640</c:v>
                </c:pt>
                <c:pt idx="10">
                  <c:v>2800</c:v>
                </c:pt>
                <c:pt idx="11">
                  <c:v>2920</c:v>
                </c:pt>
                <c:pt idx="12">
                  <c:v>3080</c:v>
                </c:pt>
                <c:pt idx="13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7-4F82-876E-D02CB6F61AA6}"/>
            </c:ext>
          </c:extLst>
        </c:ser>
        <c:ser>
          <c:idx val="1"/>
          <c:order val="1"/>
          <c:tx>
            <c:v>10/14/1999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6162324774218459"/>
                  <c:y val="0.7575178803911433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FF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Load'!$H$31:$H$35</c:f>
              <c:numCache>
                <c:formatCode>General</c:formatCode>
                <c:ptCount val="5"/>
                <c:pt idx="0">
                  <c:v>27.6</c:v>
                </c:pt>
                <c:pt idx="2">
                  <c:v>62.4</c:v>
                </c:pt>
                <c:pt idx="3">
                  <c:v>54</c:v>
                </c:pt>
                <c:pt idx="4">
                  <c:v>48.4</c:v>
                </c:pt>
              </c:numCache>
            </c:numRef>
          </c:xVal>
          <c:yVal>
            <c:numRef>
              <c:f>'Dummy Load'!$I$31:$I$35</c:f>
              <c:numCache>
                <c:formatCode>General</c:formatCode>
                <c:ptCount val="5"/>
                <c:pt idx="0">
                  <c:v>2520</c:v>
                </c:pt>
                <c:pt idx="1">
                  <c:v>4640</c:v>
                </c:pt>
                <c:pt idx="2">
                  <c:v>6400</c:v>
                </c:pt>
                <c:pt idx="3">
                  <c:v>4880</c:v>
                </c:pt>
                <c:pt idx="4">
                  <c:v>4760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07-4F82-876E-D02CB6F61AA6}"/>
            </c:ext>
          </c:extLst>
        </c:ser>
        <c:ser>
          <c:idx val="3"/>
          <c:order val="2"/>
          <c:tx>
            <c:v>1/10/2003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993366"/>
              </a:solidFill>
              <a:ln>
                <a:solidFill>
                  <a:srgbClr val="993366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9933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0232631115993735"/>
                  <c:y val="0.3297110198824760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9933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Load'!$B$71:$B$79</c:f>
              <c:numCache>
                <c:formatCode>General</c:formatCode>
                <c:ptCount val="9"/>
                <c:pt idx="0">
                  <c:v>27.8</c:v>
                </c:pt>
                <c:pt idx="1">
                  <c:v>33</c:v>
                </c:pt>
                <c:pt idx="2">
                  <c:v>37.799999999999997</c:v>
                </c:pt>
                <c:pt idx="4">
                  <c:v>47.8</c:v>
                </c:pt>
                <c:pt idx="5">
                  <c:v>52.6</c:v>
                </c:pt>
                <c:pt idx="6">
                  <c:v>58.8</c:v>
                </c:pt>
                <c:pt idx="7">
                  <c:v>61</c:v>
                </c:pt>
                <c:pt idx="8">
                  <c:v>61.4</c:v>
                </c:pt>
              </c:numCache>
            </c:numRef>
          </c:xVal>
          <c:yVal>
            <c:numRef>
              <c:f>'Dummy Load'!$C$71:$C$79</c:f>
              <c:numCache>
                <c:formatCode>General</c:formatCode>
                <c:ptCount val="9"/>
                <c:pt idx="0">
                  <c:v>2700</c:v>
                </c:pt>
                <c:pt idx="1">
                  <c:v>3200</c:v>
                </c:pt>
                <c:pt idx="2">
                  <c:v>3700</c:v>
                </c:pt>
                <c:pt idx="4">
                  <c:v>4640</c:v>
                </c:pt>
                <c:pt idx="5">
                  <c:v>5040</c:v>
                </c:pt>
                <c:pt idx="6">
                  <c:v>5640</c:v>
                </c:pt>
                <c:pt idx="7">
                  <c:v>5880</c:v>
                </c:pt>
                <c:pt idx="8">
                  <c:v>5880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07-4F82-876E-D02CB6F61AA6}"/>
            </c:ext>
          </c:extLst>
        </c:ser>
        <c:ser>
          <c:idx val="2"/>
          <c:order val="3"/>
          <c:tx>
            <c:v>1/17/2003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'Dummy Load'!$D$90:$D$95</c:f>
              <c:numCache>
                <c:formatCode>0.00</c:formatCode>
                <c:ptCount val="6"/>
                <c:pt idx="0">
                  <c:v>27</c:v>
                </c:pt>
                <c:pt idx="1">
                  <c:v>32.4</c:v>
                </c:pt>
                <c:pt idx="2">
                  <c:v>37.4</c:v>
                </c:pt>
                <c:pt idx="3">
                  <c:v>42.2</c:v>
                </c:pt>
                <c:pt idx="4">
                  <c:v>47</c:v>
                </c:pt>
                <c:pt idx="5">
                  <c:v>51.8</c:v>
                </c:pt>
              </c:numCache>
            </c:numRef>
          </c:xVal>
          <c:yVal>
            <c:numRef>
              <c:f>'Dummy Load'!$C$90:$C$95</c:f>
              <c:numCache>
                <c:formatCode>General</c:formatCode>
                <c:ptCount val="6"/>
                <c:pt idx="0">
                  <c:v>2440</c:v>
                </c:pt>
                <c:pt idx="1">
                  <c:v>2880</c:v>
                </c:pt>
                <c:pt idx="2">
                  <c:v>3240</c:v>
                </c:pt>
                <c:pt idx="3">
                  <c:v>3400</c:v>
                </c:pt>
                <c:pt idx="4">
                  <c:v>4000</c:v>
                </c:pt>
                <c:pt idx="5">
                  <c:v>4400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07-4F82-876E-D02CB6F61AA6}"/>
            </c:ext>
          </c:extLst>
        </c:ser>
        <c:ser>
          <c:idx val="4"/>
          <c:order val="4"/>
          <c:tx>
            <c:v>afternoon 1/17/03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'Dummy Load'!$D$105:$D$110</c:f>
              <c:numCache>
                <c:formatCode>0.00</c:formatCode>
                <c:ptCount val="6"/>
                <c:pt idx="0">
                  <c:v>27.2</c:v>
                </c:pt>
                <c:pt idx="1">
                  <c:v>32.4</c:v>
                </c:pt>
                <c:pt idx="2">
                  <c:v>37.6</c:v>
                </c:pt>
                <c:pt idx="3">
                  <c:v>42.4</c:v>
                </c:pt>
                <c:pt idx="4">
                  <c:v>47</c:v>
                </c:pt>
                <c:pt idx="5">
                  <c:v>52</c:v>
                </c:pt>
              </c:numCache>
            </c:numRef>
          </c:xVal>
          <c:yVal>
            <c:numRef>
              <c:f>'Dummy Load'!$C$105:$C$110</c:f>
              <c:numCache>
                <c:formatCode>General</c:formatCode>
                <c:ptCount val="6"/>
                <c:pt idx="0">
                  <c:v>2400</c:v>
                </c:pt>
                <c:pt idx="1">
                  <c:v>2840</c:v>
                </c:pt>
                <c:pt idx="2">
                  <c:v>3240</c:v>
                </c:pt>
                <c:pt idx="3">
                  <c:v>3600</c:v>
                </c:pt>
                <c:pt idx="4">
                  <c:v>4040</c:v>
                </c:pt>
                <c:pt idx="5">
                  <c:v>4440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07-4F82-876E-D02CB6F61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44623"/>
        <c:axId val="1"/>
      </c:scatterChart>
      <c:valAx>
        <c:axId val="947344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Pearson (KA)</a:t>
                </a:r>
              </a:p>
            </c:rich>
          </c:tx>
          <c:layout>
            <c:manualLayout>
              <c:xMode val="edge"/>
              <c:yMode val="edge"/>
              <c:x val="0.35568192280345678"/>
              <c:y val="0.8365395297844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Bdot (mV)</a:t>
                </a:r>
              </a:p>
            </c:rich>
          </c:tx>
          <c:layout>
            <c:manualLayout>
              <c:xMode val="edge"/>
              <c:yMode val="edge"/>
              <c:x val="4.3815889041005543E-2"/>
              <c:y val="0.397833131428442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47344623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00751429880604"/>
          <c:y val="0.19346679679054379"/>
          <c:w val="0.27320495519685811"/>
          <c:h val="0.591299928218986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Test Station Supply Parameters</a:t>
            </a:r>
          </a:p>
        </c:rich>
      </c:tx>
      <c:layout>
        <c:manualLayout>
          <c:xMode val="edge"/>
          <c:yMode val="edge"/>
          <c:x val="0.28480327876653605"/>
          <c:y val="1.92314026832437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82004306975665"/>
          <c:y val="0.24039253354054668"/>
          <c:w val="0.38532208303707816"/>
          <c:h val="0.49761254442893166"/>
        </c:manualLayout>
      </c:layout>
      <c:scatterChart>
        <c:scatterStyle val="lineMarker"/>
        <c:varyColors val="0"/>
        <c:ser>
          <c:idx val="1"/>
          <c:order val="1"/>
          <c:tx>
            <c:v>Bdot Dec-02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99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1.9330539282796565E-2"/>
                  <c:y val="0.1226001921056788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99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Load'!$G$11:$G$24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'Dummy Load'!$I$11:$I$24</c:f>
              <c:numCache>
                <c:formatCode>General</c:formatCode>
                <c:ptCount val="14"/>
                <c:pt idx="0">
                  <c:v>1440</c:v>
                </c:pt>
                <c:pt idx="1">
                  <c:v>1640</c:v>
                </c:pt>
                <c:pt idx="2">
                  <c:v>1800</c:v>
                </c:pt>
                <c:pt idx="3">
                  <c:v>2060</c:v>
                </c:pt>
                <c:pt idx="4">
                  <c:v>2080</c:v>
                </c:pt>
                <c:pt idx="5">
                  <c:v>2200</c:v>
                </c:pt>
                <c:pt idx="6">
                  <c:v>2360</c:v>
                </c:pt>
                <c:pt idx="7">
                  <c:v>2400</c:v>
                </c:pt>
                <c:pt idx="9">
                  <c:v>2640</c:v>
                </c:pt>
                <c:pt idx="10">
                  <c:v>2800</c:v>
                </c:pt>
                <c:pt idx="11">
                  <c:v>2920</c:v>
                </c:pt>
                <c:pt idx="12">
                  <c:v>3080</c:v>
                </c:pt>
                <c:pt idx="13">
                  <c:v>3200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B-41D1-B280-08713771F759}"/>
            </c:ext>
          </c:extLst>
        </c:ser>
        <c:ser>
          <c:idx val="3"/>
          <c:order val="2"/>
          <c:tx>
            <c:v>cap volts Dec-02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1934715539780096"/>
                  <c:y val="0.1250041174410842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Load'!$G$11:$G$24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'Dummy Load'!$K$11:$K$24</c:f>
              <c:numCache>
                <c:formatCode>General</c:formatCode>
                <c:ptCount val="14"/>
                <c:pt idx="0">
                  <c:v>1152.5875000000001</c:v>
                </c:pt>
                <c:pt idx="1">
                  <c:v>1255.45</c:v>
                </c:pt>
                <c:pt idx="2">
                  <c:v>1350.4</c:v>
                </c:pt>
                <c:pt idx="3">
                  <c:v>1450.625</c:v>
                </c:pt>
                <c:pt idx="4">
                  <c:v>1542.9375</c:v>
                </c:pt>
                <c:pt idx="5">
                  <c:v>1688</c:v>
                </c:pt>
                <c:pt idx="6">
                  <c:v>1804.05</c:v>
                </c:pt>
                <c:pt idx="7">
                  <c:v>1893.7249999999999</c:v>
                </c:pt>
                <c:pt idx="9">
                  <c:v>2110</c:v>
                </c:pt>
                <c:pt idx="10">
                  <c:v>2199.6750000000002</c:v>
                </c:pt>
                <c:pt idx="11">
                  <c:v>2262.9749999999999</c:v>
                </c:pt>
                <c:pt idx="12">
                  <c:v>2363.1999999999998</c:v>
                </c:pt>
                <c:pt idx="13">
                  <c:v>2452.875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2B-41D1-B280-08713771F759}"/>
            </c:ext>
          </c:extLst>
        </c:ser>
        <c:ser>
          <c:idx val="4"/>
          <c:order val="3"/>
          <c:tx>
            <c:v>capvolts Jan-03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9933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9512951583236535"/>
                  <c:y val="0.8630091954105626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933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Load'!$A$71:$A$79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6.75</c:v>
                </c:pt>
              </c:numCache>
            </c:numRef>
          </c:xVal>
          <c:yVal>
            <c:numRef>
              <c:f>'Dummy Load'!$E$71:$E$79</c:f>
              <c:numCache>
                <c:formatCode>0</c:formatCode>
                <c:ptCount val="9"/>
                <c:pt idx="0">
                  <c:v>1076</c:v>
                </c:pt>
                <c:pt idx="1">
                  <c:v>1255</c:v>
                </c:pt>
                <c:pt idx="2">
                  <c:v>1466</c:v>
                </c:pt>
                <c:pt idx="4">
                  <c:v>1867</c:v>
                </c:pt>
                <c:pt idx="5">
                  <c:v>2131</c:v>
                </c:pt>
                <c:pt idx="6">
                  <c:v>2342</c:v>
                </c:pt>
                <c:pt idx="7">
                  <c:v>2448</c:v>
                </c:pt>
                <c:pt idx="8">
                  <c:v>2490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2B-41D1-B280-08713771F759}"/>
            </c:ext>
          </c:extLst>
        </c:ser>
        <c:ser>
          <c:idx val="6"/>
          <c:order val="5"/>
          <c:tx>
            <c:v>Bdot Jan-03</c:v>
          </c:tx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1.9330539282796565E-2"/>
                  <c:y val="0.8630091954105626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Load'!$A$71:$A$79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6.75</c:v>
                </c:pt>
              </c:numCache>
            </c:numRef>
          </c:xVal>
          <c:yVal>
            <c:numRef>
              <c:f>'Dummy Load'!$C$71:$C$79</c:f>
              <c:numCache>
                <c:formatCode>General</c:formatCode>
                <c:ptCount val="9"/>
                <c:pt idx="0">
                  <c:v>2700</c:v>
                </c:pt>
                <c:pt idx="1">
                  <c:v>3200</c:v>
                </c:pt>
                <c:pt idx="2">
                  <c:v>3700</c:v>
                </c:pt>
                <c:pt idx="4">
                  <c:v>4640</c:v>
                </c:pt>
                <c:pt idx="5">
                  <c:v>5040</c:v>
                </c:pt>
                <c:pt idx="6">
                  <c:v>5640</c:v>
                </c:pt>
                <c:pt idx="7">
                  <c:v>5880</c:v>
                </c:pt>
                <c:pt idx="8">
                  <c:v>5880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2B-41D1-B280-08713771F759}"/>
            </c:ext>
          </c:extLst>
        </c:ser>
        <c:ser>
          <c:idx val="2"/>
          <c:order val="6"/>
          <c:tx>
            <c:v>cap volts 1.17-03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'Dummy Load'!$A$90:$A$95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'Dummy Load'!$E$90:$E$95</c:f>
              <c:numCache>
                <c:formatCode>General</c:formatCode>
                <c:ptCount val="6"/>
                <c:pt idx="0">
                  <c:v>1240</c:v>
                </c:pt>
                <c:pt idx="1">
                  <c:v>1360</c:v>
                </c:pt>
                <c:pt idx="2">
                  <c:v>1540</c:v>
                </c:pt>
                <c:pt idx="3">
                  <c:v>1860</c:v>
                </c:pt>
                <c:pt idx="4">
                  <c:v>1960</c:v>
                </c:pt>
                <c:pt idx="5">
                  <c:v>2140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2B-41D1-B280-08713771F759}"/>
            </c:ext>
          </c:extLst>
        </c:ser>
        <c:ser>
          <c:idx val="8"/>
          <c:order val="8"/>
          <c:spPr>
            <a:ln w="19050">
              <a:noFill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'Dummy Load'!$A$134:$A$138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Load'!$E$134:$E$138</c:f>
              <c:numCache>
                <c:formatCode>0.00</c:formatCode>
                <c:ptCount val="5"/>
                <c:pt idx="0">
                  <c:v>1140</c:v>
                </c:pt>
                <c:pt idx="1">
                  <c:v>1350</c:v>
                </c:pt>
                <c:pt idx="2">
                  <c:v>1560</c:v>
                </c:pt>
                <c:pt idx="3">
                  <c:v>1760</c:v>
                </c:pt>
                <c:pt idx="4">
                  <c:v>1950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2B-41D1-B280-08713771F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46287"/>
        <c:axId val="1"/>
      </c:scatterChart>
      <c:scatterChart>
        <c:scatterStyle val="lineMarker"/>
        <c:varyColors val="0"/>
        <c:ser>
          <c:idx val="0"/>
          <c:order val="0"/>
          <c:tx>
            <c:v>Pearson Dec-02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7320495519685811"/>
                  <c:y val="0.1250041174410842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Load'!$G$11:$G$24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'Dummy Load'!$H$11:$H$24</c:f>
              <c:numCache>
                <c:formatCode>General</c:formatCode>
                <c:ptCount val="14"/>
                <c:pt idx="0">
                  <c:v>19.600000000000001</c:v>
                </c:pt>
                <c:pt idx="1">
                  <c:v>22.4</c:v>
                </c:pt>
                <c:pt idx="2">
                  <c:v>24.4</c:v>
                </c:pt>
                <c:pt idx="3">
                  <c:v>26.8</c:v>
                </c:pt>
                <c:pt idx="4">
                  <c:v>28.8</c:v>
                </c:pt>
                <c:pt idx="5">
                  <c:v>30.4</c:v>
                </c:pt>
                <c:pt idx="6">
                  <c:v>32.4</c:v>
                </c:pt>
                <c:pt idx="7">
                  <c:v>34.4</c:v>
                </c:pt>
                <c:pt idx="9">
                  <c:v>38.799999999999997</c:v>
                </c:pt>
                <c:pt idx="10">
                  <c:v>39.6</c:v>
                </c:pt>
                <c:pt idx="11">
                  <c:v>41.6</c:v>
                </c:pt>
                <c:pt idx="12">
                  <c:v>44</c:v>
                </c:pt>
                <c:pt idx="13">
                  <c:v>46.4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2B-41D1-B280-08713771F759}"/>
            </c:ext>
          </c:extLst>
        </c:ser>
        <c:ser>
          <c:idx val="5"/>
          <c:order val="4"/>
          <c:tx>
            <c:v>Pearson Jan-03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9933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0517142659041681"/>
                  <c:y val="0.8630091954105626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9933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Load'!$A$71:$A$79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6.75</c:v>
                </c:pt>
              </c:numCache>
            </c:numRef>
          </c:xVal>
          <c:yVal>
            <c:numRef>
              <c:f>'Dummy Load'!$B$71:$B$79</c:f>
              <c:numCache>
                <c:formatCode>General</c:formatCode>
                <c:ptCount val="9"/>
                <c:pt idx="0">
                  <c:v>27.8</c:v>
                </c:pt>
                <c:pt idx="1">
                  <c:v>33</c:v>
                </c:pt>
                <c:pt idx="2">
                  <c:v>37.799999999999997</c:v>
                </c:pt>
                <c:pt idx="4">
                  <c:v>47.8</c:v>
                </c:pt>
                <c:pt idx="5">
                  <c:v>52.6</c:v>
                </c:pt>
                <c:pt idx="6">
                  <c:v>58.8</c:v>
                </c:pt>
                <c:pt idx="7">
                  <c:v>61</c:v>
                </c:pt>
                <c:pt idx="8">
                  <c:v>61.4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2B-41D1-B280-08713771F759}"/>
            </c:ext>
          </c:extLst>
        </c:ser>
        <c:ser>
          <c:idx val="7"/>
          <c:order val="7"/>
          <c:tx>
            <c:v>Pearson 1/17/03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'Dummy Load'!$A$90:$A$95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'Dummy Load'!$D$90:$D$95</c:f>
              <c:numCache>
                <c:formatCode>0.00</c:formatCode>
                <c:ptCount val="6"/>
                <c:pt idx="0">
                  <c:v>27</c:v>
                </c:pt>
                <c:pt idx="1">
                  <c:v>32.4</c:v>
                </c:pt>
                <c:pt idx="2">
                  <c:v>37.4</c:v>
                </c:pt>
                <c:pt idx="3">
                  <c:v>42.2</c:v>
                </c:pt>
                <c:pt idx="4">
                  <c:v>47</c:v>
                </c:pt>
                <c:pt idx="5">
                  <c:v>51.8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2B-41D1-B280-08713771F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47346287"/>
        <c:scaling>
          <c:orientation val="minMax"/>
          <c:max val="7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potentiometer</a:t>
                </a:r>
              </a:p>
            </c:rich>
          </c:tx>
          <c:layout>
            <c:manualLayout>
              <c:xMode val="edge"/>
              <c:yMode val="edge"/>
              <c:x val="0.27964846829112361"/>
              <c:y val="0.84618171806272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Bdot (mv)</a:t>
                </a:r>
              </a:p>
            </c:rich>
          </c:tx>
          <c:layout>
            <c:manualLayout>
              <c:xMode val="edge"/>
              <c:yMode val="edge"/>
              <c:x val="4.639329427871175E-2"/>
              <c:y val="0.377416277658658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47346287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KA</a:t>
                </a:r>
              </a:p>
            </c:rich>
          </c:tx>
          <c:layout>
            <c:manualLayout>
              <c:xMode val="edge"/>
              <c:yMode val="edge"/>
              <c:x val="0.60569023086095897"/>
              <c:y val="0.44953403772082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33996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32200894297003"/>
          <c:y val="1.9231402683243734E-2"/>
          <c:w val="0.29511289971736088"/>
          <c:h val="0.90387592611245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Capacitor Voltage vs Pot Setting</a:t>
            </a:r>
          </a:p>
        </c:rich>
      </c:tx>
      <c:layout>
        <c:manualLayout>
          <c:xMode val="edge"/>
          <c:yMode val="edge"/>
          <c:x val="0.29975138796426282"/>
          <c:y val="4.16680972272556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03505708866049"/>
          <c:y val="0.24167496391808291"/>
          <c:w val="0.5206888334034393"/>
          <c:h val="0.49446142043010072"/>
        </c:manualLayout>
      </c:layout>
      <c:scatterChart>
        <c:scatterStyle val="lineMarker"/>
        <c:varyColors val="0"/>
        <c:ser>
          <c:idx val="1"/>
          <c:order val="0"/>
          <c:tx>
            <c:v>Cap at BNC 1/17/03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'Dummy Load'!$A$105:$A$110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'Dummy Load'!$B$105:$B$110</c:f>
              <c:numCache>
                <c:formatCode>General</c:formatCode>
                <c:ptCount val="6"/>
                <c:pt idx="0">
                  <c:v>1.0760999999999998</c:v>
                </c:pt>
                <c:pt idx="1">
                  <c:v>1.2870999999999999</c:v>
                </c:pt>
                <c:pt idx="2">
                  <c:v>1.4981</c:v>
                </c:pt>
                <c:pt idx="3">
                  <c:v>1.6669</c:v>
                </c:pt>
                <c:pt idx="4">
                  <c:v>1.8779000000000001</c:v>
                </c:pt>
                <c:pt idx="5">
                  <c:v>2.0889000000000002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7-4EFF-B4FE-89C7717DA054}"/>
            </c:ext>
          </c:extLst>
        </c:ser>
        <c:ser>
          <c:idx val="7"/>
          <c:order val="1"/>
          <c:tx>
            <c:v>1000:1 1/17/03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'Dummy Load'!$A$98:$A$103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'Dummy Load'!$E$98:$E$103</c:f>
              <c:numCache>
                <c:formatCode>0.00</c:formatCode>
                <c:ptCount val="6"/>
                <c:pt idx="0">
                  <c:v>1.1200000000000001</c:v>
                </c:pt>
                <c:pt idx="1">
                  <c:v>1.32</c:v>
                </c:pt>
                <c:pt idx="2">
                  <c:v>1.54</c:v>
                </c:pt>
                <c:pt idx="3">
                  <c:v>1.74</c:v>
                </c:pt>
                <c:pt idx="4">
                  <c:v>1.94</c:v>
                </c:pt>
                <c:pt idx="5">
                  <c:v>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67-4EFF-B4FE-89C7717DA054}"/>
            </c:ext>
          </c:extLst>
        </c:ser>
        <c:ser>
          <c:idx val="0"/>
          <c:order val="2"/>
          <c:tx>
            <c:v>cap volts at BNC 12/23/02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'Dummy Load'!$G$11:$G$24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</c:numCache>
            </c:numRef>
          </c:xVal>
          <c:yVal>
            <c:numRef>
              <c:f>'Dummy Load'!$L$11:$L$24</c:f>
              <c:numCache>
                <c:formatCode>General</c:formatCode>
                <c:ptCount val="14"/>
                <c:pt idx="0">
                  <c:v>1.1525875000000001</c:v>
                </c:pt>
                <c:pt idx="1">
                  <c:v>1.25545</c:v>
                </c:pt>
                <c:pt idx="2">
                  <c:v>1.3504</c:v>
                </c:pt>
                <c:pt idx="3">
                  <c:v>1.4506250000000001</c:v>
                </c:pt>
                <c:pt idx="4">
                  <c:v>1.5429375000000001</c:v>
                </c:pt>
                <c:pt idx="5">
                  <c:v>1.6879999999999999</c:v>
                </c:pt>
                <c:pt idx="6">
                  <c:v>1.8040499999999999</c:v>
                </c:pt>
                <c:pt idx="7">
                  <c:v>1.8937249999999999</c:v>
                </c:pt>
                <c:pt idx="8">
                  <c:v>0</c:v>
                </c:pt>
                <c:pt idx="9">
                  <c:v>2.11</c:v>
                </c:pt>
                <c:pt idx="10">
                  <c:v>2.199675</c:v>
                </c:pt>
                <c:pt idx="11">
                  <c:v>2.2629750000000004</c:v>
                </c:pt>
                <c:pt idx="12">
                  <c:v>2.3632000000000004</c:v>
                </c:pt>
                <c:pt idx="13">
                  <c:v>2.4528750000000001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67-4EFF-B4FE-89C7717DA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47119"/>
        <c:axId val="1"/>
      </c:scatterChart>
      <c:valAx>
        <c:axId val="947347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Potentiometer Setting</a:t>
                </a:r>
              </a:p>
            </c:rich>
          </c:tx>
          <c:layout>
            <c:manualLayout>
              <c:xMode val="edge"/>
              <c:yMode val="edge"/>
              <c:x val="0.26874262369209773"/>
              <c:y val="0.855584929732983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.5"/>
          <c:min val="1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KV</a:t>
                </a:r>
              </a:p>
            </c:rich>
          </c:tx>
          <c:layout>
            <c:manualLayout>
              <c:xMode val="edge"/>
              <c:yMode val="edge"/>
              <c:x val="2.8424700582818027E-2"/>
              <c:y val="0.450015450054361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47347119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573265476426492"/>
          <c:y val="0.37501287504530106"/>
          <c:w val="0.31008764272165118"/>
          <c:h val="0.227785598175664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487014362714492E-2"/>
          <c:y val="9.9726473486188627E-2"/>
          <c:w val="0.60647157770913263"/>
          <c:h val="0.72578711259392836"/>
        </c:manualLayout>
      </c:layout>
      <c:scatterChart>
        <c:scatterStyle val="lineMarker"/>
        <c:varyColors val="0"/>
        <c:ser>
          <c:idx val="0"/>
          <c:order val="0"/>
          <c:tx>
            <c:v>without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6518647996067157"/>
                  <c:y val="0.78396088879420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8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Load'!$D$83:$D$88</c:f>
              <c:numCache>
                <c:formatCode>0.00</c:formatCode>
                <c:ptCount val="6"/>
                <c:pt idx="0">
                  <c:v>27</c:v>
                </c:pt>
                <c:pt idx="1">
                  <c:v>32.4</c:v>
                </c:pt>
                <c:pt idx="2">
                  <c:v>37.4</c:v>
                </c:pt>
                <c:pt idx="3">
                  <c:v>42.2</c:v>
                </c:pt>
                <c:pt idx="4">
                  <c:v>47</c:v>
                </c:pt>
                <c:pt idx="5">
                  <c:v>51.8</c:v>
                </c:pt>
              </c:numCache>
            </c:numRef>
          </c:xVal>
          <c:yVal>
            <c:numRef>
              <c:f>'Dummy Load'!$C$83:$C$88</c:f>
              <c:numCache>
                <c:formatCode>0.00</c:formatCode>
                <c:ptCount val="6"/>
                <c:pt idx="0">
                  <c:v>2.44</c:v>
                </c:pt>
                <c:pt idx="1">
                  <c:v>2.88</c:v>
                </c:pt>
                <c:pt idx="2">
                  <c:v>3.24</c:v>
                </c:pt>
                <c:pt idx="3">
                  <c:v>3.4</c:v>
                </c:pt>
                <c:pt idx="4">
                  <c:v>4</c:v>
                </c:pt>
                <c:pt idx="5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0-4AC9-A593-E7EA046B8D68}"/>
            </c:ext>
          </c:extLst>
        </c:ser>
        <c:ser>
          <c:idx val="1"/>
          <c:order val="1"/>
          <c:tx>
            <c:v>with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1615260772035871"/>
                  <c:y val="2.4931618371547157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FF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'Dummy Load'!$D$98:$D$103</c:f>
              <c:numCache>
                <c:formatCode>0.00</c:formatCode>
                <c:ptCount val="6"/>
                <c:pt idx="0">
                  <c:v>27.2</c:v>
                </c:pt>
                <c:pt idx="1">
                  <c:v>32.4</c:v>
                </c:pt>
                <c:pt idx="2">
                  <c:v>37.6</c:v>
                </c:pt>
                <c:pt idx="3">
                  <c:v>42.4</c:v>
                </c:pt>
                <c:pt idx="4">
                  <c:v>47</c:v>
                </c:pt>
                <c:pt idx="5">
                  <c:v>52</c:v>
                </c:pt>
              </c:numCache>
            </c:numRef>
          </c:xVal>
          <c:yVal>
            <c:numRef>
              <c:f>'Dummy Load'!$C$98:$C$103</c:f>
              <c:numCache>
                <c:formatCode>0.00</c:formatCode>
                <c:ptCount val="6"/>
                <c:pt idx="0">
                  <c:v>2.4</c:v>
                </c:pt>
                <c:pt idx="1">
                  <c:v>2.84</c:v>
                </c:pt>
                <c:pt idx="2">
                  <c:v>3.24</c:v>
                </c:pt>
                <c:pt idx="3">
                  <c:v>3.6</c:v>
                </c:pt>
                <c:pt idx="4">
                  <c:v>4.04</c:v>
                </c:pt>
                <c:pt idx="5">
                  <c:v>4.4400000000000004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C0-4AC9-A593-E7EA046B8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7215"/>
        <c:axId val="1"/>
      </c:scatterChart>
      <c:valAx>
        <c:axId val="1526867215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721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486355948902673"/>
          <c:y val="0.31303031955386984"/>
          <c:w val="0.23097534555305263"/>
          <c:h val="0.3019496002776266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Pearson vs Pot Setting</a:t>
            </a:r>
          </a:p>
        </c:rich>
      </c:tx>
      <c:layout>
        <c:manualLayout>
          <c:xMode val="edge"/>
          <c:yMode val="edge"/>
          <c:x val="0.3569706254223099"/>
          <c:y val="4.10971789585988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48950378696008"/>
          <c:y val="0.23836363795987356"/>
          <c:w val="0.4909956977830327"/>
          <c:h val="0.50138558329490646"/>
        </c:manualLayout>
      </c:layout>
      <c:scatterChart>
        <c:scatterStyle val="lineMarker"/>
        <c:varyColors val="0"/>
        <c:ser>
          <c:idx val="1"/>
          <c:order val="0"/>
          <c:tx>
            <c:v>Pearson morning 1/17/03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'Dummy Load'!$A$90:$A$95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'Dummy Load'!$D$90:$D$95</c:f>
              <c:numCache>
                <c:formatCode>0.00</c:formatCode>
                <c:ptCount val="6"/>
                <c:pt idx="0">
                  <c:v>27</c:v>
                </c:pt>
                <c:pt idx="1">
                  <c:v>32.4</c:v>
                </c:pt>
                <c:pt idx="2">
                  <c:v>37.4</c:v>
                </c:pt>
                <c:pt idx="3">
                  <c:v>42.2</c:v>
                </c:pt>
                <c:pt idx="4">
                  <c:v>47</c:v>
                </c:pt>
                <c:pt idx="5">
                  <c:v>51.8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4-4295-85BD-00FD84AA0157}"/>
            </c:ext>
          </c:extLst>
        </c:ser>
        <c:ser>
          <c:idx val="7"/>
          <c:order val="1"/>
          <c:tx>
            <c:v>Pearson afternoon 1/17/03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'Dummy Load'!$A$105:$A$110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'Dummy Load'!$D$105:$D$110</c:f>
              <c:numCache>
                <c:formatCode>0.00</c:formatCode>
                <c:ptCount val="6"/>
                <c:pt idx="0">
                  <c:v>27.2</c:v>
                </c:pt>
                <c:pt idx="1">
                  <c:v>32.4</c:v>
                </c:pt>
                <c:pt idx="2">
                  <c:v>37.6</c:v>
                </c:pt>
                <c:pt idx="3">
                  <c:v>42.4</c:v>
                </c:pt>
                <c:pt idx="4">
                  <c:v>47</c:v>
                </c:pt>
                <c:pt idx="5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04-4295-85BD-00FD84AA0157}"/>
            </c:ext>
          </c:extLst>
        </c:ser>
        <c:ser>
          <c:idx val="0"/>
          <c:order val="2"/>
          <c:tx>
            <c:v>Pearson 1/10/03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'Dummy Load'!$A$71:$A$79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6.75</c:v>
                </c:pt>
              </c:numCache>
            </c:numRef>
          </c:xVal>
          <c:yVal>
            <c:numRef>
              <c:f>'Dummy Load'!$B$71:$B$79</c:f>
              <c:numCache>
                <c:formatCode>General</c:formatCode>
                <c:ptCount val="9"/>
                <c:pt idx="0">
                  <c:v>27.8</c:v>
                </c:pt>
                <c:pt idx="1">
                  <c:v>33</c:v>
                </c:pt>
                <c:pt idx="2">
                  <c:v>37.799999999999997</c:v>
                </c:pt>
                <c:pt idx="4">
                  <c:v>47.8</c:v>
                </c:pt>
                <c:pt idx="5">
                  <c:v>52.6</c:v>
                </c:pt>
                <c:pt idx="6">
                  <c:v>58.8</c:v>
                </c:pt>
                <c:pt idx="7">
                  <c:v>61</c:v>
                </c:pt>
                <c:pt idx="8">
                  <c:v>61.4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04-4295-85BD-00FD84AA0157}"/>
            </c:ext>
          </c:extLst>
        </c:ser>
        <c:ser>
          <c:idx val="2"/>
          <c:order val="3"/>
          <c:tx>
            <c:v>Pearson w/bad scope? 12/23/02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'Dummy Load'!$A$2:$A$66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5.5</c:v>
                </c:pt>
                <c:pt idx="56">
                  <c:v>5.5</c:v>
                </c:pt>
                <c:pt idx="57">
                  <c:v>5.5</c:v>
                </c:pt>
                <c:pt idx="58">
                  <c:v>6</c:v>
                </c:pt>
                <c:pt idx="61">
                  <c:v>6.5</c:v>
                </c:pt>
                <c:pt idx="62">
                  <c:v>6.5</c:v>
                </c:pt>
                <c:pt idx="63">
                  <c:v>7</c:v>
                </c:pt>
                <c:pt idx="64">
                  <c:v>7</c:v>
                </c:pt>
              </c:numCache>
            </c:numRef>
          </c:xVal>
          <c:yVal>
            <c:numRef>
              <c:f>'Dummy Load'!$B$2:$B$66</c:f>
              <c:numCache>
                <c:formatCode>General</c:formatCode>
                <c:ptCount val="65"/>
                <c:pt idx="0">
                  <c:v>20</c:v>
                </c:pt>
                <c:pt idx="1">
                  <c:v>18.8</c:v>
                </c:pt>
                <c:pt idx="2">
                  <c:v>17.2</c:v>
                </c:pt>
                <c:pt idx="3">
                  <c:v>16.8</c:v>
                </c:pt>
                <c:pt idx="4">
                  <c:v>19.600000000000001</c:v>
                </c:pt>
                <c:pt idx="5">
                  <c:v>18.399999999999999</c:v>
                </c:pt>
                <c:pt idx="6">
                  <c:v>16.399999999999999</c:v>
                </c:pt>
                <c:pt idx="7">
                  <c:v>19.600000000000001</c:v>
                </c:pt>
                <c:pt idx="8">
                  <c:v>17.600000000000001</c:v>
                </c:pt>
                <c:pt idx="9">
                  <c:v>18.8</c:v>
                </c:pt>
                <c:pt idx="10">
                  <c:v>12.8</c:v>
                </c:pt>
                <c:pt idx="11">
                  <c:v>20</c:v>
                </c:pt>
                <c:pt idx="12">
                  <c:v>19.2</c:v>
                </c:pt>
                <c:pt idx="13">
                  <c:v>12.4</c:v>
                </c:pt>
                <c:pt idx="14">
                  <c:v>20.399999999999999</c:v>
                </c:pt>
                <c:pt idx="15">
                  <c:v>14</c:v>
                </c:pt>
                <c:pt idx="16">
                  <c:v>15.6</c:v>
                </c:pt>
                <c:pt idx="17">
                  <c:v>22.4</c:v>
                </c:pt>
                <c:pt idx="18">
                  <c:v>23.2</c:v>
                </c:pt>
                <c:pt idx="19">
                  <c:v>22.8</c:v>
                </c:pt>
                <c:pt idx="20">
                  <c:v>20.399999999999999</c:v>
                </c:pt>
                <c:pt idx="21">
                  <c:v>24.8</c:v>
                </c:pt>
                <c:pt idx="22">
                  <c:v>24.4</c:v>
                </c:pt>
                <c:pt idx="23">
                  <c:v>18.399999999999999</c:v>
                </c:pt>
                <c:pt idx="24">
                  <c:v>26.8</c:v>
                </c:pt>
                <c:pt idx="25">
                  <c:v>26.8</c:v>
                </c:pt>
                <c:pt idx="26">
                  <c:v>18</c:v>
                </c:pt>
                <c:pt idx="27">
                  <c:v>20.399999999999999</c:v>
                </c:pt>
                <c:pt idx="28">
                  <c:v>28.8</c:v>
                </c:pt>
                <c:pt idx="29">
                  <c:v>28.8</c:v>
                </c:pt>
                <c:pt idx="30">
                  <c:v>28.8</c:v>
                </c:pt>
                <c:pt idx="31">
                  <c:v>28.8</c:v>
                </c:pt>
                <c:pt idx="32">
                  <c:v>28.8</c:v>
                </c:pt>
                <c:pt idx="33">
                  <c:v>30.4</c:v>
                </c:pt>
                <c:pt idx="34">
                  <c:v>30.8</c:v>
                </c:pt>
                <c:pt idx="35">
                  <c:v>30.4</c:v>
                </c:pt>
                <c:pt idx="36">
                  <c:v>30.8</c:v>
                </c:pt>
                <c:pt idx="37">
                  <c:v>32.4</c:v>
                </c:pt>
                <c:pt idx="38">
                  <c:v>32.799999999999997</c:v>
                </c:pt>
                <c:pt idx="39">
                  <c:v>32.4</c:v>
                </c:pt>
                <c:pt idx="40">
                  <c:v>34.799999999999997</c:v>
                </c:pt>
                <c:pt idx="41">
                  <c:v>34</c:v>
                </c:pt>
                <c:pt idx="42">
                  <c:v>34.4</c:v>
                </c:pt>
                <c:pt idx="43">
                  <c:v>35.6</c:v>
                </c:pt>
                <c:pt idx="44">
                  <c:v>35.6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36.4</c:v>
                </c:pt>
                <c:pt idx="49">
                  <c:v>38.4</c:v>
                </c:pt>
                <c:pt idx="50">
                  <c:v>38</c:v>
                </c:pt>
                <c:pt idx="51">
                  <c:v>38.799999999999997</c:v>
                </c:pt>
                <c:pt idx="52">
                  <c:v>40</c:v>
                </c:pt>
                <c:pt idx="53">
                  <c:v>39.6</c:v>
                </c:pt>
                <c:pt idx="54">
                  <c:v>39.6</c:v>
                </c:pt>
                <c:pt idx="55">
                  <c:v>42.4</c:v>
                </c:pt>
                <c:pt idx="56">
                  <c:v>41.6</c:v>
                </c:pt>
                <c:pt idx="57">
                  <c:v>41.6</c:v>
                </c:pt>
                <c:pt idx="58">
                  <c:v>24.4</c:v>
                </c:pt>
                <c:pt idx="59">
                  <c:v>44.4</c:v>
                </c:pt>
                <c:pt idx="60">
                  <c:v>44</c:v>
                </c:pt>
                <c:pt idx="61">
                  <c:v>46.4</c:v>
                </c:pt>
                <c:pt idx="62">
                  <c:v>44.4</c:v>
                </c:pt>
                <c:pt idx="63">
                  <c:v>38.799999999999997</c:v>
                </c:pt>
                <c:pt idx="64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04-4295-85BD-00FD84AA0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58895"/>
        <c:axId val="1"/>
      </c:scatterChart>
      <c:valAx>
        <c:axId val="152685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Potentiometer Setting</a:t>
                </a:r>
              </a:p>
            </c:rich>
          </c:tx>
          <c:layout>
            <c:manualLayout>
              <c:xMode val="edge"/>
              <c:yMode val="edge"/>
              <c:x val="0.27964846829112361"/>
              <c:y val="0.857561134269430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65"/>
          <c:min val="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KA</a:t>
                </a:r>
              </a:p>
            </c:rich>
          </c:tx>
          <c:layout>
            <c:manualLayout>
              <c:xMode val="edge"/>
              <c:yMode val="edge"/>
              <c:x val="2.8351457614768292E-2"/>
              <c:y val="0.449329156614014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58895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141406442246732"/>
          <c:y val="0.30685893622420507"/>
          <c:w val="0.31444343900015742"/>
          <c:h val="0.528783702600639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583363773158489E-2"/>
          <c:y val="0.10000343334541362"/>
          <c:w val="0.62840778371137784"/>
          <c:h val="0.72502489175424878"/>
        </c:manualLayout>
      </c:layout>
      <c:scatterChart>
        <c:scatterStyle val="lineMarker"/>
        <c:varyColors val="0"/>
        <c:ser>
          <c:idx val="1"/>
          <c:order val="1"/>
          <c:tx>
            <c:v>old BDOT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'Dummy Load'!$A$134:$A$138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Load'!$C$134:$C$138</c:f>
              <c:numCache>
                <c:formatCode>General</c:formatCode>
                <c:ptCount val="5"/>
                <c:pt idx="0">
                  <c:v>3.88</c:v>
                </c:pt>
                <c:pt idx="1">
                  <c:v>4.4000000000000004</c:v>
                </c:pt>
                <c:pt idx="2">
                  <c:v>5.04</c:v>
                </c:pt>
                <c:pt idx="3">
                  <c:v>5.76</c:v>
                </c:pt>
                <c:pt idx="4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0-4891-9734-F85488626E46}"/>
            </c:ext>
          </c:extLst>
        </c:ser>
        <c:ser>
          <c:idx val="5"/>
          <c:order val="3"/>
          <c:tx>
            <c:v>new BDOT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'Dummy Load'!$A$149:$A$153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Load'!$C$149:$C$153</c:f>
              <c:numCache>
                <c:formatCode>General</c:formatCode>
                <c:ptCount val="5"/>
                <c:pt idx="0">
                  <c:v>4.12</c:v>
                </c:pt>
                <c:pt idx="1">
                  <c:v>4.84</c:v>
                </c:pt>
                <c:pt idx="2">
                  <c:v>5.76</c:v>
                </c:pt>
                <c:pt idx="3">
                  <c:v>6.28</c:v>
                </c:pt>
                <c:pt idx="4">
                  <c:v>6.92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B0-4891-9734-F85488626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59311"/>
        <c:axId val="1"/>
      </c:scatterChart>
      <c:scatterChart>
        <c:scatterStyle val="lineMarker"/>
        <c:varyColors val="0"/>
        <c:ser>
          <c:idx val="0"/>
          <c:order val="0"/>
          <c:tx>
            <c:v>old raw BDOT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'Dummy Load'!$A$134:$A$138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Load'!$B$134:$B$138</c:f>
              <c:numCache>
                <c:formatCode>General</c:formatCode>
                <c:ptCount val="5"/>
                <c:pt idx="0">
                  <c:v>1.2170000000000001</c:v>
                </c:pt>
                <c:pt idx="1">
                  <c:v>1.3720000000000001</c:v>
                </c:pt>
                <c:pt idx="2">
                  <c:v>1.794</c:v>
                </c:pt>
                <c:pt idx="3">
                  <c:v>2.1989999999999998</c:v>
                </c:pt>
                <c:pt idx="4">
                  <c:v>2.6080000000000001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B0-4891-9734-F85488626E46}"/>
            </c:ext>
          </c:extLst>
        </c:ser>
        <c:ser>
          <c:idx val="4"/>
          <c:order val="2"/>
          <c:tx>
            <c:v>new raw BDOT</c:v>
          </c:tx>
          <c:spPr>
            <a:ln w="19050">
              <a:noFill/>
            </a:ln>
          </c:spPr>
          <c:marker>
            <c:symbol val="star"/>
            <c:size val="3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'Dummy Load'!$A$149:$A$153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Load'!$B$149:$B$153</c:f>
              <c:numCache>
                <c:formatCode>General</c:formatCode>
                <c:ptCount val="5"/>
                <c:pt idx="0">
                  <c:v>1.0900000000000001</c:v>
                </c:pt>
                <c:pt idx="1">
                  <c:v>1.4</c:v>
                </c:pt>
                <c:pt idx="2">
                  <c:v>2.206</c:v>
                </c:pt>
                <c:pt idx="3">
                  <c:v>2.0329999999999999</c:v>
                </c:pt>
                <c:pt idx="4">
                  <c:v>2.3620000000000001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B0-4891-9734-F85488626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268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"/>
          <c:min val="3.5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59311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712268596291679"/>
          <c:y val="0.3111217926301757"/>
          <c:w val="0.19871621907916259"/>
          <c:h val="0.302788173184724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BDOT raw and BDOT normalized response</a:t>
            </a:r>
          </a:p>
        </c:rich>
      </c:tx>
      <c:layout>
        <c:manualLayout>
          <c:xMode val="edge"/>
          <c:yMode val="edge"/>
          <c:x val="0.24000790096574184"/>
          <c:y val="4.15526972859119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87504565973773"/>
          <c:y val="0.24100564425828916"/>
          <c:w val="0.63227887888824463"/>
          <c:h val="0.49586218761188233"/>
        </c:manualLayout>
      </c:layout>
      <c:scatterChart>
        <c:scatterStyle val="lineMarker"/>
        <c:varyColors val="0"/>
        <c:ser>
          <c:idx val="0"/>
          <c:order val="0"/>
          <c:tx>
            <c:v>old BDOT raw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'Dummy Load'!$A$141:$A$145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Load'!$B$141:$B$145</c:f>
              <c:numCache>
                <c:formatCode>General</c:formatCode>
                <c:ptCount val="5"/>
                <c:pt idx="0">
                  <c:v>0.46664110429447853</c:v>
                </c:pt>
                <c:pt idx="1">
                  <c:v>0.52607361963190191</c:v>
                </c:pt>
                <c:pt idx="2">
                  <c:v>0.68788343558282206</c:v>
                </c:pt>
                <c:pt idx="3">
                  <c:v>0.84317484662576681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6E-4292-809E-190420B0EC4A}"/>
            </c:ext>
          </c:extLst>
        </c:ser>
        <c:ser>
          <c:idx val="1"/>
          <c:order val="1"/>
          <c:tx>
            <c:v>old BDOT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'Dummy Load'!$A$141:$A$145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Load'!$C$141:$C$145</c:f>
              <c:numCache>
                <c:formatCode>General</c:formatCode>
                <c:ptCount val="5"/>
                <c:pt idx="0">
                  <c:v>0.60624999999999996</c:v>
                </c:pt>
                <c:pt idx="1">
                  <c:v>0.6875</c:v>
                </c:pt>
                <c:pt idx="2">
                  <c:v>0.78749999999999998</c:v>
                </c:pt>
                <c:pt idx="3">
                  <c:v>0.89999999999999991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6E-4292-809E-190420B0EC4A}"/>
            </c:ext>
          </c:extLst>
        </c:ser>
        <c:ser>
          <c:idx val="2"/>
          <c:order val="2"/>
          <c:tx>
            <c:v>new BDOT raw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'Dummy Load'!$A$156:$A$160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Load'!$B$156:$B$160</c:f>
              <c:numCache>
                <c:formatCode>General</c:formatCode>
                <c:ptCount val="5"/>
                <c:pt idx="0">
                  <c:v>0.46147332768839966</c:v>
                </c:pt>
                <c:pt idx="1">
                  <c:v>0.59271803556308211</c:v>
                </c:pt>
                <c:pt idx="2">
                  <c:v>0.93395427603725656</c:v>
                </c:pt>
                <c:pt idx="3">
                  <c:v>0.86071126164267564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6E-4292-809E-190420B0EC4A}"/>
            </c:ext>
          </c:extLst>
        </c:ser>
        <c:ser>
          <c:idx val="3"/>
          <c:order val="3"/>
          <c:tx>
            <c:v>new BDOT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'Dummy Load'!$A$156:$A$160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Load'!$C$156:$C$160</c:f>
              <c:numCache>
                <c:formatCode>General</c:formatCode>
                <c:ptCount val="5"/>
                <c:pt idx="0">
                  <c:v>0.59537572254335258</c:v>
                </c:pt>
                <c:pt idx="1">
                  <c:v>0.69942196531791911</c:v>
                </c:pt>
                <c:pt idx="2">
                  <c:v>0.83236994219653182</c:v>
                </c:pt>
                <c:pt idx="3">
                  <c:v>0.90751445086705207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6E-4292-809E-190420B0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7631"/>
        <c:axId val="1"/>
      </c:scatterChart>
      <c:valAx>
        <c:axId val="1526867631"/>
        <c:scaling>
          <c:orientation val="minMax"/>
          <c:max val="4"/>
        </c:scaling>
        <c:delete val="0"/>
        <c:axPos val="b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 setting</a:t>
                </a:r>
              </a:p>
            </c:rich>
          </c:tx>
          <c:layout>
            <c:manualLayout>
              <c:xMode val="edge"/>
              <c:yMode val="edge"/>
              <c:x val="0.37420586709712439"/>
              <c:y val="0.855985564089785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  <c:min val="0.4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relative units</a:t>
                </a:r>
              </a:p>
            </c:rich>
          </c:tx>
          <c:layout>
            <c:manualLayout>
              <c:xMode val="edge"/>
              <c:yMode val="edge"/>
              <c:x val="2.838803129702323E-2"/>
              <c:y val="0.340732117744477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7631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712268596291679"/>
          <c:y val="0.33796193792541701"/>
          <c:w val="0.19871621907916259"/>
          <c:h val="0.3019496002776266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BDOT vs BDOT raw</a:t>
            </a:r>
          </a:p>
        </c:rich>
      </c:tx>
      <c:layout>
        <c:manualLayout>
          <c:xMode val="edge"/>
          <c:yMode val="edge"/>
          <c:x val="0.37468923495532852"/>
          <c:y val="4.17841363778716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5457941855728"/>
          <c:y val="0.24234799099165574"/>
          <c:w val="0.6408477949580792"/>
          <c:h val="0.49305280925888584"/>
        </c:manualLayout>
      </c:layout>
      <c:scatterChart>
        <c:scatterStyle val="lineMarker"/>
        <c:varyColors val="0"/>
        <c:ser>
          <c:idx val="0"/>
          <c:order val="0"/>
          <c:tx>
            <c:v>Old BDOT coil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'Dummy Load'!$B$134:$B$139</c:f>
              <c:numCache>
                <c:formatCode>General</c:formatCode>
                <c:ptCount val="6"/>
                <c:pt idx="0">
                  <c:v>1.2170000000000001</c:v>
                </c:pt>
                <c:pt idx="1">
                  <c:v>1.3720000000000001</c:v>
                </c:pt>
                <c:pt idx="2">
                  <c:v>1.794</c:v>
                </c:pt>
                <c:pt idx="3">
                  <c:v>2.1989999999999998</c:v>
                </c:pt>
                <c:pt idx="4">
                  <c:v>2.6080000000000001</c:v>
                </c:pt>
                <c:pt idx="5">
                  <c:v>2.6080000000000001</c:v>
                </c:pt>
              </c:numCache>
            </c:numRef>
          </c:xVal>
          <c:yVal>
            <c:numRef>
              <c:f>'Dummy Load'!$C$134:$C$139</c:f>
              <c:numCache>
                <c:formatCode>General</c:formatCode>
                <c:ptCount val="6"/>
                <c:pt idx="0">
                  <c:v>3.88</c:v>
                </c:pt>
                <c:pt idx="1">
                  <c:v>4.4000000000000004</c:v>
                </c:pt>
                <c:pt idx="2">
                  <c:v>5.04</c:v>
                </c:pt>
                <c:pt idx="3">
                  <c:v>5.76</c:v>
                </c:pt>
                <c:pt idx="4">
                  <c:v>6.4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8-4F27-9C5E-6552D3EB9FBF}"/>
            </c:ext>
          </c:extLst>
        </c:ser>
        <c:ser>
          <c:idx val="1"/>
          <c:order val="1"/>
          <c:tx>
            <c:v>New BDOT coil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'Dummy Load'!$B$149:$B$153</c:f>
              <c:numCache>
                <c:formatCode>General</c:formatCode>
                <c:ptCount val="5"/>
                <c:pt idx="0">
                  <c:v>1.0900000000000001</c:v>
                </c:pt>
                <c:pt idx="1">
                  <c:v>1.4</c:v>
                </c:pt>
                <c:pt idx="2">
                  <c:v>2.206</c:v>
                </c:pt>
                <c:pt idx="3">
                  <c:v>2.0329999999999999</c:v>
                </c:pt>
                <c:pt idx="4">
                  <c:v>2.3620000000000001</c:v>
                </c:pt>
              </c:numCache>
            </c:numRef>
          </c:xVal>
          <c:yVal>
            <c:numRef>
              <c:f>'Dummy Load'!$C$149:$C$153</c:f>
              <c:numCache>
                <c:formatCode>General</c:formatCode>
                <c:ptCount val="5"/>
                <c:pt idx="0">
                  <c:v>4.12</c:v>
                </c:pt>
                <c:pt idx="1">
                  <c:v>4.84</c:v>
                </c:pt>
                <c:pt idx="2">
                  <c:v>5.76</c:v>
                </c:pt>
                <c:pt idx="3">
                  <c:v>6.28</c:v>
                </c:pt>
                <c:pt idx="4">
                  <c:v>6.92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68-4F27-9C5E-6552D3EB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5967"/>
        <c:axId val="1"/>
      </c:scatterChart>
      <c:valAx>
        <c:axId val="1526865967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BDOT raw (Volts)</a:t>
                </a:r>
              </a:p>
            </c:rich>
          </c:tx>
          <c:layout>
            <c:manualLayout>
              <c:xMode val="edge"/>
              <c:yMode val="edge"/>
              <c:x val="0.33076015223642796"/>
              <c:y val="0.855181991200440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BDOT (VOLTS)</a:t>
                </a:r>
              </a:p>
            </c:rich>
          </c:tx>
          <c:layout>
            <c:manualLayout>
              <c:xMode val="edge"/>
              <c:yMode val="edge"/>
              <c:x val="2.8424700582818027E-2"/>
              <c:y val="0.30363139101253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5967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55553615615164"/>
          <c:y val="0.41227014559500058"/>
          <c:w val="0.20026493592439973"/>
          <c:h val="0.153208500052196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476967606598672E-2"/>
          <c:y val="9.9451051856942668E-2"/>
          <c:w val="0.61599985181178385"/>
          <c:h val="0.72654518439933113"/>
        </c:manualLayout>
      </c:layout>
      <c:scatterChart>
        <c:scatterStyle val="lineMarker"/>
        <c:varyColors val="0"/>
        <c:ser>
          <c:idx val="0"/>
          <c:order val="0"/>
          <c:tx>
            <c:v>cap volts 1-23-03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'Dummy Load'!$A$134:$A$138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Load'!$F$134:$F$138</c:f>
              <c:numCache>
                <c:formatCode>General</c:formatCode>
                <c:ptCount val="5"/>
                <c:pt idx="0">
                  <c:v>1.1399999999999999</c:v>
                </c:pt>
                <c:pt idx="1">
                  <c:v>1.35</c:v>
                </c:pt>
                <c:pt idx="2">
                  <c:v>1.56</c:v>
                </c:pt>
                <c:pt idx="3">
                  <c:v>1.76</c:v>
                </c:pt>
                <c:pt idx="4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C-479D-88FC-C213BB1756AF}"/>
            </c:ext>
          </c:extLst>
        </c:ser>
        <c:ser>
          <c:idx val="1"/>
          <c:order val="1"/>
          <c:tx>
            <c:v>capvolts 1-24-03</c:v>
          </c:tx>
          <c:spPr>
            <a:ln w="19050">
              <a:noFill/>
            </a:ln>
          </c:spPr>
          <c:marker>
            <c:symbol val="squar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'Dummy Load'!$A$149:$A$153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Load'!$F$149:$F$153</c:f>
              <c:numCache>
                <c:formatCode>General</c:formatCode>
                <c:ptCount val="5"/>
                <c:pt idx="0">
                  <c:v>1.1499999999999999</c:v>
                </c:pt>
                <c:pt idx="1">
                  <c:v>1.36</c:v>
                </c:pt>
                <c:pt idx="2">
                  <c:v>1.56</c:v>
                </c:pt>
                <c:pt idx="3">
                  <c:v>1.76</c:v>
                </c:pt>
                <c:pt idx="4">
                  <c:v>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BC-479D-88FC-C213BB175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8047"/>
        <c:axId val="1"/>
      </c:scatterChart>
      <c:scatterChart>
        <c:scatterStyle val="lineMarker"/>
        <c:varyColors val="0"/>
        <c:ser>
          <c:idx val="4"/>
          <c:order val="2"/>
          <c:tx>
            <c:v>Pearson 1-23-03</c:v>
          </c:tx>
          <c:spPr>
            <a:ln w="19050">
              <a:noFill/>
            </a:ln>
          </c:spPr>
          <c:marker>
            <c:symbol val="star"/>
            <c:size val="3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'Dummy Load'!$A$134:$A$138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Load'!$D$134:$D$138</c:f>
              <c:numCache>
                <c:formatCode>General</c:formatCode>
                <c:ptCount val="5"/>
                <c:pt idx="0">
                  <c:v>27.4</c:v>
                </c:pt>
                <c:pt idx="1">
                  <c:v>32.6</c:v>
                </c:pt>
                <c:pt idx="2">
                  <c:v>37.6</c:v>
                </c:pt>
                <c:pt idx="3">
                  <c:v>42.6</c:v>
                </c:pt>
                <c:pt idx="4">
                  <c:v>47.4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BC-479D-88FC-C213BB1756AF}"/>
            </c:ext>
          </c:extLst>
        </c:ser>
        <c:ser>
          <c:idx val="5"/>
          <c:order val="3"/>
          <c:tx>
            <c:v>Pearson 1-24-03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'Dummy Load'!$A$149:$A$153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'Dummy Load'!$D$149:$D$153</c:f>
              <c:numCache>
                <c:formatCode>General</c:formatCode>
                <c:ptCount val="5"/>
                <c:pt idx="0">
                  <c:v>27.4</c:v>
                </c:pt>
                <c:pt idx="1">
                  <c:v>32.6</c:v>
                </c:pt>
                <c:pt idx="2">
                  <c:v>37.6</c:v>
                </c:pt>
                <c:pt idx="3">
                  <c:v>42.6</c:v>
                </c:pt>
                <c:pt idx="4">
                  <c:v>47.4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BC-479D-88FC-C213BB175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26868047"/>
        <c:scaling>
          <c:orientation val="minMax"/>
          <c:max val="4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8047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806676083645009"/>
          <c:y val="0.31216580166207003"/>
          <c:w val="0.21779074258617462"/>
          <c:h val="0.301115684789076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pulse width and peak current vs. capacitance</a:t>
            </a:r>
          </a:p>
        </c:rich>
      </c:tx>
      <c:layout>
        <c:manualLayout>
          <c:xMode val="edge"/>
          <c:yMode val="edge"/>
          <c:x val="0.17632131905606652"/>
          <c:y val="3.9703465950337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47805835778396"/>
          <c:y val="0.23822079570202226"/>
          <c:w val="0.53949060308199459"/>
          <c:h val="0.51614505735438154"/>
        </c:manualLayout>
      </c:layout>
      <c:scatterChart>
        <c:scatterStyle val="lineMarker"/>
        <c:varyColors val="0"/>
        <c:ser>
          <c:idx val="0"/>
          <c:order val="0"/>
          <c:tx>
            <c:v>pulse width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'Spice analysis'!$D$3:$I$3</c:f>
              <c:numCache>
                <c:formatCode>General</c:formatCode>
                <c:ptCount val="6"/>
                <c:pt idx="0">
                  <c:v>4.8</c:v>
                </c:pt>
                <c:pt idx="1">
                  <c:v>9.6</c:v>
                </c:pt>
                <c:pt idx="2">
                  <c:v>7.2</c:v>
                </c:pt>
                <c:pt idx="3">
                  <c:v>2.4</c:v>
                </c:pt>
                <c:pt idx="4">
                  <c:v>3.6</c:v>
                </c:pt>
                <c:pt idx="5">
                  <c:v>6</c:v>
                </c:pt>
              </c:numCache>
            </c:numRef>
          </c:xVal>
          <c:yVal>
            <c:numRef>
              <c:f>'Spice analysis'!$D$4:$I$4</c:f>
              <c:numCache>
                <c:formatCode>General</c:formatCode>
                <c:ptCount val="6"/>
                <c:pt idx="0">
                  <c:v>385</c:v>
                </c:pt>
                <c:pt idx="1">
                  <c:v>570</c:v>
                </c:pt>
                <c:pt idx="2">
                  <c:v>482</c:v>
                </c:pt>
                <c:pt idx="3">
                  <c:v>266</c:v>
                </c:pt>
                <c:pt idx="4">
                  <c:v>330</c:v>
                </c:pt>
                <c:pt idx="5">
                  <c:v>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4B-4C29-ABE3-05E819225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6335"/>
        <c:axId val="1"/>
      </c:scatterChart>
      <c:scatterChart>
        <c:scatterStyle val="lineMarker"/>
        <c:varyColors val="0"/>
        <c:ser>
          <c:idx val="1"/>
          <c:order val="1"/>
          <c:tx>
            <c:v>peak current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'Spice analysis'!$D$3:$I$3</c:f>
              <c:numCache>
                <c:formatCode>General</c:formatCode>
                <c:ptCount val="6"/>
                <c:pt idx="0">
                  <c:v>4.8</c:v>
                </c:pt>
                <c:pt idx="1">
                  <c:v>9.6</c:v>
                </c:pt>
                <c:pt idx="2">
                  <c:v>7.2</c:v>
                </c:pt>
                <c:pt idx="3">
                  <c:v>2.4</c:v>
                </c:pt>
                <c:pt idx="4">
                  <c:v>3.6</c:v>
                </c:pt>
                <c:pt idx="5">
                  <c:v>6</c:v>
                </c:pt>
              </c:numCache>
            </c:numRef>
          </c:xVal>
          <c:yVal>
            <c:numRef>
              <c:f>'Spice analysis'!$D$5:$I$5</c:f>
              <c:numCache>
                <c:formatCode>General</c:formatCode>
                <c:ptCount val="6"/>
                <c:pt idx="0">
                  <c:v>56.14</c:v>
                </c:pt>
                <c:pt idx="1">
                  <c:v>69.680000000000007</c:v>
                </c:pt>
                <c:pt idx="2">
                  <c:v>63.94</c:v>
                </c:pt>
                <c:pt idx="3">
                  <c:v>43.95</c:v>
                </c:pt>
                <c:pt idx="4">
                  <c:v>50.87</c:v>
                </c:pt>
                <c:pt idx="5">
                  <c:v>60.4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4B-4C29-ABE3-05E819225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95166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capacitance (mF)</a:t>
                </a:r>
              </a:p>
            </c:rich>
          </c:tx>
          <c:layout>
            <c:manualLayout>
              <c:xMode val="edge"/>
              <c:yMode val="edge"/>
              <c:x val="0.30527273150005546"/>
              <c:y val="0.866031851041726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Time (us)</a:t>
                </a:r>
              </a:p>
            </c:rich>
          </c:tx>
          <c:layout>
            <c:manualLayout>
              <c:xMode val="edge"/>
              <c:yMode val="edge"/>
              <c:x val="2.8948276262936296E-2"/>
              <c:y val="0.387108793015786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66335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current (KA)</a:t>
                </a:r>
              </a:p>
            </c:rich>
          </c:tx>
          <c:layout>
            <c:manualLayout>
              <c:xMode val="edge"/>
              <c:yMode val="edge"/>
              <c:x val="0.73160189100875361"/>
              <c:y val="0.357331193553033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39342796997248"/>
          <c:y val="0.42433079234422716"/>
          <c:w val="0.18816379570908592"/>
          <c:h val="0.146406530691867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pulse width and peak current vs. primary inductance</a:t>
            </a:r>
          </a:p>
        </c:rich>
      </c:tx>
      <c:layout>
        <c:manualLayout>
          <c:xMode val="edge"/>
          <c:yMode val="edge"/>
          <c:x val="0.12500392022631582"/>
          <c:y val="3.9703465950337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47805835778396"/>
          <c:y val="0.23822079570202226"/>
          <c:w val="0.53949060308199459"/>
          <c:h val="0.51614505735438154"/>
        </c:manualLayout>
      </c:layout>
      <c:scatterChart>
        <c:scatterStyle val="lineMarker"/>
        <c:varyColors val="0"/>
        <c:ser>
          <c:idx val="0"/>
          <c:order val="0"/>
          <c:tx>
            <c:v>pulse width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'Spice analysis'!$D$24:$I$24</c:f>
              <c:numCache>
                <c:formatCode>General</c:formatCode>
                <c:ptCount val="6"/>
                <c:pt idx="0">
                  <c:v>2.54</c:v>
                </c:pt>
                <c:pt idx="1">
                  <c:v>5.08</c:v>
                </c:pt>
                <c:pt idx="2">
                  <c:v>1.27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numCache>
            </c:numRef>
          </c:xVal>
          <c:yVal>
            <c:numRef>
              <c:f>'Spice analysis'!$D$25:$I$25</c:f>
              <c:numCache>
                <c:formatCode>General</c:formatCode>
                <c:ptCount val="6"/>
                <c:pt idx="0">
                  <c:v>384</c:v>
                </c:pt>
                <c:pt idx="1">
                  <c:v>514</c:v>
                </c:pt>
                <c:pt idx="2">
                  <c:v>300</c:v>
                </c:pt>
                <c:pt idx="3">
                  <c:v>411</c:v>
                </c:pt>
                <c:pt idx="4">
                  <c:v>463</c:v>
                </c:pt>
                <c:pt idx="5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D-46BC-AC1D-31EA2023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5919"/>
        <c:axId val="1"/>
      </c:scatterChart>
      <c:scatterChart>
        <c:scatterStyle val="lineMarker"/>
        <c:varyColors val="0"/>
        <c:ser>
          <c:idx val="1"/>
          <c:order val="1"/>
          <c:tx>
            <c:v>peak current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'Spice analysis'!$D$24:$I$24</c:f>
              <c:numCache>
                <c:formatCode>General</c:formatCode>
                <c:ptCount val="6"/>
                <c:pt idx="0">
                  <c:v>2.54</c:v>
                </c:pt>
                <c:pt idx="1">
                  <c:v>5.08</c:v>
                </c:pt>
                <c:pt idx="2">
                  <c:v>1.27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numCache>
            </c:numRef>
          </c:xVal>
          <c:yVal>
            <c:numRef>
              <c:f>'Spice analysis'!$D$26:$I$26</c:f>
              <c:numCache>
                <c:formatCode>General</c:formatCode>
                <c:ptCount val="6"/>
                <c:pt idx="0">
                  <c:v>56.14</c:v>
                </c:pt>
                <c:pt idx="1">
                  <c:v>44.9</c:v>
                </c:pt>
                <c:pt idx="2">
                  <c:v>67.400000000000006</c:v>
                </c:pt>
                <c:pt idx="3">
                  <c:v>53.4</c:v>
                </c:pt>
                <c:pt idx="4">
                  <c:v>48.7</c:v>
                </c:pt>
                <c:pt idx="5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1D-46BC-AC1D-31EA2023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95165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1E-6 Henry</a:t>
                </a:r>
              </a:p>
            </c:rich>
          </c:tx>
          <c:layout>
            <c:manualLayout>
              <c:xMode val="edge"/>
              <c:yMode val="edge"/>
              <c:x val="0.34080016145911368"/>
              <c:y val="0.866031851041726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Time (us)</a:t>
                </a:r>
              </a:p>
            </c:rich>
          </c:tx>
          <c:layout>
            <c:manualLayout>
              <c:xMode val="edge"/>
              <c:yMode val="edge"/>
              <c:x val="2.8948276262936296E-2"/>
              <c:y val="0.387108793015786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65919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peak current (KA)</a:t>
                </a:r>
              </a:p>
            </c:rich>
          </c:tx>
          <c:layout>
            <c:manualLayout>
              <c:xMode val="edge"/>
              <c:yMode val="edge"/>
              <c:x val="0.73160189100875361"/>
              <c:y val="0.295294528005631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39342796997248"/>
          <c:y val="0.42433079234422716"/>
          <c:w val="0.18816379570908592"/>
          <c:h val="0.146406530691867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peak current vs capacitor voltage</a:t>
            </a:r>
          </a:p>
        </c:rich>
      </c:tx>
      <c:layout>
        <c:manualLayout>
          <c:xMode val="edge"/>
          <c:yMode val="edge"/>
          <c:x val="0.26064660123386663"/>
          <c:y val="3.9703465950337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6193740198909"/>
          <c:y val="0.23822079570202226"/>
          <c:w val="0.79922758847731545"/>
          <c:h val="0.5161450573543815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'Spice analysis'!$B$45:$B$60</c:f>
              <c:numCache>
                <c:formatCode>General</c:formatCode>
                <c:ptCount val="16"/>
                <c:pt idx="0">
                  <c:v>1700</c:v>
                </c:pt>
                <c:pt idx="1">
                  <c:v>1800</c:v>
                </c:pt>
                <c:pt idx="2">
                  <c:v>1900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2300</c:v>
                </c:pt>
                <c:pt idx="7">
                  <c:v>2400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2800</c:v>
                </c:pt>
                <c:pt idx="12">
                  <c:v>2900</c:v>
                </c:pt>
                <c:pt idx="13">
                  <c:v>3000</c:v>
                </c:pt>
                <c:pt idx="14">
                  <c:v>3100</c:v>
                </c:pt>
                <c:pt idx="15">
                  <c:v>3200</c:v>
                </c:pt>
              </c:numCache>
            </c:numRef>
          </c:xVal>
          <c:yVal>
            <c:numRef>
              <c:f>'Spice analysis'!$C$45:$C$60</c:f>
              <c:numCache>
                <c:formatCode>General</c:formatCode>
                <c:ptCount val="16"/>
                <c:pt idx="0">
                  <c:v>46.6</c:v>
                </c:pt>
                <c:pt idx="1">
                  <c:v>49.3</c:v>
                </c:pt>
                <c:pt idx="2">
                  <c:v>52</c:v>
                </c:pt>
                <c:pt idx="3">
                  <c:v>54.7</c:v>
                </c:pt>
                <c:pt idx="4">
                  <c:v>57.5</c:v>
                </c:pt>
                <c:pt idx="5">
                  <c:v>60</c:v>
                </c:pt>
                <c:pt idx="6">
                  <c:v>63</c:v>
                </c:pt>
                <c:pt idx="7">
                  <c:v>65.7</c:v>
                </c:pt>
                <c:pt idx="8">
                  <c:v>68.5</c:v>
                </c:pt>
                <c:pt idx="9">
                  <c:v>71.2</c:v>
                </c:pt>
                <c:pt idx="10">
                  <c:v>73.95</c:v>
                </c:pt>
                <c:pt idx="11">
                  <c:v>76.7</c:v>
                </c:pt>
                <c:pt idx="12">
                  <c:v>79.400000000000006</c:v>
                </c:pt>
                <c:pt idx="13">
                  <c:v>82.15</c:v>
                </c:pt>
                <c:pt idx="14">
                  <c:v>84.9</c:v>
                </c:pt>
                <c:pt idx="15">
                  <c:v>87.6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1-4DF1-BF3C-37DD390D2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1343"/>
        <c:axId val="1"/>
      </c:scatterChart>
      <c:valAx>
        <c:axId val="995161343"/>
        <c:scaling>
          <c:orientation val="minMax"/>
          <c:min val="1500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volts</a:t>
                </a:r>
              </a:p>
            </c:rich>
          </c:tx>
          <c:layout>
            <c:manualLayout>
              <c:xMode val="edge"/>
              <c:yMode val="edge"/>
              <c:x val="0.50932473608454543"/>
              <c:y val="0.866031851041726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KA</a:t>
                </a:r>
              </a:p>
            </c:rich>
          </c:tx>
          <c:layout>
            <c:manualLayout>
              <c:xMode val="edge"/>
              <c:yMode val="edge"/>
              <c:x val="2.9256251158903394E-2"/>
              <c:y val="0.45658985842887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61343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pulse width and peak current vs. primary resistance</a:t>
            </a:r>
          </a:p>
        </c:rich>
      </c:tx>
      <c:layout>
        <c:manualLayout>
          <c:xMode val="edge"/>
          <c:yMode val="edge"/>
          <c:x val="0.13078375260924921"/>
          <c:y val="3.9703465950337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03108865232744"/>
          <c:y val="0.23822079570202226"/>
          <c:w val="0.52313501043699684"/>
          <c:h val="0.51614505735438154"/>
        </c:manualLayout>
      </c:layout>
      <c:scatterChart>
        <c:scatterStyle val="lineMarker"/>
        <c:varyColors val="0"/>
        <c:ser>
          <c:idx val="0"/>
          <c:order val="0"/>
          <c:tx>
            <c:v>pulse width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'Spice analysis'!$D$63:$J$63</c:f>
              <c:numCache>
                <c:formatCode>General</c:formatCode>
                <c:ptCount val="7"/>
                <c:pt idx="0">
                  <c:v>13.5</c:v>
                </c:pt>
                <c:pt idx="1">
                  <c:v>27</c:v>
                </c:pt>
                <c:pt idx="2">
                  <c:v>6.75</c:v>
                </c:pt>
                <c:pt idx="3">
                  <c:v>9</c:v>
                </c:pt>
                <c:pt idx="4">
                  <c:v>15</c:v>
                </c:pt>
                <c:pt idx="5">
                  <c:v>20</c:v>
                </c:pt>
                <c:pt idx="6">
                  <c:v>5</c:v>
                </c:pt>
              </c:numCache>
            </c:numRef>
          </c:xVal>
          <c:yVal>
            <c:numRef>
              <c:f>'Spice analysis'!$D$64:$J$64</c:f>
              <c:numCache>
                <c:formatCode>General</c:formatCode>
                <c:ptCount val="7"/>
                <c:pt idx="0">
                  <c:v>384.9</c:v>
                </c:pt>
                <c:pt idx="1">
                  <c:v>440.4</c:v>
                </c:pt>
                <c:pt idx="2">
                  <c:v>374</c:v>
                </c:pt>
                <c:pt idx="3">
                  <c:v>376.7</c:v>
                </c:pt>
                <c:pt idx="4">
                  <c:v>388.58</c:v>
                </c:pt>
                <c:pt idx="5">
                  <c:v>404.7</c:v>
                </c:pt>
                <c:pt idx="6">
                  <c:v>371.8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7-4583-9B1D-0252CCFFF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4255"/>
        <c:axId val="1"/>
      </c:scatterChart>
      <c:scatterChart>
        <c:scatterStyle val="lineMarker"/>
        <c:varyColors val="0"/>
        <c:ser>
          <c:idx val="1"/>
          <c:order val="1"/>
          <c:tx>
            <c:v>peak current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'Spice analysis'!$D$63:$J$63</c:f>
              <c:numCache>
                <c:formatCode>General</c:formatCode>
                <c:ptCount val="7"/>
                <c:pt idx="0">
                  <c:v>13.5</c:v>
                </c:pt>
                <c:pt idx="1">
                  <c:v>27</c:v>
                </c:pt>
                <c:pt idx="2">
                  <c:v>6.75</c:v>
                </c:pt>
                <c:pt idx="3">
                  <c:v>9</c:v>
                </c:pt>
                <c:pt idx="4">
                  <c:v>15</c:v>
                </c:pt>
                <c:pt idx="5">
                  <c:v>20</c:v>
                </c:pt>
                <c:pt idx="6">
                  <c:v>5</c:v>
                </c:pt>
              </c:numCache>
            </c:numRef>
          </c:xVal>
          <c:yVal>
            <c:numRef>
              <c:f>'Spice analysis'!$D$65:$J$65</c:f>
              <c:numCache>
                <c:formatCode>General</c:formatCode>
                <c:ptCount val="7"/>
                <c:pt idx="0">
                  <c:v>56.14</c:v>
                </c:pt>
                <c:pt idx="1">
                  <c:v>42.62</c:v>
                </c:pt>
                <c:pt idx="2">
                  <c:v>66.319999999999993</c:v>
                </c:pt>
                <c:pt idx="3">
                  <c:v>62.57</c:v>
                </c:pt>
                <c:pt idx="4">
                  <c:v>54.25</c:v>
                </c:pt>
                <c:pt idx="5">
                  <c:v>48.75</c:v>
                </c:pt>
                <c:pt idx="6">
                  <c:v>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7-4583-9B1D-0252CCFFF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95164255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primary resistance (mohm)</a:t>
                </a:r>
              </a:p>
            </c:rich>
          </c:tx>
          <c:layout>
            <c:manualLayout>
              <c:xMode val="edge"/>
              <c:yMode val="edge"/>
              <c:x val="0.24307283313234199"/>
              <c:y val="0.866031851041726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ax val="500"/>
          <c:min val="300"/>
        </c:scaling>
        <c:delete val="0"/>
        <c:axPos val="l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Time (us)</a:t>
                </a:r>
              </a:p>
            </c:rich>
          </c:tx>
          <c:layout>
            <c:manualLayout>
              <c:xMode val="edge"/>
              <c:yMode val="edge"/>
              <c:x val="2.9063056135388714E-2"/>
              <c:y val="0.387108793015786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64255"/>
        <c:crosses val="autoZero"/>
        <c:crossBetween val="midCat"/>
        <c:majorUnit val="100"/>
        <c:minorUnit val="25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peak current</a:t>
                </a:r>
              </a:p>
            </c:rich>
          </c:tx>
          <c:layout>
            <c:manualLayout>
              <c:xMode val="edge"/>
              <c:yMode val="edge"/>
              <c:x val="0.73053954740317995"/>
              <c:y val="0.352368260309241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  <c:majorUnit val="20"/>
        <c:minorUnit val="10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65919477108816"/>
          <c:y val="0.42433079234422716"/>
          <c:w val="0.18890986488002665"/>
          <c:h val="0.146406530691867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pulse width and peak current vs. primary resistance</a:t>
            </a:r>
          </a:p>
        </c:rich>
      </c:tx>
      <c:layout>
        <c:manualLayout>
          <c:xMode val="edge"/>
          <c:yMode val="edge"/>
          <c:x val="0.12060024545556124"/>
          <c:y val="3.95074440042822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25201358664928"/>
          <c:y val="0.28395975378077865"/>
          <c:w val="0.39567720980925708"/>
          <c:h val="0.44198952979790762"/>
        </c:manualLayout>
      </c:layout>
      <c:scatterChart>
        <c:scatterStyle val="lineMarker"/>
        <c:varyColors val="0"/>
        <c:ser>
          <c:idx val="0"/>
          <c:order val="0"/>
          <c:tx>
            <c:v>pulse width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3366FF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Mode val="edge"/>
                  <c:yMode val="edge"/>
                  <c:x val="0.62603722921875604"/>
                  <c:y val="0.6592804718214599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'Spice analysis'!$D$63:$J$63</c:f>
              <c:numCache>
                <c:formatCode>General</c:formatCode>
                <c:ptCount val="7"/>
                <c:pt idx="0">
                  <c:v>13.5</c:v>
                </c:pt>
                <c:pt idx="1">
                  <c:v>27</c:v>
                </c:pt>
                <c:pt idx="2">
                  <c:v>6.75</c:v>
                </c:pt>
                <c:pt idx="3">
                  <c:v>9</c:v>
                </c:pt>
                <c:pt idx="4">
                  <c:v>15</c:v>
                </c:pt>
                <c:pt idx="5">
                  <c:v>20</c:v>
                </c:pt>
                <c:pt idx="6">
                  <c:v>5</c:v>
                </c:pt>
              </c:numCache>
            </c:numRef>
          </c:xVal>
          <c:yVal>
            <c:numRef>
              <c:f>'Spice analysis'!$D$64:$J$64</c:f>
              <c:numCache>
                <c:formatCode>General</c:formatCode>
                <c:ptCount val="7"/>
                <c:pt idx="0">
                  <c:v>384.9</c:v>
                </c:pt>
                <c:pt idx="1">
                  <c:v>440.4</c:v>
                </c:pt>
                <c:pt idx="2">
                  <c:v>374</c:v>
                </c:pt>
                <c:pt idx="3">
                  <c:v>376.7</c:v>
                </c:pt>
                <c:pt idx="4">
                  <c:v>388.58</c:v>
                </c:pt>
                <c:pt idx="5">
                  <c:v>404.7</c:v>
                </c:pt>
                <c:pt idx="6">
                  <c:v>371.8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86-41C2-A367-B2619570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71743"/>
        <c:axId val="1"/>
      </c:scatterChart>
      <c:scatterChart>
        <c:scatterStyle val="lineMarker"/>
        <c:varyColors val="0"/>
        <c:ser>
          <c:idx val="1"/>
          <c:order val="1"/>
          <c:tx>
            <c:v>peak current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FF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Mode val="edge"/>
                  <c:yMode val="edge"/>
                  <c:x val="0.59622593258929146"/>
                  <c:y val="0.8197794630888565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FF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'Spice analysis'!$D$63:$J$63</c:f>
              <c:numCache>
                <c:formatCode>General</c:formatCode>
                <c:ptCount val="7"/>
                <c:pt idx="0">
                  <c:v>13.5</c:v>
                </c:pt>
                <c:pt idx="1">
                  <c:v>27</c:v>
                </c:pt>
                <c:pt idx="2">
                  <c:v>6.75</c:v>
                </c:pt>
                <c:pt idx="3">
                  <c:v>9</c:v>
                </c:pt>
                <c:pt idx="4">
                  <c:v>15</c:v>
                </c:pt>
                <c:pt idx="5">
                  <c:v>20</c:v>
                </c:pt>
                <c:pt idx="6">
                  <c:v>5</c:v>
                </c:pt>
              </c:numCache>
            </c:numRef>
          </c:xVal>
          <c:yVal>
            <c:numRef>
              <c:f>'Spice analysis'!$D$65:$J$65</c:f>
              <c:numCache>
                <c:formatCode>General</c:formatCode>
                <c:ptCount val="7"/>
                <c:pt idx="0">
                  <c:v>56.14</c:v>
                </c:pt>
                <c:pt idx="1">
                  <c:v>42.62</c:v>
                </c:pt>
                <c:pt idx="2">
                  <c:v>66.319999999999993</c:v>
                </c:pt>
                <c:pt idx="3">
                  <c:v>62.57</c:v>
                </c:pt>
                <c:pt idx="4">
                  <c:v>54.25</c:v>
                </c:pt>
                <c:pt idx="5">
                  <c:v>48.75</c:v>
                </c:pt>
                <c:pt idx="6">
                  <c:v>69.5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86-41C2-A367-B2619570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95171743"/>
        <c:scaling>
          <c:orientation val="minMax"/>
          <c:max val="12"/>
          <c:min val="11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primary resistance (mohm)</a:t>
                </a:r>
              </a:p>
            </c:rich>
          </c:tx>
          <c:layout>
            <c:manualLayout>
              <c:xMode val="edge"/>
              <c:yMode val="edge"/>
              <c:x val="0.1964835459669256"/>
              <c:y val="0.837063969840730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  <c:majorUnit val="1"/>
        <c:minorUnit val="0.1"/>
      </c:valAx>
      <c:valAx>
        <c:axId val="1"/>
        <c:scaling>
          <c:orientation val="minMax"/>
          <c:max val="390"/>
          <c:min val="370"/>
        </c:scaling>
        <c:delete val="0"/>
        <c:axPos val="l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Time (us)</a:t>
                </a:r>
              </a:p>
            </c:rich>
          </c:tx>
          <c:layout>
            <c:manualLayout>
              <c:xMode val="edge"/>
              <c:yMode val="edge"/>
              <c:x val="4.7427062819602732E-2"/>
              <c:y val="0.395074440042822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71743"/>
        <c:crosses val="autoZero"/>
        <c:crossBetween val="midCat"/>
        <c:majorUnit val="10"/>
      </c:valAx>
      <c:valAx>
        <c:axId val="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"/>
        <c:crossesAt val="52"/>
        <c:crossBetween val="midCat"/>
      </c:valAx>
      <c:valAx>
        <c:axId val="4"/>
        <c:scaling>
          <c:orientation val="minMax"/>
          <c:max val="60"/>
          <c:min val="58"/>
        </c:scaling>
        <c:delete val="0"/>
        <c:axPos val="r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peak current</a:t>
                </a:r>
              </a:p>
            </c:rich>
          </c:tx>
          <c:layout>
            <c:manualLayout>
              <c:xMode val="edge"/>
              <c:yMode val="edge"/>
              <c:x val="0.61113158090402375"/>
              <c:y val="0.360505426539075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  <c:majorUnit val="1"/>
        <c:minorUnit val="0.5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210923310065585"/>
          <c:y val="0.16543742176793189"/>
          <c:w val="0.31166355567167509"/>
          <c:h val="0.288898184281313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pulse width and peak current vs. capacitance</a:t>
            </a:r>
          </a:p>
        </c:rich>
      </c:tx>
      <c:layout>
        <c:manualLayout>
          <c:xMode val="edge"/>
          <c:yMode val="edge"/>
          <c:x val="0.16667224933746103"/>
          <c:y val="3.96052139270620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63624739651112"/>
          <c:y val="0.23763128356237223"/>
          <c:w val="0.4078727402485835"/>
          <c:h val="0.51734310692224794"/>
        </c:manualLayout>
      </c:layout>
      <c:scatterChart>
        <c:scatterStyle val="lineMarker"/>
        <c:varyColors val="0"/>
        <c:ser>
          <c:idx val="0"/>
          <c:order val="0"/>
          <c:tx>
            <c:v>pulse width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66FF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Mode val="edge"/>
                  <c:yMode val="edge"/>
                  <c:x val="0.59487087365158853"/>
                  <c:y val="0.8193328631160959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'Spice analysis'!$D$3:$I$3</c:f>
              <c:numCache>
                <c:formatCode>General</c:formatCode>
                <c:ptCount val="6"/>
                <c:pt idx="0">
                  <c:v>4.8</c:v>
                </c:pt>
                <c:pt idx="1">
                  <c:v>9.6</c:v>
                </c:pt>
                <c:pt idx="2">
                  <c:v>7.2</c:v>
                </c:pt>
                <c:pt idx="3">
                  <c:v>2.4</c:v>
                </c:pt>
                <c:pt idx="4">
                  <c:v>3.6</c:v>
                </c:pt>
                <c:pt idx="5">
                  <c:v>6</c:v>
                </c:pt>
              </c:numCache>
            </c:numRef>
          </c:xVal>
          <c:yVal>
            <c:numRef>
              <c:f>'Spice analysis'!$D$4:$I$4</c:f>
              <c:numCache>
                <c:formatCode>General</c:formatCode>
                <c:ptCount val="6"/>
                <c:pt idx="0">
                  <c:v>385</c:v>
                </c:pt>
                <c:pt idx="1">
                  <c:v>570</c:v>
                </c:pt>
                <c:pt idx="2">
                  <c:v>482</c:v>
                </c:pt>
                <c:pt idx="3">
                  <c:v>266</c:v>
                </c:pt>
                <c:pt idx="4">
                  <c:v>330</c:v>
                </c:pt>
                <c:pt idx="5">
                  <c:v>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E4-4580-B145-64DD67C2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0511"/>
        <c:axId val="1"/>
      </c:scatterChart>
      <c:scatterChart>
        <c:scatterStyle val="lineMarker"/>
        <c:varyColors val="0"/>
        <c:ser>
          <c:idx val="1"/>
          <c:order val="1"/>
          <c:tx>
            <c:v>peak current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FF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Mode val="edge"/>
                  <c:yMode val="edge"/>
                  <c:x val="0.59487087365158853"/>
                  <c:y val="0.1113896641698619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FF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'Spice analysis'!$D$3:$I$3</c:f>
              <c:numCache>
                <c:formatCode>General</c:formatCode>
                <c:ptCount val="6"/>
                <c:pt idx="0">
                  <c:v>4.8</c:v>
                </c:pt>
                <c:pt idx="1">
                  <c:v>9.6</c:v>
                </c:pt>
                <c:pt idx="2">
                  <c:v>7.2</c:v>
                </c:pt>
                <c:pt idx="3">
                  <c:v>2.4</c:v>
                </c:pt>
                <c:pt idx="4">
                  <c:v>3.6</c:v>
                </c:pt>
                <c:pt idx="5">
                  <c:v>6</c:v>
                </c:pt>
              </c:numCache>
            </c:numRef>
          </c:xVal>
          <c:yVal>
            <c:numRef>
              <c:f>'Spice analysis'!$D$5:$I$5</c:f>
              <c:numCache>
                <c:formatCode>General</c:formatCode>
                <c:ptCount val="6"/>
                <c:pt idx="0">
                  <c:v>56.14</c:v>
                </c:pt>
                <c:pt idx="1">
                  <c:v>69.680000000000007</c:v>
                </c:pt>
                <c:pt idx="2">
                  <c:v>63.94</c:v>
                </c:pt>
                <c:pt idx="3">
                  <c:v>43.95</c:v>
                </c:pt>
                <c:pt idx="4">
                  <c:v>50.87</c:v>
                </c:pt>
                <c:pt idx="5">
                  <c:v>60.4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E4-4580-B145-64DD67C2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95160511"/>
        <c:scaling>
          <c:orientation val="minMax"/>
          <c:max val="5"/>
          <c:min val="4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capacitance (mF)</a:t>
                </a:r>
              </a:p>
            </c:rich>
          </c:tx>
          <c:layout>
            <c:manualLayout>
              <c:xMode val="edge"/>
              <c:yMode val="edge"/>
              <c:x val="0.23984543197341954"/>
              <c:y val="0.866364054654482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At val="330"/>
        <c:crossBetween val="midCat"/>
      </c:valAx>
      <c:valAx>
        <c:axId val="1"/>
        <c:scaling>
          <c:orientation val="minMax"/>
          <c:max val="390"/>
          <c:min val="340"/>
        </c:scaling>
        <c:delete val="0"/>
        <c:axPos val="l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Time (us)</a:t>
                </a:r>
              </a:p>
            </c:rich>
          </c:tx>
          <c:layout>
            <c:manualLayout>
              <c:xMode val="edge"/>
              <c:yMode val="edge"/>
              <c:x val="2.9811296629464575E-2"/>
              <c:y val="0.3861508357888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60511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60"/>
          <c:min val="50"/>
        </c:scaling>
        <c:delete val="0"/>
        <c:axPos val="r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current (KA)</a:t>
                </a:r>
              </a:p>
            </c:rich>
          </c:tx>
          <c:layout>
            <c:manualLayout>
              <c:xMode val="edge"/>
              <c:yMode val="edge"/>
              <c:x val="0.60571134515321201"/>
              <c:y val="0.356446925343558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346429203835878"/>
          <c:y val="0.3514962736026756"/>
          <c:w val="0.31166355567167509"/>
          <c:h val="0.289613126841641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pulse width and peak current vs. primary inductance</a:t>
            </a:r>
          </a:p>
        </c:rich>
      </c:tx>
      <c:layout>
        <c:manualLayout>
          <c:xMode val="edge"/>
          <c:yMode val="edge"/>
          <c:x val="0.11382495076704656"/>
          <c:y val="3.96052139270620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63624739651112"/>
          <c:y val="0.23763128356237223"/>
          <c:w val="0.4078727402485835"/>
          <c:h val="0.51734310692224794"/>
        </c:manualLayout>
      </c:layout>
      <c:scatterChart>
        <c:scatterStyle val="lineMarker"/>
        <c:varyColors val="0"/>
        <c:ser>
          <c:idx val="0"/>
          <c:order val="0"/>
          <c:tx>
            <c:v>pulse width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66FF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Mode val="edge"/>
                  <c:yMode val="edge"/>
                  <c:x val="0.6626238205367353"/>
                  <c:y val="0.7574497163550615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'Spice analysis'!$D$24:$I$24</c:f>
              <c:numCache>
                <c:formatCode>General</c:formatCode>
                <c:ptCount val="6"/>
                <c:pt idx="0">
                  <c:v>2.54</c:v>
                </c:pt>
                <c:pt idx="1">
                  <c:v>5.08</c:v>
                </c:pt>
                <c:pt idx="2">
                  <c:v>1.27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numCache>
            </c:numRef>
          </c:xVal>
          <c:yVal>
            <c:numRef>
              <c:f>'Spice analysis'!$D$25:$I$25</c:f>
              <c:numCache>
                <c:formatCode>General</c:formatCode>
                <c:ptCount val="6"/>
                <c:pt idx="0">
                  <c:v>384</c:v>
                </c:pt>
                <c:pt idx="1">
                  <c:v>514</c:v>
                </c:pt>
                <c:pt idx="2">
                  <c:v>300</c:v>
                </c:pt>
                <c:pt idx="3">
                  <c:v>411</c:v>
                </c:pt>
                <c:pt idx="4">
                  <c:v>463</c:v>
                </c:pt>
                <c:pt idx="5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7-4D15-A2E6-1271F008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75071"/>
        <c:axId val="1"/>
      </c:scatterChart>
      <c:scatterChart>
        <c:scatterStyle val="lineMarker"/>
        <c:varyColors val="0"/>
        <c:ser>
          <c:idx val="1"/>
          <c:order val="1"/>
          <c:tx>
            <c:v>peak current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FF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Mode val="edge"/>
                  <c:yMode val="edge"/>
                  <c:x val="0.59622593258929146"/>
                  <c:y val="0.7599250422255028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FF00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'Spice analysis'!$D$24:$I$24</c:f>
              <c:numCache>
                <c:formatCode>General</c:formatCode>
                <c:ptCount val="6"/>
                <c:pt idx="0">
                  <c:v>2.54</c:v>
                </c:pt>
                <c:pt idx="1">
                  <c:v>5.08</c:v>
                </c:pt>
                <c:pt idx="2">
                  <c:v>1.27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</c:numCache>
            </c:numRef>
          </c:xVal>
          <c:yVal>
            <c:numRef>
              <c:f>'Spice analysis'!$D$26:$I$26</c:f>
              <c:numCache>
                <c:formatCode>General</c:formatCode>
                <c:ptCount val="6"/>
                <c:pt idx="0">
                  <c:v>56.14</c:v>
                </c:pt>
                <c:pt idx="1">
                  <c:v>44.9</c:v>
                </c:pt>
                <c:pt idx="2">
                  <c:v>67.400000000000006</c:v>
                </c:pt>
                <c:pt idx="3">
                  <c:v>53.4</c:v>
                </c:pt>
                <c:pt idx="4">
                  <c:v>48.7</c:v>
                </c:pt>
                <c:pt idx="5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B7-4D15-A2E6-1271F008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995175071"/>
        <c:scaling>
          <c:orientation val="minMax"/>
          <c:max val="4"/>
          <c:min val="2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1E-6 Henry</a:t>
                </a:r>
              </a:p>
            </c:rich>
          </c:tx>
          <c:layout>
            <c:manualLayout>
              <c:xMode val="edge"/>
              <c:yMode val="edge"/>
              <c:x val="0.27643202329139877"/>
              <c:y val="0.866364054654482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At val="350"/>
        <c:crossBetween val="midCat"/>
      </c:valAx>
      <c:valAx>
        <c:axId val="1"/>
        <c:scaling>
          <c:orientation val="minMax"/>
          <c:max val="400"/>
          <c:min val="350"/>
        </c:scaling>
        <c:delete val="0"/>
        <c:axPos val="l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Time (us)</a:t>
                </a:r>
              </a:p>
            </c:rich>
          </c:tx>
          <c:layout>
            <c:manualLayout>
              <c:xMode val="edge"/>
              <c:yMode val="edge"/>
              <c:x val="2.9811296629464575E-2"/>
              <c:y val="0.3861508357888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995175071"/>
        <c:crossesAt val="2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60"/>
          <c:min val="50"/>
        </c:scaling>
        <c:delete val="0"/>
        <c:axPos val="r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peak current (KA)</a:t>
                </a:r>
              </a:p>
            </c:rich>
          </c:tx>
          <c:layout>
            <c:manualLayout>
              <c:xMode val="edge"/>
              <c:yMode val="edge"/>
              <c:x val="0.60571134515321201"/>
              <c:y val="0.294563778582523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  <c:majorUnit val="5"/>
        <c:minorUnit val="1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346429203835878"/>
          <c:y val="0.3514962736026756"/>
          <c:w val="0.31166355567167509"/>
          <c:h val="0.289613126841641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Calculated Gradient vs. Rogowski coil voltage</a:t>
            </a:r>
          </a:p>
        </c:rich>
      </c:tx>
      <c:layout>
        <c:manualLayout>
          <c:xMode val="edge"/>
          <c:yMode val="edge"/>
          <c:x val="0.3162962962962963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77777777777779E-2"/>
          <c:y val="0.11873638344226579"/>
          <c:w val="0.89629629629629626"/>
          <c:h val="0.78104575163398693"/>
        </c:manualLayout>
      </c:layout>
      <c:scatterChart>
        <c:scatterStyle val="lineMarker"/>
        <c:varyColors val="0"/>
        <c:ser>
          <c:idx val="0"/>
          <c:order val="0"/>
          <c:tx>
            <c:v>Gradient vs. Rogowski coil voltage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Data!$B$7:$B$59</c:f>
              <c:numCache>
                <c:formatCode>General</c:formatCode>
                <c:ptCount val="53"/>
                <c:pt idx="0">
                  <c:v>0.52800000000000002</c:v>
                </c:pt>
                <c:pt idx="1">
                  <c:v>0.52</c:v>
                </c:pt>
                <c:pt idx="2">
                  <c:v>0.51200000000000001</c:v>
                </c:pt>
                <c:pt idx="3">
                  <c:v>0.52</c:v>
                </c:pt>
                <c:pt idx="4">
                  <c:v>0.66</c:v>
                </c:pt>
                <c:pt idx="5">
                  <c:v>0.33600000000000002</c:v>
                </c:pt>
                <c:pt idx="6">
                  <c:v>0.52</c:v>
                </c:pt>
                <c:pt idx="7">
                  <c:v>0.51</c:v>
                </c:pt>
                <c:pt idx="8">
                  <c:v>0.65600000000000003</c:v>
                </c:pt>
                <c:pt idx="9">
                  <c:v>0.64800000000000002</c:v>
                </c:pt>
                <c:pt idx="10">
                  <c:v>0.52</c:v>
                </c:pt>
                <c:pt idx="11">
                  <c:v>0.64800000000000002</c:v>
                </c:pt>
                <c:pt idx="12">
                  <c:v>0.44800000000000001</c:v>
                </c:pt>
                <c:pt idx="13">
                  <c:v>0.52</c:v>
                </c:pt>
                <c:pt idx="14">
                  <c:v>0.64800000000000002</c:v>
                </c:pt>
                <c:pt idx="15">
                  <c:v>0.33200000000000002</c:v>
                </c:pt>
                <c:pt idx="16">
                  <c:v>0.32800000000000001</c:v>
                </c:pt>
                <c:pt idx="17">
                  <c:v>0.4</c:v>
                </c:pt>
                <c:pt idx="18">
                  <c:v>0.42399999999999999</c:v>
                </c:pt>
                <c:pt idx="19">
                  <c:v>0.44800000000000001</c:v>
                </c:pt>
                <c:pt idx="20">
                  <c:v>0.48</c:v>
                </c:pt>
                <c:pt idx="21">
                  <c:v>0.504</c:v>
                </c:pt>
                <c:pt idx="22">
                  <c:v>0.52800000000000002</c:v>
                </c:pt>
                <c:pt idx="23">
                  <c:v>0.6</c:v>
                </c:pt>
                <c:pt idx="24">
                  <c:v>0.252</c:v>
                </c:pt>
                <c:pt idx="25">
                  <c:v>0.32800000000000001</c:v>
                </c:pt>
                <c:pt idx="26">
                  <c:v>0.33200000000000002</c:v>
                </c:pt>
                <c:pt idx="27">
                  <c:v>0.26</c:v>
                </c:pt>
                <c:pt idx="28">
                  <c:v>0.30399999999999999</c:v>
                </c:pt>
                <c:pt idx="29">
                  <c:v>0.35599999999999998</c:v>
                </c:pt>
                <c:pt idx="30">
                  <c:v>0.4</c:v>
                </c:pt>
                <c:pt idx="31">
                  <c:v>0.42399999999999999</c:v>
                </c:pt>
                <c:pt idx="32">
                  <c:v>0.44</c:v>
                </c:pt>
                <c:pt idx="33">
                  <c:v>0.44800000000000001</c:v>
                </c:pt>
                <c:pt idx="34">
                  <c:v>0.29199999999999998</c:v>
                </c:pt>
                <c:pt idx="35">
                  <c:v>0.34399999999999997</c:v>
                </c:pt>
                <c:pt idx="36">
                  <c:v>0.4</c:v>
                </c:pt>
                <c:pt idx="37">
                  <c:v>0.504</c:v>
                </c:pt>
                <c:pt idx="38">
                  <c:v>0.52</c:v>
                </c:pt>
                <c:pt idx="39">
                  <c:v>0.58399999999999996</c:v>
                </c:pt>
                <c:pt idx="40">
                  <c:v>0.29599999999999999</c:v>
                </c:pt>
                <c:pt idx="41">
                  <c:v>0.33600000000000002</c:v>
                </c:pt>
                <c:pt idx="42">
                  <c:v>0.40799999999999997</c:v>
                </c:pt>
                <c:pt idx="43">
                  <c:v>0.45600000000000002</c:v>
                </c:pt>
                <c:pt idx="44">
                  <c:v>0.504</c:v>
                </c:pt>
                <c:pt idx="45">
                  <c:v>0.56000000000000005</c:v>
                </c:pt>
                <c:pt idx="46">
                  <c:v>0.59199999999999997</c:v>
                </c:pt>
                <c:pt idx="47">
                  <c:v>0.58399999999999996</c:v>
                </c:pt>
                <c:pt idx="48">
                  <c:v>0.58399999999999996</c:v>
                </c:pt>
                <c:pt idx="49">
                  <c:v>0.57599999999999996</c:v>
                </c:pt>
                <c:pt idx="50">
                  <c:v>0.60399999999999998</c:v>
                </c:pt>
                <c:pt idx="51">
                  <c:v>0.62</c:v>
                </c:pt>
                <c:pt idx="52">
                  <c:v>0.628</c:v>
                </c:pt>
              </c:numCache>
            </c:numRef>
          </c:xVal>
          <c:yVal>
            <c:numRef>
              <c:f>Data!$G$7:$G$59</c:f>
              <c:numCache>
                <c:formatCode>General</c:formatCode>
                <c:ptCount val="53"/>
                <c:pt idx="0">
                  <c:v>644.16390720000015</c:v>
                </c:pt>
                <c:pt idx="1">
                  <c:v>634.40384800000004</c:v>
                </c:pt>
                <c:pt idx="2">
                  <c:v>624.64378880000004</c:v>
                </c:pt>
                <c:pt idx="3">
                  <c:v>634.40384800000004</c:v>
                </c:pt>
                <c:pt idx="4">
                  <c:v>805.20488399999999</c:v>
                </c:pt>
                <c:pt idx="5">
                  <c:v>409.92248640000008</c:v>
                </c:pt>
                <c:pt idx="6">
                  <c:v>634.40384800000004</c:v>
                </c:pt>
                <c:pt idx="7">
                  <c:v>622.20377400000007</c:v>
                </c:pt>
                <c:pt idx="8">
                  <c:v>800.32485440000016</c:v>
                </c:pt>
                <c:pt idx="9">
                  <c:v>790.56479520000005</c:v>
                </c:pt>
                <c:pt idx="10">
                  <c:v>634.40384800000004</c:v>
                </c:pt>
                <c:pt idx="11">
                  <c:v>790.56479520000005</c:v>
                </c:pt>
                <c:pt idx="12">
                  <c:v>546.56331520000003</c:v>
                </c:pt>
                <c:pt idx="13">
                  <c:v>634.40384800000004</c:v>
                </c:pt>
                <c:pt idx="14">
                  <c:v>790.56479520000005</c:v>
                </c:pt>
                <c:pt idx="15">
                  <c:v>405.04245680000002</c:v>
                </c:pt>
                <c:pt idx="16">
                  <c:v>400.16242720000008</c:v>
                </c:pt>
                <c:pt idx="17">
                  <c:v>488.00296000000009</c:v>
                </c:pt>
                <c:pt idx="18">
                  <c:v>517.28313760000003</c:v>
                </c:pt>
                <c:pt idx="19">
                  <c:v>546.56331520000003</c:v>
                </c:pt>
                <c:pt idx="20">
                  <c:v>585.60355200000004</c:v>
                </c:pt>
                <c:pt idx="21">
                  <c:v>614.88372960000004</c:v>
                </c:pt>
                <c:pt idx="22">
                  <c:v>644.16390720000015</c:v>
                </c:pt>
                <c:pt idx="23">
                  <c:v>732.00444000000005</c:v>
                </c:pt>
                <c:pt idx="24">
                  <c:v>307.44186480000002</c:v>
                </c:pt>
                <c:pt idx="25">
                  <c:v>400.16242720000008</c:v>
                </c:pt>
                <c:pt idx="26">
                  <c:v>405.04245680000002</c:v>
                </c:pt>
                <c:pt idx="27">
                  <c:v>317.20192400000002</c:v>
                </c:pt>
                <c:pt idx="28">
                  <c:v>370.88224960000002</c:v>
                </c:pt>
                <c:pt idx="29">
                  <c:v>434.32263440000003</c:v>
                </c:pt>
                <c:pt idx="30">
                  <c:v>488.00296000000009</c:v>
                </c:pt>
                <c:pt idx="31">
                  <c:v>517.28313760000003</c:v>
                </c:pt>
                <c:pt idx="32">
                  <c:v>536.80325600000003</c:v>
                </c:pt>
                <c:pt idx="33">
                  <c:v>546.56331520000003</c:v>
                </c:pt>
                <c:pt idx="34">
                  <c:v>356.24216079999997</c:v>
                </c:pt>
                <c:pt idx="35">
                  <c:v>419.68254560000003</c:v>
                </c:pt>
                <c:pt idx="36">
                  <c:v>488.00296000000009</c:v>
                </c:pt>
                <c:pt idx="37">
                  <c:v>614.88372960000004</c:v>
                </c:pt>
                <c:pt idx="38">
                  <c:v>634.40384800000004</c:v>
                </c:pt>
                <c:pt idx="39">
                  <c:v>712.48432159999993</c:v>
                </c:pt>
                <c:pt idx="40">
                  <c:v>361.12219040000002</c:v>
                </c:pt>
                <c:pt idx="41">
                  <c:v>409.92248640000008</c:v>
                </c:pt>
                <c:pt idx="42">
                  <c:v>497.76301920000003</c:v>
                </c:pt>
                <c:pt idx="43">
                  <c:v>556.32337440000015</c:v>
                </c:pt>
                <c:pt idx="44">
                  <c:v>614.88372960000004</c:v>
                </c:pt>
                <c:pt idx="45">
                  <c:v>683.20414400000016</c:v>
                </c:pt>
                <c:pt idx="46">
                  <c:v>722.24438080000004</c:v>
                </c:pt>
                <c:pt idx="47">
                  <c:v>712.48432159999993</c:v>
                </c:pt>
                <c:pt idx="48">
                  <c:v>712.48432159999993</c:v>
                </c:pt>
                <c:pt idx="49">
                  <c:v>702.72426240000004</c:v>
                </c:pt>
                <c:pt idx="50">
                  <c:v>736.88446959999999</c:v>
                </c:pt>
                <c:pt idx="51">
                  <c:v>756.4045880000001</c:v>
                </c:pt>
                <c:pt idx="52">
                  <c:v>766.16464719999999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A-461F-B730-CA7B5EA71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59727"/>
        <c:axId val="1"/>
      </c:scatterChart>
      <c:valAx>
        <c:axId val="1526859727"/>
        <c:scaling>
          <c:orientation val="minMax"/>
          <c:min val="0.2"/>
        </c:scaling>
        <c:delete val="0"/>
        <c:axPos val="b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voltage</a:t>
                </a:r>
              </a:p>
            </c:rich>
          </c:tx>
          <c:layout>
            <c:manualLayout>
              <c:xMode val="edge"/>
              <c:yMode val="edge"/>
              <c:x val="0.50074074074074071"/>
              <c:y val="0.948801742919390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T/m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912854030501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85972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Calculated Gradient vs Bdot Voltage</a:t>
            </a:r>
          </a:p>
        </c:rich>
      </c:tx>
      <c:layout>
        <c:manualLayout>
          <c:xMode val="edge"/>
          <c:yMode val="edge"/>
          <c:x val="0.35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77777777777779E-2"/>
          <c:y val="0.11873638344226579"/>
          <c:w val="0.90666666666666662"/>
          <c:h val="0.78104575163398693"/>
        </c:manualLayout>
      </c:layout>
      <c:scatterChart>
        <c:scatterStyle val="lineMarker"/>
        <c:varyColors val="0"/>
        <c:ser>
          <c:idx val="0"/>
          <c:order val="0"/>
          <c:tx>
            <c:v>Gradient vs Bdot Voltage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Data!$C$7:$C$59</c:f>
              <c:numCache>
                <c:formatCode>General</c:formatCode>
                <c:ptCount val="53"/>
                <c:pt idx="0">
                  <c:v>3.9</c:v>
                </c:pt>
                <c:pt idx="1">
                  <c:v>3.84</c:v>
                </c:pt>
                <c:pt idx="2">
                  <c:v>3.84</c:v>
                </c:pt>
                <c:pt idx="3">
                  <c:v>3.92</c:v>
                </c:pt>
                <c:pt idx="4">
                  <c:v>4.96</c:v>
                </c:pt>
                <c:pt idx="5">
                  <c:v>3.64</c:v>
                </c:pt>
                <c:pt idx="6">
                  <c:v>3.92</c:v>
                </c:pt>
                <c:pt idx="7">
                  <c:v>3.92</c:v>
                </c:pt>
                <c:pt idx="8">
                  <c:v>4.96</c:v>
                </c:pt>
                <c:pt idx="9">
                  <c:v>5.04</c:v>
                </c:pt>
                <c:pt idx="10">
                  <c:v>3.92</c:v>
                </c:pt>
                <c:pt idx="11">
                  <c:v>5.04</c:v>
                </c:pt>
                <c:pt idx="12">
                  <c:v>3.32</c:v>
                </c:pt>
                <c:pt idx="13">
                  <c:v>3.92</c:v>
                </c:pt>
                <c:pt idx="14">
                  <c:v>4.96</c:v>
                </c:pt>
                <c:pt idx="15">
                  <c:v>2.5</c:v>
                </c:pt>
                <c:pt idx="16">
                  <c:v>2.6</c:v>
                </c:pt>
                <c:pt idx="17">
                  <c:v>3.08</c:v>
                </c:pt>
                <c:pt idx="18">
                  <c:v>3.28</c:v>
                </c:pt>
                <c:pt idx="19">
                  <c:v>3.56</c:v>
                </c:pt>
                <c:pt idx="20">
                  <c:v>3.76</c:v>
                </c:pt>
                <c:pt idx="21">
                  <c:v>3.92</c:v>
                </c:pt>
                <c:pt idx="22">
                  <c:v>4.16</c:v>
                </c:pt>
                <c:pt idx="23">
                  <c:v>4.72</c:v>
                </c:pt>
                <c:pt idx="24">
                  <c:v>1.92</c:v>
                </c:pt>
                <c:pt idx="25">
                  <c:v>2.48</c:v>
                </c:pt>
                <c:pt idx="26">
                  <c:v>2.52</c:v>
                </c:pt>
                <c:pt idx="27">
                  <c:v>1.92</c:v>
                </c:pt>
                <c:pt idx="28">
                  <c:v>2.2799999999999998</c:v>
                </c:pt>
                <c:pt idx="29">
                  <c:v>2.64</c:v>
                </c:pt>
                <c:pt idx="30">
                  <c:v>2.96</c:v>
                </c:pt>
                <c:pt idx="31">
                  <c:v>3.12</c:v>
                </c:pt>
                <c:pt idx="32">
                  <c:v>3.28</c:v>
                </c:pt>
                <c:pt idx="33">
                  <c:v>3.32</c:v>
                </c:pt>
                <c:pt idx="34">
                  <c:v>2.2400000000000002</c:v>
                </c:pt>
                <c:pt idx="35">
                  <c:v>2.64</c:v>
                </c:pt>
                <c:pt idx="36">
                  <c:v>3.04</c:v>
                </c:pt>
                <c:pt idx="37">
                  <c:v>3.8</c:v>
                </c:pt>
                <c:pt idx="38">
                  <c:v>4.04</c:v>
                </c:pt>
                <c:pt idx="39">
                  <c:v>4.5199999999999996</c:v>
                </c:pt>
                <c:pt idx="40">
                  <c:v>2.2000000000000002</c:v>
                </c:pt>
                <c:pt idx="41">
                  <c:v>2.68</c:v>
                </c:pt>
                <c:pt idx="42">
                  <c:v>3.08</c:v>
                </c:pt>
                <c:pt idx="43">
                  <c:v>3.44</c:v>
                </c:pt>
                <c:pt idx="44">
                  <c:v>3.88</c:v>
                </c:pt>
                <c:pt idx="45">
                  <c:v>4.24</c:v>
                </c:pt>
                <c:pt idx="46">
                  <c:v>4.4800000000000004</c:v>
                </c:pt>
                <c:pt idx="47">
                  <c:v>4.4000000000000004</c:v>
                </c:pt>
                <c:pt idx="48">
                  <c:v>4.4000000000000004</c:v>
                </c:pt>
                <c:pt idx="49">
                  <c:v>4.4000000000000004</c:v>
                </c:pt>
                <c:pt idx="50">
                  <c:v>4.6399999999999997</c:v>
                </c:pt>
                <c:pt idx="51">
                  <c:v>4.72</c:v>
                </c:pt>
                <c:pt idx="52">
                  <c:v>4.76</c:v>
                </c:pt>
              </c:numCache>
            </c:numRef>
          </c:xVal>
          <c:yVal>
            <c:numRef>
              <c:f>Data!$F$7:$F$59</c:f>
              <c:numCache>
                <c:formatCode>General</c:formatCode>
                <c:ptCount val="53"/>
                <c:pt idx="0">
                  <c:v>613.86</c:v>
                </c:pt>
                <c:pt idx="1">
                  <c:v>604.41600000000005</c:v>
                </c:pt>
                <c:pt idx="2">
                  <c:v>604.41600000000005</c:v>
                </c:pt>
                <c:pt idx="3">
                  <c:v>617.00800000000004</c:v>
                </c:pt>
                <c:pt idx="4">
                  <c:v>780.70400000000006</c:v>
                </c:pt>
                <c:pt idx="5">
                  <c:v>572.93600000000004</c:v>
                </c:pt>
                <c:pt idx="6">
                  <c:v>617.00800000000004</c:v>
                </c:pt>
                <c:pt idx="7">
                  <c:v>617.00800000000004</c:v>
                </c:pt>
                <c:pt idx="8">
                  <c:v>780.70400000000006</c:v>
                </c:pt>
                <c:pt idx="9">
                  <c:v>793.29600000000005</c:v>
                </c:pt>
                <c:pt idx="10">
                  <c:v>617.00800000000004</c:v>
                </c:pt>
                <c:pt idx="11">
                  <c:v>793.29600000000005</c:v>
                </c:pt>
                <c:pt idx="12">
                  <c:v>522.56799999999998</c:v>
                </c:pt>
                <c:pt idx="13">
                  <c:v>617.00800000000004</c:v>
                </c:pt>
                <c:pt idx="14">
                  <c:v>780.70400000000006</c:v>
                </c:pt>
                <c:pt idx="15">
                  <c:v>393.5</c:v>
                </c:pt>
                <c:pt idx="16">
                  <c:v>409.24</c:v>
                </c:pt>
                <c:pt idx="17">
                  <c:v>484.79200000000003</c:v>
                </c:pt>
                <c:pt idx="18">
                  <c:v>516.27199999999993</c:v>
                </c:pt>
                <c:pt idx="19">
                  <c:v>560.34400000000005</c:v>
                </c:pt>
                <c:pt idx="20">
                  <c:v>591.82399999999996</c:v>
                </c:pt>
                <c:pt idx="21">
                  <c:v>617.00800000000004</c:v>
                </c:pt>
                <c:pt idx="22">
                  <c:v>654.78399999999999</c:v>
                </c:pt>
                <c:pt idx="23">
                  <c:v>742.928</c:v>
                </c:pt>
                <c:pt idx="24">
                  <c:v>302.20800000000003</c:v>
                </c:pt>
                <c:pt idx="25">
                  <c:v>390.35200000000003</c:v>
                </c:pt>
                <c:pt idx="26">
                  <c:v>396.64800000000002</c:v>
                </c:pt>
                <c:pt idx="27">
                  <c:v>302.20800000000003</c:v>
                </c:pt>
                <c:pt idx="28">
                  <c:v>358.87199999999996</c:v>
                </c:pt>
                <c:pt idx="29">
                  <c:v>415.53600000000006</c:v>
                </c:pt>
                <c:pt idx="30">
                  <c:v>465.904</c:v>
                </c:pt>
                <c:pt idx="31">
                  <c:v>491.08800000000002</c:v>
                </c:pt>
                <c:pt idx="32">
                  <c:v>516.27199999999993</c:v>
                </c:pt>
                <c:pt idx="33">
                  <c:v>522.56799999999998</c:v>
                </c:pt>
                <c:pt idx="34">
                  <c:v>352.57600000000002</c:v>
                </c:pt>
                <c:pt idx="35">
                  <c:v>415.53600000000006</c:v>
                </c:pt>
                <c:pt idx="36">
                  <c:v>478.49600000000004</c:v>
                </c:pt>
                <c:pt idx="37">
                  <c:v>598.12</c:v>
                </c:pt>
                <c:pt idx="38">
                  <c:v>635.89600000000007</c:v>
                </c:pt>
                <c:pt idx="39">
                  <c:v>711.44799999999998</c:v>
                </c:pt>
                <c:pt idx="40">
                  <c:v>346.28000000000003</c:v>
                </c:pt>
                <c:pt idx="41">
                  <c:v>421.83200000000005</c:v>
                </c:pt>
                <c:pt idx="42">
                  <c:v>484.79200000000003</c:v>
                </c:pt>
                <c:pt idx="43">
                  <c:v>541.45600000000002</c:v>
                </c:pt>
                <c:pt idx="44">
                  <c:v>610.71199999999999</c:v>
                </c:pt>
                <c:pt idx="45">
                  <c:v>667.37600000000009</c:v>
                </c:pt>
                <c:pt idx="46">
                  <c:v>705.15200000000004</c:v>
                </c:pt>
                <c:pt idx="47">
                  <c:v>692.56000000000006</c:v>
                </c:pt>
                <c:pt idx="48">
                  <c:v>692.56000000000006</c:v>
                </c:pt>
                <c:pt idx="49">
                  <c:v>692.56000000000006</c:v>
                </c:pt>
                <c:pt idx="50">
                  <c:v>730.33600000000001</c:v>
                </c:pt>
                <c:pt idx="51">
                  <c:v>742.928</c:v>
                </c:pt>
                <c:pt idx="52">
                  <c:v>749.22400000000005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9-4764-80A2-D068CF7F2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8879"/>
        <c:axId val="1"/>
      </c:scatterChart>
      <c:valAx>
        <c:axId val="1526868879"/>
        <c:scaling>
          <c:orientation val="minMax"/>
        </c:scaling>
        <c:delete val="0"/>
        <c:axPos val="b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volts</a:t>
                </a:r>
              </a:p>
            </c:rich>
          </c:tx>
          <c:layout>
            <c:manualLayout>
              <c:xMode val="edge"/>
              <c:yMode val="edge"/>
              <c:x val="0.51407407407407413"/>
              <c:y val="0.948801742919390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T/m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912854030501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6868879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Panel Mounted Volt Meter vs. Test Probe</a:t>
            </a:r>
          </a:p>
        </c:rich>
      </c:tx>
      <c:layout>
        <c:manualLayout>
          <c:xMode val="edge"/>
          <c:yMode val="edge"/>
          <c:x val="0.19941986704769415"/>
          <c:y val="3.16102224404709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26090088146414"/>
          <c:y val="0.17960353659358477"/>
          <c:w val="0.57088824684241857"/>
          <c:h val="0.6436990751514079"/>
        </c:manualLayout>
      </c:layout>
      <c:scatterChart>
        <c:scatterStyle val="lineMarker"/>
        <c:varyColors val="0"/>
        <c:ser>
          <c:idx val="0"/>
          <c:order val="0"/>
          <c:tx>
            <c:v>Capacitor Voltage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name>Forced fit through 0</c:nam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Mode val="edge"/>
                  <c:yMode val="edge"/>
                  <c:x val="0.53276386049506519"/>
                  <c:y val="0.2126505873268043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trendline>
            <c:name>unforced fit</c:name>
            <c:spPr>
              <a:ln w="25400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2679122134835805"/>
                  <c:y val="0.329033679039447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10-02'!$C$3:$C$10</c:f>
              <c:numCache>
                <c:formatCode>General</c:formatCode>
                <c:ptCount val="8"/>
                <c:pt idx="0">
                  <c:v>2.31</c:v>
                </c:pt>
                <c:pt idx="1">
                  <c:v>1.59</c:v>
                </c:pt>
                <c:pt idx="2">
                  <c:v>1.76</c:v>
                </c:pt>
                <c:pt idx="3">
                  <c:v>1.96</c:v>
                </c:pt>
                <c:pt idx="4">
                  <c:v>2.17</c:v>
                </c:pt>
                <c:pt idx="5">
                  <c:v>2.37</c:v>
                </c:pt>
                <c:pt idx="6">
                  <c:v>2.2599999999999998</c:v>
                </c:pt>
                <c:pt idx="7">
                  <c:v>2.25</c:v>
                </c:pt>
              </c:numCache>
            </c:numRef>
          </c:xVal>
          <c:yVal>
            <c:numRef>
              <c:f>'HV measurements 10-02'!$D$3:$D$10</c:f>
              <c:numCache>
                <c:formatCode>General</c:formatCode>
                <c:ptCount val="8"/>
                <c:pt idx="0">
                  <c:v>2</c:v>
                </c:pt>
                <c:pt idx="1">
                  <c:v>1.32</c:v>
                </c:pt>
                <c:pt idx="2">
                  <c:v>1.47</c:v>
                </c:pt>
                <c:pt idx="3">
                  <c:v>1.64</c:v>
                </c:pt>
                <c:pt idx="4">
                  <c:v>1.81</c:v>
                </c:pt>
                <c:pt idx="5">
                  <c:v>2.02</c:v>
                </c:pt>
                <c:pt idx="6">
                  <c:v>1.95</c:v>
                </c:pt>
                <c:pt idx="7">
                  <c:v>1.92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66-4D0A-9C32-6322D6E77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2639"/>
        <c:axId val="1"/>
      </c:scatterChart>
      <c:valAx>
        <c:axId val="1526862639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1000:1 probe</a:t>
                </a:r>
              </a:p>
            </c:rich>
          </c:tx>
          <c:layout>
            <c:manualLayout>
              <c:xMode val="edge"/>
              <c:yMode val="edge"/>
              <c:x val="0.33236644507949026"/>
              <c:y val="0.908075481017164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.5"/>
          <c:min val="1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Panel meter</a:t>
                </a:r>
              </a:p>
            </c:rich>
          </c:tx>
          <c:layout>
            <c:manualLayout>
              <c:xMode val="edge"/>
              <c:yMode val="edge"/>
              <c:x val="2.1506064093378779E-2"/>
              <c:y val="0.40231192196962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2639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534088896759341"/>
          <c:y val="0.42386434636086007"/>
          <c:w val="0.26393805932783049"/>
          <c:h val="0.156614283909605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Rogowski Coil vs Volt Meters</a:t>
            </a:r>
          </a:p>
        </c:rich>
      </c:tx>
      <c:layout>
        <c:manualLayout>
          <c:xMode val="edge"/>
          <c:yMode val="edge"/>
          <c:x val="0.29619715546789865"/>
          <c:y val="3.16102224404709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72206171060464"/>
          <c:y val="0.1982823043993176"/>
          <c:w val="0.5444944409096355"/>
          <c:h val="0.63076762051666979"/>
        </c:manualLayout>
      </c:layout>
      <c:scatterChart>
        <c:scatterStyle val="lineMarker"/>
        <c:varyColors val="0"/>
        <c:ser>
          <c:idx val="0"/>
          <c:order val="0"/>
          <c:tx>
            <c:v>Panel Volts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19159948010464731"/>
                  <c:y val="0.2342030117180345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10-02'!$D$3:$D$10</c:f>
              <c:numCache>
                <c:formatCode>General</c:formatCode>
                <c:ptCount val="8"/>
                <c:pt idx="0">
                  <c:v>2</c:v>
                </c:pt>
                <c:pt idx="1">
                  <c:v>1.32</c:v>
                </c:pt>
                <c:pt idx="2">
                  <c:v>1.47</c:v>
                </c:pt>
                <c:pt idx="3">
                  <c:v>1.64</c:v>
                </c:pt>
                <c:pt idx="4">
                  <c:v>1.81</c:v>
                </c:pt>
                <c:pt idx="5">
                  <c:v>2.02</c:v>
                </c:pt>
                <c:pt idx="6">
                  <c:v>1.95</c:v>
                </c:pt>
                <c:pt idx="7">
                  <c:v>1.92</c:v>
                </c:pt>
              </c:numCache>
            </c:numRef>
          </c:xVal>
          <c:yVal>
            <c:numRef>
              <c:f>'HV measurements 10-02'!$E$3:$E$10</c:f>
              <c:numCache>
                <c:formatCode>0.000</c:formatCode>
                <c:ptCount val="8"/>
                <c:pt idx="0">
                  <c:v>0.63200000000000001</c:v>
                </c:pt>
                <c:pt idx="1">
                  <c:v>0.432</c:v>
                </c:pt>
                <c:pt idx="2">
                  <c:v>0.48799999999999999</c:v>
                </c:pt>
                <c:pt idx="3">
                  <c:v>0.54400000000000004</c:v>
                </c:pt>
                <c:pt idx="4">
                  <c:v>0.6</c:v>
                </c:pt>
                <c:pt idx="5">
                  <c:v>0.66400000000000003</c:v>
                </c:pt>
                <c:pt idx="6">
                  <c:v>0.63200000000000001</c:v>
                </c:pt>
                <c:pt idx="7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3-4C26-93E6-1BA0510C9C61}"/>
            </c:ext>
          </c:extLst>
        </c:ser>
        <c:ser>
          <c:idx val="1"/>
          <c:order val="1"/>
          <c:tx>
            <c:v>1000:1 probe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1907818334473332"/>
                  <c:y val="0.6824934390556222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10-02'!$C$3:$C$10</c:f>
              <c:numCache>
                <c:formatCode>General</c:formatCode>
                <c:ptCount val="8"/>
                <c:pt idx="0">
                  <c:v>2.31</c:v>
                </c:pt>
                <c:pt idx="1">
                  <c:v>1.59</c:v>
                </c:pt>
                <c:pt idx="2">
                  <c:v>1.76</c:v>
                </c:pt>
                <c:pt idx="3">
                  <c:v>1.96</c:v>
                </c:pt>
                <c:pt idx="4">
                  <c:v>2.17</c:v>
                </c:pt>
                <c:pt idx="5">
                  <c:v>2.37</c:v>
                </c:pt>
                <c:pt idx="6">
                  <c:v>2.2599999999999998</c:v>
                </c:pt>
                <c:pt idx="7">
                  <c:v>2.25</c:v>
                </c:pt>
              </c:numCache>
            </c:numRef>
          </c:xVal>
          <c:yVal>
            <c:numRef>
              <c:f>'HV measurements 10-02'!$E$3:$E$10</c:f>
              <c:numCache>
                <c:formatCode>0.000</c:formatCode>
                <c:ptCount val="8"/>
                <c:pt idx="0">
                  <c:v>0.63200000000000001</c:v>
                </c:pt>
                <c:pt idx="1">
                  <c:v>0.432</c:v>
                </c:pt>
                <c:pt idx="2">
                  <c:v>0.48799999999999999</c:v>
                </c:pt>
                <c:pt idx="3">
                  <c:v>0.54400000000000004</c:v>
                </c:pt>
                <c:pt idx="4">
                  <c:v>0.6</c:v>
                </c:pt>
                <c:pt idx="5">
                  <c:v>0.66400000000000003</c:v>
                </c:pt>
                <c:pt idx="6">
                  <c:v>0.63200000000000001</c:v>
                </c:pt>
                <c:pt idx="7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03-4C26-93E6-1BA0510C9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6799"/>
        <c:axId val="1"/>
      </c:scatterChart>
      <c:valAx>
        <c:axId val="1526866799"/>
        <c:scaling>
          <c:orientation val="minMax"/>
          <c:min val="1.2"/>
        </c:scaling>
        <c:delete val="0"/>
        <c:axPos val="b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Kilovolts</a:t>
                </a:r>
              </a:p>
            </c:rich>
          </c:tx>
          <c:layout>
            <c:manualLayout>
              <c:xMode val="edge"/>
              <c:yMode val="edge"/>
              <c:x val="0.36951328305896269"/>
              <c:y val="0.886523056625934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.4"/>
        </c:scaling>
        <c:delete val="0"/>
        <c:axPos val="l"/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Rogowski Coil (V)</a:t>
                </a:r>
              </a:p>
            </c:rich>
          </c:tx>
          <c:layout>
            <c:manualLayout>
              <c:xMode val="edge"/>
              <c:yMode val="edge"/>
              <c:x val="4.3989676554638417E-2"/>
              <c:y val="0.3951277805058864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6799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090217977057212"/>
          <c:y val="0.31322856781921188"/>
          <c:w val="0.23363405992352401"/>
          <c:h val="0.162361597080600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Bdot vs. Volt Meters</a:t>
            </a:r>
          </a:p>
        </c:rich>
      </c:tx>
      <c:layout>
        <c:manualLayout>
          <c:xMode val="edge"/>
          <c:yMode val="edge"/>
          <c:x val="0.35093986406922645"/>
          <c:y val="3.0076126523861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902966391524"/>
          <c:y val="0.1616591800657548"/>
          <c:w val="0.54058424743811206"/>
          <c:h val="0.68423187841784594"/>
        </c:manualLayout>
      </c:layout>
      <c:scatterChart>
        <c:scatterStyle val="lineMarker"/>
        <c:varyColors val="0"/>
        <c:ser>
          <c:idx val="0"/>
          <c:order val="0"/>
          <c:tx>
            <c:v>1000:1 probe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45651508780035865"/>
                  <c:y val="0.6303454850625943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10-02'!$C$3:$C$10</c:f>
              <c:numCache>
                <c:formatCode>General</c:formatCode>
                <c:ptCount val="8"/>
                <c:pt idx="0">
                  <c:v>2.31</c:v>
                </c:pt>
                <c:pt idx="1">
                  <c:v>1.59</c:v>
                </c:pt>
                <c:pt idx="2">
                  <c:v>1.76</c:v>
                </c:pt>
                <c:pt idx="3">
                  <c:v>1.96</c:v>
                </c:pt>
                <c:pt idx="4">
                  <c:v>2.17</c:v>
                </c:pt>
                <c:pt idx="5">
                  <c:v>2.37</c:v>
                </c:pt>
                <c:pt idx="6">
                  <c:v>2.2599999999999998</c:v>
                </c:pt>
                <c:pt idx="7">
                  <c:v>2.25</c:v>
                </c:pt>
              </c:numCache>
            </c:numRef>
          </c:xVal>
          <c:yVal>
            <c:numRef>
              <c:f>'HV measurements 10-02'!$F$3:$F$10</c:f>
              <c:numCache>
                <c:formatCode>0.00</c:formatCode>
                <c:ptCount val="8"/>
                <c:pt idx="0">
                  <c:v>4.24</c:v>
                </c:pt>
                <c:pt idx="1">
                  <c:v>2.88</c:v>
                </c:pt>
                <c:pt idx="2">
                  <c:v>3.2</c:v>
                </c:pt>
                <c:pt idx="3">
                  <c:v>3.6</c:v>
                </c:pt>
                <c:pt idx="4">
                  <c:v>4</c:v>
                </c:pt>
                <c:pt idx="5">
                  <c:v>4.4000000000000004</c:v>
                </c:pt>
                <c:pt idx="6">
                  <c:v>4.24</c:v>
                </c:pt>
                <c:pt idx="7">
                  <c:v>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E-4453-AFC7-48E428B75CD7}"/>
            </c:ext>
          </c:extLst>
        </c:ser>
        <c:ser>
          <c:idx val="1"/>
          <c:order val="1"/>
          <c:tx>
            <c:v>Panel Meter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17009341601126854"/>
                  <c:y val="0.2782041703457175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10-02'!$D$3:$D$10</c:f>
              <c:numCache>
                <c:formatCode>General</c:formatCode>
                <c:ptCount val="8"/>
                <c:pt idx="0">
                  <c:v>2</c:v>
                </c:pt>
                <c:pt idx="1">
                  <c:v>1.32</c:v>
                </c:pt>
                <c:pt idx="2">
                  <c:v>1.47</c:v>
                </c:pt>
                <c:pt idx="3">
                  <c:v>1.64</c:v>
                </c:pt>
                <c:pt idx="4">
                  <c:v>1.81</c:v>
                </c:pt>
                <c:pt idx="5">
                  <c:v>2.02</c:v>
                </c:pt>
                <c:pt idx="6">
                  <c:v>1.95</c:v>
                </c:pt>
                <c:pt idx="7">
                  <c:v>1.92</c:v>
                </c:pt>
              </c:numCache>
            </c:numRef>
          </c:xVal>
          <c:yVal>
            <c:numRef>
              <c:f>'HV measurements 10-02'!$F$3:$F$10</c:f>
              <c:numCache>
                <c:formatCode>0.00</c:formatCode>
                <c:ptCount val="8"/>
                <c:pt idx="0">
                  <c:v>4.24</c:v>
                </c:pt>
                <c:pt idx="1">
                  <c:v>2.88</c:v>
                </c:pt>
                <c:pt idx="2">
                  <c:v>3.2</c:v>
                </c:pt>
                <c:pt idx="3">
                  <c:v>3.6</c:v>
                </c:pt>
                <c:pt idx="4">
                  <c:v>4</c:v>
                </c:pt>
                <c:pt idx="5">
                  <c:v>4.4000000000000004</c:v>
                </c:pt>
                <c:pt idx="6">
                  <c:v>4.24</c:v>
                </c:pt>
                <c:pt idx="7">
                  <c:v>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8E-4453-AFC7-48E428B75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55983"/>
        <c:axId val="1"/>
      </c:scatterChart>
      <c:valAx>
        <c:axId val="1526855983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Kilovolts</a:t>
                </a:r>
              </a:p>
            </c:rich>
          </c:tx>
          <c:layout>
            <c:manualLayout>
              <c:xMode val="edge"/>
              <c:yMode val="edge"/>
              <c:x val="0.35485005754074989"/>
              <c:y val="0.919828202854759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Bdot (V)</a:t>
                </a:r>
              </a:p>
            </c:rich>
          </c:tx>
          <c:layout>
            <c:manualLayout>
              <c:xMode val="edge"/>
              <c:yMode val="edge"/>
              <c:x val="2.1506064093378779E-2"/>
              <c:y val="0.443622866226955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55983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7745018345738"/>
          <c:y val="0.41354673970309369"/>
          <c:w val="0.28153392994968585"/>
          <c:h val="0.181709931081662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Test Probe Voltage vs. Pot Setting</a:t>
            </a:r>
          </a:p>
        </c:rich>
      </c:tx>
      <c:layout>
        <c:manualLayout>
          <c:xMode val="edge"/>
          <c:yMode val="edge"/>
          <c:x val="0.24903146037485197"/>
          <c:y val="3.16556937443716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14446339502723"/>
          <c:y val="0.17986189627483881"/>
          <c:w val="0.8515899350857683"/>
          <c:h val="0.6431861410788235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'HV measurements 10-02'!$B$3:$B$10</c:f>
              <c:numCache>
                <c:formatCode>General</c:formatCode>
                <c:ptCount val="8"/>
                <c:pt idx="0">
                  <c:v>5.5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5.45</c:v>
                </c:pt>
                <c:pt idx="7">
                  <c:v>5.3</c:v>
                </c:pt>
              </c:numCache>
            </c:numRef>
          </c:xVal>
          <c:yVal>
            <c:numRef>
              <c:f>'HV measurements 10-02'!$C$3:$C$10</c:f>
              <c:numCache>
                <c:formatCode>General</c:formatCode>
                <c:ptCount val="8"/>
                <c:pt idx="0">
                  <c:v>2.31</c:v>
                </c:pt>
                <c:pt idx="1">
                  <c:v>1.59</c:v>
                </c:pt>
                <c:pt idx="2">
                  <c:v>1.76</c:v>
                </c:pt>
                <c:pt idx="3">
                  <c:v>1.96</c:v>
                </c:pt>
                <c:pt idx="4">
                  <c:v>2.17</c:v>
                </c:pt>
                <c:pt idx="5">
                  <c:v>2.37</c:v>
                </c:pt>
                <c:pt idx="6">
                  <c:v>2.2599999999999998</c:v>
                </c:pt>
                <c:pt idx="7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3-4A89-9336-06099E80F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57231"/>
        <c:axId val="1"/>
      </c:scatterChart>
      <c:valAx>
        <c:axId val="1526857231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Potentiameter</a:t>
                </a:r>
              </a:p>
            </c:rich>
          </c:tx>
          <c:layout>
            <c:manualLayout>
              <c:xMode val="edge"/>
              <c:yMode val="edge"/>
              <c:x val="0.46876510188207432"/>
              <c:y val="0.90794285239538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1.5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Test Probe Volts</a:t>
                </a:r>
              </a:p>
            </c:rich>
          </c:tx>
          <c:layout>
            <c:manualLayout>
              <c:xMode val="edge"/>
              <c:yMode val="edge"/>
              <c:x val="2.1485067169595074E-2"/>
              <c:y val="0.368357163570869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57231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Voltages vs. Pot setting</a:t>
            </a:r>
          </a:p>
        </c:rich>
      </c:tx>
      <c:layout>
        <c:manualLayout>
          <c:xMode val="edge"/>
          <c:yMode val="edge"/>
          <c:x val="0.22814693351722723"/>
          <c:y val="4.47344532594922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5448744730642"/>
          <c:y val="0.20635570374539983"/>
          <c:w val="0.41177739220182474"/>
          <c:h val="0.56567437670067644"/>
        </c:manualLayout>
      </c:layout>
      <c:scatterChart>
        <c:scatterStyle val="lineMarker"/>
        <c:varyColors val="0"/>
        <c:ser>
          <c:idx val="0"/>
          <c:order val="0"/>
          <c:tx>
            <c:v>1000:1 probe (KV)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99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81083579159432673"/>
                  <c:y val="0.7287386740659224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3399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10-02'!$B$13:$B$19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5.28</c:v>
                </c:pt>
              </c:numCache>
            </c:numRef>
          </c:xVal>
          <c:yVal>
            <c:numRef>
              <c:f>'HV measurements 10-02'!$C$13:$C$19</c:f>
              <c:numCache>
                <c:formatCode>General</c:formatCode>
                <c:ptCount val="7"/>
                <c:pt idx="0">
                  <c:v>1.18</c:v>
                </c:pt>
                <c:pt idx="1">
                  <c:v>1.4</c:v>
                </c:pt>
                <c:pt idx="2">
                  <c:v>1.64</c:v>
                </c:pt>
                <c:pt idx="3">
                  <c:v>1.84</c:v>
                </c:pt>
                <c:pt idx="4">
                  <c:v>2.0299999999999998</c:v>
                </c:pt>
                <c:pt idx="5">
                  <c:v>2.21</c:v>
                </c:pt>
                <c:pt idx="6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1A-40F6-8B42-2C7B2A5E904F}"/>
            </c:ext>
          </c:extLst>
        </c:ser>
        <c:ser>
          <c:idx val="1"/>
          <c:order val="1"/>
          <c:tx>
            <c:v>Panel meter (KV)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66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81481047684724006"/>
                  <c:y val="0.8614989869650607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3366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10-02'!$B$13:$B$19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5.28</c:v>
                </c:pt>
              </c:numCache>
            </c:numRef>
          </c:xVal>
          <c:yVal>
            <c:numRef>
              <c:f>'HV measurements 10-02'!$D$13:$D$19</c:f>
              <c:numCache>
                <c:formatCode>General</c:formatCode>
                <c:ptCount val="7"/>
                <c:pt idx="0">
                  <c:v>1.05</c:v>
                </c:pt>
                <c:pt idx="1">
                  <c:v>1.17</c:v>
                </c:pt>
                <c:pt idx="2">
                  <c:v>1.32</c:v>
                </c:pt>
                <c:pt idx="3">
                  <c:v>1.5</c:v>
                </c:pt>
                <c:pt idx="4">
                  <c:v>1.7</c:v>
                </c:pt>
                <c:pt idx="5">
                  <c:v>1.85</c:v>
                </c:pt>
                <c:pt idx="6">
                  <c:v>1.92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1A-40F6-8B42-2C7B2A5E904F}"/>
            </c:ext>
          </c:extLst>
        </c:ser>
        <c:ser>
          <c:idx val="3"/>
          <c:order val="3"/>
          <c:tx>
            <c:v>Bdot (V)</c:v>
          </c:tx>
          <c:spPr>
            <a:ln w="19050">
              <a:noFill/>
            </a:ln>
          </c:spPr>
          <c:marker>
            <c:symbol val="x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81481047684724006"/>
                  <c:y val="0.4891928920957380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FF0000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10-02'!$B$13:$B$19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5.28</c:v>
                </c:pt>
              </c:numCache>
            </c:numRef>
          </c:xVal>
          <c:yVal>
            <c:numRef>
              <c:f>'HV measurements 10-02'!$F$13:$F$19</c:f>
              <c:numCache>
                <c:formatCode>General</c:formatCode>
                <c:ptCount val="7"/>
                <c:pt idx="0">
                  <c:v>2.08</c:v>
                </c:pt>
                <c:pt idx="1">
                  <c:v>2.64</c:v>
                </c:pt>
                <c:pt idx="2">
                  <c:v>3.04</c:v>
                </c:pt>
                <c:pt idx="3">
                  <c:v>3.36</c:v>
                </c:pt>
                <c:pt idx="4">
                  <c:v>3.8</c:v>
                </c:pt>
                <c:pt idx="5">
                  <c:v>4.12</c:v>
                </c:pt>
                <c:pt idx="6">
                  <c:v>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1A-40F6-8B42-2C7B2A5E9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5135"/>
        <c:axId val="1"/>
      </c:scatterChart>
      <c:scatterChart>
        <c:scatterStyle val="lineMarker"/>
        <c:varyColors val="0"/>
        <c:ser>
          <c:idx val="2"/>
          <c:order val="2"/>
          <c:tx>
            <c:v>Rogowski coil (V)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CC99FF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82196491030248409"/>
                  <c:y val="0.6147379705981840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CC99FF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10-02'!$B$13:$B$19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5.28</c:v>
                </c:pt>
              </c:numCache>
            </c:numRef>
          </c:xVal>
          <c:yVal>
            <c:numRef>
              <c:f>'HV measurements 10-02'!$E$13:$E$19</c:f>
              <c:numCache>
                <c:formatCode>General</c:formatCode>
                <c:ptCount val="7"/>
                <c:pt idx="0">
                  <c:v>0.32800000000000001</c:v>
                </c:pt>
                <c:pt idx="1">
                  <c:v>0.39200000000000002</c:v>
                </c:pt>
                <c:pt idx="2">
                  <c:v>0.45200000000000001</c:v>
                </c:pt>
                <c:pt idx="3">
                  <c:v>0.51200000000000001</c:v>
                </c:pt>
                <c:pt idx="4">
                  <c:v>0.56399999999999995</c:v>
                </c:pt>
                <c:pt idx="5">
                  <c:v>0.62</c:v>
                </c:pt>
                <c:pt idx="6">
                  <c:v>0.628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1A-40F6-8B42-2C7B2A5E9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26865135"/>
        <c:scaling>
          <c:orientation val="minMax"/>
          <c:max val="6"/>
        </c:scaling>
        <c:delete val="0"/>
        <c:axPos val="b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 setting</a:t>
                </a:r>
              </a:p>
            </c:rich>
          </c:tx>
          <c:layout>
            <c:manualLayout>
              <c:xMode val="edge"/>
              <c:yMode val="edge"/>
              <c:x val="0.29810139396850244"/>
              <c:y val="0.884587737034476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7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voltage</a:t>
                </a:r>
              </a:p>
            </c:rich>
          </c:tx>
          <c:layout>
            <c:manualLayout>
              <c:xMode val="edge"/>
              <c:yMode val="edge"/>
              <c:x val="4.0541789579716332E-2"/>
              <c:y val="0.435800157560215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7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5135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Rogowski</a:t>
                </a:r>
              </a:p>
            </c:rich>
          </c:tx>
          <c:layout>
            <c:manualLayout>
              <c:xMode val="edge"/>
              <c:yMode val="edge"/>
              <c:x val="0.60733190664516234"/>
              <c:y val="0.419926641887491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7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464840847382327"/>
          <c:y val="1.1544375034707682E-2"/>
          <c:w val="0.16534690652119605"/>
          <c:h val="0.46899023578499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MathSoftText"/>
              <a:ea typeface="MathSoftText"/>
              <a:cs typeface="MathSoftTex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55" verticalDpi="355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r>
              <a:rPr lang="en-GB"/>
              <a:t>Cap bank voltage vs. Pot setting</a:t>
            </a:r>
          </a:p>
        </c:rich>
      </c:tx>
      <c:layout>
        <c:manualLayout>
          <c:xMode val="edge"/>
          <c:yMode val="edge"/>
          <c:x val="0.33678565141679395"/>
          <c:y val="7.48225488503329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85475975280142"/>
          <c:y val="0.2057620093384156"/>
          <c:w val="0.74108729427327547"/>
          <c:h val="0.55253574535630479"/>
        </c:manualLayout>
      </c:layout>
      <c:scatterChart>
        <c:scatterStyle val="lineMarker"/>
        <c:varyColors val="0"/>
        <c:ser>
          <c:idx val="0"/>
          <c:order val="0"/>
          <c:tx>
            <c:v>1000:1 probe (KV)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339966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60049517092239679"/>
                  <c:y val="0.562608011547695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25" b="0" i="0" u="none" strike="noStrike" baseline="0">
                      <a:solidFill>
                        <a:srgbClr val="339966"/>
                      </a:solidFill>
                      <a:latin typeface="MathSoftText"/>
                      <a:ea typeface="MathSoftText"/>
                      <a:cs typeface="MathSoftText"/>
                    </a:defRPr>
                  </a:pPr>
                  <a:endParaRPr lang="en-US"/>
                </a:p>
              </c:txPr>
            </c:trendlineLbl>
          </c:trendline>
          <c:xVal>
            <c:numRef>
              <c:f>'HV measurements 10-02'!$B$13:$B$19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5.28</c:v>
                </c:pt>
              </c:numCache>
            </c:numRef>
          </c:xVal>
          <c:yVal>
            <c:numRef>
              <c:f>'HV measurements 10-02'!$C$13:$C$19</c:f>
              <c:numCache>
                <c:formatCode>General</c:formatCode>
                <c:ptCount val="7"/>
                <c:pt idx="0">
                  <c:v>1.18</c:v>
                </c:pt>
                <c:pt idx="1">
                  <c:v>1.4</c:v>
                </c:pt>
                <c:pt idx="2">
                  <c:v>1.64</c:v>
                </c:pt>
                <c:pt idx="3">
                  <c:v>1.84</c:v>
                </c:pt>
                <c:pt idx="4">
                  <c:v>2.0299999999999998</c:v>
                </c:pt>
                <c:pt idx="5">
                  <c:v>2.21</c:v>
                </c:pt>
                <c:pt idx="6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32-4717-88E3-F7DA67F50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864303"/>
        <c:axId val="1"/>
      </c:scatterChart>
      <c:valAx>
        <c:axId val="1526864303"/>
        <c:scaling>
          <c:orientation val="minMax"/>
          <c:max val="6"/>
        </c:scaling>
        <c:delete val="0"/>
        <c:axPos val="b"/>
        <c:title>
          <c:tx>
            <c:rich>
              <a:bodyPr/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pot setting</a:t>
                </a:r>
              </a:p>
            </c:rich>
          </c:tx>
          <c:layout>
            <c:manualLayout>
              <c:xMode val="edge"/>
              <c:yMode val="edge"/>
              <c:x val="0.46149165913480494"/>
              <c:y val="0.870531577970219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6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in val="1"/>
        </c:scaling>
        <c:delete val="0"/>
        <c:axPos val="l"/>
        <c:title>
          <c:tx>
            <c:rich>
              <a:bodyPr/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MathSoftText"/>
                    <a:ea typeface="MathSoftText"/>
                    <a:cs typeface="MathSoftText"/>
                  </a:defRPr>
                </a:pPr>
                <a:r>
                  <a:rPr lang="en-GB"/>
                  <a:t>voltage (KV)</a:t>
                </a:r>
              </a:p>
            </c:rich>
          </c:tx>
          <c:layout>
            <c:manualLayout>
              <c:xMode val="edge"/>
              <c:yMode val="edge"/>
              <c:x val="3.9715289082169099E-2"/>
              <c:y val="0.395696171804645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99CC00"/>
            </a:solidFill>
            <a:prstDash val="solid"/>
          </a:ln>
        </c:spPr>
        <c:txPr>
          <a:bodyPr rot="0" vert="horz"/>
          <a:lstStyle/>
          <a:p>
            <a:pPr>
              <a:defRPr sz="1675" b="0" i="0" u="none" strike="noStrike" baseline="0">
                <a:solidFill>
                  <a:srgbClr val="000000"/>
                </a:solidFill>
                <a:latin typeface="MathSoftText"/>
                <a:ea typeface="MathSoftText"/>
                <a:cs typeface="MathSoftText"/>
              </a:defRPr>
            </a:pPr>
            <a:endParaRPr lang="en-US"/>
          </a:p>
        </c:txPr>
        <c:crossAx val="1526864303"/>
        <c:crosses val="autoZero"/>
        <c:crossBetween val="midCat"/>
      </c:valAx>
      <c:spPr>
        <a:noFill/>
        <a:ln w="12700">
          <a:solidFill>
            <a:srgbClr val="99CC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MathSoftText"/>
          <a:ea typeface="MathSoftText"/>
          <a:cs typeface="MathSoftText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Bdot vs Rogowski coil voltage 1984 through March 2002</a:t>
            </a:r>
          </a:p>
        </c:rich>
      </c:tx>
      <c:layout>
        <c:manualLayout>
          <c:xMode val="edge"/>
          <c:yMode val="edge"/>
          <c:x val="0.25588638558032129"/>
          <c:y val="2.898642068723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093125374991866E-2"/>
          <c:y val="0.14130880085027306"/>
          <c:w val="0.77111708087042774"/>
          <c:h val="0.73915372752450526"/>
        </c:manualLayout>
      </c:layout>
      <c:scatterChart>
        <c:scatterStyle val="lineMarker"/>
        <c:varyColors val="0"/>
        <c:ser>
          <c:idx val="0"/>
          <c:order val="0"/>
          <c:tx>
            <c:v>Lenses 24, 25,  27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Data!$B$7:$B$59</c:f>
              <c:numCache>
                <c:formatCode>General</c:formatCode>
                <c:ptCount val="53"/>
                <c:pt idx="0">
                  <c:v>0.52800000000000002</c:v>
                </c:pt>
                <c:pt idx="1">
                  <c:v>0.52</c:v>
                </c:pt>
                <c:pt idx="2">
                  <c:v>0.51200000000000001</c:v>
                </c:pt>
                <c:pt idx="3">
                  <c:v>0.52</c:v>
                </c:pt>
                <c:pt idx="4">
                  <c:v>0.66</c:v>
                </c:pt>
                <c:pt idx="5">
                  <c:v>0.33600000000000002</c:v>
                </c:pt>
                <c:pt idx="6">
                  <c:v>0.52</c:v>
                </c:pt>
                <c:pt idx="7">
                  <c:v>0.51</c:v>
                </c:pt>
                <c:pt idx="8">
                  <c:v>0.65600000000000003</c:v>
                </c:pt>
                <c:pt idx="9">
                  <c:v>0.64800000000000002</c:v>
                </c:pt>
                <c:pt idx="10">
                  <c:v>0.52</c:v>
                </c:pt>
                <c:pt idx="11">
                  <c:v>0.64800000000000002</c:v>
                </c:pt>
                <c:pt idx="12">
                  <c:v>0.44800000000000001</c:v>
                </c:pt>
                <c:pt idx="13">
                  <c:v>0.52</c:v>
                </c:pt>
                <c:pt idx="14">
                  <c:v>0.64800000000000002</c:v>
                </c:pt>
                <c:pt idx="15">
                  <c:v>0.33200000000000002</c:v>
                </c:pt>
                <c:pt idx="16">
                  <c:v>0.32800000000000001</c:v>
                </c:pt>
                <c:pt idx="17">
                  <c:v>0.4</c:v>
                </c:pt>
                <c:pt idx="18">
                  <c:v>0.42399999999999999</c:v>
                </c:pt>
                <c:pt idx="19">
                  <c:v>0.44800000000000001</c:v>
                </c:pt>
                <c:pt idx="20">
                  <c:v>0.48</c:v>
                </c:pt>
                <c:pt idx="21">
                  <c:v>0.504</c:v>
                </c:pt>
                <c:pt idx="22">
                  <c:v>0.52800000000000002</c:v>
                </c:pt>
                <c:pt idx="23">
                  <c:v>0.6</c:v>
                </c:pt>
                <c:pt idx="24">
                  <c:v>0.252</c:v>
                </c:pt>
                <c:pt idx="25">
                  <c:v>0.32800000000000001</c:v>
                </c:pt>
                <c:pt idx="26">
                  <c:v>0.33200000000000002</c:v>
                </c:pt>
                <c:pt idx="27">
                  <c:v>0.26</c:v>
                </c:pt>
                <c:pt idx="28">
                  <c:v>0.30399999999999999</c:v>
                </c:pt>
                <c:pt idx="29">
                  <c:v>0.35599999999999998</c:v>
                </c:pt>
                <c:pt idx="30">
                  <c:v>0.4</c:v>
                </c:pt>
                <c:pt idx="31">
                  <c:v>0.42399999999999999</c:v>
                </c:pt>
                <c:pt idx="32">
                  <c:v>0.44</c:v>
                </c:pt>
                <c:pt idx="33">
                  <c:v>0.44800000000000001</c:v>
                </c:pt>
                <c:pt idx="34">
                  <c:v>0.29199999999999998</c:v>
                </c:pt>
                <c:pt idx="35">
                  <c:v>0.34399999999999997</c:v>
                </c:pt>
                <c:pt idx="36">
                  <c:v>0.4</c:v>
                </c:pt>
                <c:pt idx="37">
                  <c:v>0.504</c:v>
                </c:pt>
                <c:pt idx="38">
                  <c:v>0.52</c:v>
                </c:pt>
                <c:pt idx="39">
                  <c:v>0.58399999999999996</c:v>
                </c:pt>
                <c:pt idx="40">
                  <c:v>0.29599999999999999</c:v>
                </c:pt>
                <c:pt idx="41">
                  <c:v>0.33600000000000002</c:v>
                </c:pt>
                <c:pt idx="42">
                  <c:v>0.40799999999999997</c:v>
                </c:pt>
                <c:pt idx="43">
                  <c:v>0.45600000000000002</c:v>
                </c:pt>
                <c:pt idx="44">
                  <c:v>0.504</c:v>
                </c:pt>
                <c:pt idx="45">
                  <c:v>0.56000000000000005</c:v>
                </c:pt>
                <c:pt idx="46">
                  <c:v>0.59199999999999997</c:v>
                </c:pt>
                <c:pt idx="47">
                  <c:v>0.58399999999999996</c:v>
                </c:pt>
                <c:pt idx="48">
                  <c:v>0.58399999999999996</c:v>
                </c:pt>
                <c:pt idx="49">
                  <c:v>0.57599999999999996</c:v>
                </c:pt>
                <c:pt idx="50">
                  <c:v>0.60399999999999998</c:v>
                </c:pt>
                <c:pt idx="51">
                  <c:v>0.62</c:v>
                </c:pt>
                <c:pt idx="52">
                  <c:v>0.628</c:v>
                </c:pt>
              </c:numCache>
            </c:numRef>
          </c:xVal>
          <c:yVal>
            <c:numRef>
              <c:f>Data!$C$7:$C$59</c:f>
              <c:numCache>
                <c:formatCode>General</c:formatCode>
                <c:ptCount val="53"/>
                <c:pt idx="0">
                  <c:v>3.9</c:v>
                </c:pt>
                <c:pt idx="1">
                  <c:v>3.84</c:v>
                </c:pt>
                <c:pt idx="2">
                  <c:v>3.84</c:v>
                </c:pt>
                <c:pt idx="3">
                  <c:v>3.92</c:v>
                </c:pt>
                <c:pt idx="4">
                  <c:v>4.96</c:v>
                </c:pt>
                <c:pt idx="5">
                  <c:v>3.64</c:v>
                </c:pt>
                <c:pt idx="6">
                  <c:v>3.92</c:v>
                </c:pt>
                <c:pt idx="7">
                  <c:v>3.92</c:v>
                </c:pt>
                <c:pt idx="8">
                  <c:v>4.96</c:v>
                </c:pt>
                <c:pt idx="9">
                  <c:v>5.04</c:v>
                </c:pt>
                <c:pt idx="10">
                  <c:v>3.92</c:v>
                </c:pt>
                <c:pt idx="11">
                  <c:v>5.04</c:v>
                </c:pt>
                <c:pt idx="12">
                  <c:v>3.32</c:v>
                </c:pt>
                <c:pt idx="13">
                  <c:v>3.92</c:v>
                </c:pt>
                <c:pt idx="14">
                  <c:v>4.96</c:v>
                </c:pt>
                <c:pt idx="15">
                  <c:v>2.5</c:v>
                </c:pt>
                <c:pt idx="16">
                  <c:v>2.6</c:v>
                </c:pt>
                <c:pt idx="17">
                  <c:v>3.08</c:v>
                </c:pt>
                <c:pt idx="18">
                  <c:v>3.28</c:v>
                </c:pt>
                <c:pt idx="19">
                  <c:v>3.56</c:v>
                </c:pt>
                <c:pt idx="20">
                  <c:v>3.76</c:v>
                </c:pt>
                <c:pt idx="21">
                  <c:v>3.92</c:v>
                </c:pt>
                <c:pt idx="22">
                  <c:v>4.16</c:v>
                </c:pt>
                <c:pt idx="23">
                  <c:v>4.72</c:v>
                </c:pt>
                <c:pt idx="24">
                  <c:v>1.92</c:v>
                </c:pt>
                <c:pt idx="25">
                  <c:v>2.48</c:v>
                </c:pt>
                <c:pt idx="26">
                  <c:v>2.52</c:v>
                </c:pt>
                <c:pt idx="27">
                  <c:v>1.92</c:v>
                </c:pt>
                <c:pt idx="28">
                  <c:v>2.2799999999999998</c:v>
                </c:pt>
                <c:pt idx="29">
                  <c:v>2.64</c:v>
                </c:pt>
                <c:pt idx="30">
                  <c:v>2.96</c:v>
                </c:pt>
                <c:pt idx="31">
                  <c:v>3.12</c:v>
                </c:pt>
                <c:pt idx="32">
                  <c:v>3.28</c:v>
                </c:pt>
                <c:pt idx="33">
                  <c:v>3.32</c:v>
                </c:pt>
                <c:pt idx="34">
                  <c:v>2.2400000000000002</c:v>
                </c:pt>
                <c:pt idx="35">
                  <c:v>2.64</c:v>
                </c:pt>
                <c:pt idx="36">
                  <c:v>3.04</c:v>
                </c:pt>
                <c:pt idx="37">
                  <c:v>3.8</c:v>
                </c:pt>
                <c:pt idx="38">
                  <c:v>4.04</c:v>
                </c:pt>
                <c:pt idx="39">
                  <c:v>4.5199999999999996</c:v>
                </c:pt>
                <c:pt idx="40">
                  <c:v>2.2000000000000002</c:v>
                </c:pt>
                <c:pt idx="41">
                  <c:v>2.68</c:v>
                </c:pt>
                <c:pt idx="42">
                  <c:v>3.08</c:v>
                </c:pt>
                <c:pt idx="43">
                  <c:v>3.44</c:v>
                </c:pt>
                <c:pt idx="44">
                  <c:v>3.88</c:v>
                </c:pt>
                <c:pt idx="45">
                  <c:v>4.24</c:v>
                </c:pt>
                <c:pt idx="46">
                  <c:v>4.4800000000000004</c:v>
                </c:pt>
                <c:pt idx="47">
                  <c:v>4.4000000000000004</c:v>
                </c:pt>
                <c:pt idx="48">
                  <c:v>4.4000000000000004</c:v>
                </c:pt>
                <c:pt idx="49">
                  <c:v>4.4000000000000004</c:v>
                </c:pt>
                <c:pt idx="50">
                  <c:v>4.6399999999999997</c:v>
                </c:pt>
                <c:pt idx="51">
                  <c:v>4.72</c:v>
                </c:pt>
                <c:pt idx="52">
                  <c:v>4.76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17-4F14-998F-D6992F2B8951}"/>
            </c:ext>
          </c:extLst>
        </c:ser>
        <c:ser>
          <c:idx val="1"/>
          <c:order val="1"/>
          <c:tx>
            <c:v>Lens 28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Data!$B$60:$B$74</c:f>
              <c:numCache>
                <c:formatCode>0.000</c:formatCode>
                <c:ptCount val="15"/>
                <c:pt idx="0">
                  <c:v>0.63200000000000001</c:v>
                </c:pt>
                <c:pt idx="1">
                  <c:v>0.432</c:v>
                </c:pt>
                <c:pt idx="2">
                  <c:v>0.48799999999999999</c:v>
                </c:pt>
                <c:pt idx="3">
                  <c:v>0.54400000000000004</c:v>
                </c:pt>
                <c:pt idx="4">
                  <c:v>0.6</c:v>
                </c:pt>
                <c:pt idx="5">
                  <c:v>0.66400000000000003</c:v>
                </c:pt>
                <c:pt idx="6">
                  <c:v>0.63200000000000001</c:v>
                </c:pt>
                <c:pt idx="7">
                  <c:v>0.62</c:v>
                </c:pt>
                <c:pt idx="8" formatCode="General">
                  <c:v>0.32800000000000001</c:v>
                </c:pt>
                <c:pt idx="9" formatCode="General">
                  <c:v>0.39200000000000002</c:v>
                </c:pt>
                <c:pt idx="10" formatCode="General">
                  <c:v>0.45200000000000001</c:v>
                </c:pt>
                <c:pt idx="11" formatCode="General">
                  <c:v>0.51200000000000001</c:v>
                </c:pt>
                <c:pt idx="12" formatCode="General">
                  <c:v>0.56399999999999995</c:v>
                </c:pt>
                <c:pt idx="13" formatCode="General">
                  <c:v>0.62</c:v>
                </c:pt>
                <c:pt idx="14" formatCode="General">
                  <c:v>0.628</c:v>
                </c:pt>
              </c:numCache>
            </c:numRef>
          </c:xVal>
          <c:yVal>
            <c:numRef>
              <c:f>Data!$C$60:$C$74</c:f>
              <c:numCache>
                <c:formatCode>0.00</c:formatCode>
                <c:ptCount val="15"/>
                <c:pt idx="0">
                  <c:v>4.24</c:v>
                </c:pt>
                <c:pt idx="1">
                  <c:v>2.88</c:v>
                </c:pt>
                <c:pt idx="2">
                  <c:v>3.2</c:v>
                </c:pt>
                <c:pt idx="3">
                  <c:v>3.6</c:v>
                </c:pt>
                <c:pt idx="4">
                  <c:v>4</c:v>
                </c:pt>
                <c:pt idx="5">
                  <c:v>4.4000000000000004</c:v>
                </c:pt>
                <c:pt idx="6">
                  <c:v>4.24</c:v>
                </c:pt>
                <c:pt idx="7">
                  <c:v>4.16</c:v>
                </c:pt>
                <c:pt idx="8" formatCode="General">
                  <c:v>2.08</c:v>
                </c:pt>
                <c:pt idx="9" formatCode="General">
                  <c:v>2.64</c:v>
                </c:pt>
                <c:pt idx="10" formatCode="General">
                  <c:v>3.04</c:v>
                </c:pt>
                <c:pt idx="11" formatCode="General">
                  <c:v>3.36</c:v>
                </c:pt>
                <c:pt idx="12" formatCode="General">
                  <c:v>3.8</c:v>
                </c:pt>
                <c:pt idx="13" formatCode="General">
                  <c:v>4.12</c:v>
                </c:pt>
                <c:pt idx="14" formatCode="General">
                  <c:v>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17-4F14-998F-D6992F2B8951}"/>
            </c:ext>
          </c:extLst>
        </c:ser>
        <c:ser>
          <c:idx val="2"/>
          <c:order val="2"/>
          <c:tx>
            <c:v>Lens 23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Data!$B$2:$B$6</c:f>
              <c:numCache>
                <c:formatCode>General</c:formatCode>
                <c:ptCount val="5"/>
                <c:pt idx="0">
                  <c:v>0.3</c:v>
                </c:pt>
                <c:pt idx="1">
                  <c:v>0.49</c:v>
                </c:pt>
                <c:pt idx="2">
                  <c:v>0.48</c:v>
                </c:pt>
                <c:pt idx="3">
                  <c:v>0.53</c:v>
                </c:pt>
                <c:pt idx="4">
                  <c:v>0.52</c:v>
                </c:pt>
              </c:numCache>
            </c:numRef>
          </c:xVal>
          <c:yVal>
            <c:numRef>
              <c:f>Data!$C$2:$C$6</c:f>
              <c:numCache>
                <c:formatCode>General</c:formatCode>
                <c:ptCount val="5"/>
                <c:pt idx="0">
                  <c:v>2.6</c:v>
                </c:pt>
                <c:pt idx="1">
                  <c:v>4.3</c:v>
                </c:pt>
                <c:pt idx="2">
                  <c:v>4.3</c:v>
                </c:pt>
                <c:pt idx="3">
                  <c:v>4.7</c:v>
                </c:pt>
                <c:pt idx="4">
                  <c:v>4.6500000000000004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17-4F14-998F-D6992F2B8951}"/>
            </c:ext>
          </c:extLst>
        </c:ser>
        <c:ser>
          <c:idx val="3"/>
          <c:order val="3"/>
          <c:tx>
            <c:v>Lens 22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33CCCC"/>
              </a:solidFill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Data!$B$75:$B$78</c:f>
              <c:numCache>
                <c:formatCode>General</c:formatCode>
                <c:ptCount val="4"/>
                <c:pt idx="0">
                  <c:v>0.48</c:v>
                </c:pt>
                <c:pt idx="1">
                  <c:v>0.35</c:v>
                </c:pt>
                <c:pt idx="2">
                  <c:v>0.51</c:v>
                </c:pt>
                <c:pt idx="3">
                  <c:v>0.57999999999999996</c:v>
                </c:pt>
              </c:numCache>
            </c:numRef>
          </c:xVal>
          <c:yVal>
            <c:numRef>
              <c:f>Data!$C$75:$C$78</c:f>
              <c:numCache>
                <c:formatCode>General</c:formatCode>
                <c:ptCount val="4"/>
                <c:pt idx="0">
                  <c:v>3.8</c:v>
                </c:pt>
                <c:pt idx="1">
                  <c:v>3</c:v>
                </c:pt>
                <c:pt idx="2">
                  <c:v>4.5999999999999996</c:v>
                </c:pt>
                <c:pt idx="3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17-4F14-998F-D6992F2B8951}"/>
            </c:ext>
          </c:extLst>
        </c:ser>
        <c:ser>
          <c:idx val="4"/>
          <c:order val="4"/>
          <c:tx>
            <c:v>Lens 21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Data!$B$90:$B$100</c:f>
              <c:numCache>
                <c:formatCode>General</c:formatCode>
                <c:ptCount val="11"/>
                <c:pt idx="0">
                  <c:v>0.3</c:v>
                </c:pt>
                <c:pt idx="1">
                  <c:v>0.42</c:v>
                </c:pt>
                <c:pt idx="2">
                  <c:v>0.45</c:v>
                </c:pt>
                <c:pt idx="3">
                  <c:v>0.46500000000000002</c:v>
                </c:pt>
                <c:pt idx="4">
                  <c:v>0.49</c:v>
                </c:pt>
                <c:pt idx="5">
                  <c:v>0.52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0.59</c:v>
                </c:pt>
                <c:pt idx="9">
                  <c:v>0.61</c:v>
                </c:pt>
                <c:pt idx="10">
                  <c:v>0.62</c:v>
                </c:pt>
              </c:numCache>
            </c:numRef>
          </c:xVal>
          <c:yVal>
            <c:numRef>
              <c:f>Data!$C$90:$C$100</c:f>
              <c:numCache>
                <c:formatCode>General</c:formatCode>
                <c:ptCount val="11"/>
                <c:pt idx="0">
                  <c:v>2.7</c:v>
                </c:pt>
                <c:pt idx="1">
                  <c:v>4</c:v>
                </c:pt>
                <c:pt idx="2">
                  <c:v>4.2</c:v>
                </c:pt>
                <c:pt idx="3">
                  <c:v>4.4000000000000004</c:v>
                </c:pt>
                <c:pt idx="4">
                  <c:v>4.5999999999999996</c:v>
                </c:pt>
                <c:pt idx="5">
                  <c:v>4.8</c:v>
                </c:pt>
                <c:pt idx="6">
                  <c:v>5</c:v>
                </c:pt>
                <c:pt idx="7">
                  <c:v>5.2</c:v>
                </c:pt>
                <c:pt idx="8">
                  <c:v>5.4</c:v>
                </c:pt>
                <c:pt idx="9">
                  <c:v>5.6</c:v>
                </c:pt>
                <c:pt idx="1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17-4F14-998F-D6992F2B8951}"/>
            </c:ext>
          </c:extLst>
        </c:ser>
        <c:ser>
          <c:idx val="5"/>
          <c:order val="5"/>
          <c:tx>
            <c:v>Lens 20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Data!$B$79:$B$89</c:f>
              <c:numCache>
                <c:formatCode>General</c:formatCode>
                <c:ptCount val="11"/>
                <c:pt idx="0">
                  <c:v>0.28000000000000003</c:v>
                </c:pt>
                <c:pt idx="1">
                  <c:v>0.43</c:v>
                </c:pt>
                <c:pt idx="2">
                  <c:v>0.44</c:v>
                </c:pt>
                <c:pt idx="3">
                  <c:v>0.47</c:v>
                </c:pt>
                <c:pt idx="4">
                  <c:v>0.49</c:v>
                </c:pt>
                <c:pt idx="5">
                  <c:v>0.51500000000000001</c:v>
                </c:pt>
                <c:pt idx="6">
                  <c:v>0.54</c:v>
                </c:pt>
                <c:pt idx="7">
                  <c:v>0.55500000000000005</c:v>
                </c:pt>
                <c:pt idx="8">
                  <c:v>0.57999999999999996</c:v>
                </c:pt>
                <c:pt idx="9">
                  <c:v>0.6</c:v>
                </c:pt>
                <c:pt idx="10">
                  <c:v>0.61</c:v>
                </c:pt>
              </c:numCache>
            </c:numRef>
          </c:xVal>
          <c:yVal>
            <c:numRef>
              <c:f>Data!$C$79:$C$89</c:f>
              <c:numCache>
                <c:formatCode>General</c:formatCode>
                <c:ptCount val="11"/>
                <c:pt idx="0">
                  <c:v>2.6</c:v>
                </c:pt>
                <c:pt idx="1">
                  <c:v>4</c:v>
                </c:pt>
                <c:pt idx="2">
                  <c:v>4.2</c:v>
                </c:pt>
                <c:pt idx="3">
                  <c:v>4.4000000000000004</c:v>
                </c:pt>
                <c:pt idx="4">
                  <c:v>4.5999999999999996</c:v>
                </c:pt>
                <c:pt idx="5">
                  <c:v>4.8</c:v>
                </c:pt>
                <c:pt idx="6">
                  <c:v>5</c:v>
                </c:pt>
                <c:pt idx="7">
                  <c:v>5.2</c:v>
                </c:pt>
                <c:pt idx="8">
                  <c:v>5.4</c:v>
                </c:pt>
                <c:pt idx="9">
                  <c:v>5.6</c:v>
                </c:pt>
                <c:pt idx="1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17-4F14-998F-D6992F2B8951}"/>
            </c:ext>
          </c:extLst>
        </c:ser>
        <c:ser>
          <c:idx val="6"/>
          <c:order val="6"/>
          <c:tx>
            <c:v>Lens 18</c:v>
          </c:tx>
          <c:spPr>
            <a:ln w="19050">
              <a:noFill/>
            </a:ln>
          </c:spPr>
          <c:marker>
            <c:symbol val="plus"/>
            <c:size val="7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Data!$B$141:$B$144</c:f>
              <c:numCache>
                <c:formatCode>General</c:formatCode>
                <c:ptCount val="4"/>
                <c:pt idx="0">
                  <c:v>0.5</c:v>
                </c:pt>
                <c:pt idx="2">
                  <c:v>0.64</c:v>
                </c:pt>
                <c:pt idx="3">
                  <c:v>0.55000000000000004</c:v>
                </c:pt>
              </c:numCache>
            </c:numRef>
          </c:xVal>
          <c:yVal>
            <c:numRef>
              <c:f>Data!$C$141:$C$144</c:f>
              <c:numCache>
                <c:formatCode>General</c:formatCode>
                <c:ptCount val="4"/>
                <c:pt idx="0">
                  <c:v>4.5999999999999996</c:v>
                </c:pt>
                <c:pt idx="2">
                  <c:v>5.7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17-4F14-998F-D6992F2B8951}"/>
            </c:ext>
          </c:extLst>
        </c:ser>
        <c:ser>
          <c:idx val="7"/>
          <c:order val="7"/>
          <c:tx>
            <c:v>Lens 17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Data!$B$132:$B$140</c:f>
              <c:numCache>
                <c:formatCode>General</c:formatCode>
                <c:ptCount val="9"/>
                <c:pt idx="0">
                  <c:v>0.48</c:v>
                </c:pt>
                <c:pt idx="1">
                  <c:v>0.54400000000000004</c:v>
                </c:pt>
                <c:pt idx="2">
                  <c:v>0.57799999999999996</c:v>
                </c:pt>
                <c:pt idx="3">
                  <c:v>0.48899999999999999</c:v>
                </c:pt>
                <c:pt idx="4">
                  <c:v>0.63500000000000001</c:v>
                </c:pt>
                <c:pt idx="5">
                  <c:v>0.67900000000000005</c:v>
                </c:pt>
                <c:pt idx="6">
                  <c:v>0.52</c:v>
                </c:pt>
                <c:pt idx="7">
                  <c:v>0.56399999999999995</c:v>
                </c:pt>
                <c:pt idx="8">
                  <c:v>0.61</c:v>
                </c:pt>
              </c:numCache>
            </c:numRef>
          </c:xVal>
          <c:yVal>
            <c:numRef>
              <c:f>Data!$C$132:$C$140</c:f>
              <c:numCache>
                <c:formatCode>General</c:formatCode>
                <c:ptCount val="9"/>
                <c:pt idx="0">
                  <c:v>4.0199999999999996</c:v>
                </c:pt>
                <c:pt idx="1">
                  <c:v>4.42</c:v>
                </c:pt>
                <c:pt idx="2">
                  <c:v>4.75</c:v>
                </c:pt>
                <c:pt idx="3">
                  <c:v>4.0650000000000004</c:v>
                </c:pt>
                <c:pt idx="4">
                  <c:v>5.34</c:v>
                </c:pt>
                <c:pt idx="5">
                  <c:v>5.72</c:v>
                </c:pt>
                <c:pt idx="6">
                  <c:v>4.2</c:v>
                </c:pt>
                <c:pt idx="7">
                  <c:v>4.57</c:v>
                </c:pt>
                <c:pt idx="8">
                  <c:v>5.04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17-4F14-998F-D6992F2B8951}"/>
            </c:ext>
          </c:extLst>
        </c:ser>
        <c:ser>
          <c:idx val="8"/>
          <c:order val="8"/>
          <c:tx>
            <c:v>Lens 16</c:v>
          </c:tx>
          <c:spPr>
            <a:ln w="19050">
              <a:noFill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Data!$B$123:$B$131</c:f>
              <c:numCache>
                <c:formatCode>General</c:formatCode>
                <c:ptCount val="9"/>
                <c:pt idx="0">
                  <c:v>0.68</c:v>
                </c:pt>
                <c:pt idx="1">
                  <c:v>0.501</c:v>
                </c:pt>
                <c:pt idx="2">
                  <c:v>0.504</c:v>
                </c:pt>
                <c:pt idx="3">
                  <c:v>0.55000000000000004</c:v>
                </c:pt>
                <c:pt idx="4">
                  <c:v>0.6</c:v>
                </c:pt>
                <c:pt idx="5">
                  <c:v>0.65</c:v>
                </c:pt>
                <c:pt idx="6">
                  <c:v>0.69199999999999995</c:v>
                </c:pt>
                <c:pt idx="7">
                  <c:v>0.62</c:v>
                </c:pt>
                <c:pt idx="8">
                  <c:v>0.5</c:v>
                </c:pt>
              </c:numCache>
            </c:numRef>
          </c:xVal>
          <c:yVal>
            <c:numRef>
              <c:f>Data!$C$123:$C$131</c:f>
              <c:numCache>
                <c:formatCode>General</c:formatCode>
                <c:ptCount val="9"/>
                <c:pt idx="0">
                  <c:v>5.6</c:v>
                </c:pt>
                <c:pt idx="1">
                  <c:v>4.0999999999999996</c:v>
                </c:pt>
                <c:pt idx="2">
                  <c:v>4.1500000000000004</c:v>
                </c:pt>
                <c:pt idx="3">
                  <c:v>4.4800000000000004</c:v>
                </c:pt>
                <c:pt idx="4">
                  <c:v>4.8499999999999996</c:v>
                </c:pt>
                <c:pt idx="5">
                  <c:v>5.25</c:v>
                </c:pt>
                <c:pt idx="6">
                  <c:v>5.59</c:v>
                </c:pt>
                <c:pt idx="7">
                  <c:v>5.03</c:v>
                </c:pt>
                <c:pt idx="8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17-4F14-998F-D6992F2B8951}"/>
            </c:ext>
          </c:extLst>
        </c:ser>
        <c:ser>
          <c:idx val="9"/>
          <c:order val="9"/>
          <c:tx>
            <c:v>Lens 15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xVal>
            <c:numRef>
              <c:f>Data!$A$122</c:f>
              <c:numCache>
                <c:formatCode>General</c:formatCode>
                <c:ptCount val="1"/>
                <c:pt idx="0">
                  <c:v>1.95</c:v>
                </c:pt>
              </c:numCache>
            </c:numRef>
          </c:xVal>
          <c:yVal>
            <c:numRef>
              <c:f>Data!$C$122</c:f>
              <c:numCache>
                <c:formatCode>General</c:formatCode>
                <c:ptCount val="1"/>
                <c:pt idx="0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17-4F14-998F-D6992F2B8951}"/>
            </c:ext>
          </c:extLst>
        </c:ser>
        <c:ser>
          <c:idx val="10"/>
          <c:order val="10"/>
          <c:tx>
            <c:v>Lens 13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xVal>
            <c:numRef>
              <c:f>Data!$B$118:$B$121</c:f>
              <c:numCache>
                <c:formatCode>General</c:formatCode>
                <c:ptCount val="4"/>
                <c:pt idx="0">
                  <c:v>0.61199999999999999</c:v>
                </c:pt>
                <c:pt idx="1">
                  <c:v>0.65400000000000003</c:v>
                </c:pt>
                <c:pt idx="2">
                  <c:v>0.5</c:v>
                </c:pt>
                <c:pt idx="3">
                  <c:v>0.55000000000000004</c:v>
                </c:pt>
              </c:numCache>
            </c:numRef>
          </c:xVal>
          <c:yVal>
            <c:numRef>
              <c:f>Data!$C$118:$C$121</c:f>
              <c:numCache>
                <c:formatCode>General</c:formatCode>
                <c:ptCount val="4"/>
                <c:pt idx="0">
                  <c:v>5.28</c:v>
                </c:pt>
                <c:pt idx="1">
                  <c:v>5.7</c:v>
                </c:pt>
                <c:pt idx="3">
                  <c:v>4.8499999999999996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17-4F14-998F-D6992F2B8951}"/>
            </c:ext>
          </c:extLst>
        </c:ser>
        <c:ser>
          <c:idx val="11"/>
          <c:order val="11"/>
          <c:tx>
            <c:v>Lens 9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Data!$B$114:$B$116</c:f>
              <c:numCache>
                <c:formatCode>General</c:formatCode>
                <c:ptCount val="3"/>
                <c:pt idx="0">
                  <c:v>0.1</c:v>
                </c:pt>
                <c:pt idx="1">
                  <c:v>0.1</c:v>
                </c:pt>
                <c:pt idx="2">
                  <c:v>0.61</c:v>
                </c:pt>
              </c:numCache>
            </c:numRef>
          </c:xVal>
          <c:yVal>
            <c:numRef>
              <c:f>Data!$C$114:$C$116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17-4F14-998F-D6992F2B8951}"/>
            </c:ext>
          </c:extLst>
        </c:ser>
        <c:ser>
          <c:idx val="12"/>
          <c:order val="12"/>
          <c:tx>
            <c:v>Lens 8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Data!$B$109:$B$113</c:f>
              <c:numCache>
                <c:formatCode>General</c:formatCode>
                <c:ptCount val="5"/>
                <c:pt idx="0">
                  <c:v>0.308</c:v>
                </c:pt>
                <c:pt idx="1">
                  <c:v>0.39</c:v>
                </c:pt>
                <c:pt idx="2">
                  <c:v>0.48</c:v>
                </c:pt>
                <c:pt idx="3">
                  <c:v>0.53</c:v>
                </c:pt>
                <c:pt idx="4">
                  <c:v>0.59</c:v>
                </c:pt>
              </c:numCache>
            </c:numRef>
          </c:xVal>
          <c:yVal>
            <c:numRef>
              <c:f>Data!$C$109:$C$113</c:f>
              <c:numCache>
                <c:formatCode>General</c:formatCode>
                <c:ptCount val="5"/>
                <c:pt idx="0">
                  <c:v>2.0299999999999998</c:v>
                </c:pt>
                <c:pt idx="1">
                  <c:v>2.89</c:v>
                </c:pt>
                <c:pt idx="2">
                  <c:v>3.6</c:v>
                </c:pt>
                <c:pt idx="3">
                  <c:v>3.9</c:v>
                </c:pt>
                <c:pt idx="4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17-4F14-998F-D6992F2B8951}"/>
            </c:ext>
          </c:extLst>
        </c:ser>
        <c:ser>
          <c:idx val="14"/>
          <c:order val="13"/>
          <c:tx>
            <c:v>Lens 4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Data!$B$105:$B$107</c:f>
              <c:numCache>
                <c:formatCode>General</c:formatCode>
                <c:ptCount val="3"/>
                <c:pt idx="0">
                  <c:v>0.57999999999999996</c:v>
                </c:pt>
                <c:pt idx="1">
                  <c:v>0.6</c:v>
                </c:pt>
                <c:pt idx="2">
                  <c:v>0.57999999999999996</c:v>
                </c:pt>
              </c:numCache>
            </c:numRef>
          </c:xVal>
          <c:yVal>
            <c:numRef>
              <c:f>Data!$D$105:$D$107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17-4F14-998F-D6992F2B8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49199"/>
        <c:axId val="1"/>
      </c:scatterChart>
      <c:valAx>
        <c:axId val="947349199"/>
        <c:scaling>
          <c:orientation val="minMax"/>
          <c:max val="0.7"/>
          <c:min val="0.2"/>
        </c:scaling>
        <c:delete val="0"/>
        <c:axPos val="b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Rogowski coil voltage</a:t>
                </a:r>
              </a:p>
            </c:rich>
          </c:tx>
          <c:layout>
            <c:manualLayout>
              <c:xMode val="edge"/>
              <c:yMode val="edge"/>
              <c:x val="0.37553056045976885"/>
              <c:y val="0.934812067163344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Bdot voltage</a:t>
                </a:r>
              </a:p>
            </c:rich>
          </c:tx>
          <c:layout>
            <c:manualLayout>
              <c:xMode val="edge"/>
              <c:yMode val="edge"/>
              <c:x val="1.5214866169640726E-2"/>
              <c:y val="0.44083514795170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7349199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5549042962934452"/>
          <c:y val="0.26570885629965874"/>
          <c:w val="0.13693379552676654"/>
          <c:h val="0.4915613841543686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&amp;L&amp;9T. Leveling
11/13/02</c:oddFooter>
    </c:headerFooter>
    <c:pageMargins b="1" l="0.75" r="0.75" t="1" header="0.5" footer="0.5"/>
    <c:pageSetup orientation="landscape" verticalDpi="355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Bdot Coil Voltage vs Pot setting by Lens</a:t>
            </a:r>
          </a:p>
        </c:rich>
      </c:tx>
      <c:layout>
        <c:manualLayout>
          <c:xMode val="edge"/>
          <c:yMode val="edge"/>
          <c:x val="0.32573645299549009"/>
          <c:y val="2.88817998005679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093125374991866E-2"/>
          <c:y val="0.14079877402776889"/>
          <c:w val="0.83889239380791825"/>
          <c:h val="0.74009611988955437"/>
        </c:manualLayout>
      </c:layout>
      <c:scatterChart>
        <c:scatterStyle val="lineMarker"/>
        <c:varyColors val="0"/>
        <c:ser>
          <c:idx val="0"/>
          <c:order val="0"/>
          <c:tx>
            <c:v>Lens 23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Data!$A$2:$A$6</c:f>
              <c:numCache>
                <c:formatCode>General</c:formatCode>
                <c:ptCount val="5"/>
                <c:pt idx="0">
                  <c:v>2</c:v>
                </c:pt>
                <c:pt idx="1">
                  <c:v>3.75</c:v>
                </c:pt>
                <c:pt idx="2">
                  <c:v>3.75</c:v>
                </c:pt>
                <c:pt idx="3">
                  <c:v>4.5</c:v>
                </c:pt>
                <c:pt idx="4">
                  <c:v>4.5</c:v>
                </c:pt>
              </c:numCache>
            </c:numRef>
          </c:xVal>
          <c:yVal>
            <c:numRef>
              <c:f>Data!$C$2:$C$6</c:f>
              <c:numCache>
                <c:formatCode>General</c:formatCode>
                <c:ptCount val="5"/>
                <c:pt idx="0">
                  <c:v>2.6</c:v>
                </c:pt>
                <c:pt idx="1">
                  <c:v>4.3</c:v>
                </c:pt>
                <c:pt idx="2">
                  <c:v>4.3</c:v>
                </c:pt>
                <c:pt idx="3">
                  <c:v>4.7</c:v>
                </c:pt>
                <c:pt idx="4">
                  <c:v>4.6500000000000004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6-4F2E-9770-B1704BA73A9A}"/>
            </c:ext>
          </c:extLst>
        </c:ser>
        <c:ser>
          <c:idx val="1"/>
          <c:order val="1"/>
          <c:tx>
            <c:v>Lens 24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Data!$A$7:$A$21</c:f>
              <c:numCache>
                <c:formatCode>General</c:formatCode>
                <c:ptCount val="15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5.15</c:v>
                </c:pt>
                <c:pt idx="5">
                  <c:v>0</c:v>
                </c:pt>
                <c:pt idx="6">
                  <c:v>2.8</c:v>
                </c:pt>
                <c:pt idx="7">
                  <c:v>2.8</c:v>
                </c:pt>
                <c:pt idx="8">
                  <c:v>5.15</c:v>
                </c:pt>
                <c:pt idx="9">
                  <c:v>5.15</c:v>
                </c:pt>
                <c:pt idx="10">
                  <c:v>2.8</c:v>
                </c:pt>
                <c:pt idx="11">
                  <c:v>5.15</c:v>
                </c:pt>
                <c:pt idx="12">
                  <c:v>4.2</c:v>
                </c:pt>
                <c:pt idx="13">
                  <c:v>2.8</c:v>
                </c:pt>
                <c:pt idx="14">
                  <c:v>5.15</c:v>
                </c:pt>
              </c:numCache>
            </c:numRef>
          </c:xVal>
          <c:yVal>
            <c:numRef>
              <c:f>Data!$C$7:$C$21</c:f>
              <c:numCache>
                <c:formatCode>General</c:formatCode>
                <c:ptCount val="15"/>
                <c:pt idx="0">
                  <c:v>3.9</c:v>
                </c:pt>
                <c:pt idx="1">
                  <c:v>3.84</c:v>
                </c:pt>
                <c:pt idx="2">
                  <c:v>3.84</c:v>
                </c:pt>
                <c:pt idx="3">
                  <c:v>3.92</c:v>
                </c:pt>
                <c:pt idx="4">
                  <c:v>4.96</c:v>
                </c:pt>
                <c:pt idx="5">
                  <c:v>3.64</c:v>
                </c:pt>
                <c:pt idx="6">
                  <c:v>3.92</c:v>
                </c:pt>
                <c:pt idx="7">
                  <c:v>3.92</c:v>
                </c:pt>
                <c:pt idx="8">
                  <c:v>4.96</c:v>
                </c:pt>
                <c:pt idx="9">
                  <c:v>5.04</c:v>
                </c:pt>
                <c:pt idx="10">
                  <c:v>3.92</c:v>
                </c:pt>
                <c:pt idx="11">
                  <c:v>5.04</c:v>
                </c:pt>
                <c:pt idx="12">
                  <c:v>3.32</c:v>
                </c:pt>
                <c:pt idx="13">
                  <c:v>3.92</c:v>
                </c:pt>
                <c:pt idx="14">
                  <c:v>4.96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C6-4F2E-9770-B1704BA73A9A}"/>
            </c:ext>
          </c:extLst>
        </c:ser>
        <c:ser>
          <c:idx val="2"/>
          <c:order val="2"/>
          <c:tx>
            <c:v>Lens 25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Data!$A$22:$A$30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4.6500000000000004</c:v>
                </c:pt>
              </c:numCache>
            </c:numRef>
          </c:xVal>
          <c:yVal>
            <c:numRef>
              <c:f>Data!$C$22:$C$30</c:f>
              <c:numCache>
                <c:formatCode>General</c:formatCode>
                <c:ptCount val="9"/>
                <c:pt idx="0">
                  <c:v>2.5</c:v>
                </c:pt>
                <c:pt idx="1">
                  <c:v>2.6</c:v>
                </c:pt>
                <c:pt idx="2">
                  <c:v>3.08</c:v>
                </c:pt>
                <c:pt idx="3">
                  <c:v>3.28</c:v>
                </c:pt>
                <c:pt idx="4">
                  <c:v>3.56</c:v>
                </c:pt>
                <c:pt idx="5">
                  <c:v>3.76</c:v>
                </c:pt>
                <c:pt idx="6">
                  <c:v>3.92</c:v>
                </c:pt>
                <c:pt idx="7">
                  <c:v>4.16</c:v>
                </c:pt>
                <c:pt idx="8">
                  <c:v>4.72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C6-4F2E-9770-B1704BA73A9A}"/>
            </c:ext>
          </c:extLst>
        </c:ser>
        <c:ser>
          <c:idx val="4"/>
          <c:order val="3"/>
          <c:tx>
            <c:v>Lens 27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Data!$A$41:$A$59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4.5</c:v>
                </c:pt>
                <c:pt idx="5">
                  <c:v>5.8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5.7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6</c:v>
                </c:pt>
                <c:pt idx="17">
                  <c:v>6.35</c:v>
                </c:pt>
                <c:pt idx="18">
                  <c:v>6.4</c:v>
                </c:pt>
              </c:numCache>
            </c:numRef>
          </c:xVal>
          <c:yVal>
            <c:numRef>
              <c:f>Data!$C$41:$C$59</c:f>
              <c:numCache>
                <c:formatCode>General</c:formatCode>
                <c:ptCount val="19"/>
                <c:pt idx="0">
                  <c:v>2.2400000000000002</c:v>
                </c:pt>
                <c:pt idx="1">
                  <c:v>2.64</c:v>
                </c:pt>
                <c:pt idx="2">
                  <c:v>3.04</c:v>
                </c:pt>
                <c:pt idx="3">
                  <c:v>3.8</c:v>
                </c:pt>
                <c:pt idx="4">
                  <c:v>4.04</c:v>
                </c:pt>
                <c:pt idx="5">
                  <c:v>4.5199999999999996</c:v>
                </c:pt>
                <c:pt idx="6">
                  <c:v>2.2000000000000002</c:v>
                </c:pt>
                <c:pt idx="7">
                  <c:v>2.68</c:v>
                </c:pt>
                <c:pt idx="8">
                  <c:v>3.08</c:v>
                </c:pt>
                <c:pt idx="9">
                  <c:v>3.44</c:v>
                </c:pt>
                <c:pt idx="10">
                  <c:v>3.88</c:v>
                </c:pt>
                <c:pt idx="11">
                  <c:v>4.24</c:v>
                </c:pt>
                <c:pt idx="12">
                  <c:v>4.4800000000000004</c:v>
                </c:pt>
                <c:pt idx="13">
                  <c:v>4.4000000000000004</c:v>
                </c:pt>
                <c:pt idx="14">
                  <c:v>4.4000000000000004</c:v>
                </c:pt>
                <c:pt idx="15">
                  <c:v>4.4000000000000004</c:v>
                </c:pt>
                <c:pt idx="16">
                  <c:v>4.6399999999999997</c:v>
                </c:pt>
                <c:pt idx="17">
                  <c:v>4.72</c:v>
                </c:pt>
                <c:pt idx="18">
                  <c:v>4.76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C6-4F2E-9770-B1704BA73A9A}"/>
            </c:ext>
          </c:extLst>
        </c:ser>
        <c:ser>
          <c:idx val="5"/>
          <c:order val="4"/>
          <c:tx>
            <c:v>Lens 24a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Data!$A$34:$A$40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4.2</c:v>
                </c:pt>
              </c:numCache>
            </c:numRef>
          </c:xVal>
          <c:yVal>
            <c:numRef>
              <c:f>Data!$C$34:$C$40</c:f>
              <c:numCache>
                <c:formatCode>General</c:formatCode>
                <c:ptCount val="7"/>
                <c:pt idx="0">
                  <c:v>1.92</c:v>
                </c:pt>
                <c:pt idx="1">
                  <c:v>2.2799999999999998</c:v>
                </c:pt>
                <c:pt idx="2">
                  <c:v>2.64</c:v>
                </c:pt>
                <c:pt idx="3">
                  <c:v>2.96</c:v>
                </c:pt>
                <c:pt idx="4">
                  <c:v>3.12</c:v>
                </c:pt>
                <c:pt idx="5">
                  <c:v>3.28</c:v>
                </c:pt>
                <c:pt idx="6">
                  <c:v>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C6-4F2E-9770-B1704BA73A9A}"/>
            </c:ext>
          </c:extLst>
        </c:ser>
        <c:ser>
          <c:idx val="6"/>
          <c:order val="5"/>
          <c:tx>
            <c:v>Lens 28</c:v>
          </c:tx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Data!$A$60:$A$74</c:f>
              <c:numCache>
                <c:formatCode>General</c:formatCode>
                <c:ptCount val="15"/>
                <c:pt idx="0">
                  <c:v>5.5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5.45</c:v>
                </c:pt>
                <c:pt idx="7">
                  <c:v>5.3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5.28</c:v>
                </c:pt>
              </c:numCache>
            </c:numRef>
          </c:xVal>
          <c:yVal>
            <c:numRef>
              <c:f>Data!$C$60:$C$74</c:f>
              <c:numCache>
                <c:formatCode>0.00</c:formatCode>
                <c:ptCount val="15"/>
                <c:pt idx="0">
                  <c:v>4.24</c:v>
                </c:pt>
                <c:pt idx="1">
                  <c:v>2.88</c:v>
                </c:pt>
                <c:pt idx="2">
                  <c:v>3.2</c:v>
                </c:pt>
                <c:pt idx="3">
                  <c:v>3.6</c:v>
                </c:pt>
                <c:pt idx="4">
                  <c:v>4</c:v>
                </c:pt>
                <c:pt idx="5">
                  <c:v>4.4000000000000004</c:v>
                </c:pt>
                <c:pt idx="6">
                  <c:v>4.24</c:v>
                </c:pt>
                <c:pt idx="7">
                  <c:v>4.16</c:v>
                </c:pt>
                <c:pt idx="8" formatCode="General">
                  <c:v>2.08</c:v>
                </c:pt>
                <c:pt idx="9" formatCode="General">
                  <c:v>2.64</c:v>
                </c:pt>
                <c:pt idx="10" formatCode="General">
                  <c:v>3.04</c:v>
                </c:pt>
                <c:pt idx="11" formatCode="General">
                  <c:v>3.36</c:v>
                </c:pt>
                <c:pt idx="12" formatCode="General">
                  <c:v>3.8</c:v>
                </c:pt>
                <c:pt idx="13" formatCode="General">
                  <c:v>4.12</c:v>
                </c:pt>
                <c:pt idx="14" formatCode="General">
                  <c:v>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C6-4F2E-9770-B1704BA73A9A}"/>
            </c:ext>
          </c:extLst>
        </c:ser>
        <c:ser>
          <c:idx val="3"/>
          <c:order val="6"/>
          <c:tx>
            <c:v>Lens 22</c:v>
          </c:tx>
          <c:spPr>
            <a:ln w="19050">
              <a:noFill/>
            </a:ln>
          </c:spPr>
          <c:marker>
            <c:symbol val="x"/>
            <c:size val="7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Data!$A$75:$A$78</c:f>
              <c:numCache>
                <c:formatCode>General</c:formatCode>
                <c:ptCount val="4"/>
                <c:pt idx="0">
                  <c:v>0</c:v>
                </c:pt>
                <c:pt idx="1">
                  <c:v>1.1000000000000001</c:v>
                </c:pt>
                <c:pt idx="2">
                  <c:v>4.2</c:v>
                </c:pt>
                <c:pt idx="3">
                  <c:v>5.2</c:v>
                </c:pt>
              </c:numCache>
            </c:numRef>
          </c:xVal>
          <c:yVal>
            <c:numRef>
              <c:f>Data!$C$75:$C$78</c:f>
              <c:numCache>
                <c:formatCode>General</c:formatCode>
                <c:ptCount val="4"/>
                <c:pt idx="0">
                  <c:v>3.8</c:v>
                </c:pt>
                <c:pt idx="1">
                  <c:v>3</c:v>
                </c:pt>
                <c:pt idx="2">
                  <c:v>4.5999999999999996</c:v>
                </c:pt>
                <c:pt idx="3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C6-4F2E-9770-B1704BA73A9A}"/>
            </c:ext>
          </c:extLst>
        </c:ser>
        <c:ser>
          <c:idx val="7"/>
          <c:order val="7"/>
          <c:tx>
            <c:v>Lens 21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Data!$A$90:$A$100</c:f>
              <c:numCache>
                <c:formatCode>General</c:formatCode>
                <c:ptCount val="11"/>
                <c:pt idx="0">
                  <c:v>0</c:v>
                </c:pt>
                <c:pt idx="1">
                  <c:v>2.75</c:v>
                </c:pt>
                <c:pt idx="2">
                  <c:v>3.2</c:v>
                </c:pt>
                <c:pt idx="3">
                  <c:v>3.6</c:v>
                </c:pt>
                <c:pt idx="4">
                  <c:v>4.2</c:v>
                </c:pt>
                <c:pt idx="5">
                  <c:v>4.5999999999999996</c:v>
                </c:pt>
                <c:pt idx="6">
                  <c:v>5.15</c:v>
                </c:pt>
                <c:pt idx="7">
                  <c:v>5.5</c:v>
                </c:pt>
                <c:pt idx="8">
                  <c:v>6</c:v>
                </c:pt>
                <c:pt idx="9">
                  <c:v>6.4</c:v>
                </c:pt>
                <c:pt idx="10">
                  <c:v>6.65</c:v>
                </c:pt>
              </c:numCache>
            </c:numRef>
          </c:xVal>
          <c:yVal>
            <c:numRef>
              <c:f>Data!$C$90:$C$100</c:f>
              <c:numCache>
                <c:formatCode>General</c:formatCode>
                <c:ptCount val="11"/>
                <c:pt idx="0">
                  <c:v>2.7</c:v>
                </c:pt>
                <c:pt idx="1">
                  <c:v>4</c:v>
                </c:pt>
                <c:pt idx="2">
                  <c:v>4.2</c:v>
                </c:pt>
                <c:pt idx="3">
                  <c:v>4.4000000000000004</c:v>
                </c:pt>
                <c:pt idx="4">
                  <c:v>4.5999999999999996</c:v>
                </c:pt>
                <c:pt idx="5">
                  <c:v>4.8</c:v>
                </c:pt>
                <c:pt idx="6">
                  <c:v>5</c:v>
                </c:pt>
                <c:pt idx="7">
                  <c:v>5.2</c:v>
                </c:pt>
                <c:pt idx="8">
                  <c:v>5.4</c:v>
                </c:pt>
                <c:pt idx="9">
                  <c:v>5.6</c:v>
                </c:pt>
                <c:pt idx="1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C6-4F2E-9770-B1704BA73A9A}"/>
            </c:ext>
          </c:extLst>
        </c:ser>
        <c:ser>
          <c:idx val="8"/>
          <c:order val="8"/>
          <c:tx>
            <c:v>Lens 20</c:v>
          </c:tx>
          <c:spPr>
            <a:ln w="19050">
              <a:noFill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Data!$A$79:$A$89</c:f>
              <c:numCache>
                <c:formatCode>General</c:formatCode>
                <c:ptCount val="11"/>
                <c:pt idx="0">
                  <c:v>0</c:v>
                </c:pt>
                <c:pt idx="1">
                  <c:v>2.8</c:v>
                </c:pt>
                <c:pt idx="2">
                  <c:v>3.05</c:v>
                </c:pt>
                <c:pt idx="3">
                  <c:v>3.65</c:v>
                </c:pt>
                <c:pt idx="4">
                  <c:v>4.0999999999999996</c:v>
                </c:pt>
                <c:pt idx="5">
                  <c:v>4.55</c:v>
                </c:pt>
                <c:pt idx="6">
                  <c:v>5.05</c:v>
                </c:pt>
                <c:pt idx="7">
                  <c:v>5.45</c:v>
                </c:pt>
                <c:pt idx="8">
                  <c:v>6</c:v>
                </c:pt>
                <c:pt idx="9">
                  <c:v>6.4</c:v>
                </c:pt>
                <c:pt idx="10">
                  <c:v>6.65</c:v>
                </c:pt>
              </c:numCache>
            </c:numRef>
          </c:xVal>
          <c:yVal>
            <c:numRef>
              <c:f>Data!$C$79:$C$89</c:f>
              <c:numCache>
                <c:formatCode>General</c:formatCode>
                <c:ptCount val="11"/>
                <c:pt idx="0">
                  <c:v>2.6</c:v>
                </c:pt>
                <c:pt idx="1">
                  <c:v>4</c:v>
                </c:pt>
                <c:pt idx="2">
                  <c:v>4.2</c:v>
                </c:pt>
                <c:pt idx="3">
                  <c:v>4.4000000000000004</c:v>
                </c:pt>
                <c:pt idx="4">
                  <c:v>4.5999999999999996</c:v>
                </c:pt>
                <c:pt idx="5">
                  <c:v>4.8</c:v>
                </c:pt>
                <c:pt idx="6">
                  <c:v>5</c:v>
                </c:pt>
                <c:pt idx="7">
                  <c:v>5.2</c:v>
                </c:pt>
                <c:pt idx="8">
                  <c:v>5.4</c:v>
                </c:pt>
                <c:pt idx="9">
                  <c:v>5.6</c:v>
                </c:pt>
                <c:pt idx="1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8C6-4F2E-9770-B1704BA73A9A}"/>
            </c:ext>
          </c:extLst>
        </c:ser>
        <c:ser>
          <c:idx val="9"/>
          <c:order val="9"/>
          <c:tx>
            <c:v>Lens 18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Data!$A$141:$A$144</c:f>
              <c:numCache>
                <c:formatCode>General</c:formatCode>
                <c:ptCount val="4"/>
                <c:pt idx="0">
                  <c:v>3.75</c:v>
                </c:pt>
                <c:pt idx="1">
                  <c:v>4.5999999999999996</c:v>
                </c:pt>
                <c:pt idx="2">
                  <c:v>6.25</c:v>
                </c:pt>
                <c:pt idx="3">
                  <c:v>4.6500000000000004</c:v>
                </c:pt>
              </c:numCache>
            </c:numRef>
          </c:xVal>
          <c:yVal>
            <c:numRef>
              <c:f>Data!$C$141:$C$144</c:f>
              <c:numCache>
                <c:formatCode>General</c:formatCode>
                <c:ptCount val="4"/>
                <c:pt idx="0">
                  <c:v>4.5999999999999996</c:v>
                </c:pt>
                <c:pt idx="2">
                  <c:v>5.7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8C6-4F2E-9770-B1704BA73A9A}"/>
            </c:ext>
          </c:extLst>
        </c:ser>
        <c:ser>
          <c:idx val="10"/>
          <c:order val="10"/>
          <c:tx>
            <c:v>Lens 17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Data!$A$132:$A$140</c:f>
              <c:numCache>
                <c:formatCode>General</c:formatCode>
                <c:ptCount val="9"/>
                <c:pt idx="0">
                  <c:v>2.75</c:v>
                </c:pt>
                <c:pt idx="1">
                  <c:v>3.75</c:v>
                </c:pt>
                <c:pt idx="2">
                  <c:v>4.5</c:v>
                </c:pt>
                <c:pt idx="3">
                  <c:v>2.75</c:v>
                </c:pt>
                <c:pt idx="4">
                  <c:v>5.5</c:v>
                </c:pt>
                <c:pt idx="5">
                  <c:v>6.3</c:v>
                </c:pt>
                <c:pt idx="6">
                  <c:v>1.9</c:v>
                </c:pt>
                <c:pt idx="7">
                  <c:v>2.75</c:v>
                </c:pt>
                <c:pt idx="8">
                  <c:v>3.5</c:v>
                </c:pt>
              </c:numCache>
            </c:numRef>
          </c:xVal>
          <c:yVal>
            <c:numRef>
              <c:f>Data!$C$132:$C$140</c:f>
              <c:numCache>
                <c:formatCode>General</c:formatCode>
                <c:ptCount val="9"/>
                <c:pt idx="0">
                  <c:v>4.0199999999999996</c:v>
                </c:pt>
                <c:pt idx="1">
                  <c:v>4.42</c:v>
                </c:pt>
                <c:pt idx="2">
                  <c:v>4.75</c:v>
                </c:pt>
                <c:pt idx="3">
                  <c:v>4.0650000000000004</c:v>
                </c:pt>
                <c:pt idx="4">
                  <c:v>5.34</c:v>
                </c:pt>
                <c:pt idx="5">
                  <c:v>5.72</c:v>
                </c:pt>
                <c:pt idx="6">
                  <c:v>4.2</c:v>
                </c:pt>
                <c:pt idx="7">
                  <c:v>4.57</c:v>
                </c:pt>
                <c:pt idx="8">
                  <c:v>5.04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8C6-4F2E-9770-B1704BA73A9A}"/>
            </c:ext>
          </c:extLst>
        </c:ser>
        <c:ser>
          <c:idx val="11"/>
          <c:order val="11"/>
          <c:tx>
            <c:v>Lens 16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Data!$A$123:$A$131</c:f>
              <c:numCache>
                <c:formatCode>General</c:formatCode>
                <c:ptCount val="9"/>
                <c:pt idx="0">
                  <c:v>6.1</c:v>
                </c:pt>
                <c:pt idx="1">
                  <c:v>2.9</c:v>
                </c:pt>
                <c:pt idx="2">
                  <c:v>2.9</c:v>
                </c:pt>
                <c:pt idx="3">
                  <c:v>3.6</c:v>
                </c:pt>
                <c:pt idx="4">
                  <c:v>4.5</c:v>
                </c:pt>
                <c:pt idx="5">
                  <c:v>5.35</c:v>
                </c:pt>
                <c:pt idx="6">
                  <c:v>6.1</c:v>
                </c:pt>
                <c:pt idx="7">
                  <c:v>3.5</c:v>
                </c:pt>
                <c:pt idx="8">
                  <c:v>2</c:v>
                </c:pt>
              </c:numCache>
            </c:numRef>
          </c:xVal>
          <c:yVal>
            <c:numRef>
              <c:f>Data!$C$123:$C$131</c:f>
              <c:numCache>
                <c:formatCode>General</c:formatCode>
                <c:ptCount val="9"/>
                <c:pt idx="0">
                  <c:v>5.6</c:v>
                </c:pt>
                <c:pt idx="1">
                  <c:v>4.0999999999999996</c:v>
                </c:pt>
                <c:pt idx="2">
                  <c:v>4.1500000000000004</c:v>
                </c:pt>
                <c:pt idx="3">
                  <c:v>4.4800000000000004</c:v>
                </c:pt>
                <c:pt idx="4">
                  <c:v>4.8499999999999996</c:v>
                </c:pt>
                <c:pt idx="5">
                  <c:v>5.25</c:v>
                </c:pt>
                <c:pt idx="6">
                  <c:v>5.59</c:v>
                </c:pt>
                <c:pt idx="7">
                  <c:v>5.03</c:v>
                </c:pt>
                <c:pt idx="8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8C6-4F2E-9770-B1704BA73A9A}"/>
            </c:ext>
          </c:extLst>
        </c:ser>
        <c:ser>
          <c:idx val="12"/>
          <c:order val="12"/>
          <c:tx>
            <c:v>Lens 15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Data!$A$122</c:f>
              <c:numCache>
                <c:formatCode>General</c:formatCode>
                <c:ptCount val="1"/>
                <c:pt idx="0">
                  <c:v>1.95</c:v>
                </c:pt>
              </c:numCache>
            </c:numRef>
          </c:xVal>
          <c:yVal>
            <c:numRef>
              <c:f>Data!$C$122</c:f>
              <c:numCache>
                <c:formatCode>General</c:formatCode>
                <c:ptCount val="1"/>
                <c:pt idx="0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8C6-4F2E-9770-B1704BA73A9A}"/>
            </c:ext>
          </c:extLst>
        </c:ser>
        <c:ser>
          <c:idx val="13"/>
          <c:order val="13"/>
          <c:tx>
            <c:v>Lens 13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Data!$A$119:$A$121</c:f>
              <c:numCache>
                <c:formatCode>General</c:formatCode>
                <c:ptCount val="3"/>
                <c:pt idx="0">
                  <c:v>4.5</c:v>
                </c:pt>
                <c:pt idx="1">
                  <c:v>2</c:v>
                </c:pt>
                <c:pt idx="2">
                  <c:v>2.9</c:v>
                </c:pt>
              </c:numCache>
            </c:numRef>
          </c:xVal>
          <c:yVal>
            <c:numRef>
              <c:f>Data!$C$118:$C$121</c:f>
              <c:numCache>
                <c:formatCode>General</c:formatCode>
                <c:ptCount val="4"/>
                <c:pt idx="0">
                  <c:v>5.28</c:v>
                </c:pt>
                <c:pt idx="1">
                  <c:v>5.7</c:v>
                </c:pt>
                <c:pt idx="3">
                  <c:v>4.8499999999999996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8C6-4F2E-9770-B1704BA73A9A}"/>
            </c:ext>
          </c:extLst>
        </c:ser>
        <c:ser>
          <c:idx val="14"/>
          <c:order val="14"/>
          <c:tx>
            <c:v>Lens 9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Data!$A$114:$A$116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6.25</c:v>
                </c:pt>
              </c:numCache>
            </c:numRef>
          </c:xVal>
          <c:yVal>
            <c:numRef>
              <c:f>Data!$C$114:$C$116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8C6-4F2E-9770-B1704BA73A9A}"/>
            </c:ext>
          </c:extLst>
        </c:ser>
        <c:ser>
          <c:idx val="15"/>
          <c:order val="15"/>
          <c:tx>
            <c:v>Lens 8</c:v>
          </c:tx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Data!$A$109:$A$113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6.25</c:v>
                </c:pt>
              </c:numCache>
            </c:numRef>
          </c:xVal>
          <c:yVal>
            <c:numRef>
              <c:f>Data!$C$109:$C$113</c:f>
              <c:numCache>
                <c:formatCode>General</c:formatCode>
                <c:ptCount val="5"/>
                <c:pt idx="0">
                  <c:v>2.0299999999999998</c:v>
                </c:pt>
                <c:pt idx="1">
                  <c:v>2.89</c:v>
                </c:pt>
                <c:pt idx="2">
                  <c:v>3.6</c:v>
                </c:pt>
                <c:pt idx="3">
                  <c:v>3.9</c:v>
                </c:pt>
                <c:pt idx="4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8C6-4F2E-9770-B1704BA73A9A}"/>
            </c:ext>
          </c:extLst>
        </c:ser>
        <c:ser>
          <c:idx val="16"/>
          <c:order val="16"/>
          <c:tx>
            <c:v>Lens 4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Data!$A$101:$A$107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Data!$C$101:$C$107</c:f>
              <c:numCache>
                <c:formatCode>General</c:formatCode>
                <c:ptCount val="7"/>
                <c:pt idx="0">
                  <c:v>2</c:v>
                </c:pt>
                <c:pt idx="1">
                  <c:v>2.8</c:v>
                </c:pt>
                <c:pt idx="2">
                  <c:v>3.6</c:v>
                </c:pt>
                <c:pt idx="3">
                  <c:v>4.3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8C6-4F2E-9770-B1704BA73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345039"/>
        <c:axId val="1"/>
      </c:scatterChart>
      <c:valAx>
        <c:axId val="947345039"/>
        <c:scaling>
          <c:orientation val="minMax"/>
          <c:max val="7"/>
          <c:min val="0"/>
        </c:scaling>
        <c:delete val="0"/>
        <c:axPos val="b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Pot setting</a:t>
                </a:r>
              </a:p>
            </c:rich>
          </c:tx>
          <c:layout>
            <c:manualLayout>
              <c:xMode val="edge"/>
              <c:yMode val="edge"/>
              <c:x val="0.44261428857136659"/>
              <c:y val="0.935048268543388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Bdot Coil Voltage</a:t>
                </a:r>
              </a:p>
            </c:rich>
          </c:tx>
          <c:layout>
            <c:manualLayout>
              <c:xMode val="edge"/>
              <c:yMode val="edge"/>
              <c:x val="1.5214866169640726E-2"/>
              <c:y val="0.41517587213316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7345039"/>
        <c:crosses val="autoZero"/>
        <c:crossBetween val="midCat"/>
      </c:valAx>
      <c:spPr>
        <a:solidFill>
          <a:srgbClr val="FFFFFF"/>
        </a:solidFill>
        <a:ln w="12700">
          <a:solidFill>
            <a:srgbClr val="99CC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35835550043363"/>
          <c:y val="0.21420668185421249"/>
          <c:w val="7.8840670151774678E-2"/>
          <c:h val="0.594483712561690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&amp;L&amp;9T. Leveling
11/13/02</c:oddFooter>
    </c:headerFooter>
    <c:pageMargins b="1" l="0.75" r="0.75" t="1" header="0.5" footer="0.5"/>
    <c:pageSetup orientation="landscape" verticalDpi="355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Rogowski Coil Voltage vs Pot setting by Lens</a:t>
            </a:r>
          </a:p>
        </c:rich>
      </c:tx>
      <c:layout>
        <c:manualLayout>
          <c:xMode val="edge"/>
          <c:yMode val="edge"/>
          <c:x val="0.30450785856606499"/>
          <c:y val="2.89165897697091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123787735513629E-2"/>
          <c:y val="0.14096837512733223"/>
          <c:w val="0.81179026840453239"/>
          <c:h val="0.73978275494172652"/>
        </c:manualLayout>
      </c:layout>
      <c:scatterChart>
        <c:scatterStyle val="lineMarker"/>
        <c:varyColors val="0"/>
        <c:ser>
          <c:idx val="0"/>
          <c:order val="0"/>
          <c:tx>
            <c:v>Lens 28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Data!$A$60:$A$74</c:f>
              <c:numCache>
                <c:formatCode>General</c:formatCode>
                <c:ptCount val="15"/>
                <c:pt idx="0">
                  <c:v>5.5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5.45</c:v>
                </c:pt>
                <c:pt idx="7">
                  <c:v>5.3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5.28</c:v>
                </c:pt>
              </c:numCache>
            </c:numRef>
          </c:xVal>
          <c:yVal>
            <c:numRef>
              <c:f>Data!$B$60:$B$74</c:f>
              <c:numCache>
                <c:formatCode>0.000</c:formatCode>
                <c:ptCount val="15"/>
                <c:pt idx="0">
                  <c:v>0.63200000000000001</c:v>
                </c:pt>
                <c:pt idx="1">
                  <c:v>0.432</c:v>
                </c:pt>
                <c:pt idx="2">
                  <c:v>0.48799999999999999</c:v>
                </c:pt>
                <c:pt idx="3">
                  <c:v>0.54400000000000004</c:v>
                </c:pt>
                <c:pt idx="4">
                  <c:v>0.6</c:v>
                </c:pt>
                <c:pt idx="5">
                  <c:v>0.66400000000000003</c:v>
                </c:pt>
                <c:pt idx="6">
                  <c:v>0.63200000000000001</c:v>
                </c:pt>
                <c:pt idx="7">
                  <c:v>0.62</c:v>
                </c:pt>
                <c:pt idx="8" formatCode="General">
                  <c:v>0.32800000000000001</c:v>
                </c:pt>
                <c:pt idx="9" formatCode="General">
                  <c:v>0.39200000000000002</c:v>
                </c:pt>
                <c:pt idx="10" formatCode="General">
                  <c:v>0.45200000000000001</c:v>
                </c:pt>
                <c:pt idx="11" formatCode="General">
                  <c:v>0.51200000000000001</c:v>
                </c:pt>
                <c:pt idx="12" formatCode="General">
                  <c:v>0.56399999999999995</c:v>
                </c:pt>
                <c:pt idx="13" formatCode="General">
                  <c:v>0.62</c:v>
                </c:pt>
                <c:pt idx="14" formatCode="General">
                  <c:v>0.628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2-49F2-A7A6-085F4BB71051}"/>
            </c:ext>
          </c:extLst>
        </c:ser>
        <c:ser>
          <c:idx val="1"/>
          <c:order val="1"/>
          <c:tx>
            <c:v>Lens 24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Data!$A$7:$A$21</c:f>
              <c:numCache>
                <c:formatCode>General</c:formatCode>
                <c:ptCount val="15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5.15</c:v>
                </c:pt>
                <c:pt idx="5">
                  <c:v>0</c:v>
                </c:pt>
                <c:pt idx="6">
                  <c:v>2.8</c:v>
                </c:pt>
                <c:pt idx="7">
                  <c:v>2.8</c:v>
                </c:pt>
                <c:pt idx="8">
                  <c:v>5.15</c:v>
                </c:pt>
                <c:pt idx="9">
                  <c:v>5.15</c:v>
                </c:pt>
                <c:pt idx="10">
                  <c:v>2.8</c:v>
                </c:pt>
                <c:pt idx="11">
                  <c:v>5.15</c:v>
                </c:pt>
                <c:pt idx="12">
                  <c:v>4.2</c:v>
                </c:pt>
                <c:pt idx="13">
                  <c:v>2.8</c:v>
                </c:pt>
                <c:pt idx="14">
                  <c:v>5.15</c:v>
                </c:pt>
              </c:numCache>
            </c:numRef>
          </c:xVal>
          <c:yVal>
            <c:numRef>
              <c:f>Data!$B$7:$B$21</c:f>
              <c:numCache>
                <c:formatCode>General</c:formatCode>
                <c:ptCount val="15"/>
                <c:pt idx="0">
                  <c:v>0.52800000000000002</c:v>
                </c:pt>
                <c:pt idx="1">
                  <c:v>0.52</c:v>
                </c:pt>
                <c:pt idx="2">
                  <c:v>0.51200000000000001</c:v>
                </c:pt>
                <c:pt idx="3">
                  <c:v>0.52</c:v>
                </c:pt>
                <c:pt idx="4">
                  <c:v>0.66</c:v>
                </c:pt>
                <c:pt idx="5">
                  <c:v>0.33600000000000002</c:v>
                </c:pt>
                <c:pt idx="6">
                  <c:v>0.52</c:v>
                </c:pt>
                <c:pt idx="7">
                  <c:v>0.51</c:v>
                </c:pt>
                <c:pt idx="8">
                  <c:v>0.65600000000000003</c:v>
                </c:pt>
                <c:pt idx="9">
                  <c:v>0.64800000000000002</c:v>
                </c:pt>
                <c:pt idx="10">
                  <c:v>0.52</c:v>
                </c:pt>
                <c:pt idx="11">
                  <c:v>0.64800000000000002</c:v>
                </c:pt>
                <c:pt idx="12">
                  <c:v>0.44800000000000001</c:v>
                </c:pt>
                <c:pt idx="13">
                  <c:v>0.52</c:v>
                </c:pt>
                <c:pt idx="14">
                  <c:v>0.64800000000000002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42-49F2-A7A6-085F4BB71051}"/>
            </c:ext>
          </c:extLst>
        </c:ser>
        <c:ser>
          <c:idx val="2"/>
          <c:order val="2"/>
          <c:tx>
            <c:v>Lens 25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Data!$A$22:$A$30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4.6500000000000004</c:v>
                </c:pt>
              </c:numCache>
            </c:numRef>
          </c:xVal>
          <c:yVal>
            <c:numRef>
              <c:f>Data!$B$22:$B$30</c:f>
              <c:numCache>
                <c:formatCode>General</c:formatCode>
                <c:ptCount val="9"/>
                <c:pt idx="0">
                  <c:v>0.33200000000000002</c:v>
                </c:pt>
                <c:pt idx="1">
                  <c:v>0.32800000000000001</c:v>
                </c:pt>
                <c:pt idx="2">
                  <c:v>0.4</c:v>
                </c:pt>
                <c:pt idx="3">
                  <c:v>0.42399999999999999</c:v>
                </c:pt>
                <c:pt idx="4">
                  <c:v>0.44800000000000001</c:v>
                </c:pt>
                <c:pt idx="5">
                  <c:v>0.48</c:v>
                </c:pt>
                <c:pt idx="6">
                  <c:v>0.504</c:v>
                </c:pt>
                <c:pt idx="7">
                  <c:v>0.52800000000000002</c:v>
                </c:pt>
                <c:pt idx="8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42-49F2-A7A6-085F4BB71051}"/>
            </c:ext>
          </c:extLst>
        </c:ser>
        <c:ser>
          <c:idx val="4"/>
          <c:order val="3"/>
          <c:tx>
            <c:v>Lens 27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Data!$A$41:$A$59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4.5</c:v>
                </c:pt>
                <c:pt idx="5">
                  <c:v>5.8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5.7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6</c:v>
                </c:pt>
                <c:pt idx="17">
                  <c:v>6.35</c:v>
                </c:pt>
                <c:pt idx="18">
                  <c:v>6.4</c:v>
                </c:pt>
              </c:numCache>
            </c:numRef>
          </c:xVal>
          <c:yVal>
            <c:numRef>
              <c:f>Data!$B$41:$B$59</c:f>
              <c:numCache>
                <c:formatCode>General</c:formatCode>
                <c:ptCount val="19"/>
                <c:pt idx="0">
                  <c:v>0.29199999999999998</c:v>
                </c:pt>
                <c:pt idx="1">
                  <c:v>0.34399999999999997</c:v>
                </c:pt>
                <c:pt idx="2">
                  <c:v>0.4</c:v>
                </c:pt>
                <c:pt idx="3">
                  <c:v>0.504</c:v>
                </c:pt>
                <c:pt idx="4">
                  <c:v>0.52</c:v>
                </c:pt>
                <c:pt idx="5">
                  <c:v>0.58399999999999996</c:v>
                </c:pt>
                <c:pt idx="6">
                  <c:v>0.29599999999999999</c:v>
                </c:pt>
                <c:pt idx="7">
                  <c:v>0.33600000000000002</c:v>
                </c:pt>
                <c:pt idx="8">
                  <c:v>0.40799999999999997</c:v>
                </c:pt>
                <c:pt idx="9">
                  <c:v>0.45600000000000002</c:v>
                </c:pt>
                <c:pt idx="10">
                  <c:v>0.504</c:v>
                </c:pt>
                <c:pt idx="11">
                  <c:v>0.56000000000000005</c:v>
                </c:pt>
                <c:pt idx="12">
                  <c:v>0.59199999999999997</c:v>
                </c:pt>
                <c:pt idx="13">
                  <c:v>0.58399999999999996</c:v>
                </c:pt>
                <c:pt idx="14">
                  <c:v>0.58399999999999996</c:v>
                </c:pt>
                <c:pt idx="15">
                  <c:v>0.57599999999999996</c:v>
                </c:pt>
                <c:pt idx="16">
                  <c:v>0.60399999999999998</c:v>
                </c:pt>
                <c:pt idx="17">
                  <c:v>0.62</c:v>
                </c:pt>
                <c:pt idx="18">
                  <c:v>0.628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42-49F2-A7A6-085F4BB71051}"/>
            </c:ext>
          </c:extLst>
        </c:ser>
        <c:ser>
          <c:idx val="5"/>
          <c:order val="4"/>
          <c:tx>
            <c:v>Lens 24a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Data!$A$34:$A$40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4.2</c:v>
                </c:pt>
              </c:numCache>
            </c:numRef>
          </c:xVal>
          <c:yVal>
            <c:numRef>
              <c:f>Data!$B$34:$B$40</c:f>
              <c:numCache>
                <c:formatCode>General</c:formatCode>
                <c:ptCount val="7"/>
                <c:pt idx="0">
                  <c:v>0.26</c:v>
                </c:pt>
                <c:pt idx="1">
                  <c:v>0.30399999999999999</c:v>
                </c:pt>
                <c:pt idx="2">
                  <c:v>0.35599999999999998</c:v>
                </c:pt>
                <c:pt idx="3">
                  <c:v>0.4</c:v>
                </c:pt>
                <c:pt idx="4">
                  <c:v>0.42399999999999999</c:v>
                </c:pt>
                <c:pt idx="5">
                  <c:v>0.44</c:v>
                </c:pt>
                <c:pt idx="6">
                  <c:v>0.44800000000000001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42-49F2-A7A6-085F4BB71051}"/>
            </c:ext>
          </c:extLst>
        </c:ser>
        <c:ser>
          <c:idx val="3"/>
          <c:order val="5"/>
          <c:tx>
            <c:v>Lens 23</c:v>
          </c:tx>
          <c:spPr>
            <a:ln w="19050">
              <a:noFill/>
            </a:ln>
          </c:spPr>
          <c:marker>
            <c:symbol val="x"/>
            <c:size val="7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Data!$A$2:$A$6</c:f>
              <c:numCache>
                <c:formatCode>General</c:formatCode>
                <c:ptCount val="5"/>
                <c:pt idx="0">
                  <c:v>2</c:v>
                </c:pt>
                <c:pt idx="1">
                  <c:v>3.75</c:v>
                </c:pt>
                <c:pt idx="2">
                  <c:v>3.75</c:v>
                </c:pt>
                <c:pt idx="3">
                  <c:v>4.5</c:v>
                </c:pt>
                <c:pt idx="4">
                  <c:v>4.5</c:v>
                </c:pt>
              </c:numCache>
            </c:numRef>
          </c:xVal>
          <c:yVal>
            <c:numRef>
              <c:f>Data!$B$2:$B$6</c:f>
              <c:numCache>
                <c:formatCode>General</c:formatCode>
                <c:ptCount val="5"/>
                <c:pt idx="0">
                  <c:v>0.3</c:v>
                </c:pt>
                <c:pt idx="1">
                  <c:v>0.49</c:v>
                </c:pt>
                <c:pt idx="2">
                  <c:v>0.48</c:v>
                </c:pt>
                <c:pt idx="3">
                  <c:v>0.53</c:v>
                </c:pt>
                <c:pt idx="4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42-49F2-A7A6-085F4BB71051}"/>
            </c:ext>
          </c:extLst>
        </c:ser>
        <c:ser>
          <c:idx val="6"/>
          <c:order val="6"/>
          <c:tx>
            <c:v>Lens 22</c:v>
          </c:tx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Data!$A$75:$A$78</c:f>
              <c:numCache>
                <c:formatCode>General</c:formatCode>
                <c:ptCount val="4"/>
                <c:pt idx="0">
                  <c:v>0</c:v>
                </c:pt>
                <c:pt idx="1">
                  <c:v>1.1000000000000001</c:v>
                </c:pt>
                <c:pt idx="2">
                  <c:v>4.2</c:v>
                </c:pt>
                <c:pt idx="3">
                  <c:v>5.2</c:v>
                </c:pt>
              </c:numCache>
            </c:numRef>
          </c:xVal>
          <c:yVal>
            <c:numRef>
              <c:f>Data!$B$75:$B$78</c:f>
              <c:numCache>
                <c:formatCode>General</c:formatCode>
                <c:ptCount val="4"/>
                <c:pt idx="0">
                  <c:v>0.48</c:v>
                </c:pt>
                <c:pt idx="1">
                  <c:v>0.35</c:v>
                </c:pt>
                <c:pt idx="2">
                  <c:v>0.51</c:v>
                </c:pt>
                <c:pt idx="3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42-49F2-A7A6-085F4BB71051}"/>
            </c:ext>
          </c:extLst>
        </c:ser>
        <c:ser>
          <c:idx val="7"/>
          <c:order val="7"/>
          <c:tx>
            <c:v>Lens 21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Data!$A$90:$A$100</c:f>
              <c:numCache>
                <c:formatCode>General</c:formatCode>
                <c:ptCount val="11"/>
                <c:pt idx="0">
                  <c:v>0</c:v>
                </c:pt>
                <c:pt idx="1">
                  <c:v>2.75</c:v>
                </c:pt>
                <c:pt idx="2">
                  <c:v>3.2</c:v>
                </c:pt>
                <c:pt idx="3">
                  <c:v>3.6</c:v>
                </c:pt>
                <c:pt idx="4">
                  <c:v>4.2</c:v>
                </c:pt>
                <c:pt idx="5">
                  <c:v>4.5999999999999996</c:v>
                </c:pt>
                <c:pt idx="6">
                  <c:v>5.15</c:v>
                </c:pt>
                <c:pt idx="7">
                  <c:v>5.5</c:v>
                </c:pt>
                <c:pt idx="8">
                  <c:v>6</c:v>
                </c:pt>
                <c:pt idx="9">
                  <c:v>6.4</c:v>
                </c:pt>
                <c:pt idx="10">
                  <c:v>6.65</c:v>
                </c:pt>
              </c:numCache>
            </c:numRef>
          </c:xVal>
          <c:yVal>
            <c:numRef>
              <c:f>Data!$B$90:$B$100</c:f>
              <c:numCache>
                <c:formatCode>General</c:formatCode>
                <c:ptCount val="11"/>
                <c:pt idx="0">
                  <c:v>0.3</c:v>
                </c:pt>
                <c:pt idx="1">
                  <c:v>0.42</c:v>
                </c:pt>
                <c:pt idx="2">
                  <c:v>0.45</c:v>
                </c:pt>
                <c:pt idx="3">
                  <c:v>0.46500000000000002</c:v>
                </c:pt>
                <c:pt idx="4">
                  <c:v>0.49</c:v>
                </c:pt>
                <c:pt idx="5">
                  <c:v>0.52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0.59</c:v>
                </c:pt>
                <c:pt idx="9">
                  <c:v>0.61</c:v>
                </c:pt>
                <c:pt idx="10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42-49F2-A7A6-085F4BB71051}"/>
            </c:ext>
          </c:extLst>
        </c:ser>
        <c:ser>
          <c:idx val="8"/>
          <c:order val="8"/>
          <c:tx>
            <c:v>Lens 20</c:v>
          </c:tx>
          <c:spPr>
            <a:ln w="19050">
              <a:noFill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Data!$A$79:$A$89</c:f>
              <c:numCache>
                <c:formatCode>General</c:formatCode>
                <c:ptCount val="11"/>
                <c:pt idx="0">
                  <c:v>0</c:v>
                </c:pt>
                <c:pt idx="1">
                  <c:v>2.8</c:v>
                </c:pt>
                <c:pt idx="2">
                  <c:v>3.05</c:v>
                </c:pt>
                <c:pt idx="3">
                  <c:v>3.65</c:v>
                </c:pt>
                <c:pt idx="4">
                  <c:v>4.0999999999999996</c:v>
                </c:pt>
                <c:pt idx="5">
                  <c:v>4.55</c:v>
                </c:pt>
                <c:pt idx="6">
                  <c:v>5.05</c:v>
                </c:pt>
                <c:pt idx="7">
                  <c:v>5.45</c:v>
                </c:pt>
                <c:pt idx="8">
                  <c:v>6</c:v>
                </c:pt>
                <c:pt idx="9">
                  <c:v>6.4</c:v>
                </c:pt>
                <c:pt idx="10">
                  <c:v>6.65</c:v>
                </c:pt>
              </c:numCache>
            </c:numRef>
          </c:xVal>
          <c:yVal>
            <c:numRef>
              <c:f>Data!$B$79:$B$89</c:f>
              <c:numCache>
                <c:formatCode>General</c:formatCode>
                <c:ptCount val="11"/>
                <c:pt idx="0">
                  <c:v>0.28000000000000003</c:v>
                </c:pt>
                <c:pt idx="1">
                  <c:v>0.43</c:v>
                </c:pt>
                <c:pt idx="2">
                  <c:v>0.44</c:v>
                </c:pt>
                <c:pt idx="3">
                  <c:v>0.47</c:v>
                </c:pt>
                <c:pt idx="4">
                  <c:v>0.49</c:v>
                </c:pt>
                <c:pt idx="5">
                  <c:v>0.51500000000000001</c:v>
                </c:pt>
                <c:pt idx="6">
                  <c:v>0.54</c:v>
                </c:pt>
                <c:pt idx="7">
                  <c:v>0.55500000000000005</c:v>
                </c:pt>
                <c:pt idx="8">
                  <c:v>0.57999999999999996</c:v>
                </c:pt>
                <c:pt idx="9">
                  <c:v>0.6</c:v>
                </c:pt>
                <c:pt idx="10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42-49F2-A7A6-085F4BB71051}"/>
            </c:ext>
          </c:extLst>
        </c:ser>
        <c:ser>
          <c:idx val="9"/>
          <c:order val="9"/>
          <c:tx>
            <c:v>Lens 18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Data!$A$141:$A$144</c:f>
              <c:numCache>
                <c:formatCode>General</c:formatCode>
                <c:ptCount val="4"/>
                <c:pt idx="0">
                  <c:v>3.75</c:v>
                </c:pt>
                <c:pt idx="1">
                  <c:v>4.5999999999999996</c:v>
                </c:pt>
                <c:pt idx="2">
                  <c:v>6.25</c:v>
                </c:pt>
                <c:pt idx="3">
                  <c:v>4.6500000000000004</c:v>
                </c:pt>
              </c:numCache>
            </c:numRef>
          </c:xVal>
          <c:yVal>
            <c:numRef>
              <c:f>Data!$B$141:$B$144</c:f>
              <c:numCache>
                <c:formatCode>General</c:formatCode>
                <c:ptCount val="4"/>
                <c:pt idx="0">
                  <c:v>0.5</c:v>
                </c:pt>
                <c:pt idx="2">
                  <c:v>0.64</c:v>
                </c:pt>
                <c:pt idx="3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42-49F2-A7A6-085F4BB71051}"/>
            </c:ext>
          </c:extLst>
        </c:ser>
        <c:ser>
          <c:idx val="10"/>
          <c:order val="10"/>
          <c:tx>
            <c:v>Lens 17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Data!$A$132:$A$140</c:f>
              <c:numCache>
                <c:formatCode>General</c:formatCode>
                <c:ptCount val="9"/>
                <c:pt idx="0">
                  <c:v>2.75</c:v>
                </c:pt>
                <c:pt idx="1">
                  <c:v>3.75</c:v>
                </c:pt>
                <c:pt idx="2">
                  <c:v>4.5</c:v>
                </c:pt>
                <c:pt idx="3">
                  <c:v>2.75</c:v>
                </c:pt>
                <c:pt idx="4">
                  <c:v>5.5</c:v>
                </c:pt>
                <c:pt idx="5">
                  <c:v>6.3</c:v>
                </c:pt>
                <c:pt idx="6">
                  <c:v>1.9</c:v>
                </c:pt>
                <c:pt idx="7">
                  <c:v>2.75</c:v>
                </c:pt>
                <c:pt idx="8">
                  <c:v>3.5</c:v>
                </c:pt>
              </c:numCache>
            </c:numRef>
          </c:xVal>
          <c:yVal>
            <c:numRef>
              <c:f>Data!$B$132:$B$140</c:f>
              <c:numCache>
                <c:formatCode>General</c:formatCode>
                <c:ptCount val="9"/>
                <c:pt idx="0">
                  <c:v>0.48</c:v>
                </c:pt>
                <c:pt idx="1">
                  <c:v>0.54400000000000004</c:v>
                </c:pt>
                <c:pt idx="2">
                  <c:v>0.57799999999999996</c:v>
                </c:pt>
                <c:pt idx="3">
                  <c:v>0.48899999999999999</c:v>
                </c:pt>
                <c:pt idx="4">
                  <c:v>0.63500000000000001</c:v>
                </c:pt>
                <c:pt idx="5">
                  <c:v>0.67900000000000005</c:v>
                </c:pt>
                <c:pt idx="6">
                  <c:v>0.52</c:v>
                </c:pt>
                <c:pt idx="7">
                  <c:v>0.56399999999999995</c:v>
                </c:pt>
                <c:pt idx="8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42-49F2-A7A6-085F4BB71051}"/>
            </c:ext>
          </c:extLst>
        </c:ser>
        <c:ser>
          <c:idx val="11"/>
          <c:order val="11"/>
          <c:tx>
            <c:v>Lens 6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Data!$A$123:$A$131</c:f>
              <c:numCache>
                <c:formatCode>General</c:formatCode>
                <c:ptCount val="9"/>
                <c:pt idx="0">
                  <c:v>6.1</c:v>
                </c:pt>
                <c:pt idx="1">
                  <c:v>2.9</c:v>
                </c:pt>
                <c:pt idx="2">
                  <c:v>2.9</c:v>
                </c:pt>
                <c:pt idx="3">
                  <c:v>3.6</c:v>
                </c:pt>
                <c:pt idx="4">
                  <c:v>4.5</c:v>
                </c:pt>
                <c:pt idx="5">
                  <c:v>5.35</c:v>
                </c:pt>
                <c:pt idx="6">
                  <c:v>6.1</c:v>
                </c:pt>
                <c:pt idx="7">
                  <c:v>3.5</c:v>
                </c:pt>
                <c:pt idx="8">
                  <c:v>2</c:v>
                </c:pt>
              </c:numCache>
            </c:numRef>
          </c:xVal>
          <c:yVal>
            <c:numRef>
              <c:f>Data!$B$123:$B$131</c:f>
              <c:numCache>
                <c:formatCode>General</c:formatCode>
                <c:ptCount val="9"/>
                <c:pt idx="0">
                  <c:v>0.68</c:v>
                </c:pt>
                <c:pt idx="1">
                  <c:v>0.501</c:v>
                </c:pt>
                <c:pt idx="2">
                  <c:v>0.504</c:v>
                </c:pt>
                <c:pt idx="3">
                  <c:v>0.55000000000000004</c:v>
                </c:pt>
                <c:pt idx="4">
                  <c:v>0.6</c:v>
                </c:pt>
                <c:pt idx="5">
                  <c:v>0.65</c:v>
                </c:pt>
                <c:pt idx="6">
                  <c:v>0.69199999999999995</c:v>
                </c:pt>
                <c:pt idx="7">
                  <c:v>0.62</c:v>
                </c:pt>
                <c:pt idx="8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442-49F2-A7A6-085F4BB71051}"/>
            </c:ext>
          </c:extLst>
        </c:ser>
        <c:ser>
          <c:idx val="12"/>
          <c:order val="12"/>
          <c:tx>
            <c:v>Lens 15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xVal>
            <c:numRef>
              <c:f>Data!$A$122</c:f>
              <c:numCache>
                <c:formatCode>General</c:formatCode>
                <c:ptCount val="1"/>
                <c:pt idx="0">
                  <c:v>1.95</c:v>
                </c:pt>
              </c:numCache>
            </c:numRef>
          </c:xVal>
          <c:yVal>
            <c:numRef>
              <c:f>Data!$B$122</c:f>
              <c:numCache>
                <c:formatCode>General</c:formatCode>
                <c:ptCount val="1"/>
                <c:pt idx="0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442-49F2-A7A6-085F4BB71051}"/>
            </c:ext>
          </c:extLst>
        </c:ser>
        <c:ser>
          <c:idx val="13"/>
          <c:order val="13"/>
          <c:tx>
            <c:v>Lens 13</c:v>
          </c:tx>
          <c:spPr>
            <a:ln w="19050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xVal>
            <c:numRef>
              <c:f>Data!$A$118:$A$121</c:f>
              <c:numCache>
                <c:formatCode>General</c:formatCode>
                <c:ptCount val="4"/>
                <c:pt idx="0">
                  <c:v>3.75</c:v>
                </c:pt>
                <c:pt idx="1">
                  <c:v>4.5</c:v>
                </c:pt>
                <c:pt idx="2">
                  <c:v>2</c:v>
                </c:pt>
                <c:pt idx="3">
                  <c:v>2.9</c:v>
                </c:pt>
              </c:numCache>
            </c:numRef>
          </c:xVal>
          <c:yVal>
            <c:numRef>
              <c:f>Data!$B$118:$B$121</c:f>
              <c:numCache>
                <c:formatCode>General</c:formatCode>
                <c:ptCount val="4"/>
                <c:pt idx="0">
                  <c:v>0.61199999999999999</c:v>
                </c:pt>
                <c:pt idx="1">
                  <c:v>0.65400000000000003</c:v>
                </c:pt>
                <c:pt idx="2">
                  <c:v>0.5</c:v>
                </c:pt>
                <c:pt idx="3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442-49F2-A7A6-085F4BB71051}"/>
            </c:ext>
          </c:extLst>
        </c:ser>
        <c:ser>
          <c:idx val="14"/>
          <c:order val="14"/>
          <c:tx>
            <c:v>Lens 9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Data!$A$114:$A$116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6.25</c:v>
                </c:pt>
              </c:numCache>
            </c:numRef>
          </c:xVal>
          <c:yVal>
            <c:numRef>
              <c:f>Data!$B$114:$B$116</c:f>
              <c:numCache>
                <c:formatCode>General</c:formatCode>
                <c:ptCount val="3"/>
                <c:pt idx="0">
                  <c:v>0.1</c:v>
                </c:pt>
                <c:pt idx="1">
                  <c:v>0.1</c:v>
                </c:pt>
                <c:pt idx="2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442-49F2-A7A6-085F4BB71051}"/>
            </c:ext>
          </c:extLst>
        </c:ser>
        <c:ser>
          <c:idx val="15"/>
          <c:order val="15"/>
          <c:tx>
            <c:v>Lens 8</c:v>
          </c:tx>
          <c:spPr>
            <a:ln w="19050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xVal>
            <c:numRef>
              <c:f>Data!$A$109:$A$113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6.25</c:v>
                </c:pt>
              </c:numCache>
            </c:numRef>
          </c:xVal>
          <c:yVal>
            <c:numRef>
              <c:f>Data!$B$109:$B$113</c:f>
              <c:numCache>
                <c:formatCode>General</c:formatCode>
                <c:ptCount val="5"/>
                <c:pt idx="0">
                  <c:v>0.308</c:v>
                </c:pt>
                <c:pt idx="1">
                  <c:v>0.39</c:v>
                </c:pt>
                <c:pt idx="2">
                  <c:v>0.48</c:v>
                </c:pt>
                <c:pt idx="3">
                  <c:v>0.53</c:v>
                </c:pt>
                <c:pt idx="4">
                  <c:v>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442-49F2-A7A6-085F4BB71051}"/>
            </c:ext>
          </c:extLst>
        </c:ser>
        <c:ser>
          <c:idx val="16"/>
          <c:order val="16"/>
          <c:tx>
            <c:v>Lens4</c:v>
          </c:tx>
          <c:spPr>
            <a:ln w="19050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Data!$A$105:$A$107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Data!$B$105:$B$107</c:f>
              <c:numCache>
                <c:formatCode>General</c:formatCode>
                <c:ptCount val="3"/>
                <c:pt idx="0">
                  <c:v>0.57999999999999996</c:v>
                </c:pt>
                <c:pt idx="1">
                  <c:v>0.6</c:v>
                </c:pt>
                <c:pt idx="2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442-49F2-A7A6-085F4BB71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62591"/>
        <c:axId val="1"/>
      </c:scatterChart>
      <c:valAx>
        <c:axId val="995162591"/>
        <c:scaling>
          <c:orientation val="minMax"/>
          <c:max val="7"/>
        </c:scaling>
        <c:delete val="0"/>
        <c:axPos val="b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Pot setting</a:t>
                </a:r>
              </a:p>
            </c:rich>
          </c:tx>
          <c:layout>
            <c:manualLayout>
              <c:xMode val="edge"/>
              <c:yMode val="edge"/>
              <c:x val="0.4560697245341746"/>
              <c:y val="0.93496973588726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Rogowski Coil Voltage</a:t>
                </a:r>
              </a:p>
            </c:rich>
          </c:tx>
          <c:layout>
            <c:manualLayout>
              <c:xMode val="edge"/>
              <c:yMode val="edge"/>
              <c:x val="1.5225392928303249E-2"/>
              <c:y val="0.387964246076931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5162591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91352357569819498"/>
          <c:y val="0.21325984955160518"/>
          <c:w val="7.8895217901207751E-2"/>
          <c:h val="0.595199806093180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&amp;L&amp;9T. Leveling
11/13/02</c:oddFooter>
    </c:headerFooter>
    <c:pageMargins b="1" l="0.75" r="0.75" t="1" header="0.5" footer="0.5"/>
    <c:pageSetup orientation="landscape" verticalDpi="355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5" right="0.75" top="1" bottom="1" header="0.5" footer="0.5"/>
  <pageSetup orientation="landscape" r:id="rId1"/>
  <headerFooter alignWithMargins="0"/>
  <drawing r:id="rId2"/>
  <webPublishItems count="1">
    <webPublishItem id="27805" divId="Test Station Power Supply Study_27805" sourceType="chart" destinationFile="Z:\life at pbar\Lens Pulse Images\dummyloadchart.htm"/>
  </webPublishItems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1" workbookViewId="0"/>
  </sheetViews>
  <pageMargins left="0.75" right="0.75" top="1" bottom="1" header="0.5" footer="0.5"/>
  <pageSetup orientation="landscape" verticalDpi="355" r:id="rId1"/>
  <headerFooter alignWithMargins="0">
    <oddFooter>&amp;L&amp;9T. Leveling
7/2/02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1" workbookViewId="0"/>
  </sheetViews>
  <pageMargins left="0.75" right="0.75" top="1" bottom="1" header="0.5" footer="0.5"/>
  <pageSetup orientation="landscape" horizontalDpi="355" verticalDpi="355" r:id="rId1"/>
  <headerFooter alignWithMargins="0">
    <oddFooter>&amp;L&amp;9T. Leveling
7/2/02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622300</xdr:colOff>
      <xdr:row>19</xdr:row>
      <xdr:rowOff>101600</xdr:rowOff>
    </xdr:from>
    <xdr:to>
      <xdr:col>14</xdr:col>
      <xdr:colOff>82550</xdr:colOff>
      <xdr:row>35</xdr:row>
      <xdr:rowOff>82550</xdr:rowOff>
    </xdr:to>
    <xdr:graphicFrame macro="">
      <xdr:nvGraphicFramePr>
        <xdr:cNvPr id="13313" name="Chart 1">
          <a:extLst>
            <a:ext uri="{FF2B5EF4-FFF2-40B4-BE49-F238E27FC236}">
              <a16:creationId xmlns:a16="http://schemas.microsoft.com/office/drawing/2014/main" id="{A8CED6A3-ACB8-4816-AE58-D6868FAB5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15</xdr:col>
      <xdr:colOff>431800</xdr:colOff>
      <xdr:row>19</xdr:row>
      <xdr:rowOff>19050</xdr:rowOff>
    </xdr:to>
    <xdr:graphicFrame macro="">
      <xdr:nvGraphicFramePr>
        <xdr:cNvPr id="13314" name="Chart 2">
          <a:extLst>
            <a:ext uri="{FF2B5EF4-FFF2-40B4-BE49-F238E27FC236}">
              <a16:creationId xmlns:a16="http://schemas.microsoft.com/office/drawing/2014/main" id="{B43FD421-C39E-4445-B980-47526BFF5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349250</xdr:colOff>
      <xdr:row>160</xdr:row>
      <xdr:rowOff>127000</xdr:rowOff>
    </xdr:from>
    <xdr:to>
      <xdr:col>13</xdr:col>
      <xdr:colOff>139700</xdr:colOff>
      <xdr:row>176</xdr:row>
      <xdr:rowOff>133350</xdr:rowOff>
    </xdr:to>
    <xdr:graphicFrame macro="">
      <xdr:nvGraphicFramePr>
        <xdr:cNvPr id="13316" name="Chart 4">
          <a:extLst>
            <a:ext uri="{FF2B5EF4-FFF2-40B4-BE49-F238E27FC236}">
              <a16:creationId xmlns:a16="http://schemas.microsoft.com/office/drawing/2014/main" id="{DFA4C704-566A-4991-91FC-AD1FCBE52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273050</xdr:colOff>
      <xdr:row>144</xdr:row>
      <xdr:rowOff>31750</xdr:rowOff>
    </xdr:from>
    <xdr:to>
      <xdr:col>13</xdr:col>
      <xdr:colOff>57150</xdr:colOff>
      <xdr:row>160</xdr:row>
      <xdr:rowOff>50800</xdr:rowOff>
    </xdr:to>
    <xdr:graphicFrame macro="">
      <xdr:nvGraphicFramePr>
        <xdr:cNvPr id="13317" name="Chart 5">
          <a:extLst>
            <a:ext uri="{FF2B5EF4-FFF2-40B4-BE49-F238E27FC236}">
              <a16:creationId xmlns:a16="http://schemas.microsoft.com/office/drawing/2014/main" id="{B06DD989-9FC4-47FF-86EB-5B1009A77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69850</xdr:colOff>
      <xdr:row>2</xdr:row>
      <xdr:rowOff>31750</xdr:rowOff>
    </xdr:from>
    <xdr:to>
      <xdr:col>15</xdr:col>
      <xdr:colOff>501650</xdr:colOff>
      <xdr:row>16</xdr:row>
      <xdr:rowOff>107950</xdr:rowOff>
    </xdr:to>
    <xdr:graphicFrame macro="">
      <xdr:nvGraphicFramePr>
        <xdr:cNvPr id="13318" name="Chart 6">
          <a:extLst>
            <a:ext uri="{FF2B5EF4-FFF2-40B4-BE49-F238E27FC236}">
              <a16:creationId xmlns:a16="http://schemas.microsoft.com/office/drawing/2014/main" id="{67C25F46-D513-46A1-9F0F-FDF6018C2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488950</xdr:colOff>
      <xdr:row>178</xdr:row>
      <xdr:rowOff>31750</xdr:rowOff>
    </xdr:from>
    <xdr:to>
      <xdr:col>13</xdr:col>
      <xdr:colOff>292100</xdr:colOff>
      <xdr:row>194</xdr:row>
      <xdr:rowOff>69850</xdr:rowOff>
    </xdr:to>
    <xdr:graphicFrame macro="">
      <xdr:nvGraphicFramePr>
        <xdr:cNvPr id="13319" name="Chart 7">
          <a:extLst>
            <a:ext uri="{FF2B5EF4-FFF2-40B4-BE49-F238E27FC236}">
              <a16:creationId xmlns:a16="http://schemas.microsoft.com/office/drawing/2014/main" id="{B1A914AA-4741-4901-9863-1B1C36B4A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A14F0-9BA0-4C6D-84A5-ACB5676D17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</xdr:colOff>
      <xdr:row>2</xdr:row>
      <xdr:rowOff>76200</xdr:rowOff>
    </xdr:from>
    <xdr:to>
      <xdr:col>19</xdr:col>
      <xdr:colOff>438150</xdr:colOff>
      <xdr:row>16</xdr:row>
      <xdr:rowOff>139700</xdr:rowOff>
    </xdr:to>
    <xdr:graphicFrame macro="">
      <xdr:nvGraphicFramePr>
        <xdr:cNvPr id="27650" name="Chart 2">
          <a:extLst>
            <a:ext uri="{FF2B5EF4-FFF2-40B4-BE49-F238E27FC236}">
              <a16:creationId xmlns:a16="http://schemas.microsoft.com/office/drawing/2014/main" id="{04182D1F-0D09-4B7B-BD5B-1054EF0D8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171450</xdr:colOff>
      <xdr:row>17</xdr:row>
      <xdr:rowOff>82550</xdr:rowOff>
    </xdr:from>
    <xdr:to>
      <xdr:col>19</xdr:col>
      <xdr:colOff>603250</xdr:colOff>
      <xdr:row>31</xdr:row>
      <xdr:rowOff>152400</xdr:rowOff>
    </xdr:to>
    <xdr:graphicFrame macro="">
      <xdr:nvGraphicFramePr>
        <xdr:cNvPr id="27651" name="Chart 3">
          <a:extLst>
            <a:ext uri="{FF2B5EF4-FFF2-40B4-BE49-F238E27FC236}">
              <a16:creationId xmlns:a16="http://schemas.microsoft.com/office/drawing/2014/main" id="{D4D255EF-CFE7-4845-B4E0-2C5D7BB77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273050</xdr:colOff>
      <xdr:row>114</xdr:row>
      <xdr:rowOff>127000</xdr:rowOff>
    </xdr:from>
    <xdr:to>
      <xdr:col>11</xdr:col>
      <xdr:colOff>273050</xdr:colOff>
      <xdr:row>130</xdr:row>
      <xdr:rowOff>76200</xdr:rowOff>
    </xdr:to>
    <xdr:graphicFrame macro="">
      <xdr:nvGraphicFramePr>
        <xdr:cNvPr id="27652" name="Chart 4">
          <a:extLst>
            <a:ext uri="{FF2B5EF4-FFF2-40B4-BE49-F238E27FC236}">
              <a16:creationId xmlns:a16="http://schemas.microsoft.com/office/drawing/2014/main" id="{B8DE2469-58CB-4590-B88C-F57559FC1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64</xdr:row>
      <xdr:rowOff>0</xdr:rowOff>
    </xdr:from>
    <xdr:to>
      <xdr:col>13</xdr:col>
      <xdr:colOff>438150</xdr:colOff>
      <xdr:row>78</xdr:row>
      <xdr:rowOff>107950</xdr:rowOff>
    </xdr:to>
    <xdr:graphicFrame macro="">
      <xdr:nvGraphicFramePr>
        <xdr:cNvPr id="27653" name="Chart 5">
          <a:extLst>
            <a:ext uri="{FF2B5EF4-FFF2-40B4-BE49-F238E27FC236}">
              <a16:creationId xmlns:a16="http://schemas.microsoft.com/office/drawing/2014/main" id="{FBE61B6D-9746-47DF-81A7-B75685BF8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79</xdr:row>
      <xdr:rowOff>0</xdr:rowOff>
    </xdr:from>
    <xdr:to>
      <xdr:col>13</xdr:col>
      <xdr:colOff>438150</xdr:colOff>
      <xdr:row>95</xdr:row>
      <xdr:rowOff>101600</xdr:rowOff>
    </xdr:to>
    <xdr:graphicFrame macro="">
      <xdr:nvGraphicFramePr>
        <xdr:cNvPr id="27654" name="Chart 6">
          <a:extLst>
            <a:ext uri="{FF2B5EF4-FFF2-40B4-BE49-F238E27FC236}">
              <a16:creationId xmlns:a16="http://schemas.microsoft.com/office/drawing/2014/main" id="{40AC91D5-C26C-4B9E-9D6D-0DB54365E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381000</xdr:colOff>
      <xdr:row>95</xdr:row>
      <xdr:rowOff>25400</xdr:rowOff>
    </xdr:from>
    <xdr:to>
      <xdr:col>13</xdr:col>
      <xdr:colOff>107950</xdr:colOff>
      <xdr:row>109</xdr:row>
      <xdr:rowOff>88900</xdr:rowOff>
    </xdr:to>
    <xdr:graphicFrame macro="">
      <xdr:nvGraphicFramePr>
        <xdr:cNvPr id="27656" name="Chart 8">
          <a:extLst>
            <a:ext uri="{FF2B5EF4-FFF2-40B4-BE49-F238E27FC236}">
              <a16:creationId xmlns:a16="http://schemas.microsoft.com/office/drawing/2014/main" id="{2A18ACB6-6967-44F8-A6FB-615FFFDEA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615950</xdr:colOff>
      <xdr:row>91</xdr:row>
      <xdr:rowOff>82550</xdr:rowOff>
    </xdr:from>
    <xdr:to>
      <xdr:col>13</xdr:col>
      <xdr:colOff>349250</xdr:colOff>
      <xdr:row>105</xdr:row>
      <xdr:rowOff>152400</xdr:rowOff>
    </xdr:to>
    <xdr:graphicFrame macro="">
      <xdr:nvGraphicFramePr>
        <xdr:cNvPr id="27657" name="Chart 9">
          <a:extLst>
            <a:ext uri="{FF2B5EF4-FFF2-40B4-BE49-F238E27FC236}">
              <a16:creationId xmlns:a16="http://schemas.microsoft.com/office/drawing/2014/main" id="{A98BA024-2976-4CEF-8509-98D6E7E7A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381000</xdr:colOff>
      <xdr:row>110</xdr:row>
      <xdr:rowOff>31750</xdr:rowOff>
    </xdr:from>
    <xdr:to>
      <xdr:col>13</xdr:col>
      <xdr:colOff>120650</xdr:colOff>
      <xdr:row>124</xdr:row>
      <xdr:rowOff>127000</xdr:rowOff>
    </xdr:to>
    <xdr:graphicFrame macro="">
      <xdr:nvGraphicFramePr>
        <xdr:cNvPr id="27658" name="Chart 10">
          <a:extLst>
            <a:ext uri="{FF2B5EF4-FFF2-40B4-BE49-F238E27FC236}">
              <a16:creationId xmlns:a16="http://schemas.microsoft.com/office/drawing/2014/main" id="{331B549C-9EDF-4073-B922-CE01C74E9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209550</xdr:colOff>
      <xdr:row>132</xdr:row>
      <xdr:rowOff>127000</xdr:rowOff>
    </xdr:from>
    <xdr:to>
      <xdr:col>8</xdr:col>
      <xdr:colOff>584200</xdr:colOff>
      <xdr:row>147</xdr:row>
      <xdr:rowOff>31750</xdr:rowOff>
    </xdr:to>
    <xdr:graphicFrame macro="">
      <xdr:nvGraphicFramePr>
        <xdr:cNvPr id="27659" name="Chart 11">
          <a:extLst>
            <a:ext uri="{FF2B5EF4-FFF2-40B4-BE49-F238E27FC236}">
              <a16:creationId xmlns:a16="http://schemas.microsoft.com/office/drawing/2014/main" id="{925FCE16-8A30-41A3-96EA-A820B54F3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361950</xdr:colOff>
      <xdr:row>128</xdr:row>
      <xdr:rowOff>82550</xdr:rowOff>
    </xdr:from>
    <xdr:to>
      <xdr:col>14</xdr:col>
      <xdr:colOff>152400</xdr:colOff>
      <xdr:row>142</xdr:row>
      <xdr:rowOff>152400</xdr:rowOff>
    </xdr:to>
    <xdr:graphicFrame macro="">
      <xdr:nvGraphicFramePr>
        <xdr:cNvPr id="27660" name="Chart 12">
          <a:extLst>
            <a:ext uri="{FF2B5EF4-FFF2-40B4-BE49-F238E27FC236}">
              <a16:creationId xmlns:a16="http://schemas.microsoft.com/office/drawing/2014/main" id="{5B16D4D4-A000-495B-83BD-D41CAD72A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323850</xdr:colOff>
      <xdr:row>143</xdr:row>
      <xdr:rowOff>133350</xdr:rowOff>
    </xdr:from>
    <xdr:to>
      <xdr:col>14</xdr:col>
      <xdr:colOff>107950</xdr:colOff>
      <xdr:row>158</xdr:row>
      <xdr:rowOff>31750</xdr:rowOff>
    </xdr:to>
    <xdr:graphicFrame macro="">
      <xdr:nvGraphicFramePr>
        <xdr:cNvPr id="27661" name="Chart 13">
          <a:extLst>
            <a:ext uri="{FF2B5EF4-FFF2-40B4-BE49-F238E27FC236}">
              <a16:creationId xmlns:a16="http://schemas.microsoft.com/office/drawing/2014/main" id="{9B98A5B4-64B2-49A5-A33D-F6DD98F3C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160</xdr:row>
      <xdr:rowOff>0</xdr:rowOff>
    </xdr:from>
    <xdr:to>
      <xdr:col>13</xdr:col>
      <xdr:colOff>438150</xdr:colOff>
      <xdr:row>174</xdr:row>
      <xdr:rowOff>76200</xdr:rowOff>
    </xdr:to>
    <xdr:graphicFrame macro="">
      <xdr:nvGraphicFramePr>
        <xdr:cNvPr id="27662" name="Chart 14">
          <a:extLst>
            <a:ext uri="{FF2B5EF4-FFF2-40B4-BE49-F238E27FC236}">
              <a16:creationId xmlns:a16="http://schemas.microsoft.com/office/drawing/2014/main" id="{68365B3D-F657-4A64-B442-9B6C319A8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0.05341</cdr:x>
      <cdr:y>0.84557</cdr:y>
    </cdr:from>
    <cdr:to>
      <cdr:x>0.06149</cdr:x>
      <cdr:y>0.86803</cdr:y>
    </cdr:to>
    <cdr:sp macro="" textlink="">
      <cdr:nvSpPr>
        <cdr:cNvPr id="28673" name="Text Box 1">
          <a:extLst xmlns:a="http://schemas.openxmlformats.org/drawingml/2006/main">
            <a:ext uri="{FF2B5EF4-FFF2-40B4-BE49-F238E27FC236}">
              <a16:creationId xmlns:a16="http://schemas.microsoft.com/office/drawing/2014/main" id="{1135BE20-CEDB-4E3A-820B-A8F6AE958B6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H="1" flipV="1">
          <a:off x="262865" y="1949072"/>
          <a:ext cx="39762" cy="517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18288" tIns="0" rIns="0" bIns="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GB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0.06171</cdr:x>
      <cdr:y>0.84763</cdr:y>
    </cdr:from>
    <cdr:to>
      <cdr:x>0.07102</cdr:x>
      <cdr:y>0.87023</cdr:y>
    </cdr:to>
    <cdr:sp macro="" textlink="">
      <cdr:nvSpPr>
        <cdr:cNvPr id="44033" name="Text Box 1">
          <a:extLst xmlns:a="http://schemas.openxmlformats.org/drawingml/2006/main">
            <a:ext uri="{FF2B5EF4-FFF2-40B4-BE49-F238E27FC236}">
              <a16:creationId xmlns:a16="http://schemas.microsoft.com/office/drawing/2014/main" id="{A90D3DB4-84A3-4520-8EC1-5C35BDB3862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H="1" flipV="1">
          <a:off x="304498" y="2244481"/>
          <a:ext cx="45908" cy="598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18288" tIns="0" rIns="0" bIns="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GB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5</xdr:row>
      <xdr:rowOff>25400</xdr:rowOff>
    </xdr:from>
    <xdr:to>
      <xdr:col>8</xdr:col>
      <xdr:colOff>457200</xdr:colOff>
      <xdr:row>21</xdr:row>
      <xdr:rowOff>44450</xdr:rowOff>
    </xdr:to>
    <xdr:graphicFrame macro="">
      <xdr:nvGraphicFramePr>
        <xdr:cNvPr id="7169" name="Chart 1">
          <a:extLst>
            <a:ext uri="{FF2B5EF4-FFF2-40B4-BE49-F238E27FC236}">
              <a16:creationId xmlns:a16="http://schemas.microsoft.com/office/drawing/2014/main" id="{BEAFAB16-06D3-42B8-BF13-1F85F8D73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88900</xdr:colOff>
      <xdr:row>26</xdr:row>
      <xdr:rowOff>25400</xdr:rowOff>
    </xdr:from>
    <xdr:to>
      <xdr:col>8</xdr:col>
      <xdr:colOff>495300</xdr:colOff>
      <xdr:row>42</xdr:row>
      <xdr:rowOff>44450</xdr:rowOff>
    </xdr:to>
    <xdr:graphicFrame macro="">
      <xdr:nvGraphicFramePr>
        <xdr:cNvPr id="7170" name="Chart 2">
          <a:extLst>
            <a:ext uri="{FF2B5EF4-FFF2-40B4-BE49-F238E27FC236}">
              <a16:creationId xmlns:a16="http://schemas.microsoft.com/office/drawing/2014/main" id="{A1D81744-414B-4B0F-B7D1-66DAC8DB7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107950</xdr:colOff>
      <xdr:row>43</xdr:row>
      <xdr:rowOff>133350</xdr:rowOff>
    </xdr:from>
    <xdr:to>
      <xdr:col>10</xdr:col>
      <xdr:colOff>514350</xdr:colOff>
      <xdr:row>59</xdr:row>
      <xdr:rowOff>152400</xdr:rowOff>
    </xdr:to>
    <xdr:graphicFrame macro="">
      <xdr:nvGraphicFramePr>
        <xdr:cNvPr id="7171" name="Chart 3">
          <a:extLst>
            <a:ext uri="{FF2B5EF4-FFF2-40B4-BE49-F238E27FC236}">
              <a16:creationId xmlns:a16="http://schemas.microsoft.com/office/drawing/2014/main" id="{2565156D-3648-46E0-AE4D-D36F36509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469900</xdr:colOff>
      <xdr:row>65</xdr:row>
      <xdr:rowOff>114300</xdr:rowOff>
    </xdr:from>
    <xdr:to>
      <xdr:col>10</xdr:col>
      <xdr:colOff>247650</xdr:colOff>
      <xdr:row>81</xdr:row>
      <xdr:rowOff>133350</xdr:rowOff>
    </xdr:to>
    <xdr:graphicFrame macro="">
      <xdr:nvGraphicFramePr>
        <xdr:cNvPr id="7172" name="Chart 4">
          <a:extLst>
            <a:ext uri="{FF2B5EF4-FFF2-40B4-BE49-F238E27FC236}">
              <a16:creationId xmlns:a16="http://schemas.microsoft.com/office/drawing/2014/main" id="{E36F0DE3-58A9-4246-B8D4-16B01F8CD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114300</xdr:colOff>
      <xdr:row>65</xdr:row>
      <xdr:rowOff>120650</xdr:rowOff>
    </xdr:from>
    <xdr:to>
      <xdr:col>18</xdr:col>
      <xdr:colOff>533400</xdr:colOff>
      <xdr:row>81</xdr:row>
      <xdr:rowOff>152400</xdr:rowOff>
    </xdr:to>
    <xdr:graphicFrame macro="">
      <xdr:nvGraphicFramePr>
        <xdr:cNvPr id="7173" name="Chart 5">
          <a:extLst>
            <a:ext uri="{FF2B5EF4-FFF2-40B4-BE49-F238E27FC236}">
              <a16:creationId xmlns:a16="http://schemas.microsoft.com/office/drawing/2014/main" id="{062C809D-B621-4F2F-A2C3-A36237B0C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419100</xdr:colOff>
      <xdr:row>21</xdr:row>
      <xdr:rowOff>25400</xdr:rowOff>
    </xdr:to>
    <xdr:graphicFrame macro="">
      <xdr:nvGraphicFramePr>
        <xdr:cNvPr id="7174" name="Chart 6">
          <a:extLst>
            <a:ext uri="{FF2B5EF4-FFF2-40B4-BE49-F238E27FC236}">
              <a16:creationId xmlns:a16="http://schemas.microsoft.com/office/drawing/2014/main" id="{93DC60D9-4C74-4013-8D04-FA541D8C2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26</xdr:row>
      <xdr:rowOff>19050</xdr:rowOff>
    </xdr:from>
    <xdr:to>
      <xdr:col>16</xdr:col>
      <xdr:colOff>419100</xdr:colOff>
      <xdr:row>42</xdr:row>
      <xdr:rowOff>44450</xdr:rowOff>
    </xdr:to>
    <xdr:graphicFrame macro="">
      <xdr:nvGraphicFramePr>
        <xdr:cNvPr id="7175" name="Chart 7">
          <a:extLst>
            <a:ext uri="{FF2B5EF4-FFF2-40B4-BE49-F238E27FC236}">
              <a16:creationId xmlns:a16="http://schemas.microsoft.com/office/drawing/2014/main" id="{24B255E4-9AED-48D9-9F4B-EA4461CBB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0.42853</cdr:x>
      <cdr:y>0.59916</cdr:y>
    </cdr:from>
    <cdr:to>
      <cdr:x>0.65003</cdr:x>
      <cdr:y>0.69088</cdr:y>
    </cdr:to>
    <cdr:sp macro="" textlink="">
      <cdr:nvSpPr>
        <cdr:cNvPr id="8193" name="Text Box 1">
          <a:extLst xmlns:a="http://schemas.openxmlformats.org/drawingml/2006/main">
            <a:ext uri="{FF2B5EF4-FFF2-40B4-BE49-F238E27FC236}">
              <a16:creationId xmlns:a16="http://schemas.microsoft.com/office/drawing/2014/main" id="{D50BAC86-A2E5-4965-94AF-F0249C5A03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70830" y="1537087"/>
          <a:ext cx="1070332" cy="2352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MathSoftText"/>
            </a:rPr>
            <a:t>cap volts = 2050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0.44371</cdr:x>
      <cdr:y>0.63374</cdr:y>
    </cdr:from>
    <cdr:to>
      <cdr:x>0.66129</cdr:x>
      <cdr:y>0.72161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18161B32-68D8-4B30-8E5B-663401735D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44157" y="1625784"/>
          <a:ext cx="1051409" cy="225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MathSoftText"/>
            </a:rPr>
            <a:t>cap volts = 2050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0.59494</cdr:x>
      <cdr:y>0.5982</cdr:y>
    </cdr:from>
    <cdr:to>
      <cdr:x>0.83449</cdr:x>
      <cdr:y>0.69232</cdr:y>
    </cdr:to>
    <cdr:sp macro="" textlink="">
      <cdr:nvSpPr>
        <cdr:cNvPr id="23553" name="Text Box 1">
          <a:extLst xmlns:a="http://schemas.openxmlformats.org/drawingml/2006/main">
            <a:ext uri="{FF2B5EF4-FFF2-40B4-BE49-F238E27FC236}">
              <a16:creationId xmlns:a16="http://schemas.microsoft.com/office/drawing/2014/main" id="{CD36E24C-093C-4EC0-B3C0-4A6F90AE2B2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44730" y="1534624"/>
          <a:ext cx="1145418" cy="241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MathSoftText"/>
            </a:rPr>
            <a:t>4.8 mF capacitance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0.44322</cdr:x>
      <cdr:y>0.64766</cdr:y>
    </cdr:from>
    <cdr:to>
      <cdr:x>0.65858</cdr:x>
      <cdr:y>0.73914</cdr:y>
    </cdr:to>
    <cdr:sp macro="" textlink="">
      <cdr:nvSpPr>
        <cdr:cNvPr id="10241" name="Text Box 1">
          <a:extLst xmlns:a="http://schemas.openxmlformats.org/drawingml/2006/main">
            <a:ext uri="{FF2B5EF4-FFF2-40B4-BE49-F238E27FC236}">
              <a16:creationId xmlns:a16="http://schemas.microsoft.com/office/drawing/2014/main" id="{CF8867C9-1543-4EE5-8993-1461E476F6D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33371" y="1661509"/>
          <a:ext cx="1036574" cy="2346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MathSoftText"/>
            </a:rPr>
            <a:t>cap volts = 2050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0.22851</cdr:x>
      <cdr:y>0.63592</cdr:y>
    </cdr:from>
    <cdr:to>
      <cdr:x>0.44937</cdr:x>
      <cdr:y>0.71301</cdr:y>
    </cdr:to>
    <cdr:sp macro="" textlink="">
      <cdr:nvSpPr>
        <cdr:cNvPr id="12289" name="Text Box 1">
          <a:extLst xmlns:a="http://schemas.openxmlformats.org/drawingml/2006/main">
            <a:ext uri="{FF2B5EF4-FFF2-40B4-BE49-F238E27FC236}">
              <a16:creationId xmlns:a16="http://schemas.microsoft.com/office/drawing/2014/main" id="{E3EE3912-7ABD-432F-ACBE-7D136C1BDA6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72309" y="1639475"/>
          <a:ext cx="1036429" cy="1987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MathSoftText"/>
            </a:rPr>
            <a:t>cap volts = 2050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0.30311</cdr:x>
      <cdr:y>0.60085</cdr:y>
    </cdr:from>
    <cdr:to>
      <cdr:x>0.54574</cdr:x>
      <cdr:y>0.72163</cdr:y>
    </cdr:to>
    <cdr:sp macro="" textlink="">
      <cdr:nvSpPr>
        <cdr:cNvPr id="17409" name="Text Box 1">
          <a:extLst xmlns:a="http://schemas.openxmlformats.org/drawingml/2006/main">
            <a:ext uri="{FF2B5EF4-FFF2-40B4-BE49-F238E27FC236}">
              <a16:creationId xmlns:a16="http://schemas.microsoft.com/office/drawing/2014/main" id="{D0647687-E5A0-4774-8395-E4E1501937F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22376" y="1545241"/>
          <a:ext cx="1138581" cy="3106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MathSoftText"/>
            </a:rPr>
            <a:t>cap volts = 2050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0.29601</cdr:x>
      <cdr:y>0.30214</cdr:y>
    </cdr:from>
    <cdr:to>
      <cdr:x>0.54451</cdr:x>
      <cdr:y>0.38834</cdr:y>
    </cdr:to>
    <cdr:sp macro="" textlink="">
      <cdr:nvSpPr>
        <cdr:cNvPr id="19457" name="Text Box 1">
          <a:extLst xmlns:a="http://schemas.openxmlformats.org/drawingml/2006/main">
            <a:ext uri="{FF2B5EF4-FFF2-40B4-BE49-F238E27FC236}">
              <a16:creationId xmlns:a16="http://schemas.microsoft.com/office/drawing/2014/main" id="{3E5795E5-BF56-416F-AAA9-D7B09C890CF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9091" y="777024"/>
          <a:ext cx="1166127" cy="2216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MathSoftText"/>
            </a:rPr>
            <a:t>cap volts = 2050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9590B6-7DD9-4260-A96A-0574B8D4A9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5A8FC-D10F-4C73-98E8-07A465759D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58</xdr:row>
      <xdr:rowOff>76200</xdr:rowOff>
    </xdr:from>
    <xdr:to>
      <xdr:col>17</xdr:col>
      <xdr:colOff>171450</xdr:colOff>
      <xdr:row>86</xdr:row>
      <xdr:rowOff>50800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C12D3B6E-2863-43D1-B171-84C3229C1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69850</xdr:colOff>
      <xdr:row>29</xdr:row>
      <xdr:rowOff>101600</xdr:rowOff>
    </xdr:from>
    <xdr:to>
      <xdr:col>17</xdr:col>
      <xdr:colOff>152400</xdr:colOff>
      <xdr:row>57</xdr:row>
      <xdr:rowOff>76200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7BADCA61-8702-45B1-9460-A54836605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50800</xdr:colOff>
      <xdr:row>0</xdr:row>
      <xdr:rowOff>88900</xdr:rowOff>
    </xdr:from>
    <xdr:to>
      <xdr:col>17</xdr:col>
      <xdr:colOff>133350</xdr:colOff>
      <xdr:row>28</xdr:row>
      <xdr:rowOff>76200</xdr:rowOff>
    </xdr:to>
    <xdr:graphicFrame macro="">
      <xdr:nvGraphicFramePr>
        <xdr:cNvPr id="6147" name="Chart 3">
          <a:extLst>
            <a:ext uri="{FF2B5EF4-FFF2-40B4-BE49-F238E27FC236}">
              <a16:creationId xmlns:a16="http://schemas.microsoft.com/office/drawing/2014/main" id="{2478E89D-D594-4F74-8EEC-C751FFC34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82550</xdr:colOff>
      <xdr:row>88</xdr:row>
      <xdr:rowOff>0</xdr:rowOff>
    </xdr:from>
    <xdr:to>
      <xdr:col>17</xdr:col>
      <xdr:colOff>171450</xdr:colOff>
      <xdr:row>115</xdr:row>
      <xdr:rowOff>127000</xdr:rowOff>
    </xdr:to>
    <xdr:graphicFrame macro="">
      <xdr:nvGraphicFramePr>
        <xdr:cNvPr id="6148" name="Chart 4">
          <a:extLst>
            <a:ext uri="{FF2B5EF4-FFF2-40B4-BE49-F238E27FC236}">
              <a16:creationId xmlns:a16="http://schemas.microsoft.com/office/drawing/2014/main" id="{4806932E-1629-4C5D-B0E7-6AB7CC630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171450</xdr:colOff>
      <xdr:row>19</xdr:row>
      <xdr:rowOff>69850</xdr:rowOff>
    </xdr:from>
    <xdr:to>
      <xdr:col>12</xdr:col>
      <xdr:colOff>463550</xdr:colOff>
      <xdr:row>47</xdr:row>
      <xdr:rowOff>25400</xdr:rowOff>
    </xdr:to>
    <xdr:graphicFrame macro="">
      <xdr:nvGraphicFramePr>
        <xdr:cNvPr id="6149" name="Chart 5">
          <a:extLst>
            <a:ext uri="{FF2B5EF4-FFF2-40B4-BE49-F238E27FC236}">
              <a16:creationId xmlns:a16="http://schemas.microsoft.com/office/drawing/2014/main" id="{5FF7C5FB-5BCA-4C73-A1F5-C31503B63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101</xdr:row>
      <xdr:rowOff>0</xdr:rowOff>
    </xdr:from>
    <xdr:to>
      <xdr:col>13</xdr:col>
      <xdr:colOff>298450</xdr:colOff>
      <xdr:row>128</xdr:row>
      <xdr:rowOff>127000</xdr:rowOff>
    </xdr:to>
    <xdr:graphicFrame macro="">
      <xdr:nvGraphicFramePr>
        <xdr:cNvPr id="6150" name="Chart 6">
          <a:extLst>
            <a:ext uri="{FF2B5EF4-FFF2-40B4-BE49-F238E27FC236}">
              <a16:creationId xmlns:a16="http://schemas.microsoft.com/office/drawing/2014/main" id="{D91AE3BC-5C69-4DF6-8873-5DB517844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63500</xdr:rowOff>
    </xdr:from>
    <xdr:to>
      <xdr:col>15</xdr:col>
      <xdr:colOff>95250</xdr:colOff>
      <xdr:row>33</xdr:row>
      <xdr:rowOff>82550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B5DBF9C-04E8-42AC-AE78-7895879F3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</xdr:colOff>
      <xdr:row>33</xdr:row>
      <xdr:rowOff>38100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126F454F-E40A-43CB-80E9-EEC407DC8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63500</xdr:rowOff>
    </xdr:from>
    <xdr:to>
      <xdr:col>15</xdr:col>
      <xdr:colOff>88900</xdr:colOff>
      <xdr:row>33</xdr:row>
      <xdr:rowOff>95250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08C3199F-71C5-4456-91A4-B2BA98E10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7"/>
  <sheetViews>
    <sheetView topLeftCell="I7" workbookViewId="0">
      <selection activeCell="F119" sqref="F119"/>
    </sheetView>
  </sheetViews>
  <sheetFormatPr defaultColWidth="9.1796875" defaultRowHeight="12.5"/>
  <cols>
    <col min="1" max="16384" width="9.1796875" style="6"/>
  </cols>
  <sheetData>
    <row r="1" spans="1:19" s="14" customFormat="1" ht="50">
      <c r="A1" s="14" t="s">
        <v>25</v>
      </c>
      <c r="B1" s="14" t="s">
        <v>26</v>
      </c>
      <c r="C1" s="14" t="s">
        <v>29</v>
      </c>
      <c r="D1" s="14" t="s">
        <v>30</v>
      </c>
      <c r="E1" s="14" t="s">
        <v>27</v>
      </c>
      <c r="F1" s="14" t="s">
        <v>28</v>
      </c>
      <c r="H1" s="14" t="s">
        <v>43</v>
      </c>
      <c r="I1" s="14" t="s">
        <v>35</v>
      </c>
      <c r="O1" s="14" t="s">
        <v>35</v>
      </c>
      <c r="P1" s="14" t="s">
        <v>36</v>
      </c>
    </row>
    <row r="2" spans="1:19">
      <c r="A2" s="6">
        <v>27</v>
      </c>
      <c r="B2" s="6">
        <v>6.35</v>
      </c>
      <c r="C2" s="6">
        <v>12.75</v>
      </c>
      <c r="D2" s="6">
        <v>4.8</v>
      </c>
      <c r="E2" s="6">
        <f>500/16.92</f>
        <v>29.550827423167846</v>
      </c>
      <c r="F2" s="6">
        <f>E2*C2</f>
        <v>376.77304964539002</v>
      </c>
      <c r="G2" s="6">
        <f>C2</f>
        <v>12.75</v>
      </c>
      <c r="H2" s="6">
        <f>-0.0043*F2^2+3.7742*F2-807.78</f>
        <v>3.8177409335546599</v>
      </c>
      <c r="I2" s="6">
        <v>12.5</v>
      </c>
      <c r="J2" s="12" t="s">
        <v>37</v>
      </c>
      <c r="K2" s="12" t="s">
        <v>39</v>
      </c>
      <c r="L2" s="12" t="s">
        <v>37</v>
      </c>
      <c r="M2" s="12" t="s">
        <v>39</v>
      </c>
      <c r="O2" s="6">
        <v>370</v>
      </c>
      <c r="P2" s="12" t="s">
        <v>37</v>
      </c>
      <c r="Q2" s="12" t="s">
        <v>39</v>
      </c>
      <c r="R2" s="12" t="s">
        <v>37</v>
      </c>
      <c r="S2" s="12" t="s">
        <v>39</v>
      </c>
    </row>
    <row r="3" spans="1:19">
      <c r="A3" s="6">
        <v>27</v>
      </c>
      <c r="B3" s="6">
        <v>6.35</v>
      </c>
      <c r="C3" s="6">
        <v>12.75</v>
      </c>
      <c r="D3" s="6">
        <v>4.76</v>
      </c>
      <c r="E3" s="6">
        <f t="shared" ref="E3:E20" si="0">500/16.92</f>
        <v>29.550827423167846</v>
      </c>
      <c r="F3" s="6">
        <f t="shared" ref="F3:F42" si="1">E3*C3</f>
        <v>376.77304964539002</v>
      </c>
      <c r="G3" s="6">
        <f t="shared" ref="G3:G20" si="2">C3</f>
        <v>12.75</v>
      </c>
      <c r="H3" s="6">
        <f t="shared" ref="H3:H42" si="3">-0.0043*F3^2+3.7742*F3-807.78</f>
        <v>3.8177409335546599</v>
      </c>
      <c r="I3" s="6">
        <v>12.55</v>
      </c>
      <c r="J3" s="13">
        <v>12.5</v>
      </c>
      <c r="K3" s="12">
        <v>0</v>
      </c>
      <c r="L3" s="13">
        <v>12.65</v>
      </c>
      <c r="M3" s="12">
        <v>1</v>
      </c>
      <c r="O3" s="6">
        <v>371</v>
      </c>
      <c r="P3" s="13">
        <v>370</v>
      </c>
      <c r="Q3" s="12">
        <v>0</v>
      </c>
      <c r="R3" s="13">
        <v>374</v>
      </c>
      <c r="S3" s="12">
        <v>1</v>
      </c>
    </row>
    <row r="4" spans="1:19">
      <c r="A4" s="6">
        <v>27</v>
      </c>
      <c r="B4" s="6">
        <v>6.35</v>
      </c>
      <c r="C4" s="6">
        <v>12.7</v>
      </c>
      <c r="D4" s="6">
        <v>4.76</v>
      </c>
      <c r="E4" s="6">
        <f t="shared" si="0"/>
        <v>29.550827423167846</v>
      </c>
      <c r="F4" s="6">
        <f t="shared" si="1"/>
        <v>375.29550827423162</v>
      </c>
      <c r="G4" s="6">
        <f t="shared" si="2"/>
        <v>12.7</v>
      </c>
      <c r="H4" s="6">
        <f t="shared" si="3"/>
        <v>3.0194176461055804</v>
      </c>
      <c r="I4" s="6">
        <v>12.6</v>
      </c>
      <c r="J4" s="13">
        <v>12.55</v>
      </c>
      <c r="K4" s="12">
        <v>0</v>
      </c>
      <c r="L4" s="13">
        <v>12.7</v>
      </c>
      <c r="M4" s="12">
        <v>10</v>
      </c>
      <c r="O4" s="6">
        <v>372</v>
      </c>
      <c r="P4" s="13">
        <v>371</v>
      </c>
      <c r="Q4" s="12">
        <v>0</v>
      </c>
      <c r="R4" s="13">
        <v>376</v>
      </c>
      <c r="S4" s="12">
        <v>11</v>
      </c>
    </row>
    <row r="5" spans="1:19">
      <c r="A5" s="6">
        <v>27</v>
      </c>
      <c r="B5" s="6">
        <v>6.38</v>
      </c>
      <c r="C5" s="6">
        <v>12.8</v>
      </c>
      <c r="D5" s="6">
        <v>4.8</v>
      </c>
      <c r="E5" s="6">
        <f t="shared" si="0"/>
        <v>29.550827423167846</v>
      </c>
      <c r="F5" s="6">
        <f t="shared" si="1"/>
        <v>378.25059101654847</v>
      </c>
      <c r="G5" s="6">
        <f t="shared" si="2"/>
        <v>12.8</v>
      </c>
      <c r="H5" s="6">
        <f t="shared" si="3"/>
        <v>4.5972893158739225</v>
      </c>
      <c r="I5" s="6">
        <v>12.65</v>
      </c>
      <c r="J5" s="13">
        <v>12.6</v>
      </c>
      <c r="K5" s="12">
        <v>0</v>
      </c>
      <c r="L5" s="13">
        <v>12.75</v>
      </c>
      <c r="M5" s="12">
        <v>9</v>
      </c>
      <c r="O5" s="6">
        <v>373</v>
      </c>
      <c r="P5" s="13">
        <v>372</v>
      </c>
      <c r="Q5" s="12">
        <v>0</v>
      </c>
      <c r="R5" s="13">
        <v>377</v>
      </c>
      <c r="S5" s="12">
        <v>8</v>
      </c>
    </row>
    <row r="6" spans="1:19">
      <c r="A6" s="6">
        <v>27</v>
      </c>
      <c r="B6" s="6">
        <v>6.4</v>
      </c>
      <c r="C6" s="6">
        <v>12.8</v>
      </c>
      <c r="D6" s="6">
        <v>4.76</v>
      </c>
      <c r="E6" s="6">
        <f t="shared" si="0"/>
        <v>29.550827423167846</v>
      </c>
      <c r="F6" s="6">
        <f t="shared" si="1"/>
        <v>378.25059101654847</v>
      </c>
      <c r="G6" s="6">
        <f t="shared" si="2"/>
        <v>12.8</v>
      </c>
      <c r="H6" s="6">
        <f t="shared" si="3"/>
        <v>4.5972893158739225</v>
      </c>
      <c r="I6" s="6">
        <v>12.7</v>
      </c>
      <c r="J6" s="13">
        <v>12.65</v>
      </c>
      <c r="K6" s="12">
        <v>1</v>
      </c>
      <c r="L6" s="13">
        <v>12.8</v>
      </c>
      <c r="M6" s="12">
        <v>18</v>
      </c>
      <c r="O6" s="6">
        <v>374</v>
      </c>
      <c r="P6" s="13">
        <v>373</v>
      </c>
      <c r="Q6" s="12">
        <v>0</v>
      </c>
      <c r="R6" s="13">
        <v>379</v>
      </c>
      <c r="S6" s="12">
        <v>19</v>
      </c>
    </row>
    <row r="7" spans="1:19">
      <c r="A7" s="6">
        <v>27</v>
      </c>
      <c r="B7" s="6">
        <v>6.4</v>
      </c>
      <c r="C7" s="6">
        <v>12.72</v>
      </c>
      <c r="D7" s="6">
        <v>4.76</v>
      </c>
      <c r="E7" s="6">
        <f t="shared" si="0"/>
        <v>29.550827423167846</v>
      </c>
      <c r="F7" s="6">
        <f t="shared" si="1"/>
        <v>375.88652482269504</v>
      </c>
      <c r="G7" s="6">
        <f t="shared" si="2"/>
        <v>12.72</v>
      </c>
      <c r="H7" s="6">
        <f t="shared" si="3"/>
        <v>3.3409999497006311</v>
      </c>
      <c r="I7" s="6">
        <v>12.75</v>
      </c>
      <c r="J7" s="13">
        <v>12.7</v>
      </c>
      <c r="K7" s="12">
        <v>10</v>
      </c>
      <c r="L7" s="13">
        <v>12.85</v>
      </c>
      <c r="M7" s="12">
        <v>1</v>
      </c>
      <c r="O7" s="6">
        <v>375</v>
      </c>
      <c r="P7" s="13">
        <v>374</v>
      </c>
      <c r="Q7" s="12">
        <v>1</v>
      </c>
      <c r="R7" s="13">
        <v>382</v>
      </c>
      <c r="S7" s="12">
        <v>2</v>
      </c>
    </row>
    <row r="8" spans="1:19">
      <c r="A8" s="6">
        <v>27</v>
      </c>
      <c r="B8" s="6">
        <v>6</v>
      </c>
      <c r="C8" s="6">
        <v>12.7</v>
      </c>
      <c r="D8" s="6">
        <v>4.6399999999999997</v>
      </c>
      <c r="E8" s="6">
        <f t="shared" si="0"/>
        <v>29.550827423167846</v>
      </c>
      <c r="F8" s="6">
        <f t="shared" si="1"/>
        <v>375.29550827423162</v>
      </c>
      <c r="G8" s="6">
        <f t="shared" si="2"/>
        <v>12.7</v>
      </c>
      <c r="H8" s="6">
        <f t="shared" si="3"/>
        <v>3.0194176461055804</v>
      </c>
      <c r="I8" s="6">
        <v>12.8</v>
      </c>
      <c r="J8" s="13">
        <v>12.75</v>
      </c>
      <c r="K8" s="12">
        <v>9</v>
      </c>
      <c r="L8" s="13">
        <v>12.9</v>
      </c>
      <c r="M8" s="12">
        <v>2</v>
      </c>
      <c r="O8" s="6">
        <v>376</v>
      </c>
      <c r="P8" s="13">
        <v>375</v>
      </c>
      <c r="Q8" s="12">
        <v>0</v>
      </c>
      <c r="R8" s="13">
        <v>370</v>
      </c>
      <c r="S8" s="12">
        <v>0</v>
      </c>
    </row>
    <row r="9" spans="1:19">
      <c r="A9" s="6">
        <v>27</v>
      </c>
      <c r="B9" s="6">
        <v>5</v>
      </c>
      <c r="C9" s="6">
        <v>12.75</v>
      </c>
      <c r="D9" s="6">
        <v>4.28</v>
      </c>
      <c r="E9" s="6">
        <f t="shared" si="0"/>
        <v>29.550827423167846</v>
      </c>
      <c r="F9" s="6">
        <f t="shared" si="1"/>
        <v>376.77304964539002</v>
      </c>
      <c r="G9" s="6">
        <f t="shared" si="2"/>
        <v>12.75</v>
      </c>
      <c r="H9" s="6">
        <f t="shared" si="3"/>
        <v>3.8177409335546599</v>
      </c>
      <c r="I9" s="6">
        <v>12.85</v>
      </c>
      <c r="J9" s="13">
        <v>12.8</v>
      </c>
      <c r="K9" s="12">
        <v>18</v>
      </c>
      <c r="L9" s="13">
        <v>12.5</v>
      </c>
      <c r="M9" s="12">
        <v>0</v>
      </c>
      <c r="O9" s="6">
        <v>377</v>
      </c>
      <c r="P9" s="13">
        <v>376</v>
      </c>
      <c r="Q9" s="12">
        <v>11</v>
      </c>
      <c r="R9" s="13">
        <v>371</v>
      </c>
      <c r="S9" s="12">
        <v>0</v>
      </c>
    </row>
    <row r="10" spans="1:19">
      <c r="A10" s="6">
        <v>27</v>
      </c>
      <c r="B10" s="6">
        <v>4</v>
      </c>
      <c r="C10" s="6">
        <v>12.7</v>
      </c>
      <c r="D10" s="6">
        <v>3.88</v>
      </c>
      <c r="E10" s="6">
        <f t="shared" si="0"/>
        <v>29.550827423167846</v>
      </c>
      <c r="F10" s="6">
        <f t="shared" si="1"/>
        <v>375.29550827423162</v>
      </c>
      <c r="G10" s="6">
        <f t="shared" si="2"/>
        <v>12.7</v>
      </c>
      <c r="H10" s="6">
        <f t="shared" si="3"/>
        <v>3.0194176461055804</v>
      </c>
      <c r="I10" s="6">
        <v>12.9</v>
      </c>
      <c r="J10" s="13">
        <v>12.85</v>
      </c>
      <c r="K10" s="12">
        <v>1</v>
      </c>
      <c r="L10" s="13">
        <v>12.55</v>
      </c>
      <c r="M10" s="12">
        <v>0</v>
      </c>
      <c r="O10" s="6">
        <v>378</v>
      </c>
      <c r="P10" s="13">
        <v>377</v>
      </c>
      <c r="Q10" s="12">
        <v>8</v>
      </c>
      <c r="R10" s="13">
        <v>372</v>
      </c>
      <c r="S10" s="12">
        <v>0</v>
      </c>
    </row>
    <row r="11" spans="1:19">
      <c r="A11" s="6">
        <v>27</v>
      </c>
      <c r="B11" s="6">
        <v>3</v>
      </c>
      <c r="C11" s="6">
        <v>12.7</v>
      </c>
      <c r="D11" s="6">
        <v>3.52</v>
      </c>
      <c r="E11" s="6">
        <f t="shared" si="0"/>
        <v>29.550827423167846</v>
      </c>
      <c r="F11" s="6">
        <f t="shared" si="1"/>
        <v>375.29550827423162</v>
      </c>
      <c r="G11" s="6">
        <f t="shared" si="2"/>
        <v>12.7</v>
      </c>
      <c r="H11" s="6">
        <f t="shared" si="3"/>
        <v>3.0194176461055804</v>
      </c>
      <c r="I11" s="6">
        <v>12.95</v>
      </c>
      <c r="J11" s="13">
        <v>12.9</v>
      </c>
      <c r="K11" s="12">
        <v>2</v>
      </c>
      <c r="L11" s="13">
        <v>12.6</v>
      </c>
      <c r="M11" s="12">
        <v>0</v>
      </c>
      <c r="O11" s="6">
        <v>379</v>
      </c>
      <c r="P11" s="13">
        <v>378</v>
      </c>
      <c r="Q11" s="12">
        <v>0</v>
      </c>
      <c r="R11" s="13">
        <v>373</v>
      </c>
      <c r="S11" s="12">
        <v>0</v>
      </c>
    </row>
    <row r="12" spans="1:19">
      <c r="A12" s="6">
        <v>27</v>
      </c>
      <c r="B12" s="6">
        <v>2</v>
      </c>
      <c r="C12" s="6">
        <v>12.65</v>
      </c>
      <c r="D12" s="6">
        <v>3.04</v>
      </c>
      <c r="E12" s="6">
        <f t="shared" si="0"/>
        <v>29.550827423167846</v>
      </c>
      <c r="F12" s="6">
        <f t="shared" si="1"/>
        <v>373.81796690307328</v>
      </c>
      <c r="G12" s="6">
        <f t="shared" si="2"/>
        <v>12.65</v>
      </c>
      <c r="H12" s="6">
        <f t="shared" si="3"/>
        <v>2.2023194535262292</v>
      </c>
      <c r="I12" s="6">
        <v>13</v>
      </c>
      <c r="J12" s="13">
        <v>12.95</v>
      </c>
      <c r="K12" s="12">
        <v>0</v>
      </c>
      <c r="L12" s="13">
        <v>12.95</v>
      </c>
      <c r="M12" s="12">
        <v>0</v>
      </c>
      <c r="O12" s="6">
        <v>380</v>
      </c>
      <c r="P12" s="13">
        <v>379</v>
      </c>
      <c r="Q12" s="12">
        <v>19</v>
      </c>
      <c r="R12" s="13">
        <v>375</v>
      </c>
      <c r="S12" s="12">
        <v>0</v>
      </c>
    </row>
    <row r="13" spans="1:19">
      <c r="A13" s="6">
        <v>27</v>
      </c>
      <c r="B13" s="6">
        <v>1</v>
      </c>
      <c r="C13" s="6">
        <v>12.7</v>
      </c>
      <c r="D13" s="6">
        <v>2.67</v>
      </c>
      <c r="E13" s="6">
        <f t="shared" si="0"/>
        <v>29.550827423167846</v>
      </c>
      <c r="F13" s="6">
        <f t="shared" si="1"/>
        <v>375.29550827423162</v>
      </c>
      <c r="G13" s="6">
        <f t="shared" si="2"/>
        <v>12.7</v>
      </c>
      <c r="H13" s="6">
        <f t="shared" si="3"/>
        <v>3.0194176461055804</v>
      </c>
      <c r="J13" s="13">
        <v>13</v>
      </c>
      <c r="K13" s="12">
        <v>0</v>
      </c>
      <c r="L13" s="13">
        <v>13</v>
      </c>
      <c r="M13" s="12">
        <v>0</v>
      </c>
      <c r="O13" s="6">
        <v>381</v>
      </c>
      <c r="P13" s="13">
        <v>380</v>
      </c>
      <c r="Q13" s="12">
        <v>0</v>
      </c>
      <c r="R13" s="13">
        <v>378</v>
      </c>
      <c r="S13" s="12">
        <v>0</v>
      </c>
    </row>
    <row r="14" spans="1:19">
      <c r="A14" s="6">
        <v>27</v>
      </c>
      <c r="B14" s="6">
        <v>0</v>
      </c>
      <c r="C14" s="6">
        <v>12.8</v>
      </c>
      <c r="D14" s="6">
        <v>2.2400000000000002</v>
      </c>
      <c r="E14" s="6">
        <f t="shared" si="0"/>
        <v>29.550827423167846</v>
      </c>
      <c r="F14" s="6">
        <f t="shared" si="1"/>
        <v>378.25059101654847</v>
      </c>
      <c r="G14" s="6">
        <f t="shared" si="2"/>
        <v>12.8</v>
      </c>
      <c r="H14" s="6">
        <f t="shared" si="3"/>
        <v>4.5972893158739225</v>
      </c>
      <c r="J14" s="12" t="s">
        <v>38</v>
      </c>
      <c r="K14" s="12">
        <v>0</v>
      </c>
      <c r="L14" s="13" t="s">
        <v>38</v>
      </c>
      <c r="M14" s="12">
        <v>0</v>
      </c>
      <c r="O14" s="6">
        <v>382</v>
      </c>
      <c r="P14" s="13">
        <v>381</v>
      </c>
      <c r="Q14" s="12">
        <v>0</v>
      </c>
      <c r="R14" s="13">
        <v>380</v>
      </c>
      <c r="S14" s="12">
        <v>0</v>
      </c>
    </row>
    <row r="15" spans="1:19">
      <c r="A15" s="6">
        <v>27</v>
      </c>
      <c r="B15" s="6">
        <v>5.65</v>
      </c>
      <c r="C15" s="6">
        <v>12.8</v>
      </c>
      <c r="D15" s="6">
        <v>4.3600000000000003</v>
      </c>
      <c r="E15" s="6">
        <f t="shared" si="0"/>
        <v>29.550827423167846</v>
      </c>
      <c r="F15" s="6">
        <f t="shared" si="1"/>
        <v>378.25059101654847</v>
      </c>
      <c r="G15" s="6">
        <f t="shared" si="2"/>
        <v>12.8</v>
      </c>
      <c r="H15" s="6">
        <f t="shared" si="3"/>
        <v>4.5972893158739225</v>
      </c>
      <c r="O15" s="6">
        <v>383</v>
      </c>
      <c r="P15" s="13">
        <v>382</v>
      </c>
      <c r="Q15" s="12">
        <v>2</v>
      </c>
      <c r="R15" s="13">
        <v>381</v>
      </c>
      <c r="S15" s="12">
        <v>0</v>
      </c>
    </row>
    <row r="16" spans="1:19">
      <c r="A16" s="6">
        <v>27</v>
      </c>
      <c r="B16" s="6">
        <v>5.65</v>
      </c>
      <c r="C16" s="6">
        <v>12.7</v>
      </c>
      <c r="D16" s="6">
        <v>4.4000000000000004</v>
      </c>
      <c r="E16" s="6">
        <f t="shared" si="0"/>
        <v>29.550827423167846</v>
      </c>
      <c r="F16" s="6">
        <f t="shared" si="1"/>
        <v>375.29550827423162</v>
      </c>
      <c r="G16" s="6">
        <f t="shared" si="2"/>
        <v>12.7</v>
      </c>
      <c r="H16" s="6">
        <f t="shared" si="3"/>
        <v>3.0194176461055804</v>
      </c>
      <c r="O16" s="6">
        <v>384</v>
      </c>
      <c r="P16" s="13">
        <v>383</v>
      </c>
      <c r="Q16" s="12">
        <v>0</v>
      </c>
      <c r="R16" s="13">
        <v>383</v>
      </c>
      <c r="S16" s="12">
        <v>0</v>
      </c>
    </row>
    <row r="17" spans="1:23">
      <c r="A17" s="6">
        <v>27</v>
      </c>
      <c r="B17" s="6">
        <v>5.5</v>
      </c>
      <c r="C17" s="6">
        <v>12.75</v>
      </c>
      <c r="D17" s="6">
        <v>4.32</v>
      </c>
      <c r="E17" s="6">
        <f t="shared" si="0"/>
        <v>29.550827423167846</v>
      </c>
      <c r="F17" s="6">
        <f t="shared" si="1"/>
        <v>376.77304964539002</v>
      </c>
      <c r="G17" s="6">
        <f t="shared" si="2"/>
        <v>12.75</v>
      </c>
      <c r="H17" s="6">
        <f t="shared" si="3"/>
        <v>3.8177409335546599</v>
      </c>
      <c r="O17" s="6">
        <v>385</v>
      </c>
      <c r="P17" s="13">
        <v>384</v>
      </c>
      <c r="Q17" s="12">
        <v>0</v>
      </c>
      <c r="R17" s="13">
        <v>384</v>
      </c>
      <c r="S17" s="12">
        <v>0</v>
      </c>
    </row>
    <row r="18" spans="1:23">
      <c r="A18" s="6">
        <v>27</v>
      </c>
      <c r="B18" s="6">
        <v>5.5</v>
      </c>
      <c r="C18" s="6">
        <v>12.82</v>
      </c>
      <c r="D18" s="6">
        <v>4.28</v>
      </c>
      <c r="E18" s="6">
        <f t="shared" si="0"/>
        <v>29.550827423167846</v>
      </c>
      <c r="F18" s="6">
        <f t="shared" si="1"/>
        <v>378.84160756501177</v>
      </c>
      <c r="G18" s="6">
        <f t="shared" si="2"/>
        <v>12.82</v>
      </c>
      <c r="H18" s="6">
        <f t="shared" si="3"/>
        <v>4.9038516953652334</v>
      </c>
      <c r="P18" s="13">
        <v>385</v>
      </c>
      <c r="Q18" s="12">
        <v>0</v>
      </c>
      <c r="R18" s="13">
        <v>385</v>
      </c>
      <c r="S18" s="12">
        <v>0</v>
      </c>
    </row>
    <row r="19" spans="1:23">
      <c r="A19" s="6">
        <v>27</v>
      </c>
      <c r="B19" s="6">
        <v>5.5</v>
      </c>
      <c r="C19" s="6">
        <v>12.8</v>
      </c>
      <c r="D19" s="6">
        <v>4.3600000000000003</v>
      </c>
      <c r="E19" s="6">
        <f t="shared" si="0"/>
        <v>29.550827423167846</v>
      </c>
      <c r="F19" s="6">
        <f t="shared" si="1"/>
        <v>378.25059101654847</v>
      </c>
      <c r="G19" s="6">
        <f t="shared" si="2"/>
        <v>12.8</v>
      </c>
      <c r="H19" s="6">
        <f t="shared" si="3"/>
        <v>4.5972893158739225</v>
      </c>
      <c r="P19" s="12" t="s">
        <v>38</v>
      </c>
      <c r="Q19" s="12">
        <v>0</v>
      </c>
      <c r="R19" s="13" t="s">
        <v>38</v>
      </c>
      <c r="S19" s="12">
        <v>0</v>
      </c>
    </row>
    <row r="20" spans="1:23">
      <c r="A20" s="6">
        <v>27</v>
      </c>
      <c r="B20" s="6">
        <v>0</v>
      </c>
      <c r="C20" s="6">
        <v>12.8</v>
      </c>
      <c r="D20" s="6">
        <v>2.2799999999999998</v>
      </c>
      <c r="E20" s="6">
        <f t="shared" si="0"/>
        <v>29.550827423167846</v>
      </c>
      <c r="F20" s="6">
        <f t="shared" si="1"/>
        <v>378.25059101654847</v>
      </c>
      <c r="G20" s="6">
        <f t="shared" si="2"/>
        <v>12.8</v>
      </c>
      <c r="H20" s="6">
        <f t="shared" si="3"/>
        <v>4.5972893158739225</v>
      </c>
      <c r="Q20" s="6">
        <f>SUM(Q3:Q19)</f>
        <v>41</v>
      </c>
    </row>
    <row r="21" spans="1:23">
      <c r="A21" s="6">
        <v>27</v>
      </c>
      <c r="C21" s="6">
        <v>6.4</v>
      </c>
      <c r="D21" s="6">
        <v>4.32</v>
      </c>
      <c r="E21" s="6">
        <f>1000/16.9</f>
        <v>59.171597633136102</v>
      </c>
      <c r="F21" s="6">
        <f t="shared" si="1"/>
        <v>378.69822485207106</v>
      </c>
      <c r="G21" s="6">
        <f>2*C21</f>
        <v>12.8</v>
      </c>
      <c r="H21" s="6">
        <f t="shared" si="3"/>
        <v>4.8297545604145853</v>
      </c>
    </row>
    <row r="22" spans="1:23">
      <c r="A22" s="6">
        <v>27</v>
      </c>
      <c r="B22" s="6">
        <v>5.5</v>
      </c>
      <c r="C22" s="6">
        <v>6.4</v>
      </c>
      <c r="D22" s="6">
        <v>4.28</v>
      </c>
      <c r="E22" s="6">
        <f t="shared" ref="E22:E37" si="4">1000/16.9</f>
        <v>59.171597633136102</v>
      </c>
      <c r="F22" s="6">
        <f t="shared" si="1"/>
        <v>378.69822485207106</v>
      </c>
      <c r="G22" s="6">
        <f t="shared" ref="G22:G37" si="5">2*C22</f>
        <v>12.8</v>
      </c>
      <c r="H22" s="6">
        <f t="shared" si="3"/>
        <v>4.8297545604145853</v>
      </c>
      <c r="Q22" s="6" t="s">
        <v>41</v>
      </c>
    </row>
    <row r="23" spans="1:23">
      <c r="A23" s="6">
        <v>27</v>
      </c>
      <c r="B23" s="6">
        <v>5.5</v>
      </c>
      <c r="C23" s="6">
        <v>6.4</v>
      </c>
      <c r="D23" s="6">
        <v>4.32</v>
      </c>
      <c r="E23" s="6">
        <f t="shared" si="4"/>
        <v>59.171597633136102</v>
      </c>
      <c r="F23" s="6">
        <f t="shared" si="1"/>
        <v>378.69822485207106</v>
      </c>
      <c r="G23" s="6">
        <f t="shared" si="5"/>
        <v>12.8</v>
      </c>
      <c r="H23" s="6">
        <f t="shared" si="3"/>
        <v>4.8297545604145853</v>
      </c>
      <c r="P23" s="6" t="s">
        <v>42</v>
      </c>
      <c r="Q23">
        <v>13.5</v>
      </c>
      <c r="R23">
        <v>27</v>
      </c>
      <c r="S23">
        <v>6.75</v>
      </c>
      <c r="T23">
        <v>9</v>
      </c>
      <c r="U23">
        <v>15</v>
      </c>
      <c r="V23">
        <v>20</v>
      </c>
      <c r="W23">
        <v>5</v>
      </c>
    </row>
    <row r="24" spans="1:23">
      <c r="A24" s="6">
        <v>27</v>
      </c>
      <c r="B24" s="6">
        <v>5</v>
      </c>
      <c r="C24" s="6">
        <v>6.35</v>
      </c>
      <c r="D24" s="6">
        <v>4.16</v>
      </c>
      <c r="E24" s="6">
        <f t="shared" si="4"/>
        <v>59.171597633136102</v>
      </c>
      <c r="F24" s="6">
        <f t="shared" si="1"/>
        <v>375.73964497041425</v>
      </c>
      <c r="G24" s="6">
        <f t="shared" si="5"/>
        <v>12.7</v>
      </c>
      <c r="H24" s="6">
        <f t="shared" si="3"/>
        <v>3.2613605966178056</v>
      </c>
      <c r="P24" s="6" t="s">
        <v>24</v>
      </c>
      <c r="Q24">
        <v>384.9</v>
      </c>
      <c r="R24">
        <v>440.4</v>
      </c>
      <c r="S24">
        <v>374</v>
      </c>
      <c r="T24">
        <v>376.7</v>
      </c>
      <c r="U24">
        <v>388.58</v>
      </c>
      <c r="V24">
        <v>404.7</v>
      </c>
      <c r="W24">
        <v>371.8</v>
      </c>
    </row>
    <row r="25" spans="1:23">
      <c r="A25" s="6">
        <v>27</v>
      </c>
      <c r="B25" s="6">
        <v>4</v>
      </c>
      <c r="C25" s="6">
        <v>6.45</v>
      </c>
      <c r="D25" s="6">
        <v>3.84</v>
      </c>
      <c r="E25" s="6">
        <f t="shared" si="4"/>
        <v>59.171597633136102</v>
      </c>
      <c r="F25" s="6">
        <f t="shared" si="1"/>
        <v>381.65680473372788</v>
      </c>
      <c r="G25" s="6">
        <f t="shared" si="5"/>
        <v>12.9</v>
      </c>
      <c r="H25" s="6">
        <f t="shared" si="3"/>
        <v>6.3228710479324945</v>
      </c>
    </row>
    <row r="26" spans="1:23">
      <c r="A26" s="6">
        <v>27</v>
      </c>
      <c r="C26" s="6">
        <v>6.45</v>
      </c>
      <c r="D26" s="6">
        <v>4.3600000000000003</v>
      </c>
      <c r="E26" s="6">
        <f t="shared" si="4"/>
        <v>59.171597633136102</v>
      </c>
      <c r="F26" s="6">
        <f t="shared" si="1"/>
        <v>381.65680473372788</v>
      </c>
      <c r="G26" s="6">
        <f t="shared" si="5"/>
        <v>12.9</v>
      </c>
      <c r="H26" s="6">
        <f t="shared" si="3"/>
        <v>6.3228710479324945</v>
      </c>
    </row>
    <row r="27" spans="1:23">
      <c r="A27" s="6">
        <v>27</v>
      </c>
      <c r="B27" s="6">
        <v>5.7</v>
      </c>
      <c r="C27" s="6">
        <v>6.4</v>
      </c>
      <c r="D27" s="6">
        <v>4.5199999999999996</v>
      </c>
      <c r="E27" s="6">
        <f t="shared" si="4"/>
        <v>59.171597633136102</v>
      </c>
      <c r="F27" s="6">
        <f t="shared" si="1"/>
        <v>378.69822485207106</v>
      </c>
      <c r="G27" s="6">
        <f t="shared" si="5"/>
        <v>12.8</v>
      </c>
      <c r="H27" s="6">
        <f t="shared" si="3"/>
        <v>4.8297545604145853</v>
      </c>
    </row>
    <row r="28" spans="1:23">
      <c r="A28" s="6">
        <v>27</v>
      </c>
      <c r="B28" s="6">
        <v>5.5</v>
      </c>
      <c r="C28" s="6">
        <v>6.4</v>
      </c>
      <c r="D28" s="6">
        <v>4.4000000000000004</v>
      </c>
      <c r="E28" s="6">
        <f t="shared" si="4"/>
        <v>59.171597633136102</v>
      </c>
      <c r="F28" s="6">
        <f t="shared" si="1"/>
        <v>378.69822485207106</v>
      </c>
      <c r="G28" s="6">
        <f t="shared" si="5"/>
        <v>12.8</v>
      </c>
      <c r="H28" s="6">
        <f t="shared" si="3"/>
        <v>4.8297545604145853</v>
      </c>
    </row>
    <row r="29" spans="1:23">
      <c r="A29" s="6">
        <v>27</v>
      </c>
      <c r="B29" s="6">
        <v>5</v>
      </c>
      <c r="C29" s="6">
        <v>6.35</v>
      </c>
      <c r="D29" s="6">
        <v>4.24</v>
      </c>
      <c r="E29" s="6">
        <f t="shared" si="4"/>
        <v>59.171597633136102</v>
      </c>
      <c r="F29" s="6">
        <f t="shared" si="1"/>
        <v>375.73964497041425</v>
      </c>
      <c r="G29" s="6">
        <f t="shared" si="5"/>
        <v>12.7</v>
      </c>
      <c r="H29" s="6">
        <f t="shared" si="3"/>
        <v>3.2613605966178056</v>
      </c>
    </row>
    <row r="30" spans="1:23">
      <c r="A30" s="6">
        <v>27</v>
      </c>
      <c r="B30" s="6">
        <v>4</v>
      </c>
      <c r="C30" s="6">
        <v>6.4</v>
      </c>
      <c r="D30" s="6">
        <v>3.88</v>
      </c>
      <c r="E30" s="6">
        <f t="shared" si="4"/>
        <v>59.171597633136102</v>
      </c>
      <c r="F30" s="6">
        <f t="shared" si="1"/>
        <v>378.69822485207106</v>
      </c>
      <c r="G30" s="6">
        <f t="shared" si="5"/>
        <v>12.8</v>
      </c>
      <c r="H30" s="6">
        <f t="shared" si="3"/>
        <v>4.8297545604145853</v>
      </c>
    </row>
    <row r="31" spans="1:23">
      <c r="A31" s="6">
        <v>27</v>
      </c>
      <c r="B31" s="6">
        <v>3</v>
      </c>
      <c r="C31" s="6">
        <v>6.35</v>
      </c>
      <c r="D31" s="6">
        <v>3.48</v>
      </c>
      <c r="E31" s="6">
        <f t="shared" si="4"/>
        <v>59.171597633136102</v>
      </c>
      <c r="F31" s="6">
        <f t="shared" si="1"/>
        <v>375.73964497041425</v>
      </c>
      <c r="G31" s="6">
        <f t="shared" si="5"/>
        <v>12.7</v>
      </c>
      <c r="H31" s="6">
        <f t="shared" si="3"/>
        <v>3.2613605966178056</v>
      </c>
    </row>
    <row r="32" spans="1:23">
      <c r="A32" s="6">
        <v>27</v>
      </c>
      <c r="B32" s="6">
        <v>2</v>
      </c>
      <c r="C32" s="6">
        <v>6.4</v>
      </c>
      <c r="D32" s="6">
        <v>3.12</v>
      </c>
      <c r="E32" s="6">
        <f t="shared" si="4"/>
        <v>59.171597633136102</v>
      </c>
      <c r="F32" s="6">
        <f t="shared" si="1"/>
        <v>378.69822485207106</v>
      </c>
      <c r="G32" s="6">
        <f t="shared" si="5"/>
        <v>12.8</v>
      </c>
      <c r="H32" s="6">
        <f t="shared" si="3"/>
        <v>4.8297545604145853</v>
      </c>
    </row>
    <row r="33" spans="1:8">
      <c r="A33" s="6">
        <v>27</v>
      </c>
      <c r="B33" s="6">
        <v>1</v>
      </c>
      <c r="C33" s="6">
        <v>6.4</v>
      </c>
      <c r="D33" s="6">
        <v>2.64</v>
      </c>
      <c r="E33" s="6">
        <f t="shared" si="4"/>
        <v>59.171597633136102</v>
      </c>
      <c r="F33" s="6">
        <f t="shared" si="1"/>
        <v>378.69822485207106</v>
      </c>
      <c r="G33" s="6">
        <f t="shared" si="5"/>
        <v>12.8</v>
      </c>
      <c r="H33" s="6">
        <f t="shared" si="3"/>
        <v>4.8297545604145853</v>
      </c>
    </row>
    <row r="34" spans="1:8">
      <c r="A34" s="6">
        <v>27</v>
      </c>
      <c r="B34" s="6">
        <v>0</v>
      </c>
      <c r="C34" s="6">
        <v>6.4</v>
      </c>
      <c r="D34" s="6">
        <v>2.16</v>
      </c>
      <c r="E34" s="6">
        <f t="shared" si="4"/>
        <v>59.171597633136102</v>
      </c>
      <c r="F34" s="6">
        <f t="shared" si="1"/>
        <v>378.69822485207106</v>
      </c>
      <c r="G34" s="6">
        <f t="shared" si="5"/>
        <v>12.8</v>
      </c>
      <c r="H34" s="6">
        <f t="shared" si="3"/>
        <v>4.8297545604145853</v>
      </c>
    </row>
    <row r="35" spans="1:8">
      <c r="A35" s="6">
        <v>27</v>
      </c>
      <c r="B35" s="6">
        <v>5.8</v>
      </c>
      <c r="C35" s="6">
        <v>6.4</v>
      </c>
      <c r="D35" s="6">
        <v>4.5199999999999996</v>
      </c>
      <c r="E35" s="6">
        <f t="shared" si="4"/>
        <v>59.171597633136102</v>
      </c>
      <c r="F35" s="6">
        <f t="shared" si="1"/>
        <v>378.69822485207106</v>
      </c>
      <c r="G35" s="6">
        <f t="shared" si="5"/>
        <v>12.8</v>
      </c>
      <c r="H35" s="6">
        <f t="shared" si="3"/>
        <v>4.8297545604145853</v>
      </c>
    </row>
    <row r="36" spans="1:8">
      <c r="A36" s="6">
        <v>27</v>
      </c>
      <c r="B36" s="6">
        <v>5</v>
      </c>
      <c r="C36" s="6">
        <v>6.4</v>
      </c>
      <c r="D36" s="6">
        <v>4.16</v>
      </c>
      <c r="E36" s="6">
        <f t="shared" si="4"/>
        <v>59.171597633136102</v>
      </c>
      <c r="F36" s="6">
        <f t="shared" si="1"/>
        <v>378.69822485207106</v>
      </c>
      <c r="G36" s="6">
        <f t="shared" si="5"/>
        <v>12.8</v>
      </c>
      <c r="H36" s="6">
        <f t="shared" si="3"/>
        <v>4.8297545604145853</v>
      </c>
    </row>
    <row r="37" spans="1:8">
      <c r="A37" s="6">
        <v>27</v>
      </c>
      <c r="B37" s="6">
        <v>4.5</v>
      </c>
      <c r="C37" s="6">
        <v>6.4</v>
      </c>
      <c r="D37" s="6">
        <v>4</v>
      </c>
      <c r="E37" s="6">
        <f t="shared" si="4"/>
        <v>59.171597633136102</v>
      </c>
      <c r="F37" s="6">
        <f t="shared" si="1"/>
        <v>378.69822485207106</v>
      </c>
      <c r="G37" s="6">
        <f t="shared" si="5"/>
        <v>12.8</v>
      </c>
      <c r="H37" s="6">
        <f t="shared" si="3"/>
        <v>4.8297545604145853</v>
      </c>
    </row>
    <row r="38" spans="1:8">
      <c r="A38" s="6">
        <v>27</v>
      </c>
      <c r="B38" s="6">
        <v>4</v>
      </c>
      <c r="C38" s="6">
        <v>12.75</v>
      </c>
      <c r="D38" s="6">
        <v>3.8</v>
      </c>
      <c r="E38" s="6">
        <f>500/16.91</f>
        <v>29.56830277942046</v>
      </c>
      <c r="F38" s="6">
        <f t="shared" si="1"/>
        <v>376.99586043761087</v>
      </c>
      <c r="G38" s="6">
        <f>C38</f>
        <v>12.75</v>
      </c>
      <c r="H38" s="6">
        <f t="shared" si="3"/>
        <v>3.9364976791242725</v>
      </c>
    </row>
    <row r="39" spans="1:8">
      <c r="A39" s="6">
        <v>27</v>
      </c>
      <c r="B39" s="6">
        <v>3</v>
      </c>
      <c r="C39" s="6">
        <v>12.75</v>
      </c>
      <c r="D39" s="6">
        <v>3.44</v>
      </c>
      <c r="E39" s="6">
        <f>500/16.91</f>
        <v>29.56830277942046</v>
      </c>
      <c r="F39" s="6">
        <f t="shared" si="1"/>
        <v>376.99586043761087</v>
      </c>
      <c r="G39" s="6">
        <f>C39</f>
        <v>12.75</v>
      </c>
      <c r="H39" s="6">
        <f t="shared" si="3"/>
        <v>3.9364976791242725</v>
      </c>
    </row>
    <row r="40" spans="1:8">
      <c r="A40" s="6">
        <v>27</v>
      </c>
      <c r="B40" s="6">
        <v>2</v>
      </c>
      <c r="C40" s="6">
        <v>12.75</v>
      </c>
      <c r="D40" s="6">
        <v>3.04</v>
      </c>
      <c r="E40" s="6">
        <f>500/16.91</f>
        <v>29.56830277942046</v>
      </c>
      <c r="F40" s="6">
        <f t="shared" si="1"/>
        <v>376.99586043761087</v>
      </c>
      <c r="G40" s="6">
        <f>C40</f>
        <v>12.75</v>
      </c>
      <c r="H40" s="6">
        <f t="shared" si="3"/>
        <v>3.9364976791242725</v>
      </c>
    </row>
    <row r="41" spans="1:8">
      <c r="A41" s="6">
        <v>27</v>
      </c>
      <c r="B41" s="6">
        <v>1</v>
      </c>
      <c r="C41" s="6">
        <v>12.7</v>
      </c>
      <c r="D41" s="6">
        <v>2.64</v>
      </c>
      <c r="E41" s="6">
        <f>500/16.91</f>
        <v>29.56830277942046</v>
      </c>
      <c r="F41" s="6">
        <f t="shared" si="1"/>
        <v>375.51744529863981</v>
      </c>
      <c r="G41" s="6">
        <f>C41</f>
        <v>12.7</v>
      </c>
      <c r="H41" s="6">
        <f t="shared" si="3"/>
        <v>3.1405296345734541</v>
      </c>
    </row>
    <row r="42" spans="1:8">
      <c r="A42" s="6">
        <v>27</v>
      </c>
      <c r="B42" s="6">
        <v>0</v>
      </c>
      <c r="C42" s="6">
        <v>12.75</v>
      </c>
      <c r="D42" s="6">
        <v>2.2000000000000002</v>
      </c>
      <c r="E42" s="6">
        <f>500/16.91</f>
        <v>29.56830277942046</v>
      </c>
      <c r="F42" s="6">
        <f t="shared" si="1"/>
        <v>376.99586043761087</v>
      </c>
      <c r="G42" s="6">
        <f>C42</f>
        <v>12.75</v>
      </c>
      <c r="H42" s="6">
        <f t="shared" si="3"/>
        <v>3.9364976791242725</v>
      </c>
    </row>
    <row r="43" spans="1:8">
      <c r="E43" s="6" t="s">
        <v>31</v>
      </c>
      <c r="F43" s="6">
        <f>AVERAGE(F2:F42)</f>
        <v>377.44700056755249</v>
      </c>
    </row>
    <row r="44" spans="1:8">
      <c r="E44" s="6" t="s">
        <v>32</v>
      </c>
      <c r="F44" s="6">
        <f>MIN(F2:F42)</f>
        <v>373.81796690307328</v>
      </c>
    </row>
    <row r="45" spans="1:8">
      <c r="E45" s="6" t="s">
        <v>33</v>
      </c>
      <c r="F45" s="6">
        <f>MAX(F2:F42)</f>
        <v>381.65680473372788</v>
      </c>
    </row>
    <row r="46" spans="1:8">
      <c r="E46" s="6" t="s">
        <v>34</v>
      </c>
      <c r="F46" s="6">
        <f>STDEV(F2:F42)</f>
        <v>1.7214015329133239</v>
      </c>
    </row>
    <row r="48" spans="1:8">
      <c r="A48" s="6">
        <v>24</v>
      </c>
      <c r="B48" s="6">
        <v>0</v>
      </c>
      <c r="C48" s="6">
        <v>12.8</v>
      </c>
      <c r="D48" s="6">
        <v>1.92</v>
      </c>
      <c r="E48" s="6">
        <f>500/16.91</f>
        <v>29.56830277942046</v>
      </c>
      <c r="F48" s="6">
        <f t="shared" ref="F48:F55" si="6">E48*C48</f>
        <v>378.47427557658193</v>
      </c>
    </row>
    <row r="49" spans="1:6">
      <c r="A49" s="6">
        <v>24</v>
      </c>
      <c r="B49" s="6">
        <v>1</v>
      </c>
      <c r="C49" s="6">
        <v>12.55</v>
      </c>
      <c r="D49" s="6">
        <v>2.2799999999999998</v>
      </c>
      <c r="E49" s="6">
        <f t="shared" ref="E49:E55" si="7">500/16.91</f>
        <v>29.56830277942046</v>
      </c>
      <c r="F49" s="6">
        <f t="shared" si="6"/>
        <v>371.08219988172681</v>
      </c>
    </row>
    <row r="50" spans="1:6">
      <c r="A50" s="6">
        <v>24</v>
      </c>
      <c r="C50" s="6">
        <v>12.75</v>
      </c>
      <c r="E50" s="6">
        <f t="shared" si="7"/>
        <v>29.56830277942046</v>
      </c>
      <c r="F50" s="6">
        <f t="shared" si="6"/>
        <v>376.99586043761087</v>
      </c>
    </row>
    <row r="51" spans="1:6">
      <c r="A51" s="6">
        <v>24</v>
      </c>
      <c r="B51" s="6">
        <v>3.5</v>
      </c>
      <c r="C51" s="6">
        <v>12.6</v>
      </c>
      <c r="D51" s="6">
        <v>3.08</v>
      </c>
      <c r="E51" s="6">
        <f t="shared" si="7"/>
        <v>29.56830277942046</v>
      </c>
      <c r="F51" s="6">
        <f t="shared" si="6"/>
        <v>372.56061502069781</v>
      </c>
    </row>
    <row r="52" spans="1:6">
      <c r="A52" s="6">
        <v>24</v>
      </c>
      <c r="B52" s="6">
        <v>4</v>
      </c>
      <c r="C52" s="6">
        <v>12.8</v>
      </c>
      <c r="D52" s="6">
        <v>3.28</v>
      </c>
      <c r="E52" s="6">
        <f t="shared" si="7"/>
        <v>29.56830277942046</v>
      </c>
      <c r="F52" s="6">
        <f t="shared" si="6"/>
        <v>378.47427557658193</v>
      </c>
    </row>
    <row r="53" spans="1:6">
      <c r="A53" s="6">
        <v>24</v>
      </c>
      <c r="B53" s="6">
        <v>4.2</v>
      </c>
      <c r="C53" s="6">
        <v>12.85</v>
      </c>
      <c r="D53" s="6">
        <v>3.32</v>
      </c>
      <c r="E53" s="6">
        <f t="shared" si="7"/>
        <v>29.56830277942046</v>
      </c>
      <c r="F53" s="6">
        <f t="shared" si="6"/>
        <v>379.95269071555288</v>
      </c>
    </row>
    <row r="54" spans="1:6">
      <c r="A54" s="6">
        <v>24</v>
      </c>
      <c r="C54" s="6">
        <v>12.8</v>
      </c>
      <c r="D54" s="6">
        <v>2.04</v>
      </c>
      <c r="E54" s="6">
        <f t="shared" si="7"/>
        <v>29.56830277942046</v>
      </c>
      <c r="F54" s="6">
        <f t="shared" si="6"/>
        <v>378.47427557658193</v>
      </c>
    </row>
    <row r="55" spans="1:6">
      <c r="A55" s="6">
        <v>24</v>
      </c>
      <c r="B55" s="6">
        <v>4.2</v>
      </c>
      <c r="C55" s="6">
        <v>12.85</v>
      </c>
      <c r="D55" s="6">
        <v>3.32</v>
      </c>
      <c r="E55" s="6">
        <f t="shared" si="7"/>
        <v>29.56830277942046</v>
      </c>
      <c r="F55" s="6">
        <f t="shared" si="6"/>
        <v>379.95269071555288</v>
      </c>
    </row>
    <row r="56" spans="1:6">
      <c r="E56" s="6" t="s">
        <v>31</v>
      </c>
      <c r="F56" s="6">
        <f>AVERAGE(F48:F55)</f>
        <v>376.99586043761087</v>
      </c>
    </row>
    <row r="57" spans="1:6">
      <c r="E57" s="6" t="s">
        <v>32</v>
      </c>
      <c r="F57" s="6">
        <f>MIN(F48:F55)</f>
        <v>371.08219988172681</v>
      </c>
    </row>
    <row r="58" spans="1:6">
      <c r="E58" s="6" t="s">
        <v>33</v>
      </c>
      <c r="F58" s="6">
        <f>MAX(F48:F55)</f>
        <v>379.95269071555288</v>
      </c>
    </row>
    <row r="59" spans="1:6">
      <c r="E59" s="6" t="s">
        <v>34</v>
      </c>
      <c r="F59" s="6">
        <f>STDEV(F48:F55)</f>
        <v>3.352730393340265</v>
      </c>
    </row>
    <row r="61" spans="1:6">
      <c r="A61" s="6">
        <v>23</v>
      </c>
      <c r="C61" s="6">
        <v>12.7</v>
      </c>
      <c r="E61" s="6">
        <f>500/16.91</f>
        <v>29.56830277942046</v>
      </c>
      <c r="F61" s="6">
        <f>E61*C61</f>
        <v>375.51744529863981</v>
      </c>
    </row>
    <row r="62" spans="1:6">
      <c r="A62" s="6">
        <v>23</v>
      </c>
      <c r="C62" s="6">
        <v>4.82</v>
      </c>
      <c r="E62" s="6">
        <f>500/6.48</f>
        <v>77.160493827160494</v>
      </c>
      <c r="F62" s="6">
        <f>E62*C62</f>
        <v>371.91358024691363</v>
      </c>
    </row>
    <row r="63" spans="1:6">
      <c r="A63" s="6">
        <v>23</v>
      </c>
      <c r="C63" s="6">
        <v>4.8499999999999996</v>
      </c>
      <c r="E63" s="6">
        <f>500/6.45</f>
        <v>77.519379844961236</v>
      </c>
      <c r="F63" s="6">
        <f>E63*C63</f>
        <v>375.96899224806197</v>
      </c>
    </row>
    <row r="64" spans="1:6">
      <c r="E64" s="6" t="s">
        <v>31</v>
      </c>
      <c r="F64" s="6">
        <f>AVERAGE(F61:F63)</f>
        <v>374.46667259787182</v>
      </c>
    </row>
    <row r="66" spans="1:6">
      <c r="A66" s="6">
        <v>24</v>
      </c>
      <c r="C66" s="6">
        <v>12.6</v>
      </c>
      <c r="E66" s="6">
        <f>500/16.91</f>
        <v>29.56830277942046</v>
      </c>
      <c r="F66" s="6">
        <f>E66*C66</f>
        <v>372.56061502069781</v>
      </c>
    </row>
    <row r="68" spans="1:6">
      <c r="A68" s="6">
        <v>25</v>
      </c>
      <c r="C68" s="6">
        <v>12.75</v>
      </c>
      <c r="D68" s="6">
        <v>2.56</v>
      </c>
      <c r="E68" s="6">
        <f>500/16.9</f>
        <v>29.585798816568051</v>
      </c>
      <c r="F68" s="6">
        <f t="shared" ref="F68:F82" si="8">E68*C68</f>
        <v>377.21893491124263</v>
      </c>
    </row>
    <row r="69" spans="1:6">
      <c r="A69" s="6">
        <v>25</v>
      </c>
      <c r="C69" s="6">
        <v>6.4</v>
      </c>
      <c r="D69" s="6">
        <v>2.6</v>
      </c>
      <c r="E69" s="6">
        <f>1000/16.85</f>
        <v>59.347181008902069</v>
      </c>
      <c r="F69" s="6">
        <f t="shared" si="8"/>
        <v>379.82195845697328</v>
      </c>
    </row>
    <row r="71" spans="1:6">
      <c r="A71" s="6">
        <v>26</v>
      </c>
      <c r="C71" s="6">
        <v>7</v>
      </c>
      <c r="D71" s="6">
        <v>1.92</v>
      </c>
      <c r="E71" s="6">
        <f>1000/16.9</f>
        <v>59.171597633136102</v>
      </c>
      <c r="F71" s="6">
        <f t="shared" si="8"/>
        <v>414.2011834319527</v>
      </c>
    </row>
    <row r="73" spans="1:6">
      <c r="A73" s="6">
        <v>24</v>
      </c>
      <c r="C73" s="6">
        <v>12.75</v>
      </c>
      <c r="D73" s="6">
        <v>4.2</v>
      </c>
      <c r="E73" s="6">
        <f>500/16.9</f>
        <v>29.585798816568051</v>
      </c>
      <c r="F73" s="6">
        <f t="shared" si="8"/>
        <v>377.21893491124263</v>
      </c>
    </row>
    <row r="75" spans="1:6">
      <c r="A75" s="6">
        <v>28</v>
      </c>
      <c r="B75" s="6">
        <v>5.8</v>
      </c>
      <c r="C75" s="6">
        <v>13</v>
      </c>
      <c r="D75" s="6">
        <v>4.32</v>
      </c>
      <c r="E75" s="6">
        <f>500/16.92</f>
        <v>29.550827423167846</v>
      </c>
      <c r="F75" s="6">
        <f t="shared" si="8"/>
        <v>384.16075650118199</v>
      </c>
    </row>
    <row r="76" spans="1:6">
      <c r="B76" s="6">
        <v>5.9</v>
      </c>
      <c r="C76" s="6">
        <v>12.95</v>
      </c>
      <c r="D76" s="6">
        <v>4.4000000000000004</v>
      </c>
      <c r="E76" s="6">
        <f t="shared" ref="E76:E82" si="9">500/16.92</f>
        <v>29.550827423167846</v>
      </c>
      <c r="F76" s="6">
        <f t="shared" si="8"/>
        <v>382.6832151300236</v>
      </c>
    </row>
    <row r="77" spans="1:6">
      <c r="B77" s="6">
        <v>5.6</v>
      </c>
      <c r="C77" s="6">
        <v>12.95</v>
      </c>
      <c r="D77" s="6">
        <v>4.32</v>
      </c>
      <c r="E77" s="6">
        <f t="shared" si="9"/>
        <v>29.550827423167846</v>
      </c>
      <c r="F77" s="6">
        <f t="shared" si="8"/>
        <v>382.6832151300236</v>
      </c>
    </row>
    <row r="78" spans="1:6">
      <c r="B78" s="6">
        <v>5</v>
      </c>
      <c r="C78" s="6">
        <v>12.95</v>
      </c>
      <c r="D78" s="6">
        <v>4.16</v>
      </c>
      <c r="E78" s="6">
        <f t="shared" si="9"/>
        <v>29.550827423167846</v>
      </c>
      <c r="F78" s="6">
        <f t="shared" si="8"/>
        <v>382.6832151300236</v>
      </c>
    </row>
    <row r="79" spans="1:6">
      <c r="B79" s="6">
        <v>4</v>
      </c>
      <c r="C79" s="6">
        <v>12.9</v>
      </c>
      <c r="D79" s="6">
        <v>3.68</v>
      </c>
      <c r="E79" s="6">
        <f t="shared" si="9"/>
        <v>29.550827423167846</v>
      </c>
      <c r="F79" s="6">
        <f t="shared" si="8"/>
        <v>381.2056737588652</v>
      </c>
    </row>
    <row r="80" spans="1:6">
      <c r="B80" s="6">
        <v>3</v>
      </c>
      <c r="C80" s="6">
        <v>12.85</v>
      </c>
      <c r="D80" s="6">
        <v>3.4</v>
      </c>
      <c r="E80" s="6">
        <f t="shared" si="9"/>
        <v>29.550827423167846</v>
      </c>
      <c r="F80" s="6">
        <f t="shared" si="8"/>
        <v>379.72813238770681</v>
      </c>
    </row>
    <row r="81" spans="1:6">
      <c r="B81" s="6">
        <v>2</v>
      </c>
      <c r="C81" s="6">
        <v>12.9</v>
      </c>
      <c r="D81" s="6">
        <v>3</v>
      </c>
      <c r="E81" s="6">
        <f t="shared" si="9"/>
        <v>29.550827423167846</v>
      </c>
      <c r="F81" s="6">
        <f t="shared" si="8"/>
        <v>381.2056737588652</v>
      </c>
    </row>
    <row r="82" spans="1:6">
      <c r="B82" s="6">
        <v>0</v>
      </c>
      <c r="C82" s="6">
        <v>12.75</v>
      </c>
      <c r="D82" s="6">
        <v>0</v>
      </c>
      <c r="E82" s="6">
        <f t="shared" si="9"/>
        <v>29.550827423167846</v>
      </c>
      <c r="F82" s="6">
        <f t="shared" si="8"/>
        <v>376.77304964539002</v>
      </c>
    </row>
    <row r="83" spans="1:6">
      <c r="E83" s="6" t="s">
        <v>31</v>
      </c>
      <c r="F83" s="6">
        <f>AVERAGE(F75:F81)</f>
        <v>382.0499831138128</v>
      </c>
    </row>
    <row r="84" spans="1:6">
      <c r="E84" s="6" t="s">
        <v>32</v>
      </c>
      <c r="F84" s="6">
        <f>MIN(F75:F82)</f>
        <v>376.77304964539002</v>
      </c>
    </row>
    <row r="85" spans="1:6">
      <c r="E85" s="6" t="s">
        <v>33</v>
      </c>
      <c r="F85" s="6">
        <f>MAX(F75:F82)</f>
        <v>384.16075650118199</v>
      </c>
    </row>
    <row r="86" spans="1:6">
      <c r="E86" s="6" t="s">
        <v>34</v>
      </c>
      <c r="F86" s="6">
        <f>STDEV(F75:F82)</f>
        <v>2.2941009286647458</v>
      </c>
    </row>
    <row r="88" spans="1:6">
      <c r="A88" s="6">
        <v>3</v>
      </c>
      <c r="C88" s="6">
        <v>4.8499999999999996</v>
      </c>
      <c r="D88" s="6">
        <v>4.4000000000000004</v>
      </c>
      <c r="E88" s="6">
        <f>500/6.45</f>
        <v>77.519379844961236</v>
      </c>
      <c r="F88" s="6">
        <f>E88*C88</f>
        <v>375.96899224806197</v>
      </c>
    </row>
    <row r="90" spans="1:6">
      <c r="A90" s="6">
        <v>6</v>
      </c>
      <c r="B90" s="6">
        <v>0</v>
      </c>
      <c r="C90" s="6">
        <v>4.0999999999999996</v>
      </c>
      <c r="D90" s="6">
        <v>1.9</v>
      </c>
      <c r="E90" s="6">
        <f>500/6.5</f>
        <v>76.92307692307692</v>
      </c>
      <c r="F90" s="6">
        <f>E90*C90</f>
        <v>315.38461538461536</v>
      </c>
    </row>
    <row r="91" spans="1:6">
      <c r="A91" s="6">
        <v>6</v>
      </c>
      <c r="B91" s="6">
        <v>2</v>
      </c>
      <c r="C91" s="6">
        <v>4.8</v>
      </c>
      <c r="E91" s="6">
        <f>500/6.45</f>
        <v>77.519379844961236</v>
      </c>
      <c r="F91" s="6">
        <f t="shared" ref="F91:F118" si="10">E91*C91</f>
        <v>372.09302325581393</v>
      </c>
    </row>
    <row r="92" spans="1:6">
      <c r="A92" s="6">
        <v>6</v>
      </c>
      <c r="B92" s="6">
        <v>6.25</v>
      </c>
      <c r="C92" s="6">
        <v>4.8</v>
      </c>
      <c r="E92" s="6">
        <f>500/6.45</f>
        <v>77.519379844961236</v>
      </c>
      <c r="F92" s="6">
        <f t="shared" si="10"/>
        <v>372.09302325581393</v>
      </c>
    </row>
    <row r="93" spans="1:6">
      <c r="A93" s="6">
        <v>6</v>
      </c>
      <c r="B93" s="6">
        <v>6.25</v>
      </c>
      <c r="C93" s="6">
        <v>4.8499999999999996</v>
      </c>
      <c r="E93" s="6">
        <f>500/6.45</f>
        <v>77.519379844961236</v>
      </c>
      <c r="F93" s="6">
        <f t="shared" si="10"/>
        <v>375.96899224806197</v>
      </c>
    </row>
    <row r="95" spans="1:6">
      <c r="A95" s="6">
        <v>8</v>
      </c>
      <c r="C95" s="6">
        <v>4.8499999999999996</v>
      </c>
      <c r="E95" s="6">
        <f>500/6.45</f>
        <v>77.519379844961236</v>
      </c>
      <c r="F95" s="6">
        <f t="shared" si="10"/>
        <v>375.96899224806197</v>
      </c>
    </row>
    <row r="97" spans="1:6">
      <c r="A97" s="6">
        <v>15</v>
      </c>
      <c r="B97" s="6">
        <v>2.2999999999999998</v>
      </c>
      <c r="C97" s="6">
        <v>5.15</v>
      </c>
      <c r="E97" s="6">
        <f>500/6.65</f>
        <v>75.187969924812023</v>
      </c>
      <c r="F97" s="6">
        <f t="shared" si="10"/>
        <v>387.21804511278197</v>
      </c>
    </row>
    <row r="99" spans="1:6">
      <c r="A99" s="6">
        <v>16</v>
      </c>
      <c r="C99" s="6">
        <v>2.5499999999999998</v>
      </c>
      <c r="D99" s="6">
        <v>4.2</v>
      </c>
      <c r="E99" s="6">
        <f>1000/6.65</f>
        <v>150.37593984962405</v>
      </c>
      <c r="F99" s="6">
        <f t="shared" si="10"/>
        <v>383.45864661654127</v>
      </c>
    </row>
    <row r="101" spans="1:6">
      <c r="A101" s="6">
        <v>13</v>
      </c>
      <c r="B101" s="6">
        <v>1.9</v>
      </c>
      <c r="C101" s="6">
        <v>2.5499999999999998</v>
      </c>
      <c r="D101" s="6">
        <v>4.2</v>
      </c>
      <c r="E101" s="6">
        <f>1000/6.55</f>
        <v>152.67175572519085</v>
      </c>
      <c r="F101" s="6">
        <f t="shared" si="10"/>
        <v>389.31297709923666</v>
      </c>
    </row>
    <row r="103" spans="1:6">
      <c r="A103" s="6">
        <v>17</v>
      </c>
      <c r="B103" s="6">
        <v>2.75</v>
      </c>
      <c r="C103" s="6">
        <v>2.4</v>
      </c>
      <c r="D103" s="6">
        <v>4.57</v>
      </c>
      <c r="E103" s="6">
        <f>1000/6.45</f>
        <v>155.03875968992247</v>
      </c>
      <c r="F103" s="6">
        <f t="shared" si="10"/>
        <v>372.09302325581393</v>
      </c>
    </row>
    <row r="104" spans="1:6">
      <c r="A104" s="6">
        <v>17</v>
      </c>
      <c r="B104" s="6">
        <v>6.3</v>
      </c>
      <c r="C104" s="6">
        <v>2.4</v>
      </c>
      <c r="D104" s="6">
        <v>5.72</v>
      </c>
      <c r="E104" s="6">
        <f>1000/6.45</f>
        <v>155.03875968992247</v>
      </c>
      <c r="F104" s="6">
        <f t="shared" si="10"/>
        <v>372.09302325581393</v>
      </c>
    </row>
    <row r="106" spans="1:6">
      <c r="A106" s="6">
        <v>13</v>
      </c>
      <c r="B106" s="6">
        <v>3.75</v>
      </c>
      <c r="C106" s="6">
        <v>2.4</v>
      </c>
      <c r="D106" s="6">
        <v>5.03</v>
      </c>
      <c r="E106" s="6">
        <f>1000/6.45</f>
        <v>155.03875968992247</v>
      </c>
      <c r="F106" s="6">
        <f t="shared" si="10"/>
        <v>372.09302325581393</v>
      </c>
    </row>
    <row r="108" spans="1:6">
      <c r="A108" s="6">
        <v>17</v>
      </c>
      <c r="B108" s="6">
        <v>6.3</v>
      </c>
      <c r="C108" s="6">
        <v>2.4</v>
      </c>
      <c r="D108" s="6">
        <v>5.28</v>
      </c>
      <c r="E108" s="6">
        <f>500/3.2</f>
        <v>156.25</v>
      </c>
      <c r="F108" s="6">
        <f t="shared" si="10"/>
        <v>375</v>
      </c>
    </row>
    <row r="110" spans="1:6">
      <c r="A110" s="6">
        <v>16</v>
      </c>
      <c r="B110" s="6">
        <v>6.1</v>
      </c>
      <c r="C110" s="6">
        <v>2.48</v>
      </c>
      <c r="D110" s="6">
        <v>5.6</v>
      </c>
      <c r="E110" s="6">
        <f>1000/6.45</f>
        <v>155.03875968992247</v>
      </c>
      <c r="F110" s="6">
        <f t="shared" si="10"/>
        <v>384.49612403100775</v>
      </c>
    </row>
    <row r="111" spans="1:6">
      <c r="A111" s="6">
        <v>16</v>
      </c>
      <c r="C111" s="6">
        <v>2.4500000000000002</v>
      </c>
      <c r="E111" s="6">
        <f>1000/6.45</f>
        <v>155.03875968992247</v>
      </c>
      <c r="F111" s="6">
        <f t="shared" si="10"/>
        <v>379.84496124031006</v>
      </c>
    </row>
    <row r="113" spans="1:22">
      <c r="A113" s="6">
        <v>18</v>
      </c>
      <c r="C113" s="6">
        <v>2.5</v>
      </c>
      <c r="E113" s="6">
        <f>1000/6.5</f>
        <v>153.84615384615384</v>
      </c>
      <c r="F113" s="6">
        <f t="shared" si="10"/>
        <v>384.61538461538458</v>
      </c>
    </row>
    <row r="114" spans="1:22">
      <c r="A114" s="6">
        <v>18</v>
      </c>
      <c r="C114" s="6">
        <v>2.4300000000000002</v>
      </c>
      <c r="E114" s="6">
        <f>1000/6.45</f>
        <v>155.03875968992247</v>
      </c>
      <c r="F114" s="6">
        <f t="shared" si="10"/>
        <v>376.74418604651163</v>
      </c>
    </row>
    <row r="115" spans="1:22">
      <c r="A115" s="6">
        <v>18</v>
      </c>
      <c r="C115" s="6">
        <v>2.4500000000000002</v>
      </c>
      <c r="E115" s="6">
        <f>1000/6.45</f>
        <v>155.03875968992247</v>
      </c>
      <c r="F115" s="6">
        <f t="shared" si="10"/>
        <v>379.84496124031006</v>
      </c>
    </row>
    <row r="116" spans="1:22">
      <c r="A116" s="6">
        <v>18</v>
      </c>
      <c r="C116" s="6">
        <v>2.4</v>
      </c>
      <c r="E116" s="6">
        <f>1000/6.3</f>
        <v>158.73015873015873</v>
      </c>
      <c r="F116" s="6">
        <f t="shared" si="10"/>
        <v>380.95238095238096</v>
      </c>
    </row>
    <row r="117" spans="1:22">
      <c r="A117" s="6" t="s">
        <v>40</v>
      </c>
      <c r="C117" s="6">
        <v>2.5</v>
      </c>
      <c r="E117" s="6">
        <f>1000/6.45</f>
        <v>155.03875968992247</v>
      </c>
      <c r="F117" s="6">
        <f t="shared" si="10"/>
        <v>387.59689922480618</v>
      </c>
    </row>
    <row r="118" spans="1:22">
      <c r="A118" s="6" t="s">
        <v>40</v>
      </c>
      <c r="C118" s="6">
        <v>2.5</v>
      </c>
      <c r="E118" s="6">
        <f>1000/6.45</f>
        <v>155.03875968992247</v>
      </c>
      <c r="F118" s="6">
        <f t="shared" si="10"/>
        <v>387.59689922480618</v>
      </c>
    </row>
    <row r="120" spans="1:22" ht="50">
      <c r="A120" s="6" t="s">
        <v>25</v>
      </c>
      <c r="B120" s="6" t="s">
        <v>28</v>
      </c>
      <c r="D120" s="6" t="s">
        <v>44</v>
      </c>
      <c r="N120" s="14" t="s">
        <v>25</v>
      </c>
      <c r="O120" s="14" t="s">
        <v>26</v>
      </c>
      <c r="P120" s="14" t="s">
        <v>29</v>
      </c>
      <c r="Q120" s="14" t="s">
        <v>30</v>
      </c>
      <c r="R120" s="14" t="s">
        <v>27</v>
      </c>
      <c r="S120" s="14" t="s">
        <v>28</v>
      </c>
      <c r="T120" s="14"/>
      <c r="U120" s="14" t="s">
        <v>43</v>
      </c>
      <c r="V120" s="17" t="s">
        <v>62</v>
      </c>
    </row>
    <row r="121" spans="1:22">
      <c r="A121" s="6">
        <v>3</v>
      </c>
      <c r="B121" s="6">
        <v>375.96899224806197</v>
      </c>
      <c r="C121" s="6">
        <f>B121</f>
        <v>375.96899224806197</v>
      </c>
      <c r="D121" s="6">
        <f>-0.0043*B121^2+3.7742*B121-807.78</f>
        <v>3.3856330749352992</v>
      </c>
      <c r="N121" s="6">
        <v>27</v>
      </c>
      <c r="O121" s="6">
        <v>6.35</v>
      </c>
      <c r="P121" s="6">
        <v>12.75</v>
      </c>
      <c r="Q121" s="6">
        <v>4.8</v>
      </c>
      <c r="R121" s="6">
        <f>500/16.92</f>
        <v>29.550827423167846</v>
      </c>
      <c r="S121" s="6">
        <f>R121*P121</f>
        <v>376.77304964539002</v>
      </c>
      <c r="T121" s="6">
        <f>P121</f>
        <v>12.75</v>
      </c>
      <c r="U121" s="6">
        <f>-0.0043*S121^2+3.7742*S121-807.78</f>
        <v>3.8177409335546599</v>
      </c>
      <c r="V121">
        <f>(0.2027*O121+1.2055)*1000</f>
        <v>2492.645</v>
      </c>
    </row>
    <row r="122" spans="1:22">
      <c r="A122" s="6">
        <v>6</v>
      </c>
      <c r="B122" s="6">
        <v>372.09302325581393</v>
      </c>
      <c r="D122" s="6">
        <f t="shared" ref="D122:D185" si="11">-0.0043*B122^2+3.7742*B122-807.78</f>
        <v>1.2246511627906784</v>
      </c>
      <c r="N122" s="6">
        <v>27</v>
      </c>
      <c r="O122" s="6">
        <v>6.35</v>
      </c>
      <c r="P122" s="6">
        <v>12.75</v>
      </c>
      <c r="Q122" s="6">
        <v>4.76</v>
      </c>
      <c r="R122" s="6">
        <f t="shared" ref="R122:R139" si="12">500/16.92</f>
        <v>29.550827423167846</v>
      </c>
      <c r="S122" s="6">
        <f t="shared" ref="S122:S161" si="13">R122*P122</f>
        <v>376.77304964539002</v>
      </c>
      <c r="T122" s="6">
        <f t="shared" ref="T122:T139" si="14">P122</f>
        <v>12.75</v>
      </c>
      <c r="U122" s="6">
        <f t="shared" ref="U122:U161" si="15">-0.0043*S122^2+3.7742*S122-807.78</f>
        <v>3.8177409335546599</v>
      </c>
      <c r="V122">
        <f t="shared" ref="V122:V161" si="16">(0.2027*O122+1.2055)*1000</f>
        <v>2492.645</v>
      </c>
    </row>
    <row r="123" spans="1:22">
      <c r="A123" s="6">
        <v>6</v>
      </c>
      <c r="B123" s="6">
        <v>372.09302325581393</v>
      </c>
      <c r="D123" s="6">
        <f t="shared" si="11"/>
        <v>1.2246511627906784</v>
      </c>
      <c r="N123" s="6">
        <v>27</v>
      </c>
      <c r="O123" s="6">
        <v>6.35</v>
      </c>
      <c r="P123" s="6">
        <v>12.7</v>
      </c>
      <c r="Q123" s="6">
        <v>4.76</v>
      </c>
      <c r="R123" s="6">
        <f t="shared" si="12"/>
        <v>29.550827423167846</v>
      </c>
      <c r="S123" s="6">
        <f t="shared" si="13"/>
        <v>375.29550827423162</v>
      </c>
      <c r="T123" s="6">
        <f t="shared" si="14"/>
        <v>12.7</v>
      </c>
      <c r="U123" s="6">
        <f t="shared" si="15"/>
        <v>3.0194176461055804</v>
      </c>
      <c r="V123">
        <f t="shared" si="16"/>
        <v>2492.645</v>
      </c>
    </row>
    <row r="124" spans="1:22">
      <c r="A124" s="6">
        <v>6</v>
      </c>
      <c r="B124" s="6">
        <v>375.96899224806197</v>
      </c>
      <c r="C124" s="6">
        <f>AVERAGE(B122:B124)</f>
        <v>373.38501291989661</v>
      </c>
      <c r="D124" s="6">
        <f t="shared" si="11"/>
        <v>3.3856330749352992</v>
      </c>
      <c r="N124" s="6">
        <v>27</v>
      </c>
      <c r="O124" s="6">
        <v>6.38</v>
      </c>
      <c r="P124" s="6">
        <v>12.8</v>
      </c>
      <c r="Q124" s="6">
        <v>4.8</v>
      </c>
      <c r="R124" s="6">
        <f t="shared" si="12"/>
        <v>29.550827423167846</v>
      </c>
      <c r="S124" s="6">
        <f t="shared" si="13"/>
        <v>378.25059101654847</v>
      </c>
      <c r="T124" s="6">
        <f t="shared" si="14"/>
        <v>12.8</v>
      </c>
      <c r="U124" s="6">
        <f t="shared" si="15"/>
        <v>4.5972893158739225</v>
      </c>
      <c r="V124">
        <f t="shared" si="16"/>
        <v>2498.7260000000001</v>
      </c>
    </row>
    <row r="125" spans="1:22">
      <c r="A125" s="6">
        <v>8</v>
      </c>
      <c r="B125" s="6">
        <v>375.96899224806197</v>
      </c>
      <c r="C125" s="6">
        <f>AVERAGE(B125)</f>
        <v>375.96899224806197</v>
      </c>
      <c r="D125" s="6">
        <f t="shared" si="11"/>
        <v>3.3856330749352992</v>
      </c>
      <c r="N125" s="6">
        <v>27</v>
      </c>
      <c r="O125" s="6">
        <v>6.4</v>
      </c>
      <c r="P125" s="6">
        <v>12.8</v>
      </c>
      <c r="Q125" s="6">
        <v>4.76</v>
      </c>
      <c r="R125" s="6">
        <f t="shared" si="12"/>
        <v>29.550827423167846</v>
      </c>
      <c r="S125" s="6">
        <f t="shared" si="13"/>
        <v>378.25059101654847</v>
      </c>
      <c r="T125" s="6">
        <f t="shared" si="14"/>
        <v>12.8</v>
      </c>
      <c r="U125" s="6">
        <f t="shared" si="15"/>
        <v>4.5972893158739225</v>
      </c>
      <c r="V125">
        <f t="shared" si="16"/>
        <v>2502.7800000000002</v>
      </c>
    </row>
    <row r="126" spans="1:22">
      <c r="A126" s="6">
        <v>13</v>
      </c>
      <c r="B126" s="6">
        <v>389.31297709923666</v>
      </c>
      <c r="D126" s="6">
        <f t="shared" si="11"/>
        <v>9.8372833750947848</v>
      </c>
      <c r="N126" s="6">
        <v>27</v>
      </c>
      <c r="O126" s="6">
        <v>6.4</v>
      </c>
      <c r="P126" s="6">
        <v>12.72</v>
      </c>
      <c r="Q126" s="6">
        <v>4.76</v>
      </c>
      <c r="R126" s="6">
        <f t="shared" si="12"/>
        <v>29.550827423167846</v>
      </c>
      <c r="S126" s="6">
        <f t="shared" si="13"/>
        <v>375.88652482269504</v>
      </c>
      <c r="T126" s="6">
        <f t="shared" si="14"/>
        <v>12.72</v>
      </c>
      <c r="U126" s="6">
        <f t="shared" si="15"/>
        <v>3.3409999497006311</v>
      </c>
      <c r="V126">
        <f t="shared" si="16"/>
        <v>2502.7800000000002</v>
      </c>
    </row>
    <row r="127" spans="1:22">
      <c r="A127" s="6">
        <v>13</v>
      </c>
      <c r="B127" s="6">
        <v>372.09302325581393</v>
      </c>
      <c r="C127" s="6">
        <f>AVERAGE(B126:B127)</f>
        <v>380.70300017752527</v>
      </c>
      <c r="D127" s="6">
        <f t="shared" si="11"/>
        <v>1.2246511627906784</v>
      </c>
      <c r="N127" s="6">
        <v>27</v>
      </c>
      <c r="O127" s="6">
        <v>6</v>
      </c>
      <c r="P127" s="6">
        <v>12.7</v>
      </c>
      <c r="Q127" s="6">
        <v>4.6399999999999997</v>
      </c>
      <c r="R127" s="6">
        <f t="shared" si="12"/>
        <v>29.550827423167846</v>
      </c>
      <c r="S127" s="6">
        <f t="shared" si="13"/>
        <v>375.29550827423162</v>
      </c>
      <c r="T127" s="6">
        <f t="shared" si="14"/>
        <v>12.7</v>
      </c>
      <c r="U127" s="6">
        <f t="shared" si="15"/>
        <v>3.0194176461055804</v>
      </c>
      <c r="V127">
        <f t="shared" si="16"/>
        <v>2421.6999999999998</v>
      </c>
    </row>
    <row r="128" spans="1:22">
      <c r="A128" s="6">
        <v>15</v>
      </c>
      <c r="B128" s="6">
        <v>387.21804511278197</v>
      </c>
      <c r="C128" s="6">
        <f>B128</f>
        <v>387.21804511278197</v>
      </c>
      <c r="D128" s="6">
        <f t="shared" si="11"/>
        <v>8.9257436825146215</v>
      </c>
      <c r="N128" s="6">
        <v>27</v>
      </c>
      <c r="O128" s="6">
        <v>5</v>
      </c>
      <c r="P128" s="6">
        <v>12.75</v>
      </c>
      <c r="Q128" s="6">
        <v>4.28</v>
      </c>
      <c r="R128" s="6">
        <f t="shared" si="12"/>
        <v>29.550827423167846</v>
      </c>
      <c r="S128" s="6">
        <f t="shared" si="13"/>
        <v>376.77304964539002</v>
      </c>
      <c r="T128" s="6">
        <f t="shared" si="14"/>
        <v>12.75</v>
      </c>
      <c r="U128" s="6">
        <f t="shared" si="15"/>
        <v>3.8177409335546599</v>
      </c>
      <c r="V128">
        <f t="shared" si="16"/>
        <v>2219.0000000000005</v>
      </c>
    </row>
    <row r="129" spans="1:22">
      <c r="A129" s="6">
        <v>16</v>
      </c>
      <c r="B129" s="6">
        <v>383.45864661654127</v>
      </c>
      <c r="D129" s="6">
        <f t="shared" si="11"/>
        <v>7.1953293006953345</v>
      </c>
      <c r="N129" s="6">
        <v>27</v>
      </c>
      <c r="O129" s="6">
        <v>4</v>
      </c>
      <c r="P129" s="6">
        <v>12.7</v>
      </c>
      <c r="Q129" s="6">
        <v>3.88</v>
      </c>
      <c r="R129" s="6">
        <f t="shared" si="12"/>
        <v>29.550827423167846</v>
      </c>
      <c r="S129" s="6">
        <f t="shared" si="13"/>
        <v>375.29550827423162</v>
      </c>
      <c r="T129" s="6">
        <f t="shared" si="14"/>
        <v>12.7</v>
      </c>
      <c r="U129" s="6">
        <f t="shared" si="15"/>
        <v>3.0194176461055804</v>
      </c>
      <c r="V129">
        <f t="shared" si="16"/>
        <v>2016.3000000000002</v>
      </c>
    </row>
    <row r="130" spans="1:22">
      <c r="A130" s="6">
        <v>16</v>
      </c>
      <c r="B130" s="6">
        <v>384.49612403100775</v>
      </c>
      <c r="D130" s="6">
        <f t="shared" si="11"/>
        <v>7.6850129198965078</v>
      </c>
      <c r="N130" s="6">
        <v>27</v>
      </c>
      <c r="O130" s="6">
        <v>3</v>
      </c>
      <c r="P130" s="6">
        <v>12.7</v>
      </c>
      <c r="Q130" s="6">
        <v>3.52</v>
      </c>
      <c r="R130" s="6">
        <f t="shared" si="12"/>
        <v>29.550827423167846</v>
      </c>
      <c r="S130" s="6">
        <f t="shared" si="13"/>
        <v>375.29550827423162</v>
      </c>
      <c r="T130" s="6">
        <f t="shared" si="14"/>
        <v>12.7</v>
      </c>
      <c r="U130" s="6">
        <f t="shared" si="15"/>
        <v>3.0194176461055804</v>
      </c>
      <c r="V130">
        <f t="shared" si="16"/>
        <v>1813.6000000000001</v>
      </c>
    </row>
    <row r="131" spans="1:22">
      <c r="A131" s="6">
        <v>16</v>
      </c>
      <c r="B131" s="6">
        <v>379.84496124031006</v>
      </c>
      <c r="C131" s="6">
        <f>AVERAGE(B129:B131)</f>
        <v>382.59991062928634</v>
      </c>
      <c r="D131" s="6">
        <f t="shared" si="11"/>
        <v>5.417416020671908</v>
      </c>
      <c r="N131" s="6">
        <v>27</v>
      </c>
      <c r="O131" s="6">
        <v>2</v>
      </c>
      <c r="P131" s="6">
        <v>12.65</v>
      </c>
      <c r="Q131" s="6">
        <v>3.04</v>
      </c>
      <c r="R131" s="6">
        <f t="shared" si="12"/>
        <v>29.550827423167846</v>
      </c>
      <c r="S131" s="6">
        <f t="shared" si="13"/>
        <v>373.81796690307328</v>
      </c>
      <c r="T131" s="6">
        <f t="shared" si="14"/>
        <v>12.65</v>
      </c>
      <c r="U131" s="6">
        <f t="shared" si="15"/>
        <v>2.2023194535262292</v>
      </c>
      <c r="V131">
        <f t="shared" si="16"/>
        <v>1610.9</v>
      </c>
    </row>
    <row r="132" spans="1:22">
      <c r="A132" s="6">
        <v>17</v>
      </c>
      <c r="B132" s="6">
        <v>372.09302325581393</v>
      </c>
      <c r="D132" s="6">
        <f t="shared" si="11"/>
        <v>1.2246511627906784</v>
      </c>
      <c r="N132" s="6">
        <v>27</v>
      </c>
      <c r="O132" s="6">
        <v>1</v>
      </c>
      <c r="P132" s="6">
        <v>12.7</v>
      </c>
      <c r="Q132" s="6">
        <v>2.67</v>
      </c>
      <c r="R132" s="6">
        <f t="shared" si="12"/>
        <v>29.550827423167846</v>
      </c>
      <c r="S132" s="6">
        <f t="shared" si="13"/>
        <v>375.29550827423162</v>
      </c>
      <c r="T132" s="6">
        <f t="shared" si="14"/>
        <v>12.7</v>
      </c>
      <c r="U132" s="6">
        <f t="shared" si="15"/>
        <v>3.0194176461055804</v>
      </c>
      <c r="V132">
        <f t="shared" si="16"/>
        <v>1408.1999999999998</v>
      </c>
    </row>
    <row r="133" spans="1:22">
      <c r="A133" s="6">
        <v>17</v>
      </c>
      <c r="B133" s="6">
        <v>372.09302325581393</v>
      </c>
      <c r="D133" s="6">
        <f t="shared" si="11"/>
        <v>1.2246511627906784</v>
      </c>
      <c r="N133" s="6">
        <v>27</v>
      </c>
      <c r="O133" s="6">
        <v>0</v>
      </c>
      <c r="P133" s="6">
        <v>12.8</v>
      </c>
      <c r="Q133" s="6">
        <v>2.2400000000000002</v>
      </c>
      <c r="R133" s="6">
        <f t="shared" si="12"/>
        <v>29.550827423167846</v>
      </c>
      <c r="S133" s="6">
        <f t="shared" si="13"/>
        <v>378.25059101654847</v>
      </c>
      <c r="T133" s="6">
        <f t="shared" si="14"/>
        <v>12.8</v>
      </c>
      <c r="U133" s="6">
        <f t="shared" si="15"/>
        <v>4.5972893158739225</v>
      </c>
      <c r="V133">
        <f t="shared" si="16"/>
        <v>1205.5</v>
      </c>
    </row>
    <row r="134" spans="1:22">
      <c r="A134" s="6">
        <v>17</v>
      </c>
      <c r="B134" s="6">
        <v>375</v>
      </c>
      <c r="C134" s="6">
        <f>AVERAGE(B132:B134)</f>
        <v>373.06201550387595</v>
      </c>
      <c r="D134" s="6">
        <f t="shared" si="11"/>
        <v>2.8575000000000728</v>
      </c>
      <c r="N134" s="6">
        <v>27</v>
      </c>
      <c r="O134" s="6">
        <v>5.65</v>
      </c>
      <c r="P134" s="6">
        <v>12.8</v>
      </c>
      <c r="Q134" s="6">
        <v>4.3600000000000003</v>
      </c>
      <c r="R134" s="6">
        <f t="shared" si="12"/>
        <v>29.550827423167846</v>
      </c>
      <c r="S134" s="6">
        <f t="shared" si="13"/>
        <v>378.25059101654847</v>
      </c>
      <c r="T134" s="6">
        <f t="shared" si="14"/>
        <v>12.8</v>
      </c>
      <c r="U134" s="6">
        <f t="shared" si="15"/>
        <v>4.5972893158739225</v>
      </c>
      <c r="V134">
        <f t="shared" si="16"/>
        <v>2350.7550000000001</v>
      </c>
    </row>
    <row r="135" spans="1:22">
      <c r="A135" s="6">
        <v>18</v>
      </c>
      <c r="B135" s="6">
        <v>384.61538461538458</v>
      </c>
      <c r="D135" s="6">
        <f t="shared" si="11"/>
        <v>7.7407100591716471</v>
      </c>
      <c r="N135" s="6">
        <v>27</v>
      </c>
      <c r="O135" s="6">
        <v>5.65</v>
      </c>
      <c r="P135" s="6">
        <v>12.7</v>
      </c>
      <c r="Q135" s="6">
        <v>4.4000000000000004</v>
      </c>
      <c r="R135" s="6">
        <f t="shared" si="12"/>
        <v>29.550827423167846</v>
      </c>
      <c r="S135" s="6">
        <f t="shared" si="13"/>
        <v>375.29550827423162</v>
      </c>
      <c r="T135" s="6">
        <f t="shared" si="14"/>
        <v>12.7</v>
      </c>
      <c r="U135" s="6">
        <f t="shared" si="15"/>
        <v>3.0194176461055804</v>
      </c>
      <c r="V135">
        <f t="shared" si="16"/>
        <v>2350.7550000000001</v>
      </c>
    </row>
    <row r="136" spans="1:22">
      <c r="A136" s="6">
        <v>18</v>
      </c>
      <c r="B136" s="6">
        <v>376.74418604651163</v>
      </c>
      <c r="D136" s="6">
        <f t="shared" si="11"/>
        <v>3.8023255813953938</v>
      </c>
      <c r="N136" s="6">
        <v>27</v>
      </c>
      <c r="O136" s="6">
        <v>5.5</v>
      </c>
      <c r="P136" s="6">
        <v>12.75</v>
      </c>
      <c r="Q136" s="6">
        <v>4.32</v>
      </c>
      <c r="R136" s="6">
        <f t="shared" si="12"/>
        <v>29.550827423167846</v>
      </c>
      <c r="S136" s="6">
        <f t="shared" si="13"/>
        <v>376.77304964539002</v>
      </c>
      <c r="T136" s="6">
        <f t="shared" si="14"/>
        <v>12.75</v>
      </c>
      <c r="U136" s="6">
        <f t="shared" si="15"/>
        <v>3.8177409335546599</v>
      </c>
      <c r="V136">
        <f t="shared" si="16"/>
        <v>2320.35</v>
      </c>
    </row>
    <row r="137" spans="1:22">
      <c r="A137" s="6">
        <v>18</v>
      </c>
      <c r="B137" s="6">
        <v>379.84496124031006</v>
      </c>
      <c r="D137" s="6">
        <f t="shared" si="11"/>
        <v>5.417416020671908</v>
      </c>
      <c r="N137" s="6">
        <v>27</v>
      </c>
      <c r="O137" s="6">
        <v>5.5</v>
      </c>
      <c r="P137" s="6">
        <v>12.82</v>
      </c>
      <c r="Q137" s="6">
        <v>4.28</v>
      </c>
      <c r="R137" s="6">
        <f t="shared" si="12"/>
        <v>29.550827423167846</v>
      </c>
      <c r="S137" s="6">
        <f t="shared" si="13"/>
        <v>378.84160756501177</v>
      </c>
      <c r="T137" s="6">
        <f t="shared" si="14"/>
        <v>12.82</v>
      </c>
      <c r="U137" s="6">
        <f t="shared" si="15"/>
        <v>4.9038516953652334</v>
      </c>
      <c r="V137">
        <f t="shared" si="16"/>
        <v>2320.35</v>
      </c>
    </row>
    <row r="138" spans="1:22">
      <c r="A138" s="6">
        <v>18</v>
      </c>
      <c r="B138" s="6">
        <v>380.95238095238096</v>
      </c>
      <c r="D138" s="6">
        <f t="shared" si="11"/>
        <v>5.9741950113379971</v>
      </c>
      <c r="N138" s="6">
        <v>27</v>
      </c>
      <c r="O138" s="6">
        <v>5.5</v>
      </c>
      <c r="P138" s="6">
        <v>12.8</v>
      </c>
      <c r="Q138" s="6">
        <v>4.3600000000000003</v>
      </c>
      <c r="R138" s="6">
        <f t="shared" si="12"/>
        <v>29.550827423167846</v>
      </c>
      <c r="S138" s="6">
        <f t="shared" si="13"/>
        <v>378.25059101654847</v>
      </c>
      <c r="T138" s="6">
        <f t="shared" si="14"/>
        <v>12.8</v>
      </c>
      <c r="U138" s="6">
        <f t="shared" si="15"/>
        <v>4.5972893158739225</v>
      </c>
      <c r="V138">
        <f t="shared" si="16"/>
        <v>2320.35</v>
      </c>
    </row>
    <row r="139" spans="1:22">
      <c r="A139" s="6">
        <v>18</v>
      </c>
      <c r="B139" s="6">
        <v>387.59689922480618</v>
      </c>
      <c r="D139" s="6">
        <f t="shared" si="11"/>
        <v>9.0933850129200664</v>
      </c>
      <c r="N139" s="6">
        <v>27</v>
      </c>
      <c r="O139" s="6">
        <v>0</v>
      </c>
      <c r="P139" s="6">
        <v>12.8</v>
      </c>
      <c r="Q139" s="6">
        <v>2.2799999999999998</v>
      </c>
      <c r="R139" s="6">
        <f t="shared" si="12"/>
        <v>29.550827423167846</v>
      </c>
      <c r="S139" s="6">
        <f t="shared" si="13"/>
        <v>378.25059101654847</v>
      </c>
      <c r="T139" s="6">
        <f t="shared" si="14"/>
        <v>12.8</v>
      </c>
      <c r="U139" s="6">
        <f t="shared" si="15"/>
        <v>4.5972893158739225</v>
      </c>
      <c r="V139">
        <f t="shared" si="16"/>
        <v>1205.5</v>
      </c>
    </row>
    <row r="140" spans="1:22">
      <c r="A140" s="6">
        <v>18</v>
      </c>
      <c r="B140" s="6">
        <v>387.59689922480618</v>
      </c>
      <c r="C140" s="6">
        <f>AVERAGE(B135:B140)</f>
        <v>382.89178521736659</v>
      </c>
      <c r="D140" s="6">
        <f t="shared" si="11"/>
        <v>9.0933850129200664</v>
      </c>
      <c r="N140" s="6">
        <v>27</v>
      </c>
      <c r="P140" s="6">
        <v>6.4</v>
      </c>
      <c r="Q140" s="6">
        <v>4.32</v>
      </c>
      <c r="R140" s="6">
        <f>1000/16.9</f>
        <v>59.171597633136102</v>
      </c>
      <c r="S140" s="6">
        <f t="shared" si="13"/>
        <v>378.69822485207106</v>
      </c>
      <c r="T140" s="6">
        <f>2*P140</f>
        <v>12.8</v>
      </c>
      <c r="U140" s="6">
        <f t="shared" si="15"/>
        <v>4.8297545604145853</v>
      </c>
      <c r="V140">
        <f t="shared" si="16"/>
        <v>1205.5</v>
      </c>
    </row>
    <row r="141" spans="1:22">
      <c r="A141" s="6">
        <v>23</v>
      </c>
      <c r="B141" s="6">
        <v>375.51744529863981</v>
      </c>
      <c r="D141" s="6">
        <f t="shared" si="11"/>
        <v>3.1405296345734541</v>
      </c>
      <c r="N141" s="6">
        <v>27</v>
      </c>
      <c r="O141" s="6">
        <v>5.5</v>
      </c>
      <c r="P141" s="6">
        <v>6.4</v>
      </c>
      <c r="Q141" s="6">
        <v>4.28</v>
      </c>
      <c r="R141" s="6">
        <f t="shared" ref="R141:R156" si="17">1000/16.9</f>
        <v>59.171597633136102</v>
      </c>
      <c r="S141" s="6">
        <f t="shared" si="13"/>
        <v>378.69822485207106</v>
      </c>
      <c r="T141" s="6">
        <f t="shared" ref="T141:T156" si="18">2*P141</f>
        <v>12.8</v>
      </c>
      <c r="U141" s="6">
        <f t="shared" si="15"/>
        <v>4.8297545604145853</v>
      </c>
      <c r="V141">
        <f t="shared" si="16"/>
        <v>2320.35</v>
      </c>
    </row>
    <row r="142" spans="1:22">
      <c r="A142" s="6">
        <v>23</v>
      </c>
      <c r="B142" s="6">
        <v>371.91358024691363</v>
      </c>
      <c r="D142" s="6">
        <f t="shared" si="11"/>
        <v>1.1214765279684116</v>
      </c>
      <c r="N142" s="6">
        <v>27</v>
      </c>
      <c r="O142" s="6">
        <v>5.5</v>
      </c>
      <c r="P142" s="6">
        <v>6.4</v>
      </c>
      <c r="Q142" s="6">
        <v>4.32</v>
      </c>
      <c r="R142" s="6">
        <f t="shared" si="17"/>
        <v>59.171597633136102</v>
      </c>
      <c r="S142" s="6">
        <f t="shared" si="13"/>
        <v>378.69822485207106</v>
      </c>
      <c r="T142" s="6">
        <f t="shared" si="18"/>
        <v>12.8</v>
      </c>
      <c r="U142" s="6">
        <f t="shared" si="15"/>
        <v>4.8297545604145853</v>
      </c>
      <c r="V142">
        <f t="shared" si="16"/>
        <v>2320.35</v>
      </c>
    </row>
    <row r="143" spans="1:22">
      <c r="A143" s="6">
        <v>23</v>
      </c>
      <c r="B143" s="6">
        <v>375.96899224806197</v>
      </c>
      <c r="C143" s="6">
        <f>AVERAGE(B141:B143)</f>
        <v>374.46667259787182</v>
      </c>
      <c r="D143" s="6">
        <f t="shared" si="11"/>
        <v>3.3856330749352992</v>
      </c>
      <c r="N143" s="6">
        <v>27</v>
      </c>
      <c r="O143" s="6">
        <v>5</v>
      </c>
      <c r="P143" s="6">
        <v>6.35</v>
      </c>
      <c r="Q143" s="6">
        <v>4.16</v>
      </c>
      <c r="R143" s="6">
        <f t="shared" si="17"/>
        <v>59.171597633136102</v>
      </c>
      <c r="S143" s="6">
        <f t="shared" si="13"/>
        <v>375.73964497041425</v>
      </c>
      <c r="T143" s="6">
        <f t="shared" si="18"/>
        <v>12.7</v>
      </c>
      <c r="U143" s="6">
        <f t="shared" si="15"/>
        <v>3.2613605966178056</v>
      </c>
      <c r="V143">
        <f t="shared" si="16"/>
        <v>2219.0000000000005</v>
      </c>
    </row>
    <row r="144" spans="1:22">
      <c r="A144" s="6">
        <v>24</v>
      </c>
      <c r="B144" s="6">
        <v>378.47427557658193</v>
      </c>
      <c r="D144" s="6">
        <f t="shared" si="11"/>
        <v>4.7136686062960962</v>
      </c>
      <c r="N144" s="6">
        <v>27</v>
      </c>
      <c r="O144" s="6">
        <v>4</v>
      </c>
      <c r="P144" s="6">
        <v>6.45</v>
      </c>
      <c r="Q144" s="6">
        <v>3.84</v>
      </c>
      <c r="R144" s="6">
        <f t="shared" si="17"/>
        <v>59.171597633136102</v>
      </c>
      <c r="S144" s="6">
        <f t="shared" si="13"/>
        <v>381.65680473372788</v>
      </c>
      <c r="T144" s="6">
        <f t="shared" si="18"/>
        <v>12.9</v>
      </c>
      <c r="U144" s="6">
        <f t="shared" si="15"/>
        <v>6.3228710479324945</v>
      </c>
      <c r="V144">
        <f t="shared" si="16"/>
        <v>2016.3000000000002</v>
      </c>
    </row>
    <row r="145" spans="1:22">
      <c r="A145" s="6">
        <v>24</v>
      </c>
      <c r="B145" s="6">
        <v>371.08219988172681</v>
      </c>
      <c r="D145" s="6">
        <f t="shared" si="11"/>
        <v>0.63984279664737187</v>
      </c>
      <c r="N145" s="6">
        <v>27</v>
      </c>
      <c r="P145" s="6">
        <v>6.45</v>
      </c>
      <c r="Q145" s="6">
        <v>4.3600000000000003</v>
      </c>
      <c r="R145" s="6">
        <f t="shared" si="17"/>
        <v>59.171597633136102</v>
      </c>
      <c r="S145" s="6">
        <f t="shared" si="13"/>
        <v>381.65680473372788</v>
      </c>
      <c r="T145" s="6">
        <f t="shared" si="18"/>
        <v>12.9</v>
      </c>
      <c r="U145" s="6">
        <f t="shared" si="15"/>
        <v>6.3228710479324945</v>
      </c>
      <c r="V145">
        <f t="shared" si="16"/>
        <v>1205.5</v>
      </c>
    </row>
    <row r="146" spans="1:22">
      <c r="A146" s="6">
        <v>24</v>
      </c>
      <c r="B146" s="6">
        <v>376.99586043761087</v>
      </c>
      <c r="D146" s="6">
        <f t="shared" si="11"/>
        <v>3.9364976791242725</v>
      </c>
      <c r="N146" s="6">
        <v>27</v>
      </c>
      <c r="O146" s="6">
        <v>5.7</v>
      </c>
      <c r="P146" s="6">
        <v>6.4</v>
      </c>
      <c r="Q146" s="6">
        <v>4.5199999999999996</v>
      </c>
      <c r="R146" s="6">
        <f t="shared" si="17"/>
        <v>59.171597633136102</v>
      </c>
      <c r="S146" s="6">
        <f t="shared" si="13"/>
        <v>378.69822485207106</v>
      </c>
      <c r="T146" s="6">
        <f t="shared" si="18"/>
        <v>12.8</v>
      </c>
      <c r="U146" s="6">
        <f t="shared" si="15"/>
        <v>4.8297545604145853</v>
      </c>
      <c r="V146">
        <f t="shared" si="16"/>
        <v>2360.89</v>
      </c>
    </row>
    <row r="147" spans="1:22">
      <c r="A147" s="6">
        <v>24</v>
      </c>
      <c r="B147" s="6">
        <v>372.56061502069781</v>
      </c>
      <c r="D147" s="6">
        <f t="shared" si="11"/>
        <v>1.4922021933350607</v>
      </c>
      <c r="N147" s="6">
        <v>27</v>
      </c>
      <c r="O147" s="6">
        <v>5.5</v>
      </c>
      <c r="P147" s="6">
        <v>6.4</v>
      </c>
      <c r="Q147" s="6">
        <v>4.4000000000000004</v>
      </c>
      <c r="R147" s="6">
        <f t="shared" si="17"/>
        <v>59.171597633136102</v>
      </c>
      <c r="S147" s="6">
        <f t="shared" si="13"/>
        <v>378.69822485207106</v>
      </c>
      <c r="T147" s="6">
        <f t="shared" si="18"/>
        <v>12.8</v>
      </c>
      <c r="U147" s="6">
        <f t="shared" si="15"/>
        <v>4.8297545604145853</v>
      </c>
      <c r="V147">
        <f t="shared" si="16"/>
        <v>2320.35</v>
      </c>
    </row>
    <row r="148" spans="1:22">
      <c r="A148" s="6">
        <v>24</v>
      </c>
      <c r="B148" s="6">
        <v>378.47427557658193</v>
      </c>
      <c r="D148" s="6">
        <f t="shared" si="11"/>
        <v>4.7136686062960962</v>
      </c>
      <c r="N148" s="6">
        <v>27</v>
      </c>
      <c r="O148" s="6">
        <v>5</v>
      </c>
      <c r="P148" s="6">
        <v>6.35</v>
      </c>
      <c r="Q148" s="6">
        <v>4.24</v>
      </c>
      <c r="R148" s="6">
        <f t="shared" si="17"/>
        <v>59.171597633136102</v>
      </c>
      <c r="S148" s="6">
        <f t="shared" si="13"/>
        <v>375.73964497041425</v>
      </c>
      <c r="T148" s="6">
        <f t="shared" si="18"/>
        <v>12.7</v>
      </c>
      <c r="U148" s="6">
        <f t="shared" si="15"/>
        <v>3.2613605966178056</v>
      </c>
      <c r="V148">
        <f t="shared" si="16"/>
        <v>2219.0000000000005</v>
      </c>
    </row>
    <row r="149" spans="1:22">
      <c r="A149" s="6">
        <v>24</v>
      </c>
      <c r="B149" s="6">
        <v>379.95269071555288</v>
      </c>
      <c r="D149" s="6">
        <f t="shared" si="11"/>
        <v>5.4720424160888115</v>
      </c>
      <c r="N149" s="6">
        <v>27</v>
      </c>
      <c r="O149" s="6">
        <v>4</v>
      </c>
      <c r="P149" s="6">
        <v>6.4</v>
      </c>
      <c r="Q149" s="6">
        <v>3.88</v>
      </c>
      <c r="R149" s="6">
        <f t="shared" si="17"/>
        <v>59.171597633136102</v>
      </c>
      <c r="S149" s="6">
        <f t="shared" si="13"/>
        <v>378.69822485207106</v>
      </c>
      <c r="T149" s="6">
        <f t="shared" si="18"/>
        <v>12.8</v>
      </c>
      <c r="U149" s="6">
        <f t="shared" si="15"/>
        <v>4.8297545604145853</v>
      </c>
      <c r="V149">
        <f t="shared" si="16"/>
        <v>2016.3000000000002</v>
      </c>
    </row>
    <row r="150" spans="1:22">
      <c r="A150" s="6">
        <v>24</v>
      </c>
      <c r="B150" s="6">
        <v>378.47427557658193</v>
      </c>
      <c r="D150" s="6">
        <f t="shared" si="11"/>
        <v>4.7136686062960962</v>
      </c>
      <c r="N150" s="6">
        <v>27</v>
      </c>
      <c r="O150" s="6">
        <v>3</v>
      </c>
      <c r="P150" s="6">
        <v>6.35</v>
      </c>
      <c r="Q150" s="6">
        <v>3.48</v>
      </c>
      <c r="R150" s="6">
        <f t="shared" si="17"/>
        <v>59.171597633136102</v>
      </c>
      <c r="S150" s="6">
        <f t="shared" si="13"/>
        <v>375.73964497041425</v>
      </c>
      <c r="T150" s="6">
        <f t="shared" si="18"/>
        <v>12.7</v>
      </c>
      <c r="U150" s="6">
        <f t="shared" si="15"/>
        <v>3.2613605966178056</v>
      </c>
      <c r="V150">
        <f t="shared" si="16"/>
        <v>1813.6000000000001</v>
      </c>
    </row>
    <row r="151" spans="1:22">
      <c r="A151" s="6">
        <v>24</v>
      </c>
      <c r="B151" s="6">
        <v>379.95269071555288</v>
      </c>
      <c r="D151" s="6">
        <f t="shared" si="11"/>
        <v>5.4720424160888115</v>
      </c>
      <c r="N151" s="6">
        <v>27</v>
      </c>
      <c r="O151" s="6">
        <v>2</v>
      </c>
      <c r="P151" s="6">
        <v>6.4</v>
      </c>
      <c r="Q151" s="6">
        <v>3.12</v>
      </c>
      <c r="R151" s="6">
        <f t="shared" si="17"/>
        <v>59.171597633136102</v>
      </c>
      <c r="S151" s="6">
        <f t="shared" si="13"/>
        <v>378.69822485207106</v>
      </c>
      <c r="T151" s="6">
        <f t="shared" si="18"/>
        <v>12.8</v>
      </c>
      <c r="U151" s="6">
        <f t="shared" si="15"/>
        <v>4.8297545604145853</v>
      </c>
      <c r="V151">
        <f t="shared" si="16"/>
        <v>1610.9</v>
      </c>
    </row>
    <row r="152" spans="1:22">
      <c r="A152" s="6">
        <v>24</v>
      </c>
      <c r="B152" s="6">
        <v>372.56061502069781</v>
      </c>
      <c r="D152" s="6">
        <f t="shared" si="11"/>
        <v>1.4922021933350607</v>
      </c>
      <c r="N152" s="6">
        <v>27</v>
      </c>
      <c r="O152" s="6">
        <v>1</v>
      </c>
      <c r="P152" s="6">
        <v>6.4</v>
      </c>
      <c r="Q152" s="6">
        <v>2.64</v>
      </c>
      <c r="R152" s="6">
        <f t="shared" si="17"/>
        <v>59.171597633136102</v>
      </c>
      <c r="S152" s="6">
        <f t="shared" si="13"/>
        <v>378.69822485207106</v>
      </c>
      <c r="T152" s="6">
        <f t="shared" si="18"/>
        <v>12.8</v>
      </c>
      <c r="U152" s="6">
        <f t="shared" si="15"/>
        <v>4.8297545604145853</v>
      </c>
      <c r="V152">
        <f t="shared" si="16"/>
        <v>1408.1999999999998</v>
      </c>
    </row>
    <row r="153" spans="1:22">
      <c r="A153" s="6">
        <v>24</v>
      </c>
      <c r="B153" s="6">
        <v>377.21893491124263</v>
      </c>
      <c r="C153" s="6">
        <f>AVERAGE(B144:B153)</f>
        <v>376.57464334328273</v>
      </c>
      <c r="D153" s="6">
        <f t="shared" si="11"/>
        <v>4.0549672630511395</v>
      </c>
      <c r="N153" s="6">
        <v>27</v>
      </c>
      <c r="O153" s="6">
        <v>0</v>
      </c>
      <c r="P153" s="6">
        <v>6.4</v>
      </c>
      <c r="Q153" s="6">
        <v>2.16</v>
      </c>
      <c r="R153" s="6">
        <f t="shared" si="17"/>
        <v>59.171597633136102</v>
      </c>
      <c r="S153" s="6">
        <f t="shared" si="13"/>
        <v>378.69822485207106</v>
      </c>
      <c r="T153" s="6">
        <f t="shared" si="18"/>
        <v>12.8</v>
      </c>
      <c r="U153" s="6">
        <f t="shared" si="15"/>
        <v>4.8297545604145853</v>
      </c>
      <c r="V153">
        <f t="shared" si="16"/>
        <v>1205.5</v>
      </c>
    </row>
    <row r="154" spans="1:22">
      <c r="A154" s="6">
        <v>25</v>
      </c>
      <c r="B154" s="6">
        <v>377.21893491124263</v>
      </c>
      <c r="D154" s="6">
        <f t="shared" si="11"/>
        <v>4.0549672630511395</v>
      </c>
      <c r="N154" s="6">
        <v>27</v>
      </c>
      <c r="O154" s="6">
        <v>5.8</v>
      </c>
      <c r="P154" s="6">
        <v>6.4</v>
      </c>
      <c r="Q154" s="6">
        <v>4.5199999999999996</v>
      </c>
      <c r="R154" s="6">
        <f t="shared" si="17"/>
        <v>59.171597633136102</v>
      </c>
      <c r="S154" s="6">
        <f t="shared" si="13"/>
        <v>378.69822485207106</v>
      </c>
      <c r="T154" s="6">
        <f t="shared" si="18"/>
        <v>12.8</v>
      </c>
      <c r="U154" s="6">
        <f t="shared" si="15"/>
        <v>4.8297545604145853</v>
      </c>
      <c r="V154">
        <f t="shared" si="16"/>
        <v>2381.16</v>
      </c>
    </row>
    <row r="155" spans="1:22">
      <c r="A155" s="6">
        <v>25</v>
      </c>
      <c r="B155" s="6">
        <v>379.82195845697328</v>
      </c>
      <c r="C155" s="6">
        <f>AVERAGE(B154:B155)</f>
        <v>378.52044668410792</v>
      </c>
      <c r="D155" s="6">
        <f t="shared" si="11"/>
        <v>5.4057390661184854</v>
      </c>
      <c r="N155" s="6">
        <v>27</v>
      </c>
      <c r="O155" s="6">
        <v>5</v>
      </c>
      <c r="P155" s="6">
        <v>6.4</v>
      </c>
      <c r="Q155" s="6">
        <v>4.16</v>
      </c>
      <c r="R155" s="6">
        <f t="shared" si="17"/>
        <v>59.171597633136102</v>
      </c>
      <c r="S155" s="6">
        <f t="shared" si="13"/>
        <v>378.69822485207106</v>
      </c>
      <c r="T155" s="6">
        <f t="shared" si="18"/>
        <v>12.8</v>
      </c>
      <c r="U155" s="6">
        <f t="shared" si="15"/>
        <v>4.8297545604145853</v>
      </c>
      <c r="V155">
        <f t="shared" si="16"/>
        <v>2219.0000000000005</v>
      </c>
    </row>
    <row r="156" spans="1:22">
      <c r="A156" s="6">
        <v>26</v>
      </c>
      <c r="B156" s="6">
        <v>414.2011834319527</v>
      </c>
      <c r="C156" s="6">
        <f>AVERAGE(B156)</f>
        <v>414.2011834319527</v>
      </c>
      <c r="D156" s="6">
        <f t="shared" si="11"/>
        <v>17.778838976226439</v>
      </c>
      <c r="N156" s="6">
        <v>27</v>
      </c>
      <c r="O156" s="6">
        <v>4.5</v>
      </c>
      <c r="P156" s="6">
        <v>6.4</v>
      </c>
      <c r="Q156" s="6">
        <v>4</v>
      </c>
      <c r="R156" s="6">
        <f t="shared" si="17"/>
        <v>59.171597633136102</v>
      </c>
      <c r="S156" s="6">
        <f t="shared" si="13"/>
        <v>378.69822485207106</v>
      </c>
      <c r="T156" s="6">
        <f t="shared" si="18"/>
        <v>12.8</v>
      </c>
      <c r="U156" s="6">
        <f t="shared" si="15"/>
        <v>4.8297545604145853</v>
      </c>
      <c r="V156">
        <f t="shared" si="16"/>
        <v>2117.65</v>
      </c>
    </row>
    <row r="157" spans="1:22">
      <c r="A157" s="6">
        <v>27</v>
      </c>
      <c r="B157" s="6">
        <v>376.77304964539002</v>
      </c>
      <c r="D157" s="6">
        <f t="shared" si="11"/>
        <v>3.8177409335546599</v>
      </c>
      <c r="N157" s="6">
        <v>27</v>
      </c>
      <c r="O157" s="6">
        <v>4</v>
      </c>
      <c r="P157" s="6">
        <v>12.75</v>
      </c>
      <c r="Q157" s="6">
        <v>3.8</v>
      </c>
      <c r="R157" s="6">
        <f>500/16.91</f>
        <v>29.56830277942046</v>
      </c>
      <c r="S157" s="6">
        <f t="shared" si="13"/>
        <v>376.99586043761087</v>
      </c>
      <c r="T157" s="6">
        <f>P157</f>
        <v>12.75</v>
      </c>
      <c r="U157" s="6">
        <f t="shared" si="15"/>
        <v>3.9364976791242725</v>
      </c>
      <c r="V157">
        <f t="shared" si="16"/>
        <v>2016.3000000000002</v>
      </c>
    </row>
    <row r="158" spans="1:22">
      <c r="A158" s="6">
        <v>27</v>
      </c>
      <c r="B158" s="6">
        <v>376.77304964539002</v>
      </c>
      <c r="D158" s="6">
        <f t="shared" si="11"/>
        <v>3.8177409335546599</v>
      </c>
      <c r="N158" s="6">
        <v>27</v>
      </c>
      <c r="O158" s="6">
        <v>3</v>
      </c>
      <c r="P158" s="6">
        <v>12.75</v>
      </c>
      <c r="Q158" s="6">
        <v>3.44</v>
      </c>
      <c r="R158" s="6">
        <f>500/16.91</f>
        <v>29.56830277942046</v>
      </c>
      <c r="S158" s="6">
        <f t="shared" si="13"/>
        <v>376.99586043761087</v>
      </c>
      <c r="T158" s="6">
        <f>P158</f>
        <v>12.75</v>
      </c>
      <c r="U158" s="6">
        <f t="shared" si="15"/>
        <v>3.9364976791242725</v>
      </c>
      <c r="V158">
        <f t="shared" si="16"/>
        <v>1813.6000000000001</v>
      </c>
    </row>
    <row r="159" spans="1:22">
      <c r="A159" s="6">
        <v>27</v>
      </c>
      <c r="B159" s="6">
        <v>375.29550827423162</v>
      </c>
      <c r="D159" s="6">
        <f t="shared" si="11"/>
        <v>3.0194176461055804</v>
      </c>
      <c r="N159" s="6">
        <v>27</v>
      </c>
      <c r="O159" s="6">
        <v>2</v>
      </c>
      <c r="P159" s="6">
        <v>12.75</v>
      </c>
      <c r="Q159" s="6">
        <v>3.04</v>
      </c>
      <c r="R159" s="6">
        <f>500/16.91</f>
        <v>29.56830277942046</v>
      </c>
      <c r="S159" s="6">
        <f t="shared" si="13"/>
        <v>376.99586043761087</v>
      </c>
      <c r="T159" s="6">
        <f>P159</f>
        <v>12.75</v>
      </c>
      <c r="U159" s="6">
        <f t="shared" si="15"/>
        <v>3.9364976791242725</v>
      </c>
      <c r="V159">
        <f t="shared" si="16"/>
        <v>1610.9</v>
      </c>
    </row>
    <row r="160" spans="1:22">
      <c r="A160" s="6">
        <v>27</v>
      </c>
      <c r="B160" s="6">
        <v>378.25059101654847</v>
      </c>
      <c r="D160" s="6">
        <f t="shared" si="11"/>
        <v>4.5972893158739225</v>
      </c>
      <c r="N160" s="6">
        <v>27</v>
      </c>
      <c r="O160" s="6">
        <v>1</v>
      </c>
      <c r="P160" s="6">
        <v>12.7</v>
      </c>
      <c r="Q160" s="6">
        <v>2.64</v>
      </c>
      <c r="R160" s="6">
        <f>500/16.91</f>
        <v>29.56830277942046</v>
      </c>
      <c r="S160" s="6">
        <f t="shared" si="13"/>
        <v>375.51744529863981</v>
      </c>
      <c r="T160" s="6">
        <f>P160</f>
        <v>12.7</v>
      </c>
      <c r="U160" s="6">
        <f t="shared" si="15"/>
        <v>3.1405296345734541</v>
      </c>
      <c r="V160">
        <f t="shared" si="16"/>
        <v>1408.1999999999998</v>
      </c>
    </row>
    <row r="161" spans="1:22">
      <c r="A161" s="6">
        <v>27</v>
      </c>
      <c r="B161" s="6">
        <v>378.25059101654847</v>
      </c>
      <c r="D161" s="6">
        <f t="shared" si="11"/>
        <v>4.5972893158739225</v>
      </c>
      <c r="N161" s="6">
        <v>27</v>
      </c>
      <c r="O161" s="6">
        <v>0</v>
      </c>
      <c r="P161" s="6">
        <v>12.75</v>
      </c>
      <c r="Q161" s="6">
        <v>2.2000000000000002</v>
      </c>
      <c r="R161" s="6">
        <f>500/16.91</f>
        <v>29.56830277942046</v>
      </c>
      <c r="S161" s="6">
        <f t="shared" si="13"/>
        <v>376.99586043761087</v>
      </c>
      <c r="T161" s="6">
        <f>P161</f>
        <v>12.75</v>
      </c>
      <c r="U161" s="6">
        <f t="shared" si="15"/>
        <v>3.9364976791242725</v>
      </c>
      <c r="V161">
        <f t="shared" si="16"/>
        <v>1205.5</v>
      </c>
    </row>
    <row r="162" spans="1:22">
      <c r="A162" s="6">
        <v>27</v>
      </c>
      <c r="B162" s="6">
        <v>375.88652482269504</v>
      </c>
      <c r="D162" s="6">
        <f t="shared" si="11"/>
        <v>3.3409999497006311</v>
      </c>
      <c r="R162" s="6" t="s">
        <v>31</v>
      </c>
      <c r="S162" s="6">
        <f>AVERAGE(S121:S161)</f>
        <v>377.44700056755249</v>
      </c>
      <c r="V162" s="6">
        <f>MAX(V121:V161)</f>
        <v>2502.7800000000002</v>
      </c>
    </row>
    <row r="163" spans="1:22">
      <c r="A163" s="6">
        <v>27</v>
      </c>
      <c r="B163" s="6">
        <v>375.29550827423162</v>
      </c>
      <c r="D163" s="6">
        <f t="shared" si="11"/>
        <v>3.0194176461055804</v>
      </c>
      <c r="R163" s="6" t="s">
        <v>32</v>
      </c>
      <c r="S163" s="6">
        <f>MIN(S121:S161)</f>
        <v>373.81796690307328</v>
      </c>
    </row>
    <row r="164" spans="1:22">
      <c r="A164" s="6">
        <v>27</v>
      </c>
      <c r="B164" s="6">
        <v>376.77304964539002</v>
      </c>
      <c r="D164" s="6">
        <f t="shared" si="11"/>
        <v>3.8177409335546599</v>
      </c>
      <c r="R164" s="6" t="s">
        <v>33</v>
      </c>
      <c r="S164" s="6">
        <f>MAX(S121:S161)</f>
        <v>381.65680473372788</v>
      </c>
    </row>
    <row r="165" spans="1:22">
      <c r="A165" s="6">
        <v>27</v>
      </c>
      <c r="B165" s="6">
        <v>375.29550827423162</v>
      </c>
      <c r="D165" s="6">
        <f t="shared" si="11"/>
        <v>3.0194176461055804</v>
      </c>
      <c r="R165" s="6" t="s">
        <v>34</v>
      </c>
      <c r="S165" s="6">
        <f>STDEV(S121:S161)</f>
        <v>1.7214015329133239</v>
      </c>
    </row>
    <row r="166" spans="1:22">
      <c r="A166" s="6">
        <v>27</v>
      </c>
      <c r="B166" s="6">
        <v>375.29550827423162</v>
      </c>
      <c r="D166" s="6">
        <f t="shared" si="11"/>
        <v>3.0194176461055804</v>
      </c>
    </row>
    <row r="167" spans="1:22">
      <c r="A167" s="6">
        <v>27</v>
      </c>
      <c r="B167" s="6">
        <v>373.81796690307328</v>
      </c>
      <c r="D167" s="6">
        <f t="shared" si="11"/>
        <v>2.2023194535262292</v>
      </c>
      <c r="N167" s="6">
        <v>24</v>
      </c>
      <c r="O167" s="6">
        <v>0</v>
      </c>
      <c r="P167" s="6">
        <v>12.8</v>
      </c>
      <c r="Q167" s="6">
        <v>1.92</v>
      </c>
      <c r="R167" s="6">
        <f>500/16.91</f>
        <v>29.56830277942046</v>
      </c>
      <c r="S167" s="6">
        <f t="shared" ref="S167:S174" si="19">R167*P167</f>
        <v>378.47427557658193</v>
      </c>
      <c r="T167" s="6">
        <f t="shared" ref="T167:T174" si="20">P167</f>
        <v>12.8</v>
      </c>
      <c r="U167" s="6">
        <f t="shared" ref="U167:U174" si="21">-0.0043*S167^2+3.7742*S167-807.78</f>
        <v>4.7136686062960962</v>
      </c>
      <c r="V167">
        <f t="shared" ref="V167:V174" si="22">(0.2027*O167+1.2055)*1000</f>
        <v>1205.5</v>
      </c>
    </row>
    <row r="168" spans="1:22">
      <c r="A168" s="6">
        <v>27</v>
      </c>
      <c r="B168" s="6">
        <v>375.29550827423162</v>
      </c>
      <c r="D168" s="6">
        <f t="shared" si="11"/>
        <v>3.0194176461055804</v>
      </c>
      <c r="N168" s="6">
        <v>24</v>
      </c>
      <c r="O168" s="6">
        <v>1</v>
      </c>
      <c r="P168" s="6">
        <v>12.55</v>
      </c>
      <c r="Q168" s="6">
        <v>2.2799999999999998</v>
      </c>
      <c r="R168" s="6">
        <f t="shared" ref="R168:R174" si="23">500/16.91</f>
        <v>29.56830277942046</v>
      </c>
      <c r="S168" s="6">
        <f t="shared" si="19"/>
        <v>371.08219988172681</v>
      </c>
      <c r="T168" s="6">
        <f t="shared" si="20"/>
        <v>12.55</v>
      </c>
      <c r="U168" s="6">
        <f t="shared" si="21"/>
        <v>0.63984279664737187</v>
      </c>
      <c r="V168">
        <f t="shared" si="22"/>
        <v>1408.1999999999998</v>
      </c>
    </row>
    <row r="169" spans="1:22">
      <c r="A169" s="6">
        <v>27</v>
      </c>
      <c r="B169" s="6">
        <v>378.25059101654847</v>
      </c>
      <c r="D169" s="6">
        <f t="shared" si="11"/>
        <v>4.5972893158739225</v>
      </c>
      <c r="N169" s="6">
        <v>24</v>
      </c>
      <c r="P169" s="6">
        <v>12.75</v>
      </c>
      <c r="R169" s="6">
        <f t="shared" si="23"/>
        <v>29.56830277942046</v>
      </c>
      <c r="S169" s="6">
        <f t="shared" si="19"/>
        <v>376.99586043761087</v>
      </c>
      <c r="T169" s="6">
        <f t="shared" si="20"/>
        <v>12.75</v>
      </c>
      <c r="U169" s="6">
        <f t="shared" si="21"/>
        <v>3.9364976791242725</v>
      </c>
      <c r="V169">
        <f t="shared" si="22"/>
        <v>1205.5</v>
      </c>
    </row>
    <row r="170" spans="1:22">
      <c r="A170" s="6">
        <v>27</v>
      </c>
      <c r="B170" s="6">
        <v>378.25059101654847</v>
      </c>
      <c r="D170" s="6">
        <f t="shared" si="11"/>
        <v>4.5972893158739225</v>
      </c>
      <c r="N170" s="6">
        <v>24</v>
      </c>
      <c r="O170" s="6">
        <v>3.5</v>
      </c>
      <c r="P170" s="6">
        <v>12.6</v>
      </c>
      <c r="Q170" s="6">
        <v>3.08</v>
      </c>
      <c r="R170" s="6">
        <f t="shared" si="23"/>
        <v>29.56830277942046</v>
      </c>
      <c r="S170" s="6">
        <f t="shared" si="19"/>
        <v>372.56061502069781</v>
      </c>
      <c r="T170" s="6">
        <f t="shared" si="20"/>
        <v>12.6</v>
      </c>
      <c r="U170" s="6">
        <f t="shared" si="21"/>
        <v>1.4922021933350607</v>
      </c>
      <c r="V170">
        <f t="shared" si="22"/>
        <v>1914.9499999999998</v>
      </c>
    </row>
    <row r="171" spans="1:22">
      <c r="A171" s="6">
        <v>27</v>
      </c>
      <c r="B171" s="6">
        <v>375.29550827423162</v>
      </c>
      <c r="D171" s="6">
        <f t="shared" si="11"/>
        <v>3.0194176461055804</v>
      </c>
      <c r="N171" s="6">
        <v>24</v>
      </c>
      <c r="O171" s="6">
        <v>4</v>
      </c>
      <c r="P171" s="6">
        <v>12.8</v>
      </c>
      <c r="Q171" s="6">
        <v>3.28</v>
      </c>
      <c r="R171" s="6">
        <f t="shared" si="23"/>
        <v>29.56830277942046</v>
      </c>
      <c r="S171" s="6">
        <f t="shared" si="19"/>
        <v>378.47427557658193</v>
      </c>
      <c r="T171" s="6">
        <f t="shared" si="20"/>
        <v>12.8</v>
      </c>
      <c r="U171" s="6">
        <f t="shared" si="21"/>
        <v>4.7136686062960962</v>
      </c>
      <c r="V171">
        <f t="shared" si="22"/>
        <v>2016.3000000000002</v>
      </c>
    </row>
    <row r="172" spans="1:22">
      <c r="A172" s="6">
        <v>27</v>
      </c>
      <c r="B172" s="6">
        <v>376.77304964539002</v>
      </c>
      <c r="D172" s="6">
        <f t="shared" si="11"/>
        <v>3.8177409335546599</v>
      </c>
      <c r="N172" s="6">
        <v>24</v>
      </c>
      <c r="O172" s="6">
        <v>4.2</v>
      </c>
      <c r="P172" s="6">
        <v>12.85</v>
      </c>
      <c r="Q172" s="6">
        <v>3.32</v>
      </c>
      <c r="R172" s="6">
        <f t="shared" si="23"/>
        <v>29.56830277942046</v>
      </c>
      <c r="S172" s="6">
        <f t="shared" si="19"/>
        <v>379.95269071555288</v>
      </c>
      <c r="T172" s="6">
        <f t="shared" si="20"/>
        <v>12.85</v>
      </c>
      <c r="U172" s="6">
        <f t="shared" si="21"/>
        <v>5.4720424160888115</v>
      </c>
      <c r="V172">
        <f t="shared" si="22"/>
        <v>2056.84</v>
      </c>
    </row>
    <row r="173" spans="1:22">
      <c r="A173" s="6">
        <v>27</v>
      </c>
      <c r="B173" s="6">
        <v>378.84160756501177</v>
      </c>
      <c r="D173" s="6">
        <f t="shared" si="11"/>
        <v>4.9038516953652334</v>
      </c>
      <c r="N173" s="6">
        <v>24</v>
      </c>
      <c r="P173" s="6">
        <v>12.8</v>
      </c>
      <c r="Q173" s="6">
        <v>2.04</v>
      </c>
      <c r="R173" s="6">
        <f t="shared" si="23"/>
        <v>29.56830277942046</v>
      </c>
      <c r="S173" s="6">
        <f t="shared" si="19"/>
        <v>378.47427557658193</v>
      </c>
      <c r="T173" s="6">
        <f t="shared" si="20"/>
        <v>12.8</v>
      </c>
      <c r="U173" s="6">
        <f t="shared" si="21"/>
        <v>4.7136686062960962</v>
      </c>
      <c r="V173">
        <f t="shared" si="22"/>
        <v>1205.5</v>
      </c>
    </row>
    <row r="174" spans="1:22">
      <c r="A174" s="6">
        <v>27</v>
      </c>
      <c r="B174" s="6">
        <v>378.25059101654847</v>
      </c>
      <c r="D174" s="6">
        <f t="shared" si="11"/>
        <v>4.5972893158739225</v>
      </c>
      <c r="N174" s="6">
        <v>24</v>
      </c>
      <c r="O174" s="6">
        <v>4.2</v>
      </c>
      <c r="P174" s="6">
        <v>12.85</v>
      </c>
      <c r="Q174" s="6">
        <v>3.32</v>
      </c>
      <c r="R174" s="6">
        <f t="shared" si="23"/>
        <v>29.56830277942046</v>
      </c>
      <c r="S174" s="6">
        <f t="shared" si="19"/>
        <v>379.95269071555288</v>
      </c>
      <c r="T174" s="6">
        <f t="shared" si="20"/>
        <v>12.85</v>
      </c>
      <c r="U174" s="6">
        <f t="shared" si="21"/>
        <v>5.4720424160888115</v>
      </c>
      <c r="V174">
        <f t="shared" si="22"/>
        <v>2056.84</v>
      </c>
    </row>
    <row r="175" spans="1:22">
      <c r="A175" s="6">
        <v>27</v>
      </c>
      <c r="B175" s="6">
        <v>378.25059101654847</v>
      </c>
      <c r="D175" s="6">
        <f t="shared" si="11"/>
        <v>4.5972893158739225</v>
      </c>
      <c r="R175" s="6" t="s">
        <v>31</v>
      </c>
      <c r="S175" s="6">
        <f>AVERAGE(S167:S174)</f>
        <v>376.99586043761087</v>
      </c>
    </row>
    <row r="176" spans="1:22">
      <c r="A176" s="6">
        <v>27</v>
      </c>
      <c r="B176" s="6">
        <v>378.69822485207106</v>
      </c>
      <c r="D176" s="6">
        <f t="shared" si="11"/>
        <v>4.8297545604145853</v>
      </c>
      <c r="R176" s="6" t="s">
        <v>32</v>
      </c>
      <c r="S176" s="6">
        <f>MIN(S167:S174)</f>
        <v>371.08219988172681</v>
      </c>
    </row>
    <row r="177" spans="1:22">
      <c r="A177" s="6">
        <v>27</v>
      </c>
      <c r="B177" s="6">
        <v>378.69822485207106</v>
      </c>
      <c r="D177" s="6">
        <f t="shared" si="11"/>
        <v>4.8297545604145853</v>
      </c>
      <c r="R177" s="6" t="s">
        <v>33</v>
      </c>
      <c r="S177" s="6">
        <f>MAX(S167:S174)</f>
        <v>379.95269071555288</v>
      </c>
    </row>
    <row r="178" spans="1:22">
      <c r="A178" s="6">
        <v>27</v>
      </c>
      <c r="B178" s="6">
        <v>378.69822485207106</v>
      </c>
      <c r="D178" s="6">
        <f t="shared" si="11"/>
        <v>4.8297545604145853</v>
      </c>
      <c r="R178" s="6" t="s">
        <v>34</v>
      </c>
      <c r="S178" s="6">
        <f>STDEV(S167:S174)</f>
        <v>3.352730393340265</v>
      </c>
    </row>
    <row r="179" spans="1:22">
      <c r="A179" s="6">
        <v>27</v>
      </c>
      <c r="B179" s="6">
        <v>375.73964497041425</v>
      </c>
      <c r="D179" s="6">
        <f t="shared" si="11"/>
        <v>3.2613605966178056</v>
      </c>
    </row>
    <row r="180" spans="1:22">
      <c r="A180" s="6">
        <v>27</v>
      </c>
      <c r="B180" s="6">
        <v>381.65680473372788</v>
      </c>
      <c r="D180" s="6">
        <f t="shared" si="11"/>
        <v>6.3228710479324945</v>
      </c>
      <c r="N180" s="6">
        <v>23</v>
      </c>
      <c r="P180" s="6">
        <v>12.7</v>
      </c>
      <c r="R180" s="6">
        <f>500/16.91</f>
        <v>29.56830277942046</v>
      </c>
      <c r="S180" s="6">
        <f>R180*P180</f>
        <v>375.51744529863981</v>
      </c>
      <c r="T180" s="6">
        <f>P180</f>
        <v>12.7</v>
      </c>
      <c r="U180" s="6">
        <f>-0.0043*S180^2+3.7742*S180-807.78</f>
        <v>3.1405296345734541</v>
      </c>
      <c r="V180">
        <f>(0.2027*O180+1.2055)*1000</f>
        <v>1205.5</v>
      </c>
    </row>
    <row r="181" spans="1:22">
      <c r="A181" s="6">
        <v>27</v>
      </c>
      <c r="B181" s="6">
        <v>381.65680473372788</v>
      </c>
      <c r="D181" s="6">
        <f t="shared" si="11"/>
        <v>6.3228710479324945</v>
      </c>
      <c r="N181" s="6">
        <v>23</v>
      </c>
      <c r="P181" s="6">
        <v>4.82</v>
      </c>
      <c r="R181" s="6">
        <f>500/6.48</f>
        <v>77.160493827160494</v>
      </c>
      <c r="S181" s="6">
        <f>R181*P181</f>
        <v>371.91358024691363</v>
      </c>
      <c r="T181" s="6">
        <f>P181</f>
        <v>4.82</v>
      </c>
      <c r="U181" s="6">
        <f>-0.0043*S181^2+3.7742*S181-807.78</f>
        <v>1.1214765279684116</v>
      </c>
      <c r="V181">
        <f>(0.2027*O181+1.2055)*1000</f>
        <v>1205.5</v>
      </c>
    </row>
    <row r="182" spans="1:22">
      <c r="A182" s="6">
        <v>27</v>
      </c>
      <c r="B182" s="6">
        <v>378.69822485207106</v>
      </c>
      <c r="D182" s="6">
        <f t="shared" si="11"/>
        <v>4.8297545604145853</v>
      </c>
      <c r="N182" s="6">
        <v>23</v>
      </c>
      <c r="P182" s="6">
        <v>4.8499999999999996</v>
      </c>
      <c r="R182" s="6">
        <f>500/6.45</f>
        <v>77.519379844961236</v>
      </c>
      <c r="S182" s="6">
        <f>R182*P182</f>
        <v>375.96899224806197</v>
      </c>
      <c r="T182" s="6">
        <f>P182</f>
        <v>4.8499999999999996</v>
      </c>
      <c r="U182" s="6">
        <f>-0.0043*S182^2+3.7742*S182-807.78</f>
        <v>3.3856330749352992</v>
      </c>
      <c r="V182">
        <f>(0.2027*O182+1.2055)*1000</f>
        <v>1205.5</v>
      </c>
    </row>
    <row r="183" spans="1:22">
      <c r="A183" s="6">
        <v>27</v>
      </c>
      <c r="B183" s="6">
        <v>378.69822485207106</v>
      </c>
      <c r="D183" s="6">
        <f t="shared" si="11"/>
        <v>4.8297545604145853</v>
      </c>
      <c r="R183" s="6" t="s">
        <v>31</v>
      </c>
      <c r="S183" s="6">
        <f>AVERAGE(S180:S182)</f>
        <v>374.46667259787182</v>
      </c>
    </row>
    <row r="184" spans="1:22">
      <c r="A184" s="6">
        <v>27</v>
      </c>
      <c r="B184" s="6">
        <v>375.73964497041425</v>
      </c>
      <c r="D184" s="6">
        <f t="shared" si="11"/>
        <v>3.2613605966178056</v>
      </c>
    </row>
    <row r="185" spans="1:22">
      <c r="A185" s="6">
        <v>27</v>
      </c>
      <c r="B185" s="6">
        <v>378.69822485207106</v>
      </c>
      <c r="D185" s="6">
        <f t="shared" si="11"/>
        <v>4.8297545604145853</v>
      </c>
      <c r="N185" s="6">
        <v>24</v>
      </c>
      <c r="P185" s="6">
        <v>12.6</v>
      </c>
      <c r="R185" s="6">
        <f>500/16.91</f>
        <v>29.56830277942046</v>
      </c>
      <c r="S185" s="6">
        <f>R185*P185</f>
        <v>372.56061502069781</v>
      </c>
      <c r="T185" s="6">
        <f>P185</f>
        <v>12.6</v>
      </c>
      <c r="U185" s="6">
        <f>-0.0043*S185^2+3.7742*S185-807.78</f>
        <v>1.4922021933350607</v>
      </c>
      <c r="V185">
        <f>(0.2027*O185+1.2055)*1000</f>
        <v>1205.5</v>
      </c>
    </row>
    <row r="186" spans="1:22">
      <c r="A186" s="6">
        <v>27</v>
      </c>
      <c r="B186" s="6">
        <v>375.73964497041425</v>
      </c>
      <c r="D186" s="6">
        <f t="shared" ref="D186:D205" si="24">-0.0043*B186^2+3.7742*B186-807.78</f>
        <v>3.2613605966178056</v>
      </c>
    </row>
    <row r="187" spans="1:22">
      <c r="A187" s="6">
        <v>27</v>
      </c>
      <c r="B187" s="6">
        <v>378.69822485207106</v>
      </c>
      <c r="D187" s="6">
        <f t="shared" si="24"/>
        <v>4.8297545604145853</v>
      </c>
      <c r="N187" s="6">
        <v>25</v>
      </c>
      <c r="P187" s="6">
        <v>12.75</v>
      </c>
      <c r="Q187" s="6">
        <v>2.56</v>
      </c>
      <c r="R187" s="6">
        <f>500/16.9</f>
        <v>29.585798816568051</v>
      </c>
      <c r="S187" s="6">
        <f>R187*P187</f>
        <v>377.21893491124263</v>
      </c>
      <c r="T187" s="6">
        <f>P187</f>
        <v>12.75</v>
      </c>
      <c r="U187" s="6">
        <f>-0.0043*S187^2+3.7742*S187-807.78</f>
        <v>4.0549672630511395</v>
      </c>
      <c r="V187">
        <f>(0.2027*O187+1.2055)*1000</f>
        <v>1205.5</v>
      </c>
    </row>
    <row r="188" spans="1:22">
      <c r="A188" s="6">
        <v>27</v>
      </c>
      <c r="B188" s="6">
        <v>378.69822485207106</v>
      </c>
      <c r="D188" s="6">
        <f t="shared" si="24"/>
        <v>4.8297545604145853</v>
      </c>
      <c r="N188" s="6">
        <v>25</v>
      </c>
      <c r="P188" s="6">
        <v>6.4</v>
      </c>
      <c r="Q188" s="6">
        <v>2.6</v>
      </c>
      <c r="R188" s="6">
        <f>1000/16.85</f>
        <v>59.347181008902069</v>
      </c>
      <c r="S188" s="6">
        <f>R188*P188</f>
        <v>379.82195845697328</v>
      </c>
      <c r="T188" s="6">
        <f>P188</f>
        <v>6.4</v>
      </c>
      <c r="U188" s="6">
        <f>-0.0043*S188^2+3.7742*S188-807.78</f>
        <v>5.4057390661184854</v>
      </c>
      <c r="V188">
        <f>(0.2027*O188+1.2055)*1000</f>
        <v>1205.5</v>
      </c>
    </row>
    <row r="189" spans="1:22">
      <c r="A189" s="6">
        <v>27</v>
      </c>
      <c r="B189" s="6">
        <v>378.69822485207106</v>
      </c>
      <c r="D189" s="6">
        <f t="shared" si="24"/>
        <v>4.8297545604145853</v>
      </c>
    </row>
    <row r="190" spans="1:22">
      <c r="A190" s="6">
        <v>27</v>
      </c>
      <c r="B190" s="6">
        <v>378.69822485207106</v>
      </c>
      <c r="D190" s="6">
        <f t="shared" si="24"/>
        <v>4.8297545604145853</v>
      </c>
      <c r="N190" s="6">
        <v>26</v>
      </c>
      <c r="P190" s="6">
        <v>7</v>
      </c>
      <c r="Q190" s="6">
        <v>1.92</v>
      </c>
      <c r="R190" s="6">
        <f>1000/16.9</f>
        <v>59.171597633136102</v>
      </c>
      <c r="S190" s="6">
        <f>R190*P190</f>
        <v>414.2011834319527</v>
      </c>
      <c r="T190" s="6">
        <f>P190</f>
        <v>7</v>
      </c>
      <c r="U190" s="6">
        <f>-0.0043*S190^2+3.7742*S190-807.78</f>
        <v>17.778838976226439</v>
      </c>
      <c r="V190">
        <f>(0.2027*O190+1.2055)*1000</f>
        <v>1205.5</v>
      </c>
    </row>
    <row r="191" spans="1:22">
      <c r="A191" s="6">
        <v>27</v>
      </c>
      <c r="B191" s="6">
        <v>378.69822485207106</v>
      </c>
      <c r="D191" s="6">
        <f t="shared" si="24"/>
        <v>4.8297545604145853</v>
      </c>
    </row>
    <row r="192" spans="1:22">
      <c r="A192" s="6">
        <v>27</v>
      </c>
      <c r="B192" s="6">
        <v>378.69822485207106</v>
      </c>
      <c r="D192" s="6">
        <f t="shared" si="24"/>
        <v>4.8297545604145853</v>
      </c>
      <c r="N192" s="6">
        <v>24</v>
      </c>
      <c r="P192" s="6">
        <v>12.75</v>
      </c>
      <c r="Q192" s="6">
        <v>4.2</v>
      </c>
      <c r="R192" s="6">
        <f>500/16.9</f>
        <v>29.585798816568051</v>
      </c>
      <c r="S192" s="6">
        <f>R192*P192</f>
        <v>377.21893491124263</v>
      </c>
      <c r="T192" s="6">
        <f>P192</f>
        <v>12.75</v>
      </c>
      <c r="U192" s="6">
        <f>-0.0043*S192^2+3.7742*S192-807.78</f>
        <v>4.0549672630511395</v>
      </c>
      <c r="V192">
        <f>(0.2027*O192+1.2055)*1000</f>
        <v>1205.5</v>
      </c>
    </row>
    <row r="193" spans="1:22">
      <c r="A193" s="6">
        <v>27</v>
      </c>
      <c r="B193" s="6">
        <v>376.99586043761087</v>
      </c>
      <c r="D193" s="6">
        <f t="shared" si="24"/>
        <v>3.9364976791242725</v>
      </c>
    </row>
    <row r="194" spans="1:22">
      <c r="A194" s="6">
        <v>27</v>
      </c>
      <c r="B194" s="6">
        <v>376.99586043761087</v>
      </c>
      <c r="D194" s="6">
        <f t="shared" si="24"/>
        <v>3.9364976791242725</v>
      </c>
      <c r="N194" s="6">
        <v>28</v>
      </c>
      <c r="O194" s="6">
        <v>5.8</v>
      </c>
      <c r="P194" s="6">
        <v>13</v>
      </c>
      <c r="Q194" s="6">
        <v>4.32</v>
      </c>
      <c r="R194" s="6">
        <f>500/16.92</f>
        <v>29.550827423167846</v>
      </c>
      <c r="S194" s="6">
        <f t="shared" ref="S194:S201" si="25">R194*P194</f>
        <v>384.16075650118199</v>
      </c>
      <c r="T194" s="6">
        <f t="shared" ref="T194:T201" si="26">P194</f>
        <v>13</v>
      </c>
      <c r="U194" s="6">
        <f t="shared" ref="U194:U201" si="27">-0.0043*S194^2+3.7742*S194-807.78</f>
        <v>7.5277337938512119</v>
      </c>
      <c r="V194">
        <f t="shared" ref="V194:V201" si="28">(0.2027*O194+1.2055)*1000</f>
        <v>2381.16</v>
      </c>
    </row>
    <row r="195" spans="1:22">
      <c r="A195" s="6">
        <v>27</v>
      </c>
      <c r="B195" s="6">
        <v>376.99586043761087</v>
      </c>
      <c r="D195" s="6">
        <f t="shared" si="24"/>
        <v>3.9364976791242725</v>
      </c>
      <c r="O195" s="6">
        <v>5.9</v>
      </c>
      <c r="P195" s="6">
        <v>12.95</v>
      </c>
      <c r="Q195" s="6">
        <v>4.4000000000000004</v>
      </c>
      <c r="R195" s="6">
        <f t="shared" ref="R195:R201" si="29">500/16.92</f>
        <v>29.550827423167846</v>
      </c>
      <c r="S195" s="6">
        <f t="shared" si="25"/>
        <v>382.6832151300236</v>
      </c>
      <c r="T195" s="6">
        <f t="shared" si="26"/>
        <v>12.95</v>
      </c>
      <c r="U195" s="6">
        <f t="shared" si="27"/>
        <v>6.8232850320518992</v>
      </c>
      <c r="V195">
        <f t="shared" si="28"/>
        <v>2401.4299999999998</v>
      </c>
    </row>
    <row r="196" spans="1:22">
      <c r="A196" s="6">
        <v>27</v>
      </c>
      <c r="B196" s="6">
        <v>375.51744529863981</v>
      </c>
      <c r="D196" s="6">
        <f t="shared" si="24"/>
        <v>3.1405296345734541</v>
      </c>
      <c r="O196" s="6">
        <v>5.6</v>
      </c>
      <c r="P196" s="6">
        <v>12.95</v>
      </c>
      <c r="Q196" s="6">
        <v>4.32</v>
      </c>
      <c r="R196" s="6">
        <f t="shared" si="29"/>
        <v>29.550827423167846</v>
      </c>
      <c r="S196" s="6">
        <f t="shared" si="25"/>
        <v>382.6832151300236</v>
      </c>
      <c r="T196" s="6">
        <f t="shared" si="26"/>
        <v>12.95</v>
      </c>
      <c r="U196" s="6">
        <f t="shared" si="27"/>
        <v>6.8232850320518992</v>
      </c>
      <c r="V196">
        <f t="shared" si="28"/>
        <v>2340.62</v>
      </c>
    </row>
    <row r="197" spans="1:22">
      <c r="A197" s="6">
        <v>27</v>
      </c>
      <c r="B197" s="6">
        <v>376.99586043761087</v>
      </c>
      <c r="C197" s="6">
        <f>AVERAGE(B157:B197)</f>
        <v>377.44700056755249</v>
      </c>
      <c r="D197" s="6">
        <f t="shared" si="24"/>
        <v>3.9364976791242725</v>
      </c>
      <c r="O197" s="6">
        <v>5</v>
      </c>
      <c r="P197" s="6">
        <v>12.95</v>
      </c>
      <c r="Q197" s="6">
        <v>4.16</v>
      </c>
      <c r="R197" s="6">
        <f t="shared" si="29"/>
        <v>29.550827423167846</v>
      </c>
      <c r="S197" s="6">
        <f t="shared" si="25"/>
        <v>382.6832151300236</v>
      </c>
      <c r="T197" s="6">
        <f t="shared" si="26"/>
        <v>12.95</v>
      </c>
      <c r="U197" s="6">
        <f t="shared" si="27"/>
        <v>6.8232850320518992</v>
      </c>
      <c r="V197">
        <f t="shared" si="28"/>
        <v>2219.0000000000005</v>
      </c>
    </row>
    <row r="198" spans="1:22">
      <c r="A198" s="6">
        <v>28</v>
      </c>
      <c r="B198" s="6">
        <v>384.16075650118199</v>
      </c>
      <c r="D198" s="6">
        <f t="shared" si="24"/>
        <v>7.5277337938512119</v>
      </c>
      <c r="O198" s="6">
        <v>4</v>
      </c>
      <c r="P198" s="6">
        <v>12.9</v>
      </c>
      <c r="Q198" s="6">
        <v>3.68</v>
      </c>
      <c r="R198" s="6">
        <f t="shared" si="29"/>
        <v>29.550827423167846</v>
      </c>
      <c r="S198" s="6">
        <f t="shared" si="25"/>
        <v>381.2056737588652</v>
      </c>
      <c r="T198" s="6">
        <f t="shared" si="26"/>
        <v>12.9</v>
      </c>
      <c r="U198" s="6">
        <f t="shared" si="27"/>
        <v>6.1000613651223148</v>
      </c>
      <c r="V198">
        <f t="shared" si="28"/>
        <v>2016.3000000000002</v>
      </c>
    </row>
    <row r="199" spans="1:22">
      <c r="A199" s="6">
        <v>28</v>
      </c>
      <c r="B199" s="6">
        <v>382.6832151300236</v>
      </c>
      <c r="D199" s="6">
        <f t="shared" si="24"/>
        <v>6.8232850320518992</v>
      </c>
      <c r="O199" s="6">
        <v>3</v>
      </c>
      <c r="P199" s="6">
        <v>12.85</v>
      </c>
      <c r="Q199" s="6">
        <v>3.4</v>
      </c>
      <c r="R199" s="6">
        <f t="shared" si="29"/>
        <v>29.550827423167846</v>
      </c>
      <c r="S199" s="6">
        <f t="shared" si="25"/>
        <v>379.72813238770681</v>
      </c>
      <c r="T199" s="6">
        <f t="shared" si="26"/>
        <v>12.85</v>
      </c>
      <c r="U199" s="6">
        <f t="shared" si="27"/>
        <v>5.3580627930631408</v>
      </c>
      <c r="V199">
        <f t="shared" si="28"/>
        <v>1813.6000000000001</v>
      </c>
    </row>
    <row r="200" spans="1:22">
      <c r="A200" s="6">
        <v>28</v>
      </c>
      <c r="B200" s="6">
        <v>382.6832151300236</v>
      </c>
      <c r="D200" s="6">
        <f t="shared" si="24"/>
        <v>6.8232850320518992</v>
      </c>
      <c r="O200" s="6">
        <v>2</v>
      </c>
      <c r="P200" s="6">
        <v>12.9</v>
      </c>
      <c r="Q200" s="6">
        <v>3</v>
      </c>
      <c r="R200" s="6">
        <f t="shared" si="29"/>
        <v>29.550827423167846</v>
      </c>
      <c r="S200" s="6">
        <f t="shared" si="25"/>
        <v>381.2056737588652</v>
      </c>
      <c r="T200" s="6">
        <f t="shared" si="26"/>
        <v>12.9</v>
      </c>
      <c r="U200" s="6">
        <f t="shared" si="27"/>
        <v>6.1000613651223148</v>
      </c>
      <c r="V200">
        <f t="shared" si="28"/>
        <v>1610.9</v>
      </c>
    </row>
    <row r="201" spans="1:22">
      <c r="A201" s="6">
        <v>28</v>
      </c>
      <c r="B201" s="6">
        <v>382.6832151300236</v>
      </c>
      <c r="D201" s="6">
        <f t="shared" si="24"/>
        <v>6.8232850320518992</v>
      </c>
      <c r="O201" s="6">
        <v>0</v>
      </c>
      <c r="P201" s="6">
        <v>12.75</v>
      </c>
      <c r="Q201" s="6">
        <v>0</v>
      </c>
      <c r="R201" s="6">
        <f t="shared" si="29"/>
        <v>29.550827423167846</v>
      </c>
      <c r="S201" s="6">
        <f t="shared" si="25"/>
        <v>376.77304964539002</v>
      </c>
      <c r="T201" s="6">
        <f t="shared" si="26"/>
        <v>12.75</v>
      </c>
      <c r="U201" s="6">
        <f t="shared" si="27"/>
        <v>3.8177409335546599</v>
      </c>
      <c r="V201">
        <f t="shared" si="28"/>
        <v>1205.5</v>
      </c>
    </row>
    <row r="202" spans="1:22">
      <c r="A202" s="6">
        <v>28</v>
      </c>
      <c r="B202" s="6">
        <v>381.2056737588652</v>
      </c>
      <c r="D202" s="6">
        <f t="shared" si="24"/>
        <v>6.1000613651223148</v>
      </c>
      <c r="R202" s="6" t="s">
        <v>31</v>
      </c>
      <c r="S202" s="6">
        <f>AVERAGE(S194:S201)</f>
        <v>381.39036643025997</v>
      </c>
    </row>
    <row r="203" spans="1:22">
      <c r="A203" s="6">
        <v>28</v>
      </c>
      <c r="B203" s="6">
        <v>379.72813238770681</v>
      </c>
      <c r="D203" s="6">
        <f t="shared" si="24"/>
        <v>5.3580627930631408</v>
      </c>
      <c r="R203" s="6" t="s">
        <v>32</v>
      </c>
      <c r="S203" s="6">
        <f>MIN(S194:S201)</f>
        <v>376.77304964539002</v>
      </c>
    </row>
    <row r="204" spans="1:22">
      <c r="A204" s="6">
        <v>28</v>
      </c>
      <c r="B204" s="6">
        <v>381.2056737588652</v>
      </c>
      <c r="D204" s="6">
        <f t="shared" si="24"/>
        <v>6.1000613651223148</v>
      </c>
      <c r="R204" s="6" t="s">
        <v>33</v>
      </c>
      <c r="S204" s="6">
        <f>MAX(S194:S201)</f>
        <v>384.16075650118199</v>
      </c>
    </row>
    <row r="205" spans="1:22">
      <c r="A205" s="6">
        <v>28</v>
      </c>
      <c r="B205" s="6">
        <v>376.77304964539002</v>
      </c>
      <c r="C205" s="6">
        <f>AVERAGE(B198:B205)</f>
        <v>381.39036643025997</v>
      </c>
      <c r="D205" s="6">
        <f t="shared" si="24"/>
        <v>3.8177409335546599</v>
      </c>
      <c r="R205" s="6" t="s">
        <v>34</v>
      </c>
      <c r="S205" s="6">
        <f>STDEV(S194:S201)</f>
        <v>2.2941009286647458</v>
      </c>
    </row>
    <row r="207" spans="1:22">
      <c r="B207" s="6">
        <f>MIN(B121:B205)</f>
        <v>371.08219988172681</v>
      </c>
      <c r="N207" s="6">
        <v>3</v>
      </c>
      <c r="P207" s="6">
        <v>4.8499999999999996</v>
      </c>
      <c r="Q207" s="6">
        <v>4.4000000000000004</v>
      </c>
      <c r="R207" s="6">
        <f>500/6.45</f>
        <v>77.519379844961236</v>
      </c>
      <c r="S207" s="6">
        <f>R207*P207</f>
        <v>375.96899224806197</v>
      </c>
      <c r="T207" s="6">
        <f>P207</f>
        <v>4.8499999999999996</v>
      </c>
      <c r="U207" s="6">
        <f>-0.0043*S207^2+3.7742*S207-807.78</f>
        <v>3.3856330749352992</v>
      </c>
      <c r="V207">
        <f>(0.2027*O207+1.2055)*1000</f>
        <v>1205.5</v>
      </c>
    </row>
    <row r="209" spans="14:22">
      <c r="N209" s="6">
        <v>6</v>
      </c>
      <c r="O209" s="6">
        <v>0</v>
      </c>
      <c r="P209" s="6">
        <v>4.0999999999999996</v>
      </c>
      <c r="Q209" s="6">
        <v>1.9</v>
      </c>
      <c r="R209" s="6">
        <f>500/6.5</f>
        <v>76.92307692307692</v>
      </c>
      <c r="S209" s="6">
        <f>R209*P209</f>
        <v>315.38461538461536</v>
      </c>
      <c r="T209" s="6">
        <f>P209</f>
        <v>4.0999999999999996</v>
      </c>
      <c r="U209" s="6">
        <f>-0.0043*S209^2+3.7742*S209-807.78</f>
        <v>-45.165443786982223</v>
      </c>
      <c r="V209">
        <f>(0.2027*O209+1.2055)*1000</f>
        <v>1205.5</v>
      </c>
    </row>
    <row r="210" spans="14:22">
      <c r="N210" s="6">
        <v>6</v>
      </c>
      <c r="O210" s="6">
        <v>2</v>
      </c>
      <c r="P210" s="6">
        <v>4.8</v>
      </c>
      <c r="R210" s="6">
        <f>500/6.45</f>
        <v>77.519379844961236</v>
      </c>
      <c r="S210" s="6">
        <f>R210*P210</f>
        <v>372.09302325581393</v>
      </c>
      <c r="T210" s="6">
        <f>P210</f>
        <v>4.8</v>
      </c>
      <c r="U210" s="6">
        <f>-0.0043*S210^2+3.7742*S210-807.78</f>
        <v>1.2246511627906784</v>
      </c>
      <c r="V210">
        <f>(0.2027*O210+1.2055)*1000</f>
        <v>1610.9</v>
      </c>
    </row>
    <row r="211" spans="14:22">
      <c r="N211" s="6">
        <v>6</v>
      </c>
      <c r="O211" s="6">
        <v>6.25</v>
      </c>
      <c r="P211" s="6">
        <v>4.8</v>
      </c>
      <c r="R211" s="6">
        <f>500/6.45</f>
        <v>77.519379844961236</v>
      </c>
      <c r="S211" s="6">
        <f>R211*P211</f>
        <v>372.09302325581393</v>
      </c>
      <c r="T211" s="6">
        <f>P211</f>
        <v>4.8</v>
      </c>
      <c r="U211" s="6">
        <f>-0.0043*S211^2+3.7742*S211-807.78</f>
        <v>1.2246511627906784</v>
      </c>
      <c r="V211">
        <f>(0.2027*O211+1.2055)*1000</f>
        <v>2472.375</v>
      </c>
    </row>
    <row r="212" spans="14:22">
      <c r="N212" s="6">
        <v>6</v>
      </c>
      <c r="O212" s="6">
        <v>6.25</v>
      </c>
      <c r="P212" s="6">
        <v>4.8499999999999996</v>
      </c>
      <c r="R212" s="6">
        <f>500/6.45</f>
        <v>77.519379844961236</v>
      </c>
      <c r="S212" s="6">
        <f>R212*P212</f>
        <v>375.96899224806197</v>
      </c>
      <c r="T212" s="6">
        <f>P212</f>
        <v>4.8499999999999996</v>
      </c>
      <c r="U212" s="6">
        <f>-0.0043*S212^2+3.7742*S212-807.78</f>
        <v>3.3856330749352992</v>
      </c>
      <c r="V212">
        <f>(0.2027*O212+1.2055)*1000</f>
        <v>2472.375</v>
      </c>
    </row>
    <row r="214" spans="14:22">
      <c r="N214" s="6">
        <v>8</v>
      </c>
      <c r="P214" s="6">
        <v>4.8499999999999996</v>
      </c>
      <c r="R214" s="6">
        <f>500/6.45</f>
        <v>77.519379844961236</v>
      </c>
      <c r="S214" s="6">
        <f>R214*P214</f>
        <v>375.96899224806197</v>
      </c>
      <c r="T214" s="6">
        <f>P214</f>
        <v>4.8499999999999996</v>
      </c>
      <c r="U214" s="6">
        <f>-0.0043*S214^2+3.7742*S214-807.78</f>
        <v>3.3856330749352992</v>
      </c>
      <c r="V214">
        <f>(0.2027*O214+1.2055)*1000</f>
        <v>1205.5</v>
      </c>
    </row>
    <row r="216" spans="14:22">
      <c r="N216" s="6">
        <v>15</v>
      </c>
      <c r="O216" s="6">
        <v>2.2999999999999998</v>
      </c>
      <c r="P216" s="6">
        <v>5.15</v>
      </c>
      <c r="R216" s="6">
        <f>500/6.65</f>
        <v>75.187969924812023</v>
      </c>
      <c r="S216" s="6">
        <f>R216*P216</f>
        <v>387.21804511278197</v>
      </c>
      <c r="T216" s="6">
        <f>P216</f>
        <v>5.15</v>
      </c>
      <c r="U216" s="6">
        <f>-0.0043*S216^2+3.7742*S216-807.78</f>
        <v>8.9257436825146215</v>
      </c>
      <c r="V216">
        <f>(0.2027*O216+1.2055)*1000</f>
        <v>1671.71</v>
      </c>
    </row>
    <row r="218" spans="14:22">
      <c r="N218" s="6">
        <v>16</v>
      </c>
      <c r="P218" s="6">
        <v>2.5499999999999998</v>
      </c>
      <c r="Q218" s="6">
        <v>4.2</v>
      </c>
      <c r="R218" s="6">
        <f>1000/6.65</f>
        <v>150.37593984962405</v>
      </c>
      <c r="S218" s="6">
        <f>R218*P218</f>
        <v>383.45864661654127</v>
      </c>
      <c r="T218" s="6">
        <f>P218</f>
        <v>2.5499999999999998</v>
      </c>
      <c r="U218" s="6">
        <f>-0.0043*S218^2+3.7742*S218-807.78</f>
        <v>7.1953293006953345</v>
      </c>
      <c r="V218">
        <f>(0.2027*O218+1.2055)*1000</f>
        <v>1205.5</v>
      </c>
    </row>
    <row r="220" spans="14:22">
      <c r="N220" s="6">
        <v>13</v>
      </c>
      <c r="O220" s="6">
        <v>1.9</v>
      </c>
      <c r="P220" s="6">
        <v>2.5499999999999998</v>
      </c>
      <c r="Q220" s="6">
        <v>4.2</v>
      </c>
      <c r="R220" s="6">
        <f>1000/6.55</f>
        <v>152.67175572519085</v>
      </c>
      <c r="S220" s="6">
        <f>R220*P220</f>
        <v>389.31297709923666</v>
      </c>
      <c r="T220" s="6">
        <f>P220</f>
        <v>2.5499999999999998</v>
      </c>
      <c r="U220" s="6">
        <f>-0.0043*S220^2+3.7742*S220-807.78</f>
        <v>9.8372833750947848</v>
      </c>
      <c r="V220">
        <f>(0.2027*O220+1.2055)*1000</f>
        <v>1590.6299999999999</v>
      </c>
    </row>
    <row r="222" spans="14:22">
      <c r="N222" s="6">
        <v>17</v>
      </c>
      <c r="O222" s="6">
        <v>2.75</v>
      </c>
      <c r="P222" s="6">
        <v>2.4</v>
      </c>
      <c r="Q222" s="6">
        <v>4.57</v>
      </c>
      <c r="R222" s="6">
        <f>1000/6.45</f>
        <v>155.03875968992247</v>
      </c>
      <c r="S222" s="6">
        <f>R222*P222</f>
        <v>372.09302325581393</v>
      </c>
      <c r="T222" s="6">
        <f>P222</f>
        <v>2.4</v>
      </c>
      <c r="U222" s="6">
        <f>-0.0043*S222^2+3.7742*S222-807.78</f>
        <v>1.2246511627906784</v>
      </c>
      <c r="V222">
        <f>(0.2027*O222+1.2055)*1000</f>
        <v>1762.9250000000002</v>
      </c>
    </row>
    <row r="223" spans="14:22">
      <c r="N223" s="6">
        <v>17</v>
      </c>
      <c r="O223" s="6">
        <v>6.3</v>
      </c>
      <c r="P223" s="6">
        <v>2.4</v>
      </c>
      <c r="Q223" s="6">
        <v>5.72</v>
      </c>
      <c r="R223" s="6">
        <f>1000/6.45</f>
        <v>155.03875968992247</v>
      </c>
      <c r="S223" s="6">
        <f>R223*P223</f>
        <v>372.09302325581393</v>
      </c>
      <c r="T223" s="6">
        <f>P223</f>
        <v>2.4</v>
      </c>
      <c r="U223" s="6">
        <f>-0.0043*S223^2+3.7742*S223-807.78</f>
        <v>1.2246511627906784</v>
      </c>
      <c r="V223">
        <f>(0.2027*O223+1.2055)*1000</f>
        <v>2482.5100000000002</v>
      </c>
    </row>
    <row r="225" spans="14:22">
      <c r="N225" s="6">
        <v>13</v>
      </c>
      <c r="O225" s="6">
        <v>3.75</v>
      </c>
      <c r="P225" s="6">
        <v>2.4</v>
      </c>
      <c r="Q225" s="6">
        <v>5.03</v>
      </c>
      <c r="R225" s="6">
        <f>1000/6.45</f>
        <v>155.03875968992247</v>
      </c>
      <c r="S225" s="6">
        <f>R225*P225</f>
        <v>372.09302325581393</v>
      </c>
      <c r="T225" s="6">
        <f>P225</f>
        <v>2.4</v>
      </c>
      <c r="U225" s="6">
        <f>-0.0043*S225^2+3.7742*S225-807.78</f>
        <v>1.2246511627906784</v>
      </c>
      <c r="V225">
        <f>(0.2027*O225+1.2055)*1000</f>
        <v>1965.625</v>
      </c>
    </row>
    <row r="227" spans="14:22">
      <c r="N227" s="6">
        <v>17</v>
      </c>
      <c r="O227" s="6">
        <v>6.3</v>
      </c>
      <c r="P227" s="6">
        <v>2.4</v>
      </c>
      <c r="Q227" s="6">
        <v>5.28</v>
      </c>
      <c r="R227" s="6">
        <f>500/3.2</f>
        <v>156.25</v>
      </c>
      <c r="S227" s="6">
        <f>R227*P227</f>
        <v>375</v>
      </c>
      <c r="T227" s="6">
        <f>P227</f>
        <v>2.4</v>
      </c>
      <c r="U227" s="6">
        <f>-0.0043*S227^2+3.7742*S227-807.78</f>
        <v>2.8575000000000728</v>
      </c>
      <c r="V227">
        <f>(0.2027*O227+1.2055)*1000</f>
        <v>2482.5100000000002</v>
      </c>
    </row>
    <row r="229" spans="14:22">
      <c r="N229" s="6">
        <v>16</v>
      </c>
      <c r="O229" s="6">
        <v>6.1</v>
      </c>
      <c r="P229" s="6">
        <v>2.48</v>
      </c>
      <c r="Q229" s="6">
        <v>5.6</v>
      </c>
      <c r="R229" s="6">
        <f>1000/6.45</f>
        <v>155.03875968992247</v>
      </c>
      <c r="S229" s="6">
        <f>R229*P229</f>
        <v>384.49612403100775</v>
      </c>
      <c r="T229" s="6">
        <f>P229</f>
        <v>2.48</v>
      </c>
      <c r="U229" s="6">
        <f>-0.0043*S229^2+3.7742*S229-807.78</f>
        <v>7.6850129198965078</v>
      </c>
      <c r="V229">
        <f>(0.2027*O229+1.2055)*1000</f>
        <v>2441.9699999999998</v>
      </c>
    </row>
    <row r="230" spans="14:22">
      <c r="N230" s="6">
        <v>16</v>
      </c>
      <c r="P230" s="6">
        <v>2.4500000000000002</v>
      </c>
      <c r="R230" s="6">
        <f>1000/6.45</f>
        <v>155.03875968992247</v>
      </c>
      <c r="S230" s="6">
        <f>R230*P230</f>
        <v>379.84496124031006</v>
      </c>
      <c r="T230" s="6">
        <f>P230</f>
        <v>2.4500000000000002</v>
      </c>
      <c r="U230" s="6">
        <f>-0.0043*S230^2+3.7742*S230-807.78</f>
        <v>5.417416020671908</v>
      </c>
      <c r="V230">
        <f>(0.2027*O230+1.2055)*1000</f>
        <v>1205.5</v>
      </c>
    </row>
    <row r="232" spans="14:22">
      <c r="N232" s="6">
        <v>18</v>
      </c>
      <c r="P232" s="6">
        <v>2.5</v>
      </c>
      <c r="R232" s="6">
        <f>1000/6.5</f>
        <v>153.84615384615384</v>
      </c>
      <c r="S232" s="6">
        <f t="shared" ref="S232:S237" si="30">R232*P232</f>
        <v>384.61538461538458</v>
      </c>
      <c r="T232" s="6">
        <f t="shared" ref="T232:T237" si="31">P232</f>
        <v>2.5</v>
      </c>
      <c r="U232" s="6">
        <f t="shared" ref="U232:U237" si="32">-0.0043*S232^2+3.7742*S232-807.78</f>
        <v>7.7407100591716471</v>
      </c>
      <c r="V232">
        <f t="shared" ref="V232:V237" si="33">(0.2027*O232+1.2055)*1000</f>
        <v>1205.5</v>
      </c>
    </row>
    <row r="233" spans="14:22">
      <c r="N233" s="6">
        <v>18</v>
      </c>
      <c r="P233" s="6">
        <v>2.4300000000000002</v>
      </c>
      <c r="R233" s="6">
        <f>1000/6.45</f>
        <v>155.03875968992247</v>
      </c>
      <c r="S233" s="6">
        <f t="shared" si="30"/>
        <v>376.74418604651163</v>
      </c>
      <c r="T233" s="6">
        <f t="shared" si="31"/>
        <v>2.4300000000000002</v>
      </c>
      <c r="U233" s="6">
        <f t="shared" si="32"/>
        <v>3.8023255813953938</v>
      </c>
      <c r="V233">
        <f t="shared" si="33"/>
        <v>1205.5</v>
      </c>
    </row>
    <row r="234" spans="14:22">
      <c r="N234" s="6">
        <v>18</v>
      </c>
      <c r="P234" s="6">
        <v>2.4500000000000002</v>
      </c>
      <c r="R234" s="6">
        <f>1000/6.45</f>
        <v>155.03875968992247</v>
      </c>
      <c r="S234" s="6">
        <f t="shared" si="30"/>
        <v>379.84496124031006</v>
      </c>
      <c r="T234" s="6">
        <f t="shared" si="31"/>
        <v>2.4500000000000002</v>
      </c>
      <c r="U234" s="6">
        <f t="shared" si="32"/>
        <v>5.417416020671908</v>
      </c>
      <c r="V234">
        <f t="shared" si="33"/>
        <v>1205.5</v>
      </c>
    </row>
    <row r="235" spans="14:22">
      <c r="N235" s="6">
        <v>18</v>
      </c>
      <c r="P235" s="6">
        <v>2.4</v>
      </c>
      <c r="R235" s="6">
        <f>1000/6.3</f>
        <v>158.73015873015873</v>
      </c>
      <c r="S235" s="6">
        <f t="shared" si="30"/>
        <v>380.95238095238096</v>
      </c>
      <c r="T235" s="6">
        <f t="shared" si="31"/>
        <v>2.4</v>
      </c>
      <c r="U235" s="6">
        <f t="shared" si="32"/>
        <v>5.9741950113379971</v>
      </c>
      <c r="V235">
        <f t="shared" si="33"/>
        <v>1205.5</v>
      </c>
    </row>
    <row r="236" spans="14:22">
      <c r="N236" s="6" t="s">
        <v>40</v>
      </c>
      <c r="P236" s="6">
        <v>2.5</v>
      </c>
      <c r="R236" s="6">
        <f>1000/6.45</f>
        <v>155.03875968992247</v>
      </c>
      <c r="S236" s="6">
        <f t="shared" si="30"/>
        <v>387.59689922480618</v>
      </c>
      <c r="T236" s="6">
        <f t="shared" si="31"/>
        <v>2.5</v>
      </c>
      <c r="U236" s="6">
        <f t="shared" si="32"/>
        <v>9.0933850129200664</v>
      </c>
      <c r="V236">
        <f t="shared" si="33"/>
        <v>1205.5</v>
      </c>
    </row>
    <row r="237" spans="14:22">
      <c r="N237" s="6" t="s">
        <v>40</v>
      </c>
      <c r="P237" s="6">
        <v>2.5</v>
      </c>
      <c r="R237" s="6">
        <f>1000/6.45</f>
        <v>155.03875968992247</v>
      </c>
      <c r="S237" s="6">
        <f t="shared" si="30"/>
        <v>387.59689922480618</v>
      </c>
      <c r="T237" s="6">
        <f t="shared" si="31"/>
        <v>2.5</v>
      </c>
      <c r="U237" s="6">
        <f t="shared" si="32"/>
        <v>9.0933850129200664</v>
      </c>
      <c r="V237">
        <f t="shared" si="33"/>
        <v>1205.5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0"/>
  <sheetViews>
    <sheetView topLeftCell="A148" workbookViewId="0">
      <selection activeCell="G177" sqref="G177"/>
    </sheetView>
  </sheetViews>
  <sheetFormatPr defaultColWidth="9.1796875" defaultRowHeight="12.5"/>
  <cols>
    <col min="1" max="1" width="9.26953125" style="6" bestFit="1" customWidth="1"/>
    <col min="2" max="4" width="9.1796875" style="6"/>
    <col min="5" max="5" width="9.1796875" style="19"/>
    <col min="6" max="6" width="10" style="6" bestFit="1" customWidth="1"/>
    <col min="7" max="16384" width="9.1796875" style="6"/>
  </cols>
  <sheetData>
    <row r="1" spans="1:12">
      <c r="A1" s="6" t="s">
        <v>63</v>
      </c>
      <c r="B1" s="6" t="s">
        <v>64</v>
      </c>
      <c r="C1" s="6" t="s">
        <v>3</v>
      </c>
      <c r="D1" s="6" t="s">
        <v>73</v>
      </c>
      <c r="E1" s="19" t="s">
        <v>74</v>
      </c>
      <c r="F1" s="19"/>
      <c r="G1" s="6" t="s">
        <v>66</v>
      </c>
      <c r="H1" s="6" t="s">
        <v>65</v>
      </c>
      <c r="I1" s="6" t="s">
        <v>67</v>
      </c>
      <c r="J1" s="6" t="s">
        <v>68</v>
      </c>
      <c r="K1" s="6" t="s">
        <v>69</v>
      </c>
    </row>
    <row r="2" spans="1:12">
      <c r="A2" s="6">
        <v>0</v>
      </c>
      <c r="B2" s="6">
        <v>20</v>
      </c>
      <c r="C2" s="6">
        <v>880</v>
      </c>
      <c r="D2" s="6">
        <v>2160</v>
      </c>
      <c r="E2" s="19">
        <f>D2/1000*527.5</f>
        <v>1139.4000000000001</v>
      </c>
      <c r="F2" s="24">
        <v>37613</v>
      </c>
      <c r="G2" s="6">
        <v>0</v>
      </c>
      <c r="H2" s="6">
        <f>212.23*G2+1145.3</f>
        <v>1145.3</v>
      </c>
      <c r="I2" s="6">
        <f>G2*2027+1205.5</f>
        <v>1205.5</v>
      </c>
      <c r="J2" s="6">
        <f>I2-H2</f>
        <v>60.200000000000045</v>
      </c>
      <c r="K2" s="20">
        <f>J2/I2</f>
        <v>4.9937785151389504E-2</v>
      </c>
    </row>
    <row r="3" spans="1:12">
      <c r="A3" s="6">
        <v>0</v>
      </c>
      <c r="B3" s="6">
        <v>18.8</v>
      </c>
      <c r="C3" s="6">
        <v>820</v>
      </c>
      <c r="D3" s="6">
        <v>2185</v>
      </c>
      <c r="E3" s="19">
        <f t="shared" ref="E3:E38" si="0">D3/1000*527.5</f>
        <v>1152.5875000000001</v>
      </c>
      <c r="F3" s="19"/>
      <c r="G3" s="6">
        <v>1</v>
      </c>
      <c r="H3" s="6">
        <f t="shared" ref="H3:H8" si="1">212.23*G3+1145.3</f>
        <v>1357.53</v>
      </c>
      <c r="I3" s="6">
        <f t="shared" ref="I3:I8" si="2">G3*202.7+1205.5</f>
        <v>1408.2</v>
      </c>
      <c r="J3" s="6">
        <f t="shared" ref="J3:J8" si="3">I3-H3</f>
        <v>50.670000000000073</v>
      </c>
      <c r="K3" s="20">
        <f t="shared" ref="K3:K8" si="4">J3/I3</f>
        <v>3.5982104814657058E-2</v>
      </c>
    </row>
    <row r="4" spans="1:12">
      <c r="A4" s="6">
        <v>0</v>
      </c>
      <c r="B4" s="6">
        <v>17.2</v>
      </c>
      <c r="C4" s="6">
        <v>1060</v>
      </c>
      <c r="D4" s="6">
        <v>2185</v>
      </c>
      <c r="E4" s="19">
        <f t="shared" si="0"/>
        <v>1152.5875000000001</v>
      </c>
      <c r="F4" s="19"/>
      <c r="G4" s="6">
        <v>2</v>
      </c>
      <c r="H4" s="6">
        <f t="shared" si="1"/>
        <v>1569.76</v>
      </c>
      <c r="I4" s="6">
        <f t="shared" si="2"/>
        <v>1610.9</v>
      </c>
      <c r="J4" s="6">
        <f t="shared" si="3"/>
        <v>41.1400000000001</v>
      </c>
      <c r="K4" s="20">
        <f t="shared" si="4"/>
        <v>2.5538518840399836E-2</v>
      </c>
    </row>
    <row r="5" spans="1:12">
      <c r="A5" s="6">
        <v>0</v>
      </c>
      <c r="B5" s="6">
        <v>16.8</v>
      </c>
      <c r="C5" s="6">
        <v>1380</v>
      </c>
      <c r="D5" s="6">
        <v>2185</v>
      </c>
      <c r="E5" s="19">
        <f t="shared" si="0"/>
        <v>1152.5875000000001</v>
      </c>
      <c r="F5" s="19"/>
      <c r="G5" s="6">
        <v>3</v>
      </c>
      <c r="H5" s="6">
        <f t="shared" si="1"/>
        <v>1781.9899999999998</v>
      </c>
      <c r="I5" s="6">
        <f t="shared" si="2"/>
        <v>1813.6</v>
      </c>
      <c r="J5" s="6">
        <f t="shared" si="3"/>
        <v>31.610000000000127</v>
      </c>
      <c r="K5" s="20">
        <f t="shared" si="4"/>
        <v>1.7429422143802453E-2</v>
      </c>
    </row>
    <row r="6" spans="1:12">
      <c r="A6" s="6">
        <v>0</v>
      </c>
      <c r="B6" s="6">
        <v>19.600000000000001</v>
      </c>
      <c r="C6" s="6">
        <v>1440</v>
      </c>
      <c r="D6" s="6">
        <v>2185</v>
      </c>
      <c r="E6" s="19">
        <f t="shared" si="0"/>
        <v>1152.5875000000001</v>
      </c>
      <c r="F6" s="19"/>
      <c r="G6" s="6">
        <v>4</v>
      </c>
      <c r="H6" s="6">
        <f t="shared" si="1"/>
        <v>1994.2199999999998</v>
      </c>
      <c r="I6" s="6">
        <f t="shared" si="2"/>
        <v>2016.3</v>
      </c>
      <c r="J6" s="6">
        <f t="shared" si="3"/>
        <v>22.080000000000155</v>
      </c>
      <c r="K6" s="20">
        <f t="shared" si="4"/>
        <v>1.0950751376283369E-2</v>
      </c>
    </row>
    <row r="7" spans="1:12">
      <c r="A7" s="6">
        <v>0</v>
      </c>
      <c r="B7" s="6">
        <v>18.399999999999999</v>
      </c>
      <c r="C7" s="6">
        <v>1400</v>
      </c>
      <c r="D7" s="6">
        <v>2185</v>
      </c>
      <c r="E7" s="19">
        <f t="shared" si="0"/>
        <v>1152.5875000000001</v>
      </c>
      <c r="F7" s="19"/>
      <c r="G7" s="6">
        <v>5</v>
      </c>
      <c r="H7" s="6">
        <f t="shared" si="1"/>
        <v>2206.4499999999998</v>
      </c>
      <c r="I7" s="6">
        <f t="shared" si="2"/>
        <v>2219</v>
      </c>
      <c r="J7" s="6">
        <f t="shared" si="3"/>
        <v>12.550000000000182</v>
      </c>
      <c r="K7" s="20">
        <f t="shared" si="4"/>
        <v>5.6557007661109425E-3</v>
      </c>
    </row>
    <row r="8" spans="1:12">
      <c r="A8" s="6">
        <v>0</v>
      </c>
      <c r="B8" s="6">
        <v>16.399999999999999</v>
      </c>
      <c r="C8" s="6">
        <v>1280</v>
      </c>
      <c r="D8" s="6">
        <v>2185</v>
      </c>
      <c r="E8" s="19">
        <f t="shared" si="0"/>
        <v>1152.5875000000001</v>
      </c>
      <c r="F8" s="19"/>
      <c r="G8" s="6">
        <v>6</v>
      </c>
      <c r="H8" s="6">
        <f t="shared" si="1"/>
        <v>2418.6799999999998</v>
      </c>
      <c r="I8" s="6">
        <f t="shared" si="2"/>
        <v>2421.6999999999998</v>
      </c>
      <c r="J8" s="6">
        <f t="shared" si="3"/>
        <v>3.0199999999999818</v>
      </c>
      <c r="K8" s="20">
        <f t="shared" si="4"/>
        <v>1.247057851922196E-3</v>
      </c>
    </row>
    <row r="9" spans="1:12" ht="13" thickBot="1">
      <c r="A9" s="6">
        <v>0</v>
      </c>
      <c r="B9" s="6">
        <v>19.600000000000001</v>
      </c>
      <c r="C9" s="6">
        <v>1222</v>
      </c>
      <c r="D9" s="6">
        <v>2185</v>
      </c>
      <c r="E9" s="19">
        <f t="shared" si="0"/>
        <v>1152.5875000000001</v>
      </c>
      <c r="G9" s="6" t="s">
        <v>70</v>
      </c>
    </row>
    <row r="10" spans="1:12" ht="13" thickTop="1">
      <c r="A10" s="6">
        <v>0</v>
      </c>
      <c r="B10" s="6">
        <v>17.600000000000001</v>
      </c>
      <c r="C10" s="6">
        <v>1280</v>
      </c>
      <c r="D10" s="6">
        <v>2185</v>
      </c>
      <c r="E10" s="19">
        <f t="shared" si="0"/>
        <v>1152.5875000000001</v>
      </c>
      <c r="G10" s="26" t="s">
        <v>63</v>
      </c>
      <c r="H10" s="21" t="s">
        <v>64</v>
      </c>
      <c r="I10" s="21" t="s">
        <v>3</v>
      </c>
      <c r="J10" s="21" t="s">
        <v>73</v>
      </c>
      <c r="K10" s="27" t="s">
        <v>74</v>
      </c>
    </row>
    <row r="11" spans="1:12">
      <c r="A11" s="6">
        <v>0</v>
      </c>
      <c r="B11" s="6">
        <v>18.8</v>
      </c>
      <c r="C11" s="6">
        <v>1400</v>
      </c>
      <c r="D11" s="6">
        <v>2185</v>
      </c>
      <c r="E11" s="19">
        <f t="shared" si="0"/>
        <v>1152.5875000000001</v>
      </c>
      <c r="G11" s="28">
        <v>0</v>
      </c>
      <c r="H11" s="29">
        <v>19.600000000000001</v>
      </c>
      <c r="I11" s="29">
        <v>1440</v>
      </c>
      <c r="J11" s="29">
        <v>2185</v>
      </c>
      <c r="K11" s="30">
        <v>1152.5875000000001</v>
      </c>
      <c r="L11" s="6">
        <f t="shared" ref="L11:L16" si="5">J11/1000*527.5/1000</f>
        <v>1.1525875000000001</v>
      </c>
    </row>
    <row r="12" spans="1:12">
      <c r="A12" s="6">
        <v>0</v>
      </c>
      <c r="B12" s="6">
        <v>12.8</v>
      </c>
      <c r="C12" s="6">
        <v>940</v>
      </c>
      <c r="D12" s="6">
        <v>2185</v>
      </c>
      <c r="E12" s="19">
        <f t="shared" si="0"/>
        <v>1152.5875000000001</v>
      </c>
      <c r="G12" s="28">
        <v>0.5</v>
      </c>
      <c r="H12" s="29">
        <v>22.4</v>
      </c>
      <c r="I12" s="29">
        <v>1640</v>
      </c>
      <c r="J12" s="29">
        <v>2380</v>
      </c>
      <c r="K12" s="30">
        <v>1255.45</v>
      </c>
      <c r="L12" s="6">
        <f t="shared" si="5"/>
        <v>1.25545</v>
      </c>
    </row>
    <row r="13" spans="1:12">
      <c r="A13" s="6">
        <v>0</v>
      </c>
      <c r="B13" s="6">
        <v>20</v>
      </c>
      <c r="C13" s="6">
        <v>1280</v>
      </c>
      <c r="D13" s="6">
        <v>2185</v>
      </c>
      <c r="E13" s="19">
        <f t="shared" si="0"/>
        <v>1152.5875000000001</v>
      </c>
      <c r="G13" s="28">
        <v>1</v>
      </c>
      <c r="H13" s="29">
        <v>24.4</v>
      </c>
      <c r="I13" s="29">
        <v>1800</v>
      </c>
      <c r="J13" s="29">
        <v>2560</v>
      </c>
      <c r="K13" s="30">
        <v>1350.4</v>
      </c>
      <c r="L13" s="6">
        <f t="shared" si="5"/>
        <v>1.3504</v>
      </c>
    </row>
    <row r="14" spans="1:12">
      <c r="A14" s="6">
        <v>0</v>
      </c>
      <c r="B14" s="6">
        <v>19.2</v>
      </c>
      <c r="C14" s="6">
        <v>1540</v>
      </c>
      <c r="D14" s="6">
        <v>2185</v>
      </c>
      <c r="E14" s="19">
        <f t="shared" si="0"/>
        <v>1152.5875000000001</v>
      </c>
      <c r="G14" s="28">
        <v>1.5</v>
      </c>
      <c r="H14" s="29">
        <v>26.8</v>
      </c>
      <c r="I14" s="29">
        <v>2060</v>
      </c>
      <c r="J14" s="29">
        <v>2750</v>
      </c>
      <c r="K14" s="30">
        <v>1450.625</v>
      </c>
      <c r="L14" s="6">
        <f t="shared" si="5"/>
        <v>1.4506250000000001</v>
      </c>
    </row>
    <row r="15" spans="1:12">
      <c r="A15" s="6">
        <v>0.5</v>
      </c>
      <c r="B15" s="6">
        <v>12.4</v>
      </c>
      <c r="C15" s="6">
        <v>1600</v>
      </c>
      <c r="D15" s="6">
        <v>2340</v>
      </c>
      <c r="E15" s="19">
        <f t="shared" si="0"/>
        <v>1234.3499999999999</v>
      </c>
      <c r="G15" s="28">
        <v>2</v>
      </c>
      <c r="H15" s="29">
        <v>28.8</v>
      </c>
      <c r="I15" s="29">
        <v>2080</v>
      </c>
      <c r="J15" s="29">
        <v>2925</v>
      </c>
      <c r="K15" s="30">
        <v>1542.9375</v>
      </c>
      <c r="L15" s="6">
        <f t="shared" si="5"/>
        <v>1.5429375000000001</v>
      </c>
    </row>
    <row r="16" spans="1:12">
      <c r="A16" s="6">
        <v>0.5</v>
      </c>
      <c r="B16" s="6">
        <v>20.399999999999999</v>
      </c>
      <c r="C16" s="6">
        <v>1260</v>
      </c>
      <c r="D16" s="6">
        <v>2340</v>
      </c>
      <c r="E16" s="19">
        <f t="shared" si="0"/>
        <v>1234.3499999999999</v>
      </c>
      <c r="G16" s="28">
        <v>2.5</v>
      </c>
      <c r="H16" s="29">
        <v>30.4</v>
      </c>
      <c r="I16" s="29">
        <v>2200</v>
      </c>
      <c r="J16" s="29">
        <v>3200</v>
      </c>
      <c r="K16" s="30">
        <v>1688</v>
      </c>
      <c r="L16" s="6">
        <f t="shared" si="5"/>
        <v>1.6879999999999999</v>
      </c>
    </row>
    <row r="17" spans="1:12">
      <c r="A17" s="6">
        <v>0.5</v>
      </c>
      <c r="B17" s="6">
        <v>14</v>
      </c>
      <c r="C17" s="6">
        <v>1660</v>
      </c>
      <c r="D17" s="6">
        <v>2380</v>
      </c>
      <c r="E17" s="19">
        <f t="shared" si="0"/>
        <v>1255.45</v>
      </c>
      <c r="G17" s="28">
        <v>3</v>
      </c>
      <c r="H17" s="29">
        <v>32.4</v>
      </c>
      <c r="I17" s="29">
        <v>2360</v>
      </c>
      <c r="J17" s="29">
        <v>3.42</v>
      </c>
      <c r="K17" s="30">
        <v>1804.05</v>
      </c>
      <c r="L17" s="6">
        <f t="shared" ref="L17:L24" si="6">J17/1000*527.5</f>
        <v>1.8040499999999999</v>
      </c>
    </row>
    <row r="18" spans="1:12">
      <c r="A18" s="6">
        <v>0.5</v>
      </c>
      <c r="B18" s="6">
        <v>15.6</v>
      </c>
      <c r="C18" s="6">
        <v>1420</v>
      </c>
      <c r="D18" s="6">
        <v>2380</v>
      </c>
      <c r="E18" s="19">
        <f t="shared" si="0"/>
        <v>1255.45</v>
      </c>
      <c r="G18" s="28">
        <v>3.5</v>
      </c>
      <c r="H18" s="29">
        <v>34.4</v>
      </c>
      <c r="I18" s="29">
        <v>2400</v>
      </c>
      <c r="J18" s="29">
        <v>3.59</v>
      </c>
      <c r="K18" s="30">
        <v>1893.7249999999999</v>
      </c>
      <c r="L18" s="6">
        <f t="shared" si="6"/>
        <v>1.8937249999999999</v>
      </c>
    </row>
    <row r="19" spans="1:12">
      <c r="A19" s="6">
        <v>0.5</v>
      </c>
      <c r="B19" s="6">
        <v>22.4</v>
      </c>
      <c r="C19" s="6">
        <v>1640</v>
      </c>
      <c r="D19" s="6">
        <v>2380</v>
      </c>
      <c r="E19" s="19">
        <f t="shared" si="0"/>
        <v>1255.45</v>
      </c>
      <c r="G19" s="28"/>
      <c r="H19" s="29"/>
      <c r="I19" s="29"/>
      <c r="J19" s="29"/>
      <c r="K19" s="30"/>
      <c r="L19" s="6">
        <f t="shared" si="6"/>
        <v>0</v>
      </c>
    </row>
    <row r="20" spans="1:12">
      <c r="A20" s="6">
        <v>1</v>
      </c>
      <c r="B20" s="6">
        <v>23.2</v>
      </c>
      <c r="C20" s="6">
        <v>1780</v>
      </c>
      <c r="D20" s="6">
        <v>2560</v>
      </c>
      <c r="E20" s="19">
        <f t="shared" si="0"/>
        <v>1350.4</v>
      </c>
      <c r="G20" s="28">
        <v>4.5</v>
      </c>
      <c r="H20" s="29">
        <v>38.799999999999997</v>
      </c>
      <c r="I20" s="29">
        <v>2640</v>
      </c>
      <c r="J20" s="29">
        <v>4</v>
      </c>
      <c r="K20" s="30">
        <v>2110</v>
      </c>
      <c r="L20" s="6">
        <f t="shared" si="6"/>
        <v>2.11</v>
      </c>
    </row>
    <row r="21" spans="1:12">
      <c r="A21" s="6">
        <v>1</v>
      </c>
      <c r="B21" s="6">
        <v>22.8</v>
      </c>
      <c r="C21" s="6">
        <v>1100</v>
      </c>
      <c r="D21" s="6">
        <v>2560</v>
      </c>
      <c r="E21" s="19">
        <f t="shared" si="0"/>
        <v>1350.4</v>
      </c>
      <c r="G21" s="28">
        <v>5</v>
      </c>
      <c r="H21" s="29">
        <v>39.6</v>
      </c>
      <c r="I21" s="29">
        <v>2800</v>
      </c>
      <c r="J21" s="29">
        <v>4.17</v>
      </c>
      <c r="K21" s="30">
        <v>2199.6750000000002</v>
      </c>
      <c r="L21" s="6">
        <f t="shared" si="6"/>
        <v>2.199675</v>
      </c>
    </row>
    <row r="22" spans="1:12">
      <c r="A22" s="6">
        <v>1</v>
      </c>
      <c r="B22" s="6">
        <v>20.399999999999999</v>
      </c>
      <c r="C22" s="6">
        <v>1780</v>
      </c>
      <c r="D22" s="6">
        <v>2560</v>
      </c>
      <c r="E22" s="19">
        <f t="shared" si="0"/>
        <v>1350.4</v>
      </c>
      <c r="G22" s="28">
        <v>5.5</v>
      </c>
      <c r="H22" s="29">
        <v>41.6</v>
      </c>
      <c r="I22" s="29">
        <v>2920</v>
      </c>
      <c r="J22" s="29">
        <v>4.29</v>
      </c>
      <c r="K22" s="30">
        <v>2262.9749999999999</v>
      </c>
      <c r="L22" s="6">
        <f t="shared" si="6"/>
        <v>2.2629750000000004</v>
      </c>
    </row>
    <row r="23" spans="1:12">
      <c r="A23" s="6">
        <v>1</v>
      </c>
      <c r="B23" s="6">
        <v>24.8</v>
      </c>
      <c r="C23" s="6">
        <v>1680</v>
      </c>
      <c r="D23" s="6">
        <v>2560</v>
      </c>
      <c r="E23" s="19">
        <f t="shared" si="0"/>
        <v>1350.4</v>
      </c>
      <c r="G23" s="28">
        <v>6</v>
      </c>
      <c r="H23" s="29">
        <v>44</v>
      </c>
      <c r="I23" s="29">
        <v>3080</v>
      </c>
      <c r="J23" s="29">
        <v>4.4800000000000004</v>
      </c>
      <c r="K23" s="30">
        <v>2363.1999999999998</v>
      </c>
      <c r="L23" s="6">
        <f t="shared" si="6"/>
        <v>2.3632000000000004</v>
      </c>
    </row>
    <row r="24" spans="1:12" ht="13" thickBot="1">
      <c r="A24" s="6">
        <v>1</v>
      </c>
      <c r="B24" s="6">
        <v>24.4</v>
      </c>
      <c r="C24" s="6">
        <v>1800</v>
      </c>
      <c r="D24" s="6">
        <v>2560</v>
      </c>
      <c r="E24" s="19">
        <f t="shared" si="0"/>
        <v>1350.4</v>
      </c>
      <c r="G24" s="28">
        <v>6.5</v>
      </c>
      <c r="H24" s="29">
        <v>46.4</v>
      </c>
      <c r="I24" s="29">
        <v>3200</v>
      </c>
      <c r="J24" s="29">
        <v>4.6500000000000004</v>
      </c>
      <c r="K24" s="30">
        <v>2452.875</v>
      </c>
      <c r="L24" s="6">
        <f t="shared" si="6"/>
        <v>2.4528750000000001</v>
      </c>
    </row>
    <row r="25" spans="1:12" ht="13" thickTop="1">
      <c r="A25" s="6">
        <v>1</v>
      </c>
      <c r="B25" s="6">
        <v>18.399999999999999</v>
      </c>
      <c r="C25" s="6">
        <v>1760</v>
      </c>
      <c r="D25" s="6">
        <v>2560</v>
      </c>
      <c r="E25" s="19">
        <f t="shared" si="0"/>
        <v>1350.4</v>
      </c>
      <c r="G25" s="36">
        <v>0</v>
      </c>
      <c r="H25" s="37"/>
      <c r="I25" s="37">
        <v>2120</v>
      </c>
      <c r="J25" s="37"/>
      <c r="K25" s="38"/>
      <c r="L25" s="44">
        <v>36404</v>
      </c>
    </row>
    <row r="26" spans="1:12">
      <c r="A26" s="6">
        <v>1.5</v>
      </c>
      <c r="B26" s="6">
        <v>26.8</v>
      </c>
      <c r="C26" s="6">
        <v>1920</v>
      </c>
      <c r="D26" s="6">
        <v>2750</v>
      </c>
      <c r="E26" s="19">
        <f t="shared" si="0"/>
        <v>1450.625</v>
      </c>
      <c r="G26" s="39">
        <v>1</v>
      </c>
      <c r="H26" s="29"/>
      <c r="I26" s="29">
        <v>2520</v>
      </c>
      <c r="J26" s="29"/>
      <c r="K26" s="40"/>
    </row>
    <row r="27" spans="1:12">
      <c r="A27" s="6">
        <v>1.5</v>
      </c>
      <c r="B27" s="6">
        <v>26.8</v>
      </c>
      <c r="C27" s="6">
        <v>2060</v>
      </c>
      <c r="D27" s="6">
        <v>2750</v>
      </c>
      <c r="E27" s="19">
        <f t="shared" si="0"/>
        <v>1450.625</v>
      </c>
      <c r="G27" s="39">
        <v>1.5</v>
      </c>
      <c r="H27" s="29"/>
      <c r="I27" s="29">
        <v>2640</v>
      </c>
      <c r="J27" s="29"/>
      <c r="K27" s="40"/>
    </row>
    <row r="28" spans="1:12">
      <c r="A28" s="6">
        <v>1.5</v>
      </c>
      <c r="B28" s="6">
        <v>18</v>
      </c>
      <c r="C28" s="6">
        <v>1060</v>
      </c>
      <c r="D28" s="6">
        <v>2750</v>
      </c>
      <c r="E28" s="19">
        <f t="shared" si="0"/>
        <v>1450.625</v>
      </c>
      <c r="G28" s="39">
        <v>0</v>
      </c>
      <c r="H28" s="29"/>
      <c r="I28" s="29">
        <v>2080</v>
      </c>
      <c r="J28" s="29"/>
      <c r="K28" s="40"/>
    </row>
    <row r="29" spans="1:12">
      <c r="A29" s="6">
        <v>1.5</v>
      </c>
      <c r="B29" s="6">
        <v>20.399999999999999</v>
      </c>
      <c r="C29" s="6">
        <v>1920</v>
      </c>
      <c r="D29" s="6">
        <v>2750</v>
      </c>
      <c r="E29" s="19">
        <f t="shared" si="0"/>
        <v>1450.625</v>
      </c>
      <c r="G29" s="39">
        <v>1</v>
      </c>
      <c r="H29" s="29"/>
      <c r="I29" s="29">
        <v>2480</v>
      </c>
      <c r="J29" s="29"/>
      <c r="K29" s="40"/>
    </row>
    <row r="30" spans="1:12" ht="13" thickBot="1">
      <c r="A30" s="6">
        <v>2</v>
      </c>
      <c r="B30" s="6">
        <v>28.8</v>
      </c>
      <c r="C30" s="6">
        <v>2080</v>
      </c>
      <c r="D30" s="6">
        <v>2925</v>
      </c>
      <c r="E30" s="19">
        <f t="shared" si="0"/>
        <v>1542.9375</v>
      </c>
      <c r="G30" s="41">
        <v>1.5</v>
      </c>
      <c r="H30" s="42"/>
      <c r="I30" s="42">
        <v>2640</v>
      </c>
      <c r="J30" s="42"/>
      <c r="K30" s="43"/>
    </row>
    <row r="31" spans="1:12" ht="13" thickTop="1">
      <c r="A31" s="6">
        <v>2</v>
      </c>
      <c r="B31" s="6">
        <v>28.8</v>
      </c>
      <c r="C31" s="6">
        <v>2000</v>
      </c>
      <c r="D31" s="6">
        <v>2935</v>
      </c>
      <c r="E31" s="19">
        <f t="shared" si="0"/>
        <v>1548.2125000000001</v>
      </c>
      <c r="G31" s="31"/>
      <c r="H31" s="29">
        <v>27.6</v>
      </c>
      <c r="I31" s="29">
        <v>2520</v>
      </c>
      <c r="J31" s="29"/>
      <c r="K31" s="32">
        <v>1800</v>
      </c>
      <c r="L31" s="44">
        <v>36434</v>
      </c>
    </row>
    <row r="32" spans="1:12">
      <c r="A32" s="6">
        <v>2</v>
      </c>
      <c r="B32" s="6">
        <v>28.8</v>
      </c>
      <c r="C32" s="6">
        <v>2080</v>
      </c>
      <c r="D32" s="6">
        <v>2935</v>
      </c>
      <c r="E32" s="19">
        <f t="shared" si="0"/>
        <v>1548.2125000000001</v>
      </c>
      <c r="G32" s="31">
        <v>3</v>
      </c>
      <c r="H32" s="29"/>
      <c r="I32" s="29">
        <v>4640</v>
      </c>
      <c r="J32" s="29"/>
      <c r="K32" s="32"/>
    </row>
    <row r="33" spans="1:18">
      <c r="A33" s="6">
        <v>2</v>
      </c>
      <c r="B33" s="6">
        <v>28.8</v>
      </c>
      <c r="C33" s="6">
        <v>2000</v>
      </c>
      <c r="D33" s="6">
        <v>2935</v>
      </c>
      <c r="E33" s="19">
        <f t="shared" si="0"/>
        <v>1548.2125000000001</v>
      </c>
      <c r="G33" s="31"/>
      <c r="H33" s="29">
        <v>62.4</v>
      </c>
      <c r="I33" s="29">
        <v>6400</v>
      </c>
      <c r="J33" s="29"/>
      <c r="K33" s="32">
        <v>2330</v>
      </c>
    </row>
    <row r="34" spans="1:18">
      <c r="A34" s="6">
        <v>2</v>
      </c>
      <c r="B34" s="6">
        <v>28.8</v>
      </c>
      <c r="C34" s="6">
        <v>2080</v>
      </c>
      <c r="D34" s="6">
        <v>2935</v>
      </c>
      <c r="E34" s="19">
        <f t="shared" si="0"/>
        <v>1548.2125000000001</v>
      </c>
      <c r="G34" s="31"/>
      <c r="H34" s="29">
        <v>54</v>
      </c>
      <c r="I34" s="29">
        <v>4880</v>
      </c>
      <c r="J34" s="29"/>
      <c r="K34" s="32"/>
      <c r="N34" s="29">
        <v>13.8</v>
      </c>
      <c r="O34" s="6">
        <f>2*N34</f>
        <v>27.6</v>
      </c>
      <c r="Q34" s="29">
        <v>19.600000000000001</v>
      </c>
      <c r="R34" s="6">
        <f t="shared" ref="R34:R47" si="7">2*Q34</f>
        <v>39.200000000000003</v>
      </c>
    </row>
    <row r="35" spans="1:18">
      <c r="A35" s="6">
        <v>2.5</v>
      </c>
      <c r="B35" s="6">
        <v>30.4</v>
      </c>
      <c r="C35" s="6">
        <v>2200</v>
      </c>
      <c r="D35" s="6">
        <v>3200</v>
      </c>
      <c r="E35" s="19">
        <f t="shared" si="0"/>
        <v>1688</v>
      </c>
      <c r="G35" s="31"/>
      <c r="H35" s="29">
        <v>48.4</v>
      </c>
      <c r="I35" s="29">
        <v>4760</v>
      </c>
      <c r="J35" s="29"/>
      <c r="K35" s="32"/>
      <c r="N35" s="29"/>
      <c r="Q35" s="29">
        <v>22.4</v>
      </c>
      <c r="R35" s="6">
        <f t="shared" si="7"/>
        <v>44.8</v>
      </c>
    </row>
    <row r="36" spans="1:18" ht="13" thickBot="1">
      <c r="A36" s="6">
        <v>2.5</v>
      </c>
      <c r="B36" s="6">
        <v>30.8</v>
      </c>
      <c r="C36" s="6">
        <v>2200</v>
      </c>
      <c r="D36" s="6">
        <v>3200</v>
      </c>
      <c r="E36" s="19">
        <f t="shared" si="0"/>
        <v>1688</v>
      </c>
      <c r="G36" s="33"/>
      <c r="H36" s="34"/>
      <c r="I36" s="34"/>
      <c r="J36" s="34"/>
      <c r="K36" s="35"/>
      <c r="N36" s="29">
        <v>31.2</v>
      </c>
      <c r="O36" s="6">
        <f>2*N36</f>
        <v>62.4</v>
      </c>
      <c r="Q36" s="29">
        <v>24.4</v>
      </c>
      <c r="R36" s="6">
        <f t="shared" si="7"/>
        <v>48.8</v>
      </c>
    </row>
    <row r="37" spans="1:18" ht="13" thickTop="1">
      <c r="A37" s="6">
        <v>2.5</v>
      </c>
      <c r="B37" s="6">
        <v>30.4</v>
      </c>
      <c r="C37" s="6">
        <v>2200</v>
      </c>
      <c r="D37" s="6">
        <v>3200</v>
      </c>
      <c r="E37" s="19">
        <f t="shared" si="0"/>
        <v>1688</v>
      </c>
      <c r="H37" s="6">
        <v>59.99</v>
      </c>
      <c r="I37" s="6">
        <v>5280</v>
      </c>
      <c r="L37" s="44">
        <v>33055</v>
      </c>
      <c r="N37" s="29">
        <v>27</v>
      </c>
      <c r="O37" s="6">
        <f>2*N37</f>
        <v>54</v>
      </c>
      <c r="Q37" s="29">
        <v>26.8</v>
      </c>
      <c r="R37" s="6">
        <f t="shared" si="7"/>
        <v>53.6</v>
      </c>
    </row>
    <row r="38" spans="1:18">
      <c r="A38" s="6">
        <v>2.5</v>
      </c>
      <c r="B38" s="6">
        <v>30.8</v>
      </c>
      <c r="C38" s="6">
        <v>2200</v>
      </c>
      <c r="D38" s="6">
        <v>3200</v>
      </c>
      <c r="E38" s="19">
        <f t="shared" si="0"/>
        <v>1688</v>
      </c>
      <c r="H38" s="6">
        <v>57.15</v>
      </c>
      <c r="I38" s="6">
        <v>5030</v>
      </c>
      <c r="N38" s="29">
        <v>24.2</v>
      </c>
      <c r="O38" s="6">
        <f>2*N38</f>
        <v>48.4</v>
      </c>
      <c r="Q38" s="29">
        <v>28.8</v>
      </c>
      <c r="R38" s="6">
        <f t="shared" si="7"/>
        <v>57.6</v>
      </c>
    </row>
    <row r="39" spans="1:18">
      <c r="A39" s="6">
        <v>3</v>
      </c>
      <c r="B39" s="6">
        <v>32.4</v>
      </c>
      <c r="C39" s="6">
        <v>2320</v>
      </c>
      <c r="D39" s="6">
        <v>3.43</v>
      </c>
      <c r="E39" s="19">
        <f>D39*527.5</f>
        <v>1809.325</v>
      </c>
      <c r="H39" s="6">
        <v>57.26</v>
      </c>
      <c r="I39" s="6">
        <v>5040</v>
      </c>
      <c r="Q39" s="29">
        <v>30.4</v>
      </c>
      <c r="R39" s="6">
        <f t="shared" si="7"/>
        <v>60.8</v>
      </c>
    </row>
    <row r="40" spans="1:18">
      <c r="A40" s="6">
        <v>3</v>
      </c>
      <c r="B40" s="6">
        <v>32.799999999999997</v>
      </c>
      <c r="C40" s="6">
        <v>2320</v>
      </c>
      <c r="D40" s="6">
        <v>3.42</v>
      </c>
      <c r="E40" s="19">
        <f t="shared" ref="E40:E67" si="8">D40*527.5</f>
        <v>1804.05</v>
      </c>
      <c r="H40" s="6">
        <v>64.760000000000005</v>
      </c>
      <c r="I40" s="6">
        <v>5700</v>
      </c>
      <c r="Q40" s="29">
        <v>32.4</v>
      </c>
      <c r="R40" s="6">
        <f t="shared" si="7"/>
        <v>64.8</v>
      </c>
    </row>
    <row r="41" spans="1:18">
      <c r="A41" s="6">
        <v>3</v>
      </c>
      <c r="B41" s="6">
        <v>32.4</v>
      </c>
      <c r="C41" s="6">
        <v>2360</v>
      </c>
      <c r="D41" s="6">
        <v>3.42</v>
      </c>
      <c r="E41" s="19">
        <f t="shared" si="8"/>
        <v>1804.05</v>
      </c>
      <c r="Q41" s="29">
        <v>34.4</v>
      </c>
      <c r="R41" s="6">
        <f t="shared" si="7"/>
        <v>68.8</v>
      </c>
    </row>
    <row r="42" spans="1:18">
      <c r="A42" s="6">
        <v>3.5</v>
      </c>
      <c r="B42" s="6">
        <v>34.799999999999997</v>
      </c>
      <c r="C42" s="6">
        <v>2400</v>
      </c>
      <c r="D42" s="6">
        <v>3.59</v>
      </c>
      <c r="E42" s="19">
        <f t="shared" si="8"/>
        <v>1893.7249999999999</v>
      </c>
      <c r="Q42" s="29"/>
    </row>
    <row r="43" spans="1:18">
      <c r="A43" s="6">
        <v>3.5</v>
      </c>
      <c r="B43" s="6">
        <v>34</v>
      </c>
      <c r="C43" s="6">
        <v>2440</v>
      </c>
      <c r="D43" s="6">
        <v>3.59</v>
      </c>
      <c r="E43" s="19">
        <f t="shared" si="8"/>
        <v>1893.7249999999999</v>
      </c>
      <c r="Q43" s="29">
        <v>38.799999999999997</v>
      </c>
      <c r="R43" s="6">
        <f t="shared" si="7"/>
        <v>77.599999999999994</v>
      </c>
    </row>
    <row r="44" spans="1:18">
      <c r="A44" s="6">
        <v>3.5</v>
      </c>
      <c r="B44" s="6">
        <v>34.4</v>
      </c>
      <c r="C44" s="6">
        <v>2400</v>
      </c>
      <c r="D44" s="6">
        <v>3.59</v>
      </c>
      <c r="E44" s="19">
        <f t="shared" si="8"/>
        <v>1893.7249999999999</v>
      </c>
      <c r="Q44" s="29">
        <v>39.6</v>
      </c>
      <c r="R44" s="6">
        <f t="shared" si="7"/>
        <v>79.2</v>
      </c>
    </row>
    <row r="45" spans="1:18">
      <c r="A45" s="6">
        <v>4</v>
      </c>
      <c r="B45" s="6">
        <v>35.6</v>
      </c>
      <c r="C45" s="6">
        <v>2520</v>
      </c>
      <c r="D45" s="6">
        <v>3.78</v>
      </c>
      <c r="E45" s="19">
        <f t="shared" si="8"/>
        <v>1993.9499999999998</v>
      </c>
      <c r="Q45" s="29">
        <v>41.6</v>
      </c>
      <c r="R45" s="6">
        <f t="shared" si="7"/>
        <v>83.2</v>
      </c>
    </row>
    <row r="46" spans="1:18">
      <c r="A46" s="6">
        <v>4</v>
      </c>
      <c r="B46" s="6">
        <v>35.6</v>
      </c>
      <c r="C46" s="6">
        <v>2520</v>
      </c>
      <c r="D46" s="6">
        <v>3.78</v>
      </c>
      <c r="E46" s="19">
        <f t="shared" si="8"/>
        <v>1993.9499999999998</v>
      </c>
      <c r="Q46" s="29">
        <v>44</v>
      </c>
      <c r="R46" s="6">
        <f t="shared" si="7"/>
        <v>88</v>
      </c>
    </row>
    <row r="47" spans="1:18">
      <c r="A47" s="6">
        <v>4</v>
      </c>
      <c r="B47" s="6">
        <v>36</v>
      </c>
      <c r="C47" s="6">
        <v>2520</v>
      </c>
      <c r="D47" s="6">
        <v>3.81</v>
      </c>
      <c r="E47" s="19">
        <f t="shared" si="8"/>
        <v>2009.7750000000001</v>
      </c>
      <c r="Q47" s="29">
        <v>46.4</v>
      </c>
      <c r="R47" s="6">
        <f t="shared" si="7"/>
        <v>92.8</v>
      </c>
    </row>
    <row r="48" spans="1:18">
      <c r="A48" s="6">
        <v>4</v>
      </c>
      <c r="B48" s="6">
        <v>36</v>
      </c>
      <c r="C48" s="6">
        <v>2520</v>
      </c>
      <c r="D48" s="6">
        <v>3.81</v>
      </c>
      <c r="E48" s="19">
        <f t="shared" si="8"/>
        <v>2009.7750000000001</v>
      </c>
    </row>
    <row r="49" spans="1:6">
      <c r="A49" s="6">
        <v>4</v>
      </c>
      <c r="B49" s="6">
        <v>36</v>
      </c>
      <c r="C49" s="6">
        <v>2200</v>
      </c>
      <c r="D49" s="6">
        <v>3.81</v>
      </c>
      <c r="E49" s="19">
        <f t="shared" si="8"/>
        <v>2009.7750000000001</v>
      </c>
    </row>
    <row r="50" spans="1:6">
      <c r="A50" s="6">
        <v>4</v>
      </c>
      <c r="B50" s="6">
        <v>36.4</v>
      </c>
      <c r="C50" s="6">
        <v>2480</v>
      </c>
      <c r="D50" s="6">
        <v>3.81</v>
      </c>
      <c r="E50" s="19">
        <f t="shared" si="8"/>
        <v>2009.7750000000001</v>
      </c>
    </row>
    <row r="51" spans="1:6">
      <c r="A51" s="6">
        <v>4.5</v>
      </c>
      <c r="B51" s="6">
        <v>38.4</v>
      </c>
      <c r="C51" s="6">
        <v>1720</v>
      </c>
      <c r="D51" s="6">
        <v>4</v>
      </c>
      <c r="E51" s="19">
        <f t="shared" si="8"/>
        <v>2110</v>
      </c>
    </row>
    <row r="52" spans="1:6">
      <c r="A52" s="6">
        <v>4.5</v>
      </c>
      <c r="B52" s="6">
        <v>38</v>
      </c>
      <c r="C52" s="6">
        <v>2600</v>
      </c>
      <c r="D52" s="6">
        <v>4</v>
      </c>
      <c r="E52" s="19">
        <f t="shared" si="8"/>
        <v>2110</v>
      </c>
    </row>
    <row r="53" spans="1:6">
      <c r="A53" s="6">
        <v>4.5</v>
      </c>
      <c r="B53" s="6">
        <v>38.799999999999997</v>
      </c>
      <c r="C53" s="6">
        <v>2640</v>
      </c>
      <c r="D53" s="6">
        <v>4</v>
      </c>
      <c r="E53" s="19">
        <f t="shared" si="8"/>
        <v>2110</v>
      </c>
    </row>
    <row r="54" spans="1:6">
      <c r="A54" s="6">
        <v>5</v>
      </c>
      <c r="B54" s="6">
        <v>40</v>
      </c>
      <c r="C54" s="6">
        <v>2800</v>
      </c>
      <c r="D54" s="6">
        <v>4.1500000000000004</v>
      </c>
      <c r="E54" s="19">
        <f t="shared" si="8"/>
        <v>2189.125</v>
      </c>
    </row>
    <row r="55" spans="1:6">
      <c r="A55" s="6">
        <v>5</v>
      </c>
      <c r="B55" s="6">
        <v>39.6</v>
      </c>
      <c r="C55" s="6">
        <v>2800</v>
      </c>
      <c r="D55" s="6">
        <v>4.17</v>
      </c>
      <c r="E55" s="19">
        <f t="shared" si="8"/>
        <v>2199.6750000000002</v>
      </c>
    </row>
    <row r="56" spans="1:6">
      <c r="A56" s="6">
        <v>5</v>
      </c>
      <c r="B56" s="6">
        <v>39.6</v>
      </c>
      <c r="C56" s="6">
        <v>2800</v>
      </c>
      <c r="D56" s="6">
        <v>4.17</v>
      </c>
      <c r="E56" s="19">
        <f t="shared" si="8"/>
        <v>2199.6750000000002</v>
      </c>
    </row>
    <row r="57" spans="1:6">
      <c r="A57" s="6">
        <v>5.5</v>
      </c>
      <c r="B57" s="6">
        <v>42.4</v>
      </c>
      <c r="C57" s="6">
        <v>2880</v>
      </c>
      <c r="D57" s="6">
        <v>4.34</v>
      </c>
      <c r="E57" s="19">
        <f t="shared" si="8"/>
        <v>2289.35</v>
      </c>
    </row>
    <row r="58" spans="1:6" ht="13" thickBot="1">
      <c r="A58" s="6">
        <v>5.5</v>
      </c>
      <c r="B58" s="6">
        <v>41.6</v>
      </c>
      <c r="C58" s="6">
        <v>2880</v>
      </c>
      <c r="D58" s="6">
        <v>4.34</v>
      </c>
      <c r="E58" s="19">
        <f t="shared" si="8"/>
        <v>2289.35</v>
      </c>
    </row>
    <row r="59" spans="1:6" ht="13" thickTop="1">
      <c r="A59" s="21">
        <v>5.5</v>
      </c>
      <c r="B59" s="21">
        <v>41.6</v>
      </c>
      <c r="C59" s="21">
        <v>2920</v>
      </c>
      <c r="D59" s="21">
        <v>4.29</v>
      </c>
      <c r="E59" s="22">
        <f t="shared" si="8"/>
        <v>2262.9749999999999</v>
      </c>
      <c r="F59" s="23">
        <v>37614</v>
      </c>
    </row>
    <row r="60" spans="1:6">
      <c r="A60" s="6">
        <v>6</v>
      </c>
      <c r="B60" s="6">
        <v>24.4</v>
      </c>
      <c r="C60" s="6">
        <v>3080</v>
      </c>
      <c r="D60" s="6">
        <v>4.4800000000000004</v>
      </c>
      <c r="E60" s="19">
        <f t="shared" si="8"/>
        <v>2363.2000000000003</v>
      </c>
    </row>
    <row r="61" spans="1:6">
      <c r="B61" s="6">
        <v>44.4</v>
      </c>
      <c r="C61" s="6">
        <v>3080</v>
      </c>
      <c r="D61" s="6">
        <v>4.4800000000000004</v>
      </c>
      <c r="E61" s="19">
        <f t="shared" si="8"/>
        <v>2363.2000000000003</v>
      </c>
    </row>
    <row r="62" spans="1:6">
      <c r="B62" s="6">
        <v>44</v>
      </c>
      <c r="C62" s="6">
        <v>3080</v>
      </c>
      <c r="D62" s="6">
        <v>4.4800000000000004</v>
      </c>
      <c r="E62" s="19">
        <f t="shared" si="8"/>
        <v>2363.2000000000003</v>
      </c>
    </row>
    <row r="63" spans="1:6">
      <c r="A63" s="6">
        <v>6.5</v>
      </c>
      <c r="B63" s="6">
        <v>46.4</v>
      </c>
      <c r="C63" s="6">
        <v>3200</v>
      </c>
      <c r="D63" s="6">
        <v>4.6500000000000004</v>
      </c>
      <c r="E63" s="19">
        <f t="shared" si="8"/>
        <v>2452.875</v>
      </c>
    </row>
    <row r="64" spans="1:6">
      <c r="A64" s="6">
        <v>6.5</v>
      </c>
      <c r="B64" s="6">
        <v>44.4</v>
      </c>
      <c r="C64" s="6">
        <v>3240</v>
      </c>
      <c r="D64" s="6">
        <v>4.6500000000000004</v>
      </c>
      <c r="E64" s="19">
        <f t="shared" si="8"/>
        <v>2452.875</v>
      </c>
    </row>
    <row r="65" spans="1:5">
      <c r="A65" s="6">
        <v>7</v>
      </c>
      <c r="B65" s="6">
        <v>38.799999999999997</v>
      </c>
      <c r="C65" s="6">
        <v>1640</v>
      </c>
      <c r="D65" s="6">
        <v>4.8499999999999996</v>
      </c>
      <c r="E65" s="19">
        <f t="shared" si="8"/>
        <v>2558.375</v>
      </c>
    </row>
    <row r="66" spans="1:5">
      <c r="A66" s="6">
        <v>7</v>
      </c>
      <c r="B66" s="6">
        <v>37.6</v>
      </c>
      <c r="C66" s="6">
        <v>2320</v>
      </c>
      <c r="D66" s="6">
        <v>4.8499999999999996</v>
      </c>
      <c r="E66" s="19">
        <f t="shared" si="8"/>
        <v>2558.375</v>
      </c>
    </row>
    <row r="67" spans="1:5">
      <c r="A67" s="6">
        <v>7</v>
      </c>
      <c r="D67" s="6">
        <v>4.8499999999999996</v>
      </c>
      <c r="E67" s="19">
        <f t="shared" si="8"/>
        <v>2558.375</v>
      </c>
    </row>
    <row r="69" spans="1:5">
      <c r="A69" s="6" t="s">
        <v>75</v>
      </c>
      <c r="D69" s="6" t="s">
        <v>76</v>
      </c>
    </row>
    <row r="70" spans="1:5">
      <c r="A70" s="6" t="s">
        <v>63</v>
      </c>
      <c r="B70" s="6" t="s">
        <v>64</v>
      </c>
      <c r="C70" s="6" t="s">
        <v>3</v>
      </c>
      <c r="D70" s="6" t="s">
        <v>73</v>
      </c>
      <c r="E70" s="19" t="s">
        <v>74</v>
      </c>
    </row>
    <row r="71" spans="1:5">
      <c r="A71" s="6">
        <v>0</v>
      </c>
      <c r="B71" s="6">
        <v>27.8</v>
      </c>
      <c r="C71" s="6">
        <v>2700</v>
      </c>
      <c r="D71" s="6">
        <v>2.04</v>
      </c>
      <c r="E71" s="19">
        <v>1076</v>
      </c>
    </row>
    <row r="72" spans="1:5">
      <c r="A72" s="6">
        <v>1</v>
      </c>
      <c r="B72" s="6">
        <v>33</v>
      </c>
      <c r="C72" s="6">
        <v>3200</v>
      </c>
      <c r="D72" s="6">
        <v>2.38</v>
      </c>
      <c r="E72" s="19">
        <v>1255</v>
      </c>
    </row>
    <row r="73" spans="1:5">
      <c r="A73" s="6">
        <v>2</v>
      </c>
      <c r="B73" s="6">
        <v>37.799999999999997</v>
      </c>
      <c r="C73" s="6">
        <v>3700</v>
      </c>
      <c r="D73" s="6">
        <v>2.78</v>
      </c>
      <c r="E73" s="19">
        <v>1466</v>
      </c>
    </row>
    <row r="75" spans="1:5">
      <c r="A75" s="6">
        <v>4</v>
      </c>
      <c r="B75" s="6">
        <v>47.8</v>
      </c>
      <c r="C75" s="6">
        <v>4640</v>
      </c>
      <c r="D75" s="6">
        <v>3.54</v>
      </c>
      <c r="E75" s="19">
        <v>1867</v>
      </c>
    </row>
    <row r="76" spans="1:5">
      <c r="A76" s="6">
        <v>5</v>
      </c>
      <c r="B76" s="6">
        <v>52.6</v>
      </c>
      <c r="C76" s="6">
        <v>5040</v>
      </c>
      <c r="D76" s="6">
        <v>4.04</v>
      </c>
      <c r="E76" s="19">
        <v>2131</v>
      </c>
    </row>
    <row r="77" spans="1:5">
      <c r="A77" s="6">
        <v>6</v>
      </c>
      <c r="B77" s="6">
        <v>58.8</v>
      </c>
      <c r="C77" s="6">
        <v>5640</v>
      </c>
      <c r="D77" s="6">
        <v>4.4400000000000004</v>
      </c>
      <c r="E77" s="19">
        <v>2342</v>
      </c>
    </row>
    <row r="78" spans="1:5">
      <c r="A78" s="6">
        <v>6.5</v>
      </c>
      <c r="B78" s="6">
        <v>61</v>
      </c>
      <c r="C78" s="6">
        <v>5880</v>
      </c>
      <c r="D78" s="6">
        <v>4.6399999999999997</v>
      </c>
      <c r="E78" s="19">
        <v>2448</v>
      </c>
    </row>
    <row r="79" spans="1:5">
      <c r="A79" s="6">
        <v>6.75</v>
      </c>
      <c r="B79" s="6">
        <v>61.4</v>
      </c>
      <c r="C79" s="6">
        <v>5880</v>
      </c>
      <c r="D79" s="6">
        <v>4.72</v>
      </c>
      <c r="E79" s="19">
        <v>2490</v>
      </c>
    </row>
    <row r="81" spans="1:5">
      <c r="A81" s="6" t="s">
        <v>77</v>
      </c>
      <c r="D81" s="6" t="s">
        <v>76</v>
      </c>
    </row>
    <row r="82" spans="1:5">
      <c r="A82" s="7" t="s">
        <v>63</v>
      </c>
      <c r="B82" s="7" t="s">
        <v>79</v>
      </c>
      <c r="C82" s="7" t="s">
        <v>80</v>
      </c>
      <c r="D82" s="7" t="s">
        <v>81</v>
      </c>
      <c r="E82" s="45" t="s">
        <v>78</v>
      </c>
    </row>
    <row r="83" spans="1:5">
      <c r="A83" s="7">
        <v>0</v>
      </c>
      <c r="B83" s="9">
        <v>2.92</v>
      </c>
      <c r="C83" s="9">
        <v>2.44</v>
      </c>
      <c r="D83" s="9">
        <v>27</v>
      </c>
      <c r="E83" s="9">
        <v>1.24</v>
      </c>
    </row>
    <row r="84" spans="1:5">
      <c r="A84" s="7">
        <v>1</v>
      </c>
      <c r="B84" s="9">
        <v>2.44</v>
      </c>
      <c r="C84" s="9">
        <v>2.88</v>
      </c>
      <c r="D84" s="9">
        <v>32.4</v>
      </c>
      <c r="E84" s="9">
        <v>1.36</v>
      </c>
    </row>
    <row r="85" spans="1:5">
      <c r="A85" s="7">
        <v>2</v>
      </c>
      <c r="B85" s="9">
        <v>2.84</v>
      </c>
      <c r="C85" s="9">
        <v>3.24</v>
      </c>
      <c r="D85" s="9">
        <v>37.4</v>
      </c>
      <c r="E85" s="9">
        <v>1.54</v>
      </c>
    </row>
    <row r="86" spans="1:5">
      <c r="A86" s="7">
        <v>3</v>
      </c>
      <c r="B86" s="9">
        <v>3.2</v>
      </c>
      <c r="C86" s="9">
        <v>3.4</v>
      </c>
      <c r="D86" s="9">
        <v>42.2</v>
      </c>
      <c r="E86" s="9">
        <v>1.86</v>
      </c>
    </row>
    <row r="87" spans="1:5">
      <c r="A87" s="7">
        <v>4</v>
      </c>
      <c r="B87" s="9">
        <v>3.56</v>
      </c>
      <c r="C87" s="9">
        <v>4</v>
      </c>
      <c r="D87" s="9">
        <v>47</v>
      </c>
      <c r="E87" s="9">
        <v>1.96</v>
      </c>
    </row>
    <row r="88" spans="1:5">
      <c r="A88" s="7">
        <v>5</v>
      </c>
      <c r="B88" s="9">
        <v>3.96</v>
      </c>
      <c r="C88" s="9">
        <v>4.4000000000000004</v>
      </c>
      <c r="D88" s="9">
        <v>51.8</v>
      </c>
      <c r="E88" s="9">
        <v>2.14</v>
      </c>
    </row>
    <row r="90" spans="1:5">
      <c r="A90" s="7">
        <v>0</v>
      </c>
      <c r="B90" s="6">
        <f t="shared" ref="B90:B95" si="9">B83*527.5</f>
        <v>1540.3</v>
      </c>
      <c r="C90" s="6">
        <f t="shared" ref="C90:C95" si="10">C83*1000</f>
        <v>2440</v>
      </c>
      <c r="D90" s="9">
        <v>27</v>
      </c>
      <c r="E90" s="6">
        <f t="shared" ref="E90:E95" si="11">E83*1000</f>
        <v>1240</v>
      </c>
    </row>
    <row r="91" spans="1:5">
      <c r="A91" s="7">
        <v>1</v>
      </c>
      <c r="B91" s="6">
        <f t="shared" si="9"/>
        <v>1287.0999999999999</v>
      </c>
      <c r="C91" s="6">
        <f t="shared" si="10"/>
        <v>2880</v>
      </c>
      <c r="D91" s="9">
        <v>32.4</v>
      </c>
      <c r="E91" s="6">
        <f t="shared" si="11"/>
        <v>1360</v>
      </c>
    </row>
    <row r="92" spans="1:5">
      <c r="A92" s="7">
        <v>2</v>
      </c>
      <c r="B92" s="6">
        <f t="shared" si="9"/>
        <v>1498.1</v>
      </c>
      <c r="C92" s="6">
        <f t="shared" si="10"/>
        <v>3240</v>
      </c>
      <c r="D92" s="9">
        <v>37.4</v>
      </c>
      <c r="E92" s="6">
        <f t="shared" si="11"/>
        <v>1540</v>
      </c>
    </row>
    <row r="93" spans="1:5">
      <c r="A93" s="7">
        <v>3</v>
      </c>
      <c r="B93" s="6">
        <f t="shared" si="9"/>
        <v>1688</v>
      </c>
      <c r="C93" s="6">
        <f t="shared" si="10"/>
        <v>3400</v>
      </c>
      <c r="D93" s="9">
        <v>42.2</v>
      </c>
      <c r="E93" s="6">
        <f t="shared" si="11"/>
        <v>1860</v>
      </c>
    </row>
    <row r="94" spans="1:5">
      <c r="A94" s="7">
        <v>4</v>
      </c>
      <c r="B94" s="6">
        <f t="shared" si="9"/>
        <v>1877.9</v>
      </c>
      <c r="C94" s="6">
        <f t="shared" si="10"/>
        <v>4000</v>
      </c>
      <c r="D94" s="9">
        <v>47</v>
      </c>
      <c r="E94" s="6">
        <f t="shared" si="11"/>
        <v>1960</v>
      </c>
    </row>
    <row r="95" spans="1:5">
      <c r="A95" s="7">
        <v>5</v>
      </c>
      <c r="B95" s="6">
        <f t="shared" si="9"/>
        <v>2088.9</v>
      </c>
      <c r="C95" s="6">
        <f t="shared" si="10"/>
        <v>4400</v>
      </c>
      <c r="D95" s="9">
        <v>51.8</v>
      </c>
      <c r="E95" s="6">
        <f t="shared" si="11"/>
        <v>2140</v>
      </c>
    </row>
    <row r="96" spans="1:5">
      <c r="A96" s="6" t="s">
        <v>82</v>
      </c>
      <c r="D96" s="6" t="s">
        <v>83</v>
      </c>
    </row>
    <row r="97" spans="1:5">
      <c r="A97" s="7" t="s">
        <v>63</v>
      </c>
      <c r="B97" s="7" t="s">
        <v>79</v>
      </c>
      <c r="C97" s="7" t="s">
        <v>80</v>
      </c>
      <c r="D97" s="7" t="s">
        <v>81</v>
      </c>
      <c r="E97" s="45" t="s">
        <v>78</v>
      </c>
    </row>
    <row r="98" spans="1:5">
      <c r="A98" s="7">
        <v>0</v>
      </c>
      <c r="B98" s="9">
        <v>2.04</v>
      </c>
      <c r="C98" s="9">
        <v>2.4</v>
      </c>
      <c r="D98" s="9">
        <v>27.2</v>
      </c>
      <c r="E98" s="9">
        <v>1.1200000000000001</v>
      </c>
    </row>
    <row r="99" spans="1:5">
      <c r="A99" s="7">
        <v>1</v>
      </c>
      <c r="B99" s="9">
        <v>2.44</v>
      </c>
      <c r="C99" s="9">
        <v>2.84</v>
      </c>
      <c r="D99" s="9">
        <v>32.4</v>
      </c>
      <c r="E99" s="9">
        <v>1.32</v>
      </c>
    </row>
    <row r="100" spans="1:5">
      <c r="A100" s="7">
        <v>2</v>
      </c>
      <c r="B100" s="9">
        <v>2.84</v>
      </c>
      <c r="C100" s="9">
        <v>3.24</v>
      </c>
      <c r="D100" s="9">
        <v>37.6</v>
      </c>
      <c r="E100" s="9">
        <v>1.54</v>
      </c>
    </row>
    <row r="101" spans="1:5">
      <c r="A101" s="7">
        <v>3</v>
      </c>
      <c r="B101" s="9">
        <v>3.16</v>
      </c>
      <c r="C101" s="9">
        <v>3.6</v>
      </c>
      <c r="D101" s="9">
        <v>42.4</v>
      </c>
      <c r="E101" s="9">
        <v>1.74</v>
      </c>
    </row>
    <row r="102" spans="1:5">
      <c r="A102" s="7">
        <v>4</v>
      </c>
      <c r="B102" s="9">
        <v>3.56</v>
      </c>
      <c r="C102" s="9">
        <v>4.04</v>
      </c>
      <c r="D102" s="9">
        <v>47</v>
      </c>
      <c r="E102" s="9">
        <v>1.94</v>
      </c>
    </row>
    <row r="103" spans="1:5">
      <c r="A103" s="7">
        <v>5</v>
      </c>
      <c r="B103" s="9">
        <v>3.96</v>
      </c>
      <c r="C103" s="9">
        <v>4.4400000000000004</v>
      </c>
      <c r="D103" s="9">
        <v>52</v>
      </c>
      <c r="E103" s="9">
        <v>2.12</v>
      </c>
    </row>
    <row r="105" spans="1:5">
      <c r="A105" s="7">
        <v>0</v>
      </c>
      <c r="B105" s="6">
        <f t="shared" ref="B105:B110" si="12">B98*527.5/1000</f>
        <v>1.0760999999999998</v>
      </c>
      <c r="C105" s="6">
        <f t="shared" ref="C105:C110" si="13">1000*C98</f>
        <v>2400</v>
      </c>
      <c r="D105" s="9">
        <v>27.2</v>
      </c>
      <c r="E105" s="9">
        <v>1.1200000000000001</v>
      </c>
    </row>
    <row r="106" spans="1:5">
      <c r="A106" s="7">
        <v>1</v>
      </c>
      <c r="B106" s="6">
        <f t="shared" si="12"/>
        <v>1.2870999999999999</v>
      </c>
      <c r="C106" s="6">
        <f t="shared" si="13"/>
        <v>2840</v>
      </c>
      <c r="D106" s="9">
        <v>32.4</v>
      </c>
      <c r="E106" s="9">
        <v>1.32</v>
      </c>
    </row>
    <row r="107" spans="1:5">
      <c r="A107" s="7">
        <v>2</v>
      </c>
      <c r="B107" s="6">
        <f t="shared" si="12"/>
        <v>1.4981</v>
      </c>
      <c r="C107" s="6">
        <f t="shared" si="13"/>
        <v>3240</v>
      </c>
      <c r="D107" s="9">
        <v>37.6</v>
      </c>
      <c r="E107" s="9">
        <v>1.54</v>
      </c>
    </row>
    <row r="108" spans="1:5">
      <c r="A108" s="7">
        <v>3</v>
      </c>
      <c r="B108" s="6">
        <f t="shared" si="12"/>
        <v>1.6669</v>
      </c>
      <c r="C108" s="6">
        <f t="shared" si="13"/>
        <v>3600</v>
      </c>
      <c r="D108" s="9">
        <v>42.4</v>
      </c>
      <c r="E108" s="9">
        <v>1.74</v>
      </c>
    </row>
    <row r="109" spans="1:5">
      <c r="A109" s="7">
        <v>4</v>
      </c>
      <c r="B109" s="6">
        <f t="shared" si="12"/>
        <v>1.8779000000000001</v>
      </c>
      <c r="C109" s="6">
        <f t="shared" si="13"/>
        <v>4040</v>
      </c>
      <c r="D109" s="9">
        <v>47</v>
      </c>
      <c r="E109" s="9">
        <v>1.94</v>
      </c>
    </row>
    <row r="110" spans="1:5">
      <c r="A110" s="7">
        <v>5</v>
      </c>
      <c r="B110" s="6">
        <f t="shared" si="12"/>
        <v>2.0889000000000002</v>
      </c>
      <c r="C110" s="6">
        <f t="shared" si="13"/>
        <v>4440</v>
      </c>
      <c r="D110" s="9">
        <v>52</v>
      </c>
      <c r="E110" s="9">
        <v>2.12</v>
      </c>
    </row>
    <row r="115" spans="1:2">
      <c r="A115" s="6" t="s">
        <v>71</v>
      </c>
      <c r="B115" s="6" t="s">
        <v>72</v>
      </c>
    </row>
    <row r="116" spans="1:2">
      <c r="A116" s="6">
        <v>8.6</v>
      </c>
      <c r="B116" s="6">
        <v>26.5</v>
      </c>
    </row>
    <row r="117" spans="1:2">
      <c r="A117" s="6">
        <v>17.2</v>
      </c>
      <c r="B117" s="6">
        <v>25.5</v>
      </c>
    </row>
    <row r="118" spans="1:2">
      <c r="A118" s="6">
        <v>26</v>
      </c>
      <c r="B118" s="6">
        <v>24.6</v>
      </c>
    </row>
    <row r="119" spans="1:2">
      <c r="A119" s="6">
        <v>43.3</v>
      </c>
      <c r="B119" s="6">
        <v>23</v>
      </c>
    </row>
    <row r="120" spans="1:2">
      <c r="A120" s="6">
        <v>54.1</v>
      </c>
      <c r="B120" s="6">
        <v>22</v>
      </c>
    </row>
    <row r="121" spans="1:2">
      <c r="A121" s="6">
        <v>64.900000000000006</v>
      </c>
      <c r="B121" s="6">
        <v>21.3</v>
      </c>
    </row>
    <row r="122" spans="1:2">
      <c r="A122" s="6">
        <v>75.8</v>
      </c>
      <c r="B122" s="6">
        <v>20.5</v>
      </c>
    </row>
    <row r="123" spans="1:2">
      <c r="A123" s="6">
        <v>86.6</v>
      </c>
      <c r="B123" s="6">
        <v>19.8</v>
      </c>
    </row>
    <row r="124" spans="1:2">
      <c r="A124" s="6">
        <v>97.4</v>
      </c>
      <c r="B124" s="6">
        <v>19.2</v>
      </c>
    </row>
    <row r="125" spans="1:2">
      <c r="A125" s="6">
        <v>108.3</v>
      </c>
      <c r="B125" s="6">
        <v>18.5</v>
      </c>
    </row>
    <row r="126" spans="1:2">
      <c r="A126" s="6">
        <v>119.1</v>
      </c>
      <c r="B126" s="6">
        <v>18</v>
      </c>
    </row>
    <row r="127" spans="1:2">
      <c r="A127" s="6">
        <v>130</v>
      </c>
      <c r="B127" s="6">
        <v>17.399999999999999</v>
      </c>
    </row>
    <row r="128" spans="1:2">
      <c r="A128" s="6">
        <v>140.1</v>
      </c>
      <c r="B128" s="6">
        <v>16.8</v>
      </c>
    </row>
    <row r="129" spans="1:7">
      <c r="A129" s="6">
        <v>151.6</v>
      </c>
      <c r="B129" s="6">
        <v>16.3</v>
      </c>
    </row>
    <row r="132" spans="1:7">
      <c r="A132" s="23">
        <v>37644</v>
      </c>
      <c r="B132" s="6" t="s">
        <v>84</v>
      </c>
    </row>
    <row r="133" spans="1:7">
      <c r="A133" s="6" t="s">
        <v>1</v>
      </c>
      <c r="B133" s="6" t="s">
        <v>85</v>
      </c>
      <c r="C133" s="6" t="s">
        <v>86</v>
      </c>
      <c r="D133" s="6" t="s">
        <v>64</v>
      </c>
      <c r="E133" s="19" t="s">
        <v>87</v>
      </c>
    </row>
    <row r="134" spans="1:7">
      <c r="A134" s="6">
        <v>0</v>
      </c>
      <c r="B134" s="6">
        <v>1.2170000000000001</v>
      </c>
      <c r="C134" s="6">
        <v>3.88</v>
      </c>
      <c r="D134" s="6">
        <v>27.4</v>
      </c>
      <c r="E134" s="46">
        <v>1140</v>
      </c>
      <c r="F134" s="6">
        <f>E134/1000</f>
        <v>1.1399999999999999</v>
      </c>
      <c r="G134" s="6">
        <f>C134/B134</f>
        <v>3.1881676253081346</v>
      </c>
    </row>
    <row r="135" spans="1:7">
      <c r="A135" s="6">
        <v>1</v>
      </c>
      <c r="B135" s="6">
        <v>1.3720000000000001</v>
      </c>
      <c r="C135" s="6">
        <v>4.4000000000000004</v>
      </c>
      <c r="D135" s="6">
        <v>32.6</v>
      </c>
      <c r="E135" s="46">
        <v>1350</v>
      </c>
      <c r="F135" s="6">
        <f>E135/1000</f>
        <v>1.35</v>
      </c>
      <c r="G135" s="6">
        <f>C135/B135</f>
        <v>3.2069970845481048</v>
      </c>
    </row>
    <row r="136" spans="1:7">
      <c r="A136" s="6">
        <v>2</v>
      </c>
      <c r="B136" s="6">
        <v>1.794</v>
      </c>
      <c r="C136" s="6">
        <v>5.04</v>
      </c>
      <c r="D136" s="6">
        <v>37.6</v>
      </c>
      <c r="E136" s="46">
        <v>1560</v>
      </c>
      <c r="F136" s="6">
        <f>E136/1000</f>
        <v>1.56</v>
      </c>
      <c r="G136" s="6">
        <f>C136/B136</f>
        <v>2.8093645484949832</v>
      </c>
    </row>
    <row r="137" spans="1:7">
      <c r="A137" s="6">
        <v>3</v>
      </c>
      <c r="B137" s="6">
        <v>2.1989999999999998</v>
      </c>
      <c r="C137" s="6">
        <v>5.76</v>
      </c>
      <c r="D137" s="6">
        <v>42.6</v>
      </c>
      <c r="E137" s="46">
        <v>1760</v>
      </c>
      <c r="F137" s="6">
        <f>E137/1000</f>
        <v>1.76</v>
      </c>
      <c r="G137" s="6">
        <f>C137/B137</f>
        <v>2.6193724420190998</v>
      </c>
    </row>
    <row r="138" spans="1:7">
      <c r="A138" s="6">
        <v>4</v>
      </c>
      <c r="B138" s="6">
        <v>2.6080000000000001</v>
      </c>
      <c r="C138" s="6">
        <v>6.4</v>
      </c>
      <c r="D138" s="6">
        <v>47.4</v>
      </c>
      <c r="E138" s="46">
        <v>1950</v>
      </c>
      <c r="F138" s="6">
        <f>E138/1000</f>
        <v>1.95</v>
      </c>
      <c r="G138" s="6">
        <f>C138/B138</f>
        <v>2.4539877300613497</v>
      </c>
    </row>
    <row r="139" spans="1:7">
      <c r="B139" s="6">
        <f>MAX(B134:B138)</f>
        <v>2.6080000000000001</v>
      </c>
      <c r="C139" s="6">
        <f>MAX(C134:C138)</f>
        <v>6.4</v>
      </c>
    </row>
    <row r="141" spans="1:7">
      <c r="A141" s="6">
        <v>0</v>
      </c>
      <c r="B141" s="6">
        <f>B134/$B$139</f>
        <v>0.46664110429447853</v>
      </c>
      <c r="C141" s="6">
        <f>C134/$C$139</f>
        <v>0.60624999999999996</v>
      </c>
    </row>
    <row r="142" spans="1:7">
      <c r="A142" s="6">
        <v>1</v>
      </c>
      <c r="B142" s="6">
        <f>B135/$B$139</f>
        <v>0.52607361963190191</v>
      </c>
      <c r="C142" s="6">
        <f>C135/$C$139</f>
        <v>0.6875</v>
      </c>
    </row>
    <row r="143" spans="1:7">
      <c r="A143" s="6">
        <v>2</v>
      </c>
      <c r="B143" s="6">
        <f>B136/$B$139</f>
        <v>0.68788343558282206</v>
      </c>
      <c r="C143" s="6">
        <f>C136/$C$139</f>
        <v>0.78749999999999998</v>
      </c>
    </row>
    <row r="144" spans="1:7">
      <c r="A144" s="6">
        <v>3</v>
      </c>
      <c r="B144" s="6">
        <f>B137/$B$139</f>
        <v>0.84317484662576681</v>
      </c>
      <c r="C144" s="6">
        <f>C137/$C$139</f>
        <v>0.89999999999999991</v>
      </c>
    </row>
    <row r="145" spans="1:6">
      <c r="A145" s="6">
        <v>4</v>
      </c>
      <c r="B145" s="6">
        <f>B138/$B$139</f>
        <v>1</v>
      </c>
      <c r="C145" s="6">
        <f>C138/$C$139</f>
        <v>1</v>
      </c>
    </row>
    <row r="147" spans="1:6">
      <c r="A147" s="6" t="s">
        <v>88</v>
      </c>
    </row>
    <row r="148" spans="1:6">
      <c r="A148" s="6" t="s">
        <v>1</v>
      </c>
      <c r="B148" s="6" t="s">
        <v>85</v>
      </c>
      <c r="C148" s="6" t="s">
        <v>86</v>
      </c>
      <c r="D148" s="6" t="s">
        <v>64</v>
      </c>
      <c r="E148" s="19" t="s">
        <v>87</v>
      </c>
    </row>
    <row r="149" spans="1:6">
      <c r="A149" s="6">
        <v>0</v>
      </c>
      <c r="B149" s="6">
        <v>1.0900000000000001</v>
      </c>
      <c r="C149" s="6">
        <v>4.12</v>
      </c>
      <c r="D149" s="6">
        <v>27.4</v>
      </c>
      <c r="E149" s="46">
        <v>1150</v>
      </c>
      <c r="F149" s="6">
        <f>E149/1000</f>
        <v>1.1499999999999999</v>
      </c>
    </row>
    <row r="150" spans="1:6">
      <c r="A150" s="6">
        <v>1</v>
      </c>
      <c r="B150" s="6">
        <v>1.4</v>
      </c>
      <c r="C150" s="6">
        <v>4.84</v>
      </c>
      <c r="D150" s="6">
        <v>32.6</v>
      </c>
      <c r="E150" s="46">
        <v>1360</v>
      </c>
      <c r="F150" s="6">
        <f>E150/1000</f>
        <v>1.36</v>
      </c>
    </row>
    <row r="151" spans="1:6">
      <c r="A151" s="6">
        <v>2</v>
      </c>
      <c r="B151" s="6">
        <v>2.206</v>
      </c>
      <c r="C151" s="6">
        <v>5.76</v>
      </c>
      <c r="D151" s="6">
        <v>37.6</v>
      </c>
      <c r="E151" s="46">
        <v>1560</v>
      </c>
      <c r="F151" s="6">
        <f>E151/1000</f>
        <v>1.56</v>
      </c>
    </row>
    <row r="152" spans="1:6">
      <c r="A152" s="6">
        <v>3</v>
      </c>
      <c r="B152" s="6">
        <v>2.0329999999999999</v>
      </c>
      <c r="C152" s="6">
        <v>6.28</v>
      </c>
      <c r="D152" s="6">
        <v>42.6</v>
      </c>
      <c r="E152" s="46">
        <v>1760</v>
      </c>
      <c r="F152" s="6">
        <f>E152/1000</f>
        <v>1.76</v>
      </c>
    </row>
    <row r="153" spans="1:6">
      <c r="A153" s="6">
        <v>4</v>
      </c>
      <c r="B153" s="6">
        <v>2.3620000000000001</v>
      </c>
      <c r="C153" s="6">
        <v>6.92</v>
      </c>
      <c r="D153" s="6">
        <v>47.4</v>
      </c>
      <c r="E153" s="46">
        <v>1960</v>
      </c>
      <c r="F153" s="6">
        <f>E153/1000</f>
        <v>1.96</v>
      </c>
    </row>
    <row r="154" spans="1:6">
      <c r="B154" s="6">
        <f>MAX(B149:B153)</f>
        <v>2.3620000000000001</v>
      </c>
      <c r="C154" s="6">
        <f>MAX(C149:C153)</f>
        <v>6.92</v>
      </c>
    </row>
    <row r="156" spans="1:6">
      <c r="A156" s="6">
        <v>0</v>
      </c>
      <c r="B156" s="6">
        <f>B149/$B$154</f>
        <v>0.46147332768839966</v>
      </c>
      <c r="C156" s="6">
        <f>C149/$C$154</f>
        <v>0.59537572254335258</v>
      </c>
    </row>
    <row r="157" spans="1:6">
      <c r="A157" s="6">
        <v>1</v>
      </c>
      <c r="B157" s="6">
        <f>B150/$B$154</f>
        <v>0.59271803556308211</v>
      </c>
      <c r="C157" s="6">
        <f>C150/$C$154</f>
        <v>0.69942196531791911</v>
      </c>
    </row>
    <row r="158" spans="1:6">
      <c r="A158" s="6">
        <v>2</v>
      </c>
      <c r="B158" s="6">
        <f>B151/$B$154</f>
        <v>0.93395427603725656</v>
      </c>
      <c r="C158" s="6">
        <f>C151/$C$154</f>
        <v>0.83236994219653182</v>
      </c>
    </row>
    <row r="159" spans="1:6">
      <c r="A159" s="6">
        <v>3</v>
      </c>
      <c r="B159" s="6">
        <f>B152/$B$154</f>
        <v>0.86071126164267564</v>
      </c>
      <c r="C159" s="6">
        <f>C152/$C$154</f>
        <v>0.90751445086705207</v>
      </c>
    </row>
    <row r="160" spans="1:6">
      <c r="A160" s="6">
        <v>4</v>
      </c>
      <c r="B160" s="6">
        <f>B153/$B$154</f>
        <v>1</v>
      </c>
      <c r="C160" s="6">
        <f>C153/$C$154</f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webPublishItems count="2">
    <webPublishItem id="26214" divId="Test Station Power Supply Study_26214" sourceType="range" sourceRef="A1:E58" destinationFile="Z:\life at pbar\Lens Pulse Images\dummyloaddata.htm"/>
    <webPublishItem id="27397" divId="Test Station Power Supply Study_27397" sourceType="range" sourceRef="A1:F67" destinationFile="Z:\life at pbar\Lens Pulse Images\dummyloaddata.htm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8"/>
  <sheetViews>
    <sheetView workbookViewId="0">
      <selection activeCell="M55" sqref="M55"/>
    </sheetView>
  </sheetViews>
  <sheetFormatPr defaultRowHeight="12.5"/>
  <cols>
    <col min="3" max="5" width="9.453125" bestFit="1" customWidth="1"/>
  </cols>
  <sheetData>
    <row r="2" spans="1:9">
      <c r="A2" t="s">
        <v>20</v>
      </c>
    </row>
    <row r="3" spans="1:9">
      <c r="B3" t="s">
        <v>15</v>
      </c>
      <c r="D3">
        <v>4.8</v>
      </c>
      <c r="E3">
        <v>9.6</v>
      </c>
      <c r="F3">
        <v>7.2</v>
      </c>
      <c r="G3">
        <v>2.4</v>
      </c>
      <c r="H3">
        <v>3.6</v>
      </c>
      <c r="I3">
        <v>6</v>
      </c>
    </row>
    <row r="4" spans="1:9">
      <c r="B4" t="s">
        <v>16</v>
      </c>
      <c r="D4">
        <v>385</v>
      </c>
      <c r="E4">
        <v>570</v>
      </c>
      <c r="F4">
        <v>482</v>
      </c>
      <c r="G4">
        <v>266</v>
      </c>
      <c r="H4">
        <v>330</v>
      </c>
      <c r="I4">
        <v>435</v>
      </c>
    </row>
    <row r="5" spans="1:9">
      <c r="B5" t="s">
        <v>17</v>
      </c>
      <c r="D5">
        <v>56.14</v>
      </c>
      <c r="E5">
        <v>69.680000000000007</v>
      </c>
      <c r="F5">
        <v>63.94</v>
      </c>
      <c r="G5">
        <v>43.95</v>
      </c>
      <c r="H5">
        <v>50.87</v>
      </c>
      <c r="I5">
        <v>60.4</v>
      </c>
    </row>
    <row r="23" spans="1:9">
      <c r="A23" t="s">
        <v>18</v>
      </c>
    </row>
    <row r="24" spans="1:9">
      <c r="B24" t="s">
        <v>19</v>
      </c>
      <c r="D24">
        <v>2.54</v>
      </c>
      <c r="E24">
        <v>5.08</v>
      </c>
      <c r="F24">
        <v>1.27</v>
      </c>
      <c r="G24">
        <v>3</v>
      </c>
      <c r="H24">
        <v>4</v>
      </c>
      <c r="I24">
        <v>1</v>
      </c>
    </row>
    <row r="25" spans="1:9">
      <c r="B25" t="s">
        <v>16</v>
      </c>
      <c r="D25">
        <v>384</v>
      </c>
      <c r="E25">
        <v>514</v>
      </c>
      <c r="F25">
        <v>300</v>
      </c>
      <c r="G25">
        <v>411</v>
      </c>
      <c r="H25">
        <v>463</v>
      </c>
      <c r="I25">
        <v>280</v>
      </c>
    </row>
    <row r="26" spans="1:9">
      <c r="B26" t="s">
        <v>17</v>
      </c>
      <c r="D26">
        <v>56.14</v>
      </c>
      <c r="E26">
        <v>44.9</v>
      </c>
      <c r="F26">
        <v>67.400000000000006</v>
      </c>
      <c r="G26">
        <v>53.4</v>
      </c>
      <c r="H26">
        <v>48.7</v>
      </c>
      <c r="I26">
        <v>71</v>
      </c>
    </row>
    <row r="44" spans="1:3">
      <c r="A44" t="s">
        <v>21</v>
      </c>
    </row>
    <row r="45" spans="1:3">
      <c r="B45">
        <v>1700</v>
      </c>
      <c r="C45">
        <v>46.6</v>
      </c>
    </row>
    <row r="46" spans="1:3">
      <c r="B46">
        <v>1800</v>
      </c>
      <c r="C46">
        <v>49.3</v>
      </c>
    </row>
    <row r="47" spans="1:3">
      <c r="B47">
        <v>1900</v>
      </c>
      <c r="C47">
        <v>52</v>
      </c>
    </row>
    <row r="48" spans="1:3">
      <c r="B48">
        <v>2000</v>
      </c>
      <c r="C48">
        <v>54.7</v>
      </c>
    </row>
    <row r="49" spans="1:10">
      <c r="B49">
        <v>2100</v>
      </c>
      <c r="C49">
        <v>57.5</v>
      </c>
    </row>
    <row r="50" spans="1:10">
      <c r="B50">
        <v>2200</v>
      </c>
      <c r="C50">
        <v>60</v>
      </c>
    </row>
    <row r="51" spans="1:10">
      <c r="B51">
        <v>2300</v>
      </c>
      <c r="C51">
        <v>63</v>
      </c>
    </row>
    <row r="52" spans="1:10">
      <c r="B52">
        <v>2400</v>
      </c>
      <c r="C52">
        <v>65.7</v>
      </c>
    </row>
    <row r="53" spans="1:10">
      <c r="B53">
        <v>2500</v>
      </c>
      <c r="C53">
        <v>68.5</v>
      </c>
    </row>
    <row r="54" spans="1:10">
      <c r="B54">
        <v>2600</v>
      </c>
      <c r="C54">
        <v>71.2</v>
      </c>
    </row>
    <row r="55" spans="1:10">
      <c r="B55">
        <v>2700</v>
      </c>
      <c r="C55">
        <v>73.95</v>
      </c>
    </row>
    <row r="56" spans="1:10">
      <c r="B56">
        <v>2800</v>
      </c>
      <c r="C56">
        <v>76.7</v>
      </c>
    </row>
    <row r="57" spans="1:10">
      <c r="B57">
        <v>2900</v>
      </c>
      <c r="C57">
        <v>79.400000000000006</v>
      </c>
    </row>
    <row r="58" spans="1:10">
      <c r="B58">
        <v>3000</v>
      </c>
      <c r="C58">
        <v>82.15</v>
      </c>
    </row>
    <row r="59" spans="1:10">
      <c r="B59">
        <v>3100</v>
      </c>
      <c r="C59">
        <v>84.9</v>
      </c>
    </row>
    <row r="60" spans="1:10">
      <c r="B60">
        <v>3200</v>
      </c>
      <c r="C60">
        <v>87.6</v>
      </c>
    </row>
    <row r="62" spans="1:10">
      <c r="A62" t="s">
        <v>22</v>
      </c>
    </row>
    <row r="63" spans="1:10">
      <c r="B63" t="s">
        <v>23</v>
      </c>
      <c r="D63">
        <v>13.5</v>
      </c>
      <c r="E63">
        <v>27</v>
      </c>
      <c r="F63">
        <v>6.75</v>
      </c>
      <c r="G63">
        <v>9</v>
      </c>
      <c r="H63">
        <v>15</v>
      </c>
      <c r="I63">
        <v>20</v>
      </c>
      <c r="J63">
        <v>5</v>
      </c>
    </row>
    <row r="64" spans="1:10">
      <c r="B64" t="s">
        <v>24</v>
      </c>
      <c r="D64">
        <v>384.9</v>
      </c>
      <c r="E64">
        <v>440.4</v>
      </c>
      <c r="F64">
        <v>374</v>
      </c>
      <c r="G64">
        <v>376.7</v>
      </c>
      <c r="H64">
        <v>388.58</v>
      </c>
      <c r="I64">
        <v>404.7</v>
      </c>
      <c r="J64">
        <v>371.8</v>
      </c>
    </row>
    <row r="65" spans="2:10">
      <c r="B65" t="s">
        <v>17</v>
      </c>
      <c r="D65">
        <v>56.14</v>
      </c>
      <c r="E65">
        <v>42.62</v>
      </c>
      <c r="F65">
        <v>66.319999999999993</v>
      </c>
      <c r="G65">
        <v>62.57</v>
      </c>
      <c r="H65">
        <v>54.25</v>
      </c>
      <c r="I65">
        <v>48.75</v>
      </c>
      <c r="J65">
        <v>69.5</v>
      </c>
    </row>
    <row r="83" spans="1:14">
      <c r="M83" t="s">
        <v>47</v>
      </c>
    </row>
    <row r="84" spans="1:14">
      <c r="C84" t="s">
        <v>45</v>
      </c>
      <c r="D84" t="s">
        <v>46</v>
      </c>
      <c r="E84" t="s">
        <v>47</v>
      </c>
      <c r="M84" s="15">
        <v>12</v>
      </c>
      <c r="N84" s="25">
        <f>0.0249*M84^2-2.0087*M84+78.783</f>
        <v>58.264200000000002</v>
      </c>
    </row>
    <row r="85" spans="1:14">
      <c r="A85" t="s">
        <v>49</v>
      </c>
      <c r="C85" s="15">
        <v>4.7999999999999996E-3</v>
      </c>
    </row>
    <row r="86" spans="1:14">
      <c r="A86" t="s">
        <v>50</v>
      </c>
      <c r="D86" s="15">
        <v>4.9999999999999998E-8</v>
      </c>
    </row>
    <row r="87" spans="1:14">
      <c r="A87" t="s">
        <v>51</v>
      </c>
      <c r="D87" s="15">
        <v>4.3000000000000001E-8</v>
      </c>
    </row>
    <row r="88" spans="1:14">
      <c r="A88" t="s">
        <v>52</v>
      </c>
      <c r="E88" s="15">
        <v>3.6200000000000002E-4</v>
      </c>
    </row>
    <row r="89" spans="1:14">
      <c r="A89" t="s">
        <v>53</v>
      </c>
      <c r="D89" s="15">
        <v>2E-8</v>
      </c>
    </row>
    <row r="90" spans="1:14">
      <c r="A90" t="s">
        <v>54</v>
      </c>
      <c r="D90" s="15">
        <v>7.2300000000000006E-8</v>
      </c>
    </row>
    <row r="91" spans="1:14">
      <c r="A91" t="s">
        <v>55</v>
      </c>
      <c r="E91" s="15">
        <v>2.0000000000000001E-4</v>
      </c>
    </row>
    <row r="92" spans="1:14">
      <c r="A92" t="s">
        <v>56</v>
      </c>
      <c r="D92" s="15">
        <v>1.2100000000000001E-7</v>
      </c>
    </row>
    <row r="93" spans="1:14">
      <c r="A93" t="s">
        <v>57</v>
      </c>
      <c r="E93" s="15">
        <v>2.4399999999999999E-4</v>
      </c>
    </row>
    <row r="94" spans="1:14">
      <c r="A94" t="s">
        <v>58</v>
      </c>
      <c r="D94" s="15">
        <v>5.8500000000000001E-8</v>
      </c>
    </row>
    <row r="95" spans="1:14">
      <c r="A95" t="s">
        <v>59</v>
      </c>
      <c r="E95" s="15">
        <v>1.6200000000000001E-4</v>
      </c>
    </row>
    <row r="96" spans="1:14">
      <c r="A96" t="s">
        <v>60</v>
      </c>
      <c r="D96" s="15">
        <v>2.7E-6</v>
      </c>
    </row>
    <row r="97" spans="1:5">
      <c r="A97" t="s">
        <v>61</v>
      </c>
      <c r="E97" s="15">
        <v>8.1399999999999997E-3</v>
      </c>
    </row>
    <row r="98" spans="1:5">
      <c r="B98" t="s">
        <v>48</v>
      </c>
      <c r="C98" s="16">
        <f>SUM(C85:C97)</f>
        <v>4.7999999999999996E-3</v>
      </c>
      <c r="D98" s="16">
        <f>SUM(D85:D97)</f>
        <v>3.0647999999999999E-6</v>
      </c>
      <c r="E98" s="16">
        <f>SUM(E85:E97)</f>
        <v>9.1079999999999998E-3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46"/>
  <sheetViews>
    <sheetView topLeftCell="A121" workbookViewId="0">
      <selection activeCell="B2" sqref="B2:B59"/>
    </sheetView>
  </sheetViews>
  <sheetFormatPr defaultRowHeight="12.5"/>
  <cols>
    <col min="5" max="5" width="10.1796875" bestFit="1" customWidth="1"/>
    <col min="6" max="6" width="10.1796875" customWidth="1"/>
    <col min="8" max="8" width="10.26953125" customWidth="1"/>
  </cols>
  <sheetData>
    <row r="1" spans="1:20" s="4" customFormat="1" ht="37.5">
      <c r="A1" s="4" t="s">
        <v>1</v>
      </c>
      <c r="B1" s="4" t="s">
        <v>2</v>
      </c>
      <c r="C1" s="4" t="s">
        <v>3</v>
      </c>
      <c r="D1" s="4" t="s">
        <v>0</v>
      </c>
      <c r="E1" s="4" t="s">
        <v>4</v>
      </c>
      <c r="F1" s="4" t="s">
        <v>5</v>
      </c>
      <c r="G1" s="4" t="s">
        <v>6</v>
      </c>
      <c r="H1" s="4" t="s">
        <v>7</v>
      </c>
      <c r="I1" s="17" t="s">
        <v>62</v>
      </c>
      <c r="L1" s="4" t="s">
        <v>1</v>
      </c>
      <c r="M1" s="4" t="s">
        <v>2</v>
      </c>
      <c r="N1" s="4" t="s">
        <v>3</v>
      </c>
      <c r="O1" s="4" t="s">
        <v>0</v>
      </c>
      <c r="P1" s="4" t="s">
        <v>4</v>
      </c>
      <c r="Q1" s="4" t="s">
        <v>5</v>
      </c>
      <c r="R1" s="4" t="s">
        <v>6</v>
      </c>
      <c r="S1" s="4" t="s">
        <v>7</v>
      </c>
      <c r="T1" s="17" t="s">
        <v>62</v>
      </c>
    </row>
    <row r="2" spans="1:20">
      <c r="A2">
        <v>2</v>
      </c>
      <c r="B2" s="2">
        <v>0.3</v>
      </c>
      <c r="C2" s="3">
        <v>2.6</v>
      </c>
      <c r="D2">
        <v>23</v>
      </c>
      <c r="E2" s="1">
        <v>35400</v>
      </c>
      <c r="F2">
        <f>C2*157.4</f>
        <v>409.24</v>
      </c>
      <c r="G2">
        <f>B2*7.751*157.4</f>
        <v>366.00222000000002</v>
      </c>
      <c r="H2">
        <f>G2/F2</f>
        <v>0.8943461538461539</v>
      </c>
      <c r="I2">
        <f>(0.2027*A2+1.2055)*1000</f>
        <v>1610.9</v>
      </c>
      <c r="L2" s="6">
        <v>0</v>
      </c>
      <c r="M2" s="2"/>
      <c r="N2" s="18">
        <v>2</v>
      </c>
      <c r="O2">
        <v>4</v>
      </c>
      <c r="P2" s="1">
        <v>31017</v>
      </c>
      <c r="Q2">
        <f>N2*157.4</f>
        <v>314.8</v>
      </c>
      <c r="R2">
        <f>M2*7.751*157.4</f>
        <v>0</v>
      </c>
      <c r="S2">
        <f>R2/Q2</f>
        <v>0</v>
      </c>
      <c r="T2">
        <f t="shared" ref="T2:T130" si="0">(0.2027*L2+1.2055)*1000</f>
        <v>1205.5</v>
      </c>
    </row>
    <row r="3" spans="1:20">
      <c r="A3">
        <v>3.75</v>
      </c>
      <c r="B3" s="2">
        <v>0.49</v>
      </c>
      <c r="C3" s="3">
        <v>4.3</v>
      </c>
      <c r="D3">
        <v>23</v>
      </c>
      <c r="E3" s="1">
        <v>35400</v>
      </c>
      <c r="F3">
        <f t="shared" ref="F3:F56" si="1">C3*157.4</f>
        <v>676.82</v>
      </c>
      <c r="G3">
        <f t="shared" ref="G3:G56" si="2">B3*7.751*157.4</f>
        <v>597.80362600000001</v>
      </c>
      <c r="H3">
        <f t="shared" ref="H3:H56" si="3">G3/F3</f>
        <v>0.88325348837209294</v>
      </c>
      <c r="I3">
        <f t="shared" ref="I3:I66" si="4">(0.2027*A3+1.2055)*1000</f>
        <v>1965.625</v>
      </c>
      <c r="L3" s="6">
        <v>2</v>
      </c>
      <c r="M3" s="2"/>
      <c r="N3" s="18">
        <v>2.8</v>
      </c>
      <c r="O3">
        <v>4</v>
      </c>
      <c r="P3" s="1">
        <v>31017</v>
      </c>
      <c r="Q3">
        <f t="shared" ref="Q3:Q59" si="5">N3*157.4</f>
        <v>440.71999999999997</v>
      </c>
      <c r="R3">
        <f t="shared" ref="R3:R59" si="6">M3*7.751*157.4</f>
        <v>0</v>
      </c>
      <c r="S3">
        <f t="shared" ref="S3:S59" si="7">R3/Q3</f>
        <v>0</v>
      </c>
      <c r="T3">
        <f t="shared" ref="T3:T66" si="8">(0.2027*L3+1.2055)*1000</f>
        <v>1610.9</v>
      </c>
    </row>
    <row r="4" spans="1:20">
      <c r="A4">
        <v>3.75</v>
      </c>
      <c r="B4" s="2">
        <v>0.48</v>
      </c>
      <c r="C4" s="3">
        <v>4.3</v>
      </c>
      <c r="D4">
        <v>23</v>
      </c>
      <c r="E4" s="1">
        <v>35400</v>
      </c>
      <c r="F4">
        <f t="shared" si="1"/>
        <v>676.82</v>
      </c>
      <c r="G4">
        <f t="shared" si="2"/>
        <v>585.60355200000004</v>
      </c>
      <c r="H4">
        <f t="shared" si="3"/>
        <v>0.86522790697674412</v>
      </c>
      <c r="I4">
        <f t="shared" si="4"/>
        <v>1965.625</v>
      </c>
      <c r="L4" s="6">
        <v>4</v>
      </c>
      <c r="M4" s="2"/>
      <c r="N4" s="18">
        <v>3.6</v>
      </c>
      <c r="O4">
        <v>4</v>
      </c>
      <c r="P4" s="1">
        <v>31017</v>
      </c>
      <c r="Q4">
        <f t="shared" si="5"/>
        <v>566.64</v>
      </c>
      <c r="R4">
        <f t="shared" si="6"/>
        <v>0</v>
      </c>
      <c r="S4">
        <f t="shared" si="7"/>
        <v>0</v>
      </c>
      <c r="T4">
        <f t="shared" si="8"/>
        <v>2016.3000000000002</v>
      </c>
    </row>
    <row r="5" spans="1:20">
      <c r="A5">
        <v>4.5</v>
      </c>
      <c r="B5" s="2">
        <v>0.53</v>
      </c>
      <c r="C5" s="3">
        <v>4.7</v>
      </c>
      <c r="D5">
        <v>23</v>
      </c>
      <c r="E5" s="1">
        <v>35400</v>
      </c>
      <c r="F5">
        <f t="shared" si="1"/>
        <v>739.78000000000009</v>
      </c>
      <c r="G5">
        <f t="shared" si="2"/>
        <v>646.60392200000013</v>
      </c>
      <c r="H5">
        <f t="shared" si="3"/>
        <v>0.87404893617021284</v>
      </c>
      <c r="I5">
        <f t="shared" si="4"/>
        <v>2117.65</v>
      </c>
      <c r="L5" s="6">
        <v>6</v>
      </c>
      <c r="M5" s="2"/>
      <c r="N5" s="18">
        <v>4.3</v>
      </c>
      <c r="O5">
        <v>4</v>
      </c>
      <c r="P5" s="1">
        <v>31017</v>
      </c>
      <c r="Q5">
        <f t="shared" si="5"/>
        <v>676.82</v>
      </c>
      <c r="R5">
        <f t="shared" si="6"/>
        <v>0</v>
      </c>
      <c r="S5">
        <f t="shared" si="7"/>
        <v>0</v>
      </c>
      <c r="T5">
        <f t="shared" si="8"/>
        <v>2421.6999999999998</v>
      </c>
    </row>
    <row r="6" spans="1:20">
      <c r="A6">
        <v>4.5</v>
      </c>
      <c r="B6" s="2">
        <v>0.52</v>
      </c>
      <c r="C6" s="3">
        <v>4.6500000000000004</v>
      </c>
      <c r="D6">
        <v>23</v>
      </c>
      <c r="E6" s="1">
        <v>35400</v>
      </c>
      <c r="F6">
        <f t="shared" si="1"/>
        <v>731.91000000000008</v>
      </c>
      <c r="G6">
        <f t="shared" si="2"/>
        <v>634.40384800000004</v>
      </c>
      <c r="H6">
        <f t="shared" si="3"/>
        <v>0.86677849462365586</v>
      </c>
      <c r="I6">
        <f t="shared" si="4"/>
        <v>2117.65</v>
      </c>
      <c r="L6" s="6">
        <v>0</v>
      </c>
      <c r="M6" s="2">
        <v>0.57999999999999996</v>
      </c>
      <c r="N6" s="18">
        <v>2</v>
      </c>
      <c r="O6">
        <v>4</v>
      </c>
      <c r="Q6">
        <f t="shared" si="5"/>
        <v>314.8</v>
      </c>
      <c r="R6">
        <f t="shared" si="6"/>
        <v>707.60429199999999</v>
      </c>
      <c r="S6">
        <f t="shared" si="7"/>
        <v>2.2477899999999997</v>
      </c>
      <c r="T6">
        <f t="shared" si="8"/>
        <v>1205.5</v>
      </c>
    </row>
    <row r="7" spans="1:20">
      <c r="A7">
        <v>2.8</v>
      </c>
      <c r="B7">
        <v>0.52800000000000002</v>
      </c>
      <c r="C7">
        <v>3.9</v>
      </c>
      <c r="D7">
        <v>24</v>
      </c>
      <c r="E7" s="1">
        <v>35765</v>
      </c>
      <c r="F7">
        <f t="shared" si="1"/>
        <v>613.86</v>
      </c>
      <c r="G7">
        <f t="shared" si="2"/>
        <v>644.16390720000015</v>
      </c>
      <c r="H7">
        <f t="shared" si="3"/>
        <v>1.0493661538461541</v>
      </c>
      <c r="I7">
        <f t="shared" si="4"/>
        <v>1773.0600000000002</v>
      </c>
      <c r="L7" s="6">
        <v>0</v>
      </c>
      <c r="M7">
        <v>0.6</v>
      </c>
      <c r="N7" s="6">
        <v>2</v>
      </c>
      <c r="O7">
        <v>4</v>
      </c>
      <c r="P7" s="1">
        <v>31079</v>
      </c>
      <c r="Q7">
        <f t="shared" si="5"/>
        <v>314.8</v>
      </c>
      <c r="R7">
        <f t="shared" si="6"/>
        <v>732.00444000000005</v>
      </c>
      <c r="S7">
        <f t="shared" si="7"/>
        <v>2.3252999999999999</v>
      </c>
      <c r="T7">
        <f t="shared" si="8"/>
        <v>1205.5</v>
      </c>
    </row>
    <row r="8" spans="1:20">
      <c r="A8">
        <v>2.8</v>
      </c>
      <c r="B8">
        <v>0.52</v>
      </c>
      <c r="C8">
        <v>3.84</v>
      </c>
      <c r="D8">
        <v>24</v>
      </c>
      <c r="E8" s="1">
        <v>35765</v>
      </c>
      <c r="F8">
        <f t="shared" si="1"/>
        <v>604.41600000000005</v>
      </c>
      <c r="G8">
        <f t="shared" si="2"/>
        <v>634.40384800000004</v>
      </c>
      <c r="H8">
        <f t="shared" si="3"/>
        <v>1.0496145833333332</v>
      </c>
      <c r="I8">
        <f t="shared" si="4"/>
        <v>1773.0600000000002</v>
      </c>
      <c r="L8" s="6">
        <v>0</v>
      </c>
      <c r="M8">
        <v>0.57999999999999996</v>
      </c>
      <c r="N8" s="6">
        <v>2</v>
      </c>
      <c r="O8">
        <v>4</v>
      </c>
      <c r="P8" s="1">
        <v>31079</v>
      </c>
      <c r="Q8">
        <f t="shared" si="5"/>
        <v>314.8</v>
      </c>
      <c r="R8">
        <f t="shared" si="6"/>
        <v>707.60429199999999</v>
      </c>
      <c r="S8">
        <f t="shared" si="7"/>
        <v>2.2477899999999997</v>
      </c>
      <c r="T8">
        <f t="shared" si="8"/>
        <v>1205.5</v>
      </c>
    </row>
    <row r="9" spans="1:20">
      <c r="A9">
        <v>2.8</v>
      </c>
      <c r="B9">
        <v>0.51200000000000001</v>
      </c>
      <c r="C9">
        <v>3.84</v>
      </c>
      <c r="D9">
        <v>24</v>
      </c>
      <c r="E9" s="1">
        <v>35765</v>
      </c>
      <c r="F9">
        <f t="shared" si="1"/>
        <v>604.41600000000005</v>
      </c>
      <c r="G9">
        <f t="shared" si="2"/>
        <v>624.64378880000004</v>
      </c>
      <c r="H9">
        <f t="shared" si="3"/>
        <v>1.0334666666666665</v>
      </c>
      <c r="I9">
        <f t="shared" si="4"/>
        <v>1773.0600000000002</v>
      </c>
      <c r="L9" s="6">
        <v>6.25</v>
      </c>
      <c r="M9">
        <v>0.82</v>
      </c>
      <c r="N9" s="6">
        <v>4.4000000000000004</v>
      </c>
      <c r="O9">
        <v>6</v>
      </c>
      <c r="P9" s="1">
        <v>31229</v>
      </c>
      <c r="Q9">
        <f t="shared" si="5"/>
        <v>692.56000000000006</v>
      </c>
      <c r="R9">
        <f t="shared" si="6"/>
        <v>1000.406068</v>
      </c>
      <c r="S9">
        <f t="shared" si="7"/>
        <v>1.4445045454545453</v>
      </c>
      <c r="T9">
        <f t="shared" si="8"/>
        <v>2472.375</v>
      </c>
    </row>
    <row r="10" spans="1:20">
      <c r="A10">
        <v>2.8</v>
      </c>
      <c r="B10">
        <v>0.52</v>
      </c>
      <c r="C10">
        <v>3.92</v>
      </c>
      <c r="D10">
        <v>24</v>
      </c>
      <c r="E10" s="1">
        <v>35765</v>
      </c>
      <c r="F10">
        <f t="shared" si="1"/>
        <v>617.00800000000004</v>
      </c>
      <c r="G10">
        <f t="shared" si="2"/>
        <v>634.40384800000004</v>
      </c>
      <c r="H10">
        <f t="shared" si="3"/>
        <v>1.0281938775510204</v>
      </c>
      <c r="I10">
        <f t="shared" si="4"/>
        <v>1773.0600000000002</v>
      </c>
      <c r="L10" s="6">
        <v>0</v>
      </c>
      <c r="M10">
        <v>0.308</v>
      </c>
      <c r="N10" s="6">
        <v>2.0299999999999998</v>
      </c>
      <c r="O10">
        <v>8</v>
      </c>
      <c r="P10" s="1">
        <v>31444</v>
      </c>
      <c r="Q10">
        <f t="shared" si="5"/>
        <v>319.52199999999999</v>
      </c>
      <c r="R10">
        <f t="shared" si="6"/>
        <v>375.76227920000002</v>
      </c>
      <c r="S10">
        <f t="shared" si="7"/>
        <v>1.1760137931034484</v>
      </c>
      <c r="T10">
        <f t="shared" si="8"/>
        <v>1205.5</v>
      </c>
    </row>
    <row r="11" spans="1:20">
      <c r="A11">
        <v>5.15</v>
      </c>
      <c r="B11">
        <v>0.66</v>
      </c>
      <c r="C11">
        <v>4.96</v>
      </c>
      <c r="D11">
        <v>24</v>
      </c>
      <c r="E11" s="1">
        <v>35765</v>
      </c>
      <c r="F11">
        <f t="shared" si="1"/>
        <v>780.70400000000006</v>
      </c>
      <c r="G11">
        <f t="shared" si="2"/>
        <v>805.20488399999999</v>
      </c>
      <c r="H11">
        <f t="shared" si="3"/>
        <v>1.031383064516129</v>
      </c>
      <c r="I11">
        <f t="shared" si="4"/>
        <v>2249.4050000000002</v>
      </c>
      <c r="L11" s="6">
        <v>2</v>
      </c>
      <c r="M11">
        <v>0.39</v>
      </c>
      <c r="N11" s="6">
        <v>2.89</v>
      </c>
      <c r="O11">
        <v>8</v>
      </c>
      <c r="P11" s="1">
        <v>31444</v>
      </c>
      <c r="Q11">
        <f t="shared" si="5"/>
        <v>454.88600000000002</v>
      </c>
      <c r="R11">
        <f t="shared" si="6"/>
        <v>475.80288600000006</v>
      </c>
      <c r="S11">
        <f t="shared" si="7"/>
        <v>1.0459826989619379</v>
      </c>
      <c r="T11">
        <f t="shared" si="8"/>
        <v>1610.9</v>
      </c>
    </row>
    <row r="12" spans="1:20">
      <c r="A12">
        <v>0</v>
      </c>
      <c r="B12" s="2">
        <v>0.33600000000000002</v>
      </c>
      <c r="C12" s="3">
        <v>3.64</v>
      </c>
      <c r="D12">
        <v>24</v>
      </c>
      <c r="E12" s="1">
        <v>35765</v>
      </c>
      <c r="F12">
        <f t="shared" si="1"/>
        <v>572.93600000000004</v>
      </c>
      <c r="G12">
        <f t="shared" si="2"/>
        <v>409.92248640000008</v>
      </c>
      <c r="H12">
        <f t="shared" si="3"/>
        <v>0.71547692307692312</v>
      </c>
      <c r="I12">
        <f t="shared" si="4"/>
        <v>1205.5</v>
      </c>
      <c r="L12" s="6">
        <v>4</v>
      </c>
      <c r="M12" s="2">
        <v>0.48</v>
      </c>
      <c r="N12" s="18">
        <v>3.6</v>
      </c>
      <c r="O12">
        <v>8</v>
      </c>
      <c r="P12" s="1">
        <v>31444</v>
      </c>
      <c r="Q12">
        <f t="shared" si="5"/>
        <v>566.64</v>
      </c>
      <c r="R12">
        <f t="shared" si="6"/>
        <v>585.60355200000004</v>
      </c>
      <c r="S12">
        <f t="shared" si="7"/>
        <v>1.0334666666666668</v>
      </c>
      <c r="T12">
        <f t="shared" si="8"/>
        <v>2016.3000000000002</v>
      </c>
    </row>
    <row r="13" spans="1:20">
      <c r="A13">
        <v>2.8</v>
      </c>
      <c r="B13">
        <v>0.52</v>
      </c>
      <c r="C13">
        <v>3.92</v>
      </c>
      <c r="D13">
        <v>24</v>
      </c>
      <c r="E13" s="1">
        <v>35765</v>
      </c>
      <c r="F13">
        <f t="shared" si="1"/>
        <v>617.00800000000004</v>
      </c>
      <c r="G13">
        <f t="shared" si="2"/>
        <v>634.40384800000004</v>
      </c>
      <c r="H13">
        <f t="shared" si="3"/>
        <v>1.0281938775510204</v>
      </c>
      <c r="I13">
        <f t="shared" si="4"/>
        <v>1773.0600000000002</v>
      </c>
      <c r="L13" s="6">
        <v>5</v>
      </c>
      <c r="M13">
        <v>0.53</v>
      </c>
      <c r="N13" s="6">
        <v>3.9</v>
      </c>
      <c r="O13">
        <v>8</v>
      </c>
      <c r="P13" s="1">
        <v>31444</v>
      </c>
      <c r="Q13">
        <f t="shared" si="5"/>
        <v>613.86</v>
      </c>
      <c r="R13">
        <f t="shared" si="6"/>
        <v>646.60392200000013</v>
      </c>
      <c r="S13">
        <f t="shared" si="7"/>
        <v>1.0533410256410258</v>
      </c>
      <c r="T13">
        <f t="shared" si="8"/>
        <v>2219.0000000000005</v>
      </c>
    </row>
    <row r="14" spans="1:20">
      <c r="A14">
        <v>2.8</v>
      </c>
      <c r="B14">
        <v>0.51</v>
      </c>
      <c r="C14">
        <v>3.92</v>
      </c>
      <c r="D14">
        <v>24</v>
      </c>
      <c r="E14" s="1">
        <v>35765</v>
      </c>
      <c r="F14">
        <f t="shared" si="1"/>
        <v>617.00800000000004</v>
      </c>
      <c r="G14">
        <f t="shared" si="2"/>
        <v>622.20377400000007</v>
      </c>
      <c r="H14">
        <f t="shared" si="3"/>
        <v>1.0084209183673469</v>
      </c>
      <c r="I14">
        <f t="shared" si="4"/>
        <v>1773.0600000000002</v>
      </c>
      <c r="L14" s="6">
        <v>6.25</v>
      </c>
      <c r="M14">
        <v>0.59</v>
      </c>
      <c r="N14" s="6">
        <v>4.4000000000000004</v>
      </c>
      <c r="O14">
        <v>8</v>
      </c>
      <c r="P14" s="1">
        <v>31444</v>
      </c>
      <c r="Q14">
        <f t="shared" si="5"/>
        <v>692.56000000000006</v>
      </c>
      <c r="R14">
        <f t="shared" si="6"/>
        <v>719.80436599999996</v>
      </c>
      <c r="S14">
        <f t="shared" si="7"/>
        <v>1.0393386363636363</v>
      </c>
      <c r="T14">
        <f t="shared" si="8"/>
        <v>2472.375</v>
      </c>
    </row>
    <row r="15" spans="1:20">
      <c r="A15">
        <v>5.15</v>
      </c>
      <c r="B15">
        <v>0.65600000000000003</v>
      </c>
      <c r="C15">
        <v>4.96</v>
      </c>
      <c r="D15">
        <v>24</v>
      </c>
      <c r="E15" s="1">
        <v>35765</v>
      </c>
      <c r="F15">
        <f t="shared" si="1"/>
        <v>780.70400000000006</v>
      </c>
      <c r="G15">
        <f t="shared" si="2"/>
        <v>800.32485440000016</v>
      </c>
      <c r="H15">
        <f t="shared" si="3"/>
        <v>1.0251322580645164</v>
      </c>
      <c r="I15">
        <f t="shared" si="4"/>
        <v>2249.4050000000002</v>
      </c>
      <c r="L15" s="6">
        <v>0</v>
      </c>
      <c r="M15">
        <v>0.1</v>
      </c>
      <c r="N15" s="6">
        <v>0.5</v>
      </c>
      <c r="O15">
        <v>9</v>
      </c>
      <c r="P15" s="1">
        <v>31625</v>
      </c>
      <c r="Q15">
        <f t="shared" si="5"/>
        <v>78.7</v>
      </c>
      <c r="R15">
        <f t="shared" si="6"/>
        <v>122.00074000000002</v>
      </c>
      <c r="S15">
        <f t="shared" si="7"/>
        <v>1.5502000000000002</v>
      </c>
      <c r="T15">
        <f t="shared" si="8"/>
        <v>1205.5</v>
      </c>
    </row>
    <row r="16" spans="1:20">
      <c r="A16">
        <v>5.15</v>
      </c>
      <c r="B16">
        <v>0.64800000000000002</v>
      </c>
      <c r="C16">
        <v>5.04</v>
      </c>
      <c r="D16">
        <v>24</v>
      </c>
      <c r="E16" s="1">
        <v>35765</v>
      </c>
      <c r="F16">
        <f t="shared" si="1"/>
        <v>793.29600000000005</v>
      </c>
      <c r="G16">
        <f t="shared" si="2"/>
        <v>790.56479520000005</v>
      </c>
      <c r="H16">
        <f t="shared" si="3"/>
        <v>0.99655714285714281</v>
      </c>
      <c r="I16">
        <f t="shared" si="4"/>
        <v>2249.4050000000002</v>
      </c>
      <c r="L16" s="6">
        <v>3</v>
      </c>
      <c r="M16">
        <v>0.1</v>
      </c>
      <c r="N16" s="6">
        <v>1</v>
      </c>
      <c r="O16">
        <v>9</v>
      </c>
      <c r="P16" s="1">
        <v>31625</v>
      </c>
      <c r="Q16">
        <f t="shared" si="5"/>
        <v>157.4</v>
      </c>
      <c r="R16">
        <f t="shared" si="6"/>
        <v>122.00074000000002</v>
      </c>
      <c r="S16">
        <f t="shared" si="7"/>
        <v>0.77510000000000012</v>
      </c>
      <c r="T16">
        <f t="shared" si="8"/>
        <v>1813.6000000000001</v>
      </c>
    </row>
    <row r="17" spans="1:20">
      <c r="A17">
        <v>2.8</v>
      </c>
      <c r="B17">
        <v>0.52</v>
      </c>
      <c r="C17">
        <v>3.92</v>
      </c>
      <c r="D17">
        <v>24</v>
      </c>
      <c r="E17" s="1">
        <v>35765</v>
      </c>
      <c r="F17">
        <f t="shared" si="1"/>
        <v>617.00800000000004</v>
      </c>
      <c r="G17">
        <f t="shared" si="2"/>
        <v>634.40384800000004</v>
      </c>
      <c r="H17">
        <f t="shared" si="3"/>
        <v>1.0281938775510204</v>
      </c>
      <c r="I17">
        <f t="shared" si="4"/>
        <v>1773.0600000000002</v>
      </c>
      <c r="L17" s="6">
        <v>6.25</v>
      </c>
      <c r="M17">
        <v>0.61</v>
      </c>
      <c r="N17" s="6">
        <v>4.2</v>
      </c>
      <c r="O17">
        <v>9</v>
      </c>
      <c r="P17" s="1">
        <v>31625</v>
      </c>
      <c r="Q17">
        <f t="shared" si="5"/>
        <v>661.08</v>
      </c>
      <c r="R17">
        <f t="shared" si="6"/>
        <v>744.20451400000002</v>
      </c>
      <c r="S17">
        <f t="shared" si="7"/>
        <v>1.1257404761904761</v>
      </c>
      <c r="T17">
        <f t="shared" si="8"/>
        <v>2472.375</v>
      </c>
    </row>
    <row r="18" spans="1:20">
      <c r="A18">
        <v>5.15</v>
      </c>
      <c r="B18">
        <v>0.64800000000000002</v>
      </c>
      <c r="C18">
        <v>5.04</v>
      </c>
      <c r="D18">
        <v>24</v>
      </c>
      <c r="E18" s="1">
        <v>35765</v>
      </c>
      <c r="F18">
        <f t="shared" si="1"/>
        <v>793.29600000000005</v>
      </c>
      <c r="G18">
        <f t="shared" si="2"/>
        <v>790.56479520000005</v>
      </c>
      <c r="H18">
        <f t="shared" si="3"/>
        <v>0.99655714285714281</v>
      </c>
      <c r="I18">
        <f t="shared" si="4"/>
        <v>2249.4050000000002</v>
      </c>
      <c r="L18" s="6">
        <v>3</v>
      </c>
      <c r="M18">
        <v>0.52</v>
      </c>
      <c r="O18">
        <v>11</v>
      </c>
      <c r="P18" s="1">
        <v>32295</v>
      </c>
      <c r="Q18">
        <f t="shared" si="5"/>
        <v>0</v>
      </c>
      <c r="R18">
        <f t="shared" si="6"/>
        <v>634.40384800000004</v>
      </c>
      <c r="S18" t="e">
        <f t="shared" si="7"/>
        <v>#DIV/0!</v>
      </c>
      <c r="T18">
        <f t="shared" si="8"/>
        <v>1813.6000000000001</v>
      </c>
    </row>
    <row r="19" spans="1:20">
      <c r="A19">
        <v>4.2</v>
      </c>
      <c r="B19">
        <v>0.44800000000000001</v>
      </c>
      <c r="C19">
        <v>3.32</v>
      </c>
      <c r="D19">
        <v>24</v>
      </c>
      <c r="E19" s="1">
        <v>35765</v>
      </c>
      <c r="F19">
        <f t="shared" si="1"/>
        <v>522.56799999999998</v>
      </c>
      <c r="G19">
        <f t="shared" si="2"/>
        <v>546.56331520000003</v>
      </c>
      <c r="H19">
        <f t="shared" si="3"/>
        <v>1.0459180722891568</v>
      </c>
      <c r="I19">
        <f t="shared" si="4"/>
        <v>2056.84</v>
      </c>
      <c r="L19" s="6">
        <v>3.75</v>
      </c>
      <c r="M19" s="6">
        <v>0.61199999999999999</v>
      </c>
      <c r="N19" s="6">
        <v>5.28</v>
      </c>
      <c r="O19" s="6">
        <v>13</v>
      </c>
      <c r="P19" s="1">
        <v>33055</v>
      </c>
      <c r="Q19">
        <f t="shared" si="5"/>
        <v>831.07200000000012</v>
      </c>
      <c r="R19">
        <f t="shared" si="6"/>
        <v>746.64452879999999</v>
      </c>
      <c r="S19">
        <f t="shared" si="7"/>
        <v>0.89841136363636354</v>
      </c>
      <c r="T19">
        <f t="shared" si="8"/>
        <v>1965.625</v>
      </c>
    </row>
    <row r="20" spans="1:20">
      <c r="A20">
        <v>2.8</v>
      </c>
      <c r="B20">
        <v>0.52</v>
      </c>
      <c r="C20">
        <v>3.92</v>
      </c>
      <c r="D20">
        <v>24</v>
      </c>
      <c r="E20" s="1">
        <v>35765</v>
      </c>
      <c r="F20">
        <f t="shared" si="1"/>
        <v>617.00800000000004</v>
      </c>
      <c r="G20">
        <f t="shared" si="2"/>
        <v>634.40384800000004</v>
      </c>
      <c r="H20">
        <f t="shared" si="3"/>
        <v>1.0281938775510204</v>
      </c>
      <c r="I20">
        <f t="shared" si="4"/>
        <v>1773.0600000000002</v>
      </c>
      <c r="L20" s="6">
        <v>4.5</v>
      </c>
      <c r="M20" s="6">
        <v>0.65400000000000003</v>
      </c>
      <c r="N20" s="6">
        <v>5.7</v>
      </c>
      <c r="O20" s="6">
        <v>13</v>
      </c>
      <c r="P20" s="1">
        <v>33086</v>
      </c>
      <c r="Q20">
        <f t="shared" si="5"/>
        <v>897.18000000000006</v>
      </c>
      <c r="R20">
        <f t="shared" si="6"/>
        <v>797.88483960000008</v>
      </c>
      <c r="S20">
        <f t="shared" si="7"/>
        <v>0.88932526315789473</v>
      </c>
      <c r="T20">
        <f t="shared" si="8"/>
        <v>2117.65</v>
      </c>
    </row>
    <row r="21" spans="1:20">
      <c r="A21">
        <v>5.15</v>
      </c>
      <c r="B21">
        <v>0.64800000000000002</v>
      </c>
      <c r="C21">
        <v>4.96</v>
      </c>
      <c r="D21">
        <v>24</v>
      </c>
      <c r="E21" s="1">
        <v>35765</v>
      </c>
      <c r="F21">
        <f t="shared" si="1"/>
        <v>780.70400000000006</v>
      </c>
      <c r="G21">
        <f t="shared" si="2"/>
        <v>790.56479520000005</v>
      </c>
      <c r="H21">
        <f t="shared" si="3"/>
        <v>1.0126306451612903</v>
      </c>
      <c r="I21">
        <f t="shared" si="4"/>
        <v>2249.4050000000002</v>
      </c>
      <c r="L21" s="6">
        <v>2</v>
      </c>
      <c r="M21" s="6">
        <v>0.5</v>
      </c>
      <c r="O21" s="6">
        <v>13</v>
      </c>
      <c r="P21" s="1">
        <v>32994</v>
      </c>
      <c r="Q21">
        <f t="shared" si="5"/>
        <v>0</v>
      </c>
      <c r="R21">
        <f t="shared" si="6"/>
        <v>610.00370000000009</v>
      </c>
      <c r="S21" t="e">
        <f t="shared" si="7"/>
        <v>#DIV/0!</v>
      </c>
      <c r="T21">
        <f t="shared" si="8"/>
        <v>1610.9</v>
      </c>
    </row>
    <row r="22" spans="1:20">
      <c r="A22">
        <v>0</v>
      </c>
      <c r="B22">
        <v>0.33200000000000002</v>
      </c>
      <c r="C22">
        <v>2.5</v>
      </c>
      <c r="D22">
        <v>25</v>
      </c>
      <c r="E22" s="1">
        <v>36281</v>
      </c>
      <c r="F22">
        <f t="shared" si="1"/>
        <v>393.5</v>
      </c>
      <c r="G22">
        <f t="shared" si="2"/>
        <v>405.04245680000002</v>
      </c>
      <c r="H22">
        <f t="shared" si="3"/>
        <v>1.0293328000000002</v>
      </c>
      <c r="I22">
        <f t="shared" si="4"/>
        <v>1205.5</v>
      </c>
      <c r="L22" s="6">
        <v>2.9</v>
      </c>
      <c r="M22" s="6">
        <v>0.55000000000000004</v>
      </c>
      <c r="N22" s="6">
        <v>4.8499999999999996</v>
      </c>
      <c r="O22" s="6">
        <v>13</v>
      </c>
      <c r="P22" s="1">
        <v>32994</v>
      </c>
      <c r="Q22">
        <f t="shared" si="5"/>
        <v>763.39</v>
      </c>
      <c r="R22">
        <f t="shared" si="6"/>
        <v>671.00407000000018</v>
      </c>
      <c r="S22">
        <f t="shared" si="7"/>
        <v>0.87897938144329923</v>
      </c>
      <c r="T22">
        <f t="shared" si="8"/>
        <v>1793.3300000000002</v>
      </c>
    </row>
    <row r="23" spans="1:20">
      <c r="A23">
        <v>0</v>
      </c>
      <c r="B23">
        <v>0.32800000000000001</v>
      </c>
      <c r="C23">
        <v>2.6</v>
      </c>
      <c r="D23">
        <v>25</v>
      </c>
      <c r="E23" s="1">
        <v>36281</v>
      </c>
      <c r="F23">
        <f t="shared" si="1"/>
        <v>409.24</v>
      </c>
      <c r="G23">
        <f t="shared" si="2"/>
        <v>400.16242720000008</v>
      </c>
      <c r="H23">
        <f t="shared" si="3"/>
        <v>0.97781846153846175</v>
      </c>
      <c r="I23">
        <f t="shared" si="4"/>
        <v>1205.5</v>
      </c>
      <c r="L23" s="6">
        <v>1.95</v>
      </c>
      <c r="M23" s="6">
        <v>0.48</v>
      </c>
      <c r="N23" s="6">
        <v>4.2</v>
      </c>
      <c r="O23" s="6">
        <v>15</v>
      </c>
      <c r="P23" s="1">
        <v>32874</v>
      </c>
      <c r="Q23">
        <f t="shared" si="5"/>
        <v>661.08</v>
      </c>
      <c r="R23">
        <f t="shared" si="6"/>
        <v>585.60355200000004</v>
      </c>
      <c r="S23">
        <f t="shared" si="7"/>
        <v>0.88582857142857141</v>
      </c>
      <c r="T23">
        <f t="shared" si="8"/>
        <v>1600.7650000000001</v>
      </c>
    </row>
    <row r="24" spans="1:20">
      <c r="A24">
        <v>1</v>
      </c>
      <c r="B24">
        <v>0.4</v>
      </c>
      <c r="C24">
        <v>3.08</v>
      </c>
      <c r="D24">
        <v>25</v>
      </c>
      <c r="E24" s="1">
        <v>36281</v>
      </c>
      <c r="F24">
        <f t="shared" si="1"/>
        <v>484.79200000000003</v>
      </c>
      <c r="G24">
        <f t="shared" si="2"/>
        <v>488.00296000000009</v>
      </c>
      <c r="H24">
        <f t="shared" si="3"/>
        <v>1.0066233766233768</v>
      </c>
      <c r="I24">
        <f t="shared" si="4"/>
        <v>1408.1999999999998</v>
      </c>
      <c r="L24" s="6">
        <v>6.1</v>
      </c>
      <c r="M24" s="6">
        <v>0.68</v>
      </c>
      <c r="N24" s="6">
        <v>5.6</v>
      </c>
      <c r="O24" s="6">
        <v>16</v>
      </c>
      <c r="P24" s="1">
        <v>33329</v>
      </c>
      <c r="Q24">
        <f t="shared" si="5"/>
        <v>881.43999999999994</v>
      </c>
      <c r="R24">
        <f t="shared" si="6"/>
        <v>829.60503200000005</v>
      </c>
      <c r="S24">
        <f t="shared" si="7"/>
        <v>0.94119285714285728</v>
      </c>
      <c r="T24">
        <f t="shared" si="8"/>
        <v>2441.9699999999998</v>
      </c>
    </row>
    <row r="25" spans="1:20">
      <c r="A25">
        <v>1.5</v>
      </c>
      <c r="B25">
        <v>0.42399999999999999</v>
      </c>
      <c r="C25">
        <v>3.28</v>
      </c>
      <c r="D25">
        <v>25</v>
      </c>
      <c r="E25" s="1">
        <v>36281</v>
      </c>
      <c r="F25">
        <f t="shared" si="1"/>
        <v>516.27199999999993</v>
      </c>
      <c r="G25">
        <f t="shared" si="2"/>
        <v>517.28313760000003</v>
      </c>
      <c r="H25">
        <f t="shared" si="3"/>
        <v>1.001958536585366</v>
      </c>
      <c r="I25">
        <f t="shared" si="4"/>
        <v>1509.55</v>
      </c>
      <c r="L25" s="6">
        <v>2.9</v>
      </c>
      <c r="M25" s="6">
        <v>0.501</v>
      </c>
      <c r="N25" s="6">
        <v>4.0999999999999996</v>
      </c>
      <c r="O25" s="6">
        <v>16</v>
      </c>
      <c r="P25" s="1">
        <v>33178</v>
      </c>
      <c r="Q25">
        <f t="shared" si="5"/>
        <v>645.33999999999992</v>
      </c>
      <c r="R25">
        <f t="shared" si="6"/>
        <v>611.22370739999997</v>
      </c>
      <c r="S25">
        <f t="shared" si="7"/>
        <v>0.94713439024390256</v>
      </c>
      <c r="T25">
        <f t="shared" si="8"/>
        <v>1793.3300000000002</v>
      </c>
    </row>
    <row r="26" spans="1:20">
      <c r="A26">
        <v>2</v>
      </c>
      <c r="B26">
        <v>0.44800000000000001</v>
      </c>
      <c r="C26">
        <v>3.56</v>
      </c>
      <c r="D26">
        <v>25</v>
      </c>
      <c r="E26" s="1">
        <v>36281</v>
      </c>
      <c r="F26">
        <f t="shared" si="1"/>
        <v>560.34400000000005</v>
      </c>
      <c r="G26">
        <f t="shared" si="2"/>
        <v>546.56331520000003</v>
      </c>
      <c r="H26">
        <f t="shared" si="3"/>
        <v>0.97540674157303364</v>
      </c>
      <c r="I26">
        <f t="shared" si="4"/>
        <v>1610.9</v>
      </c>
      <c r="L26" s="6">
        <v>2.9</v>
      </c>
      <c r="M26" s="6">
        <v>0.504</v>
      </c>
      <c r="N26" s="6">
        <v>4.1500000000000004</v>
      </c>
      <c r="O26" s="6">
        <v>16</v>
      </c>
      <c r="P26" s="1">
        <v>33208</v>
      </c>
      <c r="Q26">
        <f t="shared" si="5"/>
        <v>653.21</v>
      </c>
      <c r="R26">
        <f t="shared" si="6"/>
        <v>614.88372960000004</v>
      </c>
      <c r="S26">
        <f t="shared" si="7"/>
        <v>0.94132626506024097</v>
      </c>
      <c r="T26">
        <f t="shared" si="8"/>
        <v>1793.3300000000002</v>
      </c>
    </row>
    <row r="27" spans="1:20">
      <c r="A27">
        <v>2.5</v>
      </c>
      <c r="B27">
        <v>0.48</v>
      </c>
      <c r="C27">
        <v>3.76</v>
      </c>
      <c r="D27">
        <v>25</v>
      </c>
      <c r="E27" s="1">
        <v>36281</v>
      </c>
      <c r="F27">
        <f t="shared" si="1"/>
        <v>591.82399999999996</v>
      </c>
      <c r="G27">
        <f t="shared" si="2"/>
        <v>585.60355200000004</v>
      </c>
      <c r="H27">
        <f t="shared" si="3"/>
        <v>0.98948936170212776</v>
      </c>
      <c r="I27">
        <f t="shared" si="4"/>
        <v>1712.25</v>
      </c>
      <c r="L27" s="6">
        <v>3.6</v>
      </c>
      <c r="M27" s="6">
        <v>0.55000000000000004</v>
      </c>
      <c r="N27" s="6">
        <v>4.4800000000000004</v>
      </c>
      <c r="O27" s="6">
        <v>16</v>
      </c>
      <c r="P27" s="1">
        <v>33208</v>
      </c>
      <c r="Q27">
        <f t="shared" si="5"/>
        <v>705.15200000000004</v>
      </c>
      <c r="R27">
        <f t="shared" si="6"/>
        <v>671.00407000000018</v>
      </c>
      <c r="S27">
        <f t="shared" si="7"/>
        <v>0.95157366071428595</v>
      </c>
      <c r="T27">
        <f t="shared" si="8"/>
        <v>1935.2200000000003</v>
      </c>
    </row>
    <row r="28" spans="1:20">
      <c r="A28">
        <v>3</v>
      </c>
      <c r="B28">
        <v>0.504</v>
      </c>
      <c r="C28">
        <v>3.92</v>
      </c>
      <c r="D28">
        <v>25</v>
      </c>
      <c r="E28" s="1">
        <v>36281</v>
      </c>
      <c r="F28">
        <f t="shared" si="1"/>
        <v>617.00800000000004</v>
      </c>
      <c r="G28">
        <f t="shared" si="2"/>
        <v>614.88372960000004</v>
      </c>
      <c r="H28">
        <f t="shared" si="3"/>
        <v>0.99655714285714281</v>
      </c>
      <c r="I28">
        <f t="shared" si="4"/>
        <v>1813.6000000000001</v>
      </c>
      <c r="L28" s="6">
        <v>4.5</v>
      </c>
      <c r="M28" s="6">
        <v>0.6</v>
      </c>
      <c r="N28" s="6">
        <v>4.8499999999999996</v>
      </c>
      <c r="O28" s="6">
        <v>16</v>
      </c>
      <c r="P28" s="1">
        <v>33208</v>
      </c>
      <c r="Q28">
        <f t="shared" si="5"/>
        <v>763.39</v>
      </c>
      <c r="R28">
        <f t="shared" si="6"/>
        <v>732.00444000000005</v>
      </c>
      <c r="S28">
        <f t="shared" si="7"/>
        <v>0.95888659793814446</v>
      </c>
      <c r="T28">
        <f t="shared" si="8"/>
        <v>2117.65</v>
      </c>
    </row>
    <row r="29" spans="1:20">
      <c r="A29">
        <v>3.5</v>
      </c>
      <c r="B29">
        <v>0.52800000000000002</v>
      </c>
      <c r="C29">
        <v>4.16</v>
      </c>
      <c r="D29">
        <v>25</v>
      </c>
      <c r="E29" s="1">
        <v>36281</v>
      </c>
      <c r="F29">
        <f t="shared" si="1"/>
        <v>654.78399999999999</v>
      </c>
      <c r="G29">
        <f t="shared" si="2"/>
        <v>644.16390720000015</v>
      </c>
      <c r="H29">
        <f t="shared" si="3"/>
        <v>0.98378076923076951</v>
      </c>
      <c r="I29">
        <f t="shared" si="4"/>
        <v>1914.9499999999998</v>
      </c>
      <c r="L29" s="6">
        <v>5.35</v>
      </c>
      <c r="M29" s="6">
        <v>0.65</v>
      </c>
      <c r="N29" s="6">
        <v>5.25</v>
      </c>
      <c r="O29" s="6">
        <v>16</v>
      </c>
      <c r="P29" s="1">
        <v>33208</v>
      </c>
      <c r="Q29">
        <f t="shared" si="5"/>
        <v>826.35</v>
      </c>
      <c r="R29">
        <f t="shared" si="6"/>
        <v>793.00481000000013</v>
      </c>
      <c r="S29">
        <f t="shared" si="7"/>
        <v>0.95964761904761919</v>
      </c>
      <c r="T29">
        <f t="shared" si="8"/>
        <v>2289.9449999999997</v>
      </c>
    </row>
    <row r="30" spans="1:20">
      <c r="A30">
        <v>4.6500000000000004</v>
      </c>
      <c r="B30">
        <v>0.6</v>
      </c>
      <c r="C30">
        <v>4.72</v>
      </c>
      <c r="D30">
        <v>25</v>
      </c>
      <c r="E30" s="1">
        <v>36281</v>
      </c>
      <c r="F30">
        <f t="shared" si="1"/>
        <v>742.928</v>
      </c>
      <c r="G30">
        <f t="shared" si="2"/>
        <v>732.00444000000005</v>
      </c>
      <c r="H30">
        <f t="shared" si="3"/>
        <v>0.98529661016949155</v>
      </c>
      <c r="I30">
        <f t="shared" si="4"/>
        <v>2148.0550000000003</v>
      </c>
      <c r="L30" s="6">
        <v>6.1</v>
      </c>
      <c r="M30" s="6">
        <v>0.69199999999999995</v>
      </c>
      <c r="N30" s="6">
        <v>5.59</v>
      </c>
      <c r="O30" s="6">
        <v>16</v>
      </c>
      <c r="P30" s="1">
        <v>33208</v>
      </c>
      <c r="Q30">
        <f t="shared" si="5"/>
        <v>879.86599999999999</v>
      </c>
      <c r="R30">
        <f t="shared" si="6"/>
        <v>844.2451208</v>
      </c>
      <c r="S30">
        <f t="shared" si="7"/>
        <v>0.95951556350626122</v>
      </c>
      <c r="T30">
        <f t="shared" si="8"/>
        <v>2441.9699999999998</v>
      </c>
    </row>
    <row r="31" spans="1:20">
      <c r="A31">
        <v>0</v>
      </c>
      <c r="B31">
        <v>0.252</v>
      </c>
      <c r="C31">
        <v>1.92</v>
      </c>
      <c r="D31">
        <v>26</v>
      </c>
      <c r="E31" s="1">
        <v>36404</v>
      </c>
      <c r="F31">
        <f t="shared" si="1"/>
        <v>302.20800000000003</v>
      </c>
      <c r="G31">
        <f t="shared" si="2"/>
        <v>307.44186480000002</v>
      </c>
      <c r="H31">
        <f t="shared" si="3"/>
        <v>1.01731875</v>
      </c>
      <c r="I31">
        <f t="shared" si="4"/>
        <v>1205.5</v>
      </c>
      <c r="L31" s="6">
        <v>3.5</v>
      </c>
      <c r="M31" s="6">
        <v>0.62</v>
      </c>
      <c r="N31" s="6">
        <v>5.03</v>
      </c>
      <c r="O31" s="6">
        <v>16</v>
      </c>
      <c r="P31" s="11">
        <v>37461</v>
      </c>
      <c r="Q31">
        <f t="shared" si="5"/>
        <v>791.72200000000009</v>
      </c>
      <c r="R31">
        <f t="shared" si="6"/>
        <v>756.4045880000001</v>
      </c>
      <c r="S31">
        <f t="shared" si="7"/>
        <v>0.95539165009940363</v>
      </c>
      <c r="T31">
        <f t="shared" si="8"/>
        <v>1914.9499999999998</v>
      </c>
    </row>
    <row r="32" spans="1:20">
      <c r="A32">
        <v>0</v>
      </c>
      <c r="B32">
        <v>0.32800000000000001</v>
      </c>
      <c r="C32">
        <v>2.48</v>
      </c>
      <c r="D32">
        <v>26</v>
      </c>
      <c r="E32" s="1">
        <v>36404</v>
      </c>
      <c r="F32">
        <f t="shared" si="1"/>
        <v>390.35200000000003</v>
      </c>
      <c r="G32">
        <f t="shared" si="2"/>
        <v>400.16242720000008</v>
      </c>
      <c r="H32">
        <f t="shared" si="3"/>
        <v>1.0251322580645164</v>
      </c>
      <c r="I32">
        <f t="shared" si="4"/>
        <v>1205.5</v>
      </c>
      <c r="L32" s="6">
        <v>2</v>
      </c>
      <c r="M32" s="6">
        <v>0.5</v>
      </c>
      <c r="N32" s="6">
        <v>4.2</v>
      </c>
      <c r="O32" s="6">
        <v>16</v>
      </c>
      <c r="P32" s="1">
        <v>32933</v>
      </c>
      <c r="Q32">
        <f t="shared" si="5"/>
        <v>661.08</v>
      </c>
      <c r="R32">
        <f t="shared" si="6"/>
        <v>610.00370000000009</v>
      </c>
      <c r="S32">
        <f t="shared" si="7"/>
        <v>0.92273809523809536</v>
      </c>
      <c r="T32">
        <f t="shared" si="8"/>
        <v>1610.9</v>
      </c>
    </row>
    <row r="33" spans="1:20">
      <c r="A33">
        <v>0</v>
      </c>
      <c r="B33">
        <v>0.33200000000000002</v>
      </c>
      <c r="C33">
        <v>2.52</v>
      </c>
      <c r="D33">
        <v>26</v>
      </c>
      <c r="E33" s="1">
        <v>36404</v>
      </c>
      <c r="F33">
        <f t="shared" si="1"/>
        <v>396.64800000000002</v>
      </c>
      <c r="G33">
        <f t="shared" si="2"/>
        <v>405.04245680000002</v>
      </c>
      <c r="H33">
        <f t="shared" si="3"/>
        <v>1.021163492063492</v>
      </c>
      <c r="I33">
        <f t="shared" si="4"/>
        <v>1205.5</v>
      </c>
      <c r="L33" s="6">
        <v>2.75</v>
      </c>
      <c r="M33" s="6">
        <v>0.48</v>
      </c>
      <c r="N33" s="6">
        <v>4.0199999999999996</v>
      </c>
      <c r="O33" s="6">
        <v>17</v>
      </c>
      <c r="P33" s="1">
        <v>33878</v>
      </c>
      <c r="Q33">
        <f>N33*157.4</f>
        <v>632.74799999999993</v>
      </c>
      <c r="R33">
        <f>M33*7.751*157.4</f>
        <v>585.60355200000004</v>
      </c>
      <c r="S33">
        <f>R33/Q33</f>
        <v>0.92549253731343295</v>
      </c>
      <c r="T33">
        <f t="shared" si="8"/>
        <v>1762.9250000000002</v>
      </c>
    </row>
    <row r="34" spans="1:20">
      <c r="A34">
        <v>0</v>
      </c>
      <c r="B34">
        <v>0.26</v>
      </c>
      <c r="C34">
        <v>1.92</v>
      </c>
      <c r="D34">
        <v>24</v>
      </c>
      <c r="E34" s="1">
        <v>37165</v>
      </c>
      <c r="F34">
        <f t="shared" si="1"/>
        <v>302.20800000000003</v>
      </c>
      <c r="G34">
        <f t="shared" si="2"/>
        <v>317.20192400000002</v>
      </c>
      <c r="H34">
        <f t="shared" si="3"/>
        <v>1.0496145833333332</v>
      </c>
      <c r="I34">
        <f t="shared" si="4"/>
        <v>1205.5</v>
      </c>
      <c r="L34">
        <v>3.75</v>
      </c>
      <c r="M34" s="6">
        <v>0.54400000000000004</v>
      </c>
      <c r="N34" s="6">
        <v>4.42</v>
      </c>
      <c r="O34" s="6">
        <v>17</v>
      </c>
      <c r="P34" s="1">
        <v>33878</v>
      </c>
      <c r="Q34">
        <f t="shared" si="5"/>
        <v>695.70799999999997</v>
      </c>
      <c r="R34">
        <f t="shared" si="6"/>
        <v>663.68402560000015</v>
      </c>
      <c r="S34">
        <f t="shared" si="7"/>
        <v>0.95396923076923101</v>
      </c>
      <c r="T34">
        <f t="shared" si="8"/>
        <v>1965.625</v>
      </c>
    </row>
    <row r="35" spans="1:20">
      <c r="A35">
        <v>1</v>
      </c>
      <c r="B35">
        <v>0.30399999999999999</v>
      </c>
      <c r="C35">
        <v>2.2799999999999998</v>
      </c>
      <c r="D35">
        <v>24</v>
      </c>
      <c r="E35" s="1">
        <v>37165</v>
      </c>
      <c r="F35">
        <f t="shared" si="1"/>
        <v>358.87199999999996</v>
      </c>
      <c r="G35">
        <f t="shared" si="2"/>
        <v>370.88224960000002</v>
      </c>
      <c r="H35">
        <f t="shared" si="3"/>
        <v>1.0334666666666668</v>
      </c>
      <c r="I35">
        <f t="shared" si="4"/>
        <v>1408.1999999999998</v>
      </c>
      <c r="L35" s="6">
        <v>4.5</v>
      </c>
      <c r="M35" s="6">
        <v>0.57799999999999996</v>
      </c>
      <c r="N35" s="6">
        <v>4.75</v>
      </c>
      <c r="O35" s="6">
        <v>17</v>
      </c>
      <c r="P35" s="1">
        <v>33878</v>
      </c>
      <c r="Q35">
        <f t="shared" si="5"/>
        <v>747.65</v>
      </c>
      <c r="R35">
        <f t="shared" si="6"/>
        <v>705.16427720000002</v>
      </c>
      <c r="S35">
        <f t="shared" si="7"/>
        <v>0.94317431578947375</v>
      </c>
      <c r="T35">
        <f t="shared" si="8"/>
        <v>2117.65</v>
      </c>
    </row>
    <row r="36" spans="1:20">
      <c r="A36">
        <v>2</v>
      </c>
      <c r="B36">
        <v>0.35599999999999998</v>
      </c>
      <c r="C36">
        <v>2.64</v>
      </c>
      <c r="D36">
        <v>24</v>
      </c>
      <c r="E36" s="1">
        <v>37165</v>
      </c>
      <c r="F36">
        <f t="shared" si="1"/>
        <v>415.53600000000006</v>
      </c>
      <c r="G36">
        <f t="shared" si="2"/>
        <v>434.32263440000003</v>
      </c>
      <c r="H36">
        <f t="shared" si="3"/>
        <v>1.0452106060606059</v>
      </c>
      <c r="I36">
        <f t="shared" si="4"/>
        <v>1610.9</v>
      </c>
      <c r="L36" s="6">
        <v>2.75</v>
      </c>
      <c r="M36" s="6">
        <v>0.48899999999999999</v>
      </c>
      <c r="N36" s="6">
        <v>4.0650000000000004</v>
      </c>
      <c r="O36" s="6">
        <v>17</v>
      </c>
      <c r="P36" s="1">
        <v>33298</v>
      </c>
      <c r="Q36">
        <f t="shared" si="5"/>
        <v>639.83100000000013</v>
      </c>
      <c r="R36">
        <f t="shared" si="6"/>
        <v>596.58361860000002</v>
      </c>
      <c r="S36">
        <f t="shared" si="7"/>
        <v>0.93240811808118063</v>
      </c>
      <c r="T36">
        <f t="shared" si="8"/>
        <v>1762.9250000000002</v>
      </c>
    </row>
    <row r="37" spans="1:20">
      <c r="A37">
        <v>3</v>
      </c>
      <c r="B37">
        <v>0.4</v>
      </c>
      <c r="C37">
        <v>2.96</v>
      </c>
      <c r="D37">
        <v>24</v>
      </c>
      <c r="E37" s="1">
        <v>37165</v>
      </c>
      <c r="F37">
        <f t="shared" si="1"/>
        <v>465.904</v>
      </c>
      <c r="G37">
        <f t="shared" si="2"/>
        <v>488.00296000000009</v>
      </c>
      <c r="H37">
        <f t="shared" si="3"/>
        <v>1.0474324324324327</v>
      </c>
      <c r="I37">
        <f t="shared" si="4"/>
        <v>1813.6000000000001</v>
      </c>
      <c r="L37" s="6">
        <v>5.5</v>
      </c>
      <c r="M37" s="6">
        <v>0.63500000000000001</v>
      </c>
      <c r="N37" s="6">
        <v>5.34</v>
      </c>
      <c r="O37" s="6">
        <v>17</v>
      </c>
      <c r="P37" s="1">
        <v>33298</v>
      </c>
      <c r="Q37">
        <f t="shared" si="5"/>
        <v>840.51599999999996</v>
      </c>
      <c r="R37">
        <f t="shared" si="6"/>
        <v>774.70469900000012</v>
      </c>
      <c r="S37">
        <f t="shared" si="7"/>
        <v>0.92170131086142337</v>
      </c>
      <c r="T37">
        <f t="shared" si="8"/>
        <v>2320.35</v>
      </c>
    </row>
    <row r="38" spans="1:20">
      <c r="A38">
        <v>3.5</v>
      </c>
      <c r="B38">
        <v>0.42399999999999999</v>
      </c>
      <c r="C38">
        <v>3.12</v>
      </c>
      <c r="D38">
        <v>24</v>
      </c>
      <c r="E38" s="1">
        <v>37165</v>
      </c>
      <c r="F38">
        <f t="shared" si="1"/>
        <v>491.08800000000002</v>
      </c>
      <c r="G38">
        <f t="shared" si="2"/>
        <v>517.28313760000003</v>
      </c>
      <c r="H38">
        <f t="shared" si="3"/>
        <v>1.0533410256410256</v>
      </c>
      <c r="I38">
        <f t="shared" si="4"/>
        <v>1914.9499999999998</v>
      </c>
      <c r="L38" s="6">
        <v>6.3</v>
      </c>
      <c r="M38" s="6">
        <v>0.67900000000000005</v>
      </c>
      <c r="N38" s="6">
        <v>5.72</v>
      </c>
      <c r="O38" s="6">
        <v>17</v>
      </c>
      <c r="P38" s="1">
        <v>33298</v>
      </c>
      <c r="Q38">
        <f t="shared" si="5"/>
        <v>900.32799999999997</v>
      </c>
      <c r="R38">
        <f t="shared" si="6"/>
        <v>828.38502460000018</v>
      </c>
      <c r="S38">
        <f t="shared" si="7"/>
        <v>0.92009248251748277</v>
      </c>
      <c r="T38">
        <f t="shared" si="8"/>
        <v>2482.5100000000002</v>
      </c>
    </row>
    <row r="39" spans="1:20">
      <c r="A39">
        <v>4</v>
      </c>
      <c r="B39">
        <v>0.44</v>
      </c>
      <c r="C39">
        <v>3.28</v>
      </c>
      <c r="D39">
        <v>24</v>
      </c>
      <c r="E39" s="1">
        <v>37165</v>
      </c>
      <c r="F39">
        <f t="shared" si="1"/>
        <v>516.27199999999993</v>
      </c>
      <c r="G39">
        <f t="shared" si="2"/>
        <v>536.80325600000003</v>
      </c>
      <c r="H39">
        <f t="shared" si="3"/>
        <v>1.039768292682927</v>
      </c>
      <c r="I39">
        <f t="shared" si="4"/>
        <v>2016.3000000000002</v>
      </c>
      <c r="L39" s="6">
        <v>1.9</v>
      </c>
      <c r="M39" s="6">
        <v>0.52</v>
      </c>
      <c r="N39" s="6">
        <v>4.2</v>
      </c>
      <c r="O39" s="6">
        <v>17</v>
      </c>
      <c r="P39" s="1">
        <v>33055</v>
      </c>
      <c r="Q39">
        <f t="shared" si="5"/>
        <v>661.08</v>
      </c>
      <c r="R39">
        <f t="shared" si="6"/>
        <v>634.40384800000004</v>
      </c>
      <c r="S39">
        <f t="shared" si="7"/>
        <v>0.95964761904761908</v>
      </c>
      <c r="T39">
        <f t="shared" si="8"/>
        <v>1590.6299999999999</v>
      </c>
    </row>
    <row r="40" spans="1:20">
      <c r="A40">
        <v>4.2</v>
      </c>
      <c r="B40">
        <v>0.44800000000000001</v>
      </c>
      <c r="C40">
        <v>3.32</v>
      </c>
      <c r="D40">
        <v>24</v>
      </c>
      <c r="E40" s="1">
        <v>37165</v>
      </c>
      <c r="F40">
        <f t="shared" si="1"/>
        <v>522.56799999999998</v>
      </c>
      <c r="G40">
        <f t="shared" si="2"/>
        <v>546.56331520000003</v>
      </c>
      <c r="H40">
        <f t="shared" si="3"/>
        <v>1.0459180722891568</v>
      </c>
      <c r="I40">
        <f t="shared" si="4"/>
        <v>2056.84</v>
      </c>
      <c r="L40" s="6">
        <v>2.75</v>
      </c>
      <c r="M40" s="6">
        <v>0.56399999999999995</v>
      </c>
      <c r="N40" s="6">
        <v>4.57</v>
      </c>
      <c r="O40" s="6">
        <v>17</v>
      </c>
      <c r="P40" s="1">
        <v>33055</v>
      </c>
      <c r="Q40">
        <f t="shared" si="5"/>
        <v>719.3180000000001</v>
      </c>
      <c r="R40">
        <f t="shared" si="6"/>
        <v>688.08417359999987</v>
      </c>
      <c r="S40">
        <f t="shared" si="7"/>
        <v>0.95657855579868678</v>
      </c>
      <c r="T40">
        <f t="shared" si="8"/>
        <v>1762.9250000000002</v>
      </c>
    </row>
    <row r="41" spans="1:20">
      <c r="A41">
        <v>0</v>
      </c>
      <c r="B41">
        <v>0.29199999999999998</v>
      </c>
      <c r="C41">
        <v>2.2400000000000002</v>
      </c>
      <c r="D41">
        <v>27</v>
      </c>
      <c r="E41" s="1">
        <v>37317</v>
      </c>
      <c r="F41">
        <f t="shared" si="1"/>
        <v>352.57600000000002</v>
      </c>
      <c r="G41">
        <f t="shared" si="2"/>
        <v>356.24216079999997</v>
      </c>
      <c r="H41">
        <f t="shared" si="3"/>
        <v>1.0103982142857142</v>
      </c>
      <c r="I41">
        <f t="shared" si="4"/>
        <v>1205.5</v>
      </c>
      <c r="L41" s="6">
        <v>3.5</v>
      </c>
      <c r="M41" s="6">
        <v>0.61</v>
      </c>
      <c r="N41" s="6">
        <v>5.04</v>
      </c>
      <c r="O41" s="6">
        <v>17</v>
      </c>
      <c r="P41" s="1">
        <v>33055</v>
      </c>
      <c r="Q41">
        <f t="shared" si="5"/>
        <v>793.29600000000005</v>
      </c>
      <c r="R41">
        <f t="shared" si="6"/>
        <v>744.20451400000002</v>
      </c>
      <c r="S41">
        <f t="shared" si="7"/>
        <v>0.93811706349206347</v>
      </c>
      <c r="T41">
        <f t="shared" si="8"/>
        <v>1914.9499999999998</v>
      </c>
    </row>
    <row r="42" spans="1:20">
      <c r="A42">
        <v>1</v>
      </c>
      <c r="B42">
        <v>0.34399999999999997</v>
      </c>
      <c r="C42">
        <v>2.64</v>
      </c>
      <c r="D42">
        <v>27</v>
      </c>
      <c r="E42" s="1">
        <v>37317</v>
      </c>
      <c r="F42">
        <f t="shared" si="1"/>
        <v>415.53600000000006</v>
      </c>
      <c r="G42">
        <f t="shared" si="2"/>
        <v>419.68254560000003</v>
      </c>
      <c r="H42">
        <f t="shared" si="3"/>
        <v>1.0099787878787878</v>
      </c>
      <c r="I42">
        <f t="shared" si="4"/>
        <v>1408.1999999999998</v>
      </c>
      <c r="L42" s="6">
        <v>3.75</v>
      </c>
      <c r="M42" s="6">
        <v>0.5</v>
      </c>
      <c r="N42" s="6">
        <v>4.5999999999999996</v>
      </c>
      <c r="O42">
        <v>18</v>
      </c>
      <c r="P42" s="1">
        <v>33635</v>
      </c>
      <c r="Q42">
        <f t="shared" si="5"/>
        <v>724.04</v>
      </c>
      <c r="R42">
        <f t="shared" si="6"/>
        <v>610.00370000000009</v>
      </c>
      <c r="S42">
        <f t="shared" si="7"/>
        <v>0.84250000000000014</v>
      </c>
      <c r="T42">
        <f t="shared" si="8"/>
        <v>1965.625</v>
      </c>
    </row>
    <row r="43" spans="1:20">
      <c r="A43">
        <v>2</v>
      </c>
      <c r="B43">
        <v>0.4</v>
      </c>
      <c r="C43">
        <v>3.04</v>
      </c>
      <c r="D43">
        <v>27</v>
      </c>
      <c r="E43" s="1">
        <v>37317</v>
      </c>
      <c r="F43">
        <f t="shared" si="1"/>
        <v>478.49600000000004</v>
      </c>
      <c r="G43">
        <f t="shared" si="2"/>
        <v>488.00296000000009</v>
      </c>
      <c r="H43">
        <f t="shared" si="3"/>
        <v>1.0198684210526316</v>
      </c>
      <c r="I43">
        <f t="shared" si="4"/>
        <v>1610.9</v>
      </c>
      <c r="L43" s="6">
        <v>4.5999999999999996</v>
      </c>
      <c r="O43">
        <v>18</v>
      </c>
      <c r="P43" s="1">
        <v>33635</v>
      </c>
      <c r="Q43">
        <f t="shared" si="5"/>
        <v>0</v>
      </c>
      <c r="R43">
        <f t="shared" si="6"/>
        <v>0</v>
      </c>
      <c r="S43" t="e">
        <f t="shared" si="7"/>
        <v>#DIV/0!</v>
      </c>
      <c r="T43">
        <f t="shared" si="8"/>
        <v>2137.9199999999996</v>
      </c>
    </row>
    <row r="44" spans="1:20">
      <c r="A44">
        <v>4</v>
      </c>
      <c r="B44">
        <v>0.504</v>
      </c>
      <c r="C44">
        <v>3.8</v>
      </c>
      <c r="D44">
        <v>27</v>
      </c>
      <c r="E44" s="1">
        <v>37317</v>
      </c>
      <c r="F44">
        <f t="shared" si="1"/>
        <v>598.12</v>
      </c>
      <c r="G44">
        <f t="shared" si="2"/>
        <v>614.88372960000004</v>
      </c>
      <c r="H44">
        <f t="shared" si="3"/>
        <v>1.0280273684210526</v>
      </c>
      <c r="I44">
        <f t="shared" si="4"/>
        <v>2016.3000000000002</v>
      </c>
      <c r="L44" s="6">
        <v>6.25</v>
      </c>
      <c r="M44" s="6">
        <v>0.64</v>
      </c>
      <c r="N44" s="6">
        <v>5.7</v>
      </c>
      <c r="O44">
        <v>18</v>
      </c>
      <c r="P44" s="1">
        <v>33635</v>
      </c>
      <c r="Q44">
        <f t="shared" si="5"/>
        <v>897.18000000000006</v>
      </c>
      <c r="R44">
        <f t="shared" si="6"/>
        <v>780.80473600000016</v>
      </c>
      <c r="S44">
        <f t="shared" si="7"/>
        <v>0.87028771929824578</v>
      </c>
      <c r="T44">
        <f t="shared" si="8"/>
        <v>2472.375</v>
      </c>
    </row>
    <row r="45" spans="1:20">
      <c r="A45">
        <v>4.5</v>
      </c>
      <c r="B45">
        <v>0.52</v>
      </c>
      <c r="C45">
        <v>4.04</v>
      </c>
      <c r="D45">
        <v>27</v>
      </c>
      <c r="E45" s="1">
        <v>37317</v>
      </c>
      <c r="F45">
        <f t="shared" si="1"/>
        <v>635.89600000000007</v>
      </c>
      <c r="G45">
        <f t="shared" si="2"/>
        <v>634.40384800000004</v>
      </c>
      <c r="H45">
        <f t="shared" si="3"/>
        <v>0.99765346534653465</v>
      </c>
      <c r="I45">
        <f t="shared" si="4"/>
        <v>2117.65</v>
      </c>
      <c r="L45" s="6">
        <v>4.6500000000000004</v>
      </c>
      <c r="M45" s="6">
        <v>0.55000000000000004</v>
      </c>
      <c r="N45" s="6">
        <v>5</v>
      </c>
      <c r="O45">
        <v>18</v>
      </c>
      <c r="P45" s="1">
        <v>33635</v>
      </c>
      <c r="Q45">
        <f t="shared" si="5"/>
        <v>787</v>
      </c>
      <c r="R45">
        <f t="shared" si="6"/>
        <v>671.00407000000018</v>
      </c>
      <c r="S45">
        <f t="shared" si="7"/>
        <v>0.8526100000000002</v>
      </c>
      <c r="T45">
        <f t="shared" si="8"/>
        <v>2148.0550000000003</v>
      </c>
    </row>
    <row r="46" spans="1:20">
      <c r="A46">
        <v>5.8</v>
      </c>
      <c r="B46">
        <v>0.58399999999999996</v>
      </c>
      <c r="C46">
        <v>4.5199999999999996</v>
      </c>
      <c r="D46">
        <v>27</v>
      </c>
      <c r="E46" s="1">
        <v>37317</v>
      </c>
      <c r="F46">
        <f t="shared" si="1"/>
        <v>711.44799999999998</v>
      </c>
      <c r="G46">
        <f t="shared" si="2"/>
        <v>712.48432159999993</v>
      </c>
      <c r="H46">
        <f t="shared" si="3"/>
        <v>1.0014566371681415</v>
      </c>
      <c r="I46">
        <f t="shared" si="4"/>
        <v>2381.16</v>
      </c>
      <c r="L46" s="6">
        <v>0</v>
      </c>
      <c r="M46" s="6">
        <v>0.28000000000000003</v>
      </c>
      <c r="N46" s="6">
        <v>2.6</v>
      </c>
      <c r="O46" s="6">
        <v>20</v>
      </c>
      <c r="P46" s="11">
        <v>37530</v>
      </c>
      <c r="Q46">
        <f t="shared" si="5"/>
        <v>409.24</v>
      </c>
      <c r="R46">
        <f t="shared" si="6"/>
        <v>341.60207200000008</v>
      </c>
      <c r="S46">
        <f t="shared" si="7"/>
        <v>0.83472307692307712</v>
      </c>
      <c r="T46">
        <f t="shared" si="8"/>
        <v>1205.5</v>
      </c>
    </row>
    <row r="47" spans="1:20">
      <c r="A47">
        <v>0</v>
      </c>
      <c r="B47">
        <v>0.29599999999999999</v>
      </c>
      <c r="C47">
        <v>2.2000000000000002</v>
      </c>
      <c r="D47">
        <v>27</v>
      </c>
      <c r="E47" s="1">
        <v>37317</v>
      </c>
      <c r="F47">
        <f t="shared" si="1"/>
        <v>346.28000000000003</v>
      </c>
      <c r="G47">
        <f t="shared" si="2"/>
        <v>361.12219040000002</v>
      </c>
      <c r="H47">
        <f t="shared" si="3"/>
        <v>1.0428618181818181</v>
      </c>
      <c r="I47">
        <f t="shared" si="4"/>
        <v>1205.5</v>
      </c>
      <c r="L47" s="6">
        <v>2.8</v>
      </c>
      <c r="M47" s="6">
        <v>0.43</v>
      </c>
      <c r="N47" s="6">
        <v>4</v>
      </c>
      <c r="O47" s="6">
        <v>20</v>
      </c>
      <c r="P47" s="11">
        <v>37531</v>
      </c>
      <c r="Q47">
        <f t="shared" si="5"/>
        <v>629.6</v>
      </c>
      <c r="R47">
        <f t="shared" si="6"/>
        <v>524.60318200000006</v>
      </c>
      <c r="S47">
        <f t="shared" si="7"/>
        <v>0.83323250000000004</v>
      </c>
      <c r="T47">
        <f t="shared" si="8"/>
        <v>1773.0600000000002</v>
      </c>
    </row>
    <row r="48" spans="1:20">
      <c r="A48">
        <v>1</v>
      </c>
      <c r="B48">
        <v>0.33600000000000002</v>
      </c>
      <c r="C48">
        <v>2.68</v>
      </c>
      <c r="D48">
        <v>27</v>
      </c>
      <c r="E48" s="1">
        <v>37317</v>
      </c>
      <c r="F48">
        <f t="shared" si="1"/>
        <v>421.83200000000005</v>
      </c>
      <c r="G48">
        <f t="shared" si="2"/>
        <v>409.92248640000008</v>
      </c>
      <c r="H48">
        <f t="shared" si="3"/>
        <v>0.97176716417910458</v>
      </c>
      <c r="I48">
        <f t="shared" si="4"/>
        <v>1408.1999999999998</v>
      </c>
      <c r="L48" s="6">
        <v>3.05</v>
      </c>
      <c r="M48" s="6">
        <v>0.44</v>
      </c>
      <c r="N48" s="6">
        <v>4.2</v>
      </c>
      <c r="O48" s="6">
        <v>20</v>
      </c>
      <c r="P48" s="11">
        <v>37531</v>
      </c>
      <c r="Q48">
        <f t="shared" si="5"/>
        <v>661.08</v>
      </c>
      <c r="R48">
        <f t="shared" si="6"/>
        <v>536.80325600000003</v>
      </c>
      <c r="S48">
        <f t="shared" si="7"/>
        <v>0.81200952380952385</v>
      </c>
      <c r="T48">
        <f t="shared" si="8"/>
        <v>1823.7350000000001</v>
      </c>
    </row>
    <row r="49" spans="1:20">
      <c r="A49">
        <v>2</v>
      </c>
      <c r="B49">
        <v>0.40799999999999997</v>
      </c>
      <c r="C49">
        <v>3.08</v>
      </c>
      <c r="D49">
        <v>27</v>
      </c>
      <c r="E49" s="1">
        <v>37317</v>
      </c>
      <c r="F49">
        <f t="shared" si="1"/>
        <v>484.79200000000003</v>
      </c>
      <c r="G49">
        <f t="shared" si="2"/>
        <v>497.76301920000003</v>
      </c>
      <c r="H49">
        <f t="shared" si="3"/>
        <v>1.0267558441558442</v>
      </c>
      <c r="I49">
        <f t="shared" si="4"/>
        <v>1610.9</v>
      </c>
      <c r="L49" s="6">
        <v>3.65</v>
      </c>
      <c r="M49" s="6">
        <v>0.47</v>
      </c>
      <c r="N49" s="6">
        <v>4.4000000000000004</v>
      </c>
      <c r="O49" s="6">
        <v>20</v>
      </c>
      <c r="P49" s="11">
        <v>37532</v>
      </c>
      <c r="Q49">
        <f t="shared" si="5"/>
        <v>692.56000000000006</v>
      </c>
      <c r="R49">
        <f t="shared" si="6"/>
        <v>573.40347800000006</v>
      </c>
      <c r="S49">
        <f t="shared" si="7"/>
        <v>0.82794772727272725</v>
      </c>
      <c r="T49">
        <f t="shared" si="8"/>
        <v>1945.355</v>
      </c>
    </row>
    <row r="50" spans="1:20">
      <c r="A50">
        <v>3</v>
      </c>
      <c r="B50">
        <v>0.45600000000000002</v>
      </c>
      <c r="C50">
        <v>3.44</v>
      </c>
      <c r="D50">
        <v>27</v>
      </c>
      <c r="E50" s="1">
        <v>37317</v>
      </c>
      <c r="F50">
        <f t="shared" si="1"/>
        <v>541.45600000000002</v>
      </c>
      <c r="G50">
        <f t="shared" si="2"/>
        <v>556.32337440000015</v>
      </c>
      <c r="H50">
        <f t="shared" si="3"/>
        <v>1.0274581395348839</v>
      </c>
      <c r="I50">
        <f t="shared" si="4"/>
        <v>1813.6000000000001</v>
      </c>
      <c r="L50" s="6">
        <v>4.0999999999999996</v>
      </c>
      <c r="M50" s="6">
        <v>0.49</v>
      </c>
      <c r="N50" s="6">
        <v>4.5999999999999996</v>
      </c>
      <c r="O50" s="6">
        <v>20</v>
      </c>
      <c r="P50" s="11">
        <v>37533</v>
      </c>
      <c r="Q50">
        <f t="shared" si="5"/>
        <v>724.04</v>
      </c>
      <c r="R50">
        <f t="shared" si="6"/>
        <v>597.80362600000001</v>
      </c>
      <c r="S50">
        <f t="shared" si="7"/>
        <v>0.82565000000000011</v>
      </c>
      <c r="T50">
        <f t="shared" si="8"/>
        <v>2036.5699999999997</v>
      </c>
    </row>
    <row r="51" spans="1:20">
      <c r="A51">
        <v>4</v>
      </c>
      <c r="B51">
        <v>0.504</v>
      </c>
      <c r="C51">
        <v>3.88</v>
      </c>
      <c r="D51">
        <v>27</v>
      </c>
      <c r="E51" s="1">
        <v>37317</v>
      </c>
      <c r="F51">
        <f t="shared" si="1"/>
        <v>610.71199999999999</v>
      </c>
      <c r="G51">
        <f t="shared" si="2"/>
        <v>614.88372960000004</v>
      </c>
      <c r="H51">
        <f t="shared" si="3"/>
        <v>1.0068309278350516</v>
      </c>
      <c r="I51">
        <f t="shared" si="4"/>
        <v>2016.3000000000002</v>
      </c>
      <c r="L51" s="6">
        <v>4.55</v>
      </c>
      <c r="M51" s="6">
        <v>0.51500000000000001</v>
      </c>
      <c r="N51" s="6">
        <v>4.8</v>
      </c>
      <c r="O51" s="6">
        <v>20</v>
      </c>
      <c r="P51" s="11">
        <v>37535</v>
      </c>
      <c r="Q51">
        <f t="shared" si="5"/>
        <v>755.52</v>
      </c>
      <c r="R51">
        <f t="shared" si="6"/>
        <v>628.30381100000011</v>
      </c>
      <c r="S51">
        <f t="shared" si="7"/>
        <v>0.83161770833333348</v>
      </c>
      <c r="T51">
        <f t="shared" si="8"/>
        <v>2127.7849999999999</v>
      </c>
    </row>
    <row r="52" spans="1:20">
      <c r="A52">
        <v>5</v>
      </c>
      <c r="B52">
        <v>0.56000000000000005</v>
      </c>
      <c r="C52">
        <v>4.24</v>
      </c>
      <c r="D52">
        <v>27</v>
      </c>
      <c r="E52" s="1">
        <v>37317</v>
      </c>
      <c r="F52">
        <f t="shared" si="1"/>
        <v>667.37600000000009</v>
      </c>
      <c r="G52">
        <f t="shared" si="2"/>
        <v>683.20414400000016</v>
      </c>
      <c r="H52">
        <f t="shared" si="3"/>
        <v>1.0237169811320757</v>
      </c>
      <c r="I52">
        <f t="shared" si="4"/>
        <v>2219.0000000000005</v>
      </c>
      <c r="L52" s="6">
        <v>5.05</v>
      </c>
      <c r="M52" s="6">
        <v>0.54</v>
      </c>
      <c r="N52" s="6">
        <v>5</v>
      </c>
      <c r="O52" s="6">
        <v>20</v>
      </c>
      <c r="P52" s="11">
        <v>37535</v>
      </c>
      <c r="Q52">
        <f t="shared" si="5"/>
        <v>787</v>
      </c>
      <c r="R52">
        <f t="shared" si="6"/>
        <v>658.8039960000001</v>
      </c>
      <c r="S52">
        <f t="shared" si="7"/>
        <v>0.83710800000000007</v>
      </c>
      <c r="T52">
        <f t="shared" si="8"/>
        <v>2229.1349999999998</v>
      </c>
    </row>
    <row r="53" spans="1:20">
      <c r="A53">
        <v>5.7</v>
      </c>
      <c r="B53">
        <v>0.59199999999999997</v>
      </c>
      <c r="C53">
        <v>4.4800000000000004</v>
      </c>
      <c r="D53">
        <v>27</v>
      </c>
      <c r="E53" s="1">
        <v>37317</v>
      </c>
      <c r="F53">
        <f t="shared" si="1"/>
        <v>705.15200000000004</v>
      </c>
      <c r="G53">
        <f t="shared" si="2"/>
        <v>722.24438080000004</v>
      </c>
      <c r="H53">
        <f t="shared" si="3"/>
        <v>1.0242392857142857</v>
      </c>
      <c r="I53">
        <f t="shared" si="4"/>
        <v>2360.89</v>
      </c>
      <c r="L53" s="6">
        <v>5.45</v>
      </c>
      <c r="M53" s="6">
        <v>0.55500000000000005</v>
      </c>
      <c r="N53" s="6">
        <v>5.2</v>
      </c>
      <c r="O53" s="6">
        <v>20</v>
      </c>
      <c r="P53" s="11">
        <v>37538</v>
      </c>
      <c r="Q53">
        <f t="shared" si="5"/>
        <v>818.48</v>
      </c>
      <c r="R53">
        <f t="shared" si="6"/>
        <v>677.10410700000011</v>
      </c>
      <c r="S53">
        <f t="shared" si="7"/>
        <v>0.82727019230769239</v>
      </c>
      <c r="T53">
        <f t="shared" si="8"/>
        <v>2310.2149999999997</v>
      </c>
    </row>
    <row r="54" spans="1:20">
      <c r="A54">
        <v>5.5</v>
      </c>
      <c r="B54">
        <v>0.58399999999999996</v>
      </c>
      <c r="C54">
        <v>4.4000000000000004</v>
      </c>
      <c r="D54">
        <v>27</v>
      </c>
      <c r="E54" s="1">
        <v>37317</v>
      </c>
      <c r="F54">
        <f t="shared" si="1"/>
        <v>692.56000000000006</v>
      </c>
      <c r="G54">
        <f t="shared" si="2"/>
        <v>712.48432159999993</v>
      </c>
      <c r="H54">
        <f t="shared" si="3"/>
        <v>1.0287690909090907</v>
      </c>
      <c r="I54">
        <f t="shared" si="4"/>
        <v>2320.35</v>
      </c>
      <c r="L54" s="6">
        <v>6</v>
      </c>
      <c r="M54" s="6">
        <v>0.57999999999999996</v>
      </c>
      <c r="N54" s="6">
        <v>5.4</v>
      </c>
      <c r="O54" s="6">
        <v>20</v>
      </c>
      <c r="P54" s="11">
        <v>37539</v>
      </c>
      <c r="Q54">
        <f t="shared" si="5"/>
        <v>849.96</v>
      </c>
      <c r="R54">
        <f t="shared" si="6"/>
        <v>707.60429199999999</v>
      </c>
      <c r="S54">
        <f t="shared" si="7"/>
        <v>0.83251481481481482</v>
      </c>
      <c r="T54">
        <f t="shared" si="8"/>
        <v>2421.6999999999998</v>
      </c>
    </row>
    <row r="55" spans="1:20">
      <c r="A55">
        <v>5.5</v>
      </c>
      <c r="B55">
        <v>0.58399999999999996</v>
      </c>
      <c r="C55">
        <v>4.4000000000000004</v>
      </c>
      <c r="D55">
        <v>27</v>
      </c>
      <c r="E55" s="1">
        <v>37317</v>
      </c>
      <c r="F55">
        <f t="shared" si="1"/>
        <v>692.56000000000006</v>
      </c>
      <c r="G55">
        <f t="shared" si="2"/>
        <v>712.48432159999993</v>
      </c>
      <c r="H55">
        <f t="shared" si="3"/>
        <v>1.0287690909090907</v>
      </c>
      <c r="I55">
        <f t="shared" si="4"/>
        <v>2320.35</v>
      </c>
      <c r="L55" s="6">
        <v>6.4</v>
      </c>
      <c r="M55" s="6">
        <v>0.6</v>
      </c>
      <c r="N55" s="6">
        <v>5.6</v>
      </c>
      <c r="O55" s="6">
        <v>20</v>
      </c>
      <c r="P55" s="11">
        <v>37540</v>
      </c>
      <c r="Q55">
        <f t="shared" si="5"/>
        <v>881.43999999999994</v>
      </c>
      <c r="R55">
        <f t="shared" si="6"/>
        <v>732.00444000000005</v>
      </c>
      <c r="S55">
        <f t="shared" si="7"/>
        <v>0.83046428571428577</v>
      </c>
      <c r="T55">
        <f t="shared" si="8"/>
        <v>2502.7800000000002</v>
      </c>
    </row>
    <row r="56" spans="1:20">
      <c r="A56">
        <v>5.5</v>
      </c>
      <c r="B56">
        <v>0.57599999999999996</v>
      </c>
      <c r="C56">
        <v>4.4000000000000004</v>
      </c>
      <c r="D56">
        <v>27</v>
      </c>
      <c r="E56" s="1">
        <v>37317</v>
      </c>
      <c r="F56">
        <f t="shared" si="1"/>
        <v>692.56000000000006</v>
      </c>
      <c r="G56">
        <f t="shared" si="2"/>
        <v>702.72426240000004</v>
      </c>
      <c r="H56">
        <f t="shared" si="3"/>
        <v>1.0146763636363636</v>
      </c>
      <c r="I56">
        <f t="shared" si="4"/>
        <v>2320.35</v>
      </c>
      <c r="L56" s="6">
        <v>6.65</v>
      </c>
      <c r="M56" s="6">
        <v>0.61</v>
      </c>
      <c r="N56" s="6">
        <v>5.7</v>
      </c>
      <c r="O56" s="6">
        <v>20</v>
      </c>
      <c r="P56" s="11">
        <v>37541</v>
      </c>
      <c r="Q56">
        <f t="shared" si="5"/>
        <v>897.18000000000006</v>
      </c>
      <c r="R56">
        <f t="shared" si="6"/>
        <v>744.20451400000002</v>
      </c>
      <c r="S56">
        <f t="shared" si="7"/>
        <v>0.82949298245614034</v>
      </c>
      <c r="T56">
        <f t="shared" si="8"/>
        <v>2553.4549999999999</v>
      </c>
    </row>
    <row r="57" spans="1:20">
      <c r="A57">
        <v>6</v>
      </c>
      <c r="B57">
        <v>0.60399999999999998</v>
      </c>
      <c r="C57">
        <v>4.6399999999999997</v>
      </c>
      <c r="D57">
        <v>27</v>
      </c>
      <c r="E57" s="1">
        <v>37317</v>
      </c>
      <c r="F57">
        <f>C57*157.4</f>
        <v>730.33600000000001</v>
      </c>
      <c r="G57">
        <f>B57*7.751*157.4</f>
        <v>736.88446959999999</v>
      </c>
      <c r="H57">
        <f>G57/F57</f>
        <v>1.0089663793103447</v>
      </c>
      <c r="I57">
        <f t="shared" si="4"/>
        <v>2421.6999999999998</v>
      </c>
      <c r="L57" s="6">
        <v>0</v>
      </c>
      <c r="M57" s="6">
        <v>0.3</v>
      </c>
      <c r="N57" s="6">
        <v>2.7</v>
      </c>
      <c r="O57" s="6">
        <v>21</v>
      </c>
      <c r="P57" s="1">
        <v>34182</v>
      </c>
      <c r="Q57">
        <f>N57*157.4</f>
        <v>424.98</v>
      </c>
      <c r="R57">
        <f>M57*7.751*157.4</f>
        <v>366.00222000000002</v>
      </c>
      <c r="S57">
        <f>R57/Q57</f>
        <v>0.86122222222222222</v>
      </c>
      <c r="T57">
        <f t="shared" si="8"/>
        <v>1205.5</v>
      </c>
    </row>
    <row r="58" spans="1:20">
      <c r="A58">
        <v>6.35</v>
      </c>
      <c r="B58">
        <v>0.62</v>
      </c>
      <c r="C58">
        <v>4.72</v>
      </c>
      <c r="D58">
        <v>27</v>
      </c>
      <c r="E58" s="1">
        <v>37317</v>
      </c>
      <c r="F58">
        <f>C58*157.4</f>
        <v>742.928</v>
      </c>
      <c r="G58">
        <f>B58*7.751*157.4</f>
        <v>756.4045880000001</v>
      </c>
      <c r="H58">
        <f>G58/F58</f>
        <v>1.0181398305084748</v>
      </c>
      <c r="I58">
        <f t="shared" si="4"/>
        <v>2492.645</v>
      </c>
      <c r="L58" s="6">
        <v>2.75</v>
      </c>
      <c r="M58" s="6">
        <v>0.42</v>
      </c>
      <c r="N58" s="6">
        <v>4</v>
      </c>
      <c r="O58" s="6">
        <v>21</v>
      </c>
      <c r="P58" s="1">
        <v>34182</v>
      </c>
      <c r="Q58">
        <f>N58*157.4</f>
        <v>629.6</v>
      </c>
      <c r="R58">
        <f>M58*7.751*157.4</f>
        <v>512.40310799999997</v>
      </c>
      <c r="S58">
        <f>R58/Q58</f>
        <v>0.81385499999999988</v>
      </c>
      <c r="T58">
        <f t="shared" si="8"/>
        <v>1762.9250000000002</v>
      </c>
    </row>
    <row r="59" spans="1:20">
      <c r="A59">
        <v>6.4</v>
      </c>
      <c r="B59">
        <v>0.628</v>
      </c>
      <c r="C59">
        <v>4.76</v>
      </c>
      <c r="D59">
        <v>27</v>
      </c>
      <c r="E59" s="1">
        <v>37317</v>
      </c>
      <c r="F59">
        <f>C59*157.4</f>
        <v>749.22400000000005</v>
      </c>
      <c r="G59">
        <f>B59*7.751*157.4</f>
        <v>766.16464719999999</v>
      </c>
      <c r="H59">
        <f>G59/F59</f>
        <v>1.0226109243697479</v>
      </c>
      <c r="I59">
        <f t="shared" si="4"/>
        <v>2502.7800000000002</v>
      </c>
      <c r="L59" s="6">
        <v>3.2</v>
      </c>
      <c r="M59" s="6">
        <v>0.45</v>
      </c>
      <c r="N59" s="6">
        <v>4.2</v>
      </c>
      <c r="O59" s="6">
        <v>21</v>
      </c>
      <c r="P59" s="1">
        <v>34182</v>
      </c>
      <c r="Q59">
        <f t="shared" si="5"/>
        <v>661.08</v>
      </c>
      <c r="R59">
        <f t="shared" si="6"/>
        <v>549.00333000000001</v>
      </c>
      <c r="S59">
        <f t="shared" si="7"/>
        <v>0.83046428571428565</v>
      </c>
      <c r="T59">
        <f t="shared" si="8"/>
        <v>1854.14</v>
      </c>
    </row>
    <row r="60" spans="1:20">
      <c r="A60" s="7">
        <v>5.5</v>
      </c>
      <c r="B60" s="8">
        <v>0.63200000000000001</v>
      </c>
      <c r="C60" s="9">
        <v>4.24</v>
      </c>
      <c r="D60">
        <v>28</v>
      </c>
      <c r="E60" s="10">
        <v>37553</v>
      </c>
      <c r="F60">
        <f t="shared" ref="F60:F103" si="9">C60*157.4</f>
        <v>667.37600000000009</v>
      </c>
      <c r="G60">
        <f t="shared" ref="G60:G103" si="10">B60*7.751*157.4</f>
        <v>771.04467680000005</v>
      </c>
      <c r="H60">
        <f t="shared" ref="H60:H103" si="11">G60/F60</f>
        <v>1.1553377358490564</v>
      </c>
      <c r="I60">
        <f t="shared" si="4"/>
        <v>2320.35</v>
      </c>
      <c r="J60" s="7"/>
      <c r="L60" s="6">
        <v>3.6</v>
      </c>
      <c r="M60" s="6">
        <v>0.46500000000000002</v>
      </c>
      <c r="N60" s="6">
        <v>4.4000000000000004</v>
      </c>
      <c r="O60" s="6">
        <v>21</v>
      </c>
      <c r="P60" s="1">
        <v>34182</v>
      </c>
      <c r="Q60">
        <f t="shared" ref="Q60:Q132" si="12">N60*157.4</f>
        <v>692.56000000000006</v>
      </c>
      <c r="R60">
        <f t="shared" ref="R60:R132" si="13">M60*7.751*157.4</f>
        <v>567.30344100000013</v>
      </c>
      <c r="S60">
        <f t="shared" ref="S60:S132" si="14">R60/Q60</f>
        <v>0.8191397727272729</v>
      </c>
      <c r="T60">
        <f t="shared" si="8"/>
        <v>1935.2200000000003</v>
      </c>
    </row>
    <row r="61" spans="1:20">
      <c r="A61" s="7">
        <v>1</v>
      </c>
      <c r="B61" s="8">
        <v>0.432</v>
      </c>
      <c r="C61" s="9">
        <v>2.88</v>
      </c>
      <c r="D61">
        <v>28</v>
      </c>
      <c r="E61" s="10">
        <v>37553</v>
      </c>
      <c r="F61">
        <f t="shared" si="9"/>
        <v>453.31200000000001</v>
      </c>
      <c r="G61">
        <f t="shared" si="10"/>
        <v>527.04319680000003</v>
      </c>
      <c r="H61">
        <f t="shared" si="11"/>
        <v>1.16265</v>
      </c>
      <c r="I61">
        <f t="shared" si="4"/>
        <v>1408.1999999999998</v>
      </c>
      <c r="J61" s="7"/>
      <c r="L61" s="6">
        <v>4.2</v>
      </c>
      <c r="M61" s="6">
        <v>0.49</v>
      </c>
      <c r="N61" s="6">
        <v>4.5999999999999996</v>
      </c>
      <c r="O61" s="6">
        <v>21</v>
      </c>
      <c r="P61" s="1">
        <v>34182</v>
      </c>
      <c r="Q61">
        <f t="shared" si="12"/>
        <v>724.04</v>
      </c>
      <c r="R61">
        <f t="shared" si="13"/>
        <v>597.80362600000001</v>
      </c>
      <c r="S61">
        <f t="shared" si="14"/>
        <v>0.82565000000000011</v>
      </c>
      <c r="T61">
        <f t="shared" si="8"/>
        <v>2056.84</v>
      </c>
    </row>
    <row r="62" spans="1:20">
      <c r="A62" s="7">
        <v>2</v>
      </c>
      <c r="B62" s="8">
        <v>0.48799999999999999</v>
      </c>
      <c r="C62" s="9">
        <v>3.2</v>
      </c>
      <c r="D62">
        <v>28</v>
      </c>
      <c r="E62" s="10">
        <v>37553</v>
      </c>
      <c r="F62">
        <f t="shared" si="9"/>
        <v>503.68000000000006</v>
      </c>
      <c r="G62">
        <f t="shared" si="10"/>
        <v>595.36361120000004</v>
      </c>
      <c r="H62">
        <f t="shared" si="11"/>
        <v>1.1820275</v>
      </c>
      <c r="I62">
        <f t="shared" si="4"/>
        <v>1610.9</v>
      </c>
      <c r="J62" s="7"/>
      <c r="L62" s="6">
        <v>4.5999999999999996</v>
      </c>
      <c r="M62" s="6">
        <v>0.52</v>
      </c>
      <c r="N62" s="6">
        <v>4.8</v>
      </c>
      <c r="O62" s="6">
        <v>21</v>
      </c>
      <c r="P62" s="1">
        <v>34182</v>
      </c>
      <c r="Q62">
        <f t="shared" si="12"/>
        <v>755.52</v>
      </c>
      <c r="R62">
        <f t="shared" si="13"/>
        <v>634.40384800000004</v>
      </c>
      <c r="S62">
        <f t="shared" si="14"/>
        <v>0.83969166666666673</v>
      </c>
      <c r="T62">
        <f t="shared" si="8"/>
        <v>2137.9199999999996</v>
      </c>
    </row>
    <row r="63" spans="1:20">
      <c r="A63" s="7">
        <v>3</v>
      </c>
      <c r="B63" s="8">
        <v>0.54400000000000004</v>
      </c>
      <c r="C63" s="9">
        <v>3.6</v>
      </c>
      <c r="D63">
        <v>28</v>
      </c>
      <c r="E63" s="10">
        <v>37553</v>
      </c>
      <c r="F63">
        <f t="shared" si="9"/>
        <v>566.64</v>
      </c>
      <c r="G63">
        <f t="shared" si="10"/>
        <v>663.68402560000015</v>
      </c>
      <c r="H63">
        <f t="shared" si="11"/>
        <v>1.1712622222222224</v>
      </c>
      <c r="I63">
        <f t="shared" si="4"/>
        <v>1813.6000000000001</v>
      </c>
      <c r="J63" s="7"/>
      <c r="L63" s="6">
        <v>5.15</v>
      </c>
      <c r="M63" s="6">
        <v>0.54</v>
      </c>
      <c r="N63" s="6">
        <v>5</v>
      </c>
      <c r="O63" s="6">
        <v>21</v>
      </c>
      <c r="P63" s="1">
        <v>34182</v>
      </c>
      <c r="Q63">
        <f t="shared" si="12"/>
        <v>787</v>
      </c>
      <c r="R63">
        <f t="shared" si="13"/>
        <v>658.8039960000001</v>
      </c>
      <c r="S63">
        <f t="shared" si="14"/>
        <v>0.83710800000000007</v>
      </c>
      <c r="T63">
        <f t="shared" si="8"/>
        <v>2249.4050000000002</v>
      </c>
    </row>
    <row r="64" spans="1:20">
      <c r="A64" s="7">
        <v>4</v>
      </c>
      <c r="B64" s="8">
        <v>0.6</v>
      </c>
      <c r="C64" s="9">
        <v>4</v>
      </c>
      <c r="D64">
        <v>28</v>
      </c>
      <c r="E64" s="10">
        <v>37553</v>
      </c>
      <c r="F64">
        <f t="shared" si="9"/>
        <v>629.6</v>
      </c>
      <c r="G64">
        <f t="shared" si="10"/>
        <v>732.00444000000005</v>
      </c>
      <c r="H64">
        <f t="shared" si="11"/>
        <v>1.16265</v>
      </c>
      <c r="I64">
        <f t="shared" si="4"/>
        <v>2016.3000000000002</v>
      </c>
      <c r="J64" s="7"/>
      <c r="L64" s="6">
        <v>5.5</v>
      </c>
      <c r="M64" s="6">
        <v>0.56000000000000005</v>
      </c>
      <c r="N64" s="6">
        <v>5.2</v>
      </c>
      <c r="O64" s="6">
        <v>21</v>
      </c>
      <c r="P64" s="1">
        <v>34182</v>
      </c>
      <c r="Q64">
        <f t="shared" si="12"/>
        <v>818.48</v>
      </c>
      <c r="R64">
        <f t="shared" si="13"/>
        <v>683.20414400000016</v>
      </c>
      <c r="S64">
        <f t="shared" si="14"/>
        <v>0.83472307692307712</v>
      </c>
      <c r="T64">
        <f t="shared" si="8"/>
        <v>2320.35</v>
      </c>
    </row>
    <row r="65" spans="1:20">
      <c r="A65" s="7">
        <v>5</v>
      </c>
      <c r="B65" s="8">
        <v>0.66400000000000003</v>
      </c>
      <c r="C65" s="9">
        <v>4.4000000000000004</v>
      </c>
      <c r="D65">
        <v>28</v>
      </c>
      <c r="E65" s="10">
        <v>37553</v>
      </c>
      <c r="F65">
        <f t="shared" si="9"/>
        <v>692.56000000000006</v>
      </c>
      <c r="G65">
        <f t="shared" si="10"/>
        <v>810.08491360000005</v>
      </c>
      <c r="H65">
        <f t="shared" si="11"/>
        <v>1.1696963636363635</v>
      </c>
      <c r="I65">
        <f t="shared" si="4"/>
        <v>2219.0000000000005</v>
      </c>
      <c r="J65" s="7"/>
      <c r="L65" s="6">
        <v>6</v>
      </c>
      <c r="M65" s="6">
        <v>0.59</v>
      </c>
      <c r="N65" s="6">
        <v>5.4</v>
      </c>
      <c r="O65" s="6">
        <v>21</v>
      </c>
      <c r="P65" s="1">
        <v>34182</v>
      </c>
      <c r="Q65">
        <f t="shared" si="12"/>
        <v>849.96</v>
      </c>
      <c r="R65">
        <f t="shared" si="13"/>
        <v>719.80436599999996</v>
      </c>
      <c r="S65">
        <f t="shared" si="14"/>
        <v>0.84686851851851841</v>
      </c>
      <c r="T65">
        <f t="shared" si="8"/>
        <v>2421.6999999999998</v>
      </c>
    </row>
    <row r="66" spans="1:20">
      <c r="A66" s="7">
        <v>5.45</v>
      </c>
      <c r="B66" s="8">
        <v>0.63200000000000001</v>
      </c>
      <c r="C66" s="9">
        <v>4.24</v>
      </c>
      <c r="D66">
        <v>28</v>
      </c>
      <c r="E66" s="10">
        <v>37553</v>
      </c>
      <c r="F66">
        <f t="shared" si="9"/>
        <v>667.37600000000009</v>
      </c>
      <c r="G66">
        <f t="shared" si="10"/>
        <v>771.04467680000005</v>
      </c>
      <c r="H66">
        <f t="shared" si="11"/>
        <v>1.1553377358490564</v>
      </c>
      <c r="I66">
        <f t="shared" si="4"/>
        <v>2310.2149999999997</v>
      </c>
      <c r="J66" s="7"/>
      <c r="L66" s="6">
        <v>6.4</v>
      </c>
      <c r="M66" s="6">
        <v>0.61</v>
      </c>
      <c r="N66" s="6">
        <v>5.6</v>
      </c>
      <c r="O66" s="6">
        <v>21</v>
      </c>
      <c r="P66" s="1">
        <v>34182</v>
      </c>
      <c r="Q66">
        <f t="shared" si="12"/>
        <v>881.43999999999994</v>
      </c>
      <c r="R66">
        <f t="shared" si="13"/>
        <v>744.20451400000002</v>
      </c>
      <c r="S66">
        <f t="shared" si="14"/>
        <v>0.84430535714285726</v>
      </c>
      <c r="T66">
        <f t="shared" si="8"/>
        <v>2502.7800000000002</v>
      </c>
    </row>
    <row r="67" spans="1:20">
      <c r="A67" s="7">
        <v>5.3</v>
      </c>
      <c r="B67" s="8">
        <v>0.62</v>
      </c>
      <c r="C67" s="9">
        <v>4.16</v>
      </c>
      <c r="D67">
        <v>28</v>
      </c>
      <c r="E67" s="10">
        <v>37553</v>
      </c>
      <c r="F67">
        <f t="shared" si="9"/>
        <v>654.78399999999999</v>
      </c>
      <c r="G67">
        <f t="shared" si="10"/>
        <v>756.4045880000001</v>
      </c>
      <c r="H67">
        <f t="shared" si="11"/>
        <v>1.1551971153846154</v>
      </c>
      <c r="I67">
        <f t="shared" ref="I67:I130" si="15">(0.2027*A67+1.2055)*1000</f>
        <v>2279.81</v>
      </c>
      <c r="J67" s="7"/>
      <c r="L67" s="6">
        <v>6.65</v>
      </c>
      <c r="M67" s="6">
        <v>0.62</v>
      </c>
      <c r="N67" s="6">
        <v>5.7</v>
      </c>
      <c r="O67" s="6">
        <v>21</v>
      </c>
      <c r="P67" s="1">
        <v>34182</v>
      </c>
      <c r="Q67">
        <f t="shared" si="12"/>
        <v>897.18000000000006</v>
      </c>
      <c r="R67">
        <f t="shared" si="13"/>
        <v>756.4045880000001</v>
      </c>
      <c r="S67">
        <f t="shared" si="14"/>
        <v>0.84309122807017545</v>
      </c>
      <c r="T67">
        <f t="shared" si="0"/>
        <v>2553.4549999999999</v>
      </c>
    </row>
    <row r="68" spans="1:20">
      <c r="A68" s="6">
        <v>0</v>
      </c>
      <c r="B68" s="6">
        <v>0.32800000000000001</v>
      </c>
      <c r="C68" s="6">
        <v>2.08</v>
      </c>
      <c r="D68">
        <v>28</v>
      </c>
      <c r="E68" s="10">
        <v>37554</v>
      </c>
      <c r="F68">
        <f t="shared" si="9"/>
        <v>327.392</v>
      </c>
      <c r="G68">
        <f t="shared" si="10"/>
        <v>400.16242720000008</v>
      </c>
      <c r="H68">
        <f t="shared" si="11"/>
        <v>1.2222730769230772</v>
      </c>
      <c r="I68">
        <f t="shared" si="15"/>
        <v>1205.5</v>
      </c>
      <c r="J68" s="6"/>
      <c r="L68" s="6">
        <v>0</v>
      </c>
      <c r="M68" s="6">
        <v>0.48</v>
      </c>
      <c r="N68" s="6">
        <v>3.8</v>
      </c>
      <c r="O68">
        <v>22</v>
      </c>
      <c r="P68" s="10">
        <v>35013</v>
      </c>
      <c r="Q68">
        <f t="shared" si="12"/>
        <v>598.12</v>
      </c>
      <c r="R68">
        <f t="shared" si="13"/>
        <v>585.60355200000004</v>
      </c>
      <c r="S68">
        <f t="shared" si="14"/>
        <v>0.97907368421052632</v>
      </c>
      <c r="T68">
        <f t="shared" si="0"/>
        <v>1205.5</v>
      </c>
    </row>
    <row r="69" spans="1:20">
      <c r="A69" s="6">
        <v>1</v>
      </c>
      <c r="B69" s="6">
        <v>0.39200000000000002</v>
      </c>
      <c r="C69" s="6">
        <v>2.64</v>
      </c>
      <c r="D69">
        <v>28</v>
      </c>
      <c r="E69" s="10">
        <v>37554</v>
      </c>
      <c r="F69">
        <f t="shared" si="9"/>
        <v>415.53600000000006</v>
      </c>
      <c r="G69">
        <f t="shared" si="10"/>
        <v>478.24290080000009</v>
      </c>
      <c r="H69">
        <f t="shared" si="11"/>
        <v>1.1509060606060606</v>
      </c>
      <c r="I69">
        <f t="shared" si="15"/>
        <v>1408.1999999999998</v>
      </c>
      <c r="J69" s="6"/>
      <c r="L69" s="6">
        <v>1.1000000000000001</v>
      </c>
      <c r="M69" s="6">
        <v>0.35</v>
      </c>
      <c r="N69" s="6">
        <v>3</v>
      </c>
      <c r="O69" s="6">
        <v>22</v>
      </c>
      <c r="P69" s="10">
        <v>35014</v>
      </c>
      <c r="Q69">
        <f t="shared" si="12"/>
        <v>472.20000000000005</v>
      </c>
      <c r="R69">
        <f t="shared" si="13"/>
        <v>427.00259</v>
      </c>
      <c r="S69">
        <f t="shared" si="14"/>
        <v>0.90428333333333322</v>
      </c>
      <c r="T69">
        <f t="shared" si="0"/>
        <v>1428.4699999999998</v>
      </c>
    </row>
    <row r="70" spans="1:20">
      <c r="A70" s="6">
        <v>2</v>
      </c>
      <c r="B70" s="6">
        <v>0.45200000000000001</v>
      </c>
      <c r="C70" s="6">
        <v>3.04</v>
      </c>
      <c r="D70">
        <v>28</v>
      </c>
      <c r="E70" s="10">
        <v>37554</v>
      </c>
      <c r="F70">
        <f t="shared" si="9"/>
        <v>478.49600000000004</v>
      </c>
      <c r="G70">
        <f t="shared" si="10"/>
        <v>551.44334480000009</v>
      </c>
      <c r="H70">
        <f t="shared" si="11"/>
        <v>1.1524513157894738</v>
      </c>
      <c r="I70">
        <f t="shared" si="15"/>
        <v>1610.9</v>
      </c>
      <c r="J70" s="6"/>
      <c r="L70" s="6">
        <v>4.2</v>
      </c>
      <c r="M70" s="6">
        <v>0.51</v>
      </c>
      <c r="N70" s="6">
        <v>4.5999999999999996</v>
      </c>
      <c r="O70" s="6">
        <v>22</v>
      </c>
      <c r="P70" s="10">
        <v>35015</v>
      </c>
      <c r="Q70">
        <f t="shared" si="12"/>
        <v>724.04</v>
      </c>
      <c r="R70">
        <f t="shared" si="13"/>
        <v>622.20377400000007</v>
      </c>
      <c r="S70">
        <f t="shared" si="14"/>
        <v>0.85935000000000017</v>
      </c>
      <c r="T70">
        <f t="shared" si="0"/>
        <v>2056.84</v>
      </c>
    </row>
    <row r="71" spans="1:20">
      <c r="A71" s="6">
        <v>3</v>
      </c>
      <c r="B71" s="6">
        <v>0.51200000000000001</v>
      </c>
      <c r="C71" s="6">
        <v>3.36</v>
      </c>
      <c r="D71">
        <v>28</v>
      </c>
      <c r="E71" s="10">
        <v>37554</v>
      </c>
      <c r="F71">
        <f t="shared" si="9"/>
        <v>528.86400000000003</v>
      </c>
      <c r="G71">
        <f t="shared" si="10"/>
        <v>624.64378880000004</v>
      </c>
      <c r="H71">
        <f t="shared" si="11"/>
        <v>1.1811047619047619</v>
      </c>
      <c r="I71">
        <f t="shared" si="15"/>
        <v>1813.6000000000001</v>
      </c>
      <c r="J71" s="6"/>
      <c r="L71" s="6">
        <v>5.2</v>
      </c>
      <c r="M71" s="6">
        <v>0.57999999999999996</v>
      </c>
      <c r="N71" s="6">
        <v>5.0999999999999996</v>
      </c>
      <c r="O71" s="6">
        <v>22</v>
      </c>
      <c r="P71" s="10">
        <v>35015</v>
      </c>
      <c r="Q71">
        <f t="shared" si="12"/>
        <v>802.74</v>
      </c>
      <c r="R71">
        <f t="shared" si="13"/>
        <v>707.60429199999999</v>
      </c>
      <c r="S71">
        <f t="shared" si="14"/>
        <v>0.88148627450980388</v>
      </c>
      <c r="T71">
        <f t="shared" si="0"/>
        <v>2259.5400000000004</v>
      </c>
    </row>
    <row r="72" spans="1:20">
      <c r="A72" s="6">
        <v>4</v>
      </c>
      <c r="B72" s="6">
        <v>0.56399999999999995</v>
      </c>
      <c r="C72" s="6">
        <v>3.8</v>
      </c>
      <c r="D72">
        <v>28</v>
      </c>
      <c r="E72" s="10">
        <v>37554</v>
      </c>
      <c r="F72">
        <f t="shared" si="9"/>
        <v>598.12</v>
      </c>
      <c r="G72">
        <f t="shared" si="10"/>
        <v>688.08417359999987</v>
      </c>
      <c r="H72">
        <f t="shared" si="11"/>
        <v>1.1504115789473681</v>
      </c>
      <c r="I72">
        <f t="shared" si="15"/>
        <v>2016.3000000000002</v>
      </c>
      <c r="J72" s="6"/>
      <c r="L72">
        <v>2</v>
      </c>
      <c r="M72">
        <v>0.3</v>
      </c>
      <c r="N72">
        <v>2.6</v>
      </c>
      <c r="O72">
        <v>23</v>
      </c>
      <c r="P72" s="1">
        <v>35400</v>
      </c>
      <c r="Q72">
        <f>N72*157.4</f>
        <v>409.24</v>
      </c>
      <c r="R72">
        <f>M72*7.751*157.4</f>
        <v>366.00222000000002</v>
      </c>
      <c r="S72">
        <f>R72/Q72</f>
        <v>0.8943461538461539</v>
      </c>
      <c r="T72">
        <f>(0.2027*L72+1.2055)*1000</f>
        <v>1610.9</v>
      </c>
    </row>
    <row r="73" spans="1:20">
      <c r="A73" s="6">
        <v>5</v>
      </c>
      <c r="B73" s="6">
        <v>0.62</v>
      </c>
      <c r="C73" s="6">
        <v>4.12</v>
      </c>
      <c r="D73">
        <v>28</v>
      </c>
      <c r="E73" s="10">
        <v>37554</v>
      </c>
      <c r="F73">
        <f t="shared" si="9"/>
        <v>648.48800000000006</v>
      </c>
      <c r="G73">
        <f t="shared" si="10"/>
        <v>756.4045880000001</v>
      </c>
      <c r="H73">
        <f t="shared" si="11"/>
        <v>1.1664126213592234</v>
      </c>
      <c r="I73">
        <f t="shared" si="15"/>
        <v>2219.0000000000005</v>
      </c>
      <c r="J73" s="6"/>
      <c r="L73">
        <v>3.75</v>
      </c>
      <c r="M73">
        <v>0.49</v>
      </c>
      <c r="N73">
        <v>4.3</v>
      </c>
      <c r="O73">
        <v>23</v>
      </c>
      <c r="P73" s="1">
        <v>35400</v>
      </c>
      <c r="Q73">
        <f t="shared" si="12"/>
        <v>676.82</v>
      </c>
      <c r="R73">
        <f t="shared" si="13"/>
        <v>597.80362600000001</v>
      </c>
      <c r="S73">
        <f t="shared" si="14"/>
        <v>0.88325348837209294</v>
      </c>
      <c r="T73">
        <f t="shared" si="0"/>
        <v>1965.625</v>
      </c>
    </row>
    <row r="74" spans="1:20">
      <c r="A74" s="6">
        <v>5.28</v>
      </c>
      <c r="B74" s="6">
        <v>0.628</v>
      </c>
      <c r="C74" s="6">
        <v>4.24</v>
      </c>
      <c r="D74">
        <v>28</v>
      </c>
      <c r="E74" s="10">
        <v>37554</v>
      </c>
      <c r="F74">
        <f t="shared" si="9"/>
        <v>667.37600000000009</v>
      </c>
      <c r="G74">
        <f t="shared" si="10"/>
        <v>766.16464719999999</v>
      </c>
      <c r="H74">
        <f t="shared" si="11"/>
        <v>1.1480254716981131</v>
      </c>
      <c r="I74">
        <f t="shared" si="15"/>
        <v>2275.7560000000003</v>
      </c>
      <c r="J74" s="6"/>
      <c r="L74">
        <v>3.75</v>
      </c>
      <c r="M74">
        <v>0.48</v>
      </c>
      <c r="N74">
        <v>4.3</v>
      </c>
      <c r="O74">
        <v>23</v>
      </c>
      <c r="P74" s="1">
        <v>35400</v>
      </c>
      <c r="Q74">
        <f t="shared" si="12"/>
        <v>676.82</v>
      </c>
      <c r="R74">
        <f t="shared" si="13"/>
        <v>585.60355200000004</v>
      </c>
      <c r="S74">
        <f t="shared" si="14"/>
        <v>0.86522790697674412</v>
      </c>
      <c r="T74">
        <f t="shared" si="0"/>
        <v>1965.625</v>
      </c>
    </row>
    <row r="75" spans="1:20">
      <c r="A75" s="6">
        <v>0</v>
      </c>
      <c r="B75" s="6">
        <v>0.48</v>
      </c>
      <c r="C75" s="6">
        <v>3.8</v>
      </c>
      <c r="D75">
        <v>22</v>
      </c>
      <c r="E75" s="10">
        <v>35013</v>
      </c>
      <c r="F75">
        <f t="shared" si="9"/>
        <v>598.12</v>
      </c>
      <c r="G75">
        <f t="shared" si="10"/>
        <v>585.60355200000004</v>
      </c>
      <c r="H75">
        <f t="shared" si="11"/>
        <v>0.97907368421052632</v>
      </c>
      <c r="I75">
        <f t="shared" si="15"/>
        <v>1205.5</v>
      </c>
      <c r="L75">
        <v>4.5</v>
      </c>
      <c r="M75">
        <v>0.53</v>
      </c>
      <c r="N75">
        <v>4.7</v>
      </c>
      <c r="O75">
        <v>23</v>
      </c>
      <c r="P75" s="1">
        <v>35400</v>
      </c>
      <c r="Q75">
        <f t="shared" si="12"/>
        <v>739.78000000000009</v>
      </c>
      <c r="R75">
        <f t="shared" si="13"/>
        <v>646.60392200000013</v>
      </c>
      <c r="S75">
        <f t="shared" si="14"/>
        <v>0.87404893617021284</v>
      </c>
      <c r="T75">
        <f t="shared" si="0"/>
        <v>2117.65</v>
      </c>
    </row>
    <row r="76" spans="1:20">
      <c r="A76" s="6">
        <v>1.1000000000000001</v>
      </c>
      <c r="B76" s="6">
        <v>0.35</v>
      </c>
      <c r="C76" s="6">
        <v>3</v>
      </c>
      <c r="D76" s="6">
        <v>22</v>
      </c>
      <c r="E76" s="10">
        <v>35014</v>
      </c>
      <c r="F76">
        <f t="shared" si="9"/>
        <v>472.20000000000005</v>
      </c>
      <c r="G76">
        <f t="shared" si="10"/>
        <v>427.00259</v>
      </c>
      <c r="H76">
        <f t="shared" si="11"/>
        <v>0.90428333333333322</v>
      </c>
      <c r="I76">
        <f t="shared" si="15"/>
        <v>1428.4699999999998</v>
      </c>
      <c r="L76">
        <v>4.5</v>
      </c>
      <c r="M76">
        <v>0.52</v>
      </c>
      <c r="N76">
        <v>4.6500000000000004</v>
      </c>
      <c r="O76">
        <v>23</v>
      </c>
      <c r="P76" s="1">
        <v>35400</v>
      </c>
      <c r="Q76">
        <f t="shared" si="12"/>
        <v>731.91000000000008</v>
      </c>
      <c r="R76">
        <f t="shared" si="13"/>
        <v>634.40384800000004</v>
      </c>
      <c r="S76">
        <f t="shared" si="14"/>
        <v>0.86677849462365586</v>
      </c>
      <c r="T76">
        <f t="shared" si="0"/>
        <v>2117.65</v>
      </c>
    </row>
    <row r="77" spans="1:20">
      <c r="A77" s="6">
        <v>4.2</v>
      </c>
      <c r="B77" s="6">
        <v>0.51</v>
      </c>
      <c r="C77" s="6">
        <v>4.5999999999999996</v>
      </c>
      <c r="D77" s="6">
        <v>22</v>
      </c>
      <c r="E77" s="10">
        <v>35015</v>
      </c>
      <c r="F77">
        <f t="shared" si="9"/>
        <v>724.04</v>
      </c>
      <c r="G77">
        <f t="shared" si="10"/>
        <v>622.20377400000007</v>
      </c>
      <c r="H77">
        <f t="shared" si="11"/>
        <v>0.85935000000000017</v>
      </c>
      <c r="I77">
        <f t="shared" si="15"/>
        <v>2056.84</v>
      </c>
      <c r="L77">
        <v>2.8</v>
      </c>
      <c r="M77">
        <v>0.52800000000000002</v>
      </c>
      <c r="N77">
        <v>3.9</v>
      </c>
      <c r="O77">
        <v>24</v>
      </c>
      <c r="P77" s="1">
        <v>35765</v>
      </c>
      <c r="Q77">
        <f t="shared" si="12"/>
        <v>613.86</v>
      </c>
      <c r="R77">
        <f t="shared" si="13"/>
        <v>644.16390720000015</v>
      </c>
      <c r="S77">
        <f t="shared" si="14"/>
        <v>1.0493661538461541</v>
      </c>
      <c r="T77">
        <f t="shared" si="0"/>
        <v>1773.0600000000002</v>
      </c>
    </row>
    <row r="78" spans="1:20">
      <c r="A78" s="6">
        <v>5.2</v>
      </c>
      <c r="B78" s="6">
        <v>0.57999999999999996</v>
      </c>
      <c r="C78" s="6">
        <v>5.0999999999999996</v>
      </c>
      <c r="D78" s="6">
        <v>22</v>
      </c>
      <c r="E78" s="10">
        <v>35015</v>
      </c>
      <c r="F78">
        <f t="shared" si="9"/>
        <v>802.74</v>
      </c>
      <c r="G78">
        <f t="shared" si="10"/>
        <v>707.60429199999999</v>
      </c>
      <c r="H78">
        <f t="shared" si="11"/>
        <v>0.88148627450980388</v>
      </c>
      <c r="I78">
        <f t="shared" si="15"/>
        <v>2259.5400000000004</v>
      </c>
      <c r="L78">
        <v>2.8</v>
      </c>
      <c r="M78">
        <v>0.52</v>
      </c>
      <c r="N78">
        <v>3.84</v>
      </c>
      <c r="O78">
        <v>24</v>
      </c>
      <c r="P78" s="1">
        <v>35765</v>
      </c>
      <c r="Q78">
        <f t="shared" si="12"/>
        <v>604.41600000000005</v>
      </c>
      <c r="R78">
        <f t="shared" si="13"/>
        <v>634.40384800000004</v>
      </c>
      <c r="S78">
        <f t="shared" si="14"/>
        <v>1.0496145833333332</v>
      </c>
      <c r="T78">
        <f t="shared" si="0"/>
        <v>1773.0600000000002</v>
      </c>
    </row>
    <row r="79" spans="1:20">
      <c r="A79" s="6">
        <v>0</v>
      </c>
      <c r="B79" s="6">
        <v>0.28000000000000003</v>
      </c>
      <c r="C79" s="6">
        <v>2.6</v>
      </c>
      <c r="D79" s="6">
        <v>20</v>
      </c>
      <c r="E79" s="11">
        <v>37530</v>
      </c>
      <c r="F79">
        <f t="shared" si="9"/>
        <v>409.24</v>
      </c>
      <c r="G79">
        <f t="shared" si="10"/>
        <v>341.60207200000008</v>
      </c>
      <c r="H79">
        <f t="shared" si="11"/>
        <v>0.83472307692307712</v>
      </c>
      <c r="I79">
        <f t="shared" si="15"/>
        <v>1205.5</v>
      </c>
      <c r="L79">
        <v>2.8</v>
      </c>
      <c r="M79">
        <v>0.51200000000000001</v>
      </c>
      <c r="N79">
        <v>3.84</v>
      </c>
      <c r="O79">
        <v>24</v>
      </c>
      <c r="P79" s="1">
        <v>35765</v>
      </c>
      <c r="Q79">
        <f t="shared" si="12"/>
        <v>604.41600000000005</v>
      </c>
      <c r="R79">
        <f t="shared" si="13"/>
        <v>624.64378880000004</v>
      </c>
      <c r="S79">
        <f t="shared" si="14"/>
        <v>1.0334666666666665</v>
      </c>
      <c r="T79">
        <f t="shared" si="0"/>
        <v>1773.0600000000002</v>
      </c>
    </row>
    <row r="80" spans="1:20">
      <c r="A80" s="6">
        <v>2.8</v>
      </c>
      <c r="B80" s="6">
        <v>0.43</v>
      </c>
      <c r="C80" s="6">
        <v>4</v>
      </c>
      <c r="D80" s="6">
        <v>20</v>
      </c>
      <c r="E80" s="11">
        <v>37531</v>
      </c>
      <c r="F80">
        <f t="shared" si="9"/>
        <v>629.6</v>
      </c>
      <c r="G80">
        <f t="shared" si="10"/>
        <v>524.60318200000006</v>
      </c>
      <c r="H80">
        <f t="shared" si="11"/>
        <v>0.83323250000000004</v>
      </c>
      <c r="I80">
        <f t="shared" si="15"/>
        <v>1773.0600000000002</v>
      </c>
      <c r="L80">
        <v>2.8</v>
      </c>
      <c r="M80">
        <v>0.52</v>
      </c>
      <c r="N80">
        <v>3.92</v>
      </c>
      <c r="O80">
        <v>24</v>
      </c>
      <c r="P80" s="1">
        <v>35765</v>
      </c>
      <c r="Q80">
        <f t="shared" si="12"/>
        <v>617.00800000000004</v>
      </c>
      <c r="R80">
        <f t="shared" si="13"/>
        <v>634.40384800000004</v>
      </c>
      <c r="S80">
        <f t="shared" si="14"/>
        <v>1.0281938775510204</v>
      </c>
      <c r="T80">
        <f t="shared" si="0"/>
        <v>1773.0600000000002</v>
      </c>
    </row>
    <row r="81" spans="1:20">
      <c r="A81" s="6">
        <v>3.05</v>
      </c>
      <c r="B81" s="6">
        <v>0.44</v>
      </c>
      <c r="C81" s="6">
        <v>4.2</v>
      </c>
      <c r="D81" s="6">
        <v>20</v>
      </c>
      <c r="E81" s="11">
        <v>37531</v>
      </c>
      <c r="F81">
        <f t="shared" si="9"/>
        <v>661.08</v>
      </c>
      <c r="G81">
        <f t="shared" si="10"/>
        <v>536.80325600000003</v>
      </c>
      <c r="H81">
        <f t="shared" si="11"/>
        <v>0.81200952380952385</v>
      </c>
      <c r="I81">
        <f t="shared" si="15"/>
        <v>1823.7350000000001</v>
      </c>
      <c r="L81">
        <v>5.15</v>
      </c>
      <c r="M81">
        <v>0.66</v>
      </c>
      <c r="N81">
        <v>4.96</v>
      </c>
      <c r="O81">
        <v>24</v>
      </c>
      <c r="P81" s="1">
        <v>35765</v>
      </c>
      <c r="Q81">
        <f t="shared" si="12"/>
        <v>780.70400000000006</v>
      </c>
      <c r="R81">
        <f t="shared" si="13"/>
        <v>805.20488399999999</v>
      </c>
      <c r="S81">
        <f t="shared" si="14"/>
        <v>1.031383064516129</v>
      </c>
      <c r="T81">
        <f t="shared" si="0"/>
        <v>2249.4050000000002</v>
      </c>
    </row>
    <row r="82" spans="1:20">
      <c r="A82" s="6">
        <v>3.65</v>
      </c>
      <c r="B82" s="6">
        <v>0.47</v>
      </c>
      <c r="C82" s="6">
        <v>4.4000000000000004</v>
      </c>
      <c r="D82" s="6">
        <v>20</v>
      </c>
      <c r="E82" s="11">
        <v>37532</v>
      </c>
      <c r="F82">
        <f t="shared" si="9"/>
        <v>692.56000000000006</v>
      </c>
      <c r="G82">
        <f t="shared" si="10"/>
        <v>573.40347800000006</v>
      </c>
      <c r="H82">
        <f t="shared" si="11"/>
        <v>0.82794772727272725</v>
      </c>
      <c r="I82">
        <f t="shared" si="15"/>
        <v>1945.355</v>
      </c>
      <c r="L82">
        <v>0</v>
      </c>
      <c r="M82">
        <v>0.33600000000000002</v>
      </c>
      <c r="N82">
        <v>3.64</v>
      </c>
      <c r="O82">
        <v>24</v>
      </c>
      <c r="P82" s="1">
        <v>35765</v>
      </c>
      <c r="Q82">
        <f t="shared" si="12"/>
        <v>572.93600000000004</v>
      </c>
      <c r="R82">
        <f t="shared" si="13"/>
        <v>409.92248640000008</v>
      </c>
      <c r="S82">
        <f t="shared" si="14"/>
        <v>0.71547692307692312</v>
      </c>
      <c r="T82">
        <f t="shared" si="0"/>
        <v>1205.5</v>
      </c>
    </row>
    <row r="83" spans="1:20">
      <c r="A83" s="6">
        <v>4.0999999999999996</v>
      </c>
      <c r="B83" s="6">
        <v>0.49</v>
      </c>
      <c r="C83" s="6">
        <v>4.5999999999999996</v>
      </c>
      <c r="D83" s="6">
        <v>20</v>
      </c>
      <c r="E83" s="11">
        <v>37533</v>
      </c>
      <c r="F83">
        <f t="shared" si="9"/>
        <v>724.04</v>
      </c>
      <c r="G83">
        <f t="shared" si="10"/>
        <v>597.80362600000001</v>
      </c>
      <c r="H83">
        <f t="shared" si="11"/>
        <v>0.82565000000000011</v>
      </c>
      <c r="I83">
        <f t="shared" si="15"/>
        <v>2036.5699999999997</v>
      </c>
      <c r="L83">
        <v>2.8</v>
      </c>
      <c r="M83">
        <v>0.52</v>
      </c>
      <c r="N83">
        <v>3.92</v>
      </c>
      <c r="O83">
        <v>24</v>
      </c>
      <c r="P83" s="1">
        <v>35765</v>
      </c>
      <c r="Q83">
        <f t="shared" si="12"/>
        <v>617.00800000000004</v>
      </c>
      <c r="R83">
        <f t="shared" si="13"/>
        <v>634.40384800000004</v>
      </c>
      <c r="S83">
        <f t="shared" si="14"/>
        <v>1.0281938775510204</v>
      </c>
      <c r="T83">
        <f t="shared" si="0"/>
        <v>1773.0600000000002</v>
      </c>
    </row>
    <row r="84" spans="1:20">
      <c r="A84" s="6">
        <v>4.55</v>
      </c>
      <c r="B84" s="6">
        <v>0.51500000000000001</v>
      </c>
      <c r="C84" s="6">
        <v>4.8</v>
      </c>
      <c r="D84" s="6">
        <v>20</v>
      </c>
      <c r="E84" s="11">
        <v>37535</v>
      </c>
      <c r="F84">
        <f t="shared" si="9"/>
        <v>755.52</v>
      </c>
      <c r="G84">
        <f t="shared" si="10"/>
        <v>628.30381100000011</v>
      </c>
      <c r="H84">
        <f t="shared" si="11"/>
        <v>0.83161770833333348</v>
      </c>
      <c r="I84">
        <f t="shared" si="15"/>
        <v>2127.7849999999999</v>
      </c>
      <c r="L84">
        <v>2.8</v>
      </c>
      <c r="M84">
        <v>0.51</v>
      </c>
      <c r="N84">
        <v>3.92</v>
      </c>
      <c r="O84">
        <v>24</v>
      </c>
      <c r="P84" s="1">
        <v>35765</v>
      </c>
      <c r="Q84">
        <f t="shared" si="12"/>
        <v>617.00800000000004</v>
      </c>
      <c r="R84">
        <f t="shared" si="13"/>
        <v>622.20377400000007</v>
      </c>
      <c r="S84">
        <f t="shared" si="14"/>
        <v>1.0084209183673469</v>
      </c>
      <c r="T84">
        <f t="shared" si="0"/>
        <v>1773.0600000000002</v>
      </c>
    </row>
    <row r="85" spans="1:20">
      <c r="A85" s="6">
        <v>5.05</v>
      </c>
      <c r="B85" s="6">
        <v>0.54</v>
      </c>
      <c r="C85" s="6">
        <v>5</v>
      </c>
      <c r="D85" s="6">
        <v>20</v>
      </c>
      <c r="E85" s="11">
        <v>37535</v>
      </c>
      <c r="F85">
        <f t="shared" si="9"/>
        <v>787</v>
      </c>
      <c r="G85">
        <f t="shared" si="10"/>
        <v>658.8039960000001</v>
      </c>
      <c r="H85">
        <f t="shared" si="11"/>
        <v>0.83710800000000007</v>
      </c>
      <c r="I85">
        <f t="shared" si="15"/>
        <v>2229.1349999999998</v>
      </c>
      <c r="L85">
        <v>5.15</v>
      </c>
      <c r="M85">
        <v>0.65600000000000003</v>
      </c>
      <c r="N85">
        <v>4.96</v>
      </c>
      <c r="O85">
        <v>24</v>
      </c>
      <c r="P85" s="1">
        <v>35765</v>
      </c>
      <c r="Q85">
        <f t="shared" si="12"/>
        <v>780.70400000000006</v>
      </c>
      <c r="R85">
        <f t="shared" si="13"/>
        <v>800.32485440000016</v>
      </c>
      <c r="S85">
        <f t="shared" si="14"/>
        <v>1.0251322580645164</v>
      </c>
      <c r="T85">
        <f t="shared" si="0"/>
        <v>2249.4050000000002</v>
      </c>
    </row>
    <row r="86" spans="1:20">
      <c r="A86" s="6">
        <v>5.45</v>
      </c>
      <c r="B86" s="6">
        <v>0.55500000000000005</v>
      </c>
      <c r="C86" s="6">
        <v>5.2</v>
      </c>
      <c r="D86" s="6">
        <v>20</v>
      </c>
      <c r="E86" s="11">
        <v>37538</v>
      </c>
      <c r="F86">
        <f t="shared" si="9"/>
        <v>818.48</v>
      </c>
      <c r="G86">
        <f t="shared" si="10"/>
        <v>677.10410700000011</v>
      </c>
      <c r="H86">
        <f t="shared" si="11"/>
        <v>0.82727019230769239</v>
      </c>
      <c r="I86">
        <f t="shared" si="15"/>
        <v>2310.2149999999997</v>
      </c>
      <c r="L86">
        <v>5.15</v>
      </c>
      <c r="M86">
        <v>0.64800000000000002</v>
      </c>
      <c r="N86">
        <v>5.04</v>
      </c>
      <c r="O86">
        <v>24</v>
      </c>
      <c r="P86" s="1">
        <v>35765</v>
      </c>
      <c r="Q86">
        <f t="shared" si="12"/>
        <v>793.29600000000005</v>
      </c>
      <c r="R86">
        <f t="shared" si="13"/>
        <v>790.56479520000005</v>
      </c>
      <c r="S86">
        <f t="shared" si="14"/>
        <v>0.99655714285714281</v>
      </c>
      <c r="T86">
        <f t="shared" si="0"/>
        <v>2249.4050000000002</v>
      </c>
    </row>
    <row r="87" spans="1:20">
      <c r="A87" s="6">
        <v>6</v>
      </c>
      <c r="B87" s="6">
        <v>0.57999999999999996</v>
      </c>
      <c r="C87" s="6">
        <v>5.4</v>
      </c>
      <c r="D87" s="6">
        <v>20</v>
      </c>
      <c r="E87" s="11">
        <v>37539</v>
      </c>
      <c r="F87">
        <f t="shared" si="9"/>
        <v>849.96</v>
      </c>
      <c r="G87">
        <f t="shared" si="10"/>
        <v>707.60429199999999</v>
      </c>
      <c r="H87">
        <f t="shared" si="11"/>
        <v>0.83251481481481482</v>
      </c>
      <c r="I87">
        <f t="shared" si="15"/>
        <v>2421.6999999999998</v>
      </c>
      <c r="L87">
        <v>2.8</v>
      </c>
      <c r="M87">
        <v>0.52</v>
      </c>
      <c r="N87">
        <v>3.92</v>
      </c>
      <c r="O87">
        <v>24</v>
      </c>
      <c r="P87" s="1">
        <v>35765</v>
      </c>
      <c r="Q87">
        <f t="shared" si="12"/>
        <v>617.00800000000004</v>
      </c>
      <c r="R87">
        <f t="shared" si="13"/>
        <v>634.40384800000004</v>
      </c>
      <c r="S87">
        <f t="shared" si="14"/>
        <v>1.0281938775510204</v>
      </c>
      <c r="T87">
        <f t="shared" si="0"/>
        <v>1773.0600000000002</v>
      </c>
    </row>
    <row r="88" spans="1:20">
      <c r="A88" s="6">
        <v>6.4</v>
      </c>
      <c r="B88" s="6">
        <v>0.6</v>
      </c>
      <c r="C88" s="6">
        <v>5.6</v>
      </c>
      <c r="D88" s="6">
        <v>20</v>
      </c>
      <c r="E88" s="11">
        <v>37540</v>
      </c>
      <c r="F88">
        <f t="shared" si="9"/>
        <v>881.43999999999994</v>
      </c>
      <c r="G88">
        <f t="shared" si="10"/>
        <v>732.00444000000005</v>
      </c>
      <c r="H88">
        <f t="shared" si="11"/>
        <v>0.83046428571428577</v>
      </c>
      <c r="I88">
        <f t="shared" si="15"/>
        <v>2502.7800000000002</v>
      </c>
      <c r="L88">
        <v>5.15</v>
      </c>
      <c r="M88">
        <v>0.64800000000000002</v>
      </c>
      <c r="N88">
        <v>5.04</v>
      </c>
      <c r="O88">
        <v>24</v>
      </c>
      <c r="P88" s="1">
        <v>35765</v>
      </c>
      <c r="Q88">
        <f t="shared" si="12"/>
        <v>793.29600000000005</v>
      </c>
      <c r="R88">
        <f t="shared" si="13"/>
        <v>790.56479520000005</v>
      </c>
      <c r="S88">
        <f t="shared" si="14"/>
        <v>0.99655714285714281</v>
      </c>
      <c r="T88">
        <f t="shared" si="0"/>
        <v>2249.4050000000002</v>
      </c>
    </row>
    <row r="89" spans="1:20">
      <c r="A89" s="6">
        <v>6.65</v>
      </c>
      <c r="B89" s="6">
        <v>0.61</v>
      </c>
      <c r="C89" s="6">
        <v>5.7</v>
      </c>
      <c r="D89" s="6">
        <v>20</v>
      </c>
      <c r="E89" s="11">
        <v>37541</v>
      </c>
      <c r="F89">
        <f t="shared" si="9"/>
        <v>897.18000000000006</v>
      </c>
      <c r="G89">
        <f t="shared" si="10"/>
        <v>744.20451400000002</v>
      </c>
      <c r="H89">
        <f t="shared" si="11"/>
        <v>0.82949298245614034</v>
      </c>
      <c r="I89">
        <f t="shared" si="15"/>
        <v>2553.4549999999999</v>
      </c>
      <c r="L89">
        <v>4.2</v>
      </c>
      <c r="M89">
        <v>0.44800000000000001</v>
      </c>
      <c r="N89">
        <v>3.32</v>
      </c>
      <c r="O89">
        <v>24</v>
      </c>
      <c r="P89" s="1">
        <v>35765</v>
      </c>
      <c r="Q89">
        <f t="shared" si="12"/>
        <v>522.56799999999998</v>
      </c>
      <c r="R89">
        <f t="shared" si="13"/>
        <v>546.56331520000003</v>
      </c>
      <c r="S89">
        <f t="shared" si="14"/>
        <v>1.0459180722891568</v>
      </c>
      <c r="T89">
        <f t="shared" si="0"/>
        <v>2056.84</v>
      </c>
    </row>
    <row r="90" spans="1:20">
      <c r="A90" s="6">
        <v>0</v>
      </c>
      <c r="B90" s="6">
        <v>0.3</v>
      </c>
      <c r="C90" s="6">
        <v>2.7</v>
      </c>
      <c r="D90" s="6">
        <v>21</v>
      </c>
      <c r="E90" s="1">
        <v>34182</v>
      </c>
      <c r="F90">
        <f t="shared" si="9"/>
        <v>424.98</v>
      </c>
      <c r="G90">
        <f t="shared" si="10"/>
        <v>366.00222000000002</v>
      </c>
      <c r="H90">
        <f t="shared" si="11"/>
        <v>0.86122222222222222</v>
      </c>
      <c r="I90">
        <f t="shared" si="15"/>
        <v>1205.5</v>
      </c>
      <c r="L90">
        <v>2.8</v>
      </c>
      <c r="M90">
        <v>0.52</v>
      </c>
      <c r="N90">
        <v>3.92</v>
      </c>
      <c r="O90">
        <v>24</v>
      </c>
      <c r="P90" s="1">
        <v>35765</v>
      </c>
      <c r="Q90">
        <f t="shared" si="12"/>
        <v>617.00800000000004</v>
      </c>
      <c r="R90">
        <f t="shared" si="13"/>
        <v>634.40384800000004</v>
      </c>
      <c r="S90">
        <f t="shared" si="14"/>
        <v>1.0281938775510204</v>
      </c>
      <c r="T90">
        <f t="shared" si="0"/>
        <v>1773.0600000000002</v>
      </c>
    </row>
    <row r="91" spans="1:20">
      <c r="A91" s="6">
        <v>2.75</v>
      </c>
      <c r="B91" s="6">
        <v>0.42</v>
      </c>
      <c r="C91" s="6">
        <v>4</v>
      </c>
      <c r="D91" s="6">
        <v>21</v>
      </c>
      <c r="E91" s="1">
        <v>34182</v>
      </c>
      <c r="F91">
        <f t="shared" si="9"/>
        <v>629.6</v>
      </c>
      <c r="G91">
        <f t="shared" si="10"/>
        <v>512.40310799999997</v>
      </c>
      <c r="H91">
        <f t="shared" si="11"/>
        <v>0.81385499999999988</v>
      </c>
      <c r="I91">
        <f t="shared" si="15"/>
        <v>1762.9250000000002</v>
      </c>
      <c r="L91">
        <v>5.15</v>
      </c>
      <c r="M91">
        <v>0.64800000000000002</v>
      </c>
      <c r="N91">
        <v>4.96</v>
      </c>
      <c r="O91">
        <v>24</v>
      </c>
      <c r="P91" s="1">
        <v>35765</v>
      </c>
      <c r="Q91">
        <f t="shared" si="12"/>
        <v>780.70400000000006</v>
      </c>
      <c r="R91">
        <f t="shared" si="13"/>
        <v>790.56479520000005</v>
      </c>
      <c r="S91">
        <f t="shared" si="14"/>
        <v>1.0126306451612903</v>
      </c>
      <c r="T91">
        <f t="shared" si="0"/>
        <v>2249.4050000000002</v>
      </c>
    </row>
    <row r="92" spans="1:20">
      <c r="A92" s="6">
        <v>3.2</v>
      </c>
      <c r="B92" s="6">
        <v>0.45</v>
      </c>
      <c r="C92" s="6">
        <v>4.2</v>
      </c>
      <c r="D92" s="6">
        <v>21</v>
      </c>
      <c r="E92" s="1">
        <v>34182</v>
      </c>
      <c r="F92">
        <f t="shared" si="9"/>
        <v>661.08</v>
      </c>
      <c r="G92">
        <f t="shared" si="10"/>
        <v>549.00333000000001</v>
      </c>
      <c r="H92">
        <f t="shared" si="11"/>
        <v>0.83046428571428565</v>
      </c>
      <c r="I92">
        <f t="shared" si="15"/>
        <v>1854.14</v>
      </c>
      <c r="L92">
        <v>0</v>
      </c>
      <c r="M92">
        <v>0.26</v>
      </c>
      <c r="N92">
        <v>1.92</v>
      </c>
      <c r="O92">
        <v>24</v>
      </c>
      <c r="P92" s="1">
        <v>37165</v>
      </c>
      <c r="Q92">
        <f t="shared" si="12"/>
        <v>302.20800000000003</v>
      </c>
      <c r="R92">
        <f t="shared" si="13"/>
        <v>317.20192400000002</v>
      </c>
      <c r="S92">
        <f t="shared" si="14"/>
        <v>1.0496145833333332</v>
      </c>
      <c r="T92">
        <f t="shared" si="0"/>
        <v>1205.5</v>
      </c>
    </row>
    <row r="93" spans="1:20">
      <c r="A93" s="6">
        <v>3.6</v>
      </c>
      <c r="B93" s="6">
        <v>0.46500000000000002</v>
      </c>
      <c r="C93" s="6">
        <v>4.4000000000000004</v>
      </c>
      <c r="D93" s="6">
        <v>21</v>
      </c>
      <c r="E93" s="1">
        <v>34182</v>
      </c>
      <c r="F93">
        <f t="shared" si="9"/>
        <v>692.56000000000006</v>
      </c>
      <c r="G93">
        <f t="shared" si="10"/>
        <v>567.30344100000013</v>
      </c>
      <c r="H93">
        <f t="shared" si="11"/>
        <v>0.8191397727272729</v>
      </c>
      <c r="I93">
        <f t="shared" si="15"/>
        <v>1935.2200000000003</v>
      </c>
      <c r="L93">
        <v>1</v>
      </c>
      <c r="M93">
        <v>0.30399999999999999</v>
      </c>
      <c r="N93">
        <v>2.2799999999999998</v>
      </c>
      <c r="O93">
        <v>24</v>
      </c>
      <c r="P93" s="1">
        <v>37165</v>
      </c>
      <c r="Q93">
        <f t="shared" si="12"/>
        <v>358.87199999999996</v>
      </c>
      <c r="R93">
        <f t="shared" si="13"/>
        <v>370.88224960000002</v>
      </c>
      <c r="S93">
        <f t="shared" si="14"/>
        <v>1.0334666666666668</v>
      </c>
      <c r="T93">
        <f t="shared" si="0"/>
        <v>1408.1999999999998</v>
      </c>
    </row>
    <row r="94" spans="1:20">
      <c r="A94" s="6">
        <v>4.2</v>
      </c>
      <c r="B94" s="6">
        <v>0.49</v>
      </c>
      <c r="C94" s="6">
        <v>4.5999999999999996</v>
      </c>
      <c r="D94" s="6">
        <v>21</v>
      </c>
      <c r="E94" s="1">
        <v>34182</v>
      </c>
      <c r="F94">
        <f t="shared" si="9"/>
        <v>724.04</v>
      </c>
      <c r="G94">
        <f t="shared" si="10"/>
        <v>597.80362600000001</v>
      </c>
      <c r="H94">
        <f t="shared" si="11"/>
        <v>0.82565000000000011</v>
      </c>
      <c r="I94">
        <f t="shared" si="15"/>
        <v>2056.84</v>
      </c>
      <c r="L94">
        <v>2</v>
      </c>
      <c r="M94">
        <v>0.35599999999999998</v>
      </c>
      <c r="N94">
        <v>2.64</v>
      </c>
      <c r="O94">
        <v>24</v>
      </c>
      <c r="P94" s="1">
        <v>37165</v>
      </c>
      <c r="Q94">
        <f t="shared" si="12"/>
        <v>415.53600000000006</v>
      </c>
      <c r="R94">
        <f t="shared" si="13"/>
        <v>434.32263440000003</v>
      </c>
      <c r="S94">
        <f t="shared" si="14"/>
        <v>1.0452106060606059</v>
      </c>
      <c r="T94">
        <f t="shared" si="0"/>
        <v>1610.9</v>
      </c>
    </row>
    <row r="95" spans="1:20">
      <c r="A95" s="6">
        <v>4.5999999999999996</v>
      </c>
      <c r="B95" s="6">
        <v>0.52</v>
      </c>
      <c r="C95" s="6">
        <v>4.8</v>
      </c>
      <c r="D95" s="6">
        <v>21</v>
      </c>
      <c r="E95" s="1">
        <v>34182</v>
      </c>
      <c r="F95">
        <f t="shared" si="9"/>
        <v>755.52</v>
      </c>
      <c r="G95">
        <f t="shared" si="10"/>
        <v>634.40384800000004</v>
      </c>
      <c r="H95">
        <f t="shared" si="11"/>
        <v>0.83969166666666673</v>
      </c>
      <c r="I95">
        <f t="shared" si="15"/>
        <v>2137.9199999999996</v>
      </c>
      <c r="L95">
        <v>3</v>
      </c>
      <c r="M95">
        <v>0.4</v>
      </c>
      <c r="N95">
        <v>2.96</v>
      </c>
      <c r="O95">
        <v>24</v>
      </c>
      <c r="P95" s="1">
        <v>37165</v>
      </c>
      <c r="Q95">
        <f t="shared" si="12"/>
        <v>465.904</v>
      </c>
      <c r="R95">
        <f t="shared" si="13"/>
        <v>488.00296000000009</v>
      </c>
      <c r="S95">
        <f t="shared" si="14"/>
        <v>1.0474324324324327</v>
      </c>
      <c r="T95">
        <f t="shared" si="0"/>
        <v>1813.6000000000001</v>
      </c>
    </row>
    <row r="96" spans="1:20">
      <c r="A96" s="6">
        <v>5.15</v>
      </c>
      <c r="B96" s="6">
        <v>0.54</v>
      </c>
      <c r="C96" s="6">
        <v>5</v>
      </c>
      <c r="D96" s="6">
        <v>21</v>
      </c>
      <c r="E96" s="1">
        <v>34182</v>
      </c>
      <c r="F96">
        <f t="shared" si="9"/>
        <v>787</v>
      </c>
      <c r="G96">
        <f t="shared" si="10"/>
        <v>658.8039960000001</v>
      </c>
      <c r="H96">
        <f t="shared" si="11"/>
        <v>0.83710800000000007</v>
      </c>
      <c r="I96">
        <f t="shared" si="15"/>
        <v>2249.4050000000002</v>
      </c>
      <c r="L96">
        <v>3.5</v>
      </c>
      <c r="M96">
        <v>0.42399999999999999</v>
      </c>
      <c r="N96">
        <v>3.12</v>
      </c>
      <c r="O96">
        <v>24</v>
      </c>
      <c r="P96" s="1">
        <v>37165</v>
      </c>
      <c r="Q96">
        <f t="shared" si="12"/>
        <v>491.08800000000002</v>
      </c>
      <c r="R96">
        <f t="shared" si="13"/>
        <v>517.28313760000003</v>
      </c>
      <c r="S96">
        <f t="shared" si="14"/>
        <v>1.0533410256410256</v>
      </c>
      <c r="T96">
        <f t="shared" si="0"/>
        <v>1914.9499999999998</v>
      </c>
    </row>
    <row r="97" spans="1:20">
      <c r="A97" s="6">
        <v>5.5</v>
      </c>
      <c r="B97" s="6">
        <v>0.56000000000000005</v>
      </c>
      <c r="C97" s="6">
        <v>5.2</v>
      </c>
      <c r="D97" s="6">
        <v>21</v>
      </c>
      <c r="E97" s="1">
        <v>34182</v>
      </c>
      <c r="F97">
        <f t="shared" si="9"/>
        <v>818.48</v>
      </c>
      <c r="G97">
        <f t="shared" si="10"/>
        <v>683.20414400000016</v>
      </c>
      <c r="H97">
        <f t="shared" si="11"/>
        <v>0.83472307692307712</v>
      </c>
      <c r="I97">
        <f t="shared" si="15"/>
        <v>2320.35</v>
      </c>
      <c r="L97">
        <v>4</v>
      </c>
      <c r="M97">
        <v>0.44</v>
      </c>
      <c r="N97">
        <v>3.28</v>
      </c>
      <c r="O97">
        <v>24</v>
      </c>
      <c r="P97" s="1">
        <v>37165</v>
      </c>
      <c r="Q97">
        <f t="shared" si="12"/>
        <v>516.27199999999993</v>
      </c>
      <c r="R97">
        <f t="shared" si="13"/>
        <v>536.80325600000003</v>
      </c>
      <c r="S97">
        <f t="shared" si="14"/>
        <v>1.039768292682927</v>
      </c>
      <c r="T97">
        <f t="shared" si="0"/>
        <v>2016.3000000000002</v>
      </c>
    </row>
    <row r="98" spans="1:20">
      <c r="A98" s="6">
        <v>6</v>
      </c>
      <c r="B98" s="6">
        <v>0.59</v>
      </c>
      <c r="C98" s="6">
        <v>5.4</v>
      </c>
      <c r="D98" s="6">
        <v>21</v>
      </c>
      <c r="E98" s="1">
        <v>34182</v>
      </c>
      <c r="F98">
        <f t="shared" si="9"/>
        <v>849.96</v>
      </c>
      <c r="G98">
        <f t="shared" si="10"/>
        <v>719.80436599999996</v>
      </c>
      <c r="H98">
        <f t="shared" si="11"/>
        <v>0.84686851851851841</v>
      </c>
      <c r="I98">
        <f t="shared" si="15"/>
        <v>2421.6999999999998</v>
      </c>
      <c r="L98">
        <v>4.2</v>
      </c>
      <c r="M98">
        <v>0.44800000000000001</v>
      </c>
      <c r="N98">
        <v>3.32</v>
      </c>
      <c r="O98">
        <v>24</v>
      </c>
      <c r="P98" s="1">
        <v>37165</v>
      </c>
      <c r="Q98">
        <f t="shared" si="12"/>
        <v>522.56799999999998</v>
      </c>
      <c r="R98">
        <f t="shared" si="13"/>
        <v>546.56331520000003</v>
      </c>
      <c r="S98">
        <f t="shared" si="14"/>
        <v>1.0459180722891568</v>
      </c>
      <c r="T98">
        <f t="shared" si="0"/>
        <v>2056.84</v>
      </c>
    </row>
    <row r="99" spans="1:20">
      <c r="A99" s="6">
        <v>6.4</v>
      </c>
      <c r="B99" s="6">
        <v>0.61</v>
      </c>
      <c r="C99" s="6">
        <v>5.6</v>
      </c>
      <c r="D99" s="6">
        <v>21</v>
      </c>
      <c r="E99" s="1">
        <v>34182</v>
      </c>
      <c r="F99">
        <f t="shared" si="9"/>
        <v>881.43999999999994</v>
      </c>
      <c r="G99">
        <f t="shared" si="10"/>
        <v>744.20451400000002</v>
      </c>
      <c r="H99">
        <f t="shared" si="11"/>
        <v>0.84430535714285726</v>
      </c>
      <c r="I99">
        <f t="shared" si="15"/>
        <v>2502.7800000000002</v>
      </c>
      <c r="L99">
        <v>0</v>
      </c>
      <c r="M99">
        <v>0.33200000000000002</v>
      </c>
      <c r="N99">
        <v>2.5</v>
      </c>
      <c r="O99">
        <v>25</v>
      </c>
      <c r="P99" s="1">
        <v>36281</v>
      </c>
      <c r="Q99">
        <f t="shared" si="12"/>
        <v>393.5</v>
      </c>
      <c r="R99">
        <f t="shared" si="13"/>
        <v>405.04245680000002</v>
      </c>
      <c r="S99">
        <f t="shared" si="14"/>
        <v>1.0293328000000002</v>
      </c>
      <c r="T99">
        <f t="shared" si="0"/>
        <v>1205.5</v>
      </c>
    </row>
    <row r="100" spans="1:20">
      <c r="A100" s="6">
        <v>6.65</v>
      </c>
      <c r="B100" s="6">
        <v>0.62</v>
      </c>
      <c r="C100" s="6">
        <v>5.7</v>
      </c>
      <c r="D100" s="6">
        <v>21</v>
      </c>
      <c r="E100" s="1">
        <v>34182</v>
      </c>
      <c r="F100">
        <f t="shared" si="9"/>
        <v>897.18000000000006</v>
      </c>
      <c r="G100">
        <f t="shared" si="10"/>
        <v>756.4045880000001</v>
      </c>
      <c r="H100">
        <f t="shared" si="11"/>
        <v>0.84309122807017545</v>
      </c>
      <c r="I100">
        <f t="shared" si="15"/>
        <v>2553.4549999999999</v>
      </c>
      <c r="L100">
        <v>0</v>
      </c>
      <c r="M100">
        <v>0.32800000000000001</v>
      </c>
      <c r="N100">
        <v>2.6</v>
      </c>
      <c r="O100">
        <v>25</v>
      </c>
      <c r="P100" s="1">
        <v>36281</v>
      </c>
      <c r="Q100">
        <f t="shared" si="12"/>
        <v>409.24</v>
      </c>
      <c r="R100">
        <f t="shared" si="13"/>
        <v>400.16242720000008</v>
      </c>
      <c r="S100">
        <f t="shared" si="14"/>
        <v>0.97781846153846175</v>
      </c>
      <c r="T100">
        <f t="shared" si="0"/>
        <v>1205.5</v>
      </c>
    </row>
    <row r="101" spans="1:20">
      <c r="A101" s="6">
        <v>0</v>
      </c>
      <c r="C101" s="6">
        <v>2</v>
      </c>
      <c r="D101">
        <v>4</v>
      </c>
      <c r="E101" s="1">
        <v>31017</v>
      </c>
      <c r="F101">
        <f t="shared" si="9"/>
        <v>314.8</v>
      </c>
      <c r="G101">
        <f t="shared" si="10"/>
        <v>0</v>
      </c>
      <c r="H101">
        <f t="shared" si="11"/>
        <v>0</v>
      </c>
      <c r="I101">
        <f t="shared" si="15"/>
        <v>1205.5</v>
      </c>
      <c r="L101">
        <v>1</v>
      </c>
      <c r="M101">
        <v>0.4</v>
      </c>
      <c r="N101">
        <v>3.08</v>
      </c>
      <c r="O101">
        <v>25</v>
      </c>
      <c r="P101" s="1">
        <v>36281</v>
      </c>
      <c r="Q101">
        <f t="shared" si="12"/>
        <v>484.79200000000003</v>
      </c>
      <c r="R101">
        <f t="shared" si="13"/>
        <v>488.00296000000009</v>
      </c>
      <c r="S101">
        <f t="shared" si="14"/>
        <v>1.0066233766233768</v>
      </c>
      <c r="T101">
        <f t="shared" si="0"/>
        <v>1408.1999999999998</v>
      </c>
    </row>
    <row r="102" spans="1:20">
      <c r="A102" s="6">
        <v>2</v>
      </c>
      <c r="C102" s="6">
        <v>2.8</v>
      </c>
      <c r="D102">
        <v>4</v>
      </c>
      <c r="E102" s="1">
        <v>31017</v>
      </c>
      <c r="F102">
        <f t="shared" si="9"/>
        <v>440.71999999999997</v>
      </c>
      <c r="G102">
        <f t="shared" si="10"/>
        <v>0</v>
      </c>
      <c r="H102">
        <f t="shared" si="11"/>
        <v>0</v>
      </c>
      <c r="I102">
        <f t="shared" si="15"/>
        <v>1610.9</v>
      </c>
      <c r="L102">
        <v>1.5</v>
      </c>
      <c r="M102">
        <v>0.42399999999999999</v>
      </c>
      <c r="N102">
        <v>3.28</v>
      </c>
      <c r="O102">
        <v>25</v>
      </c>
      <c r="P102" s="1">
        <v>36281</v>
      </c>
      <c r="Q102">
        <f t="shared" si="12"/>
        <v>516.27199999999993</v>
      </c>
      <c r="R102">
        <f t="shared" si="13"/>
        <v>517.28313760000003</v>
      </c>
      <c r="S102">
        <f t="shared" si="14"/>
        <v>1.001958536585366</v>
      </c>
      <c r="T102">
        <f t="shared" si="0"/>
        <v>1509.55</v>
      </c>
    </row>
    <row r="103" spans="1:20">
      <c r="A103" s="6">
        <v>4</v>
      </c>
      <c r="C103" s="6">
        <v>3.6</v>
      </c>
      <c r="D103">
        <v>4</v>
      </c>
      <c r="E103" s="1">
        <v>31017</v>
      </c>
      <c r="F103">
        <f t="shared" si="9"/>
        <v>566.64</v>
      </c>
      <c r="G103">
        <f t="shared" si="10"/>
        <v>0</v>
      </c>
      <c r="H103">
        <f t="shared" si="11"/>
        <v>0</v>
      </c>
      <c r="I103">
        <f t="shared" si="15"/>
        <v>2016.3000000000002</v>
      </c>
      <c r="L103">
        <v>2</v>
      </c>
      <c r="M103">
        <v>0.44800000000000001</v>
      </c>
      <c r="N103">
        <v>3.56</v>
      </c>
      <c r="O103">
        <v>25</v>
      </c>
      <c r="P103" s="1">
        <v>36281</v>
      </c>
      <c r="Q103">
        <f t="shared" si="12"/>
        <v>560.34400000000005</v>
      </c>
      <c r="R103">
        <f t="shared" si="13"/>
        <v>546.56331520000003</v>
      </c>
      <c r="S103">
        <f t="shared" si="14"/>
        <v>0.97540674157303364</v>
      </c>
      <c r="T103">
        <f t="shared" si="0"/>
        <v>1610.9</v>
      </c>
    </row>
    <row r="104" spans="1:20">
      <c r="A104" s="6">
        <v>6</v>
      </c>
      <c r="C104" s="6">
        <v>4.3</v>
      </c>
      <c r="D104">
        <v>4</v>
      </c>
      <c r="E104" s="1">
        <v>31017</v>
      </c>
      <c r="F104">
        <f t="shared" ref="F104:F122" si="16">C104*157.4</f>
        <v>676.82</v>
      </c>
      <c r="G104">
        <f t="shared" ref="G104:G122" si="17">B104*7.751*157.4</f>
        <v>0</v>
      </c>
      <c r="H104">
        <f t="shared" ref="H104:H122" si="18">G104/F104</f>
        <v>0</v>
      </c>
      <c r="I104">
        <f t="shared" si="15"/>
        <v>2421.6999999999998</v>
      </c>
      <c r="L104">
        <v>2.5</v>
      </c>
      <c r="M104">
        <v>0.48</v>
      </c>
      <c r="N104">
        <v>3.76</v>
      </c>
      <c r="O104">
        <v>25</v>
      </c>
      <c r="P104" s="1">
        <v>36281</v>
      </c>
      <c r="Q104">
        <f t="shared" si="12"/>
        <v>591.82399999999996</v>
      </c>
      <c r="R104">
        <f t="shared" si="13"/>
        <v>585.60355200000004</v>
      </c>
      <c r="S104">
        <f t="shared" si="14"/>
        <v>0.98948936170212776</v>
      </c>
      <c r="T104">
        <f t="shared" si="0"/>
        <v>1712.25</v>
      </c>
    </row>
    <row r="105" spans="1:20">
      <c r="A105" s="6">
        <v>0</v>
      </c>
      <c r="B105">
        <v>0.57999999999999996</v>
      </c>
      <c r="C105" s="6">
        <v>2</v>
      </c>
      <c r="D105">
        <v>4</v>
      </c>
      <c r="F105">
        <f t="shared" si="16"/>
        <v>314.8</v>
      </c>
      <c r="G105">
        <f t="shared" si="17"/>
        <v>707.60429199999999</v>
      </c>
      <c r="H105">
        <f t="shared" si="18"/>
        <v>2.2477899999999997</v>
      </c>
      <c r="I105">
        <f t="shared" si="15"/>
        <v>1205.5</v>
      </c>
      <c r="L105">
        <v>3</v>
      </c>
      <c r="M105">
        <v>0.504</v>
      </c>
      <c r="N105">
        <v>3.92</v>
      </c>
      <c r="O105">
        <v>25</v>
      </c>
      <c r="P105" s="1">
        <v>36281</v>
      </c>
      <c r="Q105">
        <f t="shared" si="12"/>
        <v>617.00800000000004</v>
      </c>
      <c r="R105">
        <f t="shared" si="13"/>
        <v>614.88372960000004</v>
      </c>
      <c r="S105">
        <f t="shared" si="14"/>
        <v>0.99655714285714281</v>
      </c>
      <c r="T105">
        <f t="shared" si="0"/>
        <v>1813.6000000000001</v>
      </c>
    </row>
    <row r="106" spans="1:20">
      <c r="A106" s="6">
        <v>0</v>
      </c>
      <c r="B106">
        <v>0.6</v>
      </c>
      <c r="C106" s="6">
        <v>2</v>
      </c>
      <c r="D106">
        <v>4</v>
      </c>
      <c r="E106" s="1">
        <v>31079</v>
      </c>
      <c r="F106">
        <f t="shared" si="16"/>
        <v>314.8</v>
      </c>
      <c r="G106">
        <f t="shared" si="17"/>
        <v>732.00444000000005</v>
      </c>
      <c r="H106">
        <f t="shared" si="18"/>
        <v>2.3252999999999999</v>
      </c>
      <c r="I106">
        <f t="shared" si="15"/>
        <v>1205.5</v>
      </c>
      <c r="L106">
        <v>3.5</v>
      </c>
      <c r="M106">
        <v>0.52800000000000002</v>
      </c>
      <c r="N106">
        <v>4.16</v>
      </c>
      <c r="O106">
        <v>25</v>
      </c>
      <c r="P106" s="1">
        <v>36281</v>
      </c>
      <c r="Q106">
        <f t="shared" si="12"/>
        <v>654.78399999999999</v>
      </c>
      <c r="R106">
        <f t="shared" si="13"/>
        <v>644.16390720000015</v>
      </c>
      <c r="S106">
        <f t="shared" si="14"/>
        <v>0.98378076923076951</v>
      </c>
      <c r="T106">
        <f t="shared" si="0"/>
        <v>1914.9499999999998</v>
      </c>
    </row>
    <row r="107" spans="1:20">
      <c r="A107" s="6">
        <v>0</v>
      </c>
      <c r="B107">
        <v>0.57999999999999996</v>
      </c>
      <c r="C107" s="6">
        <v>2</v>
      </c>
      <c r="D107">
        <v>4</v>
      </c>
      <c r="E107" s="1">
        <v>31079</v>
      </c>
      <c r="F107">
        <f t="shared" si="16"/>
        <v>314.8</v>
      </c>
      <c r="G107">
        <f t="shared" si="17"/>
        <v>707.60429199999999</v>
      </c>
      <c r="H107">
        <f t="shared" si="18"/>
        <v>2.2477899999999997</v>
      </c>
      <c r="I107">
        <f t="shared" si="15"/>
        <v>1205.5</v>
      </c>
      <c r="L107">
        <v>4.6500000000000004</v>
      </c>
      <c r="M107">
        <v>0.6</v>
      </c>
      <c r="N107">
        <v>4.72</v>
      </c>
      <c r="O107">
        <v>25</v>
      </c>
      <c r="P107" s="1">
        <v>36281</v>
      </c>
      <c r="Q107">
        <f t="shared" si="12"/>
        <v>742.928</v>
      </c>
      <c r="R107">
        <f t="shared" si="13"/>
        <v>732.00444000000005</v>
      </c>
      <c r="S107">
        <f t="shared" si="14"/>
        <v>0.98529661016949155</v>
      </c>
      <c r="T107">
        <f t="shared" si="0"/>
        <v>2148.0550000000003</v>
      </c>
    </row>
    <row r="108" spans="1:20">
      <c r="A108" s="6">
        <v>6.25</v>
      </c>
      <c r="B108">
        <v>0.82</v>
      </c>
      <c r="C108" s="6">
        <v>4.4000000000000004</v>
      </c>
      <c r="D108">
        <v>6</v>
      </c>
      <c r="E108" s="1">
        <v>31229</v>
      </c>
      <c r="F108">
        <f t="shared" si="16"/>
        <v>692.56000000000006</v>
      </c>
      <c r="G108">
        <f t="shared" si="17"/>
        <v>1000.406068</v>
      </c>
      <c r="H108">
        <f t="shared" si="18"/>
        <v>1.4445045454545453</v>
      </c>
      <c r="I108">
        <f t="shared" si="15"/>
        <v>2472.375</v>
      </c>
      <c r="L108">
        <v>0</v>
      </c>
      <c r="M108">
        <v>0.252</v>
      </c>
      <c r="N108">
        <v>1.92</v>
      </c>
      <c r="O108">
        <v>26</v>
      </c>
      <c r="P108" s="1">
        <v>36404</v>
      </c>
      <c r="Q108">
        <f t="shared" si="12"/>
        <v>302.20800000000003</v>
      </c>
      <c r="R108">
        <f t="shared" si="13"/>
        <v>307.44186480000002</v>
      </c>
      <c r="S108">
        <f t="shared" si="14"/>
        <v>1.01731875</v>
      </c>
      <c r="T108">
        <f t="shared" si="0"/>
        <v>1205.5</v>
      </c>
    </row>
    <row r="109" spans="1:20">
      <c r="A109" s="6">
        <v>0</v>
      </c>
      <c r="B109">
        <v>0.308</v>
      </c>
      <c r="C109" s="6">
        <v>2.0299999999999998</v>
      </c>
      <c r="D109">
        <v>8</v>
      </c>
      <c r="E109" s="1">
        <v>31444</v>
      </c>
      <c r="F109">
        <f t="shared" si="16"/>
        <v>319.52199999999999</v>
      </c>
      <c r="G109">
        <f t="shared" si="17"/>
        <v>375.76227920000002</v>
      </c>
      <c r="H109">
        <f t="shared" si="18"/>
        <v>1.1760137931034484</v>
      </c>
      <c r="I109">
        <f t="shared" si="15"/>
        <v>1205.5</v>
      </c>
      <c r="L109">
        <v>0</v>
      </c>
      <c r="M109">
        <v>0.32800000000000001</v>
      </c>
      <c r="N109">
        <v>2.48</v>
      </c>
      <c r="O109">
        <v>26</v>
      </c>
      <c r="P109" s="1">
        <v>36404</v>
      </c>
      <c r="Q109">
        <f t="shared" si="12"/>
        <v>390.35200000000003</v>
      </c>
      <c r="R109">
        <f t="shared" si="13"/>
        <v>400.16242720000008</v>
      </c>
      <c r="S109">
        <f t="shared" si="14"/>
        <v>1.0251322580645164</v>
      </c>
      <c r="T109">
        <f t="shared" si="0"/>
        <v>1205.5</v>
      </c>
    </row>
    <row r="110" spans="1:20">
      <c r="A110" s="6">
        <v>2</v>
      </c>
      <c r="B110">
        <v>0.39</v>
      </c>
      <c r="C110" s="6">
        <v>2.89</v>
      </c>
      <c r="D110">
        <v>8</v>
      </c>
      <c r="E110" s="1">
        <v>31444</v>
      </c>
      <c r="F110">
        <f t="shared" si="16"/>
        <v>454.88600000000002</v>
      </c>
      <c r="G110">
        <f t="shared" si="17"/>
        <v>475.80288600000006</v>
      </c>
      <c r="H110">
        <f t="shared" si="18"/>
        <v>1.0459826989619379</v>
      </c>
      <c r="I110">
        <f t="shared" si="15"/>
        <v>1610.9</v>
      </c>
      <c r="L110">
        <v>0</v>
      </c>
      <c r="M110">
        <v>0.33200000000000002</v>
      </c>
      <c r="N110">
        <v>2.52</v>
      </c>
      <c r="O110">
        <v>26</v>
      </c>
      <c r="P110" s="1">
        <v>36404</v>
      </c>
      <c r="Q110">
        <f t="shared" si="12"/>
        <v>396.64800000000002</v>
      </c>
      <c r="R110">
        <f t="shared" si="13"/>
        <v>405.04245680000002</v>
      </c>
      <c r="S110">
        <f t="shared" si="14"/>
        <v>1.021163492063492</v>
      </c>
      <c r="T110">
        <f t="shared" si="0"/>
        <v>1205.5</v>
      </c>
    </row>
    <row r="111" spans="1:20">
      <c r="A111" s="6">
        <v>4</v>
      </c>
      <c r="B111">
        <v>0.48</v>
      </c>
      <c r="C111" s="6">
        <v>3.6</v>
      </c>
      <c r="D111">
        <v>8</v>
      </c>
      <c r="E111" s="1">
        <v>31444</v>
      </c>
      <c r="F111">
        <f t="shared" si="16"/>
        <v>566.64</v>
      </c>
      <c r="G111">
        <f t="shared" si="17"/>
        <v>585.60355200000004</v>
      </c>
      <c r="H111">
        <f t="shared" si="18"/>
        <v>1.0334666666666668</v>
      </c>
      <c r="I111">
        <f t="shared" si="15"/>
        <v>2016.3000000000002</v>
      </c>
      <c r="L111">
        <v>0</v>
      </c>
      <c r="M111">
        <v>0.29199999999999998</v>
      </c>
      <c r="N111">
        <v>2.2400000000000002</v>
      </c>
      <c r="O111">
        <v>27</v>
      </c>
      <c r="P111" s="1">
        <v>37317</v>
      </c>
      <c r="Q111">
        <f t="shared" si="12"/>
        <v>352.57600000000002</v>
      </c>
      <c r="R111">
        <f t="shared" si="13"/>
        <v>356.24216079999997</v>
      </c>
      <c r="S111">
        <f t="shared" si="14"/>
        <v>1.0103982142857142</v>
      </c>
      <c r="T111">
        <f t="shared" si="0"/>
        <v>1205.5</v>
      </c>
    </row>
    <row r="112" spans="1:20">
      <c r="A112" s="6">
        <v>5</v>
      </c>
      <c r="B112">
        <v>0.53</v>
      </c>
      <c r="C112" s="6">
        <v>3.9</v>
      </c>
      <c r="D112">
        <v>8</v>
      </c>
      <c r="E112" s="1">
        <v>31444</v>
      </c>
      <c r="F112">
        <f t="shared" si="16"/>
        <v>613.86</v>
      </c>
      <c r="G112">
        <f t="shared" si="17"/>
        <v>646.60392200000013</v>
      </c>
      <c r="H112">
        <f t="shared" si="18"/>
        <v>1.0533410256410258</v>
      </c>
      <c r="I112">
        <f t="shared" si="15"/>
        <v>2219.0000000000005</v>
      </c>
      <c r="L112">
        <v>1</v>
      </c>
      <c r="M112">
        <v>0.34399999999999997</v>
      </c>
      <c r="N112">
        <v>2.64</v>
      </c>
      <c r="O112">
        <v>27</v>
      </c>
      <c r="P112" s="1">
        <v>37317</v>
      </c>
      <c r="Q112">
        <f t="shared" si="12"/>
        <v>415.53600000000006</v>
      </c>
      <c r="R112">
        <f t="shared" si="13"/>
        <v>419.68254560000003</v>
      </c>
      <c r="S112">
        <f t="shared" si="14"/>
        <v>1.0099787878787878</v>
      </c>
      <c r="T112">
        <f t="shared" si="0"/>
        <v>1408.1999999999998</v>
      </c>
    </row>
    <row r="113" spans="1:20">
      <c r="A113" s="6">
        <v>6.25</v>
      </c>
      <c r="B113">
        <v>0.59</v>
      </c>
      <c r="C113" s="6">
        <v>4.4000000000000004</v>
      </c>
      <c r="D113">
        <v>8</v>
      </c>
      <c r="E113" s="1">
        <v>31444</v>
      </c>
      <c r="F113">
        <f t="shared" si="16"/>
        <v>692.56000000000006</v>
      </c>
      <c r="G113">
        <f t="shared" si="17"/>
        <v>719.80436599999996</v>
      </c>
      <c r="H113">
        <f t="shared" si="18"/>
        <v>1.0393386363636363</v>
      </c>
      <c r="I113">
        <f t="shared" si="15"/>
        <v>2472.375</v>
      </c>
      <c r="L113">
        <v>2</v>
      </c>
      <c r="M113">
        <v>0.4</v>
      </c>
      <c r="N113">
        <v>3.04</v>
      </c>
      <c r="O113">
        <v>27</v>
      </c>
      <c r="P113" s="1">
        <v>37317</v>
      </c>
      <c r="Q113">
        <f t="shared" si="12"/>
        <v>478.49600000000004</v>
      </c>
      <c r="R113">
        <f t="shared" si="13"/>
        <v>488.00296000000009</v>
      </c>
      <c r="S113">
        <f t="shared" si="14"/>
        <v>1.0198684210526316</v>
      </c>
      <c r="T113">
        <f t="shared" si="0"/>
        <v>1610.9</v>
      </c>
    </row>
    <row r="114" spans="1:20">
      <c r="A114" s="6">
        <v>0</v>
      </c>
      <c r="B114">
        <v>0.1</v>
      </c>
      <c r="C114" s="6">
        <v>0.5</v>
      </c>
      <c r="D114">
        <v>9</v>
      </c>
      <c r="E114" s="1">
        <v>31625</v>
      </c>
      <c r="F114">
        <f t="shared" si="16"/>
        <v>78.7</v>
      </c>
      <c r="G114">
        <f t="shared" si="17"/>
        <v>122.00074000000002</v>
      </c>
      <c r="H114">
        <f t="shared" si="18"/>
        <v>1.5502000000000002</v>
      </c>
      <c r="I114">
        <f t="shared" si="15"/>
        <v>1205.5</v>
      </c>
      <c r="L114">
        <v>4</v>
      </c>
      <c r="M114">
        <v>0.504</v>
      </c>
      <c r="N114">
        <v>3.8</v>
      </c>
      <c r="O114">
        <v>27</v>
      </c>
      <c r="P114" s="1">
        <v>37317</v>
      </c>
      <c r="Q114">
        <f t="shared" si="12"/>
        <v>598.12</v>
      </c>
      <c r="R114">
        <f t="shared" si="13"/>
        <v>614.88372960000004</v>
      </c>
      <c r="S114">
        <f t="shared" si="14"/>
        <v>1.0280273684210526</v>
      </c>
      <c r="T114">
        <f t="shared" si="0"/>
        <v>2016.3000000000002</v>
      </c>
    </row>
    <row r="115" spans="1:20">
      <c r="A115" s="6">
        <v>3</v>
      </c>
      <c r="B115">
        <v>0.1</v>
      </c>
      <c r="C115" s="6">
        <v>1</v>
      </c>
      <c r="D115">
        <v>9</v>
      </c>
      <c r="E115" s="1">
        <v>31625</v>
      </c>
      <c r="F115">
        <f t="shared" si="16"/>
        <v>157.4</v>
      </c>
      <c r="G115">
        <f t="shared" si="17"/>
        <v>122.00074000000002</v>
      </c>
      <c r="H115">
        <f t="shared" si="18"/>
        <v>0.77510000000000012</v>
      </c>
      <c r="I115">
        <f t="shared" si="15"/>
        <v>1813.6000000000001</v>
      </c>
      <c r="L115">
        <v>4.5</v>
      </c>
      <c r="M115">
        <v>0.52</v>
      </c>
      <c r="N115">
        <v>4.04</v>
      </c>
      <c r="O115">
        <v>27</v>
      </c>
      <c r="P115" s="1">
        <v>37317</v>
      </c>
      <c r="Q115">
        <f t="shared" si="12"/>
        <v>635.89600000000007</v>
      </c>
      <c r="R115">
        <f t="shared" si="13"/>
        <v>634.40384800000004</v>
      </c>
      <c r="S115">
        <f t="shared" si="14"/>
        <v>0.99765346534653465</v>
      </c>
      <c r="T115">
        <f t="shared" si="0"/>
        <v>2117.65</v>
      </c>
    </row>
    <row r="116" spans="1:20">
      <c r="A116" s="6">
        <v>6.25</v>
      </c>
      <c r="B116">
        <v>0.61</v>
      </c>
      <c r="C116" s="6">
        <v>4.2</v>
      </c>
      <c r="D116">
        <v>9</v>
      </c>
      <c r="E116" s="1">
        <v>31625</v>
      </c>
      <c r="F116">
        <f t="shared" si="16"/>
        <v>661.08</v>
      </c>
      <c r="G116">
        <f t="shared" si="17"/>
        <v>744.20451400000002</v>
      </c>
      <c r="H116">
        <f t="shared" si="18"/>
        <v>1.1257404761904761</v>
      </c>
      <c r="I116">
        <f t="shared" si="15"/>
        <v>2472.375</v>
      </c>
      <c r="L116">
        <v>5.8</v>
      </c>
      <c r="M116">
        <v>0.58399999999999996</v>
      </c>
      <c r="N116">
        <v>4.5199999999999996</v>
      </c>
      <c r="O116">
        <v>27</v>
      </c>
      <c r="P116" s="1">
        <v>37317</v>
      </c>
      <c r="Q116">
        <f t="shared" si="12"/>
        <v>711.44799999999998</v>
      </c>
      <c r="R116">
        <f t="shared" si="13"/>
        <v>712.48432159999993</v>
      </c>
      <c r="S116">
        <f t="shared" si="14"/>
        <v>1.0014566371681415</v>
      </c>
      <c r="T116">
        <f t="shared" si="0"/>
        <v>2381.16</v>
      </c>
    </row>
    <row r="117" spans="1:20">
      <c r="A117" s="6">
        <v>3</v>
      </c>
      <c r="B117">
        <v>0.52</v>
      </c>
      <c r="D117">
        <v>11</v>
      </c>
      <c r="E117" s="1">
        <v>32295</v>
      </c>
      <c r="F117">
        <f t="shared" si="16"/>
        <v>0</v>
      </c>
      <c r="G117">
        <f t="shared" si="17"/>
        <v>634.40384800000004</v>
      </c>
      <c r="H117" t="e">
        <f t="shared" si="18"/>
        <v>#DIV/0!</v>
      </c>
      <c r="I117">
        <f t="shared" si="15"/>
        <v>1813.6000000000001</v>
      </c>
      <c r="L117">
        <v>0</v>
      </c>
      <c r="M117">
        <v>0.29599999999999999</v>
      </c>
      <c r="N117">
        <v>2.2000000000000002</v>
      </c>
      <c r="O117">
        <v>27</v>
      </c>
      <c r="P117" s="1">
        <v>37317</v>
      </c>
      <c r="Q117">
        <f t="shared" si="12"/>
        <v>346.28000000000003</v>
      </c>
      <c r="R117">
        <f t="shared" si="13"/>
        <v>361.12219040000002</v>
      </c>
      <c r="S117">
        <f t="shared" si="14"/>
        <v>1.0428618181818181</v>
      </c>
      <c r="T117">
        <f t="shared" si="0"/>
        <v>1205.5</v>
      </c>
    </row>
    <row r="118" spans="1:20">
      <c r="A118" s="6">
        <v>3.75</v>
      </c>
      <c r="B118" s="6">
        <v>0.61199999999999999</v>
      </c>
      <c r="C118" s="6">
        <v>5.28</v>
      </c>
      <c r="D118" s="6">
        <v>13</v>
      </c>
      <c r="E118" s="1">
        <v>33055</v>
      </c>
      <c r="F118">
        <f t="shared" si="16"/>
        <v>831.07200000000012</v>
      </c>
      <c r="G118">
        <f t="shared" si="17"/>
        <v>746.64452879999999</v>
      </c>
      <c r="H118">
        <f t="shared" si="18"/>
        <v>0.89841136363636354</v>
      </c>
      <c r="I118">
        <f t="shared" si="15"/>
        <v>1965.625</v>
      </c>
      <c r="L118">
        <v>1</v>
      </c>
      <c r="M118">
        <v>0.33600000000000002</v>
      </c>
      <c r="N118">
        <v>2.68</v>
      </c>
      <c r="O118">
        <v>27</v>
      </c>
      <c r="P118" s="1">
        <v>37317</v>
      </c>
      <c r="Q118">
        <f t="shared" si="12"/>
        <v>421.83200000000005</v>
      </c>
      <c r="R118">
        <f t="shared" si="13"/>
        <v>409.92248640000008</v>
      </c>
      <c r="S118">
        <f t="shared" si="14"/>
        <v>0.97176716417910458</v>
      </c>
      <c r="T118">
        <f t="shared" si="0"/>
        <v>1408.1999999999998</v>
      </c>
    </row>
    <row r="119" spans="1:20">
      <c r="A119" s="6">
        <v>4.5</v>
      </c>
      <c r="B119" s="6">
        <v>0.65400000000000003</v>
      </c>
      <c r="C119" s="6">
        <v>5.7</v>
      </c>
      <c r="D119" s="6">
        <v>13</v>
      </c>
      <c r="E119" s="1">
        <v>33086</v>
      </c>
      <c r="F119">
        <f t="shared" si="16"/>
        <v>897.18000000000006</v>
      </c>
      <c r="G119">
        <f t="shared" si="17"/>
        <v>797.88483960000008</v>
      </c>
      <c r="H119">
        <f t="shared" si="18"/>
        <v>0.88932526315789473</v>
      </c>
      <c r="I119">
        <f t="shared" si="15"/>
        <v>2117.65</v>
      </c>
      <c r="L119">
        <v>2</v>
      </c>
      <c r="M119">
        <v>0.40799999999999997</v>
      </c>
      <c r="N119">
        <v>3.08</v>
      </c>
      <c r="O119">
        <v>27</v>
      </c>
      <c r="P119" s="1">
        <v>37317</v>
      </c>
      <c r="Q119">
        <f t="shared" si="12"/>
        <v>484.79200000000003</v>
      </c>
      <c r="R119">
        <f t="shared" si="13"/>
        <v>497.76301920000003</v>
      </c>
      <c r="S119">
        <f t="shared" si="14"/>
        <v>1.0267558441558442</v>
      </c>
      <c r="T119">
        <f t="shared" si="0"/>
        <v>1610.9</v>
      </c>
    </row>
    <row r="120" spans="1:20">
      <c r="A120" s="6">
        <v>2</v>
      </c>
      <c r="B120" s="6">
        <v>0.5</v>
      </c>
      <c r="D120" s="6">
        <v>13</v>
      </c>
      <c r="E120" s="1">
        <v>32994</v>
      </c>
      <c r="F120">
        <f t="shared" si="16"/>
        <v>0</v>
      </c>
      <c r="G120">
        <f t="shared" si="17"/>
        <v>610.00370000000009</v>
      </c>
      <c r="H120" t="e">
        <f t="shared" si="18"/>
        <v>#DIV/0!</v>
      </c>
      <c r="I120">
        <f t="shared" si="15"/>
        <v>1610.9</v>
      </c>
      <c r="L120">
        <v>3</v>
      </c>
      <c r="M120">
        <v>0.45600000000000002</v>
      </c>
      <c r="N120">
        <v>3.44</v>
      </c>
      <c r="O120">
        <v>27</v>
      </c>
      <c r="P120" s="1">
        <v>37317</v>
      </c>
      <c r="Q120">
        <f t="shared" si="12"/>
        <v>541.45600000000002</v>
      </c>
      <c r="R120">
        <f t="shared" si="13"/>
        <v>556.32337440000015</v>
      </c>
      <c r="S120">
        <f t="shared" si="14"/>
        <v>1.0274581395348839</v>
      </c>
      <c r="T120">
        <f t="shared" si="0"/>
        <v>1813.6000000000001</v>
      </c>
    </row>
    <row r="121" spans="1:20">
      <c r="A121" s="6">
        <v>2.9</v>
      </c>
      <c r="B121" s="6">
        <v>0.55000000000000004</v>
      </c>
      <c r="C121" s="6">
        <v>4.8499999999999996</v>
      </c>
      <c r="D121" s="6">
        <v>13</v>
      </c>
      <c r="E121" s="1">
        <v>32994</v>
      </c>
      <c r="F121">
        <f t="shared" si="16"/>
        <v>763.39</v>
      </c>
      <c r="G121">
        <f t="shared" si="17"/>
        <v>671.00407000000018</v>
      </c>
      <c r="H121">
        <f t="shared" si="18"/>
        <v>0.87897938144329923</v>
      </c>
      <c r="I121">
        <f t="shared" si="15"/>
        <v>1793.3300000000002</v>
      </c>
      <c r="L121">
        <v>4</v>
      </c>
      <c r="M121">
        <v>0.504</v>
      </c>
      <c r="N121">
        <v>3.88</v>
      </c>
      <c r="O121">
        <v>27</v>
      </c>
      <c r="P121" s="1">
        <v>37317</v>
      </c>
      <c r="Q121">
        <f t="shared" si="12"/>
        <v>610.71199999999999</v>
      </c>
      <c r="R121">
        <f t="shared" si="13"/>
        <v>614.88372960000004</v>
      </c>
      <c r="S121">
        <f t="shared" si="14"/>
        <v>1.0068309278350516</v>
      </c>
      <c r="T121">
        <f t="shared" si="0"/>
        <v>2016.3000000000002</v>
      </c>
    </row>
    <row r="122" spans="1:20">
      <c r="A122" s="6">
        <v>1.95</v>
      </c>
      <c r="B122" s="6">
        <v>0.48</v>
      </c>
      <c r="C122" s="6">
        <v>4.2</v>
      </c>
      <c r="D122" s="6">
        <v>15</v>
      </c>
      <c r="E122" s="1">
        <v>32874</v>
      </c>
      <c r="F122">
        <f t="shared" si="16"/>
        <v>661.08</v>
      </c>
      <c r="G122">
        <f t="shared" si="17"/>
        <v>585.60355200000004</v>
      </c>
      <c r="H122">
        <f t="shared" si="18"/>
        <v>0.88582857142857141</v>
      </c>
      <c r="I122">
        <f t="shared" si="15"/>
        <v>1600.7650000000001</v>
      </c>
      <c r="L122">
        <v>5</v>
      </c>
      <c r="M122">
        <v>0.56000000000000005</v>
      </c>
      <c r="N122">
        <v>4.24</v>
      </c>
      <c r="O122">
        <v>27</v>
      </c>
      <c r="P122" s="1">
        <v>37317</v>
      </c>
      <c r="Q122">
        <f t="shared" si="12"/>
        <v>667.37600000000009</v>
      </c>
      <c r="R122">
        <f t="shared" si="13"/>
        <v>683.20414400000016</v>
      </c>
      <c r="S122">
        <f t="shared" si="14"/>
        <v>1.0237169811320757</v>
      </c>
      <c r="T122">
        <f t="shared" si="0"/>
        <v>2219.0000000000005</v>
      </c>
    </row>
    <row r="123" spans="1:20">
      <c r="A123" s="6">
        <v>6.1</v>
      </c>
      <c r="B123" s="6">
        <v>0.68</v>
      </c>
      <c r="C123" s="6">
        <v>5.6</v>
      </c>
      <c r="D123" s="6">
        <v>16</v>
      </c>
      <c r="E123" s="1">
        <v>33329</v>
      </c>
      <c r="F123">
        <f t="shared" ref="F123:F144" si="19">C123*157.4</f>
        <v>881.43999999999994</v>
      </c>
      <c r="G123">
        <f t="shared" ref="G123:G144" si="20">B123*7.751*157.4</f>
        <v>829.60503200000005</v>
      </c>
      <c r="H123">
        <f t="shared" ref="H123:H144" si="21">G123/F123</f>
        <v>0.94119285714285728</v>
      </c>
      <c r="I123">
        <f t="shared" si="15"/>
        <v>2441.9699999999998</v>
      </c>
      <c r="L123">
        <v>5.7</v>
      </c>
      <c r="M123">
        <v>0.59199999999999997</v>
      </c>
      <c r="N123">
        <v>4.4800000000000004</v>
      </c>
      <c r="O123">
        <v>27</v>
      </c>
      <c r="P123" s="1">
        <v>37317</v>
      </c>
      <c r="Q123">
        <f t="shared" si="12"/>
        <v>705.15200000000004</v>
      </c>
      <c r="R123">
        <f t="shared" si="13"/>
        <v>722.24438080000004</v>
      </c>
      <c r="S123">
        <f t="shared" si="14"/>
        <v>1.0242392857142857</v>
      </c>
      <c r="T123">
        <f t="shared" si="0"/>
        <v>2360.89</v>
      </c>
    </row>
    <row r="124" spans="1:20">
      <c r="A124" s="6">
        <v>2.9</v>
      </c>
      <c r="B124" s="6">
        <v>0.501</v>
      </c>
      <c r="C124" s="6">
        <v>4.0999999999999996</v>
      </c>
      <c r="D124" s="6">
        <v>16</v>
      </c>
      <c r="E124" s="1">
        <v>33178</v>
      </c>
      <c r="F124">
        <f t="shared" si="19"/>
        <v>645.33999999999992</v>
      </c>
      <c r="G124">
        <f t="shared" si="20"/>
        <v>611.22370739999997</v>
      </c>
      <c r="H124">
        <f t="shared" si="21"/>
        <v>0.94713439024390256</v>
      </c>
      <c r="I124">
        <f t="shared" si="15"/>
        <v>1793.3300000000002</v>
      </c>
      <c r="L124">
        <v>5.5</v>
      </c>
      <c r="M124">
        <v>0.58399999999999996</v>
      </c>
      <c r="N124">
        <v>4.4000000000000004</v>
      </c>
      <c r="O124">
        <v>27</v>
      </c>
      <c r="P124" s="1">
        <v>37317</v>
      </c>
      <c r="Q124">
        <f t="shared" ref="Q124:Q131" si="22">N124*157.4</f>
        <v>692.56000000000006</v>
      </c>
      <c r="R124">
        <f t="shared" ref="R124:R131" si="23">M124*7.751*157.4</f>
        <v>712.48432159999993</v>
      </c>
      <c r="S124">
        <f t="shared" ref="S124:S131" si="24">R124/Q124</f>
        <v>1.0287690909090907</v>
      </c>
      <c r="T124">
        <f t="shared" si="0"/>
        <v>2320.35</v>
      </c>
    </row>
    <row r="125" spans="1:20">
      <c r="A125" s="6">
        <v>2.9</v>
      </c>
      <c r="B125" s="6">
        <v>0.504</v>
      </c>
      <c r="C125" s="6">
        <v>4.1500000000000004</v>
      </c>
      <c r="D125" s="6">
        <v>16</v>
      </c>
      <c r="E125" s="1">
        <v>33208</v>
      </c>
      <c r="F125">
        <f t="shared" si="19"/>
        <v>653.21</v>
      </c>
      <c r="G125">
        <f t="shared" si="20"/>
        <v>614.88372960000004</v>
      </c>
      <c r="H125">
        <f t="shared" si="21"/>
        <v>0.94132626506024097</v>
      </c>
      <c r="I125">
        <f t="shared" si="15"/>
        <v>1793.3300000000002</v>
      </c>
      <c r="L125">
        <v>5.5</v>
      </c>
      <c r="M125">
        <v>0.58399999999999996</v>
      </c>
      <c r="N125">
        <v>4.4000000000000004</v>
      </c>
      <c r="O125">
        <v>27</v>
      </c>
      <c r="P125" s="1">
        <v>37317</v>
      </c>
      <c r="Q125">
        <f t="shared" si="22"/>
        <v>692.56000000000006</v>
      </c>
      <c r="R125">
        <f t="shared" si="23"/>
        <v>712.48432159999993</v>
      </c>
      <c r="S125">
        <f t="shared" si="24"/>
        <v>1.0287690909090907</v>
      </c>
      <c r="T125">
        <f t="shared" si="0"/>
        <v>2320.35</v>
      </c>
    </row>
    <row r="126" spans="1:20">
      <c r="A126" s="6">
        <v>3.6</v>
      </c>
      <c r="B126" s="6">
        <v>0.55000000000000004</v>
      </c>
      <c r="C126" s="6">
        <v>4.4800000000000004</v>
      </c>
      <c r="D126" s="6">
        <v>16</v>
      </c>
      <c r="E126" s="1">
        <v>33208</v>
      </c>
      <c r="F126">
        <f t="shared" si="19"/>
        <v>705.15200000000004</v>
      </c>
      <c r="G126">
        <f t="shared" si="20"/>
        <v>671.00407000000018</v>
      </c>
      <c r="H126">
        <f t="shared" si="21"/>
        <v>0.95157366071428595</v>
      </c>
      <c r="I126">
        <f t="shared" si="15"/>
        <v>1935.2200000000003</v>
      </c>
      <c r="L126">
        <v>5.5</v>
      </c>
      <c r="M126">
        <v>0.57599999999999996</v>
      </c>
      <c r="N126">
        <v>4.4000000000000004</v>
      </c>
      <c r="O126">
        <v>27</v>
      </c>
      <c r="P126" s="1">
        <v>37317</v>
      </c>
      <c r="Q126">
        <f t="shared" si="22"/>
        <v>692.56000000000006</v>
      </c>
      <c r="R126">
        <f t="shared" si="23"/>
        <v>702.72426240000004</v>
      </c>
      <c r="S126">
        <f t="shared" si="24"/>
        <v>1.0146763636363636</v>
      </c>
      <c r="T126">
        <f t="shared" si="0"/>
        <v>2320.35</v>
      </c>
    </row>
    <row r="127" spans="1:20">
      <c r="A127" s="6">
        <v>4.5</v>
      </c>
      <c r="B127" s="6">
        <v>0.6</v>
      </c>
      <c r="C127" s="6">
        <v>4.8499999999999996</v>
      </c>
      <c r="D127" s="6">
        <v>16</v>
      </c>
      <c r="E127" s="1">
        <v>33208</v>
      </c>
      <c r="F127">
        <f t="shared" si="19"/>
        <v>763.39</v>
      </c>
      <c r="G127">
        <f t="shared" si="20"/>
        <v>732.00444000000005</v>
      </c>
      <c r="H127">
        <f t="shared" si="21"/>
        <v>0.95888659793814446</v>
      </c>
      <c r="I127">
        <f t="shared" si="15"/>
        <v>2117.65</v>
      </c>
      <c r="L127">
        <v>6</v>
      </c>
      <c r="M127">
        <v>0.60399999999999998</v>
      </c>
      <c r="N127">
        <v>4.6399999999999997</v>
      </c>
      <c r="O127">
        <v>27</v>
      </c>
      <c r="P127" s="1">
        <v>37317</v>
      </c>
      <c r="Q127">
        <f t="shared" si="22"/>
        <v>730.33600000000001</v>
      </c>
      <c r="R127">
        <f t="shared" si="23"/>
        <v>736.88446959999999</v>
      </c>
      <c r="S127">
        <f t="shared" si="24"/>
        <v>1.0089663793103447</v>
      </c>
      <c r="T127">
        <f t="shared" si="0"/>
        <v>2421.6999999999998</v>
      </c>
    </row>
    <row r="128" spans="1:20">
      <c r="A128" s="6">
        <v>5.35</v>
      </c>
      <c r="B128" s="6">
        <v>0.65</v>
      </c>
      <c r="C128" s="6">
        <v>5.25</v>
      </c>
      <c r="D128" s="6">
        <v>16</v>
      </c>
      <c r="E128" s="1">
        <v>33208</v>
      </c>
      <c r="F128">
        <f t="shared" si="19"/>
        <v>826.35</v>
      </c>
      <c r="G128">
        <f t="shared" si="20"/>
        <v>793.00481000000013</v>
      </c>
      <c r="H128">
        <f t="shared" si="21"/>
        <v>0.95964761904761919</v>
      </c>
      <c r="I128">
        <f t="shared" si="15"/>
        <v>2289.9449999999997</v>
      </c>
      <c r="L128">
        <v>6.35</v>
      </c>
      <c r="M128">
        <v>0.62</v>
      </c>
      <c r="N128">
        <v>4.72</v>
      </c>
      <c r="O128">
        <v>27</v>
      </c>
      <c r="P128" s="1">
        <v>37317</v>
      </c>
      <c r="Q128">
        <f t="shared" si="22"/>
        <v>742.928</v>
      </c>
      <c r="R128">
        <f t="shared" si="23"/>
        <v>756.4045880000001</v>
      </c>
      <c r="S128">
        <f t="shared" si="24"/>
        <v>1.0181398305084748</v>
      </c>
      <c r="T128">
        <f t="shared" si="0"/>
        <v>2492.645</v>
      </c>
    </row>
    <row r="129" spans="1:20">
      <c r="A129" s="6">
        <v>6.1</v>
      </c>
      <c r="B129" s="6">
        <v>0.69199999999999995</v>
      </c>
      <c r="C129" s="6">
        <v>5.59</v>
      </c>
      <c r="D129" s="6">
        <v>16</v>
      </c>
      <c r="E129" s="1">
        <v>33208</v>
      </c>
      <c r="F129">
        <f t="shared" si="19"/>
        <v>879.86599999999999</v>
      </c>
      <c r="G129">
        <f t="shared" si="20"/>
        <v>844.2451208</v>
      </c>
      <c r="H129">
        <f t="shared" si="21"/>
        <v>0.95951556350626122</v>
      </c>
      <c r="I129">
        <f t="shared" si="15"/>
        <v>2441.9699999999998</v>
      </c>
      <c r="L129">
        <v>6.4</v>
      </c>
      <c r="M129">
        <v>0.628</v>
      </c>
      <c r="N129">
        <v>4.76</v>
      </c>
      <c r="O129">
        <v>27</v>
      </c>
      <c r="P129" s="1">
        <v>37317</v>
      </c>
      <c r="Q129">
        <f t="shared" si="22"/>
        <v>749.22400000000005</v>
      </c>
      <c r="R129">
        <f t="shared" si="23"/>
        <v>766.16464719999999</v>
      </c>
      <c r="S129">
        <f t="shared" si="24"/>
        <v>1.0226109243697479</v>
      </c>
      <c r="T129">
        <f t="shared" si="0"/>
        <v>2502.7800000000002</v>
      </c>
    </row>
    <row r="130" spans="1:20">
      <c r="A130" s="6">
        <v>3.5</v>
      </c>
      <c r="B130" s="6">
        <v>0.62</v>
      </c>
      <c r="C130" s="6">
        <v>5.03</v>
      </c>
      <c r="D130" s="6">
        <v>16</v>
      </c>
      <c r="E130" s="11">
        <v>37461</v>
      </c>
      <c r="F130">
        <f t="shared" si="19"/>
        <v>791.72200000000009</v>
      </c>
      <c r="G130">
        <f t="shared" si="20"/>
        <v>756.4045880000001</v>
      </c>
      <c r="H130">
        <f t="shared" si="21"/>
        <v>0.95539165009940363</v>
      </c>
      <c r="I130">
        <f t="shared" si="15"/>
        <v>1914.9499999999998</v>
      </c>
      <c r="L130" s="7">
        <v>5.5</v>
      </c>
      <c r="M130" s="8">
        <v>0.63200000000000001</v>
      </c>
      <c r="N130" s="9">
        <v>4.24</v>
      </c>
      <c r="O130">
        <v>28</v>
      </c>
      <c r="P130" s="10">
        <v>37553</v>
      </c>
      <c r="Q130">
        <f t="shared" si="22"/>
        <v>667.37600000000009</v>
      </c>
      <c r="R130">
        <f t="shared" si="23"/>
        <v>771.04467680000005</v>
      </c>
      <c r="S130">
        <f t="shared" si="24"/>
        <v>1.1553377358490564</v>
      </c>
      <c r="T130">
        <f t="shared" si="0"/>
        <v>2320.35</v>
      </c>
    </row>
    <row r="131" spans="1:20">
      <c r="A131" s="6">
        <v>2</v>
      </c>
      <c r="B131" s="6">
        <v>0.5</v>
      </c>
      <c r="C131" s="6">
        <v>4.2</v>
      </c>
      <c r="D131" s="6">
        <v>16</v>
      </c>
      <c r="E131" s="1">
        <v>32933</v>
      </c>
      <c r="F131">
        <f t="shared" si="19"/>
        <v>661.08</v>
      </c>
      <c r="G131">
        <f t="shared" si="20"/>
        <v>610.00370000000009</v>
      </c>
      <c r="H131">
        <f t="shared" si="21"/>
        <v>0.92273809523809536</v>
      </c>
      <c r="I131">
        <f t="shared" ref="I131:I144" si="25">(0.2027*A131+1.2055)*1000</f>
        <v>1610.9</v>
      </c>
      <c r="L131" s="7">
        <v>1</v>
      </c>
      <c r="M131" s="8">
        <v>0.432</v>
      </c>
      <c r="N131" s="9">
        <v>2.88</v>
      </c>
      <c r="O131">
        <v>28</v>
      </c>
      <c r="P131" s="10">
        <v>37553</v>
      </c>
      <c r="Q131">
        <f t="shared" si="22"/>
        <v>453.31200000000001</v>
      </c>
      <c r="R131">
        <f t="shared" si="23"/>
        <v>527.04319680000003</v>
      </c>
      <c r="S131">
        <f t="shared" si="24"/>
        <v>1.16265</v>
      </c>
      <c r="T131">
        <f t="shared" ref="T131:T144" si="26">(0.2027*L131+1.2055)*1000</f>
        <v>1408.1999999999998</v>
      </c>
    </row>
    <row r="132" spans="1:20">
      <c r="A132" s="6">
        <v>2.75</v>
      </c>
      <c r="B132" s="6">
        <v>0.48</v>
      </c>
      <c r="C132" s="6">
        <v>4.0199999999999996</v>
      </c>
      <c r="D132" s="6">
        <v>17</v>
      </c>
      <c r="E132" s="1">
        <v>33878</v>
      </c>
      <c r="F132">
        <f>C132*157.4</f>
        <v>632.74799999999993</v>
      </c>
      <c r="G132">
        <f>B132*7.751*157.4</f>
        <v>585.60355200000004</v>
      </c>
      <c r="H132">
        <f>G132/F132</f>
        <v>0.92549253731343295</v>
      </c>
      <c r="I132">
        <f t="shared" si="25"/>
        <v>1762.9250000000002</v>
      </c>
      <c r="L132" s="7">
        <v>2</v>
      </c>
      <c r="M132" s="8">
        <v>0.48799999999999999</v>
      </c>
      <c r="N132" s="9">
        <v>3.2</v>
      </c>
      <c r="O132">
        <v>28</v>
      </c>
      <c r="P132" s="10">
        <v>37553</v>
      </c>
      <c r="Q132">
        <f t="shared" si="12"/>
        <v>503.68000000000006</v>
      </c>
      <c r="R132">
        <f t="shared" si="13"/>
        <v>595.36361120000004</v>
      </c>
      <c r="S132">
        <f t="shared" si="14"/>
        <v>1.1820275</v>
      </c>
      <c r="T132">
        <f t="shared" si="26"/>
        <v>1610.9</v>
      </c>
    </row>
    <row r="133" spans="1:20">
      <c r="A133">
        <v>3.75</v>
      </c>
      <c r="B133" s="6">
        <v>0.54400000000000004</v>
      </c>
      <c r="C133" s="6">
        <v>4.42</v>
      </c>
      <c r="D133" s="6">
        <v>17</v>
      </c>
      <c r="E133" s="1">
        <v>33878</v>
      </c>
      <c r="F133">
        <f t="shared" si="19"/>
        <v>695.70799999999997</v>
      </c>
      <c r="G133">
        <f t="shared" si="20"/>
        <v>663.68402560000015</v>
      </c>
      <c r="H133">
        <f t="shared" si="21"/>
        <v>0.95396923076923101</v>
      </c>
      <c r="I133">
        <f t="shared" si="25"/>
        <v>1965.625</v>
      </c>
      <c r="L133" s="7">
        <v>3</v>
      </c>
      <c r="M133" s="8">
        <v>0.54400000000000004</v>
      </c>
      <c r="N133" s="9">
        <v>3.6</v>
      </c>
      <c r="O133">
        <v>28</v>
      </c>
      <c r="P133" s="10">
        <v>37553</v>
      </c>
      <c r="Q133">
        <f t="shared" ref="Q133:Q144" si="27">N133*157.4</f>
        <v>566.64</v>
      </c>
      <c r="R133">
        <f t="shared" ref="R133:R144" si="28">M133*7.751*157.4</f>
        <v>663.68402560000015</v>
      </c>
      <c r="S133">
        <f t="shared" ref="S133:S144" si="29">R133/Q133</f>
        <v>1.1712622222222224</v>
      </c>
      <c r="T133">
        <f t="shared" si="26"/>
        <v>1813.6000000000001</v>
      </c>
    </row>
    <row r="134" spans="1:20">
      <c r="A134" s="6">
        <v>4.5</v>
      </c>
      <c r="B134" s="6">
        <v>0.57799999999999996</v>
      </c>
      <c r="C134" s="6">
        <v>4.75</v>
      </c>
      <c r="D134" s="6">
        <v>17</v>
      </c>
      <c r="E134" s="1">
        <v>33878</v>
      </c>
      <c r="F134">
        <f t="shared" si="19"/>
        <v>747.65</v>
      </c>
      <c r="G134">
        <f t="shared" si="20"/>
        <v>705.16427720000002</v>
      </c>
      <c r="H134">
        <f t="shared" si="21"/>
        <v>0.94317431578947375</v>
      </c>
      <c r="I134">
        <f t="shared" si="25"/>
        <v>2117.65</v>
      </c>
      <c r="L134" s="7">
        <v>4</v>
      </c>
      <c r="M134" s="8">
        <v>0.6</v>
      </c>
      <c r="N134" s="9">
        <v>4</v>
      </c>
      <c r="O134">
        <v>28</v>
      </c>
      <c r="P134" s="10">
        <v>37553</v>
      </c>
      <c r="Q134">
        <f t="shared" si="27"/>
        <v>629.6</v>
      </c>
      <c r="R134">
        <f t="shared" si="28"/>
        <v>732.00444000000005</v>
      </c>
      <c r="S134">
        <f t="shared" si="29"/>
        <v>1.16265</v>
      </c>
      <c r="T134">
        <f t="shared" si="26"/>
        <v>2016.3000000000002</v>
      </c>
    </row>
    <row r="135" spans="1:20">
      <c r="A135" s="6">
        <v>2.75</v>
      </c>
      <c r="B135" s="6">
        <v>0.48899999999999999</v>
      </c>
      <c r="C135" s="6">
        <v>4.0650000000000004</v>
      </c>
      <c r="D135" s="6">
        <v>17</v>
      </c>
      <c r="E135" s="1">
        <v>33298</v>
      </c>
      <c r="F135">
        <f t="shared" si="19"/>
        <v>639.83100000000013</v>
      </c>
      <c r="G135">
        <f t="shared" si="20"/>
        <v>596.58361860000002</v>
      </c>
      <c r="H135">
        <f t="shared" si="21"/>
        <v>0.93240811808118063</v>
      </c>
      <c r="I135">
        <f t="shared" si="25"/>
        <v>1762.9250000000002</v>
      </c>
      <c r="L135" s="7">
        <v>5</v>
      </c>
      <c r="M135" s="8">
        <v>0.66400000000000003</v>
      </c>
      <c r="N135" s="9">
        <v>4.4000000000000004</v>
      </c>
      <c r="O135">
        <v>28</v>
      </c>
      <c r="P135" s="10">
        <v>37553</v>
      </c>
      <c r="Q135">
        <f t="shared" si="27"/>
        <v>692.56000000000006</v>
      </c>
      <c r="R135">
        <f t="shared" si="28"/>
        <v>810.08491360000005</v>
      </c>
      <c r="S135">
        <f t="shared" si="29"/>
        <v>1.1696963636363635</v>
      </c>
      <c r="T135">
        <f t="shared" si="26"/>
        <v>2219.0000000000005</v>
      </c>
    </row>
    <row r="136" spans="1:20">
      <c r="A136" s="6">
        <v>5.5</v>
      </c>
      <c r="B136" s="6">
        <v>0.63500000000000001</v>
      </c>
      <c r="C136" s="6">
        <v>5.34</v>
      </c>
      <c r="D136" s="6">
        <v>17</v>
      </c>
      <c r="E136" s="1">
        <v>33298</v>
      </c>
      <c r="F136">
        <f t="shared" si="19"/>
        <v>840.51599999999996</v>
      </c>
      <c r="G136">
        <f t="shared" si="20"/>
        <v>774.70469900000012</v>
      </c>
      <c r="H136">
        <f t="shared" si="21"/>
        <v>0.92170131086142337</v>
      </c>
      <c r="I136">
        <f t="shared" si="25"/>
        <v>2320.35</v>
      </c>
      <c r="L136" s="7">
        <v>5.45</v>
      </c>
      <c r="M136" s="8">
        <v>0.63200000000000001</v>
      </c>
      <c r="N136" s="9">
        <v>4.24</v>
      </c>
      <c r="O136">
        <v>28</v>
      </c>
      <c r="P136" s="10">
        <v>37553</v>
      </c>
      <c r="Q136">
        <f t="shared" si="27"/>
        <v>667.37600000000009</v>
      </c>
      <c r="R136">
        <f t="shared" si="28"/>
        <v>771.04467680000005</v>
      </c>
      <c r="S136">
        <f t="shared" si="29"/>
        <v>1.1553377358490564</v>
      </c>
      <c r="T136">
        <f t="shared" si="26"/>
        <v>2310.2149999999997</v>
      </c>
    </row>
    <row r="137" spans="1:20">
      <c r="A137" s="6">
        <v>6.3</v>
      </c>
      <c r="B137" s="6">
        <v>0.67900000000000005</v>
      </c>
      <c r="C137" s="6">
        <v>5.72</v>
      </c>
      <c r="D137" s="6">
        <v>17</v>
      </c>
      <c r="E137" s="1">
        <v>33298</v>
      </c>
      <c r="F137">
        <f t="shared" si="19"/>
        <v>900.32799999999997</v>
      </c>
      <c r="G137">
        <f t="shared" si="20"/>
        <v>828.38502460000018</v>
      </c>
      <c r="H137">
        <f t="shared" si="21"/>
        <v>0.92009248251748277</v>
      </c>
      <c r="I137">
        <f t="shared" si="25"/>
        <v>2482.5100000000002</v>
      </c>
      <c r="L137" s="7">
        <v>5.3</v>
      </c>
      <c r="M137" s="8">
        <v>0.62</v>
      </c>
      <c r="N137" s="9">
        <v>4.16</v>
      </c>
      <c r="O137">
        <v>28</v>
      </c>
      <c r="P137" s="10">
        <v>37553</v>
      </c>
      <c r="Q137">
        <f t="shared" si="27"/>
        <v>654.78399999999999</v>
      </c>
      <c r="R137">
        <f t="shared" si="28"/>
        <v>756.4045880000001</v>
      </c>
      <c r="S137">
        <f t="shared" si="29"/>
        <v>1.1551971153846154</v>
      </c>
      <c r="T137">
        <f t="shared" si="26"/>
        <v>2279.81</v>
      </c>
    </row>
    <row r="138" spans="1:20">
      <c r="A138" s="6">
        <v>1.9</v>
      </c>
      <c r="B138" s="6">
        <v>0.52</v>
      </c>
      <c r="C138" s="6">
        <v>4.2</v>
      </c>
      <c r="D138" s="6">
        <v>17</v>
      </c>
      <c r="E138" s="1">
        <v>33055</v>
      </c>
      <c r="F138">
        <f t="shared" si="19"/>
        <v>661.08</v>
      </c>
      <c r="G138">
        <f t="shared" si="20"/>
        <v>634.40384800000004</v>
      </c>
      <c r="H138">
        <f t="shared" si="21"/>
        <v>0.95964761904761908</v>
      </c>
      <c r="I138">
        <f t="shared" si="25"/>
        <v>1590.6299999999999</v>
      </c>
      <c r="L138" s="6">
        <v>0</v>
      </c>
      <c r="M138" s="6">
        <v>0.32800000000000001</v>
      </c>
      <c r="N138" s="6">
        <v>2.08</v>
      </c>
      <c r="O138">
        <v>28</v>
      </c>
      <c r="P138" s="10">
        <v>37554</v>
      </c>
      <c r="Q138">
        <f t="shared" si="27"/>
        <v>327.392</v>
      </c>
      <c r="R138">
        <f t="shared" si="28"/>
        <v>400.16242720000008</v>
      </c>
      <c r="S138">
        <f t="shared" si="29"/>
        <v>1.2222730769230772</v>
      </c>
      <c r="T138">
        <f t="shared" si="26"/>
        <v>1205.5</v>
      </c>
    </row>
    <row r="139" spans="1:20">
      <c r="A139" s="6">
        <v>2.75</v>
      </c>
      <c r="B139" s="6">
        <v>0.56399999999999995</v>
      </c>
      <c r="C139" s="6">
        <v>4.57</v>
      </c>
      <c r="D139" s="6">
        <v>17</v>
      </c>
      <c r="E139" s="1">
        <v>33055</v>
      </c>
      <c r="F139">
        <f t="shared" si="19"/>
        <v>719.3180000000001</v>
      </c>
      <c r="G139">
        <f t="shared" si="20"/>
        <v>688.08417359999987</v>
      </c>
      <c r="H139">
        <f t="shared" si="21"/>
        <v>0.95657855579868678</v>
      </c>
      <c r="I139">
        <f t="shared" si="25"/>
        <v>1762.9250000000002</v>
      </c>
      <c r="L139" s="6">
        <v>1</v>
      </c>
      <c r="M139" s="6">
        <v>0.39200000000000002</v>
      </c>
      <c r="N139" s="6">
        <v>2.64</v>
      </c>
      <c r="O139">
        <v>28</v>
      </c>
      <c r="P139" s="10">
        <v>37554</v>
      </c>
      <c r="Q139">
        <f t="shared" si="27"/>
        <v>415.53600000000006</v>
      </c>
      <c r="R139">
        <f t="shared" si="28"/>
        <v>478.24290080000009</v>
      </c>
      <c r="S139">
        <f t="shared" si="29"/>
        <v>1.1509060606060606</v>
      </c>
      <c r="T139">
        <f t="shared" si="26"/>
        <v>1408.1999999999998</v>
      </c>
    </row>
    <row r="140" spans="1:20">
      <c r="A140" s="6">
        <v>3.5</v>
      </c>
      <c r="B140" s="6">
        <v>0.61</v>
      </c>
      <c r="C140" s="6">
        <v>5.04</v>
      </c>
      <c r="D140" s="6">
        <v>17</v>
      </c>
      <c r="E140" s="1">
        <v>33055</v>
      </c>
      <c r="F140">
        <f t="shared" si="19"/>
        <v>793.29600000000005</v>
      </c>
      <c r="G140">
        <f t="shared" si="20"/>
        <v>744.20451400000002</v>
      </c>
      <c r="H140">
        <f t="shared" si="21"/>
        <v>0.93811706349206347</v>
      </c>
      <c r="I140">
        <f t="shared" si="25"/>
        <v>1914.9499999999998</v>
      </c>
      <c r="L140" s="6">
        <v>2</v>
      </c>
      <c r="M140" s="6">
        <v>0.45200000000000001</v>
      </c>
      <c r="N140" s="6">
        <v>3.04</v>
      </c>
      <c r="O140">
        <v>28</v>
      </c>
      <c r="P140" s="10">
        <v>37554</v>
      </c>
      <c r="Q140">
        <f t="shared" si="27"/>
        <v>478.49600000000004</v>
      </c>
      <c r="R140">
        <f t="shared" si="28"/>
        <v>551.44334480000009</v>
      </c>
      <c r="S140">
        <f t="shared" si="29"/>
        <v>1.1524513157894738</v>
      </c>
      <c r="T140">
        <f t="shared" si="26"/>
        <v>1610.9</v>
      </c>
    </row>
    <row r="141" spans="1:20">
      <c r="A141" s="6">
        <v>3.75</v>
      </c>
      <c r="B141" s="6">
        <v>0.5</v>
      </c>
      <c r="C141" s="6">
        <v>4.5999999999999996</v>
      </c>
      <c r="D141">
        <v>18</v>
      </c>
      <c r="E141" s="1">
        <v>33635</v>
      </c>
      <c r="F141">
        <f t="shared" si="19"/>
        <v>724.04</v>
      </c>
      <c r="G141">
        <f t="shared" si="20"/>
        <v>610.00370000000009</v>
      </c>
      <c r="H141">
        <f t="shared" si="21"/>
        <v>0.84250000000000014</v>
      </c>
      <c r="I141">
        <f t="shared" si="25"/>
        <v>1965.625</v>
      </c>
      <c r="L141" s="6">
        <v>3</v>
      </c>
      <c r="M141" s="6">
        <v>0.51200000000000001</v>
      </c>
      <c r="N141" s="6">
        <v>3.36</v>
      </c>
      <c r="O141">
        <v>28</v>
      </c>
      <c r="P141" s="10">
        <v>37554</v>
      </c>
      <c r="Q141">
        <f t="shared" si="27"/>
        <v>528.86400000000003</v>
      </c>
      <c r="R141">
        <f t="shared" si="28"/>
        <v>624.64378880000004</v>
      </c>
      <c r="S141">
        <f t="shared" si="29"/>
        <v>1.1811047619047619</v>
      </c>
      <c r="T141">
        <f t="shared" si="26"/>
        <v>1813.6000000000001</v>
      </c>
    </row>
    <row r="142" spans="1:20">
      <c r="A142" s="6">
        <v>4.5999999999999996</v>
      </c>
      <c r="D142">
        <v>18</v>
      </c>
      <c r="E142" s="1">
        <v>33635</v>
      </c>
      <c r="F142">
        <f t="shared" si="19"/>
        <v>0</v>
      </c>
      <c r="G142">
        <f t="shared" si="20"/>
        <v>0</v>
      </c>
      <c r="H142" t="e">
        <f t="shared" si="21"/>
        <v>#DIV/0!</v>
      </c>
      <c r="I142">
        <f t="shared" si="25"/>
        <v>2137.9199999999996</v>
      </c>
      <c r="L142" s="6">
        <v>4</v>
      </c>
      <c r="M142" s="6">
        <v>0.56399999999999995</v>
      </c>
      <c r="N142" s="6">
        <v>3.8</v>
      </c>
      <c r="O142">
        <v>28</v>
      </c>
      <c r="P142" s="10">
        <v>37554</v>
      </c>
      <c r="Q142">
        <f t="shared" si="27"/>
        <v>598.12</v>
      </c>
      <c r="R142">
        <f t="shared" si="28"/>
        <v>688.08417359999987</v>
      </c>
      <c r="S142">
        <f t="shared" si="29"/>
        <v>1.1504115789473681</v>
      </c>
      <c r="T142">
        <f t="shared" si="26"/>
        <v>2016.3000000000002</v>
      </c>
    </row>
    <row r="143" spans="1:20">
      <c r="A143" s="6">
        <v>6.25</v>
      </c>
      <c r="B143" s="6">
        <v>0.64</v>
      </c>
      <c r="C143" s="6">
        <v>5.7</v>
      </c>
      <c r="D143">
        <v>18</v>
      </c>
      <c r="E143" s="1">
        <v>33635</v>
      </c>
      <c r="F143">
        <f t="shared" si="19"/>
        <v>897.18000000000006</v>
      </c>
      <c r="G143">
        <f t="shared" si="20"/>
        <v>780.80473600000016</v>
      </c>
      <c r="H143">
        <f t="shared" si="21"/>
        <v>0.87028771929824578</v>
      </c>
      <c r="I143">
        <f t="shared" si="25"/>
        <v>2472.375</v>
      </c>
      <c r="L143" s="6">
        <v>5</v>
      </c>
      <c r="M143" s="6">
        <v>0.62</v>
      </c>
      <c r="N143" s="6">
        <v>4.12</v>
      </c>
      <c r="O143">
        <v>28</v>
      </c>
      <c r="P143" s="10">
        <v>37554</v>
      </c>
      <c r="Q143">
        <f t="shared" si="27"/>
        <v>648.48800000000006</v>
      </c>
      <c r="R143">
        <f t="shared" si="28"/>
        <v>756.4045880000001</v>
      </c>
      <c r="S143">
        <f t="shared" si="29"/>
        <v>1.1664126213592234</v>
      </c>
      <c r="T143">
        <f t="shared" si="26"/>
        <v>2219.0000000000005</v>
      </c>
    </row>
    <row r="144" spans="1:20">
      <c r="A144" s="6">
        <v>4.6500000000000004</v>
      </c>
      <c r="B144" s="6">
        <v>0.55000000000000004</v>
      </c>
      <c r="C144" s="6">
        <v>5</v>
      </c>
      <c r="D144">
        <v>18</v>
      </c>
      <c r="E144" s="1">
        <v>33635</v>
      </c>
      <c r="F144">
        <f t="shared" si="19"/>
        <v>787</v>
      </c>
      <c r="G144">
        <f t="shared" si="20"/>
        <v>671.00407000000018</v>
      </c>
      <c r="H144">
        <f t="shared" si="21"/>
        <v>0.8526100000000002</v>
      </c>
      <c r="I144">
        <f t="shared" si="25"/>
        <v>2148.0550000000003</v>
      </c>
      <c r="L144" s="6">
        <v>5.28</v>
      </c>
      <c r="M144" s="6">
        <v>0.628</v>
      </c>
      <c r="N144" s="6">
        <v>4.24</v>
      </c>
      <c r="O144">
        <v>28</v>
      </c>
      <c r="P144" s="10">
        <v>37554</v>
      </c>
      <c r="Q144">
        <f t="shared" si="27"/>
        <v>667.37600000000009</v>
      </c>
      <c r="R144">
        <f t="shared" si="28"/>
        <v>766.16464719999999</v>
      </c>
      <c r="S144">
        <f t="shared" si="29"/>
        <v>1.1480254716981131</v>
      </c>
      <c r="T144">
        <f t="shared" si="26"/>
        <v>2275.7560000000003</v>
      </c>
    </row>
    <row r="145" spans="9:20">
      <c r="I145">
        <f>MIN(I2:I144)</f>
        <v>1205.5</v>
      </c>
      <c r="T145">
        <f>MIN(T2:T144)</f>
        <v>1205.5</v>
      </c>
    </row>
    <row r="146" spans="9:20">
      <c r="I146">
        <f>MAX(I2:I144)</f>
        <v>2553.4549999999999</v>
      </c>
      <c r="T146">
        <f>MAX(T2:T144)</f>
        <v>2553.4549999999999</v>
      </c>
    </row>
  </sheetData>
  <phoneticPr fontId="0" type="noConversion"/>
  <pageMargins left="0.75" right="0.75" top="1" bottom="1" header="0.5" footer="0.5"/>
  <pageSetup scale="76" orientation="portrait" horizontalDpi="355" verticalDpi="35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tabSelected="1" topLeftCell="A95" workbookViewId="0">
      <selection activeCell="O125" sqref="O125"/>
    </sheetView>
  </sheetViews>
  <sheetFormatPr defaultColWidth="9.1796875" defaultRowHeight="12.5"/>
  <cols>
    <col min="1" max="16384" width="9.1796875" style="6"/>
  </cols>
  <sheetData>
    <row r="2" spans="1:6" ht="37.5">
      <c r="A2" s="5" t="s">
        <v>13</v>
      </c>
      <c r="B2" s="5" t="s">
        <v>8</v>
      </c>
      <c r="C2" s="5" t="s">
        <v>10</v>
      </c>
      <c r="D2" s="5" t="s">
        <v>9</v>
      </c>
      <c r="E2" s="5" t="s">
        <v>12</v>
      </c>
      <c r="F2" s="5" t="s">
        <v>11</v>
      </c>
    </row>
    <row r="3" spans="1:6">
      <c r="B3" s="7">
        <v>5.5</v>
      </c>
      <c r="C3" s="7">
        <v>2.31</v>
      </c>
      <c r="D3" s="7">
        <v>2</v>
      </c>
      <c r="E3" s="8">
        <v>0.63200000000000001</v>
      </c>
      <c r="F3" s="9">
        <v>4.24</v>
      </c>
    </row>
    <row r="4" spans="1:6">
      <c r="B4" s="7">
        <v>1</v>
      </c>
      <c r="C4" s="7">
        <v>1.59</v>
      </c>
      <c r="D4" s="7">
        <v>1.32</v>
      </c>
      <c r="E4" s="8">
        <v>0.432</v>
      </c>
      <c r="F4" s="9">
        <v>2.88</v>
      </c>
    </row>
    <row r="5" spans="1:6">
      <c r="B5" s="7">
        <v>2</v>
      </c>
      <c r="C5" s="7">
        <v>1.76</v>
      </c>
      <c r="D5" s="7">
        <v>1.47</v>
      </c>
      <c r="E5" s="8">
        <v>0.48799999999999999</v>
      </c>
      <c r="F5" s="9">
        <v>3.2</v>
      </c>
    </row>
    <row r="6" spans="1:6">
      <c r="B6" s="7">
        <v>3</v>
      </c>
      <c r="C6" s="7">
        <v>1.96</v>
      </c>
      <c r="D6" s="7">
        <v>1.64</v>
      </c>
      <c r="E6" s="8">
        <v>0.54400000000000004</v>
      </c>
      <c r="F6" s="9">
        <v>3.6</v>
      </c>
    </row>
    <row r="7" spans="1:6">
      <c r="B7" s="7">
        <v>4</v>
      </c>
      <c r="C7" s="7">
        <v>2.17</v>
      </c>
      <c r="D7" s="7">
        <v>1.81</v>
      </c>
      <c r="E7" s="8">
        <v>0.6</v>
      </c>
      <c r="F7" s="9">
        <v>4</v>
      </c>
    </row>
    <row r="8" spans="1:6">
      <c r="B8" s="7">
        <v>5</v>
      </c>
      <c r="C8" s="7">
        <v>2.37</v>
      </c>
      <c r="D8" s="7">
        <v>2.02</v>
      </c>
      <c r="E8" s="8">
        <v>0.66400000000000003</v>
      </c>
      <c r="F8" s="9">
        <v>4.4000000000000004</v>
      </c>
    </row>
    <row r="9" spans="1:6">
      <c r="B9" s="7">
        <v>5.45</v>
      </c>
      <c r="C9" s="7">
        <v>2.2599999999999998</v>
      </c>
      <c r="D9" s="7">
        <v>1.95</v>
      </c>
      <c r="E9" s="8">
        <v>0.63200000000000001</v>
      </c>
      <c r="F9" s="9">
        <v>4.24</v>
      </c>
    </row>
    <row r="10" spans="1:6">
      <c r="B10" s="7">
        <v>5.3</v>
      </c>
      <c r="C10" s="7">
        <v>2.25</v>
      </c>
      <c r="D10" s="7">
        <v>1.92</v>
      </c>
      <c r="E10" s="8">
        <v>0.62</v>
      </c>
      <c r="F10" s="9">
        <v>4.16</v>
      </c>
    </row>
    <row r="12" spans="1:6" ht="37.5">
      <c r="A12" s="5" t="s">
        <v>14</v>
      </c>
      <c r="B12" s="5" t="s">
        <v>8</v>
      </c>
      <c r="C12" s="5" t="s">
        <v>10</v>
      </c>
      <c r="D12" s="5" t="s">
        <v>9</v>
      </c>
      <c r="E12" s="5" t="s">
        <v>12</v>
      </c>
      <c r="F12" s="5" t="s">
        <v>11</v>
      </c>
    </row>
    <row r="13" spans="1:6">
      <c r="B13" s="6">
        <v>0</v>
      </c>
      <c r="C13" s="6">
        <v>1.18</v>
      </c>
      <c r="D13" s="6">
        <v>1.05</v>
      </c>
      <c r="E13" s="6">
        <v>0.32800000000000001</v>
      </c>
      <c r="F13" s="6">
        <v>2.08</v>
      </c>
    </row>
    <row r="14" spans="1:6">
      <c r="B14" s="6">
        <v>1</v>
      </c>
      <c r="C14" s="6">
        <v>1.4</v>
      </c>
      <c r="D14" s="6">
        <v>1.17</v>
      </c>
      <c r="E14" s="6">
        <v>0.39200000000000002</v>
      </c>
      <c r="F14" s="6">
        <v>2.64</v>
      </c>
    </row>
    <row r="15" spans="1:6">
      <c r="B15" s="6">
        <v>2</v>
      </c>
      <c r="C15" s="6">
        <v>1.64</v>
      </c>
      <c r="D15" s="6">
        <v>1.32</v>
      </c>
      <c r="E15" s="6">
        <v>0.45200000000000001</v>
      </c>
      <c r="F15" s="6">
        <v>3.04</v>
      </c>
    </row>
    <row r="16" spans="1:6">
      <c r="B16" s="6">
        <v>3</v>
      </c>
      <c r="C16" s="6">
        <v>1.84</v>
      </c>
      <c r="D16" s="6">
        <v>1.5</v>
      </c>
      <c r="E16" s="6">
        <v>0.51200000000000001</v>
      </c>
      <c r="F16" s="6">
        <v>3.36</v>
      </c>
    </row>
    <row r="17" spans="2:6">
      <c r="B17" s="6">
        <v>4</v>
      </c>
      <c r="C17" s="6">
        <v>2.0299999999999998</v>
      </c>
      <c r="D17" s="6">
        <v>1.7</v>
      </c>
      <c r="E17" s="6">
        <v>0.56399999999999995</v>
      </c>
      <c r="F17" s="6">
        <v>3.8</v>
      </c>
    </row>
    <row r="18" spans="2:6">
      <c r="B18" s="6">
        <v>5</v>
      </c>
      <c r="C18" s="6">
        <v>2.21</v>
      </c>
      <c r="D18" s="6">
        <v>1.85</v>
      </c>
      <c r="E18" s="6">
        <v>0.62</v>
      </c>
      <c r="F18" s="6">
        <v>4.12</v>
      </c>
    </row>
    <row r="19" spans="2:6">
      <c r="B19" s="6">
        <v>5.28</v>
      </c>
      <c r="C19" s="6">
        <v>2.25</v>
      </c>
      <c r="D19" s="6">
        <v>1.92</v>
      </c>
      <c r="E19" s="6">
        <v>0.628</v>
      </c>
      <c r="F19" s="6">
        <v>4.24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webPublishItems count="1">
    <webPublishItem id="20274" divId="Test Station Power Supply Study_20274" sourceType="range" sourceRef="B2:F10" destinationFile="Z:\life at pbar\Lens Pulse Images\Test Station Power Data.htm"/>
  </webPublishItem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3" workbookViewId="0"/>
  </sheetViews>
  <sheetFormatPr defaultRowHeight="12.5"/>
  <sheetData/>
  <phoneticPr fontId="0" type="noConversion"/>
  <pageMargins left="0.75" right="0.75" top="1" bottom="1" header="0.5" footer="0.5"/>
  <pageSetup scale="85" orientation="landscape" verticalDpi="355" r:id="rId1"/>
  <headerFooter alignWithMargins="0">
    <oddFooter>&amp;L&amp;9T. Leveling
7/1/02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>
      <selection activeCell="J34" sqref="J34"/>
    </sheetView>
  </sheetViews>
  <sheetFormatPr defaultRowHeight="12.5"/>
  <sheetData/>
  <phoneticPr fontId="0" type="noConversion"/>
  <pageMargins left="0.75" right="0.75" top="1" bottom="1" header="0.5" footer="0.5"/>
  <pageSetup scale="85" orientation="landscape" horizontalDpi="355" verticalDpi="355" r:id="rId1"/>
  <headerFooter alignWithMargins="0">
    <oddFooter>&amp;L&amp;9T. Leveling
7/1/02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P27" sqref="P27"/>
    </sheetView>
  </sheetViews>
  <sheetFormatPr defaultRowHeight="12.5"/>
  <sheetData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Pulse width data</vt:lpstr>
      <vt:lpstr>Dummy Load</vt:lpstr>
      <vt:lpstr>Spice analysis</vt:lpstr>
      <vt:lpstr>Data</vt:lpstr>
      <vt:lpstr>HV measurements 10-02</vt:lpstr>
      <vt:lpstr>Bdot vs Rogowski all</vt:lpstr>
      <vt:lpstr>Bdot vs Pot by lens</vt:lpstr>
      <vt:lpstr>Rogowski vs Pot by lens</vt:lpstr>
      <vt:lpstr>Dummy load chart</vt:lpstr>
      <vt:lpstr>Grad vs Rogowski</vt:lpstr>
      <vt:lpstr>Grad vs Bdot</vt:lpstr>
      <vt:lpstr>Data!Print_Area</vt:lpstr>
    </vt:vector>
  </TitlesOfParts>
  <Company>Fermilab Beams Division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 Leveling</dc:creator>
  <cp:lastModifiedBy>Carina Negreanu</cp:lastModifiedBy>
  <cp:lastPrinted>2003-01-27T16:28:52Z</cp:lastPrinted>
  <dcterms:created xsi:type="dcterms:W3CDTF">2002-06-28T21:01:46Z</dcterms:created>
  <dcterms:modified xsi:type="dcterms:W3CDTF">2020-01-27T12:46:32Z</dcterms:modified>
</cp:coreProperties>
</file>