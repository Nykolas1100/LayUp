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AA11BCD-BBFA-4FB1-B83C-5D799F35EA08}" xr6:coauthVersionLast="45" xr6:coauthVersionMax="45" xr10:uidLastSave="{00000000-0000-0000-0000-000000000000}"/>
  <bookViews>
    <workbookView xWindow="380" yWindow="380" windowWidth="28800" windowHeight="15460" activeTab="1"/>
  </bookViews>
  <sheets>
    <sheet name="Attendance" sheetId="1" r:id="rId1"/>
    <sheet name="Phone List" sheetId="2" r:id="rId2"/>
    <sheet name="Grades" sheetId="3" r:id="rId3"/>
  </sheets>
  <definedNames>
    <definedName name="_xlnm.Print_Area" localSheetId="1">'Phone List'!$A$1:$D$37</definedName>
    <definedName name="_xlnm.Print_Titles" localSheetId="0">Attendance!$A:$B</definedName>
    <definedName name="_xlnm.Print_Titles" localSheetId="2">Grades!$A:$B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5" i="2" l="1"/>
  <c r="A35" i="2"/>
  <c r="B34" i="2"/>
  <c r="A34" i="2"/>
  <c r="B33" i="2"/>
  <c r="A33" i="2"/>
  <c r="B32" i="2"/>
  <c r="A32" i="2"/>
  <c r="B31" i="2"/>
  <c r="A31" i="2"/>
  <c r="B30" i="2"/>
  <c r="A30" i="2"/>
  <c r="B29" i="2"/>
  <c r="A29" i="2"/>
  <c r="B28" i="2"/>
  <c r="A28" i="2"/>
  <c r="B27" i="2"/>
  <c r="A27" i="2"/>
  <c r="B26" i="2"/>
  <c r="A26" i="2"/>
  <c r="B25" i="2"/>
  <c r="A25" i="2"/>
  <c r="B24" i="2"/>
  <c r="A24" i="2"/>
  <c r="B23" i="2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A5" i="2"/>
  <c r="B4" i="2"/>
  <c r="A4" i="2"/>
  <c r="B3" i="2"/>
  <c r="A3" i="2"/>
  <c r="B2" i="2"/>
  <c r="A2" i="2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B2" i="3"/>
  <c r="A2" i="3"/>
  <c r="C2" i="3"/>
  <c r="C35" i="3"/>
  <c r="C34" i="3"/>
  <c r="BD34" i="3" s="1"/>
  <c r="BF34" i="3" s="1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BD14" i="3" s="1"/>
  <c r="BF14" i="3" s="1"/>
  <c r="C13" i="3"/>
  <c r="C12" i="3"/>
  <c r="C11" i="3"/>
  <c r="C10" i="3"/>
  <c r="C9" i="3"/>
  <c r="AI8" i="1"/>
  <c r="AJ8" i="1" s="1"/>
  <c r="C8" i="3" s="1"/>
  <c r="BD8" i="3" s="1"/>
  <c r="BF8" i="3" s="1"/>
  <c r="C7" i="3"/>
  <c r="C6" i="3"/>
  <c r="C5" i="3"/>
  <c r="C4" i="3"/>
  <c r="C3" i="3"/>
  <c r="A3" i="3"/>
  <c r="AI35" i="1"/>
  <c r="AJ35" i="1" s="1"/>
  <c r="AI34" i="1"/>
  <c r="AJ34" i="1" s="1"/>
  <c r="AI33" i="1"/>
  <c r="AJ33" i="1"/>
  <c r="AI32" i="1"/>
  <c r="AJ32" i="1" s="1"/>
  <c r="AI31" i="1"/>
  <c r="AJ31" i="1" s="1"/>
  <c r="AI30" i="1"/>
  <c r="AJ30" i="1"/>
  <c r="AI29" i="1"/>
  <c r="AJ29" i="1" s="1"/>
  <c r="AI28" i="1"/>
  <c r="AJ28" i="1" s="1"/>
  <c r="AI27" i="1"/>
  <c r="AJ27" i="1" s="1"/>
  <c r="AI26" i="1"/>
  <c r="AJ26" i="1" s="1"/>
  <c r="AI25" i="1"/>
  <c r="AJ25" i="1" s="1"/>
  <c r="AI24" i="1"/>
  <c r="AJ24" i="1" s="1"/>
  <c r="AI23" i="1"/>
  <c r="AJ23" i="1"/>
  <c r="AI22" i="1"/>
  <c r="AJ22" i="1" s="1"/>
  <c r="AI21" i="1"/>
  <c r="AJ21" i="1" s="1"/>
  <c r="AI20" i="1"/>
  <c r="AJ20" i="1"/>
  <c r="AI19" i="1"/>
  <c r="AJ19" i="1" s="1"/>
  <c r="AI18" i="1"/>
  <c r="AJ18" i="1" s="1"/>
  <c r="AI17" i="1"/>
  <c r="AJ17" i="1" s="1"/>
  <c r="AI16" i="1"/>
  <c r="AJ16" i="1" s="1"/>
  <c r="AI15" i="1"/>
  <c r="AJ15" i="1" s="1"/>
  <c r="AI14" i="1"/>
  <c r="AJ14" i="1" s="1"/>
  <c r="AI13" i="1"/>
  <c r="AJ13" i="1"/>
  <c r="AI12" i="1"/>
  <c r="AJ12" i="1" s="1"/>
  <c r="AI11" i="1"/>
  <c r="AJ11" i="1" s="1"/>
  <c r="AI10" i="1"/>
  <c r="AJ10" i="1"/>
  <c r="AI9" i="1"/>
  <c r="AJ9" i="1" s="1"/>
  <c r="AI7" i="1"/>
  <c r="AJ7" i="1" s="1"/>
  <c r="AI6" i="1"/>
  <c r="AJ6" i="1" s="1"/>
  <c r="AI5" i="1"/>
  <c r="AJ5" i="1" s="1"/>
  <c r="AI4" i="1"/>
  <c r="AJ4" i="1" s="1"/>
  <c r="AI2" i="1"/>
  <c r="AJ2" i="1" s="1"/>
  <c r="AI3" i="1"/>
  <c r="AJ3" i="1"/>
  <c r="AQ32" i="3"/>
  <c r="AQ12" i="3"/>
  <c r="AF20" i="3"/>
  <c r="AF3" i="3"/>
  <c r="Y35" i="3"/>
  <c r="Y34" i="3"/>
  <c r="Y33" i="3"/>
  <c r="Y32" i="3"/>
  <c r="Y31" i="3"/>
  <c r="Y30" i="3"/>
  <c r="Y29" i="3"/>
  <c r="Y28" i="3"/>
  <c r="Y27" i="3"/>
  <c r="Y26" i="3"/>
  <c r="Y25" i="3"/>
  <c r="Y24" i="3"/>
  <c r="Y23" i="3"/>
  <c r="Y22" i="3"/>
  <c r="Y21" i="3"/>
  <c r="Y20" i="3"/>
  <c r="Y19" i="3"/>
  <c r="Y18" i="3"/>
  <c r="Y17" i="3"/>
  <c r="Y16" i="3"/>
  <c r="Y15" i="3"/>
  <c r="Y14" i="3"/>
  <c r="Y13" i="3"/>
  <c r="Y12" i="3"/>
  <c r="Y11" i="3"/>
  <c r="Y10" i="3"/>
  <c r="Y9" i="3"/>
  <c r="Y8" i="3"/>
  <c r="Y7" i="3"/>
  <c r="Y6" i="3"/>
  <c r="Y5" i="3"/>
  <c r="Y4" i="3"/>
  <c r="Y2" i="3"/>
  <c r="Y3" i="3"/>
  <c r="AB30" i="3"/>
  <c r="BA30" i="3" s="1"/>
  <c r="AF30" i="3"/>
  <c r="AM30" i="3"/>
  <c r="AN30" i="3" s="1"/>
  <c r="AQ30" i="3"/>
  <c r="AU30" i="3"/>
  <c r="AY30" i="3"/>
  <c r="AM35" i="3"/>
  <c r="AN35" i="3"/>
  <c r="AM34" i="3"/>
  <c r="AN34" i="3"/>
  <c r="AM33" i="3"/>
  <c r="AN33" i="3"/>
  <c r="AM32" i="3"/>
  <c r="AN32" i="3"/>
  <c r="AM31" i="3"/>
  <c r="AN31" i="3"/>
  <c r="AM29" i="3"/>
  <c r="AN29" i="3"/>
  <c r="AM28" i="3"/>
  <c r="AN28" i="3" s="1"/>
  <c r="AM27" i="3"/>
  <c r="AN27" i="3" s="1"/>
  <c r="AM26" i="3"/>
  <c r="AN26" i="3"/>
  <c r="AM25" i="3"/>
  <c r="AN25" i="3" s="1"/>
  <c r="AM24" i="3"/>
  <c r="AN24" i="3" s="1"/>
  <c r="AM23" i="3"/>
  <c r="AN23" i="3" s="1"/>
  <c r="AM22" i="3"/>
  <c r="AN22" i="3" s="1"/>
  <c r="AM21" i="3"/>
  <c r="AN21" i="3" s="1"/>
  <c r="AM20" i="3"/>
  <c r="AN20" i="3" s="1"/>
  <c r="AM19" i="3"/>
  <c r="AN19" i="3"/>
  <c r="AM18" i="3"/>
  <c r="AN18" i="3" s="1"/>
  <c r="AM17" i="3"/>
  <c r="AN17" i="3" s="1"/>
  <c r="AM16" i="3"/>
  <c r="AN16" i="3"/>
  <c r="AM15" i="3"/>
  <c r="AN15" i="3" s="1"/>
  <c r="AM14" i="3"/>
  <c r="AN14" i="3" s="1"/>
  <c r="AM13" i="3"/>
  <c r="AN13" i="3" s="1"/>
  <c r="AM12" i="3"/>
  <c r="AN12" i="3" s="1"/>
  <c r="AM11" i="3"/>
  <c r="AN11" i="3" s="1"/>
  <c r="AM10" i="3"/>
  <c r="AN10" i="3" s="1"/>
  <c r="AM9" i="3"/>
  <c r="AN9" i="3"/>
  <c r="AM8" i="3"/>
  <c r="AN8" i="3" s="1"/>
  <c r="AM7" i="3"/>
  <c r="AN7" i="3" s="1"/>
  <c r="AM6" i="3"/>
  <c r="AN6" i="3"/>
  <c r="AM5" i="3"/>
  <c r="AN5" i="3" s="1"/>
  <c r="AM4" i="3"/>
  <c r="AN4" i="3" s="1"/>
  <c r="AM2" i="3"/>
  <c r="AN2" i="3" s="1"/>
  <c r="AJ35" i="3"/>
  <c r="AJ34" i="3"/>
  <c r="AJ33" i="3"/>
  <c r="AJ32" i="3"/>
  <c r="AJ31" i="3"/>
  <c r="AJ30" i="3"/>
  <c r="AJ29" i="3"/>
  <c r="AJ28" i="3"/>
  <c r="AJ27" i="3"/>
  <c r="AJ26" i="3"/>
  <c r="AJ25" i="3"/>
  <c r="AJ24" i="3"/>
  <c r="AJ23" i="3"/>
  <c r="AJ22" i="3"/>
  <c r="AJ21" i="3"/>
  <c r="AJ20" i="3"/>
  <c r="AJ19" i="3"/>
  <c r="AJ18" i="3"/>
  <c r="AJ17" i="3"/>
  <c r="AJ16" i="3"/>
  <c r="AJ15" i="3"/>
  <c r="AJ14" i="3"/>
  <c r="AJ13" i="3"/>
  <c r="AJ12" i="3"/>
  <c r="AJ11" i="3"/>
  <c r="AJ10" i="3"/>
  <c r="AJ9" i="3"/>
  <c r="AJ8" i="3"/>
  <c r="AJ7" i="3"/>
  <c r="AJ6" i="3"/>
  <c r="AJ5" i="3"/>
  <c r="AJ4" i="3"/>
  <c r="AJ2" i="3"/>
  <c r="AB35" i="3"/>
  <c r="AC35" i="3" s="1"/>
  <c r="AB34" i="3"/>
  <c r="AC34" i="3"/>
  <c r="AB33" i="3"/>
  <c r="AC33" i="3"/>
  <c r="AB32" i="3"/>
  <c r="AC32" i="3" s="1"/>
  <c r="AB31" i="3"/>
  <c r="BA31" i="3" s="1"/>
  <c r="BD31" i="3" s="1"/>
  <c r="BF31" i="3" s="1"/>
  <c r="AC31" i="3"/>
  <c r="AB29" i="3"/>
  <c r="BA29" i="3" s="1"/>
  <c r="AB28" i="3"/>
  <c r="AC28" i="3"/>
  <c r="AB27" i="3"/>
  <c r="BA27" i="3" s="1"/>
  <c r="BD27" i="3" s="1"/>
  <c r="BF27" i="3" s="1"/>
  <c r="AB26" i="3"/>
  <c r="AC26" i="3" s="1"/>
  <c r="AB25" i="3"/>
  <c r="AC25" i="3"/>
  <c r="AB24" i="3"/>
  <c r="AC24" i="3" s="1"/>
  <c r="AB23" i="3"/>
  <c r="BA23" i="3" s="1"/>
  <c r="AB22" i="3"/>
  <c r="AC22" i="3" s="1"/>
  <c r="AB21" i="3"/>
  <c r="BA21" i="3" s="1"/>
  <c r="BD21" i="3" s="1"/>
  <c r="BF21" i="3" s="1"/>
  <c r="AB20" i="3"/>
  <c r="AC20" i="3" s="1"/>
  <c r="AB19" i="3"/>
  <c r="AC19" i="3" s="1"/>
  <c r="AB18" i="3"/>
  <c r="BA18" i="3" s="1"/>
  <c r="AC18" i="3"/>
  <c r="AB17" i="3"/>
  <c r="AC17" i="3" s="1"/>
  <c r="AB16" i="3"/>
  <c r="AC16" i="3" s="1"/>
  <c r="AB15" i="3"/>
  <c r="AC15" i="3"/>
  <c r="AB14" i="3"/>
  <c r="AC14" i="3" s="1"/>
  <c r="AB13" i="3"/>
  <c r="AC13" i="3" s="1"/>
  <c r="AB12" i="3"/>
  <c r="BA12" i="3" s="1"/>
  <c r="AB11" i="3"/>
  <c r="AC11" i="3" s="1"/>
  <c r="AB10" i="3"/>
  <c r="BA10" i="3" s="1"/>
  <c r="BD10" i="3" s="1"/>
  <c r="BF10" i="3" s="1"/>
  <c r="AB9" i="3"/>
  <c r="BA9" i="3" s="1"/>
  <c r="BD9" i="3" s="1"/>
  <c r="BF9" i="3" s="1"/>
  <c r="AB8" i="3"/>
  <c r="AC8" i="3"/>
  <c r="AB7" i="3"/>
  <c r="BA7" i="3" s="1"/>
  <c r="BD7" i="3" s="1"/>
  <c r="BF7" i="3" s="1"/>
  <c r="AB6" i="3"/>
  <c r="AC6" i="3" s="1"/>
  <c r="AB5" i="3"/>
  <c r="AC5" i="3"/>
  <c r="AB4" i="3"/>
  <c r="AC4" i="3" s="1"/>
  <c r="AB3" i="3"/>
  <c r="AC3" i="3" s="1"/>
  <c r="BK35" i="3"/>
  <c r="AF35" i="3"/>
  <c r="AG35" i="3" s="1"/>
  <c r="AQ35" i="3"/>
  <c r="AU35" i="3"/>
  <c r="AY35" i="3"/>
  <c r="BA35" i="3" s="1"/>
  <c r="BD35" i="3" s="1"/>
  <c r="BF35" i="3" s="1"/>
  <c r="BB35" i="3"/>
  <c r="AZ35" i="3"/>
  <c r="AV35" i="3"/>
  <c r="AR35" i="3"/>
  <c r="BK34" i="3"/>
  <c r="AF34" i="3"/>
  <c r="AQ34" i="3"/>
  <c r="AU34" i="3"/>
  <c r="AY34" i="3"/>
  <c r="BA34" i="3"/>
  <c r="BB34" i="3"/>
  <c r="AZ34" i="3"/>
  <c r="AV34" i="3"/>
  <c r="AR34" i="3"/>
  <c r="AG34" i="3"/>
  <c r="BK33" i="3"/>
  <c r="BB33" i="3" s="1"/>
  <c r="AF33" i="3"/>
  <c r="AG33" i="3" s="1"/>
  <c r="AQ33" i="3"/>
  <c r="AR33" i="3" s="1"/>
  <c r="AU33" i="3"/>
  <c r="AV33" i="3" s="1"/>
  <c r="AY33" i="3"/>
  <c r="AZ33" i="3" s="1"/>
  <c r="BK32" i="3"/>
  <c r="AF32" i="3"/>
  <c r="BA32" i="3" s="1"/>
  <c r="BD32" i="3" s="1"/>
  <c r="BF32" i="3" s="1"/>
  <c r="AU32" i="3"/>
  <c r="AY32" i="3"/>
  <c r="BB32" i="3"/>
  <c r="AZ32" i="3"/>
  <c r="AV32" i="3"/>
  <c r="AR32" i="3"/>
  <c r="AG32" i="3"/>
  <c r="BK31" i="3"/>
  <c r="BB31" i="3" s="1"/>
  <c r="AF31" i="3"/>
  <c r="AQ31" i="3"/>
  <c r="AU31" i="3"/>
  <c r="AY31" i="3"/>
  <c r="AZ31" i="3"/>
  <c r="AV31" i="3"/>
  <c r="AR31" i="3"/>
  <c r="AG31" i="3"/>
  <c r="BK30" i="3"/>
  <c r="BB30" i="3" s="1"/>
  <c r="AZ30" i="3"/>
  <c r="AV30" i="3"/>
  <c r="AR30" i="3"/>
  <c r="AG30" i="3"/>
  <c r="BK29" i="3"/>
  <c r="BB29" i="3" s="1"/>
  <c r="AF29" i="3"/>
  <c r="AG29" i="3" s="1"/>
  <c r="AQ29" i="3"/>
  <c r="AU29" i="3"/>
  <c r="AY29" i="3"/>
  <c r="AZ29" i="3" s="1"/>
  <c r="AV29" i="3"/>
  <c r="AR29" i="3"/>
  <c r="BK28" i="3"/>
  <c r="AF28" i="3"/>
  <c r="AG28" i="3" s="1"/>
  <c r="AQ28" i="3"/>
  <c r="AR28" i="3" s="1"/>
  <c r="AU28" i="3"/>
  <c r="AV28" i="3" s="1"/>
  <c r="AY28" i="3"/>
  <c r="AZ28" i="3" s="1"/>
  <c r="BB28" i="3"/>
  <c r="BK27" i="3"/>
  <c r="AF27" i="3"/>
  <c r="AQ27" i="3"/>
  <c r="AU27" i="3"/>
  <c r="AY27" i="3"/>
  <c r="BB27" i="3"/>
  <c r="AZ27" i="3"/>
  <c r="AV27" i="3"/>
  <c r="AR27" i="3"/>
  <c r="AG27" i="3"/>
  <c r="BK26" i="3"/>
  <c r="BB26" i="3" s="1"/>
  <c r="AF26" i="3"/>
  <c r="BA26" i="3" s="1"/>
  <c r="AQ26" i="3"/>
  <c r="AR26" i="3" s="1"/>
  <c r="AU26" i="3"/>
  <c r="AY26" i="3"/>
  <c r="AZ26" i="3"/>
  <c r="AV26" i="3"/>
  <c r="BK25" i="3"/>
  <c r="AF25" i="3"/>
  <c r="AG25" i="3" s="1"/>
  <c r="AQ25" i="3"/>
  <c r="AR25" i="3" s="1"/>
  <c r="AU25" i="3"/>
  <c r="AV25" i="3" s="1"/>
  <c r="AY25" i="3"/>
  <c r="AZ25" i="3" s="1"/>
  <c r="BB25" i="3"/>
  <c r="BK24" i="3"/>
  <c r="AF24" i="3"/>
  <c r="AQ24" i="3"/>
  <c r="AU24" i="3"/>
  <c r="AY24" i="3"/>
  <c r="BA24" i="3"/>
  <c r="BD24" i="3" s="1"/>
  <c r="BF24" i="3" s="1"/>
  <c r="BB24" i="3"/>
  <c r="AZ24" i="3"/>
  <c r="AV24" i="3"/>
  <c r="AR24" i="3"/>
  <c r="AG24" i="3"/>
  <c r="BK23" i="3"/>
  <c r="BB23" i="3" s="1"/>
  <c r="AF23" i="3"/>
  <c r="AG23" i="3" s="1"/>
  <c r="AQ23" i="3"/>
  <c r="AR23" i="3" s="1"/>
  <c r="AU23" i="3"/>
  <c r="AV23" i="3" s="1"/>
  <c r="AY23" i="3"/>
  <c r="AZ23" i="3"/>
  <c r="BK22" i="3"/>
  <c r="AF22" i="3"/>
  <c r="AG22" i="3" s="1"/>
  <c r="AQ22" i="3"/>
  <c r="AR22" i="3" s="1"/>
  <c r="AU22" i="3"/>
  <c r="AV22" i="3" s="1"/>
  <c r="AY22" i="3"/>
  <c r="BA22" i="3"/>
  <c r="BD22" i="3" s="1"/>
  <c r="BF22" i="3" s="1"/>
  <c r="BB22" i="3"/>
  <c r="AZ22" i="3"/>
  <c r="BK21" i="3"/>
  <c r="AF21" i="3"/>
  <c r="AQ21" i="3"/>
  <c r="AU21" i="3"/>
  <c r="AY21" i="3"/>
  <c r="AZ21" i="3" s="1"/>
  <c r="BB21" i="3"/>
  <c r="AV21" i="3"/>
  <c r="AR21" i="3"/>
  <c r="AG21" i="3"/>
  <c r="BK20" i="3"/>
  <c r="BB20" i="3" s="1"/>
  <c r="AQ20" i="3"/>
  <c r="AR20" i="3" s="1"/>
  <c r="AU20" i="3"/>
  <c r="AV20" i="3" s="1"/>
  <c r="AY20" i="3"/>
  <c r="AZ20" i="3" s="1"/>
  <c r="AG20" i="3"/>
  <c r="BK19" i="3"/>
  <c r="AF19" i="3"/>
  <c r="AQ19" i="3"/>
  <c r="AU19" i="3"/>
  <c r="AY19" i="3"/>
  <c r="BA19" i="3"/>
  <c r="BB19" i="3"/>
  <c r="BD19" i="3"/>
  <c r="BF19" i="3" s="1"/>
  <c r="AZ19" i="3"/>
  <c r="AV19" i="3"/>
  <c r="AR19" i="3"/>
  <c r="AG19" i="3"/>
  <c r="BK18" i="3"/>
  <c r="AF18" i="3"/>
  <c r="AQ18" i="3"/>
  <c r="AU18" i="3"/>
  <c r="AY18" i="3"/>
  <c r="BB18" i="3"/>
  <c r="AZ18" i="3"/>
  <c r="AV18" i="3"/>
  <c r="AR18" i="3"/>
  <c r="AG18" i="3"/>
  <c r="BK17" i="3"/>
  <c r="AF17" i="3"/>
  <c r="AG17" i="3" s="1"/>
  <c r="AQ17" i="3"/>
  <c r="AR17" i="3" s="1"/>
  <c r="AU17" i="3"/>
  <c r="AV17" i="3" s="1"/>
  <c r="AY17" i="3"/>
  <c r="AZ17" i="3" s="1"/>
  <c r="BB17" i="3"/>
  <c r="BK16" i="3"/>
  <c r="AF16" i="3"/>
  <c r="AQ16" i="3"/>
  <c r="BA16" i="3" s="1"/>
  <c r="BD16" i="3" s="1"/>
  <c r="BF16" i="3" s="1"/>
  <c r="AU16" i="3"/>
  <c r="AY16" i="3"/>
  <c r="BB16" i="3"/>
  <c r="AZ16" i="3"/>
  <c r="AV16" i="3"/>
  <c r="AR16" i="3"/>
  <c r="AG16" i="3"/>
  <c r="BK15" i="3"/>
  <c r="BB15" i="3" s="1"/>
  <c r="AF15" i="3"/>
  <c r="AQ15" i="3"/>
  <c r="AU15" i="3"/>
  <c r="AY15" i="3"/>
  <c r="BA15" i="3" s="1"/>
  <c r="BD15" i="3" s="1"/>
  <c r="BF15" i="3" s="1"/>
  <c r="AZ15" i="3"/>
  <c r="AV15" i="3"/>
  <c r="AR15" i="3"/>
  <c r="AG15" i="3"/>
  <c r="BK14" i="3"/>
  <c r="AF14" i="3"/>
  <c r="AG14" i="3" s="1"/>
  <c r="AQ14" i="3"/>
  <c r="AR14" i="3" s="1"/>
  <c r="AU14" i="3"/>
  <c r="AV14" i="3" s="1"/>
  <c r="AY14" i="3"/>
  <c r="AZ14" i="3" s="1"/>
  <c r="BA14" i="3"/>
  <c r="BB14" i="3"/>
  <c r="BK13" i="3"/>
  <c r="AF13" i="3"/>
  <c r="BA13" i="3" s="1"/>
  <c r="BD13" i="3" s="1"/>
  <c r="BF13" i="3" s="1"/>
  <c r="AQ13" i="3"/>
  <c r="AU13" i="3"/>
  <c r="AY13" i="3"/>
  <c r="BB13" i="3"/>
  <c r="AZ13" i="3"/>
  <c r="AV13" i="3"/>
  <c r="AR13" i="3"/>
  <c r="AG13" i="3"/>
  <c r="BK12" i="3"/>
  <c r="BB12" i="3" s="1"/>
  <c r="AF12" i="3"/>
  <c r="AG12" i="3" s="1"/>
  <c r="AU12" i="3"/>
  <c r="AV12" i="3" s="1"/>
  <c r="AY12" i="3"/>
  <c r="AZ12" i="3"/>
  <c r="AR12" i="3"/>
  <c r="BK11" i="3"/>
  <c r="AF11" i="3"/>
  <c r="AG11" i="3" s="1"/>
  <c r="AQ11" i="3"/>
  <c r="AR11" i="3" s="1"/>
  <c r="AU11" i="3"/>
  <c r="AV11" i="3" s="1"/>
  <c r="AY11" i="3"/>
  <c r="AZ11" i="3" s="1"/>
  <c r="BB11" i="3"/>
  <c r="BK10" i="3"/>
  <c r="AF10" i="3"/>
  <c r="AQ10" i="3"/>
  <c r="AU10" i="3"/>
  <c r="AY10" i="3"/>
  <c r="BB10" i="3"/>
  <c r="AZ10" i="3"/>
  <c r="AV10" i="3"/>
  <c r="AR10" i="3"/>
  <c r="AG10" i="3"/>
  <c r="BK9" i="3"/>
  <c r="BB9" i="3" s="1"/>
  <c r="AF9" i="3"/>
  <c r="AG9" i="3" s="1"/>
  <c r="AQ9" i="3"/>
  <c r="AR9" i="3" s="1"/>
  <c r="AU9" i="3"/>
  <c r="AV9" i="3" s="1"/>
  <c r="AY9" i="3"/>
  <c r="AZ9" i="3"/>
  <c r="BK8" i="3"/>
  <c r="AF8" i="3"/>
  <c r="AG8" i="3" s="1"/>
  <c r="AQ8" i="3"/>
  <c r="AR8" i="3" s="1"/>
  <c r="AU8" i="3"/>
  <c r="AV8" i="3" s="1"/>
  <c r="AY8" i="3"/>
  <c r="BA8" i="3"/>
  <c r="BB8" i="3"/>
  <c r="AZ8" i="3"/>
  <c r="BK7" i="3"/>
  <c r="AF7" i="3"/>
  <c r="AQ7" i="3"/>
  <c r="AU7" i="3"/>
  <c r="AY7" i="3"/>
  <c r="BB7" i="3"/>
  <c r="AZ7" i="3"/>
  <c r="AV7" i="3"/>
  <c r="AR7" i="3"/>
  <c r="AG7" i="3"/>
  <c r="BK6" i="3"/>
  <c r="BB6" i="3" s="1"/>
  <c r="AF6" i="3"/>
  <c r="BA6" i="3" s="1"/>
  <c r="BD6" i="3" s="1"/>
  <c r="BF6" i="3" s="1"/>
  <c r="AQ6" i="3"/>
  <c r="AR6" i="3" s="1"/>
  <c r="AU6" i="3"/>
  <c r="AV6" i="3" s="1"/>
  <c r="AY6" i="3"/>
  <c r="AZ6" i="3" s="1"/>
  <c r="BK5" i="3"/>
  <c r="AF5" i="3"/>
  <c r="AG5" i="3" s="1"/>
  <c r="AQ5" i="3"/>
  <c r="AU5" i="3"/>
  <c r="AY5" i="3"/>
  <c r="BA5" i="3" s="1"/>
  <c r="BD5" i="3" s="1"/>
  <c r="BF5" i="3" s="1"/>
  <c r="BB5" i="3"/>
  <c r="AZ5" i="3"/>
  <c r="AV5" i="3"/>
  <c r="AR5" i="3"/>
  <c r="BK4" i="3"/>
  <c r="BB4" i="3" s="1"/>
  <c r="AF4" i="3"/>
  <c r="AQ4" i="3"/>
  <c r="AU4" i="3"/>
  <c r="AY4" i="3"/>
  <c r="BA4" i="3"/>
  <c r="AZ4" i="3"/>
  <c r="AV4" i="3"/>
  <c r="AR4" i="3"/>
  <c r="AG4" i="3"/>
  <c r="BK3" i="3"/>
  <c r="BB3" i="3" s="1"/>
  <c r="AM3" i="3"/>
  <c r="AN3" i="3" s="1"/>
  <c r="AQ3" i="3"/>
  <c r="AR3" i="3" s="1"/>
  <c r="AU3" i="3"/>
  <c r="AV3" i="3" s="1"/>
  <c r="AY3" i="3"/>
  <c r="AZ3" i="3" s="1"/>
  <c r="AJ3" i="3"/>
  <c r="AG3" i="3"/>
  <c r="BK2" i="3"/>
  <c r="AB2" i="3"/>
  <c r="AC2" i="3" s="1"/>
  <c r="AF2" i="3"/>
  <c r="AG2" i="3" s="1"/>
  <c r="AQ2" i="3"/>
  <c r="AR2" i="3" s="1"/>
  <c r="AU2" i="3"/>
  <c r="AV2" i="3" s="1"/>
  <c r="AY2" i="3"/>
  <c r="AZ2" i="3" s="1"/>
  <c r="BB2" i="3"/>
  <c r="D1" i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BD12" i="3" l="1"/>
  <c r="BF12" i="3" s="1"/>
  <c r="BD18" i="3"/>
  <c r="BF18" i="3" s="1"/>
  <c r="BD30" i="3"/>
  <c r="BF30" i="3" s="1"/>
  <c r="BD23" i="3"/>
  <c r="BF23" i="3" s="1"/>
  <c r="BD4" i="3"/>
  <c r="BF4" i="3" s="1"/>
  <c r="BD26" i="3"/>
  <c r="BF26" i="3" s="1"/>
  <c r="BD29" i="3"/>
  <c r="BF29" i="3" s="1"/>
  <c r="BA3" i="3"/>
  <c r="BD3" i="3" s="1"/>
  <c r="BF3" i="3" s="1"/>
  <c r="BA20" i="3"/>
  <c r="BD20" i="3" s="1"/>
  <c r="BF20" i="3" s="1"/>
  <c r="BA33" i="3"/>
  <c r="BD33" i="3" s="1"/>
  <c r="BF33" i="3" s="1"/>
  <c r="AC7" i="3"/>
  <c r="AC27" i="3"/>
  <c r="BA17" i="3"/>
  <c r="BD17" i="3" s="1"/>
  <c r="BF17" i="3" s="1"/>
  <c r="BA28" i="3"/>
  <c r="BD28" i="3" s="1"/>
  <c r="BF28" i="3" s="1"/>
  <c r="BA2" i="3"/>
  <c r="BD2" i="3" s="1"/>
  <c r="BF2" i="3" s="1"/>
  <c r="BA11" i="3"/>
  <c r="BD11" i="3" s="1"/>
  <c r="BF11" i="3" s="1"/>
  <c r="BA25" i="3"/>
  <c r="BD25" i="3" s="1"/>
  <c r="BF25" i="3" s="1"/>
  <c r="AC9" i="3"/>
  <c r="AC29" i="3"/>
  <c r="AC10" i="3"/>
  <c r="AC30" i="3"/>
  <c r="AC21" i="3"/>
  <c r="AG26" i="3"/>
  <c r="AC12" i="3"/>
  <c r="AG6" i="3"/>
  <c r="AC23" i="3"/>
</calcChain>
</file>

<file path=xl/sharedStrings.xml><?xml version="1.0" encoding="utf-8"?>
<sst xmlns="http://schemas.openxmlformats.org/spreadsheetml/2006/main" count="102" uniqueCount="66">
  <si>
    <t>Name</t>
  </si>
  <si>
    <t>Total Absences</t>
  </si>
  <si>
    <t>Attendance</t>
  </si>
  <si>
    <t>Attendance Schedule</t>
  </si>
  <si>
    <t>ü</t>
  </si>
  <si>
    <t>Phone#</t>
  </si>
  <si>
    <t>E-mail</t>
  </si>
  <si>
    <t>Participation</t>
  </si>
  <si>
    <t>Bonus</t>
  </si>
  <si>
    <t>Syllabus</t>
  </si>
  <si>
    <t>PPC</t>
  </si>
  <si>
    <t>Market</t>
  </si>
  <si>
    <t>Demand</t>
  </si>
  <si>
    <t>Supply Summary</t>
  </si>
  <si>
    <t>Supply</t>
  </si>
  <si>
    <t>Organ Webquest</t>
  </si>
  <si>
    <t>Smoking</t>
  </si>
  <si>
    <t>Violence</t>
  </si>
  <si>
    <t>Pam's…</t>
  </si>
  <si>
    <t>Cookies</t>
  </si>
  <si>
    <t>MU/TU figures</t>
  </si>
  <si>
    <t>Assess</t>
  </si>
  <si>
    <t>Production</t>
  </si>
  <si>
    <t>Cost Table</t>
  </si>
  <si>
    <t>AZ Chain Reaction</t>
  </si>
  <si>
    <t>PC Profit</t>
  </si>
  <si>
    <t>Microsoft</t>
  </si>
  <si>
    <t>Final Notes</t>
  </si>
  <si>
    <t>IN-CLASS</t>
  </si>
  <si>
    <t>Quiz#1</t>
  </si>
  <si>
    <t>Retake#1</t>
  </si>
  <si>
    <t>Score#1</t>
  </si>
  <si>
    <t>(%1)</t>
  </si>
  <si>
    <t>Quiz#2</t>
  </si>
  <si>
    <t>Retake#2</t>
  </si>
  <si>
    <t>Score#2</t>
  </si>
  <si>
    <t>(%2)</t>
  </si>
  <si>
    <t>Alt. Quiz</t>
  </si>
  <si>
    <t>Score</t>
  </si>
  <si>
    <t>(%)</t>
  </si>
  <si>
    <t>Quiz#3</t>
  </si>
  <si>
    <t>Retake#3</t>
  </si>
  <si>
    <t>Score#3</t>
  </si>
  <si>
    <t>(%3)</t>
  </si>
  <si>
    <t>Quiz#4</t>
  </si>
  <si>
    <t>Retake#4</t>
  </si>
  <si>
    <t>Score#4</t>
  </si>
  <si>
    <t>(%4)</t>
  </si>
  <si>
    <t>Quiz#5</t>
  </si>
  <si>
    <t>Retake#5</t>
  </si>
  <si>
    <t>Score#5</t>
  </si>
  <si>
    <t>(%5)</t>
  </si>
  <si>
    <t>Quiz#6</t>
  </si>
  <si>
    <t>Retake#6</t>
  </si>
  <si>
    <t>Score#6</t>
  </si>
  <si>
    <t>(%6)</t>
  </si>
  <si>
    <t>FINAL</t>
  </si>
  <si>
    <t>TOTAL POINTS</t>
  </si>
  <si>
    <t xml:space="preserve"> AVERAGE</t>
  </si>
  <si>
    <t>GRADE</t>
  </si>
  <si>
    <t>(initial)</t>
  </si>
  <si>
    <t>re-take</t>
  </si>
  <si>
    <t>final exam score</t>
  </si>
  <si>
    <t>QUIZ TOTAL</t>
  </si>
  <si>
    <t>john</t>
  </si>
  <si>
    <t>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</si>
</sst>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409]d\-mmm;@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Wingdings"/>
      <charset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2" xfId="0" applyBorder="1"/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0" fillId="0" borderId="15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9" fontId="0" fillId="0" borderId="18" xfId="0" applyNumberFormat="1" applyBorder="1" applyAlignment="1">
      <alignment horizontal="center"/>
    </xf>
    <xf numFmtId="9" fontId="0" fillId="0" borderId="11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9" fontId="0" fillId="0" borderId="10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1" fillId="0" borderId="22" xfId="0" applyFont="1" applyBorder="1" applyAlignment="1">
      <alignment horizontal="center"/>
    </xf>
    <xf numFmtId="9" fontId="0" fillId="0" borderId="23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9" fontId="0" fillId="0" borderId="21" xfId="0" applyNumberFormat="1" applyBorder="1" applyAlignment="1">
      <alignment horizontal="center"/>
    </xf>
    <xf numFmtId="0" fontId="0" fillId="0" borderId="22" xfId="0" applyBorder="1" applyAlignment="1">
      <alignment horizontal="center"/>
    </xf>
    <xf numFmtId="9" fontId="0" fillId="0" borderId="20" xfId="0" applyNumberFormat="1" applyBorder="1" applyAlignment="1">
      <alignment horizontal="center"/>
    </xf>
    <xf numFmtId="0" fontId="1" fillId="0" borderId="20" xfId="0" applyFont="1" applyBorder="1" applyAlignment="1">
      <alignment horizontal="right"/>
    </xf>
    <xf numFmtId="0" fontId="1" fillId="0" borderId="20" xfId="0" applyFont="1" applyBorder="1" applyAlignment="1">
      <alignment horizontal="center"/>
    </xf>
    <xf numFmtId="0" fontId="0" fillId="0" borderId="20" xfId="0" applyBorder="1" applyAlignment="1">
      <alignment horizontal="right"/>
    </xf>
    <xf numFmtId="0" fontId="2" fillId="0" borderId="20" xfId="0" applyFont="1" applyBorder="1" applyAlignment="1">
      <alignment horizontal="center"/>
    </xf>
    <xf numFmtId="0" fontId="1" fillId="0" borderId="20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1" fillId="0" borderId="27" xfId="0" applyFont="1" applyBorder="1"/>
    <xf numFmtId="0" fontId="0" fillId="0" borderId="27" xfId="0" applyBorder="1"/>
    <xf numFmtId="0" fontId="2" fillId="0" borderId="19" xfId="0" applyFont="1" applyBorder="1" applyAlignment="1">
      <alignment horizontal="center"/>
    </xf>
    <xf numFmtId="176" fontId="1" fillId="0" borderId="19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4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8" sqref="B8"/>
    </sheetView>
  </sheetViews>
  <sheetFormatPr defaultColWidth="9.1796875" defaultRowHeight="12.5" x14ac:dyDescent="0.25"/>
  <cols>
    <col min="35" max="35" width="9.7265625" customWidth="1"/>
    <col min="36" max="36" width="11" customWidth="1"/>
    <col min="37" max="37" width="11.1796875" customWidth="1"/>
    <col min="38" max="38" width="10.7265625" customWidth="1"/>
  </cols>
  <sheetData>
    <row r="1" spans="1:40" ht="26" x14ac:dyDescent="0.3">
      <c r="A1" s="36" t="s">
        <v>0</v>
      </c>
      <c r="B1" s="44"/>
      <c r="C1" s="47">
        <v>38006</v>
      </c>
      <c r="D1" s="47">
        <f>C1+2</f>
        <v>38008</v>
      </c>
      <c r="E1" s="47">
        <f>D1+5</f>
        <v>38013</v>
      </c>
      <c r="F1" s="47">
        <f>E1+2</f>
        <v>38015</v>
      </c>
      <c r="G1" s="47">
        <f>F1+5</f>
        <v>38020</v>
      </c>
      <c r="H1" s="47">
        <f>G1+2</f>
        <v>38022</v>
      </c>
      <c r="I1" s="47">
        <f>H1+5</f>
        <v>38027</v>
      </c>
      <c r="J1" s="47">
        <f>I1+2</f>
        <v>38029</v>
      </c>
      <c r="K1" s="47">
        <f>J1+5</f>
        <v>38034</v>
      </c>
      <c r="L1" s="47">
        <f>K1+2</f>
        <v>38036</v>
      </c>
      <c r="M1" s="47">
        <f>L1+5</f>
        <v>38041</v>
      </c>
      <c r="N1" s="47">
        <f>M1+2</f>
        <v>38043</v>
      </c>
      <c r="O1" s="47">
        <f>N1+5</f>
        <v>38048</v>
      </c>
      <c r="P1" s="47">
        <f>O1+2</f>
        <v>38050</v>
      </c>
      <c r="Q1" s="47">
        <f>P1+5</f>
        <v>38055</v>
      </c>
      <c r="R1" s="47">
        <f>Q1+2</f>
        <v>38057</v>
      </c>
      <c r="S1" s="47">
        <f>R1+5</f>
        <v>38062</v>
      </c>
      <c r="T1" s="47">
        <f>S1+2</f>
        <v>38064</v>
      </c>
      <c r="U1" s="47">
        <f>T1+5</f>
        <v>38069</v>
      </c>
      <c r="V1" s="47">
        <f>U1+2</f>
        <v>38071</v>
      </c>
      <c r="W1" s="47">
        <f>V1+5</f>
        <v>38076</v>
      </c>
      <c r="X1" s="47">
        <f>W1+2</f>
        <v>38078</v>
      </c>
      <c r="Y1" s="47">
        <f>X1+5</f>
        <v>38083</v>
      </c>
      <c r="Z1" s="47">
        <f>Y1+2</f>
        <v>38085</v>
      </c>
      <c r="AA1" s="47">
        <f>Z1+5</f>
        <v>38090</v>
      </c>
      <c r="AB1" s="47">
        <f>AA1+2</f>
        <v>38092</v>
      </c>
      <c r="AC1" s="47">
        <f>AB1+5</f>
        <v>38097</v>
      </c>
      <c r="AD1" s="47">
        <f>AC1+2</f>
        <v>38099</v>
      </c>
      <c r="AE1" s="47">
        <f>AD1+5</f>
        <v>38104</v>
      </c>
      <c r="AF1" s="47">
        <f>AE1+2</f>
        <v>38106</v>
      </c>
      <c r="AG1" s="47">
        <f>AF1+5</f>
        <v>38111</v>
      </c>
      <c r="AH1" s="47">
        <f>AG1+2</f>
        <v>38113</v>
      </c>
      <c r="AI1" s="40" t="s">
        <v>1</v>
      </c>
      <c r="AJ1" s="37" t="s">
        <v>2</v>
      </c>
      <c r="AK1" s="41" t="s">
        <v>3</v>
      </c>
      <c r="AL1" s="3"/>
      <c r="AM1" s="3"/>
      <c r="AN1" s="5"/>
    </row>
    <row r="2" spans="1:40" x14ac:dyDescent="0.25">
      <c r="A2" s="38"/>
      <c r="B2" s="45"/>
      <c r="C2" s="46" t="s">
        <v>4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>
        <f>IF(ISBLANK(Grades!#REF!),"",COUNTIF(C2:AH2,"A"))</f>
        <v>0</v>
      </c>
      <c r="AJ2" s="28">
        <f>IF(ISBLANK(Grades!#REF!),"",LOOKUP(AI2,$AK$2:$AK$6,$AL$2:$AL$6))</f>
        <v>30</v>
      </c>
      <c r="AK2" s="5">
        <v>0</v>
      </c>
      <c r="AL2" s="5">
        <v>30</v>
      </c>
      <c r="AM2" s="5"/>
      <c r="AN2" s="5"/>
    </row>
    <row r="3" spans="1:40" x14ac:dyDescent="0.25">
      <c r="A3" s="38"/>
      <c r="B3" s="45"/>
      <c r="C3" s="46" t="s">
        <v>4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>
        <f>IF(ISBLANK(Grades!#REF!),"",COUNTIF(C3:AH3,"A"))</f>
        <v>0</v>
      </c>
      <c r="AJ3" s="28">
        <f>IF(ISBLANK(Grades!#REF!),"",LOOKUP(AI3,$AK$2:$AK$6,$AL$2:$AL$6))</f>
        <v>30</v>
      </c>
      <c r="AK3" s="5">
        <v>1</v>
      </c>
      <c r="AL3" s="5">
        <v>30</v>
      </c>
      <c r="AM3" s="5"/>
      <c r="AN3" s="5"/>
    </row>
    <row r="4" spans="1:40" x14ac:dyDescent="0.25">
      <c r="A4" s="38"/>
      <c r="B4" s="45"/>
      <c r="C4" s="46" t="s">
        <v>4</v>
      </c>
      <c r="D4" s="39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>
        <f>IF(ISBLANK(Grades!#REF!),"",COUNTIF(C4:AH4,"A"))</f>
        <v>0</v>
      </c>
      <c r="AJ4" s="28">
        <f>IF(ISBLANK(Grades!#REF!),"",LOOKUP(AI4,$AK$2:$AK$6,$AL$2:$AL$6))</f>
        <v>30</v>
      </c>
      <c r="AK4" s="5">
        <v>2</v>
      </c>
      <c r="AL4" s="5">
        <v>24</v>
      </c>
      <c r="AM4" s="5"/>
      <c r="AN4" s="5"/>
    </row>
    <row r="5" spans="1:40" x14ac:dyDescent="0.25">
      <c r="A5" s="38"/>
      <c r="B5" s="45"/>
      <c r="C5" s="46" t="s">
        <v>4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>
        <f>IF(ISBLANK(Grades!#REF!),"",COUNTIF(C5:AH5,"A"))</f>
        <v>0</v>
      </c>
      <c r="AJ5" s="28">
        <f>IF(ISBLANK(Grades!#REF!),"",LOOKUP(AI5,$AK$2:$AK$6,$AL$2:$AL$6))</f>
        <v>30</v>
      </c>
      <c r="AK5" s="5">
        <v>3</v>
      </c>
      <c r="AL5" s="5">
        <v>16</v>
      </c>
      <c r="AM5" s="5"/>
      <c r="AN5" s="5"/>
    </row>
    <row r="6" spans="1:40" x14ac:dyDescent="0.25">
      <c r="A6" s="38"/>
      <c r="B6" s="45"/>
      <c r="C6" s="46" t="s">
        <v>4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>
        <f>IF(ISBLANK(Grades!#REF!),"",COUNTIF(C6:AH6,"A"))</f>
        <v>0</v>
      </c>
      <c r="AJ6" s="28">
        <f>IF(ISBLANK(Grades!#REF!),"",LOOKUP(AI6,$AK$2:$AK$6,$AL$2:$AL$6))</f>
        <v>30</v>
      </c>
      <c r="AK6" s="5">
        <v>4</v>
      </c>
      <c r="AL6" s="5">
        <v>0</v>
      </c>
      <c r="AM6" s="5"/>
      <c r="AN6" s="5"/>
    </row>
    <row r="7" spans="1:40" x14ac:dyDescent="0.25">
      <c r="A7" s="38"/>
      <c r="B7" s="45"/>
      <c r="C7" s="46" t="s">
        <v>4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>
        <f>IF(ISBLANK(Grades!#REF!),"",COUNTIF(C7:AH7,"A"))</f>
        <v>0</v>
      </c>
      <c r="AJ7" s="28">
        <f>IF(ISBLANK(Grades!#REF!),"",LOOKUP(AI7,$AK$2:$AK$6,$AL$2:$AL$6))</f>
        <v>30</v>
      </c>
      <c r="AK7" s="5"/>
      <c r="AL7" s="5"/>
      <c r="AM7" s="5"/>
      <c r="AN7" s="5"/>
    </row>
    <row r="8" spans="1:40" x14ac:dyDescent="0.25">
      <c r="A8" s="38" t="s">
        <v>64</v>
      </c>
      <c r="B8" s="45" t="s">
        <v>65</v>
      </c>
      <c r="C8" s="46" t="s">
        <v>4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>
        <f>IF(ISBLANK(Grades!#REF!),"",COUNTIF(C8:AH8,"A"))</f>
        <v>0</v>
      </c>
      <c r="AJ8" s="28">
        <f>IF(ISBLANK(Grades!#REF!),"",LOOKUP(AI8,$AK$2:$AK$6,$AL$2:$AL$6))</f>
        <v>30</v>
      </c>
      <c r="AK8" s="5"/>
      <c r="AL8" s="5"/>
      <c r="AM8" s="5"/>
      <c r="AN8" s="5"/>
    </row>
    <row r="9" spans="1:40" x14ac:dyDescent="0.25">
      <c r="A9" s="38"/>
      <c r="B9" s="45"/>
      <c r="C9" s="46" t="s">
        <v>4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>
        <f>IF(ISBLANK(Grades!#REF!),"",COUNTIF(C9:AH9,"A"))</f>
        <v>0</v>
      </c>
      <c r="AJ9" s="28">
        <f>IF(ISBLANK(Grades!#REF!),"",LOOKUP(AI9,$AK$2:$AK$6,$AL$2:$AL$6))</f>
        <v>30</v>
      </c>
      <c r="AK9" s="5"/>
      <c r="AL9" s="5"/>
      <c r="AM9" s="5"/>
      <c r="AN9" s="5"/>
    </row>
    <row r="10" spans="1:40" x14ac:dyDescent="0.25">
      <c r="A10" s="38"/>
      <c r="B10" s="45"/>
      <c r="C10" s="46" t="s">
        <v>4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>
        <f>IF(ISBLANK(Grades!#REF!),"",COUNTIF(C10:AH10,"A"))</f>
        <v>0</v>
      </c>
      <c r="AJ10" s="28">
        <f>IF(ISBLANK(Grades!#REF!),"",LOOKUP(AI10,$AK$2:$AK$6,$AL$2:$AL$6))</f>
        <v>30</v>
      </c>
      <c r="AK10" s="5"/>
      <c r="AL10" s="5"/>
      <c r="AM10" s="5"/>
      <c r="AN10" s="5"/>
    </row>
    <row r="11" spans="1:40" x14ac:dyDescent="0.25">
      <c r="A11" s="38"/>
      <c r="B11" s="45"/>
      <c r="C11" s="46" t="s">
        <v>4</v>
      </c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>
        <f>IF(ISBLANK(Grades!#REF!),"",COUNTIF(C11:AH11,"A"))</f>
        <v>0</v>
      </c>
      <c r="AJ11" s="28">
        <f>IF(ISBLANK(Grades!#REF!),"",LOOKUP(AI11,$AK$2:$AK$6,$AL$2:$AL$6))</f>
        <v>30</v>
      </c>
      <c r="AK11" s="5"/>
      <c r="AL11" s="5"/>
      <c r="AM11" s="5"/>
      <c r="AN11" s="5"/>
    </row>
    <row r="12" spans="1:40" x14ac:dyDescent="0.25">
      <c r="A12" s="38"/>
      <c r="B12" s="45"/>
      <c r="C12" s="46" t="s">
        <v>4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>
        <f>IF(ISBLANK(Grades!#REF!),"",COUNTIF(C12:AH12,"A"))</f>
        <v>0</v>
      </c>
      <c r="AJ12" s="28">
        <f>IF(ISBLANK(Grades!#REF!),"",LOOKUP(AI12,$AK$2:$AK$6,$AL$2:$AL$6))</f>
        <v>30</v>
      </c>
      <c r="AK12" s="5"/>
      <c r="AL12" s="5"/>
      <c r="AM12" s="5"/>
      <c r="AN12" s="5"/>
    </row>
    <row r="13" spans="1:40" x14ac:dyDescent="0.25">
      <c r="A13" s="38"/>
      <c r="B13" s="45"/>
      <c r="C13" s="46" t="s">
        <v>4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>
        <f>IF(ISBLANK(Grades!#REF!),"",COUNTIF(C13:AH13,"A"))</f>
        <v>0</v>
      </c>
      <c r="AJ13" s="28">
        <f>IF(ISBLANK(Grades!#REF!),"",LOOKUP(AI13,$AK$2:$AK$6,$AL$2:$AL$6))</f>
        <v>30</v>
      </c>
      <c r="AK13" s="5"/>
      <c r="AL13" s="5"/>
      <c r="AM13" s="5"/>
      <c r="AN13" s="5"/>
    </row>
    <row r="14" spans="1:40" x14ac:dyDescent="0.25">
      <c r="A14" s="38"/>
      <c r="B14" s="45"/>
      <c r="C14" s="46" t="s">
        <v>4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>
        <f>IF(ISBLANK(Grades!#REF!),"",COUNTIF(C14:AH14,"A"))</f>
        <v>0</v>
      </c>
      <c r="AJ14" s="28">
        <f>IF(ISBLANK(Grades!#REF!),"",LOOKUP(AI14,$AK$2:$AK$6,$AL$2:$AL$6))</f>
        <v>30</v>
      </c>
      <c r="AK14" s="5"/>
      <c r="AL14" s="5"/>
      <c r="AM14" s="5"/>
      <c r="AN14" s="5"/>
    </row>
    <row r="15" spans="1:40" x14ac:dyDescent="0.25">
      <c r="A15" s="38"/>
      <c r="B15" s="45"/>
      <c r="C15" s="46" t="s">
        <v>4</v>
      </c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>
        <f>IF(ISBLANK(Grades!#REF!),"",COUNTIF(C15:AH15,"A"))</f>
        <v>0</v>
      </c>
      <c r="AJ15" s="28">
        <f>IF(ISBLANK(Grades!#REF!),"",LOOKUP(AI15,$AK$2:$AK$6,$AL$2:$AL$6))</f>
        <v>30</v>
      </c>
      <c r="AK15" s="5"/>
      <c r="AL15" s="5"/>
      <c r="AM15" s="5"/>
      <c r="AN15" s="5"/>
    </row>
    <row r="16" spans="1:40" x14ac:dyDescent="0.25">
      <c r="A16" s="38"/>
      <c r="B16" s="45"/>
      <c r="C16" s="46" t="s">
        <v>4</v>
      </c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>
        <f>IF(ISBLANK(Grades!#REF!),"",COUNTIF(C16:AH16,"A"))</f>
        <v>0</v>
      </c>
      <c r="AJ16" s="28">
        <f>IF(ISBLANK(Grades!#REF!),"",LOOKUP(AI16,$AK$2:$AK$6,$AL$2:$AL$6))</f>
        <v>30</v>
      </c>
      <c r="AK16" s="5"/>
      <c r="AL16" s="5"/>
      <c r="AM16" s="5"/>
      <c r="AN16" s="5"/>
    </row>
    <row r="17" spans="1:40" x14ac:dyDescent="0.25">
      <c r="A17" s="38"/>
      <c r="B17" s="45"/>
      <c r="C17" s="46" t="s">
        <v>4</v>
      </c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>
        <f>IF(ISBLANK(Grades!#REF!),"",COUNTIF(C17:AH17,"A"))</f>
        <v>0</v>
      </c>
      <c r="AJ17" s="28">
        <f>IF(ISBLANK(Grades!#REF!),"",LOOKUP(AI17,$AK$2:$AK$6,$AL$2:$AL$6))</f>
        <v>30</v>
      </c>
      <c r="AK17" s="5"/>
      <c r="AL17" s="5"/>
      <c r="AM17" s="5"/>
      <c r="AN17" s="5"/>
    </row>
    <row r="18" spans="1:40" x14ac:dyDescent="0.25">
      <c r="A18" s="38"/>
      <c r="B18" s="45"/>
      <c r="C18" s="46" t="s">
        <v>4</v>
      </c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>
        <f>IF(ISBLANK(Grades!#REF!),"",COUNTIF(C18:AH18,"A"))</f>
        <v>0</v>
      </c>
      <c r="AJ18" s="28">
        <f>IF(ISBLANK(Grades!#REF!),"",LOOKUP(AI18,$AK$2:$AK$6,$AL$2:$AL$6))</f>
        <v>30</v>
      </c>
      <c r="AK18" s="5"/>
      <c r="AL18" s="5"/>
      <c r="AM18" s="5"/>
      <c r="AN18" s="5"/>
    </row>
    <row r="19" spans="1:40" x14ac:dyDescent="0.25">
      <c r="A19" s="38"/>
      <c r="B19" s="45"/>
      <c r="C19" s="46" t="s">
        <v>4</v>
      </c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>
        <f>IF(ISBLANK(Grades!#REF!),"",COUNTIF(C19:AH19,"A"))</f>
        <v>0</v>
      </c>
      <c r="AJ19" s="28">
        <f>IF(ISBLANK(Grades!#REF!),"",LOOKUP(AI19,$AK$2:$AK$6,$AL$2:$AL$6))</f>
        <v>30</v>
      </c>
      <c r="AK19" s="5"/>
      <c r="AL19" s="5"/>
      <c r="AM19" s="5"/>
      <c r="AN19" s="5"/>
    </row>
    <row r="20" spans="1:40" x14ac:dyDescent="0.25">
      <c r="A20" s="38"/>
      <c r="B20" s="45"/>
      <c r="C20" s="46" t="s">
        <v>4</v>
      </c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>
        <f>IF(ISBLANK(Grades!#REF!),"",COUNTIF(C20:AH20,"A"))</f>
        <v>0</v>
      </c>
      <c r="AJ20" s="28">
        <f>IF(ISBLANK(Grades!#REF!),"",LOOKUP(AI20,$AK$2:$AK$6,$AL$2:$AL$6))</f>
        <v>30</v>
      </c>
      <c r="AK20" s="5"/>
      <c r="AL20" s="5"/>
      <c r="AM20" s="5"/>
      <c r="AN20" s="5"/>
    </row>
    <row r="21" spans="1:40" x14ac:dyDescent="0.25">
      <c r="A21" s="38"/>
      <c r="B21" s="45"/>
      <c r="C21" s="46" t="s">
        <v>4</v>
      </c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>
        <f>IF(ISBLANK(Grades!#REF!),"",COUNTIF(C21:AH21,"A"))</f>
        <v>0</v>
      </c>
      <c r="AJ21" s="28">
        <f>IF(ISBLANK(Grades!#REF!),"",LOOKUP(AI21,$AK$2:$AK$6,$AL$2:$AL$6))</f>
        <v>30</v>
      </c>
      <c r="AK21" s="5"/>
      <c r="AL21" s="5"/>
      <c r="AM21" s="5"/>
      <c r="AN21" s="5"/>
    </row>
    <row r="22" spans="1:40" x14ac:dyDescent="0.25">
      <c r="A22" s="38"/>
      <c r="B22" s="45"/>
      <c r="C22" s="46" t="s">
        <v>4</v>
      </c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>
        <f>IF(ISBLANK(Grades!#REF!),"",COUNTIF(C22:AH22,"A"))</f>
        <v>0</v>
      </c>
      <c r="AJ22" s="28">
        <f>IF(ISBLANK(Grades!#REF!),"",LOOKUP(AI22,$AK$2:$AK$6,$AL$2:$AL$6))</f>
        <v>30</v>
      </c>
      <c r="AK22" s="5"/>
      <c r="AL22" s="5"/>
      <c r="AM22" s="5"/>
      <c r="AN22" s="5"/>
    </row>
    <row r="23" spans="1:40" x14ac:dyDescent="0.25">
      <c r="A23" s="38"/>
      <c r="B23" s="45"/>
      <c r="C23" s="46" t="s">
        <v>4</v>
      </c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>
        <f>IF(ISBLANK(Grades!#REF!),"",COUNTIF(C23:AH23,"A"))</f>
        <v>0</v>
      </c>
      <c r="AJ23" s="28">
        <f>IF(ISBLANK(Grades!#REF!),"",LOOKUP(AI23,$AK$2:$AK$6,$AL$2:$AL$6))</f>
        <v>30</v>
      </c>
      <c r="AK23" s="5"/>
      <c r="AL23" s="5"/>
      <c r="AM23" s="5"/>
      <c r="AN23" s="5"/>
    </row>
    <row r="24" spans="1:40" x14ac:dyDescent="0.25">
      <c r="A24" s="38"/>
      <c r="B24" s="45"/>
      <c r="C24" s="46" t="s">
        <v>4</v>
      </c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>
        <f>IF(ISBLANK(Grades!#REF!),"",COUNTIF(C24:AH24,"A"))</f>
        <v>0</v>
      </c>
      <c r="AJ24" s="28">
        <f>IF(ISBLANK(Grades!#REF!),"",LOOKUP(AI24,$AK$2:$AK$6,$AL$2:$AL$6))</f>
        <v>30</v>
      </c>
      <c r="AK24" s="5"/>
      <c r="AL24" s="5"/>
      <c r="AM24" s="5"/>
      <c r="AN24" s="5"/>
    </row>
    <row r="25" spans="1:40" x14ac:dyDescent="0.25">
      <c r="A25" s="38"/>
      <c r="B25" s="45"/>
      <c r="C25" s="46" t="s">
        <v>4</v>
      </c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>
        <f>IF(ISBLANK(Grades!#REF!),"",COUNTIF(C25:AH25,"A"))</f>
        <v>0</v>
      </c>
      <c r="AJ25" s="28">
        <f>IF(ISBLANK(Grades!#REF!),"",LOOKUP(AI25,$AK$2:$AK$6,$AL$2:$AL$6))</f>
        <v>30</v>
      </c>
      <c r="AK25" s="5"/>
      <c r="AL25" s="5"/>
      <c r="AM25" s="5"/>
      <c r="AN25" s="5"/>
    </row>
    <row r="26" spans="1:40" x14ac:dyDescent="0.25">
      <c r="A26" s="38"/>
      <c r="B26" s="45"/>
      <c r="C26" s="46" t="s">
        <v>4</v>
      </c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>
        <f>IF(ISBLANK(Grades!#REF!),"",COUNTIF(C26:AH26,"A"))</f>
        <v>0</v>
      </c>
      <c r="AJ26" s="28">
        <f>IF(ISBLANK(Grades!#REF!),"",LOOKUP(AI26,$AK$2:$AK$6,$AL$2:$AL$6))</f>
        <v>30</v>
      </c>
      <c r="AK26" s="5"/>
      <c r="AL26" s="5"/>
      <c r="AM26" s="5"/>
      <c r="AN26" s="5"/>
    </row>
    <row r="27" spans="1:40" x14ac:dyDescent="0.25">
      <c r="A27" s="38"/>
      <c r="B27" s="45"/>
      <c r="C27" s="46" t="s">
        <v>4</v>
      </c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>
        <f>IF(ISBLANK(Grades!#REF!),"",COUNTIF(C27:AH27,"A"))</f>
        <v>0</v>
      </c>
      <c r="AJ27" s="28">
        <f>IF(ISBLANK(Grades!#REF!),"",LOOKUP(AI27,$AK$2:$AK$6,$AL$2:$AL$6))</f>
        <v>30</v>
      </c>
      <c r="AK27" s="5"/>
      <c r="AL27" s="5"/>
      <c r="AM27" s="5"/>
      <c r="AN27" s="5"/>
    </row>
    <row r="28" spans="1:40" x14ac:dyDescent="0.25">
      <c r="A28" s="38"/>
      <c r="B28" s="45"/>
      <c r="C28" s="46" t="s">
        <v>4</v>
      </c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>
        <f>IF(ISBLANK(Grades!#REF!),"",COUNTIF(C28:AH28,"A"))</f>
        <v>0</v>
      </c>
      <c r="AJ28" s="28">
        <f>IF(ISBLANK(Grades!#REF!),"",LOOKUP(AI28,$AK$2:$AK$6,$AL$2:$AL$6))</f>
        <v>30</v>
      </c>
      <c r="AK28" s="5"/>
      <c r="AL28" s="5"/>
      <c r="AM28" s="5"/>
      <c r="AN28" s="5"/>
    </row>
    <row r="29" spans="1:40" x14ac:dyDescent="0.25">
      <c r="A29" s="38"/>
      <c r="B29" s="45"/>
      <c r="C29" s="46" t="s">
        <v>4</v>
      </c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>
        <f>IF(ISBLANK(Grades!#REF!),"",COUNTIF(C29:AH29,"A"))</f>
        <v>0</v>
      </c>
      <c r="AJ29" s="28">
        <f>IF(ISBLANK(Grades!#REF!),"",LOOKUP(AI29,$AK$2:$AK$6,$AL$2:$AL$6))</f>
        <v>30</v>
      </c>
      <c r="AK29" s="5"/>
      <c r="AL29" s="5"/>
      <c r="AM29" s="5"/>
      <c r="AN29" s="5"/>
    </row>
    <row r="30" spans="1:40" x14ac:dyDescent="0.25">
      <c r="A30" s="38"/>
      <c r="B30" s="45"/>
      <c r="C30" s="46" t="s">
        <v>4</v>
      </c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>
        <f>IF(ISBLANK(Grades!#REF!),"",COUNTIF(C30:AH30,"A"))</f>
        <v>0</v>
      </c>
      <c r="AJ30" s="28">
        <f>IF(ISBLANK(Grades!#REF!),"",LOOKUP(AI30,$AK$2:$AK$6,$AL$2:$AL$6))</f>
        <v>30</v>
      </c>
      <c r="AK30" s="5"/>
      <c r="AL30" s="5"/>
      <c r="AM30" s="5"/>
      <c r="AN30" s="5"/>
    </row>
    <row r="31" spans="1:40" x14ac:dyDescent="0.25">
      <c r="A31" s="38"/>
      <c r="B31" s="45"/>
      <c r="C31" s="46" t="s">
        <v>4</v>
      </c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>
        <f>IF(ISBLANK(Grades!#REF!),"",COUNTIF(C31:AH31,"A"))</f>
        <v>0</v>
      </c>
      <c r="AJ31" s="28">
        <f>IF(ISBLANK(Grades!#REF!),"",LOOKUP(AI31,$AK$2:$AK$6,$AL$2:$AL$6))</f>
        <v>30</v>
      </c>
      <c r="AK31" s="5"/>
      <c r="AL31" s="5"/>
      <c r="AM31" s="5"/>
      <c r="AN31" s="5"/>
    </row>
    <row r="32" spans="1:40" x14ac:dyDescent="0.25">
      <c r="A32" s="38"/>
      <c r="B32" s="45"/>
      <c r="C32" s="46" t="s">
        <v>4</v>
      </c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>
        <f>IF(ISBLANK(Grades!#REF!),"",COUNTIF(C32:AH32,"A"))</f>
        <v>0</v>
      </c>
      <c r="AJ32" s="28">
        <f>IF(ISBLANK(Grades!#REF!),"",LOOKUP(AI32,$AK$2:$AK$6,$AL$2:$AL$6))</f>
        <v>30</v>
      </c>
      <c r="AK32" s="5"/>
      <c r="AL32" s="5"/>
      <c r="AM32" s="5"/>
      <c r="AN32" s="5"/>
    </row>
    <row r="33" spans="1:40" x14ac:dyDescent="0.25">
      <c r="A33" s="38"/>
      <c r="B33" s="45"/>
      <c r="C33" s="46" t="s">
        <v>4</v>
      </c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>
        <f>IF(ISBLANK(Grades!#REF!),"",COUNTIF(C33:AH33,"A"))</f>
        <v>0</v>
      </c>
      <c r="AJ33" s="28">
        <f>IF(ISBLANK(Grades!#REF!),"",LOOKUP(AI33,$AK$2:$AK$6,$AL$2:$AL$6))</f>
        <v>30</v>
      </c>
      <c r="AK33" s="5"/>
      <c r="AL33" s="5"/>
      <c r="AM33" s="5"/>
      <c r="AN33" s="5"/>
    </row>
    <row r="34" spans="1:40" x14ac:dyDescent="0.25">
      <c r="A34" s="38"/>
      <c r="B34" s="45"/>
      <c r="C34" s="46" t="s">
        <v>4</v>
      </c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>
        <f>IF(ISBLANK(Grades!#REF!),"",COUNTIF(C34:AH34,"A"))</f>
        <v>0</v>
      </c>
      <c r="AJ34" s="28">
        <f>IF(ISBLANK(Grades!#REF!),"",LOOKUP(AI34,$AK$2:$AK$6,$AL$2:$AL$6))</f>
        <v>30</v>
      </c>
      <c r="AK34" s="5"/>
      <c r="AL34" s="5"/>
      <c r="AM34" s="5"/>
      <c r="AN34" s="5"/>
    </row>
    <row r="35" spans="1:40" x14ac:dyDescent="0.25">
      <c r="A35" s="38"/>
      <c r="B35" s="45"/>
      <c r="C35" s="46" t="s">
        <v>4</v>
      </c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>
        <f>IF(ISBLANK(Grades!#REF!),"",COUNTIF(C35:AH35,"A"))</f>
        <v>0</v>
      </c>
      <c r="AJ35" s="28">
        <f>IF(ISBLANK(Grades!#REF!),"",LOOKUP(AI35,$AK$2:$AK$6,$AL$2:$AL$6))</f>
        <v>30</v>
      </c>
      <c r="AK35" s="5"/>
      <c r="AL35" s="5"/>
      <c r="AM35" s="5"/>
      <c r="AN35" s="5"/>
    </row>
    <row r="36" spans="1:40" x14ac:dyDescent="0.25"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</row>
    <row r="37" spans="1:40" x14ac:dyDescent="0.25"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</row>
    <row r="38" spans="1:40" x14ac:dyDescent="0.25"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</row>
    <row r="39" spans="1:40" x14ac:dyDescent="0.25"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</row>
    <row r="40" spans="1:40" x14ac:dyDescent="0.25"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</row>
    <row r="41" spans="1:40" x14ac:dyDescent="0.25"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</row>
    <row r="42" spans="1:40" x14ac:dyDescent="0.25"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</row>
    <row r="43" spans="1:40" x14ac:dyDescent="0.25"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</row>
    <row r="44" spans="1:40" x14ac:dyDescent="0.25"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</row>
    <row r="45" spans="1:40" x14ac:dyDescent="0.25"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</row>
    <row r="46" spans="1:40" x14ac:dyDescent="0.25"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</row>
    <row r="47" spans="1:40" x14ac:dyDescent="0.25"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1:40" x14ac:dyDescent="0.25"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3:40" x14ac:dyDescent="0.25"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3:40" x14ac:dyDescent="0.25"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3:40" x14ac:dyDescent="0.25"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3:40" x14ac:dyDescent="0.25"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3:40" x14ac:dyDescent="0.25"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3:40" x14ac:dyDescent="0.25"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3:40" x14ac:dyDescent="0.25"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3:40" x14ac:dyDescent="0.25"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3:40" x14ac:dyDescent="0.25"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3:40" x14ac:dyDescent="0.25"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3:40" x14ac:dyDescent="0.25"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3:40" x14ac:dyDescent="0.25"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3:40" x14ac:dyDescent="0.25"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3:40" x14ac:dyDescent="0.25"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3:40" x14ac:dyDescent="0.25"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3:40" x14ac:dyDescent="0.25"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spans="3:40" x14ac:dyDescent="0.25"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spans="3:40" x14ac:dyDescent="0.25"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spans="3:40" x14ac:dyDescent="0.25"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spans="3:40" x14ac:dyDescent="0.25"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spans="3:40" x14ac:dyDescent="0.25"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3:40" x14ac:dyDescent="0.25"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spans="3:40" x14ac:dyDescent="0.25"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 spans="3:40" x14ac:dyDescent="0.25"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spans="3:40" x14ac:dyDescent="0.25"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spans="3:40" x14ac:dyDescent="0.25"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3:40" x14ac:dyDescent="0.25"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3:40" x14ac:dyDescent="0.25"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spans="3:40" x14ac:dyDescent="0.25"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spans="3:40" x14ac:dyDescent="0.25"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spans="3:40" x14ac:dyDescent="0.25"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spans="3:40" x14ac:dyDescent="0.25"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spans="3:40" x14ac:dyDescent="0.25"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spans="3:40" x14ac:dyDescent="0.25"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spans="3:40" x14ac:dyDescent="0.25"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spans="3:40" x14ac:dyDescent="0.25"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spans="3:40" x14ac:dyDescent="0.25"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spans="3:40" x14ac:dyDescent="0.25"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spans="3:40" x14ac:dyDescent="0.25"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 spans="3:40" x14ac:dyDescent="0.25"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 spans="3:40" x14ac:dyDescent="0.25"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 spans="3:40" x14ac:dyDescent="0.25"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spans="3:40" x14ac:dyDescent="0.25"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spans="3:40" x14ac:dyDescent="0.25"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spans="3:40" x14ac:dyDescent="0.25"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spans="3:40" x14ac:dyDescent="0.25"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spans="3:40" x14ac:dyDescent="0.25"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spans="3:40" x14ac:dyDescent="0.25"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spans="3:40" x14ac:dyDescent="0.25"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spans="3:40" x14ac:dyDescent="0.25"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spans="3:40" x14ac:dyDescent="0.25"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spans="3:40" x14ac:dyDescent="0.25"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spans="3:40" x14ac:dyDescent="0.25"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spans="3:40" x14ac:dyDescent="0.25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3:40" x14ac:dyDescent="0.25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3:40" x14ac:dyDescent="0.25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3:40" x14ac:dyDescent="0.25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3:40" x14ac:dyDescent="0.25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3:40" x14ac:dyDescent="0.25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3:40" x14ac:dyDescent="0.25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3:40" x14ac:dyDescent="0.25"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3:40" x14ac:dyDescent="0.25"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3:40" x14ac:dyDescent="0.25"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3:40" x14ac:dyDescent="0.25"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3:40" x14ac:dyDescent="0.25"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3:40" x14ac:dyDescent="0.25"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3:40" x14ac:dyDescent="0.25"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3:40" x14ac:dyDescent="0.25"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3:40" x14ac:dyDescent="0.25"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3:40" x14ac:dyDescent="0.25"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3:40" x14ac:dyDescent="0.25"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3:40" x14ac:dyDescent="0.25"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3:40" x14ac:dyDescent="0.25"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3:40" x14ac:dyDescent="0.25"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3:40" x14ac:dyDescent="0.25"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3:40" x14ac:dyDescent="0.25"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3:40" x14ac:dyDescent="0.25"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3:40" x14ac:dyDescent="0.25"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spans="3:40" x14ac:dyDescent="0.25"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3:40" x14ac:dyDescent="0.25"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3:40" x14ac:dyDescent="0.25"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3:40" x14ac:dyDescent="0.25"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3:40" x14ac:dyDescent="0.25"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3:40" x14ac:dyDescent="0.25"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3:40" x14ac:dyDescent="0.25"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3:40" x14ac:dyDescent="0.25"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3:40" x14ac:dyDescent="0.25"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3:40" x14ac:dyDescent="0.25"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3:40" x14ac:dyDescent="0.25"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3:40" x14ac:dyDescent="0.25"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3:40" x14ac:dyDescent="0.25"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3:40" x14ac:dyDescent="0.25"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3:40" x14ac:dyDescent="0.25"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3:40" x14ac:dyDescent="0.25"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3:40" x14ac:dyDescent="0.25"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spans="3:40" x14ac:dyDescent="0.25"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3:40" x14ac:dyDescent="0.25"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3:40" x14ac:dyDescent="0.25"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3:40" x14ac:dyDescent="0.25"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3:40" x14ac:dyDescent="0.25"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3:40" x14ac:dyDescent="0.25"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3:40" x14ac:dyDescent="0.25"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3:40" x14ac:dyDescent="0.25"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3:40" x14ac:dyDescent="0.25"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spans="3:40" x14ac:dyDescent="0.25"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3:40" x14ac:dyDescent="0.25"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pans="3:40" x14ac:dyDescent="0.25"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3:40" x14ac:dyDescent="0.25"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3:40" x14ac:dyDescent="0.25"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pans="3:40" x14ac:dyDescent="0.25"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pans="3:40" x14ac:dyDescent="0.25"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3:40" x14ac:dyDescent="0.25"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3:40" x14ac:dyDescent="0.25"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3:40" x14ac:dyDescent="0.25"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pans="3:40" x14ac:dyDescent="0.25"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3:40" x14ac:dyDescent="0.25"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pans="3:40" x14ac:dyDescent="0.25"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3:40" x14ac:dyDescent="0.25"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pans="3:40" x14ac:dyDescent="0.25"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pans="3:40" x14ac:dyDescent="0.25"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3:40" x14ac:dyDescent="0.25"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3:40" x14ac:dyDescent="0.25"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3:40" x14ac:dyDescent="0.25"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3:40" x14ac:dyDescent="0.25"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3:40" x14ac:dyDescent="0.25"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3:40" x14ac:dyDescent="0.25"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3:40" x14ac:dyDescent="0.25"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3:40" x14ac:dyDescent="0.25"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3:40" x14ac:dyDescent="0.25"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pans="3:40" x14ac:dyDescent="0.25"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3:40" x14ac:dyDescent="0.25"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pans="3:40" x14ac:dyDescent="0.25"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3:40" x14ac:dyDescent="0.25"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pans="3:40" x14ac:dyDescent="0.25"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3:40" x14ac:dyDescent="0.25"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spans="3:40" x14ac:dyDescent="0.25"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3:40" x14ac:dyDescent="0.25"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3:40" x14ac:dyDescent="0.25"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3:40" x14ac:dyDescent="0.25"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3:40" x14ac:dyDescent="0.25"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3:40" x14ac:dyDescent="0.25"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3:40" x14ac:dyDescent="0.25"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pans="3:40" x14ac:dyDescent="0.25"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pans="3:40" x14ac:dyDescent="0.25"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spans="3:40" x14ac:dyDescent="0.25"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spans="3:40" x14ac:dyDescent="0.25"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spans="3:40" x14ac:dyDescent="0.25"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3:40" x14ac:dyDescent="0.25"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spans="3:40" x14ac:dyDescent="0.25"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spans="3:40" x14ac:dyDescent="0.25"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3:40" x14ac:dyDescent="0.25"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3:40" x14ac:dyDescent="0.25"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3:40" x14ac:dyDescent="0.25"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3:40" x14ac:dyDescent="0.25"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3:40" x14ac:dyDescent="0.25"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spans="3:40" x14ac:dyDescent="0.25"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spans="3:40" x14ac:dyDescent="0.25"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3:40" x14ac:dyDescent="0.25"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3:40" x14ac:dyDescent="0.25"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3:40" x14ac:dyDescent="0.25"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3:40" x14ac:dyDescent="0.25"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3:40" x14ac:dyDescent="0.25"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3:40" x14ac:dyDescent="0.25"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3:40" x14ac:dyDescent="0.25"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3:40" x14ac:dyDescent="0.25"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spans="3:40" x14ac:dyDescent="0.25"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spans="3:40" x14ac:dyDescent="0.25"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spans="3:40" x14ac:dyDescent="0.25"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spans="3:40" x14ac:dyDescent="0.25"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spans="3:40" x14ac:dyDescent="0.25"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spans="3:40" x14ac:dyDescent="0.25"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3:40" x14ac:dyDescent="0.25"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3:40" x14ac:dyDescent="0.25"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3:40" x14ac:dyDescent="0.25"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spans="3:40" x14ac:dyDescent="0.25"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3:40" x14ac:dyDescent="0.25"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3:40" x14ac:dyDescent="0.25"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3:40" x14ac:dyDescent="0.25"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3:40" x14ac:dyDescent="0.25"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3:40" x14ac:dyDescent="0.25"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spans="3:40" x14ac:dyDescent="0.25"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spans="3:40" x14ac:dyDescent="0.25"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spans="3:40" x14ac:dyDescent="0.25"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spans="3:40" x14ac:dyDescent="0.25"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spans="3:40" x14ac:dyDescent="0.25"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spans="3:40" x14ac:dyDescent="0.25"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spans="3:40" x14ac:dyDescent="0.25"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spans="3:40" x14ac:dyDescent="0.25"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spans="3:40" x14ac:dyDescent="0.25"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3:40" x14ac:dyDescent="0.25"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3:40" x14ac:dyDescent="0.25"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3:40" x14ac:dyDescent="0.25"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3:40" x14ac:dyDescent="0.25"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3:40" x14ac:dyDescent="0.25"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3:40" x14ac:dyDescent="0.25"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3:40" x14ac:dyDescent="0.25"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3:40" x14ac:dyDescent="0.25"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3:40" x14ac:dyDescent="0.25"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3:40" x14ac:dyDescent="0.25"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3:40" x14ac:dyDescent="0.25"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3:40" x14ac:dyDescent="0.25"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</sheetData>
  <phoneticPr fontId="0" type="noConversion"/>
  <pageMargins left="0.75" right="0.75" top="1" bottom="1" header="0.5" footer="0.5"/>
  <pageSetup orientation="portrait" r:id="rId1"/>
  <headerFooter alignWithMargins="0">
    <oddHeader>&amp;CYour Class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tabSelected="1" workbookViewId="0">
      <selection activeCell="B12" sqref="B12"/>
    </sheetView>
  </sheetViews>
  <sheetFormatPr defaultColWidth="9.1796875" defaultRowHeight="12.5" x14ac:dyDescent="0.25"/>
  <cols>
    <col min="2" max="2" width="9.81640625" customWidth="1"/>
    <col min="3" max="3" width="17.453125" customWidth="1"/>
    <col min="4" max="4" width="28" customWidth="1"/>
  </cols>
  <sheetData>
    <row r="1" spans="1:4" ht="13.5" thickBot="1" x14ac:dyDescent="0.35">
      <c r="A1" s="48" t="s">
        <v>0</v>
      </c>
      <c r="B1" s="48"/>
      <c r="C1" s="49" t="s">
        <v>5</v>
      </c>
      <c r="D1" s="48" t="s">
        <v>6</v>
      </c>
    </row>
    <row r="2" spans="1:4" x14ac:dyDescent="0.25">
      <c r="A2" s="38" t="str">
        <f>IF(ISBLANK(Attendance!A2),"",Attendance!A2)</f>
        <v/>
      </c>
      <c r="B2" s="50" t="str">
        <f>IF(ISBLANK(Attendance!B2),"",Attendance!B2)</f>
        <v/>
      </c>
      <c r="C2" s="4"/>
    </row>
    <row r="3" spans="1:4" x14ac:dyDescent="0.25">
      <c r="A3" s="38" t="str">
        <f>IF(ISBLANK(Attendance!A3),"",Attendance!A3)</f>
        <v/>
      </c>
      <c r="B3" s="50" t="str">
        <f>IF(ISBLANK(Attendance!B3),"",Attendance!B3)</f>
        <v/>
      </c>
      <c r="C3" s="4"/>
    </row>
    <row r="4" spans="1:4" x14ac:dyDescent="0.25">
      <c r="A4" s="38" t="str">
        <f>IF(ISBLANK(Attendance!A4),"",Attendance!A4)</f>
        <v/>
      </c>
      <c r="B4" s="50" t="str">
        <f>IF(ISBLANK(Attendance!B4),"",Attendance!B4)</f>
        <v/>
      </c>
      <c r="C4" s="4"/>
    </row>
    <row r="5" spans="1:4" x14ac:dyDescent="0.25">
      <c r="A5" s="38" t="str">
        <f>IF(ISBLANK(Attendance!A5),"",Attendance!A5)</f>
        <v/>
      </c>
      <c r="B5" s="50" t="str">
        <f>IF(ISBLANK(Attendance!B5),"",Attendance!B5)</f>
        <v/>
      </c>
      <c r="C5" s="4"/>
    </row>
    <row r="6" spans="1:4" x14ac:dyDescent="0.25">
      <c r="A6" s="38" t="str">
        <f>IF(ISBLANK(Attendance!A6),"",Attendance!A6)</f>
        <v/>
      </c>
      <c r="B6" s="50" t="str">
        <f>IF(ISBLANK(Attendance!B6),"",Attendance!B6)</f>
        <v/>
      </c>
      <c r="C6" s="4"/>
    </row>
    <row r="7" spans="1:4" x14ac:dyDescent="0.25">
      <c r="A7" s="38" t="str">
        <f>IF(ISBLANK(Attendance!A7),"",Attendance!A7)</f>
        <v/>
      </c>
      <c r="B7" s="50" t="str">
        <f>IF(ISBLANK(Attendance!B7),"",Attendance!B7)</f>
        <v/>
      </c>
      <c r="C7" s="4"/>
    </row>
    <row r="8" spans="1:4" x14ac:dyDescent="0.25">
      <c r="A8" s="38" t="str">
        <f>IF(ISBLANK(Attendance!A8),"",Attendance!A8)</f>
        <v>john</v>
      </c>
      <c r="B8" s="50" t="str">
        <f>IF(ISBLANK(Attendance!B8),"",Attendance!B8)</f>
        <v>smith</v>
      </c>
      <c r="C8" s="4"/>
    </row>
    <row r="9" spans="1:4" x14ac:dyDescent="0.25">
      <c r="A9" s="38" t="str">
        <f>IF(ISBLANK(Attendance!A9),"",Attendance!A9)</f>
        <v/>
      </c>
      <c r="B9" s="50" t="str">
        <f>IF(ISBLANK(Attendance!B9),"",Attendance!B9)</f>
        <v/>
      </c>
      <c r="C9" s="4"/>
    </row>
    <row r="10" spans="1:4" x14ac:dyDescent="0.25">
      <c r="A10" s="38" t="str">
        <f>IF(ISBLANK(Attendance!A10),"",Attendance!A10)</f>
        <v/>
      </c>
      <c r="B10" s="50" t="str">
        <f>IF(ISBLANK(Attendance!B10),"",Attendance!B10)</f>
        <v/>
      </c>
      <c r="C10" s="4"/>
    </row>
    <row r="11" spans="1:4" x14ac:dyDescent="0.25">
      <c r="A11" s="38" t="str">
        <f>IF(ISBLANK(Attendance!A11),"",Attendance!A11)</f>
        <v/>
      </c>
      <c r="B11" s="50" t="str">
        <f>IF(ISBLANK(Attendance!B11),"",Attendance!B11)</f>
        <v/>
      </c>
      <c r="C11" s="4"/>
    </row>
    <row r="12" spans="1:4" x14ac:dyDescent="0.25">
      <c r="A12" s="38" t="str">
        <f>IF(ISBLANK(Attendance!A12),"",Attendance!A12)</f>
        <v/>
      </c>
      <c r="B12" s="50" t="str">
        <f>IF(ISBLANK(Attendance!B12),"",Attendance!B12)</f>
        <v/>
      </c>
      <c r="C12" s="4"/>
    </row>
    <row r="13" spans="1:4" x14ac:dyDescent="0.25">
      <c r="A13" s="38" t="str">
        <f>IF(ISBLANK(Attendance!A13),"",Attendance!A13)</f>
        <v/>
      </c>
      <c r="B13" s="50" t="str">
        <f>IF(ISBLANK(Attendance!B13),"",Attendance!B13)</f>
        <v/>
      </c>
      <c r="C13" s="4"/>
    </row>
    <row r="14" spans="1:4" x14ac:dyDescent="0.25">
      <c r="A14" s="38" t="str">
        <f>IF(ISBLANK(Attendance!A14),"",Attendance!A14)</f>
        <v/>
      </c>
      <c r="B14" s="50" t="str">
        <f>IF(ISBLANK(Attendance!B14),"",Attendance!B14)</f>
        <v/>
      </c>
      <c r="C14" s="4"/>
    </row>
    <row r="15" spans="1:4" x14ac:dyDescent="0.25">
      <c r="A15" s="38" t="str">
        <f>IF(ISBLANK(Attendance!A15),"",Attendance!A15)</f>
        <v/>
      </c>
      <c r="B15" s="50" t="str">
        <f>IF(ISBLANK(Attendance!B15),"",Attendance!B15)</f>
        <v/>
      </c>
      <c r="C15" s="4"/>
    </row>
    <row r="16" spans="1:4" x14ac:dyDescent="0.25">
      <c r="A16" s="38" t="str">
        <f>IF(ISBLANK(Attendance!A16),"",Attendance!A16)</f>
        <v/>
      </c>
      <c r="B16" s="50" t="str">
        <f>IF(ISBLANK(Attendance!B16),"",Attendance!B16)</f>
        <v/>
      </c>
      <c r="C16" s="4"/>
    </row>
    <row r="17" spans="1:3" x14ac:dyDescent="0.25">
      <c r="A17" s="38" t="str">
        <f>IF(ISBLANK(Attendance!A17),"",Attendance!A17)</f>
        <v/>
      </c>
      <c r="B17" s="50" t="str">
        <f>IF(ISBLANK(Attendance!B17),"",Attendance!B17)</f>
        <v/>
      </c>
      <c r="C17" s="4"/>
    </row>
    <row r="18" spans="1:3" x14ac:dyDescent="0.25">
      <c r="A18" s="38" t="str">
        <f>IF(ISBLANK(Attendance!A18),"",Attendance!A18)</f>
        <v/>
      </c>
      <c r="B18" s="50" t="str">
        <f>IF(ISBLANK(Attendance!B18),"",Attendance!B18)</f>
        <v/>
      </c>
      <c r="C18" s="4"/>
    </row>
    <row r="19" spans="1:3" x14ac:dyDescent="0.25">
      <c r="A19" s="38" t="str">
        <f>IF(ISBLANK(Attendance!A19),"",Attendance!A19)</f>
        <v/>
      </c>
      <c r="B19" s="50" t="str">
        <f>IF(ISBLANK(Attendance!B19),"",Attendance!B19)</f>
        <v/>
      </c>
      <c r="C19" s="4"/>
    </row>
    <row r="20" spans="1:3" x14ac:dyDescent="0.25">
      <c r="A20" s="38" t="str">
        <f>IF(ISBLANK(Attendance!A20),"",Attendance!A20)</f>
        <v/>
      </c>
      <c r="B20" s="50" t="str">
        <f>IF(ISBLANK(Attendance!B20),"",Attendance!B20)</f>
        <v/>
      </c>
      <c r="C20" s="4"/>
    </row>
    <row r="21" spans="1:3" x14ac:dyDescent="0.25">
      <c r="A21" s="38" t="str">
        <f>IF(ISBLANK(Attendance!A21),"",Attendance!A21)</f>
        <v/>
      </c>
      <c r="B21" s="50" t="str">
        <f>IF(ISBLANK(Attendance!B21),"",Attendance!B21)</f>
        <v/>
      </c>
      <c r="C21" s="4"/>
    </row>
    <row r="22" spans="1:3" x14ac:dyDescent="0.25">
      <c r="A22" s="38" t="str">
        <f>IF(ISBLANK(Attendance!A22),"",Attendance!A22)</f>
        <v/>
      </c>
      <c r="B22" s="50" t="str">
        <f>IF(ISBLANK(Attendance!B22),"",Attendance!B22)</f>
        <v/>
      </c>
      <c r="C22" s="4"/>
    </row>
    <row r="23" spans="1:3" x14ac:dyDescent="0.25">
      <c r="A23" s="38" t="str">
        <f>IF(ISBLANK(Attendance!A23),"",Attendance!A23)</f>
        <v/>
      </c>
      <c r="B23" s="50" t="str">
        <f>IF(ISBLANK(Attendance!B23),"",Attendance!B23)</f>
        <v/>
      </c>
      <c r="C23" s="4"/>
    </row>
    <row r="24" spans="1:3" x14ac:dyDescent="0.25">
      <c r="A24" s="38" t="str">
        <f>IF(ISBLANK(Attendance!A24),"",Attendance!A24)</f>
        <v/>
      </c>
      <c r="B24" s="50" t="str">
        <f>IF(ISBLANK(Attendance!B24),"",Attendance!B24)</f>
        <v/>
      </c>
      <c r="C24" s="4"/>
    </row>
    <row r="25" spans="1:3" x14ac:dyDescent="0.25">
      <c r="A25" s="38" t="str">
        <f>IF(ISBLANK(Attendance!A25),"",Attendance!A25)</f>
        <v/>
      </c>
      <c r="B25" s="50" t="str">
        <f>IF(ISBLANK(Attendance!B25),"",Attendance!B25)</f>
        <v/>
      </c>
      <c r="C25" s="4"/>
    </row>
    <row r="26" spans="1:3" x14ac:dyDescent="0.25">
      <c r="A26" s="38" t="str">
        <f>IF(ISBLANK(Attendance!A26),"",Attendance!A26)</f>
        <v/>
      </c>
      <c r="B26" s="50" t="str">
        <f>IF(ISBLANK(Attendance!B26),"",Attendance!B26)</f>
        <v/>
      </c>
      <c r="C26" s="4"/>
    </row>
    <row r="27" spans="1:3" x14ac:dyDescent="0.25">
      <c r="A27" s="38" t="str">
        <f>IF(ISBLANK(Attendance!A27),"",Attendance!A27)</f>
        <v/>
      </c>
      <c r="B27" s="50" t="str">
        <f>IF(ISBLANK(Attendance!B27),"",Attendance!B27)</f>
        <v/>
      </c>
      <c r="C27" s="4"/>
    </row>
    <row r="28" spans="1:3" x14ac:dyDescent="0.25">
      <c r="A28" s="38" t="str">
        <f>IF(ISBLANK(Attendance!A28),"",Attendance!A28)</f>
        <v/>
      </c>
      <c r="B28" s="50" t="str">
        <f>IF(ISBLANK(Attendance!B28),"",Attendance!B28)</f>
        <v/>
      </c>
      <c r="C28" s="4"/>
    </row>
    <row r="29" spans="1:3" x14ac:dyDescent="0.25">
      <c r="A29" s="38" t="str">
        <f>IF(ISBLANK(Attendance!A29),"",Attendance!A29)</f>
        <v/>
      </c>
      <c r="B29" s="50" t="str">
        <f>IF(ISBLANK(Attendance!B29),"",Attendance!B29)</f>
        <v/>
      </c>
      <c r="C29" s="4"/>
    </row>
    <row r="30" spans="1:3" x14ac:dyDescent="0.25">
      <c r="A30" s="38" t="str">
        <f>IF(ISBLANK(Attendance!A30),"",Attendance!A30)</f>
        <v/>
      </c>
      <c r="B30" s="50" t="str">
        <f>IF(ISBLANK(Attendance!B30),"",Attendance!B30)</f>
        <v/>
      </c>
      <c r="C30" s="4"/>
    </row>
    <row r="31" spans="1:3" x14ac:dyDescent="0.25">
      <c r="A31" s="38" t="str">
        <f>IF(ISBLANK(Attendance!A31),"",Attendance!A31)</f>
        <v/>
      </c>
      <c r="B31" s="50" t="str">
        <f>IF(ISBLANK(Attendance!B31),"",Attendance!B31)</f>
        <v/>
      </c>
      <c r="C31" s="4"/>
    </row>
    <row r="32" spans="1:3" x14ac:dyDescent="0.25">
      <c r="A32" s="38" t="str">
        <f>IF(ISBLANK(Attendance!A32),"",Attendance!A32)</f>
        <v/>
      </c>
      <c r="B32" s="50" t="str">
        <f>IF(ISBLANK(Attendance!B32),"",Attendance!B32)</f>
        <v/>
      </c>
      <c r="C32" s="4"/>
    </row>
    <row r="33" spans="1:3" x14ac:dyDescent="0.25">
      <c r="A33" s="38" t="str">
        <f>IF(ISBLANK(Attendance!A33),"",Attendance!A33)</f>
        <v/>
      </c>
      <c r="B33" s="50" t="str">
        <f>IF(ISBLANK(Attendance!B33),"",Attendance!B33)</f>
        <v/>
      </c>
      <c r="C33" s="4"/>
    </row>
    <row r="34" spans="1:3" x14ac:dyDescent="0.25">
      <c r="A34" s="38" t="str">
        <f>IF(ISBLANK(Attendance!A34),"",Attendance!A34)</f>
        <v/>
      </c>
      <c r="B34" s="50" t="str">
        <f>IF(ISBLANK(Attendance!B34),"",Attendance!B34)</f>
        <v/>
      </c>
      <c r="C34" s="4"/>
    </row>
    <row r="35" spans="1:3" x14ac:dyDescent="0.25">
      <c r="A35" s="38" t="str">
        <f>IF(ISBLANK(Attendance!A35),"",Attendance!A35)</f>
        <v/>
      </c>
      <c r="B35" s="50" t="str">
        <f>IF(ISBLANK(Attendance!B35),"",Attendance!B35)</f>
        <v/>
      </c>
      <c r="C35" s="4"/>
    </row>
    <row r="36" spans="1:3" x14ac:dyDescent="0.25">
      <c r="A36" s="1"/>
      <c r="B36" s="51"/>
      <c r="C36" s="4"/>
    </row>
    <row r="37" spans="1:3" x14ac:dyDescent="0.25">
      <c r="A37" s="1"/>
      <c r="C37" s="4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3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0" sqref="C20"/>
    </sheetView>
  </sheetViews>
  <sheetFormatPr defaultColWidth="9.1796875" defaultRowHeight="12.5" x14ac:dyDescent="0.25"/>
  <cols>
    <col min="3" max="3" width="11.1796875" customWidth="1"/>
    <col min="4" max="4" width="12.7265625" customWidth="1"/>
    <col min="5" max="5" width="6.26953125" bestFit="1" customWidth="1"/>
    <col min="6" max="6" width="9" customWidth="1"/>
    <col min="7" max="7" width="4.81640625" bestFit="1" customWidth="1"/>
    <col min="8" max="8" width="7.7265625" customWidth="1"/>
    <col min="9" max="9" width="8.81640625" customWidth="1"/>
    <col min="10" max="10" width="10.54296875" customWidth="1"/>
    <col min="11" max="11" width="7.453125" customWidth="1"/>
    <col min="12" max="12" width="15.1796875" bestFit="1" customWidth="1"/>
    <col min="13" max="14" width="9.26953125" customWidth="1"/>
    <col min="15" max="15" width="8" bestFit="1" customWidth="1"/>
    <col min="16" max="16" width="8.26953125" customWidth="1"/>
    <col min="17" max="17" width="12.7265625" bestFit="1" customWidth="1"/>
    <col min="18" max="18" width="7.26953125" bestFit="1" customWidth="1"/>
    <col min="19" max="19" width="11.453125" customWidth="1"/>
    <col min="20" max="20" width="9.81640625" bestFit="1" customWidth="1"/>
    <col min="21" max="21" width="9.1796875" bestFit="1" customWidth="1"/>
    <col min="22" max="22" width="8.453125" bestFit="1" customWidth="1"/>
    <col min="23" max="23" width="9" customWidth="1"/>
    <col min="24" max="24" width="10.453125" bestFit="1" customWidth="1"/>
    <col min="25" max="25" width="9.453125" bestFit="1" customWidth="1"/>
    <col min="26" max="26" width="6.81640625" bestFit="1" customWidth="1"/>
    <col min="27" max="27" width="9.453125" customWidth="1"/>
    <col min="28" max="28" width="8.26953125" customWidth="1"/>
    <col min="29" max="29" width="8.26953125" bestFit="1" customWidth="1"/>
    <col min="30" max="30" width="6.81640625" bestFit="1" customWidth="1"/>
    <col min="33" max="33" width="6" bestFit="1" customWidth="1"/>
    <col min="58" max="58" width="10.81640625" customWidth="1"/>
  </cols>
  <sheetData>
    <row r="1" spans="1:71" ht="34.5" customHeight="1" thickBot="1" x14ac:dyDescent="0.3">
      <c r="A1" s="6" t="s">
        <v>0</v>
      </c>
      <c r="B1" s="6"/>
      <c r="C1" s="7" t="s">
        <v>2</v>
      </c>
      <c r="D1" s="8" t="s">
        <v>7</v>
      </c>
      <c r="E1" s="9" t="s">
        <v>8</v>
      </c>
      <c r="F1" s="7" t="s">
        <v>9</v>
      </c>
      <c r="G1" s="8" t="s">
        <v>10</v>
      </c>
      <c r="H1" s="8" t="s">
        <v>11</v>
      </c>
      <c r="I1" s="8" t="s">
        <v>12</v>
      </c>
      <c r="J1" s="8" t="s">
        <v>13</v>
      </c>
      <c r="K1" s="8" t="s">
        <v>14</v>
      </c>
      <c r="L1" s="8" t="s">
        <v>15</v>
      </c>
      <c r="M1" s="8" t="s">
        <v>16</v>
      </c>
      <c r="N1" s="8" t="s">
        <v>17</v>
      </c>
      <c r="O1" s="8" t="s">
        <v>18</v>
      </c>
      <c r="P1" s="8" t="s">
        <v>19</v>
      </c>
      <c r="Q1" s="8" t="s">
        <v>20</v>
      </c>
      <c r="R1" s="8" t="s">
        <v>21</v>
      </c>
      <c r="S1" s="8" t="s">
        <v>22</v>
      </c>
      <c r="T1" s="8" t="s">
        <v>23</v>
      </c>
      <c r="U1" s="8" t="s">
        <v>24</v>
      </c>
      <c r="V1" s="8" t="s">
        <v>25</v>
      </c>
      <c r="W1" s="8" t="s">
        <v>26</v>
      </c>
      <c r="X1" s="9" t="s">
        <v>27</v>
      </c>
      <c r="Y1" s="11" t="s">
        <v>28</v>
      </c>
      <c r="Z1" s="10" t="s">
        <v>29</v>
      </c>
      <c r="AA1" s="10" t="s">
        <v>30</v>
      </c>
      <c r="AB1" s="10" t="s">
        <v>31</v>
      </c>
      <c r="AC1" s="10" t="s">
        <v>32</v>
      </c>
      <c r="AD1" s="12" t="s">
        <v>33</v>
      </c>
      <c r="AE1" s="8" t="s">
        <v>34</v>
      </c>
      <c r="AF1" s="8" t="s">
        <v>35</v>
      </c>
      <c r="AG1" s="13" t="s">
        <v>36</v>
      </c>
      <c r="AH1" s="12" t="s">
        <v>37</v>
      </c>
      <c r="AI1" s="8" t="s">
        <v>38</v>
      </c>
      <c r="AJ1" s="13" t="s">
        <v>39</v>
      </c>
      <c r="AK1" s="12" t="s">
        <v>40</v>
      </c>
      <c r="AL1" s="8" t="s">
        <v>41</v>
      </c>
      <c r="AM1" s="8" t="s">
        <v>42</v>
      </c>
      <c r="AN1" s="13" t="s">
        <v>43</v>
      </c>
      <c r="AO1" s="12" t="s">
        <v>44</v>
      </c>
      <c r="AP1" s="8" t="s">
        <v>45</v>
      </c>
      <c r="AQ1" s="8" t="s">
        <v>46</v>
      </c>
      <c r="AR1" s="13" t="s">
        <v>47</v>
      </c>
      <c r="AS1" s="12" t="s">
        <v>48</v>
      </c>
      <c r="AT1" s="8" t="s">
        <v>49</v>
      </c>
      <c r="AU1" s="8" t="s">
        <v>50</v>
      </c>
      <c r="AV1" s="13" t="s">
        <v>51</v>
      </c>
      <c r="AW1" s="12" t="s">
        <v>52</v>
      </c>
      <c r="AX1" s="8" t="s">
        <v>53</v>
      </c>
      <c r="AY1" s="8" t="s">
        <v>54</v>
      </c>
      <c r="AZ1" s="9" t="s">
        <v>55</v>
      </c>
      <c r="BA1" s="11" t="s">
        <v>63</v>
      </c>
      <c r="BB1" s="7" t="s">
        <v>56</v>
      </c>
      <c r="BC1" s="8"/>
      <c r="BD1" s="8" t="s">
        <v>57</v>
      </c>
      <c r="BE1" s="8"/>
      <c r="BF1" s="8" t="s">
        <v>58</v>
      </c>
      <c r="BG1" s="9" t="s">
        <v>59</v>
      </c>
      <c r="BH1" s="2"/>
      <c r="BI1" s="2" t="s">
        <v>60</v>
      </c>
      <c r="BJ1" s="2" t="s">
        <v>61</v>
      </c>
      <c r="BK1" s="2" t="s">
        <v>62</v>
      </c>
      <c r="BL1" s="2"/>
      <c r="BM1" s="2"/>
      <c r="BN1" s="2"/>
      <c r="BO1" s="2"/>
      <c r="BP1" s="2"/>
      <c r="BQ1" s="2"/>
      <c r="BR1" s="2"/>
      <c r="BS1" s="2"/>
    </row>
    <row r="2" spans="1:71" ht="13" x14ac:dyDescent="0.3">
      <c r="A2" s="38" t="str">
        <f>IF(ISBLANK(Attendance!A2),"",Attendance!A2)</f>
        <v/>
      </c>
      <c r="B2" s="50" t="str">
        <f>IF(ISBLANK(Attendance!B2),"",Attendance!B2)</f>
        <v/>
      </c>
      <c r="C2" s="27" t="str">
        <f>IF(ISBLANK(Attendance!A2),"",Attendance!AJ2)</f>
        <v/>
      </c>
      <c r="D2" s="42"/>
      <c r="E2" s="16"/>
      <c r="F2" s="14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6"/>
      <c r="Y2" s="17">
        <f xml:space="preserve"> SUM(F2:X2)</f>
        <v>0</v>
      </c>
      <c r="Z2" s="18"/>
      <c r="AA2" s="19"/>
      <c r="AB2" s="19">
        <f t="shared" ref="AB2:AB35" si="0">(Z2+AA2)</f>
        <v>0</v>
      </c>
      <c r="AC2" s="20">
        <f>AB2/40</f>
        <v>0</v>
      </c>
      <c r="AD2" s="21"/>
      <c r="AE2" s="19"/>
      <c r="AF2" s="19">
        <f t="shared" ref="AF2:AF35" si="1">(AD2+AE2)</f>
        <v>0</v>
      </c>
      <c r="AG2" s="20">
        <f>AF2/40</f>
        <v>0</v>
      </c>
      <c r="AH2" s="22"/>
      <c r="AI2" s="15"/>
      <c r="AJ2" s="23">
        <f>AH2/20</f>
        <v>0</v>
      </c>
      <c r="AK2" s="22"/>
      <c r="AL2" s="15"/>
      <c r="AM2" s="15">
        <f t="shared" ref="AM2:AM35" si="2">(AK2+AL2)</f>
        <v>0</v>
      </c>
      <c r="AN2" s="23">
        <f>AM2/40</f>
        <v>0</v>
      </c>
      <c r="AO2" s="22"/>
      <c r="AP2" s="15"/>
      <c r="AQ2" s="15">
        <f t="shared" ref="AQ2:AQ35" si="3">(AO2+AP2)</f>
        <v>0</v>
      </c>
      <c r="AR2" s="23">
        <f>AQ2/40</f>
        <v>0</v>
      </c>
      <c r="AS2" s="22"/>
      <c r="AT2" s="15"/>
      <c r="AU2" s="15">
        <f t="shared" ref="AU2:AU35" si="4" xml:space="preserve"> AS2+AT2</f>
        <v>0</v>
      </c>
      <c r="AV2" s="23">
        <f>AU2/40</f>
        <v>0</v>
      </c>
      <c r="AW2" s="22"/>
      <c r="AX2" s="15"/>
      <c r="AY2" s="15">
        <f t="shared" ref="AY2:AY35" si="5" xml:space="preserve"> (AW2+AX2)</f>
        <v>0</v>
      </c>
      <c r="AZ2" s="24">
        <f t="shared" ref="AZ2:AZ22" si="6" xml:space="preserve"> AY2/50</f>
        <v>0</v>
      </c>
      <c r="BA2" s="25">
        <f>SUM(AB2,AF2,AI2,AM2,AQ2,AU2,AY2)-SMALL((AB2,AF2,AI2,AM2,AQ2,AU2,AY2),1)</f>
        <v>0</v>
      </c>
      <c r="BB2" s="14">
        <f t="shared" ref="BB2:BB35" si="7" xml:space="preserve"> BK2</f>
        <v>0</v>
      </c>
      <c r="BC2" s="15"/>
      <c r="BD2" s="15">
        <f t="shared" ref="BD2:BD35" si="8">SUM(C2,D2,Y2,BA2,BB2)</f>
        <v>0</v>
      </c>
      <c r="BE2" s="15"/>
      <c r="BF2" s="26">
        <f>BD2/400</f>
        <v>0</v>
      </c>
      <c r="BG2" s="16"/>
      <c r="BK2" s="5">
        <f t="shared" ref="BK2:BK22" si="9" xml:space="preserve"> (BI2+BJ2)*3.75</f>
        <v>0</v>
      </c>
    </row>
    <row r="3" spans="1:71" ht="13" x14ac:dyDescent="0.3">
      <c r="A3" s="38" t="str">
        <f>IF(ISBLANK(Attendance!A3),"",Attendance!A3)</f>
        <v/>
      </c>
      <c r="B3" s="50" t="str">
        <f>IF(ISBLANK(Attendance!B3),"",Attendance!B3)</f>
        <v/>
      </c>
      <c r="C3" s="27" t="str">
        <f>IF(ISBLANK(Attendance!A3),"",Attendance!AJ3)</f>
        <v/>
      </c>
      <c r="D3" s="43"/>
      <c r="E3" s="29"/>
      <c r="F3" s="27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9"/>
      <c r="Y3" s="30">
        <f xml:space="preserve"> SUM(F3:X3)</f>
        <v>0</v>
      </c>
      <c r="Z3" s="27"/>
      <c r="AA3" s="28"/>
      <c r="AB3" s="28">
        <f>(Z3+AA3)</f>
        <v>0</v>
      </c>
      <c r="AC3" s="31">
        <f t="shared" ref="AC3:AC35" si="10">AB3/40</f>
        <v>0</v>
      </c>
      <c r="AD3" s="32"/>
      <c r="AE3" s="28"/>
      <c r="AF3" s="28">
        <f t="shared" si="1"/>
        <v>0</v>
      </c>
      <c r="AG3" s="31">
        <f>AF3/40</f>
        <v>0</v>
      </c>
      <c r="AH3" s="32"/>
      <c r="AI3" s="28"/>
      <c r="AJ3" s="31">
        <f>AH3/20</f>
        <v>0</v>
      </c>
      <c r="AK3" s="32"/>
      <c r="AL3" s="28"/>
      <c r="AM3" s="28">
        <f>(AK3+AL3)</f>
        <v>0</v>
      </c>
      <c r="AN3" s="31">
        <f>AM3/40</f>
        <v>0</v>
      </c>
      <c r="AO3" s="32"/>
      <c r="AP3" s="28"/>
      <c r="AQ3" s="28">
        <f>(AO3+AP3)</f>
        <v>0</v>
      </c>
      <c r="AR3" s="31">
        <f>AQ3/40</f>
        <v>0</v>
      </c>
      <c r="AS3" s="32"/>
      <c r="AT3" s="28"/>
      <c r="AU3" s="28">
        <f xml:space="preserve"> AS3+AT3</f>
        <v>0</v>
      </c>
      <c r="AV3" s="31">
        <f>AU3/40</f>
        <v>0</v>
      </c>
      <c r="AW3" s="32"/>
      <c r="AX3" s="28"/>
      <c r="AY3" s="28">
        <f xml:space="preserve"> (AW3+AX3)</f>
        <v>0</v>
      </c>
      <c r="AZ3" s="33">
        <f t="shared" si="6"/>
        <v>0</v>
      </c>
      <c r="BA3" s="34">
        <f>SUM(AB3,AF3,AI3,AM3,AQ3,AU3,AY3)-SMALL((AB3,AF3,AI3,AM3,AQ3,AU3,AY3),1)</f>
        <v>0</v>
      </c>
      <c r="BB3" s="27">
        <f xml:space="preserve"> BK3</f>
        <v>0</v>
      </c>
      <c r="BC3" s="28"/>
      <c r="BD3" s="28">
        <f t="shared" si="8"/>
        <v>0</v>
      </c>
      <c r="BE3" s="28"/>
      <c r="BF3" s="35">
        <f>BD3/400</f>
        <v>0</v>
      </c>
      <c r="BG3" s="29"/>
      <c r="BK3" s="5">
        <f xml:space="preserve"> (BI3+BJ3)*3.75</f>
        <v>0</v>
      </c>
    </row>
    <row r="4" spans="1:71" ht="13" x14ac:dyDescent="0.3">
      <c r="A4" s="38" t="str">
        <f>IF(ISBLANK(Attendance!A4),"",Attendance!A4)</f>
        <v/>
      </c>
      <c r="B4" s="50" t="str">
        <f>IF(ISBLANK(Attendance!B4),"",Attendance!B4)</f>
        <v/>
      </c>
      <c r="C4" s="27" t="str">
        <f>IF(ISBLANK(Attendance!A4),"",Attendance!AJ4)</f>
        <v/>
      </c>
      <c r="D4" s="43"/>
      <c r="E4" s="29"/>
      <c r="F4" s="27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9"/>
      <c r="Y4" s="30">
        <f t="shared" ref="Y4:Y35" si="11" xml:space="preserve"> SUM(F4:X4)</f>
        <v>0</v>
      </c>
      <c r="Z4" s="27"/>
      <c r="AA4" s="28"/>
      <c r="AB4" s="28">
        <f t="shared" si="0"/>
        <v>0</v>
      </c>
      <c r="AC4" s="31">
        <f t="shared" si="10"/>
        <v>0</v>
      </c>
      <c r="AD4" s="32"/>
      <c r="AE4" s="28"/>
      <c r="AF4" s="28">
        <f t="shared" si="1"/>
        <v>0</v>
      </c>
      <c r="AG4" s="31">
        <f t="shared" ref="AG4:AG35" si="12">AF4/40</f>
        <v>0</v>
      </c>
      <c r="AH4" s="32"/>
      <c r="AI4" s="28"/>
      <c r="AJ4" s="31">
        <f t="shared" ref="AJ4:AJ35" si="13">AH4/20</f>
        <v>0</v>
      </c>
      <c r="AK4" s="32"/>
      <c r="AL4" s="28"/>
      <c r="AM4" s="28">
        <f t="shared" si="2"/>
        <v>0</v>
      </c>
      <c r="AN4" s="31">
        <f t="shared" ref="AN4:AN35" si="14">AM4/40</f>
        <v>0</v>
      </c>
      <c r="AO4" s="32"/>
      <c r="AP4" s="28"/>
      <c r="AQ4" s="28">
        <f t="shared" si="3"/>
        <v>0</v>
      </c>
      <c r="AR4" s="31">
        <f>AQ4/40</f>
        <v>0</v>
      </c>
      <c r="AS4" s="32"/>
      <c r="AT4" s="28"/>
      <c r="AU4" s="28">
        <f t="shared" si="4"/>
        <v>0</v>
      </c>
      <c r="AV4" s="31">
        <f t="shared" ref="AV4:AV35" si="15">AU4/40</f>
        <v>0</v>
      </c>
      <c r="AW4" s="32"/>
      <c r="AX4" s="28"/>
      <c r="AY4" s="28">
        <f t="shared" si="5"/>
        <v>0</v>
      </c>
      <c r="AZ4" s="33">
        <f t="shared" si="6"/>
        <v>0</v>
      </c>
      <c r="BA4" s="34">
        <f>SUM(AB4,AF4,AI4,AM4,AQ4,AU4,AY4)-SMALL((AB4,AF4,AI4,AM4,AQ4,AU4,AY4),1)</f>
        <v>0</v>
      </c>
      <c r="BB4" s="27">
        <f t="shared" si="7"/>
        <v>0</v>
      </c>
      <c r="BC4" s="28"/>
      <c r="BD4" s="28">
        <f t="shared" si="8"/>
        <v>0</v>
      </c>
      <c r="BE4" s="28"/>
      <c r="BF4" s="35">
        <f t="shared" ref="BF4:BF30" si="16">BD4/400</f>
        <v>0</v>
      </c>
      <c r="BG4" s="29"/>
      <c r="BK4" s="5">
        <f t="shared" si="9"/>
        <v>0</v>
      </c>
    </row>
    <row r="5" spans="1:71" ht="13" x14ac:dyDescent="0.3">
      <c r="A5" s="38" t="str">
        <f>IF(ISBLANK(Attendance!A5),"",Attendance!A5)</f>
        <v/>
      </c>
      <c r="B5" s="50" t="str">
        <f>IF(ISBLANK(Attendance!B5),"",Attendance!B5)</f>
        <v/>
      </c>
      <c r="C5" s="27" t="str">
        <f>IF(ISBLANK(Attendance!A5),"",Attendance!AJ5)</f>
        <v/>
      </c>
      <c r="D5" s="43"/>
      <c r="E5" s="29"/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  <c r="Y5" s="30">
        <f t="shared" si="11"/>
        <v>0</v>
      </c>
      <c r="Z5" s="27"/>
      <c r="AA5" s="28"/>
      <c r="AB5" s="28">
        <f t="shared" si="0"/>
        <v>0</v>
      </c>
      <c r="AC5" s="31">
        <f t="shared" si="10"/>
        <v>0</v>
      </c>
      <c r="AD5" s="32"/>
      <c r="AE5" s="28"/>
      <c r="AF5" s="28">
        <f t="shared" si="1"/>
        <v>0</v>
      </c>
      <c r="AG5" s="31">
        <f t="shared" si="12"/>
        <v>0</v>
      </c>
      <c r="AH5" s="32"/>
      <c r="AI5" s="28"/>
      <c r="AJ5" s="31">
        <f t="shared" si="13"/>
        <v>0</v>
      </c>
      <c r="AK5" s="32"/>
      <c r="AL5" s="28"/>
      <c r="AM5" s="28">
        <f t="shared" si="2"/>
        <v>0</v>
      </c>
      <c r="AN5" s="31">
        <f t="shared" si="14"/>
        <v>0</v>
      </c>
      <c r="AO5" s="32"/>
      <c r="AP5" s="28"/>
      <c r="AQ5" s="28">
        <f t="shared" si="3"/>
        <v>0</v>
      </c>
      <c r="AR5" s="31">
        <f>AQ5/40</f>
        <v>0</v>
      </c>
      <c r="AS5" s="32"/>
      <c r="AT5" s="28"/>
      <c r="AU5" s="28">
        <f t="shared" si="4"/>
        <v>0</v>
      </c>
      <c r="AV5" s="31">
        <f t="shared" si="15"/>
        <v>0</v>
      </c>
      <c r="AW5" s="32"/>
      <c r="AX5" s="28"/>
      <c r="AY5" s="28">
        <f t="shared" si="5"/>
        <v>0</v>
      </c>
      <c r="AZ5" s="33">
        <f t="shared" si="6"/>
        <v>0</v>
      </c>
      <c r="BA5" s="34">
        <f>SUM(AB5,AF5,AI5,AM5,AQ5,AU5,AY5)-SMALL((AB5,AF5,AI5,AM5,AQ5,AU5,AY5),1)</f>
        <v>0</v>
      </c>
      <c r="BB5" s="27">
        <f t="shared" si="7"/>
        <v>0</v>
      </c>
      <c r="BC5" s="28"/>
      <c r="BD5" s="28">
        <f t="shared" si="8"/>
        <v>0</v>
      </c>
      <c r="BE5" s="28"/>
      <c r="BF5" s="35">
        <f t="shared" si="16"/>
        <v>0</v>
      </c>
      <c r="BG5" s="29"/>
      <c r="BK5" s="5">
        <f t="shared" si="9"/>
        <v>0</v>
      </c>
    </row>
    <row r="6" spans="1:71" ht="13" x14ac:dyDescent="0.3">
      <c r="A6" s="38" t="str">
        <f>IF(ISBLANK(Attendance!A6),"",Attendance!A6)</f>
        <v/>
      </c>
      <c r="B6" s="50" t="str">
        <f>IF(ISBLANK(Attendance!B6),"",Attendance!B6)</f>
        <v/>
      </c>
      <c r="C6" s="27" t="str">
        <f>IF(ISBLANK(Attendance!A6),"",Attendance!AJ6)</f>
        <v/>
      </c>
      <c r="D6" s="43"/>
      <c r="E6" s="29"/>
      <c r="F6" s="27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9"/>
      <c r="Y6" s="30">
        <f t="shared" si="11"/>
        <v>0</v>
      </c>
      <c r="Z6" s="27"/>
      <c r="AA6" s="28"/>
      <c r="AB6" s="28">
        <f t="shared" si="0"/>
        <v>0</v>
      </c>
      <c r="AC6" s="31">
        <f t="shared" si="10"/>
        <v>0</v>
      </c>
      <c r="AD6" s="32"/>
      <c r="AE6" s="28"/>
      <c r="AF6" s="28">
        <f t="shared" si="1"/>
        <v>0</v>
      </c>
      <c r="AG6" s="31">
        <f t="shared" si="12"/>
        <v>0</v>
      </c>
      <c r="AH6" s="32"/>
      <c r="AI6" s="28"/>
      <c r="AJ6" s="31">
        <f t="shared" si="13"/>
        <v>0</v>
      </c>
      <c r="AK6" s="32"/>
      <c r="AL6" s="28"/>
      <c r="AM6" s="28">
        <f t="shared" si="2"/>
        <v>0</v>
      </c>
      <c r="AN6" s="31">
        <f t="shared" si="14"/>
        <v>0</v>
      </c>
      <c r="AO6" s="32"/>
      <c r="AP6" s="28"/>
      <c r="AQ6" s="28">
        <f t="shared" si="3"/>
        <v>0</v>
      </c>
      <c r="AR6" s="31">
        <f>AQ6/40</f>
        <v>0</v>
      </c>
      <c r="AS6" s="32"/>
      <c r="AT6" s="28"/>
      <c r="AU6" s="28">
        <f t="shared" si="4"/>
        <v>0</v>
      </c>
      <c r="AV6" s="31">
        <f t="shared" si="15"/>
        <v>0</v>
      </c>
      <c r="AW6" s="32"/>
      <c r="AX6" s="28"/>
      <c r="AY6" s="28">
        <f t="shared" si="5"/>
        <v>0</v>
      </c>
      <c r="AZ6" s="33">
        <f t="shared" si="6"/>
        <v>0</v>
      </c>
      <c r="BA6" s="34">
        <f>SUM(AB6,AF6,AI6,AM6,AQ6,AU6,AY6)-SMALL((AB6,AF6,AI6,AM6,AQ6,AU6,AY6),1)</f>
        <v>0</v>
      </c>
      <c r="BB6" s="27">
        <f t="shared" si="7"/>
        <v>0</v>
      </c>
      <c r="BC6" s="28"/>
      <c r="BD6" s="28">
        <f t="shared" si="8"/>
        <v>0</v>
      </c>
      <c r="BE6" s="28"/>
      <c r="BF6" s="35">
        <f t="shared" si="16"/>
        <v>0</v>
      </c>
      <c r="BG6" s="29"/>
      <c r="BK6" s="5">
        <f t="shared" si="9"/>
        <v>0</v>
      </c>
    </row>
    <row r="7" spans="1:71" ht="13" x14ac:dyDescent="0.3">
      <c r="A7" s="38" t="str">
        <f>IF(ISBLANK(Attendance!A7),"",Attendance!A7)</f>
        <v/>
      </c>
      <c r="B7" s="50" t="str">
        <f>IF(ISBLANK(Attendance!B7),"",Attendance!B7)</f>
        <v/>
      </c>
      <c r="C7" s="27" t="str">
        <f>IF(ISBLANK(Attendance!A7),"",Attendance!AJ7)</f>
        <v/>
      </c>
      <c r="D7" s="43"/>
      <c r="E7" s="29"/>
      <c r="F7" s="27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9"/>
      <c r="Y7" s="30">
        <f t="shared" si="11"/>
        <v>0</v>
      </c>
      <c r="Z7" s="27"/>
      <c r="AA7" s="28"/>
      <c r="AB7" s="28">
        <f t="shared" si="0"/>
        <v>0</v>
      </c>
      <c r="AC7" s="31">
        <f t="shared" si="10"/>
        <v>0</v>
      </c>
      <c r="AD7" s="32"/>
      <c r="AE7" s="28"/>
      <c r="AF7" s="28">
        <f t="shared" si="1"/>
        <v>0</v>
      </c>
      <c r="AG7" s="31">
        <f t="shared" si="12"/>
        <v>0</v>
      </c>
      <c r="AH7" s="32"/>
      <c r="AI7" s="28"/>
      <c r="AJ7" s="31">
        <f t="shared" si="13"/>
        <v>0</v>
      </c>
      <c r="AK7" s="32"/>
      <c r="AL7" s="28"/>
      <c r="AM7" s="28">
        <f t="shared" si="2"/>
        <v>0</v>
      </c>
      <c r="AN7" s="31">
        <f t="shared" si="14"/>
        <v>0</v>
      </c>
      <c r="AO7" s="32"/>
      <c r="AP7" s="28"/>
      <c r="AQ7" s="28">
        <f t="shared" si="3"/>
        <v>0</v>
      </c>
      <c r="AR7" s="31">
        <f t="shared" ref="AR7:AR35" si="17">AQ7/40</f>
        <v>0</v>
      </c>
      <c r="AS7" s="32"/>
      <c r="AT7" s="28"/>
      <c r="AU7" s="28">
        <f t="shared" si="4"/>
        <v>0</v>
      </c>
      <c r="AV7" s="31">
        <f t="shared" si="15"/>
        <v>0</v>
      </c>
      <c r="AW7" s="32"/>
      <c r="AX7" s="28"/>
      <c r="AY7" s="28">
        <f t="shared" si="5"/>
        <v>0</v>
      </c>
      <c r="AZ7" s="33">
        <f t="shared" si="6"/>
        <v>0</v>
      </c>
      <c r="BA7" s="34">
        <f>SUM(AB7,AF7,AI7,AM7,AQ7,AU7,AY7)-SMALL((AB7,AF7,AI7,AM7,AQ7,AU7,AY7),1)</f>
        <v>0</v>
      </c>
      <c r="BB7" s="27">
        <f t="shared" si="7"/>
        <v>0</v>
      </c>
      <c r="BC7" s="28"/>
      <c r="BD7" s="28">
        <f t="shared" si="8"/>
        <v>0</v>
      </c>
      <c r="BE7" s="28"/>
      <c r="BF7" s="35">
        <f t="shared" si="16"/>
        <v>0</v>
      </c>
      <c r="BG7" s="29"/>
      <c r="BK7" s="5">
        <f t="shared" si="9"/>
        <v>0</v>
      </c>
    </row>
    <row r="8" spans="1:71" ht="13" x14ac:dyDescent="0.3">
      <c r="A8" s="38" t="str">
        <f>IF(ISBLANK(Attendance!A8),"",Attendance!A8)</f>
        <v>john</v>
      </c>
      <c r="B8" s="50" t="str">
        <f>IF(ISBLANK(Attendance!B8),"",Attendance!B8)</f>
        <v>smith</v>
      </c>
      <c r="C8" s="27">
        <f>IF(ISBLANK(Attendance!A8),"",Attendance!AJ8)</f>
        <v>30</v>
      </c>
      <c r="D8" s="43"/>
      <c r="E8" s="29"/>
      <c r="F8" s="27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9"/>
      <c r="Y8" s="30">
        <f t="shared" si="11"/>
        <v>0</v>
      </c>
      <c r="Z8" s="27"/>
      <c r="AA8" s="28"/>
      <c r="AB8" s="28">
        <f t="shared" si="0"/>
        <v>0</v>
      </c>
      <c r="AC8" s="31">
        <f t="shared" si="10"/>
        <v>0</v>
      </c>
      <c r="AD8" s="32"/>
      <c r="AE8" s="28"/>
      <c r="AF8" s="28">
        <f t="shared" si="1"/>
        <v>0</v>
      </c>
      <c r="AG8" s="31">
        <f t="shared" si="12"/>
        <v>0</v>
      </c>
      <c r="AH8" s="32"/>
      <c r="AI8" s="28"/>
      <c r="AJ8" s="31">
        <f t="shared" si="13"/>
        <v>0</v>
      </c>
      <c r="AK8" s="32"/>
      <c r="AL8" s="28"/>
      <c r="AM8" s="28">
        <f t="shared" si="2"/>
        <v>0</v>
      </c>
      <c r="AN8" s="31">
        <f t="shared" si="14"/>
        <v>0</v>
      </c>
      <c r="AO8" s="32"/>
      <c r="AP8" s="28"/>
      <c r="AQ8" s="28">
        <f t="shared" si="3"/>
        <v>0</v>
      </c>
      <c r="AR8" s="31">
        <f t="shared" si="17"/>
        <v>0</v>
      </c>
      <c r="AS8" s="32"/>
      <c r="AT8" s="28"/>
      <c r="AU8" s="28">
        <f t="shared" si="4"/>
        <v>0</v>
      </c>
      <c r="AV8" s="31">
        <f t="shared" si="15"/>
        <v>0</v>
      </c>
      <c r="AW8" s="32"/>
      <c r="AX8" s="28"/>
      <c r="AY8" s="28">
        <f t="shared" si="5"/>
        <v>0</v>
      </c>
      <c r="AZ8" s="33">
        <f t="shared" si="6"/>
        <v>0</v>
      </c>
      <c r="BA8" s="34">
        <f>SUM(AB8,AF8,AI8,AM8,AQ8,AU8,AY8)-SMALL((AB8,AF8,AI8,AM8,AQ8,AU8,AY8),1)</f>
        <v>0</v>
      </c>
      <c r="BB8" s="27">
        <f t="shared" si="7"/>
        <v>0</v>
      </c>
      <c r="BC8" s="28"/>
      <c r="BD8" s="28">
        <f t="shared" si="8"/>
        <v>30</v>
      </c>
      <c r="BE8" s="28"/>
      <c r="BF8" s="35">
        <f t="shared" si="16"/>
        <v>7.4999999999999997E-2</v>
      </c>
      <c r="BG8" s="29"/>
      <c r="BK8" s="5">
        <f t="shared" si="9"/>
        <v>0</v>
      </c>
    </row>
    <row r="9" spans="1:71" ht="13" x14ac:dyDescent="0.3">
      <c r="A9" s="38" t="str">
        <f>IF(ISBLANK(Attendance!A9),"",Attendance!A9)</f>
        <v/>
      </c>
      <c r="B9" s="50" t="str">
        <f>IF(ISBLANK(Attendance!B9),"",Attendance!B9)</f>
        <v/>
      </c>
      <c r="C9" s="27" t="str">
        <f>IF(ISBLANK(Attendance!A9),"",Attendance!AJ9)</f>
        <v/>
      </c>
      <c r="D9" s="43"/>
      <c r="E9" s="29"/>
      <c r="F9" s="27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9"/>
      <c r="Y9" s="30">
        <f t="shared" si="11"/>
        <v>0</v>
      </c>
      <c r="Z9" s="27"/>
      <c r="AA9" s="28"/>
      <c r="AB9" s="28">
        <f t="shared" si="0"/>
        <v>0</v>
      </c>
      <c r="AC9" s="31">
        <f t="shared" si="10"/>
        <v>0</v>
      </c>
      <c r="AD9" s="32"/>
      <c r="AE9" s="28"/>
      <c r="AF9" s="28">
        <f t="shared" si="1"/>
        <v>0</v>
      </c>
      <c r="AG9" s="31">
        <f t="shared" si="12"/>
        <v>0</v>
      </c>
      <c r="AH9" s="32"/>
      <c r="AI9" s="28"/>
      <c r="AJ9" s="31">
        <f t="shared" si="13"/>
        <v>0</v>
      </c>
      <c r="AK9" s="32"/>
      <c r="AL9" s="28"/>
      <c r="AM9" s="28">
        <f t="shared" si="2"/>
        <v>0</v>
      </c>
      <c r="AN9" s="31">
        <f t="shared" si="14"/>
        <v>0</v>
      </c>
      <c r="AO9" s="32"/>
      <c r="AP9" s="28"/>
      <c r="AQ9" s="28">
        <f t="shared" si="3"/>
        <v>0</v>
      </c>
      <c r="AR9" s="31">
        <f t="shared" si="17"/>
        <v>0</v>
      </c>
      <c r="AS9" s="32"/>
      <c r="AT9" s="28"/>
      <c r="AU9" s="28">
        <f t="shared" si="4"/>
        <v>0</v>
      </c>
      <c r="AV9" s="31">
        <f t="shared" si="15"/>
        <v>0</v>
      </c>
      <c r="AW9" s="32"/>
      <c r="AX9" s="28"/>
      <c r="AY9" s="28">
        <f t="shared" si="5"/>
        <v>0</v>
      </c>
      <c r="AZ9" s="33">
        <f t="shared" si="6"/>
        <v>0</v>
      </c>
      <c r="BA9" s="34">
        <f>SUM(AB9,AF9,AI9,AM9,AQ9,AU9,AY9)-SMALL((AB9,AF9,AI9,AM9,AQ9,AU9,AY9),1)</f>
        <v>0</v>
      </c>
      <c r="BB9" s="27">
        <f t="shared" si="7"/>
        <v>0</v>
      </c>
      <c r="BC9" s="28"/>
      <c r="BD9" s="28">
        <f t="shared" si="8"/>
        <v>0</v>
      </c>
      <c r="BE9" s="28"/>
      <c r="BF9" s="35">
        <f t="shared" si="16"/>
        <v>0</v>
      </c>
      <c r="BG9" s="29"/>
      <c r="BK9" s="5">
        <f t="shared" si="9"/>
        <v>0</v>
      </c>
    </row>
    <row r="10" spans="1:71" ht="13" x14ac:dyDescent="0.3">
      <c r="A10" s="38" t="str">
        <f>IF(ISBLANK(Attendance!A10),"",Attendance!A10)</f>
        <v/>
      </c>
      <c r="B10" s="50" t="str">
        <f>IF(ISBLANK(Attendance!B10),"",Attendance!B10)</f>
        <v/>
      </c>
      <c r="C10" s="27" t="str">
        <f>IF(ISBLANK(Attendance!A10),"",Attendance!AJ10)</f>
        <v/>
      </c>
      <c r="D10" s="43"/>
      <c r="E10" s="29"/>
      <c r="F10" s="27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9"/>
      <c r="Y10" s="30">
        <f t="shared" si="11"/>
        <v>0</v>
      </c>
      <c r="Z10" s="27"/>
      <c r="AA10" s="28"/>
      <c r="AB10" s="28">
        <f t="shared" si="0"/>
        <v>0</v>
      </c>
      <c r="AC10" s="31">
        <f t="shared" si="10"/>
        <v>0</v>
      </c>
      <c r="AD10" s="32"/>
      <c r="AE10" s="28"/>
      <c r="AF10" s="28">
        <f t="shared" si="1"/>
        <v>0</v>
      </c>
      <c r="AG10" s="31">
        <f t="shared" si="12"/>
        <v>0</v>
      </c>
      <c r="AH10" s="32"/>
      <c r="AI10" s="28"/>
      <c r="AJ10" s="31">
        <f t="shared" si="13"/>
        <v>0</v>
      </c>
      <c r="AK10" s="32"/>
      <c r="AL10" s="28"/>
      <c r="AM10" s="28">
        <f t="shared" si="2"/>
        <v>0</v>
      </c>
      <c r="AN10" s="31">
        <f t="shared" si="14"/>
        <v>0</v>
      </c>
      <c r="AO10" s="32"/>
      <c r="AP10" s="28"/>
      <c r="AQ10" s="28">
        <f t="shared" si="3"/>
        <v>0</v>
      </c>
      <c r="AR10" s="31">
        <f t="shared" si="17"/>
        <v>0</v>
      </c>
      <c r="AS10" s="32"/>
      <c r="AT10" s="28"/>
      <c r="AU10" s="28">
        <f t="shared" si="4"/>
        <v>0</v>
      </c>
      <c r="AV10" s="31">
        <f t="shared" si="15"/>
        <v>0</v>
      </c>
      <c r="AW10" s="32"/>
      <c r="AX10" s="28"/>
      <c r="AY10" s="28">
        <f t="shared" si="5"/>
        <v>0</v>
      </c>
      <c r="AZ10" s="33">
        <f t="shared" si="6"/>
        <v>0</v>
      </c>
      <c r="BA10" s="34">
        <f>SUM(AB10,AF10,AI10,AM10,AQ10,AU10,AY10)-SMALL((AB10,AF10,AI10,AM10,AQ10,AU10,AY10),1)</f>
        <v>0</v>
      </c>
      <c r="BB10" s="27">
        <f t="shared" si="7"/>
        <v>0</v>
      </c>
      <c r="BC10" s="28"/>
      <c r="BD10" s="28">
        <f t="shared" si="8"/>
        <v>0</v>
      </c>
      <c r="BE10" s="28"/>
      <c r="BF10" s="35">
        <f t="shared" si="16"/>
        <v>0</v>
      </c>
      <c r="BG10" s="29"/>
      <c r="BK10" s="5">
        <f t="shared" si="9"/>
        <v>0</v>
      </c>
    </row>
    <row r="11" spans="1:71" ht="13" x14ac:dyDescent="0.3">
      <c r="A11" s="38" t="str">
        <f>IF(ISBLANK(Attendance!A11),"",Attendance!A11)</f>
        <v/>
      </c>
      <c r="B11" s="50" t="str">
        <f>IF(ISBLANK(Attendance!B11),"",Attendance!B11)</f>
        <v/>
      </c>
      <c r="C11" s="27" t="str">
        <f>IF(ISBLANK(Attendance!A11),"",Attendance!AJ11)</f>
        <v/>
      </c>
      <c r="D11" s="43"/>
      <c r="E11" s="29"/>
      <c r="F11" s="27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9"/>
      <c r="Y11" s="30">
        <f t="shared" si="11"/>
        <v>0</v>
      </c>
      <c r="Z11" s="27"/>
      <c r="AA11" s="28"/>
      <c r="AB11" s="28">
        <f t="shared" si="0"/>
        <v>0</v>
      </c>
      <c r="AC11" s="31">
        <f t="shared" si="10"/>
        <v>0</v>
      </c>
      <c r="AD11" s="32"/>
      <c r="AE11" s="28"/>
      <c r="AF11" s="28">
        <f t="shared" si="1"/>
        <v>0</v>
      </c>
      <c r="AG11" s="31">
        <f t="shared" si="12"/>
        <v>0</v>
      </c>
      <c r="AH11" s="32"/>
      <c r="AI11" s="28"/>
      <c r="AJ11" s="31">
        <f t="shared" si="13"/>
        <v>0</v>
      </c>
      <c r="AK11" s="32"/>
      <c r="AL11" s="28"/>
      <c r="AM11" s="28">
        <f t="shared" si="2"/>
        <v>0</v>
      </c>
      <c r="AN11" s="31">
        <f t="shared" si="14"/>
        <v>0</v>
      </c>
      <c r="AO11" s="32"/>
      <c r="AP11" s="28"/>
      <c r="AQ11" s="28">
        <f t="shared" si="3"/>
        <v>0</v>
      </c>
      <c r="AR11" s="31">
        <f t="shared" si="17"/>
        <v>0</v>
      </c>
      <c r="AS11" s="32"/>
      <c r="AT11" s="28"/>
      <c r="AU11" s="28">
        <f t="shared" si="4"/>
        <v>0</v>
      </c>
      <c r="AV11" s="31">
        <f t="shared" si="15"/>
        <v>0</v>
      </c>
      <c r="AW11" s="32"/>
      <c r="AX11" s="28"/>
      <c r="AY11" s="28">
        <f t="shared" si="5"/>
        <v>0</v>
      </c>
      <c r="AZ11" s="33">
        <f t="shared" si="6"/>
        <v>0</v>
      </c>
      <c r="BA11" s="34">
        <f>SUM(AB11,AF11,AI11,AM11,AQ11,AU11,AY11)-SMALL((AB11,AF11,AI11,AM11,AQ11,AU11,AY11),1)</f>
        <v>0</v>
      </c>
      <c r="BB11" s="27">
        <f t="shared" si="7"/>
        <v>0</v>
      </c>
      <c r="BC11" s="28"/>
      <c r="BD11" s="28">
        <f t="shared" si="8"/>
        <v>0</v>
      </c>
      <c r="BE11" s="28"/>
      <c r="BF11" s="35">
        <f t="shared" si="16"/>
        <v>0</v>
      </c>
      <c r="BG11" s="29"/>
      <c r="BK11" s="5">
        <f t="shared" si="9"/>
        <v>0</v>
      </c>
    </row>
    <row r="12" spans="1:71" ht="13" x14ac:dyDescent="0.3">
      <c r="A12" s="38" t="str">
        <f>IF(ISBLANK(Attendance!A12),"",Attendance!A12)</f>
        <v/>
      </c>
      <c r="B12" s="50" t="str">
        <f>IF(ISBLANK(Attendance!B12),"",Attendance!B12)</f>
        <v/>
      </c>
      <c r="C12" s="27" t="str">
        <f>IF(ISBLANK(Attendance!A12),"",Attendance!AJ12)</f>
        <v/>
      </c>
      <c r="D12" s="43"/>
      <c r="E12" s="29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9"/>
      <c r="Y12" s="30">
        <f t="shared" si="11"/>
        <v>0</v>
      </c>
      <c r="Z12" s="27"/>
      <c r="AA12" s="28"/>
      <c r="AB12" s="28">
        <f t="shared" si="0"/>
        <v>0</v>
      </c>
      <c r="AC12" s="31">
        <f t="shared" si="10"/>
        <v>0</v>
      </c>
      <c r="AD12" s="32"/>
      <c r="AE12" s="28"/>
      <c r="AF12" s="28">
        <f t="shared" si="1"/>
        <v>0</v>
      </c>
      <c r="AG12" s="31">
        <f t="shared" si="12"/>
        <v>0</v>
      </c>
      <c r="AH12" s="32"/>
      <c r="AI12" s="28"/>
      <c r="AJ12" s="31">
        <f t="shared" si="13"/>
        <v>0</v>
      </c>
      <c r="AK12" s="32"/>
      <c r="AL12" s="28"/>
      <c r="AM12" s="28">
        <f t="shared" si="2"/>
        <v>0</v>
      </c>
      <c r="AN12" s="31">
        <f t="shared" si="14"/>
        <v>0</v>
      </c>
      <c r="AO12" s="32"/>
      <c r="AP12" s="28"/>
      <c r="AQ12" s="28">
        <f t="shared" si="3"/>
        <v>0</v>
      </c>
      <c r="AR12" s="31">
        <f t="shared" si="17"/>
        <v>0</v>
      </c>
      <c r="AS12" s="32"/>
      <c r="AT12" s="28"/>
      <c r="AU12" s="28">
        <f t="shared" si="4"/>
        <v>0</v>
      </c>
      <c r="AV12" s="31">
        <f t="shared" si="15"/>
        <v>0</v>
      </c>
      <c r="AW12" s="32"/>
      <c r="AX12" s="28"/>
      <c r="AY12" s="28">
        <f t="shared" si="5"/>
        <v>0</v>
      </c>
      <c r="AZ12" s="33">
        <f t="shared" si="6"/>
        <v>0</v>
      </c>
      <c r="BA12" s="34">
        <f>SUM(AB12,AF12,AI12,AM12,AQ12,AU12,AY12)-SMALL((AB12,AF12,AI12,AM12,AQ12,AU12,AY12),1)</f>
        <v>0</v>
      </c>
      <c r="BB12" s="27">
        <f t="shared" si="7"/>
        <v>0</v>
      </c>
      <c r="BC12" s="28"/>
      <c r="BD12" s="28">
        <f t="shared" si="8"/>
        <v>0</v>
      </c>
      <c r="BE12" s="28"/>
      <c r="BF12" s="35">
        <f t="shared" si="16"/>
        <v>0</v>
      </c>
      <c r="BG12" s="29"/>
      <c r="BK12" s="5">
        <f t="shared" si="9"/>
        <v>0</v>
      </c>
    </row>
    <row r="13" spans="1:71" ht="13" x14ac:dyDescent="0.3">
      <c r="A13" s="38" t="str">
        <f>IF(ISBLANK(Attendance!A13),"",Attendance!A13)</f>
        <v/>
      </c>
      <c r="B13" s="50" t="str">
        <f>IF(ISBLANK(Attendance!B13),"",Attendance!B13)</f>
        <v/>
      </c>
      <c r="C13" s="27" t="str">
        <f>IF(ISBLANK(Attendance!A13),"",Attendance!AJ13)</f>
        <v/>
      </c>
      <c r="D13" s="43"/>
      <c r="E13" s="29"/>
      <c r="F13" s="27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9"/>
      <c r="Y13" s="30">
        <f t="shared" si="11"/>
        <v>0</v>
      </c>
      <c r="Z13" s="27"/>
      <c r="AA13" s="28"/>
      <c r="AB13" s="28">
        <f t="shared" si="0"/>
        <v>0</v>
      </c>
      <c r="AC13" s="31">
        <f t="shared" si="10"/>
        <v>0</v>
      </c>
      <c r="AD13" s="32"/>
      <c r="AE13" s="28"/>
      <c r="AF13" s="28">
        <f t="shared" si="1"/>
        <v>0</v>
      </c>
      <c r="AG13" s="31">
        <f t="shared" si="12"/>
        <v>0</v>
      </c>
      <c r="AH13" s="32"/>
      <c r="AI13" s="28"/>
      <c r="AJ13" s="31">
        <f t="shared" si="13"/>
        <v>0</v>
      </c>
      <c r="AK13" s="32"/>
      <c r="AL13" s="28"/>
      <c r="AM13" s="28">
        <f t="shared" si="2"/>
        <v>0</v>
      </c>
      <c r="AN13" s="31">
        <f t="shared" si="14"/>
        <v>0</v>
      </c>
      <c r="AO13" s="32"/>
      <c r="AP13" s="28"/>
      <c r="AQ13" s="28">
        <f t="shared" si="3"/>
        <v>0</v>
      </c>
      <c r="AR13" s="31">
        <f t="shared" si="17"/>
        <v>0</v>
      </c>
      <c r="AS13" s="32"/>
      <c r="AT13" s="28"/>
      <c r="AU13" s="28">
        <f t="shared" si="4"/>
        <v>0</v>
      </c>
      <c r="AV13" s="31">
        <f t="shared" si="15"/>
        <v>0</v>
      </c>
      <c r="AW13" s="32"/>
      <c r="AX13" s="28"/>
      <c r="AY13" s="28">
        <f t="shared" si="5"/>
        <v>0</v>
      </c>
      <c r="AZ13" s="33">
        <f t="shared" si="6"/>
        <v>0</v>
      </c>
      <c r="BA13" s="34">
        <f>SUM(AB13,AF13,AI13,AM13,AQ13,AU13,AY13)-SMALL((AB13,AF13,AI13,AM13,AQ13,AU13,AY13),1)</f>
        <v>0</v>
      </c>
      <c r="BB13" s="27">
        <f t="shared" si="7"/>
        <v>0</v>
      </c>
      <c r="BC13" s="28"/>
      <c r="BD13" s="28">
        <f t="shared" si="8"/>
        <v>0</v>
      </c>
      <c r="BE13" s="28"/>
      <c r="BF13" s="35">
        <f t="shared" si="16"/>
        <v>0</v>
      </c>
      <c r="BG13" s="29"/>
      <c r="BK13" s="5">
        <f t="shared" si="9"/>
        <v>0</v>
      </c>
    </row>
    <row r="14" spans="1:71" ht="13" x14ac:dyDescent="0.3">
      <c r="A14" s="38" t="str">
        <f>IF(ISBLANK(Attendance!A14),"",Attendance!A14)</f>
        <v/>
      </c>
      <c r="B14" s="50" t="str">
        <f>IF(ISBLANK(Attendance!B14),"",Attendance!B14)</f>
        <v/>
      </c>
      <c r="C14" s="27" t="str">
        <f>IF(ISBLANK(Attendance!A14),"",Attendance!AJ14)</f>
        <v/>
      </c>
      <c r="D14" s="43"/>
      <c r="E14" s="29"/>
      <c r="F14" s="27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9"/>
      <c r="Y14" s="30">
        <f t="shared" si="11"/>
        <v>0</v>
      </c>
      <c r="Z14" s="27"/>
      <c r="AA14" s="28"/>
      <c r="AB14" s="28">
        <f t="shared" si="0"/>
        <v>0</v>
      </c>
      <c r="AC14" s="31">
        <f t="shared" si="10"/>
        <v>0</v>
      </c>
      <c r="AD14" s="32"/>
      <c r="AE14" s="28"/>
      <c r="AF14" s="28">
        <f t="shared" si="1"/>
        <v>0</v>
      </c>
      <c r="AG14" s="31">
        <f t="shared" si="12"/>
        <v>0</v>
      </c>
      <c r="AH14" s="32"/>
      <c r="AI14" s="28"/>
      <c r="AJ14" s="31">
        <f t="shared" si="13"/>
        <v>0</v>
      </c>
      <c r="AK14" s="32"/>
      <c r="AL14" s="28"/>
      <c r="AM14" s="28">
        <f t="shared" si="2"/>
        <v>0</v>
      </c>
      <c r="AN14" s="31">
        <f t="shared" si="14"/>
        <v>0</v>
      </c>
      <c r="AO14" s="32"/>
      <c r="AP14" s="28"/>
      <c r="AQ14" s="28">
        <f t="shared" si="3"/>
        <v>0</v>
      </c>
      <c r="AR14" s="31">
        <f t="shared" si="17"/>
        <v>0</v>
      </c>
      <c r="AS14" s="32"/>
      <c r="AT14" s="28"/>
      <c r="AU14" s="28">
        <f t="shared" si="4"/>
        <v>0</v>
      </c>
      <c r="AV14" s="31">
        <f t="shared" si="15"/>
        <v>0</v>
      </c>
      <c r="AW14" s="32"/>
      <c r="AX14" s="28"/>
      <c r="AY14" s="28">
        <f t="shared" si="5"/>
        <v>0</v>
      </c>
      <c r="AZ14" s="33">
        <f t="shared" si="6"/>
        <v>0</v>
      </c>
      <c r="BA14" s="34">
        <f>SUM(AB14,AF14,AI14,AM14,AQ14,AU14,AY14)-SMALL((AB14,AF14,AI14,AM14,AQ14,AU14,AY14),1)</f>
        <v>0</v>
      </c>
      <c r="BB14" s="27">
        <f t="shared" si="7"/>
        <v>0</v>
      </c>
      <c r="BC14" s="28"/>
      <c r="BD14" s="28">
        <f t="shared" si="8"/>
        <v>0</v>
      </c>
      <c r="BE14" s="28"/>
      <c r="BF14" s="35">
        <f t="shared" si="16"/>
        <v>0</v>
      </c>
      <c r="BG14" s="29"/>
      <c r="BK14" s="5">
        <f t="shared" si="9"/>
        <v>0</v>
      </c>
    </row>
    <row r="15" spans="1:71" ht="13" x14ac:dyDescent="0.3">
      <c r="A15" s="38" t="str">
        <f>IF(ISBLANK(Attendance!A15),"",Attendance!A15)</f>
        <v/>
      </c>
      <c r="B15" s="50" t="str">
        <f>IF(ISBLANK(Attendance!B15),"",Attendance!B15)</f>
        <v/>
      </c>
      <c r="C15" s="27" t="str">
        <f>IF(ISBLANK(Attendance!A15),"",Attendance!AJ15)</f>
        <v/>
      </c>
      <c r="D15" s="43"/>
      <c r="E15" s="29"/>
      <c r="F15" s="27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9"/>
      <c r="Y15" s="30">
        <f t="shared" si="11"/>
        <v>0</v>
      </c>
      <c r="Z15" s="27"/>
      <c r="AA15" s="28"/>
      <c r="AB15" s="28">
        <f t="shared" si="0"/>
        <v>0</v>
      </c>
      <c r="AC15" s="31">
        <f t="shared" si="10"/>
        <v>0</v>
      </c>
      <c r="AD15" s="32"/>
      <c r="AE15" s="28"/>
      <c r="AF15" s="28">
        <f t="shared" si="1"/>
        <v>0</v>
      </c>
      <c r="AG15" s="31">
        <f t="shared" si="12"/>
        <v>0</v>
      </c>
      <c r="AH15" s="32"/>
      <c r="AI15" s="28"/>
      <c r="AJ15" s="31">
        <f t="shared" si="13"/>
        <v>0</v>
      </c>
      <c r="AK15" s="32"/>
      <c r="AL15" s="28"/>
      <c r="AM15" s="28">
        <f t="shared" si="2"/>
        <v>0</v>
      </c>
      <c r="AN15" s="31">
        <f t="shared" si="14"/>
        <v>0</v>
      </c>
      <c r="AO15" s="32"/>
      <c r="AP15" s="28"/>
      <c r="AQ15" s="28">
        <f t="shared" si="3"/>
        <v>0</v>
      </c>
      <c r="AR15" s="31">
        <f t="shared" si="17"/>
        <v>0</v>
      </c>
      <c r="AS15" s="32"/>
      <c r="AT15" s="28"/>
      <c r="AU15" s="28">
        <f t="shared" si="4"/>
        <v>0</v>
      </c>
      <c r="AV15" s="31">
        <f t="shared" si="15"/>
        <v>0</v>
      </c>
      <c r="AW15" s="32"/>
      <c r="AX15" s="28"/>
      <c r="AY15" s="28">
        <f t="shared" si="5"/>
        <v>0</v>
      </c>
      <c r="AZ15" s="33">
        <f t="shared" si="6"/>
        <v>0</v>
      </c>
      <c r="BA15" s="34">
        <f>SUM(AB15,AF15,AI15,AM15,AQ15,AU15,AY15)-SMALL((AB15,AF15,AI15,AM15,AQ15,AU15,AY15),1)</f>
        <v>0</v>
      </c>
      <c r="BB15" s="27">
        <f t="shared" si="7"/>
        <v>0</v>
      </c>
      <c r="BC15" s="28"/>
      <c r="BD15" s="28">
        <f t="shared" si="8"/>
        <v>0</v>
      </c>
      <c r="BE15" s="28"/>
      <c r="BF15" s="35">
        <f t="shared" si="16"/>
        <v>0</v>
      </c>
      <c r="BG15" s="29"/>
      <c r="BK15" s="5">
        <f t="shared" si="9"/>
        <v>0</v>
      </c>
    </row>
    <row r="16" spans="1:71" ht="13" x14ac:dyDescent="0.3">
      <c r="A16" s="38" t="str">
        <f>IF(ISBLANK(Attendance!A16),"",Attendance!A16)</f>
        <v/>
      </c>
      <c r="B16" s="50" t="str">
        <f>IF(ISBLANK(Attendance!B16),"",Attendance!B16)</f>
        <v/>
      </c>
      <c r="C16" s="27" t="str">
        <f>IF(ISBLANK(Attendance!A16),"",Attendance!AJ16)</f>
        <v/>
      </c>
      <c r="D16" s="43"/>
      <c r="E16" s="29"/>
      <c r="F16" s="27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9"/>
      <c r="Y16" s="30">
        <f t="shared" si="11"/>
        <v>0</v>
      </c>
      <c r="Z16" s="27"/>
      <c r="AA16" s="28"/>
      <c r="AB16" s="28">
        <f t="shared" si="0"/>
        <v>0</v>
      </c>
      <c r="AC16" s="31">
        <f t="shared" si="10"/>
        <v>0</v>
      </c>
      <c r="AD16" s="32"/>
      <c r="AE16" s="28"/>
      <c r="AF16" s="28">
        <f t="shared" si="1"/>
        <v>0</v>
      </c>
      <c r="AG16" s="31">
        <f t="shared" si="12"/>
        <v>0</v>
      </c>
      <c r="AH16" s="32"/>
      <c r="AI16" s="28"/>
      <c r="AJ16" s="31">
        <f t="shared" si="13"/>
        <v>0</v>
      </c>
      <c r="AK16" s="32"/>
      <c r="AL16" s="28"/>
      <c r="AM16" s="28">
        <f t="shared" si="2"/>
        <v>0</v>
      </c>
      <c r="AN16" s="31">
        <f t="shared" si="14"/>
        <v>0</v>
      </c>
      <c r="AO16" s="32"/>
      <c r="AP16" s="28"/>
      <c r="AQ16" s="28">
        <f t="shared" si="3"/>
        <v>0</v>
      </c>
      <c r="AR16" s="31">
        <f t="shared" si="17"/>
        <v>0</v>
      </c>
      <c r="AS16" s="32"/>
      <c r="AT16" s="28"/>
      <c r="AU16" s="28">
        <f t="shared" si="4"/>
        <v>0</v>
      </c>
      <c r="AV16" s="31">
        <f t="shared" si="15"/>
        <v>0</v>
      </c>
      <c r="AW16" s="32"/>
      <c r="AX16" s="28"/>
      <c r="AY16" s="28">
        <f t="shared" si="5"/>
        <v>0</v>
      </c>
      <c r="AZ16" s="33">
        <f t="shared" si="6"/>
        <v>0</v>
      </c>
      <c r="BA16" s="34">
        <f>SUM(AB16,AF16,AI16,AM16,AQ16,AU16,AY16)-SMALL((AB16,AF16,AI16,AM16,AQ16,AU16,AY16),1)</f>
        <v>0</v>
      </c>
      <c r="BB16" s="27">
        <f t="shared" si="7"/>
        <v>0</v>
      </c>
      <c r="BC16" s="28"/>
      <c r="BD16" s="28">
        <f t="shared" si="8"/>
        <v>0</v>
      </c>
      <c r="BE16" s="28"/>
      <c r="BF16" s="35">
        <f t="shared" si="16"/>
        <v>0</v>
      </c>
      <c r="BG16" s="29"/>
      <c r="BK16" s="5">
        <f t="shared" si="9"/>
        <v>0</v>
      </c>
    </row>
    <row r="17" spans="1:63" ht="13" x14ac:dyDescent="0.3">
      <c r="A17" s="38" t="str">
        <f>IF(ISBLANK(Attendance!A17),"",Attendance!A17)</f>
        <v/>
      </c>
      <c r="B17" s="50" t="str">
        <f>IF(ISBLANK(Attendance!B17),"",Attendance!B17)</f>
        <v/>
      </c>
      <c r="C17" s="27" t="str">
        <f>IF(ISBLANK(Attendance!A17),"",Attendance!AJ17)</f>
        <v/>
      </c>
      <c r="D17" s="43"/>
      <c r="E17" s="29"/>
      <c r="F17" s="27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9"/>
      <c r="Y17" s="30">
        <f t="shared" si="11"/>
        <v>0</v>
      </c>
      <c r="Z17" s="27"/>
      <c r="AA17" s="28"/>
      <c r="AB17" s="28">
        <f t="shared" si="0"/>
        <v>0</v>
      </c>
      <c r="AC17" s="31">
        <f t="shared" si="10"/>
        <v>0</v>
      </c>
      <c r="AD17" s="32"/>
      <c r="AE17" s="28"/>
      <c r="AF17" s="28">
        <f t="shared" si="1"/>
        <v>0</v>
      </c>
      <c r="AG17" s="31">
        <f t="shared" si="12"/>
        <v>0</v>
      </c>
      <c r="AH17" s="32"/>
      <c r="AI17" s="28"/>
      <c r="AJ17" s="31">
        <f t="shared" si="13"/>
        <v>0</v>
      </c>
      <c r="AK17" s="32"/>
      <c r="AL17" s="28"/>
      <c r="AM17" s="28">
        <f t="shared" si="2"/>
        <v>0</v>
      </c>
      <c r="AN17" s="31">
        <f t="shared" si="14"/>
        <v>0</v>
      </c>
      <c r="AO17" s="32"/>
      <c r="AP17" s="28"/>
      <c r="AQ17" s="28">
        <f t="shared" si="3"/>
        <v>0</v>
      </c>
      <c r="AR17" s="31">
        <f t="shared" si="17"/>
        <v>0</v>
      </c>
      <c r="AS17" s="32"/>
      <c r="AT17" s="28"/>
      <c r="AU17" s="28">
        <f t="shared" si="4"/>
        <v>0</v>
      </c>
      <c r="AV17" s="31">
        <f t="shared" si="15"/>
        <v>0</v>
      </c>
      <c r="AW17" s="32"/>
      <c r="AX17" s="28"/>
      <c r="AY17" s="28">
        <f t="shared" si="5"/>
        <v>0</v>
      </c>
      <c r="AZ17" s="33">
        <f t="shared" si="6"/>
        <v>0</v>
      </c>
      <c r="BA17" s="34">
        <f>SUM(AB17,AF17,AI17,AM17,AQ17,AU17,AY17)-SMALL((AB17,AF17,AI17,AM17,AQ17,AU17,AY17),1)</f>
        <v>0</v>
      </c>
      <c r="BB17" s="27">
        <f t="shared" si="7"/>
        <v>0</v>
      </c>
      <c r="BC17" s="28"/>
      <c r="BD17" s="28">
        <f t="shared" si="8"/>
        <v>0</v>
      </c>
      <c r="BE17" s="28"/>
      <c r="BF17" s="35">
        <f t="shared" si="16"/>
        <v>0</v>
      </c>
      <c r="BG17" s="29"/>
      <c r="BK17" s="5">
        <f t="shared" si="9"/>
        <v>0</v>
      </c>
    </row>
    <row r="18" spans="1:63" ht="13" x14ac:dyDescent="0.3">
      <c r="A18" s="38" t="str">
        <f>IF(ISBLANK(Attendance!A18),"",Attendance!A18)</f>
        <v/>
      </c>
      <c r="B18" s="50" t="str">
        <f>IF(ISBLANK(Attendance!B18),"",Attendance!B18)</f>
        <v/>
      </c>
      <c r="C18" s="27" t="str">
        <f>IF(ISBLANK(Attendance!A18),"",Attendance!AJ18)</f>
        <v/>
      </c>
      <c r="D18" s="43"/>
      <c r="E18" s="29"/>
      <c r="F18" s="27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9"/>
      <c r="Y18" s="30">
        <f t="shared" si="11"/>
        <v>0</v>
      </c>
      <c r="Z18" s="27"/>
      <c r="AA18" s="28"/>
      <c r="AB18" s="28">
        <f t="shared" si="0"/>
        <v>0</v>
      </c>
      <c r="AC18" s="31">
        <f t="shared" si="10"/>
        <v>0</v>
      </c>
      <c r="AD18" s="32"/>
      <c r="AE18" s="28"/>
      <c r="AF18" s="28">
        <f t="shared" si="1"/>
        <v>0</v>
      </c>
      <c r="AG18" s="31">
        <f t="shared" si="12"/>
        <v>0</v>
      </c>
      <c r="AH18" s="32"/>
      <c r="AI18" s="28"/>
      <c r="AJ18" s="31">
        <f t="shared" si="13"/>
        <v>0</v>
      </c>
      <c r="AK18" s="32"/>
      <c r="AL18" s="28"/>
      <c r="AM18" s="28">
        <f t="shared" si="2"/>
        <v>0</v>
      </c>
      <c r="AN18" s="31">
        <f t="shared" si="14"/>
        <v>0</v>
      </c>
      <c r="AO18" s="32"/>
      <c r="AP18" s="28"/>
      <c r="AQ18" s="28">
        <f t="shared" si="3"/>
        <v>0</v>
      </c>
      <c r="AR18" s="31">
        <f t="shared" si="17"/>
        <v>0</v>
      </c>
      <c r="AS18" s="32"/>
      <c r="AT18" s="28"/>
      <c r="AU18" s="28">
        <f t="shared" si="4"/>
        <v>0</v>
      </c>
      <c r="AV18" s="31">
        <f t="shared" si="15"/>
        <v>0</v>
      </c>
      <c r="AW18" s="32"/>
      <c r="AX18" s="28"/>
      <c r="AY18" s="28">
        <f t="shared" si="5"/>
        <v>0</v>
      </c>
      <c r="AZ18" s="33">
        <f t="shared" si="6"/>
        <v>0</v>
      </c>
      <c r="BA18" s="34">
        <f>SUM(AB18,AF18,AI18,AM18,AQ18,AU18,AY18)-SMALL((AB18,AF18,AI18,AM18,AQ18,AU18,AY18),1)</f>
        <v>0</v>
      </c>
      <c r="BB18" s="27">
        <f t="shared" si="7"/>
        <v>0</v>
      </c>
      <c r="BC18" s="28"/>
      <c r="BD18" s="28">
        <f t="shared" si="8"/>
        <v>0</v>
      </c>
      <c r="BE18" s="28"/>
      <c r="BF18" s="35">
        <f t="shared" si="16"/>
        <v>0</v>
      </c>
      <c r="BG18" s="29"/>
      <c r="BK18" s="5">
        <f t="shared" si="9"/>
        <v>0</v>
      </c>
    </row>
    <row r="19" spans="1:63" ht="13" x14ac:dyDescent="0.3">
      <c r="A19" s="38" t="str">
        <f>IF(ISBLANK(Attendance!A19),"",Attendance!A19)</f>
        <v/>
      </c>
      <c r="B19" s="50" t="str">
        <f>IF(ISBLANK(Attendance!B19),"",Attendance!B19)</f>
        <v/>
      </c>
      <c r="C19" s="27" t="str">
        <f>IF(ISBLANK(Attendance!A19),"",Attendance!AJ19)</f>
        <v/>
      </c>
      <c r="D19" s="43"/>
      <c r="E19" s="29"/>
      <c r="F19" s="27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9"/>
      <c r="Y19" s="30">
        <f t="shared" si="11"/>
        <v>0</v>
      </c>
      <c r="Z19" s="27"/>
      <c r="AA19" s="28"/>
      <c r="AB19" s="28">
        <f t="shared" si="0"/>
        <v>0</v>
      </c>
      <c r="AC19" s="31">
        <f t="shared" si="10"/>
        <v>0</v>
      </c>
      <c r="AD19" s="32"/>
      <c r="AE19" s="28"/>
      <c r="AF19" s="28">
        <f t="shared" si="1"/>
        <v>0</v>
      </c>
      <c r="AG19" s="31">
        <f t="shared" si="12"/>
        <v>0</v>
      </c>
      <c r="AH19" s="32"/>
      <c r="AI19" s="28"/>
      <c r="AJ19" s="31">
        <f t="shared" si="13"/>
        <v>0</v>
      </c>
      <c r="AK19" s="32"/>
      <c r="AL19" s="28"/>
      <c r="AM19" s="28">
        <f t="shared" si="2"/>
        <v>0</v>
      </c>
      <c r="AN19" s="31">
        <f t="shared" si="14"/>
        <v>0</v>
      </c>
      <c r="AO19" s="32"/>
      <c r="AP19" s="28"/>
      <c r="AQ19" s="28">
        <f t="shared" si="3"/>
        <v>0</v>
      </c>
      <c r="AR19" s="31">
        <f t="shared" si="17"/>
        <v>0</v>
      </c>
      <c r="AS19" s="32"/>
      <c r="AT19" s="28"/>
      <c r="AU19" s="28">
        <f t="shared" si="4"/>
        <v>0</v>
      </c>
      <c r="AV19" s="31">
        <f t="shared" si="15"/>
        <v>0</v>
      </c>
      <c r="AW19" s="32"/>
      <c r="AX19" s="28"/>
      <c r="AY19" s="28">
        <f t="shared" si="5"/>
        <v>0</v>
      </c>
      <c r="AZ19" s="33">
        <f t="shared" si="6"/>
        <v>0</v>
      </c>
      <c r="BA19" s="34">
        <f>SUM(AB19,AF19,AI19,AM19,AQ19,AU19,AY19)-SMALL((AB19,AF19,AI19,AM19,AQ19,AU19,AY19),1)</f>
        <v>0</v>
      </c>
      <c r="BB19" s="27">
        <f t="shared" si="7"/>
        <v>0</v>
      </c>
      <c r="BC19" s="28"/>
      <c r="BD19" s="28">
        <f t="shared" si="8"/>
        <v>0</v>
      </c>
      <c r="BE19" s="28"/>
      <c r="BF19" s="35">
        <f t="shared" si="16"/>
        <v>0</v>
      </c>
      <c r="BG19" s="29"/>
      <c r="BK19" s="5">
        <f t="shared" si="9"/>
        <v>0</v>
      </c>
    </row>
    <row r="20" spans="1:63" ht="13" x14ac:dyDescent="0.3">
      <c r="A20" s="38" t="str">
        <f>IF(ISBLANK(Attendance!A20),"",Attendance!A20)</f>
        <v/>
      </c>
      <c r="B20" s="50" t="str">
        <f>IF(ISBLANK(Attendance!B20),"",Attendance!B20)</f>
        <v/>
      </c>
      <c r="C20" s="27" t="str">
        <f>IF(ISBLANK(Attendance!A20),"",Attendance!AJ20)</f>
        <v/>
      </c>
      <c r="D20" s="43"/>
      <c r="E20" s="29"/>
      <c r="F20" s="27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9"/>
      <c r="Y20" s="30">
        <f t="shared" si="11"/>
        <v>0</v>
      </c>
      <c r="Z20" s="27"/>
      <c r="AA20" s="28"/>
      <c r="AB20" s="28">
        <f t="shared" si="0"/>
        <v>0</v>
      </c>
      <c r="AC20" s="31">
        <f t="shared" si="10"/>
        <v>0</v>
      </c>
      <c r="AD20" s="32"/>
      <c r="AE20" s="28"/>
      <c r="AF20" s="28">
        <f t="shared" si="1"/>
        <v>0</v>
      </c>
      <c r="AG20" s="31">
        <f t="shared" si="12"/>
        <v>0</v>
      </c>
      <c r="AH20" s="32"/>
      <c r="AI20" s="28"/>
      <c r="AJ20" s="31">
        <f t="shared" si="13"/>
        <v>0</v>
      </c>
      <c r="AK20" s="32"/>
      <c r="AL20" s="28"/>
      <c r="AM20" s="28">
        <f t="shared" si="2"/>
        <v>0</v>
      </c>
      <c r="AN20" s="31">
        <f t="shared" si="14"/>
        <v>0</v>
      </c>
      <c r="AO20" s="32"/>
      <c r="AP20" s="28"/>
      <c r="AQ20" s="28">
        <f t="shared" si="3"/>
        <v>0</v>
      </c>
      <c r="AR20" s="31">
        <f t="shared" si="17"/>
        <v>0</v>
      </c>
      <c r="AS20" s="32"/>
      <c r="AT20" s="28"/>
      <c r="AU20" s="28">
        <f t="shared" si="4"/>
        <v>0</v>
      </c>
      <c r="AV20" s="31">
        <f t="shared" si="15"/>
        <v>0</v>
      </c>
      <c r="AW20" s="32"/>
      <c r="AX20" s="28"/>
      <c r="AY20" s="28">
        <f t="shared" si="5"/>
        <v>0</v>
      </c>
      <c r="AZ20" s="33">
        <f t="shared" si="6"/>
        <v>0</v>
      </c>
      <c r="BA20" s="34">
        <f>SUM(AB20,AF20,AI20,AM20,AQ20,AU20,AY20)-SMALL((AB20,AF20,AI20,AM20,AQ20,AU20,AY20),1)</f>
        <v>0</v>
      </c>
      <c r="BB20" s="27">
        <f t="shared" si="7"/>
        <v>0</v>
      </c>
      <c r="BC20" s="28"/>
      <c r="BD20" s="28">
        <f t="shared" si="8"/>
        <v>0</v>
      </c>
      <c r="BE20" s="28"/>
      <c r="BF20" s="35">
        <f t="shared" si="16"/>
        <v>0</v>
      </c>
      <c r="BG20" s="29"/>
      <c r="BK20" s="5">
        <f t="shared" si="9"/>
        <v>0</v>
      </c>
    </row>
    <row r="21" spans="1:63" ht="13" x14ac:dyDescent="0.3">
      <c r="A21" s="38" t="str">
        <f>IF(ISBLANK(Attendance!A21),"",Attendance!A21)</f>
        <v/>
      </c>
      <c r="B21" s="50" t="str">
        <f>IF(ISBLANK(Attendance!B21),"",Attendance!B21)</f>
        <v/>
      </c>
      <c r="C21" s="27" t="str">
        <f>IF(ISBLANK(Attendance!A21),"",Attendance!AJ21)</f>
        <v/>
      </c>
      <c r="D21" s="43"/>
      <c r="E21" s="29"/>
      <c r="F21" s="27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9"/>
      <c r="Y21" s="30">
        <f t="shared" si="11"/>
        <v>0</v>
      </c>
      <c r="Z21" s="27"/>
      <c r="AA21" s="28"/>
      <c r="AB21" s="28">
        <f t="shared" si="0"/>
        <v>0</v>
      </c>
      <c r="AC21" s="31">
        <f t="shared" si="10"/>
        <v>0</v>
      </c>
      <c r="AD21" s="32"/>
      <c r="AE21" s="28"/>
      <c r="AF21" s="28">
        <f t="shared" si="1"/>
        <v>0</v>
      </c>
      <c r="AG21" s="31">
        <f t="shared" si="12"/>
        <v>0</v>
      </c>
      <c r="AH21" s="32"/>
      <c r="AI21" s="28"/>
      <c r="AJ21" s="31">
        <f t="shared" si="13"/>
        <v>0</v>
      </c>
      <c r="AK21" s="32"/>
      <c r="AL21" s="28"/>
      <c r="AM21" s="28">
        <f t="shared" si="2"/>
        <v>0</v>
      </c>
      <c r="AN21" s="31">
        <f t="shared" si="14"/>
        <v>0</v>
      </c>
      <c r="AO21" s="32"/>
      <c r="AP21" s="28"/>
      <c r="AQ21" s="28">
        <f t="shared" si="3"/>
        <v>0</v>
      </c>
      <c r="AR21" s="31">
        <f t="shared" si="17"/>
        <v>0</v>
      </c>
      <c r="AS21" s="32"/>
      <c r="AT21" s="28"/>
      <c r="AU21" s="28">
        <f t="shared" si="4"/>
        <v>0</v>
      </c>
      <c r="AV21" s="31">
        <f t="shared" si="15"/>
        <v>0</v>
      </c>
      <c r="AW21" s="32"/>
      <c r="AX21" s="28"/>
      <c r="AY21" s="28">
        <f t="shared" si="5"/>
        <v>0</v>
      </c>
      <c r="AZ21" s="33">
        <f t="shared" si="6"/>
        <v>0</v>
      </c>
      <c r="BA21" s="34">
        <f>SUM(AB21,AF21,AI21,AM21,AQ21,AU21,AY21)-SMALL((AB21,AF21,AI21,AM21,AQ21,AU21,AY21),1)</f>
        <v>0</v>
      </c>
      <c r="BB21" s="27">
        <f t="shared" si="7"/>
        <v>0</v>
      </c>
      <c r="BC21" s="28"/>
      <c r="BD21" s="28">
        <f t="shared" si="8"/>
        <v>0</v>
      </c>
      <c r="BE21" s="28"/>
      <c r="BF21" s="35">
        <f t="shared" si="16"/>
        <v>0</v>
      </c>
      <c r="BG21" s="29"/>
      <c r="BK21" s="5">
        <f t="shared" si="9"/>
        <v>0</v>
      </c>
    </row>
    <row r="22" spans="1:63" ht="13" x14ac:dyDescent="0.3">
      <c r="A22" s="38" t="str">
        <f>IF(ISBLANK(Attendance!A22),"",Attendance!A22)</f>
        <v/>
      </c>
      <c r="B22" s="50" t="str">
        <f>IF(ISBLANK(Attendance!B22),"",Attendance!B22)</f>
        <v/>
      </c>
      <c r="C22" s="27" t="str">
        <f>IF(ISBLANK(Attendance!A22),"",Attendance!AJ22)</f>
        <v/>
      </c>
      <c r="D22" s="43"/>
      <c r="E22" s="29"/>
      <c r="F22" s="27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9"/>
      <c r="Y22" s="30">
        <f t="shared" si="11"/>
        <v>0</v>
      </c>
      <c r="Z22" s="27"/>
      <c r="AA22" s="28"/>
      <c r="AB22" s="28">
        <f t="shared" si="0"/>
        <v>0</v>
      </c>
      <c r="AC22" s="31">
        <f t="shared" si="10"/>
        <v>0</v>
      </c>
      <c r="AD22" s="32"/>
      <c r="AE22" s="28"/>
      <c r="AF22" s="28">
        <f t="shared" si="1"/>
        <v>0</v>
      </c>
      <c r="AG22" s="31">
        <f t="shared" si="12"/>
        <v>0</v>
      </c>
      <c r="AH22" s="32"/>
      <c r="AI22" s="28"/>
      <c r="AJ22" s="31">
        <f t="shared" si="13"/>
        <v>0</v>
      </c>
      <c r="AK22" s="32"/>
      <c r="AL22" s="28"/>
      <c r="AM22" s="28">
        <f t="shared" si="2"/>
        <v>0</v>
      </c>
      <c r="AN22" s="31">
        <f t="shared" si="14"/>
        <v>0</v>
      </c>
      <c r="AO22" s="32"/>
      <c r="AP22" s="28"/>
      <c r="AQ22" s="28">
        <f t="shared" si="3"/>
        <v>0</v>
      </c>
      <c r="AR22" s="31">
        <f t="shared" si="17"/>
        <v>0</v>
      </c>
      <c r="AS22" s="32"/>
      <c r="AT22" s="28"/>
      <c r="AU22" s="28">
        <f t="shared" si="4"/>
        <v>0</v>
      </c>
      <c r="AV22" s="31">
        <f t="shared" si="15"/>
        <v>0</v>
      </c>
      <c r="AW22" s="32"/>
      <c r="AX22" s="28"/>
      <c r="AY22" s="28">
        <f t="shared" si="5"/>
        <v>0</v>
      </c>
      <c r="AZ22" s="33">
        <f t="shared" si="6"/>
        <v>0</v>
      </c>
      <c r="BA22" s="34">
        <f>SUM(AB22,AF22,AI22,AM22,AQ22,AU22,AY22)-SMALL((AB22,AF22,AI22,AM22,AQ22,AU22,AY22),1)</f>
        <v>0</v>
      </c>
      <c r="BB22" s="27">
        <f t="shared" si="7"/>
        <v>0</v>
      </c>
      <c r="BC22" s="28"/>
      <c r="BD22" s="28">
        <f t="shared" si="8"/>
        <v>0</v>
      </c>
      <c r="BE22" s="28"/>
      <c r="BF22" s="35">
        <f t="shared" si="16"/>
        <v>0</v>
      </c>
      <c r="BG22" s="29"/>
      <c r="BK22" s="5">
        <f t="shared" si="9"/>
        <v>0</v>
      </c>
    </row>
    <row r="23" spans="1:63" ht="13" x14ac:dyDescent="0.3">
      <c r="A23" s="38" t="str">
        <f>IF(ISBLANK(Attendance!A23),"",Attendance!A23)</f>
        <v/>
      </c>
      <c r="B23" s="50" t="str">
        <f>IF(ISBLANK(Attendance!B23),"",Attendance!B23)</f>
        <v/>
      </c>
      <c r="C23" s="27" t="str">
        <f>IF(ISBLANK(Attendance!A23),"",Attendance!AJ23)</f>
        <v/>
      </c>
      <c r="D23" s="43"/>
      <c r="E23" s="29"/>
      <c r="F23" s="27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9"/>
      <c r="Y23" s="30">
        <f t="shared" si="11"/>
        <v>0</v>
      </c>
      <c r="Z23" s="27"/>
      <c r="AA23" s="28"/>
      <c r="AB23" s="28">
        <f t="shared" si="0"/>
        <v>0</v>
      </c>
      <c r="AC23" s="31">
        <f t="shared" si="10"/>
        <v>0</v>
      </c>
      <c r="AD23" s="32"/>
      <c r="AE23" s="28"/>
      <c r="AF23" s="28">
        <f t="shared" si="1"/>
        <v>0</v>
      </c>
      <c r="AG23" s="31">
        <f t="shared" si="12"/>
        <v>0</v>
      </c>
      <c r="AH23" s="32"/>
      <c r="AI23" s="28"/>
      <c r="AJ23" s="31">
        <f t="shared" si="13"/>
        <v>0</v>
      </c>
      <c r="AK23" s="32"/>
      <c r="AL23" s="28"/>
      <c r="AM23" s="28">
        <f t="shared" si="2"/>
        <v>0</v>
      </c>
      <c r="AN23" s="31">
        <f t="shared" si="14"/>
        <v>0</v>
      </c>
      <c r="AO23" s="32"/>
      <c r="AP23" s="28"/>
      <c r="AQ23" s="28">
        <f t="shared" si="3"/>
        <v>0</v>
      </c>
      <c r="AR23" s="31">
        <f t="shared" si="17"/>
        <v>0</v>
      </c>
      <c r="AS23" s="32"/>
      <c r="AT23" s="28"/>
      <c r="AU23" s="28">
        <f t="shared" si="4"/>
        <v>0</v>
      </c>
      <c r="AV23" s="31">
        <f t="shared" si="15"/>
        <v>0</v>
      </c>
      <c r="AW23" s="32"/>
      <c r="AX23" s="28"/>
      <c r="AY23" s="28">
        <f t="shared" si="5"/>
        <v>0</v>
      </c>
      <c r="AZ23" s="33">
        <f xml:space="preserve"> AY23/60</f>
        <v>0</v>
      </c>
      <c r="BA23" s="34">
        <f>SUM(AB23,AF23,AI23,AM23,AQ23,AU23,AY23)-SMALL((AB23,AF23,AI23,AM23,AQ23,AU23,AY23),1)</f>
        <v>0</v>
      </c>
      <c r="BB23" s="27">
        <f t="shared" si="7"/>
        <v>0</v>
      </c>
      <c r="BC23" s="28"/>
      <c r="BD23" s="28">
        <f t="shared" si="8"/>
        <v>0</v>
      </c>
      <c r="BE23" s="28"/>
      <c r="BF23" s="35">
        <f t="shared" si="16"/>
        <v>0</v>
      </c>
      <c r="BG23" s="29"/>
      <c r="BK23" s="5">
        <f xml:space="preserve"> (BI23+BJ23)*(75/30)</f>
        <v>0</v>
      </c>
    </row>
    <row r="24" spans="1:63" ht="13" x14ac:dyDescent="0.3">
      <c r="A24" s="38" t="str">
        <f>IF(ISBLANK(Attendance!A24),"",Attendance!A24)</f>
        <v/>
      </c>
      <c r="B24" s="50" t="str">
        <f>IF(ISBLANK(Attendance!B24),"",Attendance!B24)</f>
        <v/>
      </c>
      <c r="C24" s="27" t="str">
        <f>IF(ISBLANK(Attendance!A24),"",Attendance!AJ24)</f>
        <v/>
      </c>
      <c r="D24" s="43"/>
      <c r="E24" s="29"/>
      <c r="F24" s="27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9"/>
      <c r="Y24" s="30">
        <f t="shared" si="11"/>
        <v>0</v>
      </c>
      <c r="Z24" s="27"/>
      <c r="AA24" s="28"/>
      <c r="AB24" s="28">
        <f t="shared" si="0"/>
        <v>0</v>
      </c>
      <c r="AC24" s="31">
        <f t="shared" si="10"/>
        <v>0</v>
      </c>
      <c r="AD24" s="32"/>
      <c r="AE24" s="28"/>
      <c r="AF24" s="28">
        <f t="shared" si="1"/>
        <v>0</v>
      </c>
      <c r="AG24" s="31">
        <f t="shared" si="12"/>
        <v>0</v>
      </c>
      <c r="AH24" s="32"/>
      <c r="AI24" s="28"/>
      <c r="AJ24" s="31">
        <f t="shared" si="13"/>
        <v>0</v>
      </c>
      <c r="AK24" s="32"/>
      <c r="AL24" s="28"/>
      <c r="AM24" s="28">
        <f t="shared" si="2"/>
        <v>0</v>
      </c>
      <c r="AN24" s="31">
        <f t="shared" si="14"/>
        <v>0</v>
      </c>
      <c r="AO24" s="32"/>
      <c r="AP24" s="28"/>
      <c r="AQ24" s="28">
        <f t="shared" si="3"/>
        <v>0</v>
      </c>
      <c r="AR24" s="31">
        <f t="shared" si="17"/>
        <v>0</v>
      </c>
      <c r="AS24" s="32"/>
      <c r="AT24" s="28"/>
      <c r="AU24" s="28">
        <f t="shared" si="4"/>
        <v>0</v>
      </c>
      <c r="AV24" s="31">
        <f t="shared" si="15"/>
        <v>0</v>
      </c>
      <c r="AW24" s="32"/>
      <c r="AX24" s="28"/>
      <c r="AY24" s="28">
        <f t="shared" si="5"/>
        <v>0</v>
      </c>
      <c r="AZ24" s="33">
        <f xml:space="preserve"> AY24/60</f>
        <v>0</v>
      </c>
      <c r="BA24" s="34">
        <f>SUM(AB24,AF24,AI24,AM24,AQ24,AU24,AY24)-SMALL((AB24,AF24,AI24,AM24,AQ24,AU24,AY24),1)</f>
        <v>0</v>
      </c>
      <c r="BB24" s="27">
        <f t="shared" si="7"/>
        <v>0</v>
      </c>
      <c r="BC24" s="28"/>
      <c r="BD24" s="28">
        <f t="shared" si="8"/>
        <v>0</v>
      </c>
      <c r="BE24" s="28"/>
      <c r="BF24" s="35">
        <f t="shared" si="16"/>
        <v>0</v>
      </c>
      <c r="BG24" s="29"/>
      <c r="BK24" s="5">
        <f xml:space="preserve"> (BI24+BJ24)*(75/30)</f>
        <v>0</v>
      </c>
    </row>
    <row r="25" spans="1:63" ht="13" x14ac:dyDescent="0.3">
      <c r="A25" s="38" t="str">
        <f>IF(ISBLANK(Attendance!A25),"",Attendance!A25)</f>
        <v/>
      </c>
      <c r="B25" s="50" t="str">
        <f>IF(ISBLANK(Attendance!B25),"",Attendance!B25)</f>
        <v/>
      </c>
      <c r="C25" s="27" t="str">
        <f>IF(ISBLANK(Attendance!A25),"",Attendance!AJ25)</f>
        <v/>
      </c>
      <c r="D25" s="43"/>
      <c r="E25" s="29"/>
      <c r="F25" s="27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9"/>
      <c r="Y25" s="30">
        <f t="shared" si="11"/>
        <v>0</v>
      </c>
      <c r="Z25" s="27"/>
      <c r="AA25" s="28"/>
      <c r="AB25" s="28">
        <f t="shared" si="0"/>
        <v>0</v>
      </c>
      <c r="AC25" s="31">
        <f t="shared" si="10"/>
        <v>0</v>
      </c>
      <c r="AD25" s="32"/>
      <c r="AE25" s="28"/>
      <c r="AF25" s="28">
        <f t="shared" si="1"/>
        <v>0</v>
      </c>
      <c r="AG25" s="31">
        <f t="shared" si="12"/>
        <v>0</v>
      </c>
      <c r="AH25" s="32"/>
      <c r="AI25" s="28"/>
      <c r="AJ25" s="31">
        <f t="shared" si="13"/>
        <v>0</v>
      </c>
      <c r="AK25" s="32"/>
      <c r="AL25" s="28"/>
      <c r="AM25" s="28">
        <f t="shared" si="2"/>
        <v>0</v>
      </c>
      <c r="AN25" s="31">
        <f t="shared" si="14"/>
        <v>0</v>
      </c>
      <c r="AO25" s="32"/>
      <c r="AP25" s="28"/>
      <c r="AQ25" s="28">
        <f t="shared" si="3"/>
        <v>0</v>
      </c>
      <c r="AR25" s="31">
        <f t="shared" si="17"/>
        <v>0</v>
      </c>
      <c r="AS25" s="32"/>
      <c r="AT25" s="28"/>
      <c r="AU25" s="28">
        <f t="shared" si="4"/>
        <v>0</v>
      </c>
      <c r="AV25" s="31">
        <f t="shared" si="15"/>
        <v>0</v>
      </c>
      <c r="AW25" s="32"/>
      <c r="AX25" s="28"/>
      <c r="AY25" s="28">
        <f t="shared" si="5"/>
        <v>0</v>
      </c>
      <c r="AZ25" s="33">
        <f xml:space="preserve"> AY25/60</f>
        <v>0</v>
      </c>
      <c r="BA25" s="34">
        <f>SUM(AB25,AF25,AI25,AM25,AQ25,AU25,AY25)-SMALL((AB25,AF25,AI25,AM25,AQ25,AU25,AY25),1)</f>
        <v>0</v>
      </c>
      <c r="BB25" s="27">
        <f t="shared" si="7"/>
        <v>0</v>
      </c>
      <c r="BC25" s="28"/>
      <c r="BD25" s="28">
        <f t="shared" si="8"/>
        <v>0</v>
      </c>
      <c r="BE25" s="28"/>
      <c r="BF25" s="35">
        <f t="shared" si="16"/>
        <v>0</v>
      </c>
      <c r="BG25" s="29"/>
      <c r="BK25" s="5">
        <f xml:space="preserve"> (BI25+BJ25)*(75/30)</f>
        <v>0</v>
      </c>
    </row>
    <row r="26" spans="1:63" ht="13" x14ac:dyDescent="0.3">
      <c r="A26" s="38" t="str">
        <f>IF(ISBLANK(Attendance!A26),"",Attendance!A26)</f>
        <v/>
      </c>
      <c r="B26" s="50" t="str">
        <f>IF(ISBLANK(Attendance!B26),"",Attendance!B26)</f>
        <v/>
      </c>
      <c r="C26" s="27" t="str">
        <f>IF(ISBLANK(Attendance!A26),"",Attendance!AJ26)</f>
        <v/>
      </c>
      <c r="D26" s="43"/>
      <c r="E26" s="29"/>
      <c r="F26" s="27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9"/>
      <c r="Y26" s="30">
        <f t="shared" si="11"/>
        <v>0</v>
      </c>
      <c r="Z26" s="27"/>
      <c r="AA26" s="28"/>
      <c r="AB26" s="28">
        <f t="shared" si="0"/>
        <v>0</v>
      </c>
      <c r="AC26" s="31">
        <f t="shared" si="10"/>
        <v>0</v>
      </c>
      <c r="AD26" s="32"/>
      <c r="AE26" s="28"/>
      <c r="AF26" s="28">
        <f t="shared" si="1"/>
        <v>0</v>
      </c>
      <c r="AG26" s="31">
        <f t="shared" si="12"/>
        <v>0</v>
      </c>
      <c r="AH26" s="32"/>
      <c r="AI26" s="28"/>
      <c r="AJ26" s="31">
        <f t="shared" si="13"/>
        <v>0</v>
      </c>
      <c r="AK26" s="32"/>
      <c r="AL26" s="28"/>
      <c r="AM26" s="28">
        <f t="shared" si="2"/>
        <v>0</v>
      </c>
      <c r="AN26" s="31">
        <f t="shared" si="14"/>
        <v>0</v>
      </c>
      <c r="AO26" s="32"/>
      <c r="AP26" s="28"/>
      <c r="AQ26" s="28">
        <f t="shared" si="3"/>
        <v>0</v>
      </c>
      <c r="AR26" s="31">
        <f t="shared" si="17"/>
        <v>0</v>
      </c>
      <c r="AS26" s="32"/>
      <c r="AT26" s="28"/>
      <c r="AU26" s="28">
        <f t="shared" si="4"/>
        <v>0</v>
      </c>
      <c r="AV26" s="31">
        <f t="shared" si="15"/>
        <v>0</v>
      </c>
      <c r="AW26" s="32"/>
      <c r="AX26" s="28"/>
      <c r="AY26" s="28">
        <f t="shared" si="5"/>
        <v>0</v>
      </c>
      <c r="AZ26" s="33">
        <f t="shared" ref="AZ26:AZ35" si="18" xml:space="preserve"> AY26/50</f>
        <v>0</v>
      </c>
      <c r="BA26" s="34">
        <f>SUM(AB26,AF26,AI26,AM26,AQ26,AU26,AY26)-SMALL((AB26,AF26,AI26,AM26,AQ26,AU26,AY26),1)</f>
        <v>0</v>
      </c>
      <c r="BB26" s="27">
        <f t="shared" si="7"/>
        <v>0</v>
      </c>
      <c r="BC26" s="28"/>
      <c r="BD26" s="28">
        <f t="shared" si="8"/>
        <v>0</v>
      </c>
      <c r="BE26" s="28"/>
      <c r="BF26" s="35">
        <f t="shared" si="16"/>
        <v>0</v>
      </c>
      <c r="BG26" s="29"/>
      <c r="BK26" s="5">
        <f t="shared" ref="BK26:BK35" si="19" xml:space="preserve"> (BI26+BJ26)*3.75</f>
        <v>0</v>
      </c>
    </row>
    <row r="27" spans="1:63" ht="13" x14ac:dyDescent="0.3">
      <c r="A27" s="38" t="str">
        <f>IF(ISBLANK(Attendance!A27),"",Attendance!A27)</f>
        <v/>
      </c>
      <c r="B27" s="50" t="str">
        <f>IF(ISBLANK(Attendance!B27),"",Attendance!B27)</f>
        <v/>
      </c>
      <c r="C27" s="27" t="str">
        <f>IF(ISBLANK(Attendance!A27),"",Attendance!AJ27)</f>
        <v/>
      </c>
      <c r="D27" s="43"/>
      <c r="E27" s="29"/>
      <c r="F27" s="27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9"/>
      <c r="Y27" s="30">
        <f t="shared" si="11"/>
        <v>0</v>
      </c>
      <c r="Z27" s="27"/>
      <c r="AA27" s="28"/>
      <c r="AB27" s="28">
        <f t="shared" si="0"/>
        <v>0</v>
      </c>
      <c r="AC27" s="31">
        <f t="shared" si="10"/>
        <v>0</v>
      </c>
      <c r="AD27" s="32"/>
      <c r="AE27" s="28"/>
      <c r="AF27" s="28">
        <f t="shared" si="1"/>
        <v>0</v>
      </c>
      <c r="AG27" s="31">
        <f t="shared" si="12"/>
        <v>0</v>
      </c>
      <c r="AH27" s="32"/>
      <c r="AI27" s="28"/>
      <c r="AJ27" s="31">
        <f t="shared" si="13"/>
        <v>0</v>
      </c>
      <c r="AK27" s="32"/>
      <c r="AL27" s="28"/>
      <c r="AM27" s="28">
        <f t="shared" si="2"/>
        <v>0</v>
      </c>
      <c r="AN27" s="31">
        <f t="shared" si="14"/>
        <v>0</v>
      </c>
      <c r="AO27" s="32"/>
      <c r="AP27" s="28"/>
      <c r="AQ27" s="28">
        <f t="shared" si="3"/>
        <v>0</v>
      </c>
      <c r="AR27" s="31">
        <f t="shared" si="17"/>
        <v>0</v>
      </c>
      <c r="AS27" s="32"/>
      <c r="AT27" s="28"/>
      <c r="AU27" s="28">
        <f t="shared" si="4"/>
        <v>0</v>
      </c>
      <c r="AV27" s="31">
        <f t="shared" si="15"/>
        <v>0</v>
      </c>
      <c r="AW27" s="32"/>
      <c r="AX27" s="28"/>
      <c r="AY27" s="28">
        <f t="shared" si="5"/>
        <v>0</v>
      </c>
      <c r="AZ27" s="33">
        <f t="shared" si="18"/>
        <v>0</v>
      </c>
      <c r="BA27" s="34">
        <f>SUM(AB27,AF27,AI27,AM27,AQ27,AU27,AY27)-SMALL((AB27,AF27,AI27,AM27,AQ27,AU27,AY27),1)</f>
        <v>0</v>
      </c>
      <c r="BB27" s="27">
        <f t="shared" si="7"/>
        <v>0</v>
      </c>
      <c r="BC27" s="28"/>
      <c r="BD27" s="28">
        <f t="shared" si="8"/>
        <v>0</v>
      </c>
      <c r="BE27" s="28"/>
      <c r="BF27" s="35">
        <f t="shared" si="16"/>
        <v>0</v>
      </c>
      <c r="BG27" s="29"/>
      <c r="BK27" s="5">
        <f t="shared" si="19"/>
        <v>0</v>
      </c>
    </row>
    <row r="28" spans="1:63" ht="13" x14ac:dyDescent="0.3">
      <c r="A28" s="38" t="str">
        <f>IF(ISBLANK(Attendance!A28),"",Attendance!A28)</f>
        <v/>
      </c>
      <c r="B28" s="50" t="str">
        <f>IF(ISBLANK(Attendance!B28),"",Attendance!B28)</f>
        <v/>
      </c>
      <c r="C28" s="27" t="str">
        <f>IF(ISBLANK(Attendance!A28),"",Attendance!AJ28)</f>
        <v/>
      </c>
      <c r="D28" s="43"/>
      <c r="E28" s="29"/>
      <c r="F28" s="27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9"/>
      <c r="Y28" s="30">
        <f t="shared" si="11"/>
        <v>0</v>
      </c>
      <c r="Z28" s="27"/>
      <c r="AA28" s="28"/>
      <c r="AB28" s="28">
        <f t="shared" si="0"/>
        <v>0</v>
      </c>
      <c r="AC28" s="31">
        <f t="shared" si="10"/>
        <v>0</v>
      </c>
      <c r="AD28" s="32"/>
      <c r="AE28" s="28"/>
      <c r="AF28" s="28">
        <f t="shared" si="1"/>
        <v>0</v>
      </c>
      <c r="AG28" s="31">
        <f t="shared" si="12"/>
        <v>0</v>
      </c>
      <c r="AH28" s="32"/>
      <c r="AI28" s="28"/>
      <c r="AJ28" s="31">
        <f t="shared" si="13"/>
        <v>0</v>
      </c>
      <c r="AK28" s="32"/>
      <c r="AL28" s="28"/>
      <c r="AM28" s="28">
        <f t="shared" si="2"/>
        <v>0</v>
      </c>
      <c r="AN28" s="31">
        <f t="shared" si="14"/>
        <v>0</v>
      </c>
      <c r="AO28" s="32"/>
      <c r="AP28" s="28"/>
      <c r="AQ28" s="28">
        <f t="shared" si="3"/>
        <v>0</v>
      </c>
      <c r="AR28" s="31">
        <f t="shared" si="17"/>
        <v>0</v>
      </c>
      <c r="AS28" s="32"/>
      <c r="AT28" s="28"/>
      <c r="AU28" s="28">
        <f t="shared" si="4"/>
        <v>0</v>
      </c>
      <c r="AV28" s="31">
        <f t="shared" si="15"/>
        <v>0</v>
      </c>
      <c r="AW28" s="32"/>
      <c r="AX28" s="28"/>
      <c r="AY28" s="28">
        <f t="shared" si="5"/>
        <v>0</v>
      </c>
      <c r="AZ28" s="33">
        <f t="shared" si="18"/>
        <v>0</v>
      </c>
      <c r="BA28" s="34">
        <f>SUM(AB28,AF28,AI28,AM28,AQ28,AU28,AY28)-SMALL((AB28,AF28,AI28,AM28,AQ28,AU28,AY28),1)</f>
        <v>0</v>
      </c>
      <c r="BB28" s="27">
        <f t="shared" si="7"/>
        <v>0</v>
      </c>
      <c r="BC28" s="28"/>
      <c r="BD28" s="28">
        <f t="shared" si="8"/>
        <v>0</v>
      </c>
      <c r="BE28" s="28"/>
      <c r="BF28" s="35">
        <f t="shared" si="16"/>
        <v>0</v>
      </c>
      <c r="BG28" s="29"/>
      <c r="BK28" s="5">
        <f t="shared" si="19"/>
        <v>0</v>
      </c>
    </row>
    <row r="29" spans="1:63" ht="13" x14ac:dyDescent="0.3">
      <c r="A29" s="38" t="str">
        <f>IF(ISBLANK(Attendance!A29),"",Attendance!A29)</f>
        <v/>
      </c>
      <c r="B29" s="50" t="str">
        <f>IF(ISBLANK(Attendance!B29),"",Attendance!B29)</f>
        <v/>
      </c>
      <c r="C29" s="27" t="str">
        <f>IF(ISBLANK(Attendance!A29),"",Attendance!AJ29)</f>
        <v/>
      </c>
      <c r="D29" s="43"/>
      <c r="E29" s="29"/>
      <c r="F29" s="27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9"/>
      <c r="Y29" s="30">
        <f t="shared" si="11"/>
        <v>0</v>
      </c>
      <c r="Z29" s="27"/>
      <c r="AA29" s="28"/>
      <c r="AB29" s="28">
        <f t="shared" si="0"/>
        <v>0</v>
      </c>
      <c r="AC29" s="31">
        <f t="shared" si="10"/>
        <v>0</v>
      </c>
      <c r="AD29" s="32"/>
      <c r="AE29" s="28"/>
      <c r="AF29" s="28">
        <f t="shared" si="1"/>
        <v>0</v>
      </c>
      <c r="AG29" s="31">
        <f t="shared" si="12"/>
        <v>0</v>
      </c>
      <c r="AH29" s="32"/>
      <c r="AI29" s="28"/>
      <c r="AJ29" s="31">
        <f t="shared" si="13"/>
        <v>0</v>
      </c>
      <c r="AK29" s="32"/>
      <c r="AL29" s="28"/>
      <c r="AM29" s="28">
        <f t="shared" si="2"/>
        <v>0</v>
      </c>
      <c r="AN29" s="31">
        <f t="shared" si="14"/>
        <v>0</v>
      </c>
      <c r="AO29" s="32"/>
      <c r="AP29" s="28"/>
      <c r="AQ29" s="28">
        <f t="shared" si="3"/>
        <v>0</v>
      </c>
      <c r="AR29" s="31">
        <f t="shared" si="17"/>
        <v>0</v>
      </c>
      <c r="AS29" s="32"/>
      <c r="AT29" s="28"/>
      <c r="AU29" s="28">
        <f t="shared" si="4"/>
        <v>0</v>
      </c>
      <c r="AV29" s="31">
        <f t="shared" si="15"/>
        <v>0</v>
      </c>
      <c r="AW29" s="32"/>
      <c r="AX29" s="28"/>
      <c r="AY29" s="28">
        <f t="shared" si="5"/>
        <v>0</v>
      </c>
      <c r="AZ29" s="33">
        <f t="shared" si="18"/>
        <v>0</v>
      </c>
      <c r="BA29" s="34">
        <f>SUM(AB29,AF29,AI29,AM29,AQ29,AU29,AY29)-SMALL((AB29,AF29,AI29,AM29,AQ29,AU29,AY29),1)</f>
        <v>0</v>
      </c>
      <c r="BB29" s="27">
        <f t="shared" si="7"/>
        <v>0</v>
      </c>
      <c r="BC29" s="28"/>
      <c r="BD29" s="28">
        <f t="shared" si="8"/>
        <v>0</v>
      </c>
      <c r="BE29" s="28"/>
      <c r="BF29" s="35">
        <f t="shared" si="16"/>
        <v>0</v>
      </c>
      <c r="BG29" s="29"/>
      <c r="BK29" s="5">
        <f t="shared" si="19"/>
        <v>0</v>
      </c>
    </row>
    <row r="30" spans="1:63" ht="13" x14ac:dyDescent="0.3">
      <c r="A30" s="38" t="str">
        <f>IF(ISBLANK(Attendance!A30),"",Attendance!A30)</f>
        <v/>
      </c>
      <c r="B30" s="50" t="str">
        <f>IF(ISBLANK(Attendance!B30),"",Attendance!B30)</f>
        <v/>
      </c>
      <c r="C30" s="27" t="str">
        <f>IF(ISBLANK(Attendance!A30),"",Attendance!AJ30)</f>
        <v/>
      </c>
      <c r="D30" s="43"/>
      <c r="E30" s="29"/>
      <c r="F30" s="27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9"/>
      <c r="Y30" s="30">
        <f t="shared" si="11"/>
        <v>0</v>
      </c>
      <c r="Z30" s="27"/>
      <c r="AA30" s="28"/>
      <c r="AB30" s="28">
        <f t="shared" si="0"/>
        <v>0</v>
      </c>
      <c r="AC30" s="31">
        <f t="shared" si="10"/>
        <v>0</v>
      </c>
      <c r="AD30" s="32"/>
      <c r="AE30" s="28"/>
      <c r="AF30" s="28">
        <f t="shared" si="1"/>
        <v>0</v>
      </c>
      <c r="AG30" s="31">
        <f t="shared" si="12"/>
        <v>0</v>
      </c>
      <c r="AH30" s="32"/>
      <c r="AI30" s="28"/>
      <c r="AJ30" s="31">
        <f t="shared" si="13"/>
        <v>0</v>
      </c>
      <c r="AK30" s="32"/>
      <c r="AL30" s="28"/>
      <c r="AM30" s="28">
        <f t="shared" si="2"/>
        <v>0</v>
      </c>
      <c r="AN30" s="31">
        <f t="shared" si="14"/>
        <v>0</v>
      </c>
      <c r="AO30" s="32"/>
      <c r="AP30" s="28"/>
      <c r="AQ30" s="28">
        <f t="shared" si="3"/>
        <v>0</v>
      </c>
      <c r="AR30" s="31">
        <f t="shared" si="17"/>
        <v>0</v>
      </c>
      <c r="AS30" s="32"/>
      <c r="AT30" s="28"/>
      <c r="AU30" s="28">
        <f t="shared" si="4"/>
        <v>0</v>
      </c>
      <c r="AV30" s="31">
        <f t="shared" si="15"/>
        <v>0</v>
      </c>
      <c r="AW30" s="32"/>
      <c r="AX30" s="28"/>
      <c r="AY30" s="28">
        <f t="shared" si="5"/>
        <v>0</v>
      </c>
      <c r="AZ30" s="33">
        <f t="shared" si="18"/>
        <v>0</v>
      </c>
      <c r="BA30" s="34">
        <f>SUM(AB30,AF30,AI30,AM30,AQ30,AU30,AY30)-SMALL((AB30,AF30,AI30,AM30,AQ30,AU30,AY30),1)</f>
        <v>0</v>
      </c>
      <c r="BB30" s="27">
        <f t="shared" si="7"/>
        <v>0</v>
      </c>
      <c r="BC30" s="28"/>
      <c r="BD30" s="28">
        <f t="shared" si="8"/>
        <v>0</v>
      </c>
      <c r="BE30" s="28"/>
      <c r="BF30" s="35">
        <f t="shared" si="16"/>
        <v>0</v>
      </c>
      <c r="BG30" s="29"/>
      <c r="BK30" s="5">
        <f t="shared" si="19"/>
        <v>0</v>
      </c>
    </row>
    <row r="31" spans="1:63" ht="13" x14ac:dyDescent="0.3">
      <c r="A31" s="38" t="str">
        <f>IF(ISBLANK(Attendance!A31),"",Attendance!A31)</f>
        <v/>
      </c>
      <c r="B31" s="50" t="str">
        <f>IF(ISBLANK(Attendance!B31),"",Attendance!B31)</f>
        <v/>
      </c>
      <c r="C31" s="27" t="str">
        <f>IF(ISBLANK(Attendance!A31),"",Attendance!AJ31)</f>
        <v/>
      </c>
      <c r="D31" s="43"/>
      <c r="E31" s="29"/>
      <c r="F31" s="27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9"/>
      <c r="Y31" s="30">
        <f t="shared" si="11"/>
        <v>0</v>
      </c>
      <c r="Z31" s="27"/>
      <c r="AA31" s="28"/>
      <c r="AB31" s="28">
        <f t="shared" si="0"/>
        <v>0</v>
      </c>
      <c r="AC31" s="31">
        <f t="shared" si="10"/>
        <v>0</v>
      </c>
      <c r="AD31" s="32"/>
      <c r="AE31" s="28"/>
      <c r="AF31" s="28">
        <f t="shared" si="1"/>
        <v>0</v>
      </c>
      <c r="AG31" s="31">
        <f t="shared" si="12"/>
        <v>0</v>
      </c>
      <c r="AH31" s="32"/>
      <c r="AI31" s="28"/>
      <c r="AJ31" s="31">
        <f t="shared" si="13"/>
        <v>0</v>
      </c>
      <c r="AK31" s="32"/>
      <c r="AL31" s="28"/>
      <c r="AM31" s="28">
        <f t="shared" si="2"/>
        <v>0</v>
      </c>
      <c r="AN31" s="31">
        <f t="shared" si="14"/>
        <v>0</v>
      </c>
      <c r="AO31" s="32"/>
      <c r="AP31" s="28"/>
      <c r="AQ31" s="28">
        <f t="shared" si="3"/>
        <v>0</v>
      </c>
      <c r="AR31" s="31">
        <f t="shared" si="17"/>
        <v>0</v>
      </c>
      <c r="AS31" s="32"/>
      <c r="AT31" s="28"/>
      <c r="AU31" s="28">
        <f t="shared" si="4"/>
        <v>0</v>
      </c>
      <c r="AV31" s="31">
        <f t="shared" si="15"/>
        <v>0</v>
      </c>
      <c r="AW31" s="32"/>
      <c r="AX31" s="28"/>
      <c r="AY31" s="28">
        <f t="shared" si="5"/>
        <v>0</v>
      </c>
      <c r="AZ31" s="33">
        <f t="shared" si="18"/>
        <v>0</v>
      </c>
      <c r="BA31" s="34">
        <f>SUM(AB31,AF31,AI31,AM31,AQ31,AU31,AY31)-SMALL((AB31,AF31,AI31,AM31,AQ31,AU31,AY31),1)</f>
        <v>0</v>
      </c>
      <c r="BB31" s="27">
        <f t="shared" si="7"/>
        <v>0</v>
      </c>
      <c r="BC31" s="28"/>
      <c r="BD31" s="28">
        <f t="shared" si="8"/>
        <v>0</v>
      </c>
      <c r="BE31" s="28"/>
      <c r="BF31" s="35">
        <f>BD31/400</f>
        <v>0</v>
      </c>
      <c r="BG31" s="29"/>
      <c r="BK31" s="5">
        <f t="shared" si="19"/>
        <v>0</v>
      </c>
    </row>
    <row r="32" spans="1:63" ht="13" x14ac:dyDescent="0.3">
      <c r="A32" s="38" t="str">
        <f>IF(ISBLANK(Attendance!A32),"",Attendance!A32)</f>
        <v/>
      </c>
      <c r="B32" s="50" t="str">
        <f>IF(ISBLANK(Attendance!B32),"",Attendance!B32)</f>
        <v/>
      </c>
      <c r="C32" s="27" t="str">
        <f>IF(ISBLANK(Attendance!A32),"",Attendance!AJ32)</f>
        <v/>
      </c>
      <c r="D32" s="43"/>
      <c r="E32" s="29"/>
      <c r="F32" s="27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9"/>
      <c r="Y32" s="30">
        <f t="shared" si="11"/>
        <v>0</v>
      </c>
      <c r="Z32" s="27"/>
      <c r="AA32" s="28"/>
      <c r="AB32" s="28">
        <f t="shared" si="0"/>
        <v>0</v>
      </c>
      <c r="AC32" s="31">
        <f t="shared" si="10"/>
        <v>0</v>
      </c>
      <c r="AD32" s="32"/>
      <c r="AE32" s="28"/>
      <c r="AF32" s="28">
        <f t="shared" si="1"/>
        <v>0</v>
      </c>
      <c r="AG32" s="31">
        <f t="shared" si="12"/>
        <v>0</v>
      </c>
      <c r="AH32" s="32"/>
      <c r="AI32" s="28"/>
      <c r="AJ32" s="31">
        <f t="shared" si="13"/>
        <v>0</v>
      </c>
      <c r="AK32" s="32"/>
      <c r="AL32" s="28"/>
      <c r="AM32" s="28">
        <f t="shared" si="2"/>
        <v>0</v>
      </c>
      <c r="AN32" s="31">
        <f t="shared" si="14"/>
        <v>0</v>
      </c>
      <c r="AO32" s="32"/>
      <c r="AP32" s="28"/>
      <c r="AQ32" s="28">
        <f t="shared" si="3"/>
        <v>0</v>
      </c>
      <c r="AR32" s="31">
        <f t="shared" si="17"/>
        <v>0</v>
      </c>
      <c r="AS32" s="32"/>
      <c r="AT32" s="28"/>
      <c r="AU32" s="28">
        <f t="shared" si="4"/>
        <v>0</v>
      </c>
      <c r="AV32" s="31">
        <f t="shared" si="15"/>
        <v>0</v>
      </c>
      <c r="AW32" s="32"/>
      <c r="AX32" s="28"/>
      <c r="AY32" s="28">
        <f t="shared" si="5"/>
        <v>0</v>
      </c>
      <c r="AZ32" s="33">
        <f t="shared" si="18"/>
        <v>0</v>
      </c>
      <c r="BA32" s="34">
        <f>SUM(AB32,AF32,AI32,AM32,AQ32,AU32,AY32)-SMALL((AB32,AF32,AI32,AM32,AQ32,AU32,AY32),1)</f>
        <v>0</v>
      </c>
      <c r="BB32" s="27">
        <f t="shared" si="7"/>
        <v>0</v>
      </c>
      <c r="BC32" s="28"/>
      <c r="BD32" s="28">
        <f t="shared" si="8"/>
        <v>0</v>
      </c>
      <c r="BE32" s="28"/>
      <c r="BF32" s="35">
        <f>BD32/400</f>
        <v>0</v>
      </c>
      <c r="BG32" s="29"/>
      <c r="BK32" s="5">
        <f t="shared" si="19"/>
        <v>0</v>
      </c>
    </row>
    <row r="33" spans="1:63" ht="13" x14ac:dyDescent="0.3">
      <c r="A33" s="38" t="str">
        <f>IF(ISBLANK(Attendance!A33),"",Attendance!A33)</f>
        <v/>
      </c>
      <c r="B33" s="50" t="str">
        <f>IF(ISBLANK(Attendance!B33),"",Attendance!B33)</f>
        <v/>
      </c>
      <c r="C33" s="27" t="str">
        <f>IF(ISBLANK(Attendance!A33),"",Attendance!AJ33)</f>
        <v/>
      </c>
      <c r="D33" s="43"/>
      <c r="E33" s="29"/>
      <c r="F33" s="27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9"/>
      <c r="Y33" s="30">
        <f t="shared" si="11"/>
        <v>0</v>
      </c>
      <c r="Z33" s="27"/>
      <c r="AA33" s="28"/>
      <c r="AB33" s="28">
        <f t="shared" si="0"/>
        <v>0</v>
      </c>
      <c r="AC33" s="31">
        <f t="shared" si="10"/>
        <v>0</v>
      </c>
      <c r="AD33" s="32"/>
      <c r="AE33" s="28"/>
      <c r="AF33" s="28">
        <f t="shared" si="1"/>
        <v>0</v>
      </c>
      <c r="AG33" s="31">
        <f t="shared" si="12"/>
        <v>0</v>
      </c>
      <c r="AH33" s="32"/>
      <c r="AI33" s="28"/>
      <c r="AJ33" s="31">
        <f t="shared" si="13"/>
        <v>0</v>
      </c>
      <c r="AK33" s="32"/>
      <c r="AL33" s="28"/>
      <c r="AM33" s="28">
        <f t="shared" si="2"/>
        <v>0</v>
      </c>
      <c r="AN33" s="31">
        <f t="shared" si="14"/>
        <v>0</v>
      </c>
      <c r="AO33" s="32"/>
      <c r="AP33" s="28"/>
      <c r="AQ33" s="28">
        <f t="shared" si="3"/>
        <v>0</v>
      </c>
      <c r="AR33" s="31">
        <f t="shared" si="17"/>
        <v>0</v>
      </c>
      <c r="AS33" s="32"/>
      <c r="AT33" s="28"/>
      <c r="AU33" s="28">
        <f t="shared" si="4"/>
        <v>0</v>
      </c>
      <c r="AV33" s="31">
        <f t="shared" si="15"/>
        <v>0</v>
      </c>
      <c r="AW33" s="32"/>
      <c r="AX33" s="28"/>
      <c r="AY33" s="28">
        <f t="shared" si="5"/>
        <v>0</v>
      </c>
      <c r="AZ33" s="33">
        <f t="shared" si="18"/>
        <v>0</v>
      </c>
      <c r="BA33" s="34">
        <f>SUM(AB33,AF33,AI33,AM33,AQ33,AU33,AY33)-SMALL((AB33,AF33,AI33,AM33,AQ33,AU33,AY33),1)</f>
        <v>0</v>
      </c>
      <c r="BB33" s="27">
        <f t="shared" si="7"/>
        <v>0</v>
      </c>
      <c r="BC33" s="28"/>
      <c r="BD33" s="28">
        <f t="shared" si="8"/>
        <v>0</v>
      </c>
      <c r="BE33" s="28"/>
      <c r="BF33" s="35">
        <f>BD33/400</f>
        <v>0</v>
      </c>
      <c r="BG33" s="29"/>
      <c r="BK33" s="5">
        <f t="shared" si="19"/>
        <v>0</v>
      </c>
    </row>
    <row r="34" spans="1:63" ht="13" x14ac:dyDescent="0.3">
      <c r="A34" s="38" t="str">
        <f>IF(ISBLANK(Attendance!A34),"",Attendance!A34)</f>
        <v/>
      </c>
      <c r="B34" s="50" t="str">
        <f>IF(ISBLANK(Attendance!B34),"",Attendance!B34)</f>
        <v/>
      </c>
      <c r="C34" s="27" t="str">
        <f>IF(ISBLANK(Attendance!A34),"",Attendance!AJ34)</f>
        <v/>
      </c>
      <c r="D34" s="43"/>
      <c r="E34" s="29"/>
      <c r="F34" s="27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9"/>
      <c r="Y34" s="30">
        <f t="shared" si="11"/>
        <v>0</v>
      </c>
      <c r="Z34" s="27"/>
      <c r="AA34" s="28"/>
      <c r="AB34" s="28">
        <f t="shared" si="0"/>
        <v>0</v>
      </c>
      <c r="AC34" s="31">
        <f t="shared" si="10"/>
        <v>0</v>
      </c>
      <c r="AD34" s="32"/>
      <c r="AE34" s="28"/>
      <c r="AF34" s="28">
        <f t="shared" si="1"/>
        <v>0</v>
      </c>
      <c r="AG34" s="31">
        <f t="shared" si="12"/>
        <v>0</v>
      </c>
      <c r="AH34" s="32"/>
      <c r="AI34" s="28"/>
      <c r="AJ34" s="31">
        <f t="shared" si="13"/>
        <v>0</v>
      </c>
      <c r="AK34" s="32"/>
      <c r="AL34" s="28"/>
      <c r="AM34" s="28">
        <f t="shared" si="2"/>
        <v>0</v>
      </c>
      <c r="AN34" s="31">
        <f t="shared" si="14"/>
        <v>0</v>
      </c>
      <c r="AO34" s="32"/>
      <c r="AP34" s="28"/>
      <c r="AQ34" s="28">
        <f t="shared" si="3"/>
        <v>0</v>
      </c>
      <c r="AR34" s="31">
        <f t="shared" si="17"/>
        <v>0</v>
      </c>
      <c r="AS34" s="32"/>
      <c r="AT34" s="28"/>
      <c r="AU34" s="28">
        <f t="shared" si="4"/>
        <v>0</v>
      </c>
      <c r="AV34" s="31">
        <f t="shared" si="15"/>
        <v>0</v>
      </c>
      <c r="AW34" s="32"/>
      <c r="AX34" s="28"/>
      <c r="AY34" s="28">
        <f t="shared" si="5"/>
        <v>0</v>
      </c>
      <c r="AZ34" s="33">
        <f t="shared" si="18"/>
        <v>0</v>
      </c>
      <c r="BA34" s="34">
        <f>SUM(AB34,AF34,AI34,AM34,AQ34,AU34,AY34)-SMALL((AB34,AF34,AI34,AM34,AQ34,AU34,AY34),1)</f>
        <v>0</v>
      </c>
      <c r="BB34" s="27">
        <f t="shared" si="7"/>
        <v>0</v>
      </c>
      <c r="BC34" s="28"/>
      <c r="BD34" s="28">
        <f t="shared" si="8"/>
        <v>0</v>
      </c>
      <c r="BE34" s="28"/>
      <c r="BF34" s="35">
        <f>BD34/400</f>
        <v>0</v>
      </c>
      <c r="BG34" s="29"/>
      <c r="BK34" s="5">
        <f t="shared" si="19"/>
        <v>0</v>
      </c>
    </row>
    <row r="35" spans="1:63" ht="13" x14ac:dyDescent="0.3">
      <c r="A35" s="38" t="str">
        <f>IF(ISBLANK(Attendance!A35),"",Attendance!A35)</f>
        <v/>
      </c>
      <c r="B35" s="50" t="str">
        <f>IF(ISBLANK(Attendance!B35),"",Attendance!B35)</f>
        <v/>
      </c>
      <c r="C35" s="27" t="str">
        <f>IF(ISBLANK(Attendance!A35),"",Attendance!AJ35)</f>
        <v/>
      </c>
      <c r="D35" s="43"/>
      <c r="E35" s="29"/>
      <c r="F35" s="27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9"/>
      <c r="Y35" s="30">
        <f t="shared" si="11"/>
        <v>0</v>
      </c>
      <c r="Z35" s="27"/>
      <c r="AA35" s="28"/>
      <c r="AB35" s="28">
        <f t="shared" si="0"/>
        <v>0</v>
      </c>
      <c r="AC35" s="31">
        <f t="shared" si="10"/>
        <v>0</v>
      </c>
      <c r="AD35" s="32"/>
      <c r="AE35" s="28"/>
      <c r="AF35" s="28">
        <f t="shared" si="1"/>
        <v>0</v>
      </c>
      <c r="AG35" s="31">
        <f t="shared" si="12"/>
        <v>0</v>
      </c>
      <c r="AH35" s="32"/>
      <c r="AI35" s="28"/>
      <c r="AJ35" s="31">
        <f t="shared" si="13"/>
        <v>0</v>
      </c>
      <c r="AK35" s="32"/>
      <c r="AL35" s="28"/>
      <c r="AM35" s="28">
        <f t="shared" si="2"/>
        <v>0</v>
      </c>
      <c r="AN35" s="31">
        <f t="shared" si="14"/>
        <v>0</v>
      </c>
      <c r="AO35" s="32"/>
      <c r="AP35" s="28"/>
      <c r="AQ35" s="28">
        <f t="shared" si="3"/>
        <v>0</v>
      </c>
      <c r="AR35" s="31">
        <f t="shared" si="17"/>
        <v>0</v>
      </c>
      <c r="AS35" s="32"/>
      <c r="AT35" s="28"/>
      <c r="AU35" s="28">
        <f t="shared" si="4"/>
        <v>0</v>
      </c>
      <c r="AV35" s="31">
        <f t="shared" si="15"/>
        <v>0</v>
      </c>
      <c r="AW35" s="32"/>
      <c r="AX35" s="28"/>
      <c r="AY35" s="28">
        <f t="shared" si="5"/>
        <v>0</v>
      </c>
      <c r="AZ35" s="33">
        <f t="shared" si="18"/>
        <v>0</v>
      </c>
      <c r="BA35" s="34">
        <f>SUM(AB35,AF35,AI35,AM35,AQ35,AU35,AY35)-SMALL((AB35,AF35,AI35,AM35,AQ35,AU35,AY35),1)</f>
        <v>0</v>
      </c>
      <c r="BB35" s="27">
        <f t="shared" si="7"/>
        <v>0</v>
      </c>
      <c r="BC35" s="28"/>
      <c r="BD35" s="28">
        <f t="shared" si="8"/>
        <v>0</v>
      </c>
      <c r="BE35" s="28"/>
      <c r="BF35" s="35">
        <f>BD35/400</f>
        <v>0</v>
      </c>
      <c r="BG35" s="29"/>
      <c r="BK35" s="5">
        <f t="shared" si="19"/>
        <v>0</v>
      </c>
    </row>
  </sheetData>
  <phoneticPr fontId="0" type="noConversion"/>
  <pageMargins left="0.75" right="0.75" top="1" bottom="1" header="0.5" footer="0.5"/>
  <pageSetup orientation="portrait" r:id="rId1"/>
  <headerFooter alignWithMargins="0">
    <oddHeader>&amp;CYour Class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Attendance</vt:lpstr>
      <vt:lpstr>Phone List</vt:lpstr>
      <vt:lpstr>Grades</vt:lpstr>
      <vt:lpstr>'Phone List'!Print_Area</vt:lpstr>
      <vt:lpstr>Attendance!Print_Titles</vt:lpstr>
      <vt:lpstr>Grades!Print_Titles</vt:lpstr>
    </vt:vector>
  </TitlesOfParts>
  <Company>CGCC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CGCC</dc:creator>
  <cp:lastModifiedBy>Carina Negreanu</cp:lastModifiedBy>
  <dcterms:created xsi:type="dcterms:W3CDTF">2003-12-09T22:26:41Z</dcterms:created>
  <dcterms:modified xsi:type="dcterms:W3CDTF">2020-01-27T11:39:41Z</dcterms:modified>
</cp:coreProperties>
</file>