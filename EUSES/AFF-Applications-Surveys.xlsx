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AB87AE-6B11-4B93-A059-ABF28BA0651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0" i="1" l="1"/>
  <c r="F124" i="1"/>
  <c r="G124" i="1"/>
  <c r="H124" i="1"/>
</calcChain>
</file>

<file path=xl/sharedStrings.xml><?xml version="1.0" encoding="utf-8"?>
<sst xmlns="http://schemas.openxmlformats.org/spreadsheetml/2006/main" count="574" uniqueCount="191">
  <si>
    <t>H</t>
  </si>
  <si>
    <t>U</t>
  </si>
  <si>
    <t>Application Name/Description</t>
  </si>
  <si>
    <t>On-going annual cost (excl. C.U. staff cost)</t>
  </si>
  <si>
    <t>One-time cost to Implement (excl. C.U. staff cost)</t>
  </si>
  <si>
    <t>TOTAL</t>
  </si>
  <si>
    <t>Organizational Domain:</t>
  </si>
  <si>
    <t>Source of the Application</t>
  </si>
  <si>
    <t>Scope or Impact of Application</t>
  </si>
  <si>
    <t>You may use this column for your own designation for sub-units if you wish.</t>
  </si>
  <si>
    <t>Person responsible for submitting the survey:</t>
  </si>
  <si>
    <t>If you prefer to enter a total for all of the applications listed in the worksheet, you may do so.</t>
  </si>
  <si>
    <t>University-wide (U) or  Local (division, college, department (L)</t>
  </si>
  <si>
    <t>Please indicate Homegrown (H), Purchased package (P), Outsourced (O), Unknown (U)</t>
  </si>
  <si>
    <t>Annualized C.U. FTE required to Maintain the Application</t>
  </si>
  <si>
    <t>Please use a name or short description that describes the purpose of the application. Please avoid obscure acronyms.</t>
  </si>
  <si>
    <t>Primary technology component (if known)</t>
  </si>
  <si>
    <r>
      <t xml:space="preserve">Unit or sub-unit name </t>
    </r>
    <r>
      <rPr>
        <b/>
        <i/>
        <sz val="10"/>
        <rFont val="Arial"/>
        <family val="2"/>
      </rPr>
      <t>(optional)</t>
    </r>
  </si>
  <si>
    <t>L</t>
  </si>
  <si>
    <t>AF&amp;F</t>
  </si>
  <si>
    <t>T&amp;MS</t>
  </si>
  <si>
    <t>Transportation Information System</t>
  </si>
  <si>
    <t>Natural/Adabas</t>
  </si>
  <si>
    <t>Mail Metering (MOS)</t>
  </si>
  <si>
    <t>P</t>
  </si>
  <si>
    <t>Radix Ticket Master System</t>
  </si>
  <si>
    <t>Cobal</t>
  </si>
  <si>
    <t>TOYE Gate System</t>
  </si>
  <si>
    <t>Schlumberger Meters</t>
  </si>
  <si>
    <t>Access</t>
  </si>
  <si>
    <t>Bike Registration</t>
  </si>
  <si>
    <t>FileMaker</t>
  </si>
  <si>
    <t>Parking Lot Inventory</t>
  </si>
  <si>
    <t xml:space="preserve">Home Address </t>
  </si>
  <si>
    <t>Ticket Errors</t>
  </si>
  <si>
    <t>ICVerify (Batch Credit Card Processing)</t>
  </si>
  <si>
    <t>Flat Files</t>
  </si>
  <si>
    <t>Dispatch Logs</t>
  </si>
  <si>
    <t>Computer Inventory/Systems</t>
  </si>
  <si>
    <t>FleetMax</t>
  </si>
  <si>
    <t xml:space="preserve">Mail Preparation </t>
  </si>
  <si>
    <t>Mail Lists/Labeling</t>
  </si>
  <si>
    <t>Desktop Mailer  CAS</t>
  </si>
  <si>
    <t>Various</t>
  </si>
  <si>
    <t>Comet (Red Runner Service)</t>
  </si>
  <si>
    <t>CULifts</t>
  </si>
  <si>
    <t>Contract College Fleet Leasing</t>
  </si>
  <si>
    <t>Office Equip &amp; Forms Inventory &amp; Record Retention</t>
  </si>
  <si>
    <t>Trouble Tracker Problem Reporting</t>
  </si>
  <si>
    <t>Fox/dbase</t>
  </si>
  <si>
    <t>FoxPlus/dbase</t>
  </si>
  <si>
    <t>Cobal?</t>
  </si>
  <si>
    <t>Software updates</t>
  </si>
  <si>
    <t>est</t>
  </si>
  <si>
    <t>CIT</t>
  </si>
  <si>
    <t>????</t>
  </si>
  <si>
    <t>Funded by Controller's Office</t>
  </si>
  <si>
    <t>Surveys</t>
  </si>
  <si>
    <t>SurveyTracker/ASP</t>
  </si>
  <si>
    <t>Workshop Registration</t>
  </si>
  <si>
    <t>Filemaker/Lasso</t>
  </si>
  <si>
    <t>Help Request System</t>
  </si>
  <si>
    <t>Backup System</t>
  </si>
  <si>
    <t>Retrospect</t>
  </si>
  <si>
    <t>C&amp;BS</t>
  </si>
  <si>
    <t>Point Of Sale &amp; Sales Audit</t>
  </si>
  <si>
    <t>UNIX/Universe</t>
  </si>
  <si>
    <t>Acct Pay, Acct Rcv, Gen Led, Inv, Ret Check</t>
  </si>
  <si>
    <t>Text Book, Trade Books, Buyback, EDI</t>
  </si>
  <si>
    <t>General Merch, Open To Buy,Mail Order</t>
  </si>
  <si>
    <t>Receiving, Physical Inventory</t>
  </si>
  <si>
    <t>Computer Sales and Special Orders</t>
  </si>
  <si>
    <t>New RATEX Development</t>
  </si>
  <si>
    <t>U/National</t>
  </si>
  <si>
    <t>On-line Airline Reservation System</t>
  </si>
  <si>
    <t>Software to build and print Digital Data</t>
  </si>
  <si>
    <t>Print Shop Management Software</t>
  </si>
  <si>
    <t>Windows/</t>
  </si>
  <si>
    <t>Web Development Tool</t>
  </si>
  <si>
    <t>W2K Server/Universe</t>
  </si>
  <si>
    <t>Work Station Deployment/Management</t>
  </si>
  <si>
    <t>W2K Server/</t>
  </si>
  <si>
    <t>Video Display Management Software</t>
  </si>
  <si>
    <t>EH&amp;S</t>
  </si>
  <si>
    <t>Incident Reports</t>
  </si>
  <si>
    <t>FileMaker Pro</t>
  </si>
  <si>
    <t>Material Safety Data Sheets/TSCA</t>
  </si>
  <si>
    <t>CGI</t>
  </si>
  <si>
    <t>Construction Projects</t>
  </si>
  <si>
    <t>Pre-Occupancy</t>
  </si>
  <si>
    <t>Pathogen Registry Program</t>
  </si>
  <si>
    <t>MS Access</t>
  </si>
  <si>
    <t>Job Costs for Extinguisher and Detectors</t>
  </si>
  <si>
    <t>Barcoding System</t>
  </si>
  <si>
    <t>FoxPro (Tiscor)</t>
  </si>
  <si>
    <t>Extinguisher Testing and Inspecting</t>
  </si>
  <si>
    <t>Sprinkler Shutdowns</t>
  </si>
  <si>
    <t>Fire Drill Logs</t>
  </si>
  <si>
    <t>Officers Daily Report</t>
  </si>
  <si>
    <t>Health Physics Assistant</t>
  </si>
  <si>
    <t>Visual Basic</t>
  </si>
  <si>
    <t>Radiation Safety Support Programs</t>
  </si>
  <si>
    <t>Paradox</t>
  </si>
  <si>
    <t>Hazard Assistance Signage Program</t>
  </si>
  <si>
    <t>Fume Hood Inspections</t>
  </si>
  <si>
    <t>Shower and Eye-Wash Inspections</t>
  </si>
  <si>
    <t>Chemical Management</t>
  </si>
  <si>
    <t>Chemical Labels</t>
  </si>
  <si>
    <t>Accident and Injury Reporting</t>
  </si>
  <si>
    <t>Asbestos Tracking and Management</t>
  </si>
  <si>
    <t>O</t>
  </si>
  <si>
    <t>4D</t>
  </si>
  <si>
    <t>Lead Abatement</t>
  </si>
  <si>
    <t>Respiratory Protection</t>
  </si>
  <si>
    <t>Building Inspections</t>
  </si>
  <si>
    <t>Construction Inspections</t>
  </si>
  <si>
    <t>problem tracking systems</t>
  </si>
  <si>
    <t>equipment database</t>
  </si>
  <si>
    <t>Cornell Police</t>
  </si>
  <si>
    <t>IBM AS400 APPLICATIONS</t>
  </si>
  <si>
    <t>POLICE ADMINISTRATIVE SYSTEM</t>
  </si>
  <si>
    <t>COBOL</t>
  </si>
  <si>
    <t>911  (hardware cost in police inventory)</t>
  </si>
  <si>
    <t>TRAP &amp; TRACE</t>
  </si>
  <si>
    <t>NYSPIN</t>
  </si>
  <si>
    <t>ALARMS OSBORNE/HOFFMAN</t>
  </si>
  <si>
    <t>MUGSHOTS</t>
  </si>
  <si>
    <t>EVIDENCE INVENTORY</t>
  </si>
  <si>
    <t>LOST AND FOUND INVENTORY</t>
  </si>
  <si>
    <t>CAPITOL EQUIPMENT INVENTORY</t>
  </si>
  <si>
    <t>COMPUTER INVENTORY DATABASE</t>
  </si>
  <si>
    <t>MS EXCEL</t>
  </si>
  <si>
    <t>HUNTING PERMITS</t>
  </si>
  <si>
    <t>FILEMAKER PRO</t>
  </si>
  <si>
    <t>OVERTIME SLIPS</t>
  </si>
  <si>
    <t>MS ACCESS</t>
  </si>
  <si>
    <t>VAC, SICK, &amp; OT ACCRUALS</t>
  </si>
  <si>
    <t>TRAINING RECORDS</t>
  </si>
  <si>
    <t>ALARMS CONTACT INFO</t>
  </si>
  <si>
    <t>COPS, KIDS, &amp; TOYS</t>
  </si>
  <si>
    <t>MONTHLY MANGEMENT REPORT</t>
  </si>
  <si>
    <t>RETROSPECT ACTIVATOR CODES DB</t>
  </si>
  <si>
    <t>DANTZ</t>
  </si>
  <si>
    <t>NETWORK IP ADDRESS DB</t>
  </si>
  <si>
    <t>CLARION REPORT WRITER</t>
  </si>
  <si>
    <t>GENERAL &amp; SPECIAL ORDERS</t>
  </si>
  <si>
    <t>EMERGITECH ADMIN. SYS.</t>
  </si>
  <si>
    <t>FS-Utilities</t>
  </si>
  <si>
    <t>UDS</t>
  </si>
  <si>
    <t>Oracle/Perl/Java</t>
  </si>
  <si>
    <t>CHiPs</t>
  </si>
  <si>
    <t>LockOut/TagOut</t>
  </si>
  <si>
    <t>CHP Maint</t>
  </si>
  <si>
    <t>Photo Archive</t>
  </si>
  <si>
    <t>AS-HRDS</t>
  </si>
  <si>
    <t>AS-Contracts</t>
  </si>
  <si>
    <t>Capital Projects System</t>
  </si>
  <si>
    <t>Treasurer</t>
  </si>
  <si>
    <t>TrustRite (Northern Trust)</t>
  </si>
  <si>
    <t>MS SQL</t>
  </si>
  <si>
    <t>Executive WorkBench (Mellon)</t>
  </si>
  <si>
    <t>Insight (Chase)</t>
  </si>
  <si>
    <t>?</t>
  </si>
  <si>
    <t>&lt; 0.01</t>
  </si>
  <si>
    <t>Term (Tompkins Trust Co)</t>
  </si>
  <si>
    <t>InFocu$ (M&amp;T)</t>
  </si>
  <si>
    <t>AFF-FS</t>
  </si>
  <si>
    <t>Inventory Management</t>
  </si>
  <si>
    <t>Fuel Farm</t>
  </si>
  <si>
    <t>Java/Oracle</t>
  </si>
  <si>
    <t>Job Cost</t>
  </si>
  <si>
    <t>Preventive Maintenance</t>
  </si>
  <si>
    <t>Dataworks Web Site</t>
  </si>
  <si>
    <t>Active Server Pages</t>
  </si>
  <si>
    <t>Citrix Application Server</t>
  </si>
  <si>
    <t>BASIS Card Access</t>
  </si>
  <si>
    <t>Safety Training Database</t>
  </si>
  <si>
    <t>Electronic PAR Tracking</t>
  </si>
  <si>
    <t>Planned Capital Maintenance</t>
  </si>
  <si>
    <t>Building Cost</t>
  </si>
  <si>
    <t>Filemaker</t>
  </si>
  <si>
    <t>Space Inventory</t>
  </si>
  <si>
    <t>Data Warehouse</t>
  </si>
  <si>
    <t>Oracle</t>
  </si>
  <si>
    <t>Brio Server</t>
  </si>
  <si>
    <t>Brio</t>
  </si>
  <si>
    <t>Keys</t>
  </si>
  <si>
    <t xml:space="preserve">     Total EH&amp;S FTEs</t>
  </si>
  <si>
    <t xml:space="preserve">     Total Police FTEs</t>
  </si>
  <si>
    <t xml:space="preserve">     AFF-FS FTE&amp;Maint Total</t>
  </si>
  <si>
    <t>Keith Bonck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</si>
</sst>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68" formatCode="_(&quot;$&quot;* #,##0_);_(&quot;$&quot;* \(#,##0\);_(&quot;$&quot;* &quot;-&quot;_);_(@_)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8" fontId="0" fillId="0" borderId="0" xfId="0" applyNumberFormat="1" applyAlignment="1">
      <alignment wrapText="1"/>
    </xf>
    <xf numFmtId="168" fontId="2" fillId="0" borderId="0" xfId="0" applyNumberFormat="1" applyFont="1"/>
    <xf numFmtId="168" fontId="0" fillId="0" borderId="1" xfId="0" applyNumberFormat="1" applyBorder="1"/>
    <xf numFmtId="168" fontId="0" fillId="0" borderId="0" xfId="0" applyNumberFormat="1"/>
    <xf numFmtId="4" fontId="0" fillId="0" borderId="0" xfId="0" applyNumberFormat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2" fillId="2" borderId="0" xfId="0" applyFont="1" applyFill="1" applyAlignment="1">
      <alignment horizontal="center" wrapText="1"/>
    </xf>
    <xf numFmtId="168" fontId="2" fillId="2" borderId="0" xfId="0" applyNumberFormat="1" applyFont="1" applyFill="1" applyAlignment="1">
      <alignment horizontal="center" wrapText="1"/>
    </xf>
    <xf numFmtId="4" fontId="2" fillId="2" borderId="0" xfId="0" applyNumberFormat="1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2" borderId="0" xfId="0" applyFont="1" applyFill="1" applyAlignment="1">
      <alignment wrapText="1"/>
    </xf>
    <xf numFmtId="168" fontId="4" fillId="2" borderId="0" xfId="0" applyNumberFormat="1" applyFont="1" applyFill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4" fontId="0" fillId="0" borderId="0" xfId="0" applyNumberFormat="1" applyBorder="1"/>
    <xf numFmtId="168" fontId="0" fillId="0" borderId="0" xfId="0" applyNumberFormat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4" fontId="3" fillId="0" borderId="1" xfId="0" applyNumberFormat="1" applyFont="1" applyFill="1" applyBorder="1"/>
    <xf numFmtId="168" fontId="3" fillId="0" borderId="1" xfId="0" applyNumberFormat="1" applyFont="1" applyFill="1" applyBorder="1"/>
    <xf numFmtId="0" fontId="3" fillId="0" borderId="0" xfId="0" applyFont="1" applyFill="1"/>
    <xf numFmtId="0" fontId="0" fillId="0" borderId="1" xfId="0" applyFill="1" applyBorder="1"/>
    <xf numFmtId="0" fontId="0" fillId="0" borderId="3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4" fontId="1" fillId="0" borderId="1" xfId="0" applyNumberFormat="1" applyFont="1" applyFill="1" applyBorder="1"/>
    <xf numFmtId="168" fontId="1" fillId="0" borderId="1" xfId="0" applyNumberFormat="1" applyFont="1" applyFill="1" applyBorder="1"/>
    <xf numFmtId="0" fontId="0" fillId="2" borderId="0" xfId="0" applyFill="1"/>
    <xf numFmtId="0" fontId="1" fillId="0" borderId="1" xfId="0" quotePrefix="1" applyFont="1" applyFill="1" applyBorder="1"/>
    <xf numFmtId="168" fontId="6" fillId="0" borderId="1" xfId="0" applyNumberFormat="1" applyFont="1" applyFill="1" applyBorder="1"/>
    <xf numFmtId="165" fontId="0" fillId="0" borderId="1" xfId="0" applyNumberFormat="1" applyBorder="1"/>
    <xf numFmtId="4" fontId="2" fillId="0" borderId="0" xfId="0" applyNumberFormat="1" applyFont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tabSelected="1" workbookViewId="0">
      <selection activeCell="D2" sqref="D2"/>
    </sheetView>
  </sheetViews>
  <sheetFormatPr defaultRowHeight="12.5" x14ac:dyDescent="0.25"/>
  <cols>
    <col min="1" max="1" width="13.54296875" customWidth="1"/>
    <col min="2" max="2" width="29.36328125" customWidth="1"/>
    <col min="3" max="3" width="11.6328125" customWidth="1"/>
    <col min="4" max="4" width="16.36328125" customWidth="1"/>
    <col min="5" max="5" width="11.36328125" customWidth="1"/>
    <col min="6" max="6" width="11.6328125" style="13" customWidth="1"/>
    <col min="7" max="7" width="14" style="10" customWidth="1"/>
    <col min="8" max="8" width="15" style="10" customWidth="1"/>
  </cols>
  <sheetData>
    <row r="1" spans="1:9" s="5" customFormat="1" ht="13" x14ac:dyDescent="0.3">
      <c r="A1" s="42" t="s">
        <v>6</v>
      </c>
      <c r="B1" s="42"/>
      <c r="C1" s="5" t="s">
        <v>19</v>
      </c>
      <c r="E1" s="6"/>
      <c r="F1" s="11"/>
      <c r="G1" s="7"/>
      <c r="H1" s="7"/>
    </row>
    <row r="2" spans="1:9" s="5" customFormat="1" ht="13" x14ac:dyDescent="0.3">
      <c r="A2" s="42" t="s">
        <v>10</v>
      </c>
      <c r="B2" s="42"/>
      <c r="C2" s="5" t="s">
        <v>190</v>
      </c>
      <c r="E2" s="6"/>
      <c r="F2" s="11"/>
      <c r="G2" s="7"/>
      <c r="H2" s="7"/>
    </row>
    <row r="3" spans="1:9" s="17" customFormat="1" ht="76.5" customHeight="1" x14ac:dyDescent="0.3">
      <c r="A3" s="14" t="s">
        <v>17</v>
      </c>
      <c r="B3" s="14" t="s">
        <v>2</v>
      </c>
      <c r="C3" s="14" t="s">
        <v>7</v>
      </c>
      <c r="D3" s="14" t="s">
        <v>16</v>
      </c>
      <c r="E3" s="14" t="s">
        <v>8</v>
      </c>
      <c r="F3" s="16" t="s">
        <v>14</v>
      </c>
      <c r="G3" s="15" t="s">
        <v>4</v>
      </c>
      <c r="H3" s="15" t="s">
        <v>3</v>
      </c>
    </row>
    <row r="4" spans="1:9" s="18" customFormat="1" ht="129" customHeight="1" x14ac:dyDescent="0.3">
      <c r="A4" s="18" t="s">
        <v>9</v>
      </c>
      <c r="B4" s="18" t="s">
        <v>15</v>
      </c>
      <c r="C4" s="18" t="s">
        <v>13</v>
      </c>
      <c r="E4" s="18" t="s">
        <v>12</v>
      </c>
      <c r="F4" s="19" t="s">
        <v>11</v>
      </c>
      <c r="G4" s="19" t="s">
        <v>11</v>
      </c>
      <c r="H4" s="19" t="s">
        <v>11</v>
      </c>
    </row>
    <row r="5" spans="1:9" ht="15.9" customHeight="1" x14ac:dyDescent="0.25">
      <c r="A5" s="2" t="s">
        <v>20</v>
      </c>
      <c r="B5" s="2" t="s">
        <v>46</v>
      </c>
      <c r="C5" s="3" t="s">
        <v>0</v>
      </c>
      <c r="D5" s="2" t="s">
        <v>22</v>
      </c>
      <c r="E5" s="4" t="s">
        <v>18</v>
      </c>
      <c r="F5" s="12"/>
      <c r="G5" s="9"/>
      <c r="H5" s="9" t="s">
        <v>55</v>
      </c>
      <c r="I5" t="s">
        <v>56</v>
      </c>
    </row>
    <row r="6" spans="1:9" ht="15.9" customHeight="1" x14ac:dyDescent="0.25">
      <c r="A6" s="2" t="s">
        <v>20</v>
      </c>
      <c r="B6" s="2" t="s">
        <v>21</v>
      </c>
      <c r="C6" s="3" t="s">
        <v>0</v>
      </c>
      <c r="D6" s="2" t="s">
        <v>22</v>
      </c>
      <c r="E6" s="4" t="s">
        <v>18</v>
      </c>
      <c r="F6" s="12"/>
      <c r="G6" s="9"/>
      <c r="H6" s="9">
        <v>80000</v>
      </c>
      <c r="I6" t="s">
        <v>54</v>
      </c>
    </row>
    <row r="7" spans="1:9" ht="15.9" customHeight="1" x14ac:dyDescent="0.25">
      <c r="A7" s="2" t="s">
        <v>20</v>
      </c>
      <c r="B7" s="2" t="s">
        <v>25</v>
      </c>
      <c r="C7" s="3" t="s">
        <v>24</v>
      </c>
      <c r="D7" s="2" t="s">
        <v>26</v>
      </c>
      <c r="E7" s="4" t="s">
        <v>18</v>
      </c>
      <c r="F7" s="12"/>
      <c r="G7" s="9">
        <v>61637</v>
      </c>
      <c r="H7" s="9">
        <v>0</v>
      </c>
    </row>
    <row r="8" spans="1:9" ht="15.9" customHeight="1" x14ac:dyDescent="0.25">
      <c r="A8" s="2" t="s">
        <v>20</v>
      </c>
      <c r="B8" s="2" t="s">
        <v>27</v>
      </c>
      <c r="C8" s="3" t="s">
        <v>24</v>
      </c>
      <c r="D8" s="2" t="s">
        <v>51</v>
      </c>
      <c r="E8" s="4" t="s">
        <v>18</v>
      </c>
      <c r="F8" s="12"/>
      <c r="G8" s="9">
        <v>32911</v>
      </c>
      <c r="H8" s="9">
        <v>0</v>
      </c>
    </row>
    <row r="9" spans="1:9" ht="15.9" customHeight="1" x14ac:dyDescent="0.25">
      <c r="A9" s="2" t="s">
        <v>20</v>
      </c>
      <c r="B9" s="2" t="s">
        <v>28</v>
      </c>
      <c r="C9" s="3" t="s">
        <v>24</v>
      </c>
      <c r="D9" s="2" t="s">
        <v>29</v>
      </c>
      <c r="E9" s="4" t="s">
        <v>18</v>
      </c>
      <c r="F9" s="12"/>
      <c r="G9" s="9">
        <v>117020</v>
      </c>
      <c r="H9" s="9">
        <v>0</v>
      </c>
    </row>
    <row r="10" spans="1:9" ht="15.9" customHeight="1" x14ac:dyDescent="0.25">
      <c r="A10" s="2" t="s">
        <v>20</v>
      </c>
      <c r="B10" s="2" t="s">
        <v>35</v>
      </c>
      <c r="C10" s="3" t="s">
        <v>24</v>
      </c>
      <c r="D10" s="2" t="s">
        <v>36</v>
      </c>
      <c r="E10" s="4" t="s">
        <v>18</v>
      </c>
      <c r="F10" s="12"/>
      <c r="G10" s="9">
        <v>500</v>
      </c>
      <c r="H10" s="9">
        <v>0</v>
      </c>
    </row>
    <row r="11" spans="1:9" ht="15.9" customHeight="1" x14ac:dyDescent="0.25">
      <c r="A11" s="20" t="s">
        <v>20</v>
      </c>
      <c r="B11" s="2" t="s">
        <v>30</v>
      </c>
      <c r="C11" s="3" t="s">
        <v>0</v>
      </c>
      <c r="D11" s="2" t="s">
        <v>31</v>
      </c>
      <c r="E11" s="4" t="s">
        <v>18</v>
      </c>
      <c r="F11" s="12"/>
      <c r="G11" s="9"/>
      <c r="H11" s="9"/>
    </row>
    <row r="12" spans="1:9" ht="15.9" customHeight="1" x14ac:dyDescent="0.25">
      <c r="A12" s="20" t="s">
        <v>20</v>
      </c>
      <c r="B12" s="2" t="s">
        <v>32</v>
      </c>
      <c r="C12" s="3" t="s">
        <v>0</v>
      </c>
      <c r="D12" s="2" t="s">
        <v>31</v>
      </c>
      <c r="E12" s="4" t="s">
        <v>18</v>
      </c>
      <c r="F12" s="12"/>
      <c r="G12" s="9"/>
      <c r="H12" s="9"/>
    </row>
    <row r="13" spans="1:9" ht="15.9" customHeight="1" x14ac:dyDescent="0.25">
      <c r="A13" s="2" t="s">
        <v>20</v>
      </c>
      <c r="B13" s="2" t="s">
        <v>33</v>
      </c>
      <c r="C13" s="3" t="s">
        <v>0</v>
      </c>
      <c r="D13" s="2" t="s">
        <v>31</v>
      </c>
      <c r="E13" s="4" t="s">
        <v>18</v>
      </c>
      <c r="F13" s="12"/>
      <c r="G13" s="9"/>
      <c r="H13" s="9"/>
    </row>
    <row r="14" spans="1:9" ht="15.9" customHeight="1" x14ac:dyDescent="0.25">
      <c r="A14" s="2" t="s">
        <v>20</v>
      </c>
      <c r="B14" s="2" t="s">
        <v>34</v>
      </c>
      <c r="C14" s="3" t="s">
        <v>0</v>
      </c>
      <c r="D14" s="2" t="s">
        <v>31</v>
      </c>
      <c r="E14" s="4" t="s">
        <v>18</v>
      </c>
      <c r="F14" s="12"/>
      <c r="G14" s="9"/>
      <c r="H14" s="9"/>
    </row>
    <row r="15" spans="1:9" ht="15.9" customHeight="1" x14ac:dyDescent="0.25">
      <c r="A15" s="2" t="s">
        <v>20</v>
      </c>
      <c r="B15" s="2" t="s">
        <v>37</v>
      </c>
      <c r="C15" s="3" t="s">
        <v>0</v>
      </c>
      <c r="D15" s="2" t="s">
        <v>29</v>
      </c>
      <c r="E15" s="4" t="s">
        <v>18</v>
      </c>
      <c r="F15" s="12"/>
      <c r="G15" s="9"/>
      <c r="H15" s="9"/>
    </row>
    <row r="16" spans="1:9" ht="15.9" customHeight="1" x14ac:dyDescent="0.25">
      <c r="A16" s="2" t="s">
        <v>20</v>
      </c>
      <c r="B16" s="2" t="s">
        <v>38</v>
      </c>
      <c r="C16" s="3" t="s">
        <v>0</v>
      </c>
      <c r="D16" s="2" t="s">
        <v>31</v>
      </c>
      <c r="E16" s="4" t="s">
        <v>18</v>
      </c>
      <c r="F16" s="12"/>
      <c r="G16" s="9"/>
      <c r="H16" s="9"/>
    </row>
    <row r="17" spans="1:9" ht="15.9" customHeight="1" x14ac:dyDescent="0.25">
      <c r="A17" s="2" t="s">
        <v>20</v>
      </c>
      <c r="B17" s="2" t="s">
        <v>48</v>
      </c>
      <c r="C17" s="3" t="s">
        <v>0</v>
      </c>
      <c r="D17" s="2" t="s">
        <v>31</v>
      </c>
      <c r="E17" s="4" t="s">
        <v>18</v>
      </c>
      <c r="F17" s="12"/>
      <c r="G17" s="9"/>
      <c r="H17" s="9"/>
    </row>
    <row r="18" spans="1:9" ht="15.9" customHeight="1" x14ac:dyDescent="0.25">
      <c r="A18" s="2" t="s">
        <v>20</v>
      </c>
      <c r="B18" s="2" t="s">
        <v>39</v>
      </c>
      <c r="C18" s="3" t="s">
        <v>24</v>
      </c>
      <c r="D18" s="2" t="s">
        <v>29</v>
      </c>
      <c r="E18" s="4" t="s">
        <v>18</v>
      </c>
      <c r="F18" s="12"/>
      <c r="G18" s="9">
        <v>1215</v>
      </c>
      <c r="H18" s="9">
        <v>182</v>
      </c>
      <c r="I18" t="s">
        <v>53</v>
      </c>
    </row>
    <row r="19" spans="1:9" ht="15.9" customHeight="1" x14ac:dyDescent="0.25">
      <c r="A19" s="2" t="s">
        <v>20</v>
      </c>
      <c r="B19" s="2" t="s">
        <v>23</v>
      </c>
      <c r="C19" s="3" t="s">
        <v>24</v>
      </c>
      <c r="D19" s="2" t="s">
        <v>29</v>
      </c>
      <c r="E19" s="4" t="s">
        <v>18</v>
      </c>
      <c r="F19" s="12"/>
      <c r="G19" s="9">
        <v>29595</v>
      </c>
      <c r="H19" s="9">
        <v>1100</v>
      </c>
    </row>
    <row r="20" spans="1:9" ht="15.9" customHeight="1" x14ac:dyDescent="0.25">
      <c r="A20" s="2" t="s">
        <v>20</v>
      </c>
      <c r="B20" s="2" t="s">
        <v>40</v>
      </c>
      <c r="C20" s="3" t="s">
        <v>0</v>
      </c>
      <c r="D20" s="2" t="s">
        <v>50</v>
      </c>
      <c r="E20" s="4" t="s">
        <v>18</v>
      </c>
      <c r="F20" s="12"/>
      <c r="G20" s="9"/>
      <c r="H20" s="9"/>
    </row>
    <row r="21" spans="1:9" ht="15.9" customHeight="1" x14ac:dyDescent="0.25">
      <c r="A21" s="2" t="s">
        <v>20</v>
      </c>
      <c r="B21" s="2" t="s">
        <v>41</v>
      </c>
      <c r="C21" s="3" t="s">
        <v>24</v>
      </c>
      <c r="D21" s="2" t="s">
        <v>49</v>
      </c>
      <c r="E21" s="4" t="s">
        <v>1</v>
      </c>
      <c r="F21" s="12"/>
      <c r="G21" s="9">
        <v>4000</v>
      </c>
      <c r="H21" s="9">
        <v>0</v>
      </c>
    </row>
    <row r="22" spans="1:9" ht="15.9" customHeight="1" x14ac:dyDescent="0.25">
      <c r="A22" s="2" t="s">
        <v>20</v>
      </c>
      <c r="B22" s="2" t="s">
        <v>42</v>
      </c>
      <c r="C22" s="3" t="s">
        <v>24</v>
      </c>
      <c r="D22" s="2" t="s">
        <v>43</v>
      </c>
      <c r="E22" s="4" t="s">
        <v>1</v>
      </c>
      <c r="F22" s="12"/>
      <c r="G22" s="9">
        <v>1800</v>
      </c>
      <c r="H22" s="9">
        <v>2500</v>
      </c>
      <c r="I22" t="s">
        <v>52</v>
      </c>
    </row>
    <row r="23" spans="1:9" ht="15.9" customHeight="1" x14ac:dyDescent="0.25">
      <c r="A23" s="2" t="s">
        <v>20</v>
      </c>
      <c r="B23" s="2" t="s">
        <v>44</v>
      </c>
      <c r="C23" s="3" t="s">
        <v>24</v>
      </c>
      <c r="D23" s="2" t="s">
        <v>29</v>
      </c>
      <c r="E23" s="4" t="s">
        <v>18</v>
      </c>
      <c r="F23" s="12"/>
      <c r="G23" s="9">
        <v>9544</v>
      </c>
      <c r="H23" s="9">
        <v>1299</v>
      </c>
    </row>
    <row r="24" spans="1:9" ht="15.9" customHeight="1" x14ac:dyDescent="0.25">
      <c r="A24" s="2" t="s">
        <v>20</v>
      </c>
      <c r="B24" s="2" t="s">
        <v>45</v>
      </c>
      <c r="C24" s="3" t="s">
        <v>0</v>
      </c>
      <c r="D24" s="2" t="s">
        <v>31</v>
      </c>
      <c r="E24" s="4" t="s">
        <v>18</v>
      </c>
      <c r="F24" s="12"/>
      <c r="G24" s="9"/>
      <c r="H24" s="9"/>
    </row>
    <row r="25" spans="1:9" ht="15.9" customHeight="1" x14ac:dyDescent="0.25">
      <c r="A25" s="2" t="s">
        <v>20</v>
      </c>
      <c r="B25" s="2" t="s">
        <v>47</v>
      </c>
      <c r="C25" s="3" t="s">
        <v>0</v>
      </c>
      <c r="D25" s="2" t="s">
        <v>31</v>
      </c>
      <c r="E25" s="4" t="s">
        <v>18</v>
      </c>
      <c r="F25" s="12"/>
      <c r="G25" s="9"/>
      <c r="H25" s="9"/>
    </row>
    <row r="26" spans="1:9" s="30" customFormat="1" ht="15.9" customHeight="1" x14ac:dyDescent="0.25">
      <c r="A26" s="26" t="s">
        <v>154</v>
      </c>
      <c r="B26" s="26" t="s">
        <v>57</v>
      </c>
      <c r="C26" s="27" t="s">
        <v>24</v>
      </c>
      <c r="D26" s="26" t="s">
        <v>58</v>
      </c>
      <c r="E26" s="27" t="s">
        <v>18</v>
      </c>
      <c r="F26" s="28"/>
      <c r="G26" s="29">
        <v>28000</v>
      </c>
      <c r="H26" s="29">
        <v>1000</v>
      </c>
    </row>
    <row r="27" spans="1:9" s="30" customFormat="1" ht="15.9" customHeight="1" x14ac:dyDescent="0.25">
      <c r="A27" s="26" t="s">
        <v>154</v>
      </c>
      <c r="B27" s="26" t="s">
        <v>59</v>
      </c>
      <c r="C27" s="27" t="s">
        <v>0</v>
      </c>
      <c r="D27" s="26" t="s">
        <v>60</v>
      </c>
      <c r="E27" s="27" t="s">
        <v>18</v>
      </c>
      <c r="F27" s="28"/>
      <c r="G27" s="29">
        <v>3000</v>
      </c>
      <c r="H27" s="29">
        <v>0</v>
      </c>
    </row>
    <row r="28" spans="1:9" ht="15.9" customHeight="1" x14ac:dyDescent="0.25">
      <c r="A28" s="26" t="s">
        <v>154</v>
      </c>
      <c r="B28" s="2" t="s">
        <v>61</v>
      </c>
      <c r="C28" s="3" t="s">
        <v>0</v>
      </c>
      <c r="D28" s="2" t="s">
        <v>60</v>
      </c>
      <c r="E28" s="4" t="s">
        <v>18</v>
      </c>
      <c r="F28" s="12"/>
      <c r="G28" s="9"/>
      <c r="H28" s="9"/>
    </row>
    <row r="29" spans="1:9" ht="15.9" customHeight="1" x14ac:dyDescent="0.25">
      <c r="A29" s="26" t="s">
        <v>154</v>
      </c>
      <c r="B29" s="2" t="s">
        <v>62</v>
      </c>
      <c r="C29" s="3" t="s">
        <v>24</v>
      </c>
      <c r="D29" s="2" t="s">
        <v>63</v>
      </c>
      <c r="E29" s="4" t="s">
        <v>18</v>
      </c>
      <c r="F29" s="12"/>
      <c r="G29" s="9">
        <v>7000</v>
      </c>
      <c r="H29" s="9">
        <v>2000</v>
      </c>
    </row>
    <row r="30" spans="1:9" ht="15.9" customHeight="1" x14ac:dyDescent="0.25">
      <c r="A30" s="26" t="s">
        <v>155</v>
      </c>
      <c r="B30" s="2" t="s">
        <v>156</v>
      </c>
      <c r="C30" s="3" t="s">
        <v>0</v>
      </c>
      <c r="D30" s="2" t="s">
        <v>22</v>
      </c>
      <c r="E30" s="4" t="s">
        <v>18</v>
      </c>
      <c r="F30" s="12"/>
      <c r="G30" s="9">
        <v>100000</v>
      </c>
      <c r="H30" s="9">
        <v>30000</v>
      </c>
    </row>
    <row r="31" spans="1:9" ht="15.9" customHeight="1" x14ac:dyDescent="0.25">
      <c r="A31" s="2" t="s">
        <v>64</v>
      </c>
      <c r="B31" s="2" t="s">
        <v>65</v>
      </c>
      <c r="C31" s="3" t="s">
        <v>24</v>
      </c>
      <c r="D31" s="2" t="s">
        <v>66</v>
      </c>
      <c r="E31" s="4" t="s">
        <v>18</v>
      </c>
      <c r="F31" s="12">
        <v>0.25</v>
      </c>
      <c r="G31" s="9">
        <v>15000</v>
      </c>
      <c r="H31" s="9">
        <v>3900</v>
      </c>
    </row>
    <row r="32" spans="1:9" ht="15.9" customHeight="1" x14ac:dyDescent="0.25">
      <c r="A32" s="2" t="s">
        <v>64</v>
      </c>
      <c r="B32" s="2" t="s">
        <v>67</v>
      </c>
      <c r="C32" s="3" t="s">
        <v>24</v>
      </c>
      <c r="D32" s="2" t="s">
        <v>66</v>
      </c>
      <c r="E32" s="4" t="s">
        <v>18</v>
      </c>
      <c r="F32" s="12">
        <v>0.25</v>
      </c>
      <c r="G32" s="9">
        <v>25000</v>
      </c>
      <c r="H32" s="9">
        <v>3750</v>
      </c>
    </row>
    <row r="33" spans="1:8" ht="15.9" customHeight="1" x14ac:dyDescent="0.25">
      <c r="A33" s="2" t="s">
        <v>64</v>
      </c>
      <c r="B33" s="2" t="s">
        <v>68</v>
      </c>
      <c r="C33" s="3" t="s">
        <v>24</v>
      </c>
      <c r="D33" s="2" t="s">
        <v>66</v>
      </c>
      <c r="E33" s="4" t="s">
        <v>18</v>
      </c>
      <c r="F33" s="12">
        <v>0.25</v>
      </c>
      <c r="G33" s="9">
        <v>42500</v>
      </c>
      <c r="H33" s="9">
        <v>7750</v>
      </c>
    </row>
    <row r="34" spans="1:8" ht="15.9" customHeight="1" x14ac:dyDescent="0.25">
      <c r="A34" s="2" t="s">
        <v>64</v>
      </c>
      <c r="B34" s="2" t="s">
        <v>69</v>
      </c>
      <c r="C34" s="3" t="s">
        <v>24</v>
      </c>
      <c r="D34" s="2" t="s">
        <v>66</v>
      </c>
      <c r="E34" s="4" t="s">
        <v>18</v>
      </c>
      <c r="F34" s="12">
        <v>0.25</v>
      </c>
      <c r="G34" s="9">
        <v>47000</v>
      </c>
      <c r="H34" s="9">
        <v>5700</v>
      </c>
    </row>
    <row r="35" spans="1:8" ht="15.9" customHeight="1" x14ac:dyDescent="0.25">
      <c r="A35" s="2" t="s">
        <v>64</v>
      </c>
      <c r="B35" s="2" t="s">
        <v>70</v>
      </c>
      <c r="C35" s="3" t="s">
        <v>24</v>
      </c>
      <c r="D35" s="2" t="s">
        <v>66</v>
      </c>
      <c r="E35" s="4" t="s">
        <v>18</v>
      </c>
      <c r="F35" s="12">
        <v>0.25</v>
      </c>
      <c r="G35" s="9">
        <v>10000</v>
      </c>
      <c r="H35" s="9">
        <v>1890</v>
      </c>
    </row>
    <row r="36" spans="1:8" ht="15.9" customHeight="1" x14ac:dyDescent="0.25">
      <c r="A36" s="2" t="s">
        <v>64</v>
      </c>
      <c r="B36" s="2" t="s">
        <v>71</v>
      </c>
      <c r="C36" s="3" t="s">
        <v>0</v>
      </c>
      <c r="D36" s="2" t="s">
        <v>66</v>
      </c>
      <c r="E36" s="4" t="s">
        <v>18</v>
      </c>
      <c r="F36" s="12">
        <v>0.25</v>
      </c>
      <c r="G36" s="9"/>
      <c r="H36" s="9"/>
    </row>
    <row r="37" spans="1:8" ht="15.9" customHeight="1" x14ac:dyDescent="0.25">
      <c r="A37" s="2" t="s">
        <v>64</v>
      </c>
      <c r="B37" s="2" t="s">
        <v>72</v>
      </c>
      <c r="C37" s="3" t="s">
        <v>0</v>
      </c>
      <c r="D37" s="2" t="s">
        <v>66</v>
      </c>
      <c r="E37" s="4" t="s">
        <v>73</v>
      </c>
      <c r="F37" s="12">
        <v>1.5</v>
      </c>
      <c r="G37" s="9"/>
      <c r="H37" s="9">
        <v>-100000</v>
      </c>
    </row>
    <row r="38" spans="1:8" ht="15.9" customHeight="1" x14ac:dyDescent="0.25">
      <c r="A38" s="2" t="s">
        <v>64</v>
      </c>
      <c r="B38" s="2" t="s">
        <v>74</v>
      </c>
      <c r="C38" s="3" t="s">
        <v>24</v>
      </c>
      <c r="D38" s="2"/>
      <c r="E38" s="4"/>
      <c r="F38" s="12">
        <v>0.1</v>
      </c>
      <c r="G38" s="9"/>
      <c r="H38" s="9">
        <v>0</v>
      </c>
    </row>
    <row r="39" spans="1:8" ht="15.9" customHeight="1" x14ac:dyDescent="0.25">
      <c r="A39" s="2" t="s">
        <v>64</v>
      </c>
      <c r="B39" s="2" t="s">
        <v>75</v>
      </c>
      <c r="C39" s="3" t="s">
        <v>24</v>
      </c>
      <c r="D39" s="2"/>
      <c r="E39" s="4"/>
      <c r="F39" s="12">
        <v>0.1</v>
      </c>
      <c r="G39" s="9"/>
      <c r="H39" s="9">
        <v>8550</v>
      </c>
    </row>
    <row r="40" spans="1:8" ht="15.9" customHeight="1" x14ac:dyDescent="0.25">
      <c r="A40" s="2" t="s">
        <v>64</v>
      </c>
      <c r="B40" s="2" t="s">
        <v>76</v>
      </c>
      <c r="C40" s="3" t="s">
        <v>24</v>
      </c>
      <c r="D40" s="2" t="s">
        <v>77</v>
      </c>
      <c r="E40" s="4"/>
      <c r="F40" s="12">
        <v>0.1</v>
      </c>
      <c r="G40" s="9"/>
      <c r="H40" s="9">
        <v>1000</v>
      </c>
    </row>
    <row r="41" spans="1:8" ht="15.9" customHeight="1" x14ac:dyDescent="0.25">
      <c r="A41" s="2" t="s">
        <v>64</v>
      </c>
      <c r="B41" s="2" t="s">
        <v>78</v>
      </c>
      <c r="C41" s="3" t="s">
        <v>24</v>
      </c>
      <c r="D41" s="2" t="s">
        <v>79</v>
      </c>
      <c r="E41" s="4" t="s">
        <v>18</v>
      </c>
      <c r="F41" s="12">
        <v>1</v>
      </c>
      <c r="G41" s="9">
        <v>15000</v>
      </c>
      <c r="H41" s="9">
        <v>5070</v>
      </c>
    </row>
    <row r="42" spans="1:8" ht="15.9" customHeight="1" x14ac:dyDescent="0.25">
      <c r="A42" s="2" t="s">
        <v>64</v>
      </c>
      <c r="B42" s="2" t="s">
        <v>80</v>
      </c>
      <c r="C42" s="3" t="s">
        <v>24</v>
      </c>
      <c r="D42" s="2" t="s">
        <v>81</v>
      </c>
      <c r="E42" s="4" t="s">
        <v>18</v>
      </c>
      <c r="F42" s="12">
        <v>0.2</v>
      </c>
      <c r="G42" s="9">
        <v>5000</v>
      </c>
      <c r="H42" s="9">
        <v>1000</v>
      </c>
    </row>
    <row r="43" spans="1:8" ht="15.9" customHeight="1" x14ac:dyDescent="0.25">
      <c r="A43" s="2" t="s">
        <v>64</v>
      </c>
      <c r="B43" s="31" t="s">
        <v>82</v>
      </c>
      <c r="C43" s="3" t="s">
        <v>24</v>
      </c>
      <c r="D43" s="2"/>
      <c r="E43" s="4" t="s">
        <v>18</v>
      </c>
      <c r="F43" s="12">
        <v>0.2</v>
      </c>
      <c r="G43" s="9"/>
      <c r="H43" s="9"/>
    </row>
    <row r="44" spans="1:8" ht="15.9" customHeight="1" x14ac:dyDescent="0.25">
      <c r="A44" s="2" t="s">
        <v>83</v>
      </c>
      <c r="B44" s="2" t="s">
        <v>84</v>
      </c>
      <c r="C44" s="3" t="s">
        <v>0</v>
      </c>
      <c r="D44" s="2" t="s">
        <v>85</v>
      </c>
      <c r="E44" s="4" t="s">
        <v>1</v>
      </c>
      <c r="F44" s="12"/>
      <c r="G44" s="9"/>
      <c r="H44" s="9"/>
    </row>
    <row r="45" spans="1:8" ht="15.9" customHeight="1" x14ac:dyDescent="0.25">
      <c r="A45" s="2" t="s">
        <v>83</v>
      </c>
      <c r="B45" s="2" t="s">
        <v>86</v>
      </c>
      <c r="C45" s="3" t="s">
        <v>0</v>
      </c>
      <c r="D45" s="2" t="s">
        <v>87</v>
      </c>
      <c r="E45" s="4" t="s">
        <v>1</v>
      </c>
      <c r="F45" s="12"/>
      <c r="G45" s="9"/>
      <c r="H45" s="9"/>
    </row>
    <row r="46" spans="1:8" ht="15.9" customHeight="1" x14ac:dyDescent="0.25">
      <c r="A46" s="2" t="s">
        <v>83</v>
      </c>
      <c r="B46" s="2" t="s">
        <v>88</v>
      </c>
      <c r="C46" s="3" t="s">
        <v>0</v>
      </c>
      <c r="D46" s="2" t="s">
        <v>85</v>
      </c>
      <c r="E46" s="4" t="s">
        <v>18</v>
      </c>
      <c r="F46" s="12"/>
      <c r="G46" s="9"/>
      <c r="H46" s="9"/>
    </row>
    <row r="47" spans="1:8" ht="15.9" customHeight="1" x14ac:dyDescent="0.25">
      <c r="A47" s="2" t="s">
        <v>83</v>
      </c>
      <c r="B47" s="2" t="s">
        <v>89</v>
      </c>
      <c r="C47" s="3" t="s">
        <v>0</v>
      </c>
      <c r="D47" s="2" t="s">
        <v>85</v>
      </c>
      <c r="E47" s="4" t="s">
        <v>18</v>
      </c>
      <c r="F47" s="12"/>
      <c r="G47" s="9"/>
      <c r="H47" s="9"/>
    </row>
    <row r="48" spans="1:8" ht="15.9" customHeight="1" x14ac:dyDescent="0.25">
      <c r="A48" s="2" t="s">
        <v>83</v>
      </c>
      <c r="B48" s="2" t="s">
        <v>90</v>
      </c>
      <c r="C48" s="3" t="s">
        <v>0</v>
      </c>
      <c r="D48" s="2" t="s">
        <v>91</v>
      </c>
      <c r="E48" s="4" t="s">
        <v>1</v>
      </c>
      <c r="F48" s="12"/>
      <c r="G48" s="9"/>
      <c r="H48" s="9"/>
    </row>
    <row r="49" spans="1:8" ht="15.9" customHeight="1" x14ac:dyDescent="0.25">
      <c r="A49" s="2" t="s">
        <v>83</v>
      </c>
      <c r="B49" s="2" t="s">
        <v>92</v>
      </c>
      <c r="C49" s="3" t="s">
        <v>0</v>
      </c>
      <c r="D49" s="2" t="s">
        <v>85</v>
      </c>
      <c r="E49" s="4" t="s">
        <v>18</v>
      </c>
      <c r="F49" s="12"/>
      <c r="G49" s="9"/>
      <c r="H49" s="9"/>
    </row>
    <row r="50" spans="1:8" ht="15.9" customHeight="1" x14ac:dyDescent="0.25">
      <c r="A50" s="2" t="s">
        <v>83</v>
      </c>
      <c r="B50" s="2" t="s">
        <v>93</v>
      </c>
      <c r="C50" s="3" t="s">
        <v>24</v>
      </c>
      <c r="D50" s="2" t="s">
        <v>94</v>
      </c>
      <c r="E50" s="4" t="s">
        <v>18</v>
      </c>
      <c r="F50" s="12"/>
      <c r="G50" s="9">
        <v>30000</v>
      </c>
      <c r="H50" s="9">
        <v>1000</v>
      </c>
    </row>
    <row r="51" spans="1:8" ht="15.9" customHeight="1" x14ac:dyDescent="0.25">
      <c r="A51" s="2" t="s">
        <v>83</v>
      </c>
      <c r="B51" s="2" t="s">
        <v>95</v>
      </c>
      <c r="C51" s="3" t="s">
        <v>24</v>
      </c>
      <c r="D51" s="2" t="s">
        <v>94</v>
      </c>
      <c r="E51" s="4" t="s">
        <v>18</v>
      </c>
      <c r="F51" s="12"/>
      <c r="G51" s="9"/>
      <c r="H51" s="9"/>
    </row>
    <row r="52" spans="1:8" ht="15.9" customHeight="1" x14ac:dyDescent="0.25">
      <c r="A52" s="2" t="s">
        <v>83</v>
      </c>
      <c r="B52" s="2" t="s">
        <v>96</v>
      </c>
      <c r="C52" s="3" t="s">
        <v>0</v>
      </c>
      <c r="D52" s="2" t="s">
        <v>85</v>
      </c>
      <c r="E52" s="4" t="s">
        <v>18</v>
      </c>
      <c r="F52" s="12"/>
      <c r="G52" s="9"/>
      <c r="H52" s="9"/>
    </row>
    <row r="53" spans="1:8" ht="15.9" customHeight="1" x14ac:dyDescent="0.25">
      <c r="A53" s="2" t="s">
        <v>83</v>
      </c>
      <c r="B53" s="2" t="s">
        <v>97</v>
      </c>
      <c r="C53" s="3" t="s">
        <v>0</v>
      </c>
      <c r="D53" s="2" t="s">
        <v>85</v>
      </c>
      <c r="E53" s="4" t="s">
        <v>18</v>
      </c>
      <c r="F53" s="12"/>
      <c r="G53" s="9"/>
      <c r="H53" s="9"/>
    </row>
    <row r="54" spans="1:8" ht="15.9" customHeight="1" x14ac:dyDescent="0.25">
      <c r="A54" s="2" t="s">
        <v>83</v>
      </c>
      <c r="B54" s="2" t="s">
        <v>98</v>
      </c>
      <c r="C54" s="3" t="s">
        <v>0</v>
      </c>
      <c r="D54" s="2" t="s">
        <v>85</v>
      </c>
      <c r="E54" s="4" t="s">
        <v>18</v>
      </c>
      <c r="F54" s="12"/>
      <c r="G54" s="9"/>
      <c r="H54" s="9"/>
    </row>
    <row r="55" spans="1:8" ht="15.9" customHeight="1" x14ac:dyDescent="0.25">
      <c r="A55" s="2" t="s">
        <v>83</v>
      </c>
      <c r="B55" s="2" t="s">
        <v>99</v>
      </c>
      <c r="C55" s="3" t="s">
        <v>24</v>
      </c>
      <c r="D55" s="2" t="s">
        <v>100</v>
      </c>
      <c r="E55" s="4" t="s">
        <v>1</v>
      </c>
      <c r="F55" s="12"/>
      <c r="G55" s="9">
        <v>17000</v>
      </c>
      <c r="H55" s="9">
        <v>1700</v>
      </c>
    </row>
    <row r="56" spans="1:8" ht="15.9" customHeight="1" x14ac:dyDescent="0.25">
      <c r="A56" s="2" t="s">
        <v>83</v>
      </c>
      <c r="B56" s="2" t="s">
        <v>101</v>
      </c>
      <c r="C56" s="3" t="s">
        <v>0</v>
      </c>
      <c r="D56" s="2" t="s">
        <v>102</v>
      </c>
      <c r="E56" s="4" t="s">
        <v>1</v>
      </c>
      <c r="F56" s="12"/>
      <c r="G56" s="9">
        <v>60000</v>
      </c>
      <c r="H56" s="9"/>
    </row>
    <row r="57" spans="1:8" ht="15.9" customHeight="1" x14ac:dyDescent="0.25">
      <c r="A57" s="2" t="s">
        <v>83</v>
      </c>
      <c r="B57" s="2" t="s">
        <v>103</v>
      </c>
      <c r="C57" s="3" t="s">
        <v>0</v>
      </c>
      <c r="D57" s="2" t="s">
        <v>91</v>
      </c>
      <c r="E57" s="4" t="s">
        <v>1</v>
      </c>
      <c r="F57" s="12"/>
      <c r="G57" s="9"/>
      <c r="H57" s="9"/>
    </row>
    <row r="58" spans="1:8" ht="15.9" customHeight="1" x14ac:dyDescent="0.25">
      <c r="A58" s="2" t="s">
        <v>83</v>
      </c>
      <c r="B58" s="2" t="s">
        <v>104</v>
      </c>
      <c r="C58" s="3" t="s">
        <v>0</v>
      </c>
      <c r="D58" s="2" t="s">
        <v>91</v>
      </c>
      <c r="E58" s="4" t="s">
        <v>18</v>
      </c>
      <c r="F58" s="12"/>
      <c r="G58" s="9"/>
      <c r="H58" s="9"/>
    </row>
    <row r="59" spans="1:8" ht="15.9" customHeight="1" x14ac:dyDescent="0.25">
      <c r="A59" s="2" t="s">
        <v>83</v>
      </c>
      <c r="B59" s="2" t="s">
        <v>105</v>
      </c>
      <c r="C59" s="3" t="s">
        <v>0</v>
      </c>
      <c r="D59" s="2" t="s">
        <v>85</v>
      </c>
      <c r="E59" s="4" t="s">
        <v>18</v>
      </c>
      <c r="F59" s="12"/>
      <c r="G59" s="9"/>
      <c r="H59" s="9"/>
    </row>
    <row r="60" spans="1:8" ht="15.9" customHeight="1" x14ac:dyDescent="0.25">
      <c r="A60" s="2" t="s">
        <v>83</v>
      </c>
      <c r="B60" s="2" t="s">
        <v>106</v>
      </c>
      <c r="C60" s="3" t="s">
        <v>0</v>
      </c>
      <c r="D60" s="2" t="s">
        <v>91</v>
      </c>
      <c r="E60" s="4" t="s">
        <v>1</v>
      </c>
      <c r="F60" s="12"/>
      <c r="G60" s="9"/>
      <c r="H60" s="9"/>
    </row>
    <row r="61" spans="1:8" ht="15.9" customHeight="1" x14ac:dyDescent="0.25">
      <c r="A61" s="2" t="s">
        <v>83</v>
      </c>
      <c r="B61" s="2" t="s">
        <v>107</v>
      </c>
      <c r="C61" s="3" t="s">
        <v>0</v>
      </c>
      <c r="D61" s="2" t="s">
        <v>91</v>
      </c>
      <c r="E61" s="4" t="s">
        <v>1</v>
      </c>
      <c r="F61" s="12"/>
      <c r="G61" s="9"/>
      <c r="H61" s="9"/>
    </row>
    <row r="62" spans="1:8" ht="15.9" customHeight="1" x14ac:dyDescent="0.25">
      <c r="A62" s="2" t="s">
        <v>83</v>
      </c>
      <c r="B62" s="2" t="s">
        <v>108</v>
      </c>
      <c r="C62" s="3" t="s">
        <v>0</v>
      </c>
      <c r="D62" s="2" t="s">
        <v>91</v>
      </c>
      <c r="E62" s="4" t="s">
        <v>1</v>
      </c>
      <c r="F62" s="12"/>
      <c r="G62" s="9"/>
      <c r="H62" s="9"/>
    </row>
    <row r="63" spans="1:8" ht="15.9" customHeight="1" x14ac:dyDescent="0.25">
      <c r="A63" s="2" t="s">
        <v>83</v>
      </c>
      <c r="B63" s="2" t="s">
        <v>109</v>
      </c>
      <c r="C63" s="3" t="s">
        <v>110</v>
      </c>
      <c r="D63" s="2" t="s">
        <v>111</v>
      </c>
      <c r="E63" s="4" t="s">
        <v>18</v>
      </c>
      <c r="F63" s="12"/>
      <c r="G63" s="9">
        <v>50000</v>
      </c>
      <c r="H63" s="9">
        <v>15000</v>
      </c>
    </row>
    <row r="64" spans="1:8" ht="15.9" customHeight="1" x14ac:dyDescent="0.25">
      <c r="A64" s="2" t="s">
        <v>83</v>
      </c>
      <c r="B64" s="2" t="s">
        <v>112</v>
      </c>
      <c r="C64" s="3" t="s">
        <v>0</v>
      </c>
      <c r="D64" s="2" t="s">
        <v>85</v>
      </c>
      <c r="E64" s="4" t="s">
        <v>18</v>
      </c>
      <c r="F64" s="12"/>
      <c r="G64" s="9"/>
      <c r="H64" s="9"/>
    </row>
    <row r="65" spans="1:8" ht="15.9" customHeight="1" x14ac:dyDescent="0.25">
      <c r="A65" s="2" t="s">
        <v>83</v>
      </c>
      <c r="B65" s="2" t="s">
        <v>113</v>
      </c>
      <c r="C65" s="3" t="s">
        <v>0</v>
      </c>
      <c r="D65" s="2" t="s">
        <v>85</v>
      </c>
      <c r="E65" s="4" t="s">
        <v>18</v>
      </c>
      <c r="F65" s="12"/>
      <c r="G65" s="9"/>
      <c r="H65" s="9"/>
    </row>
    <row r="66" spans="1:8" ht="15.9" customHeight="1" x14ac:dyDescent="0.25">
      <c r="A66" s="2" t="s">
        <v>83</v>
      </c>
      <c r="B66" s="2" t="s">
        <v>114</v>
      </c>
      <c r="C66" s="3" t="s">
        <v>0</v>
      </c>
      <c r="D66" s="2" t="s">
        <v>91</v>
      </c>
      <c r="E66" s="4" t="s">
        <v>18</v>
      </c>
      <c r="F66" s="12"/>
      <c r="G66" s="9"/>
      <c r="H66" s="9"/>
    </row>
    <row r="67" spans="1:8" ht="15.9" customHeight="1" x14ac:dyDescent="0.25">
      <c r="A67" s="2" t="s">
        <v>83</v>
      </c>
      <c r="B67" s="2" t="s">
        <v>115</v>
      </c>
      <c r="C67" s="3" t="s">
        <v>0</v>
      </c>
      <c r="D67" s="2" t="s">
        <v>91</v>
      </c>
      <c r="E67" s="4" t="s">
        <v>18</v>
      </c>
      <c r="F67" s="12"/>
      <c r="G67" s="9"/>
      <c r="H67" s="9"/>
    </row>
    <row r="68" spans="1:8" ht="15.9" customHeight="1" x14ac:dyDescent="0.25">
      <c r="A68" s="2" t="s">
        <v>83</v>
      </c>
      <c r="B68" s="2" t="s">
        <v>116</v>
      </c>
      <c r="C68" s="3" t="s">
        <v>0</v>
      </c>
      <c r="D68" s="2" t="s">
        <v>91</v>
      </c>
      <c r="E68" s="4" t="s">
        <v>18</v>
      </c>
      <c r="F68" s="12"/>
      <c r="G68" s="9"/>
      <c r="H68" s="9"/>
    </row>
    <row r="69" spans="1:8" ht="15.9" customHeight="1" x14ac:dyDescent="0.25">
      <c r="A69" s="2" t="s">
        <v>83</v>
      </c>
      <c r="B69" s="2" t="s">
        <v>117</v>
      </c>
      <c r="C69" s="3" t="s">
        <v>0</v>
      </c>
      <c r="D69" s="2" t="s">
        <v>91</v>
      </c>
      <c r="E69" s="4" t="s">
        <v>18</v>
      </c>
      <c r="F69" s="12"/>
      <c r="G69" s="9"/>
      <c r="H69" s="9"/>
    </row>
    <row r="70" spans="1:8" ht="15.9" customHeight="1" x14ac:dyDescent="0.25">
      <c r="A70" s="32" t="s">
        <v>83</v>
      </c>
      <c r="B70" s="32" t="s">
        <v>187</v>
      </c>
      <c r="C70" s="22"/>
      <c r="D70" s="21"/>
      <c r="E70" s="23"/>
      <c r="F70" s="24">
        <v>3</v>
      </c>
      <c r="G70" s="25"/>
      <c r="H70" s="25"/>
    </row>
    <row r="71" spans="1:8" s="37" customFormat="1" ht="15.75" customHeight="1" x14ac:dyDescent="0.25">
      <c r="A71" s="2" t="s">
        <v>118</v>
      </c>
      <c r="B71" s="33" t="s">
        <v>119</v>
      </c>
      <c r="C71" s="34" t="s">
        <v>24</v>
      </c>
      <c r="D71" s="33"/>
      <c r="E71" s="34" t="s">
        <v>18</v>
      </c>
      <c r="F71" s="35"/>
      <c r="G71" s="36">
        <v>85000</v>
      </c>
      <c r="H71" s="36">
        <v>1250</v>
      </c>
    </row>
    <row r="72" spans="1:8" s="37" customFormat="1" ht="15.75" customHeight="1" x14ac:dyDescent="0.25">
      <c r="A72" s="2" t="s">
        <v>118</v>
      </c>
      <c r="B72" s="33" t="s">
        <v>120</v>
      </c>
      <c r="C72" s="34" t="s">
        <v>0</v>
      </c>
      <c r="D72" s="33" t="s">
        <v>121</v>
      </c>
      <c r="E72" s="34" t="s">
        <v>18</v>
      </c>
      <c r="F72" s="35"/>
      <c r="G72" s="36"/>
      <c r="H72" s="36"/>
    </row>
    <row r="73" spans="1:8" s="37" customFormat="1" ht="15.75" customHeight="1" x14ac:dyDescent="0.25">
      <c r="A73" s="2" t="s">
        <v>118</v>
      </c>
      <c r="B73" s="38" t="s">
        <v>122</v>
      </c>
      <c r="C73" s="34" t="s">
        <v>110</v>
      </c>
      <c r="D73" s="33"/>
      <c r="E73" s="34" t="s">
        <v>18</v>
      </c>
      <c r="F73" s="35"/>
      <c r="G73" s="39">
        <v>5168</v>
      </c>
      <c r="H73" s="36"/>
    </row>
    <row r="74" spans="1:8" ht="15.75" customHeight="1" x14ac:dyDescent="0.25">
      <c r="A74" s="2" t="s">
        <v>118</v>
      </c>
      <c r="B74" s="2" t="s">
        <v>123</v>
      </c>
      <c r="C74" s="3" t="s">
        <v>110</v>
      </c>
      <c r="D74" s="2"/>
      <c r="E74" s="4" t="s">
        <v>18</v>
      </c>
      <c r="F74" s="12"/>
      <c r="G74" s="9"/>
      <c r="H74" s="9"/>
    </row>
    <row r="75" spans="1:8" ht="15.75" customHeight="1" x14ac:dyDescent="0.25">
      <c r="A75" s="2" t="s">
        <v>118</v>
      </c>
      <c r="B75" s="2" t="s">
        <v>124</v>
      </c>
      <c r="C75" s="3" t="s">
        <v>24</v>
      </c>
      <c r="D75" s="2"/>
      <c r="E75" s="4" t="s">
        <v>18</v>
      </c>
      <c r="F75" s="12"/>
      <c r="G75" s="9">
        <v>10000</v>
      </c>
      <c r="H75" s="9">
        <v>1200</v>
      </c>
    </row>
    <row r="76" spans="1:8" ht="15.75" customHeight="1" x14ac:dyDescent="0.25">
      <c r="A76" s="2" t="s">
        <v>118</v>
      </c>
      <c r="B76" s="2" t="s">
        <v>125</v>
      </c>
      <c r="C76" s="3" t="s">
        <v>24</v>
      </c>
      <c r="D76" s="2"/>
      <c r="E76" s="4" t="s">
        <v>18</v>
      </c>
      <c r="F76" s="12"/>
      <c r="G76" s="9">
        <v>3690</v>
      </c>
      <c r="H76" s="9">
        <v>700</v>
      </c>
    </row>
    <row r="77" spans="1:8" ht="15.75" customHeight="1" x14ac:dyDescent="0.25">
      <c r="A77" s="2" t="s">
        <v>118</v>
      </c>
      <c r="B77" s="2" t="s">
        <v>126</v>
      </c>
      <c r="C77" s="3" t="s">
        <v>24</v>
      </c>
      <c r="D77" s="2"/>
      <c r="E77" s="4" t="s">
        <v>18</v>
      </c>
      <c r="F77" s="12"/>
      <c r="G77" s="9">
        <v>50</v>
      </c>
      <c r="H77" s="9"/>
    </row>
    <row r="78" spans="1:8" ht="15.75" customHeight="1" x14ac:dyDescent="0.25">
      <c r="A78" s="2" t="s">
        <v>118</v>
      </c>
      <c r="B78" s="2" t="s">
        <v>127</v>
      </c>
      <c r="C78" s="3" t="s">
        <v>0</v>
      </c>
      <c r="D78" s="2"/>
      <c r="E78" s="4" t="s">
        <v>18</v>
      </c>
      <c r="F78" s="12"/>
      <c r="G78" s="9"/>
      <c r="H78" s="9"/>
    </row>
    <row r="79" spans="1:8" ht="15.75" customHeight="1" x14ac:dyDescent="0.25">
      <c r="A79" s="2" t="s">
        <v>118</v>
      </c>
      <c r="B79" s="2" t="s">
        <v>128</v>
      </c>
      <c r="C79" s="3" t="s">
        <v>0</v>
      </c>
      <c r="D79" s="2"/>
      <c r="E79" s="4" t="s">
        <v>18</v>
      </c>
      <c r="F79" s="12"/>
      <c r="G79" s="9"/>
      <c r="H79" s="9"/>
    </row>
    <row r="80" spans="1:8" ht="15.75" customHeight="1" x14ac:dyDescent="0.25">
      <c r="A80" s="2" t="s">
        <v>118</v>
      </c>
      <c r="B80" s="2" t="s">
        <v>129</v>
      </c>
      <c r="C80" s="3" t="s">
        <v>0</v>
      </c>
      <c r="D80" s="2"/>
      <c r="E80" s="4" t="s">
        <v>18</v>
      </c>
      <c r="F80" s="12"/>
      <c r="G80" s="9"/>
      <c r="H80" s="9"/>
    </row>
    <row r="81" spans="1:8" ht="15.75" customHeight="1" x14ac:dyDescent="0.25">
      <c r="A81" s="2" t="s">
        <v>118</v>
      </c>
      <c r="B81" s="2" t="s">
        <v>130</v>
      </c>
      <c r="C81" s="3" t="s">
        <v>0</v>
      </c>
      <c r="D81" s="2" t="s">
        <v>131</v>
      </c>
      <c r="E81" s="4" t="s">
        <v>18</v>
      </c>
      <c r="F81" s="12"/>
      <c r="G81" s="9"/>
      <c r="H81" s="9"/>
    </row>
    <row r="82" spans="1:8" ht="15.75" customHeight="1" x14ac:dyDescent="0.25">
      <c r="A82" s="2" t="s">
        <v>118</v>
      </c>
      <c r="B82" s="2" t="s">
        <v>132</v>
      </c>
      <c r="C82" s="3" t="s">
        <v>0</v>
      </c>
      <c r="D82" s="2" t="s">
        <v>133</v>
      </c>
      <c r="E82" s="4" t="s">
        <v>18</v>
      </c>
      <c r="F82" s="12"/>
      <c r="G82" s="9"/>
      <c r="H82" s="9"/>
    </row>
    <row r="83" spans="1:8" ht="15.75" customHeight="1" x14ac:dyDescent="0.25">
      <c r="A83" s="2" t="s">
        <v>118</v>
      </c>
      <c r="B83" s="2" t="s">
        <v>134</v>
      </c>
      <c r="C83" s="3" t="s">
        <v>0</v>
      </c>
      <c r="D83" s="2" t="s">
        <v>135</v>
      </c>
      <c r="E83" s="4" t="s">
        <v>18</v>
      </c>
      <c r="F83" s="12"/>
      <c r="G83" s="9"/>
      <c r="H83" s="9"/>
    </row>
    <row r="84" spans="1:8" ht="15.75" customHeight="1" x14ac:dyDescent="0.25">
      <c r="A84" s="2" t="s">
        <v>118</v>
      </c>
      <c r="B84" s="2" t="s">
        <v>136</v>
      </c>
      <c r="C84" s="3" t="s">
        <v>0</v>
      </c>
      <c r="D84" s="2" t="s">
        <v>131</v>
      </c>
      <c r="E84" s="4" t="s">
        <v>18</v>
      </c>
      <c r="F84" s="12"/>
      <c r="G84" s="9"/>
      <c r="H84" s="9"/>
    </row>
    <row r="85" spans="1:8" ht="15.75" customHeight="1" x14ac:dyDescent="0.25">
      <c r="A85" s="2" t="s">
        <v>118</v>
      </c>
      <c r="B85" s="2" t="s">
        <v>137</v>
      </c>
      <c r="C85" s="3" t="s">
        <v>0</v>
      </c>
      <c r="D85" s="2"/>
      <c r="E85" s="4" t="s">
        <v>18</v>
      </c>
      <c r="F85" s="12"/>
      <c r="G85" s="9"/>
      <c r="H85" s="9"/>
    </row>
    <row r="86" spans="1:8" ht="15.75" customHeight="1" x14ac:dyDescent="0.25">
      <c r="A86" s="2" t="s">
        <v>118</v>
      </c>
      <c r="B86" s="2" t="s">
        <v>138</v>
      </c>
      <c r="C86" s="3" t="s">
        <v>0</v>
      </c>
      <c r="D86" s="2"/>
      <c r="E86" s="4" t="s">
        <v>18</v>
      </c>
      <c r="F86" s="12"/>
      <c r="G86" s="9"/>
      <c r="H86" s="9"/>
    </row>
    <row r="87" spans="1:8" ht="15.75" customHeight="1" x14ac:dyDescent="0.25">
      <c r="A87" s="2" t="s">
        <v>118</v>
      </c>
      <c r="B87" s="2" t="s">
        <v>139</v>
      </c>
      <c r="C87" s="3" t="s">
        <v>0</v>
      </c>
      <c r="D87" s="2"/>
      <c r="E87" s="4" t="s">
        <v>18</v>
      </c>
      <c r="F87" s="12"/>
      <c r="G87" s="9"/>
      <c r="H87" s="9"/>
    </row>
    <row r="88" spans="1:8" ht="15.75" customHeight="1" x14ac:dyDescent="0.25">
      <c r="A88" s="2" t="s">
        <v>118</v>
      </c>
      <c r="B88" s="2" t="s">
        <v>140</v>
      </c>
      <c r="C88" s="3" t="s">
        <v>0</v>
      </c>
      <c r="D88" s="2"/>
      <c r="E88" s="4" t="s">
        <v>18</v>
      </c>
      <c r="F88" s="12"/>
      <c r="G88" s="9"/>
      <c r="H88" s="9"/>
    </row>
    <row r="89" spans="1:8" ht="15.75" customHeight="1" x14ac:dyDescent="0.25">
      <c r="A89" s="2" t="s">
        <v>118</v>
      </c>
      <c r="B89" s="2" t="s">
        <v>141</v>
      </c>
      <c r="C89" s="3" t="s">
        <v>24</v>
      </c>
      <c r="D89" s="2" t="s">
        <v>142</v>
      </c>
      <c r="E89" s="4" t="s">
        <v>18</v>
      </c>
      <c r="F89" s="12"/>
      <c r="G89" s="9">
        <v>5915</v>
      </c>
      <c r="H89" s="9"/>
    </row>
    <row r="90" spans="1:8" ht="15.75" customHeight="1" x14ac:dyDescent="0.25">
      <c r="A90" s="2" t="s">
        <v>118</v>
      </c>
      <c r="B90" s="2" t="s">
        <v>143</v>
      </c>
      <c r="C90" s="3" t="s">
        <v>0</v>
      </c>
      <c r="D90" s="2" t="s">
        <v>131</v>
      </c>
      <c r="E90" s="4" t="s">
        <v>18</v>
      </c>
      <c r="F90" s="12"/>
      <c r="G90" s="9"/>
      <c r="H90" s="9"/>
    </row>
    <row r="91" spans="1:8" ht="15.75" customHeight="1" x14ac:dyDescent="0.25">
      <c r="A91" s="2" t="s">
        <v>118</v>
      </c>
      <c r="B91" s="2" t="s">
        <v>144</v>
      </c>
      <c r="C91" s="3" t="s">
        <v>24</v>
      </c>
      <c r="D91" s="2"/>
      <c r="E91" s="4" t="s">
        <v>18</v>
      </c>
      <c r="F91" s="12"/>
      <c r="G91" s="9">
        <v>200</v>
      </c>
      <c r="H91" s="9"/>
    </row>
    <row r="92" spans="1:8" ht="15.75" customHeight="1" x14ac:dyDescent="0.25">
      <c r="A92" s="2" t="s">
        <v>118</v>
      </c>
      <c r="B92" s="2" t="s">
        <v>145</v>
      </c>
      <c r="C92" s="3" t="s">
        <v>0</v>
      </c>
      <c r="D92" s="2"/>
      <c r="E92" s="4" t="s">
        <v>18</v>
      </c>
      <c r="F92" s="12"/>
      <c r="G92" s="9"/>
      <c r="H92" s="9"/>
    </row>
    <row r="93" spans="1:8" ht="15.75" customHeight="1" x14ac:dyDescent="0.25">
      <c r="A93" s="2" t="s">
        <v>118</v>
      </c>
      <c r="B93" s="2" t="s">
        <v>146</v>
      </c>
      <c r="C93" s="3" t="s">
        <v>24</v>
      </c>
      <c r="D93" s="2"/>
      <c r="E93" s="4" t="s">
        <v>18</v>
      </c>
      <c r="G93" s="9">
        <v>102800</v>
      </c>
      <c r="H93" s="9">
        <v>28000</v>
      </c>
    </row>
    <row r="94" spans="1:8" ht="15.9" customHeight="1" x14ac:dyDescent="0.25">
      <c r="A94" s="2" t="s">
        <v>118</v>
      </c>
      <c r="B94" s="32" t="s">
        <v>188</v>
      </c>
      <c r="C94" s="22"/>
      <c r="D94" s="21"/>
      <c r="E94" s="23"/>
      <c r="F94" s="12">
        <v>0.78</v>
      </c>
      <c r="G94" s="25"/>
      <c r="H94" s="25"/>
    </row>
    <row r="95" spans="1:8" ht="15.9" customHeight="1" x14ac:dyDescent="0.25">
      <c r="A95" s="2" t="s">
        <v>157</v>
      </c>
      <c r="B95" s="2" t="s">
        <v>158</v>
      </c>
      <c r="C95" s="3" t="s">
        <v>110</v>
      </c>
      <c r="D95" s="2" t="s">
        <v>159</v>
      </c>
      <c r="E95" s="4" t="s">
        <v>18</v>
      </c>
      <c r="F95" s="12">
        <v>0.05</v>
      </c>
      <c r="G95" s="40">
        <v>5000</v>
      </c>
      <c r="H95" s="9"/>
    </row>
    <row r="96" spans="1:8" ht="15.9" customHeight="1" x14ac:dyDescent="0.25">
      <c r="A96" s="2" t="s">
        <v>157</v>
      </c>
      <c r="B96" s="2" t="s">
        <v>160</v>
      </c>
      <c r="C96" s="3" t="s">
        <v>110</v>
      </c>
      <c r="D96" s="2" t="s">
        <v>159</v>
      </c>
      <c r="E96" s="4" t="s">
        <v>18</v>
      </c>
      <c r="F96" s="12">
        <v>0.05</v>
      </c>
      <c r="H96" s="9"/>
    </row>
    <row r="97" spans="1:8" ht="15.9" customHeight="1" x14ac:dyDescent="0.25">
      <c r="A97" s="2" t="s">
        <v>157</v>
      </c>
      <c r="B97" s="2" t="s">
        <v>161</v>
      </c>
      <c r="C97" s="3" t="s">
        <v>110</v>
      </c>
      <c r="D97" s="2" t="s">
        <v>162</v>
      </c>
      <c r="E97" s="4" t="s">
        <v>18</v>
      </c>
      <c r="F97" s="12" t="s">
        <v>163</v>
      </c>
      <c r="G97" s="40">
        <v>5000</v>
      </c>
      <c r="H97" s="9"/>
    </row>
    <row r="98" spans="1:8" ht="15.9" customHeight="1" x14ac:dyDescent="0.25">
      <c r="A98" s="2" t="s">
        <v>157</v>
      </c>
      <c r="B98" s="2" t="s">
        <v>164</v>
      </c>
      <c r="C98" s="3" t="s">
        <v>110</v>
      </c>
      <c r="D98" s="2" t="s">
        <v>162</v>
      </c>
      <c r="E98" s="4" t="s">
        <v>18</v>
      </c>
      <c r="F98" s="12" t="s">
        <v>163</v>
      </c>
      <c r="G98" s="9"/>
      <c r="H98" s="9"/>
    </row>
    <row r="99" spans="1:8" ht="15.9" customHeight="1" x14ac:dyDescent="0.25">
      <c r="A99" s="2" t="s">
        <v>157</v>
      </c>
      <c r="B99" s="2" t="s">
        <v>165</v>
      </c>
      <c r="C99" s="3" t="s">
        <v>110</v>
      </c>
      <c r="D99" s="2" t="s">
        <v>162</v>
      </c>
      <c r="E99" s="4" t="s">
        <v>18</v>
      </c>
      <c r="F99" s="12" t="s">
        <v>163</v>
      </c>
      <c r="G99" s="40">
        <v>800</v>
      </c>
      <c r="H99" s="9"/>
    </row>
    <row r="100" spans="1:8" ht="15.75" customHeight="1" x14ac:dyDescent="0.25">
      <c r="A100" s="2" t="s">
        <v>147</v>
      </c>
      <c r="B100" s="2" t="s">
        <v>148</v>
      </c>
      <c r="C100" s="3" t="s">
        <v>0</v>
      </c>
      <c r="D100" s="2" t="s">
        <v>149</v>
      </c>
      <c r="E100" s="4" t="s">
        <v>18</v>
      </c>
      <c r="F100" s="12">
        <v>0.75</v>
      </c>
      <c r="G100" s="9">
        <f>3000+8*350+2500</f>
        <v>8300</v>
      </c>
      <c r="H100" s="9">
        <v>1500</v>
      </c>
    </row>
    <row r="101" spans="1:8" ht="15.75" customHeight="1" x14ac:dyDescent="0.25">
      <c r="A101" s="2" t="s">
        <v>147</v>
      </c>
      <c r="B101" s="2" t="s">
        <v>150</v>
      </c>
      <c r="C101" s="3" t="s">
        <v>110</v>
      </c>
      <c r="D101" s="2" t="s">
        <v>111</v>
      </c>
      <c r="E101" s="4" t="s">
        <v>18</v>
      </c>
      <c r="F101" s="12">
        <v>0.05</v>
      </c>
      <c r="G101" s="9">
        <v>20000</v>
      </c>
      <c r="H101" s="9">
        <v>3000</v>
      </c>
    </row>
    <row r="102" spans="1:8" ht="15.75" customHeight="1" x14ac:dyDescent="0.25">
      <c r="A102" s="2" t="s">
        <v>147</v>
      </c>
      <c r="B102" s="2" t="s">
        <v>151</v>
      </c>
      <c r="C102" s="3" t="s">
        <v>110</v>
      </c>
      <c r="D102" s="2" t="s">
        <v>111</v>
      </c>
      <c r="E102" s="4" t="s">
        <v>18</v>
      </c>
      <c r="F102" s="12">
        <v>2.5000000000000001E-2</v>
      </c>
      <c r="G102" s="9">
        <v>8000</v>
      </c>
      <c r="H102" s="9">
        <v>1500</v>
      </c>
    </row>
    <row r="103" spans="1:8" ht="15.75" customHeight="1" x14ac:dyDescent="0.25">
      <c r="A103" s="2" t="s">
        <v>147</v>
      </c>
      <c r="B103" s="2" t="s">
        <v>152</v>
      </c>
      <c r="C103" s="3" t="s">
        <v>110</v>
      </c>
      <c r="D103" s="2" t="s">
        <v>111</v>
      </c>
      <c r="E103" s="4" t="s">
        <v>18</v>
      </c>
      <c r="F103" s="12">
        <v>2.5000000000000001E-2</v>
      </c>
      <c r="G103" s="9">
        <v>5000</v>
      </c>
      <c r="H103" s="9">
        <v>1500</v>
      </c>
    </row>
    <row r="104" spans="1:8" ht="15.75" customHeight="1" x14ac:dyDescent="0.25">
      <c r="A104" s="2" t="s">
        <v>147</v>
      </c>
      <c r="B104" s="2" t="s">
        <v>153</v>
      </c>
      <c r="C104" s="3" t="s">
        <v>24</v>
      </c>
      <c r="D104" s="2"/>
      <c r="E104" s="4" t="s">
        <v>18</v>
      </c>
      <c r="F104" s="12">
        <v>2.5000000000000001E-2</v>
      </c>
      <c r="G104" s="9">
        <v>2500</v>
      </c>
      <c r="H104" s="9">
        <v>1500</v>
      </c>
    </row>
    <row r="105" spans="1:8" ht="15.9" customHeight="1" x14ac:dyDescent="0.25">
      <c r="A105" s="2" t="s">
        <v>166</v>
      </c>
      <c r="B105" s="2" t="s">
        <v>167</v>
      </c>
      <c r="C105" s="3" t="s">
        <v>0</v>
      </c>
      <c r="D105" s="2" t="s">
        <v>22</v>
      </c>
      <c r="E105" s="4" t="s">
        <v>18</v>
      </c>
      <c r="F105" s="12"/>
      <c r="G105" s="9"/>
      <c r="H105" s="9"/>
    </row>
    <row r="106" spans="1:8" ht="15.9" customHeight="1" x14ac:dyDescent="0.25">
      <c r="A106" s="2" t="s">
        <v>166</v>
      </c>
      <c r="B106" s="2" t="s">
        <v>168</v>
      </c>
      <c r="C106" s="3" t="s">
        <v>0</v>
      </c>
      <c r="D106" s="2" t="s">
        <v>169</v>
      </c>
      <c r="E106" s="4" t="s">
        <v>18</v>
      </c>
      <c r="F106" s="12"/>
      <c r="G106" s="9"/>
      <c r="H106" s="9"/>
    </row>
    <row r="107" spans="1:8" ht="15.9" customHeight="1" x14ac:dyDescent="0.25">
      <c r="A107" s="2" t="s">
        <v>166</v>
      </c>
      <c r="B107" s="2" t="s">
        <v>170</v>
      </c>
      <c r="C107" s="3" t="s">
        <v>0</v>
      </c>
      <c r="D107" s="2" t="s">
        <v>22</v>
      </c>
      <c r="E107" s="4" t="s">
        <v>1</v>
      </c>
      <c r="F107" s="12"/>
      <c r="G107" s="9"/>
      <c r="H107" s="9"/>
    </row>
    <row r="108" spans="1:8" ht="15.9" customHeight="1" x14ac:dyDescent="0.25">
      <c r="A108" s="2" t="s">
        <v>166</v>
      </c>
      <c r="B108" s="2" t="s">
        <v>171</v>
      </c>
      <c r="C108" s="3" t="s">
        <v>0</v>
      </c>
      <c r="D108" s="2" t="s">
        <v>22</v>
      </c>
      <c r="E108" s="4" t="s">
        <v>1</v>
      </c>
      <c r="F108" s="12"/>
      <c r="G108" s="9"/>
      <c r="H108" s="9"/>
    </row>
    <row r="109" spans="1:8" ht="15.9" customHeight="1" x14ac:dyDescent="0.25">
      <c r="A109" s="2" t="s">
        <v>166</v>
      </c>
      <c r="B109" s="2" t="s">
        <v>172</v>
      </c>
      <c r="C109" s="3" t="s">
        <v>0</v>
      </c>
      <c r="D109" s="2" t="s">
        <v>173</v>
      </c>
      <c r="E109" s="4" t="s">
        <v>1</v>
      </c>
      <c r="F109" s="12"/>
      <c r="G109" s="9"/>
      <c r="H109" s="9"/>
    </row>
    <row r="110" spans="1:8" ht="15.9" customHeight="1" x14ac:dyDescent="0.25">
      <c r="A110" s="2" t="s">
        <v>166</v>
      </c>
      <c r="B110" s="2" t="s">
        <v>174</v>
      </c>
      <c r="C110" s="3" t="s">
        <v>24</v>
      </c>
      <c r="D110" s="2"/>
      <c r="E110" s="4" t="s">
        <v>1</v>
      </c>
      <c r="F110" s="12"/>
      <c r="G110" s="9">
        <v>22000</v>
      </c>
      <c r="H110" s="9"/>
    </row>
    <row r="111" spans="1:8" ht="15.9" customHeight="1" x14ac:dyDescent="0.25">
      <c r="A111" s="2" t="s">
        <v>166</v>
      </c>
      <c r="B111" s="2" t="s">
        <v>175</v>
      </c>
      <c r="C111" s="3" t="s">
        <v>24</v>
      </c>
      <c r="D111" s="2"/>
      <c r="E111" s="4" t="s">
        <v>1</v>
      </c>
      <c r="F111" s="12"/>
      <c r="G111" s="9">
        <v>50000</v>
      </c>
      <c r="H111" s="9"/>
    </row>
    <row r="112" spans="1:8" ht="15.9" customHeight="1" x14ac:dyDescent="0.25">
      <c r="A112" s="2" t="s">
        <v>166</v>
      </c>
      <c r="B112" s="2" t="s">
        <v>176</v>
      </c>
      <c r="C112" s="3" t="s">
        <v>0</v>
      </c>
      <c r="D112" s="2" t="s">
        <v>169</v>
      </c>
      <c r="E112" s="4" t="s">
        <v>1</v>
      </c>
      <c r="F112" s="12"/>
      <c r="G112" s="9"/>
      <c r="H112" s="9"/>
    </row>
    <row r="113" spans="1:8" ht="15.9" customHeight="1" x14ac:dyDescent="0.25">
      <c r="A113" s="2" t="s">
        <v>166</v>
      </c>
      <c r="B113" s="2" t="s">
        <v>177</v>
      </c>
      <c r="C113" s="3" t="s">
        <v>0</v>
      </c>
      <c r="D113" s="2" t="s">
        <v>169</v>
      </c>
      <c r="E113" s="4" t="s">
        <v>1</v>
      </c>
      <c r="F113" s="12"/>
      <c r="G113" s="9"/>
      <c r="H113" s="9"/>
    </row>
    <row r="114" spans="1:8" ht="15.9" customHeight="1" x14ac:dyDescent="0.25">
      <c r="A114" s="2" t="s">
        <v>166</v>
      </c>
      <c r="B114" s="2" t="s">
        <v>178</v>
      </c>
      <c r="C114" s="3" t="s">
        <v>0</v>
      </c>
      <c r="D114" s="2" t="s">
        <v>111</v>
      </c>
      <c r="E114" s="4" t="s">
        <v>1</v>
      </c>
      <c r="F114" s="12"/>
      <c r="G114" s="9"/>
      <c r="H114" s="9"/>
    </row>
    <row r="115" spans="1:8" ht="15.9" customHeight="1" x14ac:dyDescent="0.25">
      <c r="A115" s="2" t="s">
        <v>166</v>
      </c>
      <c r="B115" s="2" t="s">
        <v>179</v>
      </c>
      <c r="C115" s="3" t="s">
        <v>0</v>
      </c>
      <c r="D115" s="2" t="s">
        <v>180</v>
      </c>
      <c r="E115" s="4" t="s">
        <v>18</v>
      </c>
      <c r="F115" s="12"/>
      <c r="G115" s="9"/>
      <c r="H115" s="9"/>
    </row>
    <row r="116" spans="1:8" ht="15.9" customHeight="1" x14ac:dyDescent="0.25">
      <c r="A116" s="2" t="s">
        <v>166</v>
      </c>
      <c r="B116" s="2" t="s">
        <v>181</v>
      </c>
      <c r="C116" s="3" t="s">
        <v>0</v>
      </c>
      <c r="D116" s="2" t="s">
        <v>22</v>
      </c>
      <c r="E116" s="4" t="s">
        <v>1</v>
      </c>
      <c r="F116" s="12"/>
      <c r="G116" s="9"/>
      <c r="H116" s="9"/>
    </row>
    <row r="117" spans="1:8" ht="15.9" customHeight="1" x14ac:dyDescent="0.25">
      <c r="A117" s="2" t="s">
        <v>166</v>
      </c>
      <c r="B117" s="2" t="s">
        <v>182</v>
      </c>
      <c r="C117" s="3" t="s">
        <v>24</v>
      </c>
      <c r="D117" s="2" t="s">
        <v>183</v>
      </c>
      <c r="E117" s="4" t="s">
        <v>18</v>
      </c>
      <c r="F117" s="12"/>
      <c r="G117" s="9"/>
      <c r="H117" s="9"/>
    </row>
    <row r="118" spans="1:8" ht="15.9" customHeight="1" x14ac:dyDescent="0.25">
      <c r="A118" s="2" t="s">
        <v>166</v>
      </c>
      <c r="B118" s="2" t="s">
        <v>184</v>
      </c>
      <c r="C118" s="3" t="s">
        <v>24</v>
      </c>
      <c r="D118" s="2" t="s">
        <v>185</v>
      </c>
      <c r="E118" s="4" t="s">
        <v>18</v>
      </c>
      <c r="F118" s="12"/>
      <c r="G118" s="9">
        <v>20000</v>
      </c>
      <c r="H118" s="9"/>
    </row>
    <row r="119" spans="1:8" ht="15.9" customHeight="1" x14ac:dyDescent="0.25">
      <c r="A119" s="2" t="s">
        <v>166</v>
      </c>
      <c r="B119" s="2" t="s">
        <v>186</v>
      </c>
      <c r="C119" s="3" t="s">
        <v>0</v>
      </c>
      <c r="D119" s="2" t="s">
        <v>111</v>
      </c>
      <c r="E119" s="4" t="s">
        <v>18</v>
      </c>
      <c r="F119" s="12"/>
      <c r="G119" s="9"/>
      <c r="H119" s="9"/>
    </row>
    <row r="120" spans="1:8" ht="15.9" customHeight="1" x14ac:dyDescent="0.25">
      <c r="A120" s="2" t="s">
        <v>166</v>
      </c>
      <c r="B120" s="2" t="s">
        <v>189</v>
      </c>
      <c r="C120" s="3"/>
      <c r="D120" s="2"/>
      <c r="E120" s="4"/>
      <c r="F120" s="12">
        <v>2</v>
      </c>
      <c r="G120" s="9"/>
      <c r="H120" s="9">
        <v>130000</v>
      </c>
    </row>
    <row r="121" spans="1:8" ht="15.75" customHeight="1" x14ac:dyDescent="0.25">
      <c r="A121" s="21"/>
      <c r="B121" s="21"/>
      <c r="C121" s="22"/>
      <c r="D121" s="21"/>
      <c r="E121" s="23"/>
      <c r="F121" s="24"/>
      <c r="G121" s="25"/>
      <c r="H121" s="25"/>
    </row>
    <row r="122" spans="1:8" ht="15.75" customHeight="1" x14ac:dyDescent="0.25">
      <c r="A122" s="21"/>
      <c r="B122" s="21"/>
      <c r="C122" s="22"/>
      <c r="D122" s="21"/>
      <c r="E122" s="23"/>
      <c r="F122" s="24"/>
      <c r="G122" s="25"/>
      <c r="H122" s="25"/>
    </row>
    <row r="123" spans="1:8" ht="15.75" customHeight="1" x14ac:dyDescent="0.25">
      <c r="A123" s="21"/>
      <c r="B123" s="21"/>
      <c r="C123" s="22"/>
      <c r="D123" s="21"/>
      <c r="E123" s="23"/>
      <c r="F123" s="24"/>
      <c r="G123" s="25"/>
      <c r="H123" s="25"/>
    </row>
    <row r="124" spans="1:8" s="1" customFormat="1" ht="15.9" customHeight="1" x14ac:dyDescent="0.3">
      <c r="A124" s="1" t="s">
        <v>5</v>
      </c>
      <c r="F124" s="41">
        <f>SUM(F5:F123)</f>
        <v>11.455000000000004</v>
      </c>
      <c r="G124" s="8">
        <f>SUM(G5:G123)</f>
        <v>1072145</v>
      </c>
      <c r="H124" s="8">
        <f>SUM(H5:H123)</f>
        <v>244541</v>
      </c>
    </row>
    <row r="125" spans="1:8" ht="15.9" customHeight="1" x14ac:dyDescent="0.25"/>
    <row r="126" spans="1:8" ht="15.9" customHeight="1" x14ac:dyDescent="0.25"/>
    <row r="127" spans="1:8" ht="15.9" customHeight="1" x14ac:dyDescent="0.25"/>
    <row r="128" spans="1:8" ht="15.9" customHeight="1" x14ac:dyDescent="0.25"/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</sheetData>
  <mergeCells count="2">
    <mergeCell ref="A1:B1"/>
    <mergeCell ref="A2:B2"/>
  </mergeCells>
  <phoneticPr fontId="0" type="noConversion"/>
  <pageMargins left="0.75" right="0.75" top="1" bottom="1" header="0.5" footer="0.5"/>
  <pageSetup orientation="landscape" horizontalDpi="300" verticalDpi="300" r:id="rId1"/>
  <headerFooter alignWithMargins="0">
    <oddHeader>&amp;C&amp;20Administrative Applications Inventory</oddHeader>
    <oddFooter>&amp;C&amp;D&amp;R&amp;P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Koehler</dc:creator>
  <cp:lastModifiedBy>Carina Negreanu</cp:lastModifiedBy>
  <cp:lastPrinted>2003-03-12T16:31:25Z</cp:lastPrinted>
  <dcterms:created xsi:type="dcterms:W3CDTF">2003-02-14T14:43:46Z</dcterms:created>
  <dcterms:modified xsi:type="dcterms:W3CDTF">2020-01-27T11:14:01Z</dcterms:modified>
</cp:coreProperties>
</file>