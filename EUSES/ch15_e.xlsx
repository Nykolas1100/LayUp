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B457BE-11FD-4D1B-B8A4-CD030939F6D8}" xr6:coauthVersionLast="45" xr6:coauthVersionMax="45" xr10:uidLastSave="{00000000-0000-0000-0000-000000000000}"/>
  <bookViews>
    <workbookView xWindow="3420" yWindow="3420" windowWidth="28800" windowHeight="15460" tabRatio="608"/>
  </bookViews>
  <sheets>
    <sheet name="Calculs" sheetId="2" r:id="rId1"/>
    <sheet name="CHART 15" sheetId="2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21" l="1"/>
</calcChain>
</file>

<file path=xl/sharedStrings.xml><?xml version="1.0" encoding="utf-8"?>
<sst xmlns="http://schemas.openxmlformats.org/spreadsheetml/2006/main" count="33" uniqueCount="23">
  <si>
    <t>Exports of goods and services</t>
  </si>
  <si>
    <t>1995 (Q1)</t>
  </si>
  <si>
    <t>1995 (Q2)</t>
  </si>
  <si>
    <t>1995 (Q3)</t>
  </si>
  <si>
    <t>OECD</t>
  </si>
  <si>
    <t>EU</t>
  </si>
  <si>
    <t>US</t>
  </si>
  <si>
    <t>Japan</t>
  </si>
  <si>
    <t xml:space="preserve">Q4 95 </t>
  </si>
  <si>
    <t>Q1 1996</t>
  </si>
  <si>
    <t>Q1 1997</t>
  </si>
  <si>
    <t>Q1 1998</t>
  </si>
  <si>
    <t>Q1 1999</t>
  </si>
  <si>
    <t>Q1 2000</t>
  </si>
  <si>
    <t>Q1 2001</t>
  </si>
  <si>
    <t>Source: OECD, Olisnet.</t>
  </si>
  <si>
    <t>Q1 2002</t>
  </si>
  <si>
    <t>Chart 15</t>
  </si>
  <si>
    <r>
      <t xml:space="preserve">Real GDP and trade growth of OECD countries, 2000-2002
</t>
    </r>
    <r>
      <rPr>
        <sz val="14"/>
        <rFont val="Arial"/>
        <family val="2"/>
      </rPr>
      <t>(Percentage change on a year to year basis)</t>
    </r>
  </si>
  <si>
    <t>Real GDP and trade growth of OECD countries, 2000-2002</t>
  </si>
  <si>
    <t>(Percentage change on a year to year basis)</t>
  </si>
  <si>
    <t>GDP at constant prices</t>
  </si>
  <si>
    <t>Imports of goods and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</si>
</sst>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Bookman Old Style"/>
      <family val="1"/>
    </font>
    <font>
      <b/>
      <sz val="14"/>
      <name val="Arial"/>
      <family val="2"/>
    </font>
    <font>
      <sz val="14"/>
      <name val="Arial"/>
      <family val="2"/>
    </font>
    <font>
      <sz val="8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72" fontId="0" fillId="0" borderId="0" xfId="1" applyNumberFormat="1" applyFont="1"/>
    <xf numFmtId="172" fontId="0" fillId="0" borderId="0" xfId="0" applyNumberFormat="1"/>
    <xf numFmtId="0" fontId="0" fillId="0" borderId="0" xfId="0" applyBorder="1"/>
    <xf numFmtId="2" fontId="0" fillId="0" borderId="0" xfId="0" applyNumberFormat="1"/>
    <xf numFmtId="2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7" fillId="0" borderId="0" xfId="0" applyFont="1"/>
    <xf numFmtId="0" fontId="8" fillId="0" borderId="1" xfId="0" applyFont="1" applyBorder="1"/>
    <xf numFmtId="0" fontId="8" fillId="0" borderId="0" xfId="0" applyFont="1"/>
    <xf numFmtId="0" fontId="6" fillId="0" borderId="0" xfId="0" applyFont="1" applyBorder="1"/>
    <xf numFmtId="0" fontId="3" fillId="0" borderId="0" xfId="0" applyFont="1"/>
    <xf numFmtId="0" fontId="2" fillId="0" borderId="0" xfId="0" applyFont="1" applyBorder="1"/>
    <xf numFmtId="2" fontId="0" fillId="0" borderId="0" xfId="0" applyNumberFormat="1" applyBorder="1"/>
    <xf numFmtId="172" fontId="0" fillId="0" borderId="0" xfId="0" applyNumberFormat="1" applyBorder="1"/>
    <xf numFmtId="0" fontId="2" fillId="0" borderId="9" xfId="0" applyFont="1" applyBorder="1"/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2" fontId="0" fillId="0" borderId="7" xfId="0" applyNumberFormat="1" applyBorder="1"/>
    <xf numFmtId="172" fontId="0" fillId="0" borderId="7" xfId="0" applyNumberFormat="1" applyBorder="1"/>
    <xf numFmtId="0" fontId="5" fillId="0" borderId="0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GB"/>
              <a:t>United States</a:t>
            </a:r>
          </a:p>
        </c:rich>
      </c:tx>
      <c:layout>
        <c:manualLayout>
          <c:xMode val="edge"/>
          <c:yMode val="edge"/>
          <c:x val="0.39505770425677122"/>
          <c:y val="3.14970298816512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317785949293599E-2"/>
          <c:y val="0.12401955515900176"/>
          <c:w val="0.9139783850956984"/>
          <c:h val="0.82876559876094824"/>
        </c:manualLayout>
      </c:layout>
      <c:barChart>
        <c:barDir val="col"/>
        <c:grouping val="clustered"/>
        <c:varyColors val="0"/>
        <c:ser>
          <c:idx val="1"/>
          <c:order val="0"/>
          <c:tx>
            <c:v>GDP</c:v>
          </c:tx>
          <c:spPr>
            <a:pattFill prst="pct50">
              <a:fgClr>
                <a:srgbClr xmlns:mc="http://schemas.openxmlformats.org/markup-compatibility/2006" xmlns:a14="http://schemas.microsoft.com/office/drawing/2010/main" val="CCCCFF" mc:Ignorable="a14" a14:legacySpreadsheetColorIndex="31"/>
              </a:fgClr>
              <a:bgClr>
                <a:srgbClr xmlns:mc="http://schemas.openxmlformats.org/markup-compatibility/2006" xmlns:a14="http://schemas.microsoft.com/office/drawing/2010/main" val="CCCCFF" mc:Ignorable="a14" a14:legacySpreadsheetColorIndex="3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Calculs!$F$6:$AE$6</c:f>
              <c:strCache>
                <c:ptCount val="9"/>
                <c:pt idx="0">
                  <c:v>Q1 2000</c:v>
                </c:pt>
                <c:pt idx="4">
                  <c:v>Q1 2001</c:v>
                </c:pt>
                <c:pt idx="8">
                  <c:v>Q1 2002</c:v>
                </c:pt>
              </c:strCache>
            </c:strRef>
          </c:cat>
          <c:val>
            <c:numRef>
              <c:f>Calculs!$F$20:$AE$20</c:f>
              <c:numCache>
                <c:formatCode>0.00</c:formatCode>
                <c:ptCount val="10"/>
                <c:pt idx="0">
                  <c:v>4.1702926762240518</c:v>
                </c:pt>
                <c:pt idx="1">
                  <c:v>4.9022847700985785</c:v>
                </c:pt>
                <c:pt idx="2">
                  <c:v>3.7335853897309645</c:v>
                </c:pt>
                <c:pt idx="3">
                  <c:v>2.2532936582559806</c:v>
                </c:pt>
                <c:pt idx="4">
                  <c:v>1.4564600874975269</c:v>
                </c:pt>
                <c:pt idx="5">
                  <c:v>-0.13687172078169355</c:v>
                </c:pt>
                <c:pt idx="6">
                  <c:v>-0.35037478169374303</c:v>
                </c:pt>
                <c:pt idx="7">
                  <c:v>5.4090309180207283E-2</c:v>
                </c:pt>
                <c:pt idx="8">
                  <c:v>1.4442193306536484</c:v>
                </c:pt>
                <c:pt idx="9">
                  <c:v>2.1189805397526329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8-4628-A5AE-41F72F565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881259199"/>
        <c:axId val="1"/>
      </c:barChart>
      <c:lineChart>
        <c:grouping val="standard"/>
        <c:varyColors val="0"/>
        <c:ser>
          <c:idx val="0"/>
          <c:order val="1"/>
          <c:tx>
            <c:v>Exports</c:v>
          </c:tx>
          <c:spPr>
            <a:ln w="127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strRef>
              <c:f>Calculs!$F$6:$AE$6</c:f>
              <c:strCache>
                <c:ptCount val="9"/>
                <c:pt idx="0">
                  <c:v>Q1 2000</c:v>
                </c:pt>
                <c:pt idx="4">
                  <c:v>Q1 2001</c:v>
                </c:pt>
                <c:pt idx="8">
                  <c:v>Q1 2002</c:v>
                </c:pt>
              </c:strCache>
            </c:strRef>
          </c:cat>
          <c:val>
            <c:numRef>
              <c:f>Calculs!$F$21:$AE$21</c:f>
              <c:numCache>
                <c:formatCode>0.00</c:formatCode>
                <c:ptCount val="10"/>
                <c:pt idx="0">
                  <c:v>8.7642679900744369</c:v>
                </c:pt>
                <c:pt idx="1">
                  <c:v>11.374128278165216</c:v>
                </c:pt>
                <c:pt idx="2">
                  <c:v>11.627238770232747</c:v>
                </c:pt>
                <c:pt idx="3">
                  <c:v>7.2610635924135494</c:v>
                </c:pt>
                <c:pt idx="4">
                  <c:v>3.6503011498448625</c:v>
                </c:pt>
                <c:pt idx="5">
                  <c:v>-3.0955110679954259</c:v>
                </c:pt>
                <c:pt idx="6">
                  <c:v>-10.081510081510082</c:v>
                </c:pt>
                <c:pt idx="7">
                  <c:v>-11.432781485654857</c:v>
                </c:pt>
                <c:pt idx="8">
                  <c:v>-9.2621940482479346</c:v>
                </c:pt>
                <c:pt idx="9">
                  <c:v>-3.5766290498725843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28-4628-A5AE-41F72F565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259199"/>
        <c:axId val="1"/>
      </c:lineChart>
      <c:lineChart>
        <c:grouping val="standard"/>
        <c:varyColors val="0"/>
        <c:ser>
          <c:idx val="2"/>
          <c:order val="2"/>
          <c:tx>
            <c:v>Imports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Calculs!$F$22:$AE$22</c:f>
              <c:numCache>
                <c:formatCode>0.00</c:formatCode>
                <c:ptCount val="10"/>
                <c:pt idx="0">
                  <c:v>13.473309057100789</c:v>
                </c:pt>
                <c:pt idx="1">
                  <c:v>14.263287732675483</c:v>
                </c:pt>
                <c:pt idx="2">
                  <c:v>14.085423140854223</c:v>
                </c:pt>
                <c:pt idx="3">
                  <c:v>11.09383832673827</c:v>
                </c:pt>
                <c:pt idx="4">
                  <c:v>5.1686467294824556</c:v>
                </c:pt>
                <c:pt idx="5">
                  <c:v>-0.97481190709846843</c:v>
                </c:pt>
                <c:pt idx="6">
                  <c:v>-7.0695553021664708</c:v>
                </c:pt>
                <c:pt idx="7">
                  <c:v>-7.9506424119068813</c:v>
                </c:pt>
                <c:pt idx="8">
                  <c:v>-4.1030967993248098</c:v>
                </c:pt>
                <c:pt idx="9">
                  <c:v>2.873942917547569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28-4628-A5AE-41F72F565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881259199"/>
        <c:scaling>
          <c:orientation val="minMax"/>
        </c:scaling>
        <c:delete val="0"/>
        <c:axPos val="b"/>
        <c:majorGridlines>
          <c:spPr>
            <a:ln w="12700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  <c:min val="-15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59199"/>
        <c:crosses val="autoZero"/>
        <c:crossBetween val="between"/>
        <c:majorUnit val="5"/>
        <c:minorUnit val="1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r"/>
        <c:numFmt formatCode="0.00" sourceLinked="1"/>
        <c:majorTickMark val="out"/>
        <c:minorTickMark val="none"/>
        <c:tickLblPos val="nextTo"/>
        <c:crossAx val="3"/>
        <c:crosses val="max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GB"/>
              <a:t>Japan</a:t>
            </a:r>
          </a:p>
        </c:rich>
      </c:tx>
      <c:layout>
        <c:manualLayout>
          <c:xMode val="edge"/>
          <c:yMode val="edge"/>
          <c:x val="0.45150230892881221"/>
          <c:y val="3.92939535601541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503282127550619E-2"/>
          <c:y val="0.13556413978253182"/>
          <c:w val="0.89782980629397036"/>
          <c:h val="0.81927893172921396"/>
        </c:manualLayout>
      </c:layout>
      <c:barChart>
        <c:barDir val="col"/>
        <c:grouping val="clustered"/>
        <c:varyColors val="0"/>
        <c:ser>
          <c:idx val="1"/>
          <c:order val="0"/>
          <c:tx>
            <c:v>GDP</c:v>
          </c:tx>
          <c:spPr>
            <a:pattFill prst="pct50">
              <a:fgClr>
                <a:srgbClr xmlns:mc="http://schemas.openxmlformats.org/markup-compatibility/2006" xmlns:a14="http://schemas.microsoft.com/office/drawing/2010/main" val="CCCCFF" mc:Ignorable="a14" a14:legacySpreadsheetColorIndex="31"/>
              </a:fgClr>
              <a:bgClr>
                <a:srgbClr xmlns:mc="http://schemas.openxmlformats.org/markup-compatibility/2006" xmlns:a14="http://schemas.microsoft.com/office/drawing/2010/main" val="CCCCFF" mc:Ignorable="a14" a14:legacySpreadsheetColorIndex="3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Calculs!$F$6:$AE$6</c:f>
              <c:strCache>
                <c:ptCount val="9"/>
                <c:pt idx="0">
                  <c:v>Q1 2000</c:v>
                </c:pt>
                <c:pt idx="4">
                  <c:v>Q1 2001</c:v>
                </c:pt>
                <c:pt idx="8">
                  <c:v>Q1 2002</c:v>
                </c:pt>
              </c:strCache>
            </c:strRef>
          </c:cat>
          <c:val>
            <c:numRef>
              <c:f>Calculs!$F$26:$AE$26</c:f>
              <c:numCache>
                <c:formatCode>0.00</c:formatCode>
                <c:ptCount val="10"/>
                <c:pt idx="0">
                  <c:v>3.6265098620091383</c:v>
                </c:pt>
                <c:pt idx="1">
                  <c:v>2.3203870832917022</c:v>
                </c:pt>
                <c:pt idx="2">
                  <c:v>0.72047556037774751</c:v>
                </c:pt>
                <c:pt idx="3">
                  <c:v>2.3290422682013499</c:v>
                </c:pt>
                <c:pt idx="4">
                  <c:v>1.3502830248202324</c:v>
                </c:pt>
                <c:pt idx="5">
                  <c:v>-0.603195900302817</c:v>
                </c:pt>
                <c:pt idx="6">
                  <c:v>-0.53610189483610227</c:v>
                </c:pt>
                <c:pt idx="7">
                  <c:v>-1.5270566048047722</c:v>
                </c:pt>
                <c:pt idx="8">
                  <c:v>-2.5312775893582451</c:v>
                </c:pt>
                <c:pt idx="9">
                  <c:v>-0.74321118150180054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9-406D-BC5C-113AD42F6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873612191"/>
        <c:axId val="1"/>
      </c:barChart>
      <c:lineChart>
        <c:grouping val="standard"/>
        <c:varyColors val="0"/>
        <c:ser>
          <c:idx val="0"/>
          <c:order val="1"/>
          <c:tx>
            <c:v>Exports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cat>
            <c:strRef>
              <c:f>Calculs!$F$6:$AE$6</c:f>
              <c:strCache>
                <c:ptCount val="9"/>
                <c:pt idx="0">
                  <c:v>Q1 2000</c:v>
                </c:pt>
                <c:pt idx="4">
                  <c:v>Q1 2001</c:v>
                </c:pt>
                <c:pt idx="8">
                  <c:v>Q1 2002</c:v>
                </c:pt>
              </c:strCache>
            </c:strRef>
          </c:cat>
          <c:val>
            <c:numRef>
              <c:f>Calculs!$F$27:$AE$27</c:f>
              <c:numCache>
                <c:formatCode>0.00</c:formatCode>
                <c:ptCount val="10"/>
                <c:pt idx="0">
                  <c:v>12.919289144978219</c:v>
                </c:pt>
                <c:pt idx="1">
                  <c:v>14.647620217593271</c:v>
                </c:pt>
                <c:pt idx="2">
                  <c:v>12.332205081230418</c:v>
                </c:pt>
                <c:pt idx="3">
                  <c:v>9.7360027864042422</c:v>
                </c:pt>
                <c:pt idx="4">
                  <c:v>1.6382845206268544</c:v>
                </c:pt>
                <c:pt idx="5">
                  <c:v>-6.1714566988457653</c:v>
                </c:pt>
                <c:pt idx="6">
                  <c:v>-10.051346477678043</c:v>
                </c:pt>
                <c:pt idx="7">
                  <c:v>-11.334121013614897</c:v>
                </c:pt>
                <c:pt idx="8">
                  <c:v>-5.4439132979461311</c:v>
                </c:pt>
                <c:pt idx="9">
                  <c:v>5.4503667778331018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B9-406D-BC5C-113AD42F6617}"/>
            </c:ext>
          </c:extLst>
        </c:ser>
        <c:ser>
          <c:idx val="2"/>
          <c:order val="2"/>
          <c:tx>
            <c:v>Imports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Calculs!$F$6:$AE$6</c:f>
              <c:strCache>
                <c:ptCount val="9"/>
                <c:pt idx="0">
                  <c:v>Q1 2000</c:v>
                </c:pt>
                <c:pt idx="4">
                  <c:v>Q1 2001</c:v>
                </c:pt>
                <c:pt idx="8">
                  <c:v>Q1 2002</c:v>
                </c:pt>
              </c:strCache>
            </c:strRef>
          </c:cat>
          <c:val>
            <c:numRef>
              <c:f>Calculs!$F$28:$AE$28</c:f>
              <c:numCache>
                <c:formatCode>0.00</c:formatCode>
                <c:ptCount val="10"/>
                <c:pt idx="0">
                  <c:v>8.4515777912883134</c:v>
                </c:pt>
                <c:pt idx="1">
                  <c:v>10.002932565417826</c:v>
                </c:pt>
                <c:pt idx="2">
                  <c:v>9.0707761103210061</c:v>
                </c:pt>
                <c:pt idx="3">
                  <c:v>10.668713554137479</c:v>
                </c:pt>
                <c:pt idx="4">
                  <c:v>8.7018831927701523</c:v>
                </c:pt>
                <c:pt idx="5">
                  <c:v>1.3386301657226778</c:v>
                </c:pt>
                <c:pt idx="6">
                  <c:v>-2.7221872641682765</c:v>
                </c:pt>
                <c:pt idx="7">
                  <c:v>-9.0112360946341195</c:v>
                </c:pt>
                <c:pt idx="8">
                  <c:v>-8.6520005905802488</c:v>
                </c:pt>
                <c:pt idx="9">
                  <c:v>-2.828846079205106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B9-406D-BC5C-113AD42F6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612191"/>
        <c:axId val="1"/>
      </c:lineChart>
      <c:catAx>
        <c:axId val="873612191"/>
        <c:scaling>
          <c:orientation val="minMax"/>
        </c:scaling>
        <c:delete val="0"/>
        <c:axPos val="b"/>
        <c:majorGridlines>
          <c:spPr>
            <a:ln w="12700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-15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3612191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704" l="0.74803149606299213" r="0.74803149606299213" t="0.98425196850393704" header="0.51181102362204722" footer="0.51181102362204722"/>
    <c:pageSetup paperSize="9" orientation="landscape" horizont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GB"/>
              <a:t>OECD Countries</a:t>
            </a:r>
          </a:p>
        </c:rich>
      </c:tx>
      <c:layout>
        <c:manualLayout>
          <c:xMode val="edge"/>
          <c:yMode val="edge"/>
          <c:x val="0.37941185458323573"/>
          <c:y val="2.75599011464448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925427561549506E-2"/>
          <c:y val="0.12008242642379535"/>
          <c:w val="0.90876310187118658"/>
          <c:h val="0.82876559876094824"/>
        </c:manualLayout>
      </c:layout>
      <c:barChart>
        <c:barDir val="col"/>
        <c:grouping val="clustered"/>
        <c:varyColors val="0"/>
        <c:ser>
          <c:idx val="1"/>
          <c:order val="0"/>
          <c:tx>
            <c:v>GDP</c:v>
          </c:tx>
          <c:spPr>
            <a:pattFill prst="pct50">
              <a:fgClr>
                <a:srgbClr xmlns:mc="http://schemas.openxmlformats.org/markup-compatibility/2006" xmlns:a14="http://schemas.microsoft.com/office/drawing/2010/main" val="CCCCFF" mc:Ignorable="a14" a14:legacySpreadsheetColorIndex="31"/>
              </a:fgClr>
              <a:bgClr>
                <a:srgbClr xmlns:mc="http://schemas.openxmlformats.org/markup-compatibility/2006" xmlns:a14="http://schemas.microsoft.com/office/drawing/2010/main" val="CCCCFF" mc:Ignorable="a14" a14:legacySpreadsheetColorIndex="3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Calculs!$F$6:$AE$6</c:f>
              <c:strCache>
                <c:ptCount val="9"/>
                <c:pt idx="0">
                  <c:v>Q1 2000</c:v>
                </c:pt>
                <c:pt idx="4">
                  <c:v>Q1 2001</c:v>
                </c:pt>
                <c:pt idx="8">
                  <c:v>Q1 2002</c:v>
                </c:pt>
              </c:strCache>
            </c:strRef>
          </c:cat>
          <c:val>
            <c:numRef>
              <c:f>Calculs!$F$8:$AE$8</c:f>
              <c:numCache>
                <c:formatCode>0.00</c:formatCode>
                <c:ptCount val="10"/>
                <c:pt idx="0">
                  <c:v>4.2963885703457292</c:v>
                </c:pt>
                <c:pt idx="1">
                  <c:v>4.5443612065329653</c:v>
                </c:pt>
                <c:pt idx="2">
                  <c:v>3.6227312879986018</c:v>
                </c:pt>
                <c:pt idx="3">
                  <c:v>2.7516927717970563</c:v>
                </c:pt>
                <c:pt idx="4">
                  <c:v>1.8909530974079998</c:v>
                </c:pt>
                <c:pt idx="5">
                  <c:v>0.57440723749622957</c:v>
                </c:pt>
                <c:pt idx="6">
                  <c:v>0.27677138034809556</c:v>
                </c:pt>
                <c:pt idx="7">
                  <c:v>0.15347142254621826</c:v>
                </c:pt>
                <c:pt idx="8">
                  <c:v>0.8143377271973623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6-4C2E-ABD3-1A6ADD5D8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878827839"/>
        <c:axId val="1"/>
      </c:barChart>
      <c:lineChart>
        <c:grouping val="standard"/>
        <c:varyColors val="0"/>
        <c:ser>
          <c:idx val="0"/>
          <c:order val="1"/>
          <c:tx>
            <c:v>Exports</c:v>
          </c:tx>
          <c:spPr>
            <a:ln w="127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strRef>
              <c:f>Calculs!$F$6:$AE$6</c:f>
              <c:strCache>
                <c:ptCount val="9"/>
                <c:pt idx="0">
                  <c:v>Q1 2000</c:v>
                </c:pt>
                <c:pt idx="4">
                  <c:v>Q1 2001</c:v>
                </c:pt>
                <c:pt idx="8">
                  <c:v>Q1 2002</c:v>
                </c:pt>
              </c:strCache>
            </c:strRef>
          </c:cat>
          <c:val>
            <c:numRef>
              <c:f>Calculs!$F$9:$AE$9</c:f>
              <c:numCache>
                <c:formatCode>0.00</c:formatCode>
                <c:ptCount val="10"/>
                <c:pt idx="0">
                  <c:v>12.730959378604528</c:v>
                </c:pt>
                <c:pt idx="1">
                  <c:v>13.717664841074267</c:v>
                </c:pt>
                <c:pt idx="2">
                  <c:v>13.39320109760839</c:v>
                </c:pt>
                <c:pt idx="3">
                  <c:v>10.806822003131638</c:v>
                </c:pt>
                <c:pt idx="4">
                  <c:v>6.3691629910909153</c:v>
                </c:pt>
                <c:pt idx="5">
                  <c:v>1.813627178014781</c:v>
                </c:pt>
                <c:pt idx="6">
                  <c:v>-2.6065581405211664</c:v>
                </c:pt>
                <c:pt idx="7">
                  <c:v>-4.6032253734148698</c:v>
                </c:pt>
                <c:pt idx="8">
                  <c:v>-2.8210696934583819</c:v>
                </c:pt>
                <c:pt idx="9">
                  <c:v>0.20000000000000301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46-4C2E-ABD3-1A6ADD5D8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8827839"/>
        <c:axId val="1"/>
      </c:lineChart>
      <c:lineChart>
        <c:grouping val="standard"/>
        <c:varyColors val="0"/>
        <c:ser>
          <c:idx val="2"/>
          <c:order val="2"/>
          <c:tx>
            <c:v>Imports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Calculs!$F$10:$AE$10</c:f>
              <c:numCache>
                <c:formatCode>0.00</c:formatCode>
                <c:ptCount val="10"/>
                <c:pt idx="0">
                  <c:v>13.28813880897396</c:v>
                </c:pt>
                <c:pt idx="1">
                  <c:v>14.300928472871949</c:v>
                </c:pt>
                <c:pt idx="2">
                  <c:v>13.76453726864823</c:v>
                </c:pt>
                <c:pt idx="3">
                  <c:v>10.506946457857604</c:v>
                </c:pt>
                <c:pt idx="4">
                  <c:v>5.1012780050565718</c:v>
                </c:pt>
                <c:pt idx="5">
                  <c:v>0.58203273683835854</c:v>
                </c:pt>
                <c:pt idx="6">
                  <c:v>-3.8093030286487459</c:v>
                </c:pt>
                <c:pt idx="7">
                  <c:v>-5.2396858113602018</c:v>
                </c:pt>
                <c:pt idx="8">
                  <c:v>-2.7878852151479956</c:v>
                </c:pt>
                <c:pt idx="9">
                  <c:v>-0.60000000000000453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46-4C2E-ABD3-1A6ADD5D8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878827839"/>
        <c:scaling>
          <c:orientation val="minMax"/>
        </c:scaling>
        <c:delete val="0"/>
        <c:axPos val="b"/>
        <c:majorGridlines>
          <c:spPr>
            <a:ln w="12700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  <c:min val="-15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827839"/>
        <c:crosses val="autoZero"/>
        <c:crossBetween val="between"/>
        <c:majorUnit val="5"/>
        <c:minorUnit val="5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r"/>
        <c:numFmt formatCode="0.00" sourceLinked="1"/>
        <c:majorTickMark val="out"/>
        <c:minorTickMark val="none"/>
        <c:tickLblPos val="nextTo"/>
        <c:crossAx val="3"/>
        <c:crosses val="max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GB"/>
              <a:t>European Union</a:t>
            </a:r>
          </a:p>
        </c:rich>
      </c:tx>
      <c:layout>
        <c:manualLayout>
          <c:xMode val="edge"/>
          <c:yMode val="edge"/>
          <c:x val="0.38332331700161959"/>
          <c:y val="2.81964122887757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925427561549506E-2"/>
          <c:y val="0.11278564915510293"/>
          <c:w val="0.90876310187118658"/>
          <c:h val="0.78386026162796529"/>
        </c:manualLayout>
      </c:layout>
      <c:barChart>
        <c:barDir val="col"/>
        <c:grouping val="clustered"/>
        <c:varyColors val="0"/>
        <c:ser>
          <c:idx val="1"/>
          <c:order val="0"/>
          <c:tx>
            <c:v>GDP</c:v>
          </c:tx>
          <c:spPr>
            <a:pattFill prst="pct50">
              <a:fgClr>
                <a:srgbClr xmlns:mc="http://schemas.openxmlformats.org/markup-compatibility/2006" xmlns:a14="http://schemas.microsoft.com/office/drawing/2010/main" val="CCCCFF" mc:Ignorable="a14" a14:legacySpreadsheetColorIndex="31"/>
              </a:fgClr>
              <a:bgClr>
                <a:srgbClr xmlns:mc="http://schemas.openxmlformats.org/markup-compatibility/2006" xmlns:a14="http://schemas.microsoft.com/office/drawing/2010/main" val="CCCCFF" mc:Ignorable="a14" a14:legacySpreadsheetColorIndex="3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Calculs!$F$6:$AE$6</c:f>
              <c:strCache>
                <c:ptCount val="9"/>
                <c:pt idx="0">
                  <c:v>Q1 2000</c:v>
                </c:pt>
                <c:pt idx="4">
                  <c:v>Q1 2001</c:v>
                </c:pt>
                <c:pt idx="8">
                  <c:v>Q1 2002</c:v>
                </c:pt>
              </c:strCache>
            </c:strRef>
          </c:cat>
          <c:val>
            <c:numRef>
              <c:f>Calculs!$F$14:$AE$14</c:f>
              <c:numCache>
                <c:formatCode>0.00</c:formatCode>
                <c:ptCount val="10"/>
                <c:pt idx="0">
                  <c:v>3.8687721542040974</c:v>
                </c:pt>
                <c:pt idx="1">
                  <c:v>4.0968164956564985</c:v>
                </c:pt>
                <c:pt idx="2">
                  <c:v>3.4492862480724766</c:v>
                </c:pt>
                <c:pt idx="3">
                  <c:v>2.985642200393031</c:v>
                </c:pt>
                <c:pt idx="4">
                  <c:v>2.5047500948747419</c:v>
                </c:pt>
                <c:pt idx="5">
                  <c:v>1.8161536276654833</c:v>
                </c:pt>
                <c:pt idx="6">
                  <c:v>1.5442144000583273</c:v>
                </c:pt>
                <c:pt idx="7">
                  <c:v>0.74014492297737544</c:v>
                </c:pt>
                <c:pt idx="8">
                  <c:v>0.5531147447264364</c:v>
                </c:pt>
                <c:pt idx="9">
                  <c:v>0.89999999999998448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8-4204-B6A4-A3A9632A9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789172143"/>
        <c:axId val="1"/>
      </c:barChart>
      <c:lineChart>
        <c:grouping val="standard"/>
        <c:varyColors val="0"/>
        <c:ser>
          <c:idx val="0"/>
          <c:order val="1"/>
          <c:tx>
            <c:v>Exports</c:v>
          </c:tx>
          <c:spPr>
            <a:ln w="127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strRef>
              <c:f>Calculs!$F$6:$AE$6</c:f>
              <c:strCache>
                <c:ptCount val="9"/>
                <c:pt idx="0">
                  <c:v>Q1 2000</c:v>
                </c:pt>
                <c:pt idx="4">
                  <c:v>Q1 2001</c:v>
                </c:pt>
                <c:pt idx="8">
                  <c:v>Q1 2002</c:v>
                </c:pt>
              </c:strCache>
            </c:strRef>
          </c:cat>
          <c:val>
            <c:numRef>
              <c:f>Calculs!$F$15:$AE$15</c:f>
              <c:numCache>
                <c:formatCode>0.00</c:formatCode>
                <c:ptCount val="10"/>
                <c:pt idx="0">
                  <c:v>12.498153859760606</c:v>
                </c:pt>
                <c:pt idx="1">
                  <c:v>12.40982405323283</c:v>
                </c:pt>
                <c:pt idx="2">
                  <c:v>12.094646729161838</c:v>
                </c:pt>
                <c:pt idx="3">
                  <c:v>11.31608579050612</c:v>
                </c:pt>
                <c:pt idx="4">
                  <c:v>7.8362259455056744</c:v>
                </c:pt>
                <c:pt idx="5">
                  <c:v>4.2905973602410485</c:v>
                </c:pt>
                <c:pt idx="6">
                  <c:v>0.54978991607881467</c:v>
                </c:pt>
                <c:pt idx="7">
                  <c:v>-2.7305316443016632</c:v>
                </c:pt>
                <c:pt idx="8">
                  <c:v>-2.4244860901299008</c:v>
                </c:pt>
                <c:pt idx="9">
                  <c:v>0.49999999999998812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78-4204-B6A4-A3A9632A9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172143"/>
        <c:axId val="1"/>
      </c:lineChart>
      <c:lineChart>
        <c:grouping val="standard"/>
        <c:varyColors val="0"/>
        <c:ser>
          <c:idx val="2"/>
          <c:order val="2"/>
          <c:tx>
            <c:v>Imports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Calculs!$F$16:$AE$16</c:f>
              <c:numCache>
                <c:formatCode>0.00</c:formatCode>
                <c:ptCount val="10"/>
                <c:pt idx="0">
                  <c:v>10.744650681431153</c:v>
                </c:pt>
                <c:pt idx="1">
                  <c:v>11.966833717384603</c:v>
                </c:pt>
                <c:pt idx="2">
                  <c:v>11.645486510230571</c:v>
                </c:pt>
                <c:pt idx="3">
                  <c:v>10.600020655538998</c:v>
                </c:pt>
                <c:pt idx="4">
                  <c:v>6.6870250187756257</c:v>
                </c:pt>
                <c:pt idx="5">
                  <c:v>3.4675825814244545</c:v>
                </c:pt>
                <c:pt idx="6">
                  <c:v>-0.67978340381037905</c:v>
                </c:pt>
                <c:pt idx="7">
                  <c:v>-4.0318854415893224</c:v>
                </c:pt>
                <c:pt idx="8">
                  <c:v>-3.0470527517819299</c:v>
                </c:pt>
                <c:pt idx="9">
                  <c:v>-2.0000000000000062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78-4204-B6A4-A3A9632A9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789172143"/>
        <c:scaling>
          <c:orientation val="minMax"/>
        </c:scaling>
        <c:delete val="0"/>
        <c:axPos val="b"/>
        <c:majorGridlines>
          <c:spPr>
            <a:ln w="12700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  <c:min val="-15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9172143"/>
        <c:crosses val="autoZero"/>
        <c:crossBetween val="between"/>
        <c:minorUnit val="1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r"/>
        <c:numFmt formatCode="0.00" sourceLinked="1"/>
        <c:majorTickMark val="out"/>
        <c:minorTickMark val="none"/>
        <c:tickLblPos val="nextTo"/>
        <c:crossAx val="3"/>
        <c:crosses val="max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portrait" horizont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n-GB"/>
              <a:t>Real GDP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E-4639-A075-D1BCD5C927C0}"/>
            </c:ext>
          </c:extLst>
        </c:ser>
        <c:ser>
          <c:idx val="4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1E-4639-A075-D1BCD5C927C0}"/>
            </c:ext>
          </c:extLst>
        </c:ser>
        <c:ser>
          <c:idx val="0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1E-4639-A075-D1BCD5C927C0}"/>
            </c:ext>
          </c:extLst>
        </c:ser>
        <c:ser>
          <c:idx val="1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1E-4639-A075-D1BCD5C92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228079"/>
        <c:axId val="1"/>
      </c:lineChart>
      <c:catAx>
        <c:axId val="796228079"/>
        <c:scaling>
          <c:orientation val="minMax"/>
        </c:scaling>
        <c:delete val="0"/>
        <c:axPos val="b"/>
        <c:majorGridlines>
          <c:spPr>
            <a:ln w="12700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30"/>
          <c:min val="90"/>
        </c:scaling>
        <c:delete val="0"/>
        <c:axPos val="l"/>
        <c:majorGridlines>
          <c:spPr>
            <a:ln w="12700">
              <a:solidFill>
                <a:srgbClr val="FFFFFF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228079"/>
        <c:crosses val="autoZero"/>
        <c:crossBetween val="midCat"/>
        <c:majorUnit val="10"/>
        <c:minorUnit val="5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25400</xdr:rowOff>
    </xdr:from>
    <xdr:to>
      <xdr:col>16</xdr:col>
      <xdr:colOff>603250</xdr:colOff>
      <xdr:row>27</xdr:row>
      <xdr:rowOff>76200</xdr:rowOff>
    </xdr:to>
    <xdr:graphicFrame macro="">
      <xdr:nvGraphicFramePr>
        <xdr:cNvPr id="17409" name="Chart 1">
          <a:extLst>
            <a:ext uri="{FF2B5EF4-FFF2-40B4-BE49-F238E27FC236}">
              <a16:creationId xmlns:a16="http://schemas.microsoft.com/office/drawing/2014/main" id="{0B430556-44D0-4EB3-938B-0C21F816D2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26</xdr:row>
      <xdr:rowOff>95250</xdr:rowOff>
    </xdr:from>
    <xdr:to>
      <xdr:col>17</xdr:col>
      <xdr:colOff>31750</xdr:colOff>
      <xdr:row>46</xdr:row>
      <xdr:rowOff>152400</xdr:rowOff>
    </xdr:to>
    <xdr:graphicFrame macro="">
      <xdr:nvGraphicFramePr>
        <xdr:cNvPr id="17410" name="Chart 2">
          <a:extLst>
            <a:ext uri="{FF2B5EF4-FFF2-40B4-BE49-F238E27FC236}">
              <a16:creationId xmlns:a16="http://schemas.microsoft.com/office/drawing/2014/main" id="{509B8389-F8F6-41F4-B864-D80337954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</xdr:row>
      <xdr:rowOff>25400</xdr:rowOff>
    </xdr:from>
    <xdr:to>
      <xdr:col>8</xdr:col>
      <xdr:colOff>603250</xdr:colOff>
      <xdr:row>27</xdr:row>
      <xdr:rowOff>76200</xdr:rowOff>
    </xdr:to>
    <xdr:graphicFrame macro="">
      <xdr:nvGraphicFramePr>
        <xdr:cNvPr id="17411" name="Chart 3">
          <a:extLst>
            <a:ext uri="{FF2B5EF4-FFF2-40B4-BE49-F238E27FC236}">
              <a16:creationId xmlns:a16="http://schemas.microsoft.com/office/drawing/2014/main" id="{A0AF916E-0F0C-4780-B7FC-F697A0AAE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26</xdr:row>
      <xdr:rowOff>152400</xdr:rowOff>
    </xdr:from>
    <xdr:to>
      <xdr:col>8</xdr:col>
      <xdr:colOff>603250</xdr:colOff>
      <xdr:row>48</xdr:row>
      <xdr:rowOff>38100</xdr:rowOff>
    </xdr:to>
    <xdr:graphicFrame macro="">
      <xdr:nvGraphicFramePr>
        <xdr:cNvPr id="17412" name="Chart 4">
          <a:extLst>
            <a:ext uri="{FF2B5EF4-FFF2-40B4-BE49-F238E27FC236}">
              <a16:creationId xmlns:a16="http://schemas.microsoft.com/office/drawing/2014/main" id="{F778B458-B667-4E5B-BA36-98D5DD986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412750</xdr:colOff>
      <xdr:row>49</xdr:row>
      <xdr:rowOff>76200</xdr:rowOff>
    </xdr:from>
    <xdr:to>
      <xdr:col>2</xdr:col>
      <xdr:colOff>171450</xdr:colOff>
      <xdr:row>50</xdr:row>
      <xdr:rowOff>6350</xdr:rowOff>
    </xdr:to>
    <xdr:sp macro="" textlink="">
      <xdr:nvSpPr>
        <xdr:cNvPr id="17413" name="Rectangle 5">
          <a:extLst>
            <a:ext uri="{FF2B5EF4-FFF2-40B4-BE49-F238E27FC236}">
              <a16:creationId xmlns:a16="http://schemas.microsoft.com/office/drawing/2014/main" id="{5A803A22-F24E-406C-89CC-758E819DC7AB}"/>
            </a:ext>
          </a:extLst>
        </xdr:cNvPr>
        <xdr:cNvSpPr>
          <a:spLocks noChangeArrowheads="1"/>
        </xdr:cNvSpPr>
      </xdr:nvSpPr>
      <xdr:spPr bwMode="auto">
        <a:xfrm>
          <a:off x="622300" y="7988300"/>
          <a:ext cx="368300" cy="88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CCFF" mc:Ignorable="a14" a14:legacySpreadsheetColorIndex="3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49</xdr:row>
      <xdr:rowOff>152400</xdr:rowOff>
    </xdr:from>
    <xdr:to>
      <xdr:col>4</xdr:col>
      <xdr:colOff>0</xdr:colOff>
      <xdr:row>49</xdr:row>
      <xdr:rowOff>152400</xdr:rowOff>
    </xdr:to>
    <xdr:sp macro="" textlink="">
      <xdr:nvSpPr>
        <xdr:cNvPr id="17414" name="Line 6">
          <a:extLst>
            <a:ext uri="{FF2B5EF4-FFF2-40B4-BE49-F238E27FC236}">
              <a16:creationId xmlns:a16="http://schemas.microsoft.com/office/drawing/2014/main" id="{AED2D1B5-D2CB-42D3-BB73-1F258E7AFF84}"/>
            </a:ext>
          </a:extLst>
        </xdr:cNvPr>
        <xdr:cNvSpPr>
          <a:spLocks noChangeShapeType="1"/>
        </xdr:cNvSpPr>
      </xdr:nvSpPr>
      <xdr:spPr bwMode="auto">
        <a:xfrm>
          <a:off x="1695450" y="8064500"/>
          <a:ext cx="342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</xdr:colOff>
      <xdr:row>49</xdr:row>
      <xdr:rowOff>44450</xdr:rowOff>
    </xdr:from>
    <xdr:to>
      <xdr:col>7</xdr:col>
      <xdr:colOff>317500</xdr:colOff>
      <xdr:row>50</xdr:row>
      <xdr:rowOff>120650</xdr:rowOff>
    </xdr:to>
    <xdr:sp macro="" textlink="">
      <xdr:nvSpPr>
        <xdr:cNvPr id="17415" name="Text Box 7">
          <a:extLst>
            <a:ext uri="{FF2B5EF4-FFF2-40B4-BE49-F238E27FC236}">
              <a16:creationId xmlns:a16="http://schemas.microsoft.com/office/drawing/2014/main" id="{A59CF0ED-9413-4BE8-BD38-B3C1737112FF}"/>
            </a:ext>
          </a:extLst>
        </xdr:cNvPr>
        <xdr:cNvSpPr txBox="1">
          <a:spLocks noChangeArrowheads="1"/>
        </xdr:cNvSpPr>
      </xdr:nvSpPr>
      <xdr:spPr bwMode="auto">
        <a:xfrm>
          <a:off x="2095500" y="7956550"/>
          <a:ext cx="208915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Exports of goods and services</a:t>
          </a:r>
        </a:p>
      </xdr:txBody>
    </xdr:sp>
    <xdr:clientData/>
  </xdr:twoCellAnchor>
  <xdr:twoCellAnchor>
    <xdr:from>
      <xdr:col>2</xdr:col>
      <xdr:colOff>222250</xdr:colOff>
      <xdr:row>49</xdr:row>
      <xdr:rowOff>76200</xdr:rowOff>
    </xdr:from>
    <xdr:to>
      <xdr:col>3</xdr:col>
      <xdr:colOff>209550</xdr:colOff>
      <xdr:row>50</xdr:row>
      <xdr:rowOff>95250</xdr:rowOff>
    </xdr:to>
    <xdr:sp macro="" textlink="">
      <xdr:nvSpPr>
        <xdr:cNvPr id="17416" name="Text Box 8">
          <a:extLst>
            <a:ext uri="{FF2B5EF4-FFF2-40B4-BE49-F238E27FC236}">
              <a16:creationId xmlns:a16="http://schemas.microsoft.com/office/drawing/2014/main" id="{A6F50F1F-D0BD-4D13-9249-32F4E0298675}"/>
            </a:ext>
          </a:extLst>
        </xdr:cNvPr>
        <xdr:cNvSpPr txBox="1">
          <a:spLocks noChangeArrowheads="1"/>
        </xdr:cNvSpPr>
      </xdr:nvSpPr>
      <xdr:spPr bwMode="auto">
        <a:xfrm>
          <a:off x="1041400" y="7988300"/>
          <a:ext cx="596900" cy="17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GDP</a:t>
          </a:r>
        </a:p>
      </xdr:txBody>
    </xdr:sp>
    <xdr:clientData/>
  </xdr:twoCellAnchor>
  <xdr:twoCellAnchor>
    <xdr:from>
      <xdr:col>7</xdr:col>
      <xdr:colOff>184150</xdr:colOff>
      <xdr:row>49</xdr:row>
      <xdr:rowOff>133350</xdr:rowOff>
    </xdr:from>
    <xdr:to>
      <xdr:col>7</xdr:col>
      <xdr:colOff>482600</xdr:colOff>
      <xdr:row>49</xdr:row>
      <xdr:rowOff>133350</xdr:rowOff>
    </xdr:to>
    <xdr:sp macro="" textlink="">
      <xdr:nvSpPr>
        <xdr:cNvPr id="17417" name="Line 9">
          <a:extLst>
            <a:ext uri="{FF2B5EF4-FFF2-40B4-BE49-F238E27FC236}">
              <a16:creationId xmlns:a16="http://schemas.microsoft.com/office/drawing/2014/main" id="{DA830E7E-5D3A-4FF4-AB64-896134769AE9}"/>
            </a:ext>
          </a:extLst>
        </xdr:cNvPr>
        <xdr:cNvSpPr>
          <a:spLocks noChangeShapeType="1"/>
        </xdr:cNvSpPr>
      </xdr:nvSpPr>
      <xdr:spPr bwMode="auto">
        <a:xfrm>
          <a:off x="4051300" y="8045450"/>
          <a:ext cx="298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333399" mc:Ignorable="a14" a14:legacySpreadsheetColorIndex="6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527050</xdr:colOff>
      <xdr:row>49</xdr:row>
      <xdr:rowOff>44450</xdr:rowOff>
    </xdr:from>
    <xdr:to>
      <xdr:col>11</xdr:col>
      <xdr:colOff>533400</xdr:colOff>
      <xdr:row>50</xdr:row>
      <xdr:rowOff>82550</xdr:rowOff>
    </xdr:to>
    <xdr:sp macro="" textlink="">
      <xdr:nvSpPr>
        <xdr:cNvPr id="17418" name="Text Box 10">
          <a:extLst>
            <a:ext uri="{FF2B5EF4-FFF2-40B4-BE49-F238E27FC236}">
              <a16:creationId xmlns:a16="http://schemas.microsoft.com/office/drawing/2014/main" id="{30C25A47-6BFD-445E-A7EE-91A0E63DBCDB}"/>
            </a:ext>
          </a:extLst>
        </xdr:cNvPr>
        <xdr:cNvSpPr txBox="1">
          <a:spLocks noChangeArrowheads="1"/>
        </xdr:cNvSpPr>
      </xdr:nvSpPr>
      <xdr:spPr bwMode="auto">
        <a:xfrm>
          <a:off x="4394200" y="7956550"/>
          <a:ext cx="2444750" cy="196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Imports of goods and services</a:t>
          </a:r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9</xdr:col>
      <xdr:colOff>12700</xdr:colOff>
      <xdr:row>52</xdr:row>
      <xdr:rowOff>0</xdr:rowOff>
    </xdr:to>
    <xdr:graphicFrame macro="">
      <xdr:nvGraphicFramePr>
        <xdr:cNvPr id="17421" name="Chart 13">
          <a:extLst>
            <a:ext uri="{FF2B5EF4-FFF2-40B4-BE49-F238E27FC236}">
              <a16:creationId xmlns:a16="http://schemas.microsoft.com/office/drawing/2014/main" id="{A4998BCC-2F11-497C-A051-C6B0D4DD8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8"/>
  <sheetViews>
    <sheetView tabSelected="1" workbookViewId="0">
      <selection activeCell="A23" sqref="A23"/>
    </sheetView>
  </sheetViews>
  <sheetFormatPr defaultRowHeight="12.5" x14ac:dyDescent="0.25"/>
  <cols>
    <col min="1" max="1" width="38.7265625" customWidth="1"/>
    <col min="2" max="21" width="0" hidden="1" customWidth="1"/>
  </cols>
  <sheetData>
    <row r="1" spans="1:35" x14ac:dyDescent="0.25">
      <c r="A1" s="18"/>
    </row>
    <row r="2" spans="1:35" ht="12.75" customHeight="1" x14ac:dyDescent="0.3">
      <c r="A2" s="1" t="s">
        <v>17</v>
      </c>
    </row>
    <row r="3" spans="1:35" ht="12.75" customHeight="1" x14ac:dyDescent="0.3">
      <c r="A3" s="1" t="s">
        <v>19</v>
      </c>
    </row>
    <row r="4" spans="1:35" ht="12.75" customHeight="1" x14ac:dyDescent="0.25">
      <c r="A4" s="22" t="s">
        <v>20</v>
      </c>
    </row>
    <row r="5" spans="1:35" x14ac:dyDescent="0.25"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s="1" customFormat="1" ht="13" x14ac:dyDescent="0.3">
      <c r="A6" s="26"/>
      <c r="B6" s="26" t="s">
        <v>1</v>
      </c>
      <c r="C6" s="26" t="s">
        <v>2</v>
      </c>
      <c r="D6" s="26" t="s">
        <v>3</v>
      </c>
      <c r="E6" s="27" t="s">
        <v>8</v>
      </c>
      <c r="F6" s="27" t="s">
        <v>9</v>
      </c>
      <c r="G6" s="27"/>
      <c r="H6" s="27"/>
      <c r="I6" s="27"/>
      <c r="J6" s="27" t="s">
        <v>10</v>
      </c>
      <c r="K6" s="27"/>
      <c r="L6" s="27"/>
      <c r="M6" s="27"/>
      <c r="N6" s="27" t="s">
        <v>11</v>
      </c>
      <c r="O6" s="27"/>
      <c r="P6" s="27"/>
      <c r="Q6" s="27"/>
      <c r="R6" s="27" t="s">
        <v>12</v>
      </c>
      <c r="S6" s="27"/>
      <c r="T6" s="27"/>
      <c r="U6" s="27"/>
      <c r="V6" s="28" t="s">
        <v>13</v>
      </c>
      <c r="W6" s="28"/>
      <c r="X6" s="28"/>
      <c r="Y6" s="28"/>
      <c r="Z6" s="28" t="s">
        <v>14</v>
      </c>
      <c r="AA6" s="28"/>
      <c r="AB6" s="26"/>
      <c r="AC6" s="26"/>
      <c r="AD6" s="28" t="s">
        <v>16</v>
      </c>
      <c r="AE6" s="28"/>
      <c r="AF6" s="23"/>
      <c r="AG6" s="23"/>
      <c r="AH6" s="23"/>
      <c r="AI6" s="23"/>
    </row>
    <row r="7" spans="1:35" ht="13" x14ac:dyDescent="0.3">
      <c r="A7" s="2" t="s">
        <v>4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24"/>
      <c r="W7" s="24"/>
      <c r="X7" s="24"/>
      <c r="Y7" s="24"/>
      <c r="Z7" s="24"/>
      <c r="AA7" s="24"/>
      <c r="AB7" s="25"/>
      <c r="AC7" s="25"/>
      <c r="AD7" s="5"/>
      <c r="AE7" s="5"/>
      <c r="AF7" s="5"/>
      <c r="AG7" s="5"/>
      <c r="AH7" s="5"/>
      <c r="AI7" s="5"/>
    </row>
    <row r="8" spans="1:35" x14ac:dyDescent="0.25">
      <c r="A8" t="s">
        <v>21</v>
      </c>
      <c r="D8" s="6"/>
      <c r="E8" s="6"/>
      <c r="F8" s="7">
        <v>2.481355723721967</v>
      </c>
      <c r="G8" s="7">
        <v>3.1894856062031152</v>
      </c>
      <c r="H8" s="7">
        <v>3.1382328476250407</v>
      </c>
      <c r="I8" s="7">
        <v>3.4074912731370226</v>
      </c>
      <c r="J8" s="7">
        <v>3.5987361013317725</v>
      </c>
      <c r="K8" s="7">
        <v>3.3244824116789569</v>
      </c>
      <c r="L8" s="7">
        <v>3.7272649805173765</v>
      </c>
      <c r="M8" s="7">
        <v>3.5359359074335579</v>
      </c>
      <c r="N8" s="7">
        <v>3.1517797031079251</v>
      </c>
      <c r="O8" s="7">
        <v>2.8214541458226652</v>
      </c>
      <c r="P8" s="7">
        <v>2.46945588251962</v>
      </c>
      <c r="Q8" s="7">
        <v>2.5346688796358747</v>
      </c>
      <c r="R8" s="7">
        <v>2.4684421563483863</v>
      </c>
      <c r="S8" s="7">
        <v>2.9131732959655681</v>
      </c>
      <c r="T8" s="7">
        <v>3.4475499305239903</v>
      </c>
      <c r="U8" s="7">
        <v>3.7549401518848202</v>
      </c>
      <c r="V8" s="7">
        <v>4.2963885703457292</v>
      </c>
      <c r="W8" s="7">
        <v>4.5443612065329653</v>
      </c>
      <c r="X8" s="7">
        <v>3.6227312879986018</v>
      </c>
      <c r="Y8" s="7">
        <v>2.7516927717970563</v>
      </c>
      <c r="Z8" s="7">
        <v>1.8909530974079998</v>
      </c>
      <c r="AA8" s="7">
        <v>0.57440723749622957</v>
      </c>
      <c r="AB8" s="7">
        <v>0.27677138034809556</v>
      </c>
      <c r="AC8" s="7">
        <v>0.15347142254621826</v>
      </c>
      <c r="AD8" s="7">
        <v>0.8143377271973623</v>
      </c>
      <c r="AE8" s="7">
        <v>1</v>
      </c>
    </row>
    <row r="9" spans="1:35" x14ac:dyDescent="0.25">
      <c r="A9" t="s">
        <v>0</v>
      </c>
      <c r="D9" s="6"/>
      <c r="E9" s="6"/>
      <c r="F9" s="7">
        <v>6.1144056373455973</v>
      </c>
      <c r="G9" s="7">
        <v>6.1279748851411755</v>
      </c>
      <c r="H9" s="7">
        <v>6.7323571941946954</v>
      </c>
      <c r="I9" s="7">
        <v>9.1510812902031731</v>
      </c>
      <c r="J9" s="7">
        <v>9.0331363027699219</v>
      </c>
      <c r="K9" s="7">
        <v>12.104685134646175</v>
      </c>
      <c r="L9" s="7">
        <v>13.190843633134749</v>
      </c>
      <c r="M9" s="7">
        <v>10.652830350302271</v>
      </c>
      <c r="N9" s="7">
        <v>10.226677313981044</v>
      </c>
      <c r="O9" s="7">
        <v>6.8427423503225349</v>
      </c>
      <c r="P9" s="7">
        <v>4.0275413816230348</v>
      </c>
      <c r="Q9" s="7">
        <v>3.4811088561663794</v>
      </c>
      <c r="R9" s="7">
        <v>2.3574320806389184</v>
      </c>
      <c r="S9" s="7">
        <v>3.5761308157316316</v>
      </c>
      <c r="T9" s="7">
        <v>6.694689615155565</v>
      </c>
      <c r="U9" s="7">
        <v>9.168547260541752</v>
      </c>
      <c r="V9" s="7">
        <v>12.730959378604528</v>
      </c>
      <c r="W9" s="7">
        <v>13.717664841074267</v>
      </c>
      <c r="X9" s="7">
        <v>13.39320109760839</v>
      </c>
      <c r="Y9" s="7">
        <v>10.806822003131638</v>
      </c>
      <c r="Z9" s="7">
        <v>6.3691629910909153</v>
      </c>
      <c r="AA9" s="7">
        <v>1.813627178014781</v>
      </c>
      <c r="AB9" s="7">
        <v>-2.6065581405211664</v>
      </c>
      <c r="AC9" s="7">
        <v>-4.6032253734148698</v>
      </c>
      <c r="AD9" s="7">
        <v>-2.8210696934583819</v>
      </c>
      <c r="AE9" s="7">
        <v>0.20000000000000301</v>
      </c>
    </row>
    <row r="10" spans="1:35" x14ac:dyDescent="0.25">
      <c r="A10" t="s">
        <v>22</v>
      </c>
      <c r="D10" s="6"/>
      <c r="E10" s="6"/>
      <c r="F10" s="7">
        <v>7.1403615394251387</v>
      </c>
      <c r="G10" s="7">
        <v>6.7793999848918567</v>
      </c>
      <c r="H10" s="7">
        <v>8.0864426395128124</v>
      </c>
      <c r="I10" s="7">
        <v>9.834340749046083</v>
      </c>
      <c r="J10" s="7">
        <v>9.3763901042322892</v>
      </c>
      <c r="K10" s="7">
        <v>11.807978809069983</v>
      </c>
      <c r="L10" s="7">
        <v>12.163131607600269</v>
      </c>
      <c r="M10" s="7">
        <v>11.298624735430193</v>
      </c>
      <c r="N10" s="7">
        <v>11.263088974391138</v>
      </c>
      <c r="O10" s="7">
        <v>9.0641726318549249</v>
      </c>
      <c r="P10" s="7">
        <v>6.5559309943413027</v>
      </c>
      <c r="Q10" s="7">
        <v>6.6007221132288132</v>
      </c>
      <c r="R10" s="7">
        <v>6.1100933221402567</v>
      </c>
      <c r="S10" s="7">
        <v>6.7583500616596845</v>
      </c>
      <c r="T10" s="7">
        <v>9.4342748250658293</v>
      </c>
      <c r="U10" s="7">
        <v>11.43517756942472</v>
      </c>
      <c r="V10" s="7">
        <v>13.28813880897396</v>
      </c>
      <c r="W10" s="7">
        <v>14.300928472871949</v>
      </c>
      <c r="X10" s="7">
        <v>13.76453726864823</v>
      </c>
      <c r="Y10" s="7">
        <v>10.506946457857604</v>
      </c>
      <c r="Z10" s="7">
        <v>5.1012780050565718</v>
      </c>
      <c r="AA10" s="7">
        <v>0.58203273683835854</v>
      </c>
      <c r="AB10" s="7">
        <v>-3.8093030286487459</v>
      </c>
      <c r="AC10" s="7">
        <v>-5.2396858113602018</v>
      </c>
      <c r="AD10" s="7">
        <v>-2.7878852151479956</v>
      </c>
      <c r="AE10" s="7">
        <v>-0.60000000000000453</v>
      </c>
    </row>
    <row r="11" spans="1:35" x14ac:dyDescent="0.25"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4"/>
      <c r="AC11" s="4"/>
    </row>
    <row r="12" spans="1:35" x14ac:dyDescent="0.25"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4"/>
      <c r="AC12" s="4"/>
    </row>
    <row r="13" spans="1:35" ht="13" x14ac:dyDescent="0.3">
      <c r="A13" s="2" t="s">
        <v>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4"/>
      <c r="AC13" s="4"/>
    </row>
    <row r="14" spans="1:35" x14ac:dyDescent="0.25">
      <c r="A14" t="s">
        <v>21</v>
      </c>
      <c r="D14" s="6"/>
      <c r="E14" s="6"/>
      <c r="F14" s="7">
        <v>1.5075614331856031</v>
      </c>
      <c r="G14" s="7">
        <v>1.522078618974684</v>
      </c>
      <c r="H14" s="7">
        <v>1.8076556713176886</v>
      </c>
      <c r="I14" s="7">
        <v>1.8329557934877621</v>
      </c>
      <c r="J14" s="7">
        <v>1.9548118848290892</v>
      </c>
      <c r="K14" s="7">
        <v>2.5199270547962778</v>
      </c>
      <c r="L14" s="7">
        <v>2.6783520245256391</v>
      </c>
      <c r="M14" s="7">
        <v>3.3289601122979762</v>
      </c>
      <c r="N14" s="7">
        <v>3.5678848487063028</v>
      </c>
      <c r="O14" s="7">
        <v>2.9514322519542633</v>
      </c>
      <c r="P14" s="7">
        <v>2.8790795022457965</v>
      </c>
      <c r="Q14" s="7">
        <v>2.1424072777195806</v>
      </c>
      <c r="R14" s="7">
        <v>2.0751079914314676</v>
      </c>
      <c r="S14" s="7">
        <v>2.22090542330423</v>
      </c>
      <c r="T14" s="7">
        <v>2.7664759430136026</v>
      </c>
      <c r="U14" s="7">
        <v>3.6752712670792178</v>
      </c>
      <c r="V14" s="7">
        <v>3.8687721542040974</v>
      </c>
      <c r="W14" s="7">
        <v>4.0968164956564985</v>
      </c>
      <c r="X14" s="7">
        <v>3.4492862480724766</v>
      </c>
      <c r="Y14" s="7">
        <v>2.985642200393031</v>
      </c>
      <c r="Z14" s="7">
        <v>2.5047500948747419</v>
      </c>
      <c r="AA14" s="7">
        <v>1.8161536276654833</v>
      </c>
      <c r="AB14" s="7">
        <v>1.5442144000583273</v>
      </c>
      <c r="AC14" s="7">
        <v>0.74014492297737544</v>
      </c>
      <c r="AD14" s="7">
        <v>0.5531147447264364</v>
      </c>
      <c r="AE14" s="7">
        <v>0.89999999999998448</v>
      </c>
    </row>
    <row r="15" spans="1:35" x14ac:dyDescent="0.25">
      <c r="A15" t="s">
        <v>0</v>
      </c>
      <c r="D15" s="6"/>
      <c r="E15" s="6"/>
      <c r="F15" s="7">
        <v>3.3493993205395118</v>
      </c>
      <c r="G15" s="7">
        <v>3.1983259282811538</v>
      </c>
      <c r="H15" s="7">
        <v>5.5846947316556514</v>
      </c>
      <c r="I15" s="7">
        <v>7.7937444641910023</v>
      </c>
      <c r="J15" s="7">
        <v>6.9846661198471702</v>
      </c>
      <c r="K15" s="7">
        <v>10.655829374700334</v>
      </c>
      <c r="L15" s="7">
        <v>12.216167317207349</v>
      </c>
      <c r="M15" s="7">
        <v>10.536046697240254</v>
      </c>
      <c r="N15" s="7">
        <v>10.776003360507781</v>
      </c>
      <c r="O15" s="7">
        <v>8.0274019808184836</v>
      </c>
      <c r="P15" s="7">
        <v>4.9004570713990061</v>
      </c>
      <c r="Q15" s="7">
        <v>2.6896716171025643</v>
      </c>
      <c r="R15" s="7">
        <v>1.9620785922654267</v>
      </c>
      <c r="S15" s="7">
        <v>3.2128787492180026</v>
      </c>
      <c r="T15" s="7">
        <v>6.0716624729710293</v>
      </c>
      <c r="U15" s="7">
        <v>9.8813303350917838</v>
      </c>
      <c r="V15" s="7">
        <v>12.498153859760606</v>
      </c>
      <c r="W15" s="7">
        <v>12.40982405323283</v>
      </c>
      <c r="X15" s="7">
        <v>12.094646729161838</v>
      </c>
      <c r="Y15" s="7">
        <v>11.31608579050612</v>
      </c>
      <c r="Z15" s="7">
        <v>7.8362259455056744</v>
      </c>
      <c r="AA15" s="7">
        <v>4.2905973602410485</v>
      </c>
      <c r="AB15" s="7">
        <v>0.54978991607881467</v>
      </c>
      <c r="AC15" s="7">
        <v>-2.7305316443016632</v>
      </c>
      <c r="AD15" s="7">
        <v>-2.4244860901299008</v>
      </c>
      <c r="AE15" s="7">
        <v>0.49999999999998812</v>
      </c>
    </row>
    <row r="16" spans="1:35" x14ac:dyDescent="0.25">
      <c r="A16" t="s">
        <v>22</v>
      </c>
      <c r="D16" s="6"/>
      <c r="E16" s="6"/>
      <c r="F16" s="7">
        <v>4.7580772865349301</v>
      </c>
      <c r="G16" s="7">
        <v>2.7810384181874874</v>
      </c>
      <c r="H16" s="7">
        <v>3.8490374448256106</v>
      </c>
      <c r="I16" s="7">
        <v>6.0378157488479616</v>
      </c>
      <c r="J16" s="7">
        <v>6.0169810868867151</v>
      </c>
      <c r="K16" s="7">
        <v>10.057634726111788</v>
      </c>
      <c r="L16" s="7">
        <v>10.787535705669763</v>
      </c>
      <c r="M16" s="7">
        <v>11.195902409147665</v>
      </c>
      <c r="N16" s="7">
        <v>12.86607911097947</v>
      </c>
      <c r="O16" s="7">
        <v>10.566309306645238</v>
      </c>
      <c r="P16" s="7">
        <v>9.0739371135171769</v>
      </c>
      <c r="Q16" s="7">
        <v>7.5529955968101108</v>
      </c>
      <c r="R16" s="7">
        <v>5.8900522966401798</v>
      </c>
      <c r="S16" s="7">
        <v>5.8920559642013641</v>
      </c>
      <c r="T16" s="7">
        <v>7.7531330654116895</v>
      </c>
      <c r="U16" s="7">
        <v>10.037406278033023</v>
      </c>
      <c r="V16" s="7">
        <v>10.744650681431153</v>
      </c>
      <c r="W16" s="7">
        <v>11.966833717384603</v>
      </c>
      <c r="X16" s="7">
        <v>11.645486510230571</v>
      </c>
      <c r="Y16" s="7">
        <v>10.600020655538998</v>
      </c>
      <c r="Z16" s="7">
        <v>6.6870250187756257</v>
      </c>
      <c r="AA16" s="7">
        <v>3.4675825814244545</v>
      </c>
      <c r="AB16" s="7">
        <v>-0.67978340381037905</v>
      </c>
      <c r="AC16" s="7">
        <v>-4.0318854415893224</v>
      </c>
      <c r="AD16" s="7">
        <v>-3.0470527517819299</v>
      </c>
      <c r="AE16" s="7">
        <v>-2.0000000000000062</v>
      </c>
    </row>
    <row r="17" spans="1:31" x14ac:dyDescent="0.25"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31" x14ac:dyDescent="0.25"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4"/>
      <c r="AC18" s="4"/>
    </row>
    <row r="19" spans="1:31" ht="13" x14ac:dyDescent="0.3">
      <c r="A19" s="2" t="s">
        <v>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4"/>
      <c r="AC19" s="4"/>
    </row>
    <row r="20" spans="1:31" x14ac:dyDescent="0.25">
      <c r="A20" t="s">
        <v>21</v>
      </c>
      <c r="B20" s="3"/>
      <c r="C20" s="3"/>
      <c r="D20" s="7"/>
      <c r="E20" s="7"/>
      <c r="F20" s="7">
        <v>2.5064430408482092</v>
      </c>
      <c r="G20" s="7">
        <v>3.9929097863606606</v>
      </c>
      <c r="H20" s="7">
        <v>3.7096304917078848</v>
      </c>
      <c r="I20" s="7">
        <v>4.0593552788674812</v>
      </c>
      <c r="J20" s="7">
        <v>4.4291595018498251</v>
      </c>
      <c r="K20" s="7">
        <v>4.2163810890822644</v>
      </c>
      <c r="L20" s="7">
        <v>4.7781787576990364</v>
      </c>
      <c r="M20" s="7">
        <v>4.3069862443735509</v>
      </c>
      <c r="N20" s="7">
        <v>4.7390349782944918</v>
      </c>
      <c r="O20" s="7">
        <v>3.8244444717716646</v>
      </c>
      <c r="P20" s="7">
        <v>3.7959740038458687</v>
      </c>
      <c r="Q20" s="7">
        <v>4.7746255847405381</v>
      </c>
      <c r="R20" s="7">
        <v>4.0124816883627492</v>
      </c>
      <c r="S20" s="7">
        <v>3.9394047069135061</v>
      </c>
      <c r="T20" s="7">
        <v>4.2023802544409881</v>
      </c>
      <c r="U20" s="7">
        <v>4.2940043147705991</v>
      </c>
      <c r="V20" s="7">
        <v>4.1702926762240518</v>
      </c>
      <c r="W20" s="7">
        <v>4.9022847700985785</v>
      </c>
      <c r="X20" s="7">
        <v>3.7335853897309645</v>
      </c>
      <c r="Y20" s="7">
        <v>2.2532936582559806</v>
      </c>
      <c r="Z20" s="7">
        <v>1.4564600874975269</v>
      </c>
      <c r="AA20" s="7">
        <v>-0.13687172078169355</v>
      </c>
      <c r="AB20" s="7">
        <v>-0.35037478169374303</v>
      </c>
      <c r="AC20" s="7">
        <v>5.4090309180207283E-2</v>
      </c>
      <c r="AD20" s="7">
        <v>1.4442193306536484</v>
      </c>
      <c r="AE20" s="7">
        <v>2.1189805397526329</v>
      </c>
    </row>
    <row r="21" spans="1:31" x14ac:dyDescent="0.25">
      <c r="A21" t="s">
        <v>0</v>
      </c>
      <c r="D21" s="6"/>
      <c r="E21" s="6"/>
      <c r="F21" s="7">
        <v>8.3909812964386354</v>
      </c>
      <c r="G21" s="7">
        <v>9.025224996831037</v>
      </c>
      <c r="H21" s="7">
        <v>5.487285557853756</v>
      </c>
      <c r="I21" s="7">
        <v>9.757546945566915</v>
      </c>
      <c r="J21" s="7">
        <v>11.13343576409407</v>
      </c>
      <c r="K21" s="7">
        <v>13.847227066620164</v>
      </c>
      <c r="L21" s="7">
        <v>15.824682814302196</v>
      </c>
      <c r="M21" s="7">
        <v>8.511099079588524</v>
      </c>
      <c r="N21" s="7">
        <v>6.7106242688503697</v>
      </c>
      <c r="O21" s="7">
        <v>1.4195261437908473</v>
      </c>
      <c r="P21" s="7">
        <v>-1.6530571599283035</v>
      </c>
      <c r="Q21" s="7">
        <v>2.3450753417822456</v>
      </c>
      <c r="R21" s="7">
        <v>0.40861072353996636</v>
      </c>
      <c r="S21" s="7">
        <v>2.5173698519786529</v>
      </c>
      <c r="T21" s="7">
        <v>5.7209396516808306</v>
      </c>
      <c r="U21" s="7">
        <v>4.875195007800313</v>
      </c>
      <c r="V21" s="7">
        <v>8.7642679900744369</v>
      </c>
      <c r="W21" s="7">
        <v>11.374128278165216</v>
      </c>
      <c r="X21" s="7">
        <v>11.627238770232747</v>
      </c>
      <c r="Y21" s="7">
        <v>7.2610635924135494</v>
      </c>
      <c r="Z21" s="7">
        <v>3.6503011498448625</v>
      </c>
      <c r="AA21" s="7">
        <v>-3.0955110679954259</v>
      </c>
      <c r="AB21" s="7">
        <v>-10.081510081510082</v>
      </c>
      <c r="AC21" s="7">
        <v>-11.432781485654857</v>
      </c>
      <c r="AD21" s="7">
        <v>-9.2621940482479346</v>
      </c>
      <c r="AE21" s="7">
        <v>-3.5766290498725843</v>
      </c>
    </row>
    <row r="22" spans="1:31" x14ac:dyDescent="0.25">
      <c r="A22" t="s">
        <v>22</v>
      </c>
      <c r="D22" s="6"/>
      <c r="E22" s="6"/>
      <c r="F22" s="7">
        <v>5.497652044439354</v>
      </c>
      <c r="G22" s="7">
        <v>7.2202166064981945</v>
      </c>
      <c r="H22" s="7">
        <v>10.549994376335615</v>
      </c>
      <c r="I22" s="7">
        <v>11.171753174426383</v>
      </c>
      <c r="J22" s="7">
        <v>12.289653674953852</v>
      </c>
      <c r="K22" s="7">
        <v>13.615319865319863</v>
      </c>
      <c r="L22" s="7">
        <v>14.335130735578389</v>
      </c>
      <c r="M22" s="7">
        <v>14.337240757439137</v>
      </c>
      <c r="N22" s="7">
        <v>14.492893744561549</v>
      </c>
      <c r="O22" s="7">
        <v>12.631968883126513</v>
      </c>
      <c r="P22" s="7">
        <v>9.3521978999822153</v>
      </c>
      <c r="Q22" s="7">
        <v>10.830704521556248</v>
      </c>
      <c r="R22" s="7">
        <v>8.9934132747846647</v>
      </c>
      <c r="S22" s="7">
        <v>9.9901332017760236</v>
      </c>
      <c r="T22" s="7">
        <v>12.59663113353405</v>
      </c>
      <c r="U22" s="7">
        <v>11.891208096141691</v>
      </c>
      <c r="V22" s="7">
        <v>13.473309057100789</v>
      </c>
      <c r="W22" s="7">
        <v>14.263287732675483</v>
      </c>
      <c r="X22" s="7">
        <v>14.085423140854223</v>
      </c>
      <c r="Y22" s="7">
        <v>11.09383832673827</v>
      </c>
      <c r="Z22" s="7">
        <v>5.1686467294824556</v>
      </c>
      <c r="AA22" s="7">
        <v>-0.97481190709846843</v>
      </c>
      <c r="AB22" s="7">
        <v>-7.0695553021664708</v>
      </c>
      <c r="AC22" s="7">
        <v>-7.9506424119068813</v>
      </c>
      <c r="AD22" s="7">
        <v>-4.1030967993248098</v>
      </c>
      <c r="AE22" s="7">
        <v>2.873942917547569</v>
      </c>
    </row>
    <row r="23" spans="1:31" x14ac:dyDescent="0.25"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31" x14ac:dyDescent="0.25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4"/>
      <c r="AC24" s="4"/>
    </row>
    <row r="25" spans="1:31" ht="13" x14ac:dyDescent="0.3">
      <c r="A25" s="2" t="s">
        <v>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4"/>
      <c r="AC25" s="4"/>
    </row>
    <row r="26" spans="1:31" x14ac:dyDescent="0.25">
      <c r="A26" t="s">
        <v>21</v>
      </c>
      <c r="D26" s="6"/>
      <c r="E26" s="6"/>
      <c r="F26" s="7">
        <v>3.7628423464183478</v>
      </c>
      <c r="G26" s="7">
        <v>3.8064097519980584</v>
      </c>
      <c r="H26" s="7">
        <v>3.0102241923372461</v>
      </c>
      <c r="I26" s="7">
        <v>3.7016739875139435</v>
      </c>
      <c r="J26" s="7">
        <v>4.3269754960752627</v>
      </c>
      <c r="K26" s="7">
        <v>0.62282593795876517</v>
      </c>
      <c r="L26" s="7">
        <v>1.8302540830860283</v>
      </c>
      <c r="M26" s="7">
        <v>0.5110753368989428</v>
      </c>
      <c r="N26" s="7">
        <v>-2.2057567190261764</v>
      </c>
      <c r="O26" s="7">
        <v>0.4984407353286433</v>
      </c>
      <c r="P26" s="7">
        <v>-1.0963083350732055</v>
      </c>
      <c r="Q26" s="7">
        <v>-1.3295856229038343</v>
      </c>
      <c r="R26" s="7">
        <v>-1.2256639830119995</v>
      </c>
      <c r="S26" s="7">
        <v>1.2705949595993662</v>
      </c>
      <c r="T26" s="7">
        <v>2.0648682380196295</v>
      </c>
      <c r="U26" s="7">
        <v>0.58360215493949652</v>
      </c>
      <c r="V26" s="7">
        <v>3.6265098620091383</v>
      </c>
      <c r="W26" s="7">
        <v>2.3203870832917022</v>
      </c>
      <c r="X26" s="7">
        <v>0.72047556037774751</v>
      </c>
      <c r="Y26" s="7">
        <v>2.3290422682013499</v>
      </c>
      <c r="Z26" s="7">
        <v>1.3502830248202324</v>
      </c>
      <c r="AA26" s="7">
        <v>-0.603195900302817</v>
      </c>
      <c r="AB26" s="7">
        <v>-0.53610189483610227</v>
      </c>
      <c r="AC26" s="7">
        <v>-1.5270566048047722</v>
      </c>
      <c r="AD26" s="7">
        <v>-2.5312775893582451</v>
      </c>
      <c r="AE26" s="7">
        <v>-0.74321118150180054</v>
      </c>
    </row>
    <row r="27" spans="1:31" x14ac:dyDescent="0.25">
      <c r="A27" t="s">
        <v>0</v>
      </c>
      <c r="D27" s="6"/>
      <c r="E27" s="6"/>
      <c r="F27" s="7">
        <v>5.7090817878392643</v>
      </c>
      <c r="G27" s="7">
        <v>3.3851271463108992</v>
      </c>
      <c r="H27" s="7">
        <v>5.947920281483519</v>
      </c>
      <c r="I27" s="7">
        <v>10.466431928984584</v>
      </c>
      <c r="J27" s="7">
        <v>11.709175329797528</v>
      </c>
      <c r="K27" s="7">
        <v>15.713852889592525</v>
      </c>
      <c r="L27" s="7">
        <v>10.14836758343473</v>
      </c>
      <c r="M27" s="7">
        <v>8.0692776623237794</v>
      </c>
      <c r="N27" s="7">
        <v>2.0763126218757257</v>
      </c>
      <c r="O27" s="7">
        <v>-3.2306898014124217</v>
      </c>
      <c r="P27" s="7">
        <v>-1.6198758979705803</v>
      </c>
      <c r="Q27" s="7">
        <v>-6.1062095868203947</v>
      </c>
      <c r="R27" s="7">
        <v>-3.4331875420641715</v>
      </c>
      <c r="S27" s="7">
        <v>-0.73112313241580196</v>
      </c>
      <c r="T27" s="7">
        <v>2.7517073823962681</v>
      </c>
      <c r="U27" s="7">
        <v>6.8608976769835932</v>
      </c>
      <c r="V27" s="7">
        <v>12.919289144978219</v>
      </c>
      <c r="W27" s="7">
        <v>14.647620217593271</v>
      </c>
      <c r="X27" s="7">
        <v>12.332205081230418</v>
      </c>
      <c r="Y27" s="7">
        <v>9.7360027864042422</v>
      </c>
      <c r="Z27" s="7">
        <v>1.6382845206268544</v>
      </c>
      <c r="AA27" s="7">
        <v>-6.1714566988457653</v>
      </c>
      <c r="AB27" s="7">
        <v>-10.051346477678043</v>
      </c>
      <c r="AC27" s="7">
        <v>-11.334121013614897</v>
      </c>
      <c r="AD27" s="7">
        <v>-5.4439132979461311</v>
      </c>
      <c r="AE27" s="7">
        <v>5.4503667778331018</v>
      </c>
    </row>
    <row r="28" spans="1:31" x14ac:dyDescent="0.25">
      <c r="A28" t="s">
        <v>22</v>
      </c>
      <c r="D28" s="6"/>
      <c r="E28" s="6"/>
      <c r="F28" s="7">
        <v>17.145892766014402</v>
      </c>
      <c r="G28" s="7">
        <v>17.131314543138064</v>
      </c>
      <c r="H28" s="7">
        <v>11.239503300784632</v>
      </c>
      <c r="I28" s="7">
        <v>8.1143889370323858</v>
      </c>
      <c r="J28" s="7">
        <v>6.4496624484626937</v>
      </c>
      <c r="K28" s="7">
        <v>1.2529459145013557</v>
      </c>
      <c r="L28" s="7">
        <v>0.3506156985943325</v>
      </c>
      <c r="M28" s="7">
        <v>-2.9112929446190536</v>
      </c>
      <c r="N28" s="7">
        <v>-5.0138870874685413</v>
      </c>
      <c r="O28" s="7">
        <v>-7.5082779393200392</v>
      </c>
      <c r="P28" s="7">
        <v>-7.081730912049065</v>
      </c>
      <c r="Q28" s="7">
        <v>-7.7934521234784917</v>
      </c>
      <c r="R28" s="7">
        <v>-3.9657969144710972</v>
      </c>
      <c r="S28" s="7">
        <v>1.9392115735204825</v>
      </c>
      <c r="T28" s="7">
        <v>4.2719635637486792</v>
      </c>
      <c r="U28" s="7">
        <v>10.074655098489247</v>
      </c>
      <c r="V28" s="7">
        <v>8.4515777912883134</v>
      </c>
      <c r="W28" s="7">
        <v>10.002932565417826</v>
      </c>
      <c r="X28" s="7">
        <v>9.0707761103210061</v>
      </c>
      <c r="Y28" s="7">
        <v>10.668713554137479</v>
      </c>
      <c r="Z28" s="7">
        <v>8.7018831927701523</v>
      </c>
      <c r="AA28" s="7">
        <v>1.3386301657226778</v>
      </c>
      <c r="AB28" s="7">
        <v>-2.7221872641682765</v>
      </c>
      <c r="AC28" s="7">
        <v>-9.0112360946341195</v>
      </c>
      <c r="AD28" s="7">
        <v>-8.6520005905802488</v>
      </c>
      <c r="AE28" s="7">
        <v>-2.828846079205106</v>
      </c>
    </row>
    <row r="29" spans="1:31" ht="6" customHeight="1" x14ac:dyDescent="0.25">
      <c r="A29" s="14"/>
      <c r="B29" s="14"/>
      <c r="C29" s="14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30"/>
      <c r="AC29" s="30"/>
      <c r="AD29" s="14"/>
      <c r="AE29" s="14"/>
    </row>
    <row r="30" spans="1:31" x14ac:dyDescent="0.25"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31" x14ac:dyDescent="0.25"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31" x14ac:dyDescent="0.25"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6:29" x14ac:dyDescent="0.25"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6:29" x14ac:dyDescent="0.25"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6:29" x14ac:dyDescent="0.25"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6:29" x14ac:dyDescent="0.25"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6:29" x14ac:dyDescent="0.25"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6:29" x14ac:dyDescent="0.25"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6:29" x14ac:dyDescent="0.25"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6:29" x14ac:dyDescent="0.25"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6:29" x14ac:dyDescent="0.25"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6:29" x14ac:dyDescent="0.25"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6:29" x14ac:dyDescent="0.25"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6:29" x14ac:dyDescent="0.25"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6:29" x14ac:dyDescent="0.25"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6:29" x14ac:dyDescent="0.25"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6:29" x14ac:dyDescent="0.25"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6:29" x14ac:dyDescent="0.25"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6:29" x14ac:dyDescent="0.25"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6:29" x14ac:dyDescent="0.25"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6:29" x14ac:dyDescent="0.25"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6:29" x14ac:dyDescent="0.25"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6:29" x14ac:dyDescent="0.25"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6:29" x14ac:dyDescent="0.25"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6:29" x14ac:dyDescent="0.25"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6:29" x14ac:dyDescent="0.25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6:29" x14ac:dyDescent="0.25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6:29" x14ac:dyDescent="0.25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6:29" x14ac:dyDescent="0.25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6:29" x14ac:dyDescent="0.25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6:29" x14ac:dyDescent="0.25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6:29" x14ac:dyDescent="0.25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6:29" x14ac:dyDescent="0.25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6:29" x14ac:dyDescent="0.25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6:29" x14ac:dyDescent="0.25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6:29" x14ac:dyDescent="0.25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6:29" x14ac:dyDescent="0.25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6:29" x14ac:dyDescent="0.25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6:29" x14ac:dyDescent="0.25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6:29" x14ac:dyDescent="0.25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6:29" x14ac:dyDescent="0.25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6:29" x14ac:dyDescent="0.25"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6:29" x14ac:dyDescent="0.25"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6:29" x14ac:dyDescent="0.25"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6:29" x14ac:dyDescent="0.25"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6:29" x14ac:dyDescent="0.25"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6:29" x14ac:dyDescent="0.25"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6:29" x14ac:dyDescent="0.25"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6:29" x14ac:dyDescent="0.25"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6:29" x14ac:dyDescent="0.25"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6:29" x14ac:dyDescent="0.25"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6:29" x14ac:dyDescent="0.25"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6:29" x14ac:dyDescent="0.25"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6:29" x14ac:dyDescent="0.25"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6:29" x14ac:dyDescent="0.25"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6:29" x14ac:dyDescent="0.25"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6:29" x14ac:dyDescent="0.25"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6:29" x14ac:dyDescent="0.25"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</sheetData>
  <pageMargins left="0.2" right="0.23" top="0.35433070866141736" bottom="0.98425196850393704" header="0.19685039370078741" footer="0.51181102362204722"/>
  <pageSetup paperSize="9" scale="65" orientation="landscape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topLeftCell="A16" zoomScale="75" zoomScaleNormal="100" zoomScaleSheetLayoutView="80" workbookViewId="0">
      <selection activeCell="G55" sqref="G55"/>
    </sheetView>
  </sheetViews>
  <sheetFormatPr defaultRowHeight="12.5" x14ac:dyDescent="0.25"/>
  <cols>
    <col min="1" max="1" width="3" customWidth="1"/>
    <col min="18" max="18" width="2.81640625" customWidth="1"/>
  </cols>
  <sheetData>
    <row r="1" spans="1:19" x14ac:dyDescent="0.25">
      <c r="B1" s="20" t="str">
        <f ca="1">CELL("filename")</f>
        <v>C:\Users\t-caneg\Downloads\ExcelFileFomatUpdater\ExcelFileFomatUpdater\bin\Debug\[ch15_e.xlsx]Calculs</v>
      </c>
    </row>
    <row r="3" spans="1:19" x14ac:dyDescent="0.25">
      <c r="A3" s="10"/>
      <c r="B3" s="19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/>
      <c r="S3" s="5"/>
    </row>
    <row r="4" spans="1:19" ht="17.5" x14ac:dyDescent="0.35">
      <c r="A4" s="11"/>
      <c r="B4" s="21" t="s">
        <v>17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2"/>
      <c r="S4" s="5"/>
    </row>
    <row r="5" spans="1:19" ht="15.75" customHeight="1" x14ac:dyDescent="0.35">
      <c r="A5" s="11"/>
      <c r="B5" s="31" t="s">
        <v>18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17"/>
      <c r="S5" s="16"/>
    </row>
    <row r="6" spans="1:19" ht="15" customHeight="1" x14ac:dyDescent="0.35">
      <c r="A6" s="1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17"/>
      <c r="S6" s="16"/>
    </row>
    <row r="7" spans="1:19" ht="12.75" customHeight="1" x14ac:dyDescent="0.35">
      <c r="A7" s="1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17"/>
      <c r="S7" s="16"/>
    </row>
    <row r="8" spans="1:19" x14ac:dyDescent="0.25">
      <c r="A8" s="11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12"/>
      <c r="S8" s="5"/>
    </row>
    <row r="9" spans="1:19" x14ac:dyDescent="0.25">
      <c r="A9" s="1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12"/>
      <c r="S9" s="5"/>
    </row>
    <row r="10" spans="1:19" x14ac:dyDescent="0.25">
      <c r="A10" s="1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12"/>
      <c r="S10" s="5"/>
    </row>
    <row r="11" spans="1:19" x14ac:dyDescent="0.25">
      <c r="A11" s="11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12"/>
      <c r="S11" s="5"/>
    </row>
    <row r="12" spans="1:19" x14ac:dyDescent="0.25">
      <c r="A12" s="1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12"/>
      <c r="S12" s="5"/>
    </row>
    <row r="13" spans="1:19" x14ac:dyDescent="0.25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12"/>
      <c r="S13" s="5"/>
    </row>
    <row r="14" spans="1:19" x14ac:dyDescent="0.25">
      <c r="A14" s="1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12"/>
      <c r="S14" s="5"/>
    </row>
    <row r="15" spans="1:19" x14ac:dyDescent="0.25">
      <c r="A15" s="1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12"/>
      <c r="S15" s="5"/>
    </row>
    <row r="16" spans="1:19" x14ac:dyDescent="0.25">
      <c r="A16" s="1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12"/>
      <c r="S16" s="5"/>
    </row>
    <row r="17" spans="1:19" x14ac:dyDescent="0.25">
      <c r="A17" s="1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12"/>
      <c r="S17" s="5"/>
    </row>
    <row r="18" spans="1:19" x14ac:dyDescent="0.25">
      <c r="A18" s="1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12"/>
      <c r="S18" s="5"/>
    </row>
    <row r="19" spans="1:19" x14ac:dyDescent="0.25">
      <c r="A19" s="11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12"/>
      <c r="S19" s="5"/>
    </row>
    <row r="20" spans="1:19" x14ac:dyDescent="0.25">
      <c r="A20" s="1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12"/>
      <c r="S20" s="5"/>
    </row>
    <row r="21" spans="1:19" x14ac:dyDescent="0.25">
      <c r="A21" s="1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12"/>
      <c r="S21" s="5"/>
    </row>
    <row r="22" spans="1:19" x14ac:dyDescent="0.25">
      <c r="A22" s="11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12"/>
      <c r="S22" s="5"/>
    </row>
    <row r="23" spans="1:19" x14ac:dyDescent="0.25">
      <c r="A23" s="11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12"/>
      <c r="S23" s="5"/>
    </row>
    <row r="24" spans="1:19" x14ac:dyDescent="0.25">
      <c r="A24" s="1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12"/>
      <c r="S24" s="5"/>
    </row>
    <row r="25" spans="1:19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12"/>
      <c r="S25" s="5"/>
    </row>
    <row r="26" spans="1:19" x14ac:dyDescent="0.25">
      <c r="A26" s="1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12"/>
      <c r="S26" s="5"/>
    </row>
    <row r="27" spans="1:19" x14ac:dyDescent="0.25">
      <c r="A27" s="1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12"/>
      <c r="S27" s="5"/>
    </row>
    <row r="28" spans="1:19" x14ac:dyDescent="0.25">
      <c r="A28" s="11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12"/>
      <c r="S28" s="5"/>
    </row>
    <row r="29" spans="1:19" x14ac:dyDescent="0.25">
      <c r="A29" s="1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12"/>
      <c r="S29" s="5"/>
    </row>
    <row r="30" spans="1:19" x14ac:dyDescent="0.25">
      <c r="A30" s="1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12"/>
      <c r="S30" s="5"/>
    </row>
    <row r="31" spans="1:19" x14ac:dyDescent="0.25">
      <c r="A31" s="1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12"/>
      <c r="S31" s="5"/>
    </row>
    <row r="32" spans="1:19" x14ac:dyDescent="0.25">
      <c r="A32" s="11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12"/>
      <c r="S32" s="5"/>
    </row>
    <row r="33" spans="1:19" x14ac:dyDescent="0.25">
      <c r="A33" s="1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12"/>
      <c r="S33" s="5"/>
    </row>
    <row r="34" spans="1:19" x14ac:dyDescent="0.25">
      <c r="A34" s="1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12"/>
      <c r="S34" s="5"/>
    </row>
    <row r="35" spans="1:19" x14ac:dyDescent="0.25">
      <c r="A35" s="11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2"/>
      <c r="S35" s="5"/>
    </row>
    <row r="36" spans="1:19" x14ac:dyDescent="0.25">
      <c r="A36" s="11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12"/>
      <c r="S36" s="5"/>
    </row>
    <row r="37" spans="1:19" x14ac:dyDescent="0.25">
      <c r="A37" s="1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12"/>
      <c r="S37" s="5"/>
    </row>
    <row r="38" spans="1:19" x14ac:dyDescent="0.25">
      <c r="A38" s="1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12"/>
      <c r="S38" s="5"/>
    </row>
    <row r="39" spans="1:19" x14ac:dyDescent="0.25">
      <c r="A39" s="1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12"/>
      <c r="S39" s="5"/>
    </row>
    <row r="40" spans="1:19" x14ac:dyDescent="0.25">
      <c r="A40" s="1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12"/>
      <c r="S40" s="5"/>
    </row>
    <row r="41" spans="1:19" x14ac:dyDescent="0.25">
      <c r="A41" s="1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12"/>
      <c r="S41" s="5"/>
    </row>
    <row r="42" spans="1:19" ht="12.75" customHeight="1" x14ac:dyDescent="0.25">
      <c r="A42" s="1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12"/>
      <c r="S42" s="5"/>
    </row>
    <row r="43" spans="1:19" ht="12.75" customHeight="1" x14ac:dyDescent="0.25">
      <c r="A43" s="11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12"/>
      <c r="S43" s="5"/>
    </row>
    <row r="44" spans="1:19" ht="12.75" customHeight="1" x14ac:dyDescent="0.25">
      <c r="A44" s="1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12"/>
      <c r="S44" s="5"/>
    </row>
    <row r="45" spans="1:19" x14ac:dyDescent="0.25">
      <c r="A45" s="1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12"/>
      <c r="S45" s="5"/>
    </row>
    <row r="46" spans="1:19" x14ac:dyDescent="0.25">
      <c r="A46" s="1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12"/>
      <c r="S46" s="5"/>
    </row>
    <row r="47" spans="1:19" x14ac:dyDescent="0.25">
      <c r="A47" s="1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12"/>
      <c r="S47" s="5"/>
    </row>
    <row r="48" spans="1:19" x14ac:dyDescent="0.25">
      <c r="A48" s="1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12"/>
      <c r="S48" s="5"/>
    </row>
    <row r="49" spans="1:19" x14ac:dyDescent="0.25">
      <c r="A49" s="1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12"/>
      <c r="S49" s="5"/>
    </row>
    <row r="50" spans="1:19" x14ac:dyDescent="0.25">
      <c r="A50" s="1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O50" s="5"/>
      <c r="P50" s="5"/>
      <c r="Q50" s="5"/>
      <c r="R50" s="12"/>
      <c r="S50" s="5"/>
    </row>
    <row r="51" spans="1:19" x14ac:dyDescent="0.25">
      <c r="A51" s="11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 t="s">
        <v>15</v>
      </c>
      <c r="P51" s="5"/>
      <c r="Q51" s="5"/>
      <c r="R51" s="12"/>
      <c r="S51" s="5"/>
    </row>
    <row r="52" spans="1:19" x14ac:dyDescent="0.25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5"/>
      <c r="S52" s="5"/>
    </row>
  </sheetData>
  <mergeCells count="1">
    <mergeCell ref="B5:Q7"/>
  </mergeCells>
  <printOptions horizontalCentered="1"/>
  <pageMargins left="0.59055118110236227" right="0.41" top="0.52" bottom="0.56000000000000005" header="0.34" footer="0.34"/>
  <pageSetup paperSize="9" scale="55" orientation="portrait" horizontalDpi="0" r:id="rId1"/>
  <headerFooter alignWithMargins="0">
    <oddHeader>&amp;R&amp;7&amp;D</oddHeader>
  </headerFooter>
  <colBreaks count="1" manualBreakCount="1">
    <brk id="18" min="2" max="5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Calculs</vt:lpstr>
      <vt:lpstr>CHART 15</vt:lpstr>
    </vt:vector>
  </TitlesOfParts>
  <Company>OMC - WTO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Economic and Financial Data for Japan</dc:title>
  <dc:creator>Roko</dc:creator>
  <cp:lastModifiedBy>Carina Negreanu</cp:lastModifiedBy>
  <cp:lastPrinted>2002-10-09T09:44:57Z</cp:lastPrinted>
  <dcterms:created xsi:type="dcterms:W3CDTF">2001-07-03T13:20:20Z</dcterms:created>
  <dcterms:modified xsi:type="dcterms:W3CDTF">2020-01-27T11:19:01Z</dcterms:modified>
</cp:coreProperties>
</file>