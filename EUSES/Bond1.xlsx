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CCF24BB-86A7-4AD2-8AAC-661AFD1C7F38}" xr6:coauthVersionLast="45" xr6:coauthVersionMax="45" xr10:uidLastSave="{00000000-0000-0000-0000-000000000000}"/>
  <bookViews>
    <workbookView xWindow="3420" yWindow="3420" windowWidth="28800" windowHeight="15460"/>
  </bookViews>
  <sheets>
    <sheet name="Intro" sheetId="1" r:id="rId1"/>
    <sheet name="Vasicek" sheetId="2" r:id="rId2"/>
    <sheet name="CIR" sheetId="3" r:id="rId3"/>
    <sheet name="Chart1" sheetId="5" r:id="rId4"/>
    <sheet name="Chart2" sheetId="6" r:id="rId5"/>
    <sheet name="Chart3" sheetId="7" r:id="rId6"/>
  </sheets>
  <calcPr calcId="0"/>
</workbook>
</file>

<file path=xl/calcChain.xml><?xml version="1.0" encoding="utf-8"?>
<calcChain xmlns="http://schemas.openxmlformats.org/spreadsheetml/2006/main">
  <c r="H4" i="3" l="1"/>
  <c r="I4" i="3"/>
  <c r="B6" i="3"/>
  <c r="E6" i="3"/>
  <c r="E7" i="3"/>
  <c r="B10" i="3"/>
  <c r="E10" i="3"/>
  <c r="B11" i="3"/>
  <c r="E11" i="3"/>
  <c r="B13" i="3"/>
  <c r="B14" i="3"/>
  <c r="E14" i="3"/>
  <c r="B15" i="3"/>
  <c r="B16" i="3"/>
  <c r="E17" i="3"/>
  <c r="B23" i="3"/>
  <c r="B24" i="3"/>
  <c r="H24" i="3"/>
  <c r="B25" i="3"/>
  <c r="H26" i="3"/>
  <c r="E27" i="3"/>
  <c r="H27" i="3"/>
  <c r="E28" i="3"/>
  <c r="H29" i="3"/>
  <c r="E30" i="3"/>
  <c r="H30" i="3"/>
  <c r="B31" i="3"/>
  <c r="E31" i="3"/>
  <c r="H31" i="3"/>
  <c r="E32" i="3"/>
  <c r="H32" i="3"/>
  <c r="B33" i="3"/>
  <c r="E33" i="3"/>
  <c r="H33" i="3"/>
  <c r="E34" i="3"/>
  <c r="H34" i="3"/>
  <c r="E35" i="3"/>
  <c r="H35" i="3"/>
  <c r="H36" i="3"/>
  <c r="B41" i="3"/>
  <c r="B42" i="3"/>
  <c r="H42" i="3"/>
  <c r="B43" i="3"/>
  <c r="H44" i="3"/>
  <c r="B45" i="3"/>
  <c r="E45" i="3"/>
  <c r="H45" i="3"/>
  <c r="B46" i="3"/>
  <c r="E47" i="3"/>
  <c r="B48" i="3"/>
  <c r="E48" i="3"/>
  <c r="B51" i="3"/>
  <c r="C51" i="3"/>
  <c r="D51" i="3"/>
  <c r="E51" i="3"/>
  <c r="F51" i="3"/>
  <c r="H51" i="3"/>
  <c r="B52" i="3"/>
  <c r="C52" i="3"/>
  <c r="D52" i="3"/>
  <c r="E52" i="3"/>
  <c r="F52" i="3"/>
  <c r="H52" i="3"/>
  <c r="B53" i="3"/>
  <c r="C53" i="3"/>
  <c r="D53" i="3"/>
  <c r="E53" i="3"/>
  <c r="F53" i="3"/>
  <c r="H53" i="3"/>
  <c r="B54" i="3"/>
  <c r="C54" i="3"/>
  <c r="D54" i="3"/>
  <c r="E54" i="3"/>
  <c r="F54" i="3"/>
  <c r="H54" i="3"/>
  <c r="B55" i="3"/>
  <c r="C55" i="3"/>
  <c r="D55" i="3"/>
  <c r="E55" i="3"/>
  <c r="F55" i="3"/>
  <c r="H55" i="3"/>
  <c r="B56" i="3"/>
  <c r="C56" i="3"/>
  <c r="D56" i="3"/>
  <c r="E56" i="3"/>
  <c r="F56" i="3"/>
  <c r="H56" i="3"/>
  <c r="F5" i="1"/>
  <c r="H5" i="1"/>
  <c r="J5" i="1"/>
  <c r="N5" i="1"/>
  <c r="O5" i="1"/>
  <c r="F6" i="1"/>
  <c r="H6" i="1"/>
  <c r="J6" i="1"/>
  <c r="N6" i="1"/>
  <c r="O6" i="1"/>
  <c r="F7" i="1"/>
  <c r="H7" i="1"/>
  <c r="J7" i="1"/>
  <c r="N7" i="1"/>
  <c r="O7" i="1"/>
  <c r="F8" i="1"/>
  <c r="H8" i="1"/>
  <c r="J8" i="1"/>
  <c r="N8" i="1"/>
  <c r="O8" i="1"/>
  <c r="F9" i="1"/>
  <c r="H9" i="1"/>
  <c r="J9" i="1"/>
  <c r="N9" i="1"/>
  <c r="O9" i="1"/>
  <c r="F10" i="1"/>
  <c r="H10" i="1"/>
  <c r="J10" i="1"/>
  <c r="N10" i="1"/>
  <c r="O10" i="1"/>
  <c r="F11" i="1"/>
  <c r="H11" i="1"/>
  <c r="J11" i="1"/>
  <c r="N11" i="1"/>
  <c r="O11" i="1"/>
  <c r="F12" i="1"/>
  <c r="H12" i="1"/>
  <c r="J12" i="1"/>
  <c r="N12" i="1"/>
  <c r="O12" i="1"/>
  <c r="F13" i="1"/>
  <c r="H13" i="1"/>
  <c r="J13" i="1"/>
  <c r="N13" i="1"/>
  <c r="O13" i="1"/>
  <c r="F14" i="1"/>
  <c r="H14" i="1"/>
  <c r="J14" i="1"/>
  <c r="N14" i="1"/>
  <c r="O14" i="1"/>
  <c r="F20" i="1"/>
  <c r="H20" i="1"/>
  <c r="J20" i="1"/>
  <c r="H24" i="1"/>
  <c r="D25" i="1"/>
  <c r="F25" i="1"/>
  <c r="H25" i="1"/>
  <c r="J25" i="1"/>
  <c r="D26" i="1"/>
  <c r="F26" i="1"/>
  <c r="H26" i="1"/>
  <c r="J26" i="1"/>
  <c r="D27" i="1"/>
  <c r="F27" i="1"/>
  <c r="H27" i="1"/>
  <c r="J27" i="1"/>
  <c r="D28" i="1"/>
  <c r="F28" i="1"/>
  <c r="H28" i="1"/>
  <c r="J28" i="1"/>
  <c r="D29" i="1"/>
  <c r="F29" i="1"/>
  <c r="H29" i="1"/>
  <c r="J29" i="1"/>
  <c r="D30" i="1"/>
  <c r="F30" i="1"/>
  <c r="H30" i="1"/>
  <c r="J30" i="1"/>
  <c r="D31" i="1"/>
  <c r="F31" i="1"/>
  <c r="H31" i="1"/>
  <c r="J31" i="1"/>
  <c r="D32" i="1"/>
  <c r="F32" i="1"/>
  <c r="H32" i="1"/>
  <c r="J32" i="1"/>
  <c r="D33" i="1"/>
  <c r="F33" i="1"/>
  <c r="H33" i="1"/>
  <c r="J33" i="1"/>
  <c r="D34" i="1"/>
  <c r="F34" i="1"/>
  <c r="H34" i="1"/>
  <c r="J34" i="1"/>
  <c r="B40" i="1"/>
  <c r="A52" i="1"/>
  <c r="B52" i="1"/>
  <c r="C52" i="1"/>
  <c r="D52" i="1"/>
  <c r="E52" i="1"/>
  <c r="B53" i="1"/>
  <c r="C53" i="1"/>
  <c r="D53" i="1"/>
  <c r="E53" i="1"/>
  <c r="C54" i="1"/>
  <c r="D54" i="1"/>
  <c r="E54" i="1"/>
  <c r="D55" i="1"/>
  <c r="E55" i="1"/>
  <c r="E56" i="1"/>
  <c r="B62" i="1"/>
  <c r="E62" i="1"/>
  <c r="B63" i="1"/>
  <c r="B64" i="1" s="1"/>
  <c r="E65" i="1"/>
  <c r="B70" i="1"/>
  <c r="B78" i="1"/>
  <c r="B79" i="1"/>
  <c r="B80" i="1"/>
  <c r="F80" i="1"/>
  <c r="G80" i="1"/>
  <c r="H80" i="1"/>
  <c r="I80" i="1"/>
  <c r="B81" i="1"/>
  <c r="F81" i="1"/>
  <c r="G81" i="1"/>
  <c r="H81" i="1"/>
  <c r="I81" i="1"/>
  <c r="F82" i="1"/>
  <c r="G82" i="1"/>
  <c r="H82" i="1"/>
  <c r="I82" i="1"/>
  <c r="B83" i="1"/>
  <c r="F83" i="1"/>
  <c r="G83" i="1"/>
  <c r="H83" i="1"/>
  <c r="I83" i="1"/>
  <c r="F84" i="1"/>
  <c r="G84" i="1"/>
  <c r="H84" i="1"/>
  <c r="I84" i="1"/>
  <c r="B85" i="1"/>
  <c r="F85" i="1"/>
  <c r="G85" i="1"/>
  <c r="H85" i="1"/>
  <c r="I85" i="1"/>
  <c r="B86" i="1"/>
  <c r="F86" i="1"/>
  <c r="G86" i="1"/>
  <c r="H86" i="1"/>
  <c r="I86" i="1"/>
  <c r="F87" i="1"/>
  <c r="G87" i="1"/>
  <c r="H87" i="1"/>
  <c r="I87" i="1"/>
  <c r="B88" i="1"/>
  <c r="F88" i="1"/>
  <c r="G88" i="1"/>
  <c r="H88" i="1"/>
  <c r="I88" i="1"/>
  <c r="B89" i="1"/>
  <c r="F89" i="1"/>
  <c r="G89" i="1"/>
  <c r="H89" i="1"/>
  <c r="I89" i="1"/>
  <c r="H91" i="1"/>
  <c r="I91" i="1"/>
  <c r="B95" i="1"/>
  <c r="G95" i="1"/>
  <c r="B97" i="1"/>
  <c r="F99" i="1"/>
  <c r="G99" i="1"/>
  <c r="H99" i="1"/>
  <c r="F100" i="1"/>
  <c r="G100" i="1"/>
  <c r="H100" i="1"/>
  <c r="B101" i="1"/>
  <c r="F101" i="1"/>
  <c r="G101" i="1"/>
  <c r="H101" i="1"/>
  <c r="F102" i="1"/>
  <c r="G102" i="1"/>
  <c r="H102" i="1"/>
  <c r="B103" i="1"/>
  <c r="F103" i="1"/>
  <c r="G103" i="1"/>
  <c r="H103" i="1"/>
  <c r="F104" i="1"/>
  <c r="G104" i="1"/>
  <c r="H104" i="1"/>
  <c r="F105" i="1"/>
  <c r="G105" i="1"/>
  <c r="H105" i="1"/>
  <c r="F106" i="1"/>
  <c r="G106" i="1"/>
  <c r="H106" i="1"/>
  <c r="F107" i="1"/>
  <c r="G107" i="1"/>
  <c r="H107" i="1"/>
  <c r="F108" i="1"/>
  <c r="G108" i="1"/>
  <c r="H108" i="1"/>
  <c r="H110" i="1"/>
  <c r="H4" i="2"/>
  <c r="I4" i="2"/>
  <c r="B6" i="2"/>
  <c r="E6" i="2"/>
  <c r="E7" i="2"/>
  <c r="B10" i="2"/>
  <c r="E10" i="2"/>
  <c r="E11" i="2"/>
  <c r="B13" i="2"/>
  <c r="B14" i="2"/>
  <c r="E14" i="2"/>
  <c r="E17" i="2"/>
  <c r="B23" i="2"/>
  <c r="B24" i="2"/>
  <c r="H24" i="2"/>
  <c r="B25" i="2"/>
  <c r="H26" i="2"/>
  <c r="E27" i="2"/>
  <c r="H27" i="2"/>
  <c r="E28" i="2"/>
  <c r="E29" i="2"/>
  <c r="H29" i="2"/>
  <c r="E30" i="2"/>
  <c r="H30" i="2"/>
  <c r="B31" i="2"/>
  <c r="E31" i="2"/>
  <c r="H32" i="2"/>
  <c r="H33" i="2"/>
  <c r="H35" i="2"/>
  <c r="H36" i="2"/>
  <c r="B41" i="2"/>
  <c r="B42" i="2"/>
  <c r="H42" i="2"/>
  <c r="B43" i="2"/>
  <c r="H44" i="2"/>
  <c r="B45" i="2"/>
  <c r="H45" i="2"/>
  <c r="B46" i="2"/>
  <c r="E47" i="2"/>
  <c r="B48" i="2"/>
  <c r="E48" i="2"/>
  <c r="B51" i="2"/>
  <c r="C51" i="2"/>
  <c r="D51" i="2"/>
  <c r="E51" i="2"/>
  <c r="F51" i="2"/>
  <c r="H51" i="2"/>
  <c r="B52" i="2"/>
  <c r="C52" i="2"/>
  <c r="D52" i="2"/>
  <c r="E52" i="2"/>
  <c r="F52" i="2"/>
  <c r="H52" i="2"/>
  <c r="B53" i="2"/>
  <c r="C53" i="2"/>
  <c r="D53" i="2"/>
  <c r="E53" i="2"/>
  <c r="F53" i="2"/>
  <c r="H53" i="2"/>
  <c r="B54" i="2"/>
  <c r="C54" i="2"/>
  <c r="D54" i="2"/>
  <c r="E54" i="2"/>
  <c r="F54" i="2"/>
  <c r="H54" i="2"/>
  <c r="B55" i="2"/>
  <c r="C55" i="2"/>
  <c r="D55" i="2"/>
  <c r="E55" i="2"/>
  <c r="F55" i="2"/>
  <c r="H55" i="2"/>
  <c r="B56" i="2"/>
  <c r="C56" i="2"/>
  <c r="D56" i="2"/>
  <c r="E56" i="2"/>
  <c r="F56" i="2"/>
  <c r="H56" i="2"/>
  <c r="E68" i="1" l="1"/>
  <c r="E69" i="1" s="1"/>
  <c r="E64" i="1" s="1"/>
  <c r="E71" i="1"/>
  <c r="E72" i="1" s="1"/>
</calcChain>
</file>

<file path=xl/sharedStrings.xml><?xml version="1.0" encoding="utf-8"?>
<sst xmlns="http://schemas.openxmlformats.org/spreadsheetml/2006/main" count="242" uniqueCount="124">
  <si>
    <t>Bond1.XLS</t>
  </si>
  <si>
    <t>Term Structure of Interest Rates</t>
  </si>
  <si>
    <t>Maturity</t>
  </si>
  <si>
    <t>Zero Price</t>
  </si>
  <si>
    <t>Zero Yields</t>
  </si>
  <si>
    <t>Forward Rates</t>
  </si>
  <si>
    <t>(continuous)</t>
  </si>
  <si>
    <t>(discrete)</t>
  </si>
  <si>
    <t>Valuing Coupon Bonds</t>
  </si>
  <si>
    <t>0 (nowyr)</t>
  </si>
  <si>
    <t>Bond value</t>
  </si>
  <si>
    <t xml:space="preserve">Bond yield </t>
  </si>
  <si>
    <t>s (zeroyr)</t>
  </si>
  <si>
    <t>(using zero prices)</t>
  </si>
  <si>
    <t>to maturity</t>
  </si>
  <si>
    <t>(using ytm)</t>
  </si>
  <si>
    <t>Bond Face Value (L)</t>
  </si>
  <si>
    <t>Bond Coupon (cL)</t>
  </si>
  <si>
    <t>(continuous compounding)</t>
  </si>
  <si>
    <t>PV Bond</t>
  </si>
  <si>
    <t>Bond Cash Flows</t>
  </si>
  <si>
    <t>Cash Flows</t>
  </si>
  <si>
    <t>Valuing Zero-Coupon Bonds using Binomial Trees</t>
  </si>
  <si>
    <t>p</t>
  </si>
  <si>
    <t>p*</t>
  </si>
  <si>
    <t>Time (years)</t>
  </si>
  <si>
    <t>Tree for Evolution of Short Rates</t>
  </si>
  <si>
    <t>Tree for Zero-Coupon Bond Valuation</t>
  </si>
  <si>
    <t>Valuing European Options on Zero-Coupon Bonds (Black 76)</t>
  </si>
  <si>
    <t>iopt</t>
  </si>
  <si>
    <t>P(0,T)</t>
  </si>
  <si>
    <t>option</t>
  </si>
  <si>
    <t>P(0,s)</t>
  </si>
  <si>
    <t>Forward Price (F)</t>
  </si>
  <si>
    <t>value</t>
  </si>
  <si>
    <t>Exercise Price (X)</t>
  </si>
  <si>
    <t>via fn</t>
  </si>
  <si>
    <t>Int rate-cont (r)</t>
  </si>
  <si>
    <r>
      <t>d</t>
    </r>
    <r>
      <rPr>
        <vertAlign val="subscript"/>
        <sz val="10"/>
        <rFont val="Times New Roman"/>
        <family val="1"/>
      </rPr>
      <t>1</t>
    </r>
  </si>
  <si>
    <t>T (optyr)</t>
  </si>
  <si>
    <r>
      <t>N (d</t>
    </r>
    <r>
      <rPr>
        <vertAlign val="subscript"/>
        <sz val="10"/>
        <rFont val="Times New Roman"/>
        <family val="1"/>
      </rPr>
      <t>1</t>
    </r>
    <r>
      <rPr>
        <sz val="10"/>
        <rFont val="Times New Roman"/>
      </rPr>
      <t>)</t>
    </r>
  </si>
  <si>
    <t>Option life</t>
  </si>
  <si>
    <r>
      <t>d</t>
    </r>
    <r>
      <rPr>
        <vertAlign val="subscript"/>
        <sz val="10"/>
        <rFont val="Times New Roman"/>
        <family val="1"/>
      </rPr>
      <t>2</t>
    </r>
  </si>
  <si>
    <r>
      <t>N (d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</rPr>
      <t>)</t>
    </r>
  </si>
  <si>
    <r>
      <t>Volatility (</t>
    </r>
    <r>
      <rPr>
        <sz val="10"/>
        <rFont val="Symbol"/>
        <family val="1"/>
        <charset val="2"/>
      </rPr>
      <t>s</t>
    </r>
    <r>
      <rPr>
        <sz val="10"/>
        <rFont val="Times New Roman"/>
      </rPr>
      <t>)</t>
    </r>
  </si>
  <si>
    <t>Calculating Duration of Coupon Bonds</t>
  </si>
  <si>
    <t>Year</t>
  </si>
  <si>
    <t>CFs</t>
  </si>
  <si>
    <t>PV factor</t>
  </si>
  <si>
    <t>PV CFs</t>
  </si>
  <si>
    <t>Year * PV CFs</t>
  </si>
  <si>
    <t>Annual Coupon (cpct)</t>
  </si>
  <si>
    <t>Coupons per year (coupyr)</t>
  </si>
  <si>
    <t>Bond ytm</t>
  </si>
  <si>
    <t>Coupon (cper)</t>
  </si>
  <si>
    <t>Macaulay duration</t>
  </si>
  <si>
    <t>Macaulay duration via fn</t>
  </si>
  <si>
    <t>Sum</t>
  </si>
  <si>
    <t>Using Duration and Convexity to Estimate Impact of Change in YTM</t>
  </si>
  <si>
    <t>Modified duration via fn</t>
  </si>
  <si>
    <t>New ytm</t>
  </si>
  <si>
    <t>Convexity via fn</t>
  </si>
  <si>
    <t>Change in yield</t>
  </si>
  <si>
    <t>Bond price % change</t>
  </si>
  <si>
    <t>New bond value (estimate)</t>
  </si>
  <si>
    <t>New bond value (actual)</t>
  </si>
  <si>
    <t>Vasicek Model : see Hull (4th Edition)  p567-9</t>
  </si>
  <si>
    <t>Vasicek Term Structure</t>
  </si>
  <si>
    <t>RN model</t>
  </si>
  <si>
    <r>
      <t xml:space="preserve">dr = a(b-r) dt + </t>
    </r>
    <r>
      <rPr>
        <sz val="10"/>
        <rFont val="Symbol"/>
        <family val="1"/>
        <charset val="2"/>
      </rPr>
      <t>s</t>
    </r>
    <r>
      <rPr>
        <vertAlign val="subscript"/>
        <sz val="10"/>
        <rFont val="Times New Roman"/>
        <family val="1"/>
      </rPr>
      <t>r</t>
    </r>
    <r>
      <rPr>
        <sz val="10"/>
        <rFont val="Symbol"/>
        <family val="1"/>
        <charset val="2"/>
      </rPr>
      <t xml:space="preserve"> </t>
    </r>
    <r>
      <rPr>
        <sz val="10"/>
        <rFont val="Times New Roman"/>
      </rPr>
      <t>dz</t>
    </r>
  </si>
  <si>
    <t>Zero Yield</t>
  </si>
  <si>
    <t>Zero Yield Volatility</t>
  </si>
  <si>
    <t>a</t>
  </si>
  <si>
    <t>Zero-coupon bond price</t>
  </si>
  <si>
    <t xml:space="preserve">b </t>
  </si>
  <si>
    <t>r</t>
  </si>
  <si>
    <t>Zero yield</t>
  </si>
  <si>
    <t>zero life</t>
  </si>
  <si>
    <t>R(0,s)</t>
  </si>
  <si>
    <r>
      <t>s</t>
    </r>
    <r>
      <rPr>
        <vertAlign val="subscript"/>
        <sz val="10"/>
        <rFont val="Times New Roman"/>
        <family val="1"/>
      </rPr>
      <t>r</t>
    </r>
  </si>
  <si>
    <t>B(0,s)</t>
  </si>
  <si>
    <t>Zero yield (infinite maturity)</t>
  </si>
  <si>
    <t>A(0,s)</t>
  </si>
  <si>
    <r>
      <t>R(</t>
    </r>
    <r>
      <rPr>
        <sz val="10"/>
        <rFont val="Symbol"/>
        <family val="1"/>
        <charset val="2"/>
      </rPr>
      <t>¥</t>
    </r>
    <r>
      <rPr>
        <sz val="10"/>
        <rFont val="Times New Roman"/>
      </rPr>
      <t>)</t>
    </r>
  </si>
  <si>
    <t>Volatility of zero yield</t>
  </si>
  <si>
    <r>
      <t>s</t>
    </r>
    <r>
      <rPr>
        <vertAlign val="subscript"/>
        <sz val="10"/>
        <rFont val="Times New Roman"/>
        <family val="1"/>
      </rPr>
      <t>R</t>
    </r>
    <r>
      <rPr>
        <sz val="10"/>
        <rFont val="Times New Roman"/>
      </rPr>
      <t>(0,s)</t>
    </r>
  </si>
  <si>
    <t>Valuing European Options on Zero-Coupon Bonds (Jamshidian)</t>
  </si>
  <si>
    <t>b</t>
  </si>
  <si>
    <t>Option Exercise Price (X)</t>
  </si>
  <si>
    <t>Option value</t>
  </si>
  <si>
    <t>v(0,T)</t>
  </si>
  <si>
    <t>M</t>
  </si>
  <si>
    <t>B(T,s)</t>
  </si>
  <si>
    <t>V</t>
  </si>
  <si>
    <r>
      <t>s</t>
    </r>
    <r>
      <rPr>
        <sz val="10"/>
        <rFont val="Times New Roman"/>
      </rPr>
      <t>p</t>
    </r>
  </si>
  <si>
    <t>Valuing European Options on Coupon-Bearing Bonds (Jamshidian)</t>
  </si>
  <si>
    <t>(coupyr)</t>
  </si>
  <si>
    <t>r* via fn</t>
  </si>
  <si>
    <t>r* exercise price</t>
  </si>
  <si>
    <t>T</t>
  </si>
  <si>
    <t>sj</t>
  </si>
  <si>
    <t>P(r*,T,sj)</t>
  </si>
  <si>
    <t>Lj</t>
  </si>
  <si>
    <t>Strike (Xj)</t>
  </si>
  <si>
    <t>Option values</t>
  </si>
  <si>
    <t>Cox, Ingersoll and Ross Model : see Hull (4th edition) p570</t>
  </si>
  <si>
    <t>CIR Term Structure</t>
  </si>
  <si>
    <r>
      <t xml:space="preserve">dr = a(b-r) dt + </t>
    </r>
    <r>
      <rPr>
        <sz val="10"/>
        <rFont val="Symbol"/>
        <family val="1"/>
        <charset val="2"/>
      </rPr>
      <t xml:space="preserve">s </t>
    </r>
    <r>
      <rPr>
        <sz val="10"/>
        <rFont val="Times New Roman"/>
      </rPr>
      <t>sqrt(r) dz</t>
    </r>
  </si>
  <si>
    <t>s</t>
  </si>
  <si>
    <t>g</t>
  </si>
  <si>
    <r>
      <t>exp(</t>
    </r>
    <r>
      <rPr>
        <sz val="10"/>
        <rFont val="Symbol"/>
        <family val="1"/>
        <charset val="2"/>
      </rPr>
      <t>g</t>
    </r>
    <r>
      <rPr>
        <sz val="10"/>
        <rFont val="Times New Roman"/>
      </rPr>
      <t>(s-0))-1</t>
    </r>
  </si>
  <si>
    <t>Valuing European Options on Zero-Coupon Bonds (CIR)</t>
  </si>
  <si>
    <t>chi1</t>
  </si>
  <si>
    <t>calc1</t>
  </si>
  <si>
    <t>chi2</t>
  </si>
  <si>
    <t>A(T,s)</t>
  </si>
  <si>
    <t>c11</t>
  </si>
  <si>
    <t>c2</t>
  </si>
  <si>
    <t>f</t>
  </si>
  <si>
    <t>c31</t>
  </si>
  <si>
    <t>y</t>
  </si>
  <si>
    <t>c12</t>
  </si>
  <si>
    <t>r*</t>
  </si>
  <si>
    <t>c32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</si>
</sst>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0.0000"/>
    <numFmt numFmtId="173" formatCode="0.0"/>
    <numFmt numFmtId="174" formatCode="0.000"/>
  </numFmts>
  <fonts count="6" x14ac:knownFonts="1">
    <font>
      <sz val="10"/>
      <name val="Times New Roman"/>
    </font>
    <font>
      <b/>
      <sz val="10"/>
      <name val="Times New Roman"/>
    </font>
    <font>
      <sz val="10"/>
      <name val="Times New Roman"/>
    </font>
    <font>
      <sz val="10"/>
      <name val="Symbol"/>
      <family val="1"/>
      <charset val="2"/>
    </font>
    <font>
      <vertAlign val="subscript"/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0" quotePrefix="1" applyFont="1" applyAlignment="1">
      <alignment horizontal="left"/>
    </xf>
    <xf numFmtId="0" fontId="0" fillId="0" borderId="0" xfId="0" quotePrefix="1" applyAlignment="1">
      <alignment horizontal="left"/>
    </xf>
    <xf numFmtId="2" fontId="1" fillId="0" borderId="0" xfId="0" applyNumberFormat="1" applyFont="1"/>
    <xf numFmtId="0" fontId="1" fillId="0" borderId="0" xfId="0" applyFont="1"/>
    <xf numFmtId="0" fontId="0" fillId="0" borderId="0" xfId="0" applyAlignment="1">
      <alignment horizontal="right"/>
    </xf>
    <xf numFmtId="172" fontId="0" fillId="0" borderId="0" xfId="0" applyNumberFormat="1"/>
    <xf numFmtId="172" fontId="2" fillId="0" borderId="0" xfId="0" applyNumberFormat="1" applyFont="1"/>
    <xf numFmtId="172" fontId="1" fillId="0" borderId="0" xfId="0" applyNumberFormat="1" applyFont="1"/>
    <xf numFmtId="10" fontId="0" fillId="0" borderId="0" xfId="0" applyNumberFormat="1"/>
    <xf numFmtId="10" fontId="0" fillId="0" borderId="0" xfId="1" applyNumberFormat="1" applyFont="1"/>
    <xf numFmtId="10" fontId="1" fillId="0" borderId="0" xfId="1" applyNumberFormat="1" applyFont="1"/>
    <xf numFmtId="2" fontId="0" fillId="0" borderId="0" xfId="0" applyNumberFormat="1"/>
    <xf numFmtId="2" fontId="2" fillId="0" borderId="0" xfId="0" applyNumberFormat="1" applyFont="1"/>
    <xf numFmtId="0" fontId="3" fillId="0" borderId="0" xfId="0" quotePrefix="1" applyFont="1" applyAlignment="1">
      <alignment horizontal="left"/>
    </xf>
    <xf numFmtId="173" fontId="0" fillId="0" borderId="0" xfId="0" applyNumberFormat="1"/>
    <xf numFmtId="174" fontId="1" fillId="0" borderId="0" xfId="0" applyNumberFormat="1" applyFont="1"/>
    <xf numFmtId="0" fontId="0" fillId="0" borderId="0" xfId="0" quotePrefix="1" applyAlignment="1">
      <alignment horizontal="right"/>
    </xf>
    <xf numFmtId="0" fontId="0" fillId="0" borderId="0" xfId="0" quotePrefix="1" applyAlignment="1">
      <alignment horizontal="center"/>
    </xf>
    <xf numFmtId="0" fontId="3" fillId="0" borderId="0" xfId="0" applyFont="1" applyAlignment="1">
      <alignment horizontal="left"/>
    </xf>
    <xf numFmtId="10" fontId="2" fillId="0" borderId="0" xfId="1" applyNumberFormat="1" applyFont="1"/>
    <xf numFmtId="0" fontId="0" fillId="0" borderId="0" xfId="0" applyAlignment="1">
      <alignment horizontal="left"/>
    </xf>
    <xf numFmtId="0" fontId="2" fillId="0" borderId="0" xfId="0" applyFont="1"/>
    <xf numFmtId="10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quotePrefix="1" applyFont="1" applyAlignment="1">
      <alignment horizontal="right"/>
    </xf>
    <xf numFmtId="10" fontId="1" fillId="0" borderId="0" xfId="0" applyNumberFormat="1" applyFont="1" applyAlignment="1">
      <alignment horizontal="right"/>
    </xf>
    <xf numFmtId="1" fontId="0" fillId="0" borderId="0" xfId="0" applyNumberFormat="1"/>
    <xf numFmtId="10" fontId="1" fillId="0" borderId="0" xfId="0" quotePrefix="1" applyNumberFormat="1" applyFont="1"/>
    <xf numFmtId="2" fontId="1" fillId="0" borderId="0" xfId="0" quotePrefix="1" applyNumberFormat="1" applyFont="1"/>
    <xf numFmtId="174" fontId="0" fillId="0" borderId="0" xfId="0" applyNumberFormat="1"/>
    <xf numFmtId="174" fontId="2" fillId="0" borderId="0" xfId="0" applyNumberFormat="1" applyFont="1"/>
    <xf numFmtId="0" fontId="5" fillId="0" borderId="0" xfId="0" applyFont="1"/>
    <xf numFmtId="10" fontId="2" fillId="0" borderId="0" xfId="0" quotePrefix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5" Type="http://schemas.openxmlformats.org/officeDocument/2006/relationships/chartsheet" Target="chartsheets/sheet2.xml"/><Relationship Id="rId10" Type="http://schemas.openxmlformats.org/officeDocument/2006/relationships/calcChain" Target="calcChain.xml"/><Relationship Id="rId4" Type="http://schemas.openxmlformats.org/officeDocument/2006/relationships/chartsheet" Target="chartsheets/sheet1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GB"/>
              <a:t>Term Structure of Interest Rates</a:t>
            </a:r>
          </a:p>
        </c:rich>
      </c:tx>
      <c:layout>
        <c:manualLayout>
          <c:xMode val="edge"/>
          <c:yMode val="edge"/>
          <c:x val="0.38275862068965516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1379310344827586E-2"/>
          <c:y val="0.13800904977375567"/>
          <c:w val="0.91034482758620694"/>
          <c:h val="0.71493212669683259"/>
        </c:manualLayout>
      </c:layout>
      <c:scatterChart>
        <c:scatterStyle val="lineMarker"/>
        <c:varyColors val="0"/>
        <c:ser>
          <c:idx val="0"/>
          <c:order val="0"/>
          <c:tx>
            <c:v>Zero Yields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Intro!$B$5:$B$14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Intro!$F$5:$F$14</c:f>
              <c:numCache>
                <c:formatCode>0.00%</c:formatCode>
                <c:ptCount val="10"/>
                <c:pt idx="0">
                  <c:v>6.0812139396757475E-2</c:v>
                </c:pt>
                <c:pt idx="1">
                  <c:v>6.1083816987103766E-2</c:v>
                </c:pt>
                <c:pt idx="2">
                  <c:v>6.2109859397164492E-2</c:v>
                </c:pt>
                <c:pt idx="3">
                  <c:v>6.3078732153622391E-2</c:v>
                </c:pt>
                <c:pt idx="4">
                  <c:v>6.4041052831468201E-2</c:v>
                </c:pt>
                <c:pt idx="5">
                  <c:v>6.501400101164366E-2</c:v>
                </c:pt>
                <c:pt idx="6">
                  <c:v>6.6005065656651235E-2</c:v>
                </c:pt>
                <c:pt idx="7">
                  <c:v>6.7017928968785084E-2</c:v>
                </c:pt>
                <c:pt idx="8">
                  <c:v>6.8054364171387868E-2</c:v>
                </c:pt>
                <c:pt idx="9">
                  <c:v>6.8915515929040785E-2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F2-40E7-B1E0-D0CDCA273E8B}"/>
            </c:ext>
          </c:extLst>
        </c:ser>
        <c:ser>
          <c:idx val="1"/>
          <c:order val="1"/>
          <c:tx>
            <c:v>Forward Rates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Intro!$B$5:$B$14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Intro!$H$5:$H$14</c:f>
              <c:numCache>
                <c:formatCode>0.00%</c:formatCode>
                <c:ptCount val="10"/>
                <c:pt idx="0">
                  <c:v>6.0812139396757475E-2</c:v>
                </c:pt>
                <c:pt idx="1">
                  <c:v>6.1355494577450077E-2</c:v>
                </c:pt>
                <c:pt idx="2">
                  <c:v>6.4161944217286007E-2</c:v>
                </c:pt>
                <c:pt idx="3">
                  <c:v>6.5985350422996136E-2</c:v>
                </c:pt>
                <c:pt idx="4">
                  <c:v>6.7890335542851454E-2</c:v>
                </c:pt>
                <c:pt idx="5">
                  <c:v>6.9878741912521053E-2</c:v>
                </c:pt>
                <c:pt idx="6">
                  <c:v>7.1951453526696713E-2</c:v>
                </c:pt>
                <c:pt idx="7">
                  <c:v>7.410797215372196E-2</c:v>
                </c:pt>
                <c:pt idx="8">
                  <c:v>7.6345845792210126E-2</c:v>
                </c:pt>
                <c:pt idx="9">
                  <c:v>7.6665881747917136E-2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F2-40E7-B1E0-D0CDCA273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4868047"/>
        <c:axId val="1"/>
      </c:scatterChart>
      <c:valAx>
        <c:axId val="884868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Maturity</a:t>
                </a:r>
              </a:p>
            </c:rich>
          </c:tx>
          <c:layout>
            <c:manualLayout>
              <c:xMode val="edge"/>
              <c:yMode val="edge"/>
              <c:x val="0.4689655172413793"/>
              <c:y val="0.907239819004524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0.08"/>
          <c:min val="0.05"/>
        </c:scaling>
        <c:delete val="0"/>
        <c:axPos val="l"/>
        <c:numFmt formatCode="0%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84868047"/>
        <c:crosses val="autoZero"/>
        <c:crossBetween val="midCat"/>
        <c:majorUnit val="0.01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1586206896551722"/>
          <c:y val="0.95248868778280538"/>
          <c:w val="0.33793103448275863"/>
          <c:h val="4.185520361990949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GB"/>
              <a:t>Vasicek - Term Structure</a:t>
            </a:r>
          </a:p>
        </c:rich>
      </c:tx>
      <c:layout>
        <c:manualLayout>
          <c:xMode val="edge"/>
          <c:yMode val="edge"/>
          <c:x val="0.40827586206896554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1724137931034482E-2"/>
          <c:y val="0.13800904977375567"/>
          <c:w val="0.92827586206896551"/>
          <c:h val="0.74886877828054299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Vasicek!$G$5:$G$17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</c:numCache>
            </c:numRef>
          </c:xVal>
          <c:yVal>
            <c:numRef>
              <c:f>Vasicek!$H$5:$H$17</c:f>
              <c:numCache>
                <c:formatCode>0.00%</c:formatCode>
                <c:ptCount val="13"/>
                <c:pt idx="0">
                  <c:v>0.06</c:v>
                </c:pt>
                <c:pt idx="1">
                  <c:v>6.2170425304373729E-2</c:v>
                </c:pt>
                <c:pt idx="2">
                  <c:v>6.4006040341685097E-2</c:v>
                </c:pt>
                <c:pt idx="3">
                  <c:v>6.5569827844878095E-2</c:v>
                </c:pt>
                <c:pt idx="4">
                  <c:v>6.6911267738218233E-2</c:v>
                </c:pt>
                <c:pt idx="5">
                  <c:v>6.8069495725362333E-2</c:v>
                </c:pt>
                <c:pt idx="6">
                  <c:v>6.9075679434441262E-2</c:v>
                </c:pt>
                <c:pt idx="7">
                  <c:v>6.9954813387254552E-2</c:v>
                </c:pt>
                <c:pt idx="8">
                  <c:v>7.0727080963389158E-2</c:v>
                </c:pt>
                <c:pt idx="9">
                  <c:v>7.1408892689069858E-2</c:v>
                </c:pt>
                <c:pt idx="10">
                  <c:v>7.2013681718581385E-2</c:v>
                </c:pt>
                <c:pt idx="11">
                  <c:v>7.5556081064961145E-2</c:v>
                </c:pt>
                <c:pt idx="12">
                  <c:v>7.7057132134308898E-2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B2-4E83-B8E7-2E008D1B7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262415"/>
        <c:axId val="1"/>
      </c:scatterChart>
      <c:valAx>
        <c:axId val="782262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Bond Maturity</a:t>
                </a:r>
              </a:p>
            </c:rich>
          </c:tx>
          <c:layout>
            <c:manualLayout>
              <c:xMode val="edge"/>
              <c:yMode val="edge"/>
              <c:x val="0.47172413793103446"/>
              <c:y val="0.9411764705882352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0.09"/>
          <c:min val="0.06"/>
        </c:scaling>
        <c:delete val="0"/>
        <c:axPos val="l"/>
        <c:numFmt formatCode="0.0%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82262415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GB"/>
              <a:t>CIR - Term Structure</a:t>
            </a:r>
          </a:p>
        </c:rich>
      </c:tx>
      <c:layout>
        <c:manualLayout>
          <c:xMode val="edge"/>
          <c:yMode val="edge"/>
          <c:x val="0.4206896551724138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1724137931034482E-2"/>
          <c:y val="0.13800904977375567"/>
          <c:w val="0.92827586206896551"/>
          <c:h val="0.74886877828054299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CIR!$G$5:$G$17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</c:numCache>
            </c:numRef>
          </c:xVal>
          <c:yVal>
            <c:numRef>
              <c:f>CIR!$H$5:$H$17</c:f>
              <c:numCache>
                <c:formatCode>0.00%</c:formatCode>
                <c:ptCount val="13"/>
                <c:pt idx="0">
                  <c:v>0.06</c:v>
                </c:pt>
                <c:pt idx="1">
                  <c:v>6.2191267741903103E-2</c:v>
                </c:pt>
                <c:pt idx="2">
                  <c:v>6.3972393379838108E-2</c:v>
                </c:pt>
                <c:pt idx="3">
                  <c:v>6.5433174451143453E-2</c:v>
                </c:pt>
                <c:pt idx="4">
                  <c:v>6.6641822939314713E-2</c:v>
                </c:pt>
                <c:pt idx="5">
                  <c:v>6.7650364542272717E-2</c:v>
                </c:pt>
                <c:pt idx="6">
                  <c:v>6.8498727792436861E-2</c:v>
                </c:pt>
                <c:pt idx="7">
                  <c:v>6.9217790075422045E-2</c:v>
                </c:pt>
                <c:pt idx="8">
                  <c:v>6.9831627670418256E-2</c:v>
                </c:pt>
                <c:pt idx="9">
                  <c:v>7.0359173624106292E-2</c:v>
                </c:pt>
                <c:pt idx="10">
                  <c:v>7.0815441383172015E-2</c:v>
                </c:pt>
                <c:pt idx="11">
                  <c:v>7.3254039309548963E-2</c:v>
                </c:pt>
                <c:pt idx="12">
                  <c:v>7.4171616256395956E-2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F1-436A-8543-FBE607660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259503"/>
        <c:axId val="1"/>
      </c:scatterChart>
      <c:valAx>
        <c:axId val="782259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Bond Maturity</a:t>
                </a:r>
              </a:p>
            </c:rich>
          </c:tx>
          <c:layout>
            <c:manualLayout>
              <c:xMode val="edge"/>
              <c:yMode val="edge"/>
              <c:x val="0.47172413793103446"/>
              <c:y val="0.9411764705882352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0.09"/>
          <c:min val="0.06"/>
        </c:scaling>
        <c:delete val="0"/>
        <c:axPos val="l"/>
        <c:numFmt formatCode="0.0%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82259503"/>
        <c:crosses val="autoZero"/>
        <c:crossBetween val="midCat"/>
        <c:majorUnit val="5.0000000000000001E-3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8" workbookViewId="0"/>
  </sheetViews>
  <pageMargins left="0.75" right="0.75" top="1" bottom="1" header="0.5" footer="0.5"/>
  <pageSetup paperSize="9" orientation="landscape" horizontalDpi="300" verticalDpi="300" r:id="rId1"/>
  <headerFooter alignWithMargins="0">
    <oddHeader>&amp;A</oddHeader>
    <oddFooter>Page &amp;P</oddFooter>
  </headerFooter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8" workbookViewId="0"/>
  </sheetViews>
  <pageMargins left="0.75" right="0.75" top="1" bottom="1" header="0.5" footer="0.5"/>
  <headerFooter alignWithMargins="0">
    <oddHeader>&amp;A</oddHeader>
    <oddFooter>Page &amp;P</oddFooter>
  </headerFooter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98" workbookViewId="0"/>
  </sheetViews>
  <pageMargins left="0.75" right="0.75" top="1" bottom="1" header="0.5" footer="0.5"/>
  <headerFooter alignWithMargins="0">
    <oddHeader>&amp;A</oddHeader>
    <oddFooter>Page &amp;P</oddFooter>
  </headerFooter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A21E32-DA2E-450F-B17A-05D6FFDFA8D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B81C0C-3AA2-4F0E-8DC3-87CEE0E6CF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0F5BEE-9301-44CF-BF76-77487C90F7B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10"/>
  <sheetViews>
    <sheetView tabSelected="1" workbookViewId="0"/>
  </sheetViews>
  <sheetFormatPr defaultRowHeight="13" x14ac:dyDescent="0.3"/>
  <cols>
    <col min="1" max="1" width="24.796875" customWidth="1"/>
    <col min="2" max="2" width="9.296875" customWidth="1"/>
    <col min="6" max="6" width="14.796875" customWidth="1"/>
    <col min="8" max="8" width="14.796875" customWidth="1"/>
    <col min="10" max="10" width="14.796875" customWidth="1"/>
    <col min="11" max="11" width="11.69921875" customWidth="1"/>
    <col min="12" max="12" width="10.5" customWidth="1"/>
  </cols>
  <sheetData>
    <row r="1" spans="1:15" x14ac:dyDescent="0.3">
      <c r="A1" s="4" t="s">
        <v>0</v>
      </c>
    </row>
    <row r="2" spans="1:15" x14ac:dyDescent="0.3">
      <c r="A2" s="4" t="s">
        <v>1</v>
      </c>
    </row>
    <row r="3" spans="1:15" x14ac:dyDescent="0.3">
      <c r="B3" s="24" t="s">
        <v>2</v>
      </c>
      <c r="C3" s="4"/>
      <c r="D3" s="25" t="s">
        <v>3</v>
      </c>
      <c r="E3" s="4"/>
      <c r="F3" s="25" t="s">
        <v>4</v>
      </c>
      <c r="G3" s="4"/>
      <c r="H3" s="25" t="s">
        <v>5</v>
      </c>
      <c r="I3" s="4"/>
      <c r="J3" s="25" t="s">
        <v>4</v>
      </c>
    </row>
    <row r="4" spans="1:15" x14ac:dyDescent="0.3">
      <c r="B4" s="24"/>
      <c r="C4" s="4"/>
      <c r="D4" s="25"/>
      <c r="E4" s="4"/>
      <c r="F4" s="25" t="s">
        <v>6</v>
      </c>
      <c r="G4" s="4"/>
      <c r="H4" s="25" t="s">
        <v>6</v>
      </c>
      <c r="I4" s="4"/>
      <c r="J4" s="25" t="s">
        <v>7</v>
      </c>
    </row>
    <row r="5" spans="1:15" x14ac:dyDescent="0.3">
      <c r="B5" s="22">
        <v>1</v>
      </c>
      <c r="D5" s="16">
        <v>0.94099999999999995</v>
      </c>
      <c r="F5" s="28">
        <f>-LN(D5)/B5</f>
        <v>6.0812139396757475E-2</v>
      </c>
      <c r="H5" s="23">
        <f>F5</f>
        <v>6.0812139396757475E-2</v>
      </c>
      <c r="J5" s="9">
        <f>EXP(F5)-1</f>
        <v>6.2699256110520851E-2</v>
      </c>
      <c r="N5">
        <f>ROUND(M5,3)</f>
        <v>0</v>
      </c>
      <c r="O5" t="e">
        <f>-LN(N5)/B5</f>
        <v>#NUM!</v>
      </c>
    </row>
    <row r="6" spans="1:15" x14ac:dyDescent="0.3">
      <c r="B6" s="22">
        <v>2</v>
      </c>
      <c r="D6" s="16">
        <v>0.88500000000000001</v>
      </c>
      <c r="F6" s="9">
        <f t="shared" ref="F6:F14" si="0">-LN(D6)/B6</f>
        <v>6.1083816987103766E-2</v>
      </c>
      <c r="H6" s="28">
        <f>-LN(D6/D5)</f>
        <v>6.1355494577450077E-2</v>
      </c>
      <c r="J6" s="9">
        <f t="shared" ref="J6:J14" si="1">EXP(F6)-1</f>
        <v>6.2988006905467797E-2</v>
      </c>
      <c r="N6">
        <f t="shared" ref="N6:N14" si="2">ROUND(M6,3)</f>
        <v>0</v>
      </c>
      <c r="O6" t="e">
        <f t="shared" ref="O6:O14" si="3">-LN(N6)/B6</f>
        <v>#NUM!</v>
      </c>
    </row>
    <row r="7" spans="1:15" x14ac:dyDescent="0.3">
      <c r="B7" s="22">
        <v>3</v>
      </c>
      <c r="D7" s="16">
        <v>0.83</v>
      </c>
      <c r="F7" s="9">
        <f t="shared" si="0"/>
        <v>6.2109859397164492E-2</v>
      </c>
      <c r="H7" s="33">
        <f t="shared" ref="H7:H14" si="4">-LN(D7/D6)</f>
        <v>6.4161944217286007E-2</v>
      </c>
      <c r="J7" s="9">
        <f t="shared" si="1"/>
        <v>6.4079237410593404E-2</v>
      </c>
      <c r="N7">
        <f t="shared" si="2"/>
        <v>0</v>
      </c>
      <c r="O7" t="e">
        <f t="shared" si="3"/>
        <v>#NUM!</v>
      </c>
    </row>
    <row r="8" spans="1:15" x14ac:dyDescent="0.3">
      <c r="B8" s="22">
        <v>4</v>
      </c>
      <c r="D8" s="16">
        <v>0.77700000000000002</v>
      </c>
      <c r="F8" s="9">
        <f t="shared" si="0"/>
        <v>6.3078732153622391E-2</v>
      </c>
      <c r="H8" s="33">
        <f t="shared" si="4"/>
        <v>6.5985350422996136E-2</v>
      </c>
      <c r="J8" s="9">
        <f t="shared" si="1"/>
        <v>6.5110694389029167E-2</v>
      </c>
      <c r="N8">
        <f t="shared" si="2"/>
        <v>0</v>
      </c>
      <c r="O8" t="e">
        <f t="shared" si="3"/>
        <v>#NUM!</v>
      </c>
    </row>
    <row r="9" spans="1:15" x14ac:dyDescent="0.3">
      <c r="B9" s="22">
        <v>5</v>
      </c>
      <c r="D9" s="16">
        <v>0.72599999999999998</v>
      </c>
      <c r="F9" s="9">
        <f t="shared" si="0"/>
        <v>6.4041052831468201E-2</v>
      </c>
      <c r="H9" s="33">
        <f t="shared" si="4"/>
        <v>6.7890335542851454E-2</v>
      </c>
      <c r="J9" s="9">
        <f t="shared" si="1"/>
        <v>6.6136165771454758E-2</v>
      </c>
      <c r="N9">
        <f t="shared" si="2"/>
        <v>0</v>
      </c>
      <c r="O9" t="e">
        <f t="shared" si="3"/>
        <v>#NUM!</v>
      </c>
    </row>
    <row r="10" spans="1:15" x14ac:dyDescent="0.3">
      <c r="B10" s="22">
        <v>6</v>
      </c>
      <c r="D10" s="16">
        <v>0.67700000000000005</v>
      </c>
      <c r="F10" s="9">
        <f t="shared" si="0"/>
        <v>6.501400101164366E-2</v>
      </c>
      <c r="H10" s="33">
        <f t="shared" si="4"/>
        <v>6.9878741912521053E-2</v>
      </c>
      <c r="J10" s="9">
        <f t="shared" si="1"/>
        <v>6.7173965794715906E-2</v>
      </c>
      <c r="N10">
        <f t="shared" si="2"/>
        <v>0</v>
      </c>
      <c r="O10" t="e">
        <f t="shared" si="3"/>
        <v>#NUM!</v>
      </c>
    </row>
    <row r="11" spans="1:15" x14ac:dyDescent="0.3">
      <c r="B11" s="22">
        <v>7</v>
      </c>
      <c r="D11" s="16">
        <v>0.63</v>
      </c>
      <c r="F11" s="9">
        <f t="shared" si="0"/>
        <v>6.6005065656651235E-2</v>
      </c>
      <c r="H11" s="33">
        <f t="shared" si="4"/>
        <v>7.1951453526696713E-2</v>
      </c>
      <c r="J11" s="9">
        <f t="shared" si="1"/>
        <v>6.8232128449474017E-2</v>
      </c>
      <c r="N11">
        <f t="shared" si="2"/>
        <v>0</v>
      </c>
      <c r="O11" t="e">
        <f t="shared" si="3"/>
        <v>#NUM!</v>
      </c>
    </row>
    <row r="12" spans="1:15" x14ac:dyDescent="0.3">
      <c r="B12" s="22">
        <v>8</v>
      </c>
      <c r="D12" s="16">
        <v>0.58499999999999996</v>
      </c>
      <c r="F12" s="9">
        <f t="shared" si="0"/>
        <v>6.7017928968785084E-2</v>
      </c>
      <c r="H12" s="33">
        <f t="shared" si="4"/>
        <v>7.410797215372196E-2</v>
      </c>
      <c r="J12" s="9">
        <f t="shared" si="1"/>
        <v>6.931464971171275E-2</v>
      </c>
      <c r="N12">
        <f t="shared" si="2"/>
        <v>0</v>
      </c>
      <c r="O12" t="e">
        <f t="shared" si="3"/>
        <v>#NUM!</v>
      </c>
    </row>
    <row r="13" spans="1:15" x14ac:dyDescent="0.3">
      <c r="B13" s="22">
        <v>9</v>
      </c>
      <c r="D13" s="16">
        <v>0.54200000000000004</v>
      </c>
      <c r="F13" s="9">
        <f t="shared" si="0"/>
        <v>6.8054364171387868E-2</v>
      </c>
      <c r="H13" s="33">
        <f t="shared" si="4"/>
        <v>7.6345845792210126E-2</v>
      </c>
      <c r="J13" s="9">
        <f t="shared" si="1"/>
        <v>7.0423499583593507E-2</v>
      </c>
      <c r="N13">
        <f t="shared" si="2"/>
        <v>0</v>
      </c>
      <c r="O13" t="e">
        <f t="shared" si="3"/>
        <v>#NUM!</v>
      </c>
    </row>
    <row r="14" spans="1:15" x14ac:dyDescent="0.3">
      <c r="B14" s="22">
        <v>10</v>
      </c>
      <c r="D14" s="16">
        <v>0.502</v>
      </c>
      <c r="F14" s="9">
        <f t="shared" si="0"/>
        <v>6.8915515929040785E-2</v>
      </c>
      <c r="H14" s="33">
        <f t="shared" si="4"/>
        <v>7.6665881747917136E-2</v>
      </c>
      <c r="J14" s="9">
        <f t="shared" si="1"/>
        <v>7.1345693679235822E-2</v>
      </c>
      <c r="N14">
        <f t="shared" si="2"/>
        <v>0</v>
      </c>
      <c r="O14" t="e">
        <f t="shared" si="3"/>
        <v>#NUM!</v>
      </c>
    </row>
    <row r="15" spans="1:15" x14ac:dyDescent="0.3">
      <c r="E15" s="28"/>
      <c r="G15" s="28"/>
      <c r="I15" s="28"/>
    </row>
    <row r="17" spans="1:12" x14ac:dyDescent="0.3">
      <c r="A17" s="4" t="s">
        <v>8</v>
      </c>
    </row>
    <row r="18" spans="1:12" x14ac:dyDescent="0.3">
      <c r="A18" s="2" t="s">
        <v>9</v>
      </c>
      <c r="B18" s="27">
        <v>0</v>
      </c>
      <c r="F18" s="25" t="s">
        <v>10</v>
      </c>
      <c r="H18" s="24" t="s">
        <v>11</v>
      </c>
      <c r="J18" s="25" t="s">
        <v>10</v>
      </c>
    </row>
    <row r="19" spans="1:12" x14ac:dyDescent="0.3">
      <c r="A19" s="2" t="s">
        <v>12</v>
      </c>
      <c r="B19" s="27">
        <v>10</v>
      </c>
      <c r="F19" s="25" t="s">
        <v>13</v>
      </c>
      <c r="H19" s="24" t="s">
        <v>14</v>
      </c>
      <c r="J19" s="25" t="s">
        <v>15</v>
      </c>
    </row>
    <row r="20" spans="1:12" x14ac:dyDescent="0.3">
      <c r="A20" s="2" t="s">
        <v>16</v>
      </c>
      <c r="B20" s="12">
        <v>1</v>
      </c>
      <c r="F20" s="16">
        <f>SUM(F25:F34)</f>
        <v>0.85675000000000001</v>
      </c>
      <c r="H20" s="26">
        <f>LN(1+IRR(H24:H34))</f>
        <v>6.8066766331282891E-2</v>
      </c>
      <c r="J20" s="16">
        <f>SUM(J25:J34)</f>
        <v>0.85674999998807377</v>
      </c>
      <c r="L20" s="9"/>
    </row>
    <row r="21" spans="1:12" x14ac:dyDescent="0.3">
      <c r="A21" s="2" t="s">
        <v>17</v>
      </c>
      <c r="B21" s="12">
        <v>0.05</v>
      </c>
      <c r="H21" s="17" t="s">
        <v>18</v>
      </c>
    </row>
    <row r="22" spans="1:12" x14ac:dyDescent="0.3">
      <c r="A22" s="2"/>
      <c r="B22" s="27"/>
      <c r="D22" s="4" t="s">
        <v>3</v>
      </c>
      <c r="F22" s="25" t="s">
        <v>19</v>
      </c>
      <c r="H22" s="4" t="s">
        <v>20</v>
      </c>
      <c r="J22" s="25" t="s">
        <v>19</v>
      </c>
    </row>
    <row r="23" spans="1:12" x14ac:dyDescent="0.3">
      <c r="F23" s="25" t="s">
        <v>21</v>
      </c>
      <c r="J23" s="25" t="s">
        <v>21</v>
      </c>
    </row>
    <row r="24" spans="1:12" x14ac:dyDescent="0.3">
      <c r="B24">
        <v>0</v>
      </c>
      <c r="F24" s="30"/>
      <c r="G24" s="30"/>
      <c r="H24" s="30">
        <f>-F20</f>
        <v>-0.85675000000000001</v>
      </c>
      <c r="I24" s="30"/>
      <c r="J24" s="30"/>
    </row>
    <row r="25" spans="1:12" x14ac:dyDescent="0.3">
      <c r="B25">
        <v>1</v>
      </c>
      <c r="D25" s="30">
        <f t="shared" ref="D25:D34" si="5">D5</f>
        <v>0.94099999999999995</v>
      </c>
      <c r="F25" s="30">
        <f t="shared" ref="F25:F34" si="6">H25*D25</f>
        <v>4.7050000000000002E-2</v>
      </c>
      <c r="G25" s="30"/>
      <c r="H25" s="30">
        <f t="shared" ref="H25:H33" si="7">$B$21</f>
        <v>0.05</v>
      </c>
      <c r="I25" s="30"/>
      <c r="J25" s="30">
        <f t="shared" ref="J25:J34" si="8">H25*EXP(-$H$20*B25)</f>
        <v>4.670990492576152E-2</v>
      </c>
    </row>
    <row r="26" spans="1:12" x14ac:dyDescent="0.3">
      <c r="B26">
        <v>2</v>
      </c>
      <c r="D26" s="30">
        <f t="shared" si="5"/>
        <v>0.88500000000000001</v>
      </c>
      <c r="F26" s="30">
        <f t="shared" si="6"/>
        <v>4.4250000000000005E-2</v>
      </c>
      <c r="G26" s="30"/>
      <c r="H26" s="30">
        <f t="shared" si="7"/>
        <v>0.05</v>
      </c>
      <c r="I26" s="30"/>
      <c r="J26" s="30">
        <f t="shared" si="8"/>
        <v>4.3636304363473606E-2</v>
      </c>
    </row>
    <row r="27" spans="1:12" x14ac:dyDescent="0.3">
      <c r="B27">
        <v>3</v>
      </c>
      <c r="D27" s="30">
        <f t="shared" si="5"/>
        <v>0.83</v>
      </c>
      <c r="F27" s="30">
        <f t="shared" si="6"/>
        <v>4.1500000000000002E-2</v>
      </c>
      <c r="G27" s="30"/>
      <c r="H27" s="30">
        <f t="shared" si="7"/>
        <v>0.05</v>
      </c>
      <c r="I27" s="30"/>
      <c r="J27" s="30">
        <f t="shared" si="8"/>
        <v>4.0764952562588892E-2</v>
      </c>
    </row>
    <row r="28" spans="1:12" x14ac:dyDescent="0.3">
      <c r="B28">
        <v>4</v>
      </c>
      <c r="D28" s="30">
        <f t="shared" si="5"/>
        <v>0.77700000000000002</v>
      </c>
      <c r="F28" s="30">
        <f t="shared" si="6"/>
        <v>3.8850000000000003E-2</v>
      </c>
      <c r="G28" s="30"/>
      <c r="H28" s="30">
        <f t="shared" si="7"/>
        <v>0.05</v>
      </c>
      <c r="I28" s="30"/>
      <c r="J28" s="30">
        <f t="shared" si="8"/>
        <v>3.8082541170034109E-2</v>
      </c>
    </row>
    <row r="29" spans="1:12" x14ac:dyDescent="0.3">
      <c r="B29">
        <v>5</v>
      </c>
      <c r="D29" s="30">
        <f t="shared" si="5"/>
        <v>0.72599999999999998</v>
      </c>
      <c r="F29" s="30">
        <f t="shared" si="6"/>
        <v>3.6299999999999999E-2</v>
      </c>
      <c r="G29" s="30"/>
      <c r="H29" s="30">
        <f t="shared" si="7"/>
        <v>0.05</v>
      </c>
      <c r="I29" s="30"/>
      <c r="J29" s="30">
        <f t="shared" si="8"/>
        <v>3.5576637547673838E-2</v>
      </c>
    </row>
    <row r="30" spans="1:12" x14ac:dyDescent="0.3">
      <c r="B30">
        <v>6</v>
      </c>
      <c r="D30" s="30">
        <f t="shared" si="5"/>
        <v>0.67700000000000005</v>
      </c>
      <c r="F30" s="30">
        <f t="shared" si="6"/>
        <v>3.3850000000000005E-2</v>
      </c>
      <c r="G30" s="30"/>
      <c r="H30" s="30">
        <f t="shared" si="7"/>
        <v>0.05</v>
      </c>
      <c r="I30" s="30"/>
      <c r="J30" s="30">
        <f t="shared" si="8"/>
        <v>3.3235627148602453E-2</v>
      </c>
    </row>
    <row r="31" spans="1:12" x14ac:dyDescent="0.3">
      <c r="B31">
        <v>7</v>
      </c>
      <c r="D31" s="30">
        <f t="shared" si="5"/>
        <v>0.63</v>
      </c>
      <c r="F31" s="30">
        <f t="shared" si="6"/>
        <v>3.15E-2</v>
      </c>
      <c r="G31" s="30"/>
      <c r="H31" s="30">
        <f t="shared" si="7"/>
        <v>0.05</v>
      </c>
      <c r="I31" s="30"/>
      <c r="J31" s="30">
        <f t="shared" si="8"/>
        <v>3.1048659685185578E-2</v>
      </c>
    </row>
    <row r="32" spans="1:12" x14ac:dyDescent="0.3">
      <c r="B32">
        <v>8</v>
      </c>
      <c r="D32" s="30">
        <f t="shared" si="5"/>
        <v>0.58499999999999996</v>
      </c>
      <c r="F32" s="30">
        <f t="shared" si="6"/>
        <v>2.9249999999999998E-2</v>
      </c>
      <c r="G32" s="30"/>
      <c r="H32" s="30">
        <f t="shared" si="7"/>
        <v>0.05</v>
      </c>
      <c r="I32" s="30"/>
      <c r="J32" s="30">
        <f t="shared" si="8"/>
        <v>2.900559883934686E-2</v>
      </c>
    </row>
    <row r="33" spans="1:10" x14ac:dyDescent="0.3">
      <c r="B33">
        <v>9</v>
      </c>
      <c r="D33" s="30">
        <f t="shared" si="5"/>
        <v>0.54200000000000004</v>
      </c>
      <c r="F33" s="30">
        <f t="shared" si="6"/>
        <v>2.7100000000000003E-2</v>
      </c>
      <c r="G33" s="30"/>
      <c r="H33" s="30">
        <f t="shared" si="7"/>
        <v>0.05</v>
      </c>
      <c r="I33" s="30"/>
      <c r="J33" s="30">
        <f t="shared" si="8"/>
        <v>2.7096975282013408E-2</v>
      </c>
    </row>
    <row r="34" spans="1:10" x14ac:dyDescent="0.3">
      <c r="B34">
        <v>10</v>
      </c>
      <c r="D34" s="30">
        <f t="shared" si="5"/>
        <v>0.502</v>
      </c>
      <c r="F34" s="30">
        <f t="shared" si="6"/>
        <v>0.52710000000000001</v>
      </c>
      <c r="G34" s="30"/>
      <c r="H34" s="30">
        <f>B20+B21</f>
        <v>1.05</v>
      </c>
      <c r="I34" s="30"/>
      <c r="J34" s="30">
        <f t="shared" si="8"/>
        <v>0.53159279846339358</v>
      </c>
    </row>
    <row r="37" spans="1:10" x14ac:dyDescent="0.3">
      <c r="A37" s="4" t="s">
        <v>22</v>
      </c>
    </row>
    <row r="39" spans="1:10" x14ac:dyDescent="0.3">
      <c r="A39" t="s">
        <v>23</v>
      </c>
      <c r="B39">
        <v>0.5</v>
      </c>
    </row>
    <row r="40" spans="1:10" x14ac:dyDescent="0.3">
      <c r="A40" t="s">
        <v>24</v>
      </c>
      <c r="B40">
        <f>1-B39</f>
        <v>0.5</v>
      </c>
    </row>
    <row r="42" spans="1:10" x14ac:dyDescent="0.3">
      <c r="A42" s="4" t="s">
        <v>25</v>
      </c>
      <c r="B42" s="4"/>
      <c r="C42" s="4"/>
      <c r="D42" s="4"/>
      <c r="E42" s="4"/>
    </row>
    <row r="43" spans="1:10" x14ac:dyDescent="0.3">
      <c r="A43" s="4">
        <v>0</v>
      </c>
      <c r="B43" s="4">
        <v>1</v>
      </c>
      <c r="C43" s="4">
        <v>2</v>
      </c>
      <c r="D43" s="4">
        <v>3</v>
      </c>
      <c r="E43" s="4">
        <v>4</v>
      </c>
    </row>
    <row r="45" spans="1:10" x14ac:dyDescent="0.3">
      <c r="A45" s="1" t="s">
        <v>26</v>
      </c>
    </row>
    <row r="46" spans="1:10" x14ac:dyDescent="0.3">
      <c r="B46" s="9">
        <v>6.0812139396757475E-2</v>
      </c>
      <c r="C46" s="9">
        <v>7.1749056135027606E-2</v>
      </c>
      <c r="D46" s="9">
        <v>8.6418318224634097E-2</v>
      </c>
      <c r="E46" s="9">
        <v>0.10075290813297832</v>
      </c>
    </row>
    <row r="47" spans="1:10" x14ac:dyDescent="0.3">
      <c r="B47" s="9"/>
      <c r="C47" s="9">
        <v>5.1068848843141217E-2</v>
      </c>
      <c r="D47" s="9">
        <v>6.2752578564345851E-2</v>
      </c>
      <c r="E47" s="9">
        <v>7.4639590131581612E-2</v>
      </c>
    </row>
    <row r="48" spans="1:10" x14ac:dyDescent="0.3">
      <c r="B48" s="9"/>
      <c r="C48" s="9"/>
      <c r="D48" s="9">
        <v>4.5567724498390881E-2</v>
      </c>
      <c r="E48" s="9">
        <v>5.5294368353691004E-2</v>
      </c>
    </row>
    <row r="49" spans="1:11" x14ac:dyDescent="0.3">
      <c r="B49" s="9"/>
      <c r="C49" s="9"/>
      <c r="D49" s="9"/>
      <c r="E49" s="9">
        <v>4.0963075577500868E-2</v>
      </c>
    </row>
    <row r="50" spans="1:11" x14ac:dyDescent="0.3">
      <c r="C50" s="29"/>
    </row>
    <row r="51" spans="1:11" x14ac:dyDescent="0.3">
      <c r="A51" s="4" t="s">
        <v>27</v>
      </c>
    </row>
    <row r="52" spans="1:11" x14ac:dyDescent="0.3">
      <c r="A52" s="30">
        <f t="shared" ref="A52:D52" si="9">($B$39*B52+$B$40*B53)/EXP(B46)</f>
        <v>0.77700000000384029</v>
      </c>
      <c r="B52" s="12">
        <f t="shared" si="9"/>
        <v>0.80064988955633742</v>
      </c>
      <c r="C52" s="12">
        <f t="shared" si="9"/>
        <v>0.84027225076193557</v>
      </c>
      <c r="D52" s="29">
        <f t="shared" si="9"/>
        <v>0.90415641498343557</v>
      </c>
      <c r="E52" s="12">
        <f>$B$20</f>
        <v>1</v>
      </c>
      <c r="K52" s="12"/>
    </row>
    <row r="53" spans="1:11" x14ac:dyDescent="0.3">
      <c r="A53" s="12"/>
      <c r="B53" s="12">
        <f t="shared" ref="B53:D53" si="10">($B$39*C53+$B$40*C54)/EXP(C47)</f>
        <v>0.85078475444757407</v>
      </c>
      <c r="C53" s="12">
        <f t="shared" si="10"/>
        <v>0.88014133290148766</v>
      </c>
      <c r="D53" s="12">
        <f t="shared" si="10"/>
        <v>0.92807791449837285</v>
      </c>
      <c r="E53" s="12">
        <f>$B$20</f>
        <v>1</v>
      </c>
      <c r="K53" s="12"/>
    </row>
    <row r="54" spans="1:11" x14ac:dyDescent="0.3">
      <c r="A54" s="12"/>
      <c r="B54" s="12"/>
      <c r="C54" s="12">
        <f t="shared" ref="C54:D54" si="11">($B$39*D54+$B$40*D55)/EXP(D48)</f>
        <v>0.91058250084180936</v>
      </c>
      <c r="D54" s="12">
        <f t="shared" si="11"/>
        <v>0.94620657368242422</v>
      </c>
      <c r="E54" s="12">
        <f>$B$20</f>
        <v>1</v>
      </c>
      <c r="K54" s="12"/>
    </row>
    <row r="55" spans="1:11" x14ac:dyDescent="0.3">
      <c r="A55" s="12"/>
      <c r="B55" s="12"/>
      <c r="C55" s="12"/>
      <c r="D55" s="12">
        <f>($B$39*E55+$B$40*E56)/EXP(E49)</f>
        <v>0.95986457173844986</v>
      </c>
      <c r="E55" s="12">
        <f>$B$20</f>
        <v>1</v>
      </c>
      <c r="K55" s="12"/>
    </row>
    <row r="56" spans="1:11" x14ac:dyDescent="0.3">
      <c r="A56" s="12"/>
      <c r="B56" s="12"/>
      <c r="C56" s="12"/>
      <c r="D56" s="12"/>
      <c r="E56" s="12">
        <f>$B$20</f>
        <v>1</v>
      </c>
    </row>
    <row r="57" spans="1:11" x14ac:dyDescent="0.3">
      <c r="A57" s="12"/>
      <c r="B57" s="12"/>
      <c r="C57" s="12"/>
      <c r="D57" s="12"/>
      <c r="E57" s="12"/>
    </row>
    <row r="59" spans="1:11" x14ac:dyDescent="0.3">
      <c r="A59" s="1" t="s">
        <v>28</v>
      </c>
    </row>
    <row r="61" spans="1:11" x14ac:dyDescent="0.3">
      <c r="A61" s="2" t="s">
        <v>16</v>
      </c>
      <c r="B61" s="16">
        <v>1</v>
      </c>
      <c r="D61" t="s">
        <v>29</v>
      </c>
      <c r="E61" s="4">
        <v>1</v>
      </c>
    </row>
    <row r="62" spans="1:11" x14ac:dyDescent="0.3">
      <c r="A62" s="21" t="s">
        <v>30</v>
      </c>
      <c r="B62" s="31">
        <f>B61*INDEX(D5:D14,B69)</f>
        <v>0.77700000000000002</v>
      </c>
      <c r="D62" t="s">
        <v>31</v>
      </c>
      <c r="E62" s="5" t="str">
        <f>IF(E61=1,"call","put")</f>
        <v>call</v>
      </c>
    </row>
    <row r="63" spans="1:11" x14ac:dyDescent="0.3">
      <c r="A63" t="s">
        <v>32</v>
      </c>
      <c r="B63" s="31">
        <f>B61*INDEX(D5:D14,B71)</f>
        <v>0.502</v>
      </c>
    </row>
    <row r="64" spans="1:11" x14ac:dyDescent="0.3">
      <c r="A64" s="2" t="s">
        <v>33</v>
      </c>
      <c r="B64" s="16">
        <f>B61*(B63/B62)</f>
        <v>0.64607464607464604</v>
      </c>
      <c r="D64" t="s">
        <v>34</v>
      </c>
      <c r="E64" s="30">
        <f>EXP(-B66*B70)*E61*(B64*E69-B65*E72)</f>
        <v>3.7782937099379944E-2</v>
      </c>
    </row>
    <row r="65" spans="1:9" x14ac:dyDescent="0.3">
      <c r="A65" s="2" t="s">
        <v>35</v>
      </c>
      <c r="B65" s="16">
        <v>0.6</v>
      </c>
      <c r="D65" t="s">
        <v>36</v>
      </c>
      <c r="E65" s="30" t="e">
        <f ca="1">BlackBondOptionValue(E61,B64,B65,B66,B70,B73)</f>
        <v>#NAME?</v>
      </c>
    </row>
    <row r="66" spans="1:9" x14ac:dyDescent="0.3">
      <c r="A66" s="2" t="s">
        <v>37</v>
      </c>
      <c r="B66" s="23">
        <v>0.06</v>
      </c>
    </row>
    <row r="68" spans="1:9" ht="15" x14ac:dyDescent="0.4">
      <c r="A68" s="2" t="s">
        <v>9</v>
      </c>
      <c r="B68" s="12">
        <v>0</v>
      </c>
      <c r="D68" s="2" t="s">
        <v>38</v>
      </c>
      <c r="E68" s="12">
        <f>(LN(B64/B65)+0.5*(B73^2)*B70)/(B73*SQRT(B70))</f>
        <v>1.2630898848345422</v>
      </c>
    </row>
    <row r="69" spans="1:9" ht="15" x14ac:dyDescent="0.4">
      <c r="A69" s="2" t="s">
        <v>39</v>
      </c>
      <c r="B69" s="3">
        <v>4</v>
      </c>
      <c r="D69" s="2" t="s">
        <v>40</v>
      </c>
      <c r="E69" s="12">
        <f>NORMSDIST(E61*E68)</f>
        <v>0.89672156061654029</v>
      </c>
    </row>
    <row r="70" spans="1:9" x14ac:dyDescent="0.3">
      <c r="A70" t="s">
        <v>41</v>
      </c>
      <c r="B70" s="12">
        <f>B69-B68</f>
        <v>4</v>
      </c>
    </row>
    <row r="71" spans="1:9" ht="15" x14ac:dyDescent="0.4">
      <c r="A71" s="2" t="s">
        <v>12</v>
      </c>
      <c r="B71" s="3">
        <v>10</v>
      </c>
      <c r="D71" s="2" t="s">
        <v>42</v>
      </c>
      <c r="E71" s="12">
        <f>(LN(B64/B65)-0.5*(B73^2)*B70)/(B73*SQRT(B70))</f>
        <v>1.2030898848345422</v>
      </c>
    </row>
    <row r="72" spans="1:9" ht="15" x14ac:dyDescent="0.4">
      <c r="D72" s="2" t="s">
        <v>43</v>
      </c>
      <c r="E72" s="12">
        <f>NORMSDIST(E61*E71)</f>
        <v>0.88552923036433628</v>
      </c>
    </row>
    <row r="73" spans="1:9" x14ac:dyDescent="0.3">
      <c r="A73" s="2" t="s">
        <v>44</v>
      </c>
      <c r="B73" s="23">
        <v>0.03</v>
      </c>
    </row>
    <row r="76" spans="1:9" x14ac:dyDescent="0.3">
      <c r="A76" s="1" t="s">
        <v>45</v>
      </c>
    </row>
    <row r="78" spans="1:9" x14ac:dyDescent="0.3">
      <c r="A78" s="2" t="s">
        <v>16</v>
      </c>
      <c r="B78" s="12">
        <f>B20</f>
        <v>1</v>
      </c>
      <c r="E78" s="5" t="s">
        <v>46</v>
      </c>
      <c r="F78" s="5" t="s">
        <v>47</v>
      </c>
      <c r="G78" s="5" t="s">
        <v>48</v>
      </c>
      <c r="H78" s="5" t="s">
        <v>49</v>
      </c>
      <c r="I78" s="5" t="s">
        <v>50</v>
      </c>
    </row>
    <row r="79" spans="1:9" x14ac:dyDescent="0.3">
      <c r="A79" s="21" t="s">
        <v>51</v>
      </c>
      <c r="B79">
        <f>B21/B20</f>
        <v>0.05</v>
      </c>
    </row>
    <row r="80" spans="1:9" x14ac:dyDescent="0.3">
      <c r="A80" s="2" t="s">
        <v>9</v>
      </c>
      <c r="B80" s="27">
        <f>B18</f>
        <v>0</v>
      </c>
      <c r="E80">
        <v>1</v>
      </c>
      <c r="F80" s="30">
        <f>IF(E80&lt;$B$81,$B$85,$B$78+$B$85)</f>
        <v>0.05</v>
      </c>
      <c r="G80" s="30">
        <f>1/(1+$B$83)^E80</f>
        <v>0.93419809851523039</v>
      </c>
      <c r="H80" s="30">
        <f t="shared" ref="H80:H89" si="12">F80*G80</f>
        <v>4.670990492576152E-2</v>
      </c>
      <c r="I80" s="30">
        <f>E80*H80</f>
        <v>4.670990492576152E-2</v>
      </c>
    </row>
    <row r="81" spans="1:13" x14ac:dyDescent="0.3">
      <c r="A81" s="2" t="s">
        <v>12</v>
      </c>
      <c r="B81" s="27">
        <f>B19</f>
        <v>10</v>
      </c>
      <c r="E81">
        <v>2</v>
      </c>
      <c r="F81" s="30">
        <f t="shared" ref="F81:F89" si="13">IF(E81&lt;$B$81,$B$85,$B$78+$B$85)</f>
        <v>0.05</v>
      </c>
      <c r="G81" s="30">
        <f t="shared" ref="G81:G89" si="14">1/(1+$B$83)^E81</f>
        <v>0.8727260872694721</v>
      </c>
      <c r="H81" s="30">
        <f t="shared" si="12"/>
        <v>4.3636304363473606E-2</v>
      </c>
      <c r="I81" s="30">
        <f t="shared" ref="I81:I89" si="15">E81*H81</f>
        <v>8.7272608726947212E-2</v>
      </c>
    </row>
    <row r="82" spans="1:13" x14ac:dyDescent="0.3">
      <c r="A82" s="21" t="s">
        <v>52</v>
      </c>
      <c r="B82">
        <v>1</v>
      </c>
      <c r="E82">
        <v>3</v>
      </c>
      <c r="F82" s="30">
        <f t="shared" si="13"/>
        <v>0.05</v>
      </c>
      <c r="G82" s="30">
        <f t="shared" si="14"/>
        <v>0.81529905125177793</v>
      </c>
      <c r="H82" s="30">
        <f t="shared" si="12"/>
        <v>4.0764952562588899E-2</v>
      </c>
      <c r="I82" s="30">
        <f t="shared" si="15"/>
        <v>0.1222948576877667</v>
      </c>
    </row>
    <row r="83" spans="1:13" x14ac:dyDescent="0.3">
      <c r="A83" t="s">
        <v>53</v>
      </c>
      <c r="B83" s="9">
        <f>EXP(H20)-1</f>
        <v>7.0436775229313797E-2</v>
      </c>
      <c r="E83">
        <v>4</v>
      </c>
      <c r="F83" s="30">
        <f t="shared" si="13"/>
        <v>0.05</v>
      </c>
      <c r="G83" s="30">
        <f t="shared" si="14"/>
        <v>0.76165082340068224</v>
      </c>
      <c r="H83" s="30">
        <f t="shared" si="12"/>
        <v>3.8082541170034116E-2</v>
      </c>
      <c r="I83" s="30">
        <f t="shared" si="15"/>
        <v>0.15233016468013647</v>
      </c>
    </row>
    <row r="84" spans="1:13" x14ac:dyDescent="0.3">
      <c r="E84">
        <v>5</v>
      </c>
      <c r="F84" s="30">
        <f t="shared" si="13"/>
        <v>0.05</v>
      </c>
      <c r="G84" s="30">
        <f t="shared" si="14"/>
        <v>0.7115327509534769</v>
      </c>
      <c r="H84" s="30">
        <f t="shared" si="12"/>
        <v>3.5576637547673845E-2</v>
      </c>
      <c r="I84" s="30">
        <f t="shared" si="15"/>
        <v>0.17788318773836923</v>
      </c>
    </row>
    <row r="85" spans="1:13" x14ac:dyDescent="0.3">
      <c r="A85" s="2" t="s">
        <v>54</v>
      </c>
      <c r="B85">
        <f>B78*B79/B82</f>
        <v>0.05</v>
      </c>
      <c r="E85">
        <v>6</v>
      </c>
      <c r="F85" s="30">
        <f t="shared" si="13"/>
        <v>0.05</v>
      </c>
      <c r="G85" s="30">
        <f t="shared" si="14"/>
        <v>0.66471254297204907</v>
      </c>
      <c r="H85" s="30">
        <f t="shared" si="12"/>
        <v>3.3235627148602453E-2</v>
      </c>
      <c r="I85" s="30">
        <f t="shared" si="15"/>
        <v>0.19941376289161472</v>
      </c>
    </row>
    <row r="86" spans="1:13" x14ac:dyDescent="0.3">
      <c r="A86" t="s">
        <v>10</v>
      </c>
      <c r="B86" s="30">
        <f>H91</f>
        <v>0.85674999998807411</v>
      </c>
      <c r="E86">
        <v>7</v>
      </c>
      <c r="F86" s="30">
        <f t="shared" si="13"/>
        <v>0.05</v>
      </c>
      <c r="G86" s="30">
        <f t="shared" si="14"/>
        <v>0.62097319370371173</v>
      </c>
      <c r="H86" s="30">
        <f t="shared" si="12"/>
        <v>3.1048659685185588E-2</v>
      </c>
      <c r="I86" s="30">
        <f t="shared" si="15"/>
        <v>0.21734061779629912</v>
      </c>
    </row>
    <row r="87" spans="1:13" x14ac:dyDescent="0.3">
      <c r="E87">
        <v>8</v>
      </c>
      <c r="F87" s="30">
        <f t="shared" si="13"/>
        <v>0.05</v>
      </c>
      <c r="G87" s="30">
        <f t="shared" si="14"/>
        <v>0.58011197678693727</v>
      </c>
      <c r="H87" s="30">
        <f t="shared" si="12"/>
        <v>2.9005598839346863E-2</v>
      </c>
      <c r="I87" s="30">
        <f t="shared" si="15"/>
        <v>0.23204479071477491</v>
      </c>
    </row>
    <row r="88" spans="1:13" x14ac:dyDescent="0.3">
      <c r="A88" t="s">
        <v>55</v>
      </c>
      <c r="B88" s="12">
        <f>I91/H91</f>
        <v>7.9312409190876174</v>
      </c>
      <c r="E88">
        <v>9</v>
      </c>
      <c r="F88" s="30">
        <f t="shared" si="13"/>
        <v>0.05</v>
      </c>
      <c r="G88" s="30">
        <f t="shared" si="14"/>
        <v>0.54193950564026827</v>
      </c>
      <c r="H88" s="30">
        <f t="shared" si="12"/>
        <v>2.7096975282013415E-2</v>
      </c>
      <c r="I88" s="30">
        <f t="shared" si="15"/>
        <v>0.24387277753812073</v>
      </c>
    </row>
    <row r="89" spans="1:13" x14ac:dyDescent="0.3">
      <c r="A89" t="s">
        <v>56</v>
      </c>
      <c r="B89" s="12">
        <f>ChuaBondDuration(0,B78,B79,B80,B81,B82,B83)</f>
        <v>7.9312409190876165</v>
      </c>
      <c r="E89">
        <v>10</v>
      </c>
      <c r="F89" s="30">
        <f t="shared" si="13"/>
        <v>1.05</v>
      </c>
      <c r="G89" s="30">
        <f t="shared" si="14"/>
        <v>0.50627885567942266</v>
      </c>
      <c r="H89" s="30">
        <f t="shared" si="12"/>
        <v>0.5315927984633938</v>
      </c>
      <c r="I89" s="30">
        <f t="shared" si="15"/>
        <v>5.3159279846339382</v>
      </c>
    </row>
    <row r="90" spans="1:13" x14ac:dyDescent="0.3">
      <c r="F90" s="12"/>
      <c r="G90" s="30"/>
      <c r="H90" s="12"/>
      <c r="I90" s="12"/>
      <c r="M90" s="12"/>
    </row>
    <row r="91" spans="1:13" x14ac:dyDescent="0.3">
      <c r="F91" s="12"/>
      <c r="G91" s="30" t="s">
        <v>57</v>
      </c>
      <c r="H91" s="30">
        <f t="shared" ref="H91:I91" si="16">SUM(H80:H89)</f>
        <v>0.85674999998807411</v>
      </c>
      <c r="I91" s="30">
        <f t="shared" si="16"/>
        <v>6.7950906573337289</v>
      </c>
      <c r="M91" s="12"/>
    </row>
    <row r="92" spans="1:13" x14ac:dyDescent="0.3">
      <c r="G92" s="12"/>
      <c r="H92" s="30"/>
      <c r="I92" s="12"/>
      <c r="J92" s="12"/>
      <c r="M92" s="12"/>
    </row>
    <row r="93" spans="1:13" x14ac:dyDescent="0.3">
      <c r="A93" s="1" t="s">
        <v>58</v>
      </c>
      <c r="G93" s="12"/>
      <c r="H93" s="30"/>
      <c r="I93" s="12"/>
      <c r="J93" s="12"/>
      <c r="M93" s="12"/>
    </row>
    <row r="94" spans="1:13" x14ac:dyDescent="0.3">
      <c r="G94" s="12"/>
      <c r="H94" s="30"/>
      <c r="I94" s="12"/>
      <c r="J94" s="12"/>
      <c r="M94" s="12"/>
    </row>
    <row r="95" spans="1:13" x14ac:dyDescent="0.3">
      <c r="A95" t="s">
        <v>59</v>
      </c>
      <c r="B95" s="12">
        <f>ChuaBondDuration(1,B78,B79,B80,B81,B82,B83)</f>
        <v>7.4093501854778392</v>
      </c>
      <c r="F95" t="s">
        <v>60</v>
      </c>
      <c r="G95" s="9">
        <f>B83+B99</f>
        <v>8.0436775229313792E-2</v>
      </c>
      <c r="H95" s="30"/>
      <c r="I95" s="12"/>
      <c r="J95" s="12"/>
      <c r="M95" s="12"/>
    </row>
    <row r="96" spans="1:13" x14ac:dyDescent="0.3">
      <c r="G96" s="12"/>
      <c r="H96" s="30"/>
      <c r="I96" s="12"/>
      <c r="J96" s="12"/>
      <c r="M96" s="12"/>
    </row>
    <row r="97" spans="1:13" x14ac:dyDescent="0.3">
      <c r="A97" t="s">
        <v>61</v>
      </c>
      <c r="B97" s="12">
        <f>BlakeOrszagBondConvexity(B78,B79,B80,B81,B82,B83)</f>
        <v>70.093454877724582</v>
      </c>
      <c r="E97" s="5" t="s">
        <v>46</v>
      </c>
      <c r="F97" s="5" t="s">
        <v>47</v>
      </c>
      <c r="G97" s="5" t="s">
        <v>48</v>
      </c>
      <c r="H97" s="5" t="s">
        <v>49</v>
      </c>
      <c r="I97" s="5"/>
      <c r="J97" s="12"/>
      <c r="M97" s="12"/>
    </row>
    <row r="98" spans="1:13" x14ac:dyDescent="0.3">
      <c r="G98" s="12"/>
      <c r="H98" s="30"/>
      <c r="I98" s="12"/>
      <c r="J98" s="12"/>
      <c r="M98" s="12"/>
    </row>
    <row r="99" spans="1:13" x14ac:dyDescent="0.3">
      <c r="A99" t="s">
        <v>62</v>
      </c>
      <c r="B99" s="32">
        <v>0.01</v>
      </c>
      <c r="E99">
        <v>1</v>
      </c>
      <c r="F99" s="30">
        <f t="shared" ref="F99:F108" si="17">F80</f>
        <v>0.05</v>
      </c>
      <c r="G99" s="30">
        <f>1/(1+$G$95)^E99</f>
        <v>0.92555161294630894</v>
      </c>
      <c r="H99" s="30">
        <f t="shared" ref="H99:H108" si="18">F99*G99</f>
        <v>4.627758064731545E-2</v>
      </c>
      <c r="I99" s="12"/>
      <c r="J99" s="12"/>
      <c r="M99" s="12"/>
    </row>
    <row r="100" spans="1:13" x14ac:dyDescent="0.3">
      <c r="E100">
        <v>2</v>
      </c>
      <c r="F100" s="30">
        <f t="shared" si="17"/>
        <v>0.05</v>
      </c>
      <c r="G100" s="30">
        <f t="shared" ref="G100:G108" si="19">1/(1+$G$95)^E100</f>
        <v>0.85664578822751403</v>
      </c>
      <c r="H100" s="30">
        <f t="shared" si="18"/>
        <v>4.2832289411375707E-2</v>
      </c>
    </row>
    <row r="101" spans="1:13" x14ac:dyDescent="0.3">
      <c r="A101" t="s">
        <v>63</v>
      </c>
      <c r="B101" s="9">
        <f>-B95*B99+0.5*B97*B99^2</f>
        <v>-7.0588829110892162E-2</v>
      </c>
      <c r="E101">
        <v>3</v>
      </c>
      <c r="F101" s="30">
        <f t="shared" si="17"/>
        <v>0.05</v>
      </c>
      <c r="G101" s="30">
        <f t="shared" si="19"/>
        <v>0.79286989101763772</v>
      </c>
      <c r="H101" s="30">
        <f t="shared" si="18"/>
        <v>3.964349455088189E-2</v>
      </c>
    </row>
    <row r="102" spans="1:13" x14ac:dyDescent="0.3">
      <c r="E102">
        <v>4</v>
      </c>
      <c r="F102" s="30">
        <f t="shared" si="17"/>
        <v>0.05</v>
      </c>
      <c r="G102" s="30">
        <f t="shared" si="19"/>
        <v>0.73384200648793874</v>
      </c>
      <c r="H102" s="30">
        <f t="shared" si="18"/>
        <v>3.6692100324396938E-2</v>
      </c>
    </row>
    <row r="103" spans="1:13" x14ac:dyDescent="0.3">
      <c r="A103" s="2" t="s">
        <v>64</v>
      </c>
      <c r="B103" s="6">
        <f>B86*(1+B101)</f>
        <v>0.79627302064815908</v>
      </c>
      <c r="E103">
        <v>5</v>
      </c>
      <c r="F103" s="30">
        <f t="shared" si="17"/>
        <v>0.05</v>
      </c>
      <c r="G103" s="30">
        <f t="shared" si="19"/>
        <v>0.6792086527526674</v>
      </c>
      <c r="H103" s="30">
        <f t="shared" si="18"/>
        <v>3.3960432637633368E-2</v>
      </c>
    </row>
    <row r="104" spans="1:13" x14ac:dyDescent="0.3">
      <c r="E104">
        <v>6</v>
      </c>
      <c r="F104" s="30">
        <f t="shared" si="17"/>
        <v>0.05</v>
      </c>
      <c r="G104" s="30">
        <f t="shared" si="19"/>
        <v>0.62864266408232072</v>
      </c>
      <c r="H104" s="30">
        <f t="shared" si="18"/>
        <v>3.1432133204116038E-2</v>
      </c>
    </row>
    <row r="105" spans="1:13" x14ac:dyDescent="0.3">
      <c r="E105">
        <v>7</v>
      </c>
      <c r="F105" s="30">
        <f t="shared" si="17"/>
        <v>0.05</v>
      </c>
      <c r="G105" s="30">
        <f t="shared" si="19"/>
        <v>0.58184123170825652</v>
      </c>
      <c r="H105" s="30">
        <f t="shared" si="18"/>
        <v>2.9092061585412828E-2</v>
      </c>
    </row>
    <row r="106" spans="1:13" x14ac:dyDescent="0.3">
      <c r="E106">
        <v>8</v>
      </c>
      <c r="F106" s="30">
        <f t="shared" si="17"/>
        <v>0.05</v>
      </c>
      <c r="G106" s="30">
        <f t="shared" si="19"/>
        <v>0.53852409048624394</v>
      </c>
      <c r="H106" s="30">
        <f t="shared" si="18"/>
        <v>2.69262045243122E-2</v>
      </c>
    </row>
    <row r="107" spans="1:13" x14ac:dyDescent="0.3">
      <c r="E107">
        <v>9</v>
      </c>
      <c r="F107" s="30">
        <f t="shared" si="17"/>
        <v>0.05</v>
      </c>
      <c r="G107" s="30">
        <f t="shared" si="19"/>
        <v>0.49843184055998707</v>
      </c>
      <c r="H107" s="30">
        <f t="shared" si="18"/>
        <v>2.4921592027999356E-2</v>
      </c>
    </row>
    <row r="108" spans="1:13" x14ac:dyDescent="0.3">
      <c r="E108">
        <v>10</v>
      </c>
      <c r="F108" s="30">
        <f t="shared" si="17"/>
        <v>1.05</v>
      </c>
      <c r="G108" s="30">
        <f t="shared" si="19"/>
        <v>0.46132439397409353</v>
      </c>
      <c r="H108" s="30">
        <f t="shared" si="18"/>
        <v>0.48439061367279823</v>
      </c>
    </row>
    <row r="110" spans="1:13" x14ac:dyDescent="0.3">
      <c r="F110" t="s">
        <v>65</v>
      </c>
      <c r="G110" s="30"/>
      <c r="H110" s="6">
        <f>SUM(H99:H108)</f>
        <v>0.79616850258624194</v>
      </c>
    </row>
  </sheetData>
  <printOptions headings="1" gridLines="1"/>
  <pageMargins left="0.75" right="0.75" top="1" bottom="1" header="0.5" footer="0.5"/>
  <pageSetup paperSize="9" scale="74" orientation="portrait" horizontalDpi="4294967292" verticalDpi="30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6"/>
  <sheetViews>
    <sheetView workbookViewId="0"/>
  </sheetViews>
  <sheetFormatPr defaultRowHeight="13" x14ac:dyDescent="0.3"/>
  <cols>
    <col min="1" max="1" width="11.796875" customWidth="1"/>
    <col min="4" max="4" width="27.19921875" customWidth="1"/>
    <col min="7" max="7" width="12.69921875" customWidth="1"/>
    <col min="8" max="9" width="10.796875" customWidth="1"/>
  </cols>
  <sheetData>
    <row r="1" spans="1:9" x14ac:dyDescent="0.3">
      <c r="A1" s="4" t="s">
        <v>0</v>
      </c>
    </row>
    <row r="2" spans="1:9" x14ac:dyDescent="0.3">
      <c r="A2" s="1" t="s">
        <v>66</v>
      </c>
      <c r="G2" s="4" t="s">
        <v>67</v>
      </c>
    </row>
    <row r="3" spans="1:9" ht="15" x14ac:dyDescent="0.4">
      <c r="A3" s="2" t="s">
        <v>68</v>
      </c>
      <c r="B3" s="2" t="s">
        <v>69</v>
      </c>
      <c r="H3" s="2" t="s">
        <v>70</v>
      </c>
      <c r="I3" s="2" t="s">
        <v>71</v>
      </c>
    </row>
    <row r="4" spans="1:9" x14ac:dyDescent="0.3">
      <c r="H4" s="9">
        <f>E10</f>
        <v>7.2013681718581385E-2</v>
      </c>
      <c r="I4" s="9">
        <f>E17</f>
        <v>9.3444983725345585E-3</v>
      </c>
    </row>
    <row r="5" spans="1:9" x14ac:dyDescent="0.3">
      <c r="A5" t="s">
        <v>72</v>
      </c>
      <c r="B5" s="8">
        <v>0.1779</v>
      </c>
      <c r="D5" s="4" t="s">
        <v>73</v>
      </c>
      <c r="G5">
        <v>0</v>
      </c>
      <c r="H5" s="9">
        <f t="dataTable" ref="H5:I17" dt2D="0" dtr="0" r1="B9"/>
        <v>0.06</v>
      </c>
      <c r="I5" s="9">
        <v>0.02</v>
      </c>
    </row>
    <row r="6" spans="1:9" x14ac:dyDescent="0.3">
      <c r="A6" s="2" t="s">
        <v>74</v>
      </c>
      <c r="B6" s="8">
        <f>0.0154/B5</f>
        <v>8.6565486228218108E-2</v>
      </c>
      <c r="D6" s="2" t="s">
        <v>32</v>
      </c>
      <c r="E6" s="6">
        <f>B14*EXP(-B13*B7)</f>
        <v>0.48668566444165856</v>
      </c>
      <c r="G6">
        <v>1</v>
      </c>
      <c r="H6" s="9">
        <v>6.2170425304373729E-2</v>
      </c>
      <c r="I6" s="9">
        <v>1.832196493356171E-2</v>
      </c>
    </row>
    <row r="7" spans="1:9" x14ac:dyDescent="0.3">
      <c r="A7" t="s">
        <v>75</v>
      </c>
      <c r="B7" s="11">
        <v>0.06</v>
      </c>
      <c r="D7" s="21" t="s">
        <v>36</v>
      </c>
      <c r="E7" s="6">
        <f>VasicekCIRZeroValue(1,B5,B6,B7,B8,B9,B11)</f>
        <v>0.48668566444165856</v>
      </c>
      <c r="G7">
        <v>2</v>
      </c>
      <c r="H7" s="9">
        <v>6.4006040341685097E-2</v>
      </c>
      <c r="I7" s="9">
        <v>1.6828964093890623E-2</v>
      </c>
    </row>
    <row r="8" spans="1:9" x14ac:dyDescent="0.3">
      <c r="A8" s="2" t="s">
        <v>9</v>
      </c>
      <c r="B8" s="12">
        <v>0</v>
      </c>
      <c r="G8">
        <v>3</v>
      </c>
      <c r="H8" s="9">
        <v>6.5569827844878095E-2</v>
      </c>
      <c r="I8" s="9">
        <v>1.5498176678768802E-2</v>
      </c>
    </row>
    <row r="9" spans="1:9" x14ac:dyDescent="0.3">
      <c r="A9" s="2" t="s">
        <v>12</v>
      </c>
      <c r="B9" s="3">
        <v>10</v>
      </c>
      <c r="D9" s="1" t="s">
        <v>76</v>
      </c>
      <c r="G9">
        <v>4</v>
      </c>
      <c r="H9" s="9">
        <v>6.6911267738218233E-2</v>
      </c>
      <c r="I9" s="9">
        <v>1.4309775275039197E-2</v>
      </c>
    </row>
    <row r="10" spans="1:9" x14ac:dyDescent="0.3">
      <c r="A10" s="2" t="s">
        <v>77</v>
      </c>
      <c r="B10" s="13">
        <f>B9-B8</f>
        <v>10</v>
      </c>
      <c r="D10" s="2" t="s">
        <v>78</v>
      </c>
      <c r="E10" s="10">
        <f>IF(B10&gt;0,-LN(E6)/B10,B7)</f>
        <v>7.2013681718581385E-2</v>
      </c>
      <c r="G10">
        <v>5</v>
      </c>
      <c r="H10" s="9">
        <v>6.8069495725362333E-2</v>
      </c>
      <c r="I10" s="9">
        <v>1.3246517549876397E-2</v>
      </c>
    </row>
    <row r="11" spans="1:9" ht="15" x14ac:dyDescent="0.4">
      <c r="A11" s="14" t="s">
        <v>79</v>
      </c>
      <c r="B11" s="11">
        <v>0.02</v>
      </c>
      <c r="D11" s="21" t="s">
        <v>36</v>
      </c>
      <c r="E11" s="10">
        <f>VasicekCIRSpotRate(1,B5,B6,B7,B8,B9,B11)</f>
        <v>7.2013681718581385E-2</v>
      </c>
      <c r="G11">
        <v>6</v>
      </c>
      <c r="H11" s="9">
        <v>6.9075679434441262E-2</v>
      </c>
      <c r="I11" s="9">
        <v>1.2293395166981001E-2</v>
      </c>
    </row>
    <row r="12" spans="1:9" x14ac:dyDescent="0.3">
      <c r="G12">
        <v>7</v>
      </c>
      <c r="H12" s="9">
        <v>6.9954813387254552E-2</v>
      </c>
      <c r="I12" s="9">
        <v>1.1437331746336203E-2</v>
      </c>
    </row>
    <row r="13" spans="1:9" x14ac:dyDescent="0.3">
      <c r="A13" s="2" t="s">
        <v>80</v>
      </c>
      <c r="B13" s="6">
        <f>IF(B5=0,B10,(1-EXP(-B5*B10))/B5)</f>
        <v>4.6722491862672788</v>
      </c>
      <c r="D13" s="1" t="s">
        <v>81</v>
      </c>
      <c r="G13">
        <v>8</v>
      </c>
      <c r="H13" s="9">
        <v>7.0727080963389158E-2</v>
      </c>
      <c r="I13" s="9">
        <v>1.0666922873809626E-2</v>
      </c>
    </row>
    <row r="14" spans="1:9" x14ac:dyDescent="0.3">
      <c r="A14" s="2" t="s">
        <v>82</v>
      </c>
      <c r="B14" s="6">
        <f>IF(B5=0,EXP(B11^2*B10^3/6),EXP(((B13-B10)*(B5^2*B6-0.5*B11^2))/B5^2-(B11^2*B13^2)/(4*B5)))</f>
        <v>0.64416403923142829</v>
      </c>
      <c r="D14" s="2" t="s">
        <v>83</v>
      </c>
      <c r="E14" s="10">
        <f>B6-0.5*(B11/B5)^2</f>
        <v>8.0246053435227879E-2</v>
      </c>
      <c r="G14">
        <v>9</v>
      </c>
      <c r="H14" s="9">
        <v>7.1408892689069858E-2</v>
      </c>
      <c r="I14" s="9">
        <v>9.9722121800327329E-3</v>
      </c>
    </row>
    <row r="15" spans="1:9" x14ac:dyDescent="0.3">
      <c r="G15">
        <v>10</v>
      </c>
      <c r="H15" s="9">
        <v>7.2013681718581385E-2</v>
      </c>
      <c r="I15" s="9">
        <v>9.3444983725345585E-3</v>
      </c>
    </row>
    <row r="16" spans="1:9" x14ac:dyDescent="0.3">
      <c r="D16" s="1" t="s">
        <v>84</v>
      </c>
      <c r="G16">
        <v>20</v>
      </c>
      <c r="H16" s="9">
        <v>7.5556081064961145E-2</v>
      </c>
      <c r="I16" s="9">
        <v>5.4609569461540209E-3</v>
      </c>
    </row>
    <row r="17" spans="1:9" ht="15" x14ac:dyDescent="0.4">
      <c r="D17" s="14" t="s">
        <v>85</v>
      </c>
      <c r="E17" s="10">
        <f>B11*IF(B10&gt;0,(1-EXP(-B5*B10))/(B5*B10),1)</f>
        <v>9.3444983725345585E-3</v>
      </c>
      <c r="G17">
        <v>30</v>
      </c>
      <c r="H17" s="9">
        <v>7.7057132134308898E-2</v>
      </c>
      <c r="I17" s="9">
        <v>3.729397489505553E-3</v>
      </c>
    </row>
    <row r="21" spans="1:9" x14ac:dyDescent="0.3">
      <c r="A21" s="1" t="s">
        <v>86</v>
      </c>
    </row>
    <row r="23" spans="1:9" x14ac:dyDescent="0.3">
      <c r="A23" t="s">
        <v>72</v>
      </c>
      <c r="B23" s="7">
        <f>B5</f>
        <v>0.1779</v>
      </c>
      <c r="D23" s="2" t="s">
        <v>16</v>
      </c>
      <c r="E23" s="3">
        <v>1</v>
      </c>
      <c r="G23" t="s">
        <v>29</v>
      </c>
      <c r="H23" s="4">
        <v>1</v>
      </c>
    </row>
    <row r="24" spans="1:9" x14ac:dyDescent="0.3">
      <c r="A24" s="2" t="s">
        <v>87</v>
      </c>
      <c r="B24" s="7">
        <f>B6</f>
        <v>8.6565486228218108E-2</v>
      </c>
      <c r="D24" s="2" t="s">
        <v>88</v>
      </c>
      <c r="E24" s="3">
        <v>0.6</v>
      </c>
      <c r="G24" t="s">
        <v>31</v>
      </c>
      <c r="H24" s="5" t="str">
        <f>IF(H23=1,"call","put")</f>
        <v>call</v>
      </c>
    </row>
    <row r="25" spans="1:9" x14ac:dyDescent="0.3">
      <c r="A25" t="s">
        <v>75</v>
      </c>
      <c r="B25" s="20">
        <f>B7</f>
        <v>0.06</v>
      </c>
    </row>
    <row r="26" spans="1:9" x14ac:dyDescent="0.3">
      <c r="G26" t="s">
        <v>89</v>
      </c>
      <c r="H26" s="30">
        <f>E27*H23*(EXP(H29+0.5*H30)*H35-E24*H36)</f>
        <v>3.7007851588366017E-2</v>
      </c>
    </row>
    <row r="27" spans="1:9" x14ac:dyDescent="0.3">
      <c r="A27" s="2" t="s">
        <v>9</v>
      </c>
      <c r="B27" s="12">
        <v>0</v>
      </c>
      <c r="D27" s="2" t="s">
        <v>30</v>
      </c>
      <c r="E27" s="6">
        <f>VasicekCIRZeroValue(1,B23,B24,B25,B27,B28,B31)</f>
        <v>0.76517931727793831</v>
      </c>
      <c r="G27" t="s">
        <v>36</v>
      </c>
      <c r="H27" s="30">
        <f>VasicekZeroOptionValue(H23,E23,E24,B23,B24,B25,B27,B28,B29,B31)</f>
        <v>3.7007851588366017E-2</v>
      </c>
    </row>
    <row r="28" spans="1:9" x14ac:dyDescent="0.3">
      <c r="A28" s="2" t="s">
        <v>39</v>
      </c>
      <c r="B28" s="3">
        <v>4</v>
      </c>
      <c r="D28" s="2" t="s">
        <v>32</v>
      </c>
      <c r="E28" s="6">
        <f>VasicekCIRZeroValue(1,B23,B24,B25,B27,B29,B31)</f>
        <v>0.48668566444165856</v>
      </c>
      <c r="H28" s="6"/>
    </row>
    <row r="29" spans="1:9" x14ac:dyDescent="0.3">
      <c r="A29" s="2" t="s">
        <v>12</v>
      </c>
      <c r="B29" s="3">
        <v>10</v>
      </c>
      <c r="D29" s="2" t="s">
        <v>90</v>
      </c>
      <c r="E29" s="6">
        <f>IF(NOT(B23=0),B31*SQRT((1-EXP(-2*B23*(B28-B27)))/(2*B23)),B31*SQRT((B28-B27)))</f>
        <v>2.9212220557581207E-2</v>
      </c>
      <c r="G29" t="s">
        <v>91</v>
      </c>
      <c r="H29" s="6">
        <f>LN(E23*E28/E27)-0.5*E31^2</f>
        <v>-0.45829518411049425</v>
      </c>
    </row>
    <row r="30" spans="1:9" x14ac:dyDescent="0.3">
      <c r="D30" t="s">
        <v>92</v>
      </c>
      <c r="E30" s="6">
        <f>IF(NOT(B23=0),(1-EXP(-B23*(B29-B28)))/B23,(B29-B28))</f>
        <v>3.6880185500943004</v>
      </c>
      <c r="G30" t="s">
        <v>93</v>
      </c>
      <c r="H30" s="6">
        <f>E31^2</f>
        <v>1.1606875755106574E-2</v>
      </c>
    </row>
    <row r="31" spans="1:9" ht="15" x14ac:dyDescent="0.4">
      <c r="A31" s="14" t="s">
        <v>79</v>
      </c>
      <c r="B31" s="20">
        <f>B11</f>
        <v>0.02</v>
      </c>
      <c r="D31" s="14" t="s">
        <v>94</v>
      </c>
      <c r="E31" s="20">
        <f>IF(NOT(B23=0),E29*E30,B31*(B29-B28)*SQRT(B28-B27))</f>
        <v>0.10773521130580556</v>
      </c>
      <c r="H31" s="6"/>
    </row>
    <row r="32" spans="1:9" ht="15" x14ac:dyDescent="0.4">
      <c r="G32" s="2" t="s">
        <v>38</v>
      </c>
      <c r="H32" s="6">
        <f>H33+SQRT(H30)</f>
        <v>0.59532361456599159</v>
      </c>
    </row>
    <row r="33" spans="1:8" ht="15" x14ac:dyDescent="0.4">
      <c r="G33" s="2" t="s">
        <v>42</v>
      </c>
      <c r="H33" s="6">
        <f>(H29-LN(E24))/SQRT(H30)</f>
        <v>0.48758840326018604</v>
      </c>
    </row>
    <row r="34" spans="1:8" x14ac:dyDescent="0.3">
      <c r="H34" s="6"/>
    </row>
    <row r="35" spans="1:8" ht="15" x14ac:dyDescent="0.4">
      <c r="G35" s="2" t="s">
        <v>40</v>
      </c>
      <c r="H35" s="6">
        <f>NORMSDIST(H23*H32)</f>
        <v>0.72418646417572119</v>
      </c>
    </row>
    <row r="36" spans="1:8" ht="15" x14ac:dyDescent="0.4">
      <c r="G36" s="2" t="s">
        <v>43</v>
      </c>
      <c r="H36" s="6">
        <f>NORMSDIST(H23*H33)</f>
        <v>0.68707929367200182</v>
      </c>
    </row>
    <row r="39" spans="1:8" x14ac:dyDescent="0.3">
      <c r="A39" s="1" t="s">
        <v>95</v>
      </c>
    </row>
    <row r="41" spans="1:8" x14ac:dyDescent="0.3">
      <c r="A41" t="s">
        <v>72</v>
      </c>
      <c r="B41" s="7">
        <f>B5</f>
        <v>0.1779</v>
      </c>
      <c r="D41" s="2" t="s">
        <v>16</v>
      </c>
      <c r="E41" s="3">
        <v>1</v>
      </c>
      <c r="G41" t="s">
        <v>29</v>
      </c>
      <c r="H41" s="4">
        <v>1</v>
      </c>
    </row>
    <row r="42" spans="1:8" x14ac:dyDescent="0.3">
      <c r="A42" s="2" t="s">
        <v>74</v>
      </c>
      <c r="B42" s="7">
        <f>B6</f>
        <v>8.6565486228218108E-2</v>
      </c>
      <c r="D42" s="2" t="s">
        <v>17</v>
      </c>
      <c r="E42" s="3">
        <v>0.05</v>
      </c>
      <c r="G42" t="s">
        <v>31</v>
      </c>
      <c r="H42" s="5" t="str">
        <f>IF(H41=1,"call","put")</f>
        <v>call</v>
      </c>
    </row>
    <row r="43" spans="1:8" x14ac:dyDescent="0.3">
      <c r="A43" t="s">
        <v>75</v>
      </c>
      <c r="B43" s="20">
        <f>B7</f>
        <v>0.06</v>
      </c>
      <c r="D43" s="2" t="s">
        <v>88</v>
      </c>
      <c r="E43" s="3">
        <v>0.6</v>
      </c>
    </row>
    <row r="44" spans="1:8" x14ac:dyDescent="0.3">
      <c r="A44" s="2" t="s">
        <v>9</v>
      </c>
      <c r="B44" s="12">
        <v>0</v>
      </c>
      <c r="G44" t="s">
        <v>89</v>
      </c>
      <c r="H44" s="30">
        <f>SUM(H51:H60)</f>
        <v>0.20585414740416177</v>
      </c>
    </row>
    <row r="45" spans="1:8" x14ac:dyDescent="0.3">
      <c r="A45" s="2" t="s">
        <v>39</v>
      </c>
      <c r="B45" s="13">
        <f>B28</f>
        <v>4</v>
      </c>
      <c r="G45" t="s">
        <v>36</v>
      </c>
      <c r="H45" s="30">
        <f>VasicekCIRBondOptionValue(1,H41,E41,E42,E43,B41,B42,B43,B44,B45,B46,B47,B48)</f>
        <v>0.20585414740416177</v>
      </c>
    </row>
    <row r="46" spans="1:8" x14ac:dyDescent="0.3">
      <c r="A46" s="2" t="s">
        <v>12</v>
      </c>
      <c r="B46" s="13">
        <f>B29</f>
        <v>10</v>
      </c>
    </row>
    <row r="47" spans="1:8" x14ac:dyDescent="0.3">
      <c r="A47" s="2" t="s">
        <v>96</v>
      </c>
      <c r="B47" s="13">
        <v>1</v>
      </c>
      <c r="D47" s="2" t="s">
        <v>97</v>
      </c>
      <c r="E47" s="9">
        <f>Jamshidianrstar(1,E41,E42,E43,B41,B42,B43,B45,B46,B47,B48,0.001)</f>
        <v>0.18296250708221642</v>
      </c>
    </row>
    <row r="48" spans="1:8" ht="15" x14ac:dyDescent="0.4">
      <c r="A48" s="14" t="s">
        <v>79</v>
      </c>
      <c r="B48" s="20">
        <f>B11</f>
        <v>0.02</v>
      </c>
      <c r="D48" s="2" t="s">
        <v>98</v>
      </c>
      <c r="E48" s="12">
        <f>SUM(F51:F56)</f>
        <v>0.59999999999867382</v>
      </c>
    </row>
    <row r="50" spans="1:8" x14ac:dyDescent="0.3">
      <c r="B50" s="5" t="s">
        <v>99</v>
      </c>
      <c r="C50" s="5" t="s">
        <v>100</v>
      </c>
      <c r="D50" s="17" t="s">
        <v>101</v>
      </c>
      <c r="E50" s="5" t="s">
        <v>102</v>
      </c>
      <c r="F50" s="18" t="s">
        <v>103</v>
      </c>
      <c r="G50" s="2"/>
      <c r="H50" s="17" t="s">
        <v>104</v>
      </c>
    </row>
    <row r="51" spans="1:8" x14ac:dyDescent="0.3">
      <c r="A51">
        <v>1</v>
      </c>
      <c r="B51" s="15">
        <f t="shared" ref="B51:B56" si="0">$B$45</f>
        <v>4</v>
      </c>
      <c r="C51" s="15">
        <f>B51+$B$47</f>
        <v>5</v>
      </c>
      <c r="D51" s="6">
        <f t="shared" ref="D51:D56" si="1">VasicekCIRZeroValue(1,$B$41,$B$42,E$47,B51,C51,$B$48)</f>
        <v>0.83961135867774395</v>
      </c>
      <c r="E51" s="12">
        <f t="shared" ref="E51:E56" si="2">$E$42+IF(C51=$B$46,$E$41,0)</f>
        <v>0.05</v>
      </c>
      <c r="F51" s="6">
        <f t="shared" ref="F51:F56" si="3">D51*E51</f>
        <v>4.19805679338872E-2</v>
      </c>
      <c r="H51" s="30">
        <f t="shared" ref="H51:H56" si="4">VasicekZeroOptionValue($H$41,E51,F51,$B$41,$B$42,$B$43,$B$44,B51,C51,$B$48)</f>
        <v>3.4535040984825624E-3</v>
      </c>
    </row>
    <row r="52" spans="1:8" x14ac:dyDescent="0.3">
      <c r="A52">
        <v>2</v>
      </c>
      <c r="B52" s="15">
        <f t="shared" si="0"/>
        <v>4</v>
      </c>
      <c r="C52" s="15">
        <f t="shared" ref="C52:C56" si="5">C51+$B$47</f>
        <v>6</v>
      </c>
      <c r="D52" s="6">
        <f t="shared" si="1"/>
        <v>0.71537725766365268</v>
      </c>
      <c r="E52" s="12">
        <f t="shared" si="2"/>
        <v>0.05</v>
      </c>
      <c r="F52" s="6">
        <f t="shared" si="3"/>
        <v>3.5768862883182637E-2</v>
      </c>
      <c r="H52" s="30">
        <f t="shared" si="4"/>
        <v>5.6654720172703062E-3</v>
      </c>
    </row>
    <row r="53" spans="1:8" x14ac:dyDescent="0.3">
      <c r="A53">
        <v>3</v>
      </c>
      <c r="B53" s="15">
        <f t="shared" si="0"/>
        <v>4</v>
      </c>
      <c r="C53" s="15">
        <f t="shared" si="5"/>
        <v>7</v>
      </c>
      <c r="D53" s="6">
        <f t="shared" si="1"/>
        <v>0.6171990593970601</v>
      </c>
      <c r="E53" s="12">
        <f t="shared" si="2"/>
        <v>0.05</v>
      </c>
      <c r="F53" s="6">
        <f t="shared" si="3"/>
        <v>3.0859952969853006E-2</v>
      </c>
      <c r="H53" s="30">
        <f t="shared" si="4"/>
        <v>7.0276389388863958E-3</v>
      </c>
    </row>
    <row r="54" spans="1:8" x14ac:dyDescent="0.3">
      <c r="A54">
        <v>4</v>
      </c>
      <c r="B54" s="15">
        <f t="shared" si="0"/>
        <v>4</v>
      </c>
      <c r="C54" s="15">
        <f t="shared" si="5"/>
        <v>8</v>
      </c>
      <c r="D54" s="6">
        <f t="shared" si="1"/>
        <v>0.5381821326034415</v>
      </c>
      <c r="E54" s="12">
        <f t="shared" si="2"/>
        <v>0.05</v>
      </c>
      <c r="F54" s="6">
        <f t="shared" si="3"/>
        <v>2.6909106630172076E-2</v>
      </c>
      <c r="H54" s="30">
        <f t="shared" si="4"/>
        <v>7.8045458863466328E-3</v>
      </c>
    </row>
    <row r="55" spans="1:8" x14ac:dyDescent="0.3">
      <c r="A55">
        <v>5</v>
      </c>
      <c r="B55" s="15">
        <f t="shared" si="0"/>
        <v>4</v>
      </c>
      <c r="C55" s="15">
        <f t="shared" si="5"/>
        <v>9</v>
      </c>
      <c r="D55" s="6">
        <f t="shared" si="1"/>
        <v>0.47352350309616587</v>
      </c>
      <c r="E55" s="12">
        <f t="shared" si="2"/>
        <v>0.05</v>
      </c>
      <c r="F55" s="6">
        <f t="shared" si="3"/>
        <v>2.3676175154808295E-2</v>
      </c>
      <c r="H55" s="30">
        <f t="shared" si="4"/>
        <v>8.177567018780944E-3</v>
      </c>
    </row>
    <row r="56" spans="1:8" x14ac:dyDescent="0.3">
      <c r="A56">
        <v>6</v>
      </c>
      <c r="B56" s="15">
        <f t="shared" si="0"/>
        <v>4</v>
      </c>
      <c r="C56" s="15">
        <f t="shared" si="5"/>
        <v>10</v>
      </c>
      <c r="D56" s="6">
        <f t="shared" si="1"/>
        <v>0.41981460421597194</v>
      </c>
      <c r="E56" s="12">
        <f t="shared" si="2"/>
        <v>1.05</v>
      </c>
      <c r="F56" s="6">
        <f t="shared" si="3"/>
        <v>0.44080533442677056</v>
      </c>
      <c r="H56" s="30">
        <f t="shared" si="4"/>
        <v>0.17372541944439493</v>
      </c>
    </row>
  </sheetData>
  <printOptions headings="1" gridLines="1"/>
  <pageMargins left="0.75" right="0.75" top="1" bottom="1" header="0.5" footer="0.5"/>
  <pageSetup paperSize="9" scale="77" orientation="portrait" blackAndWhite="1" horizontalDpi="4294967292" verticalDpi="300" r:id="rId1"/>
  <headerFooter alignWithMargins="0">
    <oddHeader>&amp;L&amp;F&amp;C&amp;A</oddHeader>
    <oddFooter>Prepared by Mike Staunton &amp;D&amp;RPage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6"/>
  <sheetViews>
    <sheetView workbookViewId="0"/>
  </sheetViews>
  <sheetFormatPr defaultRowHeight="13" x14ac:dyDescent="0.3"/>
  <cols>
    <col min="1" max="1" width="11.796875" customWidth="1"/>
    <col min="4" max="4" width="26.796875" customWidth="1"/>
    <col min="7" max="7" width="12.69921875" customWidth="1"/>
    <col min="8" max="9" width="10.796875" customWidth="1"/>
  </cols>
  <sheetData>
    <row r="1" spans="1:9" x14ac:dyDescent="0.3">
      <c r="A1" s="4" t="s">
        <v>0</v>
      </c>
    </row>
    <row r="2" spans="1:9" x14ac:dyDescent="0.3">
      <c r="A2" s="1" t="s">
        <v>105</v>
      </c>
      <c r="G2" s="1" t="s">
        <v>106</v>
      </c>
    </row>
    <row r="3" spans="1:9" x14ac:dyDescent="0.3">
      <c r="A3" s="2" t="s">
        <v>68</v>
      </c>
      <c r="B3" s="2" t="s">
        <v>107</v>
      </c>
      <c r="H3" s="2" t="s">
        <v>70</v>
      </c>
      <c r="I3" s="2" t="s">
        <v>71</v>
      </c>
    </row>
    <row r="4" spans="1:9" x14ac:dyDescent="0.3">
      <c r="H4" s="9">
        <f>E10</f>
        <v>7.0815441383172015E-2</v>
      </c>
      <c r="I4" s="9">
        <f>E17</f>
        <v>7.7808327162387381E-3</v>
      </c>
    </row>
    <row r="5" spans="1:9" x14ac:dyDescent="0.3">
      <c r="A5" t="s">
        <v>72</v>
      </c>
      <c r="B5" s="8">
        <v>0.2339</v>
      </c>
      <c r="D5" s="4" t="s">
        <v>73</v>
      </c>
      <c r="G5">
        <v>0</v>
      </c>
      <c r="H5" s="9">
        <f t="dataTable" ref="H5:I17" dt2D="0" dtr="0" r1="B9"/>
        <v>0.06</v>
      </c>
      <c r="I5" s="9">
        <v>2.092844953645635E-2</v>
      </c>
    </row>
    <row r="6" spans="1:9" x14ac:dyDescent="0.3">
      <c r="A6" t="s">
        <v>87</v>
      </c>
      <c r="B6" s="8">
        <f>0.0189/B5</f>
        <v>8.0803762291577597E-2</v>
      </c>
      <c r="D6" s="2" t="s">
        <v>32</v>
      </c>
      <c r="E6" s="6">
        <f>B16*EXP(-B15*B7)</f>
        <v>0.49255240702322273</v>
      </c>
      <c r="G6">
        <v>1</v>
      </c>
      <c r="H6" s="9">
        <v>6.2191267741903103E-2</v>
      </c>
      <c r="I6" s="9">
        <v>1.8640859867403176E-2</v>
      </c>
    </row>
    <row r="7" spans="1:9" x14ac:dyDescent="0.3">
      <c r="A7" t="s">
        <v>75</v>
      </c>
      <c r="B7" s="11">
        <v>0.06</v>
      </c>
      <c r="D7" s="21" t="s">
        <v>36</v>
      </c>
      <c r="E7" s="6">
        <f>VasicekCIRZeroValue(2,B5,B6,B7,B8,B9,B11)</f>
        <v>0.49255240702322273</v>
      </c>
      <c r="G7">
        <v>2</v>
      </c>
      <c r="H7" s="9">
        <v>6.3972393379838108E-2</v>
      </c>
      <c r="I7" s="9">
        <v>1.665088643935932E-2</v>
      </c>
    </row>
    <row r="8" spans="1:9" x14ac:dyDescent="0.3">
      <c r="A8" s="2" t="s">
        <v>9</v>
      </c>
      <c r="B8" s="12">
        <v>0</v>
      </c>
      <c r="G8">
        <v>3</v>
      </c>
      <c r="H8" s="9">
        <v>6.5433174451143453E-2</v>
      </c>
      <c r="I8" s="9">
        <v>1.4924380436944953E-2</v>
      </c>
    </row>
    <row r="9" spans="1:9" x14ac:dyDescent="0.3">
      <c r="A9" s="2" t="s">
        <v>12</v>
      </c>
      <c r="B9" s="3">
        <v>10</v>
      </c>
      <c r="D9" s="1" t="s">
        <v>76</v>
      </c>
      <c r="G9">
        <v>4</v>
      </c>
      <c r="H9" s="9">
        <v>6.6641822939314713E-2</v>
      </c>
      <c r="I9" s="9">
        <v>1.3428169970930916E-2</v>
      </c>
    </row>
    <row r="10" spans="1:9" x14ac:dyDescent="0.3">
      <c r="A10" s="2" t="s">
        <v>77</v>
      </c>
      <c r="B10" s="13">
        <f>B9-B8</f>
        <v>10</v>
      </c>
      <c r="D10" s="2" t="s">
        <v>78</v>
      </c>
      <c r="E10" s="10">
        <f>IF(B10&gt;0,-LN(E6)/B10,B7)</f>
        <v>7.0815441383172015E-2</v>
      </c>
      <c r="G10">
        <v>5</v>
      </c>
      <c r="H10" s="9">
        <v>6.7650364542272717E-2</v>
      </c>
      <c r="I10" s="9">
        <v>1.2131455950758421E-2</v>
      </c>
    </row>
    <row r="11" spans="1:9" x14ac:dyDescent="0.3">
      <c r="A11" s="14" t="s">
        <v>108</v>
      </c>
      <c r="B11" s="8">
        <f>SQRT(0.0073)</f>
        <v>8.5440037453175313E-2</v>
      </c>
      <c r="D11" s="21" t="s">
        <v>36</v>
      </c>
      <c r="E11" s="10">
        <f>VasicekCIRSpotRate(2,B5,B6,B7,B8,B9,B11)</f>
        <v>7.0815441383172015E-2</v>
      </c>
      <c r="G11">
        <v>6</v>
      </c>
      <c r="H11" s="9">
        <v>6.8498727792436861E-2</v>
      </c>
      <c r="I11" s="9">
        <v>1.1006490371726295E-2</v>
      </c>
    </row>
    <row r="12" spans="1:9" x14ac:dyDescent="0.3">
      <c r="G12">
        <v>7</v>
      </c>
      <c r="H12" s="9">
        <v>6.9217790075422045E-2</v>
      </c>
      <c r="I12" s="9">
        <v>1.0028787769846611E-2</v>
      </c>
    </row>
    <row r="13" spans="1:9" x14ac:dyDescent="0.3">
      <c r="A13" s="14" t="s">
        <v>109</v>
      </c>
      <c r="B13" s="6">
        <f>SQRT(B5^2+2*B11^2)</f>
        <v>0.26326642398908373</v>
      </c>
      <c r="D13" s="1" t="s">
        <v>81</v>
      </c>
      <c r="G13">
        <v>8</v>
      </c>
      <c r="H13" s="9">
        <v>6.9831627670418256E-2</v>
      </c>
      <c r="I13" s="9">
        <v>9.1770538489434599E-3</v>
      </c>
    </row>
    <row r="14" spans="1:9" x14ac:dyDescent="0.3">
      <c r="A14" s="2" t="s">
        <v>110</v>
      </c>
      <c r="B14" s="6">
        <f>EXP(B13*B10)-1</f>
        <v>12.910782236314718</v>
      </c>
      <c r="D14" s="2" t="s">
        <v>83</v>
      </c>
      <c r="E14" s="10">
        <f>2*B5*B6/(B13+B5)</f>
        <v>7.6030878547079794E-2</v>
      </c>
      <c r="G14">
        <v>9</v>
      </c>
      <c r="H14" s="9">
        <v>7.0359173624106292E-2</v>
      </c>
      <c r="I14" s="9">
        <v>8.4329580329240879E-3</v>
      </c>
    </row>
    <row r="15" spans="1:9" x14ac:dyDescent="0.3">
      <c r="A15" s="2" t="s">
        <v>80</v>
      </c>
      <c r="B15" s="6">
        <f>2*B14/((B13+B5)*B14+2*B13)</f>
        <v>3.7178256815847268</v>
      </c>
      <c r="G15">
        <v>10</v>
      </c>
      <c r="H15" s="9">
        <v>7.0815441383172015E-2</v>
      </c>
      <c r="I15" s="9">
        <v>7.7808327162387381E-3</v>
      </c>
    </row>
    <row r="16" spans="1:9" x14ac:dyDescent="0.3">
      <c r="A16" s="2" t="s">
        <v>82</v>
      </c>
      <c r="B16" s="6">
        <f>POWER((2*B13*EXP((B13+B5)*0.5*B10))/((B13+B5)*B14+2*B13),2*B5*B6/(B11^2))</f>
        <v>0.6156449429526154</v>
      </c>
      <c r="D16" s="1" t="s">
        <v>84</v>
      </c>
      <c r="G16">
        <v>20</v>
      </c>
      <c r="H16" s="9">
        <v>7.3254039309548963E-2</v>
      </c>
      <c r="I16" s="9">
        <v>4.1865144879172072E-3</v>
      </c>
    </row>
    <row r="17" spans="1:9" ht="15" x14ac:dyDescent="0.4">
      <c r="A17" s="2"/>
      <c r="D17" s="14" t="s">
        <v>85</v>
      </c>
      <c r="E17" s="10">
        <f>B11*SQRT(B7)*IF(B10&gt;0,B15/B10,1)</f>
        <v>7.7808327162387381E-3</v>
      </c>
      <c r="G17">
        <v>30</v>
      </c>
      <c r="H17" s="9">
        <v>7.4171616256395956E-2</v>
      </c>
      <c r="I17" s="9">
        <v>2.8052599422659107E-3</v>
      </c>
    </row>
    <row r="18" spans="1:9" x14ac:dyDescent="0.3">
      <c r="A18" s="2"/>
    </row>
    <row r="19" spans="1:9" x14ac:dyDescent="0.3">
      <c r="A19" s="2"/>
    </row>
    <row r="21" spans="1:9" x14ac:dyDescent="0.3">
      <c r="A21" s="1" t="s">
        <v>111</v>
      </c>
    </row>
    <row r="23" spans="1:9" x14ac:dyDescent="0.3">
      <c r="A23" t="s">
        <v>72</v>
      </c>
      <c r="B23" s="7">
        <f>B5</f>
        <v>0.2339</v>
      </c>
      <c r="D23" s="2" t="s">
        <v>16</v>
      </c>
      <c r="E23" s="3">
        <v>1</v>
      </c>
      <c r="G23" t="s">
        <v>29</v>
      </c>
      <c r="H23" s="4">
        <v>1</v>
      </c>
    </row>
    <row r="24" spans="1:9" x14ac:dyDescent="0.3">
      <c r="A24" t="s">
        <v>87</v>
      </c>
      <c r="B24" s="7">
        <f>B6</f>
        <v>8.0803762291577597E-2</v>
      </c>
      <c r="D24" s="2" t="s">
        <v>88</v>
      </c>
      <c r="E24" s="3">
        <v>0.6</v>
      </c>
      <c r="G24" t="s">
        <v>31</v>
      </c>
      <c r="H24" s="5" t="str">
        <f>IF(H23=1,"call","put")</f>
        <v>call</v>
      </c>
    </row>
    <row r="25" spans="1:9" x14ac:dyDescent="0.3">
      <c r="A25" t="s">
        <v>75</v>
      </c>
      <c r="B25" s="20">
        <f>B7</f>
        <v>0.06</v>
      </c>
    </row>
    <row r="26" spans="1:9" x14ac:dyDescent="0.3">
      <c r="B26" s="3"/>
      <c r="G26" t="s">
        <v>89</v>
      </c>
      <c r="H26" s="30">
        <f>IF(E24&gt;=E23*E31,0,IF(H23=1,E23*E28*H29-E24*E27*H30,E24*E27*(1-H30)-E23*E28*(1-H29)))</f>
        <v>3.9744490104486441E-2</v>
      </c>
    </row>
    <row r="27" spans="1:9" x14ac:dyDescent="0.3">
      <c r="A27" s="2" t="s">
        <v>9</v>
      </c>
      <c r="B27" s="12">
        <v>0</v>
      </c>
      <c r="D27" s="2" t="s">
        <v>30</v>
      </c>
      <c r="E27" s="6">
        <f>VasicekCIRZeroValue(2,B23,B24,B25,B27,B28,B31)</f>
        <v>0.76600445620592572</v>
      </c>
      <c r="G27" t="s">
        <v>36</v>
      </c>
      <c r="H27" s="30">
        <f>CIRZeroOptionValue(H23,E23,E24,B23,B24,B25,B27,B28,B29,B31)</f>
        <v>3.9744490104486441E-2</v>
      </c>
    </row>
    <row r="28" spans="1:9" x14ac:dyDescent="0.3">
      <c r="A28" s="2" t="s">
        <v>39</v>
      </c>
      <c r="B28" s="3">
        <v>4</v>
      </c>
      <c r="D28" s="2" t="s">
        <v>32</v>
      </c>
      <c r="E28" s="6">
        <f>VasicekCIRZeroValue(2,B23,B24,B25,B27,B29,B31)</f>
        <v>0.49255240702322273</v>
      </c>
    </row>
    <row r="29" spans="1:9" x14ac:dyDescent="0.3">
      <c r="A29" s="2" t="s">
        <v>12</v>
      </c>
      <c r="B29" s="3">
        <v>10</v>
      </c>
      <c r="G29" t="s">
        <v>112</v>
      </c>
      <c r="H29" s="6">
        <f>1-CIRSankaranQ(H31,H32,H33)</f>
        <v>0.80792470072216882</v>
      </c>
    </row>
    <row r="30" spans="1:9" x14ac:dyDescent="0.3">
      <c r="D30" t="s">
        <v>113</v>
      </c>
      <c r="E30" s="6">
        <f>(B33+B23)*(EXP(B33*(B29-B28))-1)+2*B33</f>
        <v>2.4421186348234318</v>
      </c>
      <c r="G30" t="s">
        <v>114</v>
      </c>
      <c r="H30" s="6">
        <f>1-CIRSankaranQ(H34,H35,H36)</f>
        <v>0.77937050067116764</v>
      </c>
    </row>
    <row r="31" spans="1:9" x14ac:dyDescent="0.3">
      <c r="A31" s="14" t="s">
        <v>108</v>
      </c>
      <c r="B31" s="7">
        <f>B11</f>
        <v>8.5440037453175313E-2</v>
      </c>
      <c r="D31" s="2" t="s">
        <v>115</v>
      </c>
      <c r="E31" s="6">
        <f>(2*B33*EXP(0.5*(B33+B23)*(B29-B28))/E30)^(2*B23*B24/(B31^2))</f>
        <v>0.80118403339448907</v>
      </c>
      <c r="G31" s="2" t="s">
        <v>116</v>
      </c>
      <c r="H31" s="12">
        <f>2*E35*(E33+E34+E32)</f>
        <v>20.143061110868008</v>
      </c>
    </row>
    <row r="32" spans="1:9" x14ac:dyDescent="0.3">
      <c r="D32" t="s">
        <v>92</v>
      </c>
      <c r="E32" s="6">
        <f>2*(EXP(B33*(B29-B28))-1)/E30</f>
        <v>3.1554627166872118</v>
      </c>
      <c r="G32" t="s">
        <v>117</v>
      </c>
      <c r="H32" s="12">
        <f>4*B23*B24/(B31^2)</f>
        <v>10.356164383561644</v>
      </c>
    </row>
    <row r="33" spans="1:8" x14ac:dyDescent="0.3">
      <c r="A33" s="14" t="s">
        <v>109</v>
      </c>
      <c r="B33" s="6">
        <f>SQRT(B23^2+2*B31^2)</f>
        <v>0.26326642398908373</v>
      </c>
      <c r="D33" s="19" t="s">
        <v>118</v>
      </c>
      <c r="E33" s="6">
        <f>2*B33/((B31^2)*(EXP(B33*(B28-B27))-1))</f>
        <v>38.644884059094956</v>
      </c>
      <c r="G33" s="2" t="s">
        <v>119</v>
      </c>
      <c r="H33" s="12">
        <f>2*(E33^2)*B25*EXP(B33*(B28-B27))/(E33+E34+E32)</f>
        <v>4.673982742108084</v>
      </c>
    </row>
    <row r="34" spans="1:8" x14ac:dyDescent="0.3">
      <c r="D34" s="19" t="s">
        <v>120</v>
      </c>
      <c r="E34" s="6">
        <f>(B33+B23)/(B31^2)</f>
        <v>68.104989587545717</v>
      </c>
      <c r="G34" s="2" t="s">
        <v>121</v>
      </c>
      <c r="H34" s="12">
        <f>2*E35*(E33+E34)</f>
        <v>19.564739070842801</v>
      </c>
    </row>
    <row r="35" spans="1:8" x14ac:dyDescent="0.3">
      <c r="D35" t="s">
        <v>122</v>
      </c>
      <c r="E35" s="6">
        <f>LN(E23*E31/E24)/E32</f>
        <v>9.1638230578170277E-2</v>
      </c>
      <c r="G35" t="s">
        <v>117</v>
      </c>
      <c r="H35" s="12">
        <f>4*B23*B24/(B31^2)</f>
        <v>10.356164383561644</v>
      </c>
    </row>
    <row r="36" spans="1:8" x14ac:dyDescent="0.3">
      <c r="G36" s="2" t="s">
        <v>123</v>
      </c>
      <c r="H36" s="12">
        <f>2*(E33^2)*B25*EXP(B33*(B28-B27))/(E33+E34)</f>
        <v>4.8121428895381566</v>
      </c>
    </row>
    <row r="39" spans="1:8" x14ac:dyDescent="0.3">
      <c r="A39" s="1" t="s">
        <v>95</v>
      </c>
    </row>
    <row r="41" spans="1:8" x14ac:dyDescent="0.3">
      <c r="A41" t="s">
        <v>72</v>
      </c>
      <c r="B41" s="7">
        <f>B5</f>
        <v>0.2339</v>
      </c>
      <c r="D41" s="2" t="s">
        <v>16</v>
      </c>
      <c r="E41" s="3">
        <v>1</v>
      </c>
      <c r="G41" t="s">
        <v>29</v>
      </c>
      <c r="H41" s="4">
        <v>1</v>
      </c>
    </row>
    <row r="42" spans="1:8" x14ac:dyDescent="0.3">
      <c r="A42" s="2" t="s">
        <v>74</v>
      </c>
      <c r="B42" s="7">
        <f>B6</f>
        <v>8.0803762291577597E-2</v>
      </c>
      <c r="D42" s="2" t="s">
        <v>17</v>
      </c>
      <c r="E42" s="3">
        <v>0.05</v>
      </c>
      <c r="G42" t="s">
        <v>31</v>
      </c>
      <c r="H42" s="5" t="str">
        <f>IF(H41=1,"call","put")</f>
        <v>call</v>
      </c>
    </row>
    <row r="43" spans="1:8" x14ac:dyDescent="0.3">
      <c r="A43" t="s">
        <v>75</v>
      </c>
      <c r="B43" s="20">
        <f>B7</f>
        <v>0.06</v>
      </c>
      <c r="D43" s="2" t="s">
        <v>88</v>
      </c>
      <c r="E43" s="3">
        <v>0.6</v>
      </c>
    </row>
    <row r="44" spans="1:8" x14ac:dyDescent="0.3">
      <c r="A44" s="2" t="s">
        <v>9</v>
      </c>
      <c r="B44" s="12">
        <v>0</v>
      </c>
      <c r="G44" t="s">
        <v>89</v>
      </c>
      <c r="H44" s="30">
        <f>SUM(H51:H60)</f>
        <v>0.21232837803278373</v>
      </c>
    </row>
    <row r="45" spans="1:8" x14ac:dyDescent="0.3">
      <c r="A45" s="2" t="s">
        <v>39</v>
      </c>
      <c r="B45" s="13">
        <f>B28</f>
        <v>4</v>
      </c>
      <c r="D45" s="14" t="s">
        <v>109</v>
      </c>
      <c r="E45" s="6">
        <f>SQRT(B41^2+2*B48^2)</f>
        <v>0.26326642398908373</v>
      </c>
      <c r="G45" t="s">
        <v>36</v>
      </c>
      <c r="H45" s="30">
        <f>VasicekCIRBondOptionValue(2,H41,E41,E42,E43,B41,B42,B43,B44,B45,B46,B47,B48)</f>
        <v>0.21232837803278373</v>
      </c>
    </row>
    <row r="46" spans="1:8" x14ac:dyDescent="0.3">
      <c r="A46" s="2" t="s">
        <v>12</v>
      </c>
      <c r="B46" s="13">
        <f>B29</f>
        <v>10</v>
      </c>
    </row>
    <row r="47" spans="1:8" x14ac:dyDescent="0.3">
      <c r="A47" s="2" t="s">
        <v>96</v>
      </c>
      <c r="B47" s="13">
        <v>1</v>
      </c>
      <c r="D47" s="2" t="s">
        <v>97</v>
      </c>
      <c r="E47" s="9">
        <f>Jamshidianrstar(2,E41,E42,E43,B41,B42,B43,B45,B46,B47,B48,0.001)</f>
        <v>0.203052592570174</v>
      </c>
    </row>
    <row r="48" spans="1:8" x14ac:dyDescent="0.3">
      <c r="A48" s="14" t="s">
        <v>108</v>
      </c>
      <c r="B48" s="7">
        <f>B11</f>
        <v>8.5440037453175313E-2</v>
      </c>
      <c r="D48" s="2" t="s">
        <v>98</v>
      </c>
      <c r="E48" s="12">
        <f>SUM(F51:F56)</f>
        <v>0.60000000004236531</v>
      </c>
    </row>
    <row r="50" spans="1:8" x14ac:dyDescent="0.3">
      <c r="B50" s="5" t="s">
        <v>99</v>
      </c>
      <c r="C50" s="5" t="s">
        <v>100</v>
      </c>
      <c r="D50" s="17" t="s">
        <v>101</v>
      </c>
      <c r="E50" s="5" t="s">
        <v>102</v>
      </c>
      <c r="F50" s="18" t="s">
        <v>103</v>
      </c>
      <c r="G50" s="2"/>
      <c r="H50" s="17" t="s">
        <v>104</v>
      </c>
    </row>
    <row r="51" spans="1:8" x14ac:dyDescent="0.3">
      <c r="A51">
        <v>1</v>
      </c>
      <c r="B51" s="15">
        <f t="shared" ref="B51:B56" si="0">$B$45</f>
        <v>4</v>
      </c>
      <c r="C51" s="15">
        <f>B51+$B$47</f>
        <v>5</v>
      </c>
      <c r="D51" s="6">
        <f t="shared" ref="D51:D56" si="1">VasicekCIRZeroValue(2,$B$41,$B$42,$E$47,B51,C51,$B$48)</f>
        <v>0.82728381291500974</v>
      </c>
      <c r="E51" s="12">
        <f t="shared" ref="E51:E56" si="2">$E$42+IF(C51=$B$46,$E$41,0)</f>
        <v>0.05</v>
      </c>
      <c r="F51" s="6">
        <f t="shared" ref="F51:F56" si="3">D51*E51</f>
        <v>4.136419064575049E-2</v>
      </c>
      <c r="H51" s="30">
        <f t="shared" ref="H51:H56" si="4">CIRZeroOptionValue($H$41,E51,F51,$B$41,$B$42,$B$43,B$44,B51,C51,$B$48)</f>
        <v>3.965826926279184E-3</v>
      </c>
    </row>
    <row r="52" spans="1:8" x14ac:dyDescent="0.3">
      <c r="A52">
        <v>2</v>
      </c>
      <c r="B52" s="15">
        <f t="shared" si="0"/>
        <v>4</v>
      </c>
      <c r="C52" s="15">
        <f t="shared" ref="C52:C56" si="5">C51+$B$47</f>
        <v>6</v>
      </c>
      <c r="D52" s="6">
        <f t="shared" si="1"/>
        <v>0.7007718068855705</v>
      </c>
      <c r="E52" s="12">
        <f t="shared" si="2"/>
        <v>0.05</v>
      </c>
      <c r="F52" s="6">
        <f t="shared" si="3"/>
        <v>3.5038590344278524E-2</v>
      </c>
      <c r="H52" s="30">
        <f t="shared" si="4"/>
        <v>6.3101743998986506E-3</v>
      </c>
    </row>
    <row r="53" spans="1:8" x14ac:dyDescent="0.3">
      <c r="A53">
        <v>3</v>
      </c>
      <c r="B53" s="15">
        <f t="shared" si="0"/>
        <v>4</v>
      </c>
      <c r="C53" s="15">
        <f t="shared" si="5"/>
        <v>7</v>
      </c>
      <c r="D53" s="6">
        <f t="shared" si="1"/>
        <v>0.60511415703983706</v>
      </c>
      <c r="E53" s="12">
        <f t="shared" si="2"/>
        <v>0.05</v>
      </c>
      <c r="F53" s="6">
        <f t="shared" si="3"/>
        <v>3.0255707851991855E-2</v>
      </c>
      <c r="H53" s="30">
        <f t="shared" si="4"/>
        <v>7.6238270196287636E-3</v>
      </c>
    </row>
    <row r="54" spans="1:8" x14ac:dyDescent="0.3">
      <c r="A54">
        <v>4</v>
      </c>
      <c r="B54" s="15">
        <f t="shared" si="0"/>
        <v>4</v>
      </c>
      <c r="C54" s="15">
        <f t="shared" si="5"/>
        <v>8</v>
      </c>
      <c r="D54" s="6">
        <f t="shared" si="1"/>
        <v>0.53061928078610288</v>
      </c>
      <c r="E54" s="12">
        <f t="shared" si="2"/>
        <v>0.05</v>
      </c>
      <c r="F54" s="6">
        <f t="shared" si="3"/>
        <v>2.6530964039305147E-2</v>
      </c>
      <c r="H54" s="30">
        <f t="shared" si="4"/>
        <v>8.2764599199703012E-3</v>
      </c>
    </row>
    <row r="55" spans="1:8" x14ac:dyDescent="0.3">
      <c r="A55">
        <v>5</v>
      </c>
      <c r="B55" s="15">
        <f t="shared" si="0"/>
        <v>4</v>
      </c>
      <c r="C55" s="15">
        <f t="shared" si="5"/>
        <v>9</v>
      </c>
      <c r="D55" s="6">
        <f t="shared" si="1"/>
        <v>0.47101583073903647</v>
      </c>
      <c r="E55" s="12">
        <f t="shared" si="2"/>
        <v>0.05</v>
      </c>
      <c r="F55" s="6">
        <f t="shared" si="3"/>
        <v>2.3550791536951825E-2</v>
      </c>
      <c r="H55" s="30">
        <f t="shared" si="4"/>
        <v>8.5039811536355078E-3</v>
      </c>
    </row>
    <row r="56" spans="1:8" x14ac:dyDescent="0.3">
      <c r="A56">
        <v>6</v>
      </c>
      <c r="B56" s="15">
        <f t="shared" si="0"/>
        <v>4</v>
      </c>
      <c r="C56" s="15">
        <f t="shared" si="5"/>
        <v>10</v>
      </c>
      <c r="D56" s="6">
        <f t="shared" si="1"/>
        <v>0.42215214821341657</v>
      </c>
      <c r="E56" s="12">
        <f t="shared" si="2"/>
        <v>1.05</v>
      </c>
      <c r="F56" s="6">
        <f t="shared" si="3"/>
        <v>0.44325975562408743</v>
      </c>
      <c r="H56" s="30">
        <f t="shared" si="4"/>
        <v>0.17764810861337132</v>
      </c>
    </row>
  </sheetData>
  <printOptions headings="1" gridLines="1"/>
  <pageMargins left="0.75" right="0.75" top="1" bottom="1" header="0.5" footer="0.5"/>
  <pageSetup paperSize="9" scale="78" orientation="portrait" blackAndWhite="1" horizontalDpi="4294967292" verticalDpi="300" r:id="rId1"/>
  <headerFooter alignWithMargins="0">
    <oddHeader>&amp;L&amp;F&amp;C&amp;A</oddHeader>
    <oddFooter>Prepared by Mike Staunton &amp;D&amp;RPage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3</vt:i4>
      </vt:variant>
    </vt:vector>
  </HeadingPairs>
  <TitlesOfParts>
    <vt:vector size="6" baseType="lpstr">
      <vt:lpstr>Intro</vt:lpstr>
      <vt:lpstr>Vasicek</vt:lpstr>
      <vt:lpstr>CIR</vt:lpstr>
      <vt:lpstr>Chart1</vt:lpstr>
      <vt:lpstr>Chart2</vt:lpstr>
      <vt:lpstr>Chart3</vt:lpstr>
    </vt:vector>
  </TitlesOfParts>
  <Company>London Business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Models for AMF chapters 14, 15</dc:title>
  <dc:creator>Mary Jackson and Mike Staunton</dc:creator>
  <cp:lastModifiedBy>Carina Negreanu</cp:lastModifiedBy>
  <cp:lastPrinted>2000-11-20T10:10:59Z</cp:lastPrinted>
  <dcterms:created xsi:type="dcterms:W3CDTF">2000-07-13T14:59:16Z</dcterms:created>
  <dcterms:modified xsi:type="dcterms:W3CDTF">2020-01-27T11:17:02Z</dcterms:modified>
</cp:coreProperties>
</file>