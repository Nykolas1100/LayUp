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B0C9C7-BC95-48B2-9B1A-4D08F1057099}" xr6:coauthVersionLast="45" xr6:coauthVersionMax="45" xr10:uidLastSave="{00000000-0000-0000-0000-000000000000}"/>
  <bookViews>
    <workbookView xWindow="3420" yWindow="3420" windowWidth="28800" windowHeight="15460" tabRatio="601"/>
  </bookViews>
  <sheets>
    <sheet name="SourceFunds" sheetId="4" r:id="rId1"/>
    <sheet name="CapEquip" sheetId="5" r:id="rId2"/>
    <sheet name="BeginInv" sheetId="6" r:id="rId3"/>
    <sheet name="Startupcosts" sheetId="7" r:id="rId4"/>
    <sheet name="WorkCap" sheetId="8" r:id="rId5"/>
    <sheet name="Payroll" sheetId="9" r:id="rId6"/>
    <sheet name="IncomeStatement" sheetId="10" r:id="rId7"/>
    <sheet name="CashFlow" sheetId="11" r:id="rId8"/>
    <sheet name="Bizbalsht" sheetId="12" r:id="rId9"/>
    <sheet name="Perbalsht" sheetId="13" r:id="rId10"/>
    <sheet name="KeyRatios" sheetId="16" r:id="rId11"/>
    <sheet name="Amortization" sheetId="1" r:id="rId12"/>
  </sheets>
  <externalReferences>
    <externalReference r:id="rId13"/>
  </externalReferences>
  <definedNames>
    <definedName name="Annual_interest_rate">SourceFunds!#REF!</definedName>
    <definedName name="bill1">bill2/bill3</definedName>
    <definedName name="bill10">Amortization!$C$16</definedName>
    <definedName name="bill11">Amortization!$G$16</definedName>
    <definedName name="bill12">IF(Amortization!XFD1&lt;&gt;"",DATE(YEAR(bill13),MONTH(bill13)+(Amortization!XFD1-1)*12/bill3,DAY(bill13)),"")</definedName>
    <definedName name="bill13">Amortization!$C$11</definedName>
    <definedName name="bill14">IF(Amortization!XFB1&lt;&gt;"",Amortization!XFD1*bill1,"")</definedName>
    <definedName name="bill15">IF(Amortization!XFA1&lt;&gt;"",MIN(Amortization!XFC1,bill10-Amortization!XFD1),"")</definedName>
    <definedName name="bill16">IF(Amortization!XEZ1&lt;&gt;"",Amortization!XFB1-Amortization!XFD1,"")</definedName>
    <definedName name="bill17">Amortization!$G$17</definedName>
    <definedName name="bill2">Amortization!$C$8</definedName>
    <definedName name="bill3">Amortization!$C$10</definedName>
    <definedName name="bill4">bill3*bill5</definedName>
    <definedName name="bill5">Amortization!$C$9</definedName>
    <definedName name="bill6">Amortization!$C$7</definedName>
    <definedName name="bill7">Amortization!$C$13</definedName>
    <definedName name="bill8">Amortization!$C$14</definedName>
    <definedName name="bill9">Amortization!$C$17</definedName>
    <definedName name="Calculated_payment">SourceFunds!$C$14</definedName>
    <definedName name="Ending.Balance">IF([1]cutupproforma!XEZ1&lt;&gt;"",[1]cutupproforma!XFB1-[1]cutupproforma!XFD1,"")</definedName>
    <definedName name="Entered_payment">SourceFunds!$C$13</definedName>
    <definedName name="First_payment_due">SourceFunds!$C$11</definedName>
    <definedName name="First_payment_no">SourceFunds!$C$17</definedName>
    <definedName name="Interest" localSheetId="2">IF([1]cutupproforma!XFB1&lt;&gt;"",[1]cutupproforma!XFD1*BeginInv!Periodic_rate,"")</definedName>
    <definedName name="Interest" localSheetId="8">IF([1]cutupproforma!XFB1&lt;&gt;"",[1]cutupproforma!XFD1*Bizbalsht!Periodic_rate,"")</definedName>
    <definedName name="Interest" localSheetId="1">IF([1]cutupproforma!XFB1&lt;&gt;"",[1]cutupproforma!XFD1*CapEquip!Periodic_rate,"")</definedName>
    <definedName name="Interest" localSheetId="7">IF([1]cutupproforma!XFB1&lt;&gt;"",[1]cutupproforma!XFD1*CashFlow!Periodic_rate,"")</definedName>
    <definedName name="Interest" localSheetId="6">IF([1]cutupproforma!XFB1&lt;&gt;"",[1]cutupproforma!XFD1*IncomeStatement!Periodic_rate,"")</definedName>
    <definedName name="Interest" localSheetId="10">IF([1]cutupproforma!XFB1&lt;&gt;"",[1]cutupproforma!XFD1*KeyRatios!Periodic_rate,"")</definedName>
    <definedName name="Interest" localSheetId="5">IF([1]cutupproforma!XFB1&lt;&gt;"",[1]cutupproforma!XFD1*Payroll!Periodic_rate,"")</definedName>
    <definedName name="Interest" localSheetId="9">IF([1]cutupproforma!XFB1&lt;&gt;"",[1]cutupproforma!XFD1*Perbalsht!Periodic_rate,"")</definedName>
    <definedName name="Interest" localSheetId="3">IF([1]cutupproforma!XFB1&lt;&gt;"",[1]cutupproforma!XFD1*Startupcosts!Periodic_rate,"")</definedName>
    <definedName name="Interest" localSheetId="4">IF([1]cutupproforma!XFB1&lt;&gt;"",[1]cutupproforma!XFD1*WorkCap!Periodic_rate,"")</definedName>
    <definedName name="Interest">IF([1]cutupproforma!XFB1&lt;&gt;"",[1]cutupproforma!XFD1*Periodic_rate,"")</definedName>
    <definedName name="Loan_amount">SourceFunds!#REF!</definedName>
    <definedName name="Payments_per_year">SourceFunds!$C$9</definedName>
    <definedName name="Periodic_rate" localSheetId="2">Annual_interest_rate/Payments_per_year</definedName>
    <definedName name="Periodic_rate" localSheetId="8">Annual_interest_rate/Payments_per_year</definedName>
    <definedName name="Periodic_rate" localSheetId="1">Annual_interest_rate/Payments_per_year</definedName>
    <definedName name="Periodic_rate" localSheetId="7">Annual_interest_rate/Payments_per_year</definedName>
    <definedName name="Periodic_rate" localSheetId="6">Annual_interest_rate/Payments_per_year</definedName>
    <definedName name="Periodic_rate" localSheetId="10">Annual_interest_rate/Payments_per_year</definedName>
    <definedName name="Periodic_rate" localSheetId="5">Annual_interest_rate/Payments_per_year</definedName>
    <definedName name="Periodic_rate" localSheetId="9">Annual_interest_rate/Payments_per_year</definedName>
    <definedName name="Periodic_rate" localSheetId="3">Annual_interest_rate/Payments_per_year</definedName>
    <definedName name="Periodic_rate" localSheetId="4">Annual_interest_rate/Payments_per_year</definedName>
    <definedName name="Periodic_rate">Annual_interest_rate/Payments_per_year</definedName>
    <definedName name="Pmt_to_use">SourceFunds!$C$16</definedName>
    <definedName name="Principal" localSheetId="2">IF([1]cutupproforma!XFA1&lt;&gt;"",MIN([1]cutupproforma!XFC1,Pmt_to_use-[1]cutupproforma!XFD1),"")</definedName>
    <definedName name="Principal" localSheetId="8">IF([1]cutupproforma!XFA1&lt;&gt;"",MIN([1]cutupproforma!XFC1,Pmt_to_use-[1]cutupproforma!XFD1),"")</definedName>
    <definedName name="Principal" localSheetId="1">IF([1]cutupproforma!XFA1&lt;&gt;"",MIN([1]cutupproforma!XFC1,Pmt_to_use-[1]cutupproforma!XFD1),"")</definedName>
    <definedName name="Principal" localSheetId="7">IF([1]cutupproforma!XFA1&lt;&gt;"",MIN([1]cutupproforma!XFC1,Pmt_to_use-[1]cutupproforma!XFD1),"")</definedName>
    <definedName name="Principal" localSheetId="6">IF([1]cutupproforma!XFA1&lt;&gt;"",MIN([1]cutupproforma!XFC1,Pmt_to_use-[1]cutupproforma!XFD1),"")</definedName>
    <definedName name="Principal" localSheetId="10">IF([1]cutupproforma!XFA1&lt;&gt;"",MIN([1]cutupproforma!XFC1,Pmt_to_use-[1]cutupproforma!XFD1),"")</definedName>
    <definedName name="Principal" localSheetId="5">IF([1]cutupproforma!XFA1&lt;&gt;"",MIN([1]cutupproforma!XFC1,Pmt_to_use-[1]cutupproforma!XFD1),"")</definedName>
    <definedName name="Principal" localSheetId="9">IF([1]cutupproforma!XFA1&lt;&gt;"",MIN([1]cutupproforma!XFC1,Pmt_to_use-[1]cutupproforma!XFD1),"")</definedName>
    <definedName name="Principal" localSheetId="3">IF([1]cutupproforma!XFA1&lt;&gt;"",MIN([1]cutupproforma!XFC1,Pmt_to_use-[1]cutupproforma!XFD1),"")</definedName>
    <definedName name="Principal" localSheetId="4">IF([1]cutupproforma!XFA1&lt;&gt;"",MIN([1]cutupproforma!XFC1,Pmt_to_use-[1]cutupproforma!XFD1),"")</definedName>
    <definedName name="Principal">IF([1]cutupproforma!XFA1&lt;&gt;"",MIN([1]cutupproforma!XFC1,Pmt_to_use-[1]cutupproforma!XFD1),"")</definedName>
    <definedName name="_xlnm.Print_Area" localSheetId="11">Amortization!$1:$57</definedName>
    <definedName name="_xlnm.Print_Area" localSheetId="2">BeginInv!$A$1:$D$32</definedName>
    <definedName name="_xlnm.Print_Area" localSheetId="8">Bizbalsht!$A$1:$E$46</definedName>
    <definedName name="_xlnm.Print_Area" localSheetId="1">CapEquip!$A$1:$C$27</definedName>
    <definedName name="_xlnm.Print_Area" localSheetId="7">CashFlow!$A$1:$N$61</definedName>
    <definedName name="_xlnm.Print_Area" localSheetId="6">IncomeStatement!$A$9:$U$63</definedName>
    <definedName name="_xlnm.Print_Area" localSheetId="10">KeyRatios!$A$1:$H$36</definedName>
    <definedName name="_xlnm.Print_Area" localSheetId="5">Payroll!$A$1:$L$35</definedName>
    <definedName name="_xlnm.Print_Area" localSheetId="9">Perbalsht!$A$1:$B$67</definedName>
    <definedName name="_xlnm.Print_Area" localSheetId="0">SourceFunds!$A$1:$B$58</definedName>
    <definedName name="_xlnm.Print_Area" localSheetId="3">Startupcosts!$A$1:$B$38</definedName>
    <definedName name="_xlnm.Print_Area" localSheetId="4">WorkCap!$A$1:$B$40</definedName>
    <definedName name="Show.Date" localSheetId="2">IF([1]cutupproforma!XFD1&lt;&gt;"",DATE(YEAR(First_payment_due),MONTH(First_payment_due)+([1]cutupproforma!XFD1-1)*12/Payments_per_year,DAY(First_payment_due)),"")</definedName>
    <definedName name="Show.Date" localSheetId="8">IF([1]cutupproforma!XFD1&lt;&gt;"",DATE(YEAR(First_payment_due),MONTH(First_payment_due)+([1]cutupproforma!XFD1-1)*12/Payments_per_year,DAY(First_payment_due)),"")</definedName>
    <definedName name="Show.Date" localSheetId="1">IF([1]cutupproforma!XFD1&lt;&gt;"",DATE(YEAR(First_payment_due),MONTH(First_payment_due)+([1]cutupproforma!XFD1-1)*12/Payments_per_year,DAY(First_payment_due)),"")</definedName>
    <definedName name="Show.Date" localSheetId="7">IF([1]cutupproforma!XFD1&lt;&gt;"",DATE(YEAR(First_payment_due),MONTH(First_payment_due)+([1]cutupproforma!XFD1-1)*12/Payments_per_year,DAY(First_payment_due)),"")</definedName>
    <definedName name="Show.Date" localSheetId="6">IF([1]cutupproforma!XFD1&lt;&gt;"",DATE(YEAR(First_payment_due),MONTH(First_payment_due)+([1]cutupproforma!XFD1-1)*12/Payments_per_year,DAY(First_payment_due)),"")</definedName>
    <definedName name="Show.Date" localSheetId="10">IF([1]cutupproforma!XFD1&lt;&gt;"",DATE(YEAR(First_payment_due),MONTH(First_payment_due)+([1]cutupproforma!XFD1-1)*12/Payments_per_year,DAY(First_payment_due)),"")</definedName>
    <definedName name="Show.Date" localSheetId="5">IF([1]cutupproforma!XFD1&lt;&gt;"",DATE(YEAR(First_payment_due),MONTH(First_payment_due)+([1]cutupproforma!XFD1-1)*12/Payments_per_year,DAY(First_payment_due)),"")</definedName>
    <definedName name="Show.Date" localSheetId="9">IF([1]cutupproforma!XFD1&lt;&gt;"",DATE(YEAR(First_payment_due),MONTH(First_payment_due)+([1]cutupproforma!XFD1-1)*12/Payments_per_year,DAY(First_payment_due)),"")</definedName>
    <definedName name="Show.Date" localSheetId="3">IF([1]cutupproforma!XFD1&lt;&gt;"",DATE(YEAR(First_payment_due),MONTH(First_payment_due)+([1]cutupproforma!XFD1-1)*12/Payments_per_year,DAY(First_payment_due)),"")</definedName>
    <definedName name="Show.Date" localSheetId="4">IF([1]cutupproforma!XFD1&lt;&gt;"",DATE(YEAR(First_payment_due),MONTH(First_payment_due)+([1]cutupproforma!XFD1-1)*12/Payments_per_year,DAY(First_payment_due)),"")</definedName>
    <definedName name="Show.Date">IF([1]cutupproforma!XFD1&lt;&gt;"",DATE(YEAR(First_payment_due),MONTH(First_payment_due)+([1]cutupproforma!XFD1-1)*12/Payments_per_year,DAY(First_payment_due)),"")</definedName>
    <definedName name="Table_beg_bal">SourceFunds!$G$16</definedName>
    <definedName name="Table_prior_interest">SourceFunds!$G$17</definedName>
    <definedName name="Term_in_years">SourceFunds!$C$8</definedName>
    <definedName name="Total_payments" localSheetId="2">Payments_per_year*Term_in_years</definedName>
    <definedName name="Total_payments" localSheetId="8">Payments_per_year*Term_in_years</definedName>
    <definedName name="Total_payments" localSheetId="1">Payments_per_year*Term_in_years</definedName>
    <definedName name="Total_payments" localSheetId="7">Payments_per_year*Term_in_years</definedName>
    <definedName name="Total_payments" localSheetId="6">Payments_per_year*Term_in_years</definedName>
    <definedName name="Total_payments" localSheetId="10">Payments_per_year*Term_in_years</definedName>
    <definedName name="Total_payments" localSheetId="5">Payments_per_year*Term_in_years</definedName>
    <definedName name="Total_payments" localSheetId="9">Payments_per_year*Term_in_years</definedName>
    <definedName name="Total_payments" localSheetId="3">Payments_per_year*Term_in_years</definedName>
    <definedName name="Total_payments" localSheetId="4">Payments_per_year*Term_in_years</definedName>
    <definedName name="Total_payments">Payments_per_year*Term_in_years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1" l="1"/>
  <c r="C16" i="1" s="1"/>
  <c r="C17" i="1"/>
  <c r="F16" i="1" s="1"/>
  <c r="A22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D7" i="6"/>
  <c r="D8" i="6"/>
  <c r="D9" i="6"/>
  <c r="D10" i="6"/>
  <c r="D11" i="6"/>
  <c r="D12" i="6"/>
  <c r="D13" i="6"/>
  <c r="D14" i="6"/>
  <c r="D15" i="6"/>
  <c r="D28" i="6" s="1"/>
  <c r="D16" i="6"/>
  <c r="D17" i="6"/>
  <c r="D18" i="6"/>
  <c r="D19" i="6"/>
  <c r="D20" i="6"/>
  <c r="D21" i="6"/>
  <c r="D22" i="6"/>
  <c r="D23" i="6"/>
  <c r="D24" i="6"/>
  <c r="D25" i="6"/>
  <c r="D26" i="6"/>
  <c r="D27" i="6"/>
  <c r="B8" i="12"/>
  <c r="B11" i="12"/>
  <c r="C11" i="12"/>
  <c r="D13" i="12"/>
  <c r="D25" i="12" s="1"/>
  <c r="E13" i="12"/>
  <c r="E25" i="12" s="1"/>
  <c r="B17" i="12"/>
  <c r="C17" i="12"/>
  <c r="B18" i="12"/>
  <c r="C18" i="12"/>
  <c r="B19" i="12"/>
  <c r="B23" i="12" s="1"/>
  <c r="C19" i="12"/>
  <c r="C21" i="12"/>
  <c r="C23" i="12" s="1"/>
  <c r="D23" i="12"/>
  <c r="E23" i="12"/>
  <c r="C24" i="5"/>
  <c r="C3" i="11"/>
  <c r="D3" i="11"/>
  <c r="E3" i="11"/>
  <c r="F3" i="11"/>
  <c r="G3" i="11"/>
  <c r="H3" i="11"/>
  <c r="I3" i="11"/>
  <c r="J3" i="11"/>
  <c r="K3" i="11"/>
  <c r="L3" i="11"/>
  <c r="M3" i="11"/>
  <c r="N3" i="11"/>
  <c r="B5" i="11"/>
  <c r="C9" i="11"/>
  <c r="D9" i="11"/>
  <c r="E9" i="11"/>
  <c r="F9" i="11"/>
  <c r="G9" i="11"/>
  <c r="H9" i="11"/>
  <c r="I9" i="11"/>
  <c r="K9" i="11"/>
  <c r="L9" i="11"/>
  <c r="N9" i="11"/>
  <c r="K10" i="11"/>
  <c r="L10" i="11"/>
  <c r="B11" i="11"/>
  <c r="B14" i="11"/>
  <c r="A18" i="11"/>
  <c r="A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A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A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A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A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A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A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A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A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A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A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A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A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A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A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A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A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A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A37" i="11"/>
  <c r="A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A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A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A41" i="11"/>
  <c r="A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A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A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A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A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B48" i="11"/>
  <c r="B55" i="11"/>
  <c r="P7" i="10"/>
  <c r="C13" i="10"/>
  <c r="D13" i="10"/>
  <c r="E13" i="10"/>
  <c r="F13" i="10"/>
  <c r="F17" i="10" s="1"/>
  <c r="F21" i="10" s="1"/>
  <c r="F23" i="10" s="1"/>
  <c r="G13" i="10"/>
  <c r="H13" i="10"/>
  <c r="I13" i="10"/>
  <c r="I17" i="10" s="1"/>
  <c r="J13" i="10"/>
  <c r="J17" i="10" s="1"/>
  <c r="K13" i="10"/>
  <c r="L13" i="10"/>
  <c r="M13" i="10"/>
  <c r="M9" i="11" s="1"/>
  <c r="N13" i="10"/>
  <c r="C14" i="10"/>
  <c r="D10" i="11" s="1"/>
  <c r="D14" i="10"/>
  <c r="E10" i="11" s="1"/>
  <c r="E14" i="10"/>
  <c r="F10" i="11" s="1"/>
  <c r="F14" i="10"/>
  <c r="G10" i="11" s="1"/>
  <c r="G14" i="10"/>
  <c r="H10" i="11" s="1"/>
  <c r="H14" i="10"/>
  <c r="I10" i="11" s="1"/>
  <c r="I14" i="10"/>
  <c r="J10" i="11" s="1"/>
  <c r="J14" i="10"/>
  <c r="K14" i="10"/>
  <c r="L14" i="10"/>
  <c r="M10" i="11" s="1"/>
  <c r="M14" i="10"/>
  <c r="N14" i="10"/>
  <c r="P15" i="10"/>
  <c r="C17" i="10"/>
  <c r="E17" i="10"/>
  <c r="E21" i="10" s="1"/>
  <c r="G17" i="10"/>
  <c r="G21" i="10" s="1"/>
  <c r="H17" i="10"/>
  <c r="K17" i="10"/>
  <c r="M17" i="10"/>
  <c r="N17" i="10"/>
  <c r="N25" i="10" s="1"/>
  <c r="C21" i="10"/>
  <c r="K21" i="10"/>
  <c r="N21" i="10"/>
  <c r="C23" i="10"/>
  <c r="C25" i="10"/>
  <c r="P30" i="10"/>
  <c r="P31" i="10"/>
  <c r="R31" i="10"/>
  <c r="P32" i="10"/>
  <c r="R32" i="10" s="1"/>
  <c r="P33" i="10"/>
  <c r="R33" i="10" s="1"/>
  <c r="T33" i="10" s="1"/>
  <c r="P34" i="10"/>
  <c r="R34" i="10" s="1"/>
  <c r="T34" i="10"/>
  <c r="P35" i="10"/>
  <c r="R35" i="10"/>
  <c r="T35" i="10" s="1"/>
  <c r="P36" i="10"/>
  <c r="R36" i="10"/>
  <c r="T36" i="10" s="1"/>
  <c r="P37" i="10"/>
  <c r="R37" i="10"/>
  <c r="T37" i="10" s="1"/>
  <c r="P38" i="10"/>
  <c r="P39" i="10"/>
  <c r="R39" i="10"/>
  <c r="T39" i="10"/>
  <c r="P40" i="10"/>
  <c r="R40" i="10"/>
  <c r="T40" i="10"/>
  <c r="P41" i="10"/>
  <c r="R41" i="10"/>
  <c r="P42" i="10"/>
  <c r="R42" i="10" s="1"/>
  <c r="P43" i="10"/>
  <c r="R43" i="10" s="1"/>
  <c r="T43" i="10" s="1"/>
  <c r="P44" i="10"/>
  <c r="R44" i="10" s="1"/>
  <c r="P45" i="10"/>
  <c r="R45" i="10"/>
  <c r="T45" i="10" s="1"/>
  <c r="P46" i="10"/>
  <c r="R46" i="10"/>
  <c r="T46" i="10" s="1"/>
  <c r="P47" i="10"/>
  <c r="R47" i="10"/>
  <c r="T47" i="10" s="1"/>
  <c r="P49" i="10"/>
  <c r="R49" i="10"/>
  <c r="P50" i="10"/>
  <c r="R50" i="10" s="1"/>
  <c r="P51" i="10"/>
  <c r="R51" i="10" s="1"/>
  <c r="T51" i="10" s="1"/>
  <c r="P53" i="10"/>
  <c r="R53" i="10"/>
  <c r="T53" i="10" s="1"/>
  <c r="P54" i="10"/>
  <c r="P55" i="10"/>
  <c r="R55" i="10"/>
  <c r="T55" i="10"/>
  <c r="P56" i="10"/>
  <c r="R56" i="10"/>
  <c r="T56" i="10"/>
  <c r="P57" i="10"/>
  <c r="R57" i="10"/>
  <c r="P58" i="10"/>
  <c r="R58" i="10" s="1"/>
  <c r="D6" i="16"/>
  <c r="D10" i="16"/>
  <c r="D14" i="16"/>
  <c r="D22" i="16"/>
  <c r="D26" i="16"/>
  <c r="D42" i="16"/>
  <c r="D8" i="16" s="1"/>
  <c r="D47" i="16"/>
  <c r="D52" i="16"/>
  <c r="B55" i="16"/>
  <c r="D57" i="16"/>
  <c r="D12" i="16" s="1"/>
  <c r="B61" i="16"/>
  <c r="D62" i="16"/>
  <c r="D67" i="16"/>
  <c r="D18" i="16" s="1"/>
  <c r="D72" i="16"/>
  <c r="D16" i="16" s="1"/>
  <c r="D77" i="16"/>
  <c r="D82" i="16"/>
  <c r="D24" i="16" s="1"/>
  <c r="B86" i="16"/>
  <c r="C86" i="16"/>
  <c r="D87" i="16"/>
  <c r="D101" i="16" s="1"/>
  <c r="D102" i="16" s="1"/>
  <c r="D28" i="16" s="1"/>
  <c r="B91" i="16"/>
  <c r="C91" i="16"/>
  <c r="D92" i="16"/>
  <c r="D30" i="16" s="1"/>
  <c r="D106" i="16"/>
  <c r="D107" i="16" s="1"/>
  <c r="D32" i="16" s="1"/>
  <c r="G14" i="9"/>
  <c r="I14" i="9" s="1"/>
  <c r="H14" i="9"/>
  <c r="J14" i="9"/>
  <c r="G15" i="9"/>
  <c r="I15" i="9" s="1"/>
  <c r="H15" i="9"/>
  <c r="J15" i="9"/>
  <c r="G16" i="9"/>
  <c r="I16" i="9" s="1"/>
  <c r="K16" i="9" s="1"/>
  <c r="H16" i="9"/>
  <c r="J16" i="9"/>
  <c r="L16" i="9"/>
  <c r="G17" i="9"/>
  <c r="H17" i="9"/>
  <c r="K17" i="9" s="1"/>
  <c r="I17" i="9"/>
  <c r="J17" i="9"/>
  <c r="L17" i="9"/>
  <c r="G18" i="9"/>
  <c r="H18" i="9" s="1"/>
  <c r="K18" i="9" s="1"/>
  <c r="I18" i="9"/>
  <c r="J18" i="9"/>
  <c r="L18" i="9"/>
  <c r="G19" i="9"/>
  <c r="H19" i="9" s="1"/>
  <c r="K19" i="9" s="1"/>
  <c r="I19" i="9"/>
  <c r="J19" i="9"/>
  <c r="L19" i="9"/>
  <c r="G20" i="9"/>
  <c r="G21" i="9"/>
  <c r="J21" i="9" s="1"/>
  <c r="K21" i="9" s="1"/>
  <c r="H21" i="9"/>
  <c r="I21" i="9"/>
  <c r="L21" i="9"/>
  <c r="G22" i="9"/>
  <c r="H22" i="9"/>
  <c r="K22" i="9" s="1"/>
  <c r="I22" i="9"/>
  <c r="J22" i="9"/>
  <c r="L22" i="9"/>
  <c r="G23" i="9"/>
  <c r="H23" i="9"/>
  <c r="I23" i="9"/>
  <c r="J23" i="9"/>
  <c r="L23" i="9"/>
  <c r="G24" i="9"/>
  <c r="I24" i="9" s="1"/>
  <c r="K24" i="9" s="1"/>
  <c r="H24" i="9"/>
  <c r="J24" i="9"/>
  <c r="B18" i="13"/>
  <c r="B29" i="13"/>
  <c r="B44" i="13"/>
  <c r="B64" i="13"/>
  <c r="B11" i="4"/>
  <c r="B18" i="4"/>
  <c r="B24" i="4"/>
  <c r="B47" i="4"/>
  <c r="B37" i="7"/>
  <c r="B28" i="4" s="1"/>
  <c r="A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C27" i="8"/>
  <c r="A28" i="8"/>
  <c r="B28" i="8"/>
  <c r="C28" i="8"/>
  <c r="A29" i="8"/>
  <c r="B29" i="8"/>
  <c r="C29" i="8"/>
  <c r="A30" i="8"/>
  <c r="B30" i="8"/>
  <c r="C30" i="8"/>
  <c r="A31" i="8"/>
  <c r="C31" i="8"/>
  <c r="A32" i="8"/>
  <c r="B32" i="8"/>
  <c r="C32" i="8"/>
  <c r="A33" i="8"/>
  <c r="B33" i="8"/>
  <c r="C33" i="8"/>
  <c r="A34" i="8"/>
  <c r="B34" i="8"/>
  <c r="C34" i="8"/>
  <c r="A35" i="8"/>
  <c r="B35" i="8"/>
  <c r="C35" i="8"/>
  <c r="A36" i="8"/>
  <c r="B36" i="8"/>
  <c r="C36" i="8"/>
  <c r="J25" i="9" l="1"/>
  <c r="K23" i="9"/>
  <c r="T32" i="10"/>
  <c r="N23" i="10"/>
  <c r="N52" i="11"/>
  <c r="T57" i="10"/>
  <c r="T31" i="10"/>
  <c r="K52" i="11"/>
  <c r="K23" i="10"/>
  <c r="T44" i="10"/>
  <c r="R38" i="10"/>
  <c r="T50" i="10"/>
  <c r="B10" i="12"/>
  <c r="B13" i="12" s="1"/>
  <c r="B26" i="4"/>
  <c r="B52" i="11"/>
  <c r="B58" i="11" s="1"/>
  <c r="B60" i="11" s="1"/>
  <c r="C5" i="11" s="1"/>
  <c r="C14" i="11" s="1"/>
  <c r="R30" i="10"/>
  <c r="B46" i="13"/>
  <c r="B66" i="13" s="1"/>
  <c r="K25" i="10"/>
  <c r="T49" i="10"/>
  <c r="T42" i="10"/>
  <c r="T41" i="10"/>
  <c r="F25" i="10"/>
  <c r="I20" i="9"/>
  <c r="J20" i="9"/>
  <c r="L20" i="9"/>
  <c r="G25" i="9"/>
  <c r="H20" i="9"/>
  <c r="K20" i="9" s="1"/>
  <c r="R54" i="10"/>
  <c r="Q15" i="10"/>
  <c r="H21" i="10"/>
  <c r="G23" i="10"/>
  <c r="G52" i="11"/>
  <c r="G25" i="10"/>
  <c r="K15" i="9"/>
  <c r="E52" i="11"/>
  <c r="E23" i="10"/>
  <c r="H25" i="9"/>
  <c r="E25" i="10"/>
  <c r="F52" i="11"/>
  <c r="K14" i="9"/>
  <c r="I25" i="9"/>
  <c r="I21" i="10"/>
  <c r="I25" i="10" s="1"/>
  <c r="J21" i="10"/>
  <c r="T58" i="10"/>
  <c r="J9" i="11"/>
  <c r="P13" i="10"/>
  <c r="B54" i="11"/>
  <c r="L15" i="9"/>
  <c r="C52" i="11"/>
  <c r="L17" i="10"/>
  <c r="P14" i="10"/>
  <c r="N10" i="11"/>
  <c r="M21" i="10"/>
  <c r="L24" i="9"/>
  <c r="L14" i="9"/>
  <c r="L25" i="9" s="1"/>
  <c r="D96" i="16"/>
  <c r="D97" i="16" s="1"/>
  <c r="D20" i="16" s="1"/>
  <c r="D17" i="10"/>
  <c r="F17" i="1"/>
  <c r="G16" i="1"/>
  <c r="C22" i="1" s="1"/>
  <c r="J23" i="10" l="1"/>
  <c r="J52" i="11"/>
  <c r="I23" i="10"/>
  <c r="I52" i="11"/>
  <c r="B27" i="9"/>
  <c r="M52" i="11"/>
  <c r="M23" i="10"/>
  <c r="Q14" i="10"/>
  <c r="R14" i="10"/>
  <c r="T30" i="10"/>
  <c r="L21" i="10"/>
  <c r="L25" i="10"/>
  <c r="D21" i="10"/>
  <c r="D25" i="10"/>
  <c r="K25" i="9"/>
  <c r="M25" i="10"/>
  <c r="B50" i="16"/>
  <c r="B25" i="12"/>
  <c r="J25" i="10"/>
  <c r="H23" i="10"/>
  <c r="H52" i="11"/>
  <c r="H25" i="10"/>
  <c r="E48" i="10"/>
  <c r="E37" i="11" s="1"/>
  <c r="F48" i="10"/>
  <c r="F37" i="11" s="1"/>
  <c r="G48" i="10"/>
  <c r="G37" i="11" s="1"/>
  <c r="H48" i="10"/>
  <c r="H37" i="11" s="1"/>
  <c r="M48" i="10"/>
  <c r="M37" i="11" s="1"/>
  <c r="I48" i="10"/>
  <c r="I37" i="11" s="1"/>
  <c r="J48" i="10"/>
  <c r="J37" i="11" s="1"/>
  <c r="K48" i="10"/>
  <c r="K37" i="11" s="1"/>
  <c r="L48" i="10"/>
  <c r="L37" i="11" s="1"/>
  <c r="D48" i="10"/>
  <c r="D37" i="11" s="1"/>
  <c r="N48" i="10"/>
  <c r="N37" i="11" s="1"/>
  <c r="C48" i="10"/>
  <c r="B31" i="9"/>
  <c r="T54" i="10"/>
  <c r="T38" i="10"/>
  <c r="G17" i="1"/>
  <c r="D22" i="1"/>
  <c r="R13" i="10"/>
  <c r="P17" i="10"/>
  <c r="Q13" i="10"/>
  <c r="Q35" i="10" l="1"/>
  <c r="Q45" i="10"/>
  <c r="Q32" i="10"/>
  <c r="Q42" i="10"/>
  <c r="Q50" i="10"/>
  <c r="Q58" i="10"/>
  <c r="Q39" i="10"/>
  <c r="Q55" i="10"/>
  <c r="B85" i="16"/>
  <c r="B87" i="16" s="1"/>
  <c r="Q17" i="10"/>
  <c r="B46" i="16"/>
  <c r="B75" i="16"/>
  <c r="Q33" i="10"/>
  <c r="Q34" i="10"/>
  <c r="Q40" i="10"/>
  <c r="B41" i="16"/>
  <c r="Q41" i="10"/>
  <c r="Q49" i="10"/>
  <c r="Q43" i="10"/>
  <c r="Q56" i="10"/>
  <c r="Q44" i="10"/>
  <c r="Q31" i="10"/>
  <c r="Q51" i="10"/>
  <c r="Q57" i="10"/>
  <c r="Q37" i="10"/>
  <c r="Q38" i="10"/>
  <c r="Q36" i="10"/>
  <c r="Q54" i="10"/>
  <c r="Q47" i="10"/>
  <c r="Q46" i="10"/>
  <c r="Q53" i="10"/>
  <c r="Q30" i="10"/>
  <c r="G22" i="1"/>
  <c r="C52" i="10"/>
  <c r="E22" i="1"/>
  <c r="B81" i="16"/>
  <c r="B76" i="16"/>
  <c r="T14" i="10"/>
  <c r="U14" i="10" s="1"/>
  <c r="S14" i="10"/>
  <c r="D52" i="11"/>
  <c r="D23" i="10"/>
  <c r="P21" i="10"/>
  <c r="Q21" i="10" s="1"/>
  <c r="L52" i="11"/>
  <c r="L23" i="10"/>
  <c r="R15" i="10"/>
  <c r="S13" i="10"/>
  <c r="T13" i="10"/>
  <c r="J29" i="10"/>
  <c r="K29" i="10"/>
  <c r="L29" i="10"/>
  <c r="M29" i="10"/>
  <c r="N29" i="10"/>
  <c r="C29" i="10"/>
  <c r="D29" i="10"/>
  <c r="F29" i="10"/>
  <c r="I29" i="10"/>
  <c r="E29" i="10"/>
  <c r="G29" i="10"/>
  <c r="H29" i="10"/>
  <c r="P48" i="10"/>
  <c r="C37" i="11"/>
  <c r="B27" i="8"/>
  <c r="P25" i="10"/>
  <c r="M18" i="11" l="1"/>
  <c r="N18" i="11"/>
  <c r="K18" i="11"/>
  <c r="C53" i="11"/>
  <c r="F22" i="1"/>
  <c r="C23" i="1" s="1"/>
  <c r="C41" i="11"/>
  <c r="G18" i="11"/>
  <c r="L18" i="11"/>
  <c r="T15" i="10"/>
  <c r="U13" i="10"/>
  <c r="Q25" i="10"/>
  <c r="C40" i="16" s="1"/>
  <c r="C42" i="16" s="1"/>
  <c r="C8" i="16" s="1"/>
  <c r="B40" i="16"/>
  <c r="B42" i="16" s="1"/>
  <c r="B8" i="16" s="1"/>
  <c r="R48" i="10"/>
  <c r="Q48" i="10"/>
  <c r="H18" i="11"/>
  <c r="E18" i="11"/>
  <c r="D18" i="11"/>
  <c r="J18" i="11"/>
  <c r="S15" i="10"/>
  <c r="R17" i="10"/>
  <c r="B77" i="16"/>
  <c r="B22" i="16" s="1"/>
  <c r="C41" i="16"/>
  <c r="C46" i="16"/>
  <c r="B101" i="16"/>
  <c r="B102" i="16" s="1"/>
  <c r="B28" i="16" s="1"/>
  <c r="B26" i="16"/>
  <c r="P23" i="10"/>
  <c r="I18" i="11"/>
  <c r="F18" i="11"/>
  <c r="P29" i="10"/>
  <c r="C18" i="11"/>
  <c r="B8" i="8"/>
  <c r="C60" i="10"/>
  <c r="C62" i="10" s="1"/>
  <c r="U15" i="10" l="1"/>
  <c r="T17" i="10"/>
  <c r="D23" i="1"/>
  <c r="B65" i="16"/>
  <c r="B66" i="16"/>
  <c r="Q23" i="10"/>
  <c r="B90" i="16"/>
  <c r="B92" i="16" s="1"/>
  <c r="S35" i="10"/>
  <c r="S45" i="10"/>
  <c r="R21" i="10"/>
  <c r="S46" i="10"/>
  <c r="C85" i="16"/>
  <c r="C87" i="16" s="1"/>
  <c r="C75" i="16"/>
  <c r="S47" i="10"/>
  <c r="S53" i="10"/>
  <c r="R25" i="10"/>
  <c r="S36" i="10"/>
  <c r="S43" i="10"/>
  <c r="S37" i="10"/>
  <c r="S17" i="10"/>
  <c r="S34" i="10"/>
  <c r="S31" i="10"/>
  <c r="S44" i="10"/>
  <c r="S40" i="10"/>
  <c r="S32" i="10"/>
  <c r="S58" i="10"/>
  <c r="S57" i="10"/>
  <c r="S55" i="10"/>
  <c r="S49" i="10"/>
  <c r="S56" i="10"/>
  <c r="S41" i="10"/>
  <c r="S42" i="10"/>
  <c r="S50" i="10"/>
  <c r="S39" i="10"/>
  <c r="S33" i="10"/>
  <c r="S51" i="10"/>
  <c r="S30" i="10"/>
  <c r="S54" i="10"/>
  <c r="S38" i="10"/>
  <c r="Q29" i="10"/>
  <c r="R29" i="10"/>
  <c r="C48" i="11"/>
  <c r="C58" i="11" s="1"/>
  <c r="C60" i="11" s="1"/>
  <c r="D5" i="11" s="1"/>
  <c r="D14" i="11" s="1"/>
  <c r="S48" i="10"/>
  <c r="T48" i="10"/>
  <c r="U48" i="10" s="1"/>
  <c r="C26" i="16" l="1"/>
  <c r="C101" i="16"/>
  <c r="C102" i="16" s="1"/>
  <c r="C28" i="16" s="1"/>
  <c r="S25" i="10"/>
  <c r="S29" i="10"/>
  <c r="T29" i="10"/>
  <c r="R23" i="10"/>
  <c r="S21" i="10"/>
  <c r="B30" i="16"/>
  <c r="B106" i="16"/>
  <c r="B107" i="16" s="1"/>
  <c r="B32" i="16" s="1"/>
  <c r="C65" i="16"/>
  <c r="C66" i="16"/>
  <c r="B67" i="16"/>
  <c r="E23" i="1"/>
  <c r="D52" i="10"/>
  <c r="G23" i="1"/>
  <c r="U17" i="10"/>
  <c r="U59" i="10"/>
  <c r="T21" i="10"/>
  <c r="U39" i="10"/>
  <c r="U40" i="10"/>
  <c r="U47" i="10"/>
  <c r="U53" i="10"/>
  <c r="T25" i="10"/>
  <c r="U55" i="10"/>
  <c r="U37" i="10"/>
  <c r="U56" i="10"/>
  <c r="U46" i="10"/>
  <c r="U33" i="10"/>
  <c r="U43" i="10"/>
  <c r="U51" i="10"/>
  <c r="U36" i="10"/>
  <c r="U34" i="10"/>
  <c r="U35" i="10"/>
  <c r="U45" i="10"/>
  <c r="U31" i="10"/>
  <c r="U42" i="10"/>
  <c r="U32" i="10"/>
  <c r="U58" i="10"/>
  <c r="U57" i="10"/>
  <c r="U41" i="10"/>
  <c r="U44" i="10"/>
  <c r="U49" i="10"/>
  <c r="U50" i="10"/>
  <c r="U38" i="10"/>
  <c r="U54" i="10"/>
  <c r="D53" i="11" l="1"/>
  <c r="F23" i="1"/>
  <c r="C24" i="1" s="1"/>
  <c r="D41" i="11"/>
  <c r="D48" i="11" s="1"/>
  <c r="D60" i="10"/>
  <c r="D62" i="10" s="1"/>
  <c r="B18" i="16"/>
  <c r="B96" i="16"/>
  <c r="B97" i="16" s="1"/>
  <c r="B20" i="16" s="1"/>
  <c r="C67" i="16"/>
  <c r="S23" i="10"/>
  <c r="C90" i="16"/>
  <c r="C92" i="16" s="1"/>
  <c r="U29" i="10"/>
  <c r="U25" i="10"/>
  <c r="T23" i="10"/>
  <c r="U23" i="10" s="1"/>
  <c r="U21" i="10"/>
  <c r="C18" i="16" l="1"/>
  <c r="C96" i="16"/>
  <c r="C97" i="16" s="1"/>
  <c r="C20" i="16" s="1"/>
  <c r="C30" i="16"/>
  <c r="C106" i="16"/>
  <c r="C107" i="16" s="1"/>
  <c r="C32" i="16" s="1"/>
  <c r="D24" i="1"/>
  <c r="D58" i="11"/>
  <c r="D60" i="11" s="1"/>
  <c r="E5" i="11" s="1"/>
  <c r="E14" i="11" s="1"/>
  <c r="E52" i="10" l="1"/>
  <c r="E24" i="1"/>
  <c r="G24" i="1"/>
  <c r="E53" i="11" l="1"/>
  <c r="E58" i="11" s="1"/>
  <c r="E60" i="11" s="1"/>
  <c r="F5" i="11" s="1"/>
  <c r="F14" i="11" s="1"/>
  <c r="F24" i="1"/>
  <c r="C25" i="1" s="1"/>
  <c r="E41" i="11"/>
  <c r="E48" i="11" s="1"/>
  <c r="E60" i="10"/>
  <c r="E62" i="10" s="1"/>
  <c r="B31" i="8"/>
  <c r="B38" i="8" s="1"/>
  <c r="B30" i="4" s="1"/>
  <c r="B36" i="4" s="1"/>
  <c r="D25" i="1" l="1"/>
  <c r="E25" i="1" l="1"/>
  <c r="F52" i="10"/>
  <c r="G25" i="1"/>
  <c r="F41" i="11" l="1"/>
  <c r="F48" i="11" s="1"/>
  <c r="F60" i="10"/>
  <c r="F62" i="10" s="1"/>
  <c r="F53" i="11"/>
  <c r="F58" i="11" s="1"/>
  <c r="F60" i="11" s="1"/>
  <c r="G5" i="11" s="1"/>
  <c r="G14" i="11" s="1"/>
  <c r="F25" i="1"/>
  <c r="C26" i="1" s="1"/>
  <c r="D26" i="1" l="1"/>
  <c r="G52" i="10" l="1"/>
  <c r="E26" i="1"/>
  <c r="G26" i="1"/>
  <c r="G53" i="11" l="1"/>
  <c r="F26" i="1"/>
  <c r="C27" i="1" s="1"/>
  <c r="G41" i="11"/>
  <c r="G48" i="11" s="1"/>
  <c r="G60" i="10"/>
  <c r="G62" i="10" s="1"/>
  <c r="D27" i="1" l="1"/>
  <c r="G58" i="11"/>
  <c r="G60" i="11" s="1"/>
  <c r="H5" i="11" s="1"/>
  <c r="H14" i="11" s="1"/>
  <c r="H52" i="10" l="1"/>
  <c r="E27" i="1"/>
  <c r="G27" i="1"/>
  <c r="H53" i="11" l="1"/>
  <c r="F27" i="1"/>
  <c r="C28" i="1" s="1"/>
  <c r="H41" i="11"/>
  <c r="H48" i="11" s="1"/>
  <c r="H60" i="10"/>
  <c r="H62" i="10" s="1"/>
  <c r="D28" i="1" l="1"/>
  <c r="H58" i="11"/>
  <c r="H60" i="11" s="1"/>
  <c r="I5" i="11" s="1"/>
  <c r="I14" i="11" s="1"/>
  <c r="I52" i="10" l="1"/>
  <c r="E28" i="1"/>
  <c r="G28" i="1"/>
  <c r="I41" i="11" l="1"/>
  <c r="I48" i="11" s="1"/>
  <c r="I60" i="10"/>
  <c r="I62" i="10" s="1"/>
  <c r="I53" i="11"/>
  <c r="F28" i="1"/>
  <c r="C29" i="1" s="1"/>
  <c r="D29" i="1" l="1"/>
  <c r="I58" i="11"/>
  <c r="I60" i="11" s="1"/>
  <c r="J5" i="11" s="1"/>
  <c r="J14" i="11" s="1"/>
  <c r="J52" i="10" l="1"/>
  <c r="E29" i="1"/>
  <c r="G29" i="1"/>
  <c r="J53" i="11" l="1"/>
  <c r="F29" i="1"/>
  <c r="C30" i="1" s="1"/>
  <c r="J41" i="11"/>
  <c r="J48" i="11" s="1"/>
  <c r="J60" i="10"/>
  <c r="J62" i="10" s="1"/>
  <c r="D30" i="1" l="1"/>
  <c r="J58" i="11"/>
  <c r="J60" i="11" s="1"/>
  <c r="K5" i="11" s="1"/>
  <c r="K14" i="11" s="1"/>
  <c r="E30" i="1" l="1"/>
  <c r="K52" i="10"/>
  <c r="G30" i="1"/>
  <c r="K41" i="11" l="1"/>
  <c r="K48" i="11" s="1"/>
  <c r="K60" i="10"/>
  <c r="K62" i="10" s="1"/>
  <c r="K53" i="11"/>
  <c r="K58" i="11" s="1"/>
  <c r="K60" i="11" s="1"/>
  <c r="L5" i="11" s="1"/>
  <c r="L14" i="11" s="1"/>
  <c r="F30" i="1"/>
  <c r="C31" i="1" s="1"/>
  <c r="D31" i="1" l="1"/>
  <c r="L52" i="10" l="1"/>
  <c r="E31" i="1"/>
  <c r="G31" i="1"/>
  <c r="L41" i="11" l="1"/>
  <c r="L48" i="11" s="1"/>
  <c r="L60" i="10"/>
  <c r="L62" i="10" s="1"/>
  <c r="L53" i="11"/>
  <c r="F31" i="1"/>
  <c r="C32" i="1" s="1"/>
  <c r="D32" i="1" l="1"/>
  <c r="L58" i="11"/>
  <c r="L60" i="11" s="1"/>
  <c r="M5" i="11" s="1"/>
  <c r="M14" i="11" s="1"/>
  <c r="M52" i="10" l="1"/>
  <c r="E32" i="1"/>
  <c r="G32" i="1"/>
  <c r="M53" i="11" l="1"/>
  <c r="F32" i="1"/>
  <c r="C33" i="1" s="1"/>
  <c r="M41" i="11"/>
  <c r="M48" i="11" s="1"/>
  <c r="M60" i="10"/>
  <c r="M62" i="10" s="1"/>
  <c r="D33" i="1" l="1"/>
  <c r="M58" i="11"/>
  <c r="M60" i="11" s="1"/>
  <c r="N5" i="11" s="1"/>
  <c r="N14" i="11" s="1"/>
  <c r="E33" i="1" l="1"/>
  <c r="N52" i="10"/>
  <c r="G33" i="1"/>
  <c r="N53" i="11" l="1"/>
  <c r="N58" i="11" s="1"/>
  <c r="N60" i="11" s="1"/>
  <c r="C8" i="12" s="1"/>
  <c r="F33" i="1"/>
  <c r="N41" i="11"/>
  <c r="N48" i="11" s="1"/>
  <c r="N60" i="10"/>
  <c r="N62" i="10" s="1"/>
  <c r="P52" i="10"/>
  <c r="C13" i="12" l="1"/>
  <c r="C55" i="16"/>
  <c r="R52" i="10"/>
  <c r="Q52" i="10"/>
  <c r="P60" i="10"/>
  <c r="C34" i="1"/>
  <c r="B35" i="12"/>
  <c r="B39" i="12"/>
  <c r="B37" i="12" l="1"/>
  <c r="C61" i="16"/>
  <c r="Q60" i="10"/>
  <c r="P62" i="10"/>
  <c r="T52" i="10"/>
  <c r="S52" i="10"/>
  <c r="R60" i="10"/>
  <c r="D34" i="1"/>
  <c r="C50" i="16"/>
  <c r="C25" i="12"/>
  <c r="C81" i="16" l="1"/>
  <c r="C76" i="16"/>
  <c r="C77" i="16" s="1"/>
  <c r="C22" i="16" s="1"/>
  <c r="E34" i="1"/>
  <c r="F34" i="1" s="1"/>
  <c r="G34" i="1"/>
  <c r="U52" i="10"/>
  <c r="T60" i="10"/>
  <c r="Q62" i="10"/>
  <c r="C45" i="16" s="1"/>
  <c r="C47" i="16" s="1"/>
  <c r="C6" i="16" s="1"/>
  <c r="B80" i="16"/>
  <c r="B82" i="16" s="1"/>
  <c r="B24" i="16" s="1"/>
  <c r="B45" i="16"/>
  <c r="B47" i="16" s="1"/>
  <c r="B6" i="16" s="1"/>
  <c r="S60" i="10"/>
  <c r="R62" i="10"/>
  <c r="B51" i="16"/>
  <c r="B52" i="16" s="1"/>
  <c r="B10" i="16" s="1"/>
  <c r="B56" i="16"/>
  <c r="B57" i="16" s="1"/>
  <c r="B12" i="16" s="1"/>
  <c r="B41" i="12"/>
  <c r="B70" i="16" l="1"/>
  <c r="B43" i="12"/>
  <c r="S62" i="10"/>
  <c r="C80" i="16"/>
  <c r="C82" i="16" s="1"/>
  <c r="C24" i="16" s="1"/>
  <c r="U60" i="10"/>
  <c r="T62" i="10"/>
  <c r="U62" i="10" s="1"/>
  <c r="C35" i="1"/>
  <c r="D35" i="1" l="1"/>
  <c r="B71" i="16"/>
  <c r="B60" i="16"/>
  <c r="B62" i="16" s="1"/>
  <c r="B14" i="16" s="1"/>
  <c r="B72" i="16"/>
  <c r="B16" i="16" s="1"/>
  <c r="B45" i="12"/>
  <c r="E35" i="1" l="1"/>
  <c r="F35" i="1" s="1"/>
  <c r="C36" i="1" s="1"/>
  <c r="G35" i="1"/>
  <c r="D36" i="1" l="1"/>
  <c r="E36" i="1" s="1"/>
  <c r="F36" i="1" s="1"/>
  <c r="C37" i="1" s="1"/>
  <c r="D37" i="1" l="1"/>
  <c r="E37" i="1" s="1"/>
  <c r="F37" i="1" s="1"/>
  <c r="C38" i="1" s="1"/>
  <c r="G36" i="1"/>
  <c r="D38" i="1" l="1"/>
  <c r="E38" i="1" s="1"/>
  <c r="F38" i="1" s="1"/>
  <c r="C39" i="1" s="1"/>
  <c r="G37" i="1"/>
  <c r="D39" i="1" l="1"/>
  <c r="E39" i="1" s="1"/>
  <c r="F39" i="1" s="1"/>
  <c r="C40" i="1" s="1"/>
  <c r="G38" i="1"/>
  <c r="D40" i="1" l="1"/>
  <c r="E40" i="1" s="1"/>
  <c r="F40" i="1" s="1"/>
  <c r="C41" i="1" s="1"/>
  <c r="G39" i="1"/>
  <c r="D41" i="1" l="1"/>
  <c r="E41" i="1" s="1"/>
  <c r="F41" i="1" s="1"/>
  <c r="C42" i="1" s="1"/>
  <c r="G40" i="1"/>
  <c r="D42" i="1" l="1"/>
  <c r="E42" i="1" s="1"/>
  <c r="F42" i="1" s="1"/>
  <c r="C43" i="1" s="1"/>
  <c r="G41" i="1"/>
  <c r="D43" i="1" l="1"/>
  <c r="E43" i="1" s="1"/>
  <c r="F43" i="1" s="1"/>
  <c r="C44" i="1" s="1"/>
  <c r="G42" i="1"/>
  <c r="D44" i="1" l="1"/>
  <c r="E44" i="1" s="1"/>
  <c r="F44" i="1" s="1"/>
  <c r="C45" i="1" s="1"/>
  <c r="G43" i="1"/>
  <c r="D45" i="1" l="1"/>
  <c r="E45" i="1" s="1"/>
  <c r="F45" i="1" s="1"/>
  <c r="G44" i="1"/>
  <c r="C46" i="1" l="1"/>
  <c r="C39" i="12"/>
  <c r="C35" i="12"/>
  <c r="C37" i="12" s="1"/>
  <c r="G45" i="1"/>
  <c r="G46" i="1" l="1"/>
  <c r="C51" i="16"/>
  <c r="C52" i="16" s="1"/>
  <c r="C10" i="16" s="1"/>
  <c r="C41" i="12"/>
  <c r="C56" i="16"/>
  <c r="C57" i="16" s="1"/>
  <c r="C12" i="16" s="1"/>
  <c r="D46" i="1"/>
  <c r="E46" i="1" s="1"/>
  <c r="F46" i="1" s="1"/>
  <c r="C47" i="1" l="1"/>
  <c r="C70" i="16"/>
  <c r="C43" i="12"/>
  <c r="D47" i="1" l="1"/>
  <c r="C71" i="16"/>
  <c r="C60" i="16"/>
  <c r="C62" i="16" s="1"/>
  <c r="C14" i="16" s="1"/>
  <c r="C72" i="16"/>
  <c r="C16" i="16" s="1"/>
  <c r="C45" i="12"/>
  <c r="E47" i="1" l="1"/>
  <c r="F47" i="1" s="1"/>
  <c r="C48" i="1" s="1"/>
  <c r="G47" i="1"/>
  <c r="G48" i="1" l="1"/>
  <c r="D48" i="1"/>
  <c r="E48" i="1" s="1"/>
  <c r="F48" i="1"/>
  <c r="C49" i="1" s="1"/>
  <c r="G49" i="1" l="1"/>
  <c r="D49" i="1"/>
  <c r="E49" i="1" s="1"/>
  <c r="F49" i="1"/>
  <c r="C50" i="1" s="1"/>
  <c r="G50" i="1" l="1"/>
  <c r="D50" i="1"/>
  <c r="E50" i="1" s="1"/>
  <c r="F50" i="1"/>
  <c r="C51" i="1" s="1"/>
  <c r="F51" i="1" l="1"/>
  <c r="C52" i="1" s="1"/>
  <c r="D51" i="1"/>
  <c r="E51" i="1" s="1"/>
  <c r="G51" i="1"/>
  <c r="D52" i="1" l="1"/>
  <c r="E52" i="1" s="1"/>
  <c r="F52" i="1" s="1"/>
  <c r="C53" i="1" s="1"/>
  <c r="D53" i="1" l="1"/>
  <c r="E53" i="1" s="1"/>
  <c r="F53" i="1" s="1"/>
  <c r="C54" i="1" s="1"/>
  <c r="G52" i="1"/>
  <c r="D54" i="1" l="1"/>
  <c r="E54" i="1" s="1"/>
  <c r="F54" i="1" s="1"/>
  <c r="C55" i="1" s="1"/>
  <c r="G53" i="1"/>
  <c r="D55" i="1" l="1"/>
  <c r="E55" i="1" s="1"/>
  <c r="F55" i="1" s="1"/>
  <c r="C56" i="1" s="1"/>
  <c r="G54" i="1"/>
  <c r="D56" i="1" l="1"/>
  <c r="E56" i="1" s="1"/>
  <c r="F56" i="1" s="1"/>
  <c r="C57" i="1" s="1"/>
  <c r="G55" i="1"/>
  <c r="D57" i="1" l="1"/>
  <c r="E57" i="1" s="1"/>
  <c r="F57" i="1" s="1"/>
  <c r="G56" i="1"/>
  <c r="C58" i="1" l="1"/>
  <c r="D39" i="12"/>
  <c r="D35" i="12"/>
  <c r="D37" i="12" s="1"/>
  <c r="D41" i="12" s="1"/>
  <c r="G57" i="1"/>
  <c r="D43" i="12" l="1"/>
  <c r="D45" i="12" s="1"/>
  <c r="D58" i="1"/>
  <c r="E58" i="1" s="1"/>
  <c r="F58" i="1" s="1"/>
  <c r="C59" i="1" l="1"/>
  <c r="G58" i="1"/>
  <c r="D59" i="1" l="1"/>
  <c r="E59" i="1" s="1"/>
  <c r="F59" i="1" s="1"/>
  <c r="C60" i="1" s="1"/>
  <c r="D60" i="1" l="1"/>
  <c r="E60" i="1" s="1"/>
  <c r="F60" i="1" s="1"/>
  <c r="C61" i="1" s="1"/>
  <c r="G59" i="1"/>
  <c r="D61" i="1" l="1"/>
  <c r="E61" i="1" s="1"/>
  <c r="F61" i="1" s="1"/>
  <c r="C62" i="1" s="1"/>
  <c r="G60" i="1"/>
  <c r="D62" i="1" l="1"/>
  <c r="E62" i="1" s="1"/>
  <c r="F62" i="1" s="1"/>
  <c r="C63" i="1" s="1"/>
  <c r="G61" i="1"/>
  <c r="D63" i="1" l="1"/>
  <c r="E63" i="1" s="1"/>
  <c r="F63" i="1" s="1"/>
  <c r="C64" i="1" s="1"/>
  <c r="G62" i="1"/>
  <c r="D64" i="1" l="1"/>
  <c r="E64" i="1" s="1"/>
  <c r="F64" i="1" s="1"/>
  <c r="C65" i="1" s="1"/>
  <c r="G63" i="1"/>
  <c r="D65" i="1" l="1"/>
  <c r="E65" i="1" s="1"/>
  <c r="F65" i="1" s="1"/>
  <c r="C66" i="1" s="1"/>
  <c r="G64" i="1"/>
  <c r="D66" i="1" l="1"/>
  <c r="E66" i="1" s="1"/>
  <c r="F66" i="1" s="1"/>
  <c r="C67" i="1" s="1"/>
  <c r="G65" i="1"/>
  <c r="F67" i="1" l="1"/>
  <c r="C68" i="1" s="1"/>
  <c r="D67" i="1"/>
  <c r="E67" i="1" s="1"/>
  <c r="G66" i="1"/>
  <c r="G67" i="1" s="1"/>
  <c r="G68" i="1" l="1"/>
  <c r="D68" i="1"/>
  <c r="E68" i="1" s="1"/>
  <c r="F68" i="1"/>
  <c r="C69" i="1" l="1"/>
  <c r="E39" i="12"/>
  <c r="E35" i="12"/>
  <c r="E37" i="12" s="1"/>
  <c r="E41" i="12" s="1"/>
  <c r="D69" i="1" l="1"/>
  <c r="E43" i="12"/>
  <c r="E45" i="12" s="1"/>
  <c r="E69" i="1" l="1"/>
  <c r="F69" i="1" s="1"/>
  <c r="C70" i="1" s="1"/>
  <c r="G69" i="1"/>
  <c r="D70" i="1" l="1"/>
  <c r="E70" i="1" s="1"/>
  <c r="F70" i="1" s="1"/>
  <c r="C71" i="1" s="1"/>
  <c r="D71" i="1" l="1"/>
  <c r="E71" i="1" s="1"/>
  <c r="F71" i="1" s="1"/>
  <c r="C72" i="1" s="1"/>
  <c r="G70" i="1"/>
  <c r="D72" i="1" l="1"/>
  <c r="E72" i="1" s="1"/>
  <c r="F72" i="1" s="1"/>
  <c r="C73" i="1" s="1"/>
  <c r="G71" i="1"/>
  <c r="D73" i="1" l="1"/>
  <c r="E73" i="1" s="1"/>
  <c r="F73" i="1"/>
  <c r="C74" i="1" s="1"/>
  <c r="G72" i="1"/>
  <c r="G73" i="1" s="1"/>
  <c r="D74" i="1" l="1"/>
  <c r="E74" i="1" s="1"/>
  <c r="F74" i="1" s="1"/>
  <c r="C75" i="1" s="1"/>
  <c r="D75" i="1" l="1"/>
  <c r="E75" i="1" s="1"/>
  <c r="F75" i="1"/>
  <c r="C76" i="1" s="1"/>
  <c r="G74" i="1"/>
  <c r="G75" i="1" l="1"/>
  <c r="G76" i="1" s="1"/>
  <c r="F76" i="1"/>
  <c r="C77" i="1" s="1"/>
  <c r="D76" i="1"/>
  <c r="E76" i="1" s="1"/>
  <c r="D77" i="1" l="1"/>
  <c r="E77" i="1" s="1"/>
  <c r="F77" i="1"/>
  <c r="C78" i="1" s="1"/>
  <c r="G77" i="1" l="1"/>
  <c r="G78" i="1" s="1"/>
  <c r="D78" i="1"/>
  <c r="E78" i="1" s="1"/>
  <c r="F78" i="1" s="1"/>
  <c r="C79" i="1" s="1"/>
  <c r="D79" i="1" l="1"/>
  <c r="E79" i="1" s="1"/>
  <c r="F79" i="1"/>
  <c r="C80" i="1" s="1"/>
  <c r="G79" i="1" l="1"/>
  <c r="G80" i="1" s="1"/>
  <c r="F80" i="1"/>
  <c r="C81" i="1" s="1"/>
  <c r="D80" i="1"/>
  <c r="E80" i="1" s="1"/>
  <c r="D81" i="1" l="1"/>
  <c r="E81" i="1" s="1"/>
  <c r="F81" i="1"/>
  <c r="C82" i="1" s="1"/>
  <c r="G81" i="1" l="1"/>
  <c r="G82" i="1" s="1"/>
  <c r="D82" i="1"/>
  <c r="E82" i="1" s="1"/>
  <c r="F82" i="1" s="1"/>
  <c r="C83" i="1" s="1"/>
  <c r="D83" i="1" l="1"/>
  <c r="E83" i="1" s="1"/>
  <c r="F83" i="1"/>
  <c r="C84" i="1" s="1"/>
  <c r="G83" i="1" l="1"/>
  <c r="G84" i="1" s="1"/>
  <c r="D84" i="1"/>
  <c r="E84" i="1" s="1"/>
  <c r="F84" i="1" s="1"/>
  <c r="C85" i="1" s="1"/>
  <c r="D85" i="1" l="1"/>
  <c r="E85" i="1" s="1"/>
  <c r="F85" i="1"/>
  <c r="C86" i="1" s="1"/>
  <c r="G85" i="1" l="1"/>
  <c r="G86" i="1" s="1"/>
  <c r="D86" i="1"/>
  <c r="E86" i="1" s="1"/>
  <c r="F86" i="1" s="1"/>
  <c r="C87" i="1" s="1"/>
  <c r="D87" i="1" l="1"/>
  <c r="E87" i="1" s="1"/>
  <c r="F87" i="1"/>
  <c r="C88" i="1" s="1"/>
  <c r="G87" i="1" l="1"/>
  <c r="G88" i="1" s="1"/>
  <c r="D88" i="1"/>
  <c r="E88" i="1" s="1"/>
  <c r="F88" i="1" s="1"/>
  <c r="C89" i="1" s="1"/>
  <c r="D89" i="1" l="1"/>
  <c r="E89" i="1" s="1"/>
  <c r="F89" i="1" s="1"/>
  <c r="C90" i="1" s="1"/>
  <c r="D90" i="1" l="1"/>
  <c r="E90" i="1" s="1"/>
  <c r="F90" i="1"/>
  <c r="C91" i="1" s="1"/>
  <c r="G89" i="1"/>
  <c r="G90" i="1" l="1"/>
  <c r="G91" i="1" s="1"/>
  <c r="F91" i="1"/>
  <c r="C92" i="1" s="1"/>
  <c r="D91" i="1"/>
  <c r="E91" i="1" s="1"/>
  <c r="D92" i="1" l="1"/>
  <c r="E92" i="1" s="1"/>
  <c r="F92" i="1"/>
  <c r="C93" i="1" s="1"/>
  <c r="G92" i="1" l="1"/>
  <c r="G93" i="1" s="1"/>
  <c r="D93" i="1"/>
  <c r="E93" i="1" s="1"/>
  <c r="F93" i="1" s="1"/>
  <c r="C94" i="1" s="1"/>
  <c r="D94" i="1" l="1"/>
  <c r="E94" i="1" s="1"/>
  <c r="F94" i="1"/>
  <c r="C95" i="1" s="1"/>
  <c r="G94" i="1" l="1"/>
  <c r="G95" i="1" s="1"/>
  <c r="D95" i="1"/>
  <c r="E95" i="1" s="1"/>
  <c r="F95" i="1" s="1"/>
  <c r="C96" i="1" s="1"/>
  <c r="D96" i="1" l="1"/>
  <c r="E96" i="1" s="1"/>
  <c r="F96" i="1"/>
  <c r="C97" i="1" s="1"/>
  <c r="G96" i="1" l="1"/>
  <c r="G97" i="1" s="1"/>
  <c r="D97" i="1"/>
  <c r="E97" i="1" s="1"/>
  <c r="F97" i="1" s="1"/>
  <c r="C98" i="1" s="1"/>
  <c r="D98" i="1" l="1"/>
  <c r="E98" i="1" s="1"/>
  <c r="F98" i="1"/>
  <c r="C99" i="1" s="1"/>
  <c r="G98" i="1" l="1"/>
  <c r="G99" i="1" s="1"/>
  <c r="D99" i="1"/>
  <c r="E99" i="1" s="1"/>
  <c r="F99" i="1" s="1"/>
  <c r="C100" i="1" s="1"/>
  <c r="D100" i="1" l="1"/>
  <c r="E100" i="1" s="1"/>
  <c r="F100" i="1"/>
  <c r="C101" i="1" s="1"/>
  <c r="G100" i="1" l="1"/>
  <c r="G101" i="1" s="1"/>
  <c r="F101" i="1"/>
  <c r="C102" i="1" s="1"/>
  <c r="D101" i="1"/>
  <c r="E101" i="1" s="1"/>
  <c r="D102" i="1" l="1"/>
  <c r="E102" i="1" s="1"/>
  <c r="F102" i="1"/>
  <c r="C103" i="1" s="1"/>
  <c r="G102" i="1" l="1"/>
  <c r="G103" i="1" s="1"/>
  <c r="D103" i="1"/>
  <c r="E103" i="1" s="1"/>
  <c r="F103" i="1" s="1"/>
  <c r="C104" i="1" s="1"/>
  <c r="D104" i="1" l="1"/>
  <c r="E104" i="1" s="1"/>
  <c r="F104" i="1"/>
  <c r="C105" i="1" s="1"/>
  <c r="G104" i="1" l="1"/>
  <c r="G105" i="1" s="1"/>
  <c r="D105" i="1"/>
  <c r="E105" i="1" s="1"/>
  <c r="F105" i="1" s="1"/>
  <c r="C106" i="1" s="1"/>
  <c r="D106" i="1" l="1"/>
  <c r="E106" i="1" s="1"/>
  <c r="F106" i="1"/>
  <c r="C107" i="1" s="1"/>
  <c r="G106" i="1" l="1"/>
  <c r="G107" i="1" s="1"/>
  <c r="D107" i="1"/>
  <c r="E107" i="1" s="1"/>
  <c r="F107" i="1" s="1"/>
  <c r="C108" i="1" s="1"/>
  <c r="D108" i="1" l="1"/>
  <c r="E108" i="1" s="1"/>
  <c r="F108" i="1"/>
  <c r="C109" i="1" s="1"/>
  <c r="G108" i="1" l="1"/>
  <c r="G109" i="1" s="1"/>
  <c r="D109" i="1"/>
  <c r="E109" i="1" s="1"/>
  <c r="F109" i="1" s="1"/>
  <c r="C110" i="1" s="1"/>
  <c r="D110" i="1" l="1"/>
  <c r="E110" i="1" s="1"/>
  <c r="F110" i="1"/>
  <c r="C111" i="1" s="1"/>
  <c r="G110" i="1" l="1"/>
  <c r="G111" i="1" s="1"/>
  <c r="D111" i="1"/>
  <c r="E111" i="1" s="1"/>
  <c r="F111" i="1" s="1"/>
  <c r="C112" i="1" s="1"/>
  <c r="F112" i="1" l="1"/>
  <c r="C113" i="1" s="1"/>
  <c r="D112" i="1"/>
  <c r="E112" i="1" s="1"/>
  <c r="G112" i="1" l="1"/>
  <c r="G113" i="1" s="1"/>
  <c r="D113" i="1"/>
  <c r="E113" i="1" s="1"/>
  <c r="F113" i="1" s="1"/>
  <c r="C114" i="1" s="1"/>
  <c r="D114" i="1" l="1"/>
  <c r="E114" i="1" s="1"/>
  <c r="F114" i="1"/>
  <c r="C115" i="1" s="1"/>
  <c r="G114" i="1" l="1"/>
  <c r="G115" i="1" s="1"/>
  <c r="D115" i="1"/>
  <c r="E115" i="1" s="1"/>
  <c r="F115" i="1" s="1"/>
  <c r="C116" i="1" s="1"/>
  <c r="D116" i="1" l="1"/>
  <c r="E116" i="1" s="1"/>
  <c r="F116" i="1" s="1"/>
  <c r="C117" i="1" s="1"/>
  <c r="D117" i="1" l="1"/>
  <c r="E117" i="1" s="1"/>
  <c r="F117" i="1" s="1"/>
  <c r="C118" i="1" s="1"/>
  <c r="G116" i="1"/>
  <c r="G117" i="1" s="1"/>
  <c r="D118" i="1" l="1"/>
  <c r="E118" i="1" s="1"/>
  <c r="F118" i="1" s="1"/>
  <c r="C119" i="1" s="1"/>
  <c r="D119" i="1" l="1"/>
  <c r="E119" i="1" s="1"/>
  <c r="F119" i="1" s="1"/>
  <c r="C120" i="1" s="1"/>
  <c r="G118" i="1"/>
  <c r="G119" i="1" s="1"/>
  <c r="D120" i="1" l="1"/>
  <c r="E120" i="1" s="1"/>
  <c r="F120" i="1" s="1"/>
  <c r="C121" i="1" s="1"/>
  <c r="G120" i="1"/>
  <c r="D121" i="1" l="1"/>
  <c r="E121" i="1" s="1"/>
  <c r="F121" i="1" s="1"/>
  <c r="C122" i="1" s="1"/>
  <c r="F122" i="1" l="1"/>
  <c r="C123" i="1" s="1"/>
  <c r="D122" i="1"/>
  <c r="E122" i="1" s="1"/>
  <c r="G121" i="1"/>
  <c r="G122" i="1" s="1"/>
  <c r="D123" i="1" l="1"/>
  <c r="E123" i="1" s="1"/>
  <c r="F123" i="1"/>
  <c r="C124" i="1" s="1"/>
  <c r="D124" i="1" l="1"/>
  <c r="E124" i="1" s="1"/>
  <c r="F124" i="1" s="1"/>
  <c r="C125" i="1" s="1"/>
  <c r="G123" i="1"/>
  <c r="D125" i="1" l="1"/>
  <c r="E125" i="1" s="1"/>
  <c r="F125" i="1" s="1"/>
  <c r="C126" i="1" s="1"/>
  <c r="G124" i="1"/>
  <c r="D126" i="1" l="1"/>
  <c r="E126" i="1" s="1"/>
  <c r="F126" i="1" s="1"/>
  <c r="C127" i="1" s="1"/>
  <c r="G125" i="1"/>
  <c r="G126" i="1" s="1"/>
  <c r="D127" i="1" l="1"/>
  <c r="E127" i="1" s="1"/>
  <c r="F127" i="1"/>
  <c r="C128" i="1" s="1"/>
  <c r="G127" i="1"/>
  <c r="D128" i="1" l="1"/>
  <c r="E128" i="1" s="1"/>
  <c r="F128" i="1"/>
  <c r="C129" i="1" s="1"/>
  <c r="G128" i="1"/>
  <c r="D129" i="1" l="1"/>
  <c r="E129" i="1" s="1"/>
  <c r="F129" i="1"/>
  <c r="C130" i="1" s="1"/>
  <c r="G129" i="1"/>
  <c r="D130" i="1" l="1"/>
  <c r="E130" i="1" s="1"/>
  <c r="F130" i="1" s="1"/>
  <c r="C131" i="1" s="1"/>
  <c r="D131" i="1" l="1"/>
  <c r="E131" i="1" s="1"/>
  <c r="F131" i="1"/>
  <c r="C132" i="1" s="1"/>
  <c r="G130" i="1"/>
  <c r="G131" i="1" s="1"/>
  <c r="D132" i="1" l="1"/>
  <c r="E132" i="1" s="1"/>
  <c r="F132" i="1"/>
  <c r="C133" i="1" s="1"/>
  <c r="D133" i="1" l="1"/>
  <c r="E133" i="1" s="1"/>
  <c r="F133" i="1"/>
  <c r="C134" i="1" s="1"/>
  <c r="G132" i="1"/>
  <c r="G133" i="1" s="1"/>
  <c r="D134" i="1" l="1"/>
  <c r="E134" i="1" s="1"/>
  <c r="F134" i="1"/>
  <c r="C135" i="1" s="1"/>
  <c r="D135" i="1" l="1"/>
  <c r="E135" i="1" s="1"/>
  <c r="F135" i="1"/>
  <c r="C136" i="1" s="1"/>
  <c r="G134" i="1"/>
  <c r="G135" i="1" s="1"/>
  <c r="D136" i="1" l="1"/>
  <c r="E136" i="1" s="1"/>
  <c r="F136" i="1"/>
  <c r="C137" i="1" s="1"/>
  <c r="D137" i="1" l="1"/>
  <c r="E137" i="1" s="1"/>
  <c r="F137" i="1"/>
  <c r="C138" i="1" s="1"/>
  <c r="G136" i="1"/>
  <c r="G137" i="1" s="1"/>
  <c r="D138" i="1" l="1"/>
  <c r="E138" i="1" s="1"/>
  <c r="F138" i="1" s="1"/>
  <c r="C139" i="1" s="1"/>
  <c r="D139" i="1" l="1"/>
  <c r="E139" i="1" s="1"/>
  <c r="F139" i="1"/>
  <c r="C140" i="1" s="1"/>
  <c r="G138" i="1"/>
  <c r="G139" i="1" s="1"/>
  <c r="D140" i="1" l="1"/>
  <c r="E140" i="1" s="1"/>
  <c r="F140" i="1"/>
  <c r="C141" i="1" s="1"/>
  <c r="D141" i="1" l="1"/>
  <c r="E141" i="1" s="1"/>
  <c r="F141" i="1" s="1"/>
  <c r="C142" i="1" s="1"/>
  <c r="G140" i="1"/>
  <c r="D142" i="1" l="1"/>
  <c r="E142" i="1" s="1"/>
  <c r="F142" i="1"/>
  <c r="C143" i="1" s="1"/>
  <c r="G141" i="1"/>
  <c r="D143" i="1" l="1"/>
  <c r="E143" i="1" s="1"/>
  <c r="F143" i="1" s="1"/>
  <c r="C144" i="1" s="1"/>
  <c r="G142" i="1"/>
  <c r="D144" i="1" l="1"/>
  <c r="E144" i="1" s="1"/>
  <c r="F144" i="1"/>
  <c r="C145" i="1" s="1"/>
  <c r="G143" i="1"/>
  <c r="D145" i="1" l="1"/>
  <c r="E145" i="1" s="1"/>
  <c r="F145" i="1"/>
  <c r="C146" i="1" s="1"/>
  <c r="G144" i="1"/>
  <c r="G145" i="1" s="1"/>
  <c r="D146" i="1" l="1"/>
  <c r="E146" i="1" s="1"/>
  <c r="F146" i="1"/>
  <c r="C147" i="1" s="1"/>
  <c r="G146" i="1"/>
  <c r="D147" i="1" l="1"/>
  <c r="E147" i="1" s="1"/>
  <c r="F147" i="1"/>
  <c r="C148" i="1" s="1"/>
  <c r="G147" i="1"/>
  <c r="D148" i="1" l="1"/>
  <c r="E148" i="1" s="1"/>
  <c r="F148" i="1"/>
  <c r="C149" i="1" s="1"/>
  <c r="D149" i="1" l="1"/>
  <c r="E149" i="1" s="1"/>
  <c r="F149" i="1"/>
  <c r="C150" i="1" s="1"/>
  <c r="G148" i="1"/>
  <c r="G149" i="1" s="1"/>
  <c r="D150" i="1" l="1"/>
  <c r="E150" i="1" s="1"/>
  <c r="F150" i="1" s="1"/>
  <c r="C151" i="1" s="1"/>
  <c r="D151" i="1" l="1"/>
  <c r="E151" i="1" s="1"/>
  <c r="F151" i="1" s="1"/>
  <c r="C152" i="1" s="1"/>
  <c r="G150" i="1"/>
  <c r="D152" i="1" l="1"/>
  <c r="E152" i="1" s="1"/>
  <c r="F152" i="1"/>
  <c r="C153" i="1" s="1"/>
  <c r="G151" i="1"/>
  <c r="G152" i="1" s="1"/>
  <c r="D153" i="1" l="1"/>
  <c r="E153" i="1" s="1"/>
  <c r="F153" i="1" s="1"/>
  <c r="C154" i="1" s="1"/>
  <c r="D154" i="1" l="1"/>
  <c r="E154" i="1" s="1"/>
  <c r="F154" i="1"/>
  <c r="C155" i="1" s="1"/>
  <c r="G153" i="1"/>
  <c r="G154" i="1" s="1"/>
  <c r="D155" i="1" l="1"/>
  <c r="E155" i="1" s="1"/>
  <c r="F155" i="1" s="1"/>
  <c r="C156" i="1" s="1"/>
  <c r="D156" i="1" l="1"/>
  <c r="E156" i="1" s="1"/>
  <c r="F156" i="1"/>
  <c r="C157" i="1" s="1"/>
  <c r="G155" i="1"/>
  <c r="G156" i="1" s="1"/>
  <c r="D157" i="1" l="1"/>
  <c r="E157" i="1" s="1"/>
  <c r="F157" i="1" s="1"/>
  <c r="C158" i="1" s="1"/>
  <c r="D158" i="1" l="1"/>
  <c r="E158" i="1" s="1"/>
  <c r="F158" i="1"/>
  <c r="C159" i="1" s="1"/>
  <c r="G157" i="1"/>
  <c r="G158" i="1" s="1"/>
  <c r="D159" i="1" l="1"/>
  <c r="E159" i="1" s="1"/>
  <c r="F159" i="1" s="1"/>
  <c r="C160" i="1" s="1"/>
  <c r="D160" i="1" l="1"/>
  <c r="E160" i="1" s="1"/>
  <c r="F160" i="1"/>
  <c r="C161" i="1" s="1"/>
  <c r="G159" i="1"/>
  <c r="G160" i="1" s="1"/>
  <c r="D161" i="1" l="1"/>
  <c r="E161" i="1" s="1"/>
  <c r="F161" i="1" s="1"/>
  <c r="C162" i="1" s="1"/>
  <c r="D162" i="1" l="1"/>
  <c r="E162" i="1" s="1"/>
  <c r="F162" i="1" s="1"/>
  <c r="C163" i="1" s="1"/>
  <c r="G161" i="1"/>
  <c r="D163" i="1" l="1"/>
  <c r="E163" i="1" s="1"/>
  <c r="F163" i="1"/>
  <c r="C164" i="1" s="1"/>
  <c r="G162" i="1"/>
  <c r="G163" i="1" s="1"/>
  <c r="D164" i="1" l="1"/>
  <c r="E164" i="1" s="1"/>
  <c r="F164" i="1" s="1"/>
  <c r="C165" i="1" s="1"/>
  <c r="D165" i="1" l="1"/>
  <c r="E165" i="1" s="1"/>
  <c r="F165" i="1"/>
  <c r="C166" i="1" s="1"/>
  <c r="G164" i="1"/>
  <c r="G165" i="1" s="1"/>
  <c r="D166" i="1" l="1"/>
  <c r="E166" i="1" s="1"/>
  <c r="F166" i="1" s="1"/>
  <c r="C167" i="1" s="1"/>
  <c r="D167" i="1" l="1"/>
  <c r="E167" i="1" s="1"/>
  <c r="F167" i="1" s="1"/>
  <c r="C168" i="1" s="1"/>
  <c r="G166" i="1"/>
  <c r="D168" i="1" l="1"/>
  <c r="E168" i="1" s="1"/>
  <c r="F168" i="1"/>
  <c r="C169" i="1" s="1"/>
  <c r="G167" i="1"/>
  <c r="G168" i="1" s="1"/>
  <c r="D169" i="1" l="1"/>
  <c r="E169" i="1" s="1"/>
  <c r="F169" i="1" s="1"/>
  <c r="C170" i="1" s="1"/>
  <c r="D170" i="1" l="1"/>
  <c r="E170" i="1" s="1"/>
  <c r="F170" i="1" s="1"/>
  <c r="C171" i="1" s="1"/>
  <c r="G169" i="1"/>
  <c r="D171" i="1" l="1"/>
  <c r="E171" i="1" s="1"/>
  <c r="F171" i="1"/>
  <c r="C172" i="1" s="1"/>
  <c r="G170" i="1"/>
  <c r="G171" i="1" s="1"/>
  <c r="D172" i="1" l="1"/>
  <c r="E172" i="1" s="1"/>
  <c r="F172" i="1" s="1"/>
  <c r="C173" i="1" s="1"/>
  <c r="D173" i="1" l="1"/>
  <c r="E173" i="1" s="1"/>
  <c r="F173" i="1"/>
  <c r="C174" i="1" s="1"/>
  <c r="G172" i="1"/>
  <c r="G173" i="1" s="1"/>
  <c r="D174" i="1" l="1"/>
  <c r="E174" i="1" s="1"/>
  <c r="F174" i="1" s="1"/>
  <c r="C175" i="1" s="1"/>
  <c r="D175" i="1" l="1"/>
  <c r="E175" i="1" s="1"/>
  <c r="F175" i="1"/>
  <c r="C176" i="1" s="1"/>
  <c r="G174" i="1"/>
  <c r="G175" i="1" s="1"/>
  <c r="D176" i="1" l="1"/>
  <c r="E176" i="1" s="1"/>
  <c r="F176" i="1" s="1"/>
  <c r="C177" i="1" s="1"/>
  <c r="D177" i="1" l="1"/>
  <c r="E177" i="1" s="1"/>
  <c r="F177" i="1"/>
  <c r="C178" i="1" s="1"/>
  <c r="G176" i="1"/>
  <c r="G177" i="1" s="1"/>
  <c r="D178" i="1" l="1"/>
  <c r="E178" i="1" s="1"/>
  <c r="F178" i="1" s="1"/>
  <c r="C179" i="1" s="1"/>
  <c r="D179" i="1" l="1"/>
  <c r="E179" i="1" s="1"/>
  <c r="F179" i="1" s="1"/>
  <c r="C180" i="1" s="1"/>
  <c r="G178" i="1"/>
  <c r="D180" i="1" l="1"/>
  <c r="E180" i="1" s="1"/>
  <c r="F180" i="1" s="1"/>
  <c r="C181" i="1" s="1"/>
  <c r="G179" i="1"/>
  <c r="G180" i="1" s="1"/>
  <c r="D181" i="1" l="1"/>
  <c r="E181" i="1" s="1"/>
  <c r="F181" i="1" s="1"/>
  <c r="C182" i="1" s="1"/>
  <c r="D182" i="1" l="1"/>
  <c r="E182" i="1" s="1"/>
  <c r="F182" i="1" s="1"/>
  <c r="C183" i="1" s="1"/>
  <c r="G181" i="1"/>
  <c r="D183" i="1" l="1"/>
  <c r="E183" i="1" s="1"/>
  <c r="F183" i="1" s="1"/>
  <c r="C184" i="1" s="1"/>
  <c r="G182" i="1"/>
  <c r="D184" i="1" l="1"/>
  <c r="E184" i="1" s="1"/>
  <c r="F184" i="1" s="1"/>
  <c r="C185" i="1" s="1"/>
  <c r="G183" i="1"/>
  <c r="D185" i="1" l="1"/>
  <c r="E185" i="1" s="1"/>
  <c r="F185" i="1" s="1"/>
  <c r="C186" i="1" s="1"/>
  <c r="G184" i="1"/>
  <c r="D186" i="1" l="1"/>
  <c r="E186" i="1" s="1"/>
  <c r="F186" i="1"/>
  <c r="C187" i="1" s="1"/>
  <c r="G185" i="1"/>
  <c r="G186" i="1" s="1"/>
  <c r="G187" i="1" l="1"/>
  <c r="D187" i="1"/>
  <c r="E187" i="1" s="1"/>
  <c r="F187" i="1" s="1"/>
  <c r="C188" i="1" s="1"/>
  <c r="D188" i="1" l="1"/>
  <c r="E188" i="1" s="1"/>
  <c r="F188" i="1" s="1"/>
  <c r="C189" i="1" s="1"/>
  <c r="D189" i="1" l="1"/>
  <c r="E189" i="1" s="1"/>
  <c r="F189" i="1"/>
  <c r="C190" i="1" s="1"/>
  <c r="G188" i="1"/>
  <c r="G189" i="1" s="1"/>
  <c r="D190" i="1" l="1"/>
  <c r="E190" i="1" s="1"/>
  <c r="F190" i="1" s="1"/>
  <c r="C191" i="1" s="1"/>
  <c r="D191" i="1" l="1"/>
  <c r="E191" i="1" s="1"/>
  <c r="F191" i="1"/>
  <c r="C192" i="1" s="1"/>
  <c r="G190" i="1"/>
  <c r="G191" i="1" s="1"/>
  <c r="D192" i="1" l="1"/>
  <c r="E192" i="1" s="1"/>
  <c r="F192" i="1" s="1"/>
  <c r="C193" i="1" s="1"/>
  <c r="D193" i="1" l="1"/>
  <c r="E193" i="1" s="1"/>
  <c r="F193" i="1" s="1"/>
  <c r="C194" i="1" s="1"/>
  <c r="G192" i="1"/>
  <c r="D194" i="1" l="1"/>
  <c r="E194" i="1" s="1"/>
  <c r="F194" i="1"/>
  <c r="C195" i="1" s="1"/>
  <c r="G193" i="1"/>
  <c r="G194" i="1" s="1"/>
  <c r="D195" i="1" l="1"/>
  <c r="E195" i="1" s="1"/>
  <c r="F195" i="1" s="1"/>
  <c r="C196" i="1" s="1"/>
  <c r="D196" i="1" l="1"/>
  <c r="E196" i="1" s="1"/>
  <c r="F196" i="1" s="1"/>
  <c r="C197" i="1" s="1"/>
  <c r="G195" i="1"/>
  <c r="G196" i="1" s="1"/>
  <c r="D197" i="1" l="1"/>
  <c r="E197" i="1" s="1"/>
  <c r="F197" i="1" s="1"/>
  <c r="C198" i="1" s="1"/>
  <c r="G197" i="1"/>
  <c r="D198" i="1" l="1"/>
  <c r="E198" i="1" s="1"/>
  <c r="F198" i="1"/>
  <c r="C199" i="1" s="1"/>
  <c r="G198" i="1"/>
  <c r="D199" i="1" l="1"/>
  <c r="E199" i="1" s="1"/>
  <c r="F199" i="1"/>
  <c r="C200" i="1" s="1"/>
  <c r="G199" i="1"/>
  <c r="D200" i="1" l="1"/>
  <c r="E200" i="1" s="1"/>
  <c r="F200" i="1"/>
  <c r="C201" i="1" s="1"/>
  <c r="G200" i="1"/>
  <c r="D201" i="1" l="1"/>
  <c r="E201" i="1" s="1"/>
  <c r="F201" i="1" s="1"/>
  <c r="C202" i="1" s="1"/>
  <c r="G201" i="1"/>
  <c r="D202" i="1" l="1"/>
  <c r="E202" i="1" s="1"/>
  <c r="F202" i="1"/>
  <c r="C203" i="1" s="1"/>
  <c r="G202" i="1"/>
  <c r="D203" i="1" l="1"/>
  <c r="E203" i="1" s="1"/>
  <c r="F203" i="1"/>
  <c r="C204" i="1" s="1"/>
  <c r="G203" i="1"/>
  <c r="D204" i="1" l="1"/>
  <c r="E204" i="1" s="1"/>
  <c r="F204" i="1"/>
  <c r="C205" i="1" s="1"/>
  <c r="G204" i="1"/>
  <c r="D205" i="1" l="1"/>
  <c r="E205" i="1" s="1"/>
  <c r="F205" i="1" s="1"/>
  <c r="C206" i="1" s="1"/>
  <c r="G205" i="1"/>
  <c r="D206" i="1" l="1"/>
  <c r="E206" i="1" s="1"/>
  <c r="F206" i="1"/>
  <c r="C207" i="1" s="1"/>
  <c r="G206" i="1"/>
  <c r="D207" i="1" l="1"/>
  <c r="E207" i="1" s="1"/>
  <c r="F207" i="1"/>
  <c r="C208" i="1" s="1"/>
  <c r="G207" i="1"/>
  <c r="D208" i="1" l="1"/>
  <c r="E208" i="1" s="1"/>
  <c r="F208" i="1" s="1"/>
  <c r="C209" i="1" s="1"/>
  <c r="G208" i="1"/>
  <c r="D209" i="1" l="1"/>
  <c r="E209" i="1" s="1"/>
  <c r="F209" i="1"/>
  <c r="C210" i="1" s="1"/>
  <c r="G209" i="1"/>
  <c r="D210" i="1" l="1"/>
  <c r="E210" i="1" s="1"/>
  <c r="F210" i="1"/>
  <c r="C211" i="1" s="1"/>
  <c r="G210" i="1"/>
  <c r="D211" i="1" l="1"/>
  <c r="E211" i="1" s="1"/>
  <c r="F211" i="1"/>
  <c r="C212" i="1" s="1"/>
  <c r="G211" i="1"/>
  <c r="D212" i="1" l="1"/>
  <c r="E212" i="1" s="1"/>
  <c r="F212" i="1" s="1"/>
  <c r="C213" i="1" s="1"/>
  <c r="D213" i="1" l="1"/>
  <c r="E213" i="1" s="1"/>
  <c r="F213" i="1"/>
  <c r="C214" i="1" s="1"/>
  <c r="G212" i="1"/>
  <c r="G213" i="1" s="1"/>
  <c r="D214" i="1" l="1"/>
  <c r="E214" i="1" s="1"/>
  <c r="F214" i="1" s="1"/>
  <c r="C215" i="1" s="1"/>
  <c r="D215" i="1" l="1"/>
  <c r="E215" i="1" s="1"/>
  <c r="F215" i="1"/>
  <c r="C216" i="1" s="1"/>
  <c r="G214" i="1"/>
  <c r="G215" i="1" s="1"/>
  <c r="D216" i="1" l="1"/>
  <c r="E216" i="1" s="1"/>
  <c r="F216" i="1" s="1"/>
  <c r="C217" i="1" s="1"/>
  <c r="D217" i="1" l="1"/>
  <c r="E217" i="1" s="1"/>
  <c r="F217" i="1"/>
  <c r="C218" i="1" s="1"/>
  <c r="G216" i="1"/>
  <c r="G217" i="1" s="1"/>
  <c r="D218" i="1" l="1"/>
  <c r="E218" i="1" s="1"/>
  <c r="F218" i="1" s="1"/>
  <c r="C219" i="1" s="1"/>
  <c r="D219" i="1" l="1"/>
  <c r="E219" i="1" s="1"/>
  <c r="F219" i="1"/>
  <c r="C220" i="1" s="1"/>
  <c r="G218" i="1"/>
  <c r="G219" i="1" s="1"/>
  <c r="D220" i="1" l="1"/>
  <c r="E220" i="1" s="1"/>
  <c r="F220" i="1"/>
  <c r="C221" i="1" s="1"/>
  <c r="G220" i="1"/>
  <c r="D221" i="1" l="1"/>
  <c r="E221" i="1" s="1"/>
  <c r="F221" i="1" s="1"/>
  <c r="C222" i="1" s="1"/>
  <c r="D222" i="1" l="1"/>
  <c r="E222" i="1" s="1"/>
  <c r="F222" i="1" s="1"/>
  <c r="C223" i="1" s="1"/>
  <c r="G221" i="1"/>
  <c r="G222" i="1" s="1"/>
  <c r="D223" i="1" l="1"/>
  <c r="E223" i="1" s="1"/>
  <c r="F223" i="1"/>
  <c r="C224" i="1" s="1"/>
  <c r="G223" i="1"/>
  <c r="D224" i="1" l="1"/>
  <c r="E224" i="1" s="1"/>
  <c r="F224" i="1"/>
  <c r="C225" i="1" s="1"/>
  <c r="G224" i="1"/>
  <c r="D225" i="1" l="1"/>
  <c r="E225" i="1" s="1"/>
  <c r="F225" i="1"/>
  <c r="C226" i="1" s="1"/>
  <c r="G225" i="1"/>
  <c r="D226" i="1" l="1"/>
  <c r="E226" i="1" s="1"/>
  <c r="F226" i="1"/>
  <c r="C227" i="1" s="1"/>
  <c r="G226" i="1"/>
  <c r="D227" i="1" l="1"/>
  <c r="E227" i="1" s="1"/>
  <c r="F227" i="1"/>
  <c r="C228" i="1" s="1"/>
  <c r="G227" i="1"/>
  <c r="D228" i="1" l="1"/>
  <c r="E228" i="1" s="1"/>
  <c r="F228" i="1"/>
  <c r="C229" i="1" s="1"/>
  <c r="G228" i="1"/>
  <c r="D229" i="1" l="1"/>
  <c r="E229" i="1" s="1"/>
  <c r="F229" i="1" s="1"/>
  <c r="C230" i="1" s="1"/>
  <c r="D230" i="1" l="1"/>
  <c r="E230" i="1" s="1"/>
  <c r="F230" i="1" s="1"/>
  <c r="C231" i="1" s="1"/>
  <c r="G229" i="1"/>
  <c r="G230" i="1" s="1"/>
  <c r="D231" i="1" l="1"/>
  <c r="E231" i="1" s="1"/>
  <c r="F231" i="1"/>
  <c r="C232" i="1" s="1"/>
  <c r="G231" i="1"/>
  <c r="D232" i="1" l="1"/>
  <c r="E232" i="1" s="1"/>
  <c r="F232" i="1"/>
  <c r="C233" i="1" s="1"/>
  <c r="G232" i="1"/>
  <c r="D233" i="1" l="1"/>
  <c r="E233" i="1" s="1"/>
  <c r="F233" i="1"/>
  <c r="C234" i="1" s="1"/>
  <c r="G233" i="1"/>
  <c r="D234" i="1" l="1"/>
  <c r="E234" i="1" s="1"/>
  <c r="F234" i="1"/>
  <c r="C235" i="1" s="1"/>
  <c r="G234" i="1"/>
  <c r="D235" i="1" l="1"/>
  <c r="E235" i="1" s="1"/>
  <c r="F235" i="1"/>
  <c r="C236" i="1" s="1"/>
  <c r="G235" i="1"/>
  <c r="D236" i="1" l="1"/>
  <c r="E236" i="1" s="1"/>
  <c r="F236" i="1" s="1"/>
  <c r="C237" i="1" s="1"/>
  <c r="G236" i="1"/>
  <c r="D237" i="1" l="1"/>
  <c r="E237" i="1" s="1"/>
  <c r="F237" i="1"/>
  <c r="C238" i="1" s="1"/>
  <c r="G237" i="1"/>
  <c r="D238" i="1" l="1"/>
  <c r="E238" i="1" s="1"/>
  <c r="F238" i="1"/>
  <c r="C239" i="1" s="1"/>
  <c r="G238" i="1"/>
  <c r="D239" i="1" l="1"/>
  <c r="E239" i="1" s="1"/>
  <c r="F239" i="1"/>
  <c r="C240" i="1" s="1"/>
  <c r="D240" i="1" l="1"/>
  <c r="E240" i="1" s="1"/>
  <c r="F240" i="1"/>
  <c r="C241" i="1" s="1"/>
  <c r="G239" i="1"/>
  <c r="G240" i="1" s="1"/>
  <c r="D241" i="1" l="1"/>
  <c r="E241" i="1" s="1"/>
  <c r="F241" i="1"/>
  <c r="C242" i="1" s="1"/>
  <c r="G241" i="1"/>
  <c r="D242" i="1" l="1"/>
  <c r="E242" i="1" s="1"/>
  <c r="F242" i="1"/>
  <c r="C243" i="1" s="1"/>
  <c r="G242" i="1"/>
  <c r="D243" i="1" l="1"/>
  <c r="E243" i="1" s="1"/>
  <c r="F243" i="1"/>
  <c r="C244" i="1" s="1"/>
  <c r="G243" i="1"/>
  <c r="D244" i="1" l="1"/>
  <c r="E244" i="1" s="1"/>
  <c r="F244" i="1" s="1"/>
  <c r="C245" i="1" s="1"/>
  <c r="G244" i="1"/>
  <c r="D245" i="1" l="1"/>
  <c r="E245" i="1" s="1"/>
  <c r="F245" i="1"/>
  <c r="C246" i="1" s="1"/>
  <c r="G245" i="1"/>
  <c r="D246" i="1" l="1"/>
  <c r="E246" i="1" s="1"/>
  <c r="F246" i="1"/>
  <c r="C247" i="1" s="1"/>
  <c r="G246" i="1"/>
  <c r="D247" i="1" l="1"/>
  <c r="E247" i="1" s="1"/>
  <c r="F247" i="1"/>
  <c r="C248" i="1" s="1"/>
  <c r="G247" i="1"/>
  <c r="D248" i="1" l="1"/>
  <c r="E248" i="1" s="1"/>
  <c r="F248" i="1" s="1"/>
  <c r="C249" i="1" s="1"/>
  <c r="D249" i="1" l="1"/>
  <c r="E249" i="1" s="1"/>
  <c r="F249" i="1"/>
  <c r="C250" i="1" s="1"/>
  <c r="G248" i="1"/>
  <c r="G249" i="1" s="1"/>
  <c r="D250" i="1" l="1"/>
  <c r="E250" i="1" s="1"/>
  <c r="F250" i="1"/>
  <c r="C251" i="1" s="1"/>
  <c r="G250" i="1"/>
  <c r="D251" i="1" l="1"/>
  <c r="E251" i="1" s="1"/>
  <c r="F251" i="1"/>
  <c r="C252" i="1" s="1"/>
  <c r="G251" i="1"/>
  <c r="D252" i="1" l="1"/>
  <c r="E252" i="1" s="1"/>
  <c r="F252" i="1"/>
  <c r="C253" i="1" s="1"/>
  <c r="G252" i="1"/>
  <c r="D253" i="1" l="1"/>
  <c r="E253" i="1" s="1"/>
  <c r="F253" i="1" s="1"/>
  <c r="C254" i="1" s="1"/>
  <c r="G253" i="1"/>
  <c r="D254" i="1" l="1"/>
  <c r="E254" i="1" s="1"/>
  <c r="F254" i="1"/>
  <c r="C255" i="1" s="1"/>
  <c r="G254" i="1"/>
  <c r="D255" i="1" l="1"/>
  <c r="E255" i="1" s="1"/>
  <c r="F255" i="1"/>
  <c r="C256" i="1" s="1"/>
  <c r="G255" i="1"/>
  <c r="D256" i="1" l="1"/>
  <c r="E256" i="1" s="1"/>
  <c r="F256" i="1"/>
  <c r="C257" i="1" s="1"/>
  <c r="G256" i="1"/>
  <c r="D257" i="1" l="1"/>
  <c r="E257" i="1" s="1"/>
  <c r="F257" i="1" s="1"/>
  <c r="C258" i="1" s="1"/>
  <c r="G257" i="1"/>
  <c r="D258" i="1" l="1"/>
  <c r="E258" i="1" s="1"/>
  <c r="F258" i="1"/>
  <c r="C259" i="1" s="1"/>
  <c r="G258" i="1"/>
  <c r="D259" i="1" l="1"/>
  <c r="E259" i="1" s="1"/>
  <c r="F259" i="1" s="1"/>
  <c r="C260" i="1" s="1"/>
  <c r="D260" i="1" l="1"/>
  <c r="E260" i="1" s="1"/>
  <c r="F260" i="1" s="1"/>
  <c r="C261" i="1" s="1"/>
  <c r="G259" i="1"/>
  <c r="G260" i="1" s="1"/>
  <c r="D261" i="1" l="1"/>
  <c r="E261" i="1" s="1"/>
  <c r="F261" i="1"/>
  <c r="C262" i="1" s="1"/>
  <c r="G261" i="1"/>
  <c r="D262" i="1" l="1"/>
  <c r="E262" i="1" s="1"/>
  <c r="F262" i="1" s="1"/>
  <c r="C263" i="1" s="1"/>
  <c r="G262" i="1"/>
  <c r="D263" i="1" l="1"/>
  <c r="E263" i="1" s="1"/>
  <c r="F263" i="1"/>
  <c r="C264" i="1" s="1"/>
  <c r="G263" i="1"/>
  <c r="D264" i="1" l="1"/>
  <c r="E264" i="1" s="1"/>
  <c r="F264" i="1"/>
  <c r="C265" i="1" s="1"/>
  <c r="G264" i="1"/>
  <c r="D265" i="1" l="1"/>
  <c r="E265" i="1" s="1"/>
  <c r="F265" i="1"/>
  <c r="C266" i="1" s="1"/>
  <c r="G265" i="1"/>
  <c r="D266" i="1" l="1"/>
  <c r="E266" i="1" s="1"/>
  <c r="F266" i="1"/>
  <c r="C267" i="1" s="1"/>
  <c r="G266" i="1"/>
  <c r="D267" i="1" l="1"/>
  <c r="E267" i="1" s="1"/>
  <c r="F267" i="1"/>
  <c r="C268" i="1" s="1"/>
  <c r="G267" i="1"/>
  <c r="D268" i="1" l="1"/>
  <c r="E268" i="1" s="1"/>
  <c r="F268" i="1"/>
  <c r="C269" i="1" s="1"/>
  <c r="G268" i="1"/>
  <c r="D269" i="1" l="1"/>
  <c r="E269" i="1" s="1"/>
  <c r="F269" i="1"/>
  <c r="C270" i="1" s="1"/>
  <c r="G269" i="1"/>
  <c r="D270" i="1" l="1"/>
  <c r="E270" i="1" s="1"/>
  <c r="F270" i="1" s="1"/>
  <c r="C271" i="1" s="1"/>
  <c r="G270" i="1"/>
  <c r="D271" i="1" l="1"/>
  <c r="E271" i="1" s="1"/>
  <c r="F271" i="1"/>
  <c r="C272" i="1" s="1"/>
  <c r="G271" i="1"/>
  <c r="D272" i="1" l="1"/>
  <c r="E272" i="1" s="1"/>
  <c r="F272" i="1" s="1"/>
  <c r="C273" i="1" s="1"/>
  <c r="G272" i="1"/>
  <c r="D273" i="1" l="1"/>
  <c r="E273" i="1" s="1"/>
  <c r="F273" i="1" s="1"/>
  <c r="C274" i="1" s="1"/>
  <c r="D274" i="1" l="1"/>
  <c r="E274" i="1" s="1"/>
  <c r="F274" i="1"/>
  <c r="C275" i="1" s="1"/>
  <c r="G273" i="1"/>
  <c r="G274" i="1" s="1"/>
  <c r="D275" i="1" l="1"/>
  <c r="E275" i="1" s="1"/>
  <c r="F275" i="1" s="1"/>
  <c r="C276" i="1" s="1"/>
  <c r="G275" i="1"/>
  <c r="D276" i="1" l="1"/>
  <c r="E276" i="1" s="1"/>
  <c r="F276" i="1"/>
  <c r="C277" i="1" s="1"/>
  <c r="G276" i="1"/>
  <c r="D277" i="1" l="1"/>
  <c r="E277" i="1" s="1"/>
  <c r="F277" i="1"/>
  <c r="C278" i="1" s="1"/>
  <c r="G277" i="1"/>
  <c r="D278" i="1" l="1"/>
  <c r="E278" i="1" s="1"/>
  <c r="F278" i="1"/>
  <c r="C279" i="1" s="1"/>
  <c r="D279" i="1" l="1"/>
  <c r="E279" i="1" s="1"/>
  <c r="F279" i="1"/>
  <c r="C280" i="1" s="1"/>
  <c r="G278" i="1"/>
  <c r="G279" i="1" s="1"/>
  <c r="D280" i="1" l="1"/>
  <c r="E280" i="1" s="1"/>
  <c r="F280" i="1"/>
  <c r="C281" i="1" s="1"/>
  <c r="D281" i="1" l="1"/>
  <c r="E281" i="1" s="1"/>
  <c r="F281" i="1"/>
  <c r="C282" i="1" s="1"/>
  <c r="G280" i="1"/>
  <c r="G281" i="1" s="1"/>
  <c r="D282" i="1" l="1"/>
  <c r="E282" i="1" s="1"/>
  <c r="F282" i="1"/>
  <c r="C283" i="1" s="1"/>
  <c r="G282" i="1"/>
  <c r="D283" i="1" l="1"/>
  <c r="E283" i="1" s="1"/>
  <c r="F283" i="1" s="1"/>
  <c r="C284" i="1" s="1"/>
  <c r="G283" i="1"/>
  <c r="D284" i="1" l="1"/>
  <c r="E284" i="1" s="1"/>
  <c r="F284" i="1"/>
  <c r="C285" i="1" s="1"/>
  <c r="G284" i="1"/>
  <c r="D285" i="1" l="1"/>
  <c r="E285" i="1" s="1"/>
  <c r="F285" i="1" s="1"/>
  <c r="C286" i="1" s="1"/>
  <c r="G285" i="1"/>
  <c r="D286" i="1" l="1"/>
  <c r="E286" i="1" s="1"/>
  <c r="F286" i="1" s="1"/>
  <c r="C287" i="1" s="1"/>
  <c r="G286" i="1"/>
  <c r="D287" i="1" l="1"/>
  <c r="E287" i="1" s="1"/>
  <c r="F287" i="1"/>
  <c r="C288" i="1" s="1"/>
  <c r="G287" i="1"/>
  <c r="D288" i="1" l="1"/>
  <c r="E288" i="1" s="1"/>
  <c r="F288" i="1" s="1"/>
  <c r="C289" i="1" s="1"/>
  <c r="G288" i="1"/>
  <c r="D289" i="1" l="1"/>
  <c r="E289" i="1" s="1"/>
  <c r="F289" i="1"/>
  <c r="C290" i="1" s="1"/>
  <c r="G289" i="1"/>
  <c r="D290" i="1" l="1"/>
  <c r="E290" i="1" s="1"/>
  <c r="F290" i="1"/>
  <c r="C291" i="1" s="1"/>
  <c r="G290" i="1"/>
  <c r="D291" i="1" l="1"/>
  <c r="E291" i="1" s="1"/>
  <c r="F291" i="1"/>
  <c r="C292" i="1" s="1"/>
  <c r="G291" i="1"/>
  <c r="D292" i="1" l="1"/>
  <c r="E292" i="1" s="1"/>
  <c r="F292" i="1"/>
  <c r="C293" i="1" s="1"/>
  <c r="G292" i="1"/>
  <c r="D293" i="1" l="1"/>
  <c r="E293" i="1" s="1"/>
  <c r="F293" i="1"/>
  <c r="C294" i="1" s="1"/>
  <c r="G293" i="1"/>
  <c r="D294" i="1" l="1"/>
  <c r="E294" i="1" s="1"/>
  <c r="F294" i="1" s="1"/>
  <c r="C295" i="1" s="1"/>
  <c r="G294" i="1"/>
  <c r="D295" i="1" l="1"/>
  <c r="E295" i="1" s="1"/>
  <c r="F295" i="1"/>
  <c r="C296" i="1" s="1"/>
  <c r="G295" i="1"/>
  <c r="D296" i="1" l="1"/>
  <c r="E296" i="1" s="1"/>
  <c r="F296" i="1" s="1"/>
  <c r="C297" i="1" s="1"/>
  <c r="D297" i="1" l="1"/>
  <c r="E297" i="1" s="1"/>
  <c r="F297" i="1"/>
  <c r="C298" i="1" s="1"/>
  <c r="G296" i="1"/>
  <c r="G297" i="1" s="1"/>
  <c r="D298" i="1" l="1"/>
  <c r="E298" i="1" s="1"/>
  <c r="F298" i="1"/>
  <c r="C299" i="1" s="1"/>
  <c r="G298" i="1"/>
  <c r="D299" i="1" l="1"/>
  <c r="E299" i="1" s="1"/>
  <c r="F299" i="1" s="1"/>
  <c r="C300" i="1" s="1"/>
  <c r="D300" i="1" l="1"/>
  <c r="E300" i="1" s="1"/>
  <c r="F300" i="1"/>
  <c r="C301" i="1" s="1"/>
  <c r="G299" i="1"/>
  <c r="G300" i="1" s="1"/>
  <c r="D301" i="1" l="1"/>
  <c r="E301" i="1" s="1"/>
  <c r="F301" i="1"/>
  <c r="C302" i="1" s="1"/>
  <c r="G301" i="1"/>
  <c r="D302" i="1" l="1"/>
  <c r="E302" i="1" s="1"/>
  <c r="F302" i="1"/>
  <c r="C303" i="1" s="1"/>
  <c r="G302" i="1"/>
  <c r="D303" i="1" l="1"/>
  <c r="E303" i="1" s="1"/>
  <c r="F303" i="1"/>
  <c r="C304" i="1" s="1"/>
  <c r="G303" i="1"/>
  <c r="D304" i="1" l="1"/>
  <c r="E304" i="1" s="1"/>
  <c r="F304" i="1"/>
  <c r="C305" i="1" s="1"/>
  <c r="G304" i="1"/>
  <c r="D305" i="1" l="1"/>
  <c r="E305" i="1" s="1"/>
  <c r="F305" i="1" s="1"/>
  <c r="C306" i="1" s="1"/>
  <c r="G305" i="1"/>
  <c r="D306" i="1" l="1"/>
  <c r="E306" i="1" s="1"/>
  <c r="F306" i="1" s="1"/>
  <c r="C307" i="1" s="1"/>
  <c r="G306" i="1"/>
  <c r="D307" i="1" l="1"/>
  <c r="E307" i="1" s="1"/>
  <c r="F307" i="1"/>
  <c r="C308" i="1" s="1"/>
  <c r="G307" i="1"/>
  <c r="D308" i="1" l="1"/>
  <c r="E308" i="1" s="1"/>
  <c r="F308" i="1"/>
  <c r="C309" i="1" s="1"/>
  <c r="D309" i="1" l="1"/>
  <c r="E309" i="1" s="1"/>
  <c r="F309" i="1"/>
  <c r="C310" i="1" s="1"/>
  <c r="G308" i="1"/>
  <c r="G309" i="1" s="1"/>
  <c r="D310" i="1" l="1"/>
  <c r="E310" i="1" s="1"/>
  <c r="F310" i="1"/>
  <c r="C311" i="1" s="1"/>
  <c r="D311" i="1" l="1"/>
  <c r="E311" i="1" s="1"/>
  <c r="F311" i="1" s="1"/>
  <c r="C312" i="1" s="1"/>
  <c r="G310" i="1"/>
  <c r="G311" i="1" s="1"/>
  <c r="D312" i="1" l="1"/>
  <c r="E312" i="1" s="1"/>
  <c r="F312" i="1"/>
  <c r="C313" i="1" s="1"/>
  <c r="G312" i="1"/>
  <c r="D313" i="1" l="1"/>
  <c r="E313" i="1" s="1"/>
  <c r="F313" i="1"/>
  <c r="C314" i="1" s="1"/>
  <c r="D314" i="1" l="1"/>
  <c r="E314" i="1" s="1"/>
  <c r="F314" i="1"/>
  <c r="C315" i="1" s="1"/>
  <c r="G313" i="1"/>
  <c r="G314" i="1" s="1"/>
  <c r="D315" i="1" l="1"/>
  <c r="E315" i="1" s="1"/>
  <c r="F315" i="1" s="1"/>
  <c r="C316" i="1" s="1"/>
  <c r="D316" i="1" l="1"/>
  <c r="E316" i="1" s="1"/>
  <c r="F316" i="1" s="1"/>
  <c r="C317" i="1" s="1"/>
  <c r="G315" i="1"/>
  <c r="G316" i="1" s="1"/>
  <c r="D317" i="1" l="1"/>
  <c r="E317" i="1" s="1"/>
  <c r="F317" i="1"/>
  <c r="C318" i="1" s="1"/>
  <c r="G317" i="1"/>
  <c r="D318" i="1" l="1"/>
  <c r="E318" i="1" s="1"/>
  <c r="F318" i="1"/>
  <c r="C319" i="1" s="1"/>
  <c r="D319" i="1" l="1"/>
  <c r="E319" i="1" s="1"/>
  <c r="F319" i="1"/>
  <c r="C320" i="1" s="1"/>
  <c r="G318" i="1"/>
  <c r="G319" i="1" s="1"/>
  <c r="D320" i="1" l="1"/>
  <c r="E320" i="1" s="1"/>
  <c r="F320" i="1"/>
  <c r="C321" i="1" s="1"/>
  <c r="D321" i="1" l="1"/>
  <c r="E321" i="1" s="1"/>
  <c r="F321" i="1" s="1"/>
  <c r="C322" i="1" s="1"/>
  <c r="G320" i="1"/>
  <c r="G321" i="1" s="1"/>
  <c r="D322" i="1" l="1"/>
  <c r="E322" i="1" s="1"/>
  <c r="F322" i="1"/>
  <c r="C323" i="1" s="1"/>
  <c r="G322" i="1"/>
  <c r="D323" i="1" l="1"/>
  <c r="E323" i="1" s="1"/>
  <c r="F323" i="1"/>
  <c r="C324" i="1" s="1"/>
  <c r="D324" i="1" l="1"/>
  <c r="E324" i="1" s="1"/>
  <c r="F324" i="1"/>
  <c r="C325" i="1" s="1"/>
  <c r="G323" i="1"/>
  <c r="G324" i="1" s="1"/>
  <c r="D325" i="1" l="1"/>
  <c r="E325" i="1" s="1"/>
  <c r="F325" i="1" s="1"/>
  <c r="C326" i="1" s="1"/>
  <c r="D326" i="1" l="1"/>
  <c r="E326" i="1" s="1"/>
  <c r="F326" i="1" s="1"/>
  <c r="C327" i="1" s="1"/>
  <c r="G325" i="1"/>
  <c r="G326" i="1" s="1"/>
  <c r="D327" i="1" l="1"/>
  <c r="E327" i="1" s="1"/>
  <c r="F327" i="1"/>
  <c r="C328" i="1" s="1"/>
  <c r="G327" i="1"/>
  <c r="D328" i="1" l="1"/>
  <c r="E328" i="1" s="1"/>
  <c r="F328" i="1"/>
  <c r="C329" i="1" s="1"/>
  <c r="D329" i="1" l="1"/>
  <c r="E329" i="1" s="1"/>
  <c r="F329" i="1"/>
  <c r="C330" i="1" s="1"/>
  <c r="G328" i="1"/>
  <c r="G329" i="1" s="1"/>
  <c r="D330" i="1" l="1"/>
  <c r="E330" i="1" s="1"/>
  <c r="F330" i="1"/>
  <c r="C331" i="1" s="1"/>
  <c r="D331" i="1" l="1"/>
  <c r="E331" i="1" s="1"/>
  <c r="F331" i="1" s="1"/>
  <c r="C332" i="1" s="1"/>
  <c r="G330" i="1"/>
  <c r="G331" i="1" s="1"/>
  <c r="D332" i="1" l="1"/>
  <c r="E332" i="1" s="1"/>
  <c r="F332" i="1"/>
  <c r="C333" i="1" s="1"/>
  <c r="G332" i="1"/>
  <c r="D333" i="1" l="1"/>
  <c r="E333" i="1" s="1"/>
  <c r="F333" i="1"/>
  <c r="C334" i="1" s="1"/>
  <c r="D334" i="1" l="1"/>
  <c r="E334" i="1" s="1"/>
  <c r="F334" i="1"/>
  <c r="C335" i="1" s="1"/>
  <c r="G333" i="1"/>
  <c r="G334" i="1" s="1"/>
  <c r="D335" i="1" l="1"/>
  <c r="E335" i="1" s="1"/>
  <c r="F335" i="1" s="1"/>
  <c r="C336" i="1" s="1"/>
  <c r="D336" i="1" l="1"/>
  <c r="E336" i="1" s="1"/>
  <c r="F336" i="1"/>
  <c r="C337" i="1" s="1"/>
  <c r="G335" i="1"/>
  <c r="G336" i="1" s="1"/>
  <c r="D337" i="1" l="1"/>
  <c r="E337" i="1" s="1"/>
  <c r="F337" i="1"/>
  <c r="C338" i="1" s="1"/>
  <c r="D338" i="1" l="1"/>
  <c r="E338" i="1" s="1"/>
  <c r="F338" i="1"/>
  <c r="C339" i="1" s="1"/>
  <c r="G337" i="1"/>
  <c r="G338" i="1" s="1"/>
  <c r="D339" i="1" l="1"/>
  <c r="E339" i="1" s="1"/>
  <c r="F339" i="1"/>
  <c r="C340" i="1" s="1"/>
  <c r="D340" i="1" l="1"/>
  <c r="E340" i="1" s="1"/>
  <c r="F340" i="1"/>
  <c r="C341" i="1" s="1"/>
  <c r="G339" i="1"/>
  <c r="G340" i="1" s="1"/>
  <c r="D341" i="1" l="1"/>
  <c r="E341" i="1" s="1"/>
  <c r="F341" i="1" s="1"/>
  <c r="C342" i="1" s="1"/>
  <c r="D342" i="1" l="1"/>
  <c r="E342" i="1" s="1"/>
  <c r="F342" i="1"/>
  <c r="C343" i="1" s="1"/>
  <c r="G341" i="1"/>
  <c r="G342" i="1" s="1"/>
  <c r="D343" i="1" l="1"/>
  <c r="E343" i="1" s="1"/>
  <c r="F343" i="1"/>
  <c r="C344" i="1" s="1"/>
  <c r="D344" i="1" l="1"/>
  <c r="E344" i="1" s="1"/>
  <c r="F344" i="1"/>
  <c r="C345" i="1" s="1"/>
  <c r="G343" i="1"/>
  <c r="G344" i="1" s="1"/>
  <c r="D345" i="1" l="1"/>
  <c r="E345" i="1" s="1"/>
  <c r="F345" i="1" s="1"/>
  <c r="C346" i="1" s="1"/>
  <c r="D346" i="1" l="1"/>
  <c r="E346" i="1" s="1"/>
  <c r="F346" i="1"/>
  <c r="C347" i="1" s="1"/>
  <c r="G345" i="1"/>
  <c r="G346" i="1" s="1"/>
  <c r="D347" i="1" l="1"/>
  <c r="E347" i="1" s="1"/>
  <c r="F347" i="1" s="1"/>
  <c r="C348" i="1" s="1"/>
  <c r="D348" i="1" l="1"/>
  <c r="E348" i="1" s="1"/>
  <c r="F348" i="1"/>
  <c r="C349" i="1" s="1"/>
  <c r="G347" i="1"/>
  <c r="G348" i="1" s="1"/>
  <c r="D349" i="1" l="1"/>
  <c r="E349" i="1" s="1"/>
  <c r="F349" i="1" s="1"/>
  <c r="C350" i="1" s="1"/>
  <c r="D350" i="1" l="1"/>
  <c r="E350" i="1" s="1"/>
  <c r="F350" i="1"/>
  <c r="C351" i="1" s="1"/>
  <c r="G349" i="1"/>
  <c r="G350" i="1" s="1"/>
  <c r="D351" i="1" l="1"/>
  <c r="E351" i="1" s="1"/>
  <c r="F351" i="1" s="1"/>
  <c r="C352" i="1" s="1"/>
  <c r="D352" i="1" l="1"/>
  <c r="E352" i="1" s="1"/>
  <c r="F352" i="1"/>
  <c r="C353" i="1" s="1"/>
  <c r="G351" i="1"/>
  <c r="G352" i="1" s="1"/>
  <c r="D353" i="1" l="1"/>
  <c r="E353" i="1" s="1"/>
  <c r="F353" i="1"/>
  <c r="C354" i="1" s="1"/>
  <c r="D354" i="1" l="1"/>
  <c r="E354" i="1" s="1"/>
  <c r="F354" i="1"/>
  <c r="C355" i="1" s="1"/>
  <c r="G353" i="1"/>
  <c r="G354" i="1" s="1"/>
  <c r="D355" i="1" l="1"/>
  <c r="E355" i="1" s="1"/>
  <c r="F355" i="1" s="1"/>
  <c r="C356" i="1" s="1"/>
  <c r="G355" i="1"/>
  <c r="D356" i="1" l="1"/>
  <c r="E356" i="1" s="1"/>
  <c r="F356" i="1"/>
  <c r="C357" i="1" s="1"/>
  <c r="G356" i="1"/>
  <c r="D357" i="1" l="1"/>
  <c r="E357" i="1" s="1"/>
  <c r="F357" i="1" s="1"/>
  <c r="C358" i="1" s="1"/>
  <c r="D358" i="1" l="1"/>
  <c r="E358" i="1" s="1"/>
  <c r="F358" i="1"/>
  <c r="C359" i="1" s="1"/>
  <c r="G357" i="1"/>
  <c r="G358" i="1" s="1"/>
  <c r="D359" i="1" l="1"/>
  <c r="E359" i="1" s="1"/>
  <c r="F359" i="1"/>
  <c r="C360" i="1" s="1"/>
  <c r="G359" i="1"/>
  <c r="D360" i="1" l="1"/>
  <c r="E360" i="1" s="1"/>
  <c r="F360" i="1"/>
  <c r="C361" i="1" s="1"/>
  <c r="D361" i="1" l="1"/>
  <c r="E361" i="1" s="1"/>
  <c r="F361" i="1" s="1"/>
  <c r="C362" i="1" s="1"/>
  <c r="G360" i="1"/>
  <c r="G361" i="1" s="1"/>
  <c r="D362" i="1" l="1"/>
  <c r="E362" i="1" s="1"/>
  <c r="F362" i="1"/>
  <c r="C363" i="1" s="1"/>
  <c r="G362" i="1"/>
  <c r="D363" i="1" l="1"/>
  <c r="E363" i="1" s="1"/>
  <c r="F363" i="1"/>
  <c r="C364" i="1" s="1"/>
  <c r="D364" i="1" l="1"/>
  <c r="E364" i="1" s="1"/>
  <c r="F364" i="1"/>
  <c r="C365" i="1" s="1"/>
  <c r="G363" i="1"/>
  <c r="G364" i="1" s="1"/>
  <c r="D365" i="1" l="1"/>
  <c r="E365" i="1" s="1"/>
  <c r="F365" i="1" s="1"/>
  <c r="C366" i="1" s="1"/>
  <c r="D366" i="1" l="1"/>
  <c r="E366" i="1" s="1"/>
  <c r="F366" i="1"/>
  <c r="C367" i="1" s="1"/>
  <c r="G365" i="1"/>
  <c r="G366" i="1" s="1"/>
  <c r="D367" i="1" l="1"/>
  <c r="E367" i="1" s="1"/>
  <c r="F367" i="1"/>
  <c r="C368" i="1" s="1"/>
  <c r="D368" i="1" l="1"/>
  <c r="E368" i="1" s="1"/>
  <c r="F368" i="1"/>
  <c r="C369" i="1" s="1"/>
  <c r="G367" i="1"/>
  <c r="G368" i="1" s="1"/>
  <c r="D369" i="1" l="1"/>
  <c r="E369" i="1" s="1"/>
  <c r="F369" i="1"/>
  <c r="C370" i="1" s="1"/>
  <c r="D370" i="1" l="1"/>
  <c r="E370" i="1" s="1"/>
  <c r="F370" i="1"/>
  <c r="C371" i="1" s="1"/>
  <c r="G369" i="1"/>
  <c r="G370" i="1" s="1"/>
  <c r="D371" i="1" l="1"/>
  <c r="E371" i="1" s="1"/>
  <c r="F371" i="1" s="1"/>
  <c r="C372" i="1" s="1"/>
  <c r="D372" i="1" l="1"/>
  <c r="E372" i="1" s="1"/>
  <c r="F372" i="1"/>
  <c r="C373" i="1" s="1"/>
  <c r="G371" i="1"/>
  <c r="G372" i="1" s="1"/>
  <c r="D373" i="1" l="1"/>
  <c r="E373" i="1" s="1"/>
  <c r="F373" i="1"/>
  <c r="C374" i="1" s="1"/>
  <c r="D374" i="1" l="1"/>
  <c r="E374" i="1" s="1"/>
  <c r="F374" i="1"/>
  <c r="C375" i="1" s="1"/>
  <c r="G373" i="1"/>
  <c r="G374" i="1" s="1"/>
  <c r="D375" i="1" l="1"/>
  <c r="E375" i="1" s="1"/>
  <c r="F375" i="1" s="1"/>
  <c r="C376" i="1" s="1"/>
  <c r="D376" i="1" l="1"/>
  <c r="E376" i="1" s="1"/>
  <c r="F376" i="1" s="1"/>
  <c r="C377" i="1" s="1"/>
  <c r="G375" i="1"/>
  <c r="G376" i="1" s="1"/>
  <c r="D377" i="1" l="1"/>
  <c r="E377" i="1" s="1"/>
  <c r="F377" i="1"/>
  <c r="C378" i="1" s="1"/>
  <c r="G377" i="1"/>
  <c r="D378" i="1" l="1"/>
  <c r="E378" i="1" s="1"/>
  <c r="F378" i="1"/>
  <c r="C379" i="1" s="1"/>
  <c r="D379" i="1" l="1"/>
  <c r="E379" i="1" s="1"/>
  <c r="F379" i="1" s="1"/>
  <c r="C380" i="1" s="1"/>
  <c r="G378" i="1"/>
  <c r="G379" i="1" s="1"/>
  <c r="D380" i="1" l="1"/>
  <c r="E380" i="1" s="1"/>
  <c r="F380" i="1"/>
  <c r="C381" i="1" s="1"/>
  <c r="G380" i="1"/>
  <c r="D381" i="1" l="1"/>
  <c r="E381" i="1" s="1"/>
  <c r="F381" i="1" s="1"/>
  <c r="C382" i="1" s="1"/>
  <c r="D382" i="1" l="1"/>
  <c r="E382" i="1" s="1"/>
  <c r="F382" i="1"/>
  <c r="C383" i="1" s="1"/>
  <c r="G381" i="1"/>
  <c r="G382" i="1" s="1"/>
  <c r="D383" i="1" l="1"/>
  <c r="E383" i="1" s="1"/>
  <c r="F383" i="1"/>
  <c r="G383" i="1" l="1"/>
</calcChain>
</file>

<file path=xl/sharedStrings.xml><?xml version="1.0" encoding="utf-8"?>
<sst xmlns="http://schemas.openxmlformats.org/spreadsheetml/2006/main" count="483" uniqueCount="342">
  <si>
    <t>SUMMARY OF SOURCES AND USES OF FUNDS</t>
  </si>
  <si>
    <t>SOURCES OF FUNDS</t>
  </si>
  <si>
    <t xml:space="preserve">     Owner(s) Investment</t>
  </si>
  <si>
    <t xml:space="preserve">          Cash</t>
  </si>
  <si>
    <t xml:space="preserve">          Other</t>
  </si>
  <si>
    <t xml:space="preserve">     Total Owners Investment</t>
  </si>
  <si>
    <t xml:space="preserve">     Requested Bank Loans</t>
  </si>
  <si>
    <t xml:space="preserve">     Other Source</t>
  </si>
  <si>
    <t>TOTAL FUNDS</t>
  </si>
  <si>
    <t>USES OF FUNDS</t>
  </si>
  <si>
    <t>* Complete Worksheet</t>
  </si>
  <si>
    <t xml:space="preserve">     Capital Equipment *</t>
  </si>
  <si>
    <t xml:space="preserve"> </t>
  </si>
  <si>
    <t xml:space="preserve">     Beginning Inventory *</t>
  </si>
  <si>
    <t xml:space="preserve">     Start-up Costs *</t>
  </si>
  <si>
    <t xml:space="preserve">     Working Capital *</t>
  </si>
  <si>
    <t xml:space="preserve">     Land</t>
  </si>
  <si>
    <t xml:space="preserve">     Building(s)</t>
  </si>
  <si>
    <t>TOTAL USES OF FUNDS</t>
  </si>
  <si>
    <t>SECURITY</t>
  </si>
  <si>
    <t xml:space="preserve">     Collateral</t>
  </si>
  <si>
    <t>TOTAL SECURITY OFFERED</t>
  </si>
  <si>
    <t>SIGNER(S)</t>
  </si>
  <si>
    <t>GUARANTOR(S)</t>
  </si>
  <si>
    <t>CAPITAL EQUIPMENT</t>
  </si>
  <si>
    <t>EQUIPMENT</t>
  </si>
  <si>
    <t>NAME</t>
  </si>
  <si>
    <t>MODEL #</t>
  </si>
  <si>
    <t>COST *</t>
  </si>
  <si>
    <t>TOTAL EQUIPMENT COST</t>
  </si>
  <si>
    <t>* Include sales tax and shipping in cost</t>
  </si>
  <si>
    <t>BEGINNING INVENTORY</t>
  </si>
  <si>
    <t>PRODUCTS or RAW MATERIALS</t>
  </si>
  <si>
    <t>ITEM</t>
  </si>
  <si>
    <t>QTY</t>
  </si>
  <si>
    <t>TOTAL</t>
  </si>
  <si>
    <t>Electric Washers</t>
  </si>
  <si>
    <t>TOTAL COST</t>
  </si>
  <si>
    <t>* include sales tax and shipping in cost</t>
  </si>
  <si>
    <t>START-UP COSTS</t>
  </si>
  <si>
    <t>COST</t>
  </si>
  <si>
    <t>Remodeling and Decorating</t>
  </si>
  <si>
    <t>Interior and Exterior Signs</t>
  </si>
  <si>
    <t>Installation of Fixtures and Equipment</t>
  </si>
  <si>
    <t>Telephone Installation</t>
  </si>
  <si>
    <t>Rent Deposits</t>
  </si>
  <si>
    <t>Utility Deposits</t>
  </si>
  <si>
    <t>Licenses</t>
  </si>
  <si>
    <t>Permits</t>
  </si>
  <si>
    <t>Professional Fees</t>
  </si>
  <si>
    <t>Advertising and Promotions</t>
  </si>
  <si>
    <t>Office Supplies (initial)</t>
  </si>
  <si>
    <t>Other Supplies (initial)</t>
  </si>
  <si>
    <t>Training</t>
  </si>
  <si>
    <t>Other</t>
  </si>
  <si>
    <t>TOTAL START-UP COSTS</t>
  </si>
  <si>
    <t>WORKING CAPITAL</t>
  </si>
  <si>
    <t>first, numbers automatically posted to sheet</t>
  </si>
  <si>
    <t xml:space="preserve">     Lease</t>
  </si>
  <si>
    <t xml:space="preserve">     Building Maintenance</t>
  </si>
  <si>
    <t xml:space="preserve">     Advertising</t>
  </si>
  <si>
    <t xml:space="preserve">     Office Equipment</t>
  </si>
  <si>
    <t xml:space="preserve">     Other Leases</t>
  </si>
  <si>
    <t xml:space="preserve">     Office Supplies</t>
  </si>
  <si>
    <t xml:space="preserve">     Professional Fees</t>
  </si>
  <si>
    <t xml:space="preserve">     Electric</t>
  </si>
  <si>
    <t xml:space="preserve">     Water</t>
  </si>
  <si>
    <t xml:space="preserve">     Gas</t>
  </si>
  <si>
    <t xml:space="preserve">     Web/Internet</t>
  </si>
  <si>
    <t xml:space="preserve">     Telephone</t>
  </si>
  <si>
    <t xml:space="preserve">     Security</t>
  </si>
  <si>
    <t xml:space="preserve">     Licenses</t>
  </si>
  <si>
    <t xml:space="preserve">     Business Taxes</t>
  </si>
  <si>
    <t xml:space="preserve">     Business Insurance</t>
  </si>
  <si>
    <t xml:space="preserve">     Vehicle Insurance</t>
  </si>
  <si>
    <t xml:space="preserve">     Workers Comp Insurance</t>
  </si>
  <si>
    <t xml:space="preserve">     Vehicle Fuel &amp; Maintenance</t>
  </si>
  <si>
    <t xml:space="preserve">     Equipment Maintenance and Repair</t>
  </si>
  <si>
    <t xml:space="preserve">     Credit Card Fees</t>
  </si>
  <si>
    <t xml:space="preserve">     Interest </t>
  </si>
  <si>
    <t xml:space="preserve">     Bank Fees</t>
  </si>
  <si>
    <t xml:space="preserve">     Training</t>
  </si>
  <si>
    <t xml:space="preserve">     Travel</t>
  </si>
  <si>
    <t xml:space="preserve">     Supplies</t>
  </si>
  <si>
    <t>TOTAL WORKING CAPITAL</t>
  </si>
  <si>
    <t>PAYROLL WORK SHEET</t>
  </si>
  <si>
    <t xml:space="preserve">Enter all job positions with pay rate or salary, number of hours per week, </t>
  </si>
  <si>
    <t>overtime hours per week (hours over 40 in one week) and weeks per year.</t>
  </si>
  <si>
    <t>Social Security Tax (FICA)</t>
  </si>
  <si>
    <t>Medicare Tax (FICA-MED)</t>
  </si>
  <si>
    <t>Federal and State Unemployment Tax (F/SUTA)</t>
  </si>
  <si>
    <t>on first $7,000 of wages</t>
  </si>
  <si>
    <t>Workers Compensation Insurance (WC)</t>
  </si>
  <si>
    <t>Varies by industry, enter industry rate if different</t>
  </si>
  <si>
    <t>EMPLOYER CONTRIBUTIONS</t>
  </si>
  <si>
    <t>JOB POSITION</t>
  </si>
  <si>
    <t>PAY RATE</t>
  </si>
  <si>
    <t>SALARY</t>
  </si>
  <si>
    <t>HOURS/WK</t>
  </si>
  <si>
    <t>OT HRS/WK</t>
  </si>
  <si>
    <t>WEEKS/YR</t>
  </si>
  <si>
    <t>FICA</t>
  </si>
  <si>
    <t>FICA MED</t>
  </si>
  <si>
    <t>F/SUTA</t>
  </si>
  <si>
    <t>WC</t>
  </si>
  <si>
    <t>TOTALS</t>
  </si>
  <si>
    <t>TOTAL ESTIMATED PAYROLL EXPENSE</t>
  </si>
  <si>
    <t xml:space="preserve">Includes Business' share of tax </t>
  </si>
  <si>
    <t>Do not overwrite this number !!!!</t>
  </si>
  <si>
    <t>WORKERS COMPENSATION EXPENSE</t>
  </si>
  <si>
    <t>Enter Expected Cash Sales 1st Year</t>
  </si>
  <si>
    <t>Enter Expected Credit Sales 1st Year</t>
  </si>
  <si>
    <t>Enter % of Expected Growth 2nd Year</t>
  </si>
  <si>
    <t>Enter % of Expected Growth 3rd Year</t>
  </si>
  <si>
    <t>INCOME AND EXPENSE STATEMENT</t>
  </si>
  <si>
    <t>SALES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</si>
  <si>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</si>
  <si>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</si>
  <si>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</si>
  <si>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</si>
  <si>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</si>
  <si>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</si>
  <si>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</si>
  <si>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</si>
  <si>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</si>
  <si>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</si>
  <si>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</si>
  <si>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</si>
  <si>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</t>
  </si>
  <si>
    <t>Year 2</t>
  </si>
  <si>
    <t>Year 3</t>
  </si>
  <si>
    <t xml:space="preserve">     Cash Sales</t>
  </si>
  <si>
    <t xml:space="preserve">     Credit Sales</t>
  </si>
  <si>
    <t>COST OF GOODS SOLD</t>
  </si>
  <si>
    <t xml:space="preserve">  </t>
  </si>
  <si>
    <t>TOTAL COST OF GOODS SOLD</t>
  </si>
  <si>
    <t xml:space="preserve">GROSS PROFIT </t>
  </si>
  <si>
    <t>EXPENSES</t>
  </si>
  <si>
    <t xml:space="preserve">     Payroll (includes bus share of taxes)</t>
  </si>
  <si>
    <t xml:space="preserve">     Depreciation</t>
  </si>
  <si>
    <t>TOTAL EXPENSES</t>
  </si>
  <si>
    <t>PROFIT (or loss) BEFORE TAXES</t>
  </si>
  <si>
    <t>CASH FLOW STATEMENT</t>
  </si>
  <si>
    <t>BEGINNING CASH</t>
  </si>
  <si>
    <t>ADD:</t>
  </si>
  <si>
    <t xml:space="preserve">     Loan or other Cash Injection</t>
  </si>
  <si>
    <t>TOTAL CASH AVAILABLE</t>
  </si>
  <si>
    <t>TOTAL OPERATING EXPENSES</t>
  </si>
  <si>
    <t>OTHER EXPENDITURES</t>
  </si>
  <si>
    <t xml:space="preserve">     Inventory Purchases/CoGS</t>
  </si>
  <si>
    <t xml:space="preserve">     Loan Principal Payments</t>
  </si>
  <si>
    <t xml:space="preserve">     Owners Draw's</t>
  </si>
  <si>
    <t>TOTAL CASH PAID OUT</t>
  </si>
  <si>
    <t>NET CASH AVAILABLE</t>
  </si>
  <si>
    <t>BUSINESS BALANCE SHEET</t>
  </si>
  <si>
    <t>ASSETS</t>
  </si>
  <si>
    <t>YEAR 1</t>
  </si>
  <si>
    <t>YEAR 2</t>
  </si>
  <si>
    <t xml:space="preserve">     Current Assets</t>
  </si>
  <si>
    <t xml:space="preserve">        Cash</t>
  </si>
  <si>
    <t xml:space="preserve">        Accounts Receivable</t>
  </si>
  <si>
    <t xml:space="preserve">        Inventory</t>
  </si>
  <si>
    <t xml:space="preserve">        Prepaid Expenses</t>
  </si>
  <si>
    <t xml:space="preserve">     Total Current Assets</t>
  </si>
  <si>
    <t xml:space="preserve">     Fixed Assets</t>
  </si>
  <si>
    <t xml:space="preserve">        Land</t>
  </si>
  <si>
    <t xml:space="preserve">        Buildings</t>
  </si>
  <si>
    <t xml:space="preserve">        Equipment</t>
  </si>
  <si>
    <t xml:space="preserve">          Less accumulated depreciation</t>
  </si>
  <si>
    <t xml:space="preserve">     Net Fixed Assets</t>
  </si>
  <si>
    <t>TOTAL ASSETS</t>
  </si>
  <si>
    <t>LIABILITIES</t>
  </si>
  <si>
    <t xml:space="preserve">     Current Liabilities</t>
  </si>
  <si>
    <t xml:space="preserve">        Taxes payable</t>
  </si>
  <si>
    <t xml:space="preserve">        Short-term notes payable</t>
  </si>
  <si>
    <t xml:space="preserve">        Current portion of long term debt</t>
  </si>
  <si>
    <t xml:space="preserve">     Total Current liabilities</t>
  </si>
  <si>
    <t xml:space="preserve">     Long-term Debt</t>
  </si>
  <si>
    <t>TOTAL LIABILITIES</t>
  </si>
  <si>
    <t>OWNERS EQUITY</t>
  </si>
  <si>
    <t>TOTAL LIABILITIES AND EQUITY</t>
  </si>
  <si>
    <t>PERSONAL FINIANCIAL STATEMENT</t>
  </si>
  <si>
    <t>FOR</t>
  </si>
  <si>
    <t>Joe and Sue Business</t>
  </si>
  <si>
    <t>601 Summit Hill Drive, Knoxville, TN 37902</t>
  </si>
  <si>
    <t>865-555-1212</t>
  </si>
  <si>
    <t>111-11-1111</t>
  </si>
  <si>
    <t xml:space="preserve">     CASH</t>
  </si>
  <si>
    <t xml:space="preserve">          Cash on hand</t>
  </si>
  <si>
    <t xml:space="preserve">          Checking account(s)</t>
  </si>
  <si>
    <t xml:space="preserve">          Saving Account(s)</t>
  </si>
  <si>
    <t xml:space="preserve">     TOTAL CASH</t>
  </si>
  <si>
    <t xml:space="preserve">     INVESTMENTS</t>
  </si>
  <si>
    <t xml:space="preserve">          Stocks</t>
  </si>
  <si>
    <t xml:space="preserve">          Bonds</t>
  </si>
  <si>
    <t xml:space="preserve">          Mutual funds</t>
  </si>
  <si>
    <t xml:space="preserve">          CD's</t>
  </si>
  <si>
    <t xml:space="preserve">          Retirement funds</t>
  </si>
  <si>
    <t xml:space="preserve">     TOTAL INVESTMENTS</t>
  </si>
  <si>
    <t xml:space="preserve">     PROPERTY</t>
  </si>
  <si>
    <t xml:space="preserve">          Home(s)</t>
  </si>
  <si>
    <t xml:space="preserve">          House hold furnishings</t>
  </si>
  <si>
    <t xml:space="preserve">          Vehicle 1</t>
  </si>
  <si>
    <t xml:space="preserve">          Vehicle 2</t>
  </si>
  <si>
    <t xml:space="preserve">          Vehicle 3</t>
  </si>
  <si>
    <t xml:space="preserve">          Land</t>
  </si>
  <si>
    <t xml:space="preserve">          Camper</t>
  </si>
  <si>
    <t xml:space="preserve">          Boat</t>
  </si>
  <si>
    <t xml:space="preserve">     TOTAL PROPERTY</t>
  </si>
  <si>
    <t xml:space="preserve">          Home mortage(s)</t>
  </si>
  <si>
    <t xml:space="preserve">          Home equity loan(s)</t>
  </si>
  <si>
    <t xml:space="preserve">          Vechile 3</t>
  </si>
  <si>
    <t xml:space="preserve">           Land mortage</t>
  </si>
  <si>
    <t xml:space="preserve">           Camper</t>
  </si>
  <si>
    <t xml:space="preserve">           Boat</t>
  </si>
  <si>
    <t xml:space="preserve">           Credit Card(s)</t>
  </si>
  <si>
    <t xml:space="preserve">           Other</t>
  </si>
  <si>
    <t>PERSONAL NET WORTH</t>
  </si>
  <si>
    <t>KEY FINANCIAL RATIOS</t>
  </si>
  <si>
    <t>GROSS PROFIT MARGIN</t>
  </si>
  <si>
    <t>Percent</t>
  </si>
  <si>
    <t>CURRENT RATIO</t>
  </si>
  <si>
    <t>DEBT TO EQUITY RATIO</t>
  </si>
  <si>
    <t>INVENTORY TURNOVER</t>
  </si>
  <si>
    <t>Amortization Table</t>
  </si>
  <si>
    <t>A simple amortization table covering 24 payment periods of a loan.</t>
  </si>
  <si>
    <t>1) To use the table, simply change any of the values in the "inital data" area of the worksheet.</t>
  </si>
  <si>
    <t>2) To print the table, just choose "Print" from the "File" menu. The print area is already defined.</t>
  </si>
  <si>
    <t>Initial Data</t>
  </si>
  <si>
    <t>LOAN DATA</t>
  </si>
  <si>
    <t>TABLE DATA</t>
  </si>
  <si>
    <t>Loan amount:</t>
  </si>
  <si>
    <t>Table starts at date:</t>
  </si>
  <si>
    <t>Annual interest rate:</t>
  </si>
  <si>
    <t>or at payment number:</t>
  </si>
  <si>
    <t>Term in years:</t>
  </si>
  <si>
    <t>Payments per year:</t>
  </si>
  <si>
    <t>First payment due:</t>
  </si>
  <si>
    <t>PERIODIC PAYMENT</t>
  </si>
  <si>
    <t>Entered payment:</t>
  </si>
  <si>
    <t xml:space="preserve">  The table uses the calculated periodic payment amount</t>
  </si>
  <si>
    <t>Calculated payment:</t>
  </si>
  <si>
    <t xml:space="preserve">  unless you enter a value for "Entered payment".</t>
  </si>
  <si>
    <t>CALCULATIONS</t>
  </si>
  <si>
    <t>Use payment of:</t>
  </si>
  <si>
    <t>1st payment in table:</t>
  </si>
  <si>
    <t>Table</t>
  </si>
  <si>
    <t>Payment</t>
  </si>
  <si>
    <t>Beginning</t>
  </si>
  <si>
    <t>Ending</t>
  </si>
  <si>
    <t>Cumulative</t>
  </si>
  <si>
    <t>No.</t>
  </si>
  <si>
    <t>Date</t>
  </si>
  <si>
    <t>Balance</t>
  </si>
  <si>
    <t>Interest</t>
  </si>
  <si>
    <t>Principal</t>
  </si>
  <si>
    <t>No. Turns</t>
  </si>
  <si>
    <t>DEBT TO WORTH</t>
  </si>
  <si>
    <t>ASSET UTILIZATION</t>
  </si>
  <si>
    <t>RETURN ON ASSETS</t>
  </si>
  <si>
    <t>Turnover</t>
  </si>
  <si>
    <t>PAYABLES TURNOVER</t>
  </si>
  <si>
    <t>RECEIVABLES TURNOVER</t>
  </si>
  <si>
    <t>TOTAL NET SALES</t>
  </si>
  <si>
    <t>QUICK RATIO (acid test)</t>
  </si>
  <si>
    <t xml:space="preserve">          (less Returns and Discounts)</t>
  </si>
  <si>
    <t>DAYS IN RECEIVABLES</t>
  </si>
  <si>
    <t>Total</t>
  </si>
  <si>
    <t xml:space="preserve">        Accounts Payable (accured expenses)</t>
  </si>
  <si>
    <t>(Auto Feed)</t>
  </si>
  <si>
    <t>(Manual Entry)</t>
  </si>
  <si>
    <t>Quick Look (Enter your own numbers starting at D34)</t>
  </si>
  <si>
    <t>2.     Gross Profit Margin (Higher the better)</t>
  </si>
  <si>
    <t>3.     Current Ratio (Higher the better)</t>
  </si>
  <si>
    <t>4.     Quick Ratio (Higher the better)</t>
  </si>
  <si>
    <t>5.     Debt to Equity Ratio (Higher the better)</t>
  </si>
  <si>
    <t>6.     Debt to Worth (Lower the better)</t>
  </si>
  <si>
    <t>7.     Inventory Turnover (Higher the better)</t>
  </si>
  <si>
    <r>
      <t>NOTE:</t>
    </r>
    <r>
      <rPr>
        <sz val="10"/>
        <rFont val="Arial"/>
      </rPr>
      <t xml:space="preserve">  Complete the </t>
    </r>
    <r>
      <rPr>
        <b/>
        <sz val="10"/>
        <rFont val="Arial"/>
        <family val="2"/>
      </rPr>
      <t>Income Statement</t>
    </r>
    <r>
      <rPr>
        <sz val="10"/>
        <rFont val="Arial"/>
      </rPr>
      <t xml:space="preserve"> worksheet</t>
    </r>
  </si>
  <si>
    <t>(PROJECTED INCOME AND EXPENSE STATEMENT)</t>
  </si>
  <si>
    <t xml:space="preserve">     Collection on Receivables *note</t>
  </si>
  <si>
    <t>* Receivables are 0 first month, 2nd month 50% of first month, 3rd month 50% of 2nd month + 50% 1st month, this repeats thru rest of year.</t>
  </si>
  <si>
    <t>Projections</t>
  </si>
  <si>
    <t>Actuals</t>
  </si>
  <si>
    <t>RMA</t>
  </si>
  <si>
    <t>YEAR 3</t>
  </si>
  <si>
    <t xml:space="preserve">     Purchases for resale</t>
  </si>
  <si>
    <t xml:space="preserve">     ** Capital Expenditures </t>
  </si>
  <si>
    <t xml:space="preserve">         * * Equipment</t>
  </si>
  <si>
    <t xml:space="preserve">         * * Inventory</t>
  </si>
  <si>
    <t>* * banks will only use partial value of equipment and no inventory</t>
  </si>
  <si>
    <t>Start Up</t>
  </si>
  <si>
    <t xml:space="preserve">     Start Up Costs</t>
  </si>
  <si>
    <t>(Enter beginning cash)</t>
  </si>
  <si>
    <t>1.     Operating Profit Margin before tax (Higher the better)</t>
  </si>
  <si>
    <t>%  Net Sales</t>
  </si>
  <si>
    <t>End of Year 1</t>
  </si>
  <si>
    <t>ENTER MONTHS</t>
  </si>
  <si>
    <t>Days (365)</t>
  </si>
  <si>
    <t>DAYS IN INVENTORY</t>
  </si>
  <si>
    <t>DAYS IN PAYABLES</t>
  </si>
  <si>
    <t>9.     Asset Utilization (Higher the better)</t>
  </si>
  <si>
    <t>10.    Return on Assets (Higher the better)</t>
  </si>
  <si>
    <t>11.    Receivables Turnover (Higher the better)</t>
  </si>
  <si>
    <t>13.    Payables Turnover (Higher the better)</t>
  </si>
  <si>
    <t xml:space="preserve">     Gross Profit </t>
  </si>
  <si>
    <t xml:space="preserve">     Net Sales </t>
  </si>
  <si>
    <t xml:space="preserve">NET PROFIT MARGIN  </t>
  </si>
  <si>
    <t xml:space="preserve">     Net Income </t>
  </si>
  <si>
    <t xml:space="preserve">     Total Sales  </t>
  </si>
  <si>
    <t xml:space="preserve">Current Assets  </t>
  </si>
  <si>
    <t xml:space="preserve">Current Liabilities  </t>
  </si>
  <si>
    <t xml:space="preserve">Cash, Cash equivalents, and Receivables </t>
  </si>
  <si>
    <t xml:space="preserve">Total Equity  </t>
  </si>
  <si>
    <t xml:space="preserve">Total Debt  </t>
  </si>
  <si>
    <t xml:space="preserve">Cost of Sales  </t>
  </si>
  <si>
    <t xml:space="preserve">Average Inventory  </t>
  </si>
  <si>
    <t xml:space="preserve">Total Sales  </t>
  </si>
  <si>
    <t xml:space="preserve">Total Assets  </t>
  </si>
  <si>
    <t xml:space="preserve">Net Income  </t>
  </si>
  <si>
    <t xml:space="preserve">Net Sales </t>
  </si>
  <si>
    <t xml:space="preserve">Receivables </t>
  </si>
  <si>
    <t xml:space="preserve">Trade Payables  </t>
  </si>
  <si>
    <r>
      <t xml:space="preserve">Enter Expected </t>
    </r>
    <r>
      <rPr>
        <b/>
        <sz val="10"/>
        <rFont val="Arial"/>
        <family val="2"/>
      </rPr>
      <t>Cost of Goods Sold %</t>
    </r>
  </si>
  <si>
    <t>8.     Days in Inventory (smaller the better)</t>
  </si>
  <si>
    <t>12.    Days in Receivables (lower the better)</t>
  </si>
  <si>
    <t>14.    Day's in Payables (lower the better)</t>
  </si>
  <si>
    <t>Cost of Sales/PayablesTurnover Ratio</t>
  </si>
  <si>
    <t>Sales/Receivable Turns Ratio</t>
  </si>
  <si>
    <t>Cost of Sales/Inventory Turns Ratio</t>
  </si>
  <si>
    <t>Joe Delivery</t>
  </si>
  <si>
    <t>** Includes Capital Equipment, Land and Buildings</t>
  </si>
  <si>
    <t xml:space="preserve">     Commissions</t>
  </si>
  <si>
    <t xml:space="preserve">Total Liabilities </t>
  </si>
  <si>
    <t xml:space="preserve">Net Worth </t>
  </si>
  <si>
    <t>Start-up</t>
  </si>
  <si>
    <t>Pickup truck</t>
  </si>
  <si>
    <t xml:space="preserve">          3rd Item </t>
  </si>
  <si>
    <t xml:space="preserve">          4th Item  </t>
  </si>
  <si>
    <t xml:space="preserve">     Miscellaneous</t>
  </si>
  <si>
    <t xml:space="preserve">     Other</t>
  </si>
  <si>
    <t>Enter your Monthly Sales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</si>
</sst>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2" formatCode="mmmm\ d\,\ yyyy"/>
    <numFmt numFmtId="173" formatCode="&quot;$&quot;#,##0"/>
    <numFmt numFmtId="174" formatCode="0.0%"/>
    <numFmt numFmtId="175" formatCode="&quot;$&quot;#,##0.00"/>
    <numFmt numFmtId="189" formatCode=";;;"/>
  </numFmts>
  <fonts count="16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8"/>
      <name val="Geneva"/>
    </font>
    <font>
      <b/>
      <sz val="10"/>
      <name val="Geneva"/>
    </font>
    <font>
      <i/>
      <sz val="10"/>
      <name val="Geneva"/>
    </font>
    <font>
      <sz val="10"/>
      <name val="Geneva"/>
    </font>
    <font>
      <b/>
      <sz val="14"/>
      <name val="Geneva"/>
    </font>
    <font>
      <sz val="14"/>
      <name val="Arial"/>
    </font>
    <font>
      <u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173" fontId="0" fillId="0" borderId="1" xfId="0" applyNumberFormat="1" applyBorder="1"/>
    <xf numFmtId="173" fontId="0" fillId="0" borderId="0" xfId="0" applyNumberFormat="1"/>
    <xf numFmtId="173" fontId="0" fillId="0" borderId="2" xfId="0" applyNumberFormat="1" applyBorder="1"/>
    <xf numFmtId="173" fontId="0" fillId="0" borderId="3" xfId="0" applyNumberFormat="1" applyBorder="1"/>
    <xf numFmtId="173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3" fontId="0" fillId="0" borderId="0" xfId="0" applyNumberFormat="1" applyAlignment="1">
      <alignment horizontal="centerContinuous"/>
    </xf>
    <xf numFmtId="3" fontId="0" fillId="0" borderId="0" xfId="0" applyNumberFormat="1"/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0" fontId="0" fillId="0" borderId="0" xfId="0" applyNumberFormat="1"/>
    <xf numFmtId="10" fontId="3" fillId="0" borderId="0" xfId="0" applyNumberFormat="1" applyFont="1"/>
    <xf numFmtId="173" fontId="3" fillId="0" borderId="0" xfId="0" applyNumberFormat="1" applyFont="1"/>
    <xf numFmtId="9" fontId="3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/>
    <xf numFmtId="174" fontId="0" fillId="0" borderId="0" xfId="0" applyNumberFormat="1"/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72" fontId="0" fillId="0" borderId="0" xfId="0" applyNumberFormat="1" applyAlignment="1">
      <alignment horizontal="centerContinuous"/>
    </xf>
    <xf numFmtId="173" fontId="0" fillId="0" borderId="0" xfId="0" applyNumberFormat="1" applyAlignment="1">
      <alignment horizontal="center"/>
    </xf>
    <xf numFmtId="0" fontId="8" fillId="0" borderId="4" xfId="0" applyFont="1" applyBorder="1"/>
    <xf numFmtId="0" fontId="0" fillId="0" borderId="4" xfId="0" applyBorder="1"/>
    <xf numFmtId="0" fontId="9" fillId="0" borderId="4" xfId="0" applyFont="1" applyBorder="1"/>
    <xf numFmtId="0" fontId="0" fillId="0" borderId="4" xfId="0" applyBorder="1" applyAlignment="1">
      <alignment horizontal="right"/>
    </xf>
    <xf numFmtId="166" fontId="9" fillId="0" borderId="4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14" fontId="0" fillId="0" borderId="5" xfId="0" applyNumberFormat="1" applyBorder="1" applyAlignment="1">
      <alignment horizontal="left"/>
    </xf>
    <xf numFmtId="10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6" fontId="9" fillId="0" borderId="0" xfId="0" applyNumberFormat="1" applyFont="1"/>
    <xf numFmtId="0" fontId="10" fillId="0" borderId="0" xfId="0" applyFont="1"/>
    <xf numFmtId="4" fontId="11" fillId="0" borderId="0" xfId="0" applyNumberFormat="1" applyFont="1"/>
    <xf numFmtId="0" fontId="0" fillId="0" borderId="0" xfId="0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73" fontId="0" fillId="0" borderId="0" xfId="0" applyNumberFormat="1" applyBorder="1" applyAlignment="1"/>
    <xf numFmtId="164" fontId="0" fillId="0" borderId="0" xfId="0" applyNumberFormat="1"/>
    <xf numFmtId="0" fontId="0" fillId="0" borderId="0" xfId="0" applyNumberFormat="1"/>
    <xf numFmtId="10" fontId="3" fillId="0" borderId="0" xfId="0" applyNumberFormat="1" applyFont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Continuous"/>
    </xf>
    <xf numFmtId="0" fontId="13" fillId="0" borderId="4" xfId="0" applyFont="1" applyBorder="1" applyAlignment="1">
      <alignment horizontal="centerContinuous"/>
    </xf>
    <xf numFmtId="0" fontId="0" fillId="0" borderId="1" xfId="0" applyBorder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175" fontId="0" fillId="0" borderId="1" xfId="0" applyNumberFormat="1" applyBorder="1"/>
    <xf numFmtId="173" fontId="3" fillId="0" borderId="7" xfId="0" applyNumberFormat="1" applyFont="1" applyBorder="1"/>
    <xf numFmtId="0" fontId="6" fillId="0" borderId="0" xfId="0" applyFont="1" applyAlignment="1">
      <alignment horizontal="left"/>
    </xf>
    <xf numFmtId="170" fontId="9" fillId="0" borderId="0" xfId="1" applyFont="1"/>
    <xf numFmtId="170" fontId="9" fillId="0" borderId="5" xfId="1" applyFont="1" applyBorder="1"/>
    <xf numFmtId="170" fontId="11" fillId="0" borderId="0" xfId="1" applyFont="1"/>
    <xf numFmtId="0" fontId="6" fillId="0" borderId="0" xfId="0" applyFont="1" applyFill="1" applyBorder="1"/>
    <xf numFmtId="173" fontId="9" fillId="0" borderId="5" xfId="1" applyNumberFormat="1" applyFont="1" applyBorder="1"/>
    <xf numFmtId="173" fontId="0" fillId="0" borderId="0" xfId="0" applyNumberFormat="1" applyBorder="1"/>
    <xf numFmtId="173" fontId="1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173" fontId="6" fillId="0" borderId="0" xfId="1" applyNumberFormat="1" applyFont="1" applyAlignment="1">
      <alignment horizontal="center"/>
    </xf>
    <xf numFmtId="173" fontId="0" fillId="0" borderId="1" xfId="0" applyNumberFormat="1" applyBorder="1" applyAlignment="1">
      <alignment horizontal="center"/>
    </xf>
    <xf numFmtId="189" fontId="15" fillId="0" borderId="0" xfId="0" applyNumberFormat="1" applyFont="1"/>
    <xf numFmtId="173" fontId="15" fillId="0" borderId="0" xfId="0" applyNumberFormat="1" applyFont="1"/>
    <xf numFmtId="0" fontId="0" fillId="0" borderId="7" xfId="0" applyBorder="1" applyAlignment="1">
      <alignment horizontal="center"/>
    </xf>
    <xf numFmtId="1" fontId="3" fillId="0" borderId="0" xfId="0" applyNumberFormat="1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9" fontId="3" fillId="0" borderId="0" xfId="0" applyNumberFormat="1" applyFont="1" applyAlignment="1">
      <alignment horizontal="centerContinuous"/>
    </xf>
    <xf numFmtId="9" fontId="0" fillId="0" borderId="0" xfId="0" applyNumberFormat="1"/>
    <xf numFmtId="9" fontId="3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cutupproform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tupproform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7"/>
  <sheetViews>
    <sheetView tabSelected="1" topLeftCell="A16" workbookViewId="0">
      <selection activeCell="B13" sqref="B13"/>
    </sheetView>
  </sheetViews>
  <sheetFormatPr defaultRowHeight="12.5"/>
  <cols>
    <col min="1" max="1" width="30.54296875" customWidth="1"/>
    <col min="2" max="2" width="22.54296875" customWidth="1"/>
    <col min="3" max="3" width="10.7265625" bestFit="1" customWidth="1"/>
  </cols>
  <sheetData>
    <row r="1" spans="1:2" ht="15.5">
      <c r="A1" s="1" t="s">
        <v>0</v>
      </c>
    </row>
    <row r="2" spans="1:2">
      <c r="A2" t="s">
        <v>12</v>
      </c>
    </row>
    <row r="3" spans="1:2" ht="13">
      <c r="A3" s="2" t="s">
        <v>1</v>
      </c>
    </row>
    <row r="5" spans="1:2">
      <c r="A5" t="s">
        <v>2</v>
      </c>
    </row>
    <row r="7" spans="1:2">
      <c r="A7" t="s">
        <v>3</v>
      </c>
      <c r="B7" s="3">
        <v>0</v>
      </c>
    </row>
    <row r="8" spans="1:2">
      <c r="A8" t="s">
        <v>4</v>
      </c>
      <c r="B8" s="3"/>
    </row>
    <row r="9" spans="1:2">
      <c r="A9" t="s">
        <v>4</v>
      </c>
      <c r="B9" s="3"/>
    </row>
    <row r="10" spans="1:2">
      <c r="B10" s="4"/>
    </row>
    <row r="11" spans="1:2">
      <c r="A11" t="s">
        <v>5</v>
      </c>
      <c r="B11" s="3">
        <f>SUM(B7:B9)</f>
        <v>0</v>
      </c>
    </row>
    <row r="12" spans="1:2">
      <c r="B12" s="4"/>
    </row>
    <row r="13" spans="1:2">
      <c r="A13" t="s">
        <v>6</v>
      </c>
      <c r="B13" s="3">
        <v>0</v>
      </c>
    </row>
    <row r="14" spans="1:2">
      <c r="B14" s="4"/>
    </row>
    <row r="15" spans="1:2">
      <c r="A15" t="s">
        <v>7</v>
      </c>
      <c r="B15" s="5">
        <v>0</v>
      </c>
    </row>
    <row r="16" spans="1:2">
      <c r="A16" t="s">
        <v>7</v>
      </c>
      <c r="B16" s="6">
        <v>0</v>
      </c>
    </row>
    <row r="17" spans="1:2">
      <c r="B17" s="4"/>
    </row>
    <row r="18" spans="1:2" ht="13">
      <c r="A18" s="2" t="s">
        <v>8</v>
      </c>
      <c r="B18" s="3">
        <f>SUM(B11,B13,B15,B16)</f>
        <v>0</v>
      </c>
    </row>
    <row r="19" spans="1:2">
      <c r="B19" s="4"/>
    </row>
    <row r="20" spans="1:2" ht="13">
      <c r="A20" s="2" t="s">
        <v>9</v>
      </c>
      <c r="B20" s="4"/>
    </row>
    <row r="21" spans="1:2" ht="13">
      <c r="A21" s="2"/>
      <c r="B21" s="4"/>
    </row>
    <row r="22" spans="1:2" ht="13">
      <c r="A22" s="2" t="s">
        <v>10</v>
      </c>
      <c r="B22" s="4"/>
    </row>
    <row r="23" spans="1:2">
      <c r="B23" s="4"/>
    </row>
    <row r="24" spans="1:2" ht="13">
      <c r="A24" s="2" t="s">
        <v>11</v>
      </c>
      <c r="B24" s="7">
        <f>SUM(CapEquip!C24)</f>
        <v>0</v>
      </c>
    </row>
    <row r="25" spans="1:2">
      <c r="A25" t="s">
        <v>12</v>
      </c>
      <c r="B25" s="4" t="s">
        <v>12</v>
      </c>
    </row>
    <row r="26" spans="1:2" ht="13">
      <c r="A26" s="2" t="s">
        <v>13</v>
      </c>
      <c r="B26" s="7">
        <f>SUM(BeginInv!D28)</f>
        <v>0</v>
      </c>
    </row>
    <row r="27" spans="1:2">
      <c r="A27" t="s">
        <v>12</v>
      </c>
      <c r="B27" s="4"/>
    </row>
    <row r="28" spans="1:2" ht="13">
      <c r="A28" s="2" t="s">
        <v>14</v>
      </c>
      <c r="B28" s="7">
        <f>SUM(Startupcosts!B37)</f>
        <v>0</v>
      </c>
    </row>
    <row r="29" spans="1:2">
      <c r="A29" t="s">
        <v>12</v>
      </c>
      <c r="B29" s="4"/>
    </row>
    <row r="30" spans="1:2" ht="13">
      <c r="A30" s="2" t="s">
        <v>15</v>
      </c>
      <c r="B30" s="7">
        <f>SUM(WorkCap!B38)</f>
        <v>0</v>
      </c>
    </row>
    <row r="31" spans="1:2">
      <c r="A31" t="s">
        <v>12</v>
      </c>
      <c r="B31" s="4"/>
    </row>
    <row r="32" spans="1:2">
      <c r="A32" t="s">
        <v>16</v>
      </c>
      <c r="B32" s="3">
        <v>0</v>
      </c>
    </row>
    <row r="33" spans="1:2">
      <c r="B33" s="4"/>
    </row>
    <row r="34" spans="1:2">
      <c r="A34" t="s">
        <v>17</v>
      </c>
      <c r="B34" s="3">
        <v>0</v>
      </c>
    </row>
    <row r="35" spans="1:2">
      <c r="B35" s="4"/>
    </row>
    <row r="36" spans="1:2" ht="13">
      <c r="A36" s="2" t="s">
        <v>18</v>
      </c>
      <c r="B36" s="3">
        <f>SUM(B24,B26,B28,B30,B32,B34)</f>
        <v>0</v>
      </c>
    </row>
    <row r="37" spans="1:2">
      <c r="A37" t="s">
        <v>12</v>
      </c>
      <c r="B37" s="4"/>
    </row>
    <row r="38" spans="1:2" ht="13">
      <c r="A38" s="2" t="s">
        <v>19</v>
      </c>
      <c r="B38" s="4"/>
    </row>
    <row r="39" spans="1:2">
      <c r="B39" s="4"/>
    </row>
    <row r="40" spans="1:2">
      <c r="A40" t="s">
        <v>20</v>
      </c>
      <c r="B40" s="4"/>
    </row>
    <row r="41" spans="1:2">
      <c r="B41" s="4"/>
    </row>
    <row r="42" spans="1:2">
      <c r="A42" t="s">
        <v>288</v>
      </c>
      <c r="B42" s="3">
        <v>0</v>
      </c>
    </row>
    <row r="43" spans="1:2">
      <c r="A43" t="s">
        <v>289</v>
      </c>
      <c r="B43" s="3">
        <v>0</v>
      </c>
    </row>
    <row r="44" spans="1:2">
      <c r="A44" t="s">
        <v>337</v>
      </c>
      <c r="B44" s="3">
        <v>0</v>
      </c>
    </row>
    <row r="45" spans="1:2">
      <c r="A45" t="s">
        <v>338</v>
      </c>
      <c r="B45" s="3">
        <v>0</v>
      </c>
    </row>
    <row r="46" spans="1:2">
      <c r="B46" s="4"/>
    </row>
    <row r="47" spans="1:2" ht="13">
      <c r="A47" s="2" t="s">
        <v>21</v>
      </c>
      <c r="B47" s="3">
        <f>SUM(B42:B45)</f>
        <v>0</v>
      </c>
    </row>
    <row r="48" spans="1:2">
      <c r="B48" s="4"/>
    </row>
    <row r="49" spans="1:2" ht="13">
      <c r="A49" s="2" t="s">
        <v>22</v>
      </c>
      <c r="B49" s="4"/>
    </row>
    <row r="50" spans="1:2">
      <c r="B50" s="4"/>
    </row>
    <row r="51" spans="1:2">
      <c r="B51" s="4"/>
    </row>
    <row r="52" spans="1:2">
      <c r="B52" s="4"/>
    </row>
    <row r="53" spans="1:2" ht="13">
      <c r="A53" s="2" t="s">
        <v>23</v>
      </c>
      <c r="B53" s="4"/>
    </row>
    <row r="54" spans="1:2">
      <c r="A54" t="s">
        <v>12</v>
      </c>
      <c r="B54" s="4"/>
    </row>
    <row r="55" spans="1:2">
      <c r="B55" s="4"/>
    </row>
    <row r="56" spans="1:2">
      <c r="A56" t="s">
        <v>290</v>
      </c>
      <c r="B56" s="4"/>
    </row>
    <row r="57" spans="1:2">
      <c r="B57" s="4"/>
    </row>
  </sheetData>
  <phoneticPr fontId="0" type="noConversion"/>
  <printOptions horizontalCentered="1"/>
  <pageMargins left="0.5" right="0.5" top="0.5" bottom="0.5" header="0" footer="0"/>
  <pageSetup scale="9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Views>
    <sheetView workbookViewId="0">
      <selection activeCell="A18" sqref="A18"/>
    </sheetView>
  </sheetViews>
  <sheetFormatPr defaultRowHeight="12.5"/>
  <cols>
    <col min="1" max="1" width="47.54296875" customWidth="1"/>
    <col min="2" max="2" width="19.453125" customWidth="1"/>
    <col min="3" max="3" width="13.7265625" customWidth="1"/>
  </cols>
  <sheetData>
    <row r="1" spans="1:3" ht="18">
      <c r="A1" s="13" t="s">
        <v>24</v>
      </c>
      <c r="B1" s="15"/>
      <c r="C1" s="15"/>
    </row>
    <row r="3" spans="1:3" ht="13">
      <c r="A3" s="2" t="s">
        <v>25</v>
      </c>
    </row>
    <row r="5" spans="1:3" ht="13">
      <c r="A5" s="2" t="s">
        <v>26</v>
      </c>
      <c r="B5" s="8" t="s">
        <v>27</v>
      </c>
      <c r="C5" s="8" t="s">
        <v>28</v>
      </c>
    </row>
    <row r="6" spans="1:3">
      <c r="C6" s="4"/>
    </row>
    <row r="7" spans="1:3">
      <c r="A7" t="s">
        <v>336</v>
      </c>
      <c r="B7" s="65" t="s">
        <v>12</v>
      </c>
      <c r="C7" s="3">
        <v>0</v>
      </c>
    </row>
    <row r="8" spans="1:3">
      <c r="A8" t="s">
        <v>12</v>
      </c>
      <c r="B8" s="65" t="s">
        <v>12</v>
      </c>
      <c r="C8" s="3">
        <v>0</v>
      </c>
    </row>
    <row r="9" spans="1:3">
      <c r="A9" t="s">
        <v>12</v>
      </c>
      <c r="B9" s="65"/>
      <c r="C9" s="3">
        <v>0</v>
      </c>
    </row>
    <row r="10" spans="1:3">
      <c r="A10" t="s">
        <v>12</v>
      </c>
      <c r="B10" s="65" t="s">
        <v>12</v>
      </c>
      <c r="C10" s="3">
        <v>0</v>
      </c>
    </row>
    <row r="11" spans="1:3">
      <c r="A11" t="s">
        <v>12</v>
      </c>
      <c r="B11" s="65" t="s">
        <v>12</v>
      </c>
      <c r="C11" s="3">
        <v>0</v>
      </c>
    </row>
    <row r="12" spans="1:3">
      <c r="A12" t="s">
        <v>12</v>
      </c>
      <c r="B12" s="65" t="s">
        <v>12</v>
      </c>
      <c r="C12" s="3">
        <v>0</v>
      </c>
    </row>
    <row r="13" spans="1:3">
      <c r="B13" s="65"/>
      <c r="C13" s="3"/>
    </row>
    <row r="14" spans="1:3">
      <c r="B14" s="65"/>
      <c r="C14" s="3"/>
    </row>
    <row r="15" spans="1:3">
      <c r="B15" s="65"/>
      <c r="C15" s="3"/>
    </row>
    <row r="16" spans="1:3">
      <c r="B16" s="65"/>
      <c r="C16" s="3"/>
    </row>
    <row r="17" spans="1:3">
      <c r="B17" s="65"/>
      <c r="C17" s="3"/>
    </row>
    <row r="18" spans="1:3">
      <c r="B18" s="65"/>
      <c r="C18" s="3"/>
    </row>
    <row r="19" spans="1:3">
      <c r="B19" s="65"/>
      <c r="C19" s="3"/>
    </row>
    <row r="20" spans="1:3">
      <c r="B20" s="65"/>
      <c r="C20" s="3"/>
    </row>
    <row r="21" spans="1:3">
      <c r="B21" s="65"/>
      <c r="C21" s="3"/>
    </row>
    <row r="22" spans="1:3">
      <c r="B22" s="65"/>
      <c r="C22" s="3"/>
    </row>
    <row r="23" spans="1:3">
      <c r="B23" s="65"/>
      <c r="C23" s="3"/>
    </row>
    <row r="24" spans="1:3" ht="13">
      <c r="A24" s="2" t="s">
        <v>29</v>
      </c>
      <c r="B24" s="65"/>
      <c r="C24" s="3">
        <f>SUM(C6:C23)</f>
        <v>0</v>
      </c>
    </row>
    <row r="25" spans="1:3">
      <c r="A25" t="s">
        <v>12</v>
      </c>
    </row>
    <row r="26" spans="1:3" ht="13">
      <c r="A26" s="2" t="s">
        <v>30</v>
      </c>
    </row>
  </sheetData>
  <phoneticPr fontId="0" type="noConversion"/>
  <printOptions horizontalCentered="1"/>
  <pageMargins left="0.5" right="0.5" top="0.5" bottom="0.5" header="0" footer="0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opLeftCell="A2" workbookViewId="0">
      <selection activeCell="A17" sqref="A17"/>
    </sheetView>
  </sheetViews>
  <sheetFormatPr defaultRowHeight="12.5"/>
  <cols>
    <col min="1" max="1" width="50.7265625" customWidth="1"/>
    <col min="2" max="2" width="8.453125" customWidth="1"/>
    <col min="3" max="4" width="12.7265625" style="11" customWidth="1"/>
  </cols>
  <sheetData>
    <row r="1" spans="1:4" ht="18">
      <c r="A1" s="13" t="s">
        <v>31</v>
      </c>
      <c r="B1" s="9"/>
      <c r="C1" s="10"/>
      <c r="D1" s="10"/>
    </row>
    <row r="3" spans="1:4" ht="13">
      <c r="A3" s="2" t="s">
        <v>32</v>
      </c>
      <c r="B3" s="2"/>
    </row>
    <row r="5" spans="1:4" ht="13">
      <c r="A5" s="2" t="s">
        <v>33</v>
      </c>
      <c r="B5" s="8" t="s">
        <v>34</v>
      </c>
      <c r="C5" s="12" t="s">
        <v>28</v>
      </c>
      <c r="D5" s="12" t="s">
        <v>35</v>
      </c>
    </row>
    <row r="7" spans="1:4">
      <c r="A7" t="s">
        <v>36</v>
      </c>
      <c r="B7" s="65">
        <v>0</v>
      </c>
      <c r="C7" s="3">
        <v>0</v>
      </c>
      <c r="D7" s="3">
        <f>B7*C7</f>
        <v>0</v>
      </c>
    </row>
    <row r="8" spans="1:4">
      <c r="A8" t="s">
        <v>12</v>
      </c>
      <c r="B8" s="65">
        <v>0</v>
      </c>
      <c r="C8" s="3">
        <v>0</v>
      </c>
      <c r="D8" s="3">
        <f t="shared" ref="D8:D27" si="0">B8*C8</f>
        <v>0</v>
      </c>
    </row>
    <row r="9" spans="1:4">
      <c r="A9" t="s">
        <v>12</v>
      </c>
      <c r="B9" s="65">
        <v>0</v>
      </c>
      <c r="C9" s="3">
        <v>0</v>
      </c>
      <c r="D9" s="3">
        <f t="shared" si="0"/>
        <v>0</v>
      </c>
    </row>
    <row r="10" spans="1:4">
      <c r="B10" s="65"/>
      <c r="C10" s="3"/>
      <c r="D10" s="3">
        <f t="shared" si="0"/>
        <v>0</v>
      </c>
    </row>
    <row r="11" spans="1:4">
      <c r="B11" s="65"/>
      <c r="C11" s="3"/>
      <c r="D11" s="3">
        <f t="shared" si="0"/>
        <v>0</v>
      </c>
    </row>
    <row r="12" spans="1:4">
      <c r="B12" s="65"/>
      <c r="C12" s="3"/>
      <c r="D12" s="3">
        <f t="shared" si="0"/>
        <v>0</v>
      </c>
    </row>
    <row r="13" spans="1:4">
      <c r="B13" s="65"/>
      <c r="C13" s="3"/>
      <c r="D13" s="3">
        <f t="shared" si="0"/>
        <v>0</v>
      </c>
    </row>
    <row r="14" spans="1:4">
      <c r="B14" s="65"/>
      <c r="C14" s="3"/>
      <c r="D14" s="3">
        <f t="shared" si="0"/>
        <v>0</v>
      </c>
    </row>
    <row r="15" spans="1:4">
      <c r="B15" s="65"/>
      <c r="C15" s="3"/>
      <c r="D15" s="3">
        <f t="shared" si="0"/>
        <v>0</v>
      </c>
    </row>
    <row r="16" spans="1:4">
      <c r="B16" s="65"/>
      <c r="C16" s="3"/>
      <c r="D16" s="3">
        <f t="shared" si="0"/>
        <v>0</v>
      </c>
    </row>
    <row r="17" spans="1:4">
      <c r="B17" s="65"/>
      <c r="C17" s="3"/>
      <c r="D17" s="3">
        <f t="shared" si="0"/>
        <v>0</v>
      </c>
    </row>
    <row r="18" spans="1:4">
      <c r="B18" s="65"/>
      <c r="C18" s="3"/>
      <c r="D18" s="3">
        <f t="shared" si="0"/>
        <v>0</v>
      </c>
    </row>
    <row r="19" spans="1:4">
      <c r="B19" s="65"/>
      <c r="C19" s="3"/>
      <c r="D19" s="3">
        <f t="shared" si="0"/>
        <v>0</v>
      </c>
    </row>
    <row r="20" spans="1:4">
      <c r="B20" s="65"/>
      <c r="C20" s="3"/>
      <c r="D20" s="3">
        <f t="shared" si="0"/>
        <v>0</v>
      </c>
    </row>
    <row r="21" spans="1:4">
      <c r="B21" s="65"/>
      <c r="C21" s="3"/>
      <c r="D21" s="3">
        <f t="shared" si="0"/>
        <v>0</v>
      </c>
    </row>
    <row r="22" spans="1:4">
      <c r="B22" s="65"/>
      <c r="C22" s="3"/>
      <c r="D22" s="3">
        <f t="shared" si="0"/>
        <v>0</v>
      </c>
    </row>
    <row r="23" spans="1:4">
      <c r="B23" s="65"/>
      <c r="C23" s="3"/>
      <c r="D23" s="3">
        <f t="shared" si="0"/>
        <v>0</v>
      </c>
    </row>
    <row r="24" spans="1:4">
      <c r="B24" s="65"/>
      <c r="C24" s="3"/>
      <c r="D24" s="3">
        <f t="shared" si="0"/>
        <v>0</v>
      </c>
    </row>
    <row r="25" spans="1:4">
      <c r="B25" s="65"/>
      <c r="C25" s="3"/>
      <c r="D25" s="3">
        <f t="shared" si="0"/>
        <v>0</v>
      </c>
    </row>
    <row r="26" spans="1:4">
      <c r="B26" s="65"/>
      <c r="C26" s="3"/>
      <c r="D26" s="3">
        <f t="shared" si="0"/>
        <v>0</v>
      </c>
    </row>
    <row r="27" spans="1:4">
      <c r="B27" s="65"/>
      <c r="C27" s="3"/>
      <c r="D27" s="3">
        <f t="shared" si="0"/>
        <v>0</v>
      </c>
    </row>
    <row r="28" spans="1:4" ht="13">
      <c r="A28" s="2" t="s">
        <v>37</v>
      </c>
      <c r="B28" s="66"/>
      <c r="C28" s="3" t="s">
        <v>12</v>
      </c>
      <c r="D28" s="3">
        <f>SUM(D6:D26)</f>
        <v>0</v>
      </c>
    </row>
    <row r="29" spans="1:4">
      <c r="A29" t="s">
        <v>12</v>
      </c>
    </row>
    <row r="30" spans="1:4" ht="13">
      <c r="A30" s="2" t="s">
        <v>38</v>
      </c>
      <c r="B30" s="2"/>
    </row>
  </sheetData>
  <phoneticPr fontId="0" type="noConversion"/>
  <printOptions horizontalCentered="1"/>
  <pageMargins left="0.5" right="0.25" top="0.5" bottom="0.5" header="0" footer="0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8"/>
  <sheetViews>
    <sheetView topLeftCell="A15" workbookViewId="0">
      <selection activeCell="B39" sqref="B39"/>
    </sheetView>
  </sheetViews>
  <sheetFormatPr defaultRowHeight="12.5"/>
  <cols>
    <col min="1" max="1" width="39.1796875" customWidth="1"/>
    <col min="2" max="2" width="15.1796875" customWidth="1"/>
  </cols>
  <sheetData>
    <row r="1" spans="1:2" ht="18">
      <c r="A1" s="13" t="s">
        <v>39</v>
      </c>
      <c r="B1" s="15"/>
    </row>
    <row r="3" spans="1:2" ht="13">
      <c r="A3" s="2" t="s">
        <v>33</v>
      </c>
      <c r="B3" s="8" t="s">
        <v>40</v>
      </c>
    </row>
    <row r="5" spans="1:2">
      <c r="A5" t="s">
        <v>41</v>
      </c>
      <c r="B5" s="3">
        <v>0</v>
      </c>
    </row>
    <row r="6" spans="1:2">
      <c r="B6" s="4"/>
    </row>
    <row r="7" spans="1:2">
      <c r="A7" t="s">
        <v>42</v>
      </c>
      <c r="B7" s="3">
        <v>0</v>
      </c>
    </row>
    <row r="8" spans="1:2">
      <c r="B8" s="4"/>
    </row>
    <row r="9" spans="1:2">
      <c r="A9" t="s">
        <v>43</v>
      </c>
      <c r="B9" s="3"/>
    </row>
    <row r="10" spans="1:2">
      <c r="B10" s="4"/>
    </row>
    <row r="11" spans="1:2">
      <c r="A11" t="s">
        <v>44</v>
      </c>
      <c r="B11" s="3">
        <v>0</v>
      </c>
    </row>
    <row r="12" spans="1:2">
      <c r="B12" s="4"/>
    </row>
    <row r="13" spans="1:2">
      <c r="A13" t="s">
        <v>45</v>
      </c>
      <c r="B13" s="3">
        <v>0</v>
      </c>
    </row>
    <row r="14" spans="1:2">
      <c r="B14" s="4"/>
    </row>
    <row r="15" spans="1:2">
      <c r="A15" t="s">
        <v>46</v>
      </c>
      <c r="B15" s="3">
        <v>0</v>
      </c>
    </row>
    <row r="16" spans="1:2">
      <c r="B16" s="4"/>
    </row>
    <row r="17" spans="1:2">
      <c r="A17" t="s">
        <v>47</v>
      </c>
      <c r="B17" s="3">
        <v>0</v>
      </c>
    </row>
    <row r="18" spans="1:2">
      <c r="B18" s="4"/>
    </row>
    <row r="19" spans="1:2">
      <c r="A19" t="s">
        <v>48</v>
      </c>
      <c r="B19" s="3">
        <v>0</v>
      </c>
    </row>
    <row r="20" spans="1:2">
      <c r="B20" s="4"/>
    </row>
    <row r="21" spans="1:2">
      <c r="A21" t="s">
        <v>49</v>
      </c>
      <c r="B21" s="3">
        <v>0</v>
      </c>
    </row>
    <row r="22" spans="1:2">
      <c r="B22" s="4"/>
    </row>
    <row r="23" spans="1:2">
      <c r="A23" t="s">
        <v>50</v>
      </c>
      <c r="B23" s="3">
        <v>0</v>
      </c>
    </row>
    <row r="24" spans="1:2">
      <c r="B24" s="4"/>
    </row>
    <row r="25" spans="1:2">
      <c r="A25" t="s">
        <v>51</v>
      </c>
      <c r="B25" s="3">
        <v>0</v>
      </c>
    </row>
    <row r="26" spans="1:2">
      <c r="B26" s="4"/>
    </row>
    <row r="27" spans="1:2">
      <c r="A27" t="s">
        <v>52</v>
      </c>
      <c r="B27" s="3">
        <v>0</v>
      </c>
    </row>
    <row r="28" spans="1:2">
      <c r="B28" s="4"/>
    </row>
    <row r="29" spans="1:2">
      <c r="A29" t="s">
        <v>53</v>
      </c>
      <c r="B29" s="3">
        <v>0</v>
      </c>
    </row>
    <row r="30" spans="1:2">
      <c r="B30" s="4"/>
    </row>
    <row r="31" spans="1:2">
      <c r="A31" t="s">
        <v>54</v>
      </c>
      <c r="B31" s="3"/>
    </row>
    <row r="32" spans="1:2">
      <c r="B32" s="4"/>
    </row>
    <row r="33" spans="1:2">
      <c r="A33" t="s">
        <v>54</v>
      </c>
      <c r="B33" s="3"/>
    </row>
    <row r="34" spans="1:2">
      <c r="B34" s="4"/>
    </row>
    <row r="35" spans="1:2">
      <c r="A35" t="s">
        <v>54</v>
      </c>
      <c r="B35" s="3"/>
    </row>
    <row r="36" spans="1:2">
      <c r="B36" s="4"/>
    </row>
    <row r="37" spans="1:2" ht="13">
      <c r="A37" s="2" t="s">
        <v>55</v>
      </c>
      <c r="B37" s="3">
        <f>SUM(B5:B35)</f>
        <v>0</v>
      </c>
    </row>
    <row r="38" spans="1:2">
      <c r="A38" t="s">
        <v>12</v>
      </c>
    </row>
  </sheetData>
  <phoneticPr fontId="0" type="noConversion"/>
  <printOptions horizontalCentered="1"/>
  <pageMargins left="0.5" right="0.5" top="0.5" bottom="0.5" header="0" footer="0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Views>
    <sheetView topLeftCell="A18" workbookViewId="0">
      <selection activeCell="A26" sqref="A26"/>
    </sheetView>
  </sheetViews>
  <sheetFormatPr defaultRowHeight="12.5"/>
  <cols>
    <col min="1" max="1" width="44.453125" customWidth="1"/>
    <col min="2" max="2" width="17" customWidth="1"/>
  </cols>
  <sheetData>
    <row r="1" spans="1:3" ht="18">
      <c r="A1" s="13" t="s">
        <v>56</v>
      </c>
      <c r="B1" s="14"/>
    </row>
    <row r="3" spans="1:3" ht="13">
      <c r="A3" s="2" t="s">
        <v>278</v>
      </c>
    </row>
    <row r="4" spans="1:3">
      <c r="A4" t="s">
        <v>57</v>
      </c>
    </row>
    <row r="5" spans="1:3" ht="13">
      <c r="B5" s="8" t="s">
        <v>297</v>
      </c>
    </row>
    <row r="6" spans="1:3" ht="13">
      <c r="A6" s="2" t="s">
        <v>33</v>
      </c>
      <c r="B6" s="8">
        <v>3</v>
      </c>
    </row>
    <row r="8" spans="1:3" ht="15.5">
      <c r="A8" t="str">
        <f>IncomeStatement!$A$29</f>
        <v xml:space="preserve">     Payroll (includes bus share of taxes)</v>
      </c>
      <c r="B8" s="83">
        <f>IF($B$6=1,IncomeStatement!C29,IF($B$6=2,IncomeStatement!C29+IncomeStatement!D29,IF($B$6=3,IncomeStatement!C29+IncomeStatement!D29+IncomeStatement!E29,IF($B$6=4,IncomeStatement!C29+IncomeStatement!D29+IncomeStatement!E29+IncomeStatement!F29,IF($B$6=5,IncomeStatement!C29+IncomeStatement!D29+IncomeStatement!E29+IncomeStatement!F29+IncomeStatement!G29,IF($B$6=6,IncomeStatement!C29+IncomeStatement!D29+IncomeStatement!E29+IncomeStatement!F29+IncomeStatement!G29+IncomeStatement!H29,IF($B$6=7,IncomeStatement!C29+IncomeStatement!D29+IncomeStatement!E29+IncomeStatement!F29+IncomeStatement!G29+IncomeStatement!H29+IncomeStatement!I29,IF($B$6=8,IncomeStatement!C29+IncomeStatement!D29+IncomeStatement!E29+IncomeStatement!F29+IncomeStatement!G29+IncomeStatement!H29+IncomeStatement!I29+IncomeStatement!J29,C8))))))))</f>
        <v>0</v>
      </c>
      <c r="C8" s="82" t="b">
        <f>IF($B$6=9,IncomeStatement!C29+IncomeStatement!D29+IncomeStatement!E29+IncomeStatement!F29+IncomeStatement!G29+IncomeStatement!H29+IncomeStatement!I29+IncomeStatement!J29+IncomeStatement!K29,IF($B$6=10,IncomeStatement!C29+IncomeStatement!D29+IncomeStatement!E29+IncomeStatement!F29+IncomeStatement!G29+IncomeStatement!H29+IncomeStatement!I29+IncomeStatement!J29+IncomeStatement!K29+IncomeStatement!L29,IF($B$6=11,IncomeStatement!C29+IncomeStatement!D29+IncomeStatement!E29+IncomeStatement!F29+IncomeStatement!G29+IncomeStatement!H29+IncomeStatement!I29+IncomeStatement!J29+IncomeStatement!K29+IncomeStatement!L29+IncomeStatement!M29,IF($B$6=12,IncomeStatement!C29+IncomeStatement!D29+IncomeStatement!E29+IncomeStatement!F29+IncomeStatement!G29+IncomeStatement!H29+IncomeStatement!I29+IncomeStatement!J29+IncomeStatement!K29+IncomeStatement!L29+IncomeStatement!M29+IncomeStatement!N29))))</f>
        <v>0</v>
      </c>
    </row>
    <row r="9" spans="1:3" ht="15.5">
      <c r="A9" t="str">
        <f>IncomeStatement!A30</f>
        <v xml:space="preserve">     Commissions</v>
      </c>
      <c r="B9" s="83">
        <f>IF($B$6=1,IncomeStatement!C30,IF($B$6=2,IncomeStatement!C30+IncomeStatement!D30,IF($B$6=3,IncomeStatement!C30+IncomeStatement!D30+IncomeStatement!E30,IF($B$6=4,IncomeStatement!C30+IncomeStatement!D30+IncomeStatement!E30+IncomeStatement!F30,IF($B$6=5,IncomeStatement!C30+IncomeStatement!D30+IncomeStatement!E30+IncomeStatement!F30+IncomeStatement!G30,IF($B$6=6,IncomeStatement!C30+IncomeStatement!D30+IncomeStatement!E30+IncomeStatement!F30+IncomeStatement!G30+IncomeStatement!H30,IF($B$6=7,IncomeStatement!C30+IncomeStatement!D30+IncomeStatement!E30+IncomeStatement!F30+IncomeStatement!G30+IncomeStatement!H30+IncomeStatement!I30,IF($B$6=8,IncomeStatement!C30+IncomeStatement!D30+IncomeStatement!E30+IncomeStatement!F30+IncomeStatement!G30+IncomeStatement!H30+IncomeStatement!I30+IncomeStatement!J30,C9))))))))</f>
        <v>0</v>
      </c>
      <c r="C9" s="82" t="b">
        <f>IF($B$6=9,IncomeStatement!C30+IncomeStatement!D30+IncomeStatement!E30+IncomeStatement!F30+IncomeStatement!G30+IncomeStatement!H30+IncomeStatement!I30+IncomeStatement!J30+IncomeStatement!K30,IF($B$6=10,IncomeStatement!C30+IncomeStatement!D30+IncomeStatement!E30+IncomeStatement!F30+IncomeStatement!G30+IncomeStatement!H30+IncomeStatement!I30+IncomeStatement!J30+IncomeStatement!K30+IncomeStatement!L30,IF($B$6=11,IncomeStatement!C30+IncomeStatement!D30+IncomeStatement!E30+IncomeStatement!F30+IncomeStatement!G30+IncomeStatement!H30+IncomeStatement!I30+IncomeStatement!J30+IncomeStatement!K30+IncomeStatement!L30+IncomeStatement!M30,IF($B$6=12,IncomeStatement!C30+IncomeStatement!D30+IncomeStatement!E30+IncomeStatement!F30+IncomeStatement!G30+IncomeStatement!H30+IncomeStatement!I30+IncomeStatement!J30+IncomeStatement!K30+IncomeStatement!L30+IncomeStatement!M30+IncomeStatement!N30))))</f>
        <v>0</v>
      </c>
    </row>
    <row r="10" spans="1:3" ht="15.5">
      <c r="A10" t="str">
        <f>IncomeStatement!A31</f>
        <v xml:space="preserve">     Lease</v>
      </c>
      <c r="B10" s="83">
        <f>IF($B$6=1,IncomeStatement!C31,IF($B$6=2,IncomeStatement!C31+IncomeStatement!D31,IF($B$6=3,IncomeStatement!C31+IncomeStatement!D31+IncomeStatement!E31,IF($B$6=4,IncomeStatement!C31+IncomeStatement!D31+IncomeStatement!E31+IncomeStatement!F31,IF($B$6=5,IncomeStatement!C31+IncomeStatement!D31+IncomeStatement!E31+IncomeStatement!F31+IncomeStatement!G31,IF($B$6=6,IncomeStatement!C31+IncomeStatement!D31+IncomeStatement!E31+IncomeStatement!F31+IncomeStatement!G31+IncomeStatement!H31,IF($B$6=7,IncomeStatement!C31+IncomeStatement!D31+IncomeStatement!E31+IncomeStatement!F31+IncomeStatement!G31+IncomeStatement!H31+IncomeStatement!I31,IF($B$6=8,IncomeStatement!C31+IncomeStatement!D31+IncomeStatement!E31+IncomeStatement!F31+IncomeStatement!G31+IncomeStatement!H31+IncomeStatement!I31+IncomeStatement!J31,C10))))))))</f>
        <v>0</v>
      </c>
      <c r="C10" s="82" t="b">
        <f>IF($B$6=9,IncomeStatement!C31+IncomeStatement!D31+IncomeStatement!E31+IncomeStatement!F31+IncomeStatement!G31+IncomeStatement!H31+IncomeStatement!I31+IncomeStatement!J31+IncomeStatement!K31,IF($B$6=10,IncomeStatement!C31+IncomeStatement!D31+IncomeStatement!E31+IncomeStatement!F31+IncomeStatement!G31+IncomeStatement!H31+IncomeStatement!I31+IncomeStatement!J31+IncomeStatement!K31+IncomeStatement!L31,IF($B$6=11,IncomeStatement!C31+IncomeStatement!D31+IncomeStatement!E31+IncomeStatement!F31+IncomeStatement!G31+IncomeStatement!H31+IncomeStatement!I31+IncomeStatement!J31+IncomeStatement!K31+IncomeStatement!L31+IncomeStatement!M31,IF($B$6=12,IncomeStatement!C31+IncomeStatement!D31+IncomeStatement!E31+IncomeStatement!F31+IncomeStatement!G31+IncomeStatement!H31+IncomeStatement!I31+IncomeStatement!J31+IncomeStatement!K31+IncomeStatement!L31+IncomeStatement!M31+IncomeStatement!N31))))</f>
        <v>0</v>
      </c>
    </row>
    <row r="11" spans="1:3" ht="15.5">
      <c r="A11" t="str">
        <f>IncomeStatement!A32</f>
        <v xml:space="preserve">     Building Maintenance</v>
      </c>
      <c r="B11" s="83">
        <f>IF($B$6=1,IncomeStatement!C32,IF($B$6=2,IncomeStatement!C32+IncomeStatement!D32,IF($B$6=3,IncomeStatement!C32+IncomeStatement!D32+IncomeStatement!E32,IF($B$6=4,IncomeStatement!C32+IncomeStatement!D32+IncomeStatement!E32+IncomeStatement!F32,IF($B$6=5,IncomeStatement!C32+IncomeStatement!D32+IncomeStatement!E32+IncomeStatement!F32+IncomeStatement!G32,IF($B$6=6,IncomeStatement!C32+IncomeStatement!D32+IncomeStatement!E32+IncomeStatement!F32+IncomeStatement!G32+IncomeStatement!H32,IF($B$6=7,IncomeStatement!C32+IncomeStatement!D32+IncomeStatement!E32+IncomeStatement!F32+IncomeStatement!G32+IncomeStatement!H32+IncomeStatement!I32,IF($B$6=8,IncomeStatement!C32+IncomeStatement!D32+IncomeStatement!E32+IncomeStatement!F32+IncomeStatement!G32+IncomeStatement!H32+IncomeStatement!I32+IncomeStatement!J32,C11))))))))</f>
        <v>0</v>
      </c>
      <c r="C11" s="82" t="b">
        <f>IF($B$6=9,IncomeStatement!C32+IncomeStatement!D32+IncomeStatement!E32+IncomeStatement!F32+IncomeStatement!G32+IncomeStatement!H32+IncomeStatement!I32+IncomeStatement!J32+IncomeStatement!K32,IF($B$6=10,IncomeStatement!C32+IncomeStatement!D32+IncomeStatement!E32+IncomeStatement!F32+IncomeStatement!G32+IncomeStatement!H32+IncomeStatement!I32+IncomeStatement!J32+IncomeStatement!K32+IncomeStatement!L32,IF($B$6=11,IncomeStatement!C32+IncomeStatement!D32+IncomeStatement!E32+IncomeStatement!F32+IncomeStatement!G32+IncomeStatement!H32+IncomeStatement!I32+IncomeStatement!J32+IncomeStatement!K32+IncomeStatement!L32+IncomeStatement!M32,IF($B$6=12,IncomeStatement!C32+IncomeStatement!D32+IncomeStatement!E32+IncomeStatement!F32+IncomeStatement!G32+IncomeStatement!H32+IncomeStatement!I32+IncomeStatement!J32+IncomeStatement!K32+IncomeStatement!L32+IncomeStatement!M32+IncomeStatement!N32))))</f>
        <v>0</v>
      </c>
    </row>
    <row r="12" spans="1:3" ht="15.5">
      <c r="A12" t="str">
        <f>IncomeStatement!A33</f>
        <v xml:space="preserve">     Advertising</v>
      </c>
      <c r="B12" s="83">
        <f>IF($B$6=1,IncomeStatement!C33,IF($B$6=2,IncomeStatement!C33+IncomeStatement!D33,IF($B$6=3,IncomeStatement!C33+IncomeStatement!D33+IncomeStatement!E33,IF($B$6=4,IncomeStatement!C33+IncomeStatement!D33+IncomeStatement!E33+IncomeStatement!F33,IF($B$6=5,IncomeStatement!C33+IncomeStatement!D33+IncomeStatement!E33+IncomeStatement!F33+IncomeStatement!G33,IF($B$6=6,IncomeStatement!C33+IncomeStatement!D33+IncomeStatement!E33+IncomeStatement!F33+IncomeStatement!G33+IncomeStatement!H33,IF($B$6=7,IncomeStatement!C33+IncomeStatement!D33+IncomeStatement!E33+IncomeStatement!F33+IncomeStatement!G33+IncomeStatement!H33+IncomeStatement!I33,IF($B$6=8,IncomeStatement!C33+IncomeStatement!D33+IncomeStatement!E33+IncomeStatement!F33+IncomeStatement!G33+IncomeStatement!H33+IncomeStatement!I33+IncomeStatement!J33,C12))))))))</f>
        <v>0</v>
      </c>
      <c r="C12" s="82" t="b">
        <f>IF($B$6=9,IncomeStatement!C33+IncomeStatement!D33+IncomeStatement!E33+IncomeStatement!F33+IncomeStatement!G33+IncomeStatement!H33+IncomeStatement!I33+IncomeStatement!J33+IncomeStatement!K33,IF($B$6=10,IncomeStatement!C33+IncomeStatement!D33+IncomeStatement!E33+IncomeStatement!F33+IncomeStatement!G33+IncomeStatement!H33+IncomeStatement!I33+IncomeStatement!J33+IncomeStatement!K33+IncomeStatement!L33,IF($B$6=11,IncomeStatement!C33+IncomeStatement!D33+IncomeStatement!E33+IncomeStatement!F33+IncomeStatement!G33+IncomeStatement!H33+IncomeStatement!I33+IncomeStatement!J33+IncomeStatement!K33+IncomeStatement!L33+IncomeStatement!M33,IF($B$6=12,IncomeStatement!C33+IncomeStatement!D33+IncomeStatement!E33+IncomeStatement!F33+IncomeStatement!G33+IncomeStatement!H33+IncomeStatement!I33+IncomeStatement!J33+IncomeStatement!K33+IncomeStatement!L33+IncomeStatement!M33+IncomeStatement!N33))))</f>
        <v>0</v>
      </c>
    </row>
    <row r="13" spans="1:3" ht="15.5">
      <c r="A13" t="str">
        <f>IncomeStatement!A34</f>
        <v xml:space="preserve">     Office Equipment</v>
      </c>
      <c r="B13" s="83">
        <f>IF($B$6=1,IncomeStatement!C34,IF($B$6=2,IncomeStatement!C34+IncomeStatement!D34,IF($B$6=3,IncomeStatement!C34+IncomeStatement!D34+IncomeStatement!E34,IF($B$6=4,IncomeStatement!C34+IncomeStatement!D34+IncomeStatement!E34+IncomeStatement!F34,IF($B$6=5,IncomeStatement!C34+IncomeStatement!D34+IncomeStatement!E34+IncomeStatement!F34+IncomeStatement!G34,IF($B$6=6,IncomeStatement!C34+IncomeStatement!D34+IncomeStatement!E34+IncomeStatement!F34+IncomeStatement!G34+IncomeStatement!H34,IF($B$6=7,IncomeStatement!C34+IncomeStatement!D34+IncomeStatement!E34+IncomeStatement!F34+IncomeStatement!G34+IncomeStatement!H34+IncomeStatement!I34,IF($B$6=8,IncomeStatement!C34+IncomeStatement!D34+IncomeStatement!E34+IncomeStatement!F34+IncomeStatement!G34+IncomeStatement!H34+IncomeStatement!I34+IncomeStatement!J34,C13))))))))</f>
        <v>0</v>
      </c>
      <c r="C13" s="82" t="b">
        <f>IF($B$6=9,IncomeStatement!C34+IncomeStatement!D34+IncomeStatement!E34+IncomeStatement!F34+IncomeStatement!G34+IncomeStatement!H34+IncomeStatement!I34+IncomeStatement!J34+IncomeStatement!K34,IF($B$6=10,IncomeStatement!C34+IncomeStatement!D34+IncomeStatement!E34+IncomeStatement!F34+IncomeStatement!G34+IncomeStatement!H34+IncomeStatement!I34+IncomeStatement!J34+IncomeStatement!K34+IncomeStatement!L34,IF($B$6=11,IncomeStatement!C34+IncomeStatement!D34+IncomeStatement!E34+IncomeStatement!F34+IncomeStatement!G34+IncomeStatement!H34+IncomeStatement!I34+IncomeStatement!J34+IncomeStatement!K34+IncomeStatement!L34+IncomeStatement!M34,IF($B$6=12,IncomeStatement!C34+IncomeStatement!D34+IncomeStatement!E34+IncomeStatement!F34+IncomeStatement!G34+IncomeStatement!H34+IncomeStatement!I34+IncomeStatement!J34+IncomeStatement!K34+IncomeStatement!L34+IncomeStatement!M34+IncomeStatement!N34))))</f>
        <v>0</v>
      </c>
    </row>
    <row r="14" spans="1:3" ht="15.5">
      <c r="A14" t="str">
        <f>IncomeStatement!A35</f>
        <v xml:space="preserve">     Other Leases</v>
      </c>
      <c r="B14" s="83">
        <f>IF($B$6=1,IncomeStatement!C35,IF($B$6=2,IncomeStatement!C35+IncomeStatement!D35,IF($B$6=3,IncomeStatement!C35+IncomeStatement!D35+IncomeStatement!E35,IF($B$6=4,IncomeStatement!C35+IncomeStatement!D35+IncomeStatement!E35+IncomeStatement!F35,IF($B$6=5,IncomeStatement!C35+IncomeStatement!D35+IncomeStatement!E35+IncomeStatement!F35+IncomeStatement!G35,IF($B$6=6,IncomeStatement!C35+IncomeStatement!D35+IncomeStatement!E35+IncomeStatement!F35+IncomeStatement!G35+IncomeStatement!H35,IF($B$6=7,IncomeStatement!C35+IncomeStatement!D35+IncomeStatement!E35+IncomeStatement!F35+IncomeStatement!G35+IncomeStatement!H35+IncomeStatement!I35,IF($B$6=8,IncomeStatement!C35+IncomeStatement!D35+IncomeStatement!E35+IncomeStatement!F35+IncomeStatement!G35+IncomeStatement!H35+IncomeStatement!I35+IncomeStatement!J35,C14))))))))</f>
        <v>0</v>
      </c>
      <c r="C14" s="82" t="b">
        <f>IF($B$6=9,IncomeStatement!C35+IncomeStatement!D35+IncomeStatement!E35+IncomeStatement!F35+IncomeStatement!G35+IncomeStatement!H35+IncomeStatement!I35+IncomeStatement!J35+IncomeStatement!K35,IF($B$6=10,IncomeStatement!C35+IncomeStatement!D35+IncomeStatement!E35+IncomeStatement!F35+IncomeStatement!G35+IncomeStatement!H35+IncomeStatement!I35+IncomeStatement!J35+IncomeStatement!K35+IncomeStatement!L35,IF($B$6=11,IncomeStatement!C35+IncomeStatement!D35+IncomeStatement!E35+IncomeStatement!F35+IncomeStatement!G35+IncomeStatement!H35+IncomeStatement!I35+IncomeStatement!J35+IncomeStatement!K35+IncomeStatement!L35+IncomeStatement!M35,IF($B$6=12,IncomeStatement!C35+IncomeStatement!D35+IncomeStatement!E35+IncomeStatement!F35+IncomeStatement!G35+IncomeStatement!H35+IncomeStatement!I35+IncomeStatement!J35+IncomeStatement!K35+IncomeStatement!L35+IncomeStatement!M35+IncomeStatement!N35))))</f>
        <v>0</v>
      </c>
    </row>
    <row r="15" spans="1:3" ht="15.5">
      <c r="A15" t="str">
        <f>IncomeStatement!A36</f>
        <v xml:space="preserve">     Office Supplies</v>
      </c>
      <c r="B15" s="83">
        <f>IF($B$6=1,IncomeStatement!C36,IF($B$6=2,IncomeStatement!C36+IncomeStatement!D36,IF($B$6=3,IncomeStatement!C36+IncomeStatement!D36+IncomeStatement!E36,IF($B$6=4,IncomeStatement!C36+IncomeStatement!D36+IncomeStatement!E36+IncomeStatement!F36,IF($B$6=5,IncomeStatement!C36+IncomeStatement!D36+IncomeStatement!E36+IncomeStatement!F36+IncomeStatement!G36,IF($B$6=6,IncomeStatement!C36+IncomeStatement!D36+IncomeStatement!E36+IncomeStatement!F36+IncomeStatement!G36+IncomeStatement!H36,IF($B$6=7,IncomeStatement!C36+IncomeStatement!D36+IncomeStatement!E36+IncomeStatement!F36+IncomeStatement!G36+IncomeStatement!H36+IncomeStatement!I36,IF($B$6=8,IncomeStatement!C36+IncomeStatement!D36+IncomeStatement!E36+IncomeStatement!F36+IncomeStatement!G36+IncomeStatement!H36+IncomeStatement!I36+IncomeStatement!J36,C15))))))))</f>
        <v>0</v>
      </c>
      <c r="C15" s="82" t="b">
        <f>IF($B$6=9,IncomeStatement!C36+IncomeStatement!D36+IncomeStatement!E36+IncomeStatement!F36+IncomeStatement!G36+IncomeStatement!H36+IncomeStatement!I36+IncomeStatement!J36+IncomeStatement!K36,IF($B$6=10,IncomeStatement!C36+IncomeStatement!D36+IncomeStatement!E36+IncomeStatement!F36+IncomeStatement!G36+IncomeStatement!H36+IncomeStatement!I36+IncomeStatement!J36+IncomeStatement!K36+IncomeStatement!L36,IF($B$6=11,IncomeStatement!C36+IncomeStatement!D36+IncomeStatement!E36+IncomeStatement!F36+IncomeStatement!G36+IncomeStatement!H36+IncomeStatement!I36+IncomeStatement!J36+IncomeStatement!K36+IncomeStatement!L36+IncomeStatement!M36,IF($B$6=12,IncomeStatement!C36+IncomeStatement!D36+IncomeStatement!E36+IncomeStatement!F36+IncomeStatement!G36+IncomeStatement!H36+IncomeStatement!I36+IncomeStatement!J36+IncomeStatement!K36+IncomeStatement!L36+IncomeStatement!M36+IncomeStatement!N36))))</f>
        <v>0</v>
      </c>
    </row>
    <row r="16" spans="1:3" ht="15.5">
      <c r="A16" t="str">
        <f>IncomeStatement!A37</f>
        <v xml:space="preserve">     Professional Fees</v>
      </c>
      <c r="B16" s="83">
        <f>IF($B$6=1,IncomeStatement!C37,IF($B$6=2,IncomeStatement!C37+IncomeStatement!D37,IF($B$6=3,IncomeStatement!C37+IncomeStatement!D37+IncomeStatement!E37,IF($B$6=4,IncomeStatement!C37+IncomeStatement!D37+IncomeStatement!E37+IncomeStatement!F37,IF($B$6=5,IncomeStatement!C37+IncomeStatement!D37+IncomeStatement!E37+IncomeStatement!F37+IncomeStatement!G37,IF($B$6=6,IncomeStatement!C37+IncomeStatement!D37+IncomeStatement!E37+IncomeStatement!F37+IncomeStatement!G37+IncomeStatement!H37,IF($B$6=7,IncomeStatement!C37+IncomeStatement!D37+IncomeStatement!E37+IncomeStatement!F37+IncomeStatement!G37+IncomeStatement!H37+IncomeStatement!I37,IF($B$6=8,IncomeStatement!C37+IncomeStatement!D37+IncomeStatement!E37+IncomeStatement!F37+IncomeStatement!G37+IncomeStatement!H37+IncomeStatement!I37+IncomeStatement!J37,C16))))))))</f>
        <v>0</v>
      </c>
      <c r="C16" s="82" t="b">
        <f>IF($B$6=9,IncomeStatement!C37+IncomeStatement!D37+IncomeStatement!E37+IncomeStatement!F37+IncomeStatement!G37+IncomeStatement!H37+IncomeStatement!I37+IncomeStatement!J37+IncomeStatement!K37,IF($B$6=10,IncomeStatement!C37+IncomeStatement!D37+IncomeStatement!E37+IncomeStatement!F37+IncomeStatement!G37+IncomeStatement!H37+IncomeStatement!I37+IncomeStatement!J37+IncomeStatement!K37+IncomeStatement!L37,IF($B$6=11,IncomeStatement!C37+IncomeStatement!D37+IncomeStatement!E37+IncomeStatement!F37+IncomeStatement!G37+IncomeStatement!H37+IncomeStatement!I37+IncomeStatement!J37+IncomeStatement!K37+IncomeStatement!L37+IncomeStatement!M37,IF($B$6=12,IncomeStatement!C37+IncomeStatement!D37+IncomeStatement!E37+IncomeStatement!F37+IncomeStatement!G37+IncomeStatement!H37+IncomeStatement!I37+IncomeStatement!J37+IncomeStatement!K37+IncomeStatement!L37+IncomeStatement!M37+IncomeStatement!N37))))</f>
        <v>0</v>
      </c>
    </row>
    <row r="17" spans="1:3" ht="15.5">
      <c r="A17" t="str">
        <f>IncomeStatement!A38</f>
        <v xml:space="preserve">     Electric</v>
      </c>
      <c r="B17" s="83">
        <f>IF($B$6=1,IncomeStatement!C38,IF($B$6=2,IncomeStatement!C38+IncomeStatement!D38,IF($B$6=3,IncomeStatement!C38+IncomeStatement!D38+IncomeStatement!E38,IF($B$6=4,IncomeStatement!C38+IncomeStatement!D38+IncomeStatement!E38+IncomeStatement!F38,IF($B$6=5,IncomeStatement!C38+IncomeStatement!D38+IncomeStatement!E38+IncomeStatement!F38+IncomeStatement!G38,IF($B$6=6,IncomeStatement!C38+IncomeStatement!D38+IncomeStatement!E38+IncomeStatement!F38+IncomeStatement!G38+IncomeStatement!H38,IF($B$6=7,IncomeStatement!C38+IncomeStatement!D38+IncomeStatement!E38+IncomeStatement!F38+IncomeStatement!G38+IncomeStatement!H38+IncomeStatement!I38,IF($B$6=8,IncomeStatement!C38+IncomeStatement!D38+IncomeStatement!E38+IncomeStatement!F38+IncomeStatement!G38+IncomeStatement!H38+IncomeStatement!I38+IncomeStatement!J38,C17))))))))</f>
        <v>0</v>
      </c>
      <c r="C17" s="82" t="b">
        <f>IF($B$6=9,IncomeStatement!C38+IncomeStatement!D38+IncomeStatement!E38+IncomeStatement!F38+IncomeStatement!G38+IncomeStatement!H38+IncomeStatement!I38+IncomeStatement!J38+IncomeStatement!K38,IF($B$6=10,IncomeStatement!C38+IncomeStatement!D38+IncomeStatement!E38+IncomeStatement!F38+IncomeStatement!G38+IncomeStatement!H38+IncomeStatement!I38+IncomeStatement!J38+IncomeStatement!K38+IncomeStatement!L38,IF($B$6=11,IncomeStatement!C38+IncomeStatement!D38+IncomeStatement!E38+IncomeStatement!F38+IncomeStatement!G38+IncomeStatement!H38+IncomeStatement!I38+IncomeStatement!J38+IncomeStatement!K38+IncomeStatement!L38+IncomeStatement!M38,IF($B$6=12,IncomeStatement!C38+IncomeStatement!D38+IncomeStatement!E38+IncomeStatement!F38+IncomeStatement!G38+IncomeStatement!H38+IncomeStatement!I38+IncomeStatement!J38+IncomeStatement!K38+IncomeStatement!L38+IncomeStatement!M38+IncomeStatement!N38))))</f>
        <v>0</v>
      </c>
    </row>
    <row r="18" spans="1:3" ht="15.5">
      <c r="A18" t="str">
        <f>IncomeStatement!A39</f>
        <v xml:space="preserve">     Water</v>
      </c>
      <c r="B18" s="83">
        <f>IF($B$6=1,IncomeStatement!C39,IF($B$6=2,IncomeStatement!C39+IncomeStatement!D39,IF($B$6=3,IncomeStatement!C39+IncomeStatement!D39+IncomeStatement!E39,IF($B$6=4,IncomeStatement!C39+IncomeStatement!D39+IncomeStatement!E39+IncomeStatement!F39,IF($B$6=5,IncomeStatement!C39+IncomeStatement!D39+IncomeStatement!E39+IncomeStatement!F39+IncomeStatement!G39,IF($B$6=6,IncomeStatement!C39+IncomeStatement!D39+IncomeStatement!E39+IncomeStatement!F39+IncomeStatement!G39+IncomeStatement!H39,IF($B$6=7,IncomeStatement!C39+IncomeStatement!D39+IncomeStatement!E39+IncomeStatement!F39+IncomeStatement!G39+IncomeStatement!H39+IncomeStatement!I39,IF($B$6=8,IncomeStatement!C39+IncomeStatement!D39+IncomeStatement!E39+IncomeStatement!F39+IncomeStatement!G39+IncomeStatement!H39+IncomeStatement!I39+IncomeStatement!J39,C18))))))))</f>
        <v>0</v>
      </c>
      <c r="C18" s="82" t="b">
        <f>IF($B$6=9,IncomeStatement!C39+IncomeStatement!D39+IncomeStatement!E39+IncomeStatement!F39+IncomeStatement!G39+IncomeStatement!H39+IncomeStatement!I39+IncomeStatement!J39+IncomeStatement!K39,IF($B$6=10,IncomeStatement!C39+IncomeStatement!D39+IncomeStatement!E39+IncomeStatement!F39+IncomeStatement!G39+IncomeStatement!H39+IncomeStatement!I39+IncomeStatement!J39+IncomeStatement!K39+IncomeStatement!L39,IF($B$6=11,IncomeStatement!C39+IncomeStatement!D39+IncomeStatement!E39+IncomeStatement!F39+IncomeStatement!G39+IncomeStatement!H39+IncomeStatement!I39+IncomeStatement!J39+IncomeStatement!K39+IncomeStatement!L39+IncomeStatement!M39,IF($B$6=12,IncomeStatement!C39+IncomeStatement!D39+IncomeStatement!E39+IncomeStatement!F39+IncomeStatement!G39+IncomeStatement!H39+IncomeStatement!I39+IncomeStatement!J39+IncomeStatement!K39+IncomeStatement!L39+IncomeStatement!M39+IncomeStatement!N39))))</f>
        <v>0</v>
      </c>
    </row>
    <row r="19" spans="1:3" ht="15.5">
      <c r="A19" t="str">
        <f>IncomeStatement!A40</f>
        <v xml:space="preserve">     Gas</v>
      </c>
      <c r="B19" s="83">
        <f>IF($B$6=1,IncomeStatement!C40,IF($B$6=2,IncomeStatement!C40+IncomeStatement!D40,IF($B$6=3,IncomeStatement!C40+IncomeStatement!D40+IncomeStatement!E40,IF($B$6=4,IncomeStatement!C40+IncomeStatement!D40+IncomeStatement!E40+IncomeStatement!F40,IF($B$6=5,IncomeStatement!C40+IncomeStatement!D40+IncomeStatement!E40+IncomeStatement!F40+IncomeStatement!G40,IF($B$6=6,IncomeStatement!C40+IncomeStatement!D40+IncomeStatement!E40+IncomeStatement!F40+IncomeStatement!G40+IncomeStatement!H40,IF($B$6=7,IncomeStatement!C40+IncomeStatement!D40+IncomeStatement!E40+IncomeStatement!F40+IncomeStatement!G40+IncomeStatement!H40+IncomeStatement!I40,IF($B$6=8,IncomeStatement!C40+IncomeStatement!D40+IncomeStatement!E40+IncomeStatement!F40+IncomeStatement!G40+IncomeStatement!H40+IncomeStatement!I40+IncomeStatement!J40,C19))))))))</f>
        <v>0</v>
      </c>
      <c r="C19" s="82" t="b">
        <f>IF($B$6=9,IncomeStatement!C40+IncomeStatement!D40+IncomeStatement!E40+IncomeStatement!F40+IncomeStatement!G40+IncomeStatement!H40+IncomeStatement!I40+IncomeStatement!J40+IncomeStatement!K40,IF($B$6=10,IncomeStatement!C40+IncomeStatement!D40+IncomeStatement!E40+IncomeStatement!F40+IncomeStatement!G40+IncomeStatement!H40+IncomeStatement!I40+IncomeStatement!J40+IncomeStatement!K40+IncomeStatement!L40,IF($B$6=11,IncomeStatement!C40+IncomeStatement!D40+IncomeStatement!E40+IncomeStatement!F40+IncomeStatement!G40+IncomeStatement!H40+IncomeStatement!I40+IncomeStatement!J40+IncomeStatement!K40+IncomeStatement!L40+IncomeStatement!M40,IF($B$6=12,IncomeStatement!C40+IncomeStatement!D40+IncomeStatement!E40+IncomeStatement!F40+IncomeStatement!G40+IncomeStatement!H40+IncomeStatement!I40+IncomeStatement!J40+IncomeStatement!K40+IncomeStatement!L40+IncomeStatement!M40+IncomeStatement!N40))))</f>
        <v>0</v>
      </c>
    </row>
    <row r="20" spans="1:3" ht="15.5">
      <c r="A20" t="str">
        <f>IncomeStatement!A41</f>
        <v xml:space="preserve">     Web/Internet</v>
      </c>
      <c r="B20" s="83">
        <f>IF($B$6=1,IncomeStatement!C41,IF($B$6=2,IncomeStatement!C41+IncomeStatement!D41,IF($B$6=3,IncomeStatement!C41+IncomeStatement!D41+IncomeStatement!E41,IF($B$6=4,IncomeStatement!C41+IncomeStatement!D41+IncomeStatement!E41+IncomeStatement!F41,IF($B$6=5,IncomeStatement!C41+IncomeStatement!D41+IncomeStatement!E41+IncomeStatement!F41+IncomeStatement!G41,IF($B$6=6,IncomeStatement!C41+IncomeStatement!D41+IncomeStatement!E41+IncomeStatement!F41+IncomeStatement!G41+IncomeStatement!H41,IF($B$6=7,IncomeStatement!C41+IncomeStatement!D41+IncomeStatement!E41+IncomeStatement!F41+IncomeStatement!G41+IncomeStatement!H41+IncomeStatement!I41,IF($B$6=8,IncomeStatement!C41+IncomeStatement!D41+IncomeStatement!E41+IncomeStatement!F41+IncomeStatement!G41+IncomeStatement!H41+IncomeStatement!I41+IncomeStatement!J41,C20))))))))</f>
        <v>0</v>
      </c>
      <c r="C20" s="82" t="b">
        <f>IF($B$6=9,IncomeStatement!C41+IncomeStatement!D41+IncomeStatement!E41+IncomeStatement!F41+IncomeStatement!G41+IncomeStatement!H41+IncomeStatement!I41+IncomeStatement!J41+IncomeStatement!K41,IF($B$6=10,IncomeStatement!C41+IncomeStatement!D41+IncomeStatement!E41+IncomeStatement!F41+IncomeStatement!G41+IncomeStatement!H41+IncomeStatement!I41+IncomeStatement!J41+IncomeStatement!K41+IncomeStatement!L41,IF($B$6=11,IncomeStatement!C41+IncomeStatement!D41+IncomeStatement!E41+IncomeStatement!F41+IncomeStatement!G41+IncomeStatement!H41+IncomeStatement!I41+IncomeStatement!J41+IncomeStatement!K41+IncomeStatement!L41+IncomeStatement!M41,IF($B$6=12,IncomeStatement!C41+IncomeStatement!D41+IncomeStatement!E41+IncomeStatement!F41+IncomeStatement!G41+IncomeStatement!H41+IncomeStatement!I41+IncomeStatement!J41+IncomeStatement!K41+IncomeStatement!L41+IncomeStatement!M41+IncomeStatement!N41))))</f>
        <v>0</v>
      </c>
    </row>
    <row r="21" spans="1:3" ht="15.5">
      <c r="A21" t="str">
        <f>IncomeStatement!A42</f>
        <v xml:space="preserve">     Telephone</v>
      </c>
      <c r="B21" s="83">
        <f>IF($B$6=1,IncomeStatement!C42,IF($B$6=2,IncomeStatement!C42+IncomeStatement!D42,IF($B$6=3,IncomeStatement!C42+IncomeStatement!D42+IncomeStatement!E42,IF($B$6=4,IncomeStatement!C42+IncomeStatement!D42+IncomeStatement!E42+IncomeStatement!F42,IF($B$6=5,IncomeStatement!C42+IncomeStatement!D42+IncomeStatement!E42+IncomeStatement!F42+IncomeStatement!G42,IF($B$6=6,IncomeStatement!C42+IncomeStatement!D42+IncomeStatement!E42+IncomeStatement!F42+IncomeStatement!G42+IncomeStatement!H42,IF($B$6=7,IncomeStatement!C42+IncomeStatement!D42+IncomeStatement!E42+IncomeStatement!F42+IncomeStatement!G42+IncomeStatement!H42+IncomeStatement!I42,IF($B$6=8,IncomeStatement!C42+IncomeStatement!D42+IncomeStatement!E42+IncomeStatement!F42+IncomeStatement!G42+IncomeStatement!H42+IncomeStatement!I42+IncomeStatement!J42,C21))))))))</f>
        <v>0</v>
      </c>
      <c r="C21" s="82" t="b">
        <f>IF($B$6=9,IncomeStatement!C42+IncomeStatement!D42+IncomeStatement!E42+IncomeStatement!F42+IncomeStatement!G42+IncomeStatement!H42+IncomeStatement!I42+IncomeStatement!J42+IncomeStatement!K42,IF($B$6=10,IncomeStatement!C42+IncomeStatement!D42+IncomeStatement!E42+IncomeStatement!F42+IncomeStatement!G42+IncomeStatement!H42+IncomeStatement!I42+IncomeStatement!J42+IncomeStatement!K42+IncomeStatement!L42,IF($B$6=11,IncomeStatement!C42+IncomeStatement!D42+IncomeStatement!E42+IncomeStatement!F42+IncomeStatement!G42+IncomeStatement!H42+IncomeStatement!I42+IncomeStatement!J42+IncomeStatement!K42+IncomeStatement!L42+IncomeStatement!M42,IF($B$6=12,IncomeStatement!C42+IncomeStatement!D42+IncomeStatement!E42+IncomeStatement!F42+IncomeStatement!G42+IncomeStatement!H42+IncomeStatement!I42+IncomeStatement!J42+IncomeStatement!K42+IncomeStatement!L42+IncomeStatement!M42+IncomeStatement!N42))))</f>
        <v>0</v>
      </c>
    </row>
    <row r="22" spans="1:3" ht="15.5">
      <c r="A22" t="str">
        <f>IncomeStatement!A43</f>
        <v xml:space="preserve">     Security</v>
      </c>
      <c r="B22" s="83">
        <f>IF($B$6=1,IncomeStatement!C43,IF($B$6=2,IncomeStatement!C43+IncomeStatement!D43,IF($B$6=3,IncomeStatement!C43+IncomeStatement!D43+IncomeStatement!E43,IF($B$6=4,IncomeStatement!C43+IncomeStatement!D43+IncomeStatement!E43+IncomeStatement!F43,IF($B$6=5,IncomeStatement!C43+IncomeStatement!D43+IncomeStatement!E43+IncomeStatement!F43+IncomeStatement!G43,IF($B$6=6,IncomeStatement!C43+IncomeStatement!D43+IncomeStatement!E43+IncomeStatement!F43+IncomeStatement!G43+IncomeStatement!H43,IF($B$6=7,IncomeStatement!C43+IncomeStatement!D43+IncomeStatement!E43+IncomeStatement!F43+IncomeStatement!G43+IncomeStatement!H43+IncomeStatement!I43,IF($B$6=8,IncomeStatement!C43+IncomeStatement!D43+IncomeStatement!E43+IncomeStatement!F43+IncomeStatement!G43+IncomeStatement!H43+IncomeStatement!I43+IncomeStatement!J43,C22))))))))</f>
        <v>0</v>
      </c>
      <c r="C22" s="82" t="b">
        <f>IF($B$6=9,IncomeStatement!C43+IncomeStatement!D43+IncomeStatement!E43+IncomeStatement!F43+IncomeStatement!G43+IncomeStatement!H43+IncomeStatement!I43+IncomeStatement!J43+IncomeStatement!K43,IF($B$6=10,IncomeStatement!C43+IncomeStatement!D43+IncomeStatement!E43+IncomeStatement!F43+IncomeStatement!G43+IncomeStatement!H43+IncomeStatement!I43+IncomeStatement!J43+IncomeStatement!K43+IncomeStatement!L43,IF($B$6=11,IncomeStatement!C43+IncomeStatement!D43+IncomeStatement!E43+IncomeStatement!F43+IncomeStatement!G43+IncomeStatement!H43+IncomeStatement!I43+IncomeStatement!J43+IncomeStatement!K43+IncomeStatement!L43+IncomeStatement!M43,IF($B$6=12,IncomeStatement!C43+IncomeStatement!D43+IncomeStatement!E43+IncomeStatement!F43+IncomeStatement!G43+IncomeStatement!H43+IncomeStatement!I43+IncomeStatement!J43+IncomeStatement!K43+IncomeStatement!L43+IncomeStatement!M43+IncomeStatement!N43))))</f>
        <v>0</v>
      </c>
    </row>
    <row r="23" spans="1:3" ht="15.5">
      <c r="A23" t="str">
        <f>IncomeStatement!A44</f>
        <v xml:space="preserve">     Licenses</v>
      </c>
      <c r="B23" s="83">
        <f>IF($B$6=1,IncomeStatement!C44,IF($B$6=2,IncomeStatement!C44+IncomeStatement!D44,IF($B$6=3,IncomeStatement!C44+IncomeStatement!D44+IncomeStatement!E44,IF($B$6=4,IncomeStatement!C44+IncomeStatement!D44+IncomeStatement!E44+IncomeStatement!F44,IF($B$6=5,IncomeStatement!C44+IncomeStatement!D44+IncomeStatement!E44+IncomeStatement!F44+IncomeStatement!G44,IF($B$6=6,IncomeStatement!C44+IncomeStatement!D44+IncomeStatement!E44+IncomeStatement!F44+IncomeStatement!G44+IncomeStatement!H44,IF($B$6=7,IncomeStatement!C44+IncomeStatement!D44+IncomeStatement!E44+IncomeStatement!F44+IncomeStatement!G44+IncomeStatement!H44+IncomeStatement!I44,IF($B$6=8,IncomeStatement!C44+IncomeStatement!D44+IncomeStatement!E44+IncomeStatement!F44+IncomeStatement!G44+IncomeStatement!H44+IncomeStatement!I44+IncomeStatement!J44,C23))))))))</f>
        <v>0</v>
      </c>
      <c r="C23" s="82" t="b">
        <f>IF($B$6=9,IncomeStatement!C44+IncomeStatement!D44+IncomeStatement!E44+IncomeStatement!F44+IncomeStatement!G44+IncomeStatement!H44+IncomeStatement!I44+IncomeStatement!J44+IncomeStatement!K44,IF($B$6=10,IncomeStatement!C44+IncomeStatement!D44+IncomeStatement!E44+IncomeStatement!F44+IncomeStatement!G44+IncomeStatement!H44+IncomeStatement!I44+IncomeStatement!J44+IncomeStatement!K44+IncomeStatement!L44,IF($B$6=11,IncomeStatement!C44+IncomeStatement!D44+IncomeStatement!E44+IncomeStatement!F44+IncomeStatement!G44+IncomeStatement!H44+IncomeStatement!I44+IncomeStatement!J44+IncomeStatement!K44+IncomeStatement!L44+IncomeStatement!M44,IF($B$6=12,IncomeStatement!C44+IncomeStatement!D44+IncomeStatement!E44+IncomeStatement!F44+IncomeStatement!G44+IncomeStatement!H44+IncomeStatement!I44+IncomeStatement!J44+IncomeStatement!K44+IncomeStatement!L44+IncomeStatement!M44+IncomeStatement!N44))))</f>
        <v>0</v>
      </c>
    </row>
    <row r="24" spans="1:3" ht="15.5">
      <c r="A24" t="str">
        <f>IncomeStatement!A45</f>
        <v xml:space="preserve">     Business Taxes</v>
      </c>
      <c r="B24" s="83">
        <f>IF($B$6=1,IncomeStatement!C45,IF($B$6=2,IncomeStatement!C45+IncomeStatement!D45,IF($B$6=3,IncomeStatement!C45+IncomeStatement!D45+IncomeStatement!E45,IF($B$6=4,IncomeStatement!C45+IncomeStatement!D45+IncomeStatement!E45+IncomeStatement!F45,IF($B$6=5,IncomeStatement!C45+IncomeStatement!D45+IncomeStatement!E45+IncomeStatement!F45+IncomeStatement!G45,IF($B$6=6,IncomeStatement!C45+IncomeStatement!D45+IncomeStatement!E45+IncomeStatement!F45+IncomeStatement!G45+IncomeStatement!H45,IF($B$6=7,IncomeStatement!C45+IncomeStatement!D45+IncomeStatement!E45+IncomeStatement!F45+IncomeStatement!G45+IncomeStatement!H45+IncomeStatement!I45,IF($B$6=8,IncomeStatement!C45+IncomeStatement!D45+IncomeStatement!E45+IncomeStatement!F45+IncomeStatement!G45+IncomeStatement!H45+IncomeStatement!I45+IncomeStatement!J45,C24))))))))</f>
        <v>0</v>
      </c>
      <c r="C24" s="82" t="b">
        <f>IF($B$6=9,IncomeStatement!C45+IncomeStatement!D45+IncomeStatement!E45+IncomeStatement!F45+IncomeStatement!G45+IncomeStatement!H45+IncomeStatement!I45+IncomeStatement!J45+IncomeStatement!K45,IF($B$6=10,IncomeStatement!C45+IncomeStatement!D45+IncomeStatement!E45+IncomeStatement!F45+IncomeStatement!G45+IncomeStatement!H45+IncomeStatement!I45+IncomeStatement!J45+IncomeStatement!K45+IncomeStatement!L45,IF($B$6=11,IncomeStatement!C45+IncomeStatement!D45+IncomeStatement!E45+IncomeStatement!F45+IncomeStatement!G45+IncomeStatement!H45+IncomeStatement!I45+IncomeStatement!J45+IncomeStatement!K45+IncomeStatement!L45+IncomeStatement!M45,IF($B$6=12,IncomeStatement!C45+IncomeStatement!D45+IncomeStatement!E45+IncomeStatement!F45+IncomeStatement!G45+IncomeStatement!H45+IncomeStatement!I45+IncomeStatement!J45+IncomeStatement!K45+IncomeStatement!L45+IncomeStatement!M45+IncomeStatement!N45))))</f>
        <v>0</v>
      </c>
    </row>
    <row r="25" spans="1:3" ht="15.5">
      <c r="A25" t="str">
        <f>IncomeStatement!A46</f>
        <v xml:space="preserve">     Business Insurance</v>
      </c>
      <c r="B25" s="83">
        <f>IF($B$6=1,IncomeStatement!C46,IF($B$6=2,IncomeStatement!C46+IncomeStatement!D46,IF($B$6=3,IncomeStatement!C46+IncomeStatement!D46+IncomeStatement!E46,IF($B$6=4,IncomeStatement!C46+IncomeStatement!D46+IncomeStatement!E46+IncomeStatement!F46,IF($B$6=5,IncomeStatement!C46+IncomeStatement!D46+IncomeStatement!E46+IncomeStatement!F46+IncomeStatement!G46,IF($B$6=6,IncomeStatement!C46+IncomeStatement!D46+IncomeStatement!E46+IncomeStatement!F46+IncomeStatement!G46+IncomeStatement!H46,IF($B$6=7,IncomeStatement!C46+IncomeStatement!D46+IncomeStatement!E46+IncomeStatement!F46+IncomeStatement!G46+IncomeStatement!H46+IncomeStatement!I46,IF($B$6=8,IncomeStatement!C46+IncomeStatement!D46+IncomeStatement!E46+IncomeStatement!F46+IncomeStatement!G46+IncomeStatement!H46+IncomeStatement!I46+IncomeStatement!J46,C25))))))))</f>
        <v>0</v>
      </c>
      <c r="C25" s="82" t="b">
        <f>IF($B$6=9,IncomeStatement!C46+IncomeStatement!D46+IncomeStatement!E46+IncomeStatement!F46+IncomeStatement!G46+IncomeStatement!H46+IncomeStatement!I46+IncomeStatement!J46+IncomeStatement!K46,IF($B$6=10,IncomeStatement!C46+IncomeStatement!D46+IncomeStatement!E46+IncomeStatement!F46+IncomeStatement!G46+IncomeStatement!H46+IncomeStatement!I46+IncomeStatement!J46+IncomeStatement!K46+IncomeStatement!L46,IF($B$6=11,IncomeStatement!C46+IncomeStatement!D46+IncomeStatement!E46+IncomeStatement!F46+IncomeStatement!G46+IncomeStatement!H46+IncomeStatement!I46+IncomeStatement!J46+IncomeStatement!K46+IncomeStatement!L46+IncomeStatement!M46,IF($B$6=12,IncomeStatement!C46+IncomeStatement!D46+IncomeStatement!E46+IncomeStatement!F46+IncomeStatement!G46+IncomeStatement!H46+IncomeStatement!I46+IncomeStatement!J46+IncomeStatement!K46+IncomeStatement!L46+IncomeStatement!M46+IncomeStatement!N46))))</f>
        <v>0</v>
      </c>
    </row>
    <row r="26" spans="1:3" ht="15.5">
      <c r="A26" t="str">
        <f>IncomeStatement!A47</f>
        <v xml:space="preserve">     Vehicle Insurance</v>
      </c>
      <c r="B26" s="83">
        <f>IF($B$6=1,IncomeStatement!C47,IF($B$6=2,IncomeStatement!C47+IncomeStatement!D47,IF($B$6=3,IncomeStatement!C47+IncomeStatement!D47+IncomeStatement!E47,IF($B$6=4,IncomeStatement!C47+IncomeStatement!D47+IncomeStatement!E47+IncomeStatement!F47,IF($B$6=5,IncomeStatement!C47+IncomeStatement!D47+IncomeStatement!E47+IncomeStatement!F47+IncomeStatement!G47,IF($B$6=6,IncomeStatement!C47+IncomeStatement!D47+IncomeStatement!E47+IncomeStatement!F47+IncomeStatement!G47+IncomeStatement!H47,IF($B$6=7,IncomeStatement!C47+IncomeStatement!D47+IncomeStatement!E47+IncomeStatement!F47+IncomeStatement!G47+IncomeStatement!H47+IncomeStatement!I47,IF($B$6=8,IncomeStatement!C47+IncomeStatement!D47+IncomeStatement!E47+IncomeStatement!F47+IncomeStatement!G47+IncomeStatement!H47+IncomeStatement!I47+IncomeStatement!J47,C26))))))))</f>
        <v>0</v>
      </c>
      <c r="C26" s="82" t="b">
        <f>IF($B$6=9,IncomeStatement!C47+IncomeStatement!D47+IncomeStatement!E47+IncomeStatement!F47+IncomeStatement!G47+IncomeStatement!H47+IncomeStatement!I47+IncomeStatement!J47+IncomeStatement!K47,IF($B$6=10,IncomeStatement!C47+IncomeStatement!D47+IncomeStatement!E47+IncomeStatement!F47+IncomeStatement!G47+IncomeStatement!H47+IncomeStatement!I47+IncomeStatement!J47+IncomeStatement!K47+IncomeStatement!L47,IF($B$6=11,IncomeStatement!C47+IncomeStatement!D47+IncomeStatement!E47+IncomeStatement!F47+IncomeStatement!G47+IncomeStatement!H47+IncomeStatement!I47+IncomeStatement!J47+IncomeStatement!K47+IncomeStatement!L47+IncomeStatement!M47,IF($B$6=12,IncomeStatement!C47+IncomeStatement!D47+IncomeStatement!E47+IncomeStatement!F47+IncomeStatement!G47+IncomeStatement!H47+IncomeStatement!I47+IncomeStatement!J47+IncomeStatement!K47+IncomeStatement!L47+IncomeStatement!M47+IncomeStatement!N47))))</f>
        <v>0</v>
      </c>
    </row>
    <row r="27" spans="1:3" ht="15.5">
      <c r="A27" t="str">
        <f>IncomeStatement!A48</f>
        <v xml:space="preserve">     Workers Comp Insurance</v>
      </c>
      <c r="B27" s="83">
        <f>IF($B$6=1,IncomeStatement!C48,IF($B$6=2,IncomeStatement!C48+IncomeStatement!D48,IF($B$6=3,IncomeStatement!C48+IncomeStatement!D48+IncomeStatement!E48,IF($B$6=4,IncomeStatement!C48+IncomeStatement!D48+IncomeStatement!E48+IncomeStatement!F48,IF($B$6=5,IncomeStatement!C48+IncomeStatement!D48+IncomeStatement!E48+IncomeStatement!F48+IncomeStatement!G48,IF($B$6=6,IncomeStatement!C48+IncomeStatement!D48+IncomeStatement!E48+IncomeStatement!F48+IncomeStatement!G48+IncomeStatement!H48,IF($B$6=7,IncomeStatement!C48+IncomeStatement!D48+IncomeStatement!E48+IncomeStatement!F48+IncomeStatement!G48+IncomeStatement!H48+IncomeStatement!I48,IF($B$6=8,IncomeStatement!C48+IncomeStatement!D48+IncomeStatement!E48+IncomeStatement!F48+IncomeStatement!G48+IncomeStatement!H48+IncomeStatement!I48+IncomeStatement!J48,C27))))))))</f>
        <v>0</v>
      </c>
      <c r="C27" s="82" t="b">
        <f>IF($B$6=9,IncomeStatement!C48+IncomeStatement!D48+IncomeStatement!E48+IncomeStatement!F48+IncomeStatement!G48+IncomeStatement!H48+IncomeStatement!I48+IncomeStatement!J48+IncomeStatement!K48,IF($B$6=10,IncomeStatement!C48+IncomeStatement!D48+IncomeStatement!E48+IncomeStatement!F48+IncomeStatement!G48+IncomeStatement!H48+IncomeStatement!I48+IncomeStatement!J48+IncomeStatement!K48+IncomeStatement!L48,IF($B$6=11,IncomeStatement!C48+IncomeStatement!D48+IncomeStatement!E48+IncomeStatement!F48+IncomeStatement!G48+IncomeStatement!H48+IncomeStatement!I48+IncomeStatement!J48+IncomeStatement!K48+IncomeStatement!L48+IncomeStatement!M48,IF($B$6=12,IncomeStatement!C48+IncomeStatement!D48+IncomeStatement!E48+IncomeStatement!F48+IncomeStatement!G48+IncomeStatement!H48+IncomeStatement!I48+IncomeStatement!J48+IncomeStatement!K48+IncomeStatement!L48+IncomeStatement!M48+IncomeStatement!N48))))</f>
        <v>0</v>
      </c>
    </row>
    <row r="28" spans="1:3" ht="15.5">
      <c r="A28" t="str">
        <f>IncomeStatement!A49</f>
        <v xml:space="preserve">     Vehicle Fuel &amp; Maintenance</v>
      </c>
      <c r="B28" s="83">
        <f>IF($B$6=1,IncomeStatement!C49,IF($B$6=2,IncomeStatement!C49+IncomeStatement!D49,IF($B$6=3,IncomeStatement!C49+IncomeStatement!D49+IncomeStatement!E49,IF($B$6=4,IncomeStatement!C49+IncomeStatement!D49+IncomeStatement!E49+IncomeStatement!F49,IF($B$6=5,IncomeStatement!C49+IncomeStatement!D49+IncomeStatement!E49+IncomeStatement!F49+IncomeStatement!G49,IF($B$6=6,IncomeStatement!C49+IncomeStatement!D49+IncomeStatement!E49+IncomeStatement!F49+IncomeStatement!G49+IncomeStatement!H49,IF($B$6=7,IncomeStatement!C49+IncomeStatement!D49+IncomeStatement!E49+IncomeStatement!F49+IncomeStatement!G49+IncomeStatement!H49+IncomeStatement!I49,IF($B$6=8,IncomeStatement!C49+IncomeStatement!D49+IncomeStatement!E49+IncomeStatement!F49+IncomeStatement!G49+IncomeStatement!H49+IncomeStatement!I49+IncomeStatement!J49,C28))))))))</f>
        <v>0</v>
      </c>
      <c r="C28" s="82" t="b">
        <f>IF($B$6=9,IncomeStatement!C49+IncomeStatement!D49+IncomeStatement!E49+IncomeStatement!F49+IncomeStatement!G49+IncomeStatement!H49+IncomeStatement!I49+IncomeStatement!J49+IncomeStatement!K49,IF($B$6=10,IncomeStatement!C49+IncomeStatement!D49+IncomeStatement!E49+IncomeStatement!F49+IncomeStatement!G49+IncomeStatement!H49+IncomeStatement!I49+IncomeStatement!J49+IncomeStatement!K49+IncomeStatement!L49,IF($B$6=11,IncomeStatement!C49+IncomeStatement!D49+IncomeStatement!E49+IncomeStatement!F49+IncomeStatement!G49+IncomeStatement!H49+IncomeStatement!I49+IncomeStatement!J49+IncomeStatement!K49+IncomeStatement!L49+IncomeStatement!M49,IF($B$6=12,IncomeStatement!C49+IncomeStatement!D49+IncomeStatement!E49+IncomeStatement!F49+IncomeStatement!G49+IncomeStatement!H49+IncomeStatement!I49+IncomeStatement!J49+IncomeStatement!K49+IncomeStatement!L49+IncomeStatement!M49+IncomeStatement!N49))))</f>
        <v>0</v>
      </c>
    </row>
    <row r="29" spans="1:3" ht="15.5">
      <c r="A29" t="str">
        <f>IncomeStatement!A50</f>
        <v xml:space="preserve">     Equipment Maintenance and Repair</v>
      </c>
      <c r="B29" s="83">
        <f>IF($B$6=1,IncomeStatement!C50,IF($B$6=2,IncomeStatement!C50+IncomeStatement!D50,IF($B$6=3,IncomeStatement!C50+IncomeStatement!D50+IncomeStatement!E50,IF($B$6=4,IncomeStatement!C50+IncomeStatement!D50+IncomeStatement!E50+IncomeStatement!F50,IF($B$6=5,IncomeStatement!C50+IncomeStatement!D50+IncomeStatement!E50+IncomeStatement!F50+IncomeStatement!G50,IF($B$6=6,IncomeStatement!C50+IncomeStatement!D50+IncomeStatement!E50+IncomeStatement!F50+IncomeStatement!G50+IncomeStatement!H50,IF($B$6=7,IncomeStatement!C50+IncomeStatement!D50+IncomeStatement!E50+IncomeStatement!F50+IncomeStatement!G50+IncomeStatement!H50+IncomeStatement!I50,IF($B$6=8,IncomeStatement!C50+IncomeStatement!D50+IncomeStatement!E50+IncomeStatement!F50+IncomeStatement!G50+IncomeStatement!H50+IncomeStatement!I50+IncomeStatement!J50,C29))))))))</f>
        <v>0</v>
      </c>
      <c r="C29" s="82" t="b">
        <f>IF($B$6=9,IncomeStatement!C50+IncomeStatement!D50+IncomeStatement!E50+IncomeStatement!F50+IncomeStatement!G50+IncomeStatement!H50+IncomeStatement!I50+IncomeStatement!J50+IncomeStatement!K50,IF($B$6=10,IncomeStatement!C50+IncomeStatement!D50+IncomeStatement!E50+IncomeStatement!F50+IncomeStatement!G50+IncomeStatement!H50+IncomeStatement!I50+IncomeStatement!J50+IncomeStatement!K50+IncomeStatement!L50,IF($B$6=11,IncomeStatement!C50+IncomeStatement!D50+IncomeStatement!E50+IncomeStatement!F50+IncomeStatement!G50+IncomeStatement!H50+IncomeStatement!I50+IncomeStatement!J50+IncomeStatement!K50+IncomeStatement!L50+IncomeStatement!M50,IF($B$6=12,IncomeStatement!C50+IncomeStatement!D50+IncomeStatement!E50+IncomeStatement!F50+IncomeStatement!G50+IncomeStatement!H50+IncomeStatement!I50+IncomeStatement!J50+IncomeStatement!K50+IncomeStatement!L50+IncomeStatement!M50+IncomeStatement!N50))))</f>
        <v>0</v>
      </c>
    </row>
    <row r="30" spans="1:3" ht="15.5">
      <c r="A30" t="str">
        <f>IncomeStatement!A51</f>
        <v xml:space="preserve">     Credit Card Fees</v>
      </c>
      <c r="B30" s="83">
        <f>IF($B$6=1,IncomeStatement!C51,IF($B$6=2,IncomeStatement!C51+IncomeStatement!D51,IF($B$6=3,IncomeStatement!C51+IncomeStatement!D51+IncomeStatement!E51,IF($B$6=4,IncomeStatement!C51+IncomeStatement!D51+IncomeStatement!E51+IncomeStatement!F51,IF($B$6=5,IncomeStatement!C51+IncomeStatement!D51+IncomeStatement!E51+IncomeStatement!F51+IncomeStatement!G51,IF($B$6=6,IncomeStatement!C51+IncomeStatement!D51+IncomeStatement!E51+IncomeStatement!F51+IncomeStatement!G51+IncomeStatement!H51,IF($B$6=7,IncomeStatement!C51+IncomeStatement!D51+IncomeStatement!E51+IncomeStatement!F51+IncomeStatement!G51+IncomeStatement!H51+IncomeStatement!I51,IF($B$6=8,IncomeStatement!C51+IncomeStatement!D51+IncomeStatement!E51+IncomeStatement!F51+IncomeStatement!G51+IncomeStatement!H51+IncomeStatement!I51+IncomeStatement!J51,C30))))))))</f>
        <v>0</v>
      </c>
      <c r="C30" s="82" t="b">
        <f>IF($B$6=9,IncomeStatement!C51+IncomeStatement!D51+IncomeStatement!E51+IncomeStatement!F51+IncomeStatement!G51+IncomeStatement!H51+IncomeStatement!I51+IncomeStatement!J51+IncomeStatement!K51,IF($B$6=10,IncomeStatement!C51+IncomeStatement!D51+IncomeStatement!E51+IncomeStatement!F51+IncomeStatement!G51+IncomeStatement!H51+IncomeStatement!I51+IncomeStatement!J51+IncomeStatement!K51+IncomeStatement!L51,IF($B$6=11,IncomeStatement!C51+IncomeStatement!D51+IncomeStatement!E51+IncomeStatement!F51+IncomeStatement!G51+IncomeStatement!H51+IncomeStatement!I51+IncomeStatement!J51+IncomeStatement!K51+IncomeStatement!L51+IncomeStatement!M51,IF($B$6=12,IncomeStatement!C51+IncomeStatement!D51+IncomeStatement!E51+IncomeStatement!F51+IncomeStatement!G51+IncomeStatement!H51+IncomeStatement!I51+IncomeStatement!J51+IncomeStatement!K51+IncomeStatement!L51+IncomeStatement!M51+IncomeStatement!N51))))</f>
        <v>0</v>
      </c>
    </row>
    <row r="31" spans="1:3" ht="15.5">
      <c r="A31" t="str">
        <f>IncomeStatement!A52</f>
        <v xml:space="preserve">     Interest </v>
      </c>
      <c r="B31" s="83">
        <f>IF($B$6=1,IncomeStatement!C52,IF($B$6=2,IncomeStatement!C52+IncomeStatement!D52,IF($B$6=3,IncomeStatement!C52+IncomeStatement!D52+IncomeStatement!E52,IF($B$6=4,IncomeStatement!C52+IncomeStatement!D52+IncomeStatement!E52+IncomeStatement!F52,IF($B$6=5,IncomeStatement!C52+IncomeStatement!D52+IncomeStatement!E52+IncomeStatement!F52+IncomeStatement!G52,IF($B$6=6,IncomeStatement!C52+IncomeStatement!D52+IncomeStatement!E52+IncomeStatement!F52+IncomeStatement!G52+IncomeStatement!H52,IF($B$6=7,IncomeStatement!C52+IncomeStatement!D52+IncomeStatement!E52+IncomeStatement!F52+IncomeStatement!G52+IncomeStatement!H52+IncomeStatement!I52,IF($B$6=8,IncomeStatement!C52+IncomeStatement!D52+IncomeStatement!E52+IncomeStatement!F52+IncomeStatement!G52+IncomeStatement!H52+IncomeStatement!I52+IncomeStatement!J52,C31))))))))</f>
        <v>0</v>
      </c>
      <c r="C31" s="82" t="b">
        <f>IF($B$6=9,IncomeStatement!C52+IncomeStatement!D52+IncomeStatement!E52+IncomeStatement!F52+IncomeStatement!G52+IncomeStatement!H52+IncomeStatement!I52+IncomeStatement!J52+IncomeStatement!K52,IF($B$6=10,IncomeStatement!C52+IncomeStatement!D52+IncomeStatement!E52+IncomeStatement!F52+IncomeStatement!G52+IncomeStatement!H52+IncomeStatement!I52+IncomeStatement!J52+IncomeStatement!K52+IncomeStatement!L52,IF($B$6=11,IncomeStatement!C52+IncomeStatement!D52+IncomeStatement!E52+IncomeStatement!F52+IncomeStatement!G52+IncomeStatement!H52+IncomeStatement!I52+IncomeStatement!J52+IncomeStatement!K52+IncomeStatement!L52+IncomeStatement!M52,IF($B$6=12,IncomeStatement!C52+IncomeStatement!D52+IncomeStatement!E52+IncomeStatement!F52+IncomeStatement!G52+IncomeStatement!H52+IncomeStatement!I52+IncomeStatement!J52+IncomeStatement!K52+IncomeStatement!L52+IncomeStatement!M52+IncomeStatement!N52))))</f>
        <v>0</v>
      </c>
    </row>
    <row r="32" spans="1:3" ht="15.5">
      <c r="A32" t="str">
        <f>IncomeStatement!A53</f>
        <v xml:space="preserve">     Bank Fees</v>
      </c>
      <c r="B32" s="83">
        <f>IF($B$6=1,IncomeStatement!C53,IF($B$6=2,IncomeStatement!C53+IncomeStatement!D53,IF($B$6=3,IncomeStatement!C53+IncomeStatement!D53+IncomeStatement!E53,IF($B$6=4,IncomeStatement!C53+IncomeStatement!D53+IncomeStatement!E53+IncomeStatement!F53,IF($B$6=5,IncomeStatement!C53+IncomeStatement!D53+IncomeStatement!E53+IncomeStatement!F53+IncomeStatement!G53,IF($B$6=6,IncomeStatement!C53+IncomeStatement!D53+IncomeStatement!E53+IncomeStatement!F53+IncomeStatement!G53+IncomeStatement!H53,IF($B$6=7,IncomeStatement!C53+IncomeStatement!D53+IncomeStatement!E53+IncomeStatement!F53+IncomeStatement!G53+IncomeStatement!H53+IncomeStatement!I53,IF($B$6=8,IncomeStatement!C53+IncomeStatement!D53+IncomeStatement!E53+IncomeStatement!F53+IncomeStatement!G53+IncomeStatement!H53+IncomeStatement!I53+IncomeStatement!J53,C32))))))))</f>
        <v>0</v>
      </c>
      <c r="C32" s="82" t="b">
        <f>IF($B$6=9,IncomeStatement!C53+IncomeStatement!D53+IncomeStatement!E53+IncomeStatement!F53+IncomeStatement!G53+IncomeStatement!H53+IncomeStatement!I53+IncomeStatement!J53+IncomeStatement!K53,IF($B$6=10,IncomeStatement!C53+IncomeStatement!D53+IncomeStatement!E53+IncomeStatement!F53+IncomeStatement!G53+IncomeStatement!H53+IncomeStatement!I53+IncomeStatement!J53+IncomeStatement!K53+IncomeStatement!L53,IF($B$6=11,IncomeStatement!C53+IncomeStatement!D53+IncomeStatement!E53+IncomeStatement!F53+IncomeStatement!G53+IncomeStatement!H53+IncomeStatement!I53+IncomeStatement!J53+IncomeStatement!K53+IncomeStatement!L53+IncomeStatement!M53,IF($B$6=12,IncomeStatement!C53+IncomeStatement!D53+IncomeStatement!E53+IncomeStatement!F53+IncomeStatement!G53+IncomeStatement!H53+IncomeStatement!I53+IncomeStatement!J53+IncomeStatement!K53+IncomeStatement!L53+IncomeStatement!M53+IncomeStatement!N53))))</f>
        <v>0</v>
      </c>
    </row>
    <row r="33" spans="1:3" ht="15.5">
      <c r="A33" t="str">
        <f>IncomeStatement!A54</f>
        <v xml:space="preserve">     Training</v>
      </c>
      <c r="B33" s="83">
        <f>IF($B$6=1,IncomeStatement!C54,IF($B$6=2,IncomeStatement!C54+IncomeStatement!D54,IF($B$6=3,IncomeStatement!C54+IncomeStatement!D54+IncomeStatement!E54,IF($B$6=4,IncomeStatement!C54+IncomeStatement!D54+IncomeStatement!E54+IncomeStatement!F54,IF($B$6=5,IncomeStatement!C54+IncomeStatement!D54+IncomeStatement!E54+IncomeStatement!F54+IncomeStatement!G54,IF($B$6=6,IncomeStatement!C54+IncomeStatement!D54+IncomeStatement!E54+IncomeStatement!F54+IncomeStatement!G54+IncomeStatement!H54,IF($B$6=7,IncomeStatement!C54+IncomeStatement!D54+IncomeStatement!E54+IncomeStatement!F54+IncomeStatement!G54+IncomeStatement!H54+IncomeStatement!I54,IF($B$6=8,IncomeStatement!C54+IncomeStatement!D54+IncomeStatement!E54+IncomeStatement!F54+IncomeStatement!G54+IncomeStatement!H54+IncomeStatement!I54+IncomeStatement!J54,C33))))))))</f>
        <v>0</v>
      </c>
      <c r="C33" s="82" t="b">
        <f>IF($B$6=9,IncomeStatement!C54+IncomeStatement!D54+IncomeStatement!E54+IncomeStatement!F54+IncomeStatement!G54+IncomeStatement!H54+IncomeStatement!I54+IncomeStatement!J54+IncomeStatement!K54,IF($B$6=10,IncomeStatement!C54+IncomeStatement!D54+IncomeStatement!E54+IncomeStatement!F54+IncomeStatement!G54+IncomeStatement!H54+IncomeStatement!I54+IncomeStatement!J54+IncomeStatement!K54+IncomeStatement!L54,IF($B$6=11,IncomeStatement!C54+IncomeStatement!D54+IncomeStatement!E54+IncomeStatement!F54+IncomeStatement!G54+IncomeStatement!H54+IncomeStatement!I54+IncomeStatement!J54+IncomeStatement!K54+IncomeStatement!L54+IncomeStatement!M54,IF($B$6=12,IncomeStatement!C54+IncomeStatement!D54+IncomeStatement!E54+IncomeStatement!F54+IncomeStatement!G54+IncomeStatement!H54+IncomeStatement!I54+IncomeStatement!J54+IncomeStatement!K54+IncomeStatement!L54+IncomeStatement!M54+IncomeStatement!N54))))</f>
        <v>0</v>
      </c>
    </row>
    <row r="34" spans="1:3" ht="15.5">
      <c r="A34" t="str">
        <f>IncomeStatement!A55</f>
        <v xml:space="preserve">     Travel</v>
      </c>
      <c r="B34" s="83">
        <f>IF($B$6=1,IncomeStatement!C55,IF($B$6=2,IncomeStatement!C55+IncomeStatement!D55,IF($B$6=3,IncomeStatement!C55+IncomeStatement!D55+IncomeStatement!E55,IF($B$6=4,IncomeStatement!C55+IncomeStatement!D55+IncomeStatement!E55+IncomeStatement!F55,IF($B$6=5,IncomeStatement!C55+IncomeStatement!D55+IncomeStatement!E55+IncomeStatement!F55+IncomeStatement!G55,IF($B$6=6,IncomeStatement!C55+IncomeStatement!D55+IncomeStatement!E55+IncomeStatement!F55+IncomeStatement!G55+IncomeStatement!H55,IF($B$6=7,IncomeStatement!C55+IncomeStatement!D55+IncomeStatement!E55+IncomeStatement!F55+IncomeStatement!G55+IncomeStatement!H55+IncomeStatement!I55,IF($B$6=8,IncomeStatement!C55+IncomeStatement!D55+IncomeStatement!E55+IncomeStatement!F55+IncomeStatement!G55+IncomeStatement!H55+IncomeStatement!I55+IncomeStatement!J55,C34))))))))</f>
        <v>0</v>
      </c>
      <c r="C34" s="82" t="b">
        <f>IF($B$6=9,IncomeStatement!C55+IncomeStatement!D55+IncomeStatement!E55+IncomeStatement!F55+IncomeStatement!G55+IncomeStatement!H55+IncomeStatement!I55+IncomeStatement!J55+IncomeStatement!K55,IF($B$6=10,IncomeStatement!C55+IncomeStatement!D55+IncomeStatement!E55+IncomeStatement!F55+IncomeStatement!G55+IncomeStatement!H55+IncomeStatement!I55+IncomeStatement!J55+IncomeStatement!K55+IncomeStatement!L55,IF($B$6=11,IncomeStatement!C55+IncomeStatement!D55+IncomeStatement!E55+IncomeStatement!F55+IncomeStatement!G55+IncomeStatement!H55+IncomeStatement!I55+IncomeStatement!J55+IncomeStatement!K55+IncomeStatement!L55+IncomeStatement!M55,IF($B$6=12,IncomeStatement!C55+IncomeStatement!D55+IncomeStatement!E55+IncomeStatement!F55+IncomeStatement!G55+IncomeStatement!H55+IncomeStatement!I55+IncomeStatement!J55+IncomeStatement!K55+IncomeStatement!L55+IncomeStatement!M55+IncomeStatement!N55))))</f>
        <v>0</v>
      </c>
    </row>
    <row r="35" spans="1:3" ht="15.5">
      <c r="A35" t="str">
        <f>IncomeStatement!A56</f>
        <v xml:space="preserve">     Supplies</v>
      </c>
      <c r="B35" s="83">
        <f>IF($B$6=1,IncomeStatement!C56,IF($B$6=2,IncomeStatement!C56+IncomeStatement!D56,IF($B$6=3,IncomeStatement!C56+IncomeStatement!D56+IncomeStatement!E56,IF($B$6=4,IncomeStatement!C56+IncomeStatement!D56+IncomeStatement!E56+IncomeStatement!F56,IF($B$6=5,IncomeStatement!C56+IncomeStatement!D56+IncomeStatement!E56+IncomeStatement!F56+IncomeStatement!G56,IF($B$6=6,IncomeStatement!C56+IncomeStatement!D56+IncomeStatement!E56+IncomeStatement!F56+IncomeStatement!G56+IncomeStatement!H56,IF($B$6=7,IncomeStatement!C56+IncomeStatement!D56+IncomeStatement!E56+IncomeStatement!F56+IncomeStatement!G56+IncomeStatement!H56+IncomeStatement!I56,IF($B$6=8,IncomeStatement!C56+IncomeStatement!D56+IncomeStatement!E56+IncomeStatement!F56+IncomeStatement!G56+IncomeStatement!H56+IncomeStatement!I56+IncomeStatement!J56,C35))))))))</f>
        <v>0</v>
      </c>
      <c r="C35" s="82" t="b">
        <f>IF($B$6=9,IncomeStatement!C56+IncomeStatement!D56+IncomeStatement!E56+IncomeStatement!F56+IncomeStatement!G56+IncomeStatement!H56+IncomeStatement!I56+IncomeStatement!J56+IncomeStatement!K56,IF($B$6=10,IncomeStatement!C56+IncomeStatement!D56+IncomeStatement!E56+IncomeStatement!F56+IncomeStatement!G56+IncomeStatement!H56+IncomeStatement!I56+IncomeStatement!J56+IncomeStatement!K56+IncomeStatement!L56,IF($B$6=11,IncomeStatement!C56+IncomeStatement!D56+IncomeStatement!E56+IncomeStatement!F56+IncomeStatement!G56+IncomeStatement!H56+IncomeStatement!I56+IncomeStatement!J56+IncomeStatement!K56+IncomeStatement!L56+IncomeStatement!M56,IF($B$6=12,IncomeStatement!C56+IncomeStatement!D56+IncomeStatement!E56+IncomeStatement!F56+IncomeStatement!G56+IncomeStatement!H56+IncomeStatement!I56+IncomeStatement!J56+IncomeStatement!K56+IncomeStatement!L56+IncomeStatement!M56+IncomeStatement!N56))))</f>
        <v>0</v>
      </c>
    </row>
    <row r="36" spans="1:3" ht="15.5">
      <c r="A36" t="str">
        <f>IncomeStatement!$A$58</f>
        <v xml:space="preserve">     Miscellaneous</v>
      </c>
      <c r="B36" s="83">
        <f>IF($B$6=1,IncomeStatement!C58,IF($B$6=2,IncomeStatement!C58+IncomeStatement!D58,IF($B$6=3,IncomeStatement!C58+IncomeStatement!D58+IncomeStatement!E58,IF($B$6=4,IncomeStatement!C58+IncomeStatement!D58+IncomeStatement!E58+IncomeStatement!F58,IF($B$6=5,IncomeStatement!C58+IncomeStatement!D58+IncomeStatement!E58+IncomeStatement!F58+IncomeStatement!G58,IF($B$6=6,IncomeStatement!C58+IncomeStatement!D58+IncomeStatement!E58+IncomeStatement!F58+IncomeStatement!G58+IncomeStatement!H58,IF($B$6=7,IncomeStatement!C58+IncomeStatement!D58+IncomeStatement!E58+IncomeStatement!F58+IncomeStatement!G58+IncomeStatement!H58+IncomeStatement!I58,IF($B$6=8,IncomeStatement!C58+IncomeStatement!D58+IncomeStatement!E58+IncomeStatement!F58+IncomeStatement!G58+IncomeStatement!H58+IncomeStatement!I58+IncomeStatement!J58,C36))))))))</f>
        <v>0</v>
      </c>
      <c r="C36" s="82" t="b">
        <f>IF($B$6=9,IncomeStatement!C58+IncomeStatement!D58+IncomeStatement!E58+IncomeStatement!F58+IncomeStatement!G58+IncomeStatement!H58+IncomeStatement!I58+IncomeStatement!J58+IncomeStatement!K58,IF($B$6=10,IncomeStatement!C58+IncomeStatement!D58+IncomeStatement!E58+IncomeStatement!F58+IncomeStatement!G58+IncomeStatement!H58+IncomeStatement!I58+IncomeStatement!J58+IncomeStatement!K58+IncomeStatement!L58,IF($B$6=11,IncomeStatement!C58+IncomeStatement!D58+IncomeStatement!E58+IncomeStatement!F58+IncomeStatement!G58+IncomeStatement!H58+IncomeStatement!I58+IncomeStatement!J58+IncomeStatement!K58+IncomeStatement!L58+IncomeStatement!M58,IF($B$6=12,IncomeStatement!C58+IncomeStatement!D58+IncomeStatement!E58+IncomeStatement!F58+IncomeStatement!G58+IncomeStatement!H58+IncomeStatement!I58+IncomeStatement!J58+IncomeStatement!K58+IncomeStatement!L58+IncomeStatement!M58+IncomeStatement!N58))))</f>
        <v>0</v>
      </c>
    </row>
    <row r="38" spans="1:3" ht="13">
      <c r="A38" s="2" t="s">
        <v>84</v>
      </c>
      <c r="B38" s="3">
        <f>SUM(B8:B36)</f>
        <v>0</v>
      </c>
    </row>
    <row r="39" spans="1:3">
      <c r="A39" t="s">
        <v>12</v>
      </c>
    </row>
  </sheetData>
  <phoneticPr fontId="0" type="noConversion"/>
  <printOptions horizontalCentered="1"/>
  <pageMargins left="0.5" right="0.5" top="0.5" bottom="0.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opLeftCell="A2" workbookViewId="0">
      <selection activeCell="D19" sqref="D19"/>
    </sheetView>
  </sheetViews>
  <sheetFormatPr defaultRowHeight="12.5"/>
  <cols>
    <col min="1" max="1" width="40.26953125" customWidth="1"/>
    <col min="2" max="12" width="10.7265625" customWidth="1"/>
  </cols>
  <sheetData>
    <row r="1" spans="1:12" ht="18">
      <c r="A1" s="13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>
      <c r="A3" t="s">
        <v>86</v>
      </c>
    </row>
    <row r="4" spans="1:12">
      <c r="A4" t="s">
        <v>87</v>
      </c>
    </row>
    <row r="6" spans="1:12">
      <c r="A6" t="s">
        <v>88</v>
      </c>
      <c r="B6" s="16">
        <v>6.2E-2</v>
      </c>
    </row>
    <row r="7" spans="1:12">
      <c r="A7" t="s">
        <v>89</v>
      </c>
      <c r="B7" s="16">
        <v>1.4500000000000001E-2</v>
      </c>
    </row>
    <row r="8" spans="1:12">
      <c r="A8" t="s">
        <v>90</v>
      </c>
      <c r="B8" s="16">
        <v>6.2E-2</v>
      </c>
      <c r="C8" t="s">
        <v>91</v>
      </c>
    </row>
    <row r="9" spans="1:12">
      <c r="B9" s="16"/>
    </row>
    <row r="10" spans="1:12" ht="13">
      <c r="A10" t="s">
        <v>92</v>
      </c>
      <c r="B10" s="17">
        <v>2.7E-2</v>
      </c>
      <c r="C10" t="s">
        <v>93</v>
      </c>
    </row>
    <row r="12" spans="1:12" ht="13">
      <c r="H12" s="9" t="s">
        <v>94</v>
      </c>
      <c r="I12" s="15"/>
      <c r="J12" s="15"/>
      <c r="K12" s="15"/>
    </row>
    <row r="13" spans="1:12" ht="13">
      <c r="A13" s="2" t="s">
        <v>95</v>
      </c>
      <c r="B13" s="8" t="s">
        <v>96</v>
      </c>
      <c r="C13" s="8" t="s">
        <v>97</v>
      </c>
      <c r="D13" s="8" t="s">
        <v>98</v>
      </c>
      <c r="E13" s="8" t="s">
        <v>99</v>
      </c>
      <c r="F13" s="8" t="s">
        <v>100</v>
      </c>
      <c r="G13" s="8" t="s">
        <v>35</v>
      </c>
      <c r="H13" s="67" t="s">
        <v>101</v>
      </c>
      <c r="I13" s="67" t="s">
        <v>102</v>
      </c>
      <c r="J13" s="67" t="s">
        <v>103</v>
      </c>
      <c r="K13" s="67" t="s">
        <v>35</v>
      </c>
      <c r="L13" s="8" t="s">
        <v>104</v>
      </c>
    </row>
    <row r="14" spans="1:12">
      <c r="A14" s="65" t="s">
        <v>330</v>
      </c>
      <c r="B14" s="68">
        <v>0</v>
      </c>
      <c r="C14" s="3">
        <v>0</v>
      </c>
      <c r="D14" s="65">
        <v>40</v>
      </c>
      <c r="E14" s="65">
        <v>0</v>
      </c>
      <c r="F14" s="65">
        <v>52</v>
      </c>
      <c r="G14" s="3">
        <f>(((B14*D14)+((B14*1.5))*E14)*F14+C14)</f>
        <v>0</v>
      </c>
      <c r="H14" s="3">
        <f>G14*$B$6</f>
        <v>0</v>
      </c>
      <c r="I14" s="3">
        <f>G14*$B$7</f>
        <v>0</v>
      </c>
      <c r="J14" s="3">
        <f>IF(G14&gt;7000,7000*$B$8,G14*$B$8)</f>
        <v>0</v>
      </c>
      <c r="K14" s="3">
        <f>SUM(H14:J14)</f>
        <v>0</v>
      </c>
      <c r="L14" s="3">
        <f>G14*$B$10</f>
        <v>0</v>
      </c>
    </row>
    <row r="15" spans="1:12">
      <c r="A15" s="65" t="s">
        <v>12</v>
      </c>
      <c r="B15" s="68">
        <v>0</v>
      </c>
      <c r="C15" s="3">
        <v>0</v>
      </c>
      <c r="D15" s="65">
        <v>0</v>
      </c>
      <c r="E15" s="65">
        <v>0</v>
      </c>
      <c r="F15" s="65">
        <v>52</v>
      </c>
      <c r="G15" s="3">
        <f t="shared" ref="G15:G24" si="0">(((B15*D15)+((B15*1.5))*E15)*F15+C15)</f>
        <v>0</v>
      </c>
      <c r="H15" s="3">
        <f t="shared" ref="H15:H24" si="1">G15*$B$6</f>
        <v>0</v>
      </c>
      <c r="I15" s="3">
        <f t="shared" ref="I15:I24" si="2">G15*$B$7</f>
        <v>0</v>
      </c>
      <c r="J15" s="3">
        <f t="shared" ref="J15:J24" si="3">IF(G15&gt;7000,7000*$B$8,G15*$B$8)</f>
        <v>0</v>
      </c>
      <c r="K15" s="3">
        <f t="shared" ref="K15:K24" si="4">SUM(H15:J15)</f>
        <v>0</v>
      </c>
      <c r="L15" s="3">
        <f t="shared" ref="L15:L24" si="5">G15*$B$10</f>
        <v>0</v>
      </c>
    </row>
    <row r="16" spans="1:12">
      <c r="A16" s="65" t="s">
        <v>12</v>
      </c>
      <c r="B16" s="68">
        <v>0</v>
      </c>
      <c r="C16" s="3">
        <v>0</v>
      </c>
      <c r="D16" s="65">
        <v>0</v>
      </c>
      <c r="E16" s="65">
        <v>0</v>
      </c>
      <c r="F16" s="65">
        <v>52</v>
      </c>
      <c r="G16" s="3">
        <f t="shared" si="0"/>
        <v>0</v>
      </c>
      <c r="H16" s="3">
        <f t="shared" si="1"/>
        <v>0</v>
      </c>
      <c r="I16" s="3">
        <f t="shared" si="2"/>
        <v>0</v>
      </c>
      <c r="J16" s="3">
        <f t="shared" si="3"/>
        <v>0</v>
      </c>
      <c r="K16" s="3">
        <f t="shared" si="4"/>
        <v>0</v>
      </c>
      <c r="L16" s="3">
        <f t="shared" si="5"/>
        <v>0</v>
      </c>
    </row>
    <row r="17" spans="1:12">
      <c r="A17" s="65" t="s">
        <v>12</v>
      </c>
      <c r="B17" s="68">
        <v>0</v>
      </c>
      <c r="C17" s="3">
        <v>0</v>
      </c>
      <c r="D17" s="65">
        <v>0</v>
      </c>
      <c r="E17" s="65">
        <v>0</v>
      </c>
      <c r="F17" s="65">
        <v>52</v>
      </c>
      <c r="G17" s="3">
        <f t="shared" si="0"/>
        <v>0</v>
      </c>
      <c r="H17" s="3">
        <f t="shared" si="1"/>
        <v>0</v>
      </c>
      <c r="I17" s="3">
        <f t="shared" si="2"/>
        <v>0</v>
      </c>
      <c r="J17" s="3">
        <f t="shared" si="3"/>
        <v>0</v>
      </c>
      <c r="K17" s="3">
        <f t="shared" si="4"/>
        <v>0</v>
      </c>
      <c r="L17" s="3">
        <f t="shared" si="5"/>
        <v>0</v>
      </c>
    </row>
    <row r="18" spans="1:12">
      <c r="A18" s="65"/>
      <c r="B18" s="68">
        <v>0</v>
      </c>
      <c r="C18" s="3">
        <v>0</v>
      </c>
      <c r="D18" s="65">
        <v>0</v>
      </c>
      <c r="E18" s="65">
        <v>0</v>
      </c>
      <c r="F18" s="65">
        <v>52</v>
      </c>
      <c r="G18" s="3">
        <f t="shared" si="0"/>
        <v>0</v>
      </c>
      <c r="H18" s="3">
        <f t="shared" si="1"/>
        <v>0</v>
      </c>
      <c r="I18" s="3">
        <f t="shared" si="2"/>
        <v>0</v>
      </c>
      <c r="J18" s="3">
        <f t="shared" si="3"/>
        <v>0</v>
      </c>
      <c r="K18" s="3">
        <f t="shared" si="4"/>
        <v>0</v>
      </c>
      <c r="L18" s="3">
        <f t="shared" si="5"/>
        <v>0</v>
      </c>
    </row>
    <row r="19" spans="1:12">
      <c r="A19" s="65"/>
      <c r="B19" s="68"/>
      <c r="C19" s="3"/>
      <c r="D19" s="65"/>
      <c r="E19" s="65"/>
      <c r="F19" s="65"/>
      <c r="G19" s="3">
        <f t="shared" si="0"/>
        <v>0</v>
      </c>
      <c r="H19" s="3">
        <f t="shared" si="1"/>
        <v>0</v>
      </c>
      <c r="I19" s="3">
        <f t="shared" si="2"/>
        <v>0</v>
      </c>
      <c r="J19" s="3">
        <f t="shared" si="3"/>
        <v>0</v>
      </c>
      <c r="K19" s="3">
        <f t="shared" si="4"/>
        <v>0</v>
      </c>
      <c r="L19" s="3">
        <f t="shared" si="5"/>
        <v>0</v>
      </c>
    </row>
    <row r="20" spans="1:12">
      <c r="A20" s="65"/>
      <c r="B20" s="68"/>
      <c r="C20" s="3"/>
      <c r="D20" s="65"/>
      <c r="E20" s="65"/>
      <c r="F20" s="65"/>
      <c r="G20" s="3">
        <f t="shared" si="0"/>
        <v>0</v>
      </c>
      <c r="H20" s="3">
        <f t="shared" si="1"/>
        <v>0</v>
      </c>
      <c r="I20" s="3">
        <f t="shared" si="2"/>
        <v>0</v>
      </c>
      <c r="J20" s="3">
        <f t="shared" si="3"/>
        <v>0</v>
      </c>
      <c r="K20" s="3">
        <f t="shared" si="4"/>
        <v>0</v>
      </c>
      <c r="L20" s="3">
        <f t="shared" si="5"/>
        <v>0</v>
      </c>
    </row>
    <row r="21" spans="1:12">
      <c r="A21" s="65"/>
      <c r="B21" s="68"/>
      <c r="C21" s="3"/>
      <c r="D21" s="65"/>
      <c r="E21" s="65"/>
      <c r="F21" s="65"/>
      <c r="G21" s="3">
        <f t="shared" si="0"/>
        <v>0</v>
      </c>
      <c r="H21" s="3">
        <f t="shared" si="1"/>
        <v>0</v>
      </c>
      <c r="I21" s="3">
        <f t="shared" si="2"/>
        <v>0</v>
      </c>
      <c r="J21" s="3">
        <f t="shared" si="3"/>
        <v>0</v>
      </c>
      <c r="K21" s="3">
        <f t="shared" si="4"/>
        <v>0</v>
      </c>
      <c r="L21" s="3">
        <f t="shared" si="5"/>
        <v>0</v>
      </c>
    </row>
    <row r="22" spans="1:12">
      <c r="A22" s="65"/>
      <c r="B22" s="68"/>
      <c r="C22" s="3"/>
      <c r="D22" s="65"/>
      <c r="E22" s="65"/>
      <c r="F22" s="65"/>
      <c r="G22" s="3">
        <f t="shared" si="0"/>
        <v>0</v>
      </c>
      <c r="H22" s="3">
        <f t="shared" si="1"/>
        <v>0</v>
      </c>
      <c r="I22" s="3">
        <f t="shared" si="2"/>
        <v>0</v>
      </c>
      <c r="J22" s="3">
        <f t="shared" si="3"/>
        <v>0</v>
      </c>
      <c r="K22" s="3">
        <f t="shared" si="4"/>
        <v>0</v>
      </c>
      <c r="L22" s="3">
        <f t="shared" si="5"/>
        <v>0</v>
      </c>
    </row>
    <row r="23" spans="1:12">
      <c r="A23" s="65"/>
      <c r="B23" s="68"/>
      <c r="C23" s="3"/>
      <c r="D23" s="65"/>
      <c r="E23" s="65"/>
      <c r="F23" s="65"/>
      <c r="G23" s="3">
        <f t="shared" si="0"/>
        <v>0</v>
      </c>
      <c r="H23" s="3">
        <f t="shared" si="1"/>
        <v>0</v>
      </c>
      <c r="I23" s="3">
        <f t="shared" si="2"/>
        <v>0</v>
      </c>
      <c r="J23" s="3">
        <f t="shared" si="3"/>
        <v>0</v>
      </c>
      <c r="K23" s="3">
        <f t="shared" si="4"/>
        <v>0</v>
      </c>
      <c r="L23" s="3">
        <f t="shared" si="5"/>
        <v>0</v>
      </c>
    </row>
    <row r="24" spans="1:12">
      <c r="A24" s="65"/>
      <c r="B24" s="68"/>
      <c r="C24" s="3"/>
      <c r="D24" s="65"/>
      <c r="E24" s="65"/>
      <c r="F24" s="65"/>
      <c r="G24" s="3">
        <f t="shared" si="0"/>
        <v>0</v>
      </c>
      <c r="H24" s="3">
        <f t="shared" si="1"/>
        <v>0</v>
      </c>
      <c r="I24" s="3">
        <f t="shared" si="2"/>
        <v>0</v>
      </c>
      <c r="J24" s="3">
        <f t="shared" si="3"/>
        <v>0</v>
      </c>
      <c r="K24" s="3">
        <f t="shared" si="4"/>
        <v>0</v>
      </c>
      <c r="L24" s="3">
        <f t="shared" si="5"/>
        <v>0</v>
      </c>
    </row>
    <row r="25" spans="1:12" ht="13">
      <c r="A25" s="66" t="s">
        <v>105</v>
      </c>
      <c r="B25" s="68"/>
      <c r="C25" s="3"/>
      <c r="D25" s="65"/>
      <c r="E25" s="65"/>
      <c r="F25" s="65"/>
      <c r="G25" s="3">
        <f t="shared" ref="G25:L25" si="6">SUM(G14:G24)</f>
        <v>0</v>
      </c>
      <c r="H25" s="3">
        <f t="shared" si="6"/>
        <v>0</v>
      </c>
      <c r="I25" s="3">
        <f t="shared" si="6"/>
        <v>0</v>
      </c>
      <c r="J25" s="3">
        <f t="shared" si="6"/>
        <v>0</v>
      </c>
      <c r="K25" s="3">
        <f t="shared" si="6"/>
        <v>0</v>
      </c>
      <c r="L25" s="3">
        <f t="shared" si="6"/>
        <v>0</v>
      </c>
    </row>
    <row r="26" spans="1:12" ht="13" thickBot="1"/>
    <row r="27" spans="1:12" ht="14" thickTop="1" thickBot="1">
      <c r="A27" s="2" t="s">
        <v>106</v>
      </c>
      <c r="B27" s="69">
        <f>SUM(G25,K25)</f>
        <v>0</v>
      </c>
    </row>
    <row r="28" spans="1:12" ht="13" thickTop="1">
      <c r="A28" t="s">
        <v>107</v>
      </c>
      <c r="H28" s="4" t="s">
        <v>12</v>
      </c>
    </row>
    <row r="29" spans="1:12">
      <c r="A29" t="s">
        <v>108</v>
      </c>
    </row>
    <row r="30" spans="1:12" ht="13" thickBot="1"/>
    <row r="31" spans="1:12" ht="14" thickTop="1" thickBot="1">
      <c r="A31" s="2" t="s">
        <v>109</v>
      </c>
      <c r="B31" s="69">
        <f>L25</f>
        <v>0</v>
      </c>
    </row>
    <row r="32" spans="1:12" ht="13" thickTop="1"/>
  </sheetData>
  <phoneticPr fontId="0" type="noConversion"/>
  <printOptions horizontalCentered="1" verticalCentered="1"/>
  <pageMargins left="0.25" right="0.25" top="0.5" bottom="0.5" header="0" footer="0"/>
  <pageSetup scale="86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0"/>
  <sheetViews>
    <sheetView topLeftCell="H4" workbookViewId="0">
      <selection activeCell="C11" sqref="C11"/>
    </sheetView>
  </sheetViews>
  <sheetFormatPr defaultRowHeight="12.5"/>
  <cols>
    <col min="1" max="1" width="33.54296875" bestFit="1" customWidth="1"/>
    <col min="2" max="2" width="4.54296875" customWidth="1"/>
    <col min="3" max="14" width="10.7265625" customWidth="1"/>
    <col min="15" max="15" width="2.26953125" customWidth="1"/>
    <col min="16" max="16" width="10.7265625" customWidth="1"/>
    <col min="17" max="17" width="11.81640625" customWidth="1"/>
    <col min="18" max="18" width="10.7265625" customWidth="1"/>
    <col min="19" max="19" width="12.26953125" customWidth="1"/>
    <col min="20" max="20" width="10.7265625" customWidth="1"/>
    <col min="21" max="21" width="12.7265625" customWidth="1"/>
  </cols>
  <sheetData>
    <row r="1" spans="1:21" ht="13">
      <c r="A1" t="s">
        <v>110</v>
      </c>
      <c r="C1" s="18">
        <v>0</v>
      </c>
    </row>
    <row r="2" spans="1:21" ht="13">
      <c r="A2" t="s">
        <v>111</v>
      </c>
      <c r="C2" s="18">
        <v>0</v>
      </c>
    </row>
    <row r="3" spans="1:21" ht="13">
      <c r="A3" t="s">
        <v>323</v>
      </c>
      <c r="C3" s="19">
        <v>0.45</v>
      </c>
    </row>
    <row r="4" spans="1:21" ht="13">
      <c r="A4" t="s">
        <v>112</v>
      </c>
      <c r="C4" s="19">
        <v>0.15</v>
      </c>
    </row>
    <row r="5" spans="1:21" ht="13">
      <c r="A5" t="s">
        <v>113</v>
      </c>
      <c r="C5" s="19">
        <v>0.1</v>
      </c>
    </row>
    <row r="7" spans="1:21" ht="13">
      <c r="A7" t="s">
        <v>341</v>
      </c>
      <c r="C7" s="90">
        <v>0.11</v>
      </c>
      <c r="D7" s="90">
        <v>0.09</v>
      </c>
      <c r="E7" s="90">
        <v>0.08</v>
      </c>
      <c r="F7" s="90">
        <v>0.05</v>
      </c>
      <c r="G7" s="90">
        <v>0.05</v>
      </c>
      <c r="H7" s="90">
        <v>0.05</v>
      </c>
      <c r="I7" s="90">
        <v>0.05</v>
      </c>
      <c r="J7" s="90">
        <v>0.05</v>
      </c>
      <c r="K7" s="90">
        <v>7.0000000000000007E-2</v>
      </c>
      <c r="L7" s="90">
        <v>0.12</v>
      </c>
      <c r="M7" s="90">
        <v>0.13</v>
      </c>
      <c r="N7" s="90">
        <v>0.15</v>
      </c>
      <c r="P7" s="89">
        <f>SUM(C7:O7)</f>
        <v>1</v>
      </c>
    </row>
    <row r="8" spans="1:21" ht="17.5">
      <c r="A8" s="14" t="s">
        <v>114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8">
      <c r="A9" s="13" t="s">
        <v>279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13">
      <c r="A10" s="70" t="s">
        <v>12</v>
      </c>
      <c r="B10" s="9"/>
      <c r="C10" s="88" t="s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3">
      <c r="A11" s="2" t="s">
        <v>115</v>
      </c>
      <c r="B11" s="8" t="s">
        <v>12</v>
      </c>
      <c r="C11" s="8" t="s">
        <v>116</v>
      </c>
      <c r="D11" s="8" t="s">
        <v>117</v>
      </c>
      <c r="E11" s="8" t="s">
        <v>118</v>
      </c>
      <c r="F11" s="8" t="s">
        <v>119</v>
      </c>
      <c r="G11" s="8" t="s">
        <v>120</v>
      </c>
      <c r="H11" s="8" t="s">
        <v>121</v>
      </c>
      <c r="I11" s="8" t="s">
        <v>122</v>
      </c>
      <c r="J11" s="8" t="s">
        <v>123</v>
      </c>
      <c r="K11" s="8" t="s">
        <v>124</v>
      </c>
      <c r="L11" s="8" t="s">
        <v>125</v>
      </c>
      <c r="M11" s="8" t="s">
        <v>126</v>
      </c>
      <c r="N11" s="8" t="s">
        <v>127</v>
      </c>
      <c r="O11" s="20"/>
      <c r="P11" s="8" t="s">
        <v>128</v>
      </c>
      <c r="Q11" s="8" t="s">
        <v>295</v>
      </c>
      <c r="R11" s="8" t="s">
        <v>129</v>
      </c>
      <c r="S11" s="8" t="s">
        <v>295</v>
      </c>
      <c r="T11" s="8" t="s">
        <v>130</v>
      </c>
      <c r="U11" s="8" t="s">
        <v>295</v>
      </c>
    </row>
    <row r="12" spans="1:21">
      <c r="B12" s="4"/>
    </row>
    <row r="13" spans="1:21">
      <c r="A13" s="21" t="s">
        <v>131</v>
      </c>
      <c r="B13" s="4"/>
      <c r="C13" s="4">
        <f>$C$1*C7</f>
        <v>0</v>
      </c>
      <c r="D13" s="4">
        <f t="shared" ref="D13:N13" si="0">$C$1*D7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/>
      <c r="P13" s="4">
        <f>SUM(C13:O13)</f>
        <v>0</v>
      </c>
      <c r="Q13" s="22" t="e">
        <f>P13/(P13+P14)</f>
        <v>#DIV/0!</v>
      </c>
      <c r="R13" s="4">
        <f>P13+(P13*$C$4)</f>
        <v>0</v>
      </c>
      <c r="S13" s="22" t="e">
        <f>R13/(R13+R14)</f>
        <v>#DIV/0!</v>
      </c>
      <c r="T13" s="4">
        <f>R13+(R13*$C$5)</f>
        <v>0</v>
      </c>
      <c r="U13" s="22" t="e">
        <f>T13/(T13+T14)</f>
        <v>#DIV/0!</v>
      </c>
    </row>
    <row r="14" spans="1:21">
      <c r="A14" s="21" t="s">
        <v>132</v>
      </c>
      <c r="B14" s="4"/>
      <c r="C14" s="4">
        <f>$C$2*C7</f>
        <v>0</v>
      </c>
      <c r="D14" s="4">
        <f t="shared" ref="D14:N14" si="1">$C$2*D7</f>
        <v>0</v>
      </c>
      <c r="E14" s="4">
        <f t="shared" si="1"/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/>
      <c r="P14" s="4">
        <f>SUM(C14:O14)</f>
        <v>0</v>
      </c>
      <c r="Q14" s="22" t="e">
        <f>P14/(P13+P14)</f>
        <v>#DIV/0!</v>
      </c>
      <c r="R14" s="4">
        <f>P14+(P14*$C$4)</f>
        <v>0</v>
      </c>
      <c r="S14" s="22" t="e">
        <f>R14/(R13+R14)</f>
        <v>#DIV/0!</v>
      </c>
      <c r="T14" s="4">
        <f>R14+(R14*$C$5)</f>
        <v>0</v>
      </c>
      <c r="U14" s="22" t="e">
        <f>T14/(T13+T14)</f>
        <v>#DIV/0!</v>
      </c>
    </row>
    <row r="15" spans="1:21">
      <c r="A15" s="21" t="s">
        <v>265</v>
      </c>
      <c r="B15" s="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 t="s">
        <v>12</v>
      </c>
      <c r="P15" s="4">
        <f>SUM(C15:O15)</f>
        <v>0</v>
      </c>
      <c r="Q15" s="22" t="e">
        <f>P15/(P13+P14)</f>
        <v>#DIV/0!</v>
      </c>
      <c r="R15" s="4" t="e">
        <f>(R13+R14)*Q15</f>
        <v>#DIV/0!</v>
      </c>
      <c r="S15" s="22" t="e">
        <f>R15/(R13+R14)</f>
        <v>#DIV/0!</v>
      </c>
      <c r="T15" s="4" t="e">
        <f>(T13+T14)*S15</f>
        <v>#DIV/0!</v>
      </c>
      <c r="U15" s="22" t="e">
        <f>T15/(T13+T14)</f>
        <v>#DIV/0!</v>
      </c>
    </row>
    <row r="16" spans="1:21">
      <c r="A16" s="2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2"/>
      <c r="R16" s="4"/>
      <c r="S16" s="22" t="s">
        <v>12</v>
      </c>
      <c r="T16" s="4"/>
      <c r="U16" s="22" t="s">
        <v>12</v>
      </c>
    </row>
    <row r="17" spans="1:21" ht="13">
      <c r="A17" s="2" t="s">
        <v>263</v>
      </c>
      <c r="B17" s="4"/>
      <c r="C17" s="4">
        <f>SUM(C13:C14)-C15</f>
        <v>0</v>
      </c>
      <c r="D17" s="4">
        <f t="shared" ref="D17:R17" si="2">SUM(D13:D14)-D15</f>
        <v>0</v>
      </c>
      <c r="E17" s="4">
        <f t="shared" si="2"/>
        <v>0</v>
      </c>
      <c r="F17" s="4">
        <f t="shared" si="2"/>
        <v>0</v>
      </c>
      <c r="G17" s="4">
        <f t="shared" si="2"/>
        <v>0</v>
      </c>
      <c r="H17" s="4">
        <f t="shared" si="2"/>
        <v>0</v>
      </c>
      <c r="I17" s="4">
        <f t="shared" si="2"/>
        <v>0</v>
      </c>
      <c r="J17" s="4">
        <f t="shared" si="2"/>
        <v>0</v>
      </c>
      <c r="K17" s="4">
        <f t="shared" si="2"/>
        <v>0</v>
      </c>
      <c r="L17" s="4">
        <f t="shared" si="2"/>
        <v>0</v>
      </c>
      <c r="M17" s="4">
        <f t="shared" si="2"/>
        <v>0</v>
      </c>
      <c r="N17" s="4">
        <f t="shared" si="2"/>
        <v>0</v>
      </c>
      <c r="O17" s="4"/>
      <c r="P17" s="4">
        <f t="shared" si="2"/>
        <v>0</v>
      </c>
      <c r="Q17" s="22" t="e">
        <f>P17/$P$17</f>
        <v>#DIV/0!</v>
      </c>
      <c r="R17" s="4" t="e">
        <f t="shared" si="2"/>
        <v>#DIV/0!</v>
      </c>
      <c r="S17" s="22" t="e">
        <f>R17/$R$17</f>
        <v>#DIV/0!</v>
      </c>
      <c r="T17" s="4" t="e">
        <f>SUM(T13:T14)-T15</f>
        <v>#DIV/0!</v>
      </c>
      <c r="U17" s="22" t="e">
        <f>T17/$T$17</f>
        <v>#DIV/0!</v>
      </c>
    </row>
    <row r="18" spans="1:21" ht="13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2"/>
      <c r="R18" s="4"/>
      <c r="S18" s="22"/>
      <c r="T18" s="4"/>
      <c r="U18" s="22"/>
    </row>
    <row r="19" spans="1:21" ht="13">
      <c r="A19" s="2" t="s">
        <v>133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2"/>
      <c r="R19" s="4"/>
      <c r="S19" s="22"/>
      <c r="T19" s="4"/>
      <c r="U19" s="22"/>
    </row>
    <row r="20" spans="1:2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2"/>
      <c r="R20" s="4"/>
      <c r="S20" s="22" t="s">
        <v>12</v>
      </c>
      <c r="T20" s="4"/>
      <c r="U20" s="22" t="s">
        <v>12</v>
      </c>
    </row>
    <row r="21" spans="1:21">
      <c r="A21" s="21" t="s">
        <v>286</v>
      </c>
      <c r="B21" s="76" t="s">
        <v>12</v>
      </c>
      <c r="C21" s="4">
        <f>C17*$C$3</f>
        <v>0</v>
      </c>
      <c r="D21" s="4">
        <f t="shared" ref="D21:N21" si="3">D17*$C$3</f>
        <v>0</v>
      </c>
      <c r="E21" s="4">
        <f t="shared" si="3"/>
        <v>0</v>
      </c>
      <c r="F21" s="4">
        <f t="shared" si="3"/>
        <v>0</v>
      </c>
      <c r="G21" s="4">
        <f t="shared" si="3"/>
        <v>0</v>
      </c>
      <c r="H21" s="4">
        <f t="shared" si="3"/>
        <v>0</v>
      </c>
      <c r="I21" s="4">
        <f t="shared" si="3"/>
        <v>0</v>
      </c>
      <c r="J21" s="4">
        <f t="shared" si="3"/>
        <v>0</v>
      </c>
      <c r="K21" s="4">
        <f t="shared" si="3"/>
        <v>0</v>
      </c>
      <c r="L21" s="4">
        <f t="shared" si="3"/>
        <v>0</v>
      </c>
      <c r="M21" s="4">
        <f t="shared" si="3"/>
        <v>0</v>
      </c>
      <c r="N21" s="4">
        <f t="shared" si="3"/>
        <v>0</v>
      </c>
      <c r="O21" s="4"/>
      <c r="P21" s="4">
        <f>SUM(C21:O21)</f>
        <v>0</v>
      </c>
      <c r="Q21" s="22" t="e">
        <f t="shared" ref="Q21:Q62" si="4">P21/$P$17</f>
        <v>#DIV/0!</v>
      </c>
      <c r="R21" s="4" t="e">
        <f>R17*$C$3</f>
        <v>#DIV/0!</v>
      </c>
      <c r="S21" s="22" t="e">
        <f>R21/$R$17</f>
        <v>#DIV/0!</v>
      </c>
      <c r="T21" s="4" t="e">
        <f>T17*$C$3</f>
        <v>#DIV/0!</v>
      </c>
      <c r="U21" s="22" t="e">
        <f>T21/$T$17</f>
        <v>#DIV/0!</v>
      </c>
    </row>
    <row r="22" spans="1:21" ht="13">
      <c r="A22" s="2" t="s">
        <v>134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22"/>
      <c r="R22" s="4" t="s">
        <v>12</v>
      </c>
      <c r="S22" s="22"/>
      <c r="T22" s="4"/>
      <c r="U22" s="22"/>
    </row>
    <row r="23" spans="1:21" ht="13">
      <c r="A23" s="2" t="s">
        <v>135</v>
      </c>
      <c r="B23" s="4" t="s">
        <v>12</v>
      </c>
      <c r="C23" s="4">
        <f t="shared" ref="C23:N23" si="5">SUM(C21:C22)</f>
        <v>0</v>
      </c>
      <c r="D23" s="4">
        <f t="shared" si="5"/>
        <v>0</v>
      </c>
      <c r="E23" s="4">
        <f t="shared" si="5"/>
        <v>0</v>
      </c>
      <c r="F23" s="4">
        <f t="shared" si="5"/>
        <v>0</v>
      </c>
      <c r="G23" s="4">
        <f t="shared" si="5"/>
        <v>0</v>
      </c>
      <c r="H23" s="4">
        <f t="shared" si="5"/>
        <v>0</v>
      </c>
      <c r="I23" s="4">
        <f t="shared" si="5"/>
        <v>0</v>
      </c>
      <c r="J23" s="4">
        <f t="shared" si="5"/>
        <v>0</v>
      </c>
      <c r="K23" s="4">
        <f t="shared" si="5"/>
        <v>0</v>
      </c>
      <c r="L23" s="4">
        <f t="shared" si="5"/>
        <v>0</v>
      </c>
      <c r="M23" s="4">
        <f t="shared" si="5"/>
        <v>0</v>
      </c>
      <c r="N23" s="4">
        <f t="shared" si="5"/>
        <v>0</v>
      </c>
      <c r="O23" s="4"/>
      <c r="P23" s="4">
        <f>SUM(C23:O23)</f>
        <v>0</v>
      </c>
      <c r="Q23" s="22" t="e">
        <f t="shared" si="4"/>
        <v>#DIV/0!</v>
      </c>
      <c r="R23" s="4" t="e">
        <f>SUM(R21:R22)</f>
        <v>#DIV/0!</v>
      </c>
      <c r="S23" s="22" t="e">
        <f>R23/$R$17</f>
        <v>#DIV/0!</v>
      </c>
      <c r="T23" s="4" t="e">
        <f>SUM(T21:T22)</f>
        <v>#DIV/0!</v>
      </c>
      <c r="U23" s="22" t="e">
        <f>T23/$T$17</f>
        <v>#DIV/0!</v>
      </c>
    </row>
    <row r="24" spans="1:2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2" t="s">
        <v>12</v>
      </c>
      <c r="R24" s="4"/>
      <c r="S24" s="22" t="s">
        <v>12</v>
      </c>
      <c r="T24" s="4"/>
      <c r="U24" s="22" t="s">
        <v>12</v>
      </c>
    </row>
    <row r="25" spans="1:21" ht="13">
      <c r="A25" s="2" t="s">
        <v>136</v>
      </c>
      <c r="B25" s="4" t="s">
        <v>12</v>
      </c>
      <c r="C25" s="4">
        <f>C17-C21</f>
        <v>0</v>
      </c>
      <c r="D25" s="4">
        <f t="shared" ref="D25:N25" si="6">D17-D21</f>
        <v>0</v>
      </c>
      <c r="E25" s="4">
        <f t="shared" si="6"/>
        <v>0</v>
      </c>
      <c r="F25" s="4">
        <f t="shared" si="6"/>
        <v>0</v>
      </c>
      <c r="G25" s="4">
        <f t="shared" si="6"/>
        <v>0</v>
      </c>
      <c r="H25" s="4">
        <f t="shared" si="6"/>
        <v>0</v>
      </c>
      <c r="I25" s="4">
        <f t="shared" si="6"/>
        <v>0</v>
      </c>
      <c r="J25" s="4">
        <f t="shared" si="6"/>
        <v>0</v>
      </c>
      <c r="K25" s="4">
        <f t="shared" si="6"/>
        <v>0</v>
      </c>
      <c r="L25" s="4">
        <f t="shared" si="6"/>
        <v>0</v>
      </c>
      <c r="M25" s="4">
        <f t="shared" si="6"/>
        <v>0</v>
      </c>
      <c r="N25" s="4">
        <f t="shared" si="6"/>
        <v>0</v>
      </c>
      <c r="O25" s="4"/>
      <c r="P25" s="4">
        <f>SUM(C25:O25)</f>
        <v>0</v>
      </c>
      <c r="Q25" s="22" t="e">
        <f t="shared" si="4"/>
        <v>#DIV/0!</v>
      </c>
      <c r="R25" s="4" t="e">
        <f>R17-R21</f>
        <v>#DIV/0!</v>
      </c>
      <c r="S25" s="22" t="e">
        <f>R25/$R$17</f>
        <v>#DIV/0!</v>
      </c>
      <c r="T25" s="4" t="e">
        <f>T17-T21</f>
        <v>#DIV/0!</v>
      </c>
      <c r="U25" s="22" t="e">
        <f>T25/$T$17</f>
        <v>#DIV/0!</v>
      </c>
    </row>
    <row r="26" spans="1:21">
      <c r="B26" s="4"/>
      <c r="C26" s="4"/>
      <c r="D26" s="4"/>
      <c r="E26" s="4"/>
      <c r="F26" s="4" t="s">
        <v>12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22" t="s">
        <v>12</v>
      </c>
      <c r="R26" s="4"/>
      <c r="S26" s="22" t="s">
        <v>12</v>
      </c>
      <c r="T26" s="4"/>
      <c r="U26" s="22" t="s">
        <v>12</v>
      </c>
    </row>
    <row r="27" spans="1:21" ht="13">
      <c r="A27" s="2" t="s">
        <v>137</v>
      </c>
      <c r="B27" s="4"/>
      <c r="C27" s="4" t="s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2" t="s">
        <v>12</v>
      </c>
      <c r="R27" s="4" t="s">
        <v>12</v>
      </c>
      <c r="S27" s="22" t="s">
        <v>12</v>
      </c>
      <c r="T27" s="4"/>
      <c r="U27" s="22" t="s">
        <v>12</v>
      </c>
    </row>
    <row r="28" spans="1:21">
      <c r="B28" s="4"/>
      <c r="C28" s="4" t="s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2" t="s">
        <v>12</v>
      </c>
      <c r="R28" s="4"/>
      <c r="S28" s="22" t="s">
        <v>12</v>
      </c>
      <c r="T28" s="4"/>
      <c r="U28" s="22" t="s">
        <v>12</v>
      </c>
    </row>
    <row r="29" spans="1:21">
      <c r="A29" t="s">
        <v>138</v>
      </c>
      <c r="B29" s="4"/>
      <c r="C29" s="4">
        <f>Payroll!$B$27/12</f>
        <v>0</v>
      </c>
      <c r="D29" s="4">
        <f>Payroll!$B$27/12</f>
        <v>0</v>
      </c>
      <c r="E29" s="4">
        <f>Payroll!$B$27/12</f>
        <v>0</v>
      </c>
      <c r="F29" s="4">
        <f>Payroll!$B$27/12</f>
        <v>0</v>
      </c>
      <c r="G29" s="4">
        <f>Payroll!$B$27/12</f>
        <v>0</v>
      </c>
      <c r="H29" s="4">
        <f>Payroll!$B$27/12</f>
        <v>0</v>
      </c>
      <c r="I29" s="4">
        <f>Payroll!$B$27/12</f>
        <v>0</v>
      </c>
      <c r="J29" s="4">
        <f>Payroll!$B$27/12</f>
        <v>0</v>
      </c>
      <c r="K29" s="4">
        <f>Payroll!$B$27/12</f>
        <v>0</v>
      </c>
      <c r="L29" s="4">
        <f>Payroll!$B$27/12</f>
        <v>0</v>
      </c>
      <c r="M29" s="4">
        <f>Payroll!$B$27/12</f>
        <v>0</v>
      </c>
      <c r="N29" s="4">
        <f>Payroll!$B$27/12</f>
        <v>0</v>
      </c>
      <c r="O29" s="4"/>
      <c r="P29" s="4">
        <f>SUM(C29:O29)</f>
        <v>0</v>
      </c>
      <c r="Q29" s="16" t="e">
        <f t="shared" si="4"/>
        <v>#DIV/0!</v>
      </c>
      <c r="R29" s="4">
        <f>P29*1.03</f>
        <v>0</v>
      </c>
      <c r="S29" s="16" t="e">
        <f t="shared" ref="S29:S57" si="7">R29/$R$17</f>
        <v>#DIV/0!</v>
      </c>
      <c r="T29" s="4">
        <f>R29*1.03</f>
        <v>0</v>
      </c>
      <c r="U29" s="16" t="e">
        <f t="shared" ref="U29:U57" si="8">T29/$T$17</f>
        <v>#DIV/0!</v>
      </c>
    </row>
    <row r="30" spans="1:21">
      <c r="A30" t="s">
        <v>332</v>
      </c>
      <c r="B30" s="4"/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/>
      <c r="P30" s="4">
        <f>SUM(C30:O30)</f>
        <v>0</v>
      </c>
      <c r="Q30" s="16" t="e">
        <f t="shared" si="4"/>
        <v>#DIV/0!</v>
      </c>
      <c r="R30" s="4">
        <f t="shared" ref="R30:R58" si="9">P30*1.03</f>
        <v>0</v>
      </c>
      <c r="S30" s="16" t="e">
        <f t="shared" si="7"/>
        <v>#DIV/0!</v>
      </c>
      <c r="T30" s="4">
        <f t="shared" ref="T30:T58" si="10">R30*1.03</f>
        <v>0</v>
      </c>
      <c r="U30" s="16"/>
    </row>
    <row r="31" spans="1:21">
      <c r="A31" t="s">
        <v>58</v>
      </c>
      <c r="B31" s="4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/>
      <c r="P31" s="4">
        <f t="shared" ref="P31:P58" si="11">SUM(C31:O31)</f>
        <v>0</v>
      </c>
      <c r="Q31" s="16" t="e">
        <f t="shared" si="4"/>
        <v>#DIV/0!</v>
      </c>
      <c r="R31" s="4">
        <f t="shared" si="9"/>
        <v>0</v>
      </c>
      <c r="S31" s="16" t="e">
        <f>R31/$R$17</f>
        <v>#DIV/0!</v>
      </c>
      <c r="T31" s="4">
        <f t="shared" si="10"/>
        <v>0</v>
      </c>
      <c r="U31" s="16" t="e">
        <f t="shared" si="8"/>
        <v>#DIV/0!</v>
      </c>
    </row>
    <row r="32" spans="1:21">
      <c r="A32" t="s">
        <v>59</v>
      </c>
      <c r="B32" s="4"/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/>
      <c r="P32" s="4">
        <f t="shared" si="11"/>
        <v>0</v>
      </c>
      <c r="Q32" s="16" t="e">
        <f t="shared" si="4"/>
        <v>#DIV/0!</v>
      </c>
      <c r="R32" s="4">
        <f t="shared" si="9"/>
        <v>0</v>
      </c>
      <c r="S32" s="16" t="e">
        <f t="shared" si="7"/>
        <v>#DIV/0!</v>
      </c>
      <c r="T32" s="4">
        <f t="shared" si="10"/>
        <v>0</v>
      </c>
      <c r="U32" s="16" t="e">
        <f t="shared" si="8"/>
        <v>#DIV/0!</v>
      </c>
    </row>
    <row r="33" spans="1:21">
      <c r="A33" t="s">
        <v>60</v>
      </c>
      <c r="B33" s="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/>
      <c r="P33" s="4">
        <f t="shared" si="11"/>
        <v>0</v>
      </c>
      <c r="Q33" s="16" t="e">
        <f t="shared" si="4"/>
        <v>#DIV/0!</v>
      </c>
      <c r="R33" s="4">
        <f t="shared" si="9"/>
        <v>0</v>
      </c>
      <c r="S33" s="16" t="e">
        <f t="shared" si="7"/>
        <v>#DIV/0!</v>
      </c>
      <c r="T33" s="4">
        <f t="shared" si="10"/>
        <v>0</v>
      </c>
      <c r="U33" s="16" t="e">
        <f t="shared" si="8"/>
        <v>#DIV/0!</v>
      </c>
    </row>
    <row r="34" spans="1:21">
      <c r="A34" t="s">
        <v>61</v>
      </c>
      <c r="B34" s="4"/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/>
      <c r="P34" s="4">
        <f t="shared" si="11"/>
        <v>0</v>
      </c>
      <c r="Q34" s="16" t="e">
        <f t="shared" si="4"/>
        <v>#DIV/0!</v>
      </c>
      <c r="R34" s="4">
        <f t="shared" si="9"/>
        <v>0</v>
      </c>
      <c r="S34" s="16" t="e">
        <f t="shared" si="7"/>
        <v>#DIV/0!</v>
      </c>
      <c r="T34" s="4">
        <f t="shared" si="10"/>
        <v>0</v>
      </c>
      <c r="U34" s="16" t="e">
        <f t="shared" si="8"/>
        <v>#DIV/0!</v>
      </c>
    </row>
    <row r="35" spans="1:21">
      <c r="A35" t="s">
        <v>62</v>
      </c>
      <c r="B35" s="4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/>
      <c r="P35" s="4">
        <f t="shared" si="11"/>
        <v>0</v>
      </c>
      <c r="Q35" s="16" t="e">
        <f t="shared" si="4"/>
        <v>#DIV/0!</v>
      </c>
      <c r="R35" s="4">
        <f t="shared" si="9"/>
        <v>0</v>
      </c>
      <c r="S35" s="16" t="e">
        <f t="shared" si="7"/>
        <v>#DIV/0!</v>
      </c>
      <c r="T35" s="4">
        <f t="shared" si="10"/>
        <v>0</v>
      </c>
      <c r="U35" s="16" t="e">
        <f t="shared" si="8"/>
        <v>#DIV/0!</v>
      </c>
    </row>
    <row r="36" spans="1:21">
      <c r="A36" t="s">
        <v>63</v>
      </c>
      <c r="B36" s="4"/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/>
      <c r="P36" s="4">
        <f t="shared" si="11"/>
        <v>0</v>
      </c>
      <c r="Q36" s="16" t="e">
        <f t="shared" si="4"/>
        <v>#DIV/0!</v>
      </c>
      <c r="R36" s="4">
        <f t="shared" si="9"/>
        <v>0</v>
      </c>
      <c r="S36" s="16" t="e">
        <f t="shared" si="7"/>
        <v>#DIV/0!</v>
      </c>
      <c r="T36" s="4">
        <f t="shared" si="10"/>
        <v>0</v>
      </c>
      <c r="U36" s="16" t="e">
        <f t="shared" si="8"/>
        <v>#DIV/0!</v>
      </c>
    </row>
    <row r="37" spans="1:21">
      <c r="A37" t="s">
        <v>64</v>
      </c>
      <c r="B37" s="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/>
      <c r="P37" s="4">
        <f t="shared" si="11"/>
        <v>0</v>
      </c>
      <c r="Q37" s="16" t="e">
        <f t="shared" si="4"/>
        <v>#DIV/0!</v>
      </c>
      <c r="R37" s="4">
        <f t="shared" si="9"/>
        <v>0</v>
      </c>
      <c r="S37" s="16" t="e">
        <f t="shared" si="7"/>
        <v>#DIV/0!</v>
      </c>
      <c r="T37" s="4">
        <f t="shared" si="10"/>
        <v>0</v>
      </c>
      <c r="U37" s="16" t="e">
        <f t="shared" si="8"/>
        <v>#DIV/0!</v>
      </c>
    </row>
    <row r="38" spans="1:21">
      <c r="A38" t="s">
        <v>65</v>
      </c>
      <c r="B38" s="4"/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/>
      <c r="P38" s="4">
        <f t="shared" si="11"/>
        <v>0</v>
      </c>
      <c r="Q38" s="16" t="e">
        <f t="shared" si="4"/>
        <v>#DIV/0!</v>
      </c>
      <c r="R38" s="4">
        <f t="shared" si="9"/>
        <v>0</v>
      </c>
      <c r="S38" s="16" t="e">
        <f t="shared" si="7"/>
        <v>#DIV/0!</v>
      </c>
      <c r="T38" s="4">
        <f t="shared" si="10"/>
        <v>0</v>
      </c>
      <c r="U38" s="16" t="e">
        <f t="shared" si="8"/>
        <v>#DIV/0!</v>
      </c>
    </row>
    <row r="39" spans="1:21">
      <c r="A39" t="s">
        <v>66</v>
      </c>
      <c r="B39" s="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/>
      <c r="P39" s="4">
        <f t="shared" si="11"/>
        <v>0</v>
      </c>
      <c r="Q39" s="16" t="e">
        <f t="shared" si="4"/>
        <v>#DIV/0!</v>
      </c>
      <c r="R39" s="4">
        <f t="shared" si="9"/>
        <v>0</v>
      </c>
      <c r="S39" s="16" t="e">
        <f t="shared" si="7"/>
        <v>#DIV/0!</v>
      </c>
      <c r="T39" s="4">
        <f t="shared" si="10"/>
        <v>0</v>
      </c>
      <c r="U39" s="16" t="e">
        <f t="shared" si="8"/>
        <v>#DIV/0!</v>
      </c>
    </row>
    <row r="40" spans="1:21">
      <c r="A40" t="s">
        <v>67</v>
      </c>
      <c r="B40" s="4"/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/>
      <c r="P40" s="4">
        <f t="shared" si="11"/>
        <v>0</v>
      </c>
      <c r="Q40" s="16" t="e">
        <f t="shared" si="4"/>
        <v>#DIV/0!</v>
      </c>
      <c r="R40" s="4">
        <f t="shared" si="9"/>
        <v>0</v>
      </c>
      <c r="S40" s="16" t="e">
        <f t="shared" si="7"/>
        <v>#DIV/0!</v>
      </c>
      <c r="T40" s="4">
        <f t="shared" si="10"/>
        <v>0</v>
      </c>
      <c r="U40" s="16" t="e">
        <f t="shared" si="8"/>
        <v>#DIV/0!</v>
      </c>
    </row>
    <row r="41" spans="1:21">
      <c r="A41" t="s">
        <v>68</v>
      </c>
      <c r="B41" s="4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/>
      <c r="P41" s="4">
        <f t="shared" si="11"/>
        <v>0</v>
      </c>
      <c r="Q41" s="16" t="e">
        <f t="shared" si="4"/>
        <v>#DIV/0!</v>
      </c>
      <c r="R41" s="4">
        <f t="shared" si="9"/>
        <v>0</v>
      </c>
      <c r="S41" s="16" t="e">
        <f t="shared" si="7"/>
        <v>#DIV/0!</v>
      </c>
      <c r="T41" s="4">
        <f t="shared" si="10"/>
        <v>0</v>
      </c>
      <c r="U41" s="16" t="e">
        <f t="shared" si="8"/>
        <v>#DIV/0!</v>
      </c>
    </row>
    <row r="42" spans="1:21">
      <c r="A42" t="s">
        <v>69</v>
      </c>
      <c r="B42" s="4"/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/>
      <c r="P42" s="4">
        <f t="shared" si="11"/>
        <v>0</v>
      </c>
      <c r="Q42" s="16" t="e">
        <f t="shared" si="4"/>
        <v>#DIV/0!</v>
      </c>
      <c r="R42" s="4">
        <f t="shared" si="9"/>
        <v>0</v>
      </c>
      <c r="S42" s="16" t="e">
        <f t="shared" si="7"/>
        <v>#DIV/0!</v>
      </c>
      <c r="T42" s="4">
        <f t="shared" si="10"/>
        <v>0</v>
      </c>
      <c r="U42" s="16" t="e">
        <f t="shared" si="8"/>
        <v>#DIV/0!</v>
      </c>
    </row>
    <row r="43" spans="1:21">
      <c r="A43" t="s">
        <v>70</v>
      </c>
      <c r="B43" s="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/>
      <c r="P43" s="4">
        <f t="shared" si="11"/>
        <v>0</v>
      </c>
      <c r="Q43" s="16" t="e">
        <f t="shared" si="4"/>
        <v>#DIV/0!</v>
      </c>
      <c r="R43" s="4">
        <f t="shared" si="9"/>
        <v>0</v>
      </c>
      <c r="S43" s="16" t="e">
        <f t="shared" si="7"/>
        <v>#DIV/0!</v>
      </c>
      <c r="T43" s="4">
        <f t="shared" si="10"/>
        <v>0</v>
      </c>
      <c r="U43" s="16" t="e">
        <f t="shared" si="8"/>
        <v>#DIV/0!</v>
      </c>
    </row>
    <row r="44" spans="1:21">
      <c r="A44" t="s">
        <v>71</v>
      </c>
      <c r="B44" s="4"/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/>
      <c r="P44" s="4">
        <f t="shared" si="11"/>
        <v>0</v>
      </c>
      <c r="Q44" s="16" t="e">
        <f t="shared" si="4"/>
        <v>#DIV/0!</v>
      </c>
      <c r="R44" s="4">
        <f t="shared" si="9"/>
        <v>0</v>
      </c>
      <c r="S44" s="16" t="e">
        <f t="shared" si="7"/>
        <v>#DIV/0!</v>
      </c>
      <c r="T44" s="4">
        <f t="shared" si="10"/>
        <v>0</v>
      </c>
      <c r="U44" s="16" t="e">
        <f t="shared" si="8"/>
        <v>#DIV/0!</v>
      </c>
    </row>
    <row r="45" spans="1:21">
      <c r="A45" t="s">
        <v>72</v>
      </c>
      <c r="B45" s="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/>
      <c r="P45" s="4">
        <f t="shared" si="11"/>
        <v>0</v>
      </c>
      <c r="Q45" s="16" t="e">
        <f t="shared" si="4"/>
        <v>#DIV/0!</v>
      </c>
      <c r="R45" s="4">
        <f t="shared" si="9"/>
        <v>0</v>
      </c>
      <c r="S45" s="16" t="e">
        <f t="shared" si="7"/>
        <v>#DIV/0!</v>
      </c>
      <c r="T45" s="4">
        <f t="shared" si="10"/>
        <v>0</v>
      </c>
      <c r="U45" s="16" t="e">
        <f t="shared" si="8"/>
        <v>#DIV/0!</v>
      </c>
    </row>
    <row r="46" spans="1:21">
      <c r="A46" t="s">
        <v>73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/>
      <c r="P46" s="4">
        <f t="shared" si="11"/>
        <v>0</v>
      </c>
      <c r="Q46" s="16" t="e">
        <f t="shared" si="4"/>
        <v>#DIV/0!</v>
      </c>
      <c r="R46" s="4">
        <f t="shared" si="9"/>
        <v>0</v>
      </c>
      <c r="S46" s="16" t="e">
        <f t="shared" si="7"/>
        <v>#DIV/0!</v>
      </c>
      <c r="T46" s="4">
        <f t="shared" si="10"/>
        <v>0</v>
      </c>
      <c r="U46" s="16" t="e">
        <f t="shared" si="8"/>
        <v>#DIV/0!</v>
      </c>
    </row>
    <row r="47" spans="1:21">
      <c r="A47" t="s">
        <v>74</v>
      </c>
      <c r="B47" s="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/>
      <c r="P47" s="4">
        <f t="shared" si="11"/>
        <v>0</v>
      </c>
      <c r="Q47" s="16" t="e">
        <f t="shared" si="4"/>
        <v>#DIV/0!</v>
      </c>
      <c r="R47" s="4">
        <f t="shared" si="9"/>
        <v>0</v>
      </c>
      <c r="S47" s="16" t="e">
        <f t="shared" si="7"/>
        <v>#DIV/0!</v>
      </c>
      <c r="T47" s="4">
        <f t="shared" si="10"/>
        <v>0</v>
      </c>
      <c r="U47" s="16" t="e">
        <f t="shared" si="8"/>
        <v>#DIV/0!</v>
      </c>
    </row>
    <row r="48" spans="1:21">
      <c r="A48" t="s">
        <v>75</v>
      </c>
      <c r="B48" s="4"/>
      <c r="C48" s="4">
        <f>Payroll!$L$25/12</f>
        <v>0</v>
      </c>
      <c r="D48" s="4">
        <f>Payroll!$L$25/12</f>
        <v>0</v>
      </c>
      <c r="E48" s="4">
        <f>Payroll!$L$25/12</f>
        <v>0</v>
      </c>
      <c r="F48" s="4">
        <f>Payroll!$L$25/12</f>
        <v>0</v>
      </c>
      <c r="G48" s="4">
        <f>Payroll!$L$25/12</f>
        <v>0</v>
      </c>
      <c r="H48" s="4">
        <f>Payroll!$L$25/12</f>
        <v>0</v>
      </c>
      <c r="I48" s="4">
        <f>Payroll!$L$25/12</f>
        <v>0</v>
      </c>
      <c r="J48" s="4">
        <f>Payroll!$L$25/12</f>
        <v>0</v>
      </c>
      <c r="K48" s="4">
        <f>Payroll!$L$25/12</f>
        <v>0</v>
      </c>
      <c r="L48" s="4">
        <f>Payroll!$L$25/12</f>
        <v>0</v>
      </c>
      <c r="M48" s="4">
        <f>Payroll!$L$25/12</f>
        <v>0</v>
      </c>
      <c r="N48" s="4">
        <f>Payroll!$L$25/12</f>
        <v>0</v>
      </c>
      <c r="O48" s="4"/>
      <c r="P48" s="4">
        <f t="shared" si="11"/>
        <v>0</v>
      </c>
      <c r="Q48" s="16" t="e">
        <f t="shared" si="4"/>
        <v>#DIV/0!</v>
      </c>
      <c r="R48" s="4">
        <f t="shared" si="9"/>
        <v>0</v>
      </c>
      <c r="S48" s="16" t="e">
        <f t="shared" si="7"/>
        <v>#DIV/0!</v>
      </c>
      <c r="T48" s="4">
        <f t="shared" si="10"/>
        <v>0</v>
      </c>
      <c r="U48" s="16" t="e">
        <f t="shared" si="8"/>
        <v>#DIV/0!</v>
      </c>
    </row>
    <row r="49" spans="1:21">
      <c r="A49" t="s">
        <v>76</v>
      </c>
      <c r="B49" s="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/>
      <c r="P49" s="4">
        <f t="shared" si="11"/>
        <v>0</v>
      </c>
      <c r="Q49" s="16" t="e">
        <f t="shared" si="4"/>
        <v>#DIV/0!</v>
      </c>
      <c r="R49" s="4">
        <f t="shared" si="9"/>
        <v>0</v>
      </c>
      <c r="S49" s="16" t="e">
        <f t="shared" si="7"/>
        <v>#DIV/0!</v>
      </c>
      <c r="T49" s="4">
        <f t="shared" si="10"/>
        <v>0</v>
      </c>
      <c r="U49" s="16" t="e">
        <f t="shared" si="8"/>
        <v>#DIV/0!</v>
      </c>
    </row>
    <row r="50" spans="1:21">
      <c r="A50" t="s">
        <v>77</v>
      </c>
      <c r="B50" s="4"/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/>
      <c r="P50" s="4">
        <f t="shared" si="11"/>
        <v>0</v>
      </c>
      <c r="Q50" s="16" t="e">
        <f t="shared" si="4"/>
        <v>#DIV/0!</v>
      </c>
      <c r="R50" s="4">
        <f t="shared" si="9"/>
        <v>0</v>
      </c>
      <c r="S50" s="16" t="e">
        <f t="shared" si="7"/>
        <v>#DIV/0!</v>
      </c>
      <c r="T50" s="4">
        <f t="shared" si="10"/>
        <v>0</v>
      </c>
      <c r="U50" s="16" t="e">
        <f t="shared" si="8"/>
        <v>#DIV/0!</v>
      </c>
    </row>
    <row r="51" spans="1:21">
      <c r="A51" t="s">
        <v>78</v>
      </c>
      <c r="B51" s="4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/>
      <c r="P51" s="4">
        <f t="shared" si="11"/>
        <v>0</v>
      </c>
      <c r="Q51" s="16" t="e">
        <f t="shared" si="4"/>
        <v>#DIV/0!</v>
      </c>
      <c r="R51" s="4">
        <f t="shared" si="9"/>
        <v>0</v>
      </c>
      <c r="S51" s="16" t="e">
        <f t="shared" si="7"/>
        <v>#DIV/0!</v>
      </c>
      <c r="T51" s="4">
        <f t="shared" si="10"/>
        <v>0</v>
      </c>
      <c r="U51" s="16" t="e">
        <f t="shared" si="8"/>
        <v>#DIV/0!</v>
      </c>
    </row>
    <row r="52" spans="1:21">
      <c r="A52" t="s">
        <v>79</v>
      </c>
      <c r="B52" s="4"/>
      <c r="C52" s="57">
        <f>Amortization!D22</f>
        <v>0</v>
      </c>
      <c r="D52" s="57">
        <f>Amortization!D23</f>
        <v>0</v>
      </c>
      <c r="E52" s="57">
        <f>Amortization!D24</f>
        <v>0</v>
      </c>
      <c r="F52" s="57">
        <f>Amortization!D25</f>
        <v>0</v>
      </c>
      <c r="G52" s="57">
        <f>Amortization!D26</f>
        <v>0</v>
      </c>
      <c r="H52" s="57">
        <f>Amortization!D27</f>
        <v>0</v>
      </c>
      <c r="I52" s="57">
        <f>Amortization!D28</f>
        <v>0</v>
      </c>
      <c r="J52" s="57">
        <f>Amortization!D29</f>
        <v>0</v>
      </c>
      <c r="K52" s="57">
        <f>Amortization!D30</f>
        <v>0</v>
      </c>
      <c r="L52" s="57">
        <f>Amortization!D31</f>
        <v>0</v>
      </c>
      <c r="M52" s="57">
        <f>Amortization!D32</f>
        <v>0</v>
      </c>
      <c r="N52" s="57">
        <f>Amortization!D33</f>
        <v>0</v>
      </c>
      <c r="O52" s="4"/>
      <c r="P52" s="4">
        <f t="shared" si="11"/>
        <v>0</v>
      </c>
      <c r="Q52" s="16" t="e">
        <f t="shared" si="4"/>
        <v>#DIV/0!</v>
      </c>
      <c r="R52" s="4">
        <f t="shared" si="9"/>
        <v>0</v>
      </c>
      <c r="S52" s="16" t="e">
        <f t="shared" si="7"/>
        <v>#DIV/0!</v>
      </c>
      <c r="T52" s="4">
        <f t="shared" si="10"/>
        <v>0</v>
      </c>
      <c r="U52" s="16" t="e">
        <f t="shared" si="8"/>
        <v>#DIV/0!</v>
      </c>
    </row>
    <row r="53" spans="1:21">
      <c r="A53" t="s">
        <v>80</v>
      </c>
      <c r="B53" s="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/>
      <c r="P53" s="4">
        <f t="shared" si="11"/>
        <v>0</v>
      </c>
      <c r="Q53" s="16" t="e">
        <f t="shared" si="4"/>
        <v>#DIV/0!</v>
      </c>
      <c r="R53" s="4">
        <f t="shared" si="9"/>
        <v>0</v>
      </c>
      <c r="S53" s="16" t="e">
        <f t="shared" si="7"/>
        <v>#DIV/0!</v>
      </c>
      <c r="T53" s="4">
        <f t="shared" si="10"/>
        <v>0</v>
      </c>
      <c r="U53" s="16" t="e">
        <f t="shared" si="8"/>
        <v>#DIV/0!</v>
      </c>
    </row>
    <row r="54" spans="1:21">
      <c r="A54" t="s">
        <v>81</v>
      </c>
      <c r="B54" s="4"/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/>
      <c r="P54" s="4">
        <f t="shared" si="11"/>
        <v>0</v>
      </c>
      <c r="Q54" s="16" t="e">
        <f t="shared" si="4"/>
        <v>#DIV/0!</v>
      </c>
      <c r="R54" s="4">
        <f t="shared" si="9"/>
        <v>0</v>
      </c>
      <c r="S54" s="16" t="e">
        <f t="shared" si="7"/>
        <v>#DIV/0!</v>
      </c>
      <c r="T54" s="4">
        <f t="shared" si="10"/>
        <v>0</v>
      </c>
      <c r="U54" s="16" t="e">
        <f t="shared" si="8"/>
        <v>#DIV/0!</v>
      </c>
    </row>
    <row r="55" spans="1:21">
      <c r="A55" t="s">
        <v>82</v>
      </c>
      <c r="B55" s="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/>
      <c r="P55" s="4">
        <f t="shared" si="11"/>
        <v>0</v>
      </c>
      <c r="Q55" s="16" t="e">
        <f t="shared" si="4"/>
        <v>#DIV/0!</v>
      </c>
      <c r="R55" s="4">
        <f t="shared" si="9"/>
        <v>0</v>
      </c>
      <c r="S55" s="16" t="e">
        <f t="shared" si="7"/>
        <v>#DIV/0!</v>
      </c>
      <c r="T55" s="4">
        <f t="shared" si="10"/>
        <v>0</v>
      </c>
      <c r="U55" s="16" t="e">
        <f t="shared" si="8"/>
        <v>#DIV/0!</v>
      </c>
    </row>
    <row r="56" spans="1:21">
      <c r="A56" t="s">
        <v>83</v>
      </c>
      <c r="B56" s="4"/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/>
      <c r="P56" s="4">
        <f t="shared" si="11"/>
        <v>0</v>
      </c>
      <c r="Q56" s="16" t="e">
        <f t="shared" si="4"/>
        <v>#DIV/0!</v>
      </c>
      <c r="R56" s="4">
        <f t="shared" si="9"/>
        <v>0</v>
      </c>
      <c r="S56" s="16" t="e">
        <f t="shared" si="7"/>
        <v>#DIV/0!</v>
      </c>
      <c r="T56" s="4">
        <f t="shared" si="10"/>
        <v>0</v>
      </c>
      <c r="U56" s="16" t="e">
        <f t="shared" si="8"/>
        <v>#DIV/0!</v>
      </c>
    </row>
    <row r="57" spans="1:21">
      <c r="A57" t="s">
        <v>139</v>
      </c>
      <c r="B57" s="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/>
      <c r="P57" s="4">
        <f t="shared" si="11"/>
        <v>0</v>
      </c>
      <c r="Q57" s="16" t="e">
        <f t="shared" si="4"/>
        <v>#DIV/0!</v>
      </c>
      <c r="R57" s="4">
        <f t="shared" si="9"/>
        <v>0</v>
      </c>
      <c r="S57" s="16" t="e">
        <f t="shared" si="7"/>
        <v>#DIV/0!</v>
      </c>
      <c r="T57" s="4">
        <f t="shared" si="10"/>
        <v>0</v>
      </c>
      <c r="U57" s="16" t="e">
        <f t="shared" si="8"/>
        <v>#DIV/0!</v>
      </c>
    </row>
    <row r="58" spans="1:21">
      <c r="A58" t="s">
        <v>339</v>
      </c>
      <c r="B58" s="4"/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/>
      <c r="P58" s="4">
        <f t="shared" si="11"/>
        <v>0</v>
      </c>
      <c r="Q58" s="16" t="e">
        <f t="shared" si="4"/>
        <v>#DIV/0!</v>
      </c>
      <c r="R58" s="4">
        <f t="shared" si="9"/>
        <v>0</v>
      </c>
      <c r="S58" s="16" t="e">
        <f>R58/$R$17</f>
        <v>#DIV/0!</v>
      </c>
      <c r="T58" s="4">
        <f t="shared" si="10"/>
        <v>0</v>
      </c>
      <c r="U58" s="16" t="e">
        <f>T58/$T$17</f>
        <v>#DIV/0!</v>
      </c>
    </row>
    <row r="59" spans="1:2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 t="s">
        <v>12</v>
      </c>
      <c r="Q59" s="16" t="s">
        <v>12</v>
      </c>
      <c r="R59" s="4"/>
      <c r="S59" s="16" t="s">
        <v>12</v>
      </c>
      <c r="T59" s="4"/>
      <c r="U59" s="16" t="e">
        <f>T59/$T$17</f>
        <v>#DIV/0!</v>
      </c>
    </row>
    <row r="60" spans="1:21" ht="13">
      <c r="A60" s="2" t="s">
        <v>140</v>
      </c>
      <c r="B60" s="4"/>
      <c r="C60" s="4">
        <f>SUM(C29:C58)</f>
        <v>0</v>
      </c>
      <c r="D60" s="4">
        <f t="shared" ref="D60:T60" si="12">SUM(D29:D58)</f>
        <v>0</v>
      </c>
      <c r="E60" s="4">
        <f t="shared" si="12"/>
        <v>0</v>
      </c>
      <c r="F60" s="4">
        <f t="shared" si="12"/>
        <v>0</v>
      </c>
      <c r="G60" s="4">
        <f t="shared" si="12"/>
        <v>0</v>
      </c>
      <c r="H60" s="4">
        <f t="shared" si="12"/>
        <v>0</v>
      </c>
      <c r="I60" s="4">
        <f t="shared" si="12"/>
        <v>0</v>
      </c>
      <c r="J60" s="4">
        <f t="shared" si="12"/>
        <v>0</v>
      </c>
      <c r="K60" s="4">
        <f t="shared" si="12"/>
        <v>0</v>
      </c>
      <c r="L60" s="4">
        <f t="shared" si="12"/>
        <v>0</v>
      </c>
      <c r="M60" s="4">
        <f t="shared" si="12"/>
        <v>0</v>
      </c>
      <c r="N60" s="4">
        <f t="shared" si="12"/>
        <v>0</v>
      </c>
      <c r="O60" s="4" t="s">
        <v>12</v>
      </c>
      <c r="P60" s="4">
        <f t="shared" si="12"/>
        <v>0</v>
      </c>
      <c r="Q60" s="16" t="e">
        <f t="shared" si="4"/>
        <v>#DIV/0!</v>
      </c>
      <c r="R60" s="4">
        <f t="shared" si="12"/>
        <v>0</v>
      </c>
      <c r="S60" s="16" t="e">
        <f>R60/$R$17</f>
        <v>#DIV/0!</v>
      </c>
      <c r="T60" s="4">
        <f t="shared" si="12"/>
        <v>0</v>
      </c>
      <c r="U60" s="16" t="e">
        <f>T60/$T$17</f>
        <v>#DIV/0!</v>
      </c>
    </row>
    <row r="61" spans="1:2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 t="s">
        <v>12</v>
      </c>
      <c r="Q61" s="16" t="s">
        <v>12</v>
      </c>
      <c r="R61" s="4"/>
      <c r="S61" s="16" t="s">
        <v>12</v>
      </c>
      <c r="T61" s="4"/>
      <c r="U61" s="16" t="s">
        <v>12</v>
      </c>
    </row>
    <row r="62" spans="1:21" ht="13">
      <c r="A62" s="2" t="s">
        <v>141</v>
      </c>
      <c r="B62" s="4"/>
      <c r="C62" s="4">
        <f t="shared" ref="C62:N62" si="13">C25-C60</f>
        <v>0</v>
      </c>
      <c r="D62" s="4">
        <f t="shared" si="13"/>
        <v>0</v>
      </c>
      <c r="E62" s="4">
        <f t="shared" si="13"/>
        <v>0</v>
      </c>
      <c r="F62" s="4">
        <f t="shared" si="13"/>
        <v>0</v>
      </c>
      <c r="G62" s="4">
        <f t="shared" si="13"/>
        <v>0</v>
      </c>
      <c r="H62" s="4">
        <f t="shared" si="13"/>
        <v>0</v>
      </c>
      <c r="I62" s="4">
        <f t="shared" si="13"/>
        <v>0</v>
      </c>
      <c r="J62" s="4">
        <f t="shared" si="13"/>
        <v>0</v>
      </c>
      <c r="K62" s="4">
        <f t="shared" si="13"/>
        <v>0</v>
      </c>
      <c r="L62" s="4">
        <f t="shared" si="13"/>
        <v>0</v>
      </c>
      <c r="M62" s="4">
        <f t="shared" si="13"/>
        <v>0</v>
      </c>
      <c r="N62" s="4">
        <f t="shared" si="13"/>
        <v>0</v>
      </c>
      <c r="O62" s="4" t="s">
        <v>12</v>
      </c>
      <c r="P62" s="4">
        <f>P25-P60</f>
        <v>0</v>
      </c>
      <c r="Q62" s="16" t="e">
        <f t="shared" si="4"/>
        <v>#DIV/0!</v>
      </c>
      <c r="R62" s="4" t="e">
        <f>R25-R60</f>
        <v>#DIV/0!</v>
      </c>
      <c r="S62" s="16" t="e">
        <f>R62/$R$17</f>
        <v>#DIV/0!</v>
      </c>
      <c r="T62" s="4" t="e">
        <f>T25-T60</f>
        <v>#DIV/0!</v>
      </c>
      <c r="U62" s="16" t="e">
        <f>T62/$T$17</f>
        <v>#DIV/0!</v>
      </c>
    </row>
    <row r="63" spans="1:2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12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14">
      <c r="B65" s="4"/>
    </row>
    <row r="66" spans="2:14">
      <c r="B66" s="4"/>
    </row>
    <row r="67" spans="2:14">
      <c r="B67" s="4"/>
      <c r="N67" t="s">
        <v>12</v>
      </c>
    </row>
    <row r="68" spans="2:14">
      <c r="B68" s="4"/>
    </row>
    <row r="69" spans="2:14">
      <c r="B69" s="4"/>
    </row>
    <row r="70" spans="2:14">
      <c r="B70" s="4"/>
    </row>
  </sheetData>
  <phoneticPr fontId="0" type="noConversion"/>
  <printOptions horizontalCentered="1" verticalCentered="1"/>
  <pageMargins left="0.25" right="0.25" top="0.5" bottom="0.25" header="0" footer="0"/>
  <pageSetup scale="57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4"/>
  <sheetViews>
    <sheetView topLeftCell="A43" workbookViewId="0">
      <selection activeCell="B57" sqref="B57"/>
    </sheetView>
  </sheetViews>
  <sheetFormatPr defaultRowHeight="12.5"/>
  <cols>
    <col min="1" max="1" width="33.26953125" customWidth="1"/>
    <col min="2" max="14" width="12.7265625" customWidth="1"/>
  </cols>
  <sheetData>
    <row r="1" spans="1:15" ht="18">
      <c r="A1" s="13" t="s">
        <v>142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5" ht="13">
      <c r="A3" t="s">
        <v>12</v>
      </c>
      <c r="B3" s="8" t="s">
        <v>291</v>
      </c>
      <c r="C3" s="8" t="str">
        <f>IncomeStatement!C11</f>
        <v>Month 1</v>
      </c>
      <c r="D3" s="8" t="str">
        <f>IncomeStatement!D11</f>
        <v>Month 2</v>
      </c>
      <c r="E3" s="8" t="str">
        <f>IncomeStatement!E11</f>
        <v>Month 3</v>
      </c>
      <c r="F3" s="8" t="str">
        <f>IncomeStatement!F11</f>
        <v>Month 4</v>
      </c>
      <c r="G3" s="8" t="str">
        <f>IncomeStatement!G11</f>
        <v>Month 5</v>
      </c>
      <c r="H3" s="8" t="str">
        <f>IncomeStatement!H11</f>
        <v>Month 6</v>
      </c>
      <c r="I3" s="8" t="str">
        <f>IncomeStatement!I11</f>
        <v>Month 7</v>
      </c>
      <c r="J3" s="8" t="str">
        <f>IncomeStatement!J11</f>
        <v>Month 8</v>
      </c>
      <c r="K3" s="8" t="str">
        <f>IncomeStatement!K11</f>
        <v>Month 9</v>
      </c>
      <c r="L3" s="8" t="str">
        <f>IncomeStatement!L11</f>
        <v>Month 10</v>
      </c>
      <c r="M3" s="8" t="str">
        <f>IncomeStatement!M11</f>
        <v>Month 11</v>
      </c>
      <c r="N3" s="8" t="str">
        <f>IncomeStatement!N11</f>
        <v>Month 12</v>
      </c>
      <c r="O3" s="8"/>
    </row>
    <row r="4" spans="1: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3">
      <c r="A5" s="2" t="s">
        <v>143</v>
      </c>
      <c r="B5" s="7">
        <f>SourceFunds!$B$7</f>
        <v>0</v>
      </c>
      <c r="C5" s="4">
        <f>B60</f>
        <v>0</v>
      </c>
      <c r="D5" s="4">
        <f>C60</f>
        <v>0</v>
      </c>
      <c r="E5" s="4">
        <f t="shared" ref="E5:N5" si="0">D60</f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/>
    </row>
    <row r="6" spans="1:15" ht="13">
      <c r="A6" s="2" t="s">
        <v>293</v>
      </c>
      <c r="B6" s="4"/>
      <c r="C6" s="1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3">
      <c r="A7" s="2"/>
      <c r="B7" s="4"/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3">
      <c r="A8" s="2" t="s">
        <v>144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21" t="s">
        <v>131</v>
      </c>
      <c r="B9" s="4"/>
      <c r="C9" s="4">
        <f>SUM(IncomeStatement!C13)</f>
        <v>0</v>
      </c>
      <c r="D9" s="4">
        <f>SUM(IncomeStatement!D13)</f>
        <v>0</v>
      </c>
      <c r="E9" s="4">
        <f>SUM(IncomeStatement!E13)</f>
        <v>0</v>
      </c>
      <c r="F9" s="4">
        <f>SUM(IncomeStatement!F13)</f>
        <v>0</v>
      </c>
      <c r="G9" s="4">
        <f>SUM(IncomeStatement!G13)</f>
        <v>0</v>
      </c>
      <c r="H9" s="4">
        <f>SUM(IncomeStatement!H13)</f>
        <v>0</v>
      </c>
      <c r="I9" s="4">
        <f>SUM(IncomeStatement!I13)</f>
        <v>0</v>
      </c>
      <c r="J9" s="4">
        <f>SUM(IncomeStatement!J13)</f>
        <v>0</v>
      </c>
      <c r="K9" s="4">
        <f>SUM(IncomeStatement!K13)</f>
        <v>0</v>
      </c>
      <c r="L9" s="4">
        <f>SUM(IncomeStatement!L13)</f>
        <v>0</v>
      </c>
      <c r="M9" s="4">
        <f>SUM(IncomeStatement!M13)</f>
        <v>0</v>
      </c>
      <c r="N9" s="4">
        <f>SUM(IncomeStatement!N13)</f>
        <v>0</v>
      </c>
      <c r="O9" s="4"/>
    </row>
    <row r="10" spans="1:15">
      <c r="A10" s="21" t="s">
        <v>280</v>
      </c>
      <c r="B10" s="4"/>
      <c r="C10" s="4">
        <v>0</v>
      </c>
      <c r="D10" s="4">
        <f>IncomeStatement!C14*0.5</f>
        <v>0</v>
      </c>
      <c r="E10" s="4">
        <f>(IncomeStatement!D14*0.5)+IncomeStatement!C14*0.5</f>
        <v>0</v>
      </c>
      <c r="F10" s="4">
        <f>(IncomeStatement!E14*0.5)+IncomeStatement!D14*0.5</f>
        <v>0</v>
      </c>
      <c r="G10" s="4">
        <f>(IncomeStatement!F14*0.5)+IncomeStatement!E14*0.5</f>
        <v>0</v>
      </c>
      <c r="H10" s="4">
        <f>(IncomeStatement!G14*0.5)+IncomeStatement!F14*0.5</f>
        <v>0</v>
      </c>
      <c r="I10" s="4">
        <f>(IncomeStatement!H14*0.5)+IncomeStatement!G14*0.5</f>
        <v>0</v>
      </c>
      <c r="J10" s="4">
        <f>(IncomeStatement!I14*0.5)+IncomeStatement!H14*0.5</f>
        <v>0</v>
      </c>
      <c r="K10" s="4">
        <f>(IncomeStatement!J14*0.5)+IncomeStatement!I14*0.5</f>
        <v>0</v>
      </c>
      <c r="L10" s="4">
        <f>(IncomeStatement!K14*0.5)+IncomeStatement!J14*0.5</f>
        <v>0</v>
      </c>
      <c r="M10" s="4">
        <f>(IncomeStatement!L14*0.5)+IncomeStatement!K14*0.5</f>
        <v>0</v>
      </c>
      <c r="N10" s="4">
        <f>(IncomeStatement!M14*0.5)+IncomeStatement!L14*0.5</f>
        <v>0</v>
      </c>
      <c r="O10" s="4"/>
    </row>
    <row r="11" spans="1:15" ht="13">
      <c r="A11" s="21" t="s">
        <v>145</v>
      </c>
      <c r="B11" s="75">
        <f>+Amortization!C7</f>
        <v>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74" t="s">
        <v>340</v>
      </c>
      <c r="B12" s="4">
        <v>0</v>
      </c>
      <c r="C12" s="4">
        <v>0</v>
      </c>
      <c r="D12" s="4"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7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3">
      <c r="A14" s="2" t="s">
        <v>146</v>
      </c>
      <c r="B14" s="4">
        <f>SUM(B12,B11,B10,B9,B5)</f>
        <v>0</v>
      </c>
      <c r="C14" s="4">
        <f>SUM(C12,C11,C10,C9,C5)</f>
        <v>0</v>
      </c>
      <c r="D14" s="4">
        <f>SUM(D12,D11,D10,D9,D5)</f>
        <v>0</v>
      </c>
      <c r="E14" s="4">
        <f t="shared" ref="E14:N14" si="1">SUM(E12,E11,E10,E9,E5)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/>
    </row>
    <row r="15" spans="1: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3">
      <c r="A16" s="2" t="s">
        <v>137</v>
      </c>
      <c r="B16" s="4"/>
      <c r="C16" s="4" t="s">
        <v>12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B17" s="4"/>
      <c r="C17" s="4" t="s">
        <v>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t="str">
        <f>IncomeStatement!$A$29</f>
        <v xml:space="preserve">     Payroll (includes bus share of taxes)</v>
      </c>
      <c r="B18" s="4"/>
      <c r="C18" s="4">
        <f>SUM(IncomeStatement!C29)</f>
        <v>0</v>
      </c>
      <c r="D18" s="4">
        <f>SUM(IncomeStatement!D29)</f>
        <v>0</v>
      </c>
      <c r="E18" s="4">
        <f>SUM(IncomeStatement!E29)</f>
        <v>0</v>
      </c>
      <c r="F18" s="4">
        <f>SUM(IncomeStatement!F29)</f>
        <v>0</v>
      </c>
      <c r="G18" s="4">
        <f>SUM(IncomeStatement!G29)</f>
        <v>0</v>
      </c>
      <c r="H18" s="4">
        <f>SUM(IncomeStatement!H29)</f>
        <v>0</v>
      </c>
      <c r="I18" s="4">
        <f>SUM(IncomeStatement!I29)</f>
        <v>0</v>
      </c>
      <c r="J18" s="4">
        <f>SUM(IncomeStatement!J29)</f>
        <v>0</v>
      </c>
      <c r="K18" s="4">
        <f>SUM(IncomeStatement!K29)</f>
        <v>0</v>
      </c>
      <c r="L18" s="4">
        <f>SUM(IncomeStatement!L29)</f>
        <v>0</v>
      </c>
      <c r="M18" s="4">
        <f>SUM(IncomeStatement!M29)</f>
        <v>0</v>
      </c>
      <c r="N18" s="4">
        <f>SUM(IncomeStatement!N29)</f>
        <v>0</v>
      </c>
      <c r="O18" s="4"/>
    </row>
    <row r="19" spans="1:15">
      <c r="A19" t="str">
        <f>IncomeStatement!A30</f>
        <v xml:space="preserve">     Commissions</v>
      </c>
      <c r="B19" s="4"/>
      <c r="C19" s="4">
        <f>SUM(IncomeStatement!C30)</f>
        <v>0</v>
      </c>
      <c r="D19" s="4">
        <f>SUM(IncomeStatement!D30)</f>
        <v>0</v>
      </c>
      <c r="E19" s="4">
        <f>SUM(IncomeStatement!E30)</f>
        <v>0</v>
      </c>
      <c r="F19" s="4">
        <f>SUM(IncomeStatement!F30)</f>
        <v>0</v>
      </c>
      <c r="G19" s="4">
        <f>SUM(IncomeStatement!G30)</f>
        <v>0</v>
      </c>
      <c r="H19" s="4">
        <f>SUM(IncomeStatement!H30)</f>
        <v>0</v>
      </c>
      <c r="I19" s="4">
        <f>SUM(IncomeStatement!I30)</f>
        <v>0</v>
      </c>
      <c r="J19" s="4">
        <f>SUM(IncomeStatement!J30)</f>
        <v>0</v>
      </c>
      <c r="K19" s="4">
        <f>SUM(IncomeStatement!K30)</f>
        <v>0</v>
      </c>
      <c r="L19" s="4">
        <f>SUM(IncomeStatement!L30)</f>
        <v>0</v>
      </c>
      <c r="M19" s="4">
        <f>SUM(IncomeStatement!M30)</f>
        <v>0</v>
      </c>
      <c r="N19" s="4">
        <f>SUM(IncomeStatement!N30)</f>
        <v>0</v>
      </c>
      <c r="O19" s="4"/>
    </row>
    <row r="20" spans="1:15">
      <c r="A20" t="str">
        <f>IncomeStatement!A31</f>
        <v xml:space="preserve">     Lease</v>
      </c>
      <c r="B20" s="4"/>
      <c r="C20" s="4">
        <f>SUM(IncomeStatement!C31)</f>
        <v>0</v>
      </c>
      <c r="D20" s="4">
        <f>SUM(IncomeStatement!D31)</f>
        <v>0</v>
      </c>
      <c r="E20" s="4">
        <f>SUM(IncomeStatement!E31)</f>
        <v>0</v>
      </c>
      <c r="F20" s="4">
        <f>SUM(IncomeStatement!F31)</f>
        <v>0</v>
      </c>
      <c r="G20" s="4">
        <f>SUM(IncomeStatement!G31)</f>
        <v>0</v>
      </c>
      <c r="H20" s="4">
        <f>SUM(IncomeStatement!H31)</f>
        <v>0</v>
      </c>
      <c r="I20" s="4">
        <f>SUM(IncomeStatement!I31)</f>
        <v>0</v>
      </c>
      <c r="J20" s="4">
        <f>SUM(IncomeStatement!J31)</f>
        <v>0</v>
      </c>
      <c r="K20" s="4">
        <f>SUM(IncomeStatement!K31)</f>
        <v>0</v>
      </c>
      <c r="L20" s="4">
        <f>SUM(IncomeStatement!L31)</f>
        <v>0</v>
      </c>
      <c r="M20" s="4">
        <f>SUM(IncomeStatement!M31)</f>
        <v>0</v>
      </c>
      <c r="N20" s="4">
        <f>SUM(IncomeStatement!N31)</f>
        <v>0</v>
      </c>
      <c r="O20" s="4"/>
    </row>
    <row r="21" spans="1:15">
      <c r="A21" t="str">
        <f>IncomeStatement!A32</f>
        <v xml:space="preserve">     Building Maintenance</v>
      </c>
      <c r="B21" s="4"/>
      <c r="C21" s="4">
        <f>SUM(IncomeStatement!C32)</f>
        <v>0</v>
      </c>
      <c r="D21" s="4">
        <f>SUM(IncomeStatement!D32)</f>
        <v>0</v>
      </c>
      <c r="E21" s="4">
        <f>SUM(IncomeStatement!E32)</f>
        <v>0</v>
      </c>
      <c r="F21" s="4">
        <f>SUM(IncomeStatement!F32)</f>
        <v>0</v>
      </c>
      <c r="G21" s="4">
        <f>SUM(IncomeStatement!G32)</f>
        <v>0</v>
      </c>
      <c r="H21" s="4">
        <f>SUM(IncomeStatement!H32)</f>
        <v>0</v>
      </c>
      <c r="I21" s="4">
        <f>SUM(IncomeStatement!I32)</f>
        <v>0</v>
      </c>
      <c r="J21" s="4">
        <f>SUM(IncomeStatement!J32)</f>
        <v>0</v>
      </c>
      <c r="K21" s="4">
        <f>SUM(IncomeStatement!K32)</f>
        <v>0</v>
      </c>
      <c r="L21" s="4">
        <f>SUM(IncomeStatement!L32)</f>
        <v>0</v>
      </c>
      <c r="M21" s="4">
        <f>SUM(IncomeStatement!M32)</f>
        <v>0</v>
      </c>
      <c r="N21" s="4">
        <f>SUM(IncomeStatement!N32)</f>
        <v>0</v>
      </c>
      <c r="O21" s="4"/>
    </row>
    <row r="22" spans="1:15">
      <c r="A22" t="str">
        <f>IncomeStatement!A33</f>
        <v xml:space="preserve">     Advertising</v>
      </c>
      <c r="B22" s="4"/>
      <c r="C22" s="4">
        <f>SUM(IncomeStatement!C33)</f>
        <v>0</v>
      </c>
      <c r="D22" s="4">
        <f>SUM(IncomeStatement!D33)</f>
        <v>0</v>
      </c>
      <c r="E22" s="4">
        <f>SUM(IncomeStatement!E33)</f>
        <v>0</v>
      </c>
      <c r="F22" s="4">
        <f>SUM(IncomeStatement!F33)</f>
        <v>0</v>
      </c>
      <c r="G22" s="4">
        <f>SUM(IncomeStatement!G33)</f>
        <v>0</v>
      </c>
      <c r="H22" s="4">
        <f>SUM(IncomeStatement!H33)</f>
        <v>0</v>
      </c>
      <c r="I22" s="4">
        <f>SUM(IncomeStatement!I33)</f>
        <v>0</v>
      </c>
      <c r="J22" s="4">
        <f>SUM(IncomeStatement!J33)</f>
        <v>0</v>
      </c>
      <c r="K22" s="4">
        <f>SUM(IncomeStatement!K33)</f>
        <v>0</v>
      </c>
      <c r="L22" s="4">
        <f>SUM(IncomeStatement!L33)</f>
        <v>0</v>
      </c>
      <c r="M22" s="4">
        <f>SUM(IncomeStatement!M33)</f>
        <v>0</v>
      </c>
      <c r="N22" s="4">
        <f>SUM(IncomeStatement!N33)</f>
        <v>0</v>
      </c>
      <c r="O22" s="4"/>
    </row>
    <row r="23" spans="1:15">
      <c r="A23" t="str">
        <f>IncomeStatement!A34</f>
        <v xml:space="preserve">     Office Equipment</v>
      </c>
      <c r="B23" s="4"/>
      <c r="C23" s="4">
        <f>SUM(IncomeStatement!C34)</f>
        <v>0</v>
      </c>
      <c r="D23" s="4">
        <f>SUM(IncomeStatement!D34)</f>
        <v>0</v>
      </c>
      <c r="E23" s="4">
        <f>SUM(IncomeStatement!E34)</f>
        <v>0</v>
      </c>
      <c r="F23" s="4">
        <f>SUM(IncomeStatement!F34)</f>
        <v>0</v>
      </c>
      <c r="G23" s="4">
        <f>SUM(IncomeStatement!G34)</f>
        <v>0</v>
      </c>
      <c r="H23" s="4">
        <f>SUM(IncomeStatement!H34)</f>
        <v>0</v>
      </c>
      <c r="I23" s="4">
        <f>SUM(IncomeStatement!I34)</f>
        <v>0</v>
      </c>
      <c r="J23" s="4">
        <f>SUM(IncomeStatement!J34)</f>
        <v>0</v>
      </c>
      <c r="K23" s="4">
        <f>SUM(IncomeStatement!K34)</f>
        <v>0</v>
      </c>
      <c r="L23" s="4">
        <f>SUM(IncomeStatement!L34)</f>
        <v>0</v>
      </c>
      <c r="M23" s="4">
        <f>SUM(IncomeStatement!M34)</f>
        <v>0</v>
      </c>
      <c r="N23" s="4">
        <f>SUM(IncomeStatement!N34)</f>
        <v>0</v>
      </c>
      <c r="O23" s="4"/>
    </row>
    <row r="24" spans="1:15">
      <c r="A24" t="str">
        <f>IncomeStatement!A35</f>
        <v xml:space="preserve">     Other Leases</v>
      </c>
      <c r="B24" s="4"/>
      <c r="C24" s="4">
        <f>SUM(IncomeStatement!C35)</f>
        <v>0</v>
      </c>
      <c r="D24" s="4">
        <f>SUM(IncomeStatement!D35)</f>
        <v>0</v>
      </c>
      <c r="E24" s="4">
        <f>SUM(IncomeStatement!E35)</f>
        <v>0</v>
      </c>
      <c r="F24" s="4">
        <f>SUM(IncomeStatement!F35)</f>
        <v>0</v>
      </c>
      <c r="G24" s="4">
        <f>SUM(IncomeStatement!G35)</f>
        <v>0</v>
      </c>
      <c r="H24" s="4">
        <f>SUM(IncomeStatement!H35)</f>
        <v>0</v>
      </c>
      <c r="I24" s="4">
        <f>SUM(IncomeStatement!I35)</f>
        <v>0</v>
      </c>
      <c r="J24" s="4">
        <f>SUM(IncomeStatement!J35)</f>
        <v>0</v>
      </c>
      <c r="K24" s="4">
        <f>SUM(IncomeStatement!K35)</f>
        <v>0</v>
      </c>
      <c r="L24" s="4">
        <f>SUM(IncomeStatement!L35)</f>
        <v>0</v>
      </c>
      <c r="M24" s="4">
        <f>SUM(IncomeStatement!M35)</f>
        <v>0</v>
      </c>
      <c r="N24" s="4">
        <f>SUM(IncomeStatement!N35)</f>
        <v>0</v>
      </c>
      <c r="O24" s="4"/>
    </row>
    <row r="25" spans="1:15">
      <c r="A25" t="str">
        <f>IncomeStatement!A36</f>
        <v xml:space="preserve">     Office Supplies</v>
      </c>
      <c r="B25" s="4"/>
      <c r="C25" s="4">
        <f>SUM(IncomeStatement!C36)</f>
        <v>0</v>
      </c>
      <c r="D25" s="4">
        <f>SUM(IncomeStatement!D36)</f>
        <v>0</v>
      </c>
      <c r="E25" s="4">
        <f>SUM(IncomeStatement!E36)</f>
        <v>0</v>
      </c>
      <c r="F25" s="4">
        <f>SUM(IncomeStatement!F36)</f>
        <v>0</v>
      </c>
      <c r="G25" s="4">
        <f>SUM(IncomeStatement!G36)</f>
        <v>0</v>
      </c>
      <c r="H25" s="4">
        <f>SUM(IncomeStatement!H36)</f>
        <v>0</v>
      </c>
      <c r="I25" s="4">
        <f>SUM(IncomeStatement!I36)</f>
        <v>0</v>
      </c>
      <c r="J25" s="4">
        <f>SUM(IncomeStatement!J36)</f>
        <v>0</v>
      </c>
      <c r="K25" s="4">
        <f>SUM(IncomeStatement!K36)</f>
        <v>0</v>
      </c>
      <c r="L25" s="4">
        <f>SUM(IncomeStatement!L36)</f>
        <v>0</v>
      </c>
      <c r="M25" s="4">
        <f>SUM(IncomeStatement!M36)</f>
        <v>0</v>
      </c>
      <c r="N25" s="4">
        <f>SUM(IncomeStatement!N36)</f>
        <v>0</v>
      </c>
      <c r="O25" s="4"/>
    </row>
    <row r="26" spans="1:15">
      <c r="A26" t="str">
        <f>IncomeStatement!A37</f>
        <v xml:space="preserve">     Professional Fees</v>
      </c>
      <c r="B26" s="4"/>
      <c r="C26" s="4">
        <f>SUM(IncomeStatement!C37)</f>
        <v>0</v>
      </c>
      <c r="D26" s="4">
        <f>SUM(IncomeStatement!D37)</f>
        <v>0</v>
      </c>
      <c r="E26" s="4">
        <f>SUM(IncomeStatement!E37)</f>
        <v>0</v>
      </c>
      <c r="F26" s="4">
        <f>SUM(IncomeStatement!F37)</f>
        <v>0</v>
      </c>
      <c r="G26" s="4">
        <f>SUM(IncomeStatement!G37)</f>
        <v>0</v>
      </c>
      <c r="H26" s="4">
        <f>SUM(IncomeStatement!H37)</f>
        <v>0</v>
      </c>
      <c r="I26" s="4">
        <f>SUM(IncomeStatement!I37)</f>
        <v>0</v>
      </c>
      <c r="J26" s="4">
        <f>SUM(IncomeStatement!J37)</f>
        <v>0</v>
      </c>
      <c r="K26" s="4">
        <f>SUM(IncomeStatement!K37)</f>
        <v>0</v>
      </c>
      <c r="L26" s="4">
        <f>SUM(IncomeStatement!L37)</f>
        <v>0</v>
      </c>
      <c r="M26" s="4">
        <f>SUM(IncomeStatement!M37)</f>
        <v>0</v>
      </c>
      <c r="N26" s="4">
        <f>SUM(IncomeStatement!N37)</f>
        <v>0</v>
      </c>
      <c r="O26" s="4"/>
    </row>
    <row r="27" spans="1:15">
      <c r="A27" t="str">
        <f>IncomeStatement!A38</f>
        <v xml:space="preserve">     Electric</v>
      </c>
      <c r="B27" s="4"/>
      <c r="C27" s="4">
        <f>SUM(IncomeStatement!C38)</f>
        <v>0</v>
      </c>
      <c r="D27" s="4">
        <f>SUM(IncomeStatement!D38)</f>
        <v>0</v>
      </c>
      <c r="E27" s="4">
        <f>SUM(IncomeStatement!E38)</f>
        <v>0</v>
      </c>
      <c r="F27" s="4">
        <f>SUM(IncomeStatement!F38)</f>
        <v>0</v>
      </c>
      <c r="G27" s="4">
        <f>SUM(IncomeStatement!G38)</f>
        <v>0</v>
      </c>
      <c r="H27" s="4">
        <f>SUM(IncomeStatement!H38)</f>
        <v>0</v>
      </c>
      <c r="I27" s="4">
        <f>SUM(IncomeStatement!I38)</f>
        <v>0</v>
      </c>
      <c r="J27" s="4">
        <f>SUM(IncomeStatement!J38)</f>
        <v>0</v>
      </c>
      <c r="K27" s="4">
        <f>SUM(IncomeStatement!K38)</f>
        <v>0</v>
      </c>
      <c r="L27" s="4">
        <f>SUM(IncomeStatement!L38)</f>
        <v>0</v>
      </c>
      <c r="M27" s="4">
        <f>SUM(IncomeStatement!M38)</f>
        <v>0</v>
      </c>
      <c r="N27" s="4">
        <f>SUM(IncomeStatement!N38)</f>
        <v>0</v>
      </c>
      <c r="O27" s="4"/>
    </row>
    <row r="28" spans="1:15">
      <c r="A28" t="str">
        <f>IncomeStatement!A39</f>
        <v xml:space="preserve">     Water</v>
      </c>
      <c r="B28" s="4"/>
      <c r="C28" s="4">
        <f>SUM(IncomeStatement!C39)</f>
        <v>0</v>
      </c>
      <c r="D28" s="4">
        <f>SUM(IncomeStatement!D39)</f>
        <v>0</v>
      </c>
      <c r="E28" s="4">
        <f>SUM(IncomeStatement!E39)</f>
        <v>0</v>
      </c>
      <c r="F28" s="4">
        <f>SUM(IncomeStatement!F39)</f>
        <v>0</v>
      </c>
      <c r="G28" s="4">
        <f>SUM(IncomeStatement!G39)</f>
        <v>0</v>
      </c>
      <c r="H28" s="4">
        <f>SUM(IncomeStatement!H39)</f>
        <v>0</v>
      </c>
      <c r="I28" s="4">
        <f>SUM(IncomeStatement!I39)</f>
        <v>0</v>
      </c>
      <c r="J28" s="4">
        <f>SUM(IncomeStatement!J39)</f>
        <v>0</v>
      </c>
      <c r="K28" s="4">
        <f>SUM(IncomeStatement!K39)</f>
        <v>0</v>
      </c>
      <c r="L28" s="4">
        <f>SUM(IncomeStatement!L39)</f>
        <v>0</v>
      </c>
      <c r="M28" s="4">
        <f>SUM(IncomeStatement!M39)</f>
        <v>0</v>
      </c>
      <c r="N28" s="4">
        <f>SUM(IncomeStatement!N39)</f>
        <v>0</v>
      </c>
      <c r="O28" s="4"/>
    </row>
    <row r="29" spans="1:15">
      <c r="A29" t="str">
        <f>IncomeStatement!A40</f>
        <v xml:space="preserve">     Gas</v>
      </c>
      <c r="B29" s="4"/>
      <c r="C29" s="4">
        <f>SUM(IncomeStatement!C40)</f>
        <v>0</v>
      </c>
      <c r="D29" s="4">
        <f>SUM(IncomeStatement!D40)</f>
        <v>0</v>
      </c>
      <c r="E29" s="4">
        <f>SUM(IncomeStatement!E40)</f>
        <v>0</v>
      </c>
      <c r="F29" s="4">
        <f>SUM(IncomeStatement!F40)</f>
        <v>0</v>
      </c>
      <c r="G29" s="4">
        <f>SUM(IncomeStatement!G40)</f>
        <v>0</v>
      </c>
      <c r="H29" s="4">
        <f>SUM(IncomeStatement!H40)</f>
        <v>0</v>
      </c>
      <c r="I29" s="4">
        <f>SUM(IncomeStatement!I40)</f>
        <v>0</v>
      </c>
      <c r="J29" s="4">
        <f>SUM(IncomeStatement!J40)</f>
        <v>0</v>
      </c>
      <c r="K29" s="4">
        <f>SUM(IncomeStatement!K40)</f>
        <v>0</v>
      </c>
      <c r="L29" s="4">
        <f>SUM(IncomeStatement!L40)</f>
        <v>0</v>
      </c>
      <c r="M29" s="4">
        <f>SUM(IncomeStatement!M40)</f>
        <v>0</v>
      </c>
      <c r="N29" s="4">
        <f>SUM(IncomeStatement!N40)</f>
        <v>0</v>
      </c>
      <c r="O29" s="4"/>
    </row>
    <row r="30" spans="1:15">
      <c r="A30" t="str">
        <f>IncomeStatement!A41</f>
        <v xml:space="preserve">     Web/Internet</v>
      </c>
      <c r="B30" s="4"/>
      <c r="C30" s="4">
        <f>SUM(IncomeStatement!C41)</f>
        <v>0</v>
      </c>
      <c r="D30" s="4">
        <f>SUM(IncomeStatement!D41)</f>
        <v>0</v>
      </c>
      <c r="E30" s="4">
        <f>SUM(IncomeStatement!E41)</f>
        <v>0</v>
      </c>
      <c r="F30" s="4">
        <f>SUM(IncomeStatement!F41)</f>
        <v>0</v>
      </c>
      <c r="G30" s="4">
        <f>SUM(IncomeStatement!G41)</f>
        <v>0</v>
      </c>
      <c r="H30" s="4">
        <f>SUM(IncomeStatement!H41)</f>
        <v>0</v>
      </c>
      <c r="I30" s="4">
        <f>SUM(IncomeStatement!I41)</f>
        <v>0</v>
      </c>
      <c r="J30" s="4">
        <f>SUM(IncomeStatement!J41)</f>
        <v>0</v>
      </c>
      <c r="K30" s="4">
        <f>SUM(IncomeStatement!K41)</f>
        <v>0</v>
      </c>
      <c r="L30" s="4">
        <f>SUM(IncomeStatement!L41)</f>
        <v>0</v>
      </c>
      <c r="M30" s="4">
        <f>SUM(IncomeStatement!M41)</f>
        <v>0</v>
      </c>
      <c r="N30" s="4">
        <f>SUM(IncomeStatement!N41)</f>
        <v>0</v>
      </c>
      <c r="O30" s="4"/>
    </row>
    <row r="31" spans="1:15">
      <c r="A31" t="str">
        <f>IncomeStatement!A42</f>
        <v xml:space="preserve">     Telephone</v>
      </c>
      <c r="B31" s="4"/>
      <c r="C31" s="4">
        <f>SUM(IncomeStatement!C42)</f>
        <v>0</v>
      </c>
      <c r="D31" s="4">
        <f>SUM(IncomeStatement!D42)</f>
        <v>0</v>
      </c>
      <c r="E31" s="4">
        <f>SUM(IncomeStatement!E42)</f>
        <v>0</v>
      </c>
      <c r="F31" s="4">
        <f>SUM(IncomeStatement!F42)</f>
        <v>0</v>
      </c>
      <c r="G31" s="4">
        <f>SUM(IncomeStatement!G42)</f>
        <v>0</v>
      </c>
      <c r="H31" s="4">
        <f>SUM(IncomeStatement!H42)</f>
        <v>0</v>
      </c>
      <c r="I31" s="4">
        <f>SUM(IncomeStatement!I42)</f>
        <v>0</v>
      </c>
      <c r="J31" s="4">
        <f>SUM(IncomeStatement!J42)</f>
        <v>0</v>
      </c>
      <c r="K31" s="4">
        <f>SUM(IncomeStatement!K42)</f>
        <v>0</v>
      </c>
      <c r="L31" s="4">
        <f>SUM(IncomeStatement!L42)</f>
        <v>0</v>
      </c>
      <c r="M31" s="4">
        <f>SUM(IncomeStatement!M42)</f>
        <v>0</v>
      </c>
      <c r="N31" s="4">
        <f>SUM(IncomeStatement!N42)</f>
        <v>0</v>
      </c>
      <c r="O31" s="4"/>
    </row>
    <row r="32" spans="1:15">
      <c r="A32" t="str">
        <f>IncomeStatement!A43</f>
        <v xml:space="preserve">     Security</v>
      </c>
      <c r="B32" s="4"/>
      <c r="C32" s="4">
        <f>SUM(IncomeStatement!C43)</f>
        <v>0</v>
      </c>
      <c r="D32" s="4">
        <f>SUM(IncomeStatement!D43)</f>
        <v>0</v>
      </c>
      <c r="E32" s="4">
        <f>SUM(IncomeStatement!E43)</f>
        <v>0</v>
      </c>
      <c r="F32" s="4">
        <f>SUM(IncomeStatement!F43)</f>
        <v>0</v>
      </c>
      <c r="G32" s="4">
        <f>SUM(IncomeStatement!G43)</f>
        <v>0</v>
      </c>
      <c r="H32" s="4">
        <f>SUM(IncomeStatement!H43)</f>
        <v>0</v>
      </c>
      <c r="I32" s="4">
        <f>SUM(IncomeStatement!I43)</f>
        <v>0</v>
      </c>
      <c r="J32" s="4">
        <f>SUM(IncomeStatement!J43)</f>
        <v>0</v>
      </c>
      <c r="K32" s="4">
        <f>SUM(IncomeStatement!K43)</f>
        <v>0</v>
      </c>
      <c r="L32" s="4">
        <f>SUM(IncomeStatement!L43)</f>
        <v>0</v>
      </c>
      <c r="M32" s="4">
        <f>SUM(IncomeStatement!M43)</f>
        <v>0</v>
      </c>
      <c r="N32" s="4">
        <f>SUM(IncomeStatement!N43)</f>
        <v>0</v>
      </c>
      <c r="O32" s="4"/>
    </row>
    <row r="33" spans="1:15">
      <c r="A33" t="str">
        <f>IncomeStatement!A44</f>
        <v xml:space="preserve">     Licenses</v>
      </c>
      <c r="B33" s="4"/>
      <c r="C33" s="4">
        <f>SUM(IncomeStatement!C44)</f>
        <v>0</v>
      </c>
      <c r="D33" s="4">
        <f>SUM(IncomeStatement!D44)</f>
        <v>0</v>
      </c>
      <c r="E33" s="4">
        <f>SUM(IncomeStatement!E44)</f>
        <v>0</v>
      </c>
      <c r="F33" s="4">
        <f>SUM(IncomeStatement!F44)</f>
        <v>0</v>
      </c>
      <c r="G33" s="4">
        <f>SUM(IncomeStatement!G44)</f>
        <v>0</v>
      </c>
      <c r="H33" s="4">
        <f>SUM(IncomeStatement!H44)</f>
        <v>0</v>
      </c>
      <c r="I33" s="4">
        <f>SUM(IncomeStatement!I44)</f>
        <v>0</v>
      </c>
      <c r="J33" s="4">
        <f>SUM(IncomeStatement!J44)</f>
        <v>0</v>
      </c>
      <c r="K33" s="4">
        <f>SUM(IncomeStatement!K44)</f>
        <v>0</v>
      </c>
      <c r="L33" s="4">
        <f>SUM(IncomeStatement!L44)</f>
        <v>0</v>
      </c>
      <c r="M33" s="4">
        <f>SUM(IncomeStatement!M44)</f>
        <v>0</v>
      </c>
      <c r="N33" s="4">
        <f>SUM(IncomeStatement!N44)</f>
        <v>0</v>
      </c>
      <c r="O33" s="4"/>
    </row>
    <row r="34" spans="1:15">
      <c r="A34" t="str">
        <f>IncomeStatement!A45</f>
        <v xml:space="preserve">     Business Taxes</v>
      </c>
      <c r="B34" s="4"/>
      <c r="C34" s="4">
        <f>SUM(IncomeStatement!C45)</f>
        <v>0</v>
      </c>
      <c r="D34" s="4">
        <f>SUM(IncomeStatement!D45)</f>
        <v>0</v>
      </c>
      <c r="E34" s="4">
        <f>SUM(IncomeStatement!E45)</f>
        <v>0</v>
      </c>
      <c r="F34" s="4">
        <f>SUM(IncomeStatement!F45)</f>
        <v>0</v>
      </c>
      <c r="G34" s="4">
        <f>SUM(IncomeStatement!G45)</f>
        <v>0</v>
      </c>
      <c r="H34" s="4">
        <f>SUM(IncomeStatement!H45)</f>
        <v>0</v>
      </c>
      <c r="I34" s="4">
        <f>SUM(IncomeStatement!I45)</f>
        <v>0</v>
      </c>
      <c r="J34" s="4">
        <f>SUM(IncomeStatement!J45)</f>
        <v>0</v>
      </c>
      <c r="K34" s="4">
        <f>SUM(IncomeStatement!K45)</f>
        <v>0</v>
      </c>
      <c r="L34" s="4">
        <f>SUM(IncomeStatement!L45)</f>
        <v>0</v>
      </c>
      <c r="M34" s="4">
        <f>SUM(IncomeStatement!M45)</f>
        <v>0</v>
      </c>
      <c r="N34" s="4">
        <f>SUM(IncomeStatement!N45)</f>
        <v>0</v>
      </c>
      <c r="O34" s="4"/>
    </row>
    <row r="35" spans="1:15">
      <c r="A35" t="str">
        <f>IncomeStatement!A46</f>
        <v xml:space="preserve">     Business Insurance</v>
      </c>
      <c r="B35" s="4"/>
      <c r="C35" s="4">
        <f>SUM(IncomeStatement!C46)</f>
        <v>0</v>
      </c>
      <c r="D35" s="4">
        <f>SUM(IncomeStatement!D46)</f>
        <v>0</v>
      </c>
      <c r="E35" s="4">
        <f>SUM(IncomeStatement!E46)</f>
        <v>0</v>
      </c>
      <c r="F35" s="4">
        <f>SUM(IncomeStatement!F46)</f>
        <v>0</v>
      </c>
      <c r="G35" s="4">
        <f>SUM(IncomeStatement!G46)</f>
        <v>0</v>
      </c>
      <c r="H35" s="4">
        <f>SUM(IncomeStatement!H46)</f>
        <v>0</v>
      </c>
      <c r="I35" s="4">
        <f>SUM(IncomeStatement!I46)</f>
        <v>0</v>
      </c>
      <c r="J35" s="4">
        <f>SUM(IncomeStatement!J46)</f>
        <v>0</v>
      </c>
      <c r="K35" s="4">
        <f>SUM(IncomeStatement!K46)</f>
        <v>0</v>
      </c>
      <c r="L35" s="4">
        <f>SUM(IncomeStatement!L46)</f>
        <v>0</v>
      </c>
      <c r="M35" s="4">
        <f>SUM(IncomeStatement!M46)</f>
        <v>0</v>
      </c>
      <c r="N35" s="4">
        <f>SUM(IncomeStatement!N46)</f>
        <v>0</v>
      </c>
      <c r="O35" s="4"/>
    </row>
    <row r="36" spans="1:15">
      <c r="A36" t="str">
        <f>IncomeStatement!A47</f>
        <v xml:space="preserve">     Vehicle Insurance</v>
      </c>
      <c r="B36" s="4"/>
      <c r="C36" s="4">
        <f>SUM(IncomeStatement!C47)</f>
        <v>0</v>
      </c>
      <c r="D36" s="4">
        <f>SUM(IncomeStatement!D47)</f>
        <v>0</v>
      </c>
      <c r="E36" s="4">
        <f>SUM(IncomeStatement!E47)</f>
        <v>0</v>
      </c>
      <c r="F36" s="4">
        <f>SUM(IncomeStatement!F47)</f>
        <v>0</v>
      </c>
      <c r="G36" s="4">
        <f>SUM(IncomeStatement!G47)</f>
        <v>0</v>
      </c>
      <c r="H36" s="4">
        <f>SUM(IncomeStatement!H47)</f>
        <v>0</v>
      </c>
      <c r="I36" s="4">
        <f>SUM(IncomeStatement!I47)</f>
        <v>0</v>
      </c>
      <c r="J36" s="4">
        <f>SUM(IncomeStatement!J47)</f>
        <v>0</v>
      </c>
      <c r="K36" s="4">
        <f>SUM(IncomeStatement!K47)</f>
        <v>0</v>
      </c>
      <c r="L36" s="4">
        <f>SUM(IncomeStatement!L47)</f>
        <v>0</v>
      </c>
      <c r="M36" s="4">
        <f>SUM(IncomeStatement!M47)</f>
        <v>0</v>
      </c>
      <c r="N36" s="4">
        <f>SUM(IncomeStatement!N47)</f>
        <v>0</v>
      </c>
      <c r="O36" s="4"/>
    </row>
    <row r="37" spans="1:15">
      <c r="A37" t="str">
        <f>IncomeStatement!A48</f>
        <v xml:space="preserve">     Workers Comp Insurance</v>
      </c>
      <c r="B37" s="4"/>
      <c r="C37" s="4">
        <f>SUM(IncomeStatement!C48)</f>
        <v>0</v>
      </c>
      <c r="D37" s="4">
        <f>SUM(IncomeStatement!D48)</f>
        <v>0</v>
      </c>
      <c r="E37" s="4">
        <f>SUM(IncomeStatement!E48)</f>
        <v>0</v>
      </c>
      <c r="F37" s="4">
        <f>SUM(IncomeStatement!F48)</f>
        <v>0</v>
      </c>
      <c r="G37" s="4">
        <f>SUM(IncomeStatement!G48)</f>
        <v>0</v>
      </c>
      <c r="H37" s="4">
        <f>SUM(IncomeStatement!H48)</f>
        <v>0</v>
      </c>
      <c r="I37" s="4">
        <f>SUM(IncomeStatement!I48)</f>
        <v>0</v>
      </c>
      <c r="J37" s="4">
        <f>SUM(IncomeStatement!J48)</f>
        <v>0</v>
      </c>
      <c r="K37" s="4">
        <f>SUM(IncomeStatement!K48)</f>
        <v>0</v>
      </c>
      <c r="L37" s="4">
        <f>SUM(IncomeStatement!L48)</f>
        <v>0</v>
      </c>
      <c r="M37" s="4">
        <f>SUM(IncomeStatement!M48)</f>
        <v>0</v>
      </c>
      <c r="N37" s="4">
        <f>SUM(IncomeStatement!N48)</f>
        <v>0</v>
      </c>
      <c r="O37" s="4"/>
    </row>
    <row r="38" spans="1:15">
      <c r="A38" t="str">
        <f>IncomeStatement!A49</f>
        <v xml:space="preserve">     Vehicle Fuel &amp; Maintenance</v>
      </c>
      <c r="B38" s="4"/>
      <c r="C38" s="4">
        <f>SUM(IncomeStatement!C49)</f>
        <v>0</v>
      </c>
      <c r="D38" s="4">
        <f>SUM(IncomeStatement!D49)</f>
        <v>0</v>
      </c>
      <c r="E38" s="4">
        <f>SUM(IncomeStatement!E49)</f>
        <v>0</v>
      </c>
      <c r="F38" s="4">
        <f>SUM(IncomeStatement!F49)</f>
        <v>0</v>
      </c>
      <c r="G38" s="4">
        <f>SUM(IncomeStatement!G49)</f>
        <v>0</v>
      </c>
      <c r="H38" s="4">
        <f>SUM(IncomeStatement!H49)</f>
        <v>0</v>
      </c>
      <c r="I38" s="4">
        <f>SUM(IncomeStatement!I49)</f>
        <v>0</v>
      </c>
      <c r="J38" s="4">
        <f>SUM(IncomeStatement!J49)</f>
        <v>0</v>
      </c>
      <c r="K38" s="4">
        <f>SUM(IncomeStatement!K49)</f>
        <v>0</v>
      </c>
      <c r="L38" s="4">
        <f>SUM(IncomeStatement!L49)</f>
        <v>0</v>
      </c>
      <c r="M38" s="4">
        <f>SUM(IncomeStatement!M49)</f>
        <v>0</v>
      </c>
      <c r="N38" s="4">
        <f>SUM(IncomeStatement!N49)</f>
        <v>0</v>
      </c>
      <c r="O38" s="4"/>
    </row>
    <row r="39" spans="1:15">
      <c r="A39" t="str">
        <f>IncomeStatement!A50</f>
        <v xml:space="preserve">     Equipment Maintenance and Repair</v>
      </c>
      <c r="B39" s="4"/>
      <c r="C39" s="4">
        <f>SUM(IncomeStatement!C50)</f>
        <v>0</v>
      </c>
      <c r="D39" s="4">
        <f>SUM(IncomeStatement!D50)</f>
        <v>0</v>
      </c>
      <c r="E39" s="4">
        <f>SUM(IncomeStatement!E50)</f>
        <v>0</v>
      </c>
      <c r="F39" s="4">
        <f>SUM(IncomeStatement!F50)</f>
        <v>0</v>
      </c>
      <c r="G39" s="4">
        <f>SUM(IncomeStatement!G50)</f>
        <v>0</v>
      </c>
      <c r="H39" s="4">
        <f>SUM(IncomeStatement!H50)</f>
        <v>0</v>
      </c>
      <c r="I39" s="4">
        <f>SUM(IncomeStatement!I50)</f>
        <v>0</v>
      </c>
      <c r="J39" s="4">
        <f>SUM(IncomeStatement!J50)</f>
        <v>0</v>
      </c>
      <c r="K39" s="4">
        <f>SUM(IncomeStatement!K50)</f>
        <v>0</v>
      </c>
      <c r="L39" s="4">
        <f>SUM(IncomeStatement!L50)</f>
        <v>0</v>
      </c>
      <c r="M39" s="4">
        <f>SUM(IncomeStatement!M50)</f>
        <v>0</v>
      </c>
      <c r="N39" s="4">
        <f>SUM(IncomeStatement!N50)</f>
        <v>0</v>
      </c>
      <c r="O39" s="4"/>
    </row>
    <row r="40" spans="1:15">
      <c r="A40" t="str">
        <f>IncomeStatement!A51</f>
        <v xml:space="preserve">     Credit Card Fees</v>
      </c>
      <c r="B40" s="4"/>
      <c r="C40" s="4">
        <f>SUM(IncomeStatement!C51)</f>
        <v>0</v>
      </c>
      <c r="D40" s="4">
        <f>SUM(IncomeStatement!D51)</f>
        <v>0</v>
      </c>
      <c r="E40" s="4">
        <f>SUM(IncomeStatement!E51)</f>
        <v>0</v>
      </c>
      <c r="F40" s="4">
        <f>SUM(IncomeStatement!F51)</f>
        <v>0</v>
      </c>
      <c r="G40" s="4">
        <f>SUM(IncomeStatement!G51)</f>
        <v>0</v>
      </c>
      <c r="H40" s="4">
        <f>SUM(IncomeStatement!H51)</f>
        <v>0</v>
      </c>
      <c r="I40" s="4">
        <f>SUM(IncomeStatement!I51)</f>
        <v>0</v>
      </c>
      <c r="J40" s="4">
        <f>SUM(IncomeStatement!J51)</f>
        <v>0</v>
      </c>
      <c r="K40" s="4">
        <f>SUM(IncomeStatement!K51)</f>
        <v>0</v>
      </c>
      <c r="L40" s="4">
        <f>SUM(IncomeStatement!L51)</f>
        <v>0</v>
      </c>
      <c r="M40" s="4">
        <f>SUM(IncomeStatement!M51)</f>
        <v>0</v>
      </c>
      <c r="N40" s="4">
        <f>SUM(IncomeStatement!N51)</f>
        <v>0</v>
      </c>
      <c r="O40" s="4"/>
    </row>
    <row r="41" spans="1:15">
      <c r="A41" t="str">
        <f>IncomeStatement!A52</f>
        <v xml:space="preserve">     Interest </v>
      </c>
      <c r="B41" s="4"/>
      <c r="C41" s="57">
        <f>IncomeStatement!C52</f>
        <v>0</v>
      </c>
      <c r="D41" s="57">
        <f>IncomeStatement!D52</f>
        <v>0</v>
      </c>
      <c r="E41" s="57">
        <f>IncomeStatement!E52</f>
        <v>0</v>
      </c>
      <c r="F41" s="57">
        <f>IncomeStatement!F52</f>
        <v>0</v>
      </c>
      <c r="G41" s="57">
        <f>IncomeStatement!G52</f>
        <v>0</v>
      </c>
      <c r="H41" s="57">
        <f>IncomeStatement!H52</f>
        <v>0</v>
      </c>
      <c r="I41" s="57">
        <f>IncomeStatement!I52</f>
        <v>0</v>
      </c>
      <c r="J41" s="57">
        <f>IncomeStatement!J52</f>
        <v>0</v>
      </c>
      <c r="K41" s="57">
        <f>IncomeStatement!K52</f>
        <v>0</v>
      </c>
      <c r="L41" s="57">
        <f>IncomeStatement!L52</f>
        <v>0</v>
      </c>
      <c r="M41" s="57">
        <f>IncomeStatement!M52</f>
        <v>0</v>
      </c>
      <c r="N41" s="57">
        <f>IncomeStatement!N52</f>
        <v>0</v>
      </c>
      <c r="O41" s="4"/>
    </row>
    <row r="42" spans="1:15">
      <c r="A42" t="str">
        <f>IncomeStatement!A53</f>
        <v xml:space="preserve">     Bank Fees</v>
      </c>
      <c r="B42" s="4"/>
      <c r="C42" s="4">
        <f>SUM(IncomeStatement!C53)</f>
        <v>0</v>
      </c>
      <c r="D42" s="4">
        <f>SUM(IncomeStatement!D53)</f>
        <v>0</v>
      </c>
      <c r="E42" s="4">
        <f>SUM(IncomeStatement!E53)</f>
        <v>0</v>
      </c>
      <c r="F42" s="4">
        <f>SUM(IncomeStatement!F53)</f>
        <v>0</v>
      </c>
      <c r="G42" s="4">
        <f>SUM(IncomeStatement!G53)</f>
        <v>0</v>
      </c>
      <c r="H42" s="4">
        <f>SUM(IncomeStatement!H53)</f>
        <v>0</v>
      </c>
      <c r="I42" s="4">
        <f>SUM(IncomeStatement!I53)</f>
        <v>0</v>
      </c>
      <c r="J42" s="4">
        <f>SUM(IncomeStatement!J53)</f>
        <v>0</v>
      </c>
      <c r="K42" s="4">
        <f>SUM(IncomeStatement!K53)</f>
        <v>0</v>
      </c>
      <c r="L42" s="4">
        <f>SUM(IncomeStatement!L53)</f>
        <v>0</v>
      </c>
      <c r="M42" s="4">
        <f>SUM(IncomeStatement!M53)</f>
        <v>0</v>
      </c>
      <c r="N42" s="4">
        <f>SUM(IncomeStatement!N53)</f>
        <v>0</v>
      </c>
      <c r="O42" s="4"/>
    </row>
    <row r="43" spans="1:15">
      <c r="A43" t="str">
        <f>IncomeStatement!A54</f>
        <v xml:space="preserve">     Training</v>
      </c>
      <c r="B43" s="4"/>
      <c r="C43" s="4">
        <f>SUM(IncomeStatement!C54)</f>
        <v>0</v>
      </c>
      <c r="D43" s="4">
        <f>SUM(IncomeStatement!D54)</f>
        <v>0</v>
      </c>
      <c r="E43" s="4">
        <f>SUM(IncomeStatement!E54)</f>
        <v>0</v>
      </c>
      <c r="F43" s="4">
        <f>SUM(IncomeStatement!F54)</f>
        <v>0</v>
      </c>
      <c r="G43" s="4">
        <f>SUM(IncomeStatement!G54)</f>
        <v>0</v>
      </c>
      <c r="H43" s="4">
        <f>SUM(IncomeStatement!H54)</f>
        <v>0</v>
      </c>
      <c r="I43" s="4">
        <f>SUM(IncomeStatement!I54)</f>
        <v>0</v>
      </c>
      <c r="J43" s="4">
        <f>SUM(IncomeStatement!J54)</f>
        <v>0</v>
      </c>
      <c r="K43" s="4">
        <f>SUM(IncomeStatement!K54)</f>
        <v>0</v>
      </c>
      <c r="L43" s="4">
        <f>SUM(IncomeStatement!L54)</f>
        <v>0</v>
      </c>
      <c r="M43" s="4">
        <f>SUM(IncomeStatement!M54)</f>
        <v>0</v>
      </c>
      <c r="N43" s="4">
        <f>SUM(IncomeStatement!N54)</f>
        <v>0</v>
      </c>
      <c r="O43" s="4"/>
    </row>
    <row r="44" spans="1:15">
      <c r="A44" t="str">
        <f>IncomeStatement!A55</f>
        <v xml:space="preserve">     Travel</v>
      </c>
      <c r="B44" s="4"/>
      <c r="C44" s="4">
        <f>SUM(IncomeStatement!C55)</f>
        <v>0</v>
      </c>
      <c r="D44" s="4">
        <f>SUM(IncomeStatement!D55)</f>
        <v>0</v>
      </c>
      <c r="E44" s="4">
        <f>SUM(IncomeStatement!E55)</f>
        <v>0</v>
      </c>
      <c r="F44" s="4">
        <f>SUM(IncomeStatement!F55)</f>
        <v>0</v>
      </c>
      <c r="G44" s="4">
        <f>SUM(IncomeStatement!G55)</f>
        <v>0</v>
      </c>
      <c r="H44" s="4">
        <f>SUM(IncomeStatement!H55)</f>
        <v>0</v>
      </c>
      <c r="I44" s="4">
        <f>SUM(IncomeStatement!I55)</f>
        <v>0</v>
      </c>
      <c r="J44" s="4">
        <f>SUM(IncomeStatement!J55)</f>
        <v>0</v>
      </c>
      <c r="K44" s="4">
        <f>SUM(IncomeStatement!K55)</f>
        <v>0</v>
      </c>
      <c r="L44" s="4">
        <f>SUM(IncomeStatement!L55)</f>
        <v>0</v>
      </c>
      <c r="M44" s="4">
        <f>SUM(IncomeStatement!M55)</f>
        <v>0</v>
      </c>
      <c r="N44" s="4">
        <f>SUM(IncomeStatement!N55)</f>
        <v>0</v>
      </c>
      <c r="O44" s="4"/>
    </row>
    <row r="45" spans="1:15">
      <c r="A45" t="str">
        <f>IncomeStatement!A56</f>
        <v xml:space="preserve">     Supplies</v>
      </c>
      <c r="B45" s="4"/>
      <c r="C45" s="4">
        <f>SUM(IncomeStatement!C56)</f>
        <v>0</v>
      </c>
      <c r="D45" s="4">
        <f>SUM(IncomeStatement!D56)</f>
        <v>0</v>
      </c>
      <c r="E45" s="4">
        <f>SUM(IncomeStatement!E56)</f>
        <v>0</v>
      </c>
      <c r="F45" s="4">
        <f>SUM(IncomeStatement!F56)</f>
        <v>0</v>
      </c>
      <c r="G45" s="4">
        <f>SUM(IncomeStatement!G56)</f>
        <v>0</v>
      </c>
      <c r="H45" s="4">
        <f>SUM(IncomeStatement!H56)</f>
        <v>0</v>
      </c>
      <c r="I45" s="4">
        <f>SUM(IncomeStatement!I56)</f>
        <v>0</v>
      </c>
      <c r="J45" s="4">
        <f>SUM(IncomeStatement!J56)</f>
        <v>0</v>
      </c>
      <c r="K45" s="4">
        <f>SUM(IncomeStatement!K56)</f>
        <v>0</v>
      </c>
      <c r="L45" s="4">
        <f>SUM(IncomeStatement!L56)</f>
        <v>0</v>
      </c>
      <c r="M45" s="4">
        <f>SUM(IncomeStatement!M56)</f>
        <v>0</v>
      </c>
      <c r="N45" s="4">
        <f>SUM(IncomeStatement!N56)</f>
        <v>0</v>
      </c>
      <c r="O45" s="4"/>
    </row>
    <row r="46" spans="1:15">
      <c r="A46" t="str">
        <f>IncomeStatement!$A$58</f>
        <v xml:space="preserve">     Miscellaneous</v>
      </c>
      <c r="B46" s="4"/>
      <c r="C46" s="4">
        <f>SUM(IncomeStatement!C58)</f>
        <v>0</v>
      </c>
      <c r="D46" s="4">
        <f>SUM(IncomeStatement!D58)</f>
        <v>0</v>
      </c>
      <c r="E46" s="4">
        <f>SUM(IncomeStatement!E58)</f>
        <v>0</v>
      </c>
      <c r="F46" s="4">
        <f>SUM(IncomeStatement!F58)</f>
        <v>0</v>
      </c>
      <c r="G46" s="4">
        <f>SUM(IncomeStatement!G58)</f>
        <v>0</v>
      </c>
      <c r="H46" s="4">
        <f>SUM(IncomeStatement!H58)</f>
        <v>0</v>
      </c>
      <c r="I46" s="4">
        <f>SUM(IncomeStatement!I58)</f>
        <v>0</v>
      </c>
      <c r="J46" s="4">
        <f>SUM(IncomeStatement!J58)</f>
        <v>0</v>
      </c>
      <c r="K46" s="4">
        <f>SUM(IncomeStatement!K58)</f>
        <v>0</v>
      </c>
      <c r="L46" s="4">
        <f>SUM(IncomeStatement!L58)</f>
        <v>0</v>
      </c>
      <c r="M46" s="4">
        <f>SUM(IncomeStatement!M58)</f>
        <v>0</v>
      </c>
      <c r="N46" s="4">
        <f>SUM(IncomeStatement!N58)</f>
        <v>0</v>
      </c>
      <c r="O46" s="4"/>
    </row>
    <row r="47" spans="1:15">
      <c r="A47" t="s">
        <v>12</v>
      </c>
      <c r="B47" s="4"/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  <c r="M47" s="4" t="s">
        <v>12</v>
      </c>
      <c r="N47" s="4" t="s">
        <v>12</v>
      </c>
      <c r="O47" s="4"/>
    </row>
    <row r="48" spans="1:15" ht="13">
      <c r="A48" s="2" t="s">
        <v>147</v>
      </c>
      <c r="B48" s="4">
        <f t="shared" ref="B48:N48" si="2">SUM(B18:B47)</f>
        <v>0</v>
      </c>
      <c r="C48" s="4">
        <f t="shared" si="2"/>
        <v>0</v>
      </c>
      <c r="D48" s="4">
        <f t="shared" si="2"/>
        <v>0</v>
      </c>
      <c r="E48" s="4">
        <f t="shared" si="2"/>
        <v>0</v>
      </c>
      <c r="F48" s="4">
        <f t="shared" si="2"/>
        <v>0</v>
      </c>
      <c r="G48" s="4">
        <f t="shared" si="2"/>
        <v>0</v>
      </c>
      <c r="H48" s="4">
        <f t="shared" si="2"/>
        <v>0</v>
      </c>
      <c r="I48" s="4">
        <f t="shared" si="2"/>
        <v>0</v>
      </c>
      <c r="J48" s="4">
        <f t="shared" si="2"/>
        <v>0</v>
      </c>
      <c r="K48" s="4">
        <f t="shared" si="2"/>
        <v>0</v>
      </c>
      <c r="L48" s="4">
        <f t="shared" si="2"/>
        <v>0</v>
      </c>
      <c r="M48" s="4">
        <f t="shared" si="2"/>
        <v>0</v>
      </c>
      <c r="N48" s="4">
        <f t="shared" si="2"/>
        <v>0</v>
      </c>
      <c r="O48" s="4"/>
    </row>
    <row r="49" spans="1:1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3">
      <c r="A50" s="2" t="s">
        <v>148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t="s">
        <v>149</v>
      </c>
      <c r="B52" s="4">
        <f>+BeginInv!D28</f>
        <v>0</v>
      </c>
      <c r="C52" s="4">
        <f>SUM(IncomeStatement!C21)</f>
        <v>0</v>
      </c>
      <c r="D52" s="4">
        <f>SUM(IncomeStatement!D21)</f>
        <v>0</v>
      </c>
      <c r="E52" s="4">
        <f>SUM(IncomeStatement!E21)</f>
        <v>0</v>
      </c>
      <c r="F52" s="4">
        <f>SUM(IncomeStatement!F21)</f>
        <v>0</v>
      </c>
      <c r="G52" s="4">
        <f>SUM(IncomeStatement!G21)</f>
        <v>0</v>
      </c>
      <c r="H52" s="4">
        <f>SUM(IncomeStatement!H21)</f>
        <v>0</v>
      </c>
      <c r="I52" s="4">
        <f>SUM(IncomeStatement!I21)</f>
        <v>0</v>
      </c>
      <c r="J52" s="4">
        <f>SUM(IncomeStatement!J21)</f>
        <v>0</v>
      </c>
      <c r="K52" s="4">
        <f>SUM(IncomeStatement!K21)</f>
        <v>0</v>
      </c>
      <c r="L52" s="4">
        <f>SUM(IncomeStatement!L21)</f>
        <v>0</v>
      </c>
      <c r="M52" s="4">
        <f>SUM(IncomeStatement!M21)</f>
        <v>0</v>
      </c>
      <c r="N52" s="4">
        <f>SUM(IncomeStatement!N21)</f>
        <v>0</v>
      </c>
      <c r="O52" s="4"/>
    </row>
    <row r="53" spans="1:15">
      <c r="A53" t="s">
        <v>150</v>
      </c>
      <c r="B53" s="4"/>
      <c r="C53" s="4">
        <f>Amortization!E22</f>
        <v>0</v>
      </c>
      <c r="D53" s="4">
        <f>Amortization!E23</f>
        <v>0</v>
      </c>
      <c r="E53" s="4">
        <f>Amortization!E24</f>
        <v>0</v>
      </c>
      <c r="F53" s="4">
        <f>Amortization!E25</f>
        <v>0</v>
      </c>
      <c r="G53" s="4">
        <f>Amortization!E26</f>
        <v>0</v>
      </c>
      <c r="H53" s="4">
        <f>Amortization!E27</f>
        <v>0</v>
      </c>
      <c r="I53" s="4">
        <f>Amortization!E28</f>
        <v>0</v>
      </c>
      <c r="J53" s="4">
        <f>Amortization!E29</f>
        <v>0</v>
      </c>
      <c r="K53" s="4">
        <f>Amortization!E30</f>
        <v>0</v>
      </c>
      <c r="L53" s="4">
        <f>Amortization!E31</f>
        <v>0</v>
      </c>
      <c r="M53" s="4">
        <f>Amortization!E32</f>
        <v>0</v>
      </c>
      <c r="N53" s="4">
        <f>Amortization!E33</f>
        <v>0</v>
      </c>
      <c r="O53" s="4"/>
    </row>
    <row r="54" spans="1:15">
      <c r="A54" t="s">
        <v>292</v>
      </c>
      <c r="B54" s="4">
        <f>+Startupcosts!B37</f>
        <v>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t="s">
        <v>287</v>
      </c>
      <c r="B55" s="4">
        <f>SourceFunds!B24+SourceFunds!B32+SourceFunds!B34</f>
        <v>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t="s">
        <v>151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/>
    </row>
    <row r="57" spans="1: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3">
      <c r="A58" s="2" t="s">
        <v>152</v>
      </c>
      <c r="B58" s="4">
        <f>SUM(B56,B55,B53,B54,B52,B48)</f>
        <v>0</v>
      </c>
      <c r="C58" s="4">
        <f>SUM(C56,C55,C53,C52,C48)</f>
        <v>0</v>
      </c>
      <c r="D58" s="4">
        <f t="shared" ref="D58:N58" si="3">SUM(D56,D55,D53,D52,D48)</f>
        <v>0</v>
      </c>
      <c r="E58" s="4">
        <f t="shared" si="3"/>
        <v>0</v>
      </c>
      <c r="F58" s="4">
        <f t="shared" si="3"/>
        <v>0</v>
      </c>
      <c r="G58" s="4">
        <f t="shared" si="3"/>
        <v>0</v>
      </c>
      <c r="H58" s="4">
        <f t="shared" si="3"/>
        <v>0</v>
      </c>
      <c r="I58" s="4">
        <f t="shared" si="3"/>
        <v>0</v>
      </c>
      <c r="J58" s="4">
        <f t="shared" si="3"/>
        <v>0</v>
      </c>
      <c r="K58" s="4">
        <f t="shared" si="3"/>
        <v>0</v>
      </c>
      <c r="L58" s="4">
        <f t="shared" si="3"/>
        <v>0</v>
      </c>
      <c r="M58" s="4">
        <f t="shared" si="3"/>
        <v>0</v>
      </c>
      <c r="N58" s="4">
        <f t="shared" si="3"/>
        <v>0</v>
      </c>
      <c r="O58" s="4"/>
    </row>
    <row r="59" spans="1: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3">
      <c r="A60" s="2" t="s">
        <v>153</v>
      </c>
      <c r="B60" s="4">
        <f t="shared" ref="B60:N60" si="4">B14-B58</f>
        <v>0</v>
      </c>
      <c r="C60" s="4">
        <f t="shared" si="4"/>
        <v>0</v>
      </c>
      <c r="D60" s="4">
        <f t="shared" si="4"/>
        <v>0</v>
      </c>
      <c r="E60" s="4">
        <f t="shared" si="4"/>
        <v>0</v>
      </c>
      <c r="F60" s="4">
        <f t="shared" si="4"/>
        <v>0</v>
      </c>
      <c r="G60" s="4">
        <f t="shared" si="4"/>
        <v>0</v>
      </c>
      <c r="H60" s="4">
        <f t="shared" si="4"/>
        <v>0</v>
      </c>
      <c r="I60" s="4">
        <f t="shared" si="4"/>
        <v>0</v>
      </c>
      <c r="J60" s="4">
        <f t="shared" si="4"/>
        <v>0</v>
      </c>
      <c r="K60" s="4">
        <f t="shared" si="4"/>
        <v>0</v>
      </c>
      <c r="L60" s="4">
        <f t="shared" si="4"/>
        <v>0</v>
      </c>
      <c r="M60" s="4">
        <f t="shared" si="4"/>
        <v>0</v>
      </c>
      <c r="N60" s="4">
        <f t="shared" si="4"/>
        <v>0</v>
      </c>
      <c r="O60" s="4"/>
    </row>
    <row r="61" spans="1: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t="s">
        <v>281</v>
      </c>
    </row>
    <row r="64" spans="1:15">
      <c r="A64" t="s">
        <v>331</v>
      </c>
    </row>
  </sheetData>
  <phoneticPr fontId="0" type="noConversion"/>
  <printOptions horizontalCentered="1" verticalCentered="1"/>
  <pageMargins left="0.25" right="0.25" top="0.5" bottom="0.25" header="0.5" footer="0.5"/>
  <pageSetup scale="68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4"/>
  <sheetViews>
    <sheetView topLeftCell="A7" workbookViewId="0">
      <selection activeCell="C8" sqref="C8"/>
    </sheetView>
  </sheetViews>
  <sheetFormatPr defaultRowHeight="12.5"/>
  <cols>
    <col min="1" max="1" width="36.81640625" customWidth="1"/>
    <col min="2" max="5" width="15.7265625" customWidth="1"/>
  </cols>
  <sheetData>
    <row r="1" spans="1:5" ht="18">
      <c r="A1" s="23" t="s">
        <v>154</v>
      </c>
      <c r="B1" s="24"/>
      <c r="C1" s="24"/>
      <c r="D1" s="24"/>
      <c r="E1" s="24"/>
    </row>
    <row r="2" spans="1:5">
      <c r="A2" s="25" t="s">
        <v>12</v>
      </c>
      <c r="B2" s="25"/>
      <c r="C2" s="25"/>
      <c r="D2" s="25"/>
      <c r="E2" s="25"/>
    </row>
    <row r="3" spans="1:5">
      <c r="A3" s="25"/>
      <c r="B3" s="25"/>
      <c r="C3" s="26"/>
      <c r="D3" s="26"/>
      <c r="E3" s="26"/>
    </row>
    <row r="4" spans="1:5" ht="13">
      <c r="A4" s="27" t="s">
        <v>155</v>
      </c>
      <c r="B4" s="28" t="s">
        <v>291</v>
      </c>
      <c r="C4" s="28" t="s">
        <v>156</v>
      </c>
      <c r="D4" s="28" t="s">
        <v>157</v>
      </c>
      <c r="E4" s="28" t="s">
        <v>285</v>
      </c>
    </row>
    <row r="5" spans="1:5">
      <c r="A5" s="25"/>
      <c r="B5" s="78"/>
      <c r="C5" s="26"/>
      <c r="D5" s="26"/>
      <c r="E5" s="26"/>
    </row>
    <row r="6" spans="1:5" ht="13">
      <c r="A6" s="27" t="s">
        <v>158</v>
      </c>
      <c r="B6" s="79"/>
      <c r="C6" s="26" t="s">
        <v>12</v>
      </c>
      <c r="D6" s="26"/>
      <c r="E6" s="26"/>
    </row>
    <row r="7" spans="1:5">
      <c r="A7" s="25"/>
      <c r="B7" s="79"/>
      <c r="C7" s="26"/>
      <c r="D7" s="26"/>
      <c r="E7" s="26"/>
    </row>
    <row r="8" spans="1:5">
      <c r="A8" s="25" t="s">
        <v>159</v>
      </c>
      <c r="B8" s="80">
        <f>CashFlow!B5</f>
        <v>0</v>
      </c>
      <c r="C8" s="26">
        <f>CashFlow!$N$60</f>
        <v>0</v>
      </c>
      <c r="D8" s="26">
        <v>0</v>
      </c>
      <c r="E8" s="26">
        <v>0</v>
      </c>
    </row>
    <row r="9" spans="1:5">
      <c r="A9" s="25" t="s">
        <v>160</v>
      </c>
      <c r="B9" s="79">
        <v>0</v>
      </c>
      <c r="C9" s="26">
        <v>0</v>
      </c>
      <c r="D9" s="26">
        <v>0</v>
      </c>
      <c r="E9" s="26">
        <v>0</v>
      </c>
    </row>
    <row r="10" spans="1:5">
      <c r="A10" s="25" t="s">
        <v>161</v>
      </c>
      <c r="B10" s="81">
        <f>BeginInv!D28</f>
        <v>0</v>
      </c>
      <c r="C10" s="26">
        <v>0</v>
      </c>
      <c r="D10" s="26">
        <v>0</v>
      </c>
      <c r="E10" s="26">
        <v>0</v>
      </c>
    </row>
    <row r="11" spans="1:5">
      <c r="A11" s="25" t="s">
        <v>162</v>
      </c>
      <c r="B11" s="79">
        <f>Startupcosts!B13+Startupcosts!B15</f>
        <v>0</v>
      </c>
      <c r="C11" s="79">
        <f>Startupcosts!C13+Startupcosts!C15</f>
        <v>0</v>
      </c>
      <c r="D11" s="26">
        <v>0</v>
      </c>
      <c r="E11" s="26">
        <v>0</v>
      </c>
    </row>
    <row r="12" spans="1:5">
      <c r="A12" s="25"/>
      <c r="B12" s="79"/>
      <c r="C12" s="26"/>
      <c r="D12" s="26"/>
      <c r="E12" s="26"/>
    </row>
    <row r="13" spans="1:5" ht="13">
      <c r="A13" s="27" t="s">
        <v>163</v>
      </c>
      <c r="B13" s="77">
        <f>SUM(B8:B12)</f>
        <v>0</v>
      </c>
      <c r="C13" s="29">
        <f>SUM(C8:C12)</f>
        <v>0</v>
      </c>
      <c r="D13" s="29">
        <f>SUM(D8:D12)</f>
        <v>0</v>
      </c>
      <c r="E13" s="29">
        <f>SUM(E8:E12)</f>
        <v>0</v>
      </c>
    </row>
    <row r="14" spans="1:5">
      <c r="A14" s="25"/>
      <c r="B14" s="79"/>
      <c r="C14" s="26"/>
      <c r="D14" s="26"/>
      <c r="E14" s="26"/>
    </row>
    <row r="15" spans="1:5" ht="13">
      <c r="A15" s="27" t="s">
        <v>164</v>
      </c>
      <c r="B15" s="79"/>
      <c r="C15" s="26"/>
      <c r="D15" s="26"/>
      <c r="E15" s="26"/>
    </row>
    <row r="16" spans="1:5">
      <c r="A16" s="25"/>
      <c r="B16" s="79"/>
      <c r="C16" s="26"/>
      <c r="D16" s="26"/>
      <c r="E16" s="26"/>
    </row>
    <row r="17" spans="1:5">
      <c r="A17" s="25" t="s">
        <v>165</v>
      </c>
      <c r="B17" s="79">
        <f>SourceFunds!B32</f>
        <v>0</v>
      </c>
      <c r="C17" s="79">
        <f>SourceFunds!B32</f>
        <v>0</v>
      </c>
      <c r="D17" s="26">
        <v>0</v>
      </c>
      <c r="E17" s="26">
        <v>0</v>
      </c>
    </row>
    <row r="18" spans="1:5">
      <c r="A18" s="25" t="s">
        <v>166</v>
      </c>
      <c r="B18" s="79">
        <f>SourceFunds!B34</f>
        <v>0</v>
      </c>
      <c r="C18" s="79">
        <f>SourceFunds!B34</f>
        <v>0</v>
      </c>
      <c r="D18" s="26">
        <v>0</v>
      </c>
      <c r="E18" s="26">
        <v>0</v>
      </c>
    </row>
    <row r="19" spans="1:5">
      <c r="A19" s="25" t="s">
        <v>167</v>
      </c>
      <c r="B19" s="79">
        <f>CapEquip!C24</f>
        <v>0</v>
      </c>
      <c r="C19" s="79">
        <f>CapEquip!C24</f>
        <v>0</v>
      </c>
      <c r="D19" s="26">
        <v>0</v>
      </c>
      <c r="E19" s="26">
        <v>0</v>
      </c>
    </row>
    <row r="20" spans="1:5">
      <c r="A20" s="25"/>
      <c r="B20" s="79"/>
      <c r="C20" s="26"/>
      <c r="D20" s="26"/>
      <c r="E20" s="26"/>
    </row>
    <row r="21" spans="1:5" ht="13">
      <c r="A21" s="25" t="s">
        <v>168</v>
      </c>
      <c r="B21" s="79">
        <v>0</v>
      </c>
      <c r="C21" s="30">
        <f>IncomeStatement!P57</f>
        <v>0</v>
      </c>
      <c r="D21" s="26">
        <v>0</v>
      </c>
      <c r="E21" s="26">
        <v>0</v>
      </c>
    </row>
    <row r="22" spans="1:5">
      <c r="A22" s="25"/>
      <c r="B22" s="79"/>
      <c r="C22" s="26"/>
      <c r="D22" s="26"/>
      <c r="E22" s="26"/>
    </row>
    <row r="23" spans="1:5" ht="13">
      <c r="A23" s="27" t="s">
        <v>169</v>
      </c>
      <c r="B23" s="77">
        <f>(B17+B18+B19)-B21</f>
        <v>0</v>
      </c>
      <c r="C23" s="29">
        <f>(C17+C18+C19)-C21</f>
        <v>0</v>
      </c>
      <c r="D23" s="29">
        <f>(D17+D18+D19)-D21</f>
        <v>0</v>
      </c>
      <c r="E23" s="29">
        <f>(E17+E18+E19)-E21</f>
        <v>0</v>
      </c>
    </row>
    <row r="24" spans="1:5">
      <c r="A24" s="25"/>
      <c r="B24" s="79"/>
      <c r="C24" s="26"/>
      <c r="D24" s="26"/>
      <c r="E24" s="26"/>
    </row>
    <row r="25" spans="1:5" ht="13">
      <c r="A25" s="27" t="s">
        <v>170</v>
      </c>
      <c r="B25" s="77">
        <f>B13+B23</f>
        <v>0</v>
      </c>
      <c r="C25" s="29">
        <f>C13+C23</f>
        <v>0</v>
      </c>
      <c r="D25" s="29">
        <f>D13+D23</f>
        <v>0</v>
      </c>
      <c r="E25" s="29">
        <f>E13+E23</f>
        <v>0</v>
      </c>
    </row>
    <row r="26" spans="1:5">
      <c r="A26" s="25"/>
      <c r="B26" s="79"/>
      <c r="C26" s="26"/>
      <c r="D26" s="26"/>
      <c r="E26" s="26"/>
    </row>
    <row r="27" spans="1:5">
      <c r="A27" s="25"/>
      <c r="B27" s="79"/>
      <c r="C27" s="26"/>
      <c r="D27" s="26"/>
      <c r="E27" s="26"/>
    </row>
    <row r="28" spans="1:5" ht="13">
      <c r="A28" s="27" t="s">
        <v>171</v>
      </c>
      <c r="B28" s="79"/>
      <c r="C28" s="26"/>
      <c r="D28" s="26"/>
      <c r="E28" s="26"/>
    </row>
    <row r="29" spans="1:5">
      <c r="A29" s="25"/>
      <c r="B29" s="79"/>
      <c r="C29" s="26"/>
      <c r="D29" s="26"/>
      <c r="E29" s="26"/>
    </row>
    <row r="30" spans="1:5" ht="13">
      <c r="A30" s="27" t="s">
        <v>172</v>
      </c>
      <c r="B30" s="79"/>
      <c r="C30" s="26"/>
      <c r="D30" s="26"/>
      <c r="E30" s="26"/>
    </row>
    <row r="31" spans="1:5">
      <c r="A31" s="25"/>
      <c r="B31" s="79"/>
      <c r="C31" s="26"/>
      <c r="D31" s="26"/>
      <c r="E31" s="26"/>
    </row>
    <row r="32" spans="1:5">
      <c r="A32" s="25" t="s">
        <v>268</v>
      </c>
      <c r="B32" s="79"/>
      <c r="C32" s="26">
        <v>0</v>
      </c>
      <c r="D32" s="26">
        <v>0</v>
      </c>
      <c r="E32" s="26">
        <v>0</v>
      </c>
    </row>
    <row r="33" spans="1:5">
      <c r="A33" s="25" t="s">
        <v>173</v>
      </c>
      <c r="B33" s="79"/>
      <c r="C33" s="26">
        <v>0</v>
      </c>
      <c r="D33" s="26">
        <v>0</v>
      </c>
      <c r="E33" s="26">
        <v>0</v>
      </c>
    </row>
    <row r="34" spans="1:5">
      <c r="A34" s="25" t="s">
        <v>174</v>
      </c>
      <c r="B34" s="79">
        <v>0</v>
      </c>
      <c r="C34" s="26">
        <v>0</v>
      </c>
      <c r="D34" s="26">
        <v>0</v>
      </c>
      <c r="E34" s="26">
        <v>0</v>
      </c>
    </row>
    <row r="35" spans="1:5">
      <c r="A35" s="25" t="s">
        <v>175</v>
      </c>
      <c r="B35" s="26">
        <f>+(Amortization!C7-Amortization!F33)</f>
        <v>0</v>
      </c>
      <c r="C35" s="26">
        <f>+(Amortization!F34-Amortization!F45)</f>
        <v>0</v>
      </c>
      <c r="D35" s="26">
        <f>+(Amortization!F46-Amortization!F57)</f>
        <v>0</v>
      </c>
      <c r="E35" s="26">
        <f>+(Amortization!F58-Amortization!F68)</f>
        <v>0</v>
      </c>
    </row>
    <row r="36" spans="1:5">
      <c r="A36" s="25"/>
      <c r="B36" s="79"/>
      <c r="C36" s="26"/>
      <c r="D36" s="26"/>
      <c r="E36" s="26"/>
    </row>
    <row r="37" spans="1:5" ht="13">
      <c r="A37" s="27" t="s">
        <v>176</v>
      </c>
      <c r="B37" s="29">
        <f>SUM(B32:B35)</f>
        <v>0</v>
      </c>
      <c r="C37" s="29">
        <f>SUM(C32:C35)</f>
        <v>0</v>
      </c>
      <c r="D37" s="29">
        <f>SUM(D32:D35)</f>
        <v>0</v>
      </c>
      <c r="E37" s="29">
        <f>SUM(E32:E35)</f>
        <v>0</v>
      </c>
    </row>
    <row r="38" spans="1:5">
      <c r="A38" s="25"/>
      <c r="B38" s="79"/>
      <c r="C38" s="26"/>
      <c r="D38" s="26"/>
      <c r="E38" s="26"/>
    </row>
    <row r="39" spans="1:5" ht="13">
      <c r="A39" s="27" t="s">
        <v>177</v>
      </c>
      <c r="B39" s="30">
        <f>+Amortization!F33</f>
        <v>0</v>
      </c>
      <c r="C39" s="30">
        <f>+Amortization!F45</f>
        <v>0</v>
      </c>
      <c r="D39" s="30">
        <f>+Amortization!F57</f>
        <v>0</v>
      </c>
      <c r="E39" s="30">
        <f>+Amortization!F68</f>
        <v>0</v>
      </c>
    </row>
    <row r="40" spans="1:5">
      <c r="A40" s="25"/>
      <c r="B40" s="79"/>
      <c r="C40" s="26" t="s">
        <v>12</v>
      </c>
      <c r="D40" s="26" t="s">
        <v>12</v>
      </c>
      <c r="E40" s="26" t="s">
        <v>12</v>
      </c>
    </row>
    <row r="41" spans="1:5" ht="13">
      <c r="A41" s="27" t="s">
        <v>178</v>
      </c>
      <c r="B41" s="29">
        <f>SUM(B37:B39)</f>
        <v>0</v>
      </c>
      <c r="C41" s="29">
        <f>SUM(C37:C39)</f>
        <v>0</v>
      </c>
      <c r="D41" s="29">
        <f>SUM(D37:D39)</f>
        <v>0</v>
      </c>
      <c r="E41" s="29">
        <f>E37+D39</f>
        <v>0</v>
      </c>
    </row>
    <row r="42" spans="1:5">
      <c r="A42" s="25"/>
      <c r="B42" s="79"/>
      <c r="C42" s="26"/>
      <c r="D42" s="26"/>
      <c r="E42" s="26"/>
    </row>
    <row r="43" spans="1:5" ht="13">
      <c r="A43" s="27" t="s">
        <v>179</v>
      </c>
      <c r="B43" s="30">
        <f>B25-B41</f>
        <v>0</v>
      </c>
      <c r="C43" s="30">
        <f>C25-C41</f>
        <v>0</v>
      </c>
      <c r="D43" s="30">
        <f>D25-D41</f>
        <v>0</v>
      </c>
      <c r="E43" s="30">
        <f>E25-E41</f>
        <v>0</v>
      </c>
    </row>
    <row r="44" spans="1:5">
      <c r="A44" s="25"/>
      <c r="B44" s="79"/>
      <c r="C44" s="26"/>
      <c r="D44" s="26"/>
      <c r="E44" s="26"/>
    </row>
    <row r="45" spans="1:5" ht="13">
      <c r="A45" s="27" t="s">
        <v>180</v>
      </c>
      <c r="B45" s="29">
        <f>B41+B43</f>
        <v>0</v>
      </c>
      <c r="C45" s="29">
        <f>C41+C43</f>
        <v>0</v>
      </c>
      <c r="D45" s="29">
        <f>D41+D43</f>
        <v>0</v>
      </c>
      <c r="E45" s="29">
        <f>E41+E43</f>
        <v>0</v>
      </c>
    </row>
    <row r="46" spans="1:5">
      <c r="A46" s="25"/>
      <c r="B46" s="79"/>
      <c r="C46" s="25"/>
      <c r="D46" s="25"/>
      <c r="E46" s="25"/>
    </row>
    <row r="47" spans="1:5">
      <c r="B47" s="32"/>
    </row>
    <row r="48" spans="1:5">
      <c r="B48" s="32"/>
    </row>
    <row r="49" spans="2:2">
      <c r="B49" s="32"/>
    </row>
    <row r="50" spans="2:2">
      <c r="B50" s="32"/>
    </row>
    <row r="51" spans="2:2">
      <c r="B51" s="32"/>
    </row>
    <row r="52" spans="2:2">
      <c r="B52" s="20"/>
    </row>
    <row r="53" spans="2:2">
      <c r="B53" s="20"/>
    </row>
    <row r="54" spans="2:2">
      <c r="B54" s="20"/>
    </row>
    <row r="55" spans="2:2">
      <c r="B55" s="20"/>
    </row>
    <row r="56" spans="2:2">
      <c r="B56" s="20"/>
    </row>
    <row r="57" spans="2:2">
      <c r="B57" s="20"/>
    </row>
    <row r="58" spans="2:2">
      <c r="B58" s="20"/>
    </row>
    <row r="59" spans="2:2">
      <c r="B59" s="20"/>
    </row>
    <row r="60" spans="2:2">
      <c r="B60" s="20"/>
    </row>
    <row r="61" spans="2:2">
      <c r="B61" s="20"/>
    </row>
    <row r="62" spans="2:2">
      <c r="B62" s="20"/>
    </row>
    <row r="63" spans="2:2">
      <c r="B63" s="20"/>
    </row>
    <row r="64" spans="2:2">
      <c r="B64" s="20"/>
    </row>
    <row r="65" spans="2:3">
      <c r="B65" s="20"/>
    </row>
    <row r="66" spans="2:3">
      <c r="B66" s="20"/>
    </row>
    <row r="67" spans="2:3">
      <c r="B67" s="20"/>
    </row>
    <row r="68" spans="2:3">
      <c r="B68" s="20"/>
    </row>
    <row r="69" spans="2:3">
      <c r="B69" s="20"/>
    </row>
    <row r="70" spans="2:3">
      <c r="B70" s="20"/>
      <c r="C70" t="s">
        <v>12</v>
      </c>
    </row>
    <row r="71" spans="2:3">
      <c r="B71" s="20"/>
    </row>
    <row r="72" spans="2:3">
      <c r="B72" s="20"/>
    </row>
    <row r="73" spans="2:3">
      <c r="B73" s="20"/>
    </row>
    <row r="74" spans="2:3">
      <c r="B74" s="20"/>
    </row>
    <row r="75" spans="2:3">
      <c r="B75" s="20"/>
    </row>
    <row r="76" spans="2:3">
      <c r="B76" s="20"/>
    </row>
    <row r="77" spans="2:3">
      <c r="B77" s="20"/>
    </row>
    <row r="78" spans="2:3">
      <c r="B78" s="20"/>
    </row>
    <row r="79" spans="2:3">
      <c r="B79" s="20"/>
    </row>
    <row r="80" spans="2:3">
      <c r="B80" s="20"/>
    </row>
    <row r="81" spans="2:2">
      <c r="B81" s="20"/>
    </row>
    <row r="82" spans="2:2">
      <c r="B82" s="20"/>
    </row>
    <row r="83" spans="2:2">
      <c r="B83" s="20"/>
    </row>
    <row r="84" spans="2:2">
      <c r="B84" s="20"/>
    </row>
    <row r="85" spans="2:2">
      <c r="B85" s="20"/>
    </row>
    <row r="86" spans="2:2">
      <c r="B86" s="20"/>
    </row>
    <row r="87" spans="2:2">
      <c r="B87" s="20"/>
    </row>
    <row r="88" spans="2:2">
      <c r="B88" s="20"/>
    </row>
    <row r="89" spans="2:2">
      <c r="B89" s="20"/>
    </row>
    <row r="90" spans="2:2">
      <c r="B90" s="20"/>
    </row>
    <row r="91" spans="2:2">
      <c r="B91" s="20"/>
    </row>
    <row r="92" spans="2:2">
      <c r="B92" s="20"/>
    </row>
    <row r="93" spans="2:2">
      <c r="B93" s="20"/>
    </row>
    <row r="94" spans="2:2">
      <c r="B94" s="20"/>
    </row>
    <row r="95" spans="2:2">
      <c r="B95" s="20"/>
    </row>
    <row r="96" spans="2:2">
      <c r="B96" s="20"/>
    </row>
    <row r="97" spans="2:2">
      <c r="B97" s="20"/>
    </row>
    <row r="98" spans="2:2">
      <c r="B98" s="20"/>
    </row>
    <row r="99" spans="2:2">
      <c r="B99" s="20"/>
    </row>
    <row r="100" spans="2:2">
      <c r="B100" s="20"/>
    </row>
    <row r="101" spans="2:2">
      <c r="B101" s="20"/>
    </row>
    <row r="102" spans="2:2">
      <c r="B102" s="20"/>
    </row>
    <row r="103" spans="2:2">
      <c r="B103" s="20"/>
    </row>
    <row r="104" spans="2:2">
      <c r="B104" s="20"/>
    </row>
    <row r="105" spans="2:2">
      <c r="B105" s="20"/>
    </row>
    <row r="106" spans="2:2">
      <c r="B106" s="20"/>
    </row>
    <row r="107" spans="2:2">
      <c r="B107" s="20"/>
    </row>
    <row r="108" spans="2:2">
      <c r="B108" s="20"/>
    </row>
    <row r="109" spans="2:2">
      <c r="B109" s="20"/>
    </row>
    <row r="110" spans="2:2">
      <c r="B110" s="20"/>
    </row>
    <row r="111" spans="2:2">
      <c r="B111" s="20"/>
    </row>
    <row r="112" spans="2:2">
      <c r="B112" s="20"/>
    </row>
    <row r="113" spans="2:2">
      <c r="B113" s="20"/>
    </row>
    <row r="114" spans="2:2">
      <c r="B114" s="20"/>
    </row>
    <row r="115" spans="2:2">
      <c r="B115" s="20"/>
    </row>
    <row r="116" spans="2:2">
      <c r="B116" s="20"/>
    </row>
    <row r="117" spans="2:2">
      <c r="B117" s="20"/>
    </row>
    <row r="118" spans="2:2">
      <c r="B118" s="20"/>
    </row>
    <row r="119" spans="2:2">
      <c r="B119" s="20"/>
    </row>
    <row r="120" spans="2:2">
      <c r="B120" s="20"/>
    </row>
    <row r="121" spans="2:2">
      <c r="B121" s="20"/>
    </row>
    <row r="122" spans="2:2">
      <c r="B122" s="20"/>
    </row>
    <row r="123" spans="2:2">
      <c r="B123" s="20"/>
    </row>
    <row r="124" spans="2:2">
      <c r="B124" s="20"/>
    </row>
    <row r="125" spans="2:2">
      <c r="B125" s="20"/>
    </row>
    <row r="126" spans="2:2">
      <c r="B126" s="20"/>
    </row>
    <row r="127" spans="2:2">
      <c r="B127" s="20"/>
    </row>
    <row r="128" spans="2:2">
      <c r="B128" s="20"/>
    </row>
    <row r="129" spans="2:2">
      <c r="B129" s="20"/>
    </row>
    <row r="130" spans="2:2">
      <c r="B130" s="20"/>
    </row>
    <row r="131" spans="2:2">
      <c r="B131" s="20"/>
    </row>
    <row r="132" spans="2:2">
      <c r="B132" s="20"/>
    </row>
    <row r="133" spans="2:2">
      <c r="B133" s="20"/>
    </row>
    <row r="134" spans="2:2">
      <c r="B134" s="20"/>
    </row>
    <row r="135" spans="2:2">
      <c r="B135" s="20"/>
    </row>
    <row r="136" spans="2:2">
      <c r="B136" s="20"/>
    </row>
    <row r="137" spans="2:2">
      <c r="B137" s="20"/>
    </row>
    <row r="138" spans="2:2">
      <c r="B138" s="20"/>
    </row>
    <row r="139" spans="2:2">
      <c r="B139" s="20"/>
    </row>
    <row r="140" spans="2:2">
      <c r="B140" s="20"/>
    </row>
    <row r="141" spans="2:2">
      <c r="B141" s="20"/>
    </row>
    <row r="142" spans="2:2">
      <c r="B142" s="20"/>
    </row>
    <row r="143" spans="2:2">
      <c r="B143" s="20"/>
    </row>
    <row r="144" spans="2:2">
      <c r="B144" s="20"/>
    </row>
    <row r="145" spans="2:2">
      <c r="B145" s="20"/>
    </row>
    <row r="146" spans="2:2">
      <c r="B146" s="20"/>
    </row>
    <row r="147" spans="2:2">
      <c r="B147" s="20"/>
    </row>
    <row r="148" spans="2:2">
      <c r="B148" s="20"/>
    </row>
    <row r="149" spans="2:2">
      <c r="B149" s="20"/>
    </row>
    <row r="150" spans="2:2">
      <c r="B150" s="20"/>
    </row>
    <row r="151" spans="2:2">
      <c r="B151" s="20"/>
    </row>
    <row r="152" spans="2:2">
      <c r="B152" s="20"/>
    </row>
    <row r="153" spans="2:2">
      <c r="B153" s="20"/>
    </row>
    <row r="154" spans="2:2">
      <c r="B154" s="20"/>
    </row>
    <row r="155" spans="2:2">
      <c r="B155" s="20"/>
    </row>
    <row r="156" spans="2:2">
      <c r="B156" s="20"/>
    </row>
    <row r="157" spans="2:2">
      <c r="B157" s="20"/>
    </row>
    <row r="158" spans="2:2">
      <c r="B158" s="20"/>
    </row>
    <row r="159" spans="2:2">
      <c r="B159" s="20"/>
    </row>
    <row r="160" spans="2:2">
      <c r="B160" s="20"/>
    </row>
    <row r="161" spans="2:2">
      <c r="B161" s="20"/>
    </row>
    <row r="162" spans="2:2">
      <c r="B162" s="20"/>
    </row>
    <row r="163" spans="2:2">
      <c r="B163" s="20"/>
    </row>
    <row r="164" spans="2:2">
      <c r="B164" s="20"/>
    </row>
    <row r="165" spans="2:2">
      <c r="B165" s="20"/>
    </row>
    <row r="166" spans="2:2">
      <c r="B166" s="20"/>
    </row>
    <row r="167" spans="2:2">
      <c r="B167" s="20"/>
    </row>
    <row r="168" spans="2:2">
      <c r="B168" s="20"/>
    </row>
    <row r="169" spans="2:2">
      <c r="B169" s="20"/>
    </row>
    <row r="170" spans="2:2">
      <c r="B170" s="20"/>
    </row>
    <row r="171" spans="2:2">
      <c r="B171" s="20"/>
    </row>
    <row r="172" spans="2:2">
      <c r="B172" s="20"/>
    </row>
    <row r="173" spans="2:2">
      <c r="B173" s="20"/>
    </row>
    <row r="174" spans="2:2">
      <c r="B174" s="20"/>
    </row>
    <row r="175" spans="2:2">
      <c r="B175" s="20"/>
    </row>
    <row r="176" spans="2:2">
      <c r="B176" s="20"/>
    </row>
    <row r="177" spans="2:2">
      <c r="B177" s="20"/>
    </row>
    <row r="178" spans="2:2">
      <c r="B178" s="20"/>
    </row>
    <row r="179" spans="2:2">
      <c r="B179" s="20"/>
    </row>
    <row r="180" spans="2:2">
      <c r="B180" s="20"/>
    </row>
    <row r="181" spans="2:2">
      <c r="B181" s="20"/>
    </row>
    <row r="182" spans="2:2">
      <c r="B182" s="20"/>
    </row>
    <row r="183" spans="2:2">
      <c r="B183" s="20"/>
    </row>
    <row r="184" spans="2:2">
      <c r="B184" s="20"/>
    </row>
    <row r="185" spans="2:2">
      <c r="B185" s="20"/>
    </row>
    <row r="186" spans="2:2">
      <c r="B186" s="20"/>
    </row>
    <row r="187" spans="2:2">
      <c r="B187" s="20"/>
    </row>
    <row r="188" spans="2:2">
      <c r="B188" s="20"/>
    </row>
    <row r="189" spans="2:2">
      <c r="B189" s="20"/>
    </row>
    <row r="190" spans="2:2">
      <c r="B190" s="20"/>
    </row>
    <row r="191" spans="2:2">
      <c r="B191" s="20"/>
    </row>
    <row r="192" spans="2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0"/>
    </row>
    <row r="197" spans="2:2">
      <c r="B197" s="20"/>
    </row>
    <row r="198" spans="2:2">
      <c r="B198" s="20"/>
    </row>
    <row r="199" spans="2:2">
      <c r="B199" s="20"/>
    </row>
    <row r="200" spans="2:2">
      <c r="B200" s="20"/>
    </row>
    <row r="201" spans="2:2">
      <c r="B201" s="20"/>
    </row>
    <row r="202" spans="2:2">
      <c r="B202" s="20"/>
    </row>
    <row r="203" spans="2:2">
      <c r="B203" s="20"/>
    </row>
    <row r="204" spans="2:2">
      <c r="B204" s="20"/>
    </row>
    <row r="205" spans="2:2">
      <c r="B205" s="20"/>
    </row>
    <row r="206" spans="2:2">
      <c r="B206" s="20"/>
    </row>
    <row r="207" spans="2:2">
      <c r="B207" s="20"/>
    </row>
    <row r="208" spans="2:2">
      <c r="B208" s="20"/>
    </row>
    <row r="209" spans="2:2">
      <c r="B209" s="20"/>
    </row>
    <row r="210" spans="2:2">
      <c r="B210" s="20"/>
    </row>
    <row r="211" spans="2:2">
      <c r="B211" s="20"/>
    </row>
    <row r="212" spans="2:2">
      <c r="B212" s="20"/>
    </row>
    <row r="213" spans="2:2">
      <c r="B213" s="20"/>
    </row>
    <row r="214" spans="2:2">
      <c r="B214" s="20"/>
    </row>
    <row r="215" spans="2:2">
      <c r="B215" s="20"/>
    </row>
    <row r="216" spans="2:2">
      <c r="B216" s="20"/>
    </row>
    <row r="217" spans="2:2">
      <c r="B217" s="20"/>
    </row>
    <row r="218" spans="2:2">
      <c r="B218" s="20"/>
    </row>
    <row r="219" spans="2:2">
      <c r="B219" s="20"/>
    </row>
    <row r="220" spans="2:2">
      <c r="B220" s="20"/>
    </row>
    <row r="221" spans="2:2">
      <c r="B221" s="20"/>
    </row>
    <row r="222" spans="2:2">
      <c r="B222" s="20"/>
    </row>
    <row r="223" spans="2:2">
      <c r="B223" s="20"/>
    </row>
    <row r="224" spans="2:2">
      <c r="B224" s="20"/>
    </row>
    <row r="225" spans="2:2">
      <c r="B225" s="20"/>
    </row>
    <row r="226" spans="2:2">
      <c r="B226" s="20"/>
    </row>
    <row r="227" spans="2:2">
      <c r="B227" s="20"/>
    </row>
    <row r="228" spans="2:2">
      <c r="B228" s="20"/>
    </row>
    <row r="229" spans="2:2">
      <c r="B229" s="20"/>
    </row>
    <row r="230" spans="2:2">
      <c r="B230" s="20"/>
    </row>
    <row r="231" spans="2:2">
      <c r="B231" s="20"/>
    </row>
    <row r="232" spans="2:2">
      <c r="B232" s="20"/>
    </row>
    <row r="233" spans="2:2">
      <c r="B233" s="20"/>
    </row>
    <row r="234" spans="2:2">
      <c r="B234" s="20"/>
    </row>
    <row r="235" spans="2:2">
      <c r="B235" s="20"/>
    </row>
    <row r="236" spans="2:2">
      <c r="B236" s="20"/>
    </row>
    <row r="237" spans="2:2">
      <c r="B237" s="20"/>
    </row>
    <row r="238" spans="2:2">
      <c r="B238" s="20"/>
    </row>
    <row r="239" spans="2:2">
      <c r="B239" s="20"/>
    </row>
    <row r="240" spans="2:2">
      <c r="B240" s="20"/>
    </row>
    <row r="241" spans="2:2">
      <c r="B241" s="20"/>
    </row>
    <row r="242" spans="2:2">
      <c r="B242" s="20"/>
    </row>
    <row r="243" spans="2:2">
      <c r="B243" s="20"/>
    </row>
    <row r="244" spans="2:2">
      <c r="B244" s="20"/>
    </row>
    <row r="245" spans="2:2">
      <c r="B245" s="20"/>
    </row>
    <row r="246" spans="2:2">
      <c r="B246" s="20"/>
    </row>
    <row r="247" spans="2:2">
      <c r="B247" s="20"/>
    </row>
    <row r="248" spans="2:2">
      <c r="B248" s="20"/>
    </row>
    <row r="249" spans="2:2">
      <c r="B249" s="20"/>
    </row>
    <row r="250" spans="2:2">
      <c r="B250" s="20"/>
    </row>
    <row r="251" spans="2:2">
      <c r="B251" s="20"/>
    </row>
    <row r="252" spans="2:2">
      <c r="B252" s="20"/>
    </row>
    <row r="253" spans="2:2">
      <c r="B253" s="20"/>
    </row>
    <row r="254" spans="2:2">
      <c r="B254" s="20"/>
    </row>
    <row r="255" spans="2:2">
      <c r="B255" s="20"/>
    </row>
    <row r="256" spans="2:2">
      <c r="B256" s="20"/>
    </row>
    <row r="257" spans="2:2">
      <c r="B257" s="20"/>
    </row>
    <row r="258" spans="2:2">
      <c r="B258" s="20"/>
    </row>
    <row r="259" spans="2:2">
      <c r="B259" s="20"/>
    </row>
    <row r="260" spans="2:2">
      <c r="B260" s="20"/>
    </row>
    <row r="261" spans="2:2">
      <c r="B261" s="20"/>
    </row>
    <row r="262" spans="2:2">
      <c r="B262" s="20"/>
    </row>
    <row r="263" spans="2:2">
      <c r="B263" s="20"/>
    </row>
    <row r="264" spans="2:2">
      <c r="B264" s="20"/>
    </row>
    <row r="265" spans="2:2">
      <c r="B265" s="20"/>
    </row>
    <row r="266" spans="2:2">
      <c r="B266" s="20"/>
    </row>
    <row r="267" spans="2:2">
      <c r="B267" s="20"/>
    </row>
    <row r="268" spans="2:2">
      <c r="B268" s="20"/>
    </row>
    <row r="269" spans="2:2">
      <c r="B269" s="20"/>
    </row>
    <row r="270" spans="2:2">
      <c r="B270" s="20"/>
    </row>
    <row r="271" spans="2:2">
      <c r="B271" s="20"/>
    </row>
    <row r="272" spans="2:2">
      <c r="B272" s="20"/>
    </row>
    <row r="273" spans="2:2">
      <c r="B273" s="20"/>
    </row>
    <row r="274" spans="2:2">
      <c r="B274" s="20"/>
    </row>
    <row r="275" spans="2:2">
      <c r="B275" s="20"/>
    </row>
    <row r="276" spans="2:2">
      <c r="B276" s="20"/>
    </row>
    <row r="277" spans="2:2">
      <c r="B277" s="20"/>
    </row>
    <row r="278" spans="2:2">
      <c r="B278" s="20"/>
    </row>
    <row r="279" spans="2:2">
      <c r="B279" s="20"/>
    </row>
    <row r="280" spans="2:2">
      <c r="B280" s="20"/>
    </row>
    <row r="281" spans="2:2">
      <c r="B281" s="20"/>
    </row>
    <row r="282" spans="2:2">
      <c r="B282" s="20"/>
    </row>
    <row r="283" spans="2:2">
      <c r="B283" s="20"/>
    </row>
    <row r="284" spans="2:2">
      <c r="B284" s="20"/>
    </row>
    <row r="285" spans="2:2">
      <c r="B285" s="20"/>
    </row>
    <row r="286" spans="2:2">
      <c r="B286" s="20"/>
    </row>
    <row r="287" spans="2:2">
      <c r="B287" s="20"/>
    </row>
    <row r="288" spans="2:2">
      <c r="B288" s="20"/>
    </row>
    <row r="289" spans="2:2">
      <c r="B289" s="20"/>
    </row>
    <row r="290" spans="2:2">
      <c r="B290" s="20"/>
    </row>
    <row r="291" spans="2:2">
      <c r="B291" s="20"/>
    </row>
    <row r="292" spans="2:2">
      <c r="B292" s="20"/>
    </row>
    <row r="293" spans="2:2">
      <c r="B293" s="20"/>
    </row>
    <row r="294" spans="2:2">
      <c r="B294" s="20"/>
    </row>
    <row r="295" spans="2:2">
      <c r="B295" s="20"/>
    </row>
    <row r="296" spans="2:2">
      <c r="B296" s="20"/>
    </row>
    <row r="297" spans="2:2">
      <c r="B297" s="20"/>
    </row>
    <row r="298" spans="2:2">
      <c r="B298" s="20"/>
    </row>
    <row r="299" spans="2:2">
      <c r="B299" s="20"/>
    </row>
    <row r="300" spans="2:2">
      <c r="B300" s="20"/>
    </row>
    <row r="301" spans="2:2">
      <c r="B301" s="20"/>
    </row>
    <row r="302" spans="2:2">
      <c r="B302" s="20"/>
    </row>
    <row r="303" spans="2:2">
      <c r="B303" s="20"/>
    </row>
    <row r="304" spans="2:2">
      <c r="B304" s="20"/>
    </row>
    <row r="305" spans="2:2">
      <c r="B305" s="20"/>
    </row>
    <row r="306" spans="2:2">
      <c r="B306" s="20"/>
    </row>
    <row r="307" spans="2:2">
      <c r="B307" s="20"/>
    </row>
    <row r="308" spans="2:2">
      <c r="B308" s="20"/>
    </row>
    <row r="309" spans="2:2">
      <c r="B309" s="20"/>
    </row>
    <row r="310" spans="2:2">
      <c r="B310" s="20"/>
    </row>
    <row r="311" spans="2:2">
      <c r="B311" s="20"/>
    </row>
    <row r="312" spans="2:2">
      <c r="B312" s="20"/>
    </row>
    <row r="313" spans="2:2">
      <c r="B313" s="20"/>
    </row>
    <row r="314" spans="2:2">
      <c r="B314" s="20"/>
    </row>
    <row r="315" spans="2:2">
      <c r="B315" s="20"/>
    </row>
    <row r="316" spans="2:2">
      <c r="B316" s="20"/>
    </row>
    <row r="317" spans="2:2">
      <c r="B317" s="20"/>
    </row>
    <row r="318" spans="2:2">
      <c r="B318" s="20"/>
    </row>
    <row r="319" spans="2:2">
      <c r="B319" s="20"/>
    </row>
    <row r="320" spans="2:2">
      <c r="B320" s="20"/>
    </row>
    <row r="321" spans="2:2">
      <c r="B321" s="20"/>
    </row>
    <row r="322" spans="2:2">
      <c r="B322" s="20"/>
    </row>
    <row r="323" spans="2:2">
      <c r="B323" s="20"/>
    </row>
    <row r="324" spans="2:2">
      <c r="B324" s="20"/>
    </row>
    <row r="325" spans="2:2">
      <c r="B325" s="20"/>
    </row>
    <row r="326" spans="2:2">
      <c r="B326" s="20"/>
    </row>
    <row r="327" spans="2:2">
      <c r="B327" s="20"/>
    </row>
    <row r="328" spans="2:2">
      <c r="B328" s="20"/>
    </row>
    <row r="329" spans="2:2">
      <c r="B329" s="20"/>
    </row>
    <row r="330" spans="2:2">
      <c r="B330" s="20"/>
    </row>
    <row r="331" spans="2:2">
      <c r="B331" s="20"/>
    </row>
    <row r="332" spans="2:2">
      <c r="B332" s="20"/>
    </row>
    <row r="333" spans="2:2">
      <c r="B333" s="20"/>
    </row>
    <row r="334" spans="2:2">
      <c r="B334" s="20"/>
    </row>
    <row r="335" spans="2:2">
      <c r="B335" s="20"/>
    </row>
    <row r="336" spans="2:2">
      <c r="B336" s="20"/>
    </row>
    <row r="337" spans="2:2">
      <c r="B337" s="20"/>
    </row>
    <row r="338" spans="2:2">
      <c r="B338" s="20"/>
    </row>
    <row r="339" spans="2:2">
      <c r="B339" s="20"/>
    </row>
    <row r="340" spans="2:2">
      <c r="B340" s="20"/>
    </row>
    <row r="341" spans="2:2">
      <c r="B341" s="20"/>
    </row>
    <row r="342" spans="2:2">
      <c r="B342" s="20"/>
    </row>
    <row r="343" spans="2:2">
      <c r="B343" s="20"/>
    </row>
    <row r="344" spans="2:2">
      <c r="B344" s="20"/>
    </row>
    <row r="345" spans="2:2">
      <c r="B345" s="20"/>
    </row>
    <row r="346" spans="2:2">
      <c r="B346" s="20"/>
    </row>
    <row r="347" spans="2:2">
      <c r="B347" s="20"/>
    </row>
    <row r="348" spans="2:2">
      <c r="B348" s="20"/>
    </row>
    <row r="349" spans="2:2">
      <c r="B349" s="20"/>
    </row>
    <row r="350" spans="2:2">
      <c r="B350" s="20"/>
    </row>
    <row r="351" spans="2:2">
      <c r="B351" s="20"/>
    </row>
    <row r="352" spans="2:2">
      <c r="B352" s="20"/>
    </row>
    <row r="353" spans="2:2">
      <c r="B353" s="20"/>
    </row>
    <row r="354" spans="2:2">
      <c r="B354" s="20"/>
    </row>
    <row r="355" spans="2:2">
      <c r="B355" s="20"/>
    </row>
    <row r="356" spans="2:2">
      <c r="B356" s="20"/>
    </row>
    <row r="357" spans="2:2">
      <c r="B357" s="20"/>
    </row>
    <row r="358" spans="2:2">
      <c r="B358" s="20"/>
    </row>
    <row r="359" spans="2:2">
      <c r="B359" s="20"/>
    </row>
    <row r="360" spans="2:2">
      <c r="B360" s="20"/>
    </row>
    <row r="361" spans="2:2">
      <c r="B361" s="20"/>
    </row>
    <row r="362" spans="2:2">
      <c r="B362" s="20"/>
    </row>
    <row r="363" spans="2:2">
      <c r="B363" s="20"/>
    </row>
    <row r="364" spans="2:2">
      <c r="B364" s="20"/>
    </row>
    <row r="365" spans="2:2">
      <c r="B365" s="20"/>
    </row>
    <row r="366" spans="2:2">
      <c r="B366" s="20"/>
    </row>
    <row r="367" spans="2:2">
      <c r="B367" s="20"/>
    </row>
    <row r="368" spans="2:2">
      <c r="B368" s="20"/>
    </row>
    <row r="369" spans="2:2">
      <c r="B369" s="20"/>
    </row>
    <row r="370" spans="2:2">
      <c r="B370" s="20"/>
    </row>
    <row r="371" spans="2:2">
      <c r="B371" s="20"/>
    </row>
    <row r="372" spans="2:2">
      <c r="B372" s="20"/>
    </row>
    <row r="373" spans="2:2">
      <c r="B373" s="20"/>
    </row>
    <row r="374" spans="2:2">
      <c r="B374" s="20"/>
    </row>
    <row r="375" spans="2:2">
      <c r="B375" s="20"/>
    </row>
    <row r="376" spans="2:2">
      <c r="B376" s="20"/>
    </row>
    <row r="377" spans="2:2">
      <c r="B377" s="20"/>
    </row>
    <row r="378" spans="2:2">
      <c r="B378" s="20"/>
    </row>
    <row r="379" spans="2:2">
      <c r="B379" s="20"/>
    </row>
    <row r="380" spans="2:2">
      <c r="B380" s="20"/>
    </row>
    <row r="381" spans="2:2">
      <c r="B381" s="20"/>
    </row>
    <row r="382" spans="2:2">
      <c r="B382" s="20"/>
    </row>
    <row r="383" spans="2:2">
      <c r="B383" s="20"/>
    </row>
    <row r="384" spans="2:2">
      <c r="B384" s="20"/>
    </row>
    <row r="385" spans="2:2">
      <c r="B385" s="20"/>
    </row>
    <row r="386" spans="2:2">
      <c r="B386" s="20"/>
    </row>
    <row r="387" spans="2:2">
      <c r="B387" s="20"/>
    </row>
    <row r="388" spans="2:2">
      <c r="B388" s="20"/>
    </row>
    <row r="389" spans="2:2">
      <c r="B389" s="20"/>
    </row>
    <row r="390" spans="2:2">
      <c r="B390" s="20"/>
    </row>
    <row r="391" spans="2:2">
      <c r="B391" s="20"/>
    </row>
    <row r="392" spans="2:2">
      <c r="B392" s="20"/>
    </row>
    <row r="393" spans="2:2">
      <c r="B393" s="20"/>
    </row>
    <row r="394" spans="2:2">
      <c r="B394" s="20"/>
    </row>
    <row r="395" spans="2:2">
      <c r="B395" s="20"/>
    </row>
    <row r="396" spans="2:2">
      <c r="B396" s="20"/>
    </row>
    <row r="397" spans="2:2">
      <c r="B397" s="20"/>
    </row>
    <row r="398" spans="2:2">
      <c r="B398" s="20"/>
    </row>
    <row r="399" spans="2:2">
      <c r="B399" s="20"/>
    </row>
    <row r="400" spans="2:2">
      <c r="B400" s="20"/>
    </row>
    <row r="401" spans="2:2">
      <c r="B401" s="20"/>
    </row>
    <row r="402" spans="2:2">
      <c r="B402" s="20"/>
    </row>
    <row r="403" spans="2:2">
      <c r="B403" s="20"/>
    </row>
    <row r="404" spans="2:2">
      <c r="B404" s="20"/>
    </row>
    <row r="405" spans="2:2">
      <c r="B405" s="20"/>
    </row>
    <row r="406" spans="2:2">
      <c r="B406" s="20"/>
    </row>
    <row r="407" spans="2:2">
      <c r="B407" s="20"/>
    </row>
    <row r="408" spans="2:2">
      <c r="B408" s="20"/>
    </row>
    <row r="409" spans="2:2">
      <c r="B409" s="20"/>
    </row>
    <row r="410" spans="2:2">
      <c r="B410" s="20"/>
    </row>
    <row r="411" spans="2:2">
      <c r="B411" s="20"/>
    </row>
    <row r="412" spans="2:2">
      <c r="B412" s="20"/>
    </row>
    <row r="413" spans="2:2">
      <c r="B413" s="20"/>
    </row>
    <row r="414" spans="2:2">
      <c r="B414" s="20"/>
    </row>
    <row r="415" spans="2:2">
      <c r="B415" s="20"/>
    </row>
    <row r="416" spans="2:2">
      <c r="B416" s="20"/>
    </row>
    <row r="417" spans="2:2">
      <c r="B417" s="20"/>
    </row>
    <row r="418" spans="2:2">
      <c r="B418" s="20"/>
    </row>
    <row r="419" spans="2:2">
      <c r="B419" s="20"/>
    </row>
    <row r="420" spans="2:2">
      <c r="B420" s="20"/>
    </row>
    <row r="421" spans="2:2">
      <c r="B421" s="20"/>
    </row>
    <row r="422" spans="2:2">
      <c r="B422" s="20"/>
    </row>
    <row r="423" spans="2:2">
      <c r="B423" s="20"/>
    </row>
    <row r="424" spans="2:2">
      <c r="B424" s="20"/>
    </row>
    <row r="425" spans="2:2">
      <c r="B425" s="20"/>
    </row>
    <row r="426" spans="2:2">
      <c r="B426" s="20"/>
    </row>
    <row r="427" spans="2:2">
      <c r="B427" s="20"/>
    </row>
    <row r="428" spans="2:2">
      <c r="B428" s="20"/>
    </row>
    <row r="429" spans="2:2">
      <c r="B429" s="20"/>
    </row>
    <row r="430" spans="2:2">
      <c r="B430" s="20"/>
    </row>
    <row r="431" spans="2:2">
      <c r="B431" s="20"/>
    </row>
    <row r="432" spans="2:2">
      <c r="B432" s="20"/>
    </row>
    <row r="433" spans="2:2">
      <c r="B433" s="20"/>
    </row>
    <row r="434" spans="2:2">
      <c r="B434" s="20"/>
    </row>
    <row r="435" spans="2:2">
      <c r="B435" s="20"/>
    </row>
    <row r="436" spans="2:2">
      <c r="B436" s="20"/>
    </row>
    <row r="437" spans="2:2">
      <c r="B437" s="20"/>
    </row>
    <row r="438" spans="2:2">
      <c r="B438" s="20"/>
    </row>
    <row r="439" spans="2:2">
      <c r="B439" s="20"/>
    </row>
    <row r="440" spans="2:2">
      <c r="B440" s="20"/>
    </row>
    <row r="441" spans="2:2">
      <c r="B441" s="20"/>
    </row>
    <row r="442" spans="2:2">
      <c r="B442" s="20"/>
    </row>
    <row r="443" spans="2:2">
      <c r="B443" s="20"/>
    </row>
    <row r="444" spans="2:2">
      <c r="B444" s="20"/>
    </row>
    <row r="445" spans="2:2">
      <c r="B445" s="20"/>
    </row>
    <row r="446" spans="2:2">
      <c r="B446" s="20"/>
    </row>
    <row r="447" spans="2:2">
      <c r="B447" s="20"/>
    </row>
    <row r="448" spans="2:2">
      <c r="B448" s="20"/>
    </row>
    <row r="449" spans="2:2">
      <c r="B449" s="20"/>
    </row>
    <row r="450" spans="2:2">
      <c r="B450" s="20"/>
    </row>
    <row r="451" spans="2:2">
      <c r="B451" s="20"/>
    </row>
    <row r="452" spans="2:2">
      <c r="B452" s="20"/>
    </row>
    <row r="453" spans="2:2">
      <c r="B453" s="20"/>
    </row>
    <row r="454" spans="2:2">
      <c r="B454" s="20"/>
    </row>
    <row r="455" spans="2:2">
      <c r="B455" s="20"/>
    </row>
    <row r="456" spans="2:2">
      <c r="B456" s="20"/>
    </row>
    <row r="457" spans="2:2">
      <c r="B457" s="20"/>
    </row>
    <row r="458" spans="2:2">
      <c r="B458" s="20"/>
    </row>
    <row r="459" spans="2:2">
      <c r="B459" s="20"/>
    </row>
    <row r="460" spans="2:2">
      <c r="B460" s="20"/>
    </row>
    <row r="461" spans="2:2">
      <c r="B461" s="20"/>
    </row>
    <row r="462" spans="2:2">
      <c r="B462" s="20"/>
    </row>
    <row r="463" spans="2:2">
      <c r="B463" s="20"/>
    </row>
    <row r="464" spans="2:2">
      <c r="B464" s="20"/>
    </row>
    <row r="465" spans="2:2">
      <c r="B465" s="20"/>
    </row>
    <row r="466" spans="2:2">
      <c r="B466" s="20"/>
    </row>
    <row r="467" spans="2:2">
      <c r="B467" s="20"/>
    </row>
    <row r="468" spans="2:2">
      <c r="B468" s="20"/>
    </row>
    <row r="469" spans="2:2">
      <c r="B469" s="20"/>
    </row>
    <row r="470" spans="2:2">
      <c r="B470" s="20"/>
    </row>
    <row r="471" spans="2:2">
      <c r="B471" s="20"/>
    </row>
    <row r="472" spans="2:2">
      <c r="B472" s="20"/>
    </row>
    <row r="473" spans="2:2">
      <c r="B473" s="20"/>
    </row>
    <row r="474" spans="2:2">
      <c r="B474" s="20"/>
    </row>
    <row r="475" spans="2:2">
      <c r="B475" s="20"/>
    </row>
    <row r="476" spans="2:2">
      <c r="B476" s="20"/>
    </row>
    <row r="477" spans="2:2">
      <c r="B477" s="20"/>
    </row>
    <row r="478" spans="2:2">
      <c r="B478" s="20"/>
    </row>
    <row r="479" spans="2:2">
      <c r="B479" s="20"/>
    </row>
    <row r="480" spans="2:2">
      <c r="B480" s="20"/>
    </row>
    <row r="481" spans="2:2">
      <c r="B481" s="20"/>
    </row>
    <row r="482" spans="2:2">
      <c r="B482" s="20"/>
    </row>
    <row r="483" spans="2:2">
      <c r="B483" s="20"/>
    </row>
    <row r="484" spans="2:2">
      <c r="B484" s="20"/>
    </row>
    <row r="485" spans="2:2">
      <c r="B485" s="20"/>
    </row>
    <row r="486" spans="2:2">
      <c r="B486" s="20"/>
    </row>
    <row r="487" spans="2:2">
      <c r="B487" s="20"/>
    </row>
    <row r="488" spans="2:2">
      <c r="B488" s="20"/>
    </row>
    <row r="489" spans="2:2">
      <c r="B489" s="20"/>
    </row>
    <row r="490" spans="2:2">
      <c r="B490" s="20"/>
    </row>
    <row r="491" spans="2:2">
      <c r="B491" s="20"/>
    </row>
    <row r="492" spans="2:2">
      <c r="B492" s="20"/>
    </row>
    <row r="493" spans="2:2">
      <c r="B493" s="20"/>
    </row>
    <row r="494" spans="2:2">
      <c r="B494" s="20"/>
    </row>
    <row r="495" spans="2:2">
      <c r="B495" s="20"/>
    </row>
    <row r="496" spans="2:2">
      <c r="B496" s="20"/>
    </row>
    <row r="497" spans="2:2">
      <c r="B497" s="20"/>
    </row>
    <row r="498" spans="2:2">
      <c r="B498" s="20"/>
    </row>
    <row r="499" spans="2:2">
      <c r="B499" s="20"/>
    </row>
    <row r="500" spans="2:2">
      <c r="B500" s="20"/>
    </row>
    <row r="501" spans="2:2">
      <c r="B501" s="20"/>
    </row>
    <row r="502" spans="2:2">
      <c r="B502" s="20"/>
    </row>
    <row r="503" spans="2:2">
      <c r="B503" s="20"/>
    </row>
    <row r="504" spans="2:2">
      <c r="B504" s="20"/>
    </row>
    <row r="505" spans="2:2">
      <c r="B505" s="20"/>
    </row>
    <row r="506" spans="2:2">
      <c r="B506" s="20"/>
    </row>
    <row r="507" spans="2:2">
      <c r="B507" s="20"/>
    </row>
    <row r="508" spans="2:2">
      <c r="B508" s="20"/>
    </row>
    <row r="509" spans="2:2">
      <c r="B509" s="20"/>
    </row>
    <row r="510" spans="2:2">
      <c r="B510" s="20"/>
    </row>
    <row r="511" spans="2:2">
      <c r="B511" s="20"/>
    </row>
    <row r="512" spans="2:2">
      <c r="B512" s="20"/>
    </row>
    <row r="513" spans="2:2">
      <c r="B513" s="20"/>
    </row>
    <row r="514" spans="2:2">
      <c r="B514" s="20"/>
    </row>
    <row r="515" spans="2:2">
      <c r="B515" s="20"/>
    </row>
    <row r="516" spans="2:2">
      <c r="B516" s="20"/>
    </row>
    <row r="517" spans="2:2">
      <c r="B517" s="20"/>
    </row>
    <row r="518" spans="2:2">
      <c r="B518" s="20"/>
    </row>
    <row r="519" spans="2:2">
      <c r="B519" s="20"/>
    </row>
    <row r="520" spans="2:2">
      <c r="B520" s="20"/>
    </row>
    <row r="521" spans="2:2">
      <c r="B521" s="20"/>
    </row>
    <row r="522" spans="2:2">
      <c r="B522" s="20"/>
    </row>
    <row r="523" spans="2:2">
      <c r="B523" s="20"/>
    </row>
    <row r="524" spans="2:2">
      <c r="B524" s="20"/>
    </row>
    <row r="525" spans="2:2">
      <c r="B525" s="20"/>
    </row>
    <row r="526" spans="2:2">
      <c r="B526" s="20"/>
    </row>
    <row r="527" spans="2:2">
      <c r="B527" s="20"/>
    </row>
    <row r="528" spans="2:2">
      <c r="B528" s="20"/>
    </row>
    <row r="529" spans="2:2">
      <c r="B529" s="20"/>
    </row>
    <row r="530" spans="2:2">
      <c r="B530" s="20"/>
    </row>
    <row r="531" spans="2:2">
      <c r="B531" s="20"/>
    </row>
    <row r="532" spans="2:2">
      <c r="B532" s="20"/>
    </row>
    <row r="533" spans="2:2">
      <c r="B533" s="20"/>
    </row>
    <row r="534" spans="2:2">
      <c r="B534" s="20"/>
    </row>
    <row r="535" spans="2:2">
      <c r="B535" s="20"/>
    </row>
    <row r="536" spans="2:2">
      <c r="B536" s="20"/>
    </row>
    <row r="537" spans="2:2">
      <c r="B537" s="20"/>
    </row>
    <row r="538" spans="2:2">
      <c r="B538" s="20"/>
    </row>
    <row r="539" spans="2:2">
      <c r="B539" s="20"/>
    </row>
    <row r="540" spans="2:2">
      <c r="B540" s="20"/>
    </row>
    <row r="541" spans="2:2">
      <c r="B541" s="20"/>
    </row>
    <row r="542" spans="2:2">
      <c r="B542" s="20"/>
    </row>
    <row r="543" spans="2:2">
      <c r="B543" s="20"/>
    </row>
    <row r="544" spans="2:2">
      <c r="B544" s="20"/>
    </row>
    <row r="545" spans="2:2">
      <c r="B545" s="20"/>
    </row>
    <row r="546" spans="2:2">
      <c r="B546" s="20"/>
    </row>
    <row r="547" spans="2:2">
      <c r="B547" s="20"/>
    </row>
    <row r="548" spans="2:2">
      <c r="B548" s="20"/>
    </row>
    <row r="549" spans="2:2">
      <c r="B549" s="20"/>
    </row>
    <row r="550" spans="2:2">
      <c r="B550" s="20"/>
    </row>
    <row r="551" spans="2:2">
      <c r="B551" s="20"/>
    </row>
    <row r="552" spans="2:2">
      <c r="B552" s="20"/>
    </row>
    <row r="553" spans="2:2">
      <c r="B553" s="20"/>
    </row>
    <row r="554" spans="2:2">
      <c r="B554" s="20"/>
    </row>
    <row r="555" spans="2:2">
      <c r="B555" s="20"/>
    </row>
    <row r="556" spans="2:2">
      <c r="B556" s="20"/>
    </row>
    <row r="557" spans="2:2">
      <c r="B557" s="20"/>
    </row>
    <row r="558" spans="2:2">
      <c r="B558" s="20"/>
    </row>
    <row r="559" spans="2:2">
      <c r="B559" s="20"/>
    </row>
    <row r="560" spans="2:2">
      <c r="B560" s="20"/>
    </row>
    <row r="561" spans="2:2">
      <c r="B561" s="20"/>
    </row>
    <row r="562" spans="2:2">
      <c r="B562" s="20"/>
    </row>
    <row r="563" spans="2:2">
      <c r="B563" s="20"/>
    </row>
    <row r="564" spans="2:2">
      <c r="B564" s="20"/>
    </row>
    <row r="565" spans="2:2">
      <c r="B565" s="20"/>
    </row>
    <row r="566" spans="2:2">
      <c r="B566" s="20"/>
    </row>
    <row r="567" spans="2:2">
      <c r="B567" s="20"/>
    </row>
    <row r="568" spans="2:2">
      <c r="B568" s="20"/>
    </row>
    <row r="569" spans="2:2">
      <c r="B569" s="20"/>
    </row>
    <row r="570" spans="2:2">
      <c r="B570" s="20"/>
    </row>
    <row r="571" spans="2:2">
      <c r="B571" s="20"/>
    </row>
    <row r="572" spans="2:2">
      <c r="B572" s="20"/>
    </row>
    <row r="573" spans="2:2">
      <c r="B573" s="20"/>
    </row>
    <row r="574" spans="2:2">
      <c r="B574" s="20"/>
    </row>
    <row r="575" spans="2:2">
      <c r="B575" s="20"/>
    </row>
    <row r="576" spans="2:2">
      <c r="B576" s="20"/>
    </row>
    <row r="577" spans="2:2">
      <c r="B577" s="20"/>
    </row>
    <row r="578" spans="2:2">
      <c r="B578" s="20"/>
    </row>
    <row r="579" spans="2:2">
      <c r="B579" s="20"/>
    </row>
    <row r="580" spans="2:2">
      <c r="B580" s="20"/>
    </row>
    <row r="581" spans="2:2">
      <c r="B581" s="20"/>
    </row>
    <row r="582" spans="2:2">
      <c r="B582" s="20"/>
    </row>
    <row r="583" spans="2:2">
      <c r="B583" s="20"/>
    </row>
    <row r="584" spans="2:2">
      <c r="B584" s="20"/>
    </row>
    <row r="585" spans="2:2">
      <c r="B585" s="20"/>
    </row>
    <row r="586" spans="2:2">
      <c r="B586" s="20"/>
    </row>
    <row r="587" spans="2:2">
      <c r="B587" s="20"/>
    </row>
    <row r="588" spans="2:2">
      <c r="B588" s="20"/>
    </row>
    <row r="589" spans="2:2">
      <c r="B589" s="20"/>
    </row>
    <row r="590" spans="2:2">
      <c r="B590" s="20"/>
    </row>
    <row r="591" spans="2:2">
      <c r="B591" s="20"/>
    </row>
    <row r="592" spans="2:2">
      <c r="B592" s="20"/>
    </row>
    <row r="593" spans="2:2">
      <c r="B593" s="20"/>
    </row>
    <row r="594" spans="2:2">
      <c r="B594" s="20"/>
    </row>
    <row r="595" spans="2:2">
      <c r="B595" s="20"/>
    </row>
    <row r="596" spans="2:2">
      <c r="B596" s="20"/>
    </row>
    <row r="597" spans="2:2">
      <c r="B597" s="20"/>
    </row>
    <row r="598" spans="2:2">
      <c r="B598" s="20"/>
    </row>
    <row r="599" spans="2:2">
      <c r="B599" s="20"/>
    </row>
    <row r="600" spans="2:2">
      <c r="B600" s="20"/>
    </row>
    <row r="601" spans="2:2">
      <c r="B601" s="20"/>
    </row>
    <row r="602" spans="2:2">
      <c r="B602" s="20"/>
    </row>
    <row r="603" spans="2:2">
      <c r="B603" s="20"/>
    </row>
    <row r="604" spans="2:2">
      <c r="B604" s="20"/>
    </row>
    <row r="605" spans="2:2">
      <c r="B605" s="20"/>
    </row>
    <row r="606" spans="2:2">
      <c r="B606" s="20"/>
    </row>
    <row r="607" spans="2:2">
      <c r="B607" s="20"/>
    </row>
    <row r="608" spans="2:2">
      <c r="B608" s="20"/>
    </row>
    <row r="609" spans="2:2">
      <c r="B609" s="20"/>
    </row>
    <row r="610" spans="2:2">
      <c r="B610" s="20"/>
    </row>
    <row r="611" spans="2:2">
      <c r="B611" s="20"/>
    </row>
    <row r="612" spans="2:2">
      <c r="B612" s="20"/>
    </row>
    <row r="613" spans="2:2">
      <c r="B613" s="20"/>
    </row>
    <row r="614" spans="2:2">
      <c r="B614" s="20"/>
    </row>
    <row r="615" spans="2:2">
      <c r="B615" s="20"/>
    </row>
    <row r="616" spans="2:2">
      <c r="B616" s="20"/>
    </row>
    <row r="617" spans="2:2">
      <c r="B617" s="20"/>
    </row>
    <row r="618" spans="2:2">
      <c r="B618" s="20"/>
    </row>
    <row r="619" spans="2:2">
      <c r="B619" s="20"/>
    </row>
    <row r="620" spans="2:2">
      <c r="B620" s="20"/>
    </row>
    <row r="621" spans="2:2">
      <c r="B621" s="20"/>
    </row>
    <row r="622" spans="2:2">
      <c r="B622" s="20"/>
    </row>
    <row r="623" spans="2:2">
      <c r="B623" s="20"/>
    </row>
    <row r="624" spans="2:2">
      <c r="B624" s="20"/>
    </row>
    <row r="625" spans="2:2">
      <c r="B625" s="20"/>
    </row>
    <row r="626" spans="2:2">
      <c r="B626" s="20"/>
    </row>
    <row r="627" spans="2:2">
      <c r="B627" s="20"/>
    </row>
    <row r="628" spans="2:2">
      <c r="B628" s="20"/>
    </row>
    <row r="629" spans="2:2">
      <c r="B629" s="20"/>
    </row>
    <row r="630" spans="2:2">
      <c r="B630" s="20"/>
    </row>
    <row r="631" spans="2:2">
      <c r="B631" s="20"/>
    </row>
    <row r="632" spans="2:2">
      <c r="B632" s="20"/>
    </row>
    <row r="633" spans="2:2">
      <c r="B633" s="20"/>
    </row>
    <row r="634" spans="2:2">
      <c r="B634" s="20"/>
    </row>
    <row r="635" spans="2:2">
      <c r="B635" s="20"/>
    </row>
    <row r="636" spans="2:2">
      <c r="B636" s="20"/>
    </row>
    <row r="637" spans="2:2">
      <c r="B637" s="20"/>
    </row>
    <row r="638" spans="2:2">
      <c r="B638" s="20"/>
    </row>
    <row r="639" spans="2:2">
      <c r="B639" s="20"/>
    </row>
    <row r="640" spans="2:2">
      <c r="B640" s="20"/>
    </row>
    <row r="641" spans="2:2">
      <c r="B641" s="20"/>
    </row>
    <row r="642" spans="2:2">
      <c r="B642" s="20"/>
    </row>
    <row r="643" spans="2:2">
      <c r="B643" s="20"/>
    </row>
    <row r="644" spans="2:2">
      <c r="B644" s="20"/>
    </row>
    <row r="645" spans="2:2">
      <c r="B645" s="20"/>
    </row>
    <row r="646" spans="2:2">
      <c r="B646" s="20"/>
    </row>
    <row r="647" spans="2:2">
      <c r="B647" s="20"/>
    </row>
    <row r="648" spans="2:2">
      <c r="B648" s="20"/>
    </row>
    <row r="649" spans="2:2">
      <c r="B649" s="20"/>
    </row>
    <row r="650" spans="2:2">
      <c r="B650" s="20"/>
    </row>
    <row r="651" spans="2:2">
      <c r="B651" s="20"/>
    </row>
    <row r="652" spans="2:2">
      <c r="B652" s="20"/>
    </row>
    <row r="653" spans="2:2">
      <c r="B653" s="20"/>
    </row>
    <row r="654" spans="2:2">
      <c r="B654" s="20"/>
    </row>
    <row r="655" spans="2:2">
      <c r="B655" s="20"/>
    </row>
    <row r="656" spans="2:2">
      <c r="B656" s="20"/>
    </row>
    <row r="657" spans="2:2">
      <c r="B657" s="20"/>
    </row>
    <row r="658" spans="2:2">
      <c r="B658" s="20"/>
    </row>
    <row r="659" spans="2:2">
      <c r="B659" s="20"/>
    </row>
    <row r="660" spans="2:2">
      <c r="B660" s="20"/>
    </row>
    <row r="661" spans="2:2">
      <c r="B661" s="20"/>
    </row>
    <row r="662" spans="2:2">
      <c r="B662" s="20"/>
    </row>
    <row r="663" spans="2:2">
      <c r="B663" s="20"/>
    </row>
    <row r="664" spans="2:2">
      <c r="B664" s="20"/>
    </row>
    <row r="665" spans="2:2">
      <c r="B665" s="20"/>
    </row>
    <row r="666" spans="2:2">
      <c r="B666" s="20"/>
    </row>
    <row r="667" spans="2:2">
      <c r="B667" s="20"/>
    </row>
    <row r="668" spans="2:2">
      <c r="B668" s="20"/>
    </row>
    <row r="669" spans="2:2">
      <c r="B669" s="20"/>
    </row>
    <row r="670" spans="2:2">
      <c r="B670" s="20"/>
    </row>
    <row r="671" spans="2:2">
      <c r="B671" s="20"/>
    </row>
    <row r="672" spans="2:2">
      <c r="B672" s="20"/>
    </row>
    <row r="673" spans="2:2">
      <c r="B673" s="20"/>
    </row>
    <row r="674" spans="2:2">
      <c r="B674" s="20"/>
    </row>
    <row r="675" spans="2:2">
      <c r="B675" s="20"/>
    </row>
    <row r="676" spans="2:2">
      <c r="B676" s="20"/>
    </row>
    <row r="677" spans="2:2">
      <c r="B677" s="20"/>
    </row>
    <row r="678" spans="2:2">
      <c r="B678" s="20"/>
    </row>
    <row r="679" spans="2:2">
      <c r="B679" s="20"/>
    </row>
    <row r="680" spans="2:2">
      <c r="B680" s="20"/>
    </row>
    <row r="681" spans="2:2">
      <c r="B681" s="20"/>
    </row>
    <row r="682" spans="2:2">
      <c r="B682" s="20"/>
    </row>
    <row r="683" spans="2:2">
      <c r="B683" s="20"/>
    </row>
    <row r="684" spans="2:2">
      <c r="B684" s="20"/>
    </row>
    <row r="685" spans="2:2">
      <c r="B685" s="20"/>
    </row>
    <row r="686" spans="2:2">
      <c r="B686" s="20"/>
    </row>
    <row r="687" spans="2:2">
      <c r="B687" s="20"/>
    </row>
    <row r="688" spans="2:2">
      <c r="B688" s="20"/>
    </row>
    <row r="689" spans="2:2">
      <c r="B689" s="20"/>
    </row>
    <row r="690" spans="2:2">
      <c r="B690" s="20"/>
    </row>
    <row r="691" spans="2:2">
      <c r="B691" s="20"/>
    </row>
    <row r="692" spans="2:2">
      <c r="B692" s="20"/>
    </row>
    <row r="693" spans="2:2">
      <c r="B693" s="20"/>
    </row>
    <row r="694" spans="2:2">
      <c r="B694" s="20"/>
    </row>
  </sheetData>
  <phoneticPr fontId="0" type="noConversion"/>
  <printOptions horizontalCentered="1"/>
  <pageMargins left="0.5" right="0.5" top="0.5" bottom="0.25" header="0.5" footer="0.5"/>
  <pageSetup scale="97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9"/>
  <sheetViews>
    <sheetView workbookViewId="0"/>
  </sheetViews>
  <sheetFormatPr defaultRowHeight="12.5"/>
  <cols>
    <col min="1" max="1" width="40.7265625" customWidth="1"/>
    <col min="2" max="2" width="15.7265625" customWidth="1"/>
  </cols>
  <sheetData>
    <row r="1" spans="1:2" ht="13">
      <c r="A1" s="9" t="s">
        <v>181</v>
      </c>
      <c r="B1" s="15"/>
    </row>
    <row r="2" spans="1:2" ht="13">
      <c r="A2" s="9" t="s">
        <v>182</v>
      </c>
      <c r="B2" s="15"/>
    </row>
    <row r="3" spans="1:2" ht="13">
      <c r="A3" s="9" t="s">
        <v>183</v>
      </c>
      <c r="B3" s="15"/>
    </row>
    <row r="4" spans="1:2">
      <c r="A4" s="15" t="s">
        <v>184</v>
      </c>
      <c r="B4" s="15"/>
    </row>
    <row r="5" spans="1:2">
      <c r="A5" s="15" t="s">
        <v>185</v>
      </c>
      <c r="B5" s="15"/>
    </row>
    <row r="6" spans="1:2">
      <c r="A6" s="15" t="s">
        <v>186</v>
      </c>
      <c r="B6" s="15"/>
    </row>
    <row r="7" spans="1:2">
      <c r="A7" s="31">
        <v>36923</v>
      </c>
      <c r="B7" s="15"/>
    </row>
    <row r="9" spans="1:2" ht="13">
      <c r="A9" s="2" t="s">
        <v>155</v>
      </c>
    </row>
    <row r="11" spans="1:2" ht="13">
      <c r="A11" s="2" t="s">
        <v>187</v>
      </c>
    </row>
    <row r="13" spans="1:2">
      <c r="A13" t="s">
        <v>188</v>
      </c>
      <c r="B13" s="32">
        <v>0</v>
      </c>
    </row>
    <row r="14" spans="1:2">
      <c r="A14" t="s">
        <v>189</v>
      </c>
      <c r="B14" s="32">
        <v>0</v>
      </c>
    </row>
    <row r="15" spans="1:2">
      <c r="A15" t="s">
        <v>190</v>
      </c>
      <c r="B15" s="32">
        <v>0</v>
      </c>
    </row>
    <row r="16" spans="1:2">
      <c r="A16" t="s">
        <v>4</v>
      </c>
      <c r="B16" s="32">
        <v>0</v>
      </c>
    </row>
    <row r="17" spans="1:2">
      <c r="B17" s="32"/>
    </row>
    <row r="18" spans="1:2" ht="13">
      <c r="A18" s="2" t="s">
        <v>191</v>
      </c>
      <c r="B18" s="32">
        <f>SUM(B13:B16)</f>
        <v>0</v>
      </c>
    </row>
    <row r="19" spans="1:2">
      <c r="B19" s="32"/>
    </row>
    <row r="20" spans="1:2" ht="13">
      <c r="A20" s="2" t="s">
        <v>192</v>
      </c>
      <c r="B20" s="32"/>
    </row>
    <row r="21" spans="1:2">
      <c r="B21" s="32"/>
    </row>
    <row r="22" spans="1:2">
      <c r="A22" t="s">
        <v>193</v>
      </c>
      <c r="B22" s="32">
        <v>0</v>
      </c>
    </row>
    <row r="23" spans="1:2">
      <c r="A23" t="s">
        <v>194</v>
      </c>
      <c r="B23" s="32">
        <v>0</v>
      </c>
    </row>
    <row r="24" spans="1:2">
      <c r="A24" t="s">
        <v>195</v>
      </c>
      <c r="B24" s="32">
        <v>0</v>
      </c>
    </row>
    <row r="25" spans="1:2">
      <c r="A25" t="s">
        <v>196</v>
      </c>
      <c r="B25" s="32">
        <v>0</v>
      </c>
    </row>
    <row r="26" spans="1:2">
      <c r="A26" t="s">
        <v>197</v>
      </c>
      <c r="B26" s="32">
        <v>0</v>
      </c>
    </row>
    <row r="27" spans="1:2">
      <c r="A27" t="s">
        <v>4</v>
      </c>
      <c r="B27" s="32"/>
    </row>
    <row r="28" spans="1:2">
      <c r="B28" s="32"/>
    </row>
    <row r="29" spans="1:2" ht="13">
      <c r="A29" s="2" t="s">
        <v>198</v>
      </c>
      <c r="B29" s="32">
        <f>SUM(B22:B27)</f>
        <v>0</v>
      </c>
    </row>
    <row r="30" spans="1:2">
      <c r="B30" s="32"/>
    </row>
    <row r="31" spans="1:2" ht="13">
      <c r="A31" s="2" t="s">
        <v>199</v>
      </c>
      <c r="B31" s="32"/>
    </row>
    <row r="32" spans="1:2">
      <c r="B32" s="32"/>
    </row>
    <row r="33" spans="1:2">
      <c r="A33" t="s">
        <v>200</v>
      </c>
      <c r="B33" s="32">
        <v>0</v>
      </c>
    </row>
    <row r="34" spans="1:2">
      <c r="A34" t="s">
        <v>201</v>
      </c>
      <c r="B34" s="32">
        <v>0</v>
      </c>
    </row>
    <row r="35" spans="1:2">
      <c r="A35" t="s">
        <v>202</v>
      </c>
      <c r="B35" s="32">
        <v>0</v>
      </c>
    </row>
    <row r="36" spans="1:2">
      <c r="A36" t="s">
        <v>203</v>
      </c>
      <c r="B36" s="32">
        <v>0</v>
      </c>
    </row>
    <row r="37" spans="1:2">
      <c r="A37" t="s">
        <v>204</v>
      </c>
      <c r="B37" s="32">
        <v>0</v>
      </c>
    </row>
    <row r="38" spans="1:2">
      <c r="A38" t="s">
        <v>205</v>
      </c>
      <c r="B38" s="32">
        <v>0</v>
      </c>
    </row>
    <row r="39" spans="1:2">
      <c r="A39" t="s">
        <v>206</v>
      </c>
      <c r="B39" s="32">
        <v>0</v>
      </c>
    </row>
    <row r="40" spans="1:2">
      <c r="A40" t="s">
        <v>207</v>
      </c>
      <c r="B40" s="32">
        <v>0</v>
      </c>
    </row>
    <row r="41" spans="1:2">
      <c r="A41" t="s">
        <v>4</v>
      </c>
      <c r="B41" s="32">
        <v>0</v>
      </c>
    </row>
    <row r="42" spans="1:2">
      <c r="A42" t="s">
        <v>4</v>
      </c>
      <c r="B42" s="32">
        <v>0</v>
      </c>
    </row>
    <row r="43" spans="1:2">
      <c r="B43" s="32"/>
    </row>
    <row r="44" spans="1:2" ht="13">
      <c r="A44" s="2" t="s">
        <v>208</v>
      </c>
      <c r="B44" s="32">
        <f>SUM(B33:B42)</f>
        <v>0</v>
      </c>
    </row>
    <row r="45" spans="1:2">
      <c r="B45" s="32"/>
    </row>
    <row r="46" spans="1:2" ht="13">
      <c r="A46" s="2" t="s">
        <v>170</v>
      </c>
      <c r="B46" s="32">
        <f>SUM(B44,B29,B18)</f>
        <v>0</v>
      </c>
    </row>
    <row r="47" spans="1:2">
      <c r="B47" s="32"/>
    </row>
    <row r="48" spans="1:2">
      <c r="B48" s="32"/>
    </row>
    <row r="49" spans="1:2" ht="13">
      <c r="A49" s="2" t="s">
        <v>171</v>
      </c>
      <c r="B49" s="32"/>
    </row>
    <row r="50" spans="1:2">
      <c r="B50" s="32"/>
    </row>
    <row r="51" spans="1:2">
      <c r="A51" t="s">
        <v>209</v>
      </c>
      <c r="B51" s="32">
        <v>0</v>
      </c>
    </row>
    <row r="52" spans="1:2">
      <c r="A52" t="s">
        <v>210</v>
      </c>
      <c r="B52" s="32">
        <v>0</v>
      </c>
    </row>
    <row r="53" spans="1:2">
      <c r="A53" t="s">
        <v>201</v>
      </c>
      <c r="B53" s="32">
        <v>0</v>
      </c>
    </row>
    <row r="54" spans="1:2">
      <c r="A54" t="s">
        <v>202</v>
      </c>
      <c r="B54" s="32">
        <v>0</v>
      </c>
    </row>
    <row r="55" spans="1:2">
      <c r="A55" t="s">
        <v>203</v>
      </c>
      <c r="B55" s="32">
        <v>0</v>
      </c>
    </row>
    <row r="56" spans="1:2">
      <c r="A56" t="s">
        <v>211</v>
      </c>
      <c r="B56" s="32">
        <v>0</v>
      </c>
    </row>
    <row r="57" spans="1:2">
      <c r="A57" t="s">
        <v>212</v>
      </c>
      <c r="B57" s="32">
        <v>0</v>
      </c>
    </row>
    <row r="58" spans="1:2">
      <c r="A58" t="s">
        <v>213</v>
      </c>
      <c r="B58" s="32">
        <v>0</v>
      </c>
    </row>
    <row r="59" spans="1:2">
      <c r="A59" t="s">
        <v>214</v>
      </c>
      <c r="B59" s="32">
        <v>0</v>
      </c>
    </row>
    <row r="60" spans="1:2">
      <c r="A60" t="s">
        <v>215</v>
      </c>
      <c r="B60" s="32">
        <v>0</v>
      </c>
    </row>
    <row r="61" spans="1:2">
      <c r="A61" t="s">
        <v>216</v>
      </c>
      <c r="B61" s="32">
        <v>0</v>
      </c>
    </row>
    <row r="62" spans="1:2">
      <c r="A62" t="s">
        <v>216</v>
      </c>
      <c r="B62" s="32">
        <v>0</v>
      </c>
    </row>
    <row r="63" spans="1:2">
      <c r="B63" s="32"/>
    </row>
    <row r="64" spans="1:2" ht="13">
      <c r="A64" s="2" t="s">
        <v>178</v>
      </c>
      <c r="B64" s="32">
        <f>SUM(B51:B62)</f>
        <v>0</v>
      </c>
    </row>
    <row r="65" spans="1:2">
      <c r="B65" s="32"/>
    </row>
    <row r="66" spans="1:2" ht="13">
      <c r="A66" s="2" t="s">
        <v>217</v>
      </c>
      <c r="B66" s="32">
        <f>B46-B64</f>
        <v>0</v>
      </c>
    </row>
    <row r="67" spans="1:2">
      <c r="B67" s="32"/>
    </row>
    <row r="68" spans="1:2" ht="13">
      <c r="A68" s="2" t="s">
        <v>12</v>
      </c>
      <c r="B68" s="32" t="s">
        <v>12</v>
      </c>
    </row>
    <row r="69" spans="1:2" ht="13">
      <c r="A69" s="2" t="s">
        <v>12</v>
      </c>
    </row>
  </sheetData>
  <phoneticPr fontId="0" type="noConversion"/>
  <printOptions horizontalCentered="1"/>
  <pageMargins left="0.5" right="0.5" top="0.5" bottom="0.25" header="0.5" footer="0.5"/>
  <pageSetup scale="87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" sqref="C1"/>
    </sheetView>
  </sheetViews>
  <sheetFormatPr defaultRowHeight="12.5"/>
  <cols>
    <col min="1" max="1" width="53.81640625" customWidth="1"/>
    <col min="2" max="2" width="14" customWidth="1"/>
    <col min="3" max="3" width="13.81640625" customWidth="1"/>
    <col min="4" max="4" width="12.54296875" customWidth="1"/>
    <col min="5" max="5" width="3.26953125" customWidth="1"/>
  </cols>
  <sheetData>
    <row r="1" spans="1:6" ht="18">
      <c r="A1" s="13" t="s">
        <v>218</v>
      </c>
      <c r="B1" s="14"/>
      <c r="C1" s="14"/>
    </row>
    <row r="2" spans="1:6" ht="13">
      <c r="A2" t="s">
        <v>12</v>
      </c>
      <c r="B2" s="20"/>
      <c r="C2" s="20" t="s">
        <v>134</v>
      </c>
      <c r="D2" s="2" t="s">
        <v>271</v>
      </c>
    </row>
    <row r="3" spans="1:6" ht="13">
      <c r="B3" s="8" t="s">
        <v>282</v>
      </c>
      <c r="C3" s="8" t="s">
        <v>282</v>
      </c>
      <c r="D3" s="8" t="s">
        <v>283</v>
      </c>
      <c r="F3" s="8" t="s">
        <v>284</v>
      </c>
    </row>
    <row r="4" spans="1:6" ht="13">
      <c r="B4" s="8" t="s">
        <v>335</v>
      </c>
      <c r="C4" s="8" t="s">
        <v>296</v>
      </c>
      <c r="D4" s="8"/>
      <c r="F4" s="8"/>
    </row>
    <row r="5" spans="1:6" ht="13">
      <c r="B5" s="8"/>
      <c r="C5" s="20"/>
      <c r="D5" s="8"/>
      <c r="F5" s="8"/>
    </row>
    <row r="6" spans="1:6" ht="13">
      <c r="A6" s="2" t="s">
        <v>294</v>
      </c>
      <c r="B6" s="60" t="e">
        <f>B47</f>
        <v>#DIV/0!</v>
      </c>
      <c r="C6" s="60" t="e">
        <f>C47</f>
        <v>#DIV/0!</v>
      </c>
      <c r="D6" s="60" t="e">
        <f>D47</f>
        <v>#DIV/0!</v>
      </c>
    </row>
    <row r="7" spans="1:6" ht="13">
      <c r="A7" s="2"/>
      <c r="B7" s="60"/>
      <c r="C7" s="60"/>
      <c r="D7" s="60"/>
    </row>
    <row r="8" spans="1:6" ht="13">
      <c r="A8" s="2" t="s">
        <v>272</v>
      </c>
      <c r="B8" s="60" t="e">
        <f>B42</f>
        <v>#DIV/0!</v>
      </c>
      <c r="C8" s="60" t="e">
        <f>C42</f>
        <v>#DIV/0!</v>
      </c>
      <c r="D8" s="60" t="e">
        <f>D42</f>
        <v>#DIV/0!</v>
      </c>
    </row>
    <row r="9" spans="1:6" ht="13">
      <c r="A9" s="2"/>
      <c r="B9" s="60"/>
      <c r="C9" s="60"/>
      <c r="D9" s="60"/>
    </row>
    <row r="10" spans="1:6" ht="13">
      <c r="A10" s="2" t="s">
        <v>273</v>
      </c>
      <c r="B10" s="60" t="e">
        <f>B52</f>
        <v>#DIV/0!</v>
      </c>
      <c r="C10" s="60" t="e">
        <f>C52</f>
        <v>#DIV/0!</v>
      </c>
      <c r="D10" s="60" t="e">
        <f>D52</f>
        <v>#DIV/0!</v>
      </c>
    </row>
    <row r="11" spans="1:6" ht="13">
      <c r="A11" s="2"/>
      <c r="B11" s="60"/>
      <c r="C11" s="60"/>
      <c r="D11" s="60"/>
    </row>
    <row r="12" spans="1:6" ht="13">
      <c r="A12" s="2" t="s">
        <v>274</v>
      </c>
      <c r="B12" s="60" t="e">
        <f>B57</f>
        <v>#DIV/0!</v>
      </c>
      <c r="C12" s="60" t="e">
        <f>C57</f>
        <v>#DIV/0!</v>
      </c>
      <c r="D12" s="60" t="e">
        <f>D57</f>
        <v>#DIV/0!</v>
      </c>
    </row>
    <row r="13" spans="1:6" ht="13">
      <c r="A13" s="2"/>
      <c r="B13" s="60"/>
      <c r="C13" s="60"/>
      <c r="D13" s="60"/>
    </row>
    <row r="14" spans="1:6" ht="13">
      <c r="A14" s="2" t="s">
        <v>275</v>
      </c>
      <c r="B14" s="60" t="e">
        <f>B62</f>
        <v>#REF!</v>
      </c>
      <c r="C14" s="60" t="e">
        <f>C62</f>
        <v>#DIV/0!</v>
      </c>
      <c r="D14" s="60">
        <f>D62</f>
        <v>0.6</v>
      </c>
    </row>
    <row r="15" spans="1:6" ht="13">
      <c r="A15" s="2"/>
      <c r="B15" s="60"/>
      <c r="C15" s="60"/>
      <c r="D15" s="60"/>
    </row>
    <row r="16" spans="1:6" ht="13">
      <c r="A16" s="2" t="s">
        <v>276</v>
      </c>
      <c r="B16" s="60" t="e">
        <f>B72</f>
        <v>#DIV/0!</v>
      </c>
      <c r="C16" s="60" t="e">
        <f>C72</f>
        <v>#DIV/0!</v>
      </c>
      <c r="D16" s="60" t="e">
        <f>D72</f>
        <v>#DIV/0!</v>
      </c>
    </row>
    <row r="17" spans="1:4" ht="13">
      <c r="A17" s="2"/>
      <c r="B17" s="60"/>
      <c r="C17" s="60"/>
      <c r="D17" s="60"/>
    </row>
    <row r="18" spans="1:4" ht="13">
      <c r="A18" s="2" t="s">
        <v>277</v>
      </c>
      <c r="B18" s="8" t="e">
        <f>B67</f>
        <v>#DIV/0!</v>
      </c>
      <c r="C18" s="8" t="e">
        <f>C67</f>
        <v>#DIV/0!</v>
      </c>
      <c r="D18" s="8" t="e">
        <f>D67</f>
        <v>#DIV/0!</v>
      </c>
    </row>
    <row r="19" spans="1:4" ht="13">
      <c r="A19" s="2"/>
      <c r="B19" s="8"/>
      <c r="C19" s="8"/>
      <c r="D19" s="8"/>
    </row>
    <row r="20" spans="1:4" ht="13">
      <c r="A20" s="2" t="s">
        <v>324</v>
      </c>
      <c r="B20" s="85" t="e">
        <f>B97</f>
        <v>#DIV/0!</v>
      </c>
      <c r="C20" s="85" t="e">
        <f>C97</f>
        <v>#DIV/0!</v>
      </c>
      <c r="D20" s="8" t="e">
        <f>D97</f>
        <v>#DIV/0!</v>
      </c>
    </row>
    <row r="21" spans="1:4" ht="13">
      <c r="A21" s="2"/>
      <c r="B21" s="8"/>
      <c r="C21" s="8"/>
      <c r="D21" s="8"/>
    </row>
    <row r="22" spans="1:4" ht="13">
      <c r="A22" s="2" t="s">
        <v>301</v>
      </c>
      <c r="B22" s="60" t="e">
        <f>B77</f>
        <v>#DIV/0!</v>
      </c>
      <c r="C22" s="60" t="e">
        <f>C77</f>
        <v>#DIV/0!</v>
      </c>
      <c r="D22" s="60" t="e">
        <f>D77</f>
        <v>#DIV/0!</v>
      </c>
    </row>
    <row r="23" spans="1:4" ht="13">
      <c r="A23" s="2"/>
      <c r="B23" s="60"/>
      <c r="C23" s="60"/>
      <c r="D23" s="60"/>
    </row>
    <row r="24" spans="1:4" ht="13">
      <c r="A24" s="2" t="s">
        <v>302</v>
      </c>
      <c r="B24" s="60" t="e">
        <f>B82</f>
        <v>#DIV/0!</v>
      </c>
      <c r="C24" s="60" t="e">
        <f>C82</f>
        <v>#DIV/0!</v>
      </c>
      <c r="D24" s="60" t="e">
        <f>D82</f>
        <v>#DIV/0!</v>
      </c>
    </row>
    <row r="25" spans="1:4" ht="13">
      <c r="A25" s="2"/>
      <c r="B25" s="60"/>
      <c r="C25" s="60"/>
      <c r="D25" s="60"/>
    </row>
    <row r="26" spans="1:4" ht="13">
      <c r="A26" s="2" t="s">
        <v>303</v>
      </c>
      <c r="B26" s="8" t="e">
        <f>B87</f>
        <v>#DIV/0!</v>
      </c>
      <c r="C26" s="85" t="e">
        <f>C87</f>
        <v>#DIV/0!</v>
      </c>
      <c r="D26" s="8" t="e">
        <f>D87</f>
        <v>#DIV/0!</v>
      </c>
    </row>
    <row r="27" spans="1:4" ht="13">
      <c r="A27" s="2"/>
      <c r="B27" s="8"/>
      <c r="C27" s="8"/>
      <c r="D27" s="8"/>
    </row>
    <row r="28" spans="1:4" ht="13">
      <c r="A28" s="2" t="s">
        <v>325</v>
      </c>
      <c r="B28" s="8" t="e">
        <f>B102</f>
        <v>#DIV/0!</v>
      </c>
      <c r="C28" s="85" t="e">
        <f>C102</f>
        <v>#DIV/0!</v>
      </c>
      <c r="D28" s="8" t="e">
        <f>D102</f>
        <v>#DIV/0!</v>
      </c>
    </row>
    <row r="29" spans="1:4" ht="13">
      <c r="A29" s="2"/>
      <c r="B29" s="8"/>
      <c r="C29" s="8"/>
      <c r="D29" s="8"/>
    </row>
    <row r="30" spans="1:4" ht="13">
      <c r="A30" s="2" t="s">
        <v>304</v>
      </c>
      <c r="B30" s="8" t="e">
        <f>B92</f>
        <v>#DIV/0!</v>
      </c>
      <c r="C30" s="8" t="e">
        <f>C92</f>
        <v>#DIV/0!</v>
      </c>
      <c r="D30" s="8" t="e">
        <f>D92</f>
        <v>#DIV/0!</v>
      </c>
    </row>
    <row r="31" spans="1:4">
      <c r="B31" s="20"/>
      <c r="C31" s="20"/>
    </row>
    <row r="32" spans="1:4" ht="13">
      <c r="A32" s="2" t="s">
        <v>326</v>
      </c>
      <c r="B32" s="2" t="e">
        <f>B107</f>
        <v>#DIV/0!</v>
      </c>
      <c r="C32" s="2" t="e">
        <f>C107</f>
        <v>#DIV/0!</v>
      </c>
      <c r="D32" s="2" t="e">
        <f>D107</f>
        <v>#DIV/0!</v>
      </c>
    </row>
    <row r="33" spans="1:4">
      <c r="A33" s="21"/>
    </row>
    <row r="34" spans="1:4">
      <c r="A34" s="21"/>
    </row>
    <row r="35" spans="1:4">
      <c r="A35" s="21"/>
    </row>
    <row r="36" spans="1:4">
      <c r="A36" s="21"/>
    </row>
    <row r="37" spans="1:4" ht="13">
      <c r="A37" s="21"/>
      <c r="D37" s="2"/>
    </row>
    <row r="38" spans="1:4">
      <c r="A38" s="21"/>
    </row>
    <row r="39" spans="1:4" ht="25" customHeight="1" thickBot="1">
      <c r="A39" s="21" t="s">
        <v>219</v>
      </c>
      <c r="B39" s="62" t="s">
        <v>269</v>
      </c>
      <c r="C39" s="62" t="s">
        <v>269</v>
      </c>
      <c r="D39" s="62" t="s">
        <v>270</v>
      </c>
    </row>
    <row r="40" spans="1:4" ht="25" customHeight="1" thickTop="1" thickBot="1">
      <c r="A40" t="s">
        <v>305</v>
      </c>
      <c r="B40">
        <f>IncomeStatement!P25</f>
        <v>0</v>
      </c>
      <c r="C40" t="e">
        <f>IncomeStatement!Q25</f>
        <v>#DIV/0!</v>
      </c>
      <c r="D40" s="61"/>
    </row>
    <row r="41" spans="1:4" ht="25" customHeight="1" thickTop="1" thickBot="1">
      <c r="A41" t="s">
        <v>306</v>
      </c>
      <c r="B41">
        <f>IncomeStatement!P17</f>
        <v>0</v>
      </c>
      <c r="C41" t="e">
        <f>IncomeStatement!Q17</f>
        <v>#DIV/0!</v>
      </c>
      <c r="D41" s="61"/>
    </row>
    <row r="42" spans="1:4" ht="25" customHeight="1" thickTop="1">
      <c r="A42" s="21" t="s">
        <v>220</v>
      </c>
      <c r="B42" s="17" t="e">
        <f>B40/B41</f>
        <v>#DIV/0!</v>
      </c>
      <c r="C42" s="17" t="e">
        <f>C40/C41</f>
        <v>#DIV/0!</v>
      </c>
      <c r="D42" s="17" t="e">
        <f>D40/D41</f>
        <v>#DIV/0!</v>
      </c>
    </row>
    <row r="43" spans="1:4" ht="25" customHeight="1"/>
    <row r="44" spans="1:4" ht="25" customHeight="1" thickBot="1">
      <c r="A44" t="s">
        <v>307</v>
      </c>
    </row>
    <row r="45" spans="1:4" ht="25" customHeight="1" thickTop="1" thickBot="1">
      <c r="A45" t="s">
        <v>308</v>
      </c>
      <c r="B45" s="4">
        <f>IncomeStatement!P62</f>
        <v>0</v>
      </c>
      <c r="C45" s="4" t="e">
        <f>IncomeStatement!Q62</f>
        <v>#DIV/0!</v>
      </c>
      <c r="D45" s="61"/>
    </row>
    <row r="46" spans="1:4" ht="25" customHeight="1" thickTop="1" thickBot="1">
      <c r="A46" t="s">
        <v>309</v>
      </c>
      <c r="B46" s="4">
        <f>IncomeStatement!P17</f>
        <v>0</v>
      </c>
      <c r="C46" s="4" t="e">
        <f>IncomeStatement!Q17</f>
        <v>#DIV/0!</v>
      </c>
      <c r="D46" s="61"/>
    </row>
    <row r="47" spans="1:4" ht="25" customHeight="1" thickTop="1">
      <c r="A47" t="s">
        <v>220</v>
      </c>
      <c r="B47" s="17" t="e">
        <f>B45/B46</f>
        <v>#DIV/0!</v>
      </c>
      <c r="C47" s="17" t="e">
        <f>C45/C46</f>
        <v>#DIV/0!</v>
      </c>
      <c r="D47" s="17" t="e">
        <f>D45/D46</f>
        <v>#DIV/0!</v>
      </c>
    </row>
    <row r="48" spans="1:4" ht="25" customHeight="1"/>
    <row r="49" spans="1:4" ht="25" customHeight="1" thickBot="1">
      <c r="A49" t="s">
        <v>221</v>
      </c>
    </row>
    <row r="50" spans="1:4" ht="25" customHeight="1" thickTop="1" thickBot="1">
      <c r="A50" t="s">
        <v>310</v>
      </c>
      <c r="B50" s="58">
        <f>Bizbalsht!B13</f>
        <v>0</v>
      </c>
      <c r="C50" s="58">
        <f>Bizbalsht!C13</f>
        <v>0</v>
      </c>
      <c r="D50" s="61">
        <v>0</v>
      </c>
    </row>
    <row r="51" spans="1:4" ht="25" customHeight="1" thickTop="1" thickBot="1">
      <c r="A51" t="s">
        <v>311</v>
      </c>
      <c r="B51" s="58">
        <f>Bizbalsht!B37</f>
        <v>0</v>
      </c>
      <c r="C51" s="58">
        <f>Bizbalsht!C37</f>
        <v>0</v>
      </c>
      <c r="D51" s="61">
        <v>0</v>
      </c>
    </row>
    <row r="52" spans="1:4" ht="25" customHeight="1" thickTop="1">
      <c r="A52" t="s">
        <v>220</v>
      </c>
      <c r="B52" s="17" t="e">
        <f>B50/B51</f>
        <v>#DIV/0!</v>
      </c>
      <c r="C52" s="17" t="e">
        <f>C50/C51</f>
        <v>#DIV/0!</v>
      </c>
      <c r="D52" s="17" t="e">
        <f>D50/D51</f>
        <v>#DIV/0!</v>
      </c>
    </row>
    <row r="53" spans="1:4" ht="25" customHeight="1"/>
    <row r="54" spans="1:4" ht="25" customHeight="1" thickBot="1">
      <c r="A54" t="s">
        <v>264</v>
      </c>
    </row>
    <row r="55" spans="1:4" ht="25" customHeight="1" thickTop="1" thickBot="1">
      <c r="A55" t="s">
        <v>312</v>
      </c>
      <c r="B55" s="58">
        <f>Bizbalsht!B8+Bizbalsht!B9+Bizbalsht!B11</f>
        <v>0</v>
      </c>
      <c r="C55" s="58">
        <f>Bizbalsht!C8+Bizbalsht!C9+Bizbalsht!C11</f>
        <v>0</v>
      </c>
      <c r="D55" s="61"/>
    </row>
    <row r="56" spans="1:4" ht="25" customHeight="1" thickTop="1" thickBot="1">
      <c r="A56" t="s">
        <v>311</v>
      </c>
      <c r="B56" s="58">
        <f>Bizbalsht!B37</f>
        <v>0</v>
      </c>
      <c r="C56" s="58">
        <f>Bizbalsht!C37</f>
        <v>0</v>
      </c>
      <c r="D56" s="61"/>
    </row>
    <row r="57" spans="1:4" ht="25" customHeight="1" thickTop="1">
      <c r="A57" t="s">
        <v>220</v>
      </c>
      <c r="B57" s="17" t="e">
        <f>B55/B56</f>
        <v>#DIV/0!</v>
      </c>
      <c r="C57" s="17" t="e">
        <f>C55/C56</f>
        <v>#DIV/0!</v>
      </c>
      <c r="D57" s="17" t="e">
        <f>D55/D56</f>
        <v>#DIV/0!</v>
      </c>
    </row>
    <row r="58" spans="1:4" ht="25" customHeight="1"/>
    <row r="59" spans="1:4" ht="25" customHeight="1" thickBot="1">
      <c r="A59" t="s">
        <v>222</v>
      </c>
    </row>
    <row r="60" spans="1:4" ht="25" customHeight="1" thickTop="1" thickBot="1">
      <c r="A60" t="s">
        <v>313</v>
      </c>
      <c r="B60" s="58">
        <f>Bizbalsht!B43</f>
        <v>0</v>
      </c>
      <c r="C60" s="58">
        <f>Bizbalsht!C43</f>
        <v>0</v>
      </c>
      <c r="D60" s="61">
        <v>60000</v>
      </c>
    </row>
    <row r="61" spans="1:4" ht="25" customHeight="1" thickTop="1" thickBot="1">
      <c r="A61" t="s">
        <v>314</v>
      </c>
      <c r="B61" s="58" t="e">
        <f>Bizbalsht!B34+Bizbalsht!#REF!+Bizbalsht!#REF!</f>
        <v>#REF!</v>
      </c>
      <c r="C61" s="58">
        <f>Bizbalsht!C34+Bizbalsht!B35+Bizbalsht!B39</f>
        <v>0</v>
      </c>
      <c r="D61" s="61">
        <v>100000</v>
      </c>
    </row>
    <row r="62" spans="1:4" ht="25" customHeight="1" thickTop="1">
      <c r="A62" t="s">
        <v>220</v>
      </c>
      <c r="B62" s="16" t="e">
        <f>B60/B61</f>
        <v>#REF!</v>
      </c>
      <c r="C62" s="16" t="e">
        <f>C60/C61</f>
        <v>#DIV/0!</v>
      </c>
      <c r="D62" s="16">
        <f>D60/D61</f>
        <v>0.6</v>
      </c>
    </row>
    <row r="63" spans="1:4" ht="25" customHeight="1"/>
    <row r="64" spans="1:4" ht="25" customHeight="1" thickBot="1">
      <c r="A64" t="s">
        <v>223</v>
      </c>
    </row>
    <row r="65" spans="1:4" ht="25" customHeight="1" thickTop="1" thickBot="1">
      <c r="A65" t="s">
        <v>315</v>
      </c>
      <c r="B65">
        <f>IncomeStatement!P23</f>
        <v>0</v>
      </c>
      <c r="C65" t="e">
        <f>IncomeStatement!Q23</f>
        <v>#DIV/0!</v>
      </c>
      <c r="D65" s="61"/>
    </row>
    <row r="66" spans="1:4" ht="25" customHeight="1" thickTop="1" thickBot="1">
      <c r="A66" t="s">
        <v>316</v>
      </c>
      <c r="B66">
        <f>IncomeStatement!P23/12</f>
        <v>0</v>
      </c>
      <c r="C66" t="e">
        <f>IncomeStatement!Q23/12</f>
        <v>#DIV/0!</v>
      </c>
      <c r="D66" s="61"/>
    </row>
    <row r="67" spans="1:4" ht="25" customHeight="1" thickTop="1">
      <c r="A67" t="s">
        <v>256</v>
      </c>
      <c r="B67" t="e">
        <f>B65/B66</f>
        <v>#DIV/0!</v>
      </c>
      <c r="C67" t="e">
        <f>C65/C66</f>
        <v>#DIV/0!</v>
      </c>
      <c r="D67" t="e">
        <f>D65/D66</f>
        <v>#DIV/0!</v>
      </c>
    </row>
    <row r="68" spans="1:4" ht="25" customHeight="1"/>
    <row r="69" spans="1:4" ht="25" customHeight="1" thickBot="1">
      <c r="A69" t="s">
        <v>257</v>
      </c>
    </row>
    <row r="70" spans="1:4" ht="25" customHeight="1" thickTop="1" thickBot="1">
      <c r="A70" t="s">
        <v>333</v>
      </c>
      <c r="B70" s="58">
        <f>Bizbalsht!B41</f>
        <v>0</v>
      </c>
      <c r="C70" s="58">
        <f>Bizbalsht!C41</f>
        <v>0</v>
      </c>
      <c r="D70" s="61"/>
    </row>
    <row r="71" spans="1:4" ht="25" customHeight="1" thickTop="1" thickBot="1">
      <c r="A71" t="s">
        <v>334</v>
      </c>
      <c r="B71" s="58">
        <f>Bizbalsht!B43</f>
        <v>0</v>
      </c>
      <c r="C71" s="58">
        <f>Bizbalsht!C43</f>
        <v>0</v>
      </c>
      <c r="D71" s="61"/>
    </row>
    <row r="72" spans="1:4" ht="25" customHeight="1" thickTop="1">
      <c r="A72" t="s">
        <v>220</v>
      </c>
      <c r="B72" s="16" t="e">
        <f>B70/B71</f>
        <v>#DIV/0!</v>
      </c>
      <c r="C72" s="16" t="e">
        <f>C70/C71</f>
        <v>#DIV/0!</v>
      </c>
      <c r="D72" s="16" t="e">
        <f>D70/D71</f>
        <v>#DIV/0!</v>
      </c>
    </row>
    <row r="73" spans="1:4" ht="25" customHeight="1">
      <c r="A73" t="s">
        <v>12</v>
      </c>
    </row>
    <row r="74" spans="1:4" ht="25" customHeight="1" thickBot="1">
      <c r="A74" t="s">
        <v>258</v>
      </c>
    </row>
    <row r="75" spans="1:4" ht="25" customHeight="1" thickTop="1" thickBot="1">
      <c r="A75" t="s">
        <v>317</v>
      </c>
      <c r="B75">
        <f>IncomeStatement!P17</f>
        <v>0</v>
      </c>
      <c r="C75" t="e">
        <f>IncomeStatement!R17</f>
        <v>#DIV/0!</v>
      </c>
      <c r="D75" s="61"/>
    </row>
    <row r="76" spans="1:4" ht="25" customHeight="1" thickTop="1" thickBot="1">
      <c r="A76" t="s">
        <v>318</v>
      </c>
      <c r="B76" s="58">
        <f>Bizbalsht!B25</f>
        <v>0</v>
      </c>
      <c r="C76" s="58">
        <f>Bizbalsht!C25</f>
        <v>0</v>
      </c>
      <c r="D76" s="61"/>
    </row>
    <row r="77" spans="1:4" ht="25" customHeight="1" thickTop="1">
      <c r="A77" t="s">
        <v>220</v>
      </c>
      <c r="B77" s="16" t="e">
        <f>B75/B76</f>
        <v>#DIV/0!</v>
      </c>
      <c r="C77" s="16" t="e">
        <f>C75/C76</f>
        <v>#DIV/0!</v>
      </c>
      <c r="D77" s="16" t="e">
        <f>D75/D76</f>
        <v>#DIV/0!</v>
      </c>
    </row>
    <row r="78" spans="1:4" ht="25" customHeight="1"/>
    <row r="79" spans="1:4" ht="25" customHeight="1" thickBot="1">
      <c r="A79" t="s">
        <v>259</v>
      </c>
    </row>
    <row r="80" spans="1:4" ht="25" customHeight="1" thickTop="1" thickBot="1">
      <c r="A80" t="s">
        <v>319</v>
      </c>
      <c r="B80" s="86">
        <f>IncomeStatement!P62</f>
        <v>0</v>
      </c>
      <c r="C80" s="86" t="e">
        <f>IncomeStatement!R62</f>
        <v>#DIV/0!</v>
      </c>
      <c r="D80" s="61"/>
    </row>
    <row r="81" spans="1:4" ht="25" customHeight="1" thickTop="1" thickBot="1">
      <c r="A81" t="s">
        <v>318</v>
      </c>
      <c r="B81" s="58">
        <f>Bizbalsht!B25</f>
        <v>0</v>
      </c>
      <c r="C81" s="58">
        <f>Bizbalsht!C25</f>
        <v>0</v>
      </c>
      <c r="D81" s="61"/>
    </row>
    <row r="82" spans="1:4" ht="25" customHeight="1" thickTop="1">
      <c r="A82" t="s">
        <v>220</v>
      </c>
      <c r="B82" s="16" t="e">
        <f>B80/B81</f>
        <v>#DIV/0!</v>
      </c>
      <c r="C82" s="16" t="e">
        <f>C80/C81</f>
        <v>#DIV/0!</v>
      </c>
      <c r="D82" s="16" t="e">
        <f>D80/D81</f>
        <v>#DIV/0!</v>
      </c>
    </row>
    <row r="83" spans="1:4" ht="25" customHeight="1"/>
    <row r="84" spans="1:4" ht="25" customHeight="1" thickBot="1">
      <c r="A84" t="s">
        <v>262</v>
      </c>
    </row>
    <row r="85" spans="1:4" ht="25" customHeight="1" thickTop="1" thickBot="1">
      <c r="A85" t="s">
        <v>320</v>
      </c>
      <c r="B85">
        <f>IncomeStatement!P17</f>
        <v>0</v>
      </c>
      <c r="C85" t="e">
        <f>IncomeStatement!R17</f>
        <v>#DIV/0!</v>
      </c>
      <c r="D85" s="61"/>
    </row>
    <row r="86" spans="1:4" ht="25" customHeight="1" thickTop="1" thickBot="1">
      <c r="A86" t="s">
        <v>321</v>
      </c>
      <c r="B86" s="59">
        <f>Bizbalsht!B9</f>
        <v>0</v>
      </c>
      <c r="C86" s="59">
        <f>Bizbalsht!C9</f>
        <v>0</v>
      </c>
      <c r="D86" s="61"/>
    </row>
    <row r="87" spans="1:4" ht="25" customHeight="1" thickTop="1">
      <c r="A87" t="s">
        <v>260</v>
      </c>
      <c r="B87" t="e">
        <f>B85/B86</f>
        <v>#DIV/0!</v>
      </c>
      <c r="C87" s="87" t="e">
        <f>C85/C86</f>
        <v>#DIV/0!</v>
      </c>
      <c r="D87" t="e">
        <f>D85/D86</f>
        <v>#DIV/0!</v>
      </c>
    </row>
    <row r="88" spans="1:4" ht="25" customHeight="1"/>
    <row r="89" spans="1:4" ht="25" customHeight="1" thickBot="1">
      <c r="A89" t="s">
        <v>261</v>
      </c>
    </row>
    <row r="90" spans="1:4" ht="25" customHeight="1" thickTop="1" thickBot="1">
      <c r="A90" t="s">
        <v>315</v>
      </c>
      <c r="B90">
        <f>IncomeStatement!P23</f>
        <v>0</v>
      </c>
      <c r="C90" t="e">
        <f>IncomeStatement!R23</f>
        <v>#DIV/0!</v>
      </c>
      <c r="D90" s="61"/>
    </row>
    <row r="91" spans="1:4" ht="25" customHeight="1" thickTop="1" thickBot="1">
      <c r="A91" t="s">
        <v>322</v>
      </c>
      <c r="B91" s="59">
        <f>Bizbalsht!B32</f>
        <v>0</v>
      </c>
      <c r="C91" s="59">
        <f>Bizbalsht!C32</f>
        <v>0</v>
      </c>
      <c r="D91" s="61"/>
    </row>
    <row r="92" spans="1:4" ht="25" customHeight="1" thickTop="1">
      <c r="A92" t="s">
        <v>260</v>
      </c>
      <c r="B92" t="e">
        <f>B90/B91</f>
        <v>#DIV/0!</v>
      </c>
      <c r="C92" t="e">
        <f>C90/C91</f>
        <v>#DIV/0!</v>
      </c>
      <c r="D92" t="e">
        <f>D90/D91</f>
        <v>#DIV/0!</v>
      </c>
    </row>
    <row r="93" spans="1:4" ht="25" customHeight="1"/>
    <row r="94" spans="1:4" ht="25" customHeight="1" thickBot="1">
      <c r="A94" t="s">
        <v>299</v>
      </c>
    </row>
    <row r="95" spans="1:4" ht="25" customHeight="1" thickTop="1" thickBot="1">
      <c r="A95" t="s">
        <v>298</v>
      </c>
      <c r="B95" s="20">
        <v>365</v>
      </c>
      <c r="C95" s="20">
        <v>365</v>
      </c>
      <c r="D95" s="84">
        <v>365</v>
      </c>
    </row>
    <row r="96" spans="1:4" ht="25" customHeight="1" thickTop="1" thickBot="1">
      <c r="A96" t="s">
        <v>329</v>
      </c>
      <c r="B96" t="e">
        <f>B67</f>
        <v>#DIV/0!</v>
      </c>
      <c r="C96" t="e">
        <f>C67</f>
        <v>#DIV/0!</v>
      </c>
      <c r="D96" s="61" t="e">
        <f>D67</f>
        <v>#DIV/0!</v>
      </c>
    </row>
    <row r="97" spans="1:4" ht="25" customHeight="1" thickTop="1">
      <c r="A97" t="s">
        <v>267</v>
      </c>
      <c r="B97" s="87" t="e">
        <f>B95/B96</f>
        <v>#DIV/0!</v>
      </c>
      <c r="C97" s="87" t="e">
        <f>C95/C96</f>
        <v>#DIV/0!</v>
      </c>
      <c r="D97" t="e">
        <f>D95/D96</f>
        <v>#DIV/0!</v>
      </c>
    </row>
    <row r="98" spans="1:4" ht="25" customHeight="1"/>
    <row r="99" spans="1:4" ht="25" customHeight="1" thickBot="1">
      <c r="A99" t="s">
        <v>266</v>
      </c>
    </row>
    <row r="100" spans="1:4" ht="25" customHeight="1" thickTop="1" thickBot="1">
      <c r="A100" t="s">
        <v>298</v>
      </c>
      <c r="B100" s="20">
        <v>365</v>
      </c>
      <c r="C100" s="20">
        <v>365</v>
      </c>
      <c r="D100" s="84">
        <v>365</v>
      </c>
    </row>
    <row r="101" spans="1:4" ht="25" customHeight="1" thickTop="1" thickBot="1">
      <c r="A101" t="s">
        <v>328</v>
      </c>
      <c r="B101" t="e">
        <f>B87</f>
        <v>#DIV/0!</v>
      </c>
      <c r="C101" s="87" t="e">
        <f>C87</f>
        <v>#DIV/0!</v>
      </c>
      <c r="D101" s="61" t="e">
        <f>D87</f>
        <v>#DIV/0!</v>
      </c>
    </row>
    <row r="102" spans="1:4" ht="25" customHeight="1" thickTop="1">
      <c r="A102" t="s">
        <v>267</v>
      </c>
      <c r="B102" t="e">
        <f>B100/B101</f>
        <v>#DIV/0!</v>
      </c>
      <c r="C102" s="87" t="e">
        <f>C100/C101</f>
        <v>#DIV/0!</v>
      </c>
      <c r="D102" t="e">
        <f>D100/D101</f>
        <v>#DIV/0!</v>
      </c>
    </row>
    <row r="103" spans="1:4" ht="25" customHeight="1"/>
    <row r="104" spans="1:4" ht="25" customHeight="1" thickBot="1">
      <c r="A104" t="s">
        <v>300</v>
      </c>
    </row>
    <row r="105" spans="1:4" ht="25" customHeight="1" thickTop="1" thickBot="1">
      <c r="A105" t="s">
        <v>298</v>
      </c>
      <c r="B105" s="20">
        <v>365</v>
      </c>
      <c r="C105" s="20">
        <v>365</v>
      </c>
      <c r="D105" s="84">
        <v>365</v>
      </c>
    </row>
    <row r="106" spans="1:4" ht="25" customHeight="1" thickTop="1" thickBot="1">
      <c r="A106" t="s">
        <v>327</v>
      </c>
      <c r="B106" t="e">
        <f>B92</f>
        <v>#DIV/0!</v>
      </c>
      <c r="C106" t="e">
        <f>C92</f>
        <v>#DIV/0!</v>
      </c>
      <c r="D106" s="61" t="e">
        <f>D92</f>
        <v>#DIV/0!</v>
      </c>
    </row>
    <row r="107" spans="1:4" ht="25" customHeight="1" thickTop="1">
      <c r="A107" t="s">
        <v>267</v>
      </c>
      <c r="B107" t="e">
        <f>B105/B106</f>
        <v>#DIV/0!</v>
      </c>
      <c r="C107" t="e">
        <f>C105/C106</f>
        <v>#DIV/0!</v>
      </c>
      <c r="D107" t="e">
        <f>D105/D106</f>
        <v>#DIV/0!</v>
      </c>
    </row>
    <row r="112" spans="1:4">
      <c r="A112" t="s">
        <v>12</v>
      </c>
    </row>
  </sheetData>
  <phoneticPr fontId="0" type="noConversion"/>
  <printOptions horizontalCentered="1"/>
  <pageMargins left="0.25" right="0.5" top="0.5" bottom="1" header="0" footer="0"/>
  <pageSetup scale="88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3"/>
  <sheetViews>
    <sheetView workbookViewId="0">
      <selection activeCell="C8" sqref="C8"/>
    </sheetView>
  </sheetViews>
  <sheetFormatPr defaultRowHeight="12.5"/>
  <cols>
    <col min="1" max="1" width="5" customWidth="1"/>
    <col min="2" max="2" width="22.1796875" customWidth="1"/>
    <col min="3" max="3" width="13.54296875" customWidth="1"/>
    <col min="4" max="10" width="12.7265625" customWidth="1"/>
  </cols>
  <sheetData>
    <row r="1" spans="1:7" ht="18">
      <c r="A1" s="63" t="s">
        <v>224</v>
      </c>
      <c r="B1" s="64"/>
      <c r="C1" s="64"/>
      <c r="D1" s="64"/>
      <c r="E1" s="64"/>
      <c r="F1" s="64"/>
      <c r="G1" s="64"/>
    </row>
    <row r="2" spans="1:7" hidden="1">
      <c r="B2" t="s">
        <v>225</v>
      </c>
    </row>
    <row r="3" spans="1:7" hidden="1">
      <c r="B3" t="s">
        <v>226</v>
      </c>
    </row>
    <row r="4" spans="1:7" hidden="1">
      <c r="B4" t="s">
        <v>227</v>
      </c>
    </row>
    <row r="5" spans="1:7" ht="23" hidden="1">
      <c r="A5" s="33" t="s">
        <v>228</v>
      </c>
      <c r="B5" s="34"/>
      <c r="C5" s="34"/>
      <c r="D5" s="34"/>
      <c r="E5" s="34"/>
      <c r="F5" s="34"/>
      <c r="G5" s="34"/>
    </row>
    <row r="6" spans="1:7" ht="13">
      <c r="A6" s="35" t="s">
        <v>229</v>
      </c>
      <c r="B6" s="36"/>
      <c r="C6" s="37"/>
      <c r="E6" s="35" t="s">
        <v>230</v>
      </c>
      <c r="F6" s="34"/>
      <c r="G6" s="34"/>
    </row>
    <row r="7" spans="1:7" ht="13">
      <c r="B7" s="38" t="s">
        <v>231</v>
      </c>
      <c r="C7" s="72">
        <v>0</v>
      </c>
      <c r="F7" s="38" t="s">
        <v>232</v>
      </c>
      <c r="G7" s="39"/>
    </row>
    <row r="8" spans="1:7">
      <c r="B8" s="38" t="s">
        <v>233</v>
      </c>
      <c r="C8" s="40">
        <v>0.09</v>
      </c>
      <c r="F8" s="38" t="s">
        <v>234</v>
      </c>
      <c r="G8" s="41">
        <v>1</v>
      </c>
    </row>
    <row r="9" spans="1:7">
      <c r="B9" s="38" t="s">
        <v>235</v>
      </c>
      <c r="C9" s="41">
        <v>15</v>
      </c>
    </row>
    <row r="10" spans="1:7">
      <c r="B10" s="38" t="s">
        <v>236</v>
      </c>
      <c r="C10" s="41">
        <v>12</v>
      </c>
    </row>
    <row r="11" spans="1:7">
      <c r="B11" s="38" t="s">
        <v>237</v>
      </c>
      <c r="C11" s="39">
        <v>37043</v>
      </c>
    </row>
    <row r="12" spans="1:7" ht="13">
      <c r="A12" s="35" t="s">
        <v>238</v>
      </c>
      <c r="B12" s="34"/>
      <c r="C12" s="34"/>
      <c r="D12" s="34"/>
      <c r="E12" s="34"/>
      <c r="F12" s="34"/>
      <c r="G12" s="34"/>
    </row>
    <row r="13" spans="1:7" ht="13">
      <c r="B13" s="38" t="s">
        <v>239</v>
      </c>
      <c r="C13" s="42"/>
      <c r="D13" s="43" t="s">
        <v>240</v>
      </c>
    </row>
    <row r="14" spans="1:7" ht="13">
      <c r="B14" s="38" t="s">
        <v>241</v>
      </c>
      <c r="C14" s="71">
        <f>PMT(bill1,bill4,-bill6)</f>
        <v>0</v>
      </c>
      <c r="D14" s="43" t="s">
        <v>242</v>
      </c>
    </row>
    <row r="15" spans="1:7" ht="13">
      <c r="A15" s="35" t="s">
        <v>243</v>
      </c>
      <c r="B15" s="34"/>
      <c r="C15" s="34"/>
      <c r="D15" s="34"/>
      <c r="E15" s="34"/>
      <c r="F15" s="34"/>
      <c r="G15" s="34"/>
    </row>
    <row r="16" spans="1:7">
      <c r="B16" s="38" t="s">
        <v>244</v>
      </c>
      <c r="C16" s="73">
        <f>IF(bill7=0,bill8,bill7)</f>
        <v>0</v>
      </c>
      <c r="F16" s="38" t="str">
        <f>"Beginning balance at payment "&amp;TEXT(bill9,"0")&amp;":"</f>
        <v>Beginning balance at payment 1:</v>
      </c>
      <c r="G16" s="44">
        <f>FV(bill2/bill3,bill9-1,bill10,-bill6)</f>
        <v>0</v>
      </c>
    </row>
    <row r="17" spans="1:7">
      <c r="B17" s="38" t="s">
        <v>245</v>
      </c>
      <c r="C17" s="45">
        <f>IF(G7=0,IF(G8=0,1,G8),1+C10*(YEAR(G7)-YEAR(C11))+INT(C10*(MONTH(G7)-MONTH(C11))/12)+IF(DAY(G7)&gt;DAY(C11),1))</f>
        <v>1</v>
      </c>
      <c r="F17" s="38" t="str">
        <f>"Cumulative interest prior to payment "&amp;TEXT(bill9,"0")&amp;":"</f>
        <v>Cumulative interest prior to payment 1:</v>
      </c>
      <c r="G17" s="44">
        <f>bill10*(bill9-1)-(bill6-bill11)</f>
        <v>0</v>
      </c>
    </row>
    <row r="18" spans="1:7" ht="23">
      <c r="A18" s="33" t="s">
        <v>246</v>
      </c>
      <c r="B18" s="34"/>
      <c r="C18" s="34"/>
      <c r="D18" s="34"/>
      <c r="E18" s="34"/>
      <c r="F18" s="34"/>
      <c r="G18" s="34"/>
    </row>
    <row r="20" spans="1:7" ht="13">
      <c r="A20" s="46"/>
      <c r="B20" s="46" t="s">
        <v>247</v>
      </c>
      <c r="C20" s="46" t="s">
        <v>248</v>
      </c>
      <c r="D20" s="46"/>
      <c r="E20" s="46"/>
      <c r="F20" s="46" t="s">
        <v>249</v>
      </c>
      <c r="G20" s="46" t="s">
        <v>250</v>
      </c>
    </row>
    <row r="21" spans="1:7" ht="13">
      <c r="A21" s="47" t="s">
        <v>251</v>
      </c>
      <c r="B21" s="47" t="s">
        <v>252</v>
      </c>
      <c r="C21" s="47" t="s">
        <v>253</v>
      </c>
      <c r="D21" s="47" t="s">
        <v>254</v>
      </c>
      <c r="E21" s="47" t="s">
        <v>255</v>
      </c>
      <c r="F21" s="47" t="s">
        <v>253</v>
      </c>
      <c r="G21" s="47" t="s">
        <v>254</v>
      </c>
    </row>
    <row r="22" spans="1:7">
      <c r="A22" s="48">
        <f>IF(bill9&lt;bill4,bill9,"")</f>
        <v>1</v>
      </c>
      <c r="B22" s="49">
        <f t="shared" ref="B22:B85" si="0">bill12</f>
        <v>37043</v>
      </c>
      <c r="C22" s="50">
        <f>IF(A22&lt;&gt;"",IF(bill11&lt;0,0,bill11),"")</f>
        <v>0</v>
      </c>
      <c r="D22" s="50">
        <f t="shared" ref="D22:D85" si="1">bill14</f>
        <v>0</v>
      </c>
      <c r="E22" s="50">
        <f t="shared" ref="E22:E85" si="2">bill15</f>
        <v>0</v>
      </c>
      <c r="F22" s="50">
        <f t="shared" ref="F22:F85" si="3">bill16</f>
        <v>0</v>
      </c>
      <c r="G22" s="50">
        <f>IF(A22&lt;&gt;"",D22+bill17,"")</f>
        <v>0</v>
      </c>
    </row>
    <row r="23" spans="1:7">
      <c r="A23" s="51">
        <v>2</v>
      </c>
      <c r="B23" s="52">
        <f t="shared" si="0"/>
        <v>37073</v>
      </c>
      <c r="C23" s="53">
        <f t="shared" ref="C23:C57" si="4">+F22</f>
        <v>0</v>
      </c>
      <c r="D23" s="53">
        <f>bill14</f>
        <v>0</v>
      </c>
      <c r="E23" s="53">
        <f t="shared" si="2"/>
        <v>0</v>
      </c>
      <c r="F23" s="53">
        <f t="shared" si="3"/>
        <v>0</v>
      </c>
      <c r="G23" s="53">
        <f t="shared" ref="G23:G57" si="5">+G22+D23</f>
        <v>0</v>
      </c>
    </row>
    <row r="24" spans="1:7">
      <c r="A24" s="54">
        <v>3</v>
      </c>
      <c r="B24" s="55">
        <f t="shared" si="0"/>
        <v>37104</v>
      </c>
      <c r="C24" s="53">
        <f t="shared" si="4"/>
        <v>0</v>
      </c>
      <c r="D24" s="56">
        <f t="shared" si="1"/>
        <v>0</v>
      </c>
      <c r="E24" s="56">
        <f t="shared" si="2"/>
        <v>0</v>
      </c>
      <c r="F24" s="56">
        <f t="shared" si="3"/>
        <v>0</v>
      </c>
      <c r="G24" s="53">
        <f t="shared" si="5"/>
        <v>0</v>
      </c>
    </row>
    <row r="25" spans="1:7">
      <c r="A25" s="48">
        <v>4</v>
      </c>
      <c r="B25" s="49">
        <f t="shared" si="0"/>
        <v>37135</v>
      </c>
      <c r="C25" s="53">
        <f t="shared" si="4"/>
        <v>0</v>
      </c>
      <c r="D25" s="50">
        <f t="shared" si="1"/>
        <v>0</v>
      </c>
      <c r="E25" s="50">
        <f t="shared" si="2"/>
        <v>0</v>
      </c>
      <c r="F25" s="50">
        <f t="shared" si="3"/>
        <v>0</v>
      </c>
      <c r="G25" s="53">
        <f t="shared" si="5"/>
        <v>0</v>
      </c>
    </row>
    <row r="26" spans="1:7">
      <c r="A26" s="51">
        <v>5</v>
      </c>
      <c r="B26" s="52">
        <f t="shared" si="0"/>
        <v>37165</v>
      </c>
      <c r="C26" s="53">
        <f t="shared" si="4"/>
        <v>0</v>
      </c>
      <c r="D26" s="53">
        <f t="shared" si="1"/>
        <v>0</v>
      </c>
      <c r="E26" s="53">
        <f t="shared" si="2"/>
        <v>0</v>
      </c>
      <c r="F26" s="53">
        <f t="shared" si="3"/>
        <v>0</v>
      </c>
      <c r="G26" s="53">
        <f t="shared" si="5"/>
        <v>0</v>
      </c>
    </row>
    <row r="27" spans="1:7">
      <c r="A27" s="54">
        <v>6</v>
      </c>
      <c r="B27" s="55">
        <f t="shared" si="0"/>
        <v>37196</v>
      </c>
      <c r="C27" s="53">
        <f t="shared" si="4"/>
        <v>0</v>
      </c>
      <c r="D27" s="56">
        <f t="shared" si="1"/>
        <v>0</v>
      </c>
      <c r="E27" s="56">
        <f t="shared" si="2"/>
        <v>0</v>
      </c>
      <c r="F27" s="56">
        <f t="shared" si="3"/>
        <v>0</v>
      </c>
      <c r="G27" s="53">
        <f t="shared" si="5"/>
        <v>0</v>
      </c>
    </row>
    <row r="28" spans="1:7">
      <c r="A28" s="48">
        <v>7</v>
      </c>
      <c r="B28" s="49">
        <f t="shared" si="0"/>
        <v>37226</v>
      </c>
      <c r="C28" s="53">
        <f t="shared" si="4"/>
        <v>0</v>
      </c>
      <c r="D28" s="50">
        <f t="shared" si="1"/>
        <v>0</v>
      </c>
      <c r="E28" s="50">
        <f t="shared" si="2"/>
        <v>0</v>
      </c>
      <c r="F28" s="50">
        <f t="shared" si="3"/>
        <v>0</v>
      </c>
      <c r="G28" s="53">
        <f t="shared" si="5"/>
        <v>0</v>
      </c>
    </row>
    <row r="29" spans="1:7">
      <c r="A29" s="51">
        <v>8</v>
      </c>
      <c r="B29" s="52">
        <f t="shared" si="0"/>
        <v>37257</v>
      </c>
      <c r="C29" s="53">
        <f t="shared" si="4"/>
        <v>0</v>
      </c>
      <c r="D29" s="53">
        <f t="shared" si="1"/>
        <v>0</v>
      </c>
      <c r="E29" s="53">
        <f t="shared" si="2"/>
        <v>0</v>
      </c>
      <c r="F29" s="53">
        <f t="shared" si="3"/>
        <v>0</v>
      </c>
      <c r="G29" s="53">
        <f t="shared" si="5"/>
        <v>0</v>
      </c>
    </row>
    <row r="30" spans="1:7">
      <c r="A30" s="54">
        <v>9</v>
      </c>
      <c r="B30" s="55">
        <f t="shared" si="0"/>
        <v>37288</v>
      </c>
      <c r="C30" s="53">
        <f t="shared" si="4"/>
        <v>0</v>
      </c>
      <c r="D30" s="56">
        <f t="shared" si="1"/>
        <v>0</v>
      </c>
      <c r="E30" s="56">
        <f t="shared" si="2"/>
        <v>0</v>
      </c>
      <c r="F30" s="56">
        <f t="shared" si="3"/>
        <v>0</v>
      </c>
      <c r="G30" s="53">
        <f t="shared" si="5"/>
        <v>0</v>
      </c>
    </row>
    <row r="31" spans="1:7">
      <c r="A31" s="48">
        <v>10</v>
      </c>
      <c r="B31" s="49">
        <f t="shared" si="0"/>
        <v>37316</v>
      </c>
      <c r="C31" s="53">
        <f t="shared" si="4"/>
        <v>0</v>
      </c>
      <c r="D31" s="50">
        <f t="shared" si="1"/>
        <v>0</v>
      </c>
      <c r="E31" s="50">
        <f t="shared" si="2"/>
        <v>0</v>
      </c>
      <c r="F31" s="50">
        <f t="shared" si="3"/>
        <v>0</v>
      </c>
      <c r="G31" s="53">
        <f t="shared" si="5"/>
        <v>0</v>
      </c>
    </row>
    <row r="32" spans="1:7">
      <c r="A32" s="51">
        <v>11</v>
      </c>
      <c r="B32" s="52">
        <f t="shared" si="0"/>
        <v>37347</v>
      </c>
      <c r="C32" s="53">
        <f t="shared" si="4"/>
        <v>0</v>
      </c>
      <c r="D32" s="53">
        <f t="shared" si="1"/>
        <v>0</v>
      </c>
      <c r="E32" s="53">
        <f t="shared" si="2"/>
        <v>0</v>
      </c>
      <c r="F32" s="53">
        <f t="shared" si="3"/>
        <v>0</v>
      </c>
      <c r="G32" s="53">
        <f t="shared" si="5"/>
        <v>0</v>
      </c>
    </row>
    <row r="33" spans="1:7">
      <c r="A33" s="54">
        <v>12</v>
      </c>
      <c r="B33" s="55">
        <f t="shared" si="0"/>
        <v>37377</v>
      </c>
      <c r="C33" s="53">
        <f t="shared" si="4"/>
        <v>0</v>
      </c>
      <c r="D33" s="56">
        <f t="shared" si="1"/>
        <v>0</v>
      </c>
      <c r="E33" s="56">
        <f t="shared" si="2"/>
        <v>0</v>
      </c>
      <c r="F33" s="56">
        <f t="shared" si="3"/>
        <v>0</v>
      </c>
      <c r="G33" s="53">
        <f t="shared" si="5"/>
        <v>0</v>
      </c>
    </row>
    <row r="34" spans="1:7">
      <c r="A34" s="48">
        <v>13</v>
      </c>
      <c r="B34" s="49">
        <f t="shared" si="0"/>
        <v>37408</v>
      </c>
      <c r="C34" s="53">
        <f t="shared" si="4"/>
        <v>0</v>
      </c>
      <c r="D34" s="50">
        <f t="shared" si="1"/>
        <v>0</v>
      </c>
      <c r="E34" s="50">
        <f t="shared" si="2"/>
        <v>0</v>
      </c>
      <c r="F34" s="50">
        <f t="shared" si="3"/>
        <v>0</v>
      </c>
      <c r="G34" s="53">
        <f t="shared" si="5"/>
        <v>0</v>
      </c>
    </row>
    <row r="35" spans="1:7">
      <c r="A35" s="51">
        <v>14</v>
      </c>
      <c r="B35" s="52">
        <f t="shared" si="0"/>
        <v>37438</v>
      </c>
      <c r="C35" s="53">
        <f t="shared" si="4"/>
        <v>0</v>
      </c>
      <c r="D35" s="53">
        <f t="shared" si="1"/>
        <v>0</v>
      </c>
      <c r="E35" s="53">
        <f t="shared" si="2"/>
        <v>0</v>
      </c>
      <c r="F35" s="53">
        <f t="shared" si="3"/>
        <v>0</v>
      </c>
      <c r="G35" s="53">
        <f t="shared" si="5"/>
        <v>0</v>
      </c>
    </row>
    <row r="36" spans="1:7">
      <c r="A36" s="54">
        <v>15</v>
      </c>
      <c r="B36" s="55">
        <f t="shared" si="0"/>
        <v>37469</v>
      </c>
      <c r="C36" s="53">
        <f t="shared" si="4"/>
        <v>0</v>
      </c>
      <c r="D36" s="56">
        <f t="shared" si="1"/>
        <v>0</v>
      </c>
      <c r="E36" s="56">
        <f t="shared" si="2"/>
        <v>0</v>
      </c>
      <c r="F36" s="56">
        <f t="shared" si="3"/>
        <v>0</v>
      </c>
      <c r="G36" s="53">
        <f t="shared" si="5"/>
        <v>0</v>
      </c>
    </row>
    <row r="37" spans="1:7">
      <c r="A37" s="48">
        <v>16</v>
      </c>
      <c r="B37" s="49">
        <f t="shared" si="0"/>
        <v>37500</v>
      </c>
      <c r="C37" s="53">
        <f t="shared" si="4"/>
        <v>0</v>
      </c>
      <c r="D37" s="50">
        <f t="shared" si="1"/>
        <v>0</v>
      </c>
      <c r="E37" s="50">
        <f t="shared" si="2"/>
        <v>0</v>
      </c>
      <c r="F37" s="50">
        <f t="shared" si="3"/>
        <v>0</v>
      </c>
      <c r="G37" s="53">
        <f t="shared" si="5"/>
        <v>0</v>
      </c>
    </row>
    <row r="38" spans="1:7">
      <c r="A38" s="51">
        <v>17</v>
      </c>
      <c r="B38" s="52">
        <f t="shared" si="0"/>
        <v>37530</v>
      </c>
      <c r="C38" s="53">
        <f t="shared" si="4"/>
        <v>0</v>
      </c>
      <c r="D38" s="53">
        <f t="shared" si="1"/>
        <v>0</v>
      </c>
      <c r="E38" s="53">
        <f t="shared" si="2"/>
        <v>0</v>
      </c>
      <c r="F38" s="53">
        <f t="shared" si="3"/>
        <v>0</v>
      </c>
      <c r="G38" s="53">
        <f t="shared" si="5"/>
        <v>0</v>
      </c>
    </row>
    <row r="39" spans="1:7">
      <c r="A39" s="54">
        <v>18</v>
      </c>
      <c r="B39" s="55">
        <f t="shared" si="0"/>
        <v>37561</v>
      </c>
      <c r="C39" s="53">
        <f t="shared" si="4"/>
        <v>0</v>
      </c>
      <c r="D39" s="56">
        <f t="shared" si="1"/>
        <v>0</v>
      </c>
      <c r="E39" s="56">
        <f t="shared" si="2"/>
        <v>0</v>
      </c>
      <c r="F39" s="56">
        <f t="shared" si="3"/>
        <v>0</v>
      </c>
      <c r="G39" s="53">
        <f t="shared" si="5"/>
        <v>0</v>
      </c>
    </row>
    <row r="40" spans="1:7">
      <c r="A40" s="51">
        <v>19</v>
      </c>
      <c r="B40" s="52">
        <f t="shared" si="0"/>
        <v>37591</v>
      </c>
      <c r="C40" s="53">
        <f t="shared" si="4"/>
        <v>0</v>
      </c>
      <c r="D40" s="53">
        <f t="shared" si="1"/>
        <v>0</v>
      </c>
      <c r="E40" s="53">
        <f t="shared" si="2"/>
        <v>0</v>
      </c>
      <c r="F40" s="53">
        <f t="shared" si="3"/>
        <v>0</v>
      </c>
      <c r="G40" s="53">
        <f t="shared" si="5"/>
        <v>0</v>
      </c>
    </row>
    <row r="41" spans="1:7">
      <c r="A41" s="51">
        <v>20</v>
      </c>
      <c r="B41" s="52">
        <f t="shared" si="0"/>
        <v>37622</v>
      </c>
      <c r="C41" s="53">
        <f t="shared" si="4"/>
        <v>0</v>
      </c>
      <c r="D41" s="53">
        <f t="shared" si="1"/>
        <v>0</v>
      </c>
      <c r="E41" s="53">
        <f t="shared" si="2"/>
        <v>0</v>
      </c>
      <c r="F41" s="53">
        <f t="shared" si="3"/>
        <v>0</v>
      </c>
      <c r="G41" s="53">
        <f t="shared" si="5"/>
        <v>0</v>
      </c>
    </row>
    <row r="42" spans="1:7">
      <c r="A42" s="54">
        <v>21</v>
      </c>
      <c r="B42" s="55">
        <f t="shared" si="0"/>
        <v>37653</v>
      </c>
      <c r="C42" s="53">
        <f t="shared" si="4"/>
        <v>0</v>
      </c>
      <c r="D42" s="56">
        <f t="shared" si="1"/>
        <v>0</v>
      </c>
      <c r="E42" s="56">
        <f t="shared" si="2"/>
        <v>0</v>
      </c>
      <c r="F42" s="56">
        <f t="shared" si="3"/>
        <v>0</v>
      </c>
      <c r="G42" s="53">
        <f t="shared" si="5"/>
        <v>0</v>
      </c>
    </row>
    <row r="43" spans="1:7">
      <c r="A43" s="51">
        <v>22</v>
      </c>
      <c r="B43" s="52">
        <f t="shared" si="0"/>
        <v>37681</v>
      </c>
      <c r="C43" s="53">
        <f t="shared" si="4"/>
        <v>0</v>
      </c>
      <c r="D43" s="53">
        <f t="shared" si="1"/>
        <v>0</v>
      </c>
      <c r="E43" s="53">
        <f t="shared" si="2"/>
        <v>0</v>
      </c>
      <c r="F43" s="53">
        <f t="shared" si="3"/>
        <v>0</v>
      </c>
      <c r="G43" s="53">
        <f t="shared" si="5"/>
        <v>0</v>
      </c>
    </row>
    <row r="44" spans="1:7">
      <c r="A44" s="51">
        <v>23</v>
      </c>
      <c r="B44" s="52">
        <f t="shared" si="0"/>
        <v>37712</v>
      </c>
      <c r="C44" s="53">
        <f t="shared" si="4"/>
        <v>0</v>
      </c>
      <c r="D44" s="53">
        <f t="shared" si="1"/>
        <v>0</v>
      </c>
      <c r="E44" s="53">
        <f t="shared" si="2"/>
        <v>0</v>
      </c>
      <c r="F44" s="53">
        <f t="shared" si="3"/>
        <v>0</v>
      </c>
      <c r="G44" s="53">
        <f t="shared" si="5"/>
        <v>0</v>
      </c>
    </row>
    <row r="45" spans="1:7">
      <c r="A45" s="54">
        <v>24</v>
      </c>
      <c r="B45" s="55">
        <f t="shared" si="0"/>
        <v>37742</v>
      </c>
      <c r="C45" s="53">
        <f t="shared" si="4"/>
        <v>0</v>
      </c>
      <c r="D45" s="56">
        <f t="shared" si="1"/>
        <v>0</v>
      </c>
      <c r="E45" s="56">
        <f t="shared" si="2"/>
        <v>0</v>
      </c>
      <c r="F45" s="56">
        <f t="shared" si="3"/>
        <v>0</v>
      </c>
      <c r="G45" s="53">
        <f t="shared" si="5"/>
        <v>0</v>
      </c>
    </row>
    <row r="46" spans="1:7">
      <c r="A46" s="51">
        <v>25</v>
      </c>
      <c r="B46" s="52">
        <f t="shared" si="0"/>
        <v>37773</v>
      </c>
      <c r="C46" s="53">
        <f t="shared" si="4"/>
        <v>0</v>
      </c>
      <c r="D46" s="53">
        <f t="shared" si="1"/>
        <v>0</v>
      </c>
      <c r="E46" s="53">
        <f t="shared" si="2"/>
        <v>0</v>
      </c>
      <c r="F46" s="53">
        <f t="shared" si="3"/>
        <v>0</v>
      </c>
      <c r="G46" s="53">
        <f t="shared" si="5"/>
        <v>0</v>
      </c>
    </row>
    <row r="47" spans="1:7">
      <c r="A47" s="51">
        <v>26</v>
      </c>
      <c r="B47" s="52">
        <f t="shared" si="0"/>
        <v>37803</v>
      </c>
      <c r="C47" s="53">
        <f t="shared" si="4"/>
        <v>0</v>
      </c>
      <c r="D47" s="53">
        <f t="shared" si="1"/>
        <v>0</v>
      </c>
      <c r="E47" s="53">
        <f t="shared" si="2"/>
        <v>0</v>
      </c>
      <c r="F47" s="53">
        <f t="shared" si="3"/>
        <v>0</v>
      </c>
      <c r="G47" s="53">
        <f t="shared" si="5"/>
        <v>0</v>
      </c>
    </row>
    <row r="48" spans="1:7">
      <c r="A48" s="54">
        <v>27</v>
      </c>
      <c r="B48" s="55">
        <f t="shared" si="0"/>
        <v>37834</v>
      </c>
      <c r="C48" s="53">
        <f t="shared" si="4"/>
        <v>0</v>
      </c>
      <c r="D48" s="56">
        <f t="shared" si="1"/>
        <v>0</v>
      </c>
      <c r="E48" s="56">
        <f t="shared" si="2"/>
        <v>0</v>
      </c>
      <c r="F48" s="56">
        <f t="shared" si="3"/>
        <v>0</v>
      </c>
      <c r="G48" s="53">
        <f t="shared" si="5"/>
        <v>0</v>
      </c>
    </row>
    <row r="49" spans="1:7">
      <c r="A49" s="51">
        <v>28</v>
      </c>
      <c r="B49" s="52">
        <f t="shared" si="0"/>
        <v>37865</v>
      </c>
      <c r="C49" s="53">
        <f t="shared" si="4"/>
        <v>0</v>
      </c>
      <c r="D49" s="53">
        <f t="shared" si="1"/>
        <v>0</v>
      </c>
      <c r="E49" s="53">
        <f t="shared" si="2"/>
        <v>0</v>
      </c>
      <c r="F49" s="53">
        <f t="shared" si="3"/>
        <v>0</v>
      </c>
      <c r="G49" s="53">
        <f t="shared" si="5"/>
        <v>0</v>
      </c>
    </row>
    <row r="50" spans="1:7">
      <c r="A50" s="51">
        <v>29</v>
      </c>
      <c r="B50" s="52">
        <f t="shared" si="0"/>
        <v>37895</v>
      </c>
      <c r="C50" s="53">
        <f t="shared" si="4"/>
        <v>0</v>
      </c>
      <c r="D50" s="53">
        <f t="shared" si="1"/>
        <v>0</v>
      </c>
      <c r="E50" s="53">
        <f t="shared" si="2"/>
        <v>0</v>
      </c>
      <c r="F50" s="53">
        <f t="shared" si="3"/>
        <v>0</v>
      </c>
      <c r="G50" s="53">
        <f t="shared" si="5"/>
        <v>0</v>
      </c>
    </row>
    <row r="51" spans="1:7">
      <c r="A51" s="54">
        <v>30</v>
      </c>
      <c r="B51" s="55">
        <f t="shared" si="0"/>
        <v>37926</v>
      </c>
      <c r="C51" s="53">
        <f t="shared" si="4"/>
        <v>0</v>
      </c>
      <c r="D51" s="56">
        <f t="shared" si="1"/>
        <v>0</v>
      </c>
      <c r="E51" s="56">
        <f t="shared" si="2"/>
        <v>0</v>
      </c>
      <c r="F51" s="56">
        <f t="shared" si="3"/>
        <v>0</v>
      </c>
      <c r="G51" s="53">
        <f t="shared" si="5"/>
        <v>0</v>
      </c>
    </row>
    <row r="52" spans="1:7">
      <c r="A52" s="51">
        <v>31</v>
      </c>
      <c r="B52" s="52">
        <f t="shared" si="0"/>
        <v>37956</v>
      </c>
      <c r="C52" s="53">
        <f t="shared" si="4"/>
        <v>0</v>
      </c>
      <c r="D52" s="53">
        <f t="shared" si="1"/>
        <v>0</v>
      </c>
      <c r="E52" s="53">
        <f t="shared" si="2"/>
        <v>0</v>
      </c>
      <c r="F52" s="53">
        <f t="shared" si="3"/>
        <v>0</v>
      </c>
      <c r="G52" s="53">
        <f t="shared" si="5"/>
        <v>0</v>
      </c>
    </row>
    <row r="53" spans="1:7">
      <c r="A53" s="51">
        <v>32</v>
      </c>
      <c r="B53" s="52">
        <f t="shared" si="0"/>
        <v>37987</v>
      </c>
      <c r="C53" s="53">
        <f t="shared" si="4"/>
        <v>0</v>
      </c>
      <c r="D53" s="53">
        <f t="shared" si="1"/>
        <v>0</v>
      </c>
      <c r="E53" s="53">
        <f t="shared" si="2"/>
        <v>0</v>
      </c>
      <c r="F53" s="53">
        <f t="shared" si="3"/>
        <v>0</v>
      </c>
      <c r="G53" s="53">
        <f t="shared" si="5"/>
        <v>0</v>
      </c>
    </row>
    <row r="54" spans="1:7">
      <c r="A54" s="54">
        <v>33</v>
      </c>
      <c r="B54" s="55">
        <f t="shared" si="0"/>
        <v>38018</v>
      </c>
      <c r="C54" s="53">
        <f t="shared" si="4"/>
        <v>0</v>
      </c>
      <c r="D54" s="56">
        <f t="shared" si="1"/>
        <v>0</v>
      </c>
      <c r="E54" s="56">
        <f t="shared" si="2"/>
        <v>0</v>
      </c>
      <c r="F54" s="56">
        <f t="shared" si="3"/>
        <v>0</v>
      </c>
      <c r="G54" s="53">
        <f t="shared" si="5"/>
        <v>0</v>
      </c>
    </row>
    <row r="55" spans="1:7">
      <c r="A55" s="51">
        <v>34</v>
      </c>
      <c r="B55" s="52">
        <f t="shared" si="0"/>
        <v>38047</v>
      </c>
      <c r="C55" s="53">
        <f t="shared" si="4"/>
        <v>0</v>
      </c>
      <c r="D55" s="53">
        <f t="shared" si="1"/>
        <v>0</v>
      </c>
      <c r="E55" s="53">
        <f t="shared" si="2"/>
        <v>0</v>
      </c>
      <c r="F55" s="53">
        <f t="shared" si="3"/>
        <v>0</v>
      </c>
      <c r="G55" s="53">
        <f t="shared" si="5"/>
        <v>0</v>
      </c>
    </row>
    <row r="56" spans="1:7">
      <c r="A56" s="51">
        <v>35</v>
      </c>
      <c r="B56" s="52">
        <f t="shared" si="0"/>
        <v>38078</v>
      </c>
      <c r="C56" s="53">
        <f t="shared" si="4"/>
        <v>0</v>
      </c>
      <c r="D56" s="53">
        <f t="shared" si="1"/>
        <v>0</v>
      </c>
      <c r="E56" s="53">
        <f t="shared" si="2"/>
        <v>0</v>
      </c>
      <c r="F56" s="53">
        <f t="shared" si="3"/>
        <v>0</v>
      </c>
      <c r="G56" s="53">
        <f t="shared" si="5"/>
        <v>0</v>
      </c>
    </row>
    <row r="57" spans="1:7">
      <c r="A57" s="54">
        <v>36</v>
      </c>
      <c r="B57" s="55">
        <f t="shared" si="0"/>
        <v>38108</v>
      </c>
      <c r="C57" s="53">
        <f t="shared" si="4"/>
        <v>0</v>
      </c>
      <c r="D57" s="56">
        <f t="shared" si="1"/>
        <v>0</v>
      </c>
      <c r="E57" s="56">
        <f t="shared" si="2"/>
        <v>0</v>
      </c>
      <c r="F57" s="56">
        <f t="shared" si="3"/>
        <v>0</v>
      </c>
      <c r="G57" s="53">
        <f t="shared" si="5"/>
        <v>0</v>
      </c>
    </row>
    <row r="58" spans="1:7">
      <c r="A58" s="54">
        <v>37</v>
      </c>
      <c r="B58" s="55">
        <f t="shared" si="0"/>
        <v>38139</v>
      </c>
      <c r="C58" s="53">
        <f t="shared" ref="C58:C121" si="6">+F57</f>
        <v>0</v>
      </c>
      <c r="D58" s="56">
        <f t="shared" si="1"/>
        <v>0</v>
      </c>
      <c r="E58" s="56">
        <f t="shared" si="2"/>
        <v>0</v>
      </c>
      <c r="F58" s="56">
        <f t="shared" si="3"/>
        <v>0</v>
      </c>
      <c r="G58" s="53">
        <f t="shared" ref="G58:G121" si="7">+G57+D58</f>
        <v>0</v>
      </c>
    </row>
    <row r="59" spans="1:7">
      <c r="A59" s="54">
        <v>38</v>
      </c>
      <c r="B59" s="55">
        <f t="shared" si="0"/>
        <v>38169</v>
      </c>
      <c r="C59" s="53">
        <f t="shared" si="6"/>
        <v>0</v>
      </c>
      <c r="D59" s="56">
        <f t="shared" si="1"/>
        <v>0</v>
      </c>
      <c r="E59" s="56">
        <f t="shared" si="2"/>
        <v>0</v>
      </c>
      <c r="F59" s="56">
        <f t="shared" si="3"/>
        <v>0</v>
      </c>
      <c r="G59" s="53">
        <f t="shared" si="7"/>
        <v>0</v>
      </c>
    </row>
    <row r="60" spans="1:7">
      <c r="A60" s="54">
        <v>39</v>
      </c>
      <c r="B60" s="55">
        <f t="shared" si="0"/>
        <v>38200</v>
      </c>
      <c r="C60" s="53">
        <f t="shared" si="6"/>
        <v>0</v>
      </c>
      <c r="D60" s="56">
        <f t="shared" si="1"/>
        <v>0</v>
      </c>
      <c r="E60" s="56">
        <f t="shared" si="2"/>
        <v>0</v>
      </c>
      <c r="F60" s="56">
        <f t="shared" si="3"/>
        <v>0</v>
      </c>
      <c r="G60" s="53">
        <f t="shared" si="7"/>
        <v>0</v>
      </c>
    </row>
    <row r="61" spans="1:7">
      <c r="A61" s="54">
        <v>40</v>
      </c>
      <c r="B61" s="55">
        <f t="shared" si="0"/>
        <v>38231</v>
      </c>
      <c r="C61" s="53">
        <f t="shared" si="6"/>
        <v>0</v>
      </c>
      <c r="D61" s="56">
        <f t="shared" si="1"/>
        <v>0</v>
      </c>
      <c r="E61" s="56">
        <f t="shared" si="2"/>
        <v>0</v>
      </c>
      <c r="F61" s="56">
        <f t="shared" si="3"/>
        <v>0</v>
      </c>
      <c r="G61" s="53">
        <f t="shared" si="7"/>
        <v>0</v>
      </c>
    </row>
    <row r="62" spans="1:7">
      <c r="A62" s="54">
        <v>41</v>
      </c>
      <c r="B62" s="55">
        <f t="shared" si="0"/>
        <v>38261</v>
      </c>
      <c r="C62" s="53">
        <f t="shared" si="6"/>
        <v>0</v>
      </c>
      <c r="D62" s="56">
        <f t="shared" si="1"/>
        <v>0</v>
      </c>
      <c r="E62" s="56">
        <f t="shared" si="2"/>
        <v>0</v>
      </c>
      <c r="F62" s="56">
        <f t="shared" si="3"/>
        <v>0</v>
      </c>
      <c r="G62" s="53">
        <f t="shared" si="7"/>
        <v>0</v>
      </c>
    </row>
    <row r="63" spans="1:7">
      <c r="A63" s="54">
        <v>42</v>
      </c>
      <c r="B63" s="55">
        <f t="shared" si="0"/>
        <v>38292</v>
      </c>
      <c r="C63" s="53">
        <f t="shared" si="6"/>
        <v>0</v>
      </c>
      <c r="D63" s="56">
        <f t="shared" si="1"/>
        <v>0</v>
      </c>
      <c r="E63" s="56">
        <f t="shared" si="2"/>
        <v>0</v>
      </c>
      <c r="F63" s="56">
        <f t="shared" si="3"/>
        <v>0</v>
      </c>
      <c r="G63" s="53">
        <f t="shared" si="7"/>
        <v>0</v>
      </c>
    </row>
    <row r="64" spans="1:7">
      <c r="A64" s="54">
        <v>43</v>
      </c>
      <c r="B64" s="55">
        <f t="shared" si="0"/>
        <v>38322</v>
      </c>
      <c r="C64" s="53">
        <f t="shared" si="6"/>
        <v>0</v>
      </c>
      <c r="D64" s="56">
        <f t="shared" si="1"/>
        <v>0</v>
      </c>
      <c r="E64" s="56">
        <f t="shared" si="2"/>
        <v>0</v>
      </c>
      <c r="F64" s="56">
        <f t="shared" si="3"/>
        <v>0</v>
      </c>
      <c r="G64" s="53">
        <f t="shared" si="7"/>
        <v>0</v>
      </c>
    </row>
    <row r="65" spans="1:7">
      <c r="A65" s="54">
        <v>44</v>
      </c>
      <c r="B65" s="55">
        <f t="shared" si="0"/>
        <v>38353</v>
      </c>
      <c r="C65" s="53">
        <f t="shared" si="6"/>
        <v>0</v>
      </c>
      <c r="D65" s="56">
        <f t="shared" si="1"/>
        <v>0</v>
      </c>
      <c r="E65" s="56">
        <f t="shared" si="2"/>
        <v>0</v>
      </c>
      <c r="F65" s="56">
        <f t="shared" si="3"/>
        <v>0</v>
      </c>
      <c r="G65" s="53">
        <f t="shared" si="7"/>
        <v>0</v>
      </c>
    </row>
    <row r="66" spans="1:7">
      <c r="A66" s="54">
        <v>45</v>
      </c>
      <c r="B66" s="55">
        <f t="shared" si="0"/>
        <v>38384</v>
      </c>
      <c r="C66" s="53">
        <f t="shared" si="6"/>
        <v>0</v>
      </c>
      <c r="D66" s="56">
        <f t="shared" si="1"/>
        <v>0</v>
      </c>
      <c r="E66" s="56">
        <f t="shared" si="2"/>
        <v>0</v>
      </c>
      <c r="F66" s="56">
        <f t="shared" si="3"/>
        <v>0</v>
      </c>
      <c r="G66" s="53">
        <f t="shared" si="7"/>
        <v>0</v>
      </c>
    </row>
    <row r="67" spans="1:7">
      <c r="A67" s="54">
        <v>46</v>
      </c>
      <c r="B67" s="55">
        <f t="shared" si="0"/>
        <v>38412</v>
      </c>
      <c r="C67" s="53">
        <f t="shared" si="6"/>
        <v>0</v>
      </c>
      <c r="D67" s="56">
        <f t="shared" si="1"/>
        <v>0</v>
      </c>
      <c r="E67" s="56">
        <f t="shared" si="2"/>
        <v>0</v>
      </c>
      <c r="F67" s="56">
        <f t="shared" si="3"/>
        <v>0</v>
      </c>
      <c r="G67" s="53">
        <f t="shared" si="7"/>
        <v>0</v>
      </c>
    </row>
    <row r="68" spans="1:7">
      <c r="A68" s="54">
        <v>47</v>
      </c>
      <c r="B68" s="55">
        <f t="shared" si="0"/>
        <v>38443</v>
      </c>
      <c r="C68" s="53">
        <f t="shared" si="6"/>
        <v>0</v>
      </c>
      <c r="D68" s="56">
        <f t="shared" si="1"/>
        <v>0</v>
      </c>
      <c r="E68" s="56">
        <f t="shared" si="2"/>
        <v>0</v>
      </c>
      <c r="F68" s="56">
        <f t="shared" si="3"/>
        <v>0</v>
      </c>
      <c r="G68" s="53">
        <f t="shared" si="7"/>
        <v>0</v>
      </c>
    </row>
    <row r="69" spans="1:7">
      <c r="A69" s="54">
        <v>48</v>
      </c>
      <c r="B69" s="55">
        <f t="shared" si="0"/>
        <v>38473</v>
      </c>
      <c r="C69" s="53">
        <f t="shared" si="6"/>
        <v>0</v>
      </c>
      <c r="D69" s="56">
        <f t="shared" si="1"/>
        <v>0</v>
      </c>
      <c r="E69" s="56">
        <f t="shared" si="2"/>
        <v>0</v>
      </c>
      <c r="F69" s="56">
        <f t="shared" si="3"/>
        <v>0</v>
      </c>
      <c r="G69" s="53">
        <f t="shared" si="7"/>
        <v>0</v>
      </c>
    </row>
    <row r="70" spans="1:7">
      <c r="A70" s="54">
        <v>49</v>
      </c>
      <c r="B70" s="55">
        <f t="shared" si="0"/>
        <v>38504</v>
      </c>
      <c r="C70" s="53">
        <f t="shared" si="6"/>
        <v>0</v>
      </c>
      <c r="D70" s="56">
        <f t="shared" si="1"/>
        <v>0</v>
      </c>
      <c r="E70" s="56">
        <f t="shared" si="2"/>
        <v>0</v>
      </c>
      <c r="F70" s="56">
        <f t="shared" si="3"/>
        <v>0</v>
      </c>
      <c r="G70" s="53">
        <f t="shared" si="7"/>
        <v>0</v>
      </c>
    </row>
    <row r="71" spans="1:7">
      <c r="A71" s="54">
        <v>50</v>
      </c>
      <c r="B71" s="55">
        <f t="shared" si="0"/>
        <v>38534</v>
      </c>
      <c r="C71" s="53">
        <f t="shared" si="6"/>
        <v>0</v>
      </c>
      <c r="D71" s="56">
        <f t="shared" si="1"/>
        <v>0</v>
      </c>
      <c r="E71" s="56">
        <f t="shared" si="2"/>
        <v>0</v>
      </c>
      <c r="F71" s="56">
        <f t="shared" si="3"/>
        <v>0</v>
      </c>
      <c r="G71" s="53">
        <f t="shared" si="7"/>
        <v>0</v>
      </c>
    </row>
    <row r="72" spans="1:7">
      <c r="A72" s="54">
        <v>51</v>
      </c>
      <c r="B72" s="55">
        <f t="shared" si="0"/>
        <v>38565</v>
      </c>
      <c r="C72" s="53">
        <f t="shared" si="6"/>
        <v>0</v>
      </c>
      <c r="D72" s="56">
        <f t="shared" si="1"/>
        <v>0</v>
      </c>
      <c r="E72" s="56">
        <f t="shared" si="2"/>
        <v>0</v>
      </c>
      <c r="F72" s="56">
        <f t="shared" si="3"/>
        <v>0</v>
      </c>
      <c r="G72" s="53">
        <f t="shared" si="7"/>
        <v>0</v>
      </c>
    </row>
    <row r="73" spans="1:7">
      <c r="A73" s="54">
        <v>52</v>
      </c>
      <c r="B73" s="55">
        <f t="shared" si="0"/>
        <v>38596</v>
      </c>
      <c r="C73" s="53">
        <f t="shared" si="6"/>
        <v>0</v>
      </c>
      <c r="D73" s="56">
        <f t="shared" si="1"/>
        <v>0</v>
      </c>
      <c r="E73" s="56">
        <f t="shared" si="2"/>
        <v>0</v>
      </c>
      <c r="F73" s="56">
        <f t="shared" si="3"/>
        <v>0</v>
      </c>
      <c r="G73" s="53">
        <f t="shared" si="7"/>
        <v>0</v>
      </c>
    </row>
    <row r="74" spans="1:7">
      <c r="A74" s="54">
        <v>53</v>
      </c>
      <c r="B74" s="55">
        <f t="shared" si="0"/>
        <v>38626</v>
      </c>
      <c r="C74" s="53">
        <f t="shared" si="6"/>
        <v>0</v>
      </c>
      <c r="D74" s="56">
        <f t="shared" si="1"/>
        <v>0</v>
      </c>
      <c r="E74" s="56">
        <f t="shared" si="2"/>
        <v>0</v>
      </c>
      <c r="F74" s="56">
        <f t="shared" si="3"/>
        <v>0</v>
      </c>
      <c r="G74" s="53">
        <f t="shared" si="7"/>
        <v>0</v>
      </c>
    </row>
    <row r="75" spans="1:7">
      <c r="A75" s="54">
        <v>54</v>
      </c>
      <c r="B75" s="55">
        <f t="shared" si="0"/>
        <v>38657</v>
      </c>
      <c r="C75" s="53">
        <f t="shared" si="6"/>
        <v>0</v>
      </c>
      <c r="D75" s="56">
        <f t="shared" si="1"/>
        <v>0</v>
      </c>
      <c r="E75" s="56">
        <f t="shared" si="2"/>
        <v>0</v>
      </c>
      <c r="F75" s="56">
        <f t="shared" si="3"/>
        <v>0</v>
      </c>
      <c r="G75" s="53">
        <f t="shared" si="7"/>
        <v>0</v>
      </c>
    </row>
    <row r="76" spans="1:7">
      <c r="A76" s="54">
        <v>55</v>
      </c>
      <c r="B76" s="55">
        <f t="shared" si="0"/>
        <v>38687</v>
      </c>
      <c r="C76" s="53">
        <f t="shared" si="6"/>
        <v>0</v>
      </c>
      <c r="D76" s="56">
        <f t="shared" si="1"/>
        <v>0</v>
      </c>
      <c r="E76" s="56">
        <f t="shared" si="2"/>
        <v>0</v>
      </c>
      <c r="F76" s="56">
        <f t="shared" si="3"/>
        <v>0</v>
      </c>
      <c r="G76" s="53">
        <f t="shared" si="7"/>
        <v>0</v>
      </c>
    </row>
    <row r="77" spans="1:7">
      <c r="A77" s="54">
        <v>56</v>
      </c>
      <c r="B77" s="55">
        <f t="shared" si="0"/>
        <v>38718</v>
      </c>
      <c r="C77" s="53">
        <f t="shared" si="6"/>
        <v>0</v>
      </c>
      <c r="D77" s="56">
        <f t="shared" si="1"/>
        <v>0</v>
      </c>
      <c r="E77" s="56">
        <f t="shared" si="2"/>
        <v>0</v>
      </c>
      <c r="F77" s="56">
        <f t="shared" si="3"/>
        <v>0</v>
      </c>
      <c r="G77" s="53">
        <f t="shared" si="7"/>
        <v>0</v>
      </c>
    </row>
    <row r="78" spans="1:7">
      <c r="A78" s="54">
        <v>57</v>
      </c>
      <c r="B78" s="55">
        <f t="shared" si="0"/>
        <v>38749</v>
      </c>
      <c r="C78" s="53">
        <f t="shared" si="6"/>
        <v>0</v>
      </c>
      <c r="D78" s="56">
        <f t="shared" si="1"/>
        <v>0</v>
      </c>
      <c r="E78" s="56">
        <f t="shared" si="2"/>
        <v>0</v>
      </c>
      <c r="F78" s="56">
        <f t="shared" si="3"/>
        <v>0</v>
      </c>
      <c r="G78" s="53">
        <f t="shared" si="7"/>
        <v>0</v>
      </c>
    </row>
    <row r="79" spans="1:7">
      <c r="A79" s="54">
        <v>58</v>
      </c>
      <c r="B79" s="55">
        <f t="shared" si="0"/>
        <v>38777</v>
      </c>
      <c r="C79" s="53">
        <f t="shared" si="6"/>
        <v>0</v>
      </c>
      <c r="D79" s="56">
        <f t="shared" si="1"/>
        <v>0</v>
      </c>
      <c r="E79" s="56">
        <f t="shared" si="2"/>
        <v>0</v>
      </c>
      <c r="F79" s="56">
        <f t="shared" si="3"/>
        <v>0</v>
      </c>
      <c r="G79" s="53">
        <f t="shared" si="7"/>
        <v>0</v>
      </c>
    </row>
    <row r="80" spans="1:7">
      <c r="A80" s="54">
        <v>59</v>
      </c>
      <c r="B80" s="55">
        <f t="shared" si="0"/>
        <v>38808</v>
      </c>
      <c r="C80" s="53">
        <f t="shared" si="6"/>
        <v>0</v>
      </c>
      <c r="D80" s="56">
        <f t="shared" si="1"/>
        <v>0</v>
      </c>
      <c r="E80" s="56">
        <f t="shared" si="2"/>
        <v>0</v>
      </c>
      <c r="F80" s="56">
        <f t="shared" si="3"/>
        <v>0</v>
      </c>
      <c r="G80" s="53">
        <f t="shared" si="7"/>
        <v>0</v>
      </c>
    </row>
    <row r="81" spans="1:7">
      <c r="A81" s="54">
        <v>60</v>
      </c>
      <c r="B81" s="55">
        <f t="shared" si="0"/>
        <v>38838</v>
      </c>
      <c r="C81" s="53">
        <f t="shared" si="6"/>
        <v>0</v>
      </c>
      <c r="D81" s="56">
        <f t="shared" si="1"/>
        <v>0</v>
      </c>
      <c r="E81" s="56">
        <f t="shared" si="2"/>
        <v>0</v>
      </c>
      <c r="F81" s="56">
        <f t="shared" si="3"/>
        <v>0</v>
      </c>
      <c r="G81" s="53">
        <f t="shared" si="7"/>
        <v>0</v>
      </c>
    </row>
    <row r="82" spans="1:7">
      <c r="A82" s="54">
        <v>61</v>
      </c>
      <c r="B82" s="55">
        <f t="shared" si="0"/>
        <v>38869</v>
      </c>
      <c r="C82" s="53">
        <f t="shared" si="6"/>
        <v>0</v>
      </c>
      <c r="D82" s="56">
        <f t="shared" si="1"/>
        <v>0</v>
      </c>
      <c r="E82" s="56">
        <f t="shared" si="2"/>
        <v>0</v>
      </c>
      <c r="F82" s="56">
        <f t="shared" si="3"/>
        <v>0</v>
      </c>
      <c r="G82" s="53">
        <f t="shared" si="7"/>
        <v>0</v>
      </c>
    </row>
    <row r="83" spans="1:7">
      <c r="A83" s="54">
        <v>62</v>
      </c>
      <c r="B83" s="55">
        <f t="shared" si="0"/>
        <v>38899</v>
      </c>
      <c r="C83" s="53">
        <f t="shared" si="6"/>
        <v>0</v>
      </c>
      <c r="D83" s="56">
        <f t="shared" si="1"/>
        <v>0</v>
      </c>
      <c r="E83" s="56">
        <f t="shared" si="2"/>
        <v>0</v>
      </c>
      <c r="F83" s="56">
        <f t="shared" si="3"/>
        <v>0</v>
      </c>
      <c r="G83" s="53">
        <f t="shared" si="7"/>
        <v>0</v>
      </c>
    </row>
    <row r="84" spans="1:7">
      <c r="A84" s="54">
        <v>63</v>
      </c>
      <c r="B84" s="55">
        <f t="shared" si="0"/>
        <v>38930</v>
      </c>
      <c r="C84" s="53">
        <f t="shared" si="6"/>
        <v>0</v>
      </c>
      <c r="D84" s="56">
        <f t="shared" si="1"/>
        <v>0</v>
      </c>
      <c r="E84" s="56">
        <f t="shared" si="2"/>
        <v>0</v>
      </c>
      <c r="F84" s="56">
        <f t="shared" si="3"/>
        <v>0</v>
      </c>
      <c r="G84" s="53">
        <f t="shared" si="7"/>
        <v>0</v>
      </c>
    </row>
    <row r="85" spans="1:7">
      <c r="A85" s="54">
        <v>64</v>
      </c>
      <c r="B85" s="55">
        <f t="shared" si="0"/>
        <v>38961</v>
      </c>
      <c r="C85" s="53">
        <f t="shared" si="6"/>
        <v>0</v>
      </c>
      <c r="D85" s="56">
        <f t="shared" si="1"/>
        <v>0</v>
      </c>
      <c r="E85" s="56">
        <f t="shared" si="2"/>
        <v>0</v>
      </c>
      <c r="F85" s="56">
        <f t="shared" si="3"/>
        <v>0</v>
      </c>
      <c r="G85" s="53">
        <f t="shared" si="7"/>
        <v>0</v>
      </c>
    </row>
    <row r="86" spans="1:7">
      <c r="A86" s="54">
        <v>65</v>
      </c>
      <c r="B86" s="55">
        <f t="shared" ref="B86:B149" si="8">bill12</f>
        <v>38991</v>
      </c>
      <c r="C86" s="53">
        <f t="shared" si="6"/>
        <v>0</v>
      </c>
      <c r="D86" s="56">
        <f t="shared" ref="D86:D149" si="9">bill14</f>
        <v>0</v>
      </c>
      <c r="E86" s="56">
        <f t="shared" ref="E86:E149" si="10">bill15</f>
        <v>0</v>
      </c>
      <c r="F86" s="56">
        <f t="shared" ref="F86:F149" si="11">bill16</f>
        <v>0</v>
      </c>
      <c r="G86" s="53">
        <f t="shared" si="7"/>
        <v>0</v>
      </c>
    </row>
    <row r="87" spans="1:7">
      <c r="A87" s="54">
        <v>66</v>
      </c>
      <c r="B87" s="55">
        <f t="shared" si="8"/>
        <v>39022</v>
      </c>
      <c r="C87" s="53">
        <f t="shared" si="6"/>
        <v>0</v>
      </c>
      <c r="D87" s="56">
        <f t="shared" si="9"/>
        <v>0</v>
      </c>
      <c r="E87" s="56">
        <f t="shared" si="10"/>
        <v>0</v>
      </c>
      <c r="F87" s="56">
        <f t="shared" si="11"/>
        <v>0</v>
      </c>
      <c r="G87" s="53">
        <f t="shared" si="7"/>
        <v>0</v>
      </c>
    </row>
    <row r="88" spans="1:7">
      <c r="A88" s="54">
        <v>65</v>
      </c>
      <c r="B88" s="55">
        <f t="shared" si="8"/>
        <v>38991</v>
      </c>
      <c r="C88" s="53">
        <f t="shared" si="6"/>
        <v>0</v>
      </c>
      <c r="D88" s="56">
        <f t="shared" si="9"/>
        <v>0</v>
      </c>
      <c r="E88" s="56">
        <f t="shared" si="10"/>
        <v>0</v>
      </c>
      <c r="F88" s="56">
        <f t="shared" si="11"/>
        <v>0</v>
      </c>
      <c r="G88" s="53">
        <f t="shared" si="7"/>
        <v>0</v>
      </c>
    </row>
    <row r="89" spans="1:7">
      <c r="A89" s="54">
        <v>66</v>
      </c>
      <c r="B89" s="55">
        <f t="shared" si="8"/>
        <v>39022</v>
      </c>
      <c r="C89" s="53">
        <f t="shared" si="6"/>
        <v>0</v>
      </c>
      <c r="D89" s="56">
        <f t="shared" si="9"/>
        <v>0</v>
      </c>
      <c r="E89" s="56">
        <f t="shared" si="10"/>
        <v>0</v>
      </c>
      <c r="F89" s="56">
        <f t="shared" si="11"/>
        <v>0</v>
      </c>
      <c r="G89" s="53">
        <f t="shared" si="7"/>
        <v>0</v>
      </c>
    </row>
    <row r="90" spans="1:7">
      <c r="A90" s="54">
        <v>67</v>
      </c>
      <c r="B90" s="55">
        <f t="shared" si="8"/>
        <v>39052</v>
      </c>
      <c r="C90" s="53">
        <f t="shared" si="6"/>
        <v>0</v>
      </c>
      <c r="D90" s="56">
        <f t="shared" si="9"/>
        <v>0</v>
      </c>
      <c r="E90" s="56">
        <f t="shared" si="10"/>
        <v>0</v>
      </c>
      <c r="F90" s="56">
        <f t="shared" si="11"/>
        <v>0</v>
      </c>
      <c r="G90" s="53">
        <f t="shared" si="7"/>
        <v>0</v>
      </c>
    </row>
    <row r="91" spans="1:7">
      <c r="A91" s="54">
        <v>68</v>
      </c>
      <c r="B91" s="55">
        <f t="shared" si="8"/>
        <v>39083</v>
      </c>
      <c r="C91" s="53">
        <f t="shared" si="6"/>
        <v>0</v>
      </c>
      <c r="D91" s="56">
        <f t="shared" si="9"/>
        <v>0</v>
      </c>
      <c r="E91" s="56">
        <f t="shared" si="10"/>
        <v>0</v>
      </c>
      <c r="F91" s="56">
        <f t="shared" si="11"/>
        <v>0</v>
      </c>
      <c r="G91" s="53">
        <f t="shared" si="7"/>
        <v>0</v>
      </c>
    </row>
    <row r="92" spans="1:7">
      <c r="A92" s="54">
        <v>69</v>
      </c>
      <c r="B92" s="55">
        <f t="shared" si="8"/>
        <v>39114</v>
      </c>
      <c r="C92" s="53">
        <f t="shared" si="6"/>
        <v>0</v>
      </c>
      <c r="D92" s="56">
        <f t="shared" si="9"/>
        <v>0</v>
      </c>
      <c r="E92" s="56">
        <f t="shared" si="10"/>
        <v>0</v>
      </c>
      <c r="F92" s="56">
        <f t="shared" si="11"/>
        <v>0</v>
      </c>
      <c r="G92" s="53">
        <f t="shared" si="7"/>
        <v>0</v>
      </c>
    </row>
    <row r="93" spans="1:7">
      <c r="A93" s="54">
        <v>70</v>
      </c>
      <c r="B93" s="55">
        <f t="shared" si="8"/>
        <v>39142</v>
      </c>
      <c r="C93" s="53">
        <f t="shared" si="6"/>
        <v>0</v>
      </c>
      <c r="D93" s="56">
        <f t="shared" si="9"/>
        <v>0</v>
      </c>
      <c r="E93" s="56">
        <f t="shared" si="10"/>
        <v>0</v>
      </c>
      <c r="F93" s="56">
        <f t="shared" si="11"/>
        <v>0</v>
      </c>
      <c r="G93" s="53">
        <f t="shared" si="7"/>
        <v>0</v>
      </c>
    </row>
    <row r="94" spans="1:7">
      <c r="A94" s="54">
        <v>71</v>
      </c>
      <c r="B94" s="55">
        <f t="shared" si="8"/>
        <v>39173</v>
      </c>
      <c r="C94" s="53">
        <f t="shared" si="6"/>
        <v>0</v>
      </c>
      <c r="D94" s="56">
        <f t="shared" si="9"/>
        <v>0</v>
      </c>
      <c r="E94" s="56">
        <f t="shared" si="10"/>
        <v>0</v>
      </c>
      <c r="F94" s="56">
        <f t="shared" si="11"/>
        <v>0</v>
      </c>
      <c r="G94" s="53">
        <f t="shared" si="7"/>
        <v>0</v>
      </c>
    </row>
    <row r="95" spans="1:7">
      <c r="A95" s="54">
        <v>72</v>
      </c>
      <c r="B95" s="55">
        <f t="shared" si="8"/>
        <v>39203</v>
      </c>
      <c r="C95" s="53">
        <f t="shared" si="6"/>
        <v>0</v>
      </c>
      <c r="D95" s="56">
        <f t="shared" si="9"/>
        <v>0</v>
      </c>
      <c r="E95" s="56">
        <f t="shared" si="10"/>
        <v>0</v>
      </c>
      <c r="F95" s="56">
        <f t="shared" si="11"/>
        <v>0</v>
      </c>
      <c r="G95" s="53">
        <f t="shared" si="7"/>
        <v>0</v>
      </c>
    </row>
    <row r="96" spans="1:7">
      <c r="A96" s="54">
        <v>73</v>
      </c>
      <c r="B96" s="55">
        <f t="shared" si="8"/>
        <v>39234</v>
      </c>
      <c r="C96" s="53">
        <f t="shared" si="6"/>
        <v>0</v>
      </c>
      <c r="D96" s="56">
        <f t="shared" si="9"/>
        <v>0</v>
      </c>
      <c r="E96" s="56">
        <f t="shared" si="10"/>
        <v>0</v>
      </c>
      <c r="F96" s="56">
        <f t="shared" si="11"/>
        <v>0</v>
      </c>
      <c r="G96" s="53">
        <f t="shared" si="7"/>
        <v>0</v>
      </c>
    </row>
    <row r="97" spans="1:7">
      <c r="A97" s="54">
        <v>74</v>
      </c>
      <c r="B97" s="55">
        <f t="shared" si="8"/>
        <v>39264</v>
      </c>
      <c r="C97" s="53">
        <f t="shared" si="6"/>
        <v>0</v>
      </c>
      <c r="D97" s="56">
        <f t="shared" si="9"/>
        <v>0</v>
      </c>
      <c r="E97" s="56">
        <f t="shared" si="10"/>
        <v>0</v>
      </c>
      <c r="F97" s="56">
        <f t="shared" si="11"/>
        <v>0</v>
      </c>
      <c r="G97" s="53">
        <f t="shared" si="7"/>
        <v>0</v>
      </c>
    </row>
    <row r="98" spans="1:7">
      <c r="A98" s="54">
        <v>75</v>
      </c>
      <c r="B98" s="55">
        <f t="shared" si="8"/>
        <v>39295</v>
      </c>
      <c r="C98" s="53">
        <f t="shared" si="6"/>
        <v>0</v>
      </c>
      <c r="D98" s="56">
        <f t="shared" si="9"/>
        <v>0</v>
      </c>
      <c r="E98" s="56">
        <f t="shared" si="10"/>
        <v>0</v>
      </c>
      <c r="F98" s="56">
        <f t="shared" si="11"/>
        <v>0</v>
      </c>
      <c r="G98" s="53">
        <f t="shared" si="7"/>
        <v>0</v>
      </c>
    </row>
    <row r="99" spans="1:7">
      <c r="A99" s="54">
        <v>76</v>
      </c>
      <c r="B99" s="55">
        <f t="shared" si="8"/>
        <v>39326</v>
      </c>
      <c r="C99" s="53">
        <f t="shared" si="6"/>
        <v>0</v>
      </c>
      <c r="D99" s="56">
        <f t="shared" si="9"/>
        <v>0</v>
      </c>
      <c r="E99" s="56">
        <f t="shared" si="10"/>
        <v>0</v>
      </c>
      <c r="F99" s="56">
        <f t="shared" si="11"/>
        <v>0</v>
      </c>
      <c r="G99" s="53">
        <f t="shared" si="7"/>
        <v>0</v>
      </c>
    </row>
    <row r="100" spans="1:7">
      <c r="A100" s="54">
        <v>77</v>
      </c>
      <c r="B100" s="55">
        <f t="shared" si="8"/>
        <v>39356</v>
      </c>
      <c r="C100" s="53">
        <f t="shared" si="6"/>
        <v>0</v>
      </c>
      <c r="D100" s="56">
        <f t="shared" si="9"/>
        <v>0</v>
      </c>
      <c r="E100" s="56">
        <f t="shared" si="10"/>
        <v>0</v>
      </c>
      <c r="F100" s="56">
        <f t="shared" si="11"/>
        <v>0</v>
      </c>
      <c r="G100" s="53">
        <f t="shared" si="7"/>
        <v>0</v>
      </c>
    </row>
    <row r="101" spans="1:7">
      <c r="A101" s="54">
        <v>78</v>
      </c>
      <c r="B101" s="55">
        <f t="shared" si="8"/>
        <v>39387</v>
      </c>
      <c r="C101" s="53">
        <f t="shared" si="6"/>
        <v>0</v>
      </c>
      <c r="D101" s="56">
        <f t="shared" si="9"/>
        <v>0</v>
      </c>
      <c r="E101" s="56">
        <f t="shared" si="10"/>
        <v>0</v>
      </c>
      <c r="F101" s="56">
        <f t="shared" si="11"/>
        <v>0</v>
      </c>
      <c r="G101" s="53">
        <f t="shared" si="7"/>
        <v>0</v>
      </c>
    </row>
    <row r="102" spans="1:7">
      <c r="A102" s="54">
        <v>79</v>
      </c>
      <c r="B102" s="55">
        <f t="shared" si="8"/>
        <v>39417</v>
      </c>
      <c r="C102" s="53">
        <f t="shared" si="6"/>
        <v>0</v>
      </c>
      <c r="D102" s="56">
        <f t="shared" si="9"/>
        <v>0</v>
      </c>
      <c r="E102" s="56">
        <f t="shared" si="10"/>
        <v>0</v>
      </c>
      <c r="F102" s="56">
        <f t="shared" si="11"/>
        <v>0</v>
      </c>
      <c r="G102" s="53">
        <f t="shared" si="7"/>
        <v>0</v>
      </c>
    </row>
    <row r="103" spans="1:7">
      <c r="A103" s="54">
        <v>80</v>
      </c>
      <c r="B103" s="55">
        <f t="shared" si="8"/>
        <v>39448</v>
      </c>
      <c r="C103" s="53">
        <f t="shared" si="6"/>
        <v>0</v>
      </c>
      <c r="D103" s="56">
        <f t="shared" si="9"/>
        <v>0</v>
      </c>
      <c r="E103" s="56">
        <f t="shared" si="10"/>
        <v>0</v>
      </c>
      <c r="F103" s="56">
        <f t="shared" si="11"/>
        <v>0</v>
      </c>
      <c r="G103" s="53">
        <f t="shared" si="7"/>
        <v>0</v>
      </c>
    </row>
    <row r="104" spans="1:7">
      <c r="A104" s="54">
        <v>81</v>
      </c>
      <c r="B104" s="55">
        <f t="shared" si="8"/>
        <v>39479</v>
      </c>
      <c r="C104" s="53">
        <f t="shared" si="6"/>
        <v>0</v>
      </c>
      <c r="D104" s="56">
        <f t="shared" si="9"/>
        <v>0</v>
      </c>
      <c r="E104" s="56">
        <f t="shared" si="10"/>
        <v>0</v>
      </c>
      <c r="F104" s="56">
        <f t="shared" si="11"/>
        <v>0</v>
      </c>
      <c r="G104" s="53">
        <f t="shared" si="7"/>
        <v>0</v>
      </c>
    </row>
    <row r="105" spans="1:7">
      <c r="A105" s="54">
        <v>82</v>
      </c>
      <c r="B105" s="55">
        <f t="shared" si="8"/>
        <v>39508</v>
      </c>
      <c r="C105" s="53">
        <f t="shared" si="6"/>
        <v>0</v>
      </c>
      <c r="D105" s="56">
        <f t="shared" si="9"/>
        <v>0</v>
      </c>
      <c r="E105" s="56">
        <f t="shared" si="10"/>
        <v>0</v>
      </c>
      <c r="F105" s="56">
        <f t="shared" si="11"/>
        <v>0</v>
      </c>
      <c r="G105" s="53">
        <f t="shared" si="7"/>
        <v>0</v>
      </c>
    </row>
    <row r="106" spans="1:7">
      <c r="A106" s="54">
        <v>83</v>
      </c>
      <c r="B106" s="55">
        <f t="shared" si="8"/>
        <v>39539</v>
      </c>
      <c r="C106" s="53">
        <f t="shared" si="6"/>
        <v>0</v>
      </c>
      <c r="D106" s="56">
        <f t="shared" si="9"/>
        <v>0</v>
      </c>
      <c r="E106" s="56">
        <f t="shared" si="10"/>
        <v>0</v>
      </c>
      <c r="F106" s="56">
        <f t="shared" si="11"/>
        <v>0</v>
      </c>
      <c r="G106" s="53">
        <f t="shared" si="7"/>
        <v>0</v>
      </c>
    </row>
    <row r="107" spans="1:7">
      <c r="A107" s="54">
        <v>84</v>
      </c>
      <c r="B107" s="55">
        <f t="shared" si="8"/>
        <v>39569</v>
      </c>
      <c r="C107" s="53">
        <f t="shared" si="6"/>
        <v>0</v>
      </c>
      <c r="D107" s="56">
        <f t="shared" si="9"/>
        <v>0</v>
      </c>
      <c r="E107" s="56">
        <f t="shared" si="10"/>
        <v>0</v>
      </c>
      <c r="F107" s="56">
        <f t="shared" si="11"/>
        <v>0</v>
      </c>
      <c r="G107" s="53">
        <f t="shared" si="7"/>
        <v>0</v>
      </c>
    </row>
    <row r="108" spans="1:7">
      <c r="A108" s="54">
        <v>85</v>
      </c>
      <c r="B108" s="55">
        <f t="shared" si="8"/>
        <v>39600</v>
      </c>
      <c r="C108" s="53">
        <f t="shared" si="6"/>
        <v>0</v>
      </c>
      <c r="D108" s="56">
        <f t="shared" si="9"/>
        <v>0</v>
      </c>
      <c r="E108" s="56">
        <f t="shared" si="10"/>
        <v>0</v>
      </c>
      <c r="F108" s="56">
        <f t="shared" si="11"/>
        <v>0</v>
      </c>
      <c r="G108" s="53">
        <f t="shared" si="7"/>
        <v>0</v>
      </c>
    </row>
    <row r="109" spans="1:7">
      <c r="A109" s="54">
        <v>86</v>
      </c>
      <c r="B109" s="55">
        <f t="shared" si="8"/>
        <v>39630</v>
      </c>
      <c r="C109" s="53">
        <f t="shared" si="6"/>
        <v>0</v>
      </c>
      <c r="D109" s="56">
        <f t="shared" si="9"/>
        <v>0</v>
      </c>
      <c r="E109" s="56">
        <f t="shared" si="10"/>
        <v>0</v>
      </c>
      <c r="F109" s="56">
        <f t="shared" si="11"/>
        <v>0</v>
      </c>
      <c r="G109" s="53">
        <f t="shared" si="7"/>
        <v>0</v>
      </c>
    </row>
    <row r="110" spans="1:7">
      <c r="A110" s="54">
        <v>87</v>
      </c>
      <c r="B110" s="55">
        <f t="shared" si="8"/>
        <v>39661</v>
      </c>
      <c r="C110" s="53">
        <f t="shared" si="6"/>
        <v>0</v>
      </c>
      <c r="D110" s="56">
        <f t="shared" si="9"/>
        <v>0</v>
      </c>
      <c r="E110" s="56">
        <f t="shared" si="10"/>
        <v>0</v>
      </c>
      <c r="F110" s="56">
        <f t="shared" si="11"/>
        <v>0</v>
      </c>
      <c r="G110" s="53">
        <f t="shared" si="7"/>
        <v>0</v>
      </c>
    </row>
    <row r="111" spans="1:7">
      <c r="A111" s="54">
        <v>88</v>
      </c>
      <c r="B111" s="55">
        <f t="shared" si="8"/>
        <v>39692</v>
      </c>
      <c r="C111" s="53">
        <f t="shared" si="6"/>
        <v>0</v>
      </c>
      <c r="D111" s="56">
        <f t="shared" si="9"/>
        <v>0</v>
      </c>
      <c r="E111" s="56">
        <f t="shared" si="10"/>
        <v>0</v>
      </c>
      <c r="F111" s="56">
        <f t="shared" si="11"/>
        <v>0</v>
      </c>
      <c r="G111" s="53">
        <f t="shared" si="7"/>
        <v>0</v>
      </c>
    </row>
    <row r="112" spans="1:7">
      <c r="A112" s="54">
        <v>89</v>
      </c>
      <c r="B112" s="55">
        <f t="shared" si="8"/>
        <v>39722</v>
      </c>
      <c r="C112" s="53">
        <f t="shared" si="6"/>
        <v>0</v>
      </c>
      <c r="D112" s="56">
        <f t="shared" si="9"/>
        <v>0</v>
      </c>
      <c r="E112" s="56">
        <f t="shared" si="10"/>
        <v>0</v>
      </c>
      <c r="F112" s="56">
        <f t="shared" si="11"/>
        <v>0</v>
      </c>
      <c r="G112" s="53">
        <f t="shared" si="7"/>
        <v>0</v>
      </c>
    </row>
    <row r="113" spans="1:7">
      <c r="A113" s="54">
        <v>90</v>
      </c>
      <c r="B113" s="55">
        <f t="shared" si="8"/>
        <v>39753</v>
      </c>
      <c r="C113" s="53">
        <f t="shared" si="6"/>
        <v>0</v>
      </c>
      <c r="D113" s="56">
        <f t="shared" si="9"/>
        <v>0</v>
      </c>
      <c r="E113" s="56">
        <f t="shared" si="10"/>
        <v>0</v>
      </c>
      <c r="F113" s="56">
        <f t="shared" si="11"/>
        <v>0</v>
      </c>
      <c r="G113" s="53">
        <f t="shared" si="7"/>
        <v>0</v>
      </c>
    </row>
    <row r="114" spans="1:7">
      <c r="A114" s="54">
        <v>91</v>
      </c>
      <c r="B114" s="55">
        <f t="shared" si="8"/>
        <v>39783</v>
      </c>
      <c r="C114" s="53">
        <f t="shared" si="6"/>
        <v>0</v>
      </c>
      <c r="D114" s="56">
        <f t="shared" si="9"/>
        <v>0</v>
      </c>
      <c r="E114" s="56">
        <f t="shared" si="10"/>
        <v>0</v>
      </c>
      <c r="F114" s="56">
        <f t="shared" si="11"/>
        <v>0</v>
      </c>
      <c r="G114" s="53">
        <f t="shared" si="7"/>
        <v>0</v>
      </c>
    </row>
    <row r="115" spans="1:7">
      <c r="A115" s="54">
        <v>92</v>
      </c>
      <c r="B115" s="55">
        <f t="shared" si="8"/>
        <v>39814</v>
      </c>
      <c r="C115" s="53">
        <f t="shared" si="6"/>
        <v>0</v>
      </c>
      <c r="D115" s="56">
        <f t="shared" si="9"/>
        <v>0</v>
      </c>
      <c r="E115" s="56">
        <f t="shared" si="10"/>
        <v>0</v>
      </c>
      <c r="F115" s="56">
        <f t="shared" si="11"/>
        <v>0</v>
      </c>
      <c r="G115" s="53">
        <f t="shared" si="7"/>
        <v>0</v>
      </c>
    </row>
    <row r="116" spans="1:7">
      <c r="A116" s="54">
        <v>93</v>
      </c>
      <c r="B116" s="55">
        <f t="shared" si="8"/>
        <v>39845</v>
      </c>
      <c r="C116" s="53">
        <f t="shared" si="6"/>
        <v>0</v>
      </c>
      <c r="D116" s="56">
        <f t="shared" si="9"/>
        <v>0</v>
      </c>
      <c r="E116" s="56">
        <f t="shared" si="10"/>
        <v>0</v>
      </c>
      <c r="F116" s="56">
        <f t="shared" si="11"/>
        <v>0</v>
      </c>
      <c r="G116" s="53">
        <f t="shared" si="7"/>
        <v>0</v>
      </c>
    </row>
    <row r="117" spans="1:7">
      <c r="A117" s="54">
        <v>94</v>
      </c>
      <c r="B117" s="55">
        <f t="shared" si="8"/>
        <v>39873</v>
      </c>
      <c r="C117" s="53">
        <f t="shared" si="6"/>
        <v>0</v>
      </c>
      <c r="D117" s="56">
        <f t="shared" si="9"/>
        <v>0</v>
      </c>
      <c r="E117" s="56">
        <f t="shared" si="10"/>
        <v>0</v>
      </c>
      <c r="F117" s="56">
        <f t="shared" si="11"/>
        <v>0</v>
      </c>
      <c r="G117" s="53">
        <f t="shared" si="7"/>
        <v>0</v>
      </c>
    </row>
    <row r="118" spans="1:7">
      <c r="A118" s="54">
        <v>95</v>
      </c>
      <c r="B118" s="55">
        <f t="shared" si="8"/>
        <v>39904</v>
      </c>
      <c r="C118" s="53">
        <f t="shared" si="6"/>
        <v>0</v>
      </c>
      <c r="D118" s="56">
        <f t="shared" si="9"/>
        <v>0</v>
      </c>
      <c r="E118" s="56">
        <f t="shared" si="10"/>
        <v>0</v>
      </c>
      <c r="F118" s="56">
        <f t="shared" si="11"/>
        <v>0</v>
      </c>
      <c r="G118" s="53">
        <f t="shared" si="7"/>
        <v>0</v>
      </c>
    </row>
    <row r="119" spans="1:7">
      <c r="A119" s="54">
        <v>96</v>
      </c>
      <c r="B119" s="55">
        <f t="shared" si="8"/>
        <v>39934</v>
      </c>
      <c r="C119" s="53">
        <f t="shared" si="6"/>
        <v>0</v>
      </c>
      <c r="D119" s="56">
        <f t="shared" si="9"/>
        <v>0</v>
      </c>
      <c r="E119" s="56">
        <f t="shared" si="10"/>
        <v>0</v>
      </c>
      <c r="F119" s="56">
        <f t="shared" si="11"/>
        <v>0</v>
      </c>
      <c r="G119" s="53">
        <f t="shared" si="7"/>
        <v>0</v>
      </c>
    </row>
    <row r="120" spans="1:7">
      <c r="A120" s="54">
        <v>97</v>
      </c>
      <c r="B120" s="55">
        <f t="shared" si="8"/>
        <v>39965</v>
      </c>
      <c r="C120" s="53">
        <f t="shared" si="6"/>
        <v>0</v>
      </c>
      <c r="D120" s="56">
        <f t="shared" si="9"/>
        <v>0</v>
      </c>
      <c r="E120" s="56">
        <f t="shared" si="10"/>
        <v>0</v>
      </c>
      <c r="F120" s="56">
        <f t="shared" si="11"/>
        <v>0</v>
      </c>
      <c r="G120" s="53">
        <f t="shared" si="7"/>
        <v>0</v>
      </c>
    </row>
    <row r="121" spans="1:7">
      <c r="A121" s="54">
        <v>98</v>
      </c>
      <c r="B121" s="55">
        <f t="shared" si="8"/>
        <v>39995</v>
      </c>
      <c r="C121" s="53">
        <f t="shared" si="6"/>
        <v>0</v>
      </c>
      <c r="D121" s="56">
        <f t="shared" si="9"/>
        <v>0</v>
      </c>
      <c r="E121" s="56">
        <f t="shared" si="10"/>
        <v>0</v>
      </c>
      <c r="F121" s="56">
        <f t="shared" si="11"/>
        <v>0</v>
      </c>
      <c r="G121" s="53">
        <f t="shared" si="7"/>
        <v>0</v>
      </c>
    </row>
    <row r="122" spans="1:7">
      <c r="A122" s="54">
        <v>99</v>
      </c>
      <c r="B122" s="55">
        <f t="shared" si="8"/>
        <v>40026</v>
      </c>
      <c r="C122" s="53">
        <f t="shared" ref="C122:C185" si="12">+F121</f>
        <v>0</v>
      </c>
      <c r="D122" s="56">
        <f t="shared" si="9"/>
        <v>0</v>
      </c>
      <c r="E122" s="56">
        <f t="shared" si="10"/>
        <v>0</v>
      </c>
      <c r="F122" s="56">
        <f t="shared" si="11"/>
        <v>0</v>
      </c>
      <c r="G122" s="53">
        <f t="shared" ref="G122:G185" si="13">+G121+D122</f>
        <v>0</v>
      </c>
    </row>
    <row r="123" spans="1:7">
      <c r="A123" s="54">
        <v>100</v>
      </c>
      <c r="B123" s="55">
        <f t="shared" si="8"/>
        <v>40057</v>
      </c>
      <c r="C123" s="53">
        <f t="shared" si="12"/>
        <v>0</v>
      </c>
      <c r="D123" s="56">
        <f t="shared" si="9"/>
        <v>0</v>
      </c>
      <c r="E123" s="56">
        <f t="shared" si="10"/>
        <v>0</v>
      </c>
      <c r="F123" s="56">
        <f t="shared" si="11"/>
        <v>0</v>
      </c>
      <c r="G123" s="53">
        <f t="shared" si="13"/>
        <v>0</v>
      </c>
    </row>
    <row r="124" spans="1:7">
      <c r="A124" s="54">
        <v>101</v>
      </c>
      <c r="B124" s="55">
        <f t="shared" si="8"/>
        <v>40087</v>
      </c>
      <c r="C124" s="53">
        <f t="shared" si="12"/>
        <v>0</v>
      </c>
      <c r="D124" s="56">
        <f t="shared" si="9"/>
        <v>0</v>
      </c>
      <c r="E124" s="56">
        <f t="shared" si="10"/>
        <v>0</v>
      </c>
      <c r="F124" s="56">
        <f t="shared" si="11"/>
        <v>0</v>
      </c>
      <c r="G124" s="53">
        <f t="shared" si="13"/>
        <v>0</v>
      </c>
    </row>
    <row r="125" spans="1:7">
      <c r="A125" s="54">
        <v>102</v>
      </c>
      <c r="B125" s="55">
        <f t="shared" si="8"/>
        <v>40118</v>
      </c>
      <c r="C125" s="53">
        <f t="shared" si="12"/>
        <v>0</v>
      </c>
      <c r="D125" s="56">
        <f t="shared" si="9"/>
        <v>0</v>
      </c>
      <c r="E125" s="56">
        <f t="shared" si="10"/>
        <v>0</v>
      </c>
      <c r="F125" s="56">
        <f t="shared" si="11"/>
        <v>0</v>
      </c>
      <c r="G125" s="53">
        <f t="shared" si="13"/>
        <v>0</v>
      </c>
    </row>
    <row r="126" spans="1:7">
      <c r="A126" s="54">
        <v>103</v>
      </c>
      <c r="B126" s="55">
        <f t="shared" si="8"/>
        <v>40148</v>
      </c>
      <c r="C126" s="53">
        <f t="shared" si="12"/>
        <v>0</v>
      </c>
      <c r="D126" s="56">
        <f t="shared" si="9"/>
        <v>0</v>
      </c>
      <c r="E126" s="56">
        <f t="shared" si="10"/>
        <v>0</v>
      </c>
      <c r="F126" s="56">
        <f t="shared" si="11"/>
        <v>0</v>
      </c>
      <c r="G126" s="53">
        <f t="shared" si="13"/>
        <v>0</v>
      </c>
    </row>
    <row r="127" spans="1:7">
      <c r="A127" s="54">
        <v>104</v>
      </c>
      <c r="B127" s="55">
        <f t="shared" si="8"/>
        <v>40179</v>
      </c>
      <c r="C127" s="53">
        <f t="shared" si="12"/>
        <v>0</v>
      </c>
      <c r="D127" s="56">
        <f t="shared" si="9"/>
        <v>0</v>
      </c>
      <c r="E127" s="56">
        <f t="shared" si="10"/>
        <v>0</v>
      </c>
      <c r="F127" s="56">
        <f t="shared" si="11"/>
        <v>0</v>
      </c>
      <c r="G127" s="53">
        <f t="shared" si="13"/>
        <v>0</v>
      </c>
    </row>
    <row r="128" spans="1:7">
      <c r="A128" s="54">
        <v>105</v>
      </c>
      <c r="B128" s="55">
        <f t="shared" si="8"/>
        <v>40210</v>
      </c>
      <c r="C128" s="53">
        <f t="shared" si="12"/>
        <v>0</v>
      </c>
      <c r="D128" s="56">
        <f t="shared" si="9"/>
        <v>0</v>
      </c>
      <c r="E128" s="56">
        <f t="shared" si="10"/>
        <v>0</v>
      </c>
      <c r="F128" s="56">
        <f t="shared" si="11"/>
        <v>0</v>
      </c>
      <c r="G128" s="53">
        <f t="shared" si="13"/>
        <v>0</v>
      </c>
    </row>
    <row r="129" spans="1:7">
      <c r="A129" s="54">
        <v>106</v>
      </c>
      <c r="B129" s="55">
        <f t="shared" si="8"/>
        <v>40238</v>
      </c>
      <c r="C129" s="53">
        <f t="shared" si="12"/>
        <v>0</v>
      </c>
      <c r="D129" s="56">
        <f t="shared" si="9"/>
        <v>0</v>
      </c>
      <c r="E129" s="56">
        <f t="shared" si="10"/>
        <v>0</v>
      </c>
      <c r="F129" s="56">
        <f t="shared" si="11"/>
        <v>0</v>
      </c>
      <c r="G129" s="53">
        <f t="shared" si="13"/>
        <v>0</v>
      </c>
    </row>
    <row r="130" spans="1:7">
      <c r="A130" s="54">
        <v>107</v>
      </c>
      <c r="B130" s="55">
        <f t="shared" si="8"/>
        <v>40269</v>
      </c>
      <c r="C130" s="53">
        <f t="shared" si="12"/>
        <v>0</v>
      </c>
      <c r="D130" s="56">
        <f t="shared" si="9"/>
        <v>0</v>
      </c>
      <c r="E130" s="56">
        <f t="shared" si="10"/>
        <v>0</v>
      </c>
      <c r="F130" s="56">
        <f t="shared" si="11"/>
        <v>0</v>
      </c>
      <c r="G130" s="53">
        <f t="shared" si="13"/>
        <v>0</v>
      </c>
    </row>
    <row r="131" spans="1:7">
      <c r="A131" s="54">
        <v>108</v>
      </c>
      <c r="B131" s="55">
        <f t="shared" si="8"/>
        <v>40299</v>
      </c>
      <c r="C131" s="53">
        <f t="shared" si="12"/>
        <v>0</v>
      </c>
      <c r="D131" s="56">
        <f t="shared" si="9"/>
        <v>0</v>
      </c>
      <c r="E131" s="56">
        <f t="shared" si="10"/>
        <v>0</v>
      </c>
      <c r="F131" s="56">
        <f t="shared" si="11"/>
        <v>0</v>
      </c>
      <c r="G131" s="53">
        <f t="shared" si="13"/>
        <v>0</v>
      </c>
    </row>
    <row r="132" spans="1:7">
      <c r="A132" s="54">
        <v>109</v>
      </c>
      <c r="B132" s="55">
        <f t="shared" si="8"/>
        <v>40330</v>
      </c>
      <c r="C132" s="53">
        <f t="shared" si="12"/>
        <v>0</v>
      </c>
      <c r="D132" s="56">
        <f t="shared" si="9"/>
        <v>0</v>
      </c>
      <c r="E132" s="56">
        <f t="shared" si="10"/>
        <v>0</v>
      </c>
      <c r="F132" s="56">
        <f t="shared" si="11"/>
        <v>0</v>
      </c>
      <c r="G132" s="53">
        <f t="shared" si="13"/>
        <v>0</v>
      </c>
    </row>
    <row r="133" spans="1:7">
      <c r="A133" s="54">
        <v>110</v>
      </c>
      <c r="B133" s="55">
        <f t="shared" si="8"/>
        <v>40360</v>
      </c>
      <c r="C133" s="53">
        <f t="shared" si="12"/>
        <v>0</v>
      </c>
      <c r="D133" s="56">
        <f t="shared" si="9"/>
        <v>0</v>
      </c>
      <c r="E133" s="56">
        <f t="shared" si="10"/>
        <v>0</v>
      </c>
      <c r="F133" s="56">
        <f t="shared" si="11"/>
        <v>0</v>
      </c>
      <c r="G133" s="53">
        <f t="shared" si="13"/>
        <v>0</v>
      </c>
    </row>
    <row r="134" spans="1:7">
      <c r="A134" s="54">
        <v>111</v>
      </c>
      <c r="B134" s="55">
        <f t="shared" si="8"/>
        <v>40391</v>
      </c>
      <c r="C134" s="53">
        <f t="shared" si="12"/>
        <v>0</v>
      </c>
      <c r="D134" s="56">
        <f t="shared" si="9"/>
        <v>0</v>
      </c>
      <c r="E134" s="56">
        <f t="shared" si="10"/>
        <v>0</v>
      </c>
      <c r="F134" s="56">
        <f t="shared" si="11"/>
        <v>0</v>
      </c>
      <c r="G134" s="53">
        <f t="shared" si="13"/>
        <v>0</v>
      </c>
    </row>
    <row r="135" spans="1:7">
      <c r="A135" s="54">
        <v>112</v>
      </c>
      <c r="B135" s="55">
        <f t="shared" si="8"/>
        <v>40422</v>
      </c>
      <c r="C135" s="53">
        <f t="shared" si="12"/>
        <v>0</v>
      </c>
      <c r="D135" s="56">
        <f t="shared" si="9"/>
        <v>0</v>
      </c>
      <c r="E135" s="56">
        <f t="shared" si="10"/>
        <v>0</v>
      </c>
      <c r="F135" s="56">
        <f t="shared" si="11"/>
        <v>0</v>
      </c>
      <c r="G135" s="53">
        <f t="shared" si="13"/>
        <v>0</v>
      </c>
    </row>
    <row r="136" spans="1:7">
      <c r="A136" s="54">
        <v>113</v>
      </c>
      <c r="B136" s="55">
        <f t="shared" si="8"/>
        <v>40452</v>
      </c>
      <c r="C136" s="53">
        <f t="shared" si="12"/>
        <v>0</v>
      </c>
      <c r="D136" s="56">
        <f t="shared" si="9"/>
        <v>0</v>
      </c>
      <c r="E136" s="56">
        <f t="shared" si="10"/>
        <v>0</v>
      </c>
      <c r="F136" s="56">
        <f t="shared" si="11"/>
        <v>0</v>
      </c>
      <c r="G136" s="53">
        <f t="shared" si="13"/>
        <v>0</v>
      </c>
    </row>
    <row r="137" spans="1:7">
      <c r="A137" s="54">
        <v>114</v>
      </c>
      <c r="B137" s="55">
        <f t="shared" si="8"/>
        <v>40483</v>
      </c>
      <c r="C137" s="53">
        <f t="shared" si="12"/>
        <v>0</v>
      </c>
      <c r="D137" s="56">
        <f t="shared" si="9"/>
        <v>0</v>
      </c>
      <c r="E137" s="56">
        <f t="shared" si="10"/>
        <v>0</v>
      </c>
      <c r="F137" s="56">
        <f t="shared" si="11"/>
        <v>0</v>
      </c>
      <c r="G137" s="53">
        <f t="shared" si="13"/>
        <v>0</v>
      </c>
    </row>
    <row r="138" spans="1:7">
      <c r="A138" s="54">
        <v>115</v>
      </c>
      <c r="B138" s="55">
        <f t="shared" si="8"/>
        <v>40513</v>
      </c>
      <c r="C138" s="53">
        <f t="shared" si="12"/>
        <v>0</v>
      </c>
      <c r="D138" s="56">
        <f t="shared" si="9"/>
        <v>0</v>
      </c>
      <c r="E138" s="56">
        <f t="shared" si="10"/>
        <v>0</v>
      </c>
      <c r="F138" s="56">
        <f t="shared" si="11"/>
        <v>0</v>
      </c>
      <c r="G138" s="53">
        <f t="shared" si="13"/>
        <v>0</v>
      </c>
    </row>
    <row r="139" spans="1:7">
      <c r="A139" s="54">
        <v>116</v>
      </c>
      <c r="B139" s="55">
        <f t="shared" si="8"/>
        <v>40544</v>
      </c>
      <c r="C139" s="53">
        <f t="shared" si="12"/>
        <v>0</v>
      </c>
      <c r="D139" s="56">
        <f t="shared" si="9"/>
        <v>0</v>
      </c>
      <c r="E139" s="56">
        <f t="shared" si="10"/>
        <v>0</v>
      </c>
      <c r="F139" s="56">
        <f t="shared" si="11"/>
        <v>0</v>
      </c>
      <c r="G139" s="53">
        <f t="shared" si="13"/>
        <v>0</v>
      </c>
    </row>
    <row r="140" spans="1:7">
      <c r="A140" s="54">
        <v>117</v>
      </c>
      <c r="B140" s="55">
        <f t="shared" si="8"/>
        <v>40575</v>
      </c>
      <c r="C140" s="53">
        <f t="shared" si="12"/>
        <v>0</v>
      </c>
      <c r="D140" s="56">
        <f t="shared" si="9"/>
        <v>0</v>
      </c>
      <c r="E140" s="56">
        <f t="shared" si="10"/>
        <v>0</v>
      </c>
      <c r="F140" s="56">
        <f t="shared" si="11"/>
        <v>0</v>
      </c>
      <c r="G140" s="53">
        <f t="shared" si="13"/>
        <v>0</v>
      </c>
    </row>
    <row r="141" spans="1:7">
      <c r="A141" s="54">
        <v>118</v>
      </c>
      <c r="B141" s="55">
        <f t="shared" si="8"/>
        <v>40603</v>
      </c>
      <c r="C141" s="53">
        <f t="shared" si="12"/>
        <v>0</v>
      </c>
      <c r="D141" s="56">
        <f t="shared" si="9"/>
        <v>0</v>
      </c>
      <c r="E141" s="56">
        <f t="shared" si="10"/>
        <v>0</v>
      </c>
      <c r="F141" s="56">
        <f t="shared" si="11"/>
        <v>0</v>
      </c>
      <c r="G141" s="53">
        <f t="shared" si="13"/>
        <v>0</v>
      </c>
    </row>
    <row r="142" spans="1:7">
      <c r="A142" s="54">
        <v>119</v>
      </c>
      <c r="B142" s="55">
        <f t="shared" si="8"/>
        <v>40634</v>
      </c>
      <c r="C142" s="53">
        <f t="shared" si="12"/>
        <v>0</v>
      </c>
      <c r="D142" s="56">
        <f t="shared" si="9"/>
        <v>0</v>
      </c>
      <c r="E142" s="56">
        <f t="shared" si="10"/>
        <v>0</v>
      </c>
      <c r="F142" s="56">
        <f t="shared" si="11"/>
        <v>0</v>
      </c>
      <c r="G142" s="53">
        <f t="shared" si="13"/>
        <v>0</v>
      </c>
    </row>
    <row r="143" spans="1:7">
      <c r="A143" s="54">
        <v>120</v>
      </c>
      <c r="B143" s="55">
        <f t="shared" si="8"/>
        <v>40664</v>
      </c>
      <c r="C143" s="53">
        <f t="shared" si="12"/>
        <v>0</v>
      </c>
      <c r="D143" s="56">
        <f t="shared" si="9"/>
        <v>0</v>
      </c>
      <c r="E143" s="56">
        <f t="shared" si="10"/>
        <v>0</v>
      </c>
      <c r="F143" s="56">
        <f t="shared" si="11"/>
        <v>0</v>
      </c>
      <c r="G143" s="53">
        <f t="shared" si="13"/>
        <v>0</v>
      </c>
    </row>
    <row r="144" spans="1:7">
      <c r="A144" s="54">
        <v>121</v>
      </c>
      <c r="B144" s="55">
        <f t="shared" si="8"/>
        <v>40695</v>
      </c>
      <c r="C144" s="53">
        <f t="shared" si="12"/>
        <v>0</v>
      </c>
      <c r="D144" s="56">
        <f t="shared" si="9"/>
        <v>0</v>
      </c>
      <c r="E144" s="56">
        <f t="shared" si="10"/>
        <v>0</v>
      </c>
      <c r="F144" s="56">
        <f t="shared" si="11"/>
        <v>0</v>
      </c>
      <c r="G144" s="53">
        <f t="shared" si="13"/>
        <v>0</v>
      </c>
    </row>
    <row r="145" spans="1:7">
      <c r="A145" s="54">
        <v>122</v>
      </c>
      <c r="B145" s="55">
        <f t="shared" si="8"/>
        <v>40725</v>
      </c>
      <c r="C145" s="53">
        <f t="shared" si="12"/>
        <v>0</v>
      </c>
      <c r="D145" s="56">
        <f t="shared" si="9"/>
        <v>0</v>
      </c>
      <c r="E145" s="56">
        <f t="shared" si="10"/>
        <v>0</v>
      </c>
      <c r="F145" s="56">
        <f t="shared" si="11"/>
        <v>0</v>
      </c>
      <c r="G145" s="53">
        <f t="shared" si="13"/>
        <v>0</v>
      </c>
    </row>
    <row r="146" spans="1:7">
      <c r="A146" s="54">
        <v>123</v>
      </c>
      <c r="B146" s="55">
        <f t="shared" si="8"/>
        <v>40756</v>
      </c>
      <c r="C146" s="53">
        <f t="shared" si="12"/>
        <v>0</v>
      </c>
      <c r="D146" s="56">
        <f t="shared" si="9"/>
        <v>0</v>
      </c>
      <c r="E146" s="56">
        <f t="shared" si="10"/>
        <v>0</v>
      </c>
      <c r="F146" s="56">
        <f t="shared" si="11"/>
        <v>0</v>
      </c>
      <c r="G146" s="53">
        <f t="shared" si="13"/>
        <v>0</v>
      </c>
    </row>
    <row r="147" spans="1:7">
      <c r="A147" s="54">
        <v>124</v>
      </c>
      <c r="B147" s="55">
        <f t="shared" si="8"/>
        <v>40787</v>
      </c>
      <c r="C147" s="53">
        <f t="shared" si="12"/>
        <v>0</v>
      </c>
      <c r="D147" s="56">
        <f t="shared" si="9"/>
        <v>0</v>
      </c>
      <c r="E147" s="56">
        <f t="shared" si="10"/>
        <v>0</v>
      </c>
      <c r="F147" s="56">
        <f t="shared" si="11"/>
        <v>0</v>
      </c>
      <c r="G147" s="53">
        <f t="shared" si="13"/>
        <v>0</v>
      </c>
    </row>
    <row r="148" spans="1:7">
      <c r="A148" s="54">
        <v>125</v>
      </c>
      <c r="B148" s="55">
        <f t="shared" si="8"/>
        <v>40817</v>
      </c>
      <c r="C148" s="53">
        <f t="shared" si="12"/>
        <v>0</v>
      </c>
      <c r="D148" s="56">
        <f t="shared" si="9"/>
        <v>0</v>
      </c>
      <c r="E148" s="56">
        <f t="shared" si="10"/>
        <v>0</v>
      </c>
      <c r="F148" s="56">
        <f t="shared" si="11"/>
        <v>0</v>
      </c>
      <c r="G148" s="53">
        <f t="shared" si="13"/>
        <v>0</v>
      </c>
    </row>
    <row r="149" spans="1:7">
      <c r="A149" s="54">
        <v>126</v>
      </c>
      <c r="B149" s="55">
        <f t="shared" si="8"/>
        <v>40848</v>
      </c>
      <c r="C149" s="53">
        <f t="shared" si="12"/>
        <v>0</v>
      </c>
      <c r="D149" s="56">
        <f t="shared" si="9"/>
        <v>0</v>
      </c>
      <c r="E149" s="56">
        <f t="shared" si="10"/>
        <v>0</v>
      </c>
      <c r="F149" s="56">
        <f t="shared" si="11"/>
        <v>0</v>
      </c>
      <c r="G149" s="53">
        <f t="shared" si="13"/>
        <v>0</v>
      </c>
    </row>
    <row r="150" spans="1:7">
      <c r="A150" s="54">
        <v>127</v>
      </c>
      <c r="B150" s="55">
        <f t="shared" ref="B150:B213" si="14">bill12</f>
        <v>40878</v>
      </c>
      <c r="C150" s="53">
        <f t="shared" si="12"/>
        <v>0</v>
      </c>
      <c r="D150" s="56">
        <f t="shared" ref="D150:D213" si="15">bill14</f>
        <v>0</v>
      </c>
      <c r="E150" s="56">
        <f t="shared" ref="E150:E213" si="16">bill15</f>
        <v>0</v>
      </c>
      <c r="F150" s="56">
        <f t="shared" ref="F150:F213" si="17">bill16</f>
        <v>0</v>
      </c>
      <c r="G150" s="53">
        <f t="shared" si="13"/>
        <v>0</v>
      </c>
    </row>
    <row r="151" spans="1:7">
      <c r="A151" s="54">
        <v>128</v>
      </c>
      <c r="B151" s="55">
        <f t="shared" si="14"/>
        <v>40909</v>
      </c>
      <c r="C151" s="53">
        <f t="shared" si="12"/>
        <v>0</v>
      </c>
      <c r="D151" s="56">
        <f t="shared" si="15"/>
        <v>0</v>
      </c>
      <c r="E151" s="56">
        <f t="shared" si="16"/>
        <v>0</v>
      </c>
      <c r="F151" s="56">
        <f t="shared" si="17"/>
        <v>0</v>
      </c>
      <c r="G151" s="53">
        <f t="shared" si="13"/>
        <v>0</v>
      </c>
    </row>
    <row r="152" spans="1:7">
      <c r="A152" s="54">
        <v>129</v>
      </c>
      <c r="B152" s="55">
        <f t="shared" si="14"/>
        <v>40940</v>
      </c>
      <c r="C152" s="53">
        <f t="shared" si="12"/>
        <v>0</v>
      </c>
      <c r="D152" s="56">
        <f t="shared" si="15"/>
        <v>0</v>
      </c>
      <c r="E152" s="56">
        <f t="shared" si="16"/>
        <v>0</v>
      </c>
      <c r="F152" s="56">
        <f t="shared" si="17"/>
        <v>0</v>
      </c>
      <c r="G152" s="53">
        <f t="shared" si="13"/>
        <v>0</v>
      </c>
    </row>
    <row r="153" spans="1:7">
      <c r="A153" s="54">
        <v>130</v>
      </c>
      <c r="B153" s="55">
        <f t="shared" si="14"/>
        <v>40969</v>
      </c>
      <c r="C153" s="53">
        <f t="shared" si="12"/>
        <v>0</v>
      </c>
      <c r="D153" s="56">
        <f t="shared" si="15"/>
        <v>0</v>
      </c>
      <c r="E153" s="56">
        <f t="shared" si="16"/>
        <v>0</v>
      </c>
      <c r="F153" s="56">
        <f t="shared" si="17"/>
        <v>0</v>
      </c>
      <c r="G153" s="53">
        <f t="shared" si="13"/>
        <v>0</v>
      </c>
    </row>
    <row r="154" spans="1:7">
      <c r="A154" s="54">
        <v>131</v>
      </c>
      <c r="B154" s="55">
        <f t="shared" si="14"/>
        <v>41000</v>
      </c>
      <c r="C154" s="53">
        <f t="shared" si="12"/>
        <v>0</v>
      </c>
      <c r="D154" s="56">
        <f t="shared" si="15"/>
        <v>0</v>
      </c>
      <c r="E154" s="56">
        <f t="shared" si="16"/>
        <v>0</v>
      </c>
      <c r="F154" s="56">
        <f t="shared" si="17"/>
        <v>0</v>
      </c>
      <c r="G154" s="53">
        <f t="shared" si="13"/>
        <v>0</v>
      </c>
    </row>
    <row r="155" spans="1:7">
      <c r="A155" s="54">
        <v>132</v>
      </c>
      <c r="B155" s="55">
        <f t="shared" si="14"/>
        <v>41030</v>
      </c>
      <c r="C155" s="53">
        <f t="shared" si="12"/>
        <v>0</v>
      </c>
      <c r="D155" s="56">
        <f t="shared" si="15"/>
        <v>0</v>
      </c>
      <c r="E155" s="56">
        <f t="shared" si="16"/>
        <v>0</v>
      </c>
      <c r="F155" s="56">
        <f t="shared" si="17"/>
        <v>0</v>
      </c>
      <c r="G155" s="53">
        <f t="shared" si="13"/>
        <v>0</v>
      </c>
    </row>
    <row r="156" spans="1:7">
      <c r="A156" s="54">
        <v>133</v>
      </c>
      <c r="B156" s="55">
        <f t="shared" si="14"/>
        <v>41061</v>
      </c>
      <c r="C156" s="53">
        <f t="shared" si="12"/>
        <v>0</v>
      </c>
      <c r="D156" s="56">
        <f t="shared" si="15"/>
        <v>0</v>
      </c>
      <c r="E156" s="56">
        <f t="shared" si="16"/>
        <v>0</v>
      </c>
      <c r="F156" s="56">
        <f t="shared" si="17"/>
        <v>0</v>
      </c>
      <c r="G156" s="53">
        <f t="shared" si="13"/>
        <v>0</v>
      </c>
    </row>
    <row r="157" spans="1:7">
      <c r="A157" s="54">
        <v>134</v>
      </c>
      <c r="B157" s="55">
        <f t="shared" si="14"/>
        <v>41091</v>
      </c>
      <c r="C157" s="53">
        <f t="shared" si="12"/>
        <v>0</v>
      </c>
      <c r="D157" s="56">
        <f t="shared" si="15"/>
        <v>0</v>
      </c>
      <c r="E157" s="56">
        <f t="shared" si="16"/>
        <v>0</v>
      </c>
      <c r="F157" s="56">
        <f t="shared" si="17"/>
        <v>0</v>
      </c>
      <c r="G157" s="53">
        <f t="shared" si="13"/>
        <v>0</v>
      </c>
    </row>
    <row r="158" spans="1:7">
      <c r="A158" s="54">
        <v>135</v>
      </c>
      <c r="B158" s="55">
        <f t="shared" si="14"/>
        <v>41122</v>
      </c>
      <c r="C158" s="53">
        <f t="shared" si="12"/>
        <v>0</v>
      </c>
      <c r="D158" s="56">
        <f t="shared" si="15"/>
        <v>0</v>
      </c>
      <c r="E158" s="56">
        <f t="shared" si="16"/>
        <v>0</v>
      </c>
      <c r="F158" s="56">
        <f t="shared" si="17"/>
        <v>0</v>
      </c>
      <c r="G158" s="53">
        <f t="shared" si="13"/>
        <v>0</v>
      </c>
    </row>
    <row r="159" spans="1:7">
      <c r="A159" s="54">
        <v>136</v>
      </c>
      <c r="B159" s="55">
        <f t="shared" si="14"/>
        <v>41153</v>
      </c>
      <c r="C159" s="53">
        <f t="shared" si="12"/>
        <v>0</v>
      </c>
      <c r="D159" s="56">
        <f t="shared" si="15"/>
        <v>0</v>
      </c>
      <c r="E159" s="56">
        <f t="shared" si="16"/>
        <v>0</v>
      </c>
      <c r="F159" s="56">
        <f t="shared" si="17"/>
        <v>0</v>
      </c>
      <c r="G159" s="53">
        <f t="shared" si="13"/>
        <v>0</v>
      </c>
    </row>
    <row r="160" spans="1:7">
      <c r="A160" s="54">
        <v>137</v>
      </c>
      <c r="B160" s="55">
        <f t="shared" si="14"/>
        <v>41183</v>
      </c>
      <c r="C160" s="53">
        <f t="shared" si="12"/>
        <v>0</v>
      </c>
      <c r="D160" s="56">
        <f t="shared" si="15"/>
        <v>0</v>
      </c>
      <c r="E160" s="56">
        <f t="shared" si="16"/>
        <v>0</v>
      </c>
      <c r="F160" s="56">
        <f t="shared" si="17"/>
        <v>0</v>
      </c>
      <c r="G160" s="53">
        <f t="shared" si="13"/>
        <v>0</v>
      </c>
    </row>
    <row r="161" spans="1:7">
      <c r="A161" s="54">
        <v>138</v>
      </c>
      <c r="B161" s="55">
        <f t="shared" si="14"/>
        <v>41214</v>
      </c>
      <c r="C161" s="53">
        <f t="shared" si="12"/>
        <v>0</v>
      </c>
      <c r="D161" s="56">
        <f t="shared" si="15"/>
        <v>0</v>
      </c>
      <c r="E161" s="56">
        <f t="shared" si="16"/>
        <v>0</v>
      </c>
      <c r="F161" s="56">
        <f t="shared" si="17"/>
        <v>0</v>
      </c>
      <c r="G161" s="53">
        <f t="shared" si="13"/>
        <v>0</v>
      </c>
    </row>
    <row r="162" spans="1:7">
      <c r="A162" s="54">
        <v>139</v>
      </c>
      <c r="B162" s="55">
        <f t="shared" si="14"/>
        <v>41244</v>
      </c>
      <c r="C162" s="53">
        <f t="shared" si="12"/>
        <v>0</v>
      </c>
      <c r="D162" s="56">
        <f t="shared" si="15"/>
        <v>0</v>
      </c>
      <c r="E162" s="56">
        <f t="shared" si="16"/>
        <v>0</v>
      </c>
      <c r="F162" s="56">
        <f t="shared" si="17"/>
        <v>0</v>
      </c>
      <c r="G162" s="53">
        <f t="shared" si="13"/>
        <v>0</v>
      </c>
    </row>
    <row r="163" spans="1:7">
      <c r="A163" s="54">
        <v>140</v>
      </c>
      <c r="B163" s="55">
        <f t="shared" si="14"/>
        <v>41275</v>
      </c>
      <c r="C163" s="53">
        <f t="shared" si="12"/>
        <v>0</v>
      </c>
      <c r="D163" s="56">
        <f t="shared" si="15"/>
        <v>0</v>
      </c>
      <c r="E163" s="56">
        <f t="shared" si="16"/>
        <v>0</v>
      </c>
      <c r="F163" s="56">
        <f t="shared" si="17"/>
        <v>0</v>
      </c>
      <c r="G163" s="53">
        <f t="shared" si="13"/>
        <v>0</v>
      </c>
    </row>
    <row r="164" spans="1:7">
      <c r="A164" s="54">
        <v>141</v>
      </c>
      <c r="B164" s="55">
        <f t="shared" si="14"/>
        <v>41306</v>
      </c>
      <c r="C164" s="53">
        <f t="shared" si="12"/>
        <v>0</v>
      </c>
      <c r="D164" s="56">
        <f t="shared" si="15"/>
        <v>0</v>
      </c>
      <c r="E164" s="56">
        <f t="shared" si="16"/>
        <v>0</v>
      </c>
      <c r="F164" s="56">
        <f t="shared" si="17"/>
        <v>0</v>
      </c>
      <c r="G164" s="53">
        <f t="shared" si="13"/>
        <v>0</v>
      </c>
    </row>
    <row r="165" spans="1:7">
      <c r="A165" s="54">
        <v>142</v>
      </c>
      <c r="B165" s="55">
        <f t="shared" si="14"/>
        <v>41334</v>
      </c>
      <c r="C165" s="53">
        <f t="shared" si="12"/>
        <v>0</v>
      </c>
      <c r="D165" s="56">
        <f t="shared" si="15"/>
        <v>0</v>
      </c>
      <c r="E165" s="56">
        <f t="shared" si="16"/>
        <v>0</v>
      </c>
      <c r="F165" s="56">
        <f t="shared" si="17"/>
        <v>0</v>
      </c>
      <c r="G165" s="53">
        <f t="shared" si="13"/>
        <v>0</v>
      </c>
    </row>
    <row r="166" spans="1:7">
      <c r="A166" s="54">
        <v>143</v>
      </c>
      <c r="B166" s="55">
        <f t="shared" si="14"/>
        <v>41365</v>
      </c>
      <c r="C166" s="53">
        <f t="shared" si="12"/>
        <v>0</v>
      </c>
      <c r="D166" s="56">
        <f t="shared" si="15"/>
        <v>0</v>
      </c>
      <c r="E166" s="56">
        <f t="shared" si="16"/>
        <v>0</v>
      </c>
      <c r="F166" s="56">
        <f t="shared" si="17"/>
        <v>0</v>
      </c>
      <c r="G166" s="53">
        <f t="shared" si="13"/>
        <v>0</v>
      </c>
    </row>
    <row r="167" spans="1:7">
      <c r="A167" s="54">
        <v>144</v>
      </c>
      <c r="B167" s="55">
        <f t="shared" si="14"/>
        <v>41395</v>
      </c>
      <c r="C167" s="53">
        <f t="shared" si="12"/>
        <v>0</v>
      </c>
      <c r="D167" s="56">
        <f t="shared" si="15"/>
        <v>0</v>
      </c>
      <c r="E167" s="56">
        <f t="shared" si="16"/>
        <v>0</v>
      </c>
      <c r="F167" s="56">
        <f t="shared" si="17"/>
        <v>0</v>
      </c>
      <c r="G167" s="53">
        <f t="shared" si="13"/>
        <v>0</v>
      </c>
    </row>
    <row r="168" spans="1:7">
      <c r="A168" s="54">
        <v>145</v>
      </c>
      <c r="B168" s="55">
        <f t="shared" si="14"/>
        <v>41426</v>
      </c>
      <c r="C168" s="53">
        <f t="shared" si="12"/>
        <v>0</v>
      </c>
      <c r="D168" s="56">
        <f t="shared" si="15"/>
        <v>0</v>
      </c>
      <c r="E168" s="56">
        <f t="shared" si="16"/>
        <v>0</v>
      </c>
      <c r="F168" s="56">
        <f t="shared" si="17"/>
        <v>0</v>
      </c>
      <c r="G168" s="53">
        <f t="shared" si="13"/>
        <v>0</v>
      </c>
    </row>
    <row r="169" spans="1:7">
      <c r="A169" s="54">
        <v>146</v>
      </c>
      <c r="B169" s="55">
        <f t="shared" si="14"/>
        <v>41456</v>
      </c>
      <c r="C169" s="53">
        <f t="shared" si="12"/>
        <v>0</v>
      </c>
      <c r="D169" s="56">
        <f t="shared" si="15"/>
        <v>0</v>
      </c>
      <c r="E169" s="56">
        <f t="shared" si="16"/>
        <v>0</v>
      </c>
      <c r="F169" s="56">
        <f t="shared" si="17"/>
        <v>0</v>
      </c>
      <c r="G169" s="53">
        <f t="shared" si="13"/>
        <v>0</v>
      </c>
    </row>
    <row r="170" spans="1:7">
      <c r="A170" s="54">
        <v>147</v>
      </c>
      <c r="B170" s="55">
        <f t="shared" si="14"/>
        <v>41487</v>
      </c>
      <c r="C170" s="53">
        <f t="shared" si="12"/>
        <v>0</v>
      </c>
      <c r="D170" s="56">
        <f t="shared" si="15"/>
        <v>0</v>
      </c>
      <c r="E170" s="56">
        <f t="shared" si="16"/>
        <v>0</v>
      </c>
      <c r="F170" s="56">
        <f t="shared" si="17"/>
        <v>0</v>
      </c>
      <c r="G170" s="53">
        <f t="shared" si="13"/>
        <v>0</v>
      </c>
    </row>
    <row r="171" spans="1:7">
      <c r="A171" s="54">
        <v>148</v>
      </c>
      <c r="B171" s="55">
        <f t="shared" si="14"/>
        <v>41518</v>
      </c>
      <c r="C171" s="53">
        <f t="shared" si="12"/>
        <v>0</v>
      </c>
      <c r="D171" s="56">
        <f t="shared" si="15"/>
        <v>0</v>
      </c>
      <c r="E171" s="56">
        <f t="shared" si="16"/>
        <v>0</v>
      </c>
      <c r="F171" s="56">
        <f t="shared" si="17"/>
        <v>0</v>
      </c>
      <c r="G171" s="53">
        <f t="shared" si="13"/>
        <v>0</v>
      </c>
    </row>
    <row r="172" spans="1:7">
      <c r="A172" s="54">
        <v>149</v>
      </c>
      <c r="B172" s="55">
        <f t="shared" si="14"/>
        <v>41548</v>
      </c>
      <c r="C172" s="53">
        <f t="shared" si="12"/>
        <v>0</v>
      </c>
      <c r="D172" s="56">
        <f t="shared" si="15"/>
        <v>0</v>
      </c>
      <c r="E172" s="56">
        <f t="shared" si="16"/>
        <v>0</v>
      </c>
      <c r="F172" s="56">
        <f t="shared" si="17"/>
        <v>0</v>
      </c>
      <c r="G172" s="53">
        <f t="shared" si="13"/>
        <v>0</v>
      </c>
    </row>
    <row r="173" spans="1:7">
      <c r="A173" s="54">
        <v>150</v>
      </c>
      <c r="B173" s="55">
        <f t="shared" si="14"/>
        <v>41579</v>
      </c>
      <c r="C173" s="53">
        <f t="shared" si="12"/>
        <v>0</v>
      </c>
      <c r="D173" s="56">
        <f t="shared" si="15"/>
        <v>0</v>
      </c>
      <c r="E173" s="56">
        <f t="shared" si="16"/>
        <v>0</v>
      </c>
      <c r="F173" s="56">
        <f t="shared" si="17"/>
        <v>0</v>
      </c>
      <c r="G173" s="53">
        <f t="shared" si="13"/>
        <v>0</v>
      </c>
    </row>
    <row r="174" spans="1:7">
      <c r="A174" s="54">
        <v>151</v>
      </c>
      <c r="B174" s="55">
        <f t="shared" si="14"/>
        <v>41609</v>
      </c>
      <c r="C174" s="53">
        <f t="shared" si="12"/>
        <v>0</v>
      </c>
      <c r="D174" s="56">
        <f t="shared" si="15"/>
        <v>0</v>
      </c>
      <c r="E174" s="56">
        <f t="shared" si="16"/>
        <v>0</v>
      </c>
      <c r="F174" s="56">
        <f t="shared" si="17"/>
        <v>0</v>
      </c>
      <c r="G174" s="53">
        <f t="shared" si="13"/>
        <v>0</v>
      </c>
    </row>
    <row r="175" spans="1:7">
      <c r="A175" s="54">
        <v>152</v>
      </c>
      <c r="B175" s="55">
        <f t="shared" si="14"/>
        <v>41640</v>
      </c>
      <c r="C175" s="53">
        <f t="shared" si="12"/>
        <v>0</v>
      </c>
      <c r="D175" s="56">
        <f t="shared" si="15"/>
        <v>0</v>
      </c>
      <c r="E175" s="56">
        <f t="shared" si="16"/>
        <v>0</v>
      </c>
      <c r="F175" s="56">
        <f t="shared" si="17"/>
        <v>0</v>
      </c>
      <c r="G175" s="53">
        <f t="shared" si="13"/>
        <v>0</v>
      </c>
    </row>
    <row r="176" spans="1:7">
      <c r="A176" s="54">
        <v>153</v>
      </c>
      <c r="B176" s="55">
        <f t="shared" si="14"/>
        <v>41671</v>
      </c>
      <c r="C176" s="53">
        <f t="shared" si="12"/>
        <v>0</v>
      </c>
      <c r="D176" s="56">
        <f t="shared" si="15"/>
        <v>0</v>
      </c>
      <c r="E176" s="56">
        <f t="shared" si="16"/>
        <v>0</v>
      </c>
      <c r="F176" s="56">
        <f t="shared" si="17"/>
        <v>0</v>
      </c>
      <c r="G176" s="53">
        <f t="shared" si="13"/>
        <v>0</v>
      </c>
    </row>
    <row r="177" spans="1:7">
      <c r="A177" s="54">
        <v>154</v>
      </c>
      <c r="B177" s="55">
        <f t="shared" si="14"/>
        <v>41699</v>
      </c>
      <c r="C177" s="53">
        <f t="shared" si="12"/>
        <v>0</v>
      </c>
      <c r="D177" s="56">
        <f t="shared" si="15"/>
        <v>0</v>
      </c>
      <c r="E177" s="56">
        <f t="shared" si="16"/>
        <v>0</v>
      </c>
      <c r="F177" s="56">
        <f t="shared" si="17"/>
        <v>0</v>
      </c>
      <c r="G177" s="53">
        <f t="shared" si="13"/>
        <v>0</v>
      </c>
    </row>
    <row r="178" spans="1:7">
      <c r="A178" s="54">
        <v>155</v>
      </c>
      <c r="B178" s="55">
        <f t="shared" si="14"/>
        <v>41730</v>
      </c>
      <c r="C178" s="53">
        <f t="shared" si="12"/>
        <v>0</v>
      </c>
      <c r="D178" s="56">
        <f t="shared" si="15"/>
        <v>0</v>
      </c>
      <c r="E178" s="56">
        <f t="shared" si="16"/>
        <v>0</v>
      </c>
      <c r="F178" s="56">
        <f t="shared" si="17"/>
        <v>0</v>
      </c>
      <c r="G178" s="53">
        <f t="shared" si="13"/>
        <v>0</v>
      </c>
    </row>
    <row r="179" spans="1:7">
      <c r="A179" s="54">
        <v>156</v>
      </c>
      <c r="B179" s="55">
        <f t="shared" si="14"/>
        <v>41760</v>
      </c>
      <c r="C179" s="53">
        <f t="shared" si="12"/>
        <v>0</v>
      </c>
      <c r="D179" s="56">
        <f t="shared" si="15"/>
        <v>0</v>
      </c>
      <c r="E179" s="56">
        <f t="shared" si="16"/>
        <v>0</v>
      </c>
      <c r="F179" s="56">
        <f t="shared" si="17"/>
        <v>0</v>
      </c>
      <c r="G179" s="53">
        <f t="shared" si="13"/>
        <v>0</v>
      </c>
    </row>
    <row r="180" spans="1:7">
      <c r="A180" s="54">
        <v>157</v>
      </c>
      <c r="B180" s="55">
        <f t="shared" si="14"/>
        <v>41791</v>
      </c>
      <c r="C180" s="53">
        <f t="shared" si="12"/>
        <v>0</v>
      </c>
      <c r="D180" s="56">
        <f t="shared" si="15"/>
        <v>0</v>
      </c>
      <c r="E180" s="56">
        <f t="shared" si="16"/>
        <v>0</v>
      </c>
      <c r="F180" s="56">
        <f t="shared" si="17"/>
        <v>0</v>
      </c>
      <c r="G180" s="53">
        <f t="shared" si="13"/>
        <v>0</v>
      </c>
    </row>
    <row r="181" spans="1:7">
      <c r="A181" s="54">
        <v>158</v>
      </c>
      <c r="B181" s="55">
        <f t="shared" si="14"/>
        <v>41821</v>
      </c>
      <c r="C181" s="53">
        <f t="shared" si="12"/>
        <v>0</v>
      </c>
      <c r="D181" s="56">
        <f t="shared" si="15"/>
        <v>0</v>
      </c>
      <c r="E181" s="56">
        <f t="shared" si="16"/>
        <v>0</v>
      </c>
      <c r="F181" s="56">
        <f t="shared" si="17"/>
        <v>0</v>
      </c>
      <c r="G181" s="53">
        <f t="shared" si="13"/>
        <v>0</v>
      </c>
    </row>
    <row r="182" spans="1:7">
      <c r="A182" s="54">
        <v>159</v>
      </c>
      <c r="B182" s="55">
        <f t="shared" si="14"/>
        <v>41852</v>
      </c>
      <c r="C182" s="53">
        <f t="shared" si="12"/>
        <v>0</v>
      </c>
      <c r="D182" s="56">
        <f t="shared" si="15"/>
        <v>0</v>
      </c>
      <c r="E182" s="56">
        <f t="shared" si="16"/>
        <v>0</v>
      </c>
      <c r="F182" s="56">
        <f t="shared" si="17"/>
        <v>0</v>
      </c>
      <c r="G182" s="53">
        <f t="shared" si="13"/>
        <v>0</v>
      </c>
    </row>
    <row r="183" spans="1:7">
      <c r="A183" s="54">
        <v>160</v>
      </c>
      <c r="B183" s="55">
        <f t="shared" si="14"/>
        <v>41883</v>
      </c>
      <c r="C183" s="53">
        <f t="shared" si="12"/>
        <v>0</v>
      </c>
      <c r="D183" s="56">
        <f t="shared" si="15"/>
        <v>0</v>
      </c>
      <c r="E183" s="56">
        <f t="shared" si="16"/>
        <v>0</v>
      </c>
      <c r="F183" s="56">
        <f t="shared" si="17"/>
        <v>0</v>
      </c>
      <c r="G183" s="53">
        <f t="shared" si="13"/>
        <v>0</v>
      </c>
    </row>
    <row r="184" spans="1:7">
      <c r="A184" s="54">
        <v>161</v>
      </c>
      <c r="B184" s="55">
        <f t="shared" si="14"/>
        <v>41913</v>
      </c>
      <c r="C184" s="53">
        <f t="shared" si="12"/>
        <v>0</v>
      </c>
      <c r="D184" s="56">
        <f t="shared" si="15"/>
        <v>0</v>
      </c>
      <c r="E184" s="56">
        <f t="shared" si="16"/>
        <v>0</v>
      </c>
      <c r="F184" s="56">
        <f t="shared" si="17"/>
        <v>0</v>
      </c>
      <c r="G184" s="53">
        <f t="shared" si="13"/>
        <v>0</v>
      </c>
    </row>
    <row r="185" spans="1:7">
      <c r="A185" s="54">
        <v>162</v>
      </c>
      <c r="B185" s="55">
        <f t="shared" si="14"/>
        <v>41944</v>
      </c>
      <c r="C185" s="53">
        <f t="shared" si="12"/>
        <v>0</v>
      </c>
      <c r="D185" s="56">
        <f t="shared" si="15"/>
        <v>0</v>
      </c>
      <c r="E185" s="56">
        <f t="shared" si="16"/>
        <v>0</v>
      </c>
      <c r="F185" s="56">
        <f t="shared" si="17"/>
        <v>0</v>
      </c>
      <c r="G185" s="53">
        <f t="shared" si="13"/>
        <v>0</v>
      </c>
    </row>
    <row r="186" spans="1:7">
      <c r="A186" s="54">
        <v>163</v>
      </c>
      <c r="B186" s="55">
        <f t="shared" si="14"/>
        <v>41974</v>
      </c>
      <c r="C186" s="53">
        <f t="shared" ref="C186:C249" si="18">+F185</f>
        <v>0</v>
      </c>
      <c r="D186" s="56">
        <f t="shared" si="15"/>
        <v>0</v>
      </c>
      <c r="E186" s="56">
        <f t="shared" si="16"/>
        <v>0</v>
      </c>
      <c r="F186" s="56">
        <f t="shared" si="17"/>
        <v>0</v>
      </c>
      <c r="G186" s="53">
        <f t="shared" ref="G186:G249" si="19">+G185+D186</f>
        <v>0</v>
      </c>
    </row>
    <row r="187" spans="1:7">
      <c r="A187" s="54">
        <v>164</v>
      </c>
      <c r="B187" s="55">
        <f t="shared" si="14"/>
        <v>42005</v>
      </c>
      <c r="C187" s="53">
        <f t="shared" si="18"/>
        <v>0</v>
      </c>
      <c r="D187" s="56">
        <f t="shared" si="15"/>
        <v>0</v>
      </c>
      <c r="E187" s="56">
        <f t="shared" si="16"/>
        <v>0</v>
      </c>
      <c r="F187" s="56">
        <f t="shared" si="17"/>
        <v>0</v>
      </c>
      <c r="G187" s="53">
        <f t="shared" si="19"/>
        <v>0</v>
      </c>
    </row>
    <row r="188" spans="1:7">
      <c r="A188" s="54">
        <v>165</v>
      </c>
      <c r="B188" s="55">
        <f t="shared" si="14"/>
        <v>42036</v>
      </c>
      <c r="C188" s="53">
        <f t="shared" si="18"/>
        <v>0</v>
      </c>
      <c r="D188" s="56">
        <f t="shared" si="15"/>
        <v>0</v>
      </c>
      <c r="E188" s="56">
        <f t="shared" si="16"/>
        <v>0</v>
      </c>
      <c r="F188" s="56">
        <f t="shared" si="17"/>
        <v>0</v>
      </c>
      <c r="G188" s="53">
        <f t="shared" si="19"/>
        <v>0</v>
      </c>
    </row>
    <row r="189" spans="1:7">
      <c r="A189" s="54">
        <v>166</v>
      </c>
      <c r="B189" s="55">
        <f t="shared" si="14"/>
        <v>42064</v>
      </c>
      <c r="C189" s="53">
        <f t="shared" si="18"/>
        <v>0</v>
      </c>
      <c r="D189" s="56">
        <f t="shared" si="15"/>
        <v>0</v>
      </c>
      <c r="E189" s="56">
        <f t="shared" si="16"/>
        <v>0</v>
      </c>
      <c r="F189" s="56">
        <f t="shared" si="17"/>
        <v>0</v>
      </c>
      <c r="G189" s="53">
        <f t="shared" si="19"/>
        <v>0</v>
      </c>
    </row>
    <row r="190" spans="1:7">
      <c r="A190" s="54">
        <v>167</v>
      </c>
      <c r="B190" s="55">
        <f t="shared" si="14"/>
        <v>42095</v>
      </c>
      <c r="C190" s="53">
        <f t="shared" si="18"/>
        <v>0</v>
      </c>
      <c r="D190" s="56">
        <f t="shared" si="15"/>
        <v>0</v>
      </c>
      <c r="E190" s="56">
        <f t="shared" si="16"/>
        <v>0</v>
      </c>
      <c r="F190" s="56">
        <f t="shared" si="17"/>
        <v>0</v>
      </c>
      <c r="G190" s="53">
        <f t="shared" si="19"/>
        <v>0</v>
      </c>
    </row>
    <row r="191" spans="1:7">
      <c r="A191" s="54">
        <v>168</v>
      </c>
      <c r="B191" s="55">
        <f t="shared" si="14"/>
        <v>42125</v>
      </c>
      <c r="C191" s="53">
        <f t="shared" si="18"/>
        <v>0</v>
      </c>
      <c r="D191" s="56">
        <f t="shared" si="15"/>
        <v>0</v>
      </c>
      <c r="E191" s="56">
        <f t="shared" si="16"/>
        <v>0</v>
      </c>
      <c r="F191" s="56">
        <f t="shared" si="17"/>
        <v>0</v>
      </c>
      <c r="G191" s="53">
        <f t="shared" si="19"/>
        <v>0</v>
      </c>
    </row>
    <row r="192" spans="1:7">
      <c r="A192" s="54">
        <v>169</v>
      </c>
      <c r="B192" s="55">
        <f t="shared" si="14"/>
        <v>42156</v>
      </c>
      <c r="C192" s="53">
        <f t="shared" si="18"/>
        <v>0</v>
      </c>
      <c r="D192" s="56">
        <f t="shared" si="15"/>
        <v>0</v>
      </c>
      <c r="E192" s="56">
        <f t="shared" si="16"/>
        <v>0</v>
      </c>
      <c r="F192" s="56">
        <f t="shared" si="17"/>
        <v>0</v>
      </c>
      <c r="G192" s="53">
        <f t="shared" si="19"/>
        <v>0</v>
      </c>
    </row>
    <row r="193" spans="1:7">
      <c r="A193" s="54">
        <v>170</v>
      </c>
      <c r="B193" s="55">
        <f t="shared" si="14"/>
        <v>42186</v>
      </c>
      <c r="C193" s="53">
        <f t="shared" si="18"/>
        <v>0</v>
      </c>
      <c r="D193" s="56">
        <f t="shared" si="15"/>
        <v>0</v>
      </c>
      <c r="E193" s="56">
        <f t="shared" si="16"/>
        <v>0</v>
      </c>
      <c r="F193" s="56">
        <f t="shared" si="17"/>
        <v>0</v>
      </c>
      <c r="G193" s="53">
        <f t="shared" si="19"/>
        <v>0</v>
      </c>
    </row>
    <row r="194" spans="1:7">
      <c r="A194" s="54">
        <v>171</v>
      </c>
      <c r="B194" s="55">
        <f t="shared" si="14"/>
        <v>42217</v>
      </c>
      <c r="C194" s="53">
        <f t="shared" si="18"/>
        <v>0</v>
      </c>
      <c r="D194" s="56">
        <f t="shared" si="15"/>
        <v>0</v>
      </c>
      <c r="E194" s="56">
        <f t="shared" si="16"/>
        <v>0</v>
      </c>
      <c r="F194" s="56">
        <f t="shared" si="17"/>
        <v>0</v>
      </c>
      <c r="G194" s="53">
        <f t="shared" si="19"/>
        <v>0</v>
      </c>
    </row>
    <row r="195" spans="1:7">
      <c r="A195" s="54">
        <v>172</v>
      </c>
      <c r="B195" s="55">
        <f t="shared" si="14"/>
        <v>42248</v>
      </c>
      <c r="C195" s="53">
        <f t="shared" si="18"/>
        <v>0</v>
      </c>
      <c r="D195" s="56">
        <f t="shared" si="15"/>
        <v>0</v>
      </c>
      <c r="E195" s="56">
        <f t="shared" si="16"/>
        <v>0</v>
      </c>
      <c r="F195" s="56">
        <f t="shared" si="17"/>
        <v>0</v>
      </c>
      <c r="G195" s="53">
        <f t="shared" si="19"/>
        <v>0</v>
      </c>
    </row>
    <row r="196" spans="1:7">
      <c r="A196" s="54">
        <v>173</v>
      </c>
      <c r="B196" s="55">
        <f t="shared" si="14"/>
        <v>42278</v>
      </c>
      <c r="C196" s="53">
        <f t="shared" si="18"/>
        <v>0</v>
      </c>
      <c r="D196" s="56">
        <f t="shared" si="15"/>
        <v>0</v>
      </c>
      <c r="E196" s="56">
        <f t="shared" si="16"/>
        <v>0</v>
      </c>
      <c r="F196" s="56">
        <f t="shared" si="17"/>
        <v>0</v>
      </c>
      <c r="G196" s="53">
        <f t="shared" si="19"/>
        <v>0</v>
      </c>
    </row>
    <row r="197" spans="1:7">
      <c r="A197" s="54">
        <v>174</v>
      </c>
      <c r="B197" s="55">
        <f t="shared" si="14"/>
        <v>42309</v>
      </c>
      <c r="C197" s="53">
        <f t="shared" si="18"/>
        <v>0</v>
      </c>
      <c r="D197" s="56">
        <f t="shared" si="15"/>
        <v>0</v>
      </c>
      <c r="E197" s="56">
        <f t="shared" si="16"/>
        <v>0</v>
      </c>
      <c r="F197" s="56">
        <f t="shared" si="17"/>
        <v>0</v>
      </c>
      <c r="G197" s="53">
        <f t="shared" si="19"/>
        <v>0</v>
      </c>
    </row>
    <row r="198" spans="1:7">
      <c r="A198" s="54">
        <v>175</v>
      </c>
      <c r="B198" s="55">
        <f t="shared" si="14"/>
        <v>42339</v>
      </c>
      <c r="C198" s="53">
        <f t="shared" si="18"/>
        <v>0</v>
      </c>
      <c r="D198" s="56">
        <f t="shared" si="15"/>
        <v>0</v>
      </c>
      <c r="E198" s="56">
        <f t="shared" si="16"/>
        <v>0</v>
      </c>
      <c r="F198" s="56">
        <f t="shared" si="17"/>
        <v>0</v>
      </c>
      <c r="G198" s="53">
        <f t="shared" si="19"/>
        <v>0</v>
      </c>
    </row>
    <row r="199" spans="1:7">
      <c r="A199" s="54">
        <v>176</v>
      </c>
      <c r="B199" s="55">
        <f t="shared" si="14"/>
        <v>42370</v>
      </c>
      <c r="C199" s="53">
        <f t="shared" si="18"/>
        <v>0</v>
      </c>
      <c r="D199" s="56">
        <f t="shared" si="15"/>
        <v>0</v>
      </c>
      <c r="E199" s="56">
        <f t="shared" si="16"/>
        <v>0</v>
      </c>
      <c r="F199" s="56">
        <f t="shared" si="17"/>
        <v>0</v>
      </c>
      <c r="G199" s="53">
        <f t="shared" si="19"/>
        <v>0</v>
      </c>
    </row>
    <row r="200" spans="1:7">
      <c r="A200" s="54">
        <v>177</v>
      </c>
      <c r="B200" s="55">
        <f t="shared" si="14"/>
        <v>42401</v>
      </c>
      <c r="C200" s="53">
        <f t="shared" si="18"/>
        <v>0</v>
      </c>
      <c r="D200" s="56">
        <f t="shared" si="15"/>
        <v>0</v>
      </c>
      <c r="E200" s="56">
        <f t="shared" si="16"/>
        <v>0</v>
      </c>
      <c r="F200" s="56">
        <f t="shared" si="17"/>
        <v>0</v>
      </c>
      <c r="G200" s="53">
        <f t="shared" si="19"/>
        <v>0</v>
      </c>
    </row>
    <row r="201" spans="1:7">
      <c r="A201" s="54">
        <v>178</v>
      </c>
      <c r="B201" s="55">
        <f t="shared" si="14"/>
        <v>42430</v>
      </c>
      <c r="C201" s="53">
        <f t="shared" si="18"/>
        <v>0</v>
      </c>
      <c r="D201" s="56">
        <f t="shared" si="15"/>
        <v>0</v>
      </c>
      <c r="E201" s="56">
        <f t="shared" si="16"/>
        <v>0</v>
      </c>
      <c r="F201" s="56">
        <f t="shared" si="17"/>
        <v>0</v>
      </c>
      <c r="G201" s="53">
        <f t="shared" si="19"/>
        <v>0</v>
      </c>
    </row>
    <row r="202" spans="1:7">
      <c r="A202" s="54">
        <v>179</v>
      </c>
      <c r="B202" s="55">
        <f t="shared" si="14"/>
        <v>42461</v>
      </c>
      <c r="C202" s="53">
        <f t="shared" si="18"/>
        <v>0</v>
      </c>
      <c r="D202" s="56">
        <f t="shared" si="15"/>
        <v>0</v>
      </c>
      <c r="E202" s="56">
        <f t="shared" si="16"/>
        <v>0</v>
      </c>
      <c r="F202" s="56">
        <f t="shared" si="17"/>
        <v>0</v>
      </c>
      <c r="G202" s="53">
        <f t="shared" si="19"/>
        <v>0</v>
      </c>
    </row>
    <row r="203" spans="1:7">
      <c r="A203" s="54">
        <v>180</v>
      </c>
      <c r="B203" s="55">
        <f t="shared" si="14"/>
        <v>42491</v>
      </c>
      <c r="C203" s="53">
        <f t="shared" si="18"/>
        <v>0</v>
      </c>
      <c r="D203" s="56">
        <f t="shared" si="15"/>
        <v>0</v>
      </c>
      <c r="E203" s="56">
        <f t="shared" si="16"/>
        <v>0</v>
      </c>
      <c r="F203" s="56">
        <f t="shared" si="17"/>
        <v>0</v>
      </c>
      <c r="G203" s="53">
        <f t="shared" si="19"/>
        <v>0</v>
      </c>
    </row>
    <row r="204" spans="1:7">
      <c r="A204" s="54">
        <v>181</v>
      </c>
      <c r="B204" s="55">
        <f t="shared" si="14"/>
        <v>42522</v>
      </c>
      <c r="C204" s="53">
        <f t="shared" si="18"/>
        <v>0</v>
      </c>
      <c r="D204" s="56">
        <f t="shared" si="15"/>
        <v>0</v>
      </c>
      <c r="E204" s="56">
        <f t="shared" si="16"/>
        <v>0</v>
      </c>
      <c r="F204" s="56">
        <f t="shared" si="17"/>
        <v>0</v>
      </c>
      <c r="G204" s="53">
        <f t="shared" si="19"/>
        <v>0</v>
      </c>
    </row>
    <row r="205" spans="1:7">
      <c r="A205" s="54">
        <v>182</v>
      </c>
      <c r="B205" s="55">
        <f t="shared" si="14"/>
        <v>42552</v>
      </c>
      <c r="C205" s="53">
        <f t="shared" si="18"/>
        <v>0</v>
      </c>
      <c r="D205" s="56">
        <f t="shared" si="15"/>
        <v>0</v>
      </c>
      <c r="E205" s="56">
        <f t="shared" si="16"/>
        <v>0</v>
      </c>
      <c r="F205" s="56">
        <f t="shared" si="17"/>
        <v>0</v>
      </c>
      <c r="G205" s="53">
        <f t="shared" si="19"/>
        <v>0</v>
      </c>
    </row>
    <row r="206" spans="1:7">
      <c r="A206" s="54">
        <v>183</v>
      </c>
      <c r="B206" s="55">
        <f t="shared" si="14"/>
        <v>42583</v>
      </c>
      <c r="C206" s="53">
        <f t="shared" si="18"/>
        <v>0</v>
      </c>
      <c r="D206" s="56">
        <f t="shared" si="15"/>
        <v>0</v>
      </c>
      <c r="E206" s="56">
        <f t="shared" si="16"/>
        <v>0</v>
      </c>
      <c r="F206" s="56">
        <f t="shared" si="17"/>
        <v>0</v>
      </c>
      <c r="G206" s="53">
        <f t="shared" si="19"/>
        <v>0</v>
      </c>
    </row>
    <row r="207" spans="1:7">
      <c r="A207" s="54">
        <v>184</v>
      </c>
      <c r="B207" s="55">
        <f t="shared" si="14"/>
        <v>42614</v>
      </c>
      <c r="C207" s="53">
        <f t="shared" si="18"/>
        <v>0</v>
      </c>
      <c r="D207" s="56">
        <f t="shared" si="15"/>
        <v>0</v>
      </c>
      <c r="E207" s="56">
        <f t="shared" si="16"/>
        <v>0</v>
      </c>
      <c r="F207" s="56">
        <f t="shared" si="17"/>
        <v>0</v>
      </c>
      <c r="G207" s="53">
        <f t="shared" si="19"/>
        <v>0</v>
      </c>
    </row>
    <row r="208" spans="1:7">
      <c r="A208" s="54">
        <v>185</v>
      </c>
      <c r="B208" s="55">
        <f t="shared" si="14"/>
        <v>42644</v>
      </c>
      <c r="C208" s="53">
        <f t="shared" si="18"/>
        <v>0</v>
      </c>
      <c r="D208" s="56">
        <f t="shared" si="15"/>
        <v>0</v>
      </c>
      <c r="E208" s="56">
        <f t="shared" si="16"/>
        <v>0</v>
      </c>
      <c r="F208" s="56">
        <f t="shared" si="17"/>
        <v>0</v>
      </c>
      <c r="G208" s="53">
        <f t="shared" si="19"/>
        <v>0</v>
      </c>
    </row>
    <row r="209" spans="1:7">
      <c r="A209" s="54">
        <v>186</v>
      </c>
      <c r="B209" s="55">
        <f t="shared" si="14"/>
        <v>42675</v>
      </c>
      <c r="C209" s="53">
        <f t="shared" si="18"/>
        <v>0</v>
      </c>
      <c r="D209" s="56">
        <f t="shared" si="15"/>
        <v>0</v>
      </c>
      <c r="E209" s="56">
        <f t="shared" si="16"/>
        <v>0</v>
      </c>
      <c r="F209" s="56">
        <f t="shared" si="17"/>
        <v>0</v>
      </c>
      <c r="G209" s="53">
        <f t="shared" si="19"/>
        <v>0</v>
      </c>
    </row>
    <row r="210" spans="1:7">
      <c r="A210" s="54">
        <v>187</v>
      </c>
      <c r="B210" s="55">
        <f t="shared" si="14"/>
        <v>42705</v>
      </c>
      <c r="C210" s="53">
        <f t="shared" si="18"/>
        <v>0</v>
      </c>
      <c r="D210" s="56">
        <f t="shared" si="15"/>
        <v>0</v>
      </c>
      <c r="E210" s="56">
        <f t="shared" si="16"/>
        <v>0</v>
      </c>
      <c r="F210" s="56">
        <f t="shared" si="17"/>
        <v>0</v>
      </c>
      <c r="G210" s="53">
        <f t="shared" si="19"/>
        <v>0</v>
      </c>
    </row>
    <row r="211" spans="1:7">
      <c r="A211" s="54">
        <v>188</v>
      </c>
      <c r="B211" s="55">
        <f t="shared" si="14"/>
        <v>42736</v>
      </c>
      <c r="C211" s="53">
        <f t="shared" si="18"/>
        <v>0</v>
      </c>
      <c r="D211" s="56">
        <f t="shared" si="15"/>
        <v>0</v>
      </c>
      <c r="E211" s="56">
        <f t="shared" si="16"/>
        <v>0</v>
      </c>
      <c r="F211" s="56">
        <f t="shared" si="17"/>
        <v>0</v>
      </c>
      <c r="G211" s="53">
        <f t="shared" si="19"/>
        <v>0</v>
      </c>
    </row>
    <row r="212" spans="1:7">
      <c r="A212" s="54">
        <v>189</v>
      </c>
      <c r="B212" s="55">
        <f t="shared" si="14"/>
        <v>42767</v>
      </c>
      <c r="C212" s="53">
        <f t="shared" si="18"/>
        <v>0</v>
      </c>
      <c r="D212" s="56">
        <f t="shared" si="15"/>
        <v>0</v>
      </c>
      <c r="E212" s="56">
        <f t="shared" si="16"/>
        <v>0</v>
      </c>
      <c r="F212" s="56">
        <f t="shared" si="17"/>
        <v>0</v>
      </c>
      <c r="G212" s="53">
        <f t="shared" si="19"/>
        <v>0</v>
      </c>
    </row>
    <row r="213" spans="1:7">
      <c r="A213" s="54">
        <v>190</v>
      </c>
      <c r="B213" s="55">
        <f t="shared" si="14"/>
        <v>42795</v>
      </c>
      <c r="C213" s="53">
        <f t="shared" si="18"/>
        <v>0</v>
      </c>
      <c r="D213" s="56">
        <f t="shared" si="15"/>
        <v>0</v>
      </c>
      <c r="E213" s="56">
        <f t="shared" si="16"/>
        <v>0</v>
      </c>
      <c r="F213" s="56">
        <f t="shared" si="17"/>
        <v>0</v>
      </c>
      <c r="G213" s="53">
        <f t="shared" si="19"/>
        <v>0</v>
      </c>
    </row>
    <row r="214" spans="1:7">
      <c r="A214" s="54">
        <v>191</v>
      </c>
      <c r="B214" s="55">
        <f t="shared" ref="B214:B277" si="20">bill12</f>
        <v>42826</v>
      </c>
      <c r="C214" s="53">
        <f t="shared" si="18"/>
        <v>0</v>
      </c>
      <c r="D214" s="56">
        <f t="shared" ref="D214:D277" si="21">bill14</f>
        <v>0</v>
      </c>
      <c r="E214" s="56">
        <f t="shared" ref="E214:E277" si="22">bill15</f>
        <v>0</v>
      </c>
      <c r="F214" s="56">
        <f t="shared" ref="F214:F277" si="23">bill16</f>
        <v>0</v>
      </c>
      <c r="G214" s="53">
        <f t="shared" si="19"/>
        <v>0</v>
      </c>
    </row>
    <row r="215" spans="1:7">
      <c r="A215" s="54">
        <v>192</v>
      </c>
      <c r="B215" s="55">
        <f t="shared" si="20"/>
        <v>42856</v>
      </c>
      <c r="C215" s="53">
        <f t="shared" si="18"/>
        <v>0</v>
      </c>
      <c r="D215" s="56">
        <f t="shared" si="21"/>
        <v>0</v>
      </c>
      <c r="E215" s="56">
        <f t="shared" si="22"/>
        <v>0</v>
      </c>
      <c r="F215" s="56">
        <f t="shared" si="23"/>
        <v>0</v>
      </c>
      <c r="G215" s="53">
        <f t="shared" si="19"/>
        <v>0</v>
      </c>
    </row>
    <row r="216" spans="1:7">
      <c r="A216" s="54">
        <v>193</v>
      </c>
      <c r="B216" s="55">
        <f t="shared" si="20"/>
        <v>42887</v>
      </c>
      <c r="C216" s="53">
        <f t="shared" si="18"/>
        <v>0</v>
      </c>
      <c r="D216" s="56">
        <f t="shared" si="21"/>
        <v>0</v>
      </c>
      <c r="E216" s="56">
        <f t="shared" si="22"/>
        <v>0</v>
      </c>
      <c r="F216" s="56">
        <f t="shared" si="23"/>
        <v>0</v>
      </c>
      <c r="G216" s="53">
        <f t="shared" si="19"/>
        <v>0</v>
      </c>
    </row>
    <row r="217" spans="1:7">
      <c r="A217" s="54">
        <v>194</v>
      </c>
      <c r="B217" s="55">
        <f t="shared" si="20"/>
        <v>42917</v>
      </c>
      <c r="C217" s="53">
        <f t="shared" si="18"/>
        <v>0</v>
      </c>
      <c r="D217" s="56">
        <f t="shared" si="21"/>
        <v>0</v>
      </c>
      <c r="E217" s="56">
        <f t="shared" si="22"/>
        <v>0</v>
      </c>
      <c r="F217" s="56">
        <f t="shared" si="23"/>
        <v>0</v>
      </c>
      <c r="G217" s="53">
        <f t="shared" si="19"/>
        <v>0</v>
      </c>
    </row>
    <row r="218" spans="1:7">
      <c r="A218" s="54">
        <v>195</v>
      </c>
      <c r="B218" s="55">
        <f t="shared" si="20"/>
        <v>42948</v>
      </c>
      <c r="C218" s="53">
        <f t="shared" si="18"/>
        <v>0</v>
      </c>
      <c r="D218" s="56">
        <f t="shared" si="21"/>
        <v>0</v>
      </c>
      <c r="E218" s="56">
        <f t="shared" si="22"/>
        <v>0</v>
      </c>
      <c r="F218" s="56">
        <f t="shared" si="23"/>
        <v>0</v>
      </c>
      <c r="G218" s="53">
        <f t="shared" si="19"/>
        <v>0</v>
      </c>
    </row>
    <row r="219" spans="1:7">
      <c r="A219" s="54">
        <v>196</v>
      </c>
      <c r="B219" s="55">
        <f t="shared" si="20"/>
        <v>42979</v>
      </c>
      <c r="C219" s="53">
        <f t="shared" si="18"/>
        <v>0</v>
      </c>
      <c r="D219" s="56">
        <f t="shared" si="21"/>
        <v>0</v>
      </c>
      <c r="E219" s="56">
        <f t="shared" si="22"/>
        <v>0</v>
      </c>
      <c r="F219" s="56">
        <f t="shared" si="23"/>
        <v>0</v>
      </c>
      <c r="G219" s="53">
        <f t="shared" si="19"/>
        <v>0</v>
      </c>
    </row>
    <row r="220" spans="1:7">
      <c r="A220" s="54">
        <v>197</v>
      </c>
      <c r="B220" s="55">
        <f t="shared" si="20"/>
        <v>43009</v>
      </c>
      <c r="C220" s="53">
        <f t="shared" si="18"/>
        <v>0</v>
      </c>
      <c r="D220" s="56">
        <f t="shared" si="21"/>
        <v>0</v>
      </c>
      <c r="E220" s="56">
        <f t="shared" si="22"/>
        <v>0</v>
      </c>
      <c r="F220" s="56">
        <f t="shared" si="23"/>
        <v>0</v>
      </c>
      <c r="G220" s="53">
        <f t="shared" si="19"/>
        <v>0</v>
      </c>
    </row>
    <row r="221" spans="1:7">
      <c r="A221" s="54">
        <v>198</v>
      </c>
      <c r="B221" s="55">
        <f t="shared" si="20"/>
        <v>43040</v>
      </c>
      <c r="C221" s="53">
        <f t="shared" si="18"/>
        <v>0</v>
      </c>
      <c r="D221" s="56">
        <f t="shared" si="21"/>
        <v>0</v>
      </c>
      <c r="E221" s="56">
        <f t="shared" si="22"/>
        <v>0</v>
      </c>
      <c r="F221" s="56">
        <f t="shared" si="23"/>
        <v>0</v>
      </c>
      <c r="G221" s="53">
        <f t="shared" si="19"/>
        <v>0</v>
      </c>
    </row>
    <row r="222" spans="1:7">
      <c r="A222" s="54">
        <v>199</v>
      </c>
      <c r="B222" s="55">
        <f t="shared" si="20"/>
        <v>43070</v>
      </c>
      <c r="C222" s="53">
        <f t="shared" si="18"/>
        <v>0</v>
      </c>
      <c r="D222" s="56">
        <f t="shared" si="21"/>
        <v>0</v>
      </c>
      <c r="E222" s="56">
        <f t="shared" si="22"/>
        <v>0</v>
      </c>
      <c r="F222" s="56">
        <f t="shared" si="23"/>
        <v>0</v>
      </c>
      <c r="G222" s="53">
        <f t="shared" si="19"/>
        <v>0</v>
      </c>
    </row>
    <row r="223" spans="1:7">
      <c r="A223" s="54">
        <v>200</v>
      </c>
      <c r="B223" s="55">
        <f t="shared" si="20"/>
        <v>43101</v>
      </c>
      <c r="C223" s="53">
        <f t="shared" si="18"/>
        <v>0</v>
      </c>
      <c r="D223" s="56">
        <f t="shared" si="21"/>
        <v>0</v>
      </c>
      <c r="E223" s="56">
        <f t="shared" si="22"/>
        <v>0</v>
      </c>
      <c r="F223" s="56">
        <f t="shared" si="23"/>
        <v>0</v>
      </c>
      <c r="G223" s="53">
        <f t="shared" si="19"/>
        <v>0</v>
      </c>
    </row>
    <row r="224" spans="1:7">
      <c r="A224" s="54">
        <v>201</v>
      </c>
      <c r="B224" s="55">
        <f t="shared" si="20"/>
        <v>43132</v>
      </c>
      <c r="C224" s="53">
        <f t="shared" si="18"/>
        <v>0</v>
      </c>
      <c r="D224" s="56">
        <f t="shared" si="21"/>
        <v>0</v>
      </c>
      <c r="E224" s="56">
        <f t="shared" si="22"/>
        <v>0</v>
      </c>
      <c r="F224" s="56">
        <f t="shared" si="23"/>
        <v>0</v>
      </c>
      <c r="G224" s="53">
        <f t="shared" si="19"/>
        <v>0</v>
      </c>
    </row>
    <row r="225" spans="1:7">
      <c r="A225" s="54">
        <v>202</v>
      </c>
      <c r="B225" s="55">
        <f t="shared" si="20"/>
        <v>43160</v>
      </c>
      <c r="C225" s="53">
        <f t="shared" si="18"/>
        <v>0</v>
      </c>
      <c r="D225" s="56">
        <f t="shared" si="21"/>
        <v>0</v>
      </c>
      <c r="E225" s="56">
        <f t="shared" si="22"/>
        <v>0</v>
      </c>
      <c r="F225" s="56">
        <f t="shared" si="23"/>
        <v>0</v>
      </c>
      <c r="G225" s="53">
        <f t="shared" si="19"/>
        <v>0</v>
      </c>
    </row>
    <row r="226" spans="1:7">
      <c r="A226" s="54">
        <v>203</v>
      </c>
      <c r="B226" s="55">
        <f t="shared" si="20"/>
        <v>43191</v>
      </c>
      <c r="C226" s="53">
        <f t="shared" si="18"/>
        <v>0</v>
      </c>
      <c r="D226" s="56">
        <f t="shared" si="21"/>
        <v>0</v>
      </c>
      <c r="E226" s="56">
        <f t="shared" si="22"/>
        <v>0</v>
      </c>
      <c r="F226" s="56">
        <f t="shared" si="23"/>
        <v>0</v>
      </c>
      <c r="G226" s="53">
        <f t="shared" si="19"/>
        <v>0</v>
      </c>
    </row>
    <row r="227" spans="1:7">
      <c r="A227" s="54">
        <v>204</v>
      </c>
      <c r="B227" s="55">
        <f t="shared" si="20"/>
        <v>43221</v>
      </c>
      <c r="C227" s="53">
        <f t="shared" si="18"/>
        <v>0</v>
      </c>
      <c r="D227" s="56">
        <f t="shared" si="21"/>
        <v>0</v>
      </c>
      <c r="E227" s="56">
        <f t="shared" si="22"/>
        <v>0</v>
      </c>
      <c r="F227" s="56">
        <f t="shared" si="23"/>
        <v>0</v>
      </c>
      <c r="G227" s="53">
        <f t="shared" si="19"/>
        <v>0</v>
      </c>
    </row>
    <row r="228" spans="1:7">
      <c r="A228" s="54">
        <v>205</v>
      </c>
      <c r="B228" s="55">
        <f t="shared" si="20"/>
        <v>43252</v>
      </c>
      <c r="C228" s="53">
        <f t="shared" si="18"/>
        <v>0</v>
      </c>
      <c r="D228" s="56">
        <f t="shared" si="21"/>
        <v>0</v>
      </c>
      <c r="E228" s="56">
        <f t="shared" si="22"/>
        <v>0</v>
      </c>
      <c r="F228" s="56">
        <f t="shared" si="23"/>
        <v>0</v>
      </c>
      <c r="G228" s="53">
        <f t="shared" si="19"/>
        <v>0</v>
      </c>
    </row>
    <row r="229" spans="1:7">
      <c r="A229" s="54">
        <v>206</v>
      </c>
      <c r="B229" s="55">
        <f t="shared" si="20"/>
        <v>43282</v>
      </c>
      <c r="C229" s="53">
        <f t="shared" si="18"/>
        <v>0</v>
      </c>
      <c r="D229" s="56">
        <f t="shared" si="21"/>
        <v>0</v>
      </c>
      <c r="E229" s="56">
        <f t="shared" si="22"/>
        <v>0</v>
      </c>
      <c r="F229" s="56">
        <f t="shared" si="23"/>
        <v>0</v>
      </c>
      <c r="G229" s="53">
        <f t="shared" si="19"/>
        <v>0</v>
      </c>
    </row>
    <row r="230" spans="1:7">
      <c r="A230" s="54">
        <v>207</v>
      </c>
      <c r="B230" s="55">
        <f t="shared" si="20"/>
        <v>43313</v>
      </c>
      <c r="C230" s="53">
        <f t="shared" si="18"/>
        <v>0</v>
      </c>
      <c r="D230" s="56">
        <f t="shared" si="21"/>
        <v>0</v>
      </c>
      <c r="E230" s="56">
        <f t="shared" si="22"/>
        <v>0</v>
      </c>
      <c r="F230" s="56">
        <f t="shared" si="23"/>
        <v>0</v>
      </c>
      <c r="G230" s="53">
        <f t="shared" si="19"/>
        <v>0</v>
      </c>
    </row>
    <row r="231" spans="1:7">
      <c r="A231" s="54">
        <v>208</v>
      </c>
      <c r="B231" s="55">
        <f t="shared" si="20"/>
        <v>43344</v>
      </c>
      <c r="C231" s="53">
        <f t="shared" si="18"/>
        <v>0</v>
      </c>
      <c r="D231" s="56">
        <f t="shared" si="21"/>
        <v>0</v>
      </c>
      <c r="E231" s="56">
        <f t="shared" si="22"/>
        <v>0</v>
      </c>
      <c r="F231" s="56">
        <f t="shared" si="23"/>
        <v>0</v>
      </c>
      <c r="G231" s="53">
        <f t="shared" si="19"/>
        <v>0</v>
      </c>
    </row>
    <row r="232" spans="1:7">
      <c r="A232" s="54">
        <v>209</v>
      </c>
      <c r="B232" s="55">
        <f t="shared" si="20"/>
        <v>43374</v>
      </c>
      <c r="C232" s="53">
        <f t="shared" si="18"/>
        <v>0</v>
      </c>
      <c r="D232" s="56">
        <f t="shared" si="21"/>
        <v>0</v>
      </c>
      <c r="E232" s="56">
        <f t="shared" si="22"/>
        <v>0</v>
      </c>
      <c r="F232" s="56">
        <f t="shared" si="23"/>
        <v>0</v>
      </c>
      <c r="G232" s="53">
        <f t="shared" si="19"/>
        <v>0</v>
      </c>
    </row>
    <row r="233" spans="1:7">
      <c r="A233" s="54">
        <v>210</v>
      </c>
      <c r="B233" s="55">
        <f t="shared" si="20"/>
        <v>43405</v>
      </c>
      <c r="C233" s="53">
        <f t="shared" si="18"/>
        <v>0</v>
      </c>
      <c r="D233" s="56">
        <f t="shared" si="21"/>
        <v>0</v>
      </c>
      <c r="E233" s="56">
        <f t="shared" si="22"/>
        <v>0</v>
      </c>
      <c r="F233" s="56">
        <f t="shared" si="23"/>
        <v>0</v>
      </c>
      <c r="G233" s="53">
        <f t="shared" si="19"/>
        <v>0</v>
      </c>
    </row>
    <row r="234" spans="1:7">
      <c r="A234" s="54">
        <v>211</v>
      </c>
      <c r="B234" s="55">
        <f t="shared" si="20"/>
        <v>43435</v>
      </c>
      <c r="C234" s="53">
        <f t="shared" si="18"/>
        <v>0</v>
      </c>
      <c r="D234" s="56">
        <f t="shared" si="21"/>
        <v>0</v>
      </c>
      <c r="E234" s="56">
        <f t="shared" si="22"/>
        <v>0</v>
      </c>
      <c r="F234" s="56">
        <f t="shared" si="23"/>
        <v>0</v>
      </c>
      <c r="G234" s="53">
        <f t="shared" si="19"/>
        <v>0</v>
      </c>
    </row>
    <row r="235" spans="1:7">
      <c r="A235" s="54">
        <v>212</v>
      </c>
      <c r="B235" s="55">
        <f t="shared" si="20"/>
        <v>43466</v>
      </c>
      <c r="C235" s="53">
        <f t="shared" si="18"/>
        <v>0</v>
      </c>
      <c r="D235" s="56">
        <f t="shared" si="21"/>
        <v>0</v>
      </c>
      <c r="E235" s="56">
        <f t="shared" si="22"/>
        <v>0</v>
      </c>
      <c r="F235" s="56">
        <f t="shared" si="23"/>
        <v>0</v>
      </c>
      <c r="G235" s="53">
        <f t="shared" si="19"/>
        <v>0</v>
      </c>
    </row>
    <row r="236" spans="1:7">
      <c r="A236" s="54">
        <v>213</v>
      </c>
      <c r="B236" s="55">
        <f t="shared" si="20"/>
        <v>43497</v>
      </c>
      <c r="C236" s="53">
        <f t="shared" si="18"/>
        <v>0</v>
      </c>
      <c r="D236" s="56">
        <f t="shared" si="21"/>
        <v>0</v>
      </c>
      <c r="E236" s="56">
        <f t="shared" si="22"/>
        <v>0</v>
      </c>
      <c r="F236" s="56">
        <f t="shared" si="23"/>
        <v>0</v>
      </c>
      <c r="G236" s="53">
        <f t="shared" si="19"/>
        <v>0</v>
      </c>
    </row>
    <row r="237" spans="1:7">
      <c r="A237" s="54">
        <v>214</v>
      </c>
      <c r="B237" s="55">
        <f t="shared" si="20"/>
        <v>43525</v>
      </c>
      <c r="C237" s="53">
        <f t="shared" si="18"/>
        <v>0</v>
      </c>
      <c r="D237" s="56">
        <f t="shared" si="21"/>
        <v>0</v>
      </c>
      <c r="E237" s="56">
        <f t="shared" si="22"/>
        <v>0</v>
      </c>
      <c r="F237" s="56">
        <f t="shared" si="23"/>
        <v>0</v>
      </c>
      <c r="G237" s="53">
        <f t="shared" si="19"/>
        <v>0</v>
      </c>
    </row>
    <row r="238" spans="1:7">
      <c r="A238" s="54">
        <v>215</v>
      </c>
      <c r="B238" s="55">
        <f t="shared" si="20"/>
        <v>43556</v>
      </c>
      <c r="C238" s="53">
        <f t="shared" si="18"/>
        <v>0</v>
      </c>
      <c r="D238" s="56">
        <f t="shared" si="21"/>
        <v>0</v>
      </c>
      <c r="E238" s="56">
        <f t="shared" si="22"/>
        <v>0</v>
      </c>
      <c r="F238" s="56">
        <f t="shared" si="23"/>
        <v>0</v>
      </c>
      <c r="G238" s="53">
        <f t="shared" si="19"/>
        <v>0</v>
      </c>
    </row>
    <row r="239" spans="1:7">
      <c r="A239" s="54">
        <v>216</v>
      </c>
      <c r="B239" s="55">
        <f t="shared" si="20"/>
        <v>43586</v>
      </c>
      <c r="C239" s="53">
        <f t="shared" si="18"/>
        <v>0</v>
      </c>
      <c r="D239" s="56">
        <f t="shared" si="21"/>
        <v>0</v>
      </c>
      <c r="E239" s="56">
        <f t="shared" si="22"/>
        <v>0</v>
      </c>
      <c r="F239" s="56">
        <f t="shared" si="23"/>
        <v>0</v>
      </c>
      <c r="G239" s="53">
        <f t="shared" si="19"/>
        <v>0</v>
      </c>
    </row>
    <row r="240" spans="1:7">
      <c r="A240" s="54">
        <v>217</v>
      </c>
      <c r="B240" s="55">
        <f t="shared" si="20"/>
        <v>43617</v>
      </c>
      <c r="C240" s="53">
        <f t="shared" si="18"/>
        <v>0</v>
      </c>
      <c r="D240" s="56">
        <f t="shared" si="21"/>
        <v>0</v>
      </c>
      <c r="E240" s="56">
        <f t="shared" si="22"/>
        <v>0</v>
      </c>
      <c r="F240" s="56">
        <f t="shared" si="23"/>
        <v>0</v>
      </c>
      <c r="G240" s="53">
        <f t="shared" si="19"/>
        <v>0</v>
      </c>
    </row>
    <row r="241" spans="1:7">
      <c r="A241" s="54">
        <v>218</v>
      </c>
      <c r="B241" s="55">
        <f t="shared" si="20"/>
        <v>43647</v>
      </c>
      <c r="C241" s="53">
        <f t="shared" si="18"/>
        <v>0</v>
      </c>
      <c r="D241" s="56">
        <f t="shared" si="21"/>
        <v>0</v>
      </c>
      <c r="E241" s="56">
        <f t="shared" si="22"/>
        <v>0</v>
      </c>
      <c r="F241" s="56">
        <f t="shared" si="23"/>
        <v>0</v>
      </c>
      <c r="G241" s="53">
        <f t="shared" si="19"/>
        <v>0</v>
      </c>
    </row>
    <row r="242" spans="1:7">
      <c r="A242" s="54">
        <v>219</v>
      </c>
      <c r="B242" s="55">
        <f t="shared" si="20"/>
        <v>43678</v>
      </c>
      <c r="C242" s="53">
        <f t="shared" si="18"/>
        <v>0</v>
      </c>
      <c r="D242" s="56">
        <f t="shared" si="21"/>
        <v>0</v>
      </c>
      <c r="E242" s="56">
        <f t="shared" si="22"/>
        <v>0</v>
      </c>
      <c r="F242" s="56">
        <f t="shared" si="23"/>
        <v>0</v>
      </c>
      <c r="G242" s="53">
        <f t="shared" si="19"/>
        <v>0</v>
      </c>
    </row>
    <row r="243" spans="1:7">
      <c r="A243" s="54">
        <v>220</v>
      </c>
      <c r="B243" s="55">
        <f t="shared" si="20"/>
        <v>43709</v>
      </c>
      <c r="C243" s="53">
        <f t="shared" si="18"/>
        <v>0</v>
      </c>
      <c r="D243" s="56">
        <f t="shared" si="21"/>
        <v>0</v>
      </c>
      <c r="E243" s="56">
        <f t="shared" si="22"/>
        <v>0</v>
      </c>
      <c r="F243" s="56">
        <f t="shared" si="23"/>
        <v>0</v>
      </c>
      <c r="G243" s="53">
        <f t="shared" si="19"/>
        <v>0</v>
      </c>
    </row>
    <row r="244" spans="1:7">
      <c r="A244" s="54">
        <v>221</v>
      </c>
      <c r="B244" s="55">
        <f t="shared" si="20"/>
        <v>43739</v>
      </c>
      <c r="C244" s="53">
        <f t="shared" si="18"/>
        <v>0</v>
      </c>
      <c r="D244" s="56">
        <f t="shared" si="21"/>
        <v>0</v>
      </c>
      <c r="E244" s="56">
        <f t="shared" si="22"/>
        <v>0</v>
      </c>
      <c r="F244" s="56">
        <f t="shared" si="23"/>
        <v>0</v>
      </c>
      <c r="G244" s="53">
        <f t="shared" si="19"/>
        <v>0</v>
      </c>
    </row>
    <row r="245" spans="1:7">
      <c r="A245" s="54">
        <v>222</v>
      </c>
      <c r="B245" s="55">
        <f t="shared" si="20"/>
        <v>43770</v>
      </c>
      <c r="C245" s="53">
        <f t="shared" si="18"/>
        <v>0</v>
      </c>
      <c r="D245" s="56">
        <f t="shared" si="21"/>
        <v>0</v>
      </c>
      <c r="E245" s="56">
        <f t="shared" si="22"/>
        <v>0</v>
      </c>
      <c r="F245" s="56">
        <f t="shared" si="23"/>
        <v>0</v>
      </c>
      <c r="G245" s="53">
        <f t="shared" si="19"/>
        <v>0</v>
      </c>
    </row>
    <row r="246" spans="1:7">
      <c r="A246" s="54">
        <v>223</v>
      </c>
      <c r="B246" s="55">
        <f t="shared" si="20"/>
        <v>43800</v>
      </c>
      <c r="C246" s="53">
        <f t="shared" si="18"/>
        <v>0</v>
      </c>
      <c r="D246" s="56">
        <f t="shared" si="21"/>
        <v>0</v>
      </c>
      <c r="E246" s="56">
        <f t="shared" si="22"/>
        <v>0</v>
      </c>
      <c r="F246" s="56">
        <f t="shared" si="23"/>
        <v>0</v>
      </c>
      <c r="G246" s="53">
        <f t="shared" si="19"/>
        <v>0</v>
      </c>
    </row>
    <row r="247" spans="1:7">
      <c r="A247" s="54">
        <v>224</v>
      </c>
      <c r="B247" s="55">
        <f t="shared" si="20"/>
        <v>43831</v>
      </c>
      <c r="C247" s="53">
        <f t="shared" si="18"/>
        <v>0</v>
      </c>
      <c r="D247" s="56">
        <f t="shared" si="21"/>
        <v>0</v>
      </c>
      <c r="E247" s="56">
        <f t="shared" si="22"/>
        <v>0</v>
      </c>
      <c r="F247" s="56">
        <f t="shared" si="23"/>
        <v>0</v>
      </c>
      <c r="G247" s="53">
        <f t="shared" si="19"/>
        <v>0</v>
      </c>
    </row>
    <row r="248" spans="1:7">
      <c r="A248" s="54">
        <v>225</v>
      </c>
      <c r="B248" s="55">
        <f t="shared" si="20"/>
        <v>43862</v>
      </c>
      <c r="C248" s="53">
        <f t="shared" si="18"/>
        <v>0</v>
      </c>
      <c r="D248" s="56">
        <f t="shared" si="21"/>
        <v>0</v>
      </c>
      <c r="E248" s="56">
        <f t="shared" si="22"/>
        <v>0</v>
      </c>
      <c r="F248" s="56">
        <f t="shared" si="23"/>
        <v>0</v>
      </c>
      <c r="G248" s="53">
        <f t="shared" si="19"/>
        <v>0</v>
      </c>
    </row>
    <row r="249" spans="1:7">
      <c r="A249" s="54">
        <v>226</v>
      </c>
      <c r="B249" s="55">
        <f t="shared" si="20"/>
        <v>43891</v>
      </c>
      <c r="C249" s="53">
        <f t="shared" si="18"/>
        <v>0</v>
      </c>
      <c r="D249" s="56">
        <f t="shared" si="21"/>
        <v>0</v>
      </c>
      <c r="E249" s="56">
        <f t="shared" si="22"/>
        <v>0</v>
      </c>
      <c r="F249" s="56">
        <f t="shared" si="23"/>
        <v>0</v>
      </c>
      <c r="G249" s="53">
        <f t="shared" si="19"/>
        <v>0</v>
      </c>
    </row>
    <row r="250" spans="1:7">
      <c r="A250" s="54">
        <v>227</v>
      </c>
      <c r="B250" s="55">
        <f t="shared" si="20"/>
        <v>43922</v>
      </c>
      <c r="C250" s="53">
        <f t="shared" ref="C250:C313" si="24">+F249</f>
        <v>0</v>
      </c>
      <c r="D250" s="56">
        <f t="shared" si="21"/>
        <v>0</v>
      </c>
      <c r="E250" s="56">
        <f t="shared" si="22"/>
        <v>0</v>
      </c>
      <c r="F250" s="56">
        <f t="shared" si="23"/>
        <v>0</v>
      </c>
      <c r="G250" s="53">
        <f t="shared" ref="G250:G313" si="25">+G249+D250</f>
        <v>0</v>
      </c>
    </row>
    <row r="251" spans="1:7">
      <c r="A251" s="54">
        <v>228</v>
      </c>
      <c r="B251" s="55">
        <f t="shared" si="20"/>
        <v>43952</v>
      </c>
      <c r="C251" s="53">
        <f t="shared" si="24"/>
        <v>0</v>
      </c>
      <c r="D251" s="56">
        <f t="shared" si="21"/>
        <v>0</v>
      </c>
      <c r="E251" s="56">
        <f t="shared" si="22"/>
        <v>0</v>
      </c>
      <c r="F251" s="56">
        <f t="shared" si="23"/>
        <v>0</v>
      </c>
      <c r="G251" s="53">
        <f t="shared" si="25"/>
        <v>0</v>
      </c>
    </row>
    <row r="252" spans="1:7">
      <c r="A252" s="54">
        <v>229</v>
      </c>
      <c r="B252" s="55">
        <f t="shared" si="20"/>
        <v>43983</v>
      </c>
      <c r="C252" s="53">
        <f t="shared" si="24"/>
        <v>0</v>
      </c>
      <c r="D252" s="56">
        <f t="shared" si="21"/>
        <v>0</v>
      </c>
      <c r="E252" s="56">
        <f t="shared" si="22"/>
        <v>0</v>
      </c>
      <c r="F252" s="56">
        <f t="shared" si="23"/>
        <v>0</v>
      </c>
      <c r="G252" s="53">
        <f t="shared" si="25"/>
        <v>0</v>
      </c>
    </row>
    <row r="253" spans="1:7">
      <c r="A253" s="54">
        <v>230</v>
      </c>
      <c r="B253" s="55">
        <f t="shared" si="20"/>
        <v>44013</v>
      </c>
      <c r="C253" s="53">
        <f t="shared" si="24"/>
        <v>0</v>
      </c>
      <c r="D253" s="56">
        <f t="shared" si="21"/>
        <v>0</v>
      </c>
      <c r="E253" s="56">
        <f t="shared" si="22"/>
        <v>0</v>
      </c>
      <c r="F253" s="56">
        <f t="shared" si="23"/>
        <v>0</v>
      </c>
      <c r="G253" s="53">
        <f t="shared" si="25"/>
        <v>0</v>
      </c>
    </row>
    <row r="254" spans="1:7">
      <c r="A254" s="54">
        <v>231</v>
      </c>
      <c r="B254" s="55">
        <f t="shared" si="20"/>
        <v>44044</v>
      </c>
      <c r="C254" s="53">
        <f t="shared" si="24"/>
        <v>0</v>
      </c>
      <c r="D254" s="56">
        <f t="shared" si="21"/>
        <v>0</v>
      </c>
      <c r="E254" s="56">
        <f t="shared" si="22"/>
        <v>0</v>
      </c>
      <c r="F254" s="56">
        <f t="shared" si="23"/>
        <v>0</v>
      </c>
      <c r="G254" s="53">
        <f t="shared" si="25"/>
        <v>0</v>
      </c>
    </row>
    <row r="255" spans="1:7">
      <c r="A255" s="54">
        <v>232</v>
      </c>
      <c r="B255" s="55">
        <f t="shared" si="20"/>
        <v>44075</v>
      </c>
      <c r="C255" s="53">
        <f t="shared" si="24"/>
        <v>0</v>
      </c>
      <c r="D255" s="56">
        <f t="shared" si="21"/>
        <v>0</v>
      </c>
      <c r="E255" s="56">
        <f t="shared" si="22"/>
        <v>0</v>
      </c>
      <c r="F255" s="56">
        <f t="shared" si="23"/>
        <v>0</v>
      </c>
      <c r="G255" s="53">
        <f t="shared" si="25"/>
        <v>0</v>
      </c>
    </row>
    <row r="256" spans="1:7">
      <c r="A256" s="54">
        <v>233</v>
      </c>
      <c r="B256" s="55">
        <f t="shared" si="20"/>
        <v>44105</v>
      </c>
      <c r="C256" s="53">
        <f t="shared" si="24"/>
        <v>0</v>
      </c>
      <c r="D256" s="56">
        <f t="shared" si="21"/>
        <v>0</v>
      </c>
      <c r="E256" s="56">
        <f t="shared" si="22"/>
        <v>0</v>
      </c>
      <c r="F256" s="56">
        <f t="shared" si="23"/>
        <v>0</v>
      </c>
      <c r="G256" s="53">
        <f t="shared" si="25"/>
        <v>0</v>
      </c>
    </row>
    <row r="257" spans="1:7">
      <c r="A257" s="54">
        <v>234</v>
      </c>
      <c r="B257" s="55">
        <f t="shared" si="20"/>
        <v>44136</v>
      </c>
      <c r="C257" s="53">
        <f t="shared" si="24"/>
        <v>0</v>
      </c>
      <c r="D257" s="56">
        <f t="shared" si="21"/>
        <v>0</v>
      </c>
      <c r="E257" s="56">
        <f t="shared" si="22"/>
        <v>0</v>
      </c>
      <c r="F257" s="56">
        <f t="shared" si="23"/>
        <v>0</v>
      </c>
      <c r="G257" s="53">
        <f t="shared" si="25"/>
        <v>0</v>
      </c>
    </row>
    <row r="258" spans="1:7">
      <c r="A258" s="54">
        <v>235</v>
      </c>
      <c r="B258" s="55">
        <f t="shared" si="20"/>
        <v>44166</v>
      </c>
      <c r="C258" s="53">
        <f t="shared" si="24"/>
        <v>0</v>
      </c>
      <c r="D258" s="56">
        <f t="shared" si="21"/>
        <v>0</v>
      </c>
      <c r="E258" s="56">
        <f t="shared" si="22"/>
        <v>0</v>
      </c>
      <c r="F258" s="56">
        <f t="shared" si="23"/>
        <v>0</v>
      </c>
      <c r="G258" s="53">
        <f t="shared" si="25"/>
        <v>0</v>
      </c>
    </row>
    <row r="259" spans="1:7">
      <c r="A259" s="54">
        <v>236</v>
      </c>
      <c r="B259" s="55">
        <f t="shared" si="20"/>
        <v>44197</v>
      </c>
      <c r="C259" s="53">
        <f t="shared" si="24"/>
        <v>0</v>
      </c>
      <c r="D259" s="56">
        <f t="shared" si="21"/>
        <v>0</v>
      </c>
      <c r="E259" s="56">
        <f t="shared" si="22"/>
        <v>0</v>
      </c>
      <c r="F259" s="56">
        <f t="shared" si="23"/>
        <v>0</v>
      </c>
      <c r="G259" s="53">
        <f t="shared" si="25"/>
        <v>0</v>
      </c>
    </row>
    <row r="260" spans="1:7">
      <c r="A260" s="54">
        <v>237</v>
      </c>
      <c r="B260" s="55">
        <f t="shared" si="20"/>
        <v>44228</v>
      </c>
      <c r="C260" s="53">
        <f t="shared" si="24"/>
        <v>0</v>
      </c>
      <c r="D260" s="56">
        <f t="shared" si="21"/>
        <v>0</v>
      </c>
      <c r="E260" s="56">
        <f t="shared" si="22"/>
        <v>0</v>
      </c>
      <c r="F260" s="56">
        <f t="shared" si="23"/>
        <v>0</v>
      </c>
      <c r="G260" s="53">
        <f t="shared" si="25"/>
        <v>0</v>
      </c>
    </row>
    <row r="261" spans="1:7">
      <c r="A261" s="54">
        <v>238</v>
      </c>
      <c r="B261" s="55">
        <f t="shared" si="20"/>
        <v>44256</v>
      </c>
      <c r="C261" s="53">
        <f t="shared" si="24"/>
        <v>0</v>
      </c>
      <c r="D261" s="56">
        <f t="shared" si="21"/>
        <v>0</v>
      </c>
      <c r="E261" s="56">
        <f t="shared" si="22"/>
        <v>0</v>
      </c>
      <c r="F261" s="56">
        <f t="shared" si="23"/>
        <v>0</v>
      </c>
      <c r="G261" s="53">
        <f t="shared" si="25"/>
        <v>0</v>
      </c>
    </row>
    <row r="262" spans="1:7">
      <c r="A262" s="54">
        <v>239</v>
      </c>
      <c r="B262" s="55">
        <f t="shared" si="20"/>
        <v>44287</v>
      </c>
      <c r="C262" s="53">
        <f t="shared" si="24"/>
        <v>0</v>
      </c>
      <c r="D262" s="56">
        <f t="shared" si="21"/>
        <v>0</v>
      </c>
      <c r="E262" s="56">
        <f t="shared" si="22"/>
        <v>0</v>
      </c>
      <c r="F262" s="56">
        <f t="shared" si="23"/>
        <v>0</v>
      </c>
      <c r="G262" s="53">
        <f t="shared" si="25"/>
        <v>0</v>
      </c>
    </row>
    <row r="263" spans="1:7">
      <c r="A263" s="54">
        <v>240</v>
      </c>
      <c r="B263" s="55">
        <f t="shared" si="20"/>
        <v>44317</v>
      </c>
      <c r="C263" s="53">
        <f t="shared" si="24"/>
        <v>0</v>
      </c>
      <c r="D263" s="56">
        <f t="shared" si="21"/>
        <v>0</v>
      </c>
      <c r="E263" s="56">
        <f t="shared" si="22"/>
        <v>0</v>
      </c>
      <c r="F263" s="56">
        <f t="shared" si="23"/>
        <v>0</v>
      </c>
      <c r="G263" s="53">
        <f t="shared" si="25"/>
        <v>0</v>
      </c>
    </row>
    <row r="264" spans="1:7">
      <c r="A264" s="54">
        <v>241</v>
      </c>
      <c r="B264" s="55">
        <f t="shared" si="20"/>
        <v>44348</v>
      </c>
      <c r="C264" s="53">
        <f t="shared" si="24"/>
        <v>0</v>
      </c>
      <c r="D264" s="56">
        <f t="shared" si="21"/>
        <v>0</v>
      </c>
      <c r="E264" s="56">
        <f t="shared" si="22"/>
        <v>0</v>
      </c>
      <c r="F264" s="56">
        <f t="shared" si="23"/>
        <v>0</v>
      </c>
      <c r="G264" s="53">
        <f t="shared" si="25"/>
        <v>0</v>
      </c>
    </row>
    <row r="265" spans="1:7">
      <c r="A265" s="54">
        <v>242</v>
      </c>
      <c r="B265" s="55">
        <f t="shared" si="20"/>
        <v>44378</v>
      </c>
      <c r="C265" s="53">
        <f t="shared" si="24"/>
        <v>0</v>
      </c>
      <c r="D265" s="56">
        <f t="shared" si="21"/>
        <v>0</v>
      </c>
      <c r="E265" s="56">
        <f t="shared" si="22"/>
        <v>0</v>
      </c>
      <c r="F265" s="56">
        <f t="shared" si="23"/>
        <v>0</v>
      </c>
      <c r="G265" s="53">
        <f t="shared" si="25"/>
        <v>0</v>
      </c>
    </row>
    <row r="266" spans="1:7">
      <c r="A266" s="54">
        <v>243</v>
      </c>
      <c r="B266" s="55">
        <f t="shared" si="20"/>
        <v>44409</v>
      </c>
      <c r="C266" s="53">
        <f t="shared" si="24"/>
        <v>0</v>
      </c>
      <c r="D266" s="56">
        <f t="shared" si="21"/>
        <v>0</v>
      </c>
      <c r="E266" s="56">
        <f t="shared" si="22"/>
        <v>0</v>
      </c>
      <c r="F266" s="56">
        <f t="shared" si="23"/>
        <v>0</v>
      </c>
      <c r="G266" s="53">
        <f t="shared" si="25"/>
        <v>0</v>
      </c>
    </row>
    <row r="267" spans="1:7">
      <c r="A267" s="54">
        <v>244</v>
      </c>
      <c r="B267" s="55">
        <f t="shared" si="20"/>
        <v>44440</v>
      </c>
      <c r="C267" s="53">
        <f t="shared" si="24"/>
        <v>0</v>
      </c>
      <c r="D267" s="56">
        <f t="shared" si="21"/>
        <v>0</v>
      </c>
      <c r="E267" s="56">
        <f t="shared" si="22"/>
        <v>0</v>
      </c>
      <c r="F267" s="56">
        <f t="shared" si="23"/>
        <v>0</v>
      </c>
      <c r="G267" s="53">
        <f t="shared" si="25"/>
        <v>0</v>
      </c>
    </row>
    <row r="268" spans="1:7">
      <c r="A268" s="54">
        <v>245</v>
      </c>
      <c r="B268" s="55">
        <f t="shared" si="20"/>
        <v>44470</v>
      </c>
      <c r="C268" s="53">
        <f t="shared" si="24"/>
        <v>0</v>
      </c>
      <c r="D268" s="56">
        <f t="shared" si="21"/>
        <v>0</v>
      </c>
      <c r="E268" s="56">
        <f t="shared" si="22"/>
        <v>0</v>
      </c>
      <c r="F268" s="56">
        <f t="shared" si="23"/>
        <v>0</v>
      </c>
      <c r="G268" s="53">
        <f t="shared" si="25"/>
        <v>0</v>
      </c>
    </row>
    <row r="269" spans="1:7">
      <c r="A269" s="54">
        <v>246</v>
      </c>
      <c r="B269" s="55">
        <f t="shared" si="20"/>
        <v>44501</v>
      </c>
      <c r="C269" s="53">
        <f t="shared" si="24"/>
        <v>0</v>
      </c>
      <c r="D269" s="56">
        <f t="shared" si="21"/>
        <v>0</v>
      </c>
      <c r="E269" s="56">
        <f t="shared" si="22"/>
        <v>0</v>
      </c>
      <c r="F269" s="56">
        <f t="shared" si="23"/>
        <v>0</v>
      </c>
      <c r="G269" s="53">
        <f t="shared" si="25"/>
        <v>0</v>
      </c>
    </row>
    <row r="270" spans="1:7">
      <c r="A270" s="54">
        <v>247</v>
      </c>
      <c r="B270" s="55">
        <f t="shared" si="20"/>
        <v>44531</v>
      </c>
      <c r="C270" s="53">
        <f t="shared" si="24"/>
        <v>0</v>
      </c>
      <c r="D270" s="56">
        <f t="shared" si="21"/>
        <v>0</v>
      </c>
      <c r="E270" s="56">
        <f t="shared" si="22"/>
        <v>0</v>
      </c>
      <c r="F270" s="56">
        <f t="shared" si="23"/>
        <v>0</v>
      </c>
      <c r="G270" s="53">
        <f t="shared" si="25"/>
        <v>0</v>
      </c>
    </row>
    <row r="271" spans="1:7">
      <c r="A271" s="54">
        <v>248</v>
      </c>
      <c r="B271" s="55">
        <f t="shared" si="20"/>
        <v>44562</v>
      </c>
      <c r="C271" s="53">
        <f t="shared" si="24"/>
        <v>0</v>
      </c>
      <c r="D271" s="56">
        <f t="shared" si="21"/>
        <v>0</v>
      </c>
      <c r="E271" s="56">
        <f t="shared" si="22"/>
        <v>0</v>
      </c>
      <c r="F271" s="56">
        <f t="shared" si="23"/>
        <v>0</v>
      </c>
      <c r="G271" s="53">
        <f t="shared" si="25"/>
        <v>0</v>
      </c>
    </row>
    <row r="272" spans="1:7">
      <c r="A272" s="54">
        <v>249</v>
      </c>
      <c r="B272" s="55">
        <f t="shared" si="20"/>
        <v>44593</v>
      </c>
      <c r="C272" s="53">
        <f t="shared" si="24"/>
        <v>0</v>
      </c>
      <c r="D272" s="56">
        <f t="shared" si="21"/>
        <v>0</v>
      </c>
      <c r="E272" s="56">
        <f t="shared" si="22"/>
        <v>0</v>
      </c>
      <c r="F272" s="56">
        <f t="shared" si="23"/>
        <v>0</v>
      </c>
      <c r="G272" s="53">
        <f t="shared" si="25"/>
        <v>0</v>
      </c>
    </row>
    <row r="273" spans="1:7">
      <c r="A273" s="54">
        <v>250</v>
      </c>
      <c r="B273" s="55">
        <f t="shared" si="20"/>
        <v>44621</v>
      </c>
      <c r="C273" s="53">
        <f t="shared" si="24"/>
        <v>0</v>
      </c>
      <c r="D273" s="56">
        <f t="shared" si="21"/>
        <v>0</v>
      </c>
      <c r="E273" s="56">
        <f t="shared" si="22"/>
        <v>0</v>
      </c>
      <c r="F273" s="56">
        <f t="shared" si="23"/>
        <v>0</v>
      </c>
      <c r="G273" s="53">
        <f t="shared" si="25"/>
        <v>0</v>
      </c>
    </row>
    <row r="274" spans="1:7">
      <c r="A274" s="54">
        <v>251</v>
      </c>
      <c r="B274" s="55">
        <f t="shared" si="20"/>
        <v>44652</v>
      </c>
      <c r="C274" s="53">
        <f t="shared" si="24"/>
        <v>0</v>
      </c>
      <c r="D274" s="56">
        <f t="shared" si="21"/>
        <v>0</v>
      </c>
      <c r="E274" s="56">
        <f t="shared" si="22"/>
        <v>0</v>
      </c>
      <c r="F274" s="56">
        <f t="shared" si="23"/>
        <v>0</v>
      </c>
      <c r="G274" s="53">
        <f t="shared" si="25"/>
        <v>0</v>
      </c>
    </row>
    <row r="275" spans="1:7">
      <c r="A275" s="54">
        <v>252</v>
      </c>
      <c r="B275" s="55">
        <f t="shared" si="20"/>
        <v>44682</v>
      </c>
      <c r="C275" s="53">
        <f t="shared" si="24"/>
        <v>0</v>
      </c>
      <c r="D275" s="56">
        <f t="shared" si="21"/>
        <v>0</v>
      </c>
      <c r="E275" s="56">
        <f t="shared" si="22"/>
        <v>0</v>
      </c>
      <c r="F275" s="56">
        <f t="shared" si="23"/>
        <v>0</v>
      </c>
      <c r="G275" s="53">
        <f t="shared" si="25"/>
        <v>0</v>
      </c>
    </row>
    <row r="276" spans="1:7">
      <c r="A276" s="54">
        <v>253</v>
      </c>
      <c r="B276" s="55">
        <f t="shared" si="20"/>
        <v>44713</v>
      </c>
      <c r="C276" s="53">
        <f t="shared" si="24"/>
        <v>0</v>
      </c>
      <c r="D276" s="56">
        <f t="shared" si="21"/>
        <v>0</v>
      </c>
      <c r="E276" s="56">
        <f t="shared" si="22"/>
        <v>0</v>
      </c>
      <c r="F276" s="56">
        <f t="shared" si="23"/>
        <v>0</v>
      </c>
      <c r="G276" s="53">
        <f t="shared" si="25"/>
        <v>0</v>
      </c>
    </row>
    <row r="277" spans="1:7">
      <c r="A277" s="54">
        <v>254</v>
      </c>
      <c r="B277" s="55">
        <f t="shared" si="20"/>
        <v>44743</v>
      </c>
      <c r="C277" s="53">
        <f t="shared" si="24"/>
        <v>0</v>
      </c>
      <c r="D277" s="56">
        <f t="shared" si="21"/>
        <v>0</v>
      </c>
      <c r="E277" s="56">
        <f t="shared" si="22"/>
        <v>0</v>
      </c>
      <c r="F277" s="56">
        <f t="shared" si="23"/>
        <v>0</v>
      </c>
      <c r="G277" s="53">
        <f t="shared" si="25"/>
        <v>0</v>
      </c>
    </row>
    <row r="278" spans="1:7">
      <c r="A278" s="54">
        <v>255</v>
      </c>
      <c r="B278" s="55">
        <f t="shared" ref="B278:B341" si="26">bill12</f>
        <v>44774</v>
      </c>
      <c r="C278" s="53">
        <f t="shared" si="24"/>
        <v>0</v>
      </c>
      <c r="D278" s="56">
        <f t="shared" ref="D278:D341" si="27">bill14</f>
        <v>0</v>
      </c>
      <c r="E278" s="56">
        <f t="shared" ref="E278:E341" si="28">bill15</f>
        <v>0</v>
      </c>
      <c r="F278" s="56">
        <f t="shared" ref="F278:F341" si="29">bill16</f>
        <v>0</v>
      </c>
      <c r="G278" s="53">
        <f t="shared" si="25"/>
        <v>0</v>
      </c>
    </row>
    <row r="279" spans="1:7">
      <c r="A279" s="54">
        <v>256</v>
      </c>
      <c r="B279" s="55">
        <f t="shared" si="26"/>
        <v>44805</v>
      </c>
      <c r="C279" s="53">
        <f t="shared" si="24"/>
        <v>0</v>
      </c>
      <c r="D279" s="56">
        <f t="shared" si="27"/>
        <v>0</v>
      </c>
      <c r="E279" s="56">
        <f t="shared" si="28"/>
        <v>0</v>
      </c>
      <c r="F279" s="56">
        <f t="shared" si="29"/>
        <v>0</v>
      </c>
      <c r="G279" s="53">
        <f t="shared" si="25"/>
        <v>0</v>
      </c>
    </row>
    <row r="280" spans="1:7">
      <c r="A280" s="54">
        <v>257</v>
      </c>
      <c r="B280" s="55">
        <f t="shared" si="26"/>
        <v>44835</v>
      </c>
      <c r="C280" s="53">
        <f t="shared" si="24"/>
        <v>0</v>
      </c>
      <c r="D280" s="56">
        <f t="shared" si="27"/>
        <v>0</v>
      </c>
      <c r="E280" s="56">
        <f t="shared" si="28"/>
        <v>0</v>
      </c>
      <c r="F280" s="56">
        <f t="shared" si="29"/>
        <v>0</v>
      </c>
      <c r="G280" s="53">
        <f t="shared" si="25"/>
        <v>0</v>
      </c>
    </row>
    <row r="281" spans="1:7">
      <c r="A281" s="54">
        <v>258</v>
      </c>
      <c r="B281" s="55">
        <f t="shared" si="26"/>
        <v>44866</v>
      </c>
      <c r="C281" s="53">
        <f t="shared" si="24"/>
        <v>0</v>
      </c>
      <c r="D281" s="56">
        <f t="shared" si="27"/>
        <v>0</v>
      </c>
      <c r="E281" s="56">
        <f t="shared" si="28"/>
        <v>0</v>
      </c>
      <c r="F281" s="56">
        <f t="shared" si="29"/>
        <v>0</v>
      </c>
      <c r="G281" s="53">
        <f t="shared" si="25"/>
        <v>0</v>
      </c>
    </row>
    <row r="282" spans="1:7">
      <c r="A282" s="54">
        <v>259</v>
      </c>
      <c r="B282" s="55">
        <f t="shared" si="26"/>
        <v>44896</v>
      </c>
      <c r="C282" s="53">
        <f t="shared" si="24"/>
        <v>0</v>
      </c>
      <c r="D282" s="56">
        <f t="shared" si="27"/>
        <v>0</v>
      </c>
      <c r="E282" s="56">
        <f t="shared" si="28"/>
        <v>0</v>
      </c>
      <c r="F282" s="56">
        <f t="shared" si="29"/>
        <v>0</v>
      </c>
      <c r="G282" s="53">
        <f t="shared" si="25"/>
        <v>0</v>
      </c>
    </row>
    <row r="283" spans="1:7">
      <c r="A283" s="54">
        <v>260</v>
      </c>
      <c r="B283" s="55">
        <f t="shared" si="26"/>
        <v>44927</v>
      </c>
      <c r="C283" s="53">
        <f t="shared" si="24"/>
        <v>0</v>
      </c>
      <c r="D283" s="56">
        <f t="shared" si="27"/>
        <v>0</v>
      </c>
      <c r="E283" s="56">
        <f t="shared" si="28"/>
        <v>0</v>
      </c>
      <c r="F283" s="56">
        <f t="shared" si="29"/>
        <v>0</v>
      </c>
      <c r="G283" s="53">
        <f t="shared" si="25"/>
        <v>0</v>
      </c>
    </row>
    <row r="284" spans="1:7">
      <c r="A284" s="54">
        <v>261</v>
      </c>
      <c r="B284" s="55">
        <f t="shared" si="26"/>
        <v>44958</v>
      </c>
      <c r="C284" s="53">
        <f t="shared" si="24"/>
        <v>0</v>
      </c>
      <c r="D284" s="56">
        <f t="shared" si="27"/>
        <v>0</v>
      </c>
      <c r="E284" s="56">
        <f t="shared" si="28"/>
        <v>0</v>
      </c>
      <c r="F284" s="56">
        <f t="shared" si="29"/>
        <v>0</v>
      </c>
      <c r="G284" s="53">
        <f t="shared" si="25"/>
        <v>0</v>
      </c>
    </row>
    <row r="285" spans="1:7">
      <c r="A285" s="54">
        <v>262</v>
      </c>
      <c r="B285" s="55">
        <f t="shared" si="26"/>
        <v>44986</v>
      </c>
      <c r="C285" s="53">
        <f t="shared" si="24"/>
        <v>0</v>
      </c>
      <c r="D285" s="56">
        <f t="shared" si="27"/>
        <v>0</v>
      </c>
      <c r="E285" s="56">
        <f t="shared" si="28"/>
        <v>0</v>
      </c>
      <c r="F285" s="56">
        <f t="shared" si="29"/>
        <v>0</v>
      </c>
      <c r="G285" s="53">
        <f t="shared" si="25"/>
        <v>0</v>
      </c>
    </row>
    <row r="286" spans="1:7">
      <c r="A286" s="54">
        <v>263</v>
      </c>
      <c r="B286" s="55">
        <f t="shared" si="26"/>
        <v>45017</v>
      </c>
      <c r="C286" s="53">
        <f t="shared" si="24"/>
        <v>0</v>
      </c>
      <c r="D286" s="56">
        <f t="shared" si="27"/>
        <v>0</v>
      </c>
      <c r="E286" s="56">
        <f t="shared" si="28"/>
        <v>0</v>
      </c>
      <c r="F286" s="56">
        <f t="shared" si="29"/>
        <v>0</v>
      </c>
      <c r="G286" s="53">
        <f t="shared" si="25"/>
        <v>0</v>
      </c>
    </row>
    <row r="287" spans="1:7">
      <c r="A287" s="54">
        <v>264</v>
      </c>
      <c r="B287" s="55">
        <f t="shared" si="26"/>
        <v>45047</v>
      </c>
      <c r="C287" s="53">
        <f t="shared" si="24"/>
        <v>0</v>
      </c>
      <c r="D287" s="56">
        <f t="shared" si="27"/>
        <v>0</v>
      </c>
      <c r="E287" s="56">
        <f t="shared" si="28"/>
        <v>0</v>
      </c>
      <c r="F287" s="56">
        <f t="shared" si="29"/>
        <v>0</v>
      </c>
      <c r="G287" s="53">
        <f t="shared" si="25"/>
        <v>0</v>
      </c>
    </row>
    <row r="288" spans="1:7">
      <c r="A288" s="54">
        <v>265</v>
      </c>
      <c r="B288" s="55">
        <f t="shared" si="26"/>
        <v>45078</v>
      </c>
      <c r="C288" s="53">
        <f t="shared" si="24"/>
        <v>0</v>
      </c>
      <c r="D288" s="56">
        <f t="shared" si="27"/>
        <v>0</v>
      </c>
      <c r="E288" s="56">
        <f t="shared" si="28"/>
        <v>0</v>
      </c>
      <c r="F288" s="56">
        <f t="shared" si="29"/>
        <v>0</v>
      </c>
      <c r="G288" s="53">
        <f t="shared" si="25"/>
        <v>0</v>
      </c>
    </row>
    <row r="289" spans="1:7">
      <c r="A289" s="54">
        <v>266</v>
      </c>
      <c r="B289" s="55">
        <f t="shared" si="26"/>
        <v>45108</v>
      </c>
      <c r="C289" s="53">
        <f t="shared" si="24"/>
        <v>0</v>
      </c>
      <c r="D289" s="56">
        <f t="shared" si="27"/>
        <v>0</v>
      </c>
      <c r="E289" s="56">
        <f t="shared" si="28"/>
        <v>0</v>
      </c>
      <c r="F289" s="56">
        <f t="shared" si="29"/>
        <v>0</v>
      </c>
      <c r="G289" s="53">
        <f t="shared" si="25"/>
        <v>0</v>
      </c>
    </row>
    <row r="290" spans="1:7">
      <c r="A290" s="54">
        <v>267</v>
      </c>
      <c r="B290" s="55">
        <f t="shared" si="26"/>
        <v>45139</v>
      </c>
      <c r="C290" s="53">
        <f t="shared" si="24"/>
        <v>0</v>
      </c>
      <c r="D290" s="56">
        <f t="shared" si="27"/>
        <v>0</v>
      </c>
      <c r="E290" s="56">
        <f t="shared" si="28"/>
        <v>0</v>
      </c>
      <c r="F290" s="56">
        <f t="shared" si="29"/>
        <v>0</v>
      </c>
      <c r="G290" s="53">
        <f t="shared" si="25"/>
        <v>0</v>
      </c>
    </row>
    <row r="291" spans="1:7">
      <c r="A291" s="54">
        <v>268</v>
      </c>
      <c r="B291" s="55">
        <f t="shared" si="26"/>
        <v>45170</v>
      </c>
      <c r="C291" s="53">
        <f t="shared" si="24"/>
        <v>0</v>
      </c>
      <c r="D291" s="56">
        <f t="shared" si="27"/>
        <v>0</v>
      </c>
      <c r="E291" s="56">
        <f t="shared" si="28"/>
        <v>0</v>
      </c>
      <c r="F291" s="56">
        <f t="shared" si="29"/>
        <v>0</v>
      </c>
      <c r="G291" s="53">
        <f t="shared" si="25"/>
        <v>0</v>
      </c>
    </row>
    <row r="292" spans="1:7">
      <c r="A292" s="54">
        <v>269</v>
      </c>
      <c r="B292" s="55">
        <f t="shared" si="26"/>
        <v>45200</v>
      </c>
      <c r="C292" s="53">
        <f t="shared" si="24"/>
        <v>0</v>
      </c>
      <c r="D292" s="56">
        <f t="shared" si="27"/>
        <v>0</v>
      </c>
      <c r="E292" s="56">
        <f t="shared" si="28"/>
        <v>0</v>
      </c>
      <c r="F292" s="56">
        <f t="shared" si="29"/>
        <v>0</v>
      </c>
      <c r="G292" s="53">
        <f t="shared" si="25"/>
        <v>0</v>
      </c>
    </row>
    <row r="293" spans="1:7">
      <c r="A293" s="54">
        <v>270</v>
      </c>
      <c r="B293" s="55">
        <f t="shared" si="26"/>
        <v>45231</v>
      </c>
      <c r="C293" s="53">
        <f t="shared" si="24"/>
        <v>0</v>
      </c>
      <c r="D293" s="56">
        <f t="shared" si="27"/>
        <v>0</v>
      </c>
      <c r="E293" s="56">
        <f t="shared" si="28"/>
        <v>0</v>
      </c>
      <c r="F293" s="56">
        <f t="shared" si="29"/>
        <v>0</v>
      </c>
      <c r="G293" s="53">
        <f t="shared" si="25"/>
        <v>0</v>
      </c>
    </row>
    <row r="294" spans="1:7">
      <c r="A294" s="54">
        <v>271</v>
      </c>
      <c r="B294" s="55">
        <f t="shared" si="26"/>
        <v>45261</v>
      </c>
      <c r="C294" s="53">
        <f t="shared" si="24"/>
        <v>0</v>
      </c>
      <c r="D294" s="56">
        <f t="shared" si="27"/>
        <v>0</v>
      </c>
      <c r="E294" s="56">
        <f t="shared" si="28"/>
        <v>0</v>
      </c>
      <c r="F294" s="56">
        <f t="shared" si="29"/>
        <v>0</v>
      </c>
      <c r="G294" s="53">
        <f t="shared" si="25"/>
        <v>0</v>
      </c>
    </row>
    <row r="295" spans="1:7">
      <c r="A295" s="54">
        <v>272</v>
      </c>
      <c r="B295" s="55">
        <f t="shared" si="26"/>
        <v>45292</v>
      </c>
      <c r="C295" s="53">
        <f t="shared" si="24"/>
        <v>0</v>
      </c>
      <c r="D295" s="56">
        <f t="shared" si="27"/>
        <v>0</v>
      </c>
      <c r="E295" s="56">
        <f t="shared" si="28"/>
        <v>0</v>
      </c>
      <c r="F295" s="56">
        <f t="shared" si="29"/>
        <v>0</v>
      </c>
      <c r="G295" s="53">
        <f t="shared" si="25"/>
        <v>0</v>
      </c>
    </row>
    <row r="296" spans="1:7">
      <c r="A296" s="54">
        <v>273</v>
      </c>
      <c r="B296" s="55">
        <f t="shared" si="26"/>
        <v>45323</v>
      </c>
      <c r="C296" s="53">
        <f t="shared" si="24"/>
        <v>0</v>
      </c>
      <c r="D296" s="56">
        <f t="shared" si="27"/>
        <v>0</v>
      </c>
      <c r="E296" s="56">
        <f t="shared" si="28"/>
        <v>0</v>
      </c>
      <c r="F296" s="56">
        <f t="shared" si="29"/>
        <v>0</v>
      </c>
      <c r="G296" s="53">
        <f t="shared" si="25"/>
        <v>0</v>
      </c>
    </row>
    <row r="297" spans="1:7">
      <c r="A297" s="54">
        <v>274</v>
      </c>
      <c r="B297" s="55">
        <f t="shared" si="26"/>
        <v>45352</v>
      </c>
      <c r="C297" s="53">
        <f t="shared" si="24"/>
        <v>0</v>
      </c>
      <c r="D297" s="56">
        <f t="shared" si="27"/>
        <v>0</v>
      </c>
      <c r="E297" s="56">
        <f t="shared" si="28"/>
        <v>0</v>
      </c>
      <c r="F297" s="56">
        <f t="shared" si="29"/>
        <v>0</v>
      </c>
      <c r="G297" s="53">
        <f t="shared" si="25"/>
        <v>0</v>
      </c>
    </row>
    <row r="298" spans="1:7">
      <c r="A298" s="54">
        <v>275</v>
      </c>
      <c r="B298" s="55">
        <f t="shared" si="26"/>
        <v>45383</v>
      </c>
      <c r="C298" s="53">
        <f t="shared" si="24"/>
        <v>0</v>
      </c>
      <c r="D298" s="56">
        <f t="shared" si="27"/>
        <v>0</v>
      </c>
      <c r="E298" s="56">
        <f t="shared" si="28"/>
        <v>0</v>
      </c>
      <c r="F298" s="56">
        <f t="shared" si="29"/>
        <v>0</v>
      </c>
      <c r="G298" s="53">
        <f t="shared" si="25"/>
        <v>0</v>
      </c>
    </row>
    <row r="299" spans="1:7">
      <c r="A299" s="54">
        <v>276</v>
      </c>
      <c r="B299" s="55">
        <f t="shared" si="26"/>
        <v>45413</v>
      </c>
      <c r="C299" s="53">
        <f t="shared" si="24"/>
        <v>0</v>
      </c>
      <c r="D299" s="56">
        <f t="shared" si="27"/>
        <v>0</v>
      </c>
      <c r="E299" s="56">
        <f t="shared" si="28"/>
        <v>0</v>
      </c>
      <c r="F299" s="56">
        <f t="shared" si="29"/>
        <v>0</v>
      </c>
      <c r="G299" s="53">
        <f t="shared" si="25"/>
        <v>0</v>
      </c>
    </row>
    <row r="300" spans="1:7">
      <c r="A300" s="54">
        <v>277</v>
      </c>
      <c r="B300" s="55">
        <f t="shared" si="26"/>
        <v>45444</v>
      </c>
      <c r="C300" s="53">
        <f t="shared" si="24"/>
        <v>0</v>
      </c>
      <c r="D300" s="56">
        <f t="shared" si="27"/>
        <v>0</v>
      </c>
      <c r="E300" s="56">
        <f t="shared" si="28"/>
        <v>0</v>
      </c>
      <c r="F300" s="56">
        <f t="shared" si="29"/>
        <v>0</v>
      </c>
      <c r="G300" s="53">
        <f t="shared" si="25"/>
        <v>0</v>
      </c>
    </row>
    <row r="301" spans="1:7">
      <c r="A301" s="54">
        <v>278</v>
      </c>
      <c r="B301" s="55">
        <f t="shared" si="26"/>
        <v>45474</v>
      </c>
      <c r="C301" s="53">
        <f t="shared" si="24"/>
        <v>0</v>
      </c>
      <c r="D301" s="56">
        <f t="shared" si="27"/>
        <v>0</v>
      </c>
      <c r="E301" s="56">
        <f t="shared" si="28"/>
        <v>0</v>
      </c>
      <c r="F301" s="56">
        <f t="shared" si="29"/>
        <v>0</v>
      </c>
      <c r="G301" s="53">
        <f t="shared" si="25"/>
        <v>0</v>
      </c>
    </row>
    <row r="302" spans="1:7">
      <c r="A302" s="54">
        <v>279</v>
      </c>
      <c r="B302" s="55">
        <f t="shared" si="26"/>
        <v>45505</v>
      </c>
      <c r="C302" s="53">
        <f t="shared" si="24"/>
        <v>0</v>
      </c>
      <c r="D302" s="56">
        <f t="shared" si="27"/>
        <v>0</v>
      </c>
      <c r="E302" s="56">
        <f t="shared" si="28"/>
        <v>0</v>
      </c>
      <c r="F302" s="56">
        <f t="shared" si="29"/>
        <v>0</v>
      </c>
      <c r="G302" s="53">
        <f t="shared" si="25"/>
        <v>0</v>
      </c>
    </row>
    <row r="303" spans="1:7">
      <c r="A303" s="54">
        <v>280</v>
      </c>
      <c r="B303" s="55">
        <f t="shared" si="26"/>
        <v>45536</v>
      </c>
      <c r="C303" s="53">
        <f t="shared" si="24"/>
        <v>0</v>
      </c>
      <c r="D303" s="56">
        <f t="shared" si="27"/>
        <v>0</v>
      </c>
      <c r="E303" s="56">
        <f t="shared" si="28"/>
        <v>0</v>
      </c>
      <c r="F303" s="56">
        <f t="shared" si="29"/>
        <v>0</v>
      </c>
      <c r="G303" s="53">
        <f t="shared" si="25"/>
        <v>0</v>
      </c>
    </row>
    <row r="304" spans="1:7">
      <c r="A304" s="54">
        <v>281</v>
      </c>
      <c r="B304" s="55">
        <f t="shared" si="26"/>
        <v>45566</v>
      </c>
      <c r="C304" s="53">
        <f t="shared" si="24"/>
        <v>0</v>
      </c>
      <c r="D304" s="56">
        <f t="shared" si="27"/>
        <v>0</v>
      </c>
      <c r="E304" s="56">
        <f t="shared" si="28"/>
        <v>0</v>
      </c>
      <c r="F304" s="56">
        <f t="shared" si="29"/>
        <v>0</v>
      </c>
      <c r="G304" s="53">
        <f t="shared" si="25"/>
        <v>0</v>
      </c>
    </row>
    <row r="305" spans="1:7">
      <c r="A305" s="54">
        <v>282</v>
      </c>
      <c r="B305" s="55">
        <f t="shared" si="26"/>
        <v>45597</v>
      </c>
      <c r="C305" s="53">
        <f t="shared" si="24"/>
        <v>0</v>
      </c>
      <c r="D305" s="56">
        <f t="shared" si="27"/>
        <v>0</v>
      </c>
      <c r="E305" s="56">
        <f t="shared" si="28"/>
        <v>0</v>
      </c>
      <c r="F305" s="56">
        <f t="shared" si="29"/>
        <v>0</v>
      </c>
      <c r="G305" s="53">
        <f t="shared" si="25"/>
        <v>0</v>
      </c>
    </row>
    <row r="306" spans="1:7">
      <c r="A306" s="54">
        <v>283</v>
      </c>
      <c r="B306" s="55">
        <f t="shared" si="26"/>
        <v>45627</v>
      </c>
      <c r="C306" s="53">
        <f t="shared" si="24"/>
        <v>0</v>
      </c>
      <c r="D306" s="56">
        <f t="shared" si="27"/>
        <v>0</v>
      </c>
      <c r="E306" s="56">
        <f t="shared" si="28"/>
        <v>0</v>
      </c>
      <c r="F306" s="56">
        <f t="shared" si="29"/>
        <v>0</v>
      </c>
      <c r="G306" s="53">
        <f t="shared" si="25"/>
        <v>0</v>
      </c>
    </row>
    <row r="307" spans="1:7">
      <c r="A307" s="54">
        <v>284</v>
      </c>
      <c r="B307" s="55">
        <f t="shared" si="26"/>
        <v>45658</v>
      </c>
      <c r="C307" s="53">
        <f t="shared" si="24"/>
        <v>0</v>
      </c>
      <c r="D307" s="56">
        <f t="shared" si="27"/>
        <v>0</v>
      </c>
      <c r="E307" s="56">
        <f t="shared" si="28"/>
        <v>0</v>
      </c>
      <c r="F307" s="56">
        <f t="shared" si="29"/>
        <v>0</v>
      </c>
      <c r="G307" s="53">
        <f t="shared" si="25"/>
        <v>0</v>
      </c>
    </row>
    <row r="308" spans="1:7">
      <c r="A308" s="54">
        <v>285</v>
      </c>
      <c r="B308" s="55">
        <f t="shared" si="26"/>
        <v>45689</v>
      </c>
      <c r="C308" s="53">
        <f t="shared" si="24"/>
        <v>0</v>
      </c>
      <c r="D308" s="56">
        <f t="shared" si="27"/>
        <v>0</v>
      </c>
      <c r="E308" s="56">
        <f t="shared" si="28"/>
        <v>0</v>
      </c>
      <c r="F308" s="56">
        <f t="shared" si="29"/>
        <v>0</v>
      </c>
      <c r="G308" s="53">
        <f t="shared" si="25"/>
        <v>0</v>
      </c>
    </row>
    <row r="309" spans="1:7">
      <c r="A309" s="54">
        <v>286</v>
      </c>
      <c r="B309" s="55">
        <f t="shared" si="26"/>
        <v>45717</v>
      </c>
      <c r="C309" s="53">
        <f t="shared" si="24"/>
        <v>0</v>
      </c>
      <c r="D309" s="56">
        <f t="shared" si="27"/>
        <v>0</v>
      </c>
      <c r="E309" s="56">
        <f t="shared" si="28"/>
        <v>0</v>
      </c>
      <c r="F309" s="56">
        <f t="shared" si="29"/>
        <v>0</v>
      </c>
      <c r="G309" s="53">
        <f t="shared" si="25"/>
        <v>0</v>
      </c>
    </row>
    <row r="310" spans="1:7">
      <c r="A310" s="54">
        <v>287</v>
      </c>
      <c r="B310" s="55">
        <f t="shared" si="26"/>
        <v>45748</v>
      </c>
      <c r="C310" s="53">
        <f t="shared" si="24"/>
        <v>0</v>
      </c>
      <c r="D310" s="56">
        <f t="shared" si="27"/>
        <v>0</v>
      </c>
      <c r="E310" s="56">
        <f t="shared" si="28"/>
        <v>0</v>
      </c>
      <c r="F310" s="56">
        <f t="shared" si="29"/>
        <v>0</v>
      </c>
      <c r="G310" s="53">
        <f t="shared" si="25"/>
        <v>0</v>
      </c>
    </row>
    <row r="311" spans="1:7">
      <c r="A311" s="54">
        <v>288</v>
      </c>
      <c r="B311" s="55">
        <f t="shared" si="26"/>
        <v>45778</v>
      </c>
      <c r="C311" s="53">
        <f t="shared" si="24"/>
        <v>0</v>
      </c>
      <c r="D311" s="56">
        <f t="shared" si="27"/>
        <v>0</v>
      </c>
      <c r="E311" s="56">
        <f t="shared" si="28"/>
        <v>0</v>
      </c>
      <c r="F311" s="56">
        <f t="shared" si="29"/>
        <v>0</v>
      </c>
      <c r="G311" s="53">
        <f t="shared" si="25"/>
        <v>0</v>
      </c>
    </row>
    <row r="312" spans="1:7">
      <c r="A312" s="54">
        <v>289</v>
      </c>
      <c r="B312" s="55">
        <f t="shared" si="26"/>
        <v>45809</v>
      </c>
      <c r="C312" s="53">
        <f t="shared" si="24"/>
        <v>0</v>
      </c>
      <c r="D312" s="56">
        <f t="shared" si="27"/>
        <v>0</v>
      </c>
      <c r="E312" s="56">
        <f t="shared" si="28"/>
        <v>0</v>
      </c>
      <c r="F312" s="56">
        <f t="shared" si="29"/>
        <v>0</v>
      </c>
      <c r="G312" s="53">
        <f t="shared" si="25"/>
        <v>0</v>
      </c>
    </row>
    <row r="313" spans="1:7">
      <c r="A313" s="54">
        <v>290</v>
      </c>
      <c r="B313" s="55">
        <f t="shared" si="26"/>
        <v>45839</v>
      </c>
      <c r="C313" s="53">
        <f t="shared" si="24"/>
        <v>0</v>
      </c>
      <c r="D313" s="56">
        <f t="shared" si="27"/>
        <v>0</v>
      </c>
      <c r="E313" s="56">
        <f t="shared" si="28"/>
        <v>0</v>
      </c>
      <c r="F313" s="56">
        <f t="shared" si="29"/>
        <v>0</v>
      </c>
      <c r="G313" s="53">
        <f t="shared" si="25"/>
        <v>0</v>
      </c>
    </row>
    <row r="314" spans="1:7">
      <c r="A314" s="54">
        <v>291</v>
      </c>
      <c r="B314" s="55">
        <f t="shared" si="26"/>
        <v>45870</v>
      </c>
      <c r="C314" s="53">
        <f t="shared" ref="C314:C360" si="30">+F313</f>
        <v>0</v>
      </c>
      <c r="D314" s="56">
        <f t="shared" si="27"/>
        <v>0</v>
      </c>
      <c r="E314" s="56">
        <f t="shared" si="28"/>
        <v>0</v>
      </c>
      <c r="F314" s="56">
        <f t="shared" si="29"/>
        <v>0</v>
      </c>
      <c r="G314" s="53">
        <f t="shared" ref="G314:G360" si="31">+G313+D314</f>
        <v>0</v>
      </c>
    </row>
    <row r="315" spans="1:7">
      <c r="A315" s="54">
        <v>292</v>
      </c>
      <c r="B315" s="55">
        <f t="shared" si="26"/>
        <v>45901</v>
      </c>
      <c r="C315" s="53">
        <f t="shared" si="30"/>
        <v>0</v>
      </c>
      <c r="D315" s="56">
        <f t="shared" si="27"/>
        <v>0</v>
      </c>
      <c r="E315" s="56">
        <f t="shared" si="28"/>
        <v>0</v>
      </c>
      <c r="F315" s="56">
        <f t="shared" si="29"/>
        <v>0</v>
      </c>
      <c r="G315" s="53">
        <f t="shared" si="31"/>
        <v>0</v>
      </c>
    </row>
    <row r="316" spans="1:7">
      <c r="A316" s="54">
        <v>293</v>
      </c>
      <c r="B316" s="55">
        <f t="shared" si="26"/>
        <v>45931</v>
      </c>
      <c r="C316" s="53">
        <f t="shared" si="30"/>
        <v>0</v>
      </c>
      <c r="D316" s="56">
        <f t="shared" si="27"/>
        <v>0</v>
      </c>
      <c r="E316" s="56">
        <f t="shared" si="28"/>
        <v>0</v>
      </c>
      <c r="F316" s="56">
        <f t="shared" si="29"/>
        <v>0</v>
      </c>
      <c r="G316" s="53">
        <f t="shared" si="31"/>
        <v>0</v>
      </c>
    </row>
    <row r="317" spans="1:7">
      <c r="A317" s="54">
        <v>294</v>
      </c>
      <c r="B317" s="55">
        <f t="shared" si="26"/>
        <v>45962</v>
      </c>
      <c r="C317" s="53">
        <f t="shared" si="30"/>
        <v>0</v>
      </c>
      <c r="D317" s="56">
        <f t="shared" si="27"/>
        <v>0</v>
      </c>
      <c r="E317" s="56">
        <f t="shared" si="28"/>
        <v>0</v>
      </c>
      <c r="F317" s="56">
        <f t="shared" si="29"/>
        <v>0</v>
      </c>
      <c r="G317" s="53">
        <f t="shared" si="31"/>
        <v>0</v>
      </c>
    </row>
    <row r="318" spans="1:7">
      <c r="A318" s="54">
        <v>295</v>
      </c>
      <c r="B318" s="55">
        <f t="shared" si="26"/>
        <v>45992</v>
      </c>
      <c r="C318" s="53">
        <f t="shared" si="30"/>
        <v>0</v>
      </c>
      <c r="D318" s="56">
        <f t="shared" si="27"/>
        <v>0</v>
      </c>
      <c r="E318" s="56">
        <f t="shared" si="28"/>
        <v>0</v>
      </c>
      <c r="F318" s="56">
        <f t="shared" si="29"/>
        <v>0</v>
      </c>
      <c r="G318" s="53">
        <f t="shared" si="31"/>
        <v>0</v>
      </c>
    </row>
    <row r="319" spans="1:7">
      <c r="A319" s="54">
        <v>296</v>
      </c>
      <c r="B319" s="55">
        <f t="shared" si="26"/>
        <v>46023</v>
      </c>
      <c r="C319" s="53">
        <f t="shared" si="30"/>
        <v>0</v>
      </c>
      <c r="D319" s="56">
        <f t="shared" si="27"/>
        <v>0</v>
      </c>
      <c r="E319" s="56">
        <f t="shared" si="28"/>
        <v>0</v>
      </c>
      <c r="F319" s="56">
        <f t="shared" si="29"/>
        <v>0</v>
      </c>
      <c r="G319" s="53">
        <f t="shared" si="31"/>
        <v>0</v>
      </c>
    </row>
    <row r="320" spans="1:7">
      <c r="A320" s="54">
        <v>297</v>
      </c>
      <c r="B320" s="55">
        <f t="shared" si="26"/>
        <v>46054</v>
      </c>
      <c r="C320" s="53">
        <f t="shared" si="30"/>
        <v>0</v>
      </c>
      <c r="D320" s="56">
        <f t="shared" si="27"/>
        <v>0</v>
      </c>
      <c r="E320" s="56">
        <f t="shared" si="28"/>
        <v>0</v>
      </c>
      <c r="F320" s="56">
        <f t="shared" si="29"/>
        <v>0</v>
      </c>
      <c r="G320" s="53">
        <f t="shared" si="31"/>
        <v>0</v>
      </c>
    </row>
    <row r="321" spans="1:7">
      <c r="A321" s="54">
        <v>298</v>
      </c>
      <c r="B321" s="55">
        <f t="shared" si="26"/>
        <v>46082</v>
      </c>
      <c r="C321" s="53">
        <f t="shared" si="30"/>
        <v>0</v>
      </c>
      <c r="D321" s="56">
        <f t="shared" si="27"/>
        <v>0</v>
      </c>
      <c r="E321" s="56">
        <f t="shared" si="28"/>
        <v>0</v>
      </c>
      <c r="F321" s="56">
        <f t="shared" si="29"/>
        <v>0</v>
      </c>
      <c r="G321" s="53">
        <f t="shared" si="31"/>
        <v>0</v>
      </c>
    </row>
    <row r="322" spans="1:7">
      <c r="A322" s="54">
        <v>299</v>
      </c>
      <c r="B322" s="55">
        <f t="shared" si="26"/>
        <v>46113</v>
      </c>
      <c r="C322" s="53">
        <f t="shared" si="30"/>
        <v>0</v>
      </c>
      <c r="D322" s="56">
        <f t="shared" si="27"/>
        <v>0</v>
      </c>
      <c r="E322" s="56">
        <f t="shared" si="28"/>
        <v>0</v>
      </c>
      <c r="F322" s="56">
        <f t="shared" si="29"/>
        <v>0</v>
      </c>
      <c r="G322" s="53">
        <f t="shared" si="31"/>
        <v>0</v>
      </c>
    </row>
    <row r="323" spans="1:7">
      <c r="A323" s="54">
        <v>300</v>
      </c>
      <c r="B323" s="55">
        <f t="shared" si="26"/>
        <v>46143</v>
      </c>
      <c r="C323" s="53">
        <f t="shared" si="30"/>
        <v>0</v>
      </c>
      <c r="D323" s="56">
        <f t="shared" si="27"/>
        <v>0</v>
      </c>
      <c r="E323" s="56">
        <f t="shared" si="28"/>
        <v>0</v>
      </c>
      <c r="F323" s="56">
        <f t="shared" si="29"/>
        <v>0</v>
      </c>
      <c r="G323" s="53">
        <f t="shared" si="31"/>
        <v>0</v>
      </c>
    </row>
    <row r="324" spans="1:7">
      <c r="A324" s="54">
        <v>301</v>
      </c>
      <c r="B324" s="55">
        <f t="shared" si="26"/>
        <v>46174</v>
      </c>
      <c r="C324" s="53">
        <f t="shared" si="30"/>
        <v>0</v>
      </c>
      <c r="D324" s="56">
        <f t="shared" si="27"/>
        <v>0</v>
      </c>
      <c r="E324" s="56">
        <f t="shared" si="28"/>
        <v>0</v>
      </c>
      <c r="F324" s="56">
        <f t="shared" si="29"/>
        <v>0</v>
      </c>
      <c r="G324" s="53">
        <f t="shared" si="31"/>
        <v>0</v>
      </c>
    </row>
    <row r="325" spans="1:7">
      <c r="A325" s="54">
        <v>302</v>
      </c>
      <c r="B325" s="55">
        <f t="shared" si="26"/>
        <v>46204</v>
      </c>
      <c r="C325" s="53">
        <f t="shared" si="30"/>
        <v>0</v>
      </c>
      <c r="D325" s="56">
        <f t="shared" si="27"/>
        <v>0</v>
      </c>
      <c r="E325" s="56">
        <f t="shared" si="28"/>
        <v>0</v>
      </c>
      <c r="F325" s="56">
        <f t="shared" si="29"/>
        <v>0</v>
      </c>
      <c r="G325" s="53">
        <f t="shared" si="31"/>
        <v>0</v>
      </c>
    </row>
    <row r="326" spans="1:7">
      <c r="A326" s="54">
        <v>303</v>
      </c>
      <c r="B326" s="55">
        <f t="shared" si="26"/>
        <v>46235</v>
      </c>
      <c r="C326" s="53">
        <f t="shared" si="30"/>
        <v>0</v>
      </c>
      <c r="D326" s="56">
        <f t="shared" si="27"/>
        <v>0</v>
      </c>
      <c r="E326" s="56">
        <f t="shared" si="28"/>
        <v>0</v>
      </c>
      <c r="F326" s="56">
        <f t="shared" si="29"/>
        <v>0</v>
      </c>
      <c r="G326" s="53">
        <f t="shared" si="31"/>
        <v>0</v>
      </c>
    </row>
    <row r="327" spans="1:7">
      <c r="A327" s="54">
        <v>304</v>
      </c>
      <c r="B327" s="55">
        <f t="shared" si="26"/>
        <v>46266</v>
      </c>
      <c r="C327" s="53">
        <f t="shared" si="30"/>
        <v>0</v>
      </c>
      <c r="D327" s="56">
        <f t="shared" si="27"/>
        <v>0</v>
      </c>
      <c r="E327" s="56">
        <f t="shared" si="28"/>
        <v>0</v>
      </c>
      <c r="F327" s="56">
        <f t="shared" si="29"/>
        <v>0</v>
      </c>
      <c r="G327" s="53">
        <f t="shared" si="31"/>
        <v>0</v>
      </c>
    </row>
    <row r="328" spans="1:7">
      <c r="A328" s="54">
        <v>305</v>
      </c>
      <c r="B328" s="55">
        <f t="shared" si="26"/>
        <v>46296</v>
      </c>
      <c r="C328" s="53">
        <f t="shared" si="30"/>
        <v>0</v>
      </c>
      <c r="D328" s="56">
        <f t="shared" si="27"/>
        <v>0</v>
      </c>
      <c r="E328" s="56">
        <f t="shared" si="28"/>
        <v>0</v>
      </c>
      <c r="F328" s="56">
        <f t="shared" si="29"/>
        <v>0</v>
      </c>
      <c r="G328" s="53">
        <f t="shared" si="31"/>
        <v>0</v>
      </c>
    </row>
    <row r="329" spans="1:7">
      <c r="A329" s="54">
        <v>306</v>
      </c>
      <c r="B329" s="55">
        <f t="shared" si="26"/>
        <v>46327</v>
      </c>
      <c r="C329" s="53">
        <f t="shared" si="30"/>
        <v>0</v>
      </c>
      <c r="D329" s="56">
        <f t="shared" si="27"/>
        <v>0</v>
      </c>
      <c r="E329" s="56">
        <f t="shared" si="28"/>
        <v>0</v>
      </c>
      <c r="F329" s="56">
        <f t="shared" si="29"/>
        <v>0</v>
      </c>
      <c r="G329" s="53">
        <f t="shared" si="31"/>
        <v>0</v>
      </c>
    </row>
    <row r="330" spans="1:7">
      <c r="A330" s="54">
        <v>307</v>
      </c>
      <c r="B330" s="55">
        <f t="shared" si="26"/>
        <v>46357</v>
      </c>
      <c r="C330" s="53">
        <f t="shared" si="30"/>
        <v>0</v>
      </c>
      <c r="D330" s="56">
        <f t="shared" si="27"/>
        <v>0</v>
      </c>
      <c r="E330" s="56">
        <f t="shared" si="28"/>
        <v>0</v>
      </c>
      <c r="F330" s="56">
        <f t="shared" si="29"/>
        <v>0</v>
      </c>
      <c r="G330" s="53">
        <f t="shared" si="31"/>
        <v>0</v>
      </c>
    </row>
    <row r="331" spans="1:7">
      <c r="A331" s="54">
        <v>308</v>
      </c>
      <c r="B331" s="55">
        <f t="shared" si="26"/>
        <v>46388</v>
      </c>
      <c r="C331" s="53">
        <f t="shared" si="30"/>
        <v>0</v>
      </c>
      <c r="D331" s="56">
        <f t="shared" si="27"/>
        <v>0</v>
      </c>
      <c r="E331" s="56">
        <f t="shared" si="28"/>
        <v>0</v>
      </c>
      <c r="F331" s="56">
        <f t="shared" si="29"/>
        <v>0</v>
      </c>
      <c r="G331" s="53">
        <f t="shared" si="31"/>
        <v>0</v>
      </c>
    </row>
    <row r="332" spans="1:7">
      <c r="A332" s="54">
        <v>309</v>
      </c>
      <c r="B332" s="55">
        <f t="shared" si="26"/>
        <v>46419</v>
      </c>
      <c r="C332" s="53">
        <f t="shared" si="30"/>
        <v>0</v>
      </c>
      <c r="D332" s="56">
        <f t="shared" si="27"/>
        <v>0</v>
      </c>
      <c r="E332" s="56">
        <f t="shared" si="28"/>
        <v>0</v>
      </c>
      <c r="F332" s="56">
        <f t="shared" si="29"/>
        <v>0</v>
      </c>
      <c r="G332" s="53">
        <f t="shared" si="31"/>
        <v>0</v>
      </c>
    </row>
    <row r="333" spans="1:7">
      <c r="A333" s="54">
        <v>310</v>
      </c>
      <c r="B333" s="55">
        <f t="shared" si="26"/>
        <v>46447</v>
      </c>
      <c r="C333" s="53">
        <f t="shared" si="30"/>
        <v>0</v>
      </c>
      <c r="D333" s="56">
        <f t="shared" si="27"/>
        <v>0</v>
      </c>
      <c r="E333" s="56">
        <f t="shared" si="28"/>
        <v>0</v>
      </c>
      <c r="F333" s="56">
        <f t="shared" si="29"/>
        <v>0</v>
      </c>
      <c r="G333" s="53">
        <f t="shared" si="31"/>
        <v>0</v>
      </c>
    </row>
    <row r="334" spans="1:7">
      <c r="A334" s="54">
        <v>311</v>
      </c>
      <c r="B334" s="55">
        <f t="shared" si="26"/>
        <v>46478</v>
      </c>
      <c r="C334" s="53">
        <f t="shared" si="30"/>
        <v>0</v>
      </c>
      <c r="D334" s="56">
        <f t="shared" si="27"/>
        <v>0</v>
      </c>
      <c r="E334" s="56">
        <f t="shared" si="28"/>
        <v>0</v>
      </c>
      <c r="F334" s="56">
        <f t="shared" si="29"/>
        <v>0</v>
      </c>
      <c r="G334" s="53">
        <f t="shared" si="31"/>
        <v>0</v>
      </c>
    </row>
    <row r="335" spans="1:7">
      <c r="A335" s="54">
        <v>312</v>
      </c>
      <c r="B335" s="55">
        <f t="shared" si="26"/>
        <v>46508</v>
      </c>
      <c r="C335" s="53">
        <f t="shared" si="30"/>
        <v>0</v>
      </c>
      <c r="D335" s="56">
        <f t="shared" si="27"/>
        <v>0</v>
      </c>
      <c r="E335" s="56">
        <f t="shared" si="28"/>
        <v>0</v>
      </c>
      <c r="F335" s="56">
        <f t="shared" si="29"/>
        <v>0</v>
      </c>
      <c r="G335" s="53">
        <f t="shared" si="31"/>
        <v>0</v>
      </c>
    </row>
    <row r="336" spans="1:7">
      <c r="A336" s="54">
        <v>313</v>
      </c>
      <c r="B336" s="55">
        <f t="shared" si="26"/>
        <v>46539</v>
      </c>
      <c r="C336" s="53">
        <f t="shared" si="30"/>
        <v>0</v>
      </c>
      <c r="D336" s="56">
        <f t="shared" si="27"/>
        <v>0</v>
      </c>
      <c r="E336" s="56">
        <f t="shared" si="28"/>
        <v>0</v>
      </c>
      <c r="F336" s="56">
        <f t="shared" si="29"/>
        <v>0</v>
      </c>
      <c r="G336" s="53">
        <f t="shared" si="31"/>
        <v>0</v>
      </c>
    </row>
    <row r="337" spans="1:7">
      <c r="A337" s="54">
        <v>314</v>
      </c>
      <c r="B337" s="55">
        <f t="shared" si="26"/>
        <v>46569</v>
      </c>
      <c r="C337" s="53">
        <f t="shared" si="30"/>
        <v>0</v>
      </c>
      <c r="D337" s="56">
        <f t="shared" si="27"/>
        <v>0</v>
      </c>
      <c r="E337" s="56">
        <f t="shared" si="28"/>
        <v>0</v>
      </c>
      <c r="F337" s="56">
        <f t="shared" si="29"/>
        <v>0</v>
      </c>
      <c r="G337" s="53">
        <f t="shared" si="31"/>
        <v>0</v>
      </c>
    </row>
    <row r="338" spans="1:7">
      <c r="A338" s="54">
        <v>315</v>
      </c>
      <c r="B338" s="55">
        <f t="shared" si="26"/>
        <v>46600</v>
      </c>
      <c r="C338" s="53">
        <f t="shared" si="30"/>
        <v>0</v>
      </c>
      <c r="D338" s="56">
        <f t="shared" si="27"/>
        <v>0</v>
      </c>
      <c r="E338" s="56">
        <f t="shared" si="28"/>
        <v>0</v>
      </c>
      <c r="F338" s="56">
        <f t="shared" si="29"/>
        <v>0</v>
      </c>
      <c r="G338" s="53">
        <f t="shared" si="31"/>
        <v>0</v>
      </c>
    </row>
    <row r="339" spans="1:7">
      <c r="A339" s="54">
        <v>316</v>
      </c>
      <c r="B339" s="55">
        <f t="shared" si="26"/>
        <v>46631</v>
      </c>
      <c r="C339" s="53">
        <f t="shared" si="30"/>
        <v>0</v>
      </c>
      <c r="D339" s="56">
        <f t="shared" si="27"/>
        <v>0</v>
      </c>
      <c r="E339" s="56">
        <f t="shared" si="28"/>
        <v>0</v>
      </c>
      <c r="F339" s="56">
        <f t="shared" si="29"/>
        <v>0</v>
      </c>
      <c r="G339" s="53">
        <f t="shared" si="31"/>
        <v>0</v>
      </c>
    </row>
    <row r="340" spans="1:7">
      <c r="A340" s="54">
        <v>317</v>
      </c>
      <c r="B340" s="55">
        <f t="shared" si="26"/>
        <v>46661</v>
      </c>
      <c r="C340" s="53">
        <f t="shared" si="30"/>
        <v>0</v>
      </c>
      <c r="D340" s="56">
        <f t="shared" si="27"/>
        <v>0</v>
      </c>
      <c r="E340" s="56">
        <f t="shared" si="28"/>
        <v>0</v>
      </c>
      <c r="F340" s="56">
        <f t="shared" si="29"/>
        <v>0</v>
      </c>
      <c r="G340" s="53">
        <f t="shared" si="31"/>
        <v>0</v>
      </c>
    </row>
    <row r="341" spans="1:7">
      <c r="A341" s="54">
        <v>318</v>
      </c>
      <c r="B341" s="55">
        <f t="shared" si="26"/>
        <v>46692</v>
      </c>
      <c r="C341" s="53">
        <f t="shared" si="30"/>
        <v>0</v>
      </c>
      <c r="D341" s="56">
        <f t="shared" si="27"/>
        <v>0</v>
      </c>
      <c r="E341" s="56">
        <f t="shared" si="28"/>
        <v>0</v>
      </c>
      <c r="F341" s="56">
        <f t="shared" si="29"/>
        <v>0</v>
      </c>
      <c r="G341" s="53">
        <f t="shared" si="31"/>
        <v>0</v>
      </c>
    </row>
    <row r="342" spans="1:7">
      <c r="A342" s="54">
        <v>319</v>
      </c>
      <c r="B342" s="55">
        <f t="shared" ref="B342:B383" si="32">bill12</f>
        <v>46722</v>
      </c>
      <c r="C342" s="53">
        <f t="shared" si="30"/>
        <v>0</v>
      </c>
      <c r="D342" s="56">
        <f t="shared" ref="D342:D383" si="33">bill14</f>
        <v>0</v>
      </c>
      <c r="E342" s="56">
        <f t="shared" ref="E342:E383" si="34">bill15</f>
        <v>0</v>
      </c>
      <c r="F342" s="56">
        <f t="shared" ref="F342:F383" si="35">bill16</f>
        <v>0</v>
      </c>
      <c r="G342" s="53">
        <f t="shared" si="31"/>
        <v>0</v>
      </c>
    </row>
    <row r="343" spans="1:7">
      <c r="A343" s="54">
        <v>320</v>
      </c>
      <c r="B343" s="55">
        <f t="shared" si="32"/>
        <v>46753</v>
      </c>
      <c r="C343" s="53">
        <f t="shared" si="30"/>
        <v>0</v>
      </c>
      <c r="D343" s="56">
        <f t="shared" si="33"/>
        <v>0</v>
      </c>
      <c r="E343" s="56">
        <f t="shared" si="34"/>
        <v>0</v>
      </c>
      <c r="F343" s="56">
        <f t="shared" si="35"/>
        <v>0</v>
      </c>
      <c r="G343" s="53">
        <f t="shared" si="31"/>
        <v>0</v>
      </c>
    </row>
    <row r="344" spans="1:7">
      <c r="A344" s="54">
        <v>321</v>
      </c>
      <c r="B344" s="55">
        <f t="shared" si="32"/>
        <v>46784</v>
      </c>
      <c r="C344" s="53">
        <f t="shared" si="30"/>
        <v>0</v>
      </c>
      <c r="D344" s="56">
        <f t="shared" si="33"/>
        <v>0</v>
      </c>
      <c r="E344" s="56">
        <f t="shared" si="34"/>
        <v>0</v>
      </c>
      <c r="F344" s="56">
        <f t="shared" si="35"/>
        <v>0</v>
      </c>
      <c r="G344" s="53">
        <f t="shared" si="31"/>
        <v>0</v>
      </c>
    </row>
    <row r="345" spans="1:7">
      <c r="A345" s="54">
        <v>322</v>
      </c>
      <c r="B345" s="55">
        <f t="shared" si="32"/>
        <v>46813</v>
      </c>
      <c r="C345" s="53">
        <f t="shared" si="30"/>
        <v>0</v>
      </c>
      <c r="D345" s="56">
        <f t="shared" si="33"/>
        <v>0</v>
      </c>
      <c r="E345" s="56">
        <f t="shared" si="34"/>
        <v>0</v>
      </c>
      <c r="F345" s="56">
        <f t="shared" si="35"/>
        <v>0</v>
      </c>
      <c r="G345" s="53">
        <f t="shared" si="31"/>
        <v>0</v>
      </c>
    </row>
    <row r="346" spans="1:7">
      <c r="A346" s="54">
        <v>323</v>
      </c>
      <c r="B346" s="55">
        <f t="shared" si="32"/>
        <v>46844</v>
      </c>
      <c r="C346" s="53">
        <f t="shared" si="30"/>
        <v>0</v>
      </c>
      <c r="D346" s="56">
        <f t="shared" si="33"/>
        <v>0</v>
      </c>
      <c r="E346" s="56">
        <f t="shared" si="34"/>
        <v>0</v>
      </c>
      <c r="F346" s="56">
        <f t="shared" si="35"/>
        <v>0</v>
      </c>
      <c r="G346" s="53">
        <f t="shared" si="31"/>
        <v>0</v>
      </c>
    </row>
    <row r="347" spans="1:7">
      <c r="A347" s="54">
        <v>324</v>
      </c>
      <c r="B347" s="55">
        <f t="shared" si="32"/>
        <v>46874</v>
      </c>
      <c r="C347" s="53">
        <f t="shared" si="30"/>
        <v>0</v>
      </c>
      <c r="D347" s="56">
        <f t="shared" si="33"/>
        <v>0</v>
      </c>
      <c r="E347" s="56">
        <f t="shared" si="34"/>
        <v>0</v>
      </c>
      <c r="F347" s="56">
        <f t="shared" si="35"/>
        <v>0</v>
      </c>
      <c r="G347" s="53">
        <f t="shared" si="31"/>
        <v>0</v>
      </c>
    </row>
    <row r="348" spans="1:7">
      <c r="A348" s="54">
        <v>325</v>
      </c>
      <c r="B348" s="55">
        <f t="shared" si="32"/>
        <v>46905</v>
      </c>
      <c r="C348" s="53">
        <f t="shared" si="30"/>
        <v>0</v>
      </c>
      <c r="D348" s="56">
        <f t="shared" si="33"/>
        <v>0</v>
      </c>
      <c r="E348" s="56">
        <f t="shared" si="34"/>
        <v>0</v>
      </c>
      <c r="F348" s="56">
        <f t="shared" si="35"/>
        <v>0</v>
      </c>
      <c r="G348" s="53">
        <f t="shared" si="31"/>
        <v>0</v>
      </c>
    </row>
    <row r="349" spans="1:7">
      <c r="A349" s="54">
        <v>326</v>
      </c>
      <c r="B349" s="55">
        <f t="shared" si="32"/>
        <v>46935</v>
      </c>
      <c r="C349" s="53">
        <f t="shared" si="30"/>
        <v>0</v>
      </c>
      <c r="D349" s="56">
        <f t="shared" si="33"/>
        <v>0</v>
      </c>
      <c r="E349" s="56">
        <f t="shared" si="34"/>
        <v>0</v>
      </c>
      <c r="F349" s="56">
        <f t="shared" si="35"/>
        <v>0</v>
      </c>
      <c r="G349" s="53">
        <f t="shared" si="31"/>
        <v>0</v>
      </c>
    </row>
    <row r="350" spans="1:7">
      <c r="A350" s="54">
        <v>327</v>
      </c>
      <c r="B350" s="55">
        <f t="shared" si="32"/>
        <v>46966</v>
      </c>
      <c r="C350" s="53">
        <f t="shared" si="30"/>
        <v>0</v>
      </c>
      <c r="D350" s="56">
        <f t="shared" si="33"/>
        <v>0</v>
      </c>
      <c r="E350" s="56">
        <f t="shared" si="34"/>
        <v>0</v>
      </c>
      <c r="F350" s="56">
        <f t="shared" si="35"/>
        <v>0</v>
      </c>
      <c r="G350" s="53">
        <f t="shared" si="31"/>
        <v>0</v>
      </c>
    </row>
    <row r="351" spans="1:7">
      <c r="A351" s="54">
        <v>328</v>
      </c>
      <c r="B351" s="55">
        <f t="shared" si="32"/>
        <v>46997</v>
      </c>
      <c r="C351" s="53">
        <f t="shared" si="30"/>
        <v>0</v>
      </c>
      <c r="D351" s="56">
        <f t="shared" si="33"/>
        <v>0</v>
      </c>
      <c r="E351" s="56">
        <f t="shared" si="34"/>
        <v>0</v>
      </c>
      <c r="F351" s="56">
        <f t="shared" si="35"/>
        <v>0</v>
      </c>
      <c r="G351" s="53">
        <f t="shared" si="31"/>
        <v>0</v>
      </c>
    </row>
    <row r="352" spans="1:7">
      <c r="A352" s="54">
        <v>329</v>
      </c>
      <c r="B352" s="55">
        <f t="shared" si="32"/>
        <v>47027</v>
      </c>
      <c r="C352" s="53">
        <f t="shared" si="30"/>
        <v>0</v>
      </c>
      <c r="D352" s="56">
        <f t="shared" si="33"/>
        <v>0</v>
      </c>
      <c r="E352" s="56">
        <f t="shared" si="34"/>
        <v>0</v>
      </c>
      <c r="F352" s="56">
        <f t="shared" si="35"/>
        <v>0</v>
      </c>
      <c r="G352" s="53">
        <f t="shared" si="31"/>
        <v>0</v>
      </c>
    </row>
    <row r="353" spans="1:7">
      <c r="A353" s="54">
        <v>330</v>
      </c>
      <c r="B353" s="55">
        <f t="shared" si="32"/>
        <v>47058</v>
      </c>
      <c r="C353" s="53">
        <f t="shared" si="30"/>
        <v>0</v>
      </c>
      <c r="D353" s="56">
        <f t="shared" si="33"/>
        <v>0</v>
      </c>
      <c r="E353" s="56">
        <f t="shared" si="34"/>
        <v>0</v>
      </c>
      <c r="F353" s="56">
        <f t="shared" si="35"/>
        <v>0</v>
      </c>
      <c r="G353" s="53">
        <f t="shared" si="31"/>
        <v>0</v>
      </c>
    </row>
    <row r="354" spans="1:7">
      <c r="A354" s="54">
        <v>331</v>
      </c>
      <c r="B354" s="55">
        <f t="shared" si="32"/>
        <v>47088</v>
      </c>
      <c r="C354" s="53">
        <f t="shared" si="30"/>
        <v>0</v>
      </c>
      <c r="D354" s="56">
        <f t="shared" si="33"/>
        <v>0</v>
      </c>
      <c r="E354" s="56">
        <f t="shared" si="34"/>
        <v>0</v>
      </c>
      <c r="F354" s="56">
        <f t="shared" si="35"/>
        <v>0</v>
      </c>
      <c r="G354" s="53">
        <f t="shared" si="31"/>
        <v>0</v>
      </c>
    </row>
    <row r="355" spans="1:7">
      <c r="A355" s="54">
        <v>332</v>
      </c>
      <c r="B355" s="55">
        <f t="shared" si="32"/>
        <v>47119</v>
      </c>
      <c r="C355" s="53">
        <f t="shared" si="30"/>
        <v>0</v>
      </c>
      <c r="D355" s="56">
        <f t="shared" si="33"/>
        <v>0</v>
      </c>
      <c r="E355" s="56">
        <f t="shared" si="34"/>
        <v>0</v>
      </c>
      <c r="F355" s="56">
        <f t="shared" si="35"/>
        <v>0</v>
      </c>
      <c r="G355" s="53">
        <f t="shared" si="31"/>
        <v>0</v>
      </c>
    </row>
    <row r="356" spans="1:7">
      <c r="A356" s="54">
        <v>333</v>
      </c>
      <c r="B356" s="55">
        <f t="shared" si="32"/>
        <v>47150</v>
      </c>
      <c r="C356" s="53">
        <f t="shared" si="30"/>
        <v>0</v>
      </c>
      <c r="D356" s="56">
        <f t="shared" si="33"/>
        <v>0</v>
      </c>
      <c r="E356" s="56">
        <f t="shared" si="34"/>
        <v>0</v>
      </c>
      <c r="F356" s="56">
        <f t="shared" si="35"/>
        <v>0</v>
      </c>
      <c r="G356" s="53">
        <f t="shared" si="31"/>
        <v>0</v>
      </c>
    </row>
    <row r="357" spans="1:7">
      <c r="A357" s="54">
        <v>334</v>
      </c>
      <c r="B357" s="55">
        <f t="shared" si="32"/>
        <v>47178</v>
      </c>
      <c r="C357" s="53">
        <f t="shared" si="30"/>
        <v>0</v>
      </c>
      <c r="D357" s="56">
        <f t="shared" si="33"/>
        <v>0</v>
      </c>
      <c r="E357" s="56">
        <f t="shared" si="34"/>
        <v>0</v>
      </c>
      <c r="F357" s="56">
        <f t="shared" si="35"/>
        <v>0</v>
      </c>
      <c r="G357" s="53">
        <f t="shared" si="31"/>
        <v>0</v>
      </c>
    </row>
    <row r="358" spans="1:7">
      <c r="A358" s="54">
        <v>335</v>
      </c>
      <c r="B358" s="55">
        <f t="shared" si="32"/>
        <v>47209</v>
      </c>
      <c r="C358" s="53">
        <f t="shared" si="30"/>
        <v>0</v>
      </c>
      <c r="D358" s="56">
        <f t="shared" si="33"/>
        <v>0</v>
      </c>
      <c r="E358" s="56">
        <f t="shared" si="34"/>
        <v>0</v>
      </c>
      <c r="F358" s="56">
        <f t="shared" si="35"/>
        <v>0</v>
      </c>
      <c r="G358" s="53">
        <f t="shared" si="31"/>
        <v>0</v>
      </c>
    </row>
    <row r="359" spans="1:7">
      <c r="A359" s="54">
        <v>336</v>
      </c>
      <c r="B359" s="55">
        <f t="shared" si="32"/>
        <v>47239</v>
      </c>
      <c r="C359" s="53">
        <f t="shared" si="30"/>
        <v>0</v>
      </c>
      <c r="D359" s="56">
        <f t="shared" si="33"/>
        <v>0</v>
      </c>
      <c r="E359" s="56">
        <f t="shared" si="34"/>
        <v>0</v>
      </c>
      <c r="F359" s="56">
        <f t="shared" si="35"/>
        <v>0</v>
      </c>
      <c r="G359" s="53">
        <f t="shared" si="31"/>
        <v>0</v>
      </c>
    </row>
    <row r="360" spans="1:7">
      <c r="A360" s="54">
        <v>337</v>
      </c>
      <c r="B360" s="55">
        <f t="shared" si="32"/>
        <v>47270</v>
      </c>
      <c r="C360" s="53">
        <f t="shared" si="30"/>
        <v>0</v>
      </c>
      <c r="D360" s="56">
        <f t="shared" si="33"/>
        <v>0</v>
      </c>
      <c r="E360" s="56">
        <f t="shared" si="34"/>
        <v>0</v>
      </c>
      <c r="F360" s="56">
        <f t="shared" si="35"/>
        <v>0</v>
      </c>
      <c r="G360" s="53">
        <f t="shared" si="31"/>
        <v>0</v>
      </c>
    </row>
    <row r="361" spans="1:7">
      <c r="A361" s="54">
        <v>338</v>
      </c>
      <c r="B361" s="55">
        <f t="shared" si="32"/>
        <v>47300</v>
      </c>
      <c r="C361" s="53">
        <f t="shared" ref="C361:C383" si="36">+F360</f>
        <v>0</v>
      </c>
      <c r="D361" s="56">
        <f t="shared" si="33"/>
        <v>0</v>
      </c>
      <c r="E361" s="56">
        <f t="shared" si="34"/>
        <v>0</v>
      </c>
      <c r="F361" s="56">
        <f t="shared" si="35"/>
        <v>0</v>
      </c>
      <c r="G361" s="53">
        <f t="shared" ref="G361:G383" si="37">+G360+D361</f>
        <v>0</v>
      </c>
    </row>
    <row r="362" spans="1:7">
      <c r="A362" s="54">
        <v>339</v>
      </c>
      <c r="B362" s="55">
        <f t="shared" si="32"/>
        <v>47331</v>
      </c>
      <c r="C362" s="53">
        <f t="shared" si="36"/>
        <v>0</v>
      </c>
      <c r="D362" s="56">
        <f t="shared" si="33"/>
        <v>0</v>
      </c>
      <c r="E362" s="56">
        <f t="shared" si="34"/>
        <v>0</v>
      </c>
      <c r="F362" s="56">
        <f t="shared" si="35"/>
        <v>0</v>
      </c>
      <c r="G362" s="53">
        <f t="shared" si="37"/>
        <v>0</v>
      </c>
    </row>
    <row r="363" spans="1:7">
      <c r="A363" s="54">
        <v>340</v>
      </c>
      <c r="B363" s="55">
        <f t="shared" si="32"/>
        <v>47362</v>
      </c>
      <c r="C363" s="53">
        <f t="shared" si="36"/>
        <v>0</v>
      </c>
      <c r="D363" s="56">
        <f t="shared" si="33"/>
        <v>0</v>
      </c>
      <c r="E363" s="56">
        <f t="shared" si="34"/>
        <v>0</v>
      </c>
      <c r="F363" s="56">
        <f t="shared" si="35"/>
        <v>0</v>
      </c>
      <c r="G363" s="53">
        <f t="shared" si="37"/>
        <v>0</v>
      </c>
    </row>
    <row r="364" spans="1:7">
      <c r="A364" s="54">
        <v>341</v>
      </c>
      <c r="B364" s="55">
        <f t="shared" si="32"/>
        <v>47392</v>
      </c>
      <c r="C364" s="53">
        <f t="shared" si="36"/>
        <v>0</v>
      </c>
      <c r="D364" s="56">
        <f t="shared" si="33"/>
        <v>0</v>
      </c>
      <c r="E364" s="56">
        <f t="shared" si="34"/>
        <v>0</v>
      </c>
      <c r="F364" s="56">
        <f t="shared" si="35"/>
        <v>0</v>
      </c>
      <c r="G364" s="53">
        <f t="shared" si="37"/>
        <v>0</v>
      </c>
    </row>
    <row r="365" spans="1:7">
      <c r="A365" s="54">
        <v>342</v>
      </c>
      <c r="B365" s="55">
        <f t="shared" si="32"/>
        <v>47423</v>
      </c>
      <c r="C365" s="53">
        <f t="shared" si="36"/>
        <v>0</v>
      </c>
      <c r="D365" s="56">
        <f t="shared" si="33"/>
        <v>0</v>
      </c>
      <c r="E365" s="56">
        <f t="shared" si="34"/>
        <v>0</v>
      </c>
      <c r="F365" s="56">
        <f t="shared" si="35"/>
        <v>0</v>
      </c>
      <c r="G365" s="53">
        <f t="shared" si="37"/>
        <v>0</v>
      </c>
    </row>
    <row r="366" spans="1:7">
      <c r="A366" s="54">
        <v>343</v>
      </c>
      <c r="B366" s="55">
        <f t="shared" si="32"/>
        <v>47453</v>
      </c>
      <c r="C366" s="53">
        <f t="shared" si="36"/>
        <v>0</v>
      </c>
      <c r="D366" s="56">
        <f t="shared" si="33"/>
        <v>0</v>
      </c>
      <c r="E366" s="56">
        <f t="shared" si="34"/>
        <v>0</v>
      </c>
      <c r="F366" s="56">
        <f t="shared" si="35"/>
        <v>0</v>
      </c>
      <c r="G366" s="53">
        <f t="shared" si="37"/>
        <v>0</v>
      </c>
    </row>
    <row r="367" spans="1:7">
      <c r="A367" s="54">
        <v>344</v>
      </c>
      <c r="B367" s="55">
        <f t="shared" si="32"/>
        <v>47484</v>
      </c>
      <c r="C367" s="53">
        <f t="shared" si="36"/>
        <v>0</v>
      </c>
      <c r="D367" s="56">
        <f t="shared" si="33"/>
        <v>0</v>
      </c>
      <c r="E367" s="56">
        <f t="shared" si="34"/>
        <v>0</v>
      </c>
      <c r="F367" s="56">
        <f t="shared" si="35"/>
        <v>0</v>
      </c>
      <c r="G367" s="53">
        <f t="shared" si="37"/>
        <v>0</v>
      </c>
    </row>
    <row r="368" spans="1:7">
      <c r="A368" s="54">
        <v>345</v>
      </c>
      <c r="B368" s="55">
        <f t="shared" si="32"/>
        <v>47515</v>
      </c>
      <c r="C368" s="53">
        <f t="shared" si="36"/>
        <v>0</v>
      </c>
      <c r="D368" s="56">
        <f t="shared" si="33"/>
        <v>0</v>
      </c>
      <c r="E368" s="56">
        <f t="shared" si="34"/>
        <v>0</v>
      </c>
      <c r="F368" s="56">
        <f t="shared" si="35"/>
        <v>0</v>
      </c>
      <c r="G368" s="53">
        <f t="shared" si="37"/>
        <v>0</v>
      </c>
    </row>
    <row r="369" spans="1:7">
      <c r="A369" s="54">
        <v>346</v>
      </c>
      <c r="B369" s="55">
        <f t="shared" si="32"/>
        <v>47543</v>
      </c>
      <c r="C369" s="53">
        <f t="shared" si="36"/>
        <v>0</v>
      </c>
      <c r="D369" s="56">
        <f t="shared" si="33"/>
        <v>0</v>
      </c>
      <c r="E369" s="56">
        <f t="shared" si="34"/>
        <v>0</v>
      </c>
      <c r="F369" s="56">
        <f t="shared" si="35"/>
        <v>0</v>
      </c>
      <c r="G369" s="53">
        <f t="shared" si="37"/>
        <v>0</v>
      </c>
    </row>
    <row r="370" spans="1:7">
      <c r="A370" s="54">
        <v>347</v>
      </c>
      <c r="B370" s="55">
        <f t="shared" si="32"/>
        <v>47574</v>
      </c>
      <c r="C370" s="53">
        <f t="shared" si="36"/>
        <v>0</v>
      </c>
      <c r="D370" s="56">
        <f t="shared" si="33"/>
        <v>0</v>
      </c>
      <c r="E370" s="56">
        <f t="shared" si="34"/>
        <v>0</v>
      </c>
      <c r="F370" s="56">
        <f t="shared" si="35"/>
        <v>0</v>
      </c>
      <c r="G370" s="53">
        <f t="shared" si="37"/>
        <v>0</v>
      </c>
    </row>
    <row r="371" spans="1:7">
      <c r="A371" s="54">
        <v>348</v>
      </c>
      <c r="B371" s="55">
        <f t="shared" si="32"/>
        <v>47604</v>
      </c>
      <c r="C371" s="53">
        <f t="shared" si="36"/>
        <v>0</v>
      </c>
      <c r="D371" s="56">
        <f t="shared" si="33"/>
        <v>0</v>
      </c>
      <c r="E371" s="56">
        <f t="shared" si="34"/>
        <v>0</v>
      </c>
      <c r="F371" s="56">
        <f t="shared" si="35"/>
        <v>0</v>
      </c>
      <c r="G371" s="53">
        <f t="shared" si="37"/>
        <v>0</v>
      </c>
    </row>
    <row r="372" spans="1:7">
      <c r="A372" s="54">
        <v>349</v>
      </c>
      <c r="B372" s="55">
        <f t="shared" si="32"/>
        <v>47635</v>
      </c>
      <c r="C372" s="53">
        <f t="shared" si="36"/>
        <v>0</v>
      </c>
      <c r="D372" s="56">
        <f t="shared" si="33"/>
        <v>0</v>
      </c>
      <c r="E372" s="56">
        <f t="shared" si="34"/>
        <v>0</v>
      </c>
      <c r="F372" s="56">
        <f t="shared" si="35"/>
        <v>0</v>
      </c>
      <c r="G372" s="53">
        <f t="shared" si="37"/>
        <v>0</v>
      </c>
    </row>
    <row r="373" spans="1:7">
      <c r="A373" s="54">
        <v>350</v>
      </c>
      <c r="B373" s="55">
        <f t="shared" si="32"/>
        <v>47665</v>
      </c>
      <c r="C373" s="53">
        <f t="shared" si="36"/>
        <v>0</v>
      </c>
      <c r="D373" s="56">
        <f t="shared" si="33"/>
        <v>0</v>
      </c>
      <c r="E373" s="56">
        <f t="shared" si="34"/>
        <v>0</v>
      </c>
      <c r="F373" s="56">
        <f t="shared" si="35"/>
        <v>0</v>
      </c>
      <c r="G373" s="53">
        <f t="shared" si="37"/>
        <v>0</v>
      </c>
    </row>
    <row r="374" spans="1:7">
      <c r="A374" s="54">
        <v>351</v>
      </c>
      <c r="B374" s="55">
        <f t="shared" si="32"/>
        <v>47696</v>
      </c>
      <c r="C374" s="53">
        <f t="shared" si="36"/>
        <v>0</v>
      </c>
      <c r="D374" s="56">
        <f t="shared" si="33"/>
        <v>0</v>
      </c>
      <c r="E374" s="56">
        <f t="shared" si="34"/>
        <v>0</v>
      </c>
      <c r="F374" s="56">
        <f t="shared" si="35"/>
        <v>0</v>
      </c>
      <c r="G374" s="53">
        <f t="shared" si="37"/>
        <v>0</v>
      </c>
    </row>
    <row r="375" spans="1:7">
      <c r="A375" s="54">
        <v>352</v>
      </c>
      <c r="B375" s="55">
        <f t="shared" si="32"/>
        <v>47727</v>
      </c>
      <c r="C375" s="53">
        <f t="shared" si="36"/>
        <v>0</v>
      </c>
      <c r="D375" s="56">
        <f t="shared" si="33"/>
        <v>0</v>
      </c>
      <c r="E375" s="56">
        <f t="shared" si="34"/>
        <v>0</v>
      </c>
      <c r="F375" s="56">
        <f t="shared" si="35"/>
        <v>0</v>
      </c>
      <c r="G375" s="53">
        <f t="shared" si="37"/>
        <v>0</v>
      </c>
    </row>
    <row r="376" spans="1:7">
      <c r="A376" s="54">
        <v>353</v>
      </c>
      <c r="B376" s="55">
        <f t="shared" si="32"/>
        <v>47757</v>
      </c>
      <c r="C376" s="53">
        <f t="shared" si="36"/>
        <v>0</v>
      </c>
      <c r="D376" s="56">
        <f t="shared" si="33"/>
        <v>0</v>
      </c>
      <c r="E376" s="56">
        <f t="shared" si="34"/>
        <v>0</v>
      </c>
      <c r="F376" s="56">
        <f t="shared" si="35"/>
        <v>0</v>
      </c>
      <c r="G376" s="53">
        <f t="shared" si="37"/>
        <v>0</v>
      </c>
    </row>
    <row r="377" spans="1:7">
      <c r="A377" s="54">
        <v>354</v>
      </c>
      <c r="B377" s="55">
        <f t="shared" si="32"/>
        <v>47788</v>
      </c>
      <c r="C377" s="53">
        <f t="shared" si="36"/>
        <v>0</v>
      </c>
      <c r="D377" s="56">
        <f t="shared" si="33"/>
        <v>0</v>
      </c>
      <c r="E377" s="56">
        <f t="shared" si="34"/>
        <v>0</v>
      </c>
      <c r="F377" s="56">
        <f t="shared" si="35"/>
        <v>0</v>
      </c>
      <c r="G377" s="53">
        <f t="shared" si="37"/>
        <v>0</v>
      </c>
    </row>
    <row r="378" spans="1:7">
      <c r="A378" s="54">
        <v>355</v>
      </c>
      <c r="B378" s="55">
        <f t="shared" si="32"/>
        <v>47818</v>
      </c>
      <c r="C378" s="53">
        <f t="shared" si="36"/>
        <v>0</v>
      </c>
      <c r="D378" s="56">
        <f t="shared" si="33"/>
        <v>0</v>
      </c>
      <c r="E378" s="56">
        <f t="shared" si="34"/>
        <v>0</v>
      </c>
      <c r="F378" s="56">
        <f t="shared" si="35"/>
        <v>0</v>
      </c>
      <c r="G378" s="53">
        <f t="shared" si="37"/>
        <v>0</v>
      </c>
    </row>
    <row r="379" spans="1:7">
      <c r="A379" s="54">
        <v>356</v>
      </c>
      <c r="B379" s="55">
        <f t="shared" si="32"/>
        <v>47849</v>
      </c>
      <c r="C379" s="53">
        <f t="shared" si="36"/>
        <v>0</v>
      </c>
      <c r="D379" s="56">
        <f t="shared" si="33"/>
        <v>0</v>
      </c>
      <c r="E379" s="56">
        <f t="shared" si="34"/>
        <v>0</v>
      </c>
      <c r="F379" s="56">
        <f t="shared" si="35"/>
        <v>0</v>
      </c>
      <c r="G379" s="53">
        <f t="shared" si="37"/>
        <v>0</v>
      </c>
    </row>
    <row r="380" spans="1:7">
      <c r="A380" s="54">
        <v>357</v>
      </c>
      <c r="B380" s="55">
        <f t="shared" si="32"/>
        <v>47880</v>
      </c>
      <c r="C380" s="53">
        <f t="shared" si="36"/>
        <v>0</v>
      </c>
      <c r="D380" s="56">
        <f t="shared" si="33"/>
        <v>0</v>
      </c>
      <c r="E380" s="56">
        <f t="shared" si="34"/>
        <v>0</v>
      </c>
      <c r="F380" s="56">
        <f t="shared" si="35"/>
        <v>0</v>
      </c>
      <c r="G380" s="53">
        <f t="shared" si="37"/>
        <v>0</v>
      </c>
    </row>
    <row r="381" spans="1:7">
      <c r="A381" s="54">
        <v>358</v>
      </c>
      <c r="B381" s="55">
        <f t="shared" si="32"/>
        <v>47908</v>
      </c>
      <c r="C381" s="53">
        <f t="shared" si="36"/>
        <v>0</v>
      </c>
      <c r="D381" s="56">
        <f t="shared" si="33"/>
        <v>0</v>
      </c>
      <c r="E381" s="56">
        <f t="shared" si="34"/>
        <v>0</v>
      </c>
      <c r="F381" s="56">
        <f t="shared" si="35"/>
        <v>0</v>
      </c>
      <c r="G381" s="53">
        <f t="shared" si="37"/>
        <v>0</v>
      </c>
    </row>
    <row r="382" spans="1:7">
      <c r="A382" s="54">
        <v>359</v>
      </c>
      <c r="B382" s="55">
        <f t="shared" si="32"/>
        <v>47939</v>
      </c>
      <c r="C382" s="53">
        <f t="shared" si="36"/>
        <v>0</v>
      </c>
      <c r="D382" s="56">
        <f t="shared" si="33"/>
        <v>0</v>
      </c>
      <c r="E382" s="56">
        <f t="shared" si="34"/>
        <v>0</v>
      </c>
      <c r="F382" s="56">
        <f t="shared" si="35"/>
        <v>0</v>
      </c>
      <c r="G382" s="53">
        <f t="shared" si="37"/>
        <v>0</v>
      </c>
    </row>
    <row r="383" spans="1:7">
      <c r="A383" s="54">
        <v>360</v>
      </c>
      <c r="B383" s="55">
        <f t="shared" si="32"/>
        <v>47969</v>
      </c>
      <c r="C383" s="53">
        <f t="shared" si="36"/>
        <v>0</v>
      </c>
      <c r="D383" s="56">
        <f t="shared" si="33"/>
        <v>0</v>
      </c>
      <c r="E383" s="56">
        <f t="shared" si="34"/>
        <v>0</v>
      </c>
      <c r="F383" s="56">
        <f t="shared" si="35"/>
        <v>0</v>
      </c>
      <c r="G383" s="53">
        <f t="shared" si="37"/>
        <v>0</v>
      </c>
    </row>
  </sheetData>
  <phoneticPr fontId="0" type="noConversion"/>
  <printOptions horizontalCentered="1"/>
  <pageMargins left="0.25" right="0.25" top="0.5" bottom="0.5" header="0" footer="0"/>
  <pageSetup scale="9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32</vt:i4>
      </vt:variant>
    </vt:vector>
  </HeadingPairs>
  <TitlesOfParts>
    <vt:vector size="44" baseType="lpstr">
      <vt:lpstr>SourceFunds</vt:lpstr>
      <vt:lpstr>CapEquip</vt:lpstr>
      <vt:lpstr>BeginInv</vt:lpstr>
      <vt:lpstr>Startupcosts</vt:lpstr>
      <vt:lpstr>WorkCap</vt:lpstr>
      <vt:lpstr>Payroll</vt:lpstr>
      <vt:lpstr>IncomeStatement</vt:lpstr>
      <vt:lpstr>CashFlow</vt:lpstr>
      <vt:lpstr>Bizbalsht</vt:lpstr>
      <vt:lpstr>Perbalsht</vt:lpstr>
      <vt:lpstr>KeyRatios</vt:lpstr>
      <vt:lpstr>Amortization</vt:lpstr>
      <vt:lpstr>bill10</vt:lpstr>
      <vt:lpstr>bill11</vt:lpstr>
      <vt:lpstr>bill13</vt:lpstr>
      <vt:lpstr>bill17</vt:lpstr>
      <vt:lpstr>bill2</vt:lpstr>
      <vt:lpstr>bill3</vt:lpstr>
      <vt:lpstr>bill5</vt:lpstr>
      <vt:lpstr>bill6</vt:lpstr>
      <vt:lpstr>bill7</vt:lpstr>
      <vt:lpstr>bill8</vt:lpstr>
      <vt:lpstr>bill9</vt:lpstr>
      <vt:lpstr>Calculated_payment</vt:lpstr>
      <vt:lpstr>Entered_payment</vt:lpstr>
      <vt:lpstr>First_payment_due</vt:lpstr>
      <vt:lpstr>First_payment_no</vt:lpstr>
      <vt:lpstr>Payments_per_year</vt:lpstr>
      <vt:lpstr>Pmt_to_use</vt:lpstr>
      <vt:lpstr>Amortization!Print_Area</vt:lpstr>
      <vt:lpstr>BeginInv!Print_Area</vt:lpstr>
      <vt:lpstr>Bizbalsht!Print_Area</vt:lpstr>
      <vt:lpstr>CapEquip!Print_Area</vt:lpstr>
      <vt:lpstr>CashFlow!Print_Area</vt:lpstr>
      <vt:lpstr>IncomeStatement!Print_Area</vt:lpstr>
      <vt:lpstr>KeyRatios!Print_Area</vt:lpstr>
      <vt:lpstr>Payroll!Print_Area</vt:lpstr>
      <vt:lpstr>Perbalsht!Print_Area</vt:lpstr>
      <vt:lpstr>SourceFunds!Print_Area</vt:lpstr>
      <vt:lpstr>Startupcosts!Print_Area</vt:lpstr>
      <vt:lpstr>WorkCap!Print_Area</vt:lpstr>
      <vt:lpstr>Table_beg_bal</vt:lpstr>
      <vt:lpstr>Table_prior_interest</vt:lpstr>
      <vt:lpstr>Term_in_years</vt:lpstr>
    </vt:vector>
  </TitlesOfParts>
  <Company>TSBDC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 Dee</dc:creator>
  <cp:lastModifiedBy>Carina Negreanu</cp:lastModifiedBy>
  <cp:lastPrinted>2001-03-08T03:12:05Z</cp:lastPrinted>
  <dcterms:created xsi:type="dcterms:W3CDTF">2001-02-06T16:40:11Z</dcterms:created>
  <dcterms:modified xsi:type="dcterms:W3CDTF">2020-01-27T10:27:24Z</dcterms:modified>
</cp:coreProperties>
</file>