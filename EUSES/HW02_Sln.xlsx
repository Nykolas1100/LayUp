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F15846-8E64-425D-AF65-6DDF61550146}" xr6:coauthVersionLast="45" xr6:coauthVersionMax="45" xr10:uidLastSave="{00000000-0000-0000-0000-000000000000}"/>
  <bookViews>
    <workbookView xWindow="380" yWindow="380" windowWidth="28800" windowHeight="15460" activeTab="1"/>
  </bookViews>
  <sheets>
    <sheet name="e) Forecast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45" i="1"/>
  <c r="H46" i="1"/>
  <c r="H47" i="1"/>
  <c r="G25" i="1"/>
  <c r="G26" i="1"/>
  <c r="G27" i="1"/>
  <c r="G28" i="1"/>
  <c r="H28" i="1" s="1"/>
  <c r="G29" i="1"/>
  <c r="H29" i="1" s="1"/>
  <c r="G45" i="1"/>
  <c r="G46" i="1"/>
  <c r="G47" i="1"/>
  <c r="G48" i="1"/>
  <c r="H48" i="1" s="1"/>
  <c r="G49" i="1"/>
  <c r="H49" i="1" s="1"/>
  <c r="F29" i="1"/>
  <c r="I29" i="1" s="1"/>
  <c r="J29" i="1" s="1"/>
  <c r="F31" i="1"/>
  <c r="I31" i="1" s="1"/>
  <c r="J31" i="1" s="1"/>
  <c r="F32" i="1"/>
  <c r="I32" i="1" s="1"/>
  <c r="J32" i="1" s="1"/>
  <c r="F33" i="1"/>
  <c r="I33" i="1" s="1"/>
  <c r="J33" i="1" s="1"/>
  <c r="F34" i="1"/>
  <c r="I34" i="1" s="1"/>
  <c r="J34" i="1" s="1"/>
  <c r="F35" i="1"/>
  <c r="I35" i="1" s="1"/>
  <c r="J35" i="1" s="1"/>
  <c r="F49" i="1"/>
  <c r="I49" i="1" s="1"/>
  <c r="J49" i="1" s="1"/>
  <c r="F50" i="1"/>
  <c r="I50" i="1" s="1"/>
  <c r="J50" i="1" s="1"/>
  <c r="F51" i="1"/>
  <c r="I51" i="1" s="1"/>
  <c r="J51" i="1" s="1"/>
  <c r="F52" i="1"/>
  <c r="I52" i="1" s="1"/>
  <c r="J52" i="1" s="1"/>
  <c r="F54" i="1"/>
  <c r="I54" i="1" s="1"/>
  <c r="J54" i="1" s="1"/>
  <c r="F55" i="1"/>
  <c r="I55" i="1" s="1"/>
  <c r="J55" i="1" s="1"/>
  <c r="E25" i="1"/>
  <c r="E26" i="1"/>
  <c r="E27" i="1"/>
  <c r="E28" i="1"/>
  <c r="E29" i="1"/>
  <c r="E30" i="1"/>
  <c r="G30" i="1" s="1"/>
  <c r="H30" i="1" s="1"/>
  <c r="E31" i="1"/>
  <c r="G31" i="1" s="1"/>
  <c r="H31" i="1" s="1"/>
  <c r="E32" i="1"/>
  <c r="G32" i="1" s="1"/>
  <c r="H32" i="1" s="1"/>
  <c r="E33" i="1"/>
  <c r="G33" i="1" s="1"/>
  <c r="H33" i="1" s="1"/>
  <c r="E34" i="1"/>
  <c r="G34" i="1" s="1"/>
  <c r="H34" i="1" s="1"/>
  <c r="E35" i="1"/>
  <c r="G35" i="1" s="1"/>
  <c r="H35" i="1" s="1"/>
  <c r="E36" i="1"/>
  <c r="G36" i="1" s="1"/>
  <c r="H36" i="1" s="1"/>
  <c r="E37" i="1"/>
  <c r="G37" i="1" s="1"/>
  <c r="H37" i="1" s="1"/>
  <c r="E45" i="1"/>
  <c r="E46" i="1"/>
  <c r="E47" i="1"/>
  <c r="E48" i="1"/>
  <c r="E49" i="1"/>
  <c r="E50" i="1"/>
  <c r="G50" i="1" s="1"/>
  <c r="H50" i="1" s="1"/>
  <c r="E51" i="1"/>
  <c r="G51" i="1" s="1"/>
  <c r="H51" i="1" s="1"/>
  <c r="E52" i="1"/>
  <c r="G52" i="1" s="1"/>
  <c r="H52" i="1" s="1"/>
  <c r="E53" i="1"/>
  <c r="G53" i="1" s="1"/>
  <c r="H53" i="1" s="1"/>
  <c r="E54" i="1"/>
  <c r="G54" i="1" s="1"/>
  <c r="H54" i="1" s="1"/>
  <c r="E55" i="1"/>
  <c r="G55" i="1" s="1"/>
  <c r="H55" i="1" s="1"/>
  <c r="E56" i="1"/>
  <c r="G56" i="1" s="1"/>
  <c r="H56" i="1" s="1"/>
  <c r="E19" i="1"/>
  <c r="G19" i="1" s="1"/>
  <c r="D28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8" i="1"/>
  <c r="D49" i="1"/>
  <c r="D50" i="1"/>
  <c r="D51" i="1"/>
  <c r="D53" i="1"/>
  <c r="D54" i="1"/>
  <c r="D55" i="1"/>
  <c r="D56" i="1"/>
  <c r="C19" i="1"/>
  <c r="D23" i="1" s="1"/>
  <c r="C20" i="1"/>
  <c r="D24" i="1" s="1"/>
  <c r="F25" i="1" s="1"/>
  <c r="I25" i="1" s="1"/>
  <c r="J25" i="1" s="1"/>
  <c r="C21" i="1"/>
  <c r="D25" i="1" s="1"/>
  <c r="F26" i="1" s="1"/>
  <c r="I26" i="1" s="1"/>
  <c r="J26" i="1" s="1"/>
  <c r="C22" i="1"/>
  <c r="C23" i="1"/>
  <c r="D27" i="1" s="1"/>
  <c r="F28" i="1" s="1"/>
  <c r="I28" i="1" s="1"/>
  <c r="J28" i="1" s="1"/>
  <c r="C24" i="1"/>
  <c r="C25" i="1"/>
  <c r="C26" i="1"/>
  <c r="C27" i="1"/>
  <c r="C28" i="1"/>
  <c r="C29" i="1"/>
  <c r="D29" i="1" s="1"/>
  <c r="F30" i="1" s="1"/>
  <c r="I30" i="1" s="1"/>
  <c r="J30" i="1" s="1"/>
  <c r="C30" i="1"/>
  <c r="C31" i="1"/>
  <c r="C32" i="1"/>
  <c r="C33" i="1"/>
  <c r="C34" i="1"/>
  <c r="C35" i="1"/>
  <c r="F36" i="1" s="1"/>
  <c r="I36" i="1" s="1"/>
  <c r="J36" i="1" s="1"/>
  <c r="C36" i="1"/>
  <c r="F37" i="1" s="1"/>
  <c r="I37" i="1" s="1"/>
  <c r="J37" i="1" s="1"/>
  <c r="C37" i="1"/>
  <c r="E38" i="1" s="1"/>
  <c r="G38" i="1" s="1"/>
  <c r="H38" i="1" s="1"/>
  <c r="C38" i="1"/>
  <c r="F39" i="1" s="1"/>
  <c r="I39" i="1" s="1"/>
  <c r="J39" i="1" s="1"/>
  <c r="C39" i="1"/>
  <c r="D43" i="1" s="1"/>
  <c r="C40" i="1"/>
  <c r="D44" i="1" s="1"/>
  <c r="F45" i="1" s="1"/>
  <c r="I45" i="1" s="1"/>
  <c r="J45" i="1" s="1"/>
  <c r="C41" i="1"/>
  <c r="D45" i="1" s="1"/>
  <c r="F46" i="1" s="1"/>
  <c r="I46" i="1" s="1"/>
  <c r="J46" i="1" s="1"/>
  <c r="C42" i="1"/>
  <c r="D46" i="1" s="1"/>
  <c r="F47" i="1" s="1"/>
  <c r="I47" i="1" s="1"/>
  <c r="J47" i="1" s="1"/>
  <c r="C43" i="1"/>
  <c r="D47" i="1" s="1"/>
  <c r="F48" i="1" s="1"/>
  <c r="I48" i="1" s="1"/>
  <c r="J48" i="1" s="1"/>
  <c r="C44" i="1"/>
  <c r="C45" i="1"/>
  <c r="C46" i="1"/>
  <c r="C47" i="1"/>
  <c r="C48" i="1"/>
  <c r="C49" i="1"/>
  <c r="C50" i="1"/>
  <c r="C51" i="1"/>
  <c r="C52" i="1"/>
  <c r="D52" i="1" s="1"/>
  <c r="F53" i="1" s="1"/>
  <c r="I53" i="1" s="1"/>
  <c r="J53" i="1" s="1"/>
  <c r="C53" i="1"/>
  <c r="C54" i="1"/>
  <c r="C55" i="1"/>
  <c r="F56" i="1" s="1"/>
  <c r="I56" i="1" s="1"/>
  <c r="J56" i="1" s="1"/>
  <c r="C56" i="1"/>
  <c r="C18" i="1"/>
  <c r="H19" i="1" l="1"/>
  <c r="D22" i="1"/>
  <c r="F23" i="1" s="1"/>
  <c r="I23" i="1" s="1"/>
  <c r="F44" i="1"/>
  <c r="I44" i="1" s="1"/>
  <c r="J44" i="1" s="1"/>
  <c r="F24" i="1"/>
  <c r="I24" i="1" s="1"/>
  <c r="J24" i="1" s="1"/>
  <c r="F43" i="1"/>
  <c r="I43" i="1" s="1"/>
  <c r="J43" i="1" s="1"/>
  <c r="E44" i="1"/>
  <c r="G44" i="1" s="1"/>
  <c r="H44" i="1" s="1"/>
  <c r="E24" i="1"/>
  <c r="G24" i="1" s="1"/>
  <c r="H24" i="1" s="1"/>
  <c r="F42" i="1"/>
  <c r="I42" i="1" s="1"/>
  <c r="J42" i="1" s="1"/>
  <c r="E23" i="1"/>
  <c r="G23" i="1" s="1"/>
  <c r="H23" i="1" s="1"/>
  <c r="E43" i="1"/>
  <c r="G43" i="1" s="1"/>
  <c r="H43" i="1" s="1"/>
  <c r="E42" i="1"/>
  <c r="G42" i="1" s="1"/>
  <c r="H42" i="1" s="1"/>
  <c r="E22" i="1"/>
  <c r="G22" i="1" s="1"/>
  <c r="H22" i="1" s="1"/>
  <c r="F40" i="1"/>
  <c r="I40" i="1" s="1"/>
  <c r="J40" i="1" s="1"/>
  <c r="F41" i="1"/>
  <c r="I41" i="1" s="1"/>
  <c r="J41" i="1" s="1"/>
  <c r="D26" i="1"/>
  <c r="F27" i="1" s="1"/>
  <c r="I27" i="1" s="1"/>
  <c r="J27" i="1" s="1"/>
  <c r="E41" i="1"/>
  <c r="G41" i="1" s="1"/>
  <c r="H41" i="1" s="1"/>
  <c r="E21" i="1"/>
  <c r="G21" i="1" s="1"/>
  <c r="H21" i="1" s="1"/>
  <c r="E39" i="1"/>
  <c r="G39" i="1" s="1"/>
  <c r="H39" i="1" s="1"/>
  <c r="E40" i="1"/>
  <c r="G40" i="1" s="1"/>
  <c r="H40" i="1" s="1"/>
  <c r="E20" i="1"/>
  <c r="G20" i="1" s="1"/>
  <c r="H20" i="1" s="1"/>
  <c r="F38" i="1"/>
  <c r="I38" i="1" s="1"/>
  <c r="J38" i="1" s="1"/>
  <c r="I12" i="1" l="1"/>
  <c r="J23" i="1"/>
  <c r="J12" i="1" s="1"/>
  <c r="H12" i="1"/>
  <c r="G12" i="1"/>
</calcChain>
</file>

<file path=xl/sharedStrings.xml><?xml version="1.0" encoding="utf-8"?>
<sst xmlns="http://schemas.openxmlformats.org/spreadsheetml/2006/main" count="24" uniqueCount="24">
  <si>
    <t>Revenue</t>
  </si>
  <si>
    <t>Year</t>
  </si>
  <si>
    <t>EMGT 5230 Homework 2</t>
  </si>
  <si>
    <t>The data below if the yearly operating revenue for Sears given in Table 3.4 in the text.</t>
  </si>
  <si>
    <t>Do the following with the data:</t>
  </si>
  <si>
    <t>b) Calculate the 5-year double moving averages for years 1963-1997</t>
  </si>
  <si>
    <t>a) Calculate the 5-year moving averages for years 1959-1997</t>
  </si>
  <si>
    <t>c) Generate a forecast based on the single moving average for years 1960-1997</t>
  </si>
  <si>
    <t>d) Generate a forecast based on both the single and double moving averages for years 1964-1997</t>
  </si>
  <si>
    <t>e) Plot the revenue data, the single moving average forecast, and the double moving average forecast on the same chart</t>
  </si>
  <si>
    <t>f) Calculate the MPE and the MAPE for the single moving average forecast</t>
  </si>
  <si>
    <t>g) Calculate the MPE and the MAPE for the double moving average forecast</t>
  </si>
  <si>
    <t>a) 5yrMA</t>
  </si>
  <si>
    <t>b) 5yrDMA</t>
  </si>
  <si>
    <t>c) MA for</t>
  </si>
  <si>
    <t>d) DMA for</t>
  </si>
  <si>
    <t>SnglPE</t>
  </si>
  <si>
    <t>SnglAPE</t>
  </si>
  <si>
    <t>DblPE</t>
  </si>
  <si>
    <t>DblAPE</t>
  </si>
  <si>
    <t>f) S_MPE:</t>
  </si>
  <si>
    <t>f) S_MAPE:</t>
  </si>
  <si>
    <t>g) D_MPE:</t>
  </si>
  <si>
    <t>g) D_MAPE: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</si>
</sst>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/>
    <xf numFmtId="10" fontId="0" fillId="0" borderId="0" xfId="0" applyNumberFormat="1"/>
    <xf numFmtId="0" fontId="1" fillId="3" borderId="0" xfId="0" applyFont="1" applyFill="1"/>
    <xf numFmtId="10" fontId="0" fillId="3" borderId="0" xfId="0" applyNumberFormat="1" applyFill="1"/>
    <xf numFmtId="0" fontId="0" fillId="3" borderId="0" xfId="0" applyFill="1"/>
    <xf numFmtId="17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310344827586209E-2"/>
          <c:y val="3.2805429864253395E-2"/>
          <c:w val="0.93172413793103448"/>
          <c:h val="0.83371040723981904"/>
        </c:manualLayout>
      </c:layout>
      <c:lineChart>
        <c:grouping val="standard"/>
        <c:varyColors val="0"/>
        <c:ser>
          <c:idx val="0"/>
          <c:order val="0"/>
          <c:tx>
            <c:v>Revenue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Data!$A$14:$A$56</c:f>
              <c:numCache>
                <c:formatCode>General</c:formatCode>
                <c:ptCount val="43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</c:numCache>
            </c:numRef>
          </c:cat>
          <c:val>
            <c:numRef>
              <c:f>Data!$B$14:$B$56</c:f>
              <c:numCache>
                <c:formatCode>General</c:formatCode>
                <c:ptCount val="43"/>
                <c:pt idx="0">
                  <c:v>3307</c:v>
                </c:pt>
                <c:pt idx="1">
                  <c:v>3556</c:v>
                </c:pt>
                <c:pt idx="2">
                  <c:v>3601</c:v>
                </c:pt>
                <c:pt idx="3">
                  <c:v>3721</c:v>
                </c:pt>
                <c:pt idx="4">
                  <c:v>4036</c:v>
                </c:pt>
                <c:pt idx="5">
                  <c:v>4134</c:v>
                </c:pt>
                <c:pt idx="6">
                  <c:v>4268</c:v>
                </c:pt>
                <c:pt idx="7">
                  <c:v>4578</c:v>
                </c:pt>
                <c:pt idx="8">
                  <c:v>5093</c:v>
                </c:pt>
                <c:pt idx="9">
                  <c:v>5716</c:v>
                </c:pt>
                <c:pt idx="10">
                  <c:v>6357</c:v>
                </c:pt>
                <c:pt idx="11">
                  <c:v>6769</c:v>
                </c:pt>
                <c:pt idx="12">
                  <c:v>7296</c:v>
                </c:pt>
                <c:pt idx="13">
                  <c:v>8178</c:v>
                </c:pt>
                <c:pt idx="14">
                  <c:v>8844</c:v>
                </c:pt>
                <c:pt idx="15">
                  <c:v>9251</c:v>
                </c:pt>
                <c:pt idx="16">
                  <c:v>10006</c:v>
                </c:pt>
                <c:pt idx="17">
                  <c:v>10991</c:v>
                </c:pt>
                <c:pt idx="18">
                  <c:v>12306</c:v>
                </c:pt>
                <c:pt idx="19">
                  <c:v>13101</c:v>
                </c:pt>
                <c:pt idx="20">
                  <c:v>13639</c:v>
                </c:pt>
                <c:pt idx="21">
                  <c:v>14950</c:v>
                </c:pt>
                <c:pt idx="22">
                  <c:v>17224</c:v>
                </c:pt>
                <c:pt idx="23">
                  <c:v>17946</c:v>
                </c:pt>
                <c:pt idx="24">
                  <c:v>17514</c:v>
                </c:pt>
                <c:pt idx="25">
                  <c:v>25195</c:v>
                </c:pt>
                <c:pt idx="26">
                  <c:v>27357</c:v>
                </c:pt>
                <c:pt idx="27">
                  <c:v>30020</c:v>
                </c:pt>
                <c:pt idx="28">
                  <c:v>35883</c:v>
                </c:pt>
                <c:pt idx="29">
                  <c:v>38828</c:v>
                </c:pt>
                <c:pt idx="30">
                  <c:v>40715</c:v>
                </c:pt>
                <c:pt idx="31">
                  <c:v>44282</c:v>
                </c:pt>
                <c:pt idx="32">
                  <c:v>48440</c:v>
                </c:pt>
                <c:pt idx="33">
                  <c:v>50251</c:v>
                </c:pt>
                <c:pt idx="34">
                  <c:v>53794</c:v>
                </c:pt>
                <c:pt idx="35">
                  <c:v>55972</c:v>
                </c:pt>
                <c:pt idx="36">
                  <c:v>57242</c:v>
                </c:pt>
                <c:pt idx="37">
                  <c:v>52345</c:v>
                </c:pt>
                <c:pt idx="38">
                  <c:v>50838</c:v>
                </c:pt>
                <c:pt idx="39">
                  <c:v>54559</c:v>
                </c:pt>
                <c:pt idx="40">
                  <c:v>34925</c:v>
                </c:pt>
                <c:pt idx="41">
                  <c:v>38236</c:v>
                </c:pt>
                <c:pt idx="42">
                  <c:v>41296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4-472B-9325-127157C25ED6}"/>
            </c:ext>
          </c:extLst>
        </c:ser>
        <c:ser>
          <c:idx val="3"/>
          <c:order val="1"/>
          <c:tx>
            <c:v>SnglFore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Data!$A$14:$A$56</c:f>
              <c:numCache>
                <c:formatCode>General</c:formatCode>
                <c:ptCount val="43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</c:numCache>
            </c:numRef>
          </c:cat>
          <c:val>
            <c:numRef>
              <c:f>Data!$E$14:$E$56</c:f>
              <c:numCache>
                <c:formatCode>General</c:formatCode>
                <c:ptCount val="43"/>
                <c:pt idx="5" formatCode="0.0">
                  <c:v>3644.2</c:v>
                </c:pt>
                <c:pt idx="6" formatCode="0.0">
                  <c:v>3809.6</c:v>
                </c:pt>
                <c:pt idx="7" formatCode="0.0">
                  <c:v>3952</c:v>
                </c:pt>
                <c:pt idx="8" formatCode="0.0">
                  <c:v>4147.3999999999996</c:v>
                </c:pt>
                <c:pt idx="9" formatCode="0.0">
                  <c:v>4421.8</c:v>
                </c:pt>
                <c:pt idx="10" formatCode="0.0">
                  <c:v>4757.8</c:v>
                </c:pt>
                <c:pt idx="11" formatCode="0.0">
                  <c:v>5202.3999999999996</c:v>
                </c:pt>
                <c:pt idx="12" formatCode="0.0">
                  <c:v>5702.6</c:v>
                </c:pt>
                <c:pt idx="13" formatCode="0.0">
                  <c:v>6246.2</c:v>
                </c:pt>
                <c:pt idx="14" formatCode="0.0">
                  <c:v>6863.2</c:v>
                </c:pt>
                <c:pt idx="15" formatCode="0.0">
                  <c:v>7488.8</c:v>
                </c:pt>
                <c:pt idx="16" formatCode="0.0">
                  <c:v>8067.6</c:v>
                </c:pt>
                <c:pt idx="17" formatCode="0.0">
                  <c:v>8715</c:v>
                </c:pt>
                <c:pt idx="18" formatCode="0.0">
                  <c:v>9454</c:v>
                </c:pt>
                <c:pt idx="19" formatCode="0.0">
                  <c:v>10279.6</c:v>
                </c:pt>
                <c:pt idx="20" formatCode="0.0">
                  <c:v>11131</c:v>
                </c:pt>
                <c:pt idx="21" formatCode="0.0">
                  <c:v>12008.6</c:v>
                </c:pt>
                <c:pt idx="22" formatCode="0.0">
                  <c:v>12997.4</c:v>
                </c:pt>
                <c:pt idx="23" formatCode="0.0">
                  <c:v>14244</c:v>
                </c:pt>
                <c:pt idx="24" formatCode="0.0">
                  <c:v>15372</c:v>
                </c:pt>
                <c:pt idx="25" formatCode="0.0">
                  <c:v>16254.6</c:v>
                </c:pt>
                <c:pt idx="26" formatCode="0.0">
                  <c:v>18565.8</c:v>
                </c:pt>
                <c:pt idx="27" formatCode="0.0">
                  <c:v>21047.200000000001</c:v>
                </c:pt>
                <c:pt idx="28" formatCode="0.0">
                  <c:v>23606.400000000001</c:v>
                </c:pt>
                <c:pt idx="29" formatCode="0.0">
                  <c:v>27193.8</c:v>
                </c:pt>
                <c:pt idx="30" formatCode="0.0">
                  <c:v>31456.6</c:v>
                </c:pt>
                <c:pt idx="31" formatCode="0.0">
                  <c:v>34560.6</c:v>
                </c:pt>
                <c:pt idx="32" formatCode="0.0">
                  <c:v>37945.599999999999</c:v>
                </c:pt>
                <c:pt idx="33" formatCode="0.0">
                  <c:v>41629.599999999999</c:v>
                </c:pt>
                <c:pt idx="34" formatCode="0.0">
                  <c:v>44503.199999999997</c:v>
                </c:pt>
                <c:pt idx="35" formatCode="0.0">
                  <c:v>47496.4</c:v>
                </c:pt>
                <c:pt idx="36" formatCode="0.0">
                  <c:v>50547.8</c:v>
                </c:pt>
                <c:pt idx="37" formatCode="0.0">
                  <c:v>53139.8</c:v>
                </c:pt>
                <c:pt idx="38" formatCode="0.0">
                  <c:v>53920.800000000003</c:v>
                </c:pt>
                <c:pt idx="39" formatCode="0.0">
                  <c:v>54038.2</c:v>
                </c:pt>
                <c:pt idx="40" formatCode="0.0">
                  <c:v>54191.199999999997</c:v>
                </c:pt>
                <c:pt idx="41" formatCode="0.0">
                  <c:v>49981.8</c:v>
                </c:pt>
                <c:pt idx="42" formatCode="0.0">
                  <c:v>46180.6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4-472B-9325-127157C25ED6}"/>
            </c:ext>
          </c:extLst>
        </c:ser>
        <c:ser>
          <c:idx val="4"/>
          <c:order val="2"/>
          <c:tx>
            <c:v>DblFore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Data!$A$14:$A$56</c:f>
              <c:numCache>
                <c:formatCode>General</c:formatCode>
                <c:ptCount val="43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</c:numCache>
            </c:numRef>
          </c:cat>
          <c:val>
            <c:numRef>
              <c:f>Data!$F$14:$F$56</c:f>
              <c:numCache>
                <c:formatCode>General</c:formatCode>
                <c:ptCount val="43"/>
                <c:pt idx="9" formatCode="0.0">
                  <c:v>5062</c:v>
                </c:pt>
                <c:pt idx="10" formatCode="0.0">
                  <c:v>5567.9200000000019</c:v>
                </c:pt>
                <c:pt idx="11" formatCode="0.0">
                  <c:v>6261.5799999999981</c:v>
                </c:pt>
                <c:pt idx="12" formatCode="0.0">
                  <c:v>6986.9000000000015</c:v>
                </c:pt>
                <c:pt idx="13" formatCode="0.0">
                  <c:v>7716.26</c:v>
                </c:pt>
                <c:pt idx="14" formatCode="0.0">
                  <c:v>8526.3399999999983</c:v>
                </c:pt>
                <c:pt idx="15" formatCode="0.0">
                  <c:v>9271.0399999999991</c:v>
                </c:pt>
                <c:pt idx="16" formatCode="0.0">
                  <c:v>9858.48</c:v>
                </c:pt>
                <c:pt idx="17" formatCode="0.0">
                  <c:v>10573.26</c:v>
                </c:pt>
                <c:pt idx="18" formatCode="0.0">
                  <c:v>11458.420000000002</c:v>
                </c:pt>
                <c:pt idx="19" formatCode="0.0">
                  <c:v>12497.5</c:v>
                </c:pt>
                <c:pt idx="20" formatCode="0.0">
                  <c:v>13533.340000000002</c:v>
                </c:pt>
                <c:pt idx="21" formatCode="0.0">
                  <c:v>14545.04</c:v>
                </c:pt>
                <c:pt idx="22" formatCode="0.0">
                  <c:v>15732.32</c:v>
                </c:pt>
                <c:pt idx="23" formatCode="0.0">
                  <c:v>17411.82</c:v>
                </c:pt>
                <c:pt idx="24" formatCode="0.0">
                  <c:v>18704.100000000002</c:v>
                </c:pt>
                <c:pt idx="25" formatCode="0.0">
                  <c:v>19373.519999999997</c:v>
                </c:pt>
                <c:pt idx="26" formatCode="0.0">
                  <c:v>23184.359999999997</c:v>
                </c:pt>
                <c:pt idx="27" formatCode="0.0">
                  <c:v>26972.920000000006</c:v>
                </c:pt>
                <c:pt idx="28" formatCode="0.0">
                  <c:v>30562.200000000004</c:v>
                </c:pt>
                <c:pt idx="29" formatCode="0.0">
                  <c:v>35984.159999999989</c:v>
                </c:pt>
                <c:pt idx="30" formatCode="0.0">
                  <c:v>42080.56</c:v>
                </c:pt>
                <c:pt idx="31" formatCode="0.0">
                  <c:v>45042.119999999995</c:v>
                </c:pt>
                <c:pt idx="32" formatCode="0.0">
                  <c:v>48435.1</c:v>
                </c:pt>
                <c:pt idx="33" formatCode="0.0">
                  <c:v>52238.139999999985</c:v>
                </c:pt>
                <c:pt idx="34" formatCode="0.0">
                  <c:v>54229.32</c:v>
                </c:pt>
                <c:pt idx="35" formatCode="0.0">
                  <c:v>56900.380000000005</c:v>
                </c:pt>
                <c:pt idx="36" formatCode="0.0">
                  <c:v>59732.720000000016</c:v>
                </c:pt>
                <c:pt idx="37" formatCode="0.0">
                  <c:v>61654.460000000006</c:v>
                </c:pt>
                <c:pt idx="38" formatCode="0.0">
                  <c:v>59919.600000000006</c:v>
                </c:pt>
                <c:pt idx="39" formatCode="0.0">
                  <c:v>57352.599999999991</c:v>
                </c:pt>
                <c:pt idx="40" formatCode="0.0">
                  <c:v>55726.659999999974</c:v>
                </c:pt>
                <c:pt idx="41" formatCode="0.0">
                  <c:v>45372.960000000006</c:v>
                </c:pt>
                <c:pt idx="42" formatCode="0.0">
                  <c:v>37957.719999999987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4-472B-9325-127157C2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17135"/>
        <c:axId val="1"/>
      </c:lineChart>
      <c:catAx>
        <c:axId val="794117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11713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8896551724137929"/>
          <c:y val="0.96153846153846156"/>
          <c:w val="0.2717241379310345"/>
          <c:h val="3.50678733031674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BF7FE-F246-4E91-8F97-4562242F5C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G19" sqref="G19"/>
    </sheetView>
  </sheetViews>
  <sheetFormatPr defaultRowHeight="12.5" x14ac:dyDescent="0.25"/>
  <cols>
    <col min="4" max="4" width="9.81640625" bestFit="1" customWidth="1"/>
    <col min="6" max="6" width="9.81640625" bestFit="1" customWidth="1"/>
    <col min="7" max="7" width="9.54296875" bestFit="1" customWidth="1"/>
    <col min="8" max="8" width="10.81640625" bestFit="1" customWidth="1"/>
    <col min="9" max="9" width="10.1796875" bestFit="1" customWidth="1"/>
    <col min="10" max="10" width="11.453125" bestFit="1" customWidth="1"/>
  </cols>
  <sheetData>
    <row r="1" spans="1:11" ht="13" x14ac:dyDescent="0.3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3" x14ac:dyDescent="0.3">
      <c r="A11" s="4"/>
      <c r="B11" s="4"/>
      <c r="C11" s="4"/>
      <c r="D11" s="4"/>
      <c r="E11" s="4"/>
      <c r="F11" s="4"/>
      <c r="G11" s="7" t="s">
        <v>20</v>
      </c>
      <c r="H11" s="7" t="s">
        <v>21</v>
      </c>
      <c r="I11" s="7" t="s">
        <v>22</v>
      </c>
      <c r="J11" s="7" t="s">
        <v>23</v>
      </c>
      <c r="K11" s="4"/>
    </row>
    <row r="12" spans="1:11" x14ac:dyDescent="0.25">
      <c r="G12" s="8">
        <f>AVERAGE(G19:G56)</f>
        <v>0.15207882711627604</v>
      </c>
      <c r="H12" s="8">
        <f>AVERAGE(H19:H56)</f>
        <v>0.20749689690355616</v>
      </c>
      <c r="I12" s="8">
        <f>AVERAGE(I23:I56)</f>
        <v>4.005353771257443E-3</v>
      </c>
      <c r="J12" s="8">
        <f>AVERAGE(J23:J56)</f>
        <v>8.7447246236021972E-2</v>
      </c>
    </row>
    <row r="13" spans="1:11" ht="13" x14ac:dyDescent="0.3">
      <c r="A13" s="1" t="s">
        <v>1</v>
      </c>
      <c r="B13" s="1" t="s">
        <v>0</v>
      </c>
      <c r="C13" s="7" t="s">
        <v>12</v>
      </c>
      <c r="D13" s="7" t="s">
        <v>13</v>
      </c>
      <c r="E13" s="7" t="s">
        <v>14</v>
      </c>
      <c r="F13" s="7" t="s">
        <v>15</v>
      </c>
      <c r="G13" s="5" t="s">
        <v>16</v>
      </c>
      <c r="H13" s="5" t="s">
        <v>17</v>
      </c>
      <c r="I13" s="5" t="s">
        <v>18</v>
      </c>
      <c r="J13" s="5" t="s">
        <v>19</v>
      </c>
    </row>
    <row r="14" spans="1:11" x14ac:dyDescent="0.25">
      <c r="A14">
        <v>1955</v>
      </c>
      <c r="B14">
        <v>3307</v>
      </c>
      <c r="C14" s="9"/>
      <c r="D14" s="9"/>
      <c r="E14" s="9"/>
      <c r="F14" s="9"/>
    </row>
    <row r="15" spans="1:11" x14ac:dyDescent="0.25">
      <c r="A15">
        <v>1956</v>
      </c>
      <c r="B15">
        <v>3556</v>
      </c>
      <c r="C15" s="9"/>
      <c r="D15" s="9"/>
      <c r="E15" s="9"/>
      <c r="F15" s="9"/>
    </row>
    <row r="16" spans="1:11" x14ac:dyDescent="0.25">
      <c r="A16">
        <v>1957</v>
      </c>
      <c r="B16">
        <v>3601</v>
      </c>
      <c r="C16" s="9"/>
      <c r="D16" s="9"/>
      <c r="E16" s="9"/>
      <c r="F16" s="9"/>
    </row>
    <row r="17" spans="1:10" x14ac:dyDescent="0.25">
      <c r="A17">
        <v>1958</v>
      </c>
      <c r="B17">
        <v>3721</v>
      </c>
      <c r="C17" s="9"/>
      <c r="D17" s="9"/>
      <c r="E17" s="9"/>
      <c r="F17" s="9"/>
    </row>
    <row r="18" spans="1:10" x14ac:dyDescent="0.25">
      <c r="A18">
        <v>1959</v>
      </c>
      <c r="B18">
        <v>4036</v>
      </c>
      <c r="C18" s="10">
        <f>AVERAGE(B14:B18)</f>
        <v>3644.2</v>
      </c>
      <c r="D18" s="9"/>
      <c r="E18" s="9"/>
      <c r="F18" s="9"/>
    </row>
    <row r="19" spans="1:10" x14ac:dyDescent="0.25">
      <c r="A19">
        <v>1960</v>
      </c>
      <c r="B19">
        <v>4134</v>
      </c>
      <c r="C19" s="10">
        <f t="shared" ref="C19:D56" si="0">AVERAGE(B15:B19)</f>
        <v>3809.6</v>
      </c>
      <c r="D19" s="9"/>
      <c r="E19" s="10">
        <f>C18</f>
        <v>3644.2</v>
      </c>
      <c r="F19" s="9"/>
      <c r="G19" s="6">
        <f>(B19-E19)/B19</f>
        <v>0.11848089017900343</v>
      </c>
      <c r="H19" s="6">
        <f>ABS(G19)</f>
        <v>0.11848089017900343</v>
      </c>
    </row>
    <row r="20" spans="1:10" x14ac:dyDescent="0.25">
      <c r="A20">
        <v>1961</v>
      </c>
      <c r="B20">
        <v>4268</v>
      </c>
      <c r="C20" s="10">
        <f t="shared" si="0"/>
        <v>3952</v>
      </c>
      <c r="D20" s="9"/>
      <c r="E20" s="10">
        <f t="shared" ref="E20:E56" si="1">C19</f>
        <v>3809.6</v>
      </c>
      <c r="F20" s="9"/>
      <c r="G20" s="6">
        <f t="shared" ref="G20:G56" si="2">(B20-E20)/B20</f>
        <v>0.10740393626991568</v>
      </c>
      <c r="H20" s="6">
        <f t="shared" ref="H20:H56" si="3">ABS(G20)</f>
        <v>0.10740393626991568</v>
      </c>
    </row>
    <row r="21" spans="1:10" x14ac:dyDescent="0.25">
      <c r="A21">
        <v>1962</v>
      </c>
      <c r="B21">
        <v>4578</v>
      </c>
      <c r="C21" s="10">
        <f t="shared" si="0"/>
        <v>4147.3999999999996</v>
      </c>
      <c r="D21" s="9"/>
      <c r="E21" s="10">
        <f t="shared" si="1"/>
        <v>3952</v>
      </c>
      <c r="F21" s="9"/>
      <c r="G21" s="6">
        <f t="shared" si="2"/>
        <v>0.13674093490607253</v>
      </c>
      <c r="H21" s="6">
        <f t="shared" si="3"/>
        <v>0.13674093490607253</v>
      </c>
    </row>
    <row r="22" spans="1:10" x14ac:dyDescent="0.25">
      <c r="A22">
        <v>1963</v>
      </c>
      <c r="B22">
        <v>5093</v>
      </c>
      <c r="C22" s="10">
        <f t="shared" si="0"/>
        <v>4421.8</v>
      </c>
      <c r="D22" s="10">
        <f>AVERAGE(C18:C22)</f>
        <v>3995</v>
      </c>
      <c r="E22" s="10">
        <f t="shared" si="1"/>
        <v>4147.3999999999996</v>
      </c>
      <c r="F22" s="9"/>
      <c r="G22" s="6">
        <f t="shared" si="2"/>
        <v>0.18566660121735723</v>
      </c>
      <c r="H22" s="6">
        <f t="shared" si="3"/>
        <v>0.18566660121735723</v>
      </c>
    </row>
    <row r="23" spans="1:10" x14ac:dyDescent="0.25">
      <c r="A23">
        <v>1964</v>
      </c>
      <c r="B23">
        <v>5716</v>
      </c>
      <c r="C23" s="10">
        <f t="shared" si="0"/>
        <v>4757.8</v>
      </c>
      <c r="D23" s="10">
        <f t="shared" si="0"/>
        <v>4217.7199999999993</v>
      </c>
      <c r="E23" s="10">
        <f t="shared" si="1"/>
        <v>4421.8</v>
      </c>
      <c r="F23" s="10">
        <f>2*C22-D22+((2/(5-1))*(C22-D22))</f>
        <v>5062</v>
      </c>
      <c r="G23" s="6">
        <f t="shared" si="2"/>
        <v>0.22641707487753671</v>
      </c>
      <c r="H23" s="6">
        <f t="shared" si="3"/>
        <v>0.22641707487753671</v>
      </c>
      <c r="I23" s="6">
        <f>(B23-F23)/B23</f>
        <v>0.11441567529741077</v>
      </c>
      <c r="J23" s="6">
        <f>ABS(I23)</f>
        <v>0.11441567529741077</v>
      </c>
    </row>
    <row r="24" spans="1:10" x14ac:dyDescent="0.25">
      <c r="A24">
        <v>1965</v>
      </c>
      <c r="B24">
        <v>6357</v>
      </c>
      <c r="C24" s="10">
        <f t="shared" si="0"/>
        <v>5202.3999999999996</v>
      </c>
      <c r="D24" s="10">
        <f t="shared" si="0"/>
        <v>4496.2800000000007</v>
      </c>
      <c r="E24" s="10">
        <f t="shared" si="1"/>
        <v>4757.8</v>
      </c>
      <c r="F24" s="10">
        <f t="shared" ref="F24:F56" si="4">2*C23-D23+((2/(5-1))*(C23-D23))</f>
        <v>5567.9200000000019</v>
      </c>
      <c r="G24" s="6">
        <f t="shared" si="2"/>
        <v>0.25156520371244295</v>
      </c>
      <c r="H24" s="6">
        <f t="shared" si="3"/>
        <v>0.25156520371244295</v>
      </c>
      <c r="I24" s="6">
        <f t="shared" ref="I24:I56" si="5">(B24-F24)/B24</f>
        <v>0.12412773320748752</v>
      </c>
      <c r="J24" s="6">
        <f t="shared" ref="J24:J56" si="6">ABS(I24)</f>
        <v>0.12412773320748752</v>
      </c>
    </row>
    <row r="25" spans="1:10" x14ac:dyDescent="0.25">
      <c r="A25">
        <v>1966</v>
      </c>
      <c r="B25">
        <v>6769</v>
      </c>
      <c r="C25" s="10">
        <f t="shared" si="0"/>
        <v>5702.6</v>
      </c>
      <c r="D25" s="10">
        <f t="shared" si="0"/>
        <v>4846.3999999999996</v>
      </c>
      <c r="E25" s="10">
        <f t="shared" si="1"/>
        <v>5202.3999999999996</v>
      </c>
      <c r="F25" s="10">
        <f t="shared" si="4"/>
        <v>6261.5799999999981</v>
      </c>
      <c r="G25" s="6">
        <f t="shared" si="2"/>
        <v>0.23143743536711484</v>
      </c>
      <c r="H25" s="6">
        <f t="shared" si="3"/>
        <v>0.23143743536711484</v>
      </c>
      <c r="I25" s="6">
        <f t="shared" si="5"/>
        <v>7.4962328261191008E-2</v>
      </c>
      <c r="J25" s="6">
        <f t="shared" si="6"/>
        <v>7.4962328261191008E-2</v>
      </c>
    </row>
    <row r="26" spans="1:10" x14ac:dyDescent="0.25">
      <c r="A26">
        <v>1967</v>
      </c>
      <c r="B26">
        <v>7296</v>
      </c>
      <c r="C26" s="10">
        <f t="shared" si="0"/>
        <v>6246.2</v>
      </c>
      <c r="D26" s="10">
        <f t="shared" si="0"/>
        <v>5266.16</v>
      </c>
      <c r="E26" s="10">
        <f t="shared" si="1"/>
        <v>5702.6</v>
      </c>
      <c r="F26" s="10">
        <f t="shared" si="4"/>
        <v>6986.9000000000015</v>
      </c>
      <c r="G26" s="6">
        <f t="shared" si="2"/>
        <v>0.21839364035087713</v>
      </c>
      <c r="H26" s="6">
        <f t="shared" si="3"/>
        <v>0.21839364035087713</v>
      </c>
      <c r="I26" s="6">
        <f t="shared" si="5"/>
        <v>4.2365679824561207E-2</v>
      </c>
      <c r="J26" s="6">
        <f t="shared" si="6"/>
        <v>4.2365679824561207E-2</v>
      </c>
    </row>
    <row r="27" spans="1:10" x14ac:dyDescent="0.25">
      <c r="A27">
        <v>1968</v>
      </c>
      <c r="B27">
        <v>8178</v>
      </c>
      <c r="C27" s="10">
        <f t="shared" si="0"/>
        <v>6863.2</v>
      </c>
      <c r="D27" s="10">
        <f t="shared" si="0"/>
        <v>5754.4400000000005</v>
      </c>
      <c r="E27" s="10">
        <f t="shared" si="1"/>
        <v>6246.2</v>
      </c>
      <c r="F27" s="10">
        <f t="shared" si="4"/>
        <v>7716.26</v>
      </c>
      <c r="G27" s="6">
        <f t="shared" si="2"/>
        <v>0.23621912448031307</v>
      </c>
      <c r="H27" s="6">
        <f t="shared" si="3"/>
        <v>0.23621912448031307</v>
      </c>
      <c r="I27" s="6">
        <f t="shared" si="5"/>
        <v>5.6461237466373167E-2</v>
      </c>
      <c r="J27" s="6">
        <f t="shared" si="6"/>
        <v>5.6461237466373167E-2</v>
      </c>
    </row>
    <row r="28" spans="1:10" x14ac:dyDescent="0.25">
      <c r="A28">
        <v>1969</v>
      </c>
      <c r="B28">
        <v>8844</v>
      </c>
      <c r="C28" s="10">
        <f t="shared" si="0"/>
        <v>7488.8</v>
      </c>
      <c r="D28" s="10">
        <f t="shared" si="0"/>
        <v>6300.64</v>
      </c>
      <c r="E28" s="10">
        <f t="shared" si="1"/>
        <v>6863.2</v>
      </c>
      <c r="F28" s="10">
        <f t="shared" si="4"/>
        <v>8526.3399999999983</v>
      </c>
      <c r="G28" s="6">
        <f t="shared" si="2"/>
        <v>0.2239710538218001</v>
      </c>
      <c r="H28" s="6">
        <f t="shared" si="3"/>
        <v>0.2239710538218001</v>
      </c>
      <c r="I28" s="6">
        <f t="shared" si="5"/>
        <v>3.591813658977857E-2</v>
      </c>
      <c r="J28" s="6">
        <f t="shared" si="6"/>
        <v>3.591813658977857E-2</v>
      </c>
    </row>
    <row r="29" spans="1:10" x14ac:dyDescent="0.25">
      <c r="A29">
        <v>1970</v>
      </c>
      <c r="B29">
        <v>9251</v>
      </c>
      <c r="C29" s="10">
        <f t="shared" si="0"/>
        <v>8067.6</v>
      </c>
      <c r="D29" s="10">
        <f t="shared" si="0"/>
        <v>6873.68</v>
      </c>
      <c r="E29" s="10">
        <f t="shared" si="1"/>
        <v>7488.8</v>
      </c>
      <c r="F29" s="10">
        <f t="shared" si="4"/>
        <v>9271.0399999999991</v>
      </c>
      <c r="G29" s="6">
        <f t="shared" si="2"/>
        <v>0.19048751486325802</v>
      </c>
      <c r="H29" s="6">
        <f t="shared" si="3"/>
        <v>0.19048751486325802</v>
      </c>
      <c r="I29" s="6">
        <f t="shared" si="5"/>
        <v>-2.1662522970488656E-3</v>
      </c>
      <c r="J29" s="6">
        <f t="shared" si="6"/>
        <v>2.1662522970488656E-3</v>
      </c>
    </row>
    <row r="30" spans="1:10" x14ac:dyDescent="0.25">
      <c r="A30">
        <v>1971</v>
      </c>
      <c r="B30">
        <v>10006</v>
      </c>
      <c r="C30" s="10">
        <f t="shared" si="0"/>
        <v>8715</v>
      </c>
      <c r="D30" s="10">
        <f t="shared" si="0"/>
        <v>7476.1600000000008</v>
      </c>
      <c r="E30" s="10">
        <f t="shared" si="1"/>
        <v>8067.6</v>
      </c>
      <c r="F30" s="10">
        <f t="shared" si="4"/>
        <v>9858.48</v>
      </c>
      <c r="G30" s="6">
        <f t="shared" si="2"/>
        <v>0.19372376574055564</v>
      </c>
      <c r="H30" s="6">
        <f t="shared" si="3"/>
        <v>0.19372376574055564</v>
      </c>
      <c r="I30" s="6">
        <f t="shared" si="5"/>
        <v>1.4743154107535522E-2</v>
      </c>
      <c r="J30" s="6">
        <f t="shared" si="6"/>
        <v>1.4743154107535522E-2</v>
      </c>
    </row>
    <row r="31" spans="1:10" x14ac:dyDescent="0.25">
      <c r="A31">
        <v>1972</v>
      </c>
      <c r="B31">
        <v>10991</v>
      </c>
      <c r="C31" s="10">
        <f t="shared" si="0"/>
        <v>9454</v>
      </c>
      <c r="D31" s="10">
        <f t="shared" si="0"/>
        <v>8117.7199999999993</v>
      </c>
      <c r="E31" s="10">
        <f t="shared" si="1"/>
        <v>8715</v>
      </c>
      <c r="F31" s="10">
        <f t="shared" si="4"/>
        <v>10573.26</v>
      </c>
      <c r="G31" s="6">
        <f t="shared" si="2"/>
        <v>0.20707851878809935</v>
      </c>
      <c r="H31" s="6">
        <f t="shared" si="3"/>
        <v>0.20707851878809935</v>
      </c>
      <c r="I31" s="6">
        <f t="shared" si="5"/>
        <v>3.8007460649622397E-2</v>
      </c>
      <c r="J31" s="6">
        <f t="shared" si="6"/>
        <v>3.8007460649622397E-2</v>
      </c>
    </row>
    <row r="32" spans="1:10" x14ac:dyDescent="0.25">
      <c r="A32">
        <v>1973</v>
      </c>
      <c r="B32">
        <v>12306</v>
      </c>
      <c r="C32" s="10">
        <f t="shared" si="0"/>
        <v>10279.6</v>
      </c>
      <c r="D32" s="10">
        <f t="shared" si="0"/>
        <v>8801</v>
      </c>
      <c r="E32" s="10">
        <f t="shared" si="1"/>
        <v>9454</v>
      </c>
      <c r="F32" s="10">
        <f t="shared" si="4"/>
        <v>11458.420000000002</v>
      </c>
      <c r="G32" s="6">
        <f t="shared" si="2"/>
        <v>0.23175686656915326</v>
      </c>
      <c r="H32" s="6">
        <f t="shared" si="3"/>
        <v>0.23175686656915326</v>
      </c>
      <c r="I32" s="6">
        <f t="shared" si="5"/>
        <v>6.887534535998685E-2</v>
      </c>
      <c r="J32" s="6">
        <f t="shared" si="6"/>
        <v>6.887534535998685E-2</v>
      </c>
    </row>
    <row r="33" spans="1:10" x14ac:dyDescent="0.25">
      <c r="A33">
        <v>1974</v>
      </c>
      <c r="B33">
        <v>13101</v>
      </c>
      <c r="C33" s="10">
        <f t="shared" si="0"/>
        <v>11131</v>
      </c>
      <c r="D33" s="10">
        <f t="shared" si="0"/>
        <v>9529.4399999999987</v>
      </c>
      <c r="E33" s="10">
        <f t="shared" si="1"/>
        <v>10279.6</v>
      </c>
      <c r="F33" s="10">
        <f t="shared" si="4"/>
        <v>12497.5</v>
      </c>
      <c r="G33" s="6">
        <f t="shared" si="2"/>
        <v>0.21535760628959619</v>
      </c>
      <c r="H33" s="6">
        <f t="shared" si="3"/>
        <v>0.21535760628959619</v>
      </c>
      <c r="I33" s="6">
        <f t="shared" si="5"/>
        <v>4.6065185863674529E-2</v>
      </c>
      <c r="J33" s="6">
        <f t="shared" si="6"/>
        <v>4.6065185863674529E-2</v>
      </c>
    </row>
    <row r="34" spans="1:10" x14ac:dyDescent="0.25">
      <c r="A34">
        <v>1975</v>
      </c>
      <c r="B34">
        <v>13639</v>
      </c>
      <c r="C34" s="10">
        <f t="shared" si="0"/>
        <v>12008.6</v>
      </c>
      <c r="D34" s="10">
        <f t="shared" si="0"/>
        <v>10317.64</v>
      </c>
      <c r="E34" s="10">
        <f t="shared" si="1"/>
        <v>11131</v>
      </c>
      <c r="F34" s="10">
        <f t="shared" si="4"/>
        <v>13533.340000000002</v>
      </c>
      <c r="G34" s="6">
        <f t="shared" si="2"/>
        <v>0.1838844490065254</v>
      </c>
      <c r="H34" s="6">
        <f t="shared" si="3"/>
        <v>0.1838844490065254</v>
      </c>
      <c r="I34" s="6">
        <f t="shared" si="5"/>
        <v>7.7469022655618476E-3</v>
      </c>
      <c r="J34" s="6">
        <f t="shared" si="6"/>
        <v>7.7469022655618476E-3</v>
      </c>
    </row>
    <row r="35" spans="1:10" x14ac:dyDescent="0.25">
      <c r="A35">
        <v>1976</v>
      </c>
      <c r="B35">
        <v>14950</v>
      </c>
      <c r="C35" s="10">
        <f t="shared" si="0"/>
        <v>12997.4</v>
      </c>
      <c r="D35" s="10">
        <f t="shared" si="0"/>
        <v>11174.119999999999</v>
      </c>
      <c r="E35" s="10">
        <f t="shared" si="1"/>
        <v>12008.6</v>
      </c>
      <c r="F35" s="10">
        <f t="shared" si="4"/>
        <v>14545.04</v>
      </c>
      <c r="G35" s="6">
        <f t="shared" si="2"/>
        <v>0.19674916387959865</v>
      </c>
      <c r="H35" s="6">
        <f t="shared" si="3"/>
        <v>0.19674916387959865</v>
      </c>
      <c r="I35" s="6">
        <f t="shared" si="5"/>
        <v>2.7087625418060143E-2</v>
      </c>
      <c r="J35" s="6">
        <f t="shared" si="6"/>
        <v>2.7087625418060143E-2</v>
      </c>
    </row>
    <row r="36" spans="1:10" x14ac:dyDescent="0.25">
      <c r="A36">
        <v>1977</v>
      </c>
      <c r="B36">
        <v>17224</v>
      </c>
      <c r="C36" s="10">
        <f t="shared" si="0"/>
        <v>14244</v>
      </c>
      <c r="D36" s="10">
        <f t="shared" si="0"/>
        <v>12132.119999999999</v>
      </c>
      <c r="E36" s="10">
        <f t="shared" si="1"/>
        <v>12997.4</v>
      </c>
      <c r="F36" s="10">
        <f t="shared" si="4"/>
        <v>15732.32</v>
      </c>
      <c r="G36" s="6">
        <f t="shared" si="2"/>
        <v>0.24539015327450073</v>
      </c>
      <c r="H36" s="6">
        <f t="shared" si="3"/>
        <v>0.24539015327450073</v>
      </c>
      <c r="I36" s="6">
        <f t="shared" si="5"/>
        <v>8.6604737575476098E-2</v>
      </c>
      <c r="J36" s="6">
        <f t="shared" si="6"/>
        <v>8.6604737575476098E-2</v>
      </c>
    </row>
    <row r="37" spans="1:10" x14ac:dyDescent="0.25">
      <c r="A37">
        <v>1978</v>
      </c>
      <c r="B37">
        <v>17946</v>
      </c>
      <c r="C37" s="10">
        <f t="shared" si="0"/>
        <v>15372</v>
      </c>
      <c r="D37" s="10">
        <f t="shared" si="0"/>
        <v>13150.6</v>
      </c>
      <c r="E37" s="10">
        <f t="shared" si="1"/>
        <v>14244</v>
      </c>
      <c r="F37" s="10">
        <f t="shared" si="4"/>
        <v>17411.82</v>
      </c>
      <c r="G37" s="6">
        <f t="shared" si="2"/>
        <v>0.20628552323637581</v>
      </c>
      <c r="H37" s="6">
        <f t="shared" si="3"/>
        <v>0.20628552323637581</v>
      </c>
      <c r="I37" s="6">
        <f t="shared" si="5"/>
        <v>2.9765964560347725E-2</v>
      </c>
      <c r="J37" s="6">
        <f t="shared" si="6"/>
        <v>2.9765964560347725E-2</v>
      </c>
    </row>
    <row r="38" spans="1:10" x14ac:dyDescent="0.25">
      <c r="A38">
        <v>1979</v>
      </c>
      <c r="B38">
        <v>17514</v>
      </c>
      <c r="C38" s="10">
        <f t="shared" si="0"/>
        <v>16254.6</v>
      </c>
      <c r="D38" s="10">
        <f t="shared" si="0"/>
        <v>14175.320000000002</v>
      </c>
      <c r="E38" s="10">
        <f t="shared" si="1"/>
        <v>15372</v>
      </c>
      <c r="F38" s="10">
        <f t="shared" si="4"/>
        <v>18704.100000000002</v>
      </c>
      <c r="G38" s="6">
        <f t="shared" si="2"/>
        <v>0.1223021582733813</v>
      </c>
      <c r="H38" s="6">
        <f t="shared" si="3"/>
        <v>0.1223021582733813</v>
      </c>
      <c r="I38" s="6">
        <f t="shared" si="5"/>
        <v>-6.795135320315189E-2</v>
      </c>
      <c r="J38" s="6">
        <f t="shared" si="6"/>
        <v>6.795135320315189E-2</v>
      </c>
    </row>
    <row r="39" spans="1:10" x14ac:dyDescent="0.25">
      <c r="A39">
        <v>1980</v>
      </c>
      <c r="B39">
        <v>25195</v>
      </c>
      <c r="C39" s="10">
        <f t="shared" si="0"/>
        <v>18565.8</v>
      </c>
      <c r="D39" s="10">
        <f t="shared" si="0"/>
        <v>15486.76</v>
      </c>
      <c r="E39" s="10">
        <f t="shared" si="1"/>
        <v>16254.6</v>
      </c>
      <c r="F39" s="10">
        <f t="shared" si="4"/>
        <v>19373.519999999997</v>
      </c>
      <c r="G39" s="6">
        <f t="shared" si="2"/>
        <v>0.35484818416352448</v>
      </c>
      <c r="H39" s="6">
        <f t="shared" si="3"/>
        <v>0.35484818416352448</v>
      </c>
      <c r="I39" s="6">
        <f t="shared" si="5"/>
        <v>0.23105695574518767</v>
      </c>
      <c r="J39" s="6">
        <f t="shared" si="6"/>
        <v>0.23105695574518767</v>
      </c>
    </row>
    <row r="40" spans="1:10" x14ac:dyDescent="0.25">
      <c r="A40">
        <v>1981</v>
      </c>
      <c r="B40">
        <v>27357</v>
      </c>
      <c r="C40" s="10">
        <f t="shared" si="0"/>
        <v>21047.200000000001</v>
      </c>
      <c r="D40" s="10">
        <f t="shared" si="0"/>
        <v>17096.719999999998</v>
      </c>
      <c r="E40" s="10">
        <f t="shared" si="1"/>
        <v>18565.8</v>
      </c>
      <c r="F40" s="10">
        <f t="shared" si="4"/>
        <v>23184.359999999997</v>
      </c>
      <c r="G40" s="6">
        <f t="shared" si="2"/>
        <v>0.32135102533172499</v>
      </c>
      <c r="H40" s="6">
        <f t="shared" si="3"/>
        <v>0.32135102533172499</v>
      </c>
      <c r="I40" s="6">
        <f t="shared" si="5"/>
        <v>0.15252549621669054</v>
      </c>
      <c r="J40" s="6">
        <f t="shared" si="6"/>
        <v>0.15252549621669054</v>
      </c>
    </row>
    <row r="41" spans="1:10" x14ac:dyDescent="0.25">
      <c r="A41">
        <v>1982</v>
      </c>
      <c r="B41">
        <v>30020</v>
      </c>
      <c r="C41" s="10">
        <f t="shared" si="0"/>
        <v>23606.400000000001</v>
      </c>
      <c r="D41" s="10">
        <f t="shared" si="0"/>
        <v>18969.2</v>
      </c>
      <c r="E41" s="10">
        <f t="shared" si="1"/>
        <v>21047.200000000001</v>
      </c>
      <c r="F41" s="10">
        <f t="shared" si="4"/>
        <v>26972.920000000006</v>
      </c>
      <c r="G41" s="6">
        <f t="shared" si="2"/>
        <v>0.29889407061958689</v>
      </c>
      <c r="H41" s="6">
        <f t="shared" si="3"/>
        <v>0.29889407061958689</v>
      </c>
      <c r="I41" s="6">
        <f t="shared" si="5"/>
        <v>0.10150166555629563</v>
      </c>
      <c r="J41" s="6">
        <f t="shared" si="6"/>
        <v>0.10150166555629563</v>
      </c>
    </row>
    <row r="42" spans="1:10" x14ac:dyDescent="0.25">
      <c r="A42">
        <v>1983</v>
      </c>
      <c r="B42">
        <v>35883</v>
      </c>
      <c r="C42" s="10">
        <f t="shared" si="0"/>
        <v>27193.8</v>
      </c>
      <c r="D42" s="10">
        <f t="shared" si="0"/>
        <v>21333.56</v>
      </c>
      <c r="E42" s="10">
        <f t="shared" si="1"/>
        <v>23606.400000000001</v>
      </c>
      <c r="F42" s="10">
        <f t="shared" si="4"/>
        <v>30562.200000000004</v>
      </c>
      <c r="G42" s="6">
        <f t="shared" si="2"/>
        <v>0.3421285845665078</v>
      </c>
      <c r="H42" s="6">
        <f t="shared" si="3"/>
        <v>0.3421285845665078</v>
      </c>
      <c r="I42" s="6">
        <f t="shared" si="5"/>
        <v>0.14828191622774003</v>
      </c>
      <c r="J42" s="6">
        <f t="shared" si="6"/>
        <v>0.14828191622774003</v>
      </c>
    </row>
    <row r="43" spans="1:10" x14ac:dyDescent="0.25">
      <c r="A43">
        <v>1984</v>
      </c>
      <c r="B43">
        <v>38828</v>
      </c>
      <c r="C43" s="10">
        <f t="shared" si="0"/>
        <v>31456.6</v>
      </c>
      <c r="D43" s="10">
        <f t="shared" si="0"/>
        <v>24373.96</v>
      </c>
      <c r="E43" s="10">
        <f t="shared" si="1"/>
        <v>27193.8</v>
      </c>
      <c r="F43" s="10">
        <f t="shared" si="4"/>
        <v>35984.159999999989</v>
      </c>
      <c r="G43" s="6">
        <f t="shared" si="2"/>
        <v>0.29963428453693214</v>
      </c>
      <c r="H43" s="6">
        <f t="shared" si="3"/>
        <v>0.29963428453693214</v>
      </c>
      <c r="I43" s="6">
        <f t="shared" si="5"/>
        <v>7.3241990316266894E-2</v>
      </c>
      <c r="J43" s="6">
        <f t="shared" si="6"/>
        <v>7.3241990316266894E-2</v>
      </c>
    </row>
    <row r="44" spans="1:10" x14ac:dyDescent="0.25">
      <c r="A44">
        <v>1985</v>
      </c>
      <c r="B44">
        <v>40715</v>
      </c>
      <c r="C44" s="10">
        <f t="shared" si="0"/>
        <v>34560.6</v>
      </c>
      <c r="D44" s="10">
        <f t="shared" si="0"/>
        <v>27572.920000000002</v>
      </c>
      <c r="E44" s="10">
        <f t="shared" si="1"/>
        <v>31456.6</v>
      </c>
      <c r="F44" s="10">
        <f t="shared" si="4"/>
        <v>42080.56</v>
      </c>
      <c r="G44" s="6">
        <f t="shared" si="2"/>
        <v>0.22739530885423068</v>
      </c>
      <c r="H44" s="6">
        <f t="shared" si="3"/>
        <v>0.22739530885423068</v>
      </c>
      <c r="I44" s="6">
        <f t="shared" si="5"/>
        <v>-3.3539481763477777E-2</v>
      </c>
      <c r="J44" s="6">
        <f t="shared" si="6"/>
        <v>3.3539481763477777E-2</v>
      </c>
    </row>
    <row r="45" spans="1:10" x14ac:dyDescent="0.25">
      <c r="A45">
        <v>1986</v>
      </c>
      <c r="B45">
        <v>44282</v>
      </c>
      <c r="C45" s="10">
        <f t="shared" si="0"/>
        <v>37945.599999999999</v>
      </c>
      <c r="D45" s="10">
        <f t="shared" si="0"/>
        <v>30952.6</v>
      </c>
      <c r="E45" s="10">
        <f t="shared" si="1"/>
        <v>34560.6</v>
      </c>
      <c r="F45" s="10">
        <f t="shared" si="4"/>
        <v>45042.119999999995</v>
      </c>
      <c r="G45" s="6">
        <f t="shared" si="2"/>
        <v>0.21953389639131027</v>
      </c>
      <c r="H45" s="6">
        <f t="shared" si="3"/>
        <v>0.21953389639131027</v>
      </c>
      <c r="I45" s="6">
        <f t="shared" si="5"/>
        <v>-1.7165439682037743E-2</v>
      </c>
      <c r="J45" s="6">
        <f t="shared" si="6"/>
        <v>1.7165439682037743E-2</v>
      </c>
    </row>
    <row r="46" spans="1:10" x14ac:dyDescent="0.25">
      <c r="A46">
        <v>1987</v>
      </c>
      <c r="B46">
        <v>48440</v>
      </c>
      <c r="C46" s="10">
        <f t="shared" si="0"/>
        <v>41629.599999999999</v>
      </c>
      <c r="D46" s="10">
        <f t="shared" si="0"/>
        <v>34557.240000000005</v>
      </c>
      <c r="E46" s="10">
        <f t="shared" si="1"/>
        <v>37945.599999999999</v>
      </c>
      <c r="F46" s="10">
        <f t="shared" si="4"/>
        <v>48435.1</v>
      </c>
      <c r="G46" s="6">
        <f t="shared" si="2"/>
        <v>0.21664739884393067</v>
      </c>
      <c r="H46" s="6">
        <f t="shared" si="3"/>
        <v>0.21664739884393067</v>
      </c>
      <c r="I46" s="6">
        <f t="shared" si="5"/>
        <v>1.0115606936419189E-4</v>
      </c>
      <c r="J46" s="6">
        <f t="shared" si="6"/>
        <v>1.0115606936419189E-4</v>
      </c>
    </row>
    <row r="47" spans="1:10" x14ac:dyDescent="0.25">
      <c r="A47">
        <v>1988</v>
      </c>
      <c r="B47">
        <v>50251</v>
      </c>
      <c r="C47" s="10">
        <f t="shared" si="0"/>
        <v>44503.199999999997</v>
      </c>
      <c r="D47" s="10">
        <f t="shared" si="0"/>
        <v>38019.119999999995</v>
      </c>
      <c r="E47" s="10">
        <f t="shared" si="1"/>
        <v>41629.599999999999</v>
      </c>
      <c r="F47" s="10">
        <f t="shared" si="4"/>
        <v>52238.139999999985</v>
      </c>
      <c r="G47" s="6">
        <f t="shared" si="2"/>
        <v>0.17156673499034847</v>
      </c>
      <c r="H47" s="6">
        <f t="shared" si="3"/>
        <v>0.17156673499034847</v>
      </c>
      <c r="I47" s="6">
        <f t="shared" si="5"/>
        <v>-3.9544287675866846E-2</v>
      </c>
      <c r="J47" s="6">
        <f t="shared" si="6"/>
        <v>3.9544287675866846E-2</v>
      </c>
    </row>
    <row r="48" spans="1:10" x14ac:dyDescent="0.25">
      <c r="A48">
        <v>1989</v>
      </c>
      <c r="B48">
        <v>53794</v>
      </c>
      <c r="C48" s="10">
        <f t="shared" si="0"/>
        <v>47496.4</v>
      </c>
      <c r="D48" s="10">
        <f t="shared" si="0"/>
        <v>41227.08</v>
      </c>
      <c r="E48" s="10">
        <f t="shared" si="1"/>
        <v>44503.199999999997</v>
      </c>
      <c r="F48" s="10">
        <f t="shared" si="4"/>
        <v>54229.32</v>
      </c>
      <c r="G48" s="6">
        <f t="shared" si="2"/>
        <v>0.17271071123173592</v>
      </c>
      <c r="H48" s="6">
        <f t="shared" si="3"/>
        <v>0.17271071123173592</v>
      </c>
      <c r="I48" s="6">
        <f t="shared" si="5"/>
        <v>-8.0923523069487257E-3</v>
      </c>
      <c r="J48" s="6">
        <f t="shared" si="6"/>
        <v>8.0923523069487257E-3</v>
      </c>
    </row>
    <row r="49" spans="1:10" x14ac:dyDescent="0.25">
      <c r="A49">
        <v>1990</v>
      </c>
      <c r="B49">
        <v>55972</v>
      </c>
      <c r="C49" s="10">
        <f t="shared" si="0"/>
        <v>50547.8</v>
      </c>
      <c r="D49" s="10">
        <f t="shared" si="0"/>
        <v>44424.52</v>
      </c>
      <c r="E49" s="10">
        <f t="shared" si="1"/>
        <v>47496.4</v>
      </c>
      <c r="F49" s="10">
        <f t="shared" si="4"/>
        <v>56900.380000000005</v>
      </c>
      <c r="G49" s="6">
        <f t="shared" si="2"/>
        <v>0.1514257128564282</v>
      </c>
      <c r="H49" s="6">
        <f t="shared" si="3"/>
        <v>0.1514257128564282</v>
      </c>
      <c r="I49" s="6">
        <f t="shared" si="5"/>
        <v>-1.658650753948411E-2</v>
      </c>
      <c r="J49" s="6">
        <f t="shared" si="6"/>
        <v>1.658650753948411E-2</v>
      </c>
    </row>
    <row r="50" spans="1:10" x14ac:dyDescent="0.25">
      <c r="A50">
        <v>1991</v>
      </c>
      <c r="B50">
        <v>57242</v>
      </c>
      <c r="C50" s="10">
        <f t="shared" si="0"/>
        <v>53139.8</v>
      </c>
      <c r="D50" s="10">
        <f t="shared" si="0"/>
        <v>47463.360000000001</v>
      </c>
      <c r="E50" s="10">
        <f t="shared" si="1"/>
        <v>50547.8</v>
      </c>
      <c r="F50" s="10">
        <f t="shared" si="4"/>
        <v>59732.720000000016</v>
      </c>
      <c r="G50" s="6">
        <f t="shared" si="2"/>
        <v>0.11694559938506686</v>
      </c>
      <c r="H50" s="6">
        <f t="shared" si="3"/>
        <v>0.11694559938506686</v>
      </c>
      <c r="I50" s="6">
        <f t="shared" si="5"/>
        <v>-4.3512106495231052E-2</v>
      </c>
      <c r="J50" s="6">
        <f t="shared" si="6"/>
        <v>4.3512106495231052E-2</v>
      </c>
    </row>
    <row r="51" spans="1:10" x14ac:dyDescent="0.25">
      <c r="A51">
        <v>1992</v>
      </c>
      <c r="B51">
        <v>52345</v>
      </c>
      <c r="C51" s="10">
        <f t="shared" si="0"/>
        <v>53920.800000000003</v>
      </c>
      <c r="D51" s="10">
        <f t="shared" si="0"/>
        <v>49921.599999999999</v>
      </c>
      <c r="E51" s="10">
        <f t="shared" si="1"/>
        <v>53139.8</v>
      </c>
      <c r="F51" s="10">
        <f t="shared" si="4"/>
        <v>61654.460000000006</v>
      </c>
      <c r="G51" s="6">
        <f t="shared" si="2"/>
        <v>-1.5183876205941407E-2</v>
      </c>
      <c r="H51" s="6">
        <f t="shared" si="3"/>
        <v>1.5183876205941407E-2</v>
      </c>
      <c r="I51" s="6">
        <f t="shared" si="5"/>
        <v>-0.17784812302989791</v>
      </c>
      <c r="J51" s="6">
        <f t="shared" si="6"/>
        <v>0.17784812302989791</v>
      </c>
    </row>
    <row r="52" spans="1:10" x14ac:dyDescent="0.25">
      <c r="A52">
        <v>1993</v>
      </c>
      <c r="B52">
        <v>50838</v>
      </c>
      <c r="C52" s="10">
        <f t="shared" si="0"/>
        <v>54038.2</v>
      </c>
      <c r="D52" s="10">
        <f t="shared" si="0"/>
        <v>51828.6</v>
      </c>
      <c r="E52" s="10">
        <f t="shared" si="1"/>
        <v>53920.800000000003</v>
      </c>
      <c r="F52" s="10">
        <f t="shared" si="4"/>
        <v>59919.600000000006</v>
      </c>
      <c r="G52" s="6">
        <f t="shared" si="2"/>
        <v>-6.0639678980290393E-2</v>
      </c>
      <c r="H52" s="6">
        <f t="shared" si="3"/>
        <v>6.0639678980290393E-2</v>
      </c>
      <c r="I52" s="6">
        <f t="shared" si="5"/>
        <v>-0.17863802667296128</v>
      </c>
      <c r="J52" s="6">
        <f t="shared" si="6"/>
        <v>0.17863802667296128</v>
      </c>
    </row>
    <row r="53" spans="1:10" x14ac:dyDescent="0.25">
      <c r="A53">
        <v>1994</v>
      </c>
      <c r="B53">
        <v>54559</v>
      </c>
      <c r="C53" s="10">
        <f t="shared" si="0"/>
        <v>54191.199999999997</v>
      </c>
      <c r="D53" s="10">
        <f t="shared" si="0"/>
        <v>53167.560000000012</v>
      </c>
      <c r="E53" s="10">
        <f t="shared" si="1"/>
        <v>54038.2</v>
      </c>
      <c r="F53" s="10">
        <f t="shared" si="4"/>
        <v>57352.599999999991</v>
      </c>
      <c r="G53" s="6">
        <f t="shared" si="2"/>
        <v>9.5456295020070556E-3</v>
      </c>
      <c r="H53" s="6">
        <f t="shared" si="3"/>
        <v>9.5456295020070556E-3</v>
      </c>
      <c r="I53" s="6">
        <f t="shared" si="5"/>
        <v>-5.1203284517677951E-2</v>
      </c>
      <c r="J53" s="6">
        <f t="shared" si="6"/>
        <v>5.1203284517677951E-2</v>
      </c>
    </row>
    <row r="54" spans="1:10" x14ac:dyDescent="0.25">
      <c r="A54">
        <v>1995</v>
      </c>
      <c r="B54">
        <v>34925</v>
      </c>
      <c r="C54" s="10">
        <f t="shared" si="0"/>
        <v>49981.8</v>
      </c>
      <c r="D54" s="10">
        <f t="shared" si="0"/>
        <v>53054.36</v>
      </c>
      <c r="E54" s="10">
        <f t="shared" si="1"/>
        <v>54191.199999999997</v>
      </c>
      <c r="F54" s="10">
        <f t="shared" si="4"/>
        <v>55726.659999999974</v>
      </c>
      <c r="G54" s="6">
        <f t="shared" si="2"/>
        <v>-0.55164495347172504</v>
      </c>
      <c r="H54" s="6">
        <f t="shared" si="3"/>
        <v>0.55164495347172504</v>
      </c>
      <c r="I54" s="6">
        <f t="shared" si="5"/>
        <v>-0.59560944881889688</v>
      </c>
      <c r="J54" s="6">
        <f t="shared" si="6"/>
        <v>0.59560944881889688</v>
      </c>
    </row>
    <row r="55" spans="1:10" x14ac:dyDescent="0.25">
      <c r="A55">
        <v>1996</v>
      </c>
      <c r="B55">
        <v>38236</v>
      </c>
      <c r="C55" s="10">
        <f t="shared" si="0"/>
        <v>46180.6</v>
      </c>
      <c r="D55" s="10">
        <f t="shared" si="0"/>
        <v>51662.520000000004</v>
      </c>
      <c r="E55" s="10">
        <f t="shared" si="1"/>
        <v>49981.8</v>
      </c>
      <c r="F55" s="10">
        <f t="shared" si="4"/>
        <v>45372.960000000006</v>
      </c>
      <c r="G55" s="6">
        <f t="shared" si="2"/>
        <v>-0.30719217491369399</v>
      </c>
      <c r="H55" s="6">
        <f t="shared" si="3"/>
        <v>0.30719217491369399</v>
      </c>
      <c r="I55" s="6">
        <f t="shared" si="5"/>
        <v>-0.18665550789831589</v>
      </c>
      <c r="J55" s="6">
        <f t="shared" si="6"/>
        <v>0.18665550789831589</v>
      </c>
    </row>
    <row r="56" spans="1:10" x14ac:dyDescent="0.25">
      <c r="A56">
        <v>1997</v>
      </c>
      <c r="B56">
        <v>41296</v>
      </c>
      <c r="C56" s="10">
        <f t="shared" si="0"/>
        <v>43970.8</v>
      </c>
      <c r="D56" s="10">
        <f t="shared" si="0"/>
        <v>49672.520000000004</v>
      </c>
      <c r="E56" s="10">
        <f t="shared" si="1"/>
        <v>46180.6</v>
      </c>
      <c r="F56" s="10">
        <f t="shared" si="4"/>
        <v>37957.719999999987</v>
      </c>
      <c r="G56" s="6">
        <f t="shared" si="2"/>
        <v>-0.1182826423866718</v>
      </c>
      <c r="H56" s="6">
        <f t="shared" si="3"/>
        <v>0.1182826423866718</v>
      </c>
      <c r="I56" s="6">
        <f t="shared" si="5"/>
        <v>8.0837853545137867E-2</v>
      </c>
      <c r="J56" s="6">
        <f t="shared" si="6"/>
        <v>8.0837853545137867E-2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e)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2003-02-05T15:19:51Z</dcterms:created>
  <dcterms:modified xsi:type="dcterms:W3CDTF">2020-01-27T11:43:18Z</dcterms:modified>
</cp:coreProperties>
</file>