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4024D43-5912-4DA0-BDE8-965EA899043E}" xr6:coauthVersionLast="45" xr6:coauthVersionMax="45" xr10:uidLastSave="{00000000-0000-0000-0000-000000000000}"/>
  <bookViews>
    <workbookView xWindow="3420" yWindow="3420" windowWidth="28800" windowHeight="15460"/>
  </bookViews>
  <sheets>
    <sheet name="272 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" i="1" l="1"/>
  <c r="AE16" i="1" s="1"/>
  <c r="E17" i="1"/>
  <c r="AE17" i="1"/>
  <c r="E18" i="1"/>
  <c r="AE18" i="1" s="1"/>
  <c r="E19" i="1"/>
  <c r="AE19" i="1"/>
  <c r="E20" i="1"/>
  <c r="AE20" i="1"/>
  <c r="E21" i="1"/>
  <c r="AE21" i="1" s="1"/>
  <c r="AE22" i="1"/>
  <c r="E23" i="1"/>
  <c r="AE23" i="1"/>
  <c r="E24" i="1"/>
  <c r="AE24" i="1" s="1"/>
  <c r="AE25" i="1"/>
  <c r="E26" i="1"/>
  <c r="AE26" i="1"/>
  <c r="E27" i="1"/>
  <c r="AE27" i="1" s="1"/>
  <c r="E28" i="1"/>
  <c r="AE28" i="1"/>
  <c r="E29" i="1"/>
  <c r="AE29" i="1" s="1"/>
  <c r="E30" i="1"/>
  <c r="AE30" i="1"/>
  <c r="E31" i="1"/>
  <c r="AE31" i="1"/>
  <c r="E32" i="1"/>
  <c r="AE32" i="1" s="1"/>
  <c r="AE33" i="1"/>
  <c r="C34" i="1"/>
  <c r="E34" i="1"/>
  <c r="AE34" i="1"/>
  <c r="AE35" i="1"/>
  <c r="C36" i="1"/>
  <c r="E36" i="1"/>
  <c r="AE36" i="1"/>
  <c r="E37" i="1"/>
  <c r="AE37" i="1" s="1"/>
  <c r="E38" i="1"/>
  <c r="AE38" i="1"/>
  <c r="E39" i="1"/>
  <c r="AE39" i="1" s="1"/>
  <c r="E40" i="1"/>
  <c r="AE40" i="1"/>
  <c r="E41" i="1"/>
  <c r="AE41" i="1"/>
  <c r="E42" i="1"/>
  <c r="AE42" i="1" s="1"/>
  <c r="E43" i="1"/>
  <c r="AE43" i="1"/>
  <c r="E44" i="1"/>
  <c r="AE44" i="1"/>
  <c r="C45" i="1"/>
  <c r="E45" i="1"/>
  <c r="AE45" i="1"/>
  <c r="E46" i="1"/>
  <c r="AE46" i="1" s="1"/>
  <c r="AE47" i="1"/>
  <c r="E48" i="1"/>
  <c r="AE48" i="1"/>
  <c r="C49" i="1"/>
  <c r="E49" i="1" s="1"/>
  <c r="AE49" i="1" s="1"/>
  <c r="E50" i="1"/>
  <c r="AE50" i="1"/>
  <c r="E51" i="1"/>
  <c r="AE51" i="1"/>
  <c r="E52" i="1"/>
  <c r="AE52" i="1"/>
  <c r="E53" i="1"/>
  <c r="AE53" i="1"/>
  <c r="E54" i="1"/>
  <c r="AE54" i="1" s="1"/>
  <c r="E55" i="1"/>
  <c r="AE55" i="1"/>
  <c r="E56" i="1"/>
  <c r="AE56" i="1" s="1"/>
  <c r="E57" i="1"/>
  <c r="AE57" i="1" s="1"/>
  <c r="E58" i="1"/>
  <c r="AE58" i="1"/>
  <c r="E59" i="1"/>
  <c r="AE59" i="1"/>
  <c r="E60" i="1"/>
  <c r="AE60" i="1"/>
  <c r="E61" i="1"/>
  <c r="AE61" i="1"/>
  <c r="E62" i="1"/>
  <c r="AE62" i="1"/>
  <c r="E63" i="1"/>
  <c r="AE63" i="1"/>
  <c r="AE64" i="1"/>
  <c r="E65" i="1"/>
  <c r="AE65" i="1"/>
  <c r="E66" i="1"/>
  <c r="AE66" i="1"/>
  <c r="E67" i="1"/>
  <c r="AE67" i="1"/>
  <c r="E68" i="1"/>
  <c r="AE68" i="1"/>
  <c r="E69" i="1"/>
  <c r="AE69" i="1" s="1"/>
  <c r="E70" i="1"/>
  <c r="AE70" i="1"/>
  <c r="E71" i="1"/>
  <c r="AE71" i="1"/>
  <c r="E72" i="1"/>
  <c r="AE72" i="1" s="1"/>
  <c r="E73" i="1"/>
  <c r="AE73" i="1"/>
  <c r="E74" i="1"/>
  <c r="AE74" i="1"/>
  <c r="E75" i="1"/>
  <c r="AE75" i="1"/>
  <c r="E76" i="1"/>
  <c r="AE76" i="1"/>
  <c r="E80" i="1"/>
  <c r="AE80" i="1"/>
  <c r="E81" i="1"/>
  <c r="E82" i="1"/>
  <c r="AE82" i="1"/>
  <c r="E83" i="1"/>
  <c r="AE83" i="1"/>
  <c r="E84" i="1"/>
  <c r="AE84" i="1"/>
  <c r="E85" i="1"/>
  <c r="AE85" i="1"/>
  <c r="E86" i="1"/>
  <c r="AE86" i="1"/>
  <c r="E87" i="1"/>
  <c r="AE87" i="1"/>
  <c r="E88" i="1"/>
  <c r="AE88" i="1" s="1"/>
  <c r="E89" i="1"/>
  <c r="AE89" i="1"/>
  <c r="AE90" i="1"/>
  <c r="E91" i="1"/>
  <c r="AE91" i="1"/>
  <c r="E92" i="1"/>
  <c r="AE92" i="1"/>
  <c r="E93" i="1"/>
  <c r="AE93" i="1" s="1"/>
  <c r="E94" i="1"/>
  <c r="AE94" i="1"/>
  <c r="E95" i="1"/>
  <c r="AE95" i="1"/>
  <c r="E96" i="1"/>
  <c r="AE96" i="1" s="1"/>
  <c r="E97" i="1"/>
  <c r="AE97" i="1"/>
  <c r="E98" i="1"/>
  <c r="AE98" i="1"/>
  <c r="E99" i="1"/>
  <c r="AE99" i="1"/>
  <c r="E100" i="1"/>
  <c r="AE100" i="1"/>
  <c r="E101" i="1"/>
  <c r="AE101" i="1"/>
  <c r="E102" i="1"/>
  <c r="AE102" i="1"/>
  <c r="E103" i="1"/>
  <c r="AE103" i="1" s="1"/>
  <c r="AE104" i="1"/>
  <c r="E105" i="1"/>
  <c r="AE105" i="1"/>
  <c r="E106" i="1"/>
  <c r="AE106" i="1"/>
  <c r="E107" i="1"/>
  <c r="AE107" i="1"/>
  <c r="E108" i="1"/>
  <c r="AE108" i="1"/>
  <c r="E109" i="1"/>
  <c r="AE109" i="1" s="1"/>
  <c r="E110" i="1"/>
  <c r="AE110" i="1"/>
  <c r="E112" i="1"/>
  <c r="AE112" i="1" s="1"/>
  <c r="E113" i="1"/>
  <c r="AE113" i="1" s="1"/>
  <c r="E117" i="1"/>
  <c r="AE117" i="1"/>
  <c r="E118" i="1"/>
  <c r="AE118" i="1"/>
  <c r="E119" i="1"/>
  <c r="AE119" i="1"/>
  <c r="AE120" i="1"/>
  <c r="E121" i="1"/>
  <c r="AE121" i="1" s="1"/>
  <c r="E122" i="1"/>
  <c r="AE122" i="1"/>
  <c r="AE123" i="1"/>
  <c r="AE124" i="1"/>
  <c r="E125" i="1"/>
  <c r="AE125" i="1"/>
  <c r="E126" i="1"/>
  <c r="AE126" i="1"/>
  <c r="E127" i="1"/>
  <c r="AE127" i="1"/>
  <c r="E128" i="1"/>
  <c r="AE128" i="1"/>
  <c r="E129" i="1"/>
  <c r="AE129" i="1" s="1"/>
  <c r="E130" i="1"/>
  <c r="AE130" i="1"/>
  <c r="E131" i="1"/>
  <c r="AE131" i="1"/>
  <c r="E132" i="1"/>
  <c r="AE132" i="1" s="1"/>
  <c r="E133" i="1"/>
  <c r="AE133" i="1"/>
  <c r="E134" i="1"/>
  <c r="AE134" i="1"/>
  <c r="E135" i="1"/>
  <c r="AE135" i="1"/>
  <c r="E136" i="1"/>
  <c r="AE136" i="1"/>
  <c r="E137" i="1"/>
  <c r="AE137" i="1"/>
  <c r="E138" i="1"/>
  <c r="AE138" i="1"/>
  <c r="E139" i="1"/>
  <c r="AE139" i="1" s="1"/>
  <c r="E140" i="1"/>
  <c r="AE140" i="1"/>
  <c r="E141" i="1"/>
  <c r="AE141" i="1"/>
  <c r="E142" i="1"/>
  <c r="AE142" i="1"/>
  <c r="E143" i="1"/>
  <c r="AE143" i="1"/>
  <c r="E144" i="1"/>
  <c r="AE144" i="1"/>
  <c r="E145" i="1"/>
  <c r="AE145" i="1"/>
  <c r="E146" i="1"/>
  <c r="AE146" i="1"/>
  <c r="E147" i="1"/>
  <c r="AE147" i="1"/>
  <c r="E148" i="1"/>
  <c r="AE148" i="1"/>
  <c r="E149" i="1"/>
  <c r="AE149" i="1" s="1"/>
  <c r="E150" i="1"/>
  <c r="AE150" i="1"/>
  <c r="E151" i="1"/>
  <c r="AE151" i="1"/>
  <c r="AE152" i="1"/>
</calcChain>
</file>

<file path=xl/sharedStrings.xml><?xml version="1.0" encoding="utf-8"?>
<sst xmlns="http://schemas.openxmlformats.org/spreadsheetml/2006/main" count="205" uniqueCount="175">
  <si>
    <t>EXAM 1</t>
  </si>
  <si>
    <t xml:space="preserve">RAW </t>
  </si>
  <si>
    <t xml:space="preserve">EXAM 1 </t>
  </si>
  <si>
    <t>EXAM 2</t>
  </si>
  <si>
    <t xml:space="preserve">EXAM 2 </t>
  </si>
  <si>
    <t>CURVED</t>
  </si>
  <si>
    <t>EXAM 3</t>
  </si>
  <si>
    <t xml:space="preserve">ASSIGN </t>
  </si>
  <si>
    <t xml:space="preserve">EXTRA </t>
  </si>
  <si>
    <t>100 PTS</t>
  </si>
  <si>
    <t xml:space="preserve"> </t>
  </si>
  <si>
    <t>25 PTS</t>
  </si>
  <si>
    <t>A = 360 POINTS OR HIGHER</t>
  </si>
  <si>
    <t>B = 320 POINTS OR HIGHER</t>
  </si>
  <si>
    <t>C = 280 POINTS OR HIGHER</t>
  </si>
  <si>
    <t>D = 240 POINTS OR HIGHER</t>
  </si>
  <si>
    <t xml:space="preserve">BUSINESS LAW 272 GRADES </t>
  </si>
  <si>
    <t>F = LESS THAN 240 POINTS</t>
  </si>
  <si>
    <t xml:space="preserve">TOTAL </t>
  </si>
  <si>
    <t xml:space="preserve">POINTS </t>
  </si>
  <si>
    <t xml:space="preserve">NEGATIVE </t>
  </si>
  <si>
    <t xml:space="preserve">ADJUSTMENT </t>
  </si>
  <si>
    <t xml:space="preserve">FINAL </t>
  </si>
  <si>
    <t xml:space="preserve">LETTER </t>
  </si>
  <si>
    <t>GRADE</t>
  </si>
  <si>
    <t xml:space="preserve">NOTE: WE USE THE (-) AND (+) GRADING </t>
  </si>
  <si>
    <t>SYSTEM, 360 POINTS IS THE LOWEST A-,</t>
  </si>
  <si>
    <t>320 POINTS IS THE LOWEST B-, AND 280</t>
  </si>
  <si>
    <t>IS THE LOWEST C-.</t>
  </si>
  <si>
    <t>CREDIT</t>
  </si>
  <si>
    <t>ALL SECTIONS</t>
  </si>
  <si>
    <t xml:space="preserve">12:30 CLASS </t>
  </si>
  <si>
    <t>4675A</t>
  </si>
  <si>
    <t>3972A</t>
  </si>
  <si>
    <t>5297B</t>
  </si>
  <si>
    <t>3240B</t>
  </si>
  <si>
    <t>3260B</t>
  </si>
  <si>
    <t>5289B</t>
  </si>
  <si>
    <t>9940B</t>
  </si>
  <si>
    <t>1609B</t>
  </si>
  <si>
    <t>2267B</t>
  </si>
  <si>
    <t>7310B</t>
  </si>
  <si>
    <t>5671B</t>
  </si>
  <si>
    <t>6776B</t>
  </si>
  <si>
    <t>1238C</t>
  </si>
  <si>
    <t>6175C</t>
  </si>
  <si>
    <t>5590C</t>
  </si>
  <si>
    <t>2978C</t>
  </si>
  <si>
    <t>2845C</t>
  </si>
  <si>
    <t>4957C</t>
  </si>
  <si>
    <t>0078D</t>
  </si>
  <si>
    <t>7888D</t>
  </si>
  <si>
    <t>5213D</t>
  </si>
  <si>
    <t>8348D</t>
  </si>
  <si>
    <t>0562D</t>
  </si>
  <si>
    <t>9629E</t>
  </si>
  <si>
    <t>4134G</t>
  </si>
  <si>
    <t>0559H</t>
  </si>
  <si>
    <t>7231H</t>
  </si>
  <si>
    <t>6967J</t>
  </si>
  <si>
    <t>7471J</t>
  </si>
  <si>
    <t>7591J</t>
  </si>
  <si>
    <t>3768K</t>
  </si>
  <si>
    <t>5338K</t>
  </si>
  <si>
    <t>5916L</t>
  </si>
  <si>
    <t>3663L</t>
  </si>
  <si>
    <t>1515M</t>
  </si>
  <si>
    <t>6313M</t>
  </si>
  <si>
    <t>9587M</t>
  </si>
  <si>
    <t>4639O</t>
  </si>
  <si>
    <t>6231O</t>
  </si>
  <si>
    <t>2362P</t>
  </si>
  <si>
    <t>4628P</t>
  </si>
  <si>
    <t>4179P</t>
  </si>
  <si>
    <t>3073P</t>
  </si>
  <si>
    <t>2676P</t>
  </si>
  <si>
    <t>1246P</t>
  </si>
  <si>
    <t>7269R</t>
  </si>
  <si>
    <t>5679R</t>
  </si>
  <si>
    <t xml:space="preserve">3:30 P.M. CLASS </t>
  </si>
  <si>
    <t>6977B</t>
  </si>
  <si>
    <t>1465B</t>
  </si>
  <si>
    <t>3418C</t>
  </si>
  <si>
    <t>3612C</t>
  </si>
  <si>
    <t>1531C</t>
  </si>
  <si>
    <t>5644D</t>
  </si>
  <si>
    <t>2762G</t>
  </si>
  <si>
    <t>1367H</t>
  </si>
  <si>
    <t>8912H</t>
  </si>
  <si>
    <t>1006J</t>
  </si>
  <si>
    <t>4629K</t>
  </si>
  <si>
    <t>6783L</t>
  </si>
  <si>
    <t>1478L</t>
  </si>
  <si>
    <t>0262L</t>
  </si>
  <si>
    <t>0618L</t>
  </si>
  <si>
    <t>9254L</t>
  </si>
  <si>
    <t>2836M</t>
  </si>
  <si>
    <t>4839M</t>
  </si>
  <si>
    <t>8360M</t>
  </si>
  <si>
    <t>9581M</t>
  </si>
  <si>
    <t>9472M</t>
  </si>
  <si>
    <t>1713M</t>
  </si>
  <si>
    <t>3414O</t>
  </si>
  <si>
    <t>9971O</t>
  </si>
  <si>
    <t>5917P</t>
  </si>
  <si>
    <t>6330P</t>
  </si>
  <si>
    <t>3229R</t>
  </si>
  <si>
    <t>4114R</t>
  </si>
  <si>
    <t>4093S</t>
  </si>
  <si>
    <t>5779S</t>
  </si>
  <si>
    <t>6676S</t>
  </si>
  <si>
    <t>5280W</t>
  </si>
  <si>
    <t>2024W</t>
  </si>
  <si>
    <t>9402Y</t>
  </si>
  <si>
    <t xml:space="preserve">6:00 P.M. CLASS </t>
  </si>
  <si>
    <t>3858A</t>
  </si>
  <si>
    <t>5505C</t>
  </si>
  <si>
    <t>2681D</t>
  </si>
  <si>
    <t>3020D</t>
  </si>
  <si>
    <t>1851D</t>
  </si>
  <si>
    <t>6052E</t>
  </si>
  <si>
    <t>8219E</t>
  </si>
  <si>
    <t>4615E</t>
  </si>
  <si>
    <t>0854F</t>
  </si>
  <si>
    <t>5249G</t>
  </si>
  <si>
    <t>4807G</t>
  </si>
  <si>
    <t>0178G</t>
  </si>
  <si>
    <t>2346G</t>
  </si>
  <si>
    <t>6785G</t>
  </si>
  <si>
    <t>8618F</t>
  </si>
  <si>
    <t>4860H</t>
  </si>
  <si>
    <t>8031H</t>
  </si>
  <si>
    <t>3371K</t>
  </si>
  <si>
    <t>9557L</t>
  </si>
  <si>
    <t>6424M</t>
  </si>
  <si>
    <t>7332M</t>
  </si>
  <si>
    <t>2571M</t>
  </si>
  <si>
    <t>2556M</t>
  </si>
  <si>
    <t>2197O</t>
  </si>
  <si>
    <t>7209P</t>
  </si>
  <si>
    <t>1275S</t>
  </si>
  <si>
    <t>3297S</t>
  </si>
  <si>
    <t>7662S</t>
  </si>
  <si>
    <t>2053S</t>
  </si>
  <si>
    <t>8687S</t>
  </si>
  <si>
    <t>4549S</t>
  </si>
  <si>
    <t>9456T</t>
  </si>
  <si>
    <t>7449U</t>
  </si>
  <si>
    <t>5996V</t>
  </si>
  <si>
    <t>9226V</t>
  </si>
  <si>
    <t xml:space="preserve">LAST FOUR DIGITS OF SS </t>
  </si>
  <si>
    <t>&amp; FIRST LETTER OF LAST NAME*</t>
  </si>
  <si>
    <t>* A number was not provided on grade report</t>
  </si>
  <si>
    <t>8781S</t>
  </si>
  <si>
    <t>2128S</t>
  </si>
  <si>
    <t>7777Z</t>
  </si>
  <si>
    <t xml:space="preserve">SEMINAR </t>
  </si>
  <si>
    <t xml:space="preserve">DINNER </t>
  </si>
  <si>
    <t>15 PTS</t>
  </si>
  <si>
    <t>4114S</t>
  </si>
  <si>
    <t>8586S</t>
  </si>
  <si>
    <t>7667S</t>
  </si>
  <si>
    <t>3185S</t>
  </si>
  <si>
    <t>2273T</t>
  </si>
  <si>
    <t>5771V</t>
  </si>
  <si>
    <t>2997W</t>
  </si>
  <si>
    <t>9094W</t>
  </si>
  <si>
    <t>7898W</t>
  </si>
  <si>
    <t>8482W</t>
  </si>
  <si>
    <t>4220Y</t>
  </si>
  <si>
    <t>2137Z</t>
  </si>
  <si>
    <t>NOT PREPARED FOR CASE - NO EXTRA CREDIT PERMITTED.</t>
  </si>
  <si>
    <t xml:space="preserve">HAND CHECK </t>
  </si>
  <si>
    <t>CREDIT 2</t>
  </si>
  <si>
    <t>CREDIT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</si>
</sst>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5" formatCode="0_);[Red]\(0\)"/>
    <numFmt numFmtId="176" formatCode="#,##0;[Red]#,##0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2" fillId="3" borderId="0" xfId="0" applyFont="1" applyFill="1" applyAlignment="1">
      <alignment horizontal="center"/>
    </xf>
    <xf numFmtId="38" fontId="1" fillId="3" borderId="0" xfId="0" applyNumberFormat="1" applyFont="1" applyFill="1" applyAlignment="1">
      <alignment horizontal="center"/>
    </xf>
    <xf numFmtId="38" fontId="1" fillId="0" borderId="0" xfId="0" applyNumberFormat="1" applyFont="1" applyAlignment="1">
      <alignment horizontal="center"/>
    </xf>
    <xf numFmtId="38" fontId="0" fillId="2" borderId="0" xfId="0" applyNumberFormat="1" applyFill="1"/>
    <xf numFmtId="38" fontId="0" fillId="0" borderId="0" xfId="0" applyNumberFormat="1"/>
    <xf numFmtId="0" fontId="0" fillId="4" borderId="0" xfId="0" applyFill="1"/>
    <xf numFmtId="38" fontId="3" fillId="4" borderId="0" xfId="0" applyNumberFormat="1" applyFont="1" applyFill="1"/>
    <xf numFmtId="0" fontId="3" fillId="4" borderId="0" xfId="0" applyFont="1" applyFill="1"/>
    <xf numFmtId="0" fontId="0" fillId="5" borderId="0" xfId="0" applyFill="1"/>
    <xf numFmtId="0" fontId="3" fillId="5" borderId="0" xfId="0" applyFont="1" applyFill="1" applyAlignment="1">
      <alignment horizontal="center"/>
    </xf>
    <xf numFmtId="175" fontId="0" fillId="0" borderId="0" xfId="0" applyNumberFormat="1"/>
    <xf numFmtId="175" fontId="0" fillId="5" borderId="0" xfId="0" applyNumberFormat="1" applyFill="1"/>
    <xf numFmtId="175" fontId="4" fillId="5" borderId="0" xfId="0" applyNumberFormat="1" applyFont="1" applyFill="1" applyAlignment="1">
      <alignment horizontal="center"/>
    </xf>
    <xf numFmtId="175" fontId="4" fillId="5" borderId="0" xfId="0" applyNumberFormat="1" applyFont="1" applyFill="1"/>
    <xf numFmtId="0" fontId="5" fillId="0" borderId="0" xfId="0" applyFont="1"/>
    <xf numFmtId="0" fontId="5" fillId="0" borderId="0" xfId="0" applyFont="1" applyFill="1"/>
    <xf numFmtId="38" fontId="5" fillId="2" borderId="0" xfId="0" applyNumberFormat="1" applyFont="1" applyFill="1"/>
    <xf numFmtId="0" fontId="5" fillId="2" borderId="0" xfId="0" applyFont="1" applyFill="1"/>
    <xf numFmtId="175" fontId="0" fillId="4" borderId="0" xfId="0" applyNumberFormat="1" applyFill="1"/>
    <xf numFmtId="175" fontId="2" fillId="3" borderId="0" xfId="0" applyNumberFormat="1" applyFont="1" applyFill="1" applyAlignment="1">
      <alignment horizontal="center"/>
    </xf>
    <xf numFmtId="17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/>
    </xf>
    <xf numFmtId="175" fontId="2" fillId="0" borderId="0" xfId="0" applyNumberFormat="1" applyFont="1" applyFill="1"/>
    <xf numFmtId="175" fontId="1" fillId="0" borderId="0" xfId="0" applyNumberFormat="1" applyFont="1" applyFill="1" applyAlignment="1">
      <alignment horizontal="center"/>
    </xf>
    <xf numFmtId="175" fontId="1" fillId="0" borderId="0" xfId="0" applyNumberFormat="1" applyFont="1" applyFill="1"/>
    <xf numFmtId="0" fontId="1" fillId="4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1" fillId="5" borderId="0" xfId="0" applyFont="1" applyFill="1"/>
    <xf numFmtId="0" fontId="1" fillId="7" borderId="0" xfId="0" applyFont="1" applyFill="1"/>
    <xf numFmtId="175" fontId="2" fillId="0" borderId="0" xfId="0" applyNumberFormat="1" applyFont="1"/>
    <xf numFmtId="176" fontId="3" fillId="5" borderId="0" xfId="0" applyNumberFormat="1" applyFont="1" applyFill="1" applyAlignment="1">
      <alignment horizontal="center"/>
    </xf>
    <xf numFmtId="176" fontId="0" fillId="4" borderId="0" xfId="0" applyNumberFormat="1" applyFill="1"/>
    <xf numFmtId="176" fontId="1" fillId="3" borderId="0" xfId="0" applyNumberFormat="1" applyFont="1" applyFill="1" applyAlignment="1">
      <alignment horizontal="center"/>
    </xf>
    <xf numFmtId="176" fontId="1" fillId="0" borderId="0" xfId="0" applyNumberFormat="1" applyFont="1" applyAlignment="1">
      <alignment horizontal="center"/>
    </xf>
    <xf numFmtId="176" fontId="0" fillId="2" borderId="0" xfId="0" applyNumberFormat="1" applyFill="1"/>
    <xf numFmtId="176" fontId="0" fillId="0" borderId="0" xfId="0" applyNumberFormat="1"/>
    <xf numFmtId="0" fontId="2" fillId="2" borderId="0" xfId="0" applyFont="1" applyFill="1"/>
    <xf numFmtId="0" fontId="8" fillId="6" borderId="0" xfId="0" applyFont="1" applyFill="1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52"/>
  <sheetViews>
    <sheetView tabSelected="1" workbookViewId="0">
      <pane xSplit="2" ySplit="14" topLeftCell="C133" activePane="bottomRight" state="frozen"/>
      <selection pane="topRight" activeCell="D1" sqref="D1"/>
      <selection pane="bottomLeft" activeCell="A15" sqref="A15"/>
      <selection pane="bottomRight"/>
    </sheetView>
  </sheetViews>
  <sheetFormatPr defaultRowHeight="18" x14ac:dyDescent="0.4"/>
  <cols>
    <col min="1" max="1" width="44.54296875" style="41" customWidth="1"/>
    <col min="2" max="2" width="3.7265625" style="5" customWidth="1"/>
    <col min="3" max="3" width="9.1796875" style="16" customWidth="1"/>
    <col min="4" max="4" width="3.7265625" style="5" customWidth="1"/>
    <col min="5" max="5" width="9.1796875" style="50" customWidth="1"/>
    <col min="6" max="6" width="3.7265625" style="5" customWidth="1"/>
    <col min="8" max="8" width="3.7265625" style="5" customWidth="1"/>
    <col min="9" max="9" width="9.1796875" style="10" customWidth="1"/>
    <col min="10" max="10" width="3.7265625" customWidth="1"/>
    <col min="11" max="11" width="8.81640625" bestFit="1" customWidth="1"/>
    <col min="12" max="12" width="3.7265625" style="5" customWidth="1"/>
    <col min="14" max="14" width="3.7265625" customWidth="1"/>
    <col min="16" max="16" width="3.7265625" customWidth="1"/>
    <col min="18" max="18" width="3.7265625" customWidth="1"/>
    <col min="20" max="20" width="3.7265625" customWidth="1"/>
    <col min="22" max="22" width="3.7265625" customWidth="1"/>
    <col min="24" max="24" width="3.7265625" customWidth="1"/>
    <col min="26" max="26" width="3.7265625" customWidth="1"/>
    <col min="27" max="27" width="12.26953125" bestFit="1" customWidth="1"/>
    <col min="28" max="28" width="3.7265625" customWidth="1"/>
    <col min="29" max="29" width="35.81640625" style="37" bestFit="1" customWidth="1"/>
    <col min="30" max="30" width="3.7265625" customWidth="1"/>
    <col min="31" max="31" width="9.1796875" style="16" customWidth="1"/>
    <col min="32" max="32" width="2.7265625" style="29" customWidth="1"/>
    <col min="33" max="33" width="9.1796875" style="34" customWidth="1"/>
  </cols>
  <sheetData>
    <row r="1" spans="1:33" ht="20" x14ac:dyDescent="0.4">
      <c r="A1" s="42"/>
      <c r="B1" s="14"/>
      <c r="C1" s="17"/>
      <c r="D1" s="15" t="s">
        <v>16</v>
      </c>
      <c r="E1" s="45"/>
      <c r="F1" s="15"/>
      <c r="G1" s="14"/>
    </row>
    <row r="2" spans="1:33" ht="20" x14ac:dyDescent="0.4">
      <c r="A2" s="42"/>
      <c r="B2" s="14"/>
      <c r="C2" s="17"/>
      <c r="D2" s="15" t="s">
        <v>30</v>
      </c>
      <c r="E2" s="45"/>
      <c r="F2" s="15"/>
      <c r="G2" s="14"/>
    </row>
    <row r="4" spans="1:33" ht="20" x14ac:dyDescent="0.4">
      <c r="A4" s="12" t="s">
        <v>12</v>
      </c>
      <c r="B4" s="13"/>
      <c r="C4" s="24"/>
      <c r="D4" s="11"/>
      <c r="E4" s="46"/>
      <c r="F4" s="11"/>
      <c r="I4" s="33" t="s">
        <v>25</v>
      </c>
      <c r="J4" s="2"/>
      <c r="K4" s="2"/>
      <c r="L4" s="2"/>
      <c r="M4" s="2"/>
      <c r="N4" s="2"/>
      <c r="O4" s="2"/>
      <c r="P4" s="2"/>
      <c r="Q4" s="2"/>
    </row>
    <row r="5" spans="1:33" ht="20" x14ac:dyDescent="0.4">
      <c r="A5" s="12" t="s">
        <v>13</v>
      </c>
      <c r="B5" s="13"/>
      <c r="C5" s="24"/>
      <c r="D5" s="11"/>
      <c r="E5" s="46"/>
      <c r="F5" s="11"/>
      <c r="I5" s="33" t="s">
        <v>26</v>
      </c>
      <c r="J5" s="2"/>
      <c r="K5" s="2"/>
      <c r="L5" s="2"/>
      <c r="M5" s="2"/>
      <c r="N5" s="2"/>
      <c r="O5" s="2"/>
      <c r="P5" s="2"/>
      <c r="Q5" s="2"/>
    </row>
    <row r="6" spans="1:33" ht="20" x14ac:dyDescent="0.4">
      <c r="A6" s="12" t="s">
        <v>14</v>
      </c>
      <c r="B6" s="13"/>
      <c r="C6" s="24"/>
      <c r="D6" s="11"/>
      <c r="E6" s="46"/>
      <c r="F6" s="11"/>
      <c r="I6" s="33" t="s">
        <v>27</v>
      </c>
      <c r="J6" s="2"/>
      <c r="K6" s="2"/>
      <c r="L6" s="2"/>
      <c r="M6" s="2"/>
      <c r="N6" s="2"/>
      <c r="O6" s="2"/>
      <c r="P6" s="2"/>
      <c r="Q6" s="2"/>
    </row>
    <row r="7" spans="1:33" ht="20" x14ac:dyDescent="0.4">
      <c r="A7" s="12" t="s">
        <v>15</v>
      </c>
      <c r="B7" s="13"/>
      <c r="C7" s="24"/>
      <c r="D7" s="11"/>
      <c r="E7" s="46"/>
      <c r="F7" s="11"/>
      <c r="I7" s="33" t="s">
        <v>28</v>
      </c>
      <c r="J7" s="2"/>
      <c r="K7" s="2"/>
      <c r="L7" s="2"/>
      <c r="M7" s="2"/>
      <c r="N7" s="2"/>
      <c r="O7" s="2"/>
      <c r="P7" s="2"/>
      <c r="Q7" s="2"/>
    </row>
    <row r="8" spans="1:33" ht="20" x14ac:dyDescent="0.4">
      <c r="A8" s="12" t="s">
        <v>17</v>
      </c>
      <c r="B8" s="13"/>
      <c r="C8" s="24"/>
      <c r="D8" s="11"/>
      <c r="E8" s="46"/>
      <c r="F8" s="11"/>
    </row>
    <row r="10" spans="1:33" ht="13" x14ac:dyDescent="0.3">
      <c r="A10" s="3" t="s">
        <v>150</v>
      </c>
      <c r="B10" s="4"/>
      <c r="C10" s="25" t="s">
        <v>0</v>
      </c>
      <c r="D10" s="4"/>
      <c r="E10" s="47" t="s">
        <v>2</v>
      </c>
      <c r="F10" s="4"/>
      <c r="G10" s="6" t="s">
        <v>3</v>
      </c>
      <c r="H10" s="4"/>
      <c r="I10" s="7" t="s">
        <v>4</v>
      </c>
      <c r="J10" s="1"/>
      <c r="K10" s="6" t="s">
        <v>6</v>
      </c>
      <c r="L10" s="4"/>
      <c r="M10" s="3" t="s">
        <v>6</v>
      </c>
      <c r="O10" s="3" t="s">
        <v>7</v>
      </c>
      <c r="Q10" s="3" t="s">
        <v>7</v>
      </c>
      <c r="S10" s="3" t="s">
        <v>7</v>
      </c>
      <c r="U10" s="3" t="s">
        <v>7</v>
      </c>
      <c r="W10" s="3" t="s">
        <v>8</v>
      </c>
      <c r="Y10" s="3" t="s">
        <v>8</v>
      </c>
      <c r="AA10" s="3" t="s">
        <v>8</v>
      </c>
      <c r="AC10" s="28"/>
      <c r="AE10" s="17"/>
      <c r="AG10" s="32" t="s">
        <v>22</v>
      </c>
    </row>
    <row r="11" spans="1:33" ht="13" x14ac:dyDescent="0.3">
      <c r="A11" s="3" t="s">
        <v>151</v>
      </c>
      <c r="B11" s="4"/>
      <c r="C11" s="25" t="s">
        <v>1</v>
      </c>
      <c r="D11" s="4"/>
      <c r="E11" s="47" t="s">
        <v>5</v>
      </c>
      <c r="F11" s="4"/>
      <c r="G11" s="6" t="s">
        <v>1</v>
      </c>
      <c r="H11" s="4"/>
      <c r="I11" s="7" t="s">
        <v>5</v>
      </c>
      <c r="J11" s="1"/>
      <c r="K11" s="6" t="s">
        <v>1</v>
      </c>
      <c r="L11" s="4"/>
      <c r="M11" s="3" t="s">
        <v>5</v>
      </c>
      <c r="O11" s="3">
        <v>1</v>
      </c>
      <c r="Q11" s="3">
        <v>2</v>
      </c>
      <c r="S11" s="3">
        <v>3</v>
      </c>
      <c r="U11" s="3">
        <v>4</v>
      </c>
      <c r="W11" s="3" t="s">
        <v>29</v>
      </c>
      <c r="Y11" s="3" t="s">
        <v>173</v>
      </c>
      <c r="AA11" s="3" t="s">
        <v>174</v>
      </c>
      <c r="AC11" s="28" t="s">
        <v>20</v>
      </c>
      <c r="AE11" s="18" t="s">
        <v>18</v>
      </c>
      <c r="AF11" s="30"/>
      <c r="AG11" s="32" t="s">
        <v>23</v>
      </c>
    </row>
    <row r="12" spans="1:33" ht="13" x14ac:dyDescent="0.3">
      <c r="A12" s="3"/>
      <c r="B12" s="4"/>
      <c r="C12" s="25" t="s">
        <v>10</v>
      </c>
      <c r="D12" s="4"/>
      <c r="E12" s="47" t="s">
        <v>9</v>
      </c>
      <c r="F12" s="4"/>
      <c r="G12" s="6"/>
      <c r="H12" s="4"/>
      <c r="I12" s="7" t="s">
        <v>9</v>
      </c>
      <c r="J12" s="1"/>
      <c r="K12" s="6" t="s">
        <v>10</v>
      </c>
      <c r="L12" s="4"/>
      <c r="M12" s="3" t="s">
        <v>9</v>
      </c>
      <c r="O12" s="3" t="s">
        <v>11</v>
      </c>
      <c r="Q12" s="3" t="s">
        <v>11</v>
      </c>
      <c r="S12" s="3" t="s">
        <v>11</v>
      </c>
      <c r="U12" s="3" t="s">
        <v>11</v>
      </c>
      <c r="W12" s="3" t="s">
        <v>11</v>
      </c>
      <c r="Y12" s="3" t="s">
        <v>156</v>
      </c>
      <c r="AA12" s="3" t="s">
        <v>157</v>
      </c>
      <c r="AC12" s="28" t="s">
        <v>21</v>
      </c>
      <c r="AE12" s="18" t="s">
        <v>19</v>
      </c>
      <c r="AF12" s="30"/>
      <c r="AG12" s="32" t="s">
        <v>24</v>
      </c>
    </row>
    <row r="13" spans="1:33" x14ac:dyDescent="0.4">
      <c r="A13" s="43" t="s">
        <v>152</v>
      </c>
      <c r="C13" s="26"/>
      <c r="D13" s="4"/>
      <c r="E13" s="48"/>
      <c r="F13" s="4"/>
      <c r="G13" s="1"/>
      <c r="H13" s="4"/>
      <c r="I13" s="8"/>
      <c r="J13" s="1"/>
      <c r="L13" s="4"/>
      <c r="M13" s="1"/>
      <c r="O13" s="1"/>
      <c r="Q13" s="1"/>
      <c r="S13" s="1"/>
      <c r="U13" s="1"/>
      <c r="W13" s="1"/>
      <c r="Y13" s="3" t="s">
        <v>158</v>
      </c>
      <c r="AA13" s="3" t="s">
        <v>158</v>
      </c>
      <c r="AC13" s="38"/>
      <c r="AE13" s="19"/>
      <c r="AG13" s="35"/>
    </row>
    <row r="14" spans="1:33" x14ac:dyDescent="0.4">
      <c r="A14" s="40" t="s">
        <v>31</v>
      </c>
      <c r="E14" s="49"/>
      <c r="I14" s="9"/>
      <c r="M14" s="9"/>
      <c r="O14" s="2"/>
      <c r="Q14" s="2"/>
      <c r="S14" s="2"/>
      <c r="U14" s="2"/>
      <c r="W14" s="2"/>
      <c r="Y14" s="2"/>
      <c r="AA14" s="2"/>
      <c r="AC14" s="38"/>
      <c r="AE14" s="19"/>
      <c r="AF14" s="31"/>
      <c r="AG14" s="35"/>
    </row>
    <row r="15" spans="1:33" x14ac:dyDescent="0.4">
      <c r="E15" s="49"/>
      <c r="I15" s="9"/>
      <c r="M15" s="9"/>
      <c r="O15" s="2"/>
      <c r="Q15" s="2"/>
      <c r="S15" s="2"/>
      <c r="U15" s="2"/>
      <c r="W15" s="2"/>
      <c r="Y15" s="2"/>
      <c r="AA15" s="2"/>
      <c r="AC15" s="38"/>
      <c r="AE15" s="19"/>
      <c r="AF15" s="31"/>
      <c r="AG15" s="35"/>
    </row>
    <row r="16" spans="1:33" x14ac:dyDescent="0.4">
      <c r="A16" s="41" t="s">
        <v>32</v>
      </c>
      <c r="C16" s="16">
        <v>22</v>
      </c>
      <c r="D16" s="5" t="s">
        <v>10</v>
      </c>
      <c r="E16" s="49">
        <f>(C16/37)*100</f>
        <v>59.45945945945946</v>
      </c>
      <c r="I16" s="9"/>
      <c r="M16" s="9"/>
      <c r="O16" s="2">
        <v>25</v>
      </c>
      <c r="Q16" s="2">
        <v>21</v>
      </c>
      <c r="S16" s="2"/>
      <c r="U16" s="2"/>
      <c r="W16" s="2"/>
      <c r="Y16" s="2">
        <v>15</v>
      </c>
      <c r="AA16" s="2"/>
      <c r="AC16" s="38"/>
      <c r="AE16" s="19">
        <f t="shared" ref="AE16:AE91" si="0">E16+I16+M16+O16+Q16+S16+U16+W16+Y16+AA16+AJ16</f>
        <v>120.45945945945945</v>
      </c>
      <c r="AF16" s="31"/>
      <c r="AG16" s="35"/>
    </row>
    <row r="17" spans="1:33" x14ac:dyDescent="0.4">
      <c r="A17" s="41" t="s">
        <v>33</v>
      </c>
      <c r="C17" s="16">
        <v>30</v>
      </c>
      <c r="E17" s="49">
        <f t="shared" ref="E17:E76" si="1">(C17/37)*100</f>
        <v>81.081081081081081</v>
      </c>
      <c r="I17" s="9"/>
      <c r="M17" s="9"/>
      <c r="O17" s="2">
        <v>0</v>
      </c>
      <c r="Q17" s="2">
        <v>24</v>
      </c>
      <c r="S17" s="2"/>
      <c r="U17" s="2"/>
      <c r="W17" s="2"/>
      <c r="Y17" s="2">
        <v>15</v>
      </c>
      <c r="AA17" s="2"/>
      <c r="AC17" s="38"/>
      <c r="AE17" s="19">
        <f t="shared" si="0"/>
        <v>120.08108108108108</v>
      </c>
      <c r="AF17" s="31"/>
      <c r="AG17" s="35"/>
    </row>
    <row r="18" spans="1:33" x14ac:dyDescent="0.4">
      <c r="A18" s="41" t="s">
        <v>34</v>
      </c>
      <c r="C18" s="16">
        <v>23</v>
      </c>
      <c r="E18" s="49">
        <f t="shared" si="1"/>
        <v>62.162162162162161</v>
      </c>
      <c r="I18" s="9"/>
      <c r="M18" s="9"/>
      <c r="O18" s="2">
        <v>0</v>
      </c>
      <c r="Q18" s="2">
        <v>20</v>
      </c>
      <c r="S18" s="2"/>
      <c r="U18" s="2"/>
      <c r="W18" s="2"/>
      <c r="Y18" s="2"/>
      <c r="AA18" s="2"/>
      <c r="AC18" s="38"/>
      <c r="AE18" s="19">
        <f t="shared" si="0"/>
        <v>82.162162162162161</v>
      </c>
      <c r="AF18" s="31"/>
      <c r="AG18" s="35"/>
    </row>
    <row r="19" spans="1:33" x14ac:dyDescent="0.4">
      <c r="A19" s="41" t="s">
        <v>35</v>
      </c>
      <c r="C19" s="16">
        <v>25</v>
      </c>
      <c r="E19" s="49">
        <f t="shared" si="1"/>
        <v>67.567567567567565</v>
      </c>
      <c r="I19" s="9"/>
      <c r="M19" s="9"/>
      <c r="O19" s="2">
        <v>0</v>
      </c>
      <c r="Q19" s="2"/>
      <c r="S19" s="2"/>
      <c r="U19" s="2"/>
      <c r="W19" s="2"/>
      <c r="Y19" s="53"/>
      <c r="AA19" s="2"/>
      <c r="AC19" s="38"/>
      <c r="AE19" s="19">
        <f t="shared" si="0"/>
        <v>67.567567567567565</v>
      </c>
      <c r="AF19" s="31"/>
      <c r="AG19" s="35"/>
    </row>
    <row r="20" spans="1:33" x14ac:dyDescent="0.4">
      <c r="A20" s="41" t="s">
        <v>36</v>
      </c>
      <c r="C20" s="16">
        <v>27</v>
      </c>
      <c r="E20" s="49">
        <f t="shared" si="1"/>
        <v>72.972972972972968</v>
      </c>
      <c r="I20" s="9"/>
      <c r="M20" s="9"/>
      <c r="O20" s="2">
        <v>25</v>
      </c>
      <c r="Q20" s="2">
        <v>23</v>
      </c>
      <c r="S20" s="2"/>
      <c r="U20" s="2"/>
      <c r="W20" s="2"/>
      <c r="Y20" s="2"/>
      <c r="AA20" s="2"/>
      <c r="AC20" s="38"/>
      <c r="AE20" s="19">
        <f t="shared" si="0"/>
        <v>120.97297297297297</v>
      </c>
      <c r="AF20" s="31"/>
      <c r="AG20" s="35"/>
    </row>
    <row r="21" spans="1:33" x14ac:dyDescent="0.4">
      <c r="A21" s="41" t="s">
        <v>37</v>
      </c>
      <c r="C21" s="16">
        <v>24</v>
      </c>
      <c r="E21" s="49">
        <f t="shared" si="1"/>
        <v>64.86486486486487</v>
      </c>
      <c r="I21" s="9"/>
      <c r="M21" s="9"/>
      <c r="O21" s="2">
        <v>23</v>
      </c>
      <c r="Q21" s="2">
        <v>24</v>
      </c>
      <c r="S21" s="2"/>
      <c r="U21" s="2"/>
      <c r="W21" s="2"/>
      <c r="Y21" s="2">
        <v>15</v>
      </c>
      <c r="AA21" s="2"/>
      <c r="AC21" s="38"/>
      <c r="AE21" s="19">
        <f t="shared" si="0"/>
        <v>126.86486486486487</v>
      </c>
      <c r="AF21" s="31"/>
      <c r="AG21" s="35"/>
    </row>
    <row r="22" spans="1:33" x14ac:dyDescent="0.4">
      <c r="A22" s="41" t="s">
        <v>38</v>
      </c>
      <c r="C22" s="16">
        <v>38</v>
      </c>
      <c r="E22" s="49">
        <v>100</v>
      </c>
      <c r="I22" s="9"/>
      <c r="M22" s="9"/>
      <c r="O22" s="2">
        <v>25</v>
      </c>
      <c r="Q22" s="2">
        <v>24</v>
      </c>
      <c r="S22" s="2"/>
      <c r="U22" s="2"/>
      <c r="W22" s="2"/>
      <c r="Y22" s="2">
        <v>15</v>
      </c>
      <c r="AA22" s="2"/>
      <c r="AC22" s="38"/>
      <c r="AE22" s="19">
        <f t="shared" si="0"/>
        <v>164</v>
      </c>
      <c r="AF22" s="31"/>
      <c r="AG22" s="35"/>
    </row>
    <row r="23" spans="1:33" x14ac:dyDescent="0.4">
      <c r="A23" s="41" t="s">
        <v>39</v>
      </c>
      <c r="C23" s="16">
        <v>36</v>
      </c>
      <c r="E23" s="49">
        <f t="shared" si="1"/>
        <v>97.297297297297305</v>
      </c>
      <c r="I23" s="9"/>
      <c r="M23" s="9"/>
      <c r="O23" s="2">
        <v>22</v>
      </c>
      <c r="Q23" s="2">
        <v>25</v>
      </c>
      <c r="S23" s="2"/>
      <c r="U23" s="2"/>
      <c r="W23" s="2"/>
      <c r="Y23" s="2">
        <v>15</v>
      </c>
      <c r="AA23" s="2"/>
      <c r="AC23" s="38"/>
      <c r="AE23" s="19">
        <f t="shared" si="0"/>
        <v>159.29729729729729</v>
      </c>
      <c r="AF23" s="31"/>
      <c r="AG23" s="35"/>
    </row>
    <row r="24" spans="1:33" x14ac:dyDescent="0.4">
      <c r="A24" s="41" t="s">
        <v>40</v>
      </c>
      <c r="C24" s="16">
        <v>27</v>
      </c>
      <c r="E24" s="49">
        <f t="shared" si="1"/>
        <v>72.972972972972968</v>
      </c>
      <c r="I24" s="9"/>
      <c r="M24" s="9"/>
      <c r="O24" s="2">
        <v>23</v>
      </c>
      <c r="Q24" s="2">
        <v>23</v>
      </c>
      <c r="S24" s="2"/>
      <c r="U24" s="2"/>
      <c r="W24" s="2">
        <v>25</v>
      </c>
      <c r="Y24" s="2">
        <v>15</v>
      </c>
      <c r="AA24" s="2"/>
      <c r="AC24" s="38"/>
      <c r="AE24" s="19">
        <f t="shared" si="0"/>
        <v>158.97297297297297</v>
      </c>
      <c r="AF24" s="31"/>
      <c r="AG24" s="35"/>
    </row>
    <row r="25" spans="1:33" x14ac:dyDescent="0.4">
      <c r="A25" s="41" t="s">
        <v>41</v>
      </c>
      <c r="C25" s="16">
        <v>38</v>
      </c>
      <c r="E25" s="49">
        <v>100</v>
      </c>
      <c r="I25" s="9"/>
      <c r="M25" s="9"/>
      <c r="O25" s="2">
        <v>25</v>
      </c>
      <c r="Q25" s="2">
        <v>24</v>
      </c>
      <c r="S25" s="2"/>
      <c r="U25" s="2"/>
      <c r="W25" s="2"/>
      <c r="Y25" s="2">
        <v>15</v>
      </c>
      <c r="AA25" s="2"/>
      <c r="AC25" s="38"/>
      <c r="AE25" s="19">
        <f t="shared" si="0"/>
        <v>164</v>
      </c>
      <c r="AF25" s="31"/>
      <c r="AG25" s="35"/>
    </row>
    <row r="26" spans="1:33" x14ac:dyDescent="0.4">
      <c r="A26" s="41" t="s">
        <v>42</v>
      </c>
      <c r="C26" s="16">
        <v>28</v>
      </c>
      <c r="E26" s="49">
        <f t="shared" si="1"/>
        <v>75.675675675675677</v>
      </c>
      <c r="I26" s="9"/>
      <c r="M26" s="9"/>
      <c r="O26" s="2">
        <v>25</v>
      </c>
      <c r="Q26" s="2">
        <v>19</v>
      </c>
      <c r="S26" s="2"/>
      <c r="U26" s="2"/>
      <c r="W26" s="2"/>
      <c r="Y26" s="2">
        <v>15</v>
      </c>
      <c r="AA26" s="2"/>
      <c r="AC26" s="38"/>
      <c r="AE26" s="19">
        <f t="shared" si="0"/>
        <v>134.67567567567568</v>
      </c>
      <c r="AF26" s="31"/>
      <c r="AG26" s="35"/>
    </row>
    <row r="27" spans="1:33" x14ac:dyDescent="0.4">
      <c r="A27" s="41" t="s">
        <v>43</v>
      </c>
      <c r="C27" s="16">
        <v>32</v>
      </c>
      <c r="E27" s="49">
        <f t="shared" si="1"/>
        <v>86.486486486486484</v>
      </c>
      <c r="I27" s="9"/>
      <c r="M27" s="9"/>
      <c r="O27" s="2">
        <v>25</v>
      </c>
      <c r="Q27" s="2">
        <v>25</v>
      </c>
      <c r="S27" s="2"/>
      <c r="U27" s="2"/>
      <c r="W27" s="2"/>
      <c r="Y27" s="2"/>
      <c r="AA27" s="2"/>
      <c r="AC27" s="38"/>
      <c r="AE27" s="19">
        <f t="shared" si="0"/>
        <v>136.48648648648648</v>
      </c>
      <c r="AF27" s="31"/>
      <c r="AG27" s="35"/>
    </row>
    <row r="28" spans="1:33" x14ac:dyDescent="0.4">
      <c r="A28" s="41" t="s">
        <v>44</v>
      </c>
      <c r="C28" s="16">
        <v>36</v>
      </c>
      <c r="E28" s="49">
        <f t="shared" si="1"/>
        <v>97.297297297297305</v>
      </c>
      <c r="I28" s="9"/>
      <c r="M28" s="9"/>
      <c r="O28" s="2">
        <v>23</v>
      </c>
      <c r="Q28" s="2"/>
      <c r="S28" s="2"/>
      <c r="U28" s="2"/>
      <c r="W28" s="2"/>
      <c r="Y28" s="2">
        <v>15</v>
      </c>
      <c r="AA28" s="2"/>
      <c r="AC28" s="38"/>
      <c r="AE28" s="19">
        <f t="shared" si="0"/>
        <v>135.29729729729729</v>
      </c>
      <c r="AF28" s="31"/>
      <c r="AG28" s="35"/>
    </row>
    <row r="29" spans="1:33" x14ac:dyDescent="0.4">
      <c r="A29" s="41" t="s">
        <v>45</v>
      </c>
      <c r="C29" s="16">
        <v>33</v>
      </c>
      <c r="E29" s="49">
        <f t="shared" si="1"/>
        <v>89.189189189189193</v>
      </c>
      <c r="I29" s="9"/>
      <c r="M29" s="9"/>
      <c r="O29" s="2">
        <v>24</v>
      </c>
      <c r="Q29" s="2">
        <v>25</v>
      </c>
      <c r="S29" s="2"/>
      <c r="U29" s="2"/>
      <c r="W29" s="2"/>
      <c r="Y29" s="2">
        <v>15</v>
      </c>
      <c r="AA29" s="2"/>
      <c r="AC29" s="38"/>
      <c r="AE29" s="19">
        <f t="shared" si="0"/>
        <v>153.18918918918919</v>
      </c>
      <c r="AF29" s="31"/>
      <c r="AG29" s="35"/>
    </row>
    <row r="30" spans="1:33" x14ac:dyDescent="0.4">
      <c r="A30" s="41" t="s">
        <v>46</v>
      </c>
      <c r="C30" s="16">
        <v>29</v>
      </c>
      <c r="E30" s="49">
        <f t="shared" si="1"/>
        <v>78.378378378378372</v>
      </c>
      <c r="I30" s="9"/>
      <c r="M30" s="9"/>
      <c r="O30" s="2">
        <v>24</v>
      </c>
      <c r="Q30" s="2">
        <v>23</v>
      </c>
      <c r="S30" s="2"/>
      <c r="U30" s="2"/>
      <c r="W30" s="2"/>
      <c r="Y30" s="2"/>
      <c r="AA30" s="2"/>
      <c r="AC30" s="38"/>
      <c r="AE30" s="19">
        <f t="shared" si="0"/>
        <v>125.37837837837837</v>
      </c>
      <c r="AF30" s="31"/>
      <c r="AG30" s="35"/>
    </row>
    <row r="31" spans="1:33" x14ac:dyDescent="0.4">
      <c r="A31" s="41" t="s">
        <v>47</v>
      </c>
      <c r="C31" s="16">
        <v>25</v>
      </c>
      <c r="E31" s="49">
        <f t="shared" si="1"/>
        <v>67.567567567567565</v>
      </c>
      <c r="I31" s="9"/>
      <c r="M31" s="9"/>
      <c r="O31" s="2">
        <v>25</v>
      </c>
      <c r="Q31" s="2">
        <v>24</v>
      </c>
      <c r="S31" s="2"/>
      <c r="U31" s="2"/>
      <c r="W31" s="2"/>
      <c r="Y31" s="2">
        <v>15</v>
      </c>
      <c r="AA31" s="2"/>
      <c r="AC31" s="38"/>
      <c r="AE31" s="19">
        <f t="shared" si="0"/>
        <v>131.56756756756755</v>
      </c>
      <c r="AF31" s="31"/>
      <c r="AG31" s="35"/>
    </row>
    <row r="32" spans="1:33" x14ac:dyDescent="0.4">
      <c r="A32" s="41" t="s">
        <v>48</v>
      </c>
      <c r="C32" s="16">
        <v>32</v>
      </c>
      <c r="E32" s="49">
        <f t="shared" si="1"/>
        <v>86.486486486486484</v>
      </c>
      <c r="I32" s="9"/>
      <c r="M32" s="9"/>
      <c r="O32" s="2">
        <v>23</v>
      </c>
      <c r="Q32" s="2">
        <v>24</v>
      </c>
      <c r="S32" s="2"/>
      <c r="U32" s="2"/>
      <c r="W32" s="2"/>
      <c r="Y32" s="2">
        <v>15</v>
      </c>
      <c r="AA32" s="2"/>
      <c r="AC32" s="38"/>
      <c r="AE32" s="19">
        <f t="shared" si="0"/>
        <v>148.48648648648648</v>
      </c>
      <c r="AF32" s="31"/>
      <c r="AG32" s="35"/>
    </row>
    <row r="33" spans="1:33" x14ac:dyDescent="0.4">
      <c r="A33" s="41" t="s">
        <v>49</v>
      </c>
      <c r="C33" s="16">
        <v>42</v>
      </c>
      <c r="E33" s="49">
        <v>100</v>
      </c>
      <c r="I33" s="9"/>
      <c r="M33" s="9"/>
      <c r="O33" s="2">
        <v>25</v>
      </c>
      <c r="Q33" s="2">
        <v>25</v>
      </c>
      <c r="S33" s="2"/>
      <c r="U33" s="2"/>
      <c r="W33" s="2"/>
      <c r="Y33" s="2"/>
      <c r="AA33" s="2"/>
      <c r="AC33" s="38"/>
      <c r="AE33" s="19">
        <f t="shared" si="0"/>
        <v>150</v>
      </c>
      <c r="AF33" s="31"/>
      <c r="AG33" s="35"/>
    </row>
    <row r="34" spans="1:33" x14ac:dyDescent="0.4">
      <c r="A34" s="41" t="s">
        <v>50</v>
      </c>
      <c r="C34" s="16">
        <f>24+1</f>
        <v>25</v>
      </c>
      <c r="E34" s="49">
        <f t="shared" si="1"/>
        <v>67.567567567567565</v>
      </c>
      <c r="I34" s="9"/>
      <c r="M34" s="9"/>
      <c r="O34" s="2">
        <v>24</v>
      </c>
      <c r="Q34" s="2">
        <v>25</v>
      </c>
      <c r="S34" s="2"/>
      <c r="U34" s="2"/>
      <c r="W34" s="2"/>
      <c r="Y34" s="2">
        <v>15</v>
      </c>
      <c r="AA34" s="2"/>
      <c r="AC34" s="38"/>
      <c r="AE34" s="19">
        <f t="shared" si="0"/>
        <v>131.56756756756755</v>
      </c>
      <c r="AF34" s="31"/>
      <c r="AG34" s="35"/>
    </row>
    <row r="35" spans="1:33" x14ac:dyDescent="0.4">
      <c r="A35" s="41" t="s">
        <v>51</v>
      </c>
      <c r="C35" s="16">
        <v>40</v>
      </c>
      <c r="E35" s="49">
        <v>100</v>
      </c>
      <c r="I35" s="9"/>
      <c r="M35" s="9"/>
      <c r="O35" s="2">
        <v>25</v>
      </c>
      <c r="Q35" s="2">
        <v>23</v>
      </c>
      <c r="S35" s="2"/>
      <c r="U35" s="2"/>
      <c r="W35" s="2"/>
      <c r="Y35" s="2">
        <v>15</v>
      </c>
      <c r="AA35" s="2"/>
      <c r="AC35" s="38"/>
      <c r="AE35" s="19">
        <f t="shared" si="0"/>
        <v>163</v>
      </c>
      <c r="AF35" s="31"/>
      <c r="AG35" s="35"/>
    </row>
    <row r="36" spans="1:33" x14ac:dyDescent="0.4">
      <c r="A36" s="41" t="s">
        <v>52</v>
      </c>
      <c r="C36" s="16">
        <f>32+1</f>
        <v>33</v>
      </c>
      <c r="E36" s="49">
        <f t="shared" si="1"/>
        <v>89.189189189189193</v>
      </c>
      <c r="I36" s="9"/>
      <c r="M36" s="9"/>
      <c r="O36" s="2">
        <v>25</v>
      </c>
      <c r="Q36" s="2">
        <v>23</v>
      </c>
      <c r="S36" s="2"/>
      <c r="U36" s="2"/>
      <c r="W36" s="2"/>
      <c r="Y36" s="2"/>
      <c r="AA36" s="2"/>
      <c r="AC36" s="38"/>
      <c r="AE36" s="19">
        <f t="shared" si="0"/>
        <v>137.18918918918919</v>
      </c>
      <c r="AF36" s="31"/>
      <c r="AG36" s="35"/>
    </row>
    <row r="37" spans="1:33" x14ac:dyDescent="0.4">
      <c r="A37" s="41" t="s">
        <v>53</v>
      </c>
      <c r="C37" s="16">
        <v>29</v>
      </c>
      <c r="E37" s="49">
        <f t="shared" si="1"/>
        <v>78.378378378378372</v>
      </c>
      <c r="I37" s="9"/>
      <c r="M37" s="9"/>
      <c r="O37" s="2">
        <v>25</v>
      </c>
      <c r="Q37" s="2"/>
      <c r="S37" s="2"/>
      <c r="U37" s="2"/>
      <c r="W37" s="2"/>
      <c r="Y37" s="2"/>
      <c r="AA37" s="2"/>
      <c r="AC37" s="38"/>
      <c r="AE37" s="19">
        <f t="shared" si="0"/>
        <v>103.37837837837837</v>
      </c>
      <c r="AF37" s="31"/>
      <c r="AG37" s="35"/>
    </row>
    <row r="38" spans="1:33" x14ac:dyDescent="0.4">
      <c r="A38" s="41" t="s">
        <v>54</v>
      </c>
      <c r="B38" s="21"/>
      <c r="C38" s="44">
        <v>36</v>
      </c>
      <c r="D38" s="21"/>
      <c r="E38" s="49">
        <f t="shared" si="1"/>
        <v>97.297297297297305</v>
      </c>
      <c r="F38" s="21"/>
      <c r="G38" s="20"/>
      <c r="H38" s="21"/>
      <c r="I38" s="22"/>
      <c r="J38" s="20"/>
      <c r="L38" s="21"/>
      <c r="M38" s="9"/>
      <c r="N38" s="20"/>
      <c r="O38" s="51">
        <v>20</v>
      </c>
      <c r="P38" s="20"/>
      <c r="Q38" s="51">
        <v>25</v>
      </c>
      <c r="R38" s="20"/>
      <c r="S38" s="23"/>
      <c r="T38" s="20"/>
      <c r="U38" s="23"/>
      <c r="V38" s="20"/>
      <c r="W38" s="23"/>
      <c r="X38" s="20"/>
      <c r="Y38" s="51">
        <v>15</v>
      </c>
      <c r="Z38" s="20"/>
      <c r="AA38" s="23"/>
      <c r="AB38" s="20"/>
      <c r="AC38" s="39"/>
      <c r="AD38" s="20"/>
      <c r="AE38" s="19">
        <f t="shared" si="0"/>
        <v>157.29729729729729</v>
      </c>
      <c r="AF38" s="31"/>
      <c r="AG38" s="36"/>
    </row>
    <row r="39" spans="1:33" x14ac:dyDescent="0.4">
      <c r="A39" s="41" t="s">
        <v>55</v>
      </c>
      <c r="C39" s="16">
        <v>28</v>
      </c>
      <c r="E39" s="49">
        <f t="shared" si="1"/>
        <v>75.675675675675677</v>
      </c>
      <c r="I39" s="9"/>
      <c r="M39" s="9"/>
      <c r="O39" s="2">
        <v>25</v>
      </c>
      <c r="Q39" s="2">
        <v>25</v>
      </c>
      <c r="S39" s="2"/>
      <c r="U39" s="2"/>
      <c r="W39" s="2"/>
      <c r="Y39" s="2">
        <v>15</v>
      </c>
      <c r="AA39" s="2"/>
      <c r="AC39" s="38"/>
      <c r="AE39" s="19">
        <f t="shared" si="0"/>
        <v>140.67567567567568</v>
      </c>
      <c r="AF39" s="31"/>
      <c r="AG39" s="35"/>
    </row>
    <row r="40" spans="1:33" x14ac:dyDescent="0.4">
      <c r="A40" s="41" t="s">
        <v>56</v>
      </c>
      <c r="C40" s="16">
        <v>27</v>
      </c>
      <c r="E40" s="49">
        <f t="shared" si="1"/>
        <v>72.972972972972968</v>
      </c>
      <c r="I40" s="9"/>
      <c r="M40" s="9"/>
      <c r="O40" s="2">
        <v>20</v>
      </c>
      <c r="Q40" s="2">
        <v>23</v>
      </c>
      <c r="S40" s="2"/>
      <c r="U40" s="2"/>
      <c r="W40" s="2"/>
      <c r="Y40" s="2"/>
      <c r="AA40" s="2"/>
      <c r="AC40" s="38"/>
      <c r="AE40" s="19">
        <f t="shared" si="0"/>
        <v>115.97297297297297</v>
      </c>
      <c r="AF40" s="31"/>
      <c r="AG40" s="35"/>
    </row>
    <row r="41" spans="1:33" x14ac:dyDescent="0.4">
      <c r="A41" s="41" t="s">
        <v>57</v>
      </c>
      <c r="C41" s="16">
        <v>34</v>
      </c>
      <c r="E41" s="49">
        <f t="shared" si="1"/>
        <v>91.891891891891902</v>
      </c>
      <c r="I41" s="9"/>
      <c r="M41" s="9"/>
      <c r="O41" s="2">
        <v>25</v>
      </c>
      <c r="Q41" s="2">
        <v>25</v>
      </c>
      <c r="S41" s="2"/>
      <c r="U41" s="2"/>
      <c r="W41" s="2"/>
      <c r="Y41" s="2"/>
      <c r="AA41" s="2"/>
      <c r="AC41" s="38"/>
      <c r="AE41" s="19">
        <f t="shared" si="0"/>
        <v>141.8918918918919</v>
      </c>
      <c r="AF41" s="31"/>
      <c r="AG41" s="35"/>
    </row>
    <row r="42" spans="1:33" x14ac:dyDescent="0.4">
      <c r="A42" s="41" t="s">
        <v>58</v>
      </c>
      <c r="C42" s="16">
        <v>34</v>
      </c>
      <c r="E42" s="49">
        <f t="shared" si="1"/>
        <v>91.891891891891902</v>
      </c>
      <c r="I42" s="9"/>
      <c r="M42" s="9"/>
      <c r="O42" s="2">
        <v>25</v>
      </c>
      <c r="Q42" s="2"/>
      <c r="S42" s="2"/>
      <c r="U42" s="2"/>
      <c r="W42" s="2"/>
      <c r="Y42" s="2">
        <v>15</v>
      </c>
      <c r="AA42" s="2"/>
      <c r="AC42" s="38"/>
      <c r="AE42" s="19">
        <f t="shared" si="0"/>
        <v>131.8918918918919</v>
      </c>
      <c r="AF42" s="31"/>
      <c r="AG42" s="35"/>
    </row>
    <row r="43" spans="1:33" x14ac:dyDescent="0.4">
      <c r="A43" s="41" t="s">
        <v>59</v>
      </c>
      <c r="C43" s="16">
        <v>23</v>
      </c>
      <c r="E43" s="49">
        <f t="shared" si="1"/>
        <v>62.162162162162161</v>
      </c>
      <c r="I43" s="9"/>
      <c r="M43" s="9"/>
      <c r="O43" s="2">
        <v>23</v>
      </c>
      <c r="Q43" s="2">
        <v>23</v>
      </c>
      <c r="S43" s="2"/>
      <c r="U43" s="2"/>
      <c r="W43" s="2"/>
      <c r="Y43" s="2"/>
      <c r="AA43" s="2"/>
      <c r="AC43" s="38"/>
      <c r="AE43" s="19">
        <f t="shared" si="0"/>
        <v>108.16216216216216</v>
      </c>
      <c r="AF43" s="31"/>
      <c r="AG43" s="35"/>
    </row>
    <row r="44" spans="1:33" x14ac:dyDescent="0.4">
      <c r="A44" s="41" t="s">
        <v>60</v>
      </c>
      <c r="C44" s="16">
        <v>31</v>
      </c>
      <c r="E44" s="49">
        <f t="shared" si="1"/>
        <v>83.78378378378379</v>
      </c>
      <c r="I44" s="9"/>
      <c r="M44" s="9"/>
      <c r="O44" s="2">
        <v>22</v>
      </c>
      <c r="Q44" s="2">
        <v>22</v>
      </c>
      <c r="S44" s="2"/>
      <c r="U44" s="2"/>
      <c r="W44" s="2"/>
      <c r="Y44" s="2">
        <v>15</v>
      </c>
      <c r="AA44" s="2"/>
      <c r="AC44" s="38"/>
      <c r="AE44" s="19">
        <f t="shared" si="0"/>
        <v>142.7837837837838</v>
      </c>
      <c r="AF44" s="31"/>
      <c r="AG44" s="35"/>
    </row>
    <row r="45" spans="1:33" x14ac:dyDescent="0.4">
      <c r="A45" s="41" t="s">
        <v>61</v>
      </c>
      <c r="C45" s="16">
        <f>31+1</f>
        <v>32</v>
      </c>
      <c r="E45" s="49">
        <f t="shared" si="1"/>
        <v>86.486486486486484</v>
      </c>
      <c r="I45" s="9"/>
      <c r="M45" s="9"/>
      <c r="O45" s="2">
        <v>25</v>
      </c>
      <c r="Q45" s="2">
        <v>25</v>
      </c>
      <c r="S45" s="2"/>
      <c r="U45" s="2"/>
      <c r="W45" s="2"/>
      <c r="Y45" s="2">
        <v>15</v>
      </c>
      <c r="AA45" s="2"/>
      <c r="AC45" s="38"/>
      <c r="AE45" s="19">
        <f t="shared" si="0"/>
        <v>151.48648648648648</v>
      </c>
      <c r="AF45" s="31"/>
      <c r="AG45" s="35"/>
    </row>
    <row r="46" spans="1:33" x14ac:dyDescent="0.4">
      <c r="A46" s="41" t="s">
        <v>62</v>
      </c>
      <c r="C46" s="16">
        <v>33</v>
      </c>
      <c r="E46" s="49">
        <f t="shared" si="1"/>
        <v>89.189189189189193</v>
      </c>
      <c r="I46" s="9"/>
      <c r="M46" s="9"/>
      <c r="O46" s="2">
        <v>24</v>
      </c>
      <c r="Q46" s="2">
        <v>23</v>
      </c>
      <c r="S46" s="2"/>
      <c r="U46" s="2"/>
      <c r="W46" s="2"/>
      <c r="Y46" s="2">
        <v>15</v>
      </c>
      <c r="AA46" s="2"/>
      <c r="AC46" s="38"/>
      <c r="AE46" s="19">
        <f t="shared" si="0"/>
        <v>151.18918918918919</v>
      </c>
      <c r="AF46" s="31"/>
      <c r="AG46" s="35"/>
    </row>
    <row r="47" spans="1:33" x14ac:dyDescent="0.4">
      <c r="A47" s="41" t="s">
        <v>63</v>
      </c>
      <c r="C47" s="16">
        <v>38</v>
      </c>
      <c r="E47" s="49">
        <v>100</v>
      </c>
      <c r="I47" s="9"/>
      <c r="M47" s="9"/>
      <c r="O47" s="2">
        <v>25</v>
      </c>
      <c r="Q47" s="2"/>
      <c r="S47" s="2"/>
      <c r="U47" s="2"/>
      <c r="W47" s="2"/>
      <c r="Y47" s="2">
        <v>15</v>
      </c>
      <c r="AA47" s="2"/>
      <c r="AC47" s="38"/>
      <c r="AE47" s="19">
        <f t="shared" si="0"/>
        <v>140</v>
      </c>
      <c r="AF47" s="31"/>
      <c r="AG47" s="35"/>
    </row>
    <row r="48" spans="1:33" x14ac:dyDescent="0.4">
      <c r="A48" s="41" t="s">
        <v>64</v>
      </c>
      <c r="C48" s="16">
        <v>23</v>
      </c>
      <c r="E48" s="49">
        <f t="shared" si="1"/>
        <v>62.162162162162161</v>
      </c>
      <c r="I48" s="9"/>
      <c r="M48" s="9"/>
      <c r="O48" s="2">
        <v>20</v>
      </c>
      <c r="Q48" s="2">
        <v>23</v>
      </c>
      <c r="S48" s="2"/>
      <c r="U48" s="2"/>
      <c r="W48" s="2"/>
      <c r="Y48" s="2">
        <v>15</v>
      </c>
      <c r="AA48" s="2"/>
      <c r="AC48" s="38"/>
      <c r="AE48" s="19">
        <f t="shared" si="0"/>
        <v>120.16216216216216</v>
      </c>
      <c r="AF48" s="31"/>
      <c r="AG48" s="35"/>
    </row>
    <row r="49" spans="1:33" x14ac:dyDescent="0.4">
      <c r="A49" s="41" t="s">
        <v>65</v>
      </c>
      <c r="C49" s="16">
        <f>35+1</f>
        <v>36</v>
      </c>
      <c r="E49" s="49">
        <f t="shared" si="1"/>
        <v>97.297297297297305</v>
      </c>
      <c r="I49" s="9"/>
      <c r="M49" s="9"/>
      <c r="O49" s="2">
        <v>23</v>
      </c>
      <c r="Q49" s="2">
        <v>25</v>
      </c>
      <c r="S49" s="2"/>
      <c r="U49" s="2"/>
      <c r="W49" s="2"/>
      <c r="Y49" s="2">
        <v>15</v>
      </c>
      <c r="AA49" s="2"/>
      <c r="AC49" s="38"/>
      <c r="AE49" s="19">
        <f t="shared" si="0"/>
        <v>160.29729729729729</v>
      </c>
      <c r="AF49" s="31"/>
      <c r="AG49" s="35"/>
    </row>
    <row r="50" spans="1:33" x14ac:dyDescent="0.4">
      <c r="A50" s="41" t="s">
        <v>66</v>
      </c>
      <c r="C50" s="16">
        <v>33</v>
      </c>
      <c r="E50" s="49">
        <f t="shared" si="1"/>
        <v>89.189189189189193</v>
      </c>
      <c r="I50" s="9"/>
      <c r="M50" s="9"/>
      <c r="O50" s="2">
        <v>25</v>
      </c>
      <c r="Q50" s="2"/>
      <c r="S50" s="2"/>
      <c r="U50" s="2"/>
      <c r="W50" s="2"/>
      <c r="Y50" s="2">
        <v>15</v>
      </c>
      <c r="AA50" s="2"/>
      <c r="AC50" s="38"/>
      <c r="AE50" s="19">
        <f t="shared" si="0"/>
        <v>129.18918918918919</v>
      </c>
      <c r="AF50" s="31"/>
      <c r="AG50" s="35"/>
    </row>
    <row r="51" spans="1:33" x14ac:dyDescent="0.4">
      <c r="A51" s="41" t="s">
        <v>67</v>
      </c>
      <c r="C51" s="16">
        <v>35</v>
      </c>
      <c r="E51" s="49">
        <f t="shared" si="1"/>
        <v>94.594594594594597</v>
      </c>
      <c r="I51" s="9"/>
      <c r="M51" s="9"/>
      <c r="O51" s="2">
        <v>25</v>
      </c>
      <c r="Q51" s="2">
        <v>25</v>
      </c>
      <c r="S51" s="2"/>
      <c r="U51" s="2"/>
      <c r="W51" s="2"/>
      <c r="Y51" s="2"/>
      <c r="AA51" s="2"/>
      <c r="AC51" s="38"/>
      <c r="AE51" s="19">
        <f t="shared" si="0"/>
        <v>144.59459459459458</v>
      </c>
      <c r="AF51" s="31"/>
      <c r="AG51" s="35"/>
    </row>
    <row r="52" spans="1:33" x14ac:dyDescent="0.4">
      <c r="A52" s="41" t="s">
        <v>68</v>
      </c>
      <c r="C52" s="16">
        <v>21</v>
      </c>
      <c r="E52" s="49">
        <f t="shared" si="1"/>
        <v>56.756756756756758</v>
      </c>
      <c r="I52" s="9"/>
      <c r="M52" s="9"/>
      <c r="O52" s="2">
        <v>21</v>
      </c>
      <c r="Q52" s="2">
        <v>25</v>
      </c>
      <c r="S52" s="2"/>
      <c r="U52" s="2"/>
      <c r="W52" s="2"/>
      <c r="Y52" s="2">
        <v>15</v>
      </c>
      <c r="AA52" s="2"/>
      <c r="AC52" s="38"/>
      <c r="AE52" s="19">
        <f t="shared" si="0"/>
        <v>117.75675675675676</v>
      </c>
      <c r="AF52" s="31"/>
      <c r="AG52" s="35"/>
    </row>
    <row r="53" spans="1:33" x14ac:dyDescent="0.4">
      <c r="A53" s="41" t="s">
        <v>69</v>
      </c>
      <c r="C53" s="16">
        <v>33</v>
      </c>
      <c r="E53" s="49">
        <f t="shared" si="1"/>
        <v>89.189189189189193</v>
      </c>
      <c r="I53" s="9"/>
      <c r="M53" s="9"/>
      <c r="O53" s="2">
        <v>25</v>
      </c>
      <c r="Q53" s="2">
        <v>25</v>
      </c>
      <c r="S53" s="2"/>
      <c r="U53" s="2"/>
      <c r="W53" s="2"/>
      <c r="Y53" s="2">
        <v>15</v>
      </c>
      <c r="AA53" s="2"/>
      <c r="AC53" s="38"/>
      <c r="AE53" s="19">
        <f t="shared" si="0"/>
        <v>154.18918918918919</v>
      </c>
      <c r="AF53" s="31"/>
      <c r="AG53" s="35"/>
    </row>
    <row r="54" spans="1:33" x14ac:dyDescent="0.4">
      <c r="A54" s="41" t="s">
        <v>70</v>
      </c>
      <c r="C54" s="16">
        <v>37</v>
      </c>
      <c r="E54" s="49">
        <f t="shared" si="1"/>
        <v>100</v>
      </c>
      <c r="I54" s="9"/>
      <c r="M54" s="9"/>
      <c r="O54" s="2">
        <v>23</v>
      </c>
      <c r="Q54" s="2">
        <v>25</v>
      </c>
      <c r="S54" s="2"/>
      <c r="U54" s="2"/>
      <c r="W54" s="2"/>
      <c r="Y54" s="2">
        <v>15</v>
      </c>
      <c r="AA54" s="2"/>
      <c r="AC54" s="38"/>
      <c r="AE54" s="19">
        <f t="shared" si="0"/>
        <v>163</v>
      </c>
      <c r="AF54" s="31"/>
      <c r="AG54" s="35"/>
    </row>
    <row r="55" spans="1:33" x14ac:dyDescent="0.4">
      <c r="A55" s="41" t="s">
        <v>71</v>
      </c>
      <c r="C55" s="16">
        <v>30</v>
      </c>
      <c r="E55" s="49">
        <f t="shared" si="1"/>
        <v>81.081081081081081</v>
      </c>
      <c r="I55" s="9"/>
      <c r="M55" s="9"/>
      <c r="O55" s="2">
        <v>23</v>
      </c>
      <c r="Q55" s="2">
        <v>25</v>
      </c>
      <c r="S55" s="2"/>
      <c r="U55" s="2"/>
      <c r="W55" s="2"/>
      <c r="Y55" s="2">
        <v>15</v>
      </c>
      <c r="AA55" s="2"/>
      <c r="AC55" s="38"/>
      <c r="AE55" s="19">
        <f t="shared" si="0"/>
        <v>144.08108108108109</v>
      </c>
      <c r="AF55" s="31"/>
      <c r="AG55" s="35"/>
    </row>
    <row r="56" spans="1:33" x14ac:dyDescent="0.4">
      <c r="A56" s="41" t="s">
        <v>72</v>
      </c>
      <c r="C56" s="16">
        <v>33</v>
      </c>
      <c r="E56" s="49">
        <f t="shared" si="1"/>
        <v>89.189189189189193</v>
      </c>
      <c r="I56" s="9"/>
      <c r="M56" s="9"/>
      <c r="O56" s="2">
        <v>23</v>
      </c>
      <c r="Q56" s="2">
        <v>25</v>
      </c>
      <c r="S56" s="2"/>
      <c r="U56" s="2"/>
      <c r="W56" s="2"/>
      <c r="Y56" s="2">
        <v>15</v>
      </c>
      <c r="AA56" s="2"/>
      <c r="AC56" s="38"/>
      <c r="AE56" s="19">
        <f t="shared" si="0"/>
        <v>152.18918918918919</v>
      </c>
      <c r="AF56" s="31"/>
      <c r="AG56" s="35"/>
    </row>
    <row r="57" spans="1:33" x14ac:dyDescent="0.4">
      <c r="A57" s="41" t="s">
        <v>73</v>
      </c>
      <c r="C57" s="16">
        <v>23</v>
      </c>
      <c r="E57" s="49">
        <f t="shared" si="1"/>
        <v>62.162162162162161</v>
      </c>
      <c r="I57" s="9"/>
      <c r="M57" s="9"/>
      <c r="O57" s="2">
        <v>24</v>
      </c>
      <c r="Q57" s="2">
        <v>24</v>
      </c>
      <c r="S57" s="2"/>
      <c r="U57" s="2"/>
      <c r="W57" s="2"/>
      <c r="Y57" s="2"/>
      <c r="AA57" s="2"/>
      <c r="AC57" s="38"/>
      <c r="AE57" s="19">
        <f t="shared" si="0"/>
        <v>110.16216216216216</v>
      </c>
      <c r="AF57" s="31"/>
      <c r="AG57" s="35"/>
    </row>
    <row r="58" spans="1:33" x14ac:dyDescent="0.4">
      <c r="A58" s="41" t="s">
        <v>74</v>
      </c>
      <c r="C58" s="16">
        <v>33</v>
      </c>
      <c r="E58" s="49">
        <f t="shared" si="1"/>
        <v>89.189189189189193</v>
      </c>
      <c r="I58" s="9"/>
      <c r="M58" s="9"/>
      <c r="O58" s="2">
        <v>25</v>
      </c>
      <c r="Q58" s="2">
        <v>25</v>
      </c>
      <c r="S58" s="2"/>
      <c r="U58" s="2"/>
      <c r="W58" s="2"/>
      <c r="Y58" s="2"/>
      <c r="AA58" s="2"/>
      <c r="AC58" s="38"/>
      <c r="AE58" s="19">
        <f t="shared" si="0"/>
        <v>139.18918918918919</v>
      </c>
      <c r="AF58" s="31"/>
      <c r="AG58" s="35"/>
    </row>
    <row r="59" spans="1:33" x14ac:dyDescent="0.4">
      <c r="A59" s="41" t="s">
        <v>75</v>
      </c>
      <c r="C59" s="16">
        <v>27</v>
      </c>
      <c r="E59" s="49">
        <f t="shared" si="1"/>
        <v>72.972972972972968</v>
      </c>
      <c r="I59" s="9"/>
      <c r="M59" s="9"/>
      <c r="O59" s="2">
        <v>22</v>
      </c>
      <c r="Q59" s="2">
        <v>23</v>
      </c>
      <c r="S59" s="2"/>
      <c r="U59" s="2"/>
      <c r="W59" s="2"/>
      <c r="Y59" s="2">
        <v>15</v>
      </c>
      <c r="AA59" s="2"/>
      <c r="AC59" s="38"/>
      <c r="AE59" s="19">
        <f t="shared" si="0"/>
        <v>132.97297297297297</v>
      </c>
      <c r="AF59" s="31"/>
      <c r="AG59" s="35"/>
    </row>
    <row r="60" spans="1:33" x14ac:dyDescent="0.4">
      <c r="A60" s="41" t="s">
        <v>76</v>
      </c>
      <c r="C60" s="16">
        <v>22</v>
      </c>
      <c r="E60" s="49">
        <f t="shared" si="1"/>
        <v>59.45945945945946</v>
      </c>
      <c r="I60" s="9"/>
      <c r="M60" s="9"/>
      <c r="O60" s="2">
        <v>21</v>
      </c>
      <c r="Q60" s="2"/>
      <c r="S60" s="2"/>
      <c r="U60" s="2"/>
      <c r="W60" s="2"/>
      <c r="Y60" s="2">
        <v>15</v>
      </c>
      <c r="AA60" s="2"/>
      <c r="AC60" s="38"/>
      <c r="AE60" s="19">
        <f t="shared" si="0"/>
        <v>95.459459459459453</v>
      </c>
      <c r="AF60" s="31"/>
      <c r="AG60" s="35"/>
    </row>
    <row r="61" spans="1:33" x14ac:dyDescent="0.4">
      <c r="A61" s="41" t="s">
        <v>77</v>
      </c>
      <c r="C61" s="16">
        <v>25</v>
      </c>
      <c r="E61" s="49">
        <f t="shared" si="1"/>
        <v>67.567567567567565</v>
      </c>
      <c r="I61" s="9"/>
      <c r="M61" s="9"/>
      <c r="O61" s="2">
        <v>24</v>
      </c>
      <c r="Q61" s="2">
        <v>23</v>
      </c>
      <c r="S61" s="2"/>
      <c r="U61" s="2"/>
      <c r="W61" s="2"/>
      <c r="Y61" s="2"/>
      <c r="AA61" s="2"/>
      <c r="AC61" s="38"/>
      <c r="AE61" s="19">
        <f t="shared" si="0"/>
        <v>114.56756756756756</v>
      </c>
      <c r="AF61" s="31"/>
      <c r="AG61" s="35"/>
    </row>
    <row r="62" spans="1:33" x14ac:dyDescent="0.4">
      <c r="A62" s="41" t="s">
        <v>78</v>
      </c>
      <c r="C62" s="16">
        <v>36</v>
      </c>
      <c r="E62" s="49">
        <f t="shared" si="1"/>
        <v>97.297297297297305</v>
      </c>
      <c r="I62" s="9"/>
      <c r="M62" s="9"/>
      <c r="O62" s="2">
        <v>25</v>
      </c>
      <c r="Q62" s="2">
        <v>25</v>
      </c>
      <c r="S62" s="2"/>
      <c r="U62" s="2"/>
      <c r="W62" s="2"/>
      <c r="Y62" s="2">
        <v>15</v>
      </c>
      <c r="AA62" s="2"/>
      <c r="AC62" s="38"/>
      <c r="AE62" s="19">
        <f t="shared" si="0"/>
        <v>162.29729729729729</v>
      </c>
      <c r="AF62" s="31"/>
      <c r="AG62" s="35"/>
    </row>
    <row r="63" spans="1:33" x14ac:dyDescent="0.4">
      <c r="A63" s="41" t="s">
        <v>153</v>
      </c>
      <c r="C63" s="16">
        <v>36</v>
      </c>
      <c r="E63" s="49">
        <f t="shared" si="1"/>
        <v>97.297297297297305</v>
      </c>
      <c r="I63" s="9"/>
      <c r="M63" s="9"/>
      <c r="O63" s="2">
        <v>25</v>
      </c>
      <c r="Q63" s="2">
        <v>25</v>
      </c>
      <c r="S63" s="2"/>
      <c r="U63" s="2"/>
      <c r="W63" s="2"/>
      <c r="Y63" s="2">
        <v>15</v>
      </c>
      <c r="AA63" s="2"/>
      <c r="AC63" s="38"/>
      <c r="AE63" s="19">
        <f t="shared" si="0"/>
        <v>162.29729729729729</v>
      </c>
      <c r="AF63" s="31"/>
      <c r="AG63" s="35"/>
    </row>
    <row r="64" spans="1:33" x14ac:dyDescent="0.4">
      <c r="A64" s="41" t="s">
        <v>154</v>
      </c>
      <c r="C64" s="16">
        <v>43</v>
      </c>
      <c r="E64" s="49">
        <v>100</v>
      </c>
      <c r="I64" s="9"/>
      <c r="M64" s="9"/>
      <c r="O64" s="2">
        <v>25</v>
      </c>
      <c r="Q64" s="2">
        <v>25</v>
      </c>
      <c r="S64" s="2"/>
      <c r="U64" s="2"/>
      <c r="W64" s="2"/>
      <c r="Y64" s="2">
        <v>15</v>
      </c>
      <c r="AA64" s="2"/>
      <c r="AC64" s="38"/>
      <c r="AE64" s="19">
        <f t="shared" si="0"/>
        <v>165</v>
      </c>
      <c r="AF64" s="31"/>
      <c r="AG64" s="35"/>
    </row>
    <row r="65" spans="1:33" x14ac:dyDescent="0.4">
      <c r="A65" s="41" t="s">
        <v>159</v>
      </c>
      <c r="C65" s="16">
        <v>32</v>
      </c>
      <c r="E65" s="49">
        <f t="shared" si="1"/>
        <v>86.486486486486484</v>
      </c>
      <c r="I65" s="9"/>
      <c r="M65" s="9"/>
      <c r="O65" s="2">
        <v>0</v>
      </c>
      <c r="Q65" s="2"/>
      <c r="S65" s="2"/>
      <c r="U65" s="2"/>
      <c r="W65" s="2"/>
      <c r="Y65" s="2"/>
      <c r="AA65" s="2"/>
      <c r="AC65" s="38"/>
      <c r="AE65" s="19">
        <f t="shared" si="0"/>
        <v>86.486486486486484</v>
      </c>
      <c r="AF65" s="31"/>
      <c r="AG65" s="35"/>
    </row>
    <row r="66" spans="1:33" x14ac:dyDescent="0.4">
      <c r="A66" s="41" t="s">
        <v>160</v>
      </c>
      <c r="C66" s="16">
        <v>16</v>
      </c>
      <c r="E66" s="49">
        <f t="shared" si="1"/>
        <v>43.243243243243242</v>
      </c>
      <c r="I66" s="9"/>
      <c r="M66" s="9"/>
      <c r="O66" s="2">
        <v>24</v>
      </c>
      <c r="Q66" s="2">
        <v>25</v>
      </c>
      <c r="S66" s="2"/>
      <c r="U66" s="2"/>
      <c r="W66" s="2"/>
      <c r="Y66" s="2">
        <v>15</v>
      </c>
      <c r="AA66" s="2"/>
      <c r="AC66" s="38"/>
      <c r="AE66" s="19">
        <f t="shared" si="0"/>
        <v>107.24324324324324</v>
      </c>
      <c r="AF66" s="31"/>
      <c r="AG66" s="35"/>
    </row>
    <row r="67" spans="1:33" x14ac:dyDescent="0.4">
      <c r="A67" s="41" t="s">
        <v>161</v>
      </c>
      <c r="C67" s="16">
        <v>27</v>
      </c>
      <c r="E67" s="49">
        <f t="shared" si="1"/>
        <v>72.972972972972968</v>
      </c>
      <c r="I67" s="9"/>
      <c r="M67" s="9"/>
      <c r="O67" s="2">
        <v>19</v>
      </c>
      <c r="Q67" s="2">
        <v>22</v>
      </c>
      <c r="S67" s="2"/>
      <c r="U67" s="2"/>
      <c r="W67" s="2"/>
      <c r="Y67" s="2">
        <v>15</v>
      </c>
      <c r="AA67" s="2"/>
      <c r="AC67" s="38"/>
      <c r="AE67" s="19">
        <f t="shared" si="0"/>
        <v>128.97297297297297</v>
      </c>
      <c r="AF67" s="31"/>
      <c r="AG67" s="35"/>
    </row>
    <row r="68" spans="1:33" x14ac:dyDescent="0.4">
      <c r="A68" s="41" t="s">
        <v>162</v>
      </c>
      <c r="C68" s="16">
        <v>27</v>
      </c>
      <c r="E68" s="49">
        <f t="shared" si="1"/>
        <v>72.972972972972968</v>
      </c>
      <c r="I68" s="9"/>
      <c r="M68" s="9"/>
      <c r="O68" s="2">
        <v>20</v>
      </c>
      <c r="Q68" s="2"/>
      <c r="S68" s="2"/>
      <c r="U68" s="2"/>
      <c r="W68" s="2"/>
      <c r="Y68" s="2">
        <v>15</v>
      </c>
      <c r="AA68" s="2"/>
      <c r="AC68" s="38"/>
      <c r="AE68" s="19">
        <f t="shared" si="0"/>
        <v>107.97297297297297</v>
      </c>
      <c r="AF68" s="31"/>
      <c r="AG68" s="35"/>
    </row>
    <row r="69" spans="1:33" x14ac:dyDescent="0.4">
      <c r="A69" s="41" t="s">
        <v>163</v>
      </c>
      <c r="C69" s="16">
        <v>37</v>
      </c>
      <c r="E69" s="49">
        <f t="shared" si="1"/>
        <v>100</v>
      </c>
      <c r="I69" s="9"/>
      <c r="M69" s="9"/>
      <c r="O69" s="2">
        <v>24</v>
      </c>
      <c r="Q69" s="2"/>
      <c r="S69" s="2"/>
      <c r="U69" s="2"/>
      <c r="W69" s="2"/>
      <c r="Y69" s="2">
        <v>15</v>
      </c>
      <c r="AA69" s="2"/>
      <c r="AC69" s="38"/>
      <c r="AE69" s="19">
        <f t="shared" si="0"/>
        <v>139</v>
      </c>
      <c r="AF69" s="31"/>
      <c r="AG69" s="35"/>
    </row>
    <row r="70" spans="1:33" x14ac:dyDescent="0.4">
      <c r="A70" s="41" t="s">
        <v>164</v>
      </c>
      <c r="C70" s="16">
        <v>39</v>
      </c>
      <c r="E70" s="49">
        <f t="shared" si="1"/>
        <v>105.40540540540539</v>
      </c>
      <c r="I70" s="9"/>
      <c r="M70" s="9"/>
      <c r="O70" s="2">
        <v>25</v>
      </c>
      <c r="Q70" s="2">
        <v>25</v>
      </c>
      <c r="S70" s="2"/>
      <c r="U70" s="2"/>
      <c r="W70" s="2"/>
      <c r="Y70" s="2"/>
      <c r="AA70" s="2"/>
      <c r="AC70" s="38"/>
      <c r="AE70" s="19">
        <f t="shared" si="0"/>
        <v>155.40540540540539</v>
      </c>
      <c r="AF70" s="31"/>
      <c r="AG70" s="35"/>
    </row>
    <row r="71" spans="1:33" x14ac:dyDescent="0.4">
      <c r="A71" s="41" t="s">
        <v>165</v>
      </c>
      <c r="C71" s="16">
        <v>33</v>
      </c>
      <c r="E71" s="49">
        <f t="shared" si="1"/>
        <v>89.189189189189193</v>
      </c>
      <c r="I71" s="9"/>
      <c r="M71" s="9"/>
      <c r="O71" s="2">
        <v>25</v>
      </c>
      <c r="Q71" s="2">
        <v>25</v>
      </c>
      <c r="S71" s="2"/>
      <c r="U71" s="2"/>
      <c r="W71" s="2"/>
      <c r="Y71" s="2"/>
      <c r="AA71" s="2"/>
      <c r="AC71" s="38"/>
      <c r="AE71" s="19">
        <f t="shared" si="0"/>
        <v>139.18918918918919</v>
      </c>
      <c r="AF71" s="31"/>
      <c r="AG71" s="35"/>
    </row>
    <row r="72" spans="1:33" x14ac:dyDescent="0.4">
      <c r="A72" s="41" t="s">
        <v>166</v>
      </c>
      <c r="C72" s="16">
        <v>30</v>
      </c>
      <c r="E72" s="49">
        <f t="shared" si="1"/>
        <v>81.081081081081081</v>
      </c>
      <c r="I72" s="9"/>
      <c r="M72" s="9"/>
      <c r="O72" s="2">
        <v>0</v>
      </c>
      <c r="Q72" s="2"/>
      <c r="S72" s="2"/>
      <c r="U72" s="2"/>
      <c r="W72" s="2"/>
      <c r="Y72" s="2">
        <v>15</v>
      </c>
      <c r="AA72" s="2"/>
      <c r="AC72" s="38"/>
      <c r="AE72" s="19">
        <f t="shared" si="0"/>
        <v>96.081081081081081</v>
      </c>
      <c r="AF72" s="31"/>
      <c r="AG72" s="35"/>
    </row>
    <row r="73" spans="1:33" x14ac:dyDescent="0.4">
      <c r="A73" s="41" t="s">
        <v>167</v>
      </c>
      <c r="C73" s="16">
        <v>18</v>
      </c>
      <c r="E73" s="49">
        <f t="shared" si="1"/>
        <v>48.648648648648653</v>
      </c>
      <c r="I73" s="9"/>
      <c r="M73" s="9"/>
      <c r="O73" s="2">
        <v>25</v>
      </c>
      <c r="Q73" s="2">
        <v>21</v>
      </c>
      <c r="S73" s="2"/>
      <c r="U73" s="2"/>
      <c r="W73" s="2"/>
      <c r="Y73" s="2"/>
      <c r="AA73" s="2"/>
      <c r="AC73" s="38"/>
      <c r="AE73" s="19">
        <f t="shared" si="0"/>
        <v>94.648648648648646</v>
      </c>
      <c r="AF73" s="31"/>
      <c r="AG73" s="35"/>
    </row>
    <row r="74" spans="1:33" x14ac:dyDescent="0.4">
      <c r="A74" s="41" t="s">
        <v>168</v>
      </c>
      <c r="C74" s="16">
        <v>23</v>
      </c>
      <c r="E74" s="49">
        <f t="shared" si="1"/>
        <v>62.162162162162161</v>
      </c>
      <c r="I74" s="9"/>
      <c r="M74" s="9"/>
      <c r="O74" s="2">
        <v>21</v>
      </c>
      <c r="Q74" s="2">
        <v>21</v>
      </c>
      <c r="S74" s="2"/>
      <c r="U74" s="2"/>
      <c r="W74" s="2"/>
      <c r="Y74" s="2">
        <v>15</v>
      </c>
      <c r="AA74" s="2"/>
      <c r="AC74" s="38"/>
      <c r="AE74" s="19">
        <f t="shared" si="0"/>
        <v>119.16216216216216</v>
      </c>
      <c r="AF74" s="31"/>
      <c r="AG74" s="35"/>
    </row>
    <row r="75" spans="1:33" x14ac:dyDescent="0.4">
      <c r="A75" s="41" t="s">
        <v>169</v>
      </c>
      <c r="C75" s="16">
        <v>20</v>
      </c>
      <c r="E75" s="49">
        <f t="shared" si="1"/>
        <v>54.054054054054056</v>
      </c>
      <c r="I75" s="9"/>
      <c r="M75" s="9"/>
      <c r="O75" s="2">
        <v>24</v>
      </c>
      <c r="Q75" s="2">
        <v>24</v>
      </c>
      <c r="S75" s="2"/>
      <c r="U75" s="2"/>
      <c r="W75" s="2"/>
      <c r="Y75" s="2"/>
      <c r="AA75" s="2"/>
      <c r="AC75" s="38"/>
      <c r="AE75" s="19">
        <f t="shared" si="0"/>
        <v>102.05405405405406</v>
      </c>
      <c r="AF75" s="31"/>
      <c r="AG75" s="35"/>
    </row>
    <row r="76" spans="1:33" x14ac:dyDescent="0.4">
      <c r="A76" s="41" t="s">
        <v>170</v>
      </c>
      <c r="C76" s="16">
        <v>25</v>
      </c>
      <c r="E76" s="49">
        <f t="shared" si="1"/>
        <v>67.567567567567565</v>
      </c>
      <c r="I76" s="9"/>
      <c r="M76" s="9"/>
      <c r="O76" s="2">
        <v>25</v>
      </c>
      <c r="Q76" s="2">
        <v>25</v>
      </c>
      <c r="S76" s="2"/>
      <c r="U76" s="2"/>
      <c r="W76" s="2"/>
      <c r="Y76" s="2">
        <v>15</v>
      </c>
      <c r="AA76" s="2"/>
      <c r="AC76" s="38"/>
      <c r="AE76" s="19">
        <f t="shared" si="0"/>
        <v>132.56756756756755</v>
      </c>
      <c r="AF76" s="31"/>
      <c r="AG76" s="35"/>
    </row>
    <row r="77" spans="1:33" x14ac:dyDescent="0.4">
      <c r="C77" s="16" t="s">
        <v>10</v>
      </c>
      <c r="E77" s="49"/>
      <c r="I77" s="9"/>
      <c r="M77" s="9"/>
      <c r="O77" s="2"/>
      <c r="Q77" s="2"/>
      <c r="S77" s="2"/>
      <c r="U77" s="2"/>
      <c r="W77" s="2"/>
      <c r="Y77" s="2"/>
      <c r="Z77" s="27"/>
      <c r="AA77" s="2"/>
      <c r="AC77" s="38"/>
      <c r="AE77" s="19" t="s">
        <v>10</v>
      </c>
      <c r="AF77" s="31" t="s">
        <v>10</v>
      </c>
      <c r="AG77" s="35"/>
    </row>
    <row r="78" spans="1:33" x14ac:dyDescent="0.4">
      <c r="A78" s="40" t="s">
        <v>79</v>
      </c>
      <c r="E78" s="49"/>
      <c r="I78" s="9"/>
      <c r="M78" s="9"/>
      <c r="O78" s="2"/>
      <c r="Q78" s="2"/>
      <c r="S78" s="2"/>
      <c r="U78" s="2"/>
      <c r="W78" s="2"/>
      <c r="Y78" s="2"/>
      <c r="AA78" s="2"/>
      <c r="AC78" s="38"/>
      <c r="AE78" s="19" t="s">
        <v>10</v>
      </c>
      <c r="AF78" s="31"/>
      <c r="AG78" s="35"/>
    </row>
    <row r="79" spans="1:33" x14ac:dyDescent="0.4">
      <c r="E79" s="49"/>
      <c r="I79" s="9"/>
      <c r="M79" s="9"/>
      <c r="O79" s="2"/>
      <c r="Q79" s="2"/>
      <c r="S79" s="2"/>
      <c r="U79" s="2"/>
      <c r="W79" s="2"/>
      <c r="Y79" s="2"/>
      <c r="AA79" s="2"/>
      <c r="AC79" s="38"/>
      <c r="AE79" s="19" t="s">
        <v>10</v>
      </c>
      <c r="AF79" s="31"/>
      <c r="AG79" s="35"/>
    </row>
    <row r="80" spans="1:33" x14ac:dyDescent="0.4">
      <c r="A80" s="41" t="s">
        <v>80</v>
      </c>
      <c r="C80" s="16">
        <v>36</v>
      </c>
      <c r="E80" s="49">
        <f>(C80/39)*100</f>
        <v>92.307692307692307</v>
      </c>
      <c r="I80" s="9"/>
      <c r="M80" s="9"/>
      <c r="O80" s="2">
        <v>19</v>
      </c>
      <c r="Q80" s="2">
        <v>25</v>
      </c>
      <c r="S80" s="2"/>
      <c r="U80" s="2"/>
      <c r="W80" s="2"/>
      <c r="Y80" s="2">
        <v>15</v>
      </c>
      <c r="AA80" s="2"/>
      <c r="AC80" s="38"/>
      <c r="AE80" s="19">
        <f t="shared" si="0"/>
        <v>151.30769230769232</v>
      </c>
      <c r="AF80" s="31"/>
      <c r="AG80" s="35"/>
    </row>
    <row r="81" spans="1:33" x14ac:dyDescent="0.4">
      <c r="A81" s="41" t="s">
        <v>81</v>
      </c>
      <c r="C81" s="16">
        <v>0</v>
      </c>
      <c r="E81" s="49">
        <f>(C81/39)*100</f>
        <v>0</v>
      </c>
      <c r="I81" s="9"/>
      <c r="M81" s="9"/>
      <c r="O81" s="2">
        <v>0</v>
      </c>
      <c r="Q81" s="2">
        <v>0</v>
      </c>
      <c r="S81" s="2"/>
      <c r="U81" s="2"/>
      <c r="W81" s="2"/>
      <c r="Y81" s="2"/>
      <c r="AA81" s="2"/>
      <c r="AC81" s="38"/>
      <c r="AE81" s="19" t="s">
        <v>10</v>
      </c>
      <c r="AF81" s="31"/>
      <c r="AG81" s="35"/>
    </row>
    <row r="82" spans="1:33" x14ac:dyDescent="0.4">
      <c r="A82" s="41" t="s">
        <v>82</v>
      </c>
      <c r="C82" s="16">
        <v>25</v>
      </c>
      <c r="E82" s="49">
        <f t="shared" ref="E82:E113" si="2">(C82/39)*100</f>
        <v>64.102564102564102</v>
      </c>
      <c r="I82" s="9"/>
      <c r="M82" s="9"/>
      <c r="O82" s="2">
        <v>21</v>
      </c>
      <c r="Q82" s="2">
        <v>24</v>
      </c>
      <c r="S82" s="2"/>
      <c r="U82" s="2"/>
      <c r="W82" s="2"/>
      <c r="Y82" s="2">
        <v>15</v>
      </c>
      <c r="AA82" s="2"/>
      <c r="AC82" s="38"/>
      <c r="AE82" s="19">
        <f t="shared" si="0"/>
        <v>124.1025641025641</v>
      </c>
      <c r="AF82" s="31"/>
      <c r="AG82" s="35"/>
    </row>
    <row r="83" spans="1:33" x14ac:dyDescent="0.4">
      <c r="A83" s="41" t="s">
        <v>83</v>
      </c>
      <c r="C83" s="16">
        <v>32</v>
      </c>
      <c r="E83" s="49">
        <f t="shared" si="2"/>
        <v>82.051282051282044</v>
      </c>
      <c r="I83" s="9"/>
      <c r="M83" s="9"/>
      <c r="O83" s="2">
        <v>25</v>
      </c>
      <c r="Q83" s="2">
        <v>23</v>
      </c>
      <c r="S83" s="2"/>
      <c r="U83" s="2"/>
      <c r="W83" s="2"/>
      <c r="Y83" s="2">
        <v>15</v>
      </c>
      <c r="AA83" s="2"/>
      <c r="AC83" s="38"/>
      <c r="AE83" s="19">
        <f t="shared" si="0"/>
        <v>145.05128205128204</v>
      </c>
      <c r="AF83" s="31"/>
      <c r="AG83" s="35"/>
    </row>
    <row r="84" spans="1:33" x14ac:dyDescent="0.4">
      <c r="A84" s="41" t="s">
        <v>84</v>
      </c>
      <c r="C84" s="16">
        <v>26</v>
      </c>
      <c r="E84" s="49">
        <f t="shared" si="2"/>
        <v>66.666666666666657</v>
      </c>
      <c r="I84" s="9"/>
      <c r="M84" s="9"/>
      <c r="O84" s="2">
        <v>24</v>
      </c>
      <c r="Q84" s="2">
        <v>23</v>
      </c>
      <c r="S84" s="2"/>
      <c r="U84" s="2"/>
      <c r="W84" s="2"/>
      <c r="Y84" s="2">
        <v>15</v>
      </c>
      <c r="AA84" s="2"/>
      <c r="AC84" s="38"/>
      <c r="AE84" s="19">
        <f t="shared" si="0"/>
        <v>128.66666666666666</v>
      </c>
      <c r="AF84" s="31"/>
      <c r="AG84" s="35"/>
    </row>
    <row r="85" spans="1:33" x14ac:dyDescent="0.4">
      <c r="A85" s="41" t="s">
        <v>85</v>
      </c>
      <c r="C85" s="16">
        <v>33</v>
      </c>
      <c r="E85" s="49">
        <f t="shared" si="2"/>
        <v>84.615384615384613</v>
      </c>
      <c r="I85" s="9"/>
      <c r="M85" s="9"/>
      <c r="O85" s="2">
        <v>20</v>
      </c>
      <c r="Q85" s="2">
        <v>25</v>
      </c>
      <c r="S85" s="2"/>
      <c r="U85" s="2"/>
      <c r="W85" s="2"/>
      <c r="Y85" s="2">
        <v>15</v>
      </c>
      <c r="AA85" s="2"/>
      <c r="AC85" s="38"/>
      <c r="AE85" s="19">
        <f t="shared" si="0"/>
        <v>144.61538461538461</v>
      </c>
      <c r="AF85" s="31"/>
      <c r="AG85" s="35"/>
    </row>
    <row r="86" spans="1:33" x14ac:dyDescent="0.4">
      <c r="A86" s="41" t="s">
        <v>86</v>
      </c>
      <c r="C86" s="16">
        <v>23</v>
      </c>
      <c r="E86" s="49">
        <f t="shared" si="2"/>
        <v>58.974358974358978</v>
      </c>
      <c r="I86" s="9"/>
      <c r="M86" s="9"/>
      <c r="O86" s="2">
        <v>25</v>
      </c>
      <c r="Q86" s="2">
        <v>25</v>
      </c>
      <c r="S86" s="2"/>
      <c r="U86" s="2"/>
      <c r="W86" s="2"/>
      <c r="Y86" s="2">
        <v>15</v>
      </c>
      <c r="AA86" s="2"/>
      <c r="AC86" s="38"/>
      <c r="AE86" s="19">
        <f t="shared" si="0"/>
        <v>123.97435897435898</v>
      </c>
      <c r="AF86" s="31"/>
      <c r="AG86" s="35"/>
    </row>
    <row r="87" spans="1:33" x14ac:dyDescent="0.4">
      <c r="A87" s="41" t="s">
        <v>87</v>
      </c>
      <c r="C87" s="16">
        <v>36</v>
      </c>
      <c r="E87" s="49">
        <f t="shared" si="2"/>
        <v>92.307692307692307</v>
      </c>
      <c r="I87" s="9"/>
      <c r="M87" s="9"/>
      <c r="O87" s="2">
        <v>25</v>
      </c>
      <c r="Q87" s="2">
        <v>25</v>
      </c>
      <c r="S87" s="2"/>
      <c r="U87" s="2"/>
      <c r="W87" s="2"/>
      <c r="Y87" s="2"/>
      <c r="AA87" s="2"/>
      <c r="AC87" s="38"/>
      <c r="AE87" s="19">
        <f t="shared" si="0"/>
        <v>142.30769230769232</v>
      </c>
      <c r="AF87" s="31"/>
      <c r="AG87" s="35"/>
    </row>
    <row r="88" spans="1:33" x14ac:dyDescent="0.4">
      <c r="A88" s="41" t="s">
        <v>88</v>
      </c>
      <c r="C88" s="16">
        <v>23</v>
      </c>
      <c r="E88" s="49">
        <f t="shared" si="2"/>
        <v>58.974358974358978</v>
      </c>
      <c r="I88" s="9"/>
      <c r="M88" s="9"/>
      <c r="O88" s="2">
        <v>23</v>
      </c>
      <c r="Q88" s="2">
        <v>24</v>
      </c>
      <c r="S88" s="2"/>
      <c r="U88" s="2"/>
      <c r="W88" s="2"/>
      <c r="Y88" s="2">
        <v>15</v>
      </c>
      <c r="AA88" s="2"/>
      <c r="AC88" s="38"/>
      <c r="AE88" s="19">
        <f t="shared" si="0"/>
        <v>120.97435897435898</v>
      </c>
      <c r="AF88" s="31"/>
      <c r="AG88" s="35"/>
    </row>
    <row r="89" spans="1:33" x14ac:dyDescent="0.4">
      <c r="A89" s="41" t="s">
        <v>89</v>
      </c>
      <c r="C89" s="16">
        <v>33</v>
      </c>
      <c r="E89" s="49">
        <f t="shared" si="2"/>
        <v>84.615384615384613</v>
      </c>
      <c r="I89" s="9"/>
      <c r="M89" s="9"/>
      <c r="O89" s="2">
        <v>21</v>
      </c>
      <c r="Q89" s="2">
        <v>25</v>
      </c>
      <c r="S89" s="2"/>
      <c r="U89" s="2"/>
      <c r="W89" s="2"/>
      <c r="Y89" s="2">
        <v>15</v>
      </c>
      <c r="AA89" s="2"/>
      <c r="AC89" s="38"/>
      <c r="AE89" s="19">
        <f t="shared" si="0"/>
        <v>145.61538461538461</v>
      </c>
      <c r="AF89" s="31"/>
      <c r="AG89" s="35"/>
    </row>
    <row r="90" spans="1:33" x14ac:dyDescent="0.4">
      <c r="A90" s="41" t="s">
        <v>90</v>
      </c>
      <c r="C90" s="16">
        <v>43</v>
      </c>
      <c r="E90" s="49">
        <v>100</v>
      </c>
      <c r="I90" s="9"/>
      <c r="M90" s="9"/>
      <c r="O90" s="2">
        <v>22</v>
      </c>
      <c r="Q90" s="2">
        <v>18</v>
      </c>
      <c r="S90" s="2"/>
      <c r="U90" s="2"/>
      <c r="W90" s="2"/>
      <c r="Y90" s="2">
        <v>15</v>
      </c>
      <c r="AA90" s="2"/>
      <c r="AC90" s="38"/>
      <c r="AE90" s="19">
        <f t="shared" si="0"/>
        <v>155</v>
      </c>
      <c r="AF90" s="31"/>
      <c r="AG90" s="35"/>
    </row>
    <row r="91" spans="1:33" x14ac:dyDescent="0.4">
      <c r="A91" s="41" t="s">
        <v>91</v>
      </c>
      <c r="C91" s="16">
        <v>34</v>
      </c>
      <c r="E91" s="49">
        <f t="shared" si="2"/>
        <v>87.179487179487182</v>
      </c>
      <c r="I91" s="9"/>
      <c r="M91" s="9"/>
      <c r="O91" s="2">
        <v>25</v>
      </c>
      <c r="Q91" s="2">
        <v>25</v>
      </c>
      <c r="S91" s="2"/>
      <c r="U91" s="2"/>
      <c r="W91" s="2"/>
      <c r="Y91" s="2"/>
      <c r="AA91" s="2"/>
      <c r="AC91" s="38"/>
      <c r="AE91" s="19">
        <f t="shared" si="0"/>
        <v>137.17948717948718</v>
      </c>
      <c r="AF91" s="31"/>
      <c r="AG91" s="35"/>
    </row>
    <row r="92" spans="1:33" x14ac:dyDescent="0.4">
      <c r="A92" s="41" t="s">
        <v>92</v>
      </c>
      <c r="C92" s="16">
        <v>30</v>
      </c>
      <c r="E92" s="49">
        <f t="shared" si="2"/>
        <v>76.923076923076934</v>
      </c>
      <c r="I92" s="9"/>
      <c r="M92" s="9"/>
      <c r="O92" s="2">
        <v>19</v>
      </c>
      <c r="Q92" s="2">
        <v>16</v>
      </c>
      <c r="S92" s="2"/>
      <c r="U92" s="2"/>
      <c r="W92" s="2"/>
      <c r="Y92" s="2">
        <v>15</v>
      </c>
      <c r="AA92" s="2"/>
      <c r="AC92" s="38"/>
      <c r="AE92" s="19">
        <f t="shared" ref="AE92:AE134" si="3">E92+I92+M92+O92+Q92+S92+U92+W92+Y92+AA92+AJ92</f>
        <v>126.92307692307693</v>
      </c>
      <c r="AF92" s="31"/>
      <c r="AG92" s="35"/>
    </row>
    <row r="93" spans="1:33" x14ac:dyDescent="0.4">
      <c r="A93" s="41" t="s">
        <v>93</v>
      </c>
      <c r="C93" s="16">
        <v>24</v>
      </c>
      <c r="E93" s="49">
        <f t="shared" si="2"/>
        <v>61.53846153846154</v>
      </c>
      <c r="I93" s="9"/>
      <c r="M93" s="9"/>
      <c r="O93" s="2">
        <v>23</v>
      </c>
      <c r="Q93" s="2">
        <v>21</v>
      </c>
      <c r="S93" s="2"/>
      <c r="U93" s="2"/>
      <c r="W93" s="2"/>
      <c r="Y93" s="2">
        <v>15</v>
      </c>
      <c r="AA93" s="2"/>
      <c r="AC93" s="38"/>
      <c r="AE93" s="19">
        <f t="shared" si="3"/>
        <v>120.53846153846155</v>
      </c>
      <c r="AF93" s="31"/>
      <c r="AG93" s="35"/>
    </row>
    <row r="94" spans="1:33" x14ac:dyDescent="0.4">
      <c r="A94" s="41" t="s">
        <v>94</v>
      </c>
      <c r="C94" s="16">
        <v>19</v>
      </c>
      <c r="E94" s="49">
        <f t="shared" si="2"/>
        <v>48.717948717948715</v>
      </c>
      <c r="I94" s="9"/>
      <c r="M94" s="9"/>
      <c r="O94" s="2">
        <v>25</v>
      </c>
      <c r="Q94" s="2">
        <v>25</v>
      </c>
      <c r="S94" s="2"/>
      <c r="U94" s="2"/>
      <c r="W94" s="2"/>
      <c r="Y94" s="2">
        <v>15</v>
      </c>
      <c r="AA94" s="2"/>
      <c r="AC94" s="38"/>
      <c r="AE94" s="19">
        <f t="shared" si="3"/>
        <v>113.71794871794872</v>
      </c>
      <c r="AF94" s="31"/>
      <c r="AG94" s="35"/>
    </row>
    <row r="95" spans="1:33" x14ac:dyDescent="0.4">
      <c r="A95" s="41" t="s">
        <v>95</v>
      </c>
      <c r="C95" s="16">
        <v>22</v>
      </c>
      <c r="E95" s="49">
        <f t="shared" si="2"/>
        <v>56.410256410256409</v>
      </c>
      <c r="I95" s="9"/>
      <c r="M95" s="9"/>
      <c r="O95" s="2">
        <v>23</v>
      </c>
      <c r="Q95" s="2">
        <v>23</v>
      </c>
      <c r="S95" s="2"/>
      <c r="U95" s="2"/>
      <c r="W95" s="2"/>
      <c r="Y95" s="2">
        <v>15</v>
      </c>
      <c r="AA95" s="2"/>
      <c r="AC95" s="38"/>
      <c r="AE95" s="19">
        <f t="shared" si="3"/>
        <v>117.41025641025641</v>
      </c>
      <c r="AF95" s="31"/>
      <c r="AG95" s="35"/>
    </row>
    <row r="96" spans="1:33" s="20" customFormat="1" x14ac:dyDescent="0.4">
      <c r="A96" s="41" t="s">
        <v>96</v>
      </c>
      <c r="B96" s="5"/>
      <c r="C96" s="16">
        <v>35</v>
      </c>
      <c r="D96" s="5"/>
      <c r="E96" s="49">
        <f t="shared" si="2"/>
        <v>89.743589743589752</v>
      </c>
      <c r="F96" s="5"/>
      <c r="G96"/>
      <c r="H96" s="5"/>
      <c r="I96" s="9"/>
      <c r="J96"/>
      <c r="K96"/>
      <c r="L96" s="5"/>
      <c r="M96" s="9"/>
      <c r="N96"/>
      <c r="O96" s="2">
        <v>25</v>
      </c>
      <c r="P96"/>
      <c r="Q96" s="2">
        <v>25</v>
      </c>
      <c r="R96"/>
      <c r="S96" s="2"/>
      <c r="T96"/>
      <c r="U96" s="2"/>
      <c r="V96"/>
      <c r="W96" s="2"/>
      <c r="X96"/>
      <c r="Y96" s="2">
        <v>15</v>
      </c>
      <c r="Z96"/>
      <c r="AA96" s="2"/>
      <c r="AB96"/>
      <c r="AC96" s="38"/>
      <c r="AD96"/>
      <c r="AE96" s="19">
        <f t="shared" si="3"/>
        <v>154.74358974358975</v>
      </c>
      <c r="AF96" s="31"/>
      <c r="AG96" s="35"/>
    </row>
    <row r="97" spans="1:33" x14ac:dyDescent="0.4">
      <c r="A97" s="41" t="s">
        <v>97</v>
      </c>
      <c r="C97" s="16">
        <v>24</v>
      </c>
      <c r="E97" s="49">
        <f t="shared" si="2"/>
        <v>61.53846153846154</v>
      </c>
      <c r="I97" s="9"/>
      <c r="M97" s="9"/>
      <c r="O97" s="2">
        <v>24</v>
      </c>
      <c r="Q97" s="2">
        <v>24</v>
      </c>
      <c r="S97" s="2"/>
      <c r="U97" s="2"/>
      <c r="W97" s="2"/>
      <c r="Y97" s="2">
        <v>15</v>
      </c>
      <c r="AA97" s="2"/>
      <c r="AC97" s="38"/>
      <c r="AE97" s="19">
        <f t="shared" si="3"/>
        <v>124.53846153846155</v>
      </c>
      <c r="AF97" s="31"/>
      <c r="AG97" s="35"/>
    </row>
    <row r="98" spans="1:33" s="20" customFormat="1" x14ac:dyDescent="0.4">
      <c r="A98" s="41" t="s">
        <v>98</v>
      </c>
      <c r="B98" s="5"/>
      <c r="C98" s="16">
        <v>35</v>
      </c>
      <c r="D98" s="5"/>
      <c r="E98" s="49">
        <f t="shared" si="2"/>
        <v>89.743589743589752</v>
      </c>
      <c r="F98" s="5"/>
      <c r="G98"/>
      <c r="H98" s="5"/>
      <c r="I98" s="9"/>
      <c r="J98"/>
      <c r="K98"/>
      <c r="L98" s="5"/>
      <c r="M98" s="9"/>
      <c r="N98"/>
      <c r="O98" s="2">
        <v>18</v>
      </c>
      <c r="P98"/>
      <c r="Q98" s="2">
        <v>19</v>
      </c>
      <c r="R98"/>
      <c r="S98" s="2"/>
      <c r="T98"/>
      <c r="U98" s="2"/>
      <c r="V98"/>
      <c r="W98" s="2"/>
      <c r="X98"/>
      <c r="Y98" s="2">
        <v>15</v>
      </c>
      <c r="Z98"/>
      <c r="AA98" s="2"/>
      <c r="AB98"/>
      <c r="AC98" s="38"/>
      <c r="AD98"/>
      <c r="AE98" s="19">
        <f t="shared" si="3"/>
        <v>141.74358974358975</v>
      </c>
      <c r="AF98" s="31"/>
      <c r="AG98" s="35"/>
    </row>
    <row r="99" spans="1:33" x14ac:dyDescent="0.4">
      <c r="A99" s="41" t="s">
        <v>99</v>
      </c>
      <c r="C99" s="16">
        <v>23</v>
      </c>
      <c r="E99" s="49">
        <f t="shared" si="2"/>
        <v>58.974358974358978</v>
      </c>
      <c r="I99" s="9"/>
      <c r="M99" s="9"/>
      <c r="O99" s="2">
        <v>0</v>
      </c>
      <c r="Q99" s="2">
        <v>0</v>
      </c>
      <c r="S99" s="2"/>
      <c r="U99" s="2"/>
      <c r="W99" s="2">
        <v>0</v>
      </c>
      <c r="Y99" s="2">
        <v>0</v>
      </c>
      <c r="AA99" s="2">
        <v>0</v>
      </c>
      <c r="AC99" s="52" t="s">
        <v>171</v>
      </c>
      <c r="AE99" s="19">
        <f t="shared" si="3"/>
        <v>58.974358974358978</v>
      </c>
      <c r="AF99" s="31"/>
      <c r="AG99" s="35"/>
    </row>
    <row r="100" spans="1:33" x14ac:dyDescent="0.4">
      <c r="A100" s="41" t="s">
        <v>100</v>
      </c>
      <c r="C100" s="16">
        <v>32</v>
      </c>
      <c r="E100" s="49">
        <f t="shared" si="2"/>
        <v>82.051282051282044</v>
      </c>
      <c r="I100" s="9"/>
      <c r="M100" s="9"/>
      <c r="O100" s="2">
        <v>19</v>
      </c>
      <c r="Q100" s="2">
        <v>23</v>
      </c>
      <c r="S100" s="2"/>
      <c r="U100" s="2"/>
      <c r="W100" s="2"/>
      <c r="Y100" s="2">
        <v>15</v>
      </c>
      <c r="AA100" s="2"/>
      <c r="AC100" s="38"/>
      <c r="AE100" s="19">
        <f t="shared" si="3"/>
        <v>139.05128205128204</v>
      </c>
      <c r="AF100" s="31"/>
      <c r="AG100" s="35"/>
    </row>
    <row r="101" spans="1:33" x14ac:dyDescent="0.4">
      <c r="A101" s="41" t="s">
        <v>101</v>
      </c>
      <c r="C101" s="16">
        <v>29</v>
      </c>
      <c r="E101" s="49">
        <f t="shared" si="2"/>
        <v>74.358974358974365</v>
      </c>
      <c r="I101" s="9"/>
      <c r="M101" s="9"/>
      <c r="O101" s="2">
        <v>24</v>
      </c>
      <c r="Q101" s="2">
        <v>22</v>
      </c>
      <c r="S101" s="2"/>
      <c r="U101" s="2"/>
      <c r="W101" s="2"/>
      <c r="Y101" s="2">
        <v>15</v>
      </c>
      <c r="AA101" s="2"/>
      <c r="AC101" s="38"/>
      <c r="AE101" s="19">
        <f t="shared" si="3"/>
        <v>135.35897435897436</v>
      </c>
      <c r="AF101" s="31"/>
      <c r="AG101" s="35"/>
    </row>
    <row r="102" spans="1:33" x14ac:dyDescent="0.4">
      <c r="A102" s="41" t="s">
        <v>102</v>
      </c>
      <c r="C102" s="16">
        <v>28</v>
      </c>
      <c r="E102" s="49">
        <f t="shared" si="2"/>
        <v>71.794871794871796</v>
      </c>
      <c r="I102" s="9"/>
      <c r="M102" s="9"/>
      <c r="O102" s="2">
        <v>20</v>
      </c>
      <c r="Q102" s="2">
        <v>18</v>
      </c>
      <c r="S102" s="2"/>
      <c r="U102" s="2"/>
      <c r="W102" s="2"/>
      <c r="Y102" s="2">
        <v>15</v>
      </c>
      <c r="AA102" s="2"/>
      <c r="AC102" s="38"/>
      <c r="AE102" s="19">
        <f t="shared" si="3"/>
        <v>124.7948717948718</v>
      </c>
      <c r="AF102" s="31"/>
      <c r="AG102" s="35"/>
    </row>
    <row r="103" spans="1:33" x14ac:dyDescent="0.4">
      <c r="A103" s="41" t="s">
        <v>103</v>
      </c>
      <c r="C103" s="16">
        <v>32</v>
      </c>
      <c r="E103" s="49">
        <f t="shared" si="2"/>
        <v>82.051282051282044</v>
      </c>
      <c r="I103" s="9"/>
      <c r="M103" s="9"/>
      <c r="O103" s="2">
        <v>24</v>
      </c>
      <c r="Q103" s="2">
        <v>23</v>
      </c>
      <c r="S103" s="2"/>
      <c r="U103" s="2"/>
      <c r="W103" s="2"/>
      <c r="Y103" s="2"/>
      <c r="AA103" s="2"/>
      <c r="AC103" s="38"/>
      <c r="AE103" s="19">
        <f t="shared" si="3"/>
        <v>129.05128205128204</v>
      </c>
      <c r="AF103" s="31"/>
      <c r="AG103" s="35"/>
    </row>
    <row r="104" spans="1:33" x14ac:dyDescent="0.4">
      <c r="A104" s="41" t="s">
        <v>104</v>
      </c>
      <c r="C104" s="16">
        <v>44</v>
      </c>
      <c r="E104" s="49">
        <v>100</v>
      </c>
      <c r="I104" s="9"/>
      <c r="M104" s="9"/>
      <c r="O104" s="2">
        <v>22</v>
      </c>
      <c r="Q104" s="2">
        <v>25</v>
      </c>
      <c r="S104" s="2"/>
      <c r="U104" s="2"/>
      <c r="W104" s="2"/>
      <c r="Y104" s="2">
        <v>15</v>
      </c>
      <c r="AA104" s="2"/>
      <c r="AC104" s="38"/>
      <c r="AE104" s="19">
        <f t="shared" si="3"/>
        <v>162</v>
      </c>
      <c r="AF104" s="31"/>
      <c r="AG104" s="35"/>
    </row>
    <row r="105" spans="1:33" x14ac:dyDescent="0.4">
      <c r="A105" s="41" t="s">
        <v>105</v>
      </c>
      <c r="C105" s="16">
        <v>29</v>
      </c>
      <c r="E105" s="49">
        <f t="shared" si="2"/>
        <v>74.358974358974365</v>
      </c>
      <c r="I105" s="9"/>
      <c r="M105" s="9"/>
      <c r="O105" s="2">
        <v>25</v>
      </c>
      <c r="Q105" s="2">
        <v>25</v>
      </c>
      <c r="S105" s="2"/>
      <c r="U105" s="2"/>
      <c r="W105" s="2"/>
      <c r="Y105" s="2">
        <v>15</v>
      </c>
      <c r="AA105" s="2"/>
      <c r="AC105" s="38"/>
      <c r="AE105" s="19">
        <f t="shared" si="3"/>
        <v>139.35897435897436</v>
      </c>
      <c r="AF105" s="31"/>
      <c r="AG105" s="35"/>
    </row>
    <row r="106" spans="1:33" x14ac:dyDescent="0.4">
      <c r="A106" s="41" t="s">
        <v>106</v>
      </c>
      <c r="C106" s="16">
        <v>13</v>
      </c>
      <c r="E106" s="49">
        <f t="shared" si="2"/>
        <v>33.333333333333329</v>
      </c>
      <c r="I106" s="9"/>
      <c r="M106" s="9"/>
      <c r="O106" s="2">
        <v>21</v>
      </c>
      <c r="Q106" s="2">
        <v>20</v>
      </c>
      <c r="S106" s="2"/>
      <c r="U106" s="2"/>
      <c r="W106" s="2"/>
      <c r="Y106" s="2">
        <v>15</v>
      </c>
      <c r="AA106" s="2"/>
      <c r="AC106" s="38"/>
      <c r="AE106" s="19">
        <f t="shared" si="3"/>
        <v>89.333333333333329</v>
      </c>
      <c r="AF106" s="31"/>
      <c r="AG106" s="35"/>
    </row>
    <row r="107" spans="1:33" x14ac:dyDescent="0.4">
      <c r="A107" s="41" t="s">
        <v>107</v>
      </c>
      <c r="C107" s="16">
        <v>26</v>
      </c>
      <c r="E107" s="49">
        <f t="shared" si="2"/>
        <v>66.666666666666657</v>
      </c>
      <c r="I107" s="9"/>
      <c r="M107" s="9"/>
      <c r="O107" s="2">
        <v>24</v>
      </c>
      <c r="Q107" s="2">
        <v>25</v>
      </c>
      <c r="S107" s="2"/>
      <c r="U107" s="2"/>
      <c r="W107" s="2"/>
      <c r="Y107" s="2">
        <v>15</v>
      </c>
      <c r="AA107" s="2"/>
      <c r="AC107" s="38"/>
      <c r="AE107" s="19">
        <f t="shared" si="3"/>
        <v>130.66666666666666</v>
      </c>
      <c r="AF107" s="31"/>
      <c r="AG107" s="35"/>
    </row>
    <row r="108" spans="1:33" x14ac:dyDescent="0.4">
      <c r="A108" s="41" t="s">
        <v>108</v>
      </c>
      <c r="C108" s="16">
        <v>27</v>
      </c>
      <c r="E108" s="49">
        <f t="shared" si="2"/>
        <v>69.230769230769226</v>
      </c>
      <c r="I108" s="9"/>
      <c r="M108" s="9"/>
      <c r="O108" s="2">
        <v>23</v>
      </c>
      <c r="Q108" s="2"/>
      <c r="S108" s="2"/>
      <c r="U108" s="2"/>
      <c r="W108" s="2"/>
      <c r="Y108" s="2"/>
      <c r="AA108" s="2"/>
      <c r="AC108" s="38"/>
      <c r="AE108" s="19">
        <f t="shared" si="3"/>
        <v>92.230769230769226</v>
      </c>
      <c r="AF108" s="31"/>
      <c r="AG108" s="35"/>
    </row>
    <row r="109" spans="1:33" x14ac:dyDescent="0.4">
      <c r="A109" s="41" t="s">
        <v>109</v>
      </c>
      <c r="C109" s="16">
        <v>36</v>
      </c>
      <c r="E109" s="49">
        <f t="shared" si="2"/>
        <v>92.307692307692307</v>
      </c>
      <c r="I109" s="9"/>
      <c r="M109" s="9"/>
      <c r="O109" s="2">
        <v>25</v>
      </c>
      <c r="Q109" s="2">
        <v>25</v>
      </c>
      <c r="S109" s="2"/>
      <c r="U109" s="2"/>
      <c r="W109" s="2"/>
      <c r="Y109" s="2">
        <v>15</v>
      </c>
      <c r="AA109" s="2"/>
      <c r="AC109" s="38"/>
      <c r="AE109" s="19">
        <f t="shared" si="3"/>
        <v>157.30769230769232</v>
      </c>
      <c r="AF109" s="31"/>
      <c r="AG109" s="35"/>
    </row>
    <row r="110" spans="1:33" x14ac:dyDescent="0.4">
      <c r="A110" s="41" t="s">
        <v>110</v>
      </c>
      <c r="C110" s="16">
        <v>37</v>
      </c>
      <c r="E110" s="49">
        <f t="shared" si="2"/>
        <v>94.871794871794862</v>
      </c>
      <c r="I110" s="9"/>
      <c r="M110" s="9"/>
      <c r="O110" s="2">
        <v>25</v>
      </c>
      <c r="Q110" s="2">
        <v>25</v>
      </c>
      <c r="S110" s="2"/>
      <c r="U110" s="2"/>
      <c r="W110" s="2"/>
      <c r="Y110" s="2">
        <v>15</v>
      </c>
      <c r="AA110" s="2"/>
      <c r="AC110" s="38"/>
      <c r="AE110" s="19">
        <f t="shared" si="3"/>
        <v>159.87179487179486</v>
      </c>
      <c r="AF110" s="31"/>
      <c r="AG110" s="35"/>
    </row>
    <row r="111" spans="1:33" x14ac:dyDescent="0.4">
      <c r="A111" s="41" t="s">
        <v>111</v>
      </c>
      <c r="C111" s="16" t="s">
        <v>172</v>
      </c>
      <c r="E111" s="49" t="s">
        <v>10</v>
      </c>
      <c r="I111" s="9"/>
      <c r="M111" s="9"/>
      <c r="O111" s="2">
        <v>21</v>
      </c>
      <c r="Q111" s="2"/>
      <c r="S111" s="2"/>
      <c r="U111" s="2"/>
      <c r="W111" s="2"/>
      <c r="Y111" s="2"/>
      <c r="AA111" s="2"/>
      <c r="AC111" s="38"/>
      <c r="AE111" s="19" t="s">
        <v>10</v>
      </c>
      <c r="AF111" s="31"/>
      <c r="AG111" s="35"/>
    </row>
    <row r="112" spans="1:33" x14ac:dyDescent="0.4">
      <c r="A112" s="41" t="s">
        <v>112</v>
      </c>
      <c r="C112" s="16">
        <v>39</v>
      </c>
      <c r="E112" s="49">
        <f t="shared" si="2"/>
        <v>100</v>
      </c>
      <c r="I112" s="9"/>
      <c r="M112" s="9"/>
      <c r="O112" s="2">
        <v>21</v>
      </c>
      <c r="Q112" s="2">
        <v>23</v>
      </c>
      <c r="S112" s="2"/>
      <c r="U112" s="2"/>
      <c r="W112" s="2"/>
      <c r="Y112" s="2">
        <v>15</v>
      </c>
      <c r="AA112" s="2"/>
      <c r="AC112" s="38"/>
      <c r="AE112" s="19">
        <f t="shared" si="3"/>
        <v>159</v>
      </c>
      <c r="AF112" s="31"/>
      <c r="AG112" s="35"/>
    </row>
    <row r="113" spans="1:33" x14ac:dyDescent="0.4">
      <c r="A113" s="41" t="s">
        <v>113</v>
      </c>
      <c r="C113" s="16">
        <v>31</v>
      </c>
      <c r="E113" s="49">
        <f t="shared" si="2"/>
        <v>79.487179487179489</v>
      </c>
      <c r="I113" s="9"/>
      <c r="M113" s="9"/>
      <c r="O113" s="2">
        <v>20</v>
      </c>
      <c r="Q113" s="2">
        <v>14</v>
      </c>
      <c r="S113" s="2"/>
      <c r="U113" s="2"/>
      <c r="W113" s="2"/>
      <c r="Y113" s="2">
        <v>15</v>
      </c>
      <c r="AA113" s="2"/>
      <c r="AC113" s="38"/>
      <c r="AE113" s="19">
        <f t="shared" si="3"/>
        <v>128.4871794871795</v>
      </c>
      <c r="AF113" s="31"/>
      <c r="AG113" s="35"/>
    </row>
    <row r="114" spans="1:33" x14ac:dyDescent="0.4">
      <c r="E114" s="49"/>
      <c r="I114" s="9"/>
      <c r="M114" s="9"/>
      <c r="O114" s="2"/>
      <c r="Q114" s="2"/>
      <c r="S114" s="2"/>
      <c r="U114" s="2"/>
      <c r="W114" s="2"/>
      <c r="Y114" s="2"/>
      <c r="AA114" s="2"/>
      <c r="AC114" s="38"/>
      <c r="AE114" s="19" t="s">
        <v>10</v>
      </c>
      <c r="AF114" s="31"/>
      <c r="AG114" s="35"/>
    </row>
    <row r="115" spans="1:33" x14ac:dyDescent="0.4">
      <c r="A115" s="40" t="s">
        <v>114</v>
      </c>
      <c r="E115" s="49"/>
      <c r="I115" s="9"/>
      <c r="M115" s="9"/>
      <c r="O115" s="2"/>
      <c r="Q115" s="2"/>
      <c r="S115" s="2"/>
      <c r="U115" s="2"/>
      <c r="W115" s="2"/>
      <c r="Y115" s="2"/>
      <c r="AA115" s="2"/>
      <c r="AC115" s="38"/>
      <c r="AE115" s="19" t="s">
        <v>10</v>
      </c>
      <c r="AF115" s="31"/>
      <c r="AG115" s="35"/>
    </row>
    <row r="116" spans="1:33" x14ac:dyDescent="0.4">
      <c r="E116" s="49"/>
      <c r="I116" s="9"/>
      <c r="M116" s="9"/>
      <c r="O116" s="2"/>
      <c r="Q116" s="2"/>
      <c r="S116" s="2"/>
      <c r="U116" s="2"/>
      <c r="W116" s="2"/>
      <c r="Y116" s="2"/>
      <c r="AA116" s="2"/>
      <c r="AC116" s="38"/>
      <c r="AE116" s="19" t="s">
        <v>10</v>
      </c>
      <c r="AF116" s="31"/>
      <c r="AG116" s="35"/>
    </row>
    <row r="117" spans="1:33" x14ac:dyDescent="0.4">
      <c r="A117" s="41" t="s">
        <v>115</v>
      </c>
      <c r="C117" s="16">
        <v>29</v>
      </c>
      <c r="E117" s="49">
        <f t="shared" ref="E117:E151" si="4">(C117/39)*100</f>
        <v>74.358974358974365</v>
      </c>
      <c r="I117" s="9"/>
      <c r="M117" s="9"/>
      <c r="O117" s="2">
        <v>21</v>
      </c>
      <c r="Q117" s="2">
        <v>22</v>
      </c>
      <c r="S117" s="2"/>
      <c r="U117" s="2"/>
      <c r="W117" s="2"/>
      <c r="Y117" s="2">
        <v>15</v>
      </c>
      <c r="AA117" s="2"/>
      <c r="AC117" s="38"/>
      <c r="AE117" s="19">
        <f t="shared" si="3"/>
        <v>132.35897435897436</v>
      </c>
      <c r="AF117" s="31"/>
      <c r="AG117" s="35"/>
    </row>
    <row r="118" spans="1:33" x14ac:dyDescent="0.4">
      <c r="A118" s="41" t="s">
        <v>116</v>
      </c>
      <c r="C118" s="16">
        <v>32</v>
      </c>
      <c r="E118" s="49">
        <f t="shared" si="4"/>
        <v>82.051282051282044</v>
      </c>
      <c r="I118" s="9"/>
      <c r="M118" s="9"/>
      <c r="O118" s="2">
        <v>21</v>
      </c>
      <c r="Q118" s="2">
        <v>16</v>
      </c>
      <c r="S118" s="2"/>
      <c r="U118" s="2"/>
      <c r="W118" s="2"/>
      <c r="Y118" s="2">
        <v>15</v>
      </c>
      <c r="AA118" s="2"/>
      <c r="AC118" s="38"/>
      <c r="AE118" s="19">
        <f t="shared" si="3"/>
        <v>134.05128205128204</v>
      </c>
      <c r="AF118" s="31"/>
      <c r="AG118" s="35"/>
    </row>
    <row r="119" spans="1:33" x14ac:dyDescent="0.4">
      <c r="A119" s="41" t="s">
        <v>117</v>
      </c>
      <c r="C119" s="16">
        <v>21</v>
      </c>
      <c r="E119" s="49">
        <f t="shared" si="4"/>
        <v>53.846153846153847</v>
      </c>
      <c r="I119" s="9"/>
      <c r="M119" s="9"/>
      <c r="O119" s="2">
        <v>18</v>
      </c>
      <c r="Q119" s="2">
        <v>22</v>
      </c>
      <c r="S119" s="2"/>
      <c r="U119" s="2"/>
      <c r="W119" s="2"/>
      <c r="Y119" s="2"/>
      <c r="AA119" s="2"/>
      <c r="AC119" s="38"/>
      <c r="AE119" s="19">
        <f t="shared" si="3"/>
        <v>93.84615384615384</v>
      </c>
      <c r="AF119" s="31"/>
      <c r="AG119" s="35"/>
    </row>
    <row r="120" spans="1:33" x14ac:dyDescent="0.4">
      <c r="A120" s="41" t="s">
        <v>118</v>
      </c>
      <c r="C120" s="16">
        <v>40</v>
      </c>
      <c r="E120" s="49">
        <v>100</v>
      </c>
      <c r="I120" s="9"/>
      <c r="M120" s="9"/>
      <c r="O120" s="2">
        <v>23</v>
      </c>
      <c r="Q120" s="2">
        <v>25</v>
      </c>
      <c r="S120" s="2"/>
      <c r="U120" s="2"/>
      <c r="W120" s="2"/>
      <c r="Y120" s="2"/>
      <c r="AA120" s="2"/>
      <c r="AC120" s="38"/>
      <c r="AE120" s="19">
        <f t="shared" si="3"/>
        <v>148</v>
      </c>
      <c r="AF120" s="31"/>
      <c r="AG120" s="35"/>
    </row>
    <row r="121" spans="1:33" x14ac:dyDescent="0.4">
      <c r="A121" s="41" t="s">
        <v>119</v>
      </c>
      <c r="C121" s="16">
        <v>32</v>
      </c>
      <c r="E121" s="49">
        <f t="shared" si="4"/>
        <v>82.051282051282044</v>
      </c>
      <c r="I121" s="9"/>
      <c r="M121" s="9"/>
      <c r="O121" s="2">
        <v>18</v>
      </c>
      <c r="Q121" s="2">
        <v>17</v>
      </c>
      <c r="S121" s="2"/>
      <c r="U121" s="2"/>
      <c r="W121" s="2"/>
      <c r="Y121" s="2">
        <v>15</v>
      </c>
      <c r="AA121" s="2"/>
      <c r="AC121" s="38"/>
      <c r="AE121" s="19">
        <f t="shared" si="3"/>
        <v>132.05128205128204</v>
      </c>
      <c r="AF121" s="31"/>
      <c r="AG121" s="35"/>
    </row>
    <row r="122" spans="1:33" x14ac:dyDescent="0.4">
      <c r="A122" s="41" t="s">
        <v>120</v>
      </c>
      <c r="C122" s="16">
        <v>34</v>
      </c>
      <c r="E122" s="49">
        <f t="shared" si="4"/>
        <v>87.179487179487182</v>
      </c>
      <c r="I122" s="9"/>
      <c r="M122" s="9"/>
      <c r="O122" s="2">
        <v>19</v>
      </c>
      <c r="Q122" s="2">
        <v>21</v>
      </c>
      <c r="S122" s="2"/>
      <c r="U122" s="2"/>
      <c r="W122" s="2"/>
      <c r="Y122" s="2"/>
      <c r="AA122" s="2"/>
      <c r="AC122" s="38"/>
      <c r="AE122" s="19">
        <f t="shared" si="3"/>
        <v>127.17948717948718</v>
      </c>
      <c r="AF122" s="31"/>
      <c r="AG122" s="35"/>
    </row>
    <row r="123" spans="1:33" x14ac:dyDescent="0.4">
      <c r="A123" s="41" t="s">
        <v>121</v>
      </c>
      <c r="C123" s="16">
        <v>40</v>
      </c>
      <c r="E123" s="49">
        <v>100</v>
      </c>
      <c r="I123" s="9"/>
      <c r="M123" s="9"/>
      <c r="O123" s="2">
        <v>25</v>
      </c>
      <c r="Q123" s="2">
        <v>25</v>
      </c>
      <c r="S123" s="2"/>
      <c r="U123" s="2"/>
      <c r="W123" s="2"/>
      <c r="Y123" s="2">
        <v>15</v>
      </c>
      <c r="AA123" s="2"/>
      <c r="AC123" s="38"/>
      <c r="AE123" s="19">
        <f t="shared" si="3"/>
        <v>165</v>
      </c>
      <c r="AF123" s="31"/>
      <c r="AG123" s="35"/>
    </row>
    <row r="124" spans="1:33" x14ac:dyDescent="0.4">
      <c r="A124" s="41" t="s">
        <v>122</v>
      </c>
      <c r="C124" s="16">
        <v>42</v>
      </c>
      <c r="E124" s="49">
        <v>100</v>
      </c>
      <c r="I124" s="9"/>
      <c r="M124" s="9"/>
      <c r="O124" s="2">
        <v>0</v>
      </c>
      <c r="Q124" s="2">
        <v>23</v>
      </c>
      <c r="S124" s="2"/>
      <c r="U124" s="2"/>
      <c r="W124" s="2"/>
      <c r="Y124" s="2">
        <v>15</v>
      </c>
      <c r="AA124" s="2"/>
      <c r="AC124" s="38"/>
      <c r="AE124" s="19">
        <f t="shared" si="3"/>
        <v>138</v>
      </c>
      <c r="AF124" s="31"/>
      <c r="AG124" s="35"/>
    </row>
    <row r="125" spans="1:33" x14ac:dyDescent="0.4">
      <c r="A125" s="41" t="s">
        <v>123</v>
      </c>
      <c r="C125" s="16">
        <v>22</v>
      </c>
      <c r="E125" s="49">
        <f t="shared" si="4"/>
        <v>56.410256410256409</v>
      </c>
      <c r="I125" s="9"/>
      <c r="M125" s="9"/>
      <c r="O125" s="2">
        <v>23</v>
      </c>
      <c r="Q125" s="2">
        <v>24</v>
      </c>
      <c r="S125" s="2"/>
      <c r="U125" s="2"/>
      <c r="W125" s="2"/>
      <c r="Y125" s="2">
        <v>15</v>
      </c>
      <c r="AA125" s="2"/>
      <c r="AC125" s="38"/>
      <c r="AE125" s="19">
        <f t="shared" si="3"/>
        <v>118.41025641025641</v>
      </c>
      <c r="AF125" s="31"/>
      <c r="AG125" s="35"/>
    </row>
    <row r="126" spans="1:33" x14ac:dyDescent="0.4">
      <c r="A126" s="41" t="s">
        <v>124</v>
      </c>
      <c r="C126" s="16">
        <v>32</v>
      </c>
      <c r="E126" s="49">
        <f t="shared" si="4"/>
        <v>82.051282051282044</v>
      </c>
      <c r="I126" s="9"/>
      <c r="M126" s="9"/>
      <c r="O126" s="2">
        <v>23</v>
      </c>
      <c r="Q126" s="2">
        <v>24</v>
      </c>
      <c r="S126" s="2"/>
      <c r="U126" s="2"/>
      <c r="W126" s="2"/>
      <c r="Y126" s="2"/>
      <c r="AA126" s="2"/>
      <c r="AC126" s="38"/>
      <c r="AE126" s="19">
        <f t="shared" si="3"/>
        <v>129.05128205128204</v>
      </c>
      <c r="AF126" s="31"/>
      <c r="AG126" s="35"/>
    </row>
    <row r="127" spans="1:33" x14ac:dyDescent="0.4">
      <c r="A127" s="41" t="s">
        <v>125</v>
      </c>
      <c r="C127" s="16">
        <v>30</v>
      </c>
      <c r="E127" s="49">
        <f t="shared" si="4"/>
        <v>76.923076923076934</v>
      </c>
      <c r="I127" s="9"/>
      <c r="M127" s="9"/>
      <c r="O127" s="2">
        <v>19</v>
      </c>
      <c r="Q127" s="2">
        <v>23</v>
      </c>
      <c r="S127" s="2"/>
      <c r="U127" s="2"/>
      <c r="W127" s="2"/>
      <c r="Y127" s="2"/>
      <c r="AA127" s="2"/>
      <c r="AC127" s="38"/>
      <c r="AE127" s="19">
        <f t="shared" si="3"/>
        <v>118.92307692307693</v>
      </c>
      <c r="AF127" s="31"/>
      <c r="AG127" s="35"/>
    </row>
    <row r="128" spans="1:33" x14ac:dyDescent="0.4">
      <c r="A128" s="41" t="s">
        <v>126</v>
      </c>
      <c r="C128" s="16">
        <v>37</v>
      </c>
      <c r="E128" s="49">
        <f t="shared" si="4"/>
        <v>94.871794871794862</v>
      </c>
      <c r="I128" s="9"/>
      <c r="M128" s="9"/>
      <c r="O128" s="2">
        <v>0</v>
      </c>
      <c r="Q128" s="2">
        <v>21</v>
      </c>
      <c r="S128" s="2"/>
      <c r="U128" s="2"/>
      <c r="W128" s="2"/>
      <c r="Y128" s="2">
        <v>15</v>
      </c>
      <c r="AA128" s="2"/>
      <c r="AC128" s="38"/>
      <c r="AE128" s="19">
        <f t="shared" si="3"/>
        <v>130.87179487179486</v>
      </c>
      <c r="AF128" s="31"/>
      <c r="AG128" s="35"/>
    </row>
    <row r="129" spans="1:33" x14ac:dyDescent="0.4">
      <c r="A129" s="41" t="s">
        <v>127</v>
      </c>
      <c r="C129" s="16">
        <v>31</v>
      </c>
      <c r="E129" s="49">
        <f t="shared" si="4"/>
        <v>79.487179487179489</v>
      </c>
      <c r="I129" s="9"/>
      <c r="M129" s="9"/>
      <c r="O129" s="2">
        <v>24</v>
      </c>
      <c r="Q129" s="2">
        <v>24</v>
      </c>
      <c r="S129" s="2"/>
      <c r="U129" s="2"/>
      <c r="W129" s="2"/>
      <c r="Y129" s="2"/>
      <c r="AA129" s="2"/>
      <c r="AC129" s="38"/>
      <c r="AE129" s="19">
        <f t="shared" si="3"/>
        <v>127.48717948717949</v>
      </c>
      <c r="AF129" s="31"/>
      <c r="AG129" s="35"/>
    </row>
    <row r="130" spans="1:33" x14ac:dyDescent="0.4">
      <c r="A130" s="41" t="s">
        <v>128</v>
      </c>
      <c r="C130" s="16">
        <v>31</v>
      </c>
      <c r="E130" s="49">
        <f t="shared" si="4"/>
        <v>79.487179487179489</v>
      </c>
      <c r="I130" s="9"/>
      <c r="M130" s="9"/>
      <c r="O130" s="2">
        <v>23</v>
      </c>
      <c r="Q130" s="2">
        <v>25</v>
      </c>
      <c r="S130" s="2"/>
      <c r="U130" s="2"/>
      <c r="W130" s="2"/>
      <c r="Y130" s="2"/>
      <c r="AA130" s="2"/>
      <c r="AC130" s="38"/>
      <c r="AE130" s="19">
        <f t="shared" si="3"/>
        <v>127.48717948717949</v>
      </c>
      <c r="AF130" s="31"/>
      <c r="AG130" s="35"/>
    </row>
    <row r="131" spans="1:33" x14ac:dyDescent="0.4">
      <c r="A131" s="41" t="s">
        <v>129</v>
      </c>
      <c r="C131" s="16">
        <v>26</v>
      </c>
      <c r="E131" s="49">
        <f t="shared" si="4"/>
        <v>66.666666666666657</v>
      </c>
      <c r="I131" s="9"/>
      <c r="M131" s="9"/>
      <c r="O131" s="2">
        <v>25</v>
      </c>
      <c r="Q131" s="2">
        <v>25</v>
      </c>
      <c r="S131" s="2"/>
      <c r="U131" s="2"/>
      <c r="W131" s="2"/>
      <c r="Y131" s="2">
        <v>15</v>
      </c>
      <c r="AA131" s="2"/>
      <c r="AC131" s="38"/>
      <c r="AE131" s="19">
        <f t="shared" si="3"/>
        <v>131.66666666666666</v>
      </c>
      <c r="AF131" s="31"/>
      <c r="AG131" s="35"/>
    </row>
    <row r="132" spans="1:33" x14ac:dyDescent="0.4">
      <c r="A132" s="41" t="s">
        <v>130</v>
      </c>
      <c r="C132" s="16">
        <v>29</v>
      </c>
      <c r="E132" s="49">
        <f t="shared" si="4"/>
        <v>74.358974358974365</v>
      </c>
      <c r="I132" s="9"/>
      <c r="M132" s="9"/>
      <c r="O132" s="2">
        <v>0</v>
      </c>
      <c r="Q132" s="2">
        <v>25</v>
      </c>
      <c r="S132" s="2"/>
      <c r="U132" s="2"/>
      <c r="W132" s="2"/>
      <c r="Y132" s="2"/>
      <c r="AA132" s="2"/>
      <c r="AC132" s="38"/>
      <c r="AE132" s="19">
        <f t="shared" si="3"/>
        <v>99.358974358974365</v>
      </c>
      <c r="AF132" s="31"/>
      <c r="AG132" s="35"/>
    </row>
    <row r="133" spans="1:33" x14ac:dyDescent="0.4">
      <c r="A133" s="41" t="s">
        <v>131</v>
      </c>
      <c r="C133" s="16">
        <v>33</v>
      </c>
      <c r="E133" s="49">
        <f t="shared" si="4"/>
        <v>84.615384615384613</v>
      </c>
      <c r="I133" s="9"/>
      <c r="M133" s="9"/>
      <c r="O133" s="2">
        <v>25</v>
      </c>
      <c r="Q133" s="2">
        <v>22</v>
      </c>
      <c r="S133" s="2"/>
      <c r="U133" s="2"/>
      <c r="W133" s="2"/>
      <c r="Y133" s="2">
        <v>15</v>
      </c>
      <c r="AA133" s="2"/>
      <c r="AC133" s="38"/>
      <c r="AE133" s="19">
        <f t="shared" si="3"/>
        <v>146.61538461538461</v>
      </c>
      <c r="AF133" s="31"/>
      <c r="AG133" s="35"/>
    </row>
    <row r="134" spans="1:33" x14ac:dyDescent="0.4">
      <c r="A134" s="41" t="s">
        <v>132</v>
      </c>
      <c r="C134" s="16">
        <v>28</v>
      </c>
      <c r="E134" s="49">
        <f t="shared" si="4"/>
        <v>71.794871794871796</v>
      </c>
      <c r="I134" s="9"/>
      <c r="M134" s="9"/>
      <c r="O134" s="2">
        <v>25</v>
      </c>
      <c r="Q134" s="2">
        <v>23</v>
      </c>
      <c r="S134" s="2"/>
      <c r="U134" s="2"/>
      <c r="W134" s="2"/>
      <c r="Y134" s="2">
        <v>15</v>
      </c>
      <c r="AA134" s="2"/>
      <c r="AC134" s="38"/>
      <c r="AE134" s="19">
        <f t="shared" si="3"/>
        <v>134.7948717948718</v>
      </c>
      <c r="AF134" s="31"/>
      <c r="AG134" s="35"/>
    </row>
    <row r="135" spans="1:33" x14ac:dyDescent="0.4">
      <c r="A135" s="41" t="s">
        <v>133</v>
      </c>
      <c r="C135" s="16">
        <v>33</v>
      </c>
      <c r="E135" s="49">
        <f t="shared" si="4"/>
        <v>84.615384615384613</v>
      </c>
      <c r="I135" s="9"/>
      <c r="M135" s="9"/>
      <c r="O135" s="2">
        <v>19</v>
      </c>
      <c r="Q135" s="2">
        <v>25</v>
      </c>
      <c r="S135" s="2"/>
      <c r="U135" s="2"/>
      <c r="W135" s="2"/>
      <c r="Y135" s="2"/>
      <c r="AA135" s="2"/>
      <c r="AC135" s="38"/>
      <c r="AE135" s="19">
        <f>E135+I135+M135+O135+Q135+S135+U135+W135+Y135+AA135+AJ135</f>
        <v>128.61538461538461</v>
      </c>
      <c r="AF135" s="31"/>
      <c r="AG135" s="35"/>
    </row>
    <row r="136" spans="1:33" x14ac:dyDescent="0.4">
      <c r="A136" s="41" t="s">
        <v>134</v>
      </c>
      <c r="C136" s="16">
        <v>13</v>
      </c>
      <c r="E136" s="49">
        <f t="shared" si="4"/>
        <v>33.333333333333329</v>
      </c>
      <c r="I136" s="9"/>
      <c r="M136" s="9"/>
      <c r="O136" s="2">
        <v>24</v>
      </c>
      <c r="Q136" s="2">
        <v>24</v>
      </c>
      <c r="S136" s="2"/>
      <c r="U136" s="2"/>
      <c r="W136" s="2"/>
      <c r="Y136" s="2"/>
      <c r="AA136" s="2"/>
      <c r="AC136" s="38"/>
      <c r="AE136" s="19">
        <f t="shared" ref="AE136:AE152" si="5">E136+I136+M136+O136+Q136+S136+U136+W136+Y136+AA136+AJ136</f>
        <v>81.333333333333329</v>
      </c>
      <c r="AF136" s="31"/>
      <c r="AG136" s="35"/>
    </row>
    <row r="137" spans="1:33" x14ac:dyDescent="0.4">
      <c r="A137" s="41" t="s">
        <v>135</v>
      </c>
      <c r="C137" s="16">
        <v>29</v>
      </c>
      <c r="E137" s="49">
        <f t="shared" si="4"/>
        <v>74.358974358974365</v>
      </c>
      <c r="I137" s="9"/>
      <c r="M137" s="9"/>
      <c r="O137" s="2">
        <v>21</v>
      </c>
      <c r="Q137" s="2">
        <v>0</v>
      </c>
      <c r="S137" s="2"/>
      <c r="U137" s="2"/>
      <c r="W137" s="2"/>
      <c r="Y137" s="2"/>
      <c r="AA137" s="2"/>
      <c r="AC137" s="38"/>
      <c r="AE137" s="19">
        <f t="shared" si="5"/>
        <v>95.358974358974365</v>
      </c>
      <c r="AF137" s="31"/>
      <c r="AG137" s="35"/>
    </row>
    <row r="138" spans="1:33" x14ac:dyDescent="0.4">
      <c r="A138" s="41" t="s">
        <v>136</v>
      </c>
      <c r="C138" s="16">
        <v>28</v>
      </c>
      <c r="E138" s="49">
        <f t="shared" si="4"/>
        <v>71.794871794871796</v>
      </c>
      <c r="I138" s="9"/>
      <c r="M138" s="9"/>
      <c r="O138" s="2">
        <v>25</v>
      </c>
      <c r="Q138" s="2">
        <v>25</v>
      </c>
      <c r="S138" s="2"/>
      <c r="U138" s="2"/>
      <c r="W138" s="2"/>
      <c r="Y138" s="2"/>
      <c r="AA138" s="2"/>
      <c r="AC138" s="38"/>
      <c r="AE138" s="19">
        <f t="shared" si="5"/>
        <v>121.7948717948718</v>
      </c>
      <c r="AF138" s="31"/>
      <c r="AG138" s="35"/>
    </row>
    <row r="139" spans="1:33" x14ac:dyDescent="0.4">
      <c r="A139" s="41" t="s">
        <v>137</v>
      </c>
      <c r="C139" s="16">
        <v>32</v>
      </c>
      <c r="E139" s="49">
        <f t="shared" si="4"/>
        <v>82.051282051282044</v>
      </c>
      <c r="I139" s="9"/>
      <c r="M139" s="9"/>
      <c r="O139" s="2">
        <v>25</v>
      </c>
      <c r="Q139" s="2">
        <v>25</v>
      </c>
      <c r="S139" s="2"/>
      <c r="U139" s="2"/>
      <c r="W139" s="2">
        <v>25</v>
      </c>
      <c r="Y139" s="2"/>
      <c r="AA139" s="2"/>
      <c r="AC139" s="38"/>
      <c r="AE139" s="19">
        <f t="shared" si="5"/>
        <v>157.05128205128204</v>
      </c>
      <c r="AF139" s="31"/>
      <c r="AG139" s="35"/>
    </row>
    <row r="140" spans="1:33" x14ac:dyDescent="0.4">
      <c r="A140" s="41" t="s">
        <v>138</v>
      </c>
      <c r="C140" s="16">
        <v>33</v>
      </c>
      <c r="E140" s="49">
        <f t="shared" si="4"/>
        <v>84.615384615384613</v>
      </c>
      <c r="I140" s="9"/>
      <c r="M140" s="9"/>
      <c r="O140" s="2">
        <v>25</v>
      </c>
      <c r="Q140" s="2">
        <v>25</v>
      </c>
      <c r="S140" s="2"/>
      <c r="U140" s="2"/>
      <c r="W140" s="2"/>
      <c r="Y140" s="2"/>
      <c r="AA140" s="2"/>
      <c r="AC140" s="38"/>
      <c r="AE140" s="19">
        <f t="shared" si="5"/>
        <v>134.61538461538461</v>
      </c>
      <c r="AF140" s="31"/>
      <c r="AG140" s="35"/>
    </row>
    <row r="141" spans="1:33" x14ac:dyDescent="0.4">
      <c r="A141" s="41" t="s">
        <v>139</v>
      </c>
      <c r="C141" s="16">
        <v>31</v>
      </c>
      <c r="E141" s="49">
        <f t="shared" si="4"/>
        <v>79.487179487179489</v>
      </c>
      <c r="I141" s="9"/>
      <c r="M141" s="9"/>
      <c r="O141" s="2">
        <v>25</v>
      </c>
      <c r="Q141" s="2">
        <v>20</v>
      </c>
      <c r="S141" s="2"/>
      <c r="U141" s="2"/>
      <c r="W141" s="2"/>
      <c r="Y141" s="2">
        <v>15</v>
      </c>
      <c r="AA141" s="2"/>
      <c r="AC141" s="38"/>
      <c r="AE141" s="19">
        <f t="shared" si="5"/>
        <v>139.4871794871795</v>
      </c>
      <c r="AF141" s="31"/>
      <c r="AG141" s="35"/>
    </row>
    <row r="142" spans="1:33" x14ac:dyDescent="0.4">
      <c r="A142" s="41" t="s">
        <v>140</v>
      </c>
      <c r="C142" s="16">
        <v>27</v>
      </c>
      <c r="E142" s="49">
        <f t="shared" si="4"/>
        <v>69.230769230769226</v>
      </c>
      <c r="I142" s="9"/>
      <c r="M142" s="9"/>
      <c r="O142" s="2">
        <v>22</v>
      </c>
      <c r="Q142" s="2">
        <v>24</v>
      </c>
      <c r="S142" s="2"/>
      <c r="U142" s="2"/>
      <c r="W142" s="2">
        <v>25</v>
      </c>
      <c r="Y142" s="2">
        <v>15</v>
      </c>
      <c r="AA142" s="2"/>
      <c r="AC142" s="38"/>
      <c r="AE142" s="19">
        <f t="shared" si="5"/>
        <v>155.23076923076923</v>
      </c>
      <c r="AF142" s="31"/>
      <c r="AG142" s="35"/>
    </row>
    <row r="143" spans="1:33" x14ac:dyDescent="0.4">
      <c r="A143" s="41" t="s">
        <v>141</v>
      </c>
      <c r="C143" s="16">
        <v>31</v>
      </c>
      <c r="E143" s="49">
        <f t="shared" si="4"/>
        <v>79.487179487179489</v>
      </c>
      <c r="I143" s="9"/>
      <c r="M143" s="9"/>
      <c r="O143" s="2">
        <v>24</v>
      </c>
      <c r="Q143" s="2">
        <v>23</v>
      </c>
      <c r="S143" s="2"/>
      <c r="U143" s="2"/>
      <c r="W143" s="2"/>
      <c r="Y143" s="2"/>
      <c r="AA143" s="2"/>
      <c r="AC143" s="38"/>
      <c r="AE143" s="19">
        <f t="shared" si="5"/>
        <v>126.48717948717949</v>
      </c>
      <c r="AF143" s="31"/>
      <c r="AG143" s="35"/>
    </row>
    <row r="144" spans="1:33" x14ac:dyDescent="0.4">
      <c r="A144" s="41" t="s">
        <v>142</v>
      </c>
      <c r="C144" s="16">
        <v>30</v>
      </c>
      <c r="E144" s="49">
        <f t="shared" si="4"/>
        <v>76.923076923076934</v>
      </c>
      <c r="I144" s="9"/>
      <c r="M144" s="9"/>
      <c r="O144" s="2">
        <v>23</v>
      </c>
      <c r="Q144" s="2">
        <v>22</v>
      </c>
      <c r="S144" s="2"/>
      <c r="U144" s="2"/>
      <c r="W144" s="2"/>
      <c r="Y144" s="2">
        <v>15</v>
      </c>
      <c r="AA144" s="2"/>
      <c r="AC144" s="38"/>
      <c r="AE144" s="19">
        <f t="shared" si="5"/>
        <v>136.92307692307693</v>
      </c>
      <c r="AF144" s="31"/>
      <c r="AG144" s="35"/>
    </row>
    <row r="145" spans="1:33" x14ac:dyDescent="0.4">
      <c r="A145" s="41" t="s">
        <v>143</v>
      </c>
      <c r="C145" s="16">
        <v>22</v>
      </c>
      <c r="E145" s="49">
        <f t="shared" si="4"/>
        <v>56.410256410256409</v>
      </c>
      <c r="I145" s="9"/>
      <c r="M145" s="9"/>
      <c r="O145" s="2">
        <v>22</v>
      </c>
      <c r="Q145" s="2">
        <v>20</v>
      </c>
      <c r="S145" s="2"/>
      <c r="U145" s="2"/>
      <c r="W145" s="2"/>
      <c r="Y145" s="2"/>
      <c r="AA145" s="2"/>
      <c r="AC145" s="38"/>
      <c r="AE145" s="19">
        <f t="shared" si="5"/>
        <v>98.410256410256409</v>
      </c>
      <c r="AF145" s="31"/>
      <c r="AG145" s="35"/>
    </row>
    <row r="146" spans="1:33" x14ac:dyDescent="0.4">
      <c r="A146" s="41" t="s">
        <v>144</v>
      </c>
      <c r="C146" s="16">
        <v>30</v>
      </c>
      <c r="E146" s="49">
        <f t="shared" si="4"/>
        <v>76.923076923076934</v>
      </c>
      <c r="I146" s="9"/>
      <c r="M146" s="9"/>
      <c r="O146" s="2">
        <v>22</v>
      </c>
      <c r="Q146" s="2">
        <v>23</v>
      </c>
      <c r="S146" s="2"/>
      <c r="U146" s="2"/>
      <c r="W146" s="2"/>
      <c r="Y146" s="2"/>
      <c r="AA146" s="2"/>
      <c r="AC146" s="38"/>
      <c r="AE146" s="19">
        <f t="shared" si="5"/>
        <v>121.92307692307693</v>
      </c>
      <c r="AF146" s="31"/>
      <c r="AG146" s="35"/>
    </row>
    <row r="147" spans="1:33" x14ac:dyDescent="0.4">
      <c r="A147" s="41" t="s">
        <v>145</v>
      </c>
      <c r="C147" s="16">
        <v>35</v>
      </c>
      <c r="E147" s="49">
        <f t="shared" si="4"/>
        <v>89.743589743589752</v>
      </c>
      <c r="I147" s="9"/>
      <c r="M147" s="9"/>
      <c r="O147" s="2">
        <v>20</v>
      </c>
      <c r="Q147" s="2">
        <v>25</v>
      </c>
      <c r="S147" s="2"/>
      <c r="U147" s="2"/>
      <c r="W147" s="2"/>
      <c r="Y147" s="2"/>
      <c r="AA147" s="2"/>
      <c r="AC147" s="38"/>
      <c r="AE147" s="19">
        <f t="shared" si="5"/>
        <v>134.74358974358975</v>
      </c>
      <c r="AF147" s="31"/>
      <c r="AG147" s="35"/>
    </row>
    <row r="148" spans="1:33" x14ac:dyDescent="0.4">
      <c r="A148" s="41" t="s">
        <v>146</v>
      </c>
      <c r="C148" s="16">
        <v>24</v>
      </c>
      <c r="E148" s="49">
        <f t="shared" si="4"/>
        <v>61.53846153846154</v>
      </c>
      <c r="I148" s="9"/>
      <c r="M148" s="9"/>
      <c r="O148" s="2">
        <v>23</v>
      </c>
      <c r="Q148" s="2">
        <v>22</v>
      </c>
      <c r="S148" s="2"/>
      <c r="U148" s="2"/>
      <c r="W148" s="2"/>
      <c r="Y148" s="2">
        <v>15</v>
      </c>
      <c r="AA148" s="2"/>
      <c r="AC148" s="38"/>
      <c r="AE148" s="19">
        <f t="shared" si="5"/>
        <v>121.53846153846155</v>
      </c>
      <c r="AF148" s="31"/>
      <c r="AG148" s="35"/>
    </row>
    <row r="149" spans="1:33" x14ac:dyDescent="0.4">
      <c r="A149" s="41" t="s">
        <v>147</v>
      </c>
      <c r="C149" s="16">
        <v>32</v>
      </c>
      <c r="E149" s="49">
        <f t="shared" si="4"/>
        <v>82.051282051282044</v>
      </c>
      <c r="I149" s="9"/>
      <c r="M149" s="9"/>
      <c r="O149" s="2">
        <v>22</v>
      </c>
      <c r="Q149" s="2">
        <v>23</v>
      </c>
      <c r="S149" s="2"/>
      <c r="U149" s="2"/>
      <c r="W149" s="2"/>
      <c r="Y149" s="2">
        <v>15</v>
      </c>
      <c r="AA149" s="2"/>
      <c r="AC149" s="38"/>
      <c r="AE149" s="19">
        <f t="shared" si="5"/>
        <v>142.05128205128204</v>
      </c>
      <c r="AF149" s="31"/>
      <c r="AG149" s="35"/>
    </row>
    <row r="150" spans="1:33" x14ac:dyDescent="0.4">
      <c r="A150" s="41" t="s">
        <v>148</v>
      </c>
      <c r="C150" s="16">
        <v>32</v>
      </c>
      <c r="E150" s="49">
        <f t="shared" si="4"/>
        <v>82.051282051282044</v>
      </c>
      <c r="I150" s="9"/>
      <c r="M150" s="9"/>
      <c r="O150" s="2">
        <v>21</v>
      </c>
      <c r="Q150" s="2">
        <v>20</v>
      </c>
      <c r="S150" s="2"/>
      <c r="U150" s="2"/>
      <c r="W150" s="2"/>
      <c r="Y150" s="2">
        <v>15</v>
      </c>
      <c r="AA150" s="2"/>
      <c r="AC150" s="38"/>
      <c r="AE150" s="19">
        <f t="shared" si="5"/>
        <v>138.05128205128204</v>
      </c>
      <c r="AF150" s="31"/>
      <c r="AG150" s="35"/>
    </row>
    <row r="151" spans="1:33" x14ac:dyDescent="0.4">
      <c r="A151" s="41" t="s">
        <v>149</v>
      </c>
      <c r="C151" s="16">
        <v>36</v>
      </c>
      <c r="E151" s="49">
        <f t="shared" si="4"/>
        <v>92.307692307692307</v>
      </c>
      <c r="I151" s="9"/>
      <c r="M151" s="9"/>
      <c r="O151" s="2">
        <v>24</v>
      </c>
      <c r="Q151" s="2">
        <v>25</v>
      </c>
      <c r="S151" s="2"/>
      <c r="U151" s="2"/>
      <c r="W151" s="2"/>
      <c r="Y151" s="2">
        <v>15</v>
      </c>
      <c r="AA151" s="2"/>
      <c r="AC151" s="38"/>
      <c r="AE151" s="19">
        <f t="shared" si="5"/>
        <v>156.30769230769232</v>
      </c>
      <c r="AF151" s="31"/>
      <c r="AG151" s="35"/>
    </row>
    <row r="152" spans="1:33" x14ac:dyDescent="0.4">
      <c r="A152" s="41" t="s">
        <v>155</v>
      </c>
      <c r="C152" s="16">
        <v>48</v>
      </c>
      <c r="E152" s="49">
        <v>100</v>
      </c>
      <c r="I152" s="9"/>
      <c r="M152" s="9"/>
      <c r="O152" s="2">
        <v>25</v>
      </c>
      <c r="Q152" s="2">
        <v>25</v>
      </c>
      <c r="S152" s="2"/>
      <c r="U152" s="2"/>
      <c r="W152" s="2"/>
      <c r="Y152" s="2"/>
      <c r="AA152" s="2"/>
      <c r="AC152" s="38"/>
      <c r="AE152" s="19">
        <f t="shared" si="5"/>
        <v>150</v>
      </c>
      <c r="AF152" s="31"/>
      <c r="AG152" s="35"/>
    </row>
  </sheetData>
  <phoneticPr fontId="0" type="noConversion"/>
  <pageMargins left="0.75" right="0.75" top="1" bottom="1" header="0.5" footer="0.5"/>
  <pageSetup scale="46" fitToHeight="3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272 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Rizvana Zameeruddin</dc:creator>
  <cp:lastModifiedBy>Carina Negreanu</cp:lastModifiedBy>
  <cp:lastPrinted>2004-03-08T15:50:07Z</cp:lastPrinted>
  <dcterms:created xsi:type="dcterms:W3CDTF">2003-11-26T22:08:13Z</dcterms:created>
  <dcterms:modified xsi:type="dcterms:W3CDTF">2020-01-27T11:16:54Z</dcterms:modified>
</cp:coreProperties>
</file>