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E925F3-FA43-4782-8080-5F45DE8AA2D2}" xr6:coauthVersionLast="45" xr6:coauthVersionMax="45" xr10:uidLastSave="{00000000-0000-0000-0000-000000000000}"/>
  <bookViews>
    <workbookView xWindow="380" yWindow="380" windowWidth="28800" windowHeight="15460" tabRatio="916"/>
  </bookViews>
  <sheets>
    <sheet name="Key Concepts" sheetId="10" r:id="rId1"/>
    <sheet name="Data Entry" sheetId="1" r:id="rId2"/>
    <sheet name="Correlations Charts" sheetId="4" r:id="rId3"/>
    <sheet name="Comparisons--Raw &amp; Normalized" sheetId="5" r:id="rId4"/>
    <sheet name="Cashflows" sheetId="14" r:id="rId5"/>
    <sheet name="Standard Deviation" sheetId="9" r:id="rId6"/>
  </sheets>
  <definedNames>
    <definedName name="_xlnm.Print_Area" localSheetId="1">'Data Entry'!$B$2:$F$14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4" l="1"/>
  <c r="C7" i="14"/>
  <c r="D7" i="14"/>
  <c r="C8" i="14"/>
  <c r="D8" i="14"/>
  <c r="D9" i="14" s="1"/>
  <c r="D10" i="14" s="1"/>
  <c r="C9" i="14"/>
  <c r="C10" i="14"/>
  <c r="B6" i="5"/>
  <c r="C6" i="5"/>
  <c r="F6" i="5"/>
  <c r="B7" i="5"/>
  <c r="B20" i="5" s="1"/>
  <c r="C7" i="5"/>
  <c r="E33" i="5" s="1"/>
  <c r="F7" i="5"/>
  <c r="B8" i="5"/>
  <c r="B34" i="5" s="1"/>
  <c r="C8" i="5"/>
  <c r="C34" i="5" s="1"/>
  <c r="F8" i="5"/>
  <c r="B9" i="5"/>
  <c r="B35" i="5" s="1"/>
  <c r="C9" i="5"/>
  <c r="C35" i="5" s="1"/>
  <c r="F9" i="5"/>
  <c r="B10" i="5"/>
  <c r="C10" i="5"/>
  <c r="F10" i="5"/>
  <c r="B11" i="5"/>
  <c r="C11" i="5"/>
  <c r="F11" i="5"/>
  <c r="B12" i="5"/>
  <c r="C12" i="5"/>
  <c r="F12" i="5"/>
  <c r="B13" i="5"/>
  <c r="B26" i="5" s="1"/>
  <c r="C13" i="5"/>
  <c r="C39" i="5" s="1"/>
  <c r="F13" i="5"/>
  <c r="B14" i="5"/>
  <c r="B27" i="5" s="1"/>
  <c r="C14" i="5"/>
  <c r="D40" i="5" s="1"/>
  <c r="F14" i="5"/>
  <c r="B15" i="5"/>
  <c r="B28" i="5" s="1"/>
  <c r="C15" i="5"/>
  <c r="C41" i="5" s="1"/>
  <c r="F15" i="5"/>
  <c r="B19" i="5"/>
  <c r="C19" i="5"/>
  <c r="F19" i="5"/>
  <c r="C20" i="5"/>
  <c r="F20" i="5"/>
  <c r="C21" i="5"/>
  <c r="F21" i="5"/>
  <c r="C22" i="5"/>
  <c r="F22" i="5"/>
  <c r="B23" i="5"/>
  <c r="C23" i="5"/>
  <c r="F23" i="5"/>
  <c r="B24" i="5"/>
  <c r="C24" i="5"/>
  <c r="F24" i="5"/>
  <c r="B25" i="5"/>
  <c r="C25" i="5"/>
  <c r="F25" i="5"/>
  <c r="C26" i="5"/>
  <c r="F26" i="5"/>
  <c r="C27" i="5"/>
  <c r="F27" i="5"/>
  <c r="C28" i="5"/>
  <c r="F28" i="5"/>
  <c r="B31" i="5"/>
  <c r="C31" i="5"/>
  <c r="D31" i="5"/>
  <c r="E31" i="5"/>
  <c r="B32" i="5"/>
  <c r="C32" i="5"/>
  <c r="D32" i="5"/>
  <c r="E32" i="5"/>
  <c r="C33" i="5"/>
  <c r="D33" i="5"/>
  <c r="E34" i="5"/>
  <c r="B36" i="5"/>
  <c r="C36" i="5"/>
  <c r="D36" i="5"/>
  <c r="E36" i="5"/>
  <c r="B37" i="5"/>
  <c r="C37" i="5"/>
  <c r="D37" i="5"/>
  <c r="E37" i="5"/>
  <c r="B38" i="5"/>
  <c r="C38" i="5"/>
  <c r="D38" i="5"/>
  <c r="E38" i="5"/>
  <c r="E39" i="5"/>
  <c r="D41" i="5"/>
  <c r="E41" i="5"/>
  <c r="G5" i="1"/>
  <c r="G17" i="1" s="1"/>
  <c r="G18" i="1" s="1"/>
  <c r="H5" i="1"/>
  <c r="H17" i="1" s="1"/>
  <c r="K5" i="1"/>
  <c r="G6" i="1"/>
  <c r="H6" i="1"/>
  <c r="G7" i="1"/>
  <c r="L7" i="1" s="1"/>
  <c r="H7" i="1"/>
  <c r="G8" i="1"/>
  <c r="H8" i="1"/>
  <c r="G9" i="1"/>
  <c r="H9" i="1"/>
  <c r="G10" i="1"/>
  <c r="G25" i="1" s="1"/>
  <c r="G26" i="1" s="1"/>
  <c r="H10" i="1"/>
  <c r="H25" i="1" s="1"/>
  <c r="H26" i="1" s="1"/>
  <c r="K10" i="1"/>
  <c r="G11" i="1"/>
  <c r="H11" i="1"/>
  <c r="G12" i="1"/>
  <c r="G24" i="1" s="1"/>
  <c r="H12" i="1"/>
  <c r="H24" i="1" s="1"/>
  <c r="K12" i="1"/>
  <c r="G13" i="1"/>
  <c r="H13" i="1"/>
  <c r="G14" i="1"/>
  <c r="G16" i="1" s="1"/>
  <c r="H14" i="1"/>
  <c r="C16" i="1"/>
  <c r="K7" i="1" s="1"/>
  <c r="E16" i="1"/>
  <c r="F16" i="1"/>
  <c r="C17" i="1"/>
  <c r="C18" i="1" s="1"/>
  <c r="C20" i="1"/>
  <c r="E20" i="1"/>
  <c r="F20" i="1"/>
  <c r="C21" i="1"/>
  <c r="C22" i="1" s="1"/>
  <c r="G21" i="1"/>
  <c r="C24" i="1"/>
  <c r="E24" i="1"/>
  <c r="F24" i="1"/>
  <c r="C25" i="1"/>
  <c r="C26" i="1" s="1"/>
  <c r="L9" i="1" l="1"/>
  <c r="L10" i="1"/>
  <c r="L6" i="1"/>
  <c r="L8" i="1"/>
  <c r="L12" i="1"/>
  <c r="L13" i="1"/>
  <c r="L11" i="1"/>
  <c r="L14" i="1"/>
  <c r="K14" i="1"/>
  <c r="B33" i="5"/>
  <c r="H16" i="1"/>
  <c r="M5" i="1" s="1"/>
  <c r="L5" i="1"/>
  <c r="R5" i="1" s="1" a="1"/>
  <c r="H21" i="1"/>
  <c r="H22" i="1" s="1"/>
  <c r="G20" i="1"/>
  <c r="G22" i="1" s="1"/>
  <c r="H20" i="1"/>
  <c r="K8" i="1"/>
  <c r="K6" i="1"/>
  <c r="B41" i="5"/>
  <c r="E40" i="5"/>
  <c r="E35" i="5"/>
  <c r="B22" i="5"/>
  <c r="D35" i="5"/>
  <c r="K13" i="1"/>
  <c r="C40" i="5"/>
  <c r="B40" i="5"/>
  <c r="B21" i="5"/>
  <c r="D39" i="5"/>
  <c r="D34" i="5"/>
  <c r="K9" i="1"/>
  <c r="B39" i="5"/>
  <c r="K11" i="1"/>
  <c r="M9" i="1" l="1"/>
  <c r="M6" i="1"/>
  <c r="S5" i="1" s="1" a="1"/>
  <c r="M10" i="1"/>
  <c r="M13" i="1"/>
  <c r="M8" i="1"/>
  <c r="M14" i="1"/>
  <c r="H18" i="1"/>
  <c r="M11" i="1"/>
  <c r="M7" i="1"/>
  <c r="R5" i="1"/>
  <c r="V5" i="1" s="1"/>
  <c r="R14" i="1"/>
  <c r="R12" i="1"/>
  <c r="R7" i="1"/>
  <c r="R15" i="1"/>
  <c r="R9" i="1"/>
  <c r="R6" i="1"/>
  <c r="R11" i="1"/>
  <c r="R13" i="1"/>
  <c r="R8" i="1"/>
  <c r="R10" i="1"/>
  <c r="R16" i="1"/>
  <c r="M12" i="1"/>
  <c r="Q5" i="1" a="1"/>
  <c r="S12" i="1" l="1"/>
  <c r="S6" i="1"/>
  <c r="S5" i="1"/>
  <c r="W5" i="1" s="1"/>
  <c r="W6" i="1" s="1"/>
  <c r="S14" i="1"/>
  <c r="S16" i="1"/>
  <c r="S7" i="1"/>
  <c r="S9" i="1"/>
  <c r="S13" i="1"/>
  <c r="S15" i="1"/>
  <c r="S11" i="1"/>
  <c r="S8" i="1"/>
  <c r="S10" i="1"/>
  <c r="V6" i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Q14" i="1"/>
  <c r="Q7" i="1"/>
  <c r="Q9" i="1"/>
  <c r="Q15" i="1"/>
  <c r="Q11" i="1"/>
  <c r="Q13" i="1"/>
  <c r="Q6" i="1"/>
  <c r="Q8" i="1"/>
  <c r="Q10" i="1"/>
  <c r="Q16" i="1"/>
  <c r="Q5" i="1"/>
  <c r="U5" i="1" s="1"/>
  <c r="Q12" i="1"/>
  <c r="U6" i="1" l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W7" i="1"/>
  <c r="W8" i="1" s="1"/>
  <c r="W9" i="1" s="1"/>
  <c r="W10" i="1" s="1"/>
  <c r="W11" i="1" s="1"/>
  <c r="W12" i="1" s="1"/>
  <c r="W13" i="1" s="1"/>
  <c r="W14" i="1" s="1"/>
  <c r="W15" i="1" s="1"/>
  <c r="W16" i="1" s="1"/>
</calcChain>
</file>

<file path=xl/sharedStrings.xml><?xml version="1.0" encoding="utf-8"?>
<sst xmlns="http://schemas.openxmlformats.org/spreadsheetml/2006/main" count="121" uniqueCount="84">
  <si>
    <t>ENERGIZED LEARNING RESULTS:  RAW DATA &amp; ANALYSIS</t>
  </si>
  <si>
    <t>E/Occupant (norm)</t>
  </si>
  <si>
    <t>Frequency</t>
  </si>
  <si>
    <t>Raw E (% of mean)</t>
  </si>
  <si>
    <t>E/FA  (% of mean)</t>
  </si>
  <si>
    <t>E/Occupant  (% of mean)</t>
  </si>
  <si>
    <t xml:space="preserve"> % of Mean Bin</t>
  </si>
  <si>
    <t>Energy $ / Floor Area ($/year-sq ft)</t>
  </si>
  <si>
    <t>C/D</t>
  </si>
  <si>
    <t>C/E</t>
  </si>
  <si>
    <t>C(n)/C17</t>
  </si>
  <si>
    <t>F(n)/F17</t>
  </si>
  <si>
    <t>G(n)/G17</t>
  </si>
  <si>
    <t>Energy $ / Occupant</t>
  </si>
  <si>
    <t>(Number of entries)</t>
  </si>
  <si>
    <t>DRAW FIT</t>
  </si>
  <si>
    <t>Input Values</t>
  </si>
  <si>
    <t>Calculated Values</t>
  </si>
  <si>
    <t>Variations (Actual/Mean)</t>
  </si>
  <si>
    <t>CV (or %SD)</t>
  </si>
  <si>
    <t>This is the average of the entries:</t>
  </si>
  <si>
    <t>SD ("sigma")</t>
  </si>
  <si>
    <t>This is the "Standard Deviation, SD":</t>
  </si>
  <si>
    <t>Data</t>
  </si>
  <si>
    <t xml:space="preserve"> </t>
  </si>
  <si>
    <t>Bill (Base)</t>
  </si>
  <si>
    <t>Bill (with efficiency)</t>
  </si>
  <si>
    <t>Bill (increased floor area)</t>
  </si>
  <si>
    <t>ENERGIZED LEARNING RESULTS: COMPARISONS</t>
  </si>
  <si>
    <t>TOTAL DATASET</t>
  </si>
  <si>
    <t>ANCHORAGE ONLY</t>
  </si>
  <si>
    <t>Normalized</t>
  </si>
  <si>
    <t>1. Anchorage</t>
  </si>
  <si>
    <t>2. Anchorage</t>
  </si>
  <si>
    <t>3. Anchorage</t>
  </si>
  <si>
    <t>4. Anchorage</t>
  </si>
  <si>
    <t>5. Anchorage</t>
  </si>
  <si>
    <t>6. Dallas</t>
  </si>
  <si>
    <t>7. Dallas</t>
  </si>
  <si>
    <t>8. Dallas</t>
  </si>
  <si>
    <t>9. Dallas</t>
  </si>
  <si>
    <t>10. Dallas</t>
  </si>
  <si>
    <t xml:space="preserve"> = Investment / Annual Savings </t>
  </si>
  <si>
    <t>Payback Time</t>
  </si>
  <si>
    <t>Getting Started: KEY "Take-Home" Concepts</t>
  </si>
  <si>
    <t>CO2 (Base)</t>
  </si>
  <si>
    <t>CO2 (increased floor area)</t>
  </si>
  <si>
    <t>CO2 (with efficiency)</t>
  </si>
  <si>
    <t>Values in bold-blue should be overwritten with student results</t>
  </si>
  <si>
    <t>This is the % SD (SD/Mean):</t>
  </si>
  <si>
    <t xml:space="preserve"> = Years</t>
  </si>
  <si>
    <t xml:space="preserve"> = 2 years</t>
  </si>
  <si>
    <t>achieving $500/year energy bill savings</t>
  </si>
  <si>
    <t>Year</t>
  </si>
  <si>
    <t>y(1) = 1500x + 1000</t>
  </si>
  <si>
    <t>y(0) = 2000x</t>
  </si>
  <si>
    <t>Case 0: Without Efficiency</t>
  </si>
  <si>
    <t>Case 1: With Efficiency</t>
  </si>
  <si>
    <t>$1000/$500-year</t>
  </si>
  <si>
    <t xml:space="preserve"> -------(cumulative $)-------</t>
  </si>
  <si>
    <t>or, set y(0)=y(1)  &lt;--&gt; 2000x = 1500x + 1000</t>
  </si>
  <si>
    <t>and solve for x</t>
  </si>
  <si>
    <t>e.g. $1000 invested in insulation in year zero</t>
  </si>
  <si>
    <t>DALLAS ONLY</t>
  </si>
  <si>
    <t>1. Energy and environment are linked</t>
  </si>
  <si>
    <t>2. Quality of life can be increased without elevated energy use</t>
  </si>
  <si>
    <t>3. Achieving efficiency is an investment, not an expenditure</t>
  </si>
  <si>
    <t>4. Understanding and managing energy use is an interdisciplinary pursuit</t>
  </si>
  <si>
    <t>5. Modeling (e.g. using computer simulation tools) is central to science, but has real limitations.  The map is not the territory.</t>
  </si>
  <si>
    <t>#  of Occu-pants</t>
  </si>
  <si>
    <t>A</t>
  </si>
  <si>
    <t>B</t>
  </si>
  <si>
    <t>% Change (B v C)</t>
  </si>
  <si>
    <t>N O T E :    Red dot is the average of all values</t>
  </si>
  <si>
    <t>Carbon Dioxide Emissions (pounds)</t>
  </si>
  <si>
    <t>Group</t>
  </si>
  <si>
    <t>Energy Bill</t>
  </si>
  <si>
    <t>Mean</t>
  </si>
  <si>
    <t>Floor Area (sq ft)</t>
  </si>
  <si>
    <t>E/FA (norm)</t>
  </si>
  <si>
    <t>Raw E (norm)</t>
  </si>
  <si>
    <t>Cumulative Frequency</t>
  </si>
  <si>
    <t>&gt;1.5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</si>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</sst>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7" formatCode="0.0"/>
    <numFmt numFmtId="178" formatCode="0.0%"/>
    <numFmt numFmtId="181" formatCode="_(* #,##0_);_(* \(#,##0\);_(* &quot;-&quot;??_);_(@_)"/>
  </numFmts>
  <fonts count="14">
    <font>
      <sz val="9"/>
      <name val="Geneva"/>
    </font>
    <font>
      <b/>
      <sz val="9"/>
      <name val="Geneva"/>
    </font>
    <font>
      <sz val="9"/>
      <name val="Geneva"/>
    </font>
    <font>
      <sz val="18"/>
      <name val="Geneva"/>
    </font>
    <font>
      <b/>
      <sz val="18"/>
      <name val="Geneva"/>
    </font>
    <font>
      <b/>
      <sz val="24"/>
      <color indexed="16"/>
      <name val="Geneva"/>
    </font>
    <font>
      <u/>
      <sz val="18"/>
      <color indexed="16"/>
      <name val="Geneva"/>
    </font>
    <font>
      <b/>
      <sz val="36"/>
      <color indexed="13"/>
      <name val="Geneva"/>
    </font>
    <font>
      <sz val="14"/>
      <name val="Geneva"/>
    </font>
    <font>
      <sz val="24"/>
      <name val="Geneva"/>
    </font>
    <font>
      <b/>
      <sz val="14"/>
      <name val="Geneva"/>
    </font>
    <font>
      <b/>
      <u/>
      <sz val="18"/>
      <name val="Geneva"/>
    </font>
    <font>
      <b/>
      <sz val="18"/>
      <color indexed="12"/>
      <name val="Geneva"/>
    </font>
    <font>
      <b/>
      <sz val="18"/>
      <color indexed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177" fontId="3" fillId="0" borderId="2" xfId="0" applyNumberFormat="1" applyFont="1" applyBorder="1" applyAlignment="1">
      <alignment horizontal="right"/>
    </xf>
    <xf numFmtId="0" fontId="3" fillId="0" borderId="0" xfId="0" applyFont="1" applyFill="1"/>
    <xf numFmtId="0" fontId="3" fillId="0" borderId="1" xfId="0" applyFont="1" applyFill="1" applyBorder="1"/>
    <xf numFmtId="0" fontId="3" fillId="0" borderId="3" xfId="0" applyFont="1" applyFill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9" fontId="3" fillId="0" borderId="4" xfId="2" applyFont="1" applyBorder="1"/>
    <xf numFmtId="9" fontId="3" fillId="0" borderId="5" xfId="2" applyFont="1" applyBorder="1"/>
    <xf numFmtId="0" fontId="4" fillId="2" borderId="6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3" fillId="0" borderId="0" xfId="0" applyFont="1" applyAlignment="1">
      <alignment horizontal="center"/>
    </xf>
    <xf numFmtId="0" fontId="1" fillId="0" borderId="0" xfId="0" applyFont="1"/>
    <xf numFmtId="0" fontId="3" fillId="3" borderId="0" xfId="0" applyFont="1" applyFill="1"/>
    <xf numFmtId="1" fontId="3" fillId="2" borderId="0" xfId="0" applyNumberFormat="1" applyFont="1" applyFill="1" applyBorder="1"/>
    <xf numFmtId="2" fontId="3" fillId="2" borderId="8" xfId="0" applyNumberFormat="1" applyFont="1" applyFill="1" applyBorder="1"/>
    <xf numFmtId="9" fontId="3" fillId="2" borderId="0" xfId="2" applyFont="1" applyFill="1" applyBorder="1"/>
    <xf numFmtId="9" fontId="3" fillId="2" borderId="8" xfId="2" applyFont="1" applyFill="1" applyBorder="1"/>
    <xf numFmtId="9" fontId="3" fillId="2" borderId="9" xfId="2" applyFont="1" applyFill="1" applyBorder="1"/>
    <xf numFmtId="9" fontId="3" fillId="2" borderId="10" xfId="2" applyFont="1" applyFill="1" applyBorder="1"/>
    <xf numFmtId="1" fontId="3" fillId="2" borderId="6" xfId="0" applyNumberFormat="1" applyFont="1" applyFill="1" applyBorder="1"/>
    <xf numFmtId="1" fontId="3" fillId="2" borderId="7" xfId="0" applyNumberFormat="1" applyFont="1" applyFill="1" applyBorder="1"/>
    <xf numFmtId="1" fontId="3" fillId="2" borderId="8" xfId="0" applyNumberFormat="1" applyFont="1" applyFill="1" applyBorder="1"/>
    <xf numFmtId="1" fontId="3" fillId="2" borderId="9" xfId="0" applyNumberFormat="1" applyFont="1" applyFill="1" applyBorder="1"/>
    <xf numFmtId="1" fontId="3" fillId="2" borderId="10" xfId="0" applyNumberFormat="1" applyFont="1" applyFill="1" applyBorder="1"/>
    <xf numFmtId="0" fontId="3" fillId="2" borderId="11" xfId="0" applyFont="1" applyFill="1" applyBorder="1"/>
    <xf numFmtId="0" fontId="3" fillId="2" borderId="7" xfId="0" applyFont="1" applyFill="1" applyBorder="1"/>
    <xf numFmtId="0" fontId="3" fillId="2" borderId="1" xfId="0" applyFont="1" applyFill="1" applyBorder="1"/>
    <xf numFmtId="0" fontId="3" fillId="2" borderId="8" xfId="0" applyFont="1" applyFill="1" applyBorder="1"/>
    <xf numFmtId="0" fontId="3" fillId="2" borderId="0" xfId="0" applyFont="1" applyFill="1" applyBorder="1"/>
    <xf numFmtId="0" fontId="3" fillId="2" borderId="3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1" fontId="4" fillId="2" borderId="0" xfId="0" applyNumberFormat="1" applyFont="1" applyFill="1" applyBorder="1"/>
    <xf numFmtId="2" fontId="4" fillId="2" borderId="8" xfId="0" applyNumberFormat="1" applyFont="1" applyFill="1" applyBorder="1"/>
    <xf numFmtId="9" fontId="4" fillId="2" borderId="9" xfId="2" applyFont="1" applyFill="1" applyBorder="1"/>
    <xf numFmtId="9" fontId="4" fillId="2" borderId="10" xfId="2" applyFont="1" applyFill="1" applyBorder="1"/>
    <xf numFmtId="0" fontId="3" fillId="2" borderId="0" xfId="0" applyFont="1" applyFill="1" applyAlignment="1"/>
    <xf numFmtId="0" fontId="0" fillId="0" borderId="0" xfId="0" applyAlignment="1"/>
    <xf numFmtId="0" fontId="3" fillId="0" borderId="0" xfId="0" applyFont="1" applyAlignment="1">
      <alignment horizontal="right"/>
    </xf>
    <xf numFmtId="0" fontId="5" fillId="0" borderId="0" xfId="0" applyFont="1"/>
    <xf numFmtId="0" fontId="4" fillId="2" borderId="12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3" fillId="0" borderId="12" xfId="0" applyFont="1" applyFill="1" applyBorder="1"/>
    <xf numFmtId="0" fontId="4" fillId="0" borderId="12" xfId="0" applyFont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9" fontId="3" fillId="2" borderId="11" xfId="2" applyFont="1" applyFill="1" applyBorder="1"/>
    <xf numFmtId="9" fontId="3" fillId="2" borderId="6" xfId="2" applyFont="1" applyFill="1" applyBorder="1"/>
    <xf numFmtId="9" fontId="3" fillId="2" borderId="7" xfId="2" applyFont="1" applyFill="1" applyBorder="1"/>
    <xf numFmtId="9" fontId="3" fillId="2" borderId="1" xfId="2" applyFont="1" applyFill="1" applyBorder="1"/>
    <xf numFmtId="9" fontId="3" fillId="2" borderId="3" xfId="2" applyFont="1" applyFill="1" applyBorder="1"/>
    <xf numFmtId="0" fontId="4" fillId="2" borderId="11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right" wrapText="1"/>
    </xf>
    <xf numFmtId="0" fontId="4" fillId="0" borderId="14" xfId="0" applyFont="1" applyBorder="1" applyAlignment="1">
      <alignment horizontal="right"/>
    </xf>
    <xf numFmtId="0" fontId="3" fillId="3" borderId="11" xfId="0" applyFont="1" applyFill="1" applyBorder="1"/>
    <xf numFmtId="0" fontId="3" fillId="3" borderId="1" xfId="0" applyFont="1" applyFill="1" applyBorder="1"/>
    <xf numFmtId="1" fontId="3" fillId="2" borderId="1" xfId="0" applyNumberFormat="1" applyFont="1" applyFill="1" applyBorder="1"/>
    <xf numFmtId="0" fontId="6" fillId="0" borderId="0" xfId="0" applyFont="1" applyAlignment="1">
      <alignment horizontal="center" vertical="center"/>
    </xf>
    <xf numFmtId="0" fontId="4" fillId="3" borderId="14" xfId="0" applyFont="1" applyFill="1" applyBorder="1" applyAlignment="1">
      <alignment horizontal="center" wrapText="1"/>
    </xf>
    <xf numFmtId="0" fontId="3" fillId="0" borderId="3" xfId="0" applyFont="1" applyBorder="1"/>
    <xf numFmtId="0" fontId="4" fillId="3" borderId="13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0" fillId="2" borderId="0" xfId="0" applyFill="1" applyAlignment="1"/>
    <xf numFmtId="9" fontId="3" fillId="0" borderId="1" xfId="2" applyFont="1" applyBorder="1"/>
    <xf numFmtId="9" fontId="3" fillId="0" borderId="8" xfId="2" applyFont="1" applyBorder="1"/>
    <xf numFmtId="9" fontId="3" fillId="0" borderId="3" xfId="2" applyFont="1" applyBorder="1"/>
    <xf numFmtId="9" fontId="3" fillId="0" borderId="10" xfId="2" applyFont="1" applyBorder="1"/>
    <xf numFmtId="0" fontId="4" fillId="0" borderId="0" xfId="0" applyFont="1" applyBorder="1"/>
    <xf numFmtId="0" fontId="4" fillId="0" borderId="0" xfId="0" applyFont="1" applyAlignment="1">
      <alignment horizontal="left"/>
    </xf>
    <xf numFmtId="9" fontId="4" fillId="0" borderId="0" xfId="2" applyFont="1" applyFill="1" applyBorder="1"/>
    <xf numFmtId="9" fontId="4" fillId="2" borderId="10" xfId="2" applyNumberFormat="1" applyFont="1" applyFill="1" applyBorder="1"/>
    <xf numFmtId="0" fontId="4" fillId="0" borderId="4" xfId="0" applyFont="1" applyBorder="1"/>
    <xf numFmtId="0" fontId="4" fillId="0" borderId="5" xfId="0" applyFont="1" applyBorder="1"/>
    <xf numFmtId="0" fontId="4" fillId="0" borderId="2" xfId="0" applyFont="1" applyBorder="1"/>
    <xf numFmtId="0" fontId="3" fillId="0" borderId="0" xfId="0" applyFont="1" applyFill="1" applyBorder="1"/>
    <xf numFmtId="0" fontId="3" fillId="3" borderId="0" xfId="0" applyFont="1" applyFill="1" applyAlignment="1"/>
    <xf numFmtId="0" fontId="3" fillId="2" borderId="0" xfId="0" applyFont="1" applyFill="1"/>
    <xf numFmtId="0" fontId="4" fillId="0" borderId="14" xfId="0" applyFont="1" applyBorder="1" applyAlignment="1">
      <alignment horizontal="left"/>
    </xf>
    <xf numFmtId="0" fontId="8" fillId="0" borderId="0" xfId="0" applyFont="1"/>
    <xf numFmtId="9" fontId="3" fillId="0" borderId="0" xfId="2" applyFont="1"/>
    <xf numFmtId="0" fontId="10" fillId="0" borderId="0" xfId="0" applyFont="1"/>
    <xf numFmtId="9" fontId="3" fillId="0" borderId="5" xfId="2" applyNumberFormat="1" applyFont="1" applyBorder="1"/>
    <xf numFmtId="9" fontId="3" fillId="0" borderId="2" xfId="2" applyNumberFormat="1" applyFont="1" applyBorder="1"/>
    <xf numFmtId="0" fontId="4" fillId="3" borderId="8" xfId="0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0" fillId="2" borderId="0" xfId="0" applyFill="1"/>
    <xf numFmtId="0" fontId="0" fillId="3" borderId="0" xfId="0" applyFill="1" applyAlignment="1"/>
    <xf numFmtId="0" fontId="3" fillId="3" borderId="14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7" fillId="4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0" fillId="5" borderId="11" xfId="0" applyFill="1" applyBorder="1"/>
    <xf numFmtId="0" fontId="3" fillId="5" borderId="6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5" borderId="0" xfId="0" applyFont="1" applyFill="1" applyBorder="1"/>
    <xf numFmtId="0" fontId="3" fillId="5" borderId="8" xfId="0" applyFont="1" applyFill="1" applyBorder="1"/>
    <xf numFmtId="0" fontId="3" fillId="5" borderId="3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0" fillId="5" borderId="1" xfId="0" applyFill="1" applyBorder="1"/>
    <xf numFmtId="0" fontId="3" fillId="5" borderId="0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9" fontId="4" fillId="2" borderId="9" xfId="2" applyNumberFormat="1" applyFont="1" applyFill="1" applyBorder="1"/>
    <xf numFmtId="178" fontId="3" fillId="0" borderId="0" xfId="2" applyNumberFormat="1" applyFont="1"/>
    <xf numFmtId="0" fontId="13" fillId="0" borderId="0" xfId="0" applyFont="1"/>
    <xf numFmtId="9" fontId="3" fillId="0" borderId="0" xfId="2" applyFont="1" applyBorder="1" applyAlignment="1">
      <alignment vertical="top"/>
    </xf>
    <xf numFmtId="0" fontId="3" fillId="0" borderId="11" xfId="0" applyFont="1" applyBorder="1"/>
    <xf numFmtId="0" fontId="3" fillId="0" borderId="0" xfId="0" applyFont="1" applyBorder="1"/>
    <xf numFmtId="177" fontId="4" fillId="2" borderId="0" xfId="0" applyNumberFormat="1" applyFont="1" applyFill="1" applyBorder="1"/>
    <xf numFmtId="2" fontId="4" fillId="2" borderId="0" xfId="0" applyNumberFormat="1" applyFont="1" applyFill="1" applyBorder="1"/>
    <xf numFmtId="9" fontId="4" fillId="2" borderId="0" xfId="2" applyFont="1" applyFill="1" applyBorder="1"/>
    <xf numFmtId="0" fontId="4" fillId="0" borderId="11" xfId="0" applyFont="1" applyBorder="1"/>
    <xf numFmtId="1" fontId="4" fillId="2" borderId="6" xfId="0" applyNumberFormat="1" applyFont="1" applyFill="1" applyBorder="1"/>
    <xf numFmtId="177" fontId="4" fillId="2" borderId="6" xfId="0" applyNumberFormat="1" applyFont="1" applyFill="1" applyBorder="1"/>
    <xf numFmtId="2" fontId="4" fillId="2" borderId="7" xfId="0" applyNumberFormat="1" applyFont="1" applyFill="1" applyBorder="1"/>
    <xf numFmtId="1" fontId="3" fillId="2" borderId="11" xfId="0" applyNumberFormat="1" applyFont="1" applyFill="1" applyBorder="1"/>
    <xf numFmtId="2" fontId="3" fillId="2" borderId="7" xfId="0" applyNumberFormat="1" applyFont="1" applyFill="1" applyBorder="1"/>
    <xf numFmtId="0" fontId="3" fillId="3" borderId="3" xfId="0" applyFont="1" applyFill="1" applyBorder="1"/>
    <xf numFmtId="1" fontId="3" fillId="2" borderId="3" xfId="0" applyNumberFormat="1" applyFont="1" applyFill="1" applyBorder="1"/>
    <xf numFmtId="2" fontId="3" fillId="2" borderId="10" xfId="0" applyNumberFormat="1" applyFont="1" applyFill="1" applyBorder="1"/>
    <xf numFmtId="181" fontId="12" fillId="3" borderId="11" xfId="1" applyNumberFormat="1" applyFont="1" applyFill="1" applyBorder="1"/>
    <xf numFmtId="181" fontId="12" fillId="3" borderId="1" xfId="1" applyNumberFormat="1" applyFont="1" applyFill="1" applyBorder="1"/>
    <xf numFmtId="181" fontId="12" fillId="3" borderId="3" xfId="1" applyNumberFormat="1" applyFont="1" applyFill="1" applyBorder="1"/>
    <xf numFmtId="181" fontId="3" fillId="0" borderId="1" xfId="1" applyNumberFormat="1" applyFont="1" applyBorder="1"/>
    <xf numFmtId="181" fontId="12" fillId="0" borderId="4" xfId="1" applyNumberFormat="1" applyFont="1" applyBorder="1"/>
    <xf numFmtId="181" fontId="12" fillId="0" borderId="5" xfId="1" applyNumberFormat="1" applyFont="1" applyBorder="1"/>
    <xf numFmtId="181" fontId="3" fillId="0" borderId="3" xfId="1" applyNumberFormat="1" applyFont="1" applyBorder="1"/>
    <xf numFmtId="181" fontId="12" fillId="0" borderId="2" xfId="1" applyNumberFormat="1" applyFont="1" applyBorder="1"/>
    <xf numFmtId="181" fontId="0" fillId="0" borderId="0" xfId="1" applyNumberFormat="1" applyFont="1"/>
    <xf numFmtId="181" fontId="4" fillId="2" borderId="14" xfId="1" applyNumberFormat="1" applyFont="1" applyFill="1" applyBorder="1" applyAlignment="1">
      <alignment horizontal="center" wrapText="1"/>
    </xf>
    <xf numFmtId="181" fontId="4" fillId="2" borderId="13" xfId="1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5" borderId="0" xfId="0" applyFont="1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Simulation Results: Anchorage &amp; Dallas</a:t>
            </a:r>
          </a:p>
        </c:rich>
      </c:tx>
      <c:layout>
        <c:manualLayout>
          <c:xMode val="edge"/>
          <c:yMode val="edge"/>
          <c:x val="0.21913511392535082"/>
          <c:y val="3.66025088985597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477972166072493"/>
          <c:y val="0.2013137989420784"/>
          <c:w val="0.65861603301320903"/>
          <c:h val="0.576489515152315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Entry'!$B$5:$B$14</c:f>
              <c:strCache>
                <c:ptCount val="10"/>
                <c:pt idx="0">
                  <c:v>1. Anchorage</c:v>
                </c:pt>
                <c:pt idx="1">
                  <c:v>2. Anchorage</c:v>
                </c:pt>
                <c:pt idx="2">
                  <c:v>3. Anchorage</c:v>
                </c:pt>
                <c:pt idx="3">
                  <c:v>4. Anchorage</c:v>
                </c:pt>
                <c:pt idx="4">
                  <c:v>5. Anchorage</c:v>
                </c:pt>
                <c:pt idx="5">
                  <c:v>6. Dallas</c:v>
                </c:pt>
                <c:pt idx="6">
                  <c:v>7. Dallas</c:v>
                </c:pt>
                <c:pt idx="7">
                  <c:v>8. Dallas</c:v>
                </c:pt>
                <c:pt idx="8">
                  <c:v>9. Dallas</c:v>
                </c:pt>
                <c:pt idx="9">
                  <c:v>10. Dallas</c:v>
                </c:pt>
              </c:strCache>
            </c:strRef>
          </c:cat>
          <c:val>
            <c:numRef>
              <c:f>'Data Entry'!$C$5:$C$14</c:f>
              <c:numCache>
                <c:formatCode>_(* #,##0_);_(* \(#,##0\);_(* "-"??_);_(@_)</c:formatCode>
                <c:ptCount val="10"/>
                <c:pt idx="0">
                  <c:v>3040</c:v>
                </c:pt>
                <c:pt idx="1">
                  <c:v>3341</c:v>
                </c:pt>
                <c:pt idx="2">
                  <c:v>3642</c:v>
                </c:pt>
                <c:pt idx="3">
                  <c:v>3969</c:v>
                </c:pt>
                <c:pt idx="4">
                  <c:v>4248</c:v>
                </c:pt>
                <c:pt idx="5">
                  <c:v>1706</c:v>
                </c:pt>
                <c:pt idx="6">
                  <c:v>1751</c:v>
                </c:pt>
                <c:pt idx="7">
                  <c:v>1795</c:v>
                </c:pt>
                <c:pt idx="8">
                  <c:v>1887</c:v>
                </c:pt>
                <c:pt idx="9">
                  <c:v>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4-44FE-81F4-685DD2310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925535"/>
        <c:axId val="1"/>
      </c:barChart>
      <c:catAx>
        <c:axId val="855925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7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Group Name</a:t>
                </a:r>
              </a:p>
            </c:rich>
          </c:tx>
          <c:layout>
            <c:manualLayout>
              <c:xMode val="edge"/>
              <c:yMode val="edge"/>
              <c:x val="0.5823424850723411"/>
              <c:y val="0.934671209373935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Annual Energy Bills ($)</a:t>
                </a:r>
              </a:p>
            </c:rich>
          </c:tx>
          <c:layout>
            <c:manualLayout>
              <c:xMode val="edge"/>
              <c:yMode val="edge"/>
              <c:x val="1.4528294845879612E-2"/>
              <c:y val="0.4470735015466936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59255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Simulation Results: Anchorage &amp; Dallas</a:t>
            </a:r>
          </a:p>
        </c:rich>
      </c:tx>
      <c:layout>
        <c:manualLayout>
          <c:xMode val="edge"/>
          <c:yMode val="edge"/>
          <c:x val="0.21981369021153588"/>
          <c:y val="3.71364839775490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348750945825941"/>
          <c:y val="0.20159805587812324"/>
          <c:w val="0.67876535109276459"/>
          <c:h val="0.572962895653613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'Data Entry'!$B$5:$B$14</c:f>
              <c:strCache>
                <c:ptCount val="10"/>
                <c:pt idx="0">
                  <c:v>1. Anchorage</c:v>
                </c:pt>
                <c:pt idx="1">
                  <c:v>2. Anchorage</c:v>
                </c:pt>
                <c:pt idx="2">
                  <c:v>3. Anchorage</c:v>
                </c:pt>
                <c:pt idx="3">
                  <c:v>4. Anchorage</c:v>
                </c:pt>
                <c:pt idx="4">
                  <c:v>5. Anchorage</c:v>
                </c:pt>
                <c:pt idx="5">
                  <c:v>6. Dallas</c:v>
                </c:pt>
                <c:pt idx="6">
                  <c:v>7. Dallas</c:v>
                </c:pt>
                <c:pt idx="7">
                  <c:v>8. Dallas</c:v>
                </c:pt>
                <c:pt idx="8">
                  <c:v>9. Dallas</c:v>
                </c:pt>
                <c:pt idx="9">
                  <c:v>10. Dallas</c:v>
                </c:pt>
              </c:strCache>
            </c:strRef>
          </c:cat>
          <c:val>
            <c:numRef>
              <c:f>'Data Entry'!$D$5:$D$14</c:f>
              <c:numCache>
                <c:formatCode>_(* #,##0_);_(* \(#,##0\);_(* "-"??_);_(@_)</c:formatCode>
                <c:ptCount val="10"/>
                <c:pt idx="0">
                  <c:v>61293</c:v>
                </c:pt>
                <c:pt idx="1">
                  <c:v>69088</c:v>
                </c:pt>
                <c:pt idx="2">
                  <c:v>76822</c:v>
                </c:pt>
                <c:pt idx="3">
                  <c:v>85376</c:v>
                </c:pt>
                <c:pt idx="4">
                  <c:v>92590</c:v>
                </c:pt>
                <c:pt idx="5">
                  <c:v>37129</c:v>
                </c:pt>
                <c:pt idx="6">
                  <c:v>37999</c:v>
                </c:pt>
                <c:pt idx="7">
                  <c:v>38891</c:v>
                </c:pt>
                <c:pt idx="8">
                  <c:v>40727</c:v>
                </c:pt>
                <c:pt idx="9">
                  <c:v>41157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B-48E7-A9C4-E2B837372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2199375"/>
        <c:axId val="1"/>
      </c:barChart>
      <c:catAx>
        <c:axId val="107219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7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Group Name</a:t>
                </a:r>
              </a:p>
            </c:rich>
          </c:tx>
          <c:layout>
            <c:manualLayout>
              <c:xMode val="edge"/>
              <c:yMode val="edge"/>
              <c:x val="0.57127404104426627"/>
              <c:y val="0.933717311435518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Annual Carbon Dioxide Emissions (pounds)</a:t>
                </a:r>
              </a:p>
            </c:rich>
          </c:tx>
          <c:layout>
            <c:manualLayout>
              <c:xMode val="edge"/>
              <c:yMode val="edge"/>
              <c:x val="1.5700977872252563E-2"/>
              <c:y val="0.3886067787650665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219937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Energy Bills v. House Size</a:t>
            </a:r>
          </a:p>
        </c:rich>
      </c:tx>
      <c:layout>
        <c:manualLayout>
          <c:xMode val="edge"/>
          <c:yMode val="edge"/>
          <c:x val="0.20229202180062394"/>
          <c:y val="2.6927486644460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43491457915855"/>
          <c:y val="0.14113717137785942"/>
          <c:w val="0.73716584215481606"/>
          <c:h val="0.73632747962264822"/>
        </c:manualLayout>
      </c:layout>
      <c:scatterChart>
        <c:scatterStyle val="lineMarker"/>
        <c:varyColors val="0"/>
        <c:ser>
          <c:idx val="0"/>
          <c:order val="0"/>
          <c:tx>
            <c:v>Original</c:v>
          </c:tx>
          <c:spPr>
            <a:ln w="19050">
              <a:noFill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1"/>
            <c:marker>
              <c:symbol val="circle"/>
              <c:size val="12"/>
              <c:spPr>
                <a:solidFill>
                  <a:srgbClr val="FF0000"/>
                </a:solidFill>
                <a:ln>
                  <a:solidFill>
                    <a:srgbClr val="000000"/>
                  </a:solidFill>
                  <a:prstDash val="solid"/>
                </a:ln>
              </c:spPr>
            </c:marker>
            <c:bubble3D val="0"/>
            <c:spPr>
              <a:ln w="31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24-4275-A254-8088A6D6200F}"/>
              </c:ext>
            </c:extLst>
          </c:dPt>
          <c:xVal>
            <c:numRef>
              <c:f>'Data Entry'!$E$5:$E$16</c:f>
              <c:numCache>
                <c:formatCode>General</c:formatCode>
                <c:ptCount val="12"/>
                <c:pt idx="0">
                  <c:v>1200</c:v>
                </c:pt>
                <c:pt idx="1">
                  <c:v>1400</c:v>
                </c:pt>
                <c:pt idx="2">
                  <c:v>1600</c:v>
                </c:pt>
                <c:pt idx="3">
                  <c:v>1800</c:v>
                </c:pt>
                <c:pt idx="4">
                  <c:v>2000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1" formatCode="0">
                  <c:v>1600</c:v>
                </c:pt>
              </c:numCache>
            </c:numRef>
          </c:xVal>
          <c:yVal>
            <c:numRef>
              <c:f>'Data Entry'!$C$5:$C$16</c:f>
              <c:numCache>
                <c:formatCode>_(* #,##0_);_(* \(#,##0\);_(* "-"??_);_(@_)</c:formatCode>
                <c:ptCount val="12"/>
                <c:pt idx="0">
                  <c:v>3040</c:v>
                </c:pt>
                <c:pt idx="1">
                  <c:v>3341</c:v>
                </c:pt>
                <c:pt idx="2">
                  <c:v>3642</c:v>
                </c:pt>
                <c:pt idx="3">
                  <c:v>3969</c:v>
                </c:pt>
                <c:pt idx="4">
                  <c:v>4248</c:v>
                </c:pt>
                <c:pt idx="5">
                  <c:v>1706</c:v>
                </c:pt>
                <c:pt idx="6">
                  <c:v>1751</c:v>
                </c:pt>
                <c:pt idx="7">
                  <c:v>1795</c:v>
                </c:pt>
                <c:pt idx="8">
                  <c:v>1887</c:v>
                </c:pt>
                <c:pt idx="9">
                  <c:v>1909</c:v>
                </c:pt>
                <c:pt idx="11" formatCode="0">
                  <c:v>2728.8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24-4275-A254-8088A6D62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664303"/>
        <c:axId val="1"/>
      </c:scatterChart>
      <c:valAx>
        <c:axId val="875664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House Size (floor area)</a:t>
                </a:r>
              </a:p>
            </c:rich>
          </c:tx>
          <c:layout>
            <c:manualLayout>
              <c:xMode val="edge"/>
              <c:yMode val="edge"/>
              <c:x val="0.36686858190960614"/>
              <c:y val="0.93039109026720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Energy Bill ($/year)</a:t>
                </a:r>
              </a:p>
            </c:rich>
          </c:tx>
          <c:layout>
            <c:manualLayout>
              <c:xMode val="edge"/>
              <c:yMode val="edge"/>
              <c:x val="2.5143641127761168E-2"/>
              <c:y val="0.3760562790002175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5664303"/>
        <c:crosses val="autoZero"/>
        <c:crossBetween val="midCat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Energy Bills v. Occupants</a:t>
            </a:r>
          </a:p>
        </c:rich>
      </c:tx>
      <c:layout>
        <c:manualLayout>
          <c:xMode val="edge"/>
          <c:yMode val="edge"/>
          <c:x val="0.28683058481871454"/>
          <c:y val="3.15701567555738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595352911061522"/>
          <c:y val="0.17363586215565599"/>
          <c:w val="0.74863890091679941"/>
          <c:h val="0.69547198264484678"/>
        </c:manualLayout>
      </c:layout>
      <c:scatterChart>
        <c:scatterStyle val="lineMarker"/>
        <c:varyColors val="0"/>
        <c:ser>
          <c:idx val="0"/>
          <c:order val="0"/>
          <c:tx>
            <c:v>Original</c:v>
          </c:tx>
          <c:spPr>
            <a:ln w="19050">
              <a:noFill/>
            </a:ln>
          </c:spPr>
          <c:marker>
            <c:symbol val="diamond"/>
            <c:size val="8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1"/>
            <c:marker>
              <c:symbol val="circle"/>
              <c:size val="12"/>
              <c:spPr>
                <a:solidFill>
                  <a:srgbClr val="FF0000"/>
                </a:solidFill>
                <a:ln>
                  <a:solidFill>
                    <a:srgbClr val="000080"/>
                  </a:solidFill>
                  <a:prstDash val="solid"/>
                </a:ln>
              </c:spPr>
            </c:marker>
            <c:bubble3D val="0"/>
            <c:spPr>
              <a:ln w="3175">
                <a:solidFill>
                  <a:srgbClr val="FF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FC-42FC-9B58-5D0FBFE95D57}"/>
              </c:ext>
            </c:extLst>
          </c:dPt>
          <c:xVal>
            <c:numRef>
              <c:f>'Data Entry'!$F$5:$F$16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1" formatCode="0.0">
                  <c:v>2.6</c:v>
                </c:pt>
              </c:numCache>
            </c:numRef>
          </c:xVal>
          <c:yVal>
            <c:numRef>
              <c:f>'Data Entry'!$C$5:$C$16</c:f>
              <c:numCache>
                <c:formatCode>_(* #,##0_);_(* \(#,##0\);_(* "-"??_);_(@_)</c:formatCode>
                <c:ptCount val="12"/>
                <c:pt idx="0">
                  <c:v>3040</c:v>
                </c:pt>
                <c:pt idx="1">
                  <c:v>3341</c:v>
                </c:pt>
                <c:pt idx="2">
                  <c:v>3642</c:v>
                </c:pt>
                <c:pt idx="3">
                  <c:v>3969</c:v>
                </c:pt>
                <c:pt idx="4">
                  <c:v>4248</c:v>
                </c:pt>
                <c:pt idx="5">
                  <c:v>1706</c:v>
                </c:pt>
                <c:pt idx="6">
                  <c:v>1751</c:v>
                </c:pt>
                <c:pt idx="7">
                  <c:v>1795</c:v>
                </c:pt>
                <c:pt idx="8">
                  <c:v>1887</c:v>
                </c:pt>
                <c:pt idx="9">
                  <c:v>1909</c:v>
                </c:pt>
                <c:pt idx="11" formatCode="0">
                  <c:v>2728.8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FC-42FC-9B58-5D0FBFE95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878623"/>
        <c:axId val="1"/>
      </c:scatterChart>
      <c:valAx>
        <c:axId val="885878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7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Number of Occupants</a:t>
                </a:r>
              </a:p>
            </c:rich>
          </c:tx>
          <c:layout>
            <c:manualLayout>
              <c:xMode val="edge"/>
              <c:yMode val="edge"/>
              <c:x val="0.3887163523991074"/>
              <c:y val="0.925748420156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Energy Bill ($/year)</a:t>
                </a:r>
              </a:p>
            </c:rich>
          </c:tx>
          <c:layout>
            <c:manualLayout>
              <c:xMode val="edge"/>
              <c:yMode val="edge"/>
              <c:x val="3.8760889840366831E-2"/>
              <c:y val="0.3788418810668858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5878623"/>
        <c:crosses val="autoZero"/>
        <c:crossBetween val="midCat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Absolute Changes in Energy Bills ("Raw Data") </a:t>
            </a:r>
          </a:p>
        </c:rich>
      </c:tx>
      <c:layout>
        <c:manualLayout>
          <c:xMode val="edge"/>
          <c:yMode val="edge"/>
          <c:x val="0.25889860639248313"/>
          <c:y val="2.99488413433124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23749673325756"/>
          <c:y val="0.15885907147322237"/>
          <c:w val="0.59532454272117696"/>
          <c:h val="0.705750956872840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'Comparisons--Raw &amp; Normalized'!$C$5</c:f>
              <c:strCache>
                <c:ptCount val="1"/>
                <c:pt idx="0">
                  <c:v>Bill (Base)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'Comparisons--Raw &amp; Normalized'!$C$6:$C$15</c:f>
              <c:numCache>
                <c:formatCode>_(* #,##0_);_(* \(#,##0\);_(* "-"??_);_(@_)</c:formatCode>
                <c:ptCount val="10"/>
                <c:pt idx="0">
                  <c:v>3040</c:v>
                </c:pt>
                <c:pt idx="1">
                  <c:v>3341</c:v>
                </c:pt>
                <c:pt idx="2">
                  <c:v>3642</c:v>
                </c:pt>
                <c:pt idx="3">
                  <c:v>3969</c:v>
                </c:pt>
                <c:pt idx="4">
                  <c:v>4248</c:v>
                </c:pt>
                <c:pt idx="5">
                  <c:v>1706</c:v>
                </c:pt>
                <c:pt idx="6">
                  <c:v>1751</c:v>
                </c:pt>
                <c:pt idx="7">
                  <c:v>1795</c:v>
                </c:pt>
                <c:pt idx="8">
                  <c:v>1887</c:v>
                </c:pt>
                <c:pt idx="9">
                  <c:v>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6-42B0-BAD7-DDF6501F134D}"/>
            </c:ext>
          </c:extLst>
        </c:ser>
        <c:ser>
          <c:idx val="1"/>
          <c:order val="1"/>
          <c:tx>
            <c:strRef>
              <c:f>'Comparisons--Raw &amp; Normalized'!$D$5</c:f>
              <c:strCache>
                <c:ptCount val="1"/>
                <c:pt idx="0">
                  <c:v>Bill (increased floor area)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'Comparisons--Raw &amp; Normalized'!$D$6:$D$15</c:f>
              <c:numCache>
                <c:formatCode>_(* #,##0_);_(* \(#,##0\);_(* "-"??_);_(@_)</c:formatCode>
                <c:ptCount val="10"/>
                <c:pt idx="0">
                  <c:v>3236</c:v>
                </c:pt>
                <c:pt idx="1">
                  <c:v>3647</c:v>
                </c:pt>
                <c:pt idx="2">
                  <c:v>3711</c:v>
                </c:pt>
                <c:pt idx="3">
                  <c:v>4252</c:v>
                </c:pt>
                <c:pt idx="4">
                  <c:v>4563</c:v>
                </c:pt>
                <c:pt idx="5">
                  <c:v>1747</c:v>
                </c:pt>
                <c:pt idx="6">
                  <c:v>1816</c:v>
                </c:pt>
                <c:pt idx="7">
                  <c:v>1851</c:v>
                </c:pt>
                <c:pt idx="8">
                  <c:v>1942</c:v>
                </c:pt>
                <c:pt idx="9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B6-42B0-BAD7-DDF6501F134D}"/>
            </c:ext>
          </c:extLst>
        </c:ser>
        <c:ser>
          <c:idx val="2"/>
          <c:order val="2"/>
          <c:tx>
            <c:strRef>
              <c:f>'Comparisons--Raw &amp; Normalized'!$E$5</c:f>
              <c:strCache>
                <c:ptCount val="1"/>
                <c:pt idx="0">
                  <c:v>Bill (with efficiency)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'Comparisons--Raw &amp; Normalized'!$E$6:$E$15</c:f>
              <c:numCache>
                <c:formatCode>_(* #,##0_);_(* \(#,##0\);_(* "-"??_);_(@_)</c:formatCode>
                <c:ptCount val="10"/>
                <c:pt idx="0">
                  <c:v>2900</c:v>
                </c:pt>
                <c:pt idx="1">
                  <c:v>3121</c:v>
                </c:pt>
                <c:pt idx="2">
                  <c:v>3435</c:v>
                </c:pt>
                <c:pt idx="3">
                  <c:v>3100</c:v>
                </c:pt>
                <c:pt idx="4">
                  <c:v>3900</c:v>
                </c:pt>
                <c:pt idx="5">
                  <c:v>1400</c:v>
                </c:pt>
                <c:pt idx="6">
                  <c:v>1200</c:v>
                </c:pt>
                <c:pt idx="7">
                  <c:v>1340</c:v>
                </c:pt>
                <c:pt idx="8">
                  <c:v>1134</c:v>
                </c:pt>
                <c:pt idx="9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B6-42B0-BAD7-DDF6501F1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925135"/>
        <c:axId val="1"/>
      </c:barChart>
      <c:catAx>
        <c:axId val="855925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Team</a:t>
                </a:r>
              </a:p>
            </c:rich>
          </c:tx>
          <c:layout>
            <c:manualLayout>
              <c:xMode val="edge"/>
              <c:yMode val="edge"/>
              <c:x val="0.45236130127917384"/>
              <c:y val="0.921903463959355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Energy Bills
($/year)</a:t>
                </a:r>
              </a:p>
            </c:rich>
          </c:tx>
          <c:layout>
            <c:manualLayout>
              <c:xMode val="edge"/>
              <c:yMode val="edge"/>
              <c:x val="1.5647717968776453E-2"/>
              <c:y val="0.4674623496630068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5592513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594219797718101"/>
          <c:y val="0.44662837307635467"/>
          <c:w val="0.20626537322478053"/>
          <c:h val="0.130212353666575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Relative Changes in Energy Bills ("Normalized Data")</a:t>
            </a:r>
          </a:p>
        </c:rich>
      </c:tx>
      <c:layout>
        <c:manualLayout>
          <c:xMode val="edge"/>
          <c:yMode val="edge"/>
          <c:x val="0.18938894950024709"/>
          <c:y val="2.87242836485349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3239194263638"/>
          <c:y val="0.14681300531473401"/>
          <c:w val="0.60905764441556742"/>
          <c:h val="0.727681852429551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'Comparisons--Raw &amp; Normalized'!$C$31</c:f>
              <c:strCache>
                <c:ptCount val="1"/>
                <c:pt idx="0">
                  <c:v>Bill (Base)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'Comparisons--Raw &amp; Normalized'!$C$32:$C$41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F-4DB3-93A5-36A769C8A08A}"/>
            </c:ext>
          </c:extLst>
        </c:ser>
        <c:ser>
          <c:idx val="1"/>
          <c:order val="1"/>
          <c:tx>
            <c:strRef>
              <c:f>'Comparisons--Raw &amp; Normalized'!$D$31</c:f>
              <c:strCache>
                <c:ptCount val="1"/>
                <c:pt idx="0">
                  <c:v>Bill (increased floor area)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'Comparisons--Raw &amp; Normalized'!$D$32:$D$41</c:f>
              <c:numCache>
                <c:formatCode>0%</c:formatCode>
                <c:ptCount val="10"/>
                <c:pt idx="0">
                  <c:v>1.0644736842105262</c:v>
                </c:pt>
                <c:pt idx="1">
                  <c:v>1.0915893445076323</c:v>
                </c:pt>
                <c:pt idx="2">
                  <c:v>1.0189456342668863</c:v>
                </c:pt>
                <c:pt idx="3">
                  <c:v>1.0713025951121189</c:v>
                </c:pt>
                <c:pt idx="4">
                  <c:v>1.0741525423728813</c:v>
                </c:pt>
                <c:pt idx="5">
                  <c:v>1.0240328253223916</c:v>
                </c:pt>
                <c:pt idx="6">
                  <c:v>1.0371216447744147</c:v>
                </c:pt>
                <c:pt idx="7">
                  <c:v>1.0311977715877438</c:v>
                </c:pt>
                <c:pt idx="8">
                  <c:v>1.0291467938526762</c:v>
                </c:pt>
                <c:pt idx="9">
                  <c:v>1.0371922472498691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5F-4DB3-93A5-36A769C8A08A}"/>
            </c:ext>
          </c:extLst>
        </c:ser>
        <c:ser>
          <c:idx val="2"/>
          <c:order val="2"/>
          <c:tx>
            <c:strRef>
              <c:f>'Comparisons--Raw &amp; Normalized'!$E$31</c:f>
              <c:strCache>
                <c:ptCount val="1"/>
                <c:pt idx="0">
                  <c:v>Bill (with efficiency)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'Comparisons--Raw &amp; Normalized'!$E$32:$E$41</c:f>
              <c:numCache>
                <c:formatCode>0%</c:formatCode>
                <c:ptCount val="10"/>
                <c:pt idx="0">
                  <c:v>0.95394736842105265</c:v>
                </c:pt>
                <c:pt idx="1">
                  <c:v>0.9341514516611793</c:v>
                </c:pt>
                <c:pt idx="2">
                  <c:v>0.94316309719934099</c:v>
                </c:pt>
                <c:pt idx="3">
                  <c:v>0.78105316200554298</c:v>
                </c:pt>
                <c:pt idx="4">
                  <c:v>0.91807909604519777</c:v>
                </c:pt>
                <c:pt idx="5">
                  <c:v>0.82063305978898005</c:v>
                </c:pt>
                <c:pt idx="6">
                  <c:v>0.68532267275842373</c:v>
                </c:pt>
                <c:pt idx="7">
                  <c:v>0.74651810584958223</c:v>
                </c:pt>
                <c:pt idx="8">
                  <c:v>0.60095389507154218</c:v>
                </c:pt>
                <c:pt idx="9">
                  <c:v>0.99528548978522791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5F-4DB3-93A5-36A769C8A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597839"/>
        <c:axId val="1"/>
      </c:barChart>
      <c:catAx>
        <c:axId val="758597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Team</a:t>
                </a:r>
              </a:p>
            </c:rich>
          </c:tx>
          <c:layout>
            <c:manualLayout>
              <c:xMode val="edge"/>
              <c:yMode val="edge"/>
              <c:x val="0.45553781413885192"/>
              <c:y val="0.937262736828120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Percentage
of Initial
"Base" Run</a:t>
                </a:r>
              </a:p>
            </c:rich>
          </c:tx>
          <c:layout>
            <c:manualLayout>
              <c:xMode val="edge"/>
              <c:yMode val="edge"/>
              <c:x val="1.5782412458353927E-2"/>
              <c:y val="0.45533308894714608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585978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85968199346135"/>
          <c:y val="0.45958853837655866"/>
          <c:w val="0.19728015572942406"/>
          <c:h val="0.103194648663255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Cumulative Costs
(with and without efficiency)</a:t>
            </a:r>
          </a:p>
        </c:rich>
      </c:tx>
      <c:layout>
        <c:manualLayout>
          <c:xMode val="edge"/>
          <c:yMode val="edge"/>
          <c:x val="0.29020105902654936"/>
          <c:y val="1.30666185671620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559876917486411"/>
          <c:y val="0.27004345038801492"/>
          <c:w val="0.69466246533532894"/>
          <c:h val="0.62806879912825408"/>
        </c:manualLayout>
      </c:layout>
      <c:lineChart>
        <c:grouping val="standard"/>
        <c:varyColors val="0"/>
        <c:ser>
          <c:idx val="0"/>
          <c:order val="0"/>
          <c:tx>
            <c:strRef>
              <c:f>Cashflows!$C$2</c:f>
              <c:strCache>
                <c:ptCount val="1"/>
                <c:pt idx="0">
                  <c:v>Case 0: Without Efficiency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Cashflows!$B$5:$B$10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Cashflows!$C$5:$C$10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2-459E-844D-7B418EE89F6B}"/>
            </c:ext>
          </c:extLst>
        </c:ser>
        <c:ser>
          <c:idx val="1"/>
          <c:order val="1"/>
          <c:tx>
            <c:strRef>
              <c:f>Cashflows!$D$2</c:f>
              <c:strCache>
                <c:ptCount val="1"/>
                <c:pt idx="0">
                  <c:v>Case 1: With Efficiency</c:v>
                </c:pt>
              </c:strCache>
            </c:strRef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square"/>
            <c:size val="9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Cashflows!$B$5:$B$10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Cashflows!$D$5:$D$10</c:f>
              <c:numCache>
                <c:formatCode>General</c:formatCode>
                <c:ptCount val="6"/>
                <c:pt idx="0">
                  <c:v>1000</c:v>
                </c:pt>
                <c:pt idx="1">
                  <c:v>2500</c:v>
                </c:pt>
                <c:pt idx="2">
                  <c:v>4000</c:v>
                </c:pt>
                <c:pt idx="3">
                  <c:v>5500</c:v>
                </c:pt>
                <c:pt idx="4">
                  <c:v>7000</c:v>
                </c:pt>
                <c:pt idx="5">
                  <c:v>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72-459E-844D-7B418EE89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774431"/>
        <c:axId val="1"/>
      </c:lineChart>
      <c:catAx>
        <c:axId val="858774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54400059148530855"/>
              <c:y val="0.948636507975962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Total
Cost ($)</a:t>
                </a:r>
              </a:p>
            </c:rich>
          </c:tx>
          <c:layout>
            <c:manualLayout>
              <c:xMode val="edge"/>
              <c:yMode val="edge"/>
              <c:x val="4.9546522272825501E-2"/>
              <c:y val="0.165510501850718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5877443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7907837035305794"/>
          <c:y val="0.15331499118803429"/>
          <c:w val="0.61275903055780112"/>
          <c:h val="9.146632997013408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6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2</xdr:row>
      <xdr:rowOff>158750</xdr:rowOff>
    </xdr:from>
    <xdr:to>
      <xdr:col>8</xdr:col>
      <xdr:colOff>5384800</xdr:colOff>
      <xdr:row>14</xdr:row>
      <xdr:rowOff>3048000</xdr:rowOff>
    </xdr:to>
    <xdr:graphicFrame macro="">
      <xdr:nvGraphicFramePr>
        <xdr:cNvPr id="2" name="Chart -1023">
          <a:extLst>
            <a:ext uri="{FF2B5EF4-FFF2-40B4-BE49-F238E27FC236}">
              <a16:creationId xmlns:a16="http://schemas.microsoft.com/office/drawing/2014/main" id="{895B2620-4F25-4C81-9D1E-2E28D945E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15</xdr:row>
      <xdr:rowOff>44450</xdr:rowOff>
    </xdr:from>
    <xdr:to>
      <xdr:col>8</xdr:col>
      <xdr:colOff>5314950</xdr:colOff>
      <xdr:row>31</xdr:row>
      <xdr:rowOff>146050</xdr:rowOff>
    </xdr:to>
    <xdr:graphicFrame macro="">
      <xdr:nvGraphicFramePr>
        <xdr:cNvPr id="1051" name="Chart 27">
          <a:extLst>
            <a:ext uri="{FF2B5EF4-FFF2-40B4-BE49-F238E27FC236}">
              <a16:creationId xmlns:a16="http://schemas.microsoft.com/office/drawing/2014/main" id="{527A0D6C-2F25-4106-90E0-0C7ADE9CF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0</xdr:row>
      <xdr:rowOff>12700</xdr:rowOff>
    </xdr:from>
    <xdr:to>
      <xdr:col>16</xdr:col>
      <xdr:colOff>44450</xdr:colOff>
      <xdr:row>46</xdr:row>
      <xdr:rowOff>133350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3B9E0413-F2A4-4282-8C37-CB101EF72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44450</xdr:colOff>
      <xdr:row>0</xdr:row>
      <xdr:rowOff>0</xdr:rowOff>
    </xdr:from>
    <xdr:to>
      <xdr:col>8</xdr:col>
      <xdr:colOff>88900</xdr:colOff>
      <xdr:row>46</xdr:row>
      <xdr:rowOff>120650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CEE136A9-FFBB-4363-AF85-4F86D2CF1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3</xdr:row>
      <xdr:rowOff>190500</xdr:rowOff>
    </xdr:from>
    <xdr:to>
      <xdr:col>15</xdr:col>
      <xdr:colOff>514350</xdr:colOff>
      <xdr:row>17</xdr:row>
      <xdr:rowOff>666750</xdr:rowOff>
    </xdr:to>
    <xdr:graphicFrame macro="">
      <xdr:nvGraphicFramePr>
        <xdr:cNvPr id="15362" name="Chart 2">
          <a:extLst>
            <a:ext uri="{FF2B5EF4-FFF2-40B4-BE49-F238E27FC236}">
              <a16:creationId xmlns:a16="http://schemas.microsoft.com/office/drawing/2014/main" id="{F045667B-176D-460B-9C8D-6BFD1947C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17</xdr:row>
      <xdr:rowOff>800100</xdr:rowOff>
    </xdr:from>
    <xdr:to>
      <xdr:col>15</xdr:col>
      <xdr:colOff>438150</xdr:colOff>
      <xdr:row>37</xdr:row>
      <xdr:rowOff>25400</xdr:rowOff>
    </xdr:to>
    <xdr:graphicFrame macro="">
      <xdr:nvGraphicFramePr>
        <xdr:cNvPr id="15363" name="Chart 3">
          <a:extLst>
            <a:ext uri="{FF2B5EF4-FFF2-40B4-BE49-F238E27FC236}">
              <a16:creationId xmlns:a16="http://schemas.microsoft.com/office/drawing/2014/main" id="{2F669760-34DB-4C2E-9793-D5981004D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0</xdr:row>
      <xdr:rowOff>95250</xdr:rowOff>
    </xdr:from>
    <xdr:to>
      <xdr:col>13</xdr:col>
      <xdr:colOff>654050</xdr:colOff>
      <xdr:row>27</xdr:row>
      <xdr:rowOff>0</xdr:rowOff>
    </xdr:to>
    <xdr:graphicFrame macro="">
      <xdr:nvGraphicFramePr>
        <xdr:cNvPr id="2" name="Chart -1023">
          <a:extLst>
            <a:ext uri="{FF2B5EF4-FFF2-40B4-BE49-F238E27FC236}">
              <a16:creationId xmlns:a16="http://schemas.microsoft.com/office/drawing/2014/main" id="{6C483D36-79A0-4A62-A691-FF8B8A13C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603250</xdr:colOff>
      <xdr:row>49</xdr:row>
      <xdr:rowOff>76200</xdr:rowOff>
    </xdr:to>
    <xdr:pic>
      <xdr:nvPicPr>
        <xdr:cNvPr id="5" name="Picture -1019">
          <a:extLst>
            <a:ext uri="{FF2B5EF4-FFF2-40B4-BE49-F238E27FC236}">
              <a16:creationId xmlns:a16="http://schemas.microsoft.com/office/drawing/2014/main" id="{04A56EDF-53D4-40E7-8AC4-1B6DE0E22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426450" cy="723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3"/>
  <sheetViews>
    <sheetView tabSelected="1" workbookViewId="0">
      <selection activeCell="A3" sqref="A3"/>
    </sheetView>
  </sheetViews>
  <sheetFormatPr defaultRowHeight="11.5"/>
  <cols>
    <col min="1" max="1" width="161.296875" customWidth="1"/>
    <col min="2" max="256" width="11.19921875" customWidth="1"/>
  </cols>
  <sheetData>
    <row r="2" spans="1:1" ht="45">
      <c r="A2" s="98" t="s">
        <v>44</v>
      </c>
    </row>
    <row r="5" spans="1:1" ht="29.5">
      <c r="A5" s="91" t="s">
        <v>64</v>
      </c>
    </row>
    <row r="6" spans="1:1" ht="29.5">
      <c r="A6" s="91"/>
    </row>
    <row r="7" spans="1:1" ht="29.5">
      <c r="A7" s="91" t="s">
        <v>65</v>
      </c>
    </row>
    <row r="8" spans="1:1" ht="29.5">
      <c r="A8" s="91"/>
    </row>
    <row r="9" spans="1:1" ht="29.5">
      <c r="A9" s="91" t="s">
        <v>66</v>
      </c>
    </row>
    <row r="10" spans="1:1" ht="29.5">
      <c r="A10" s="91"/>
    </row>
    <row r="11" spans="1:1" ht="29.5">
      <c r="A11" s="91" t="s">
        <v>67</v>
      </c>
    </row>
    <row r="12" spans="1:1" ht="29.5">
      <c r="A12" s="91"/>
    </row>
    <row r="13" spans="1:1" ht="59">
      <c r="A13" s="91" t="s">
        <v>68</v>
      </c>
    </row>
  </sheetData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C5" sqref="C5:D14"/>
    </sheetView>
  </sheetViews>
  <sheetFormatPr defaultColWidth="10.796875" defaultRowHeight="22.5"/>
  <cols>
    <col min="1" max="1" width="54.69921875" style="1" customWidth="1"/>
    <col min="2" max="2" width="24.69921875" style="1" customWidth="1"/>
    <col min="3" max="3" width="15" style="1" customWidth="1"/>
    <col min="4" max="4" width="18.19921875" style="1" customWidth="1"/>
    <col min="5" max="5" width="11.296875" style="1" customWidth="1"/>
    <col min="6" max="6" width="10.796875" style="1" bestFit="1"/>
    <col min="7" max="7" width="17" style="1" customWidth="1"/>
    <col min="8" max="8" width="17.5" style="1" customWidth="1"/>
    <col min="9" max="9" width="113.5" style="1" customWidth="1"/>
    <col min="10" max="10" width="5.5" style="1" bestFit="1" customWidth="1"/>
    <col min="11" max="11" width="18.796875" style="1" customWidth="1"/>
    <col min="12" max="12" width="20.796875" style="1" customWidth="1"/>
    <col min="13" max="13" width="15.5" style="1" customWidth="1"/>
    <col min="14" max="14" width="21" style="1" customWidth="1"/>
    <col min="15" max="15" width="17" style="1" bestFit="1" customWidth="1"/>
    <col min="16" max="16" width="13" style="1" customWidth="1"/>
    <col min="17" max="17" width="13.19921875" style="1" customWidth="1"/>
    <col min="18" max="18" width="21.796875" style="1" customWidth="1"/>
    <col min="19" max="19" width="13.69921875" style="1" customWidth="1"/>
    <col min="20" max="20" width="6.19921875" style="1" customWidth="1"/>
    <col min="21" max="21" width="12.796875" style="1" customWidth="1"/>
    <col min="22" max="22" width="20.5" style="1" customWidth="1"/>
    <col min="23" max="23" width="13.296875" style="1" customWidth="1"/>
    <col min="24" max="16384" width="10.796875" style="1"/>
  </cols>
  <sheetData>
    <row r="1" spans="1:23" ht="30">
      <c r="A1" s="45" t="s">
        <v>0</v>
      </c>
    </row>
    <row r="2" spans="1:23" ht="23">
      <c r="A2" s="82" t="s">
        <v>16</v>
      </c>
      <c r="B2" s="93"/>
      <c r="D2" s="115" t="s">
        <v>48</v>
      </c>
      <c r="E2" s="3"/>
    </row>
    <row r="3" spans="1:23" ht="23.5" thickBot="1">
      <c r="A3" s="83" t="s">
        <v>17</v>
      </c>
      <c r="B3" s="92"/>
      <c r="C3" s="16" t="s">
        <v>23</v>
      </c>
      <c r="D3" s="16" t="s">
        <v>23</v>
      </c>
      <c r="E3" s="16" t="s">
        <v>23</v>
      </c>
      <c r="F3" s="16" t="s">
        <v>23</v>
      </c>
      <c r="G3" s="16" t="s">
        <v>9</v>
      </c>
      <c r="H3" s="16" t="s">
        <v>8</v>
      </c>
      <c r="J3" s="143" t="s">
        <v>18</v>
      </c>
      <c r="K3" s="144"/>
      <c r="L3" s="144"/>
      <c r="M3" s="144"/>
      <c r="N3" s="11"/>
      <c r="Q3" s="10" t="s">
        <v>2</v>
      </c>
      <c r="R3" s="10"/>
      <c r="S3" s="10"/>
      <c r="U3" s="142" t="s">
        <v>81</v>
      </c>
      <c r="V3" s="142"/>
      <c r="W3" s="142"/>
    </row>
    <row r="4" spans="1:23" ht="113.5" thickBot="1">
      <c r="A4" s="62" t="s">
        <v>24</v>
      </c>
      <c r="B4" s="84" t="s">
        <v>75</v>
      </c>
      <c r="C4" s="94" t="s">
        <v>76</v>
      </c>
      <c r="D4" s="94" t="s">
        <v>74</v>
      </c>
      <c r="E4" s="94" t="s">
        <v>78</v>
      </c>
      <c r="F4" s="95" t="s">
        <v>69</v>
      </c>
      <c r="G4" s="96" t="s">
        <v>13</v>
      </c>
      <c r="H4" s="97" t="s">
        <v>7</v>
      </c>
      <c r="I4" s="5" t="s">
        <v>24</v>
      </c>
      <c r="J4" s="48"/>
      <c r="K4" s="56" t="s">
        <v>3</v>
      </c>
      <c r="L4" s="57" t="s">
        <v>5</v>
      </c>
      <c r="M4" s="15" t="s">
        <v>4</v>
      </c>
      <c r="P4" s="49" t="s">
        <v>6</v>
      </c>
      <c r="Q4" s="50" t="s">
        <v>80</v>
      </c>
      <c r="R4" s="14" t="s">
        <v>1</v>
      </c>
      <c r="S4" s="50" t="s">
        <v>79</v>
      </c>
      <c r="U4" s="46" t="s">
        <v>80</v>
      </c>
      <c r="V4" s="50" t="s">
        <v>1</v>
      </c>
      <c r="W4" s="47" t="s">
        <v>79</v>
      </c>
    </row>
    <row r="5" spans="1:23" ht="23">
      <c r="B5" s="117" t="s">
        <v>32</v>
      </c>
      <c r="C5" s="131">
        <v>3040</v>
      </c>
      <c r="D5" s="131">
        <v>61293</v>
      </c>
      <c r="E5" s="59">
        <v>1200</v>
      </c>
      <c r="F5" s="59">
        <v>4</v>
      </c>
      <c r="G5" s="126">
        <f t="shared" ref="G5:G14" si="0">+C5/F5</f>
        <v>760</v>
      </c>
      <c r="H5" s="127">
        <f t="shared" ref="H5:H14" si="1">+C5/E5</f>
        <v>2.5333333333333332</v>
      </c>
      <c r="I5"/>
      <c r="J5" s="6">
        <v>1</v>
      </c>
      <c r="K5" s="51">
        <f t="shared" ref="K5:K14" si="2">+C5/C$16</f>
        <v>1.1140428026971563</v>
      </c>
      <c r="L5" s="52">
        <f t="shared" ref="L5:L14" si="3">+G5/G$16</f>
        <v>0.55428599212330432</v>
      </c>
      <c r="M5" s="53">
        <f t="shared" ref="M5:M14" si="4">+H5/H$16</f>
        <v>1.462486164626597</v>
      </c>
      <c r="P5" s="12">
        <v>0.5</v>
      </c>
      <c r="Q5" s="25">
        <f t="array" ref="Q5:Q16">FREQUENCY(K5:K14,P5:P15)</f>
        <v>0</v>
      </c>
      <c r="R5" s="25">
        <f t="array" ref="R5:R16">FREQUENCY(L5:L14,P5:P15)</f>
        <v>3</v>
      </c>
      <c r="S5" s="26">
        <f t="array" ref="S5:S16">FREQUENCY(M5:M14,P5:P15)</f>
        <v>0</v>
      </c>
      <c r="U5" s="30">
        <f>+Q5</f>
        <v>0</v>
      </c>
      <c r="V5" s="25">
        <f>+R5</f>
        <v>3</v>
      </c>
      <c r="W5" s="31">
        <f>+S5</f>
        <v>0</v>
      </c>
    </row>
    <row r="6" spans="1:23" ht="23">
      <c r="B6" s="2" t="s">
        <v>33</v>
      </c>
      <c r="C6" s="132">
        <v>3341</v>
      </c>
      <c r="D6" s="132">
        <v>69088</v>
      </c>
      <c r="E6" s="60">
        <v>1400</v>
      </c>
      <c r="F6" s="60">
        <v>3</v>
      </c>
      <c r="G6" s="61">
        <f t="shared" si="0"/>
        <v>1113.6666666666667</v>
      </c>
      <c r="H6" s="20">
        <f t="shared" si="1"/>
        <v>2.3864285714285716</v>
      </c>
      <c r="I6"/>
      <c r="J6" s="6">
        <v>2</v>
      </c>
      <c r="K6" s="54">
        <f t="shared" si="2"/>
        <v>1.2243476986221049</v>
      </c>
      <c r="L6" s="21">
        <f t="shared" si="3"/>
        <v>0.81222346477366658</v>
      </c>
      <c r="M6" s="22">
        <f t="shared" si="4"/>
        <v>1.3776784612831188</v>
      </c>
      <c r="P6" s="13">
        <v>0.6</v>
      </c>
      <c r="Q6" s="19">
        <v>0</v>
      </c>
      <c r="R6" s="19">
        <v>1</v>
      </c>
      <c r="S6" s="27">
        <v>1</v>
      </c>
      <c r="U6" s="32">
        <f>+U5+Q6</f>
        <v>0</v>
      </c>
      <c r="V6" s="19">
        <f>+V5+R6</f>
        <v>4</v>
      </c>
      <c r="W6" s="33">
        <f>+W5+S6</f>
        <v>1</v>
      </c>
    </row>
    <row r="7" spans="1:23" ht="23">
      <c r="B7" s="2" t="s">
        <v>34</v>
      </c>
      <c r="C7" s="132">
        <v>3642</v>
      </c>
      <c r="D7" s="132">
        <v>76822</v>
      </c>
      <c r="E7" s="60">
        <v>1600</v>
      </c>
      <c r="F7" s="60">
        <v>2</v>
      </c>
      <c r="G7" s="61">
        <f t="shared" si="0"/>
        <v>1821</v>
      </c>
      <c r="H7" s="20">
        <f t="shared" si="1"/>
        <v>2.2762500000000001</v>
      </c>
      <c r="I7"/>
      <c r="J7" s="6">
        <v>3</v>
      </c>
      <c r="K7" s="54">
        <f t="shared" si="2"/>
        <v>1.3346525945470535</v>
      </c>
      <c r="L7" s="21">
        <f t="shared" si="3"/>
        <v>1.3280984100743909</v>
      </c>
      <c r="M7" s="22">
        <f t="shared" si="4"/>
        <v>1.3140726837755099</v>
      </c>
      <c r="P7" s="13">
        <v>0.7</v>
      </c>
      <c r="Q7" s="19">
        <v>5</v>
      </c>
      <c r="R7" s="19">
        <v>1</v>
      </c>
      <c r="S7" s="27">
        <v>2</v>
      </c>
      <c r="U7" s="32">
        <f t="shared" ref="U7:U16" si="5">+U6+Q7</f>
        <v>5</v>
      </c>
      <c r="V7" s="19">
        <f t="shared" ref="V7:V16" si="6">+V6+R7</f>
        <v>5</v>
      </c>
      <c r="W7" s="33">
        <f t="shared" ref="W7:W16" si="7">+W6+S7</f>
        <v>3</v>
      </c>
    </row>
    <row r="8" spans="1:23" ht="23">
      <c r="B8" s="2" t="s">
        <v>35</v>
      </c>
      <c r="C8" s="132">
        <v>3969</v>
      </c>
      <c r="D8" s="132">
        <v>85376</v>
      </c>
      <c r="E8" s="60">
        <v>1800</v>
      </c>
      <c r="F8" s="60">
        <v>3</v>
      </c>
      <c r="G8" s="61">
        <f t="shared" si="0"/>
        <v>1323</v>
      </c>
      <c r="H8" s="20">
        <f t="shared" si="1"/>
        <v>2.2050000000000001</v>
      </c>
      <c r="I8" s="81" t="s">
        <v>24</v>
      </c>
      <c r="J8" s="6">
        <v>4</v>
      </c>
      <c r="K8" s="54">
        <f t="shared" si="2"/>
        <v>1.4544854881266489</v>
      </c>
      <c r="L8" s="21">
        <f t="shared" si="3"/>
        <v>0.96489522049885734</v>
      </c>
      <c r="M8" s="22">
        <f t="shared" si="4"/>
        <v>1.2729402603953868</v>
      </c>
      <c r="P8" s="13">
        <v>0.8</v>
      </c>
      <c r="Q8" s="19">
        <v>0</v>
      </c>
      <c r="R8" s="19">
        <v>0</v>
      </c>
      <c r="S8" s="27">
        <v>1</v>
      </c>
      <c r="U8" s="32">
        <f t="shared" si="5"/>
        <v>5</v>
      </c>
      <c r="V8" s="34">
        <f t="shared" si="6"/>
        <v>5</v>
      </c>
      <c r="W8" s="33">
        <f t="shared" si="7"/>
        <v>4</v>
      </c>
    </row>
    <row r="9" spans="1:23" ht="23">
      <c r="B9" s="2" t="s">
        <v>36</v>
      </c>
      <c r="C9" s="132">
        <v>4248</v>
      </c>
      <c r="D9" s="132">
        <v>92590</v>
      </c>
      <c r="E9" s="60">
        <v>2000</v>
      </c>
      <c r="F9" s="60">
        <v>1</v>
      </c>
      <c r="G9" s="61">
        <f t="shared" si="0"/>
        <v>4248</v>
      </c>
      <c r="H9" s="20">
        <f t="shared" si="1"/>
        <v>2.1240000000000001</v>
      </c>
      <c r="I9"/>
      <c r="J9" s="6">
        <v>5</v>
      </c>
      <c r="K9" s="54">
        <f t="shared" si="2"/>
        <v>1.5567282321899736</v>
      </c>
      <c r="L9" s="21">
        <f t="shared" si="3"/>
        <v>3.0981669664997322</v>
      </c>
      <c r="M9" s="22">
        <f t="shared" si="4"/>
        <v>1.2261791896053522</v>
      </c>
      <c r="P9" s="13">
        <v>0.9</v>
      </c>
      <c r="Q9" s="19">
        <v>0</v>
      </c>
      <c r="R9" s="19">
        <v>1</v>
      </c>
      <c r="S9" s="27">
        <v>1</v>
      </c>
      <c r="U9" s="32">
        <f t="shared" si="5"/>
        <v>5</v>
      </c>
      <c r="V9" s="34">
        <f t="shared" si="6"/>
        <v>6</v>
      </c>
      <c r="W9" s="33">
        <f t="shared" si="7"/>
        <v>5</v>
      </c>
    </row>
    <row r="10" spans="1:23" ht="23">
      <c r="A10"/>
      <c r="B10" s="2" t="s">
        <v>37</v>
      </c>
      <c r="C10" s="132">
        <v>1706</v>
      </c>
      <c r="D10" s="132">
        <v>37129</v>
      </c>
      <c r="E10" s="60">
        <v>1200</v>
      </c>
      <c r="F10" s="60">
        <v>4</v>
      </c>
      <c r="G10" s="61">
        <f t="shared" si="0"/>
        <v>426.5</v>
      </c>
      <c r="H10" s="20">
        <f t="shared" si="1"/>
        <v>1.4216666666666666</v>
      </c>
      <c r="I10"/>
      <c r="J10" s="6">
        <v>6</v>
      </c>
      <c r="K10" s="54">
        <f t="shared" si="2"/>
        <v>0.62518323072412774</v>
      </c>
      <c r="L10" s="21">
        <f t="shared" si="3"/>
        <v>0.31105654689551221</v>
      </c>
      <c r="M10" s="22">
        <f t="shared" si="4"/>
        <v>0.82072414370163638</v>
      </c>
      <c r="P10" s="13">
        <v>1</v>
      </c>
      <c r="Q10" s="19">
        <v>0</v>
      </c>
      <c r="R10" s="19">
        <v>1</v>
      </c>
      <c r="S10" s="27">
        <v>0</v>
      </c>
      <c r="U10" s="32">
        <f t="shared" si="5"/>
        <v>5</v>
      </c>
      <c r="V10" s="34">
        <f t="shared" si="6"/>
        <v>7</v>
      </c>
      <c r="W10" s="33">
        <f t="shared" si="7"/>
        <v>5</v>
      </c>
    </row>
    <row r="11" spans="1:23" ht="23">
      <c r="A11"/>
      <c r="B11" s="2" t="s">
        <v>38</v>
      </c>
      <c r="C11" s="132">
        <v>1751</v>
      </c>
      <c r="D11" s="132">
        <v>37999</v>
      </c>
      <c r="E11" s="60">
        <v>1400</v>
      </c>
      <c r="F11" s="60">
        <v>3</v>
      </c>
      <c r="G11" s="61">
        <f t="shared" si="0"/>
        <v>583.66666666666663</v>
      </c>
      <c r="H11" s="20">
        <f t="shared" si="1"/>
        <v>1.2507142857142857</v>
      </c>
      <c r="I11"/>
      <c r="J11" s="6">
        <v>7</v>
      </c>
      <c r="K11" s="54">
        <f t="shared" si="2"/>
        <v>0.64167399589563179</v>
      </c>
      <c r="L11" s="21">
        <f t="shared" si="3"/>
        <v>0.42568191763504637</v>
      </c>
      <c r="M11" s="22">
        <f t="shared" si="4"/>
        <v>0.72203381793078136</v>
      </c>
      <c r="P11" s="13">
        <v>1.1000000000000001</v>
      </c>
      <c r="Q11" s="19">
        <v>0</v>
      </c>
      <c r="R11" s="19">
        <v>0</v>
      </c>
      <c r="S11" s="27">
        <v>0</v>
      </c>
      <c r="U11" s="32">
        <f t="shared" si="5"/>
        <v>5</v>
      </c>
      <c r="V11" s="34">
        <f t="shared" si="6"/>
        <v>7</v>
      </c>
      <c r="W11" s="33">
        <f t="shared" si="7"/>
        <v>5</v>
      </c>
    </row>
    <row r="12" spans="1:23" ht="23">
      <c r="A12"/>
      <c r="B12" s="2" t="s">
        <v>39</v>
      </c>
      <c r="C12" s="132">
        <v>1795</v>
      </c>
      <c r="D12" s="132">
        <v>38891</v>
      </c>
      <c r="E12" s="60">
        <v>1600</v>
      </c>
      <c r="F12" s="60">
        <v>2</v>
      </c>
      <c r="G12" s="61">
        <f t="shared" si="0"/>
        <v>897.5</v>
      </c>
      <c r="H12" s="20">
        <f t="shared" si="1"/>
        <v>1.121875</v>
      </c>
      <c r="I12"/>
      <c r="J12" s="6">
        <v>8</v>
      </c>
      <c r="K12" s="54">
        <f t="shared" si="2"/>
        <v>0.65779829961888003</v>
      </c>
      <c r="L12" s="21">
        <f t="shared" si="3"/>
        <v>0.65456799727719162</v>
      </c>
      <c r="M12" s="22">
        <f t="shared" si="4"/>
        <v>0.64765526287123565</v>
      </c>
      <c r="P12" s="13">
        <v>1.2</v>
      </c>
      <c r="Q12" s="19">
        <v>1</v>
      </c>
      <c r="R12" s="19">
        <v>0</v>
      </c>
      <c r="S12" s="27">
        <v>0</v>
      </c>
      <c r="U12" s="32">
        <f t="shared" si="5"/>
        <v>6</v>
      </c>
      <c r="V12" s="34">
        <f t="shared" si="6"/>
        <v>7</v>
      </c>
      <c r="W12" s="33">
        <f t="shared" si="7"/>
        <v>5</v>
      </c>
    </row>
    <row r="13" spans="1:23" ht="23">
      <c r="A13"/>
      <c r="B13" s="2" t="s">
        <v>40</v>
      </c>
      <c r="C13" s="132">
        <v>1887</v>
      </c>
      <c r="D13" s="132">
        <v>40727</v>
      </c>
      <c r="E13" s="60">
        <v>1800</v>
      </c>
      <c r="F13" s="60">
        <v>3</v>
      </c>
      <c r="G13" s="61">
        <f t="shared" si="0"/>
        <v>629</v>
      </c>
      <c r="H13" s="20">
        <f t="shared" si="1"/>
        <v>1.0483333333333333</v>
      </c>
      <c r="I13"/>
      <c r="J13" s="6">
        <v>9</v>
      </c>
      <c r="K13" s="54">
        <f t="shared" si="2"/>
        <v>0.6915127528583993</v>
      </c>
      <c r="L13" s="21">
        <f t="shared" si="3"/>
        <v>0.45874459084941893</v>
      </c>
      <c r="M13" s="22">
        <f t="shared" si="4"/>
        <v>0.60519986680929583</v>
      </c>
      <c r="P13" s="13">
        <v>1.3</v>
      </c>
      <c r="Q13" s="19">
        <v>1</v>
      </c>
      <c r="R13" s="19">
        <v>0</v>
      </c>
      <c r="S13" s="27">
        <v>2</v>
      </c>
      <c r="U13" s="32">
        <f t="shared" si="5"/>
        <v>7</v>
      </c>
      <c r="V13" s="34">
        <f t="shared" si="6"/>
        <v>7</v>
      </c>
      <c r="W13" s="33">
        <f t="shared" si="7"/>
        <v>7</v>
      </c>
    </row>
    <row r="14" spans="1:23" ht="27" customHeight="1" thickBot="1">
      <c r="A14"/>
      <c r="B14" s="64" t="s">
        <v>41</v>
      </c>
      <c r="C14" s="133">
        <v>1909</v>
      </c>
      <c r="D14" s="133">
        <v>41157</v>
      </c>
      <c r="E14" s="128">
        <v>2000</v>
      </c>
      <c r="F14" s="128">
        <v>1</v>
      </c>
      <c r="G14" s="129">
        <f t="shared" si="0"/>
        <v>1909</v>
      </c>
      <c r="H14" s="130">
        <f t="shared" si="1"/>
        <v>0.95450000000000002</v>
      </c>
      <c r="I14"/>
      <c r="J14" s="7">
        <v>10</v>
      </c>
      <c r="K14" s="55">
        <f t="shared" si="2"/>
        <v>0.69957490472002337</v>
      </c>
      <c r="L14" s="23">
        <f t="shared" si="3"/>
        <v>1.3922788933728787</v>
      </c>
      <c r="M14" s="24">
        <f t="shared" si="4"/>
        <v>0.55103014900108693</v>
      </c>
      <c r="P14" s="13">
        <v>1.4</v>
      </c>
      <c r="Q14" s="19">
        <v>1</v>
      </c>
      <c r="R14" s="19">
        <v>2</v>
      </c>
      <c r="S14" s="27">
        <v>2</v>
      </c>
      <c r="U14" s="32">
        <f t="shared" si="5"/>
        <v>8</v>
      </c>
      <c r="V14" s="34">
        <f t="shared" si="6"/>
        <v>9</v>
      </c>
      <c r="W14" s="33">
        <f t="shared" si="7"/>
        <v>9</v>
      </c>
    </row>
    <row r="15" spans="1:23" ht="24" customHeight="1" thickBot="1">
      <c r="A15" s="3" t="s">
        <v>29</v>
      </c>
      <c r="B15" s="118"/>
      <c r="C15" s="116"/>
      <c r="D15" s="116"/>
      <c r="E15" s="116"/>
      <c r="F15" s="116"/>
      <c r="G15" s="116"/>
      <c r="H15" s="116"/>
      <c r="I15" s="5"/>
      <c r="J15"/>
      <c r="K15"/>
      <c r="L15"/>
      <c r="M15"/>
      <c r="P15" s="13">
        <v>1.5</v>
      </c>
      <c r="Q15" s="19">
        <v>1</v>
      </c>
      <c r="R15" s="19">
        <v>0</v>
      </c>
      <c r="S15" s="27">
        <v>1</v>
      </c>
      <c r="U15" s="32">
        <f t="shared" si="5"/>
        <v>9</v>
      </c>
      <c r="V15" s="34">
        <f t="shared" si="6"/>
        <v>9</v>
      </c>
      <c r="W15" s="33">
        <f t="shared" si="7"/>
        <v>10</v>
      </c>
    </row>
    <row r="16" spans="1:23" ht="23.5" thickBot="1">
      <c r="A16" s="44" t="s">
        <v>20</v>
      </c>
      <c r="B16" s="122" t="s">
        <v>77</v>
      </c>
      <c r="C16" s="123">
        <f>AVERAGE(C5:C14)</f>
        <v>2728.8</v>
      </c>
      <c r="D16" s="123"/>
      <c r="E16" s="123">
        <f>AVERAGE(E5:E14)</f>
        <v>1600</v>
      </c>
      <c r="F16" s="124">
        <f>AVERAGE(F5:F14)</f>
        <v>2.6</v>
      </c>
      <c r="G16" s="123">
        <f>AVERAGE(G5:G14)</f>
        <v>1371.1333333333334</v>
      </c>
      <c r="H16" s="125">
        <f>AVERAGE(H5:H14)</f>
        <v>1.7322101190476189</v>
      </c>
      <c r="I16" s="5"/>
      <c r="J16"/>
      <c r="K16"/>
      <c r="L16"/>
      <c r="M16"/>
      <c r="P16" s="4" t="s">
        <v>82</v>
      </c>
      <c r="Q16" s="28">
        <v>1</v>
      </c>
      <c r="R16" s="28">
        <v>1</v>
      </c>
      <c r="S16" s="29">
        <v>0</v>
      </c>
      <c r="U16" s="35">
        <f t="shared" si="5"/>
        <v>10</v>
      </c>
      <c r="V16" s="36">
        <f t="shared" si="6"/>
        <v>10</v>
      </c>
      <c r="W16" s="37">
        <f t="shared" si="7"/>
        <v>10</v>
      </c>
    </row>
    <row r="17" spans="1:23" ht="23">
      <c r="A17" s="44" t="s">
        <v>22</v>
      </c>
      <c r="B17" s="8" t="s">
        <v>21</v>
      </c>
      <c r="C17" s="38">
        <f>STDEV(C5:C14)</f>
        <v>1022.3354309292683</v>
      </c>
      <c r="D17" s="38"/>
      <c r="E17" s="38"/>
      <c r="F17" s="120"/>
      <c r="G17" s="38">
        <f>STDEV(G5:G14)</f>
        <v>1130.273248400307</v>
      </c>
      <c r="H17" s="39">
        <f>STDEV(H5:H14)</f>
        <v>0.6250434723105629</v>
      </c>
      <c r="I17" s="5"/>
      <c r="J17"/>
      <c r="K17"/>
      <c r="L17"/>
      <c r="M17"/>
    </row>
    <row r="18" spans="1:23" ht="23.5" thickBot="1">
      <c r="A18" s="44" t="s">
        <v>49</v>
      </c>
      <c r="B18" s="9" t="s">
        <v>19</v>
      </c>
      <c r="C18" s="113">
        <f>+C17/C16</f>
        <v>0.37464652262139703</v>
      </c>
      <c r="D18" s="113"/>
      <c r="E18" s="40"/>
      <c r="F18" s="40"/>
      <c r="G18" s="40">
        <f>+G17/G16</f>
        <v>0.82433503797367647</v>
      </c>
      <c r="H18" s="77">
        <f>+H17/H16</f>
        <v>0.36083582784646018</v>
      </c>
      <c r="I18" s="5"/>
      <c r="J18"/>
      <c r="K18"/>
      <c r="L18"/>
      <c r="M18"/>
      <c r="O18"/>
      <c r="P18"/>
      <c r="Q18"/>
      <c r="R18"/>
      <c r="S18"/>
      <c r="U18" s="3"/>
    </row>
    <row r="19" spans="1:23" ht="23.5" thickBot="1">
      <c r="A19" s="75" t="s">
        <v>30</v>
      </c>
      <c r="B19" s="74"/>
      <c r="C19" s="76"/>
      <c r="D19" s="76"/>
      <c r="E19" s="76"/>
      <c r="F19" s="76"/>
      <c r="G19" s="76"/>
      <c r="H19" s="76"/>
      <c r="I19" s="5"/>
      <c r="J19"/>
      <c r="K19"/>
      <c r="L19"/>
      <c r="M19"/>
      <c r="O19"/>
      <c r="P19"/>
      <c r="Q19"/>
      <c r="R19"/>
      <c r="S19"/>
      <c r="U19" s="3"/>
    </row>
    <row r="20" spans="1:23" ht="23">
      <c r="A20" s="44" t="s">
        <v>20</v>
      </c>
      <c r="B20" s="122" t="s">
        <v>77</v>
      </c>
      <c r="C20" s="123">
        <f>AVERAGE(C5:C9)</f>
        <v>3648</v>
      </c>
      <c r="D20" s="123"/>
      <c r="E20" s="123">
        <f>AVERAGE(E5:E9)</f>
        <v>1600</v>
      </c>
      <c r="F20" s="124">
        <f>AVERAGE(F5:F9)</f>
        <v>2.6</v>
      </c>
      <c r="G20" s="123">
        <f>AVERAGE(G5:G9)</f>
        <v>1853.1333333333337</v>
      </c>
      <c r="H20" s="125">
        <f>AVERAGE(H5:H9)</f>
        <v>2.3050023809523812</v>
      </c>
      <c r="I20" s="5"/>
      <c r="J20"/>
      <c r="K20"/>
      <c r="L20"/>
      <c r="M20"/>
      <c r="O20"/>
      <c r="P20"/>
      <c r="Q20"/>
      <c r="R20"/>
      <c r="S20"/>
      <c r="U20" s="3"/>
    </row>
    <row r="21" spans="1:23" ht="23">
      <c r="A21" s="44" t="s">
        <v>22</v>
      </c>
      <c r="B21" s="8" t="s">
        <v>21</v>
      </c>
      <c r="C21" s="38">
        <f>STDEV(C5:C9)</f>
        <v>481.40159949879683</v>
      </c>
      <c r="D21" s="38"/>
      <c r="E21" s="38"/>
      <c r="F21" s="120"/>
      <c r="G21" s="38">
        <f>STDEV(G5:G9)</f>
        <v>1392.7680791223715</v>
      </c>
      <c r="H21" s="39">
        <f>STDEV(H5:H9)</f>
        <v>0.15996428181602315</v>
      </c>
      <c r="I21" s="5"/>
      <c r="J21"/>
      <c r="K21"/>
      <c r="L21"/>
      <c r="M21"/>
      <c r="O21"/>
      <c r="P21"/>
      <c r="Q21"/>
      <c r="R21"/>
      <c r="S21"/>
      <c r="U21" s="3"/>
    </row>
    <row r="22" spans="1:23" ht="23.5" thickBot="1">
      <c r="A22" s="44" t="s">
        <v>49</v>
      </c>
      <c r="B22" s="9" t="s">
        <v>19</v>
      </c>
      <c r="C22" s="40">
        <f>+C21/C20</f>
        <v>0.13196315775734563</v>
      </c>
      <c r="D22" s="40"/>
      <c r="E22" s="40"/>
      <c r="F22" s="40"/>
      <c r="G22" s="40">
        <f>+G21/G20</f>
        <v>0.75157467305232828</v>
      </c>
      <c r="H22" s="41">
        <f>+H21/H20</f>
        <v>6.9398749058961526E-2</v>
      </c>
      <c r="I22" s="5"/>
      <c r="J22"/>
      <c r="K22"/>
      <c r="L22"/>
      <c r="M22"/>
      <c r="O22"/>
      <c r="P22"/>
      <c r="Q22"/>
      <c r="R22"/>
      <c r="S22"/>
      <c r="U22" s="3"/>
    </row>
    <row r="23" spans="1:23" ht="23">
      <c r="A23" s="75" t="s">
        <v>63</v>
      </c>
      <c r="B23" s="74"/>
      <c r="C23" s="76"/>
      <c r="D23" s="76"/>
      <c r="E23" s="76"/>
      <c r="F23" s="76"/>
      <c r="G23" s="76"/>
      <c r="H23" s="76"/>
      <c r="I23" s="5"/>
      <c r="J23"/>
      <c r="K23"/>
      <c r="L23"/>
      <c r="M23"/>
      <c r="O23"/>
      <c r="P23"/>
      <c r="Q23"/>
      <c r="R23"/>
      <c r="S23"/>
      <c r="U23" s="3"/>
    </row>
    <row r="24" spans="1:23" ht="23">
      <c r="A24" s="44" t="s">
        <v>20</v>
      </c>
      <c r="B24" s="74" t="s">
        <v>77</v>
      </c>
      <c r="C24" s="38">
        <f>AVERAGE(C10:C14)</f>
        <v>1809.6</v>
      </c>
      <c r="D24" s="38"/>
      <c r="E24" s="38">
        <f>AVERAGE(E10:E14)</f>
        <v>1600</v>
      </c>
      <c r="F24" s="119">
        <f>AVERAGE(F10:F14)</f>
        <v>2.6</v>
      </c>
      <c r="G24" s="38">
        <f>AVERAGE(G10:G14)</f>
        <v>889.13333333333321</v>
      </c>
      <c r="H24" s="120">
        <f>AVERAGE(H10:H14)</f>
        <v>1.1594178571428573</v>
      </c>
      <c r="I24" s="5"/>
      <c r="J24"/>
      <c r="K24"/>
      <c r="L24"/>
      <c r="M24"/>
      <c r="O24"/>
      <c r="P24"/>
      <c r="Q24"/>
      <c r="R24"/>
      <c r="S24"/>
      <c r="U24" s="3"/>
    </row>
    <row r="25" spans="1:23" ht="23">
      <c r="A25" s="44" t="s">
        <v>22</v>
      </c>
      <c r="B25" s="74" t="s">
        <v>21</v>
      </c>
      <c r="C25" s="38">
        <f>STDEV(C10:C14)</f>
        <v>86.964360516248263</v>
      </c>
      <c r="D25" s="38"/>
      <c r="E25" s="38"/>
      <c r="F25" s="120"/>
      <c r="G25" s="38">
        <f>STDEV(G10:G14)</f>
        <v>594.81233501743156</v>
      </c>
      <c r="H25" s="120">
        <f>STDEV(H10:H14)</f>
        <v>0.18224299828457594</v>
      </c>
      <c r="I25" s="5"/>
      <c r="J25"/>
      <c r="K25"/>
      <c r="L25"/>
      <c r="M25"/>
      <c r="O25"/>
      <c r="P25"/>
      <c r="Q25"/>
      <c r="R25"/>
      <c r="S25"/>
      <c r="U25" s="3"/>
    </row>
    <row r="26" spans="1:23" ht="23">
      <c r="A26" s="44" t="s">
        <v>49</v>
      </c>
      <c r="B26" s="74" t="s">
        <v>19</v>
      </c>
      <c r="C26" s="121">
        <f>+C25/C24</f>
        <v>4.8057228401993959E-2</v>
      </c>
      <c r="D26" s="121"/>
      <c r="E26" s="121"/>
      <c r="F26" s="121"/>
      <c r="G26" s="121">
        <f>+G25/G24</f>
        <v>0.66897990742007007</v>
      </c>
      <c r="H26" s="121">
        <f>+H25/H24</f>
        <v>0.15718491582808261</v>
      </c>
      <c r="I26" s="5"/>
      <c r="J26"/>
      <c r="K26"/>
      <c r="L26"/>
      <c r="M26"/>
      <c r="O26"/>
      <c r="P26"/>
      <c r="Q26"/>
      <c r="R26"/>
      <c r="S26"/>
      <c r="U26" s="3"/>
    </row>
    <row r="27" spans="1:23" ht="23">
      <c r="C27" s="5"/>
      <c r="D27" s="5"/>
      <c r="E27" s="5"/>
      <c r="F27" s="5"/>
      <c r="G27" s="5"/>
      <c r="H27" s="5"/>
      <c r="I27" s="5"/>
      <c r="J27"/>
      <c r="K27"/>
      <c r="L27"/>
      <c r="M27"/>
      <c r="O27"/>
      <c r="P27"/>
      <c r="Q27"/>
      <c r="R27"/>
      <c r="S27"/>
      <c r="U27" s="3"/>
    </row>
    <row r="28" spans="1:23" ht="23">
      <c r="B28" s="43"/>
      <c r="E28" s="3"/>
      <c r="I28" s="5"/>
      <c r="J28"/>
      <c r="K28"/>
      <c r="L28"/>
      <c r="M28"/>
      <c r="O28"/>
      <c r="P28"/>
      <c r="Q28"/>
      <c r="R28"/>
      <c r="S28"/>
      <c r="U28" s="3"/>
    </row>
    <row r="29" spans="1:23">
      <c r="I29" s="5"/>
      <c r="J29" s="5"/>
      <c r="K29" s="5"/>
      <c r="L29" s="5"/>
      <c r="M29" s="5"/>
      <c r="N29" s="5"/>
    </row>
    <row r="31" spans="1:23" ht="23">
      <c r="J31" s="143" t="s">
        <v>18</v>
      </c>
      <c r="K31" s="144"/>
      <c r="L31" s="144"/>
      <c r="M31" s="144"/>
      <c r="N31" s="11"/>
      <c r="Q31" s="10" t="s">
        <v>2</v>
      </c>
      <c r="R31" s="10"/>
      <c r="S31" s="10"/>
      <c r="U31" s="142" t="s">
        <v>81</v>
      </c>
      <c r="V31" s="142"/>
      <c r="W31" s="142"/>
    </row>
    <row r="32" spans="1:23">
      <c r="K32" s="16" t="s">
        <v>10</v>
      </c>
      <c r="L32" s="16" t="s">
        <v>11</v>
      </c>
      <c r="M32" s="16" t="s">
        <v>12</v>
      </c>
      <c r="Q32" s="1" t="s">
        <v>14</v>
      </c>
      <c r="V32" s="1" t="s">
        <v>14</v>
      </c>
    </row>
  </sheetData>
  <mergeCells count="4">
    <mergeCell ref="U3:W3"/>
    <mergeCell ref="J3:M3"/>
    <mergeCell ref="J31:M31"/>
    <mergeCell ref="U31:W31"/>
  </mergeCells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workbookViewId="0">
      <selection activeCell="I49" sqref="I49"/>
    </sheetView>
  </sheetViews>
  <sheetFormatPr defaultRowHeight="11.5"/>
  <cols>
    <col min="1" max="256" width="11.19921875" customWidth="1"/>
  </cols>
  <sheetData>
    <row r="1" spans="1:16">
      <c r="A1" t="s">
        <v>83</v>
      </c>
    </row>
    <row r="15" spans="1:16">
      <c r="P15" s="17" t="s">
        <v>15</v>
      </c>
    </row>
    <row r="49" spans="2:3" ht="18">
      <c r="B49" s="87" t="s">
        <v>73</v>
      </c>
      <c r="C49" s="85"/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zoomScale="75" workbookViewId="0">
      <selection activeCell="D2" sqref="D2"/>
    </sheetView>
  </sheetViews>
  <sheetFormatPr defaultRowHeight="11.5"/>
  <cols>
    <col min="1" max="1" width="19" customWidth="1"/>
    <col min="2" max="2" width="25.296875" bestFit="1" customWidth="1"/>
    <col min="3" max="3" width="17.296875" customWidth="1"/>
    <col min="4" max="4" width="21.796875" customWidth="1"/>
    <col min="5" max="5" width="21" customWidth="1"/>
    <col min="6" max="6" width="15.296875" customWidth="1"/>
    <col min="7" max="7" width="12.19921875" customWidth="1"/>
    <col min="8" max="8" width="19.19921875" customWidth="1"/>
    <col min="9" max="9" width="19.69921875" customWidth="1"/>
    <col min="10" max="10" width="17.69921875" customWidth="1"/>
    <col min="11" max="11" width="17.19921875" customWidth="1"/>
    <col min="12" max="12" width="14.69921875" customWidth="1"/>
    <col min="13" max="256" width="11.19921875" customWidth="1"/>
  </cols>
  <sheetData>
    <row r="1" spans="1:6" ht="30">
      <c r="A1" s="45" t="s">
        <v>28</v>
      </c>
      <c r="B1" s="1"/>
      <c r="C1" s="1"/>
      <c r="D1" s="1"/>
      <c r="E1" s="1"/>
    </row>
    <row r="2" spans="1:6" ht="23">
      <c r="A2" s="42" t="s">
        <v>16</v>
      </c>
      <c r="B2" s="69"/>
      <c r="C2" s="1"/>
      <c r="D2" s="115" t="s">
        <v>48</v>
      </c>
      <c r="E2" s="1"/>
    </row>
    <row r="3" spans="1:6" ht="23">
      <c r="A3" s="18" t="s">
        <v>17</v>
      </c>
      <c r="B3" s="18"/>
      <c r="C3" s="18"/>
      <c r="D3" s="3"/>
      <c r="E3" s="1"/>
    </row>
    <row r="4" spans="1:6" ht="23" thickBot="1">
      <c r="A4" s="1"/>
      <c r="C4" s="16" t="s">
        <v>70</v>
      </c>
      <c r="D4" s="16" t="s">
        <v>71</v>
      </c>
      <c r="E4" s="1" t="s">
        <v>83</v>
      </c>
    </row>
    <row r="5" spans="1:6" ht="69.5" thickBot="1">
      <c r="A5" s="62" t="s">
        <v>24</v>
      </c>
      <c r="B5" s="58" t="s">
        <v>75</v>
      </c>
      <c r="C5" s="67" t="s">
        <v>25</v>
      </c>
      <c r="D5" s="67" t="s">
        <v>27</v>
      </c>
      <c r="E5" s="68" t="s">
        <v>26</v>
      </c>
      <c r="F5" s="90" t="s">
        <v>72</v>
      </c>
    </row>
    <row r="6" spans="1:6" ht="23">
      <c r="A6" s="114"/>
      <c r="B6" s="79" t="str">
        <f>+'Data Entry'!$B5</f>
        <v>1. Anchorage</v>
      </c>
      <c r="C6" s="134">
        <f>+'Data Entry'!C5</f>
        <v>3040</v>
      </c>
      <c r="D6" s="135">
        <v>3236</v>
      </c>
      <c r="E6" s="136">
        <v>2900</v>
      </c>
      <c r="F6" s="86">
        <f>+(E6-D6)/D6</f>
        <v>-0.103831891223733</v>
      </c>
    </row>
    <row r="7" spans="1:6" ht="23">
      <c r="A7" s="114"/>
      <c r="B7" s="79" t="str">
        <f>+'Data Entry'!$B6</f>
        <v>2. Anchorage</v>
      </c>
      <c r="C7" s="134">
        <f>+'Data Entry'!C6</f>
        <v>3341</v>
      </c>
      <c r="D7" s="136">
        <v>3647</v>
      </c>
      <c r="E7" s="136">
        <v>3121</v>
      </c>
      <c r="F7" s="86">
        <f t="shared" ref="F7:F15" si="0">+(E7-D7)/D7</f>
        <v>-0.14422813271181792</v>
      </c>
    </row>
    <row r="8" spans="1:6" ht="23">
      <c r="A8" s="114"/>
      <c r="B8" s="79" t="str">
        <f>+'Data Entry'!$B7</f>
        <v>3. Anchorage</v>
      </c>
      <c r="C8" s="134">
        <f>+'Data Entry'!C7</f>
        <v>3642</v>
      </c>
      <c r="D8" s="136">
        <v>3711</v>
      </c>
      <c r="E8" s="136">
        <v>3435</v>
      </c>
      <c r="F8" s="86">
        <f t="shared" si="0"/>
        <v>-7.4373484236054971E-2</v>
      </c>
    </row>
    <row r="9" spans="1:6" ht="23">
      <c r="A9" s="114"/>
      <c r="B9" s="79" t="str">
        <f>+'Data Entry'!$B8</f>
        <v>4. Anchorage</v>
      </c>
      <c r="C9" s="134">
        <f>+'Data Entry'!C8</f>
        <v>3969</v>
      </c>
      <c r="D9" s="136">
        <v>4252</v>
      </c>
      <c r="E9" s="136">
        <v>3100</v>
      </c>
      <c r="F9" s="86">
        <f t="shared" si="0"/>
        <v>-0.27093132643461898</v>
      </c>
    </row>
    <row r="10" spans="1:6" ht="23">
      <c r="A10" s="114"/>
      <c r="B10" s="79" t="str">
        <f>+'Data Entry'!$B9</f>
        <v>5. Anchorage</v>
      </c>
      <c r="C10" s="134">
        <f>+'Data Entry'!C9</f>
        <v>4248</v>
      </c>
      <c r="D10" s="136">
        <v>4563</v>
      </c>
      <c r="E10" s="136">
        <v>3900</v>
      </c>
      <c r="F10" s="86">
        <f t="shared" si="0"/>
        <v>-0.14529914529914531</v>
      </c>
    </row>
    <row r="11" spans="1:6" ht="23">
      <c r="A11" s="114"/>
      <c r="B11" s="79" t="str">
        <f>+'Data Entry'!$B10</f>
        <v>6. Dallas</v>
      </c>
      <c r="C11" s="134">
        <f>+'Data Entry'!C10</f>
        <v>1706</v>
      </c>
      <c r="D11" s="136">
        <v>1747</v>
      </c>
      <c r="E11" s="136">
        <v>1400</v>
      </c>
      <c r="F11" s="86">
        <f t="shared" si="0"/>
        <v>-0.19862621637092159</v>
      </c>
    </row>
    <row r="12" spans="1:6" ht="23">
      <c r="A12" s="114"/>
      <c r="B12" s="79" t="str">
        <f>+'Data Entry'!$B11</f>
        <v>7. Dallas</v>
      </c>
      <c r="C12" s="134">
        <f>+'Data Entry'!C11</f>
        <v>1751</v>
      </c>
      <c r="D12" s="136">
        <v>1816</v>
      </c>
      <c r="E12" s="136">
        <v>1200</v>
      </c>
      <c r="F12" s="86">
        <f t="shared" si="0"/>
        <v>-0.33920704845814981</v>
      </c>
    </row>
    <row r="13" spans="1:6" ht="23">
      <c r="A13" s="114"/>
      <c r="B13" s="79" t="str">
        <f>+'Data Entry'!$B12</f>
        <v>8. Dallas</v>
      </c>
      <c r="C13" s="134">
        <f>+'Data Entry'!C12</f>
        <v>1795</v>
      </c>
      <c r="D13" s="136">
        <v>1851</v>
      </c>
      <c r="E13" s="136">
        <v>1340</v>
      </c>
      <c r="F13" s="86">
        <f t="shared" si="0"/>
        <v>-0.27606699081577524</v>
      </c>
    </row>
    <row r="14" spans="1:6" ht="23">
      <c r="A14" s="114"/>
      <c r="B14" s="79" t="str">
        <f>+'Data Entry'!$B13</f>
        <v>9. Dallas</v>
      </c>
      <c r="C14" s="134">
        <f>+'Data Entry'!C13</f>
        <v>1887</v>
      </c>
      <c r="D14" s="136">
        <v>1942</v>
      </c>
      <c r="E14" s="136">
        <v>1134</v>
      </c>
      <c r="F14" s="86">
        <f t="shared" si="0"/>
        <v>-0.41606591143151389</v>
      </c>
    </row>
    <row r="15" spans="1:6" ht="23.5" thickBot="1">
      <c r="A15" s="114"/>
      <c r="B15" s="80" t="str">
        <f>+'Data Entry'!$B14</f>
        <v>10. Dallas</v>
      </c>
      <c r="C15" s="137">
        <f>+'Data Entry'!C14</f>
        <v>1909</v>
      </c>
      <c r="D15" s="138">
        <v>1980</v>
      </c>
      <c r="E15" s="138">
        <v>1900</v>
      </c>
      <c r="F15" s="86">
        <f t="shared" si="0"/>
        <v>-4.0404040404040407E-2</v>
      </c>
    </row>
    <row r="16" spans="1:6">
      <c r="C16" s="139"/>
      <c r="D16" s="139"/>
      <c r="E16" s="139"/>
    </row>
    <row r="17" spans="1:6" ht="12" thickBot="1">
      <c r="C17" s="139"/>
      <c r="D17" s="139"/>
      <c r="E17" s="139"/>
    </row>
    <row r="18" spans="1:6" ht="69.5" thickBot="1">
      <c r="B18" s="58" t="s">
        <v>75</v>
      </c>
      <c r="C18" s="140" t="s">
        <v>45</v>
      </c>
      <c r="D18" s="140" t="s">
        <v>46</v>
      </c>
      <c r="E18" s="141" t="s">
        <v>47</v>
      </c>
      <c r="F18" s="90" t="s">
        <v>72</v>
      </c>
    </row>
    <row r="19" spans="1:6" ht="23">
      <c r="A19" s="114"/>
      <c r="B19" s="79" t="str">
        <f>+B6</f>
        <v>1. Anchorage</v>
      </c>
      <c r="C19" s="134">
        <f>+'Data Entry'!$D5</f>
        <v>61293</v>
      </c>
      <c r="D19" s="135">
        <v>66400</v>
      </c>
      <c r="E19" s="136"/>
      <c r="F19" s="86">
        <f>+(E19-D19)/D19</f>
        <v>-1</v>
      </c>
    </row>
    <row r="20" spans="1:6" ht="23">
      <c r="A20" s="114"/>
      <c r="B20" s="79" t="str">
        <f t="shared" ref="B20:B28" si="1">+B7</f>
        <v>2. Anchorage</v>
      </c>
      <c r="C20" s="134">
        <f>+'Data Entry'!$D6</f>
        <v>69088</v>
      </c>
      <c r="D20" s="136">
        <v>77061</v>
      </c>
      <c r="E20" s="136"/>
      <c r="F20" s="86">
        <f t="shared" ref="F20:F28" si="2">+(E20-D20)/D20</f>
        <v>-1</v>
      </c>
    </row>
    <row r="21" spans="1:6" ht="23">
      <c r="A21" s="114"/>
      <c r="B21" s="79" t="str">
        <f t="shared" si="1"/>
        <v>3. Anchorage</v>
      </c>
      <c r="C21" s="134">
        <f>+'Data Entry'!$D7</f>
        <v>76822</v>
      </c>
      <c r="D21" s="136">
        <v>80202</v>
      </c>
      <c r="E21" s="136"/>
      <c r="F21" s="86">
        <f t="shared" si="2"/>
        <v>-1</v>
      </c>
    </row>
    <row r="22" spans="1:6" ht="23">
      <c r="A22" s="114"/>
      <c r="B22" s="79" t="str">
        <f t="shared" si="1"/>
        <v>4. Anchorage</v>
      </c>
      <c r="C22" s="134">
        <f>+'Data Entry'!$D8</f>
        <v>85376</v>
      </c>
      <c r="D22" s="136">
        <v>92784</v>
      </c>
      <c r="E22" s="136"/>
      <c r="F22" s="86">
        <f t="shared" si="2"/>
        <v>-1</v>
      </c>
    </row>
    <row r="23" spans="1:6" ht="23">
      <c r="A23" s="114"/>
      <c r="B23" s="79" t="str">
        <f t="shared" si="1"/>
        <v>5. Anchorage</v>
      </c>
      <c r="C23" s="134">
        <f>+'Data Entry'!$D9</f>
        <v>92590</v>
      </c>
      <c r="D23" s="136">
        <v>100809</v>
      </c>
      <c r="E23" s="136"/>
      <c r="F23" s="86">
        <f t="shared" si="2"/>
        <v>-1</v>
      </c>
    </row>
    <row r="24" spans="1:6" ht="23">
      <c r="A24" s="114"/>
      <c r="B24" s="79" t="str">
        <f t="shared" si="1"/>
        <v>6. Dallas</v>
      </c>
      <c r="C24" s="134">
        <f>+'Data Entry'!$D10</f>
        <v>37129</v>
      </c>
      <c r="D24" s="136">
        <v>37953</v>
      </c>
      <c r="E24" s="136"/>
      <c r="F24" s="86">
        <f t="shared" si="2"/>
        <v>-1</v>
      </c>
    </row>
    <row r="25" spans="1:6" ht="23">
      <c r="A25" s="114"/>
      <c r="B25" s="79" t="str">
        <f t="shared" si="1"/>
        <v>7. Dallas</v>
      </c>
      <c r="C25" s="134">
        <f>+'Data Entry'!$D11</f>
        <v>37999</v>
      </c>
      <c r="D25" s="136">
        <v>39316</v>
      </c>
      <c r="E25" s="136"/>
      <c r="F25" s="86">
        <f t="shared" si="2"/>
        <v>-1</v>
      </c>
    </row>
    <row r="26" spans="1:6" ht="23">
      <c r="A26" s="114"/>
      <c r="B26" s="79" t="str">
        <f t="shared" si="1"/>
        <v>8. Dallas</v>
      </c>
      <c r="C26" s="134">
        <f>+'Data Entry'!$D12</f>
        <v>38891</v>
      </c>
      <c r="D26" s="136">
        <v>40018</v>
      </c>
      <c r="E26" s="136"/>
      <c r="F26" s="86">
        <f t="shared" si="2"/>
        <v>-1</v>
      </c>
    </row>
    <row r="27" spans="1:6" ht="23">
      <c r="A27" s="114"/>
      <c r="B27" s="79" t="str">
        <f t="shared" si="1"/>
        <v>9. Dallas</v>
      </c>
      <c r="C27" s="134">
        <f>+'Data Entry'!$D13</f>
        <v>40727</v>
      </c>
      <c r="D27" s="136">
        <v>41829</v>
      </c>
      <c r="E27" s="136"/>
      <c r="F27" s="86">
        <f t="shared" si="2"/>
        <v>-1</v>
      </c>
    </row>
    <row r="28" spans="1:6" ht="23.5" thickBot="1">
      <c r="A28" s="114"/>
      <c r="B28" s="80" t="str">
        <f t="shared" si="1"/>
        <v>10. Dallas</v>
      </c>
      <c r="C28" s="137">
        <f>+'Data Entry'!$D14</f>
        <v>41157</v>
      </c>
      <c r="D28" s="138">
        <v>42567</v>
      </c>
      <c r="E28" s="138"/>
      <c r="F28" s="86">
        <f t="shared" si="2"/>
        <v>-1</v>
      </c>
    </row>
    <row r="30" spans="1:6" ht="12" thickBot="1"/>
    <row r="31" spans="1:6" ht="69.5" thickBot="1">
      <c r="B31" s="78" t="str">
        <f t="shared" ref="B31:B41" si="3">+B5</f>
        <v>Group</v>
      </c>
      <c r="C31" s="66" t="str">
        <f>+'Comparisons--Raw &amp; Normalized'!C5</f>
        <v>Bill (Base)</v>
      </c>
      <c r="D31" s="63" t="str">
        <f>+'Comparisons--Raw &amp; Normalized'!D5</f>
        <v>Bill (increased floor area)</v>
      </c>
      <c r="E31" s="65" t="str">
        <f>+'Comparisons--Raw &amp; Normalized'!E5</f>
        <v>Bill (with efficiency)</v>
      </c>
    </row>
    <row r="32" spans="1:6" ht="23">
      <c r="A32" s="1" t="s">
        <v>31</v>
      </c>
      <c r="B32" s="79" t="str">
        <f t="shared" si="3"/>
        <v>1. Anchorage</v>
      </c>
      <c r="C32" s="70">
        <f>+'Comparisons--Raw &amp; Normalized'!C6/'Comparisons--Raw &amp; Normalized'!C6</f>
        <v>1</v>
      </c>
      <c r="D32" s="88">
        <f>+'Comparisons--Raw &amp; Normalized'!D6/'Comparisons--Raw &amp; Normalized'!C6</f>
        <v>1.0644736842105262</v>
      </c>
      <c r="E32" s="71">
        <f>+'Comparisons--Raw &amp; Normalized'!E6/'Comparisons--Raw &amp; Normalized'!C6</f>
        <v>0.95394736842105265</v>
      </c>
    </row>
    <row r="33" spans="1:5" ht="23">
      <c r="A33" s="1" t="s">
        <v>23</v>
      </c>
      <c r="B33" s="79" t="str">
        <f t="shared" si="3"/>
        <v>2. Anchorage</v>
      </c>
      <c r="C33" s="70">
        <f>+'Comparisons--Raw &amp; Normalized'!C7/'Comparisons--Raw &amp; Normalized'!C7</f>
        <v>1</v>
      </c>
      <c r="D33" s="88">
        <f>+'Comparisons--Raw &amp; Normalized'!D7/'Comparisons--Raw &amp; Normalized'!C7</f>
        <v>1.0915893445076323</v>
      </c>
      <c r="E33" s="71">
        <f>+'Comparisons--Raw &amp; Normalized'!E7/'Comparisons--Raw &amp; Normalized'!C7</f>
        <v>0.9341514516611793</v>
      </c>
    </row>
    <row r="34" spans="1:5" ht="23">
      <c r="B34" s="79" t="str">
        <f t="shared" si="3"/>
        <v>3. Anchorage</v>
      </c>
      <c r="C34" s="70">
        <f>+'Comparisons--Raw &amp; Normalized'!C8/'Comparisons--Raw &amp; Normalized'!C8</f>
        <v>1</v>
      </c>
      <c r="D34" s="88">
        <f>+'Comparisons--Raw &amp; Normalized'!D8/'Comparisons--Raw &amp; Normalized'!C8</f>
        <v>1.0189456342668863</v>
      </c>
      <c r="E34" s="71">
        <f>+'Comparisons--Raw &amp; Normalized'!E8/'Comparisons--Raw &amp; Normalized'!C8</f>
        <v>0.94316309719934099</v>
      </c>
    </row>
    <row r="35" spans="1:5" ht="23">
      <c r="B35" s="79" t="str">
        <f t="shared" si="3"/>
        <v>4. Anchorage</v>
      </c>
      <c r="C35" s="70">
        <f>+'Comparisons--Raw &amp; Normalized'!C9/'Comparisons--Raw &amp; Normalized'!C9</f>
        <v>1</v>
      </c>
      <c r="D35" s="88">
        <f>+'Comparisons--Raw &amp; Normalized'!D9/'Comparisons--Raw &amp; Normalized'!C9</f>
        <v>1.0713025951121189</v>
      </c>
      <c r="E35" s="71">
        <f>+'Comparisons--Raw &amp; Normalized'!E9/'Comparisons--Raw &amp; Normalized'!C9</f>
        <v>0.78105316200554298</v>
      </c>
    </row>
    <row r="36" spans="1:5" ht="23">
      <c r="B36" s="79" t="str">
        <f t="shared" si="3"/>
        <v>5. Anchorage</v>
      </c>
      <c r="C36" s="70">
        <f>+'Comparisons--Raw &amp; Normalized'!C10/'Comparisons--Raw &amp; Normalized'!C10</f>
        <v>1</v>
      </c>
      <c r="D36" s="88">
        <f>+'Comparisons--Raw &amp; Normalized'!D10/'Comparisons--Raw &amp; Normalized'!C10</f>
        <v>1.0741525423728813</v>
      </c>
      <c r="E36" s="71">
        <f>+'Comparisons--Raw &amp; Normalized'!E10/'Comparisons--Raw &amp; Normalized'!C10</f>
        <v>0.91807909604519777</v>
      </c>
    </row>
    <row r="37" spans="1:5" ht="23">
      <c r="B37" s="79" t="str">
        <f t="shared" si="3"/>
        <v>6. Dallas</v>
      </c>
      <c r="C37" s="70">
        <f>+'Comparisons--Raw &amp; Normalized'!C11/'Comparisons--Raw &amp; Normalized'!C11</f>
        <v>1</v>
      </c>
      <c r="D37" s="88">
        <f>+'Comparisons--Raw &amp; Normalized'!D11/'Comparisons--Raw &amp; Normalized'!C11</f>
        <v>1.0240328253223916</v>
      </c>
      <c r="E37" s="71">
        <f>+'Comparisons--Raw &amp; Normalized'!E11/'Comparisons--Raw &amp; Normalized'!C11</f>
        <v>0.82063305978898005</v>
      </c>
    </row>
    <row r="38" spans="1:5" ht="23">
      <c r="B38" s="79" t="str">
        <f t="shared" si="3"/>
        <v>7. Dallas</v>
      </c>
      <c r="C38" s="70">
        <f>+'Comparisons--Raw &amp; Normalized'!C12/'Comparisons--Raw &amp; Normalized'!C12</f>
        <v>1</v>
      </c>
      <c r="D38" s="88">
        <f>+'Comparisons--Raw &amp; Normalized'!D12/'Comparisons--Raw &amp; Normalized'!C12</f>
        <v>1.0371216447744147</v>
      </c>
      <c r="E38" s="71">
        <f>+'Comparisons--Raw &amp; Normalized'!E12/'Comparisons--Raw &amp; Normalized'!C12</f>
        <v>0.68532267275842373</v>
      </c>
    </row>
    <row r="39" spans="1:5" ht="23">
      <c r="B39" s="79" t="str">
        <f t="shared" si="3"/>
        <v>8. Dallas</v>
      </c>
      <c r="C39" s="70">
        <f>+'Comparisons--Raw &amp; Normalized'!C13/'Comparisons--Raw &amp; Normalized'!C13</f>
        <v>1</v>
      </c>
      <c r="D39" s="88">
        <f>+'Comparisons--Raw &amp; Normalized'!D13/'Comparisons--Raw &amp; Normalized'!C13</f>
        <v>1.0311977715877438</v>
      </c>
      <c r="E39" s="71">
        <f>+'Comparisons--Raw &amp; Normalized'!E13/'Comparisons--Raw &amp; Normalized'!C13</f>
        <v>0.74651810584958223</v>
      </c>
    </row>
    <row r="40" spans="1:5" ht="23">
      <c r="B40" s="79" t="str">
        <f t="shared" si="3"/>
        <v>9. Dallas</v>
      </c>
      <c r="C40" s="70">
        <f>+'Comparisons--Raw &amp; Normalized'!C14/'Comparisons--Raw &amp; Normalized'!C14</f>
        <v>1</v>
      </c>
      <c r="D40" s="88">
        <f>+'Comparisons--Raw &amp; Normalized'!D14/'Comparisons--Raw &amp; Normalized'!C14</f>
        <v>1.0291467938526762</v>
      </c>
      <c r="E40" s="71">
        <f>+'Comparisons--Raw &amp; Normalized'!E14/'Comparisons--Raw &amp; Normalized'!C14</f>
        <v>0.60095389507154218</v>
      </c>
    </row>
    <row r="41" spans="1:5" ht="23.5" thickBot="1">
      <c r="B41" s="80" t="str">
        <f t="shared" si="3"/>
        <v>10. Dallas</v>
      </c>
      <c r="C41" s="72">
        <f>+'Comparisons--Raw &amp; Normalized'!C15/'Comparisons--Raw &amp; Normalized'!C15</f>
        <v>1</v>
      </c>
      <c r="D41" s="89">
        <f>+'Comparisons--Raw &amp; Normalized'!D15/'Comparisons--Raw &amp; Normalized'!C15</f>
        <v>1.0371922472498691</v>
      </c>
      <c r="E41" s="73">
        <f>+'Comparisons--Raw &amp; Normalized'!E15/'Comparisons--Raw &amp; Normalized'!C15</f>
        <v>0.99528548978522791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8"/>
  <sheetViews>
    <sheetView workbookViewId="0">
      <selection activeCell="P9" sqref="P9"/>
    </sheetView>
  </sheetViews>
  <sheetFormatPr defaultRowHeight="11.5"/>
  <cols>
    <col min="1" max="1" width="3.69921875" customWidth="1"/>
    <col min="2" max="2" width="23" customWidth="1"/>
    <col min="3" max="3" width="23.19921875" customWidth="1"/>
    <col min="4" max="4" width="17.69921875" customWidth="1"/>
    <col min="5" max="256" width="11.19921875" customWidth="1"/>
  </cols>
  <sheetData>
    <row r="1" spans="2:4" ht="12" thickBot="1"/>
    <row r="2" spans="2:4" ht="67.5">
      <c r="B2" s="100"/>
      <c r="C2" s="101" t="s">
        <v>56</v>
      </c>
      <c r="D2" s="102" t="s">
        <v>57</v>
      </c>
    </row>
    <row r="3" spans="2:4" ht="8" customHeight="1">
      <c r="B3" s="110"/>
      <c r="C3" s="111" t="s">
        <v>24</v>
      </c>
      <c r="D3" s="112" t="s">
        <v>24</v>
      </c>
    </row>
    <row r="4" spans="2:4" ht="22.5">
      <c r="B4" s="103" t="s">
        <v>53</v>
      </c>
      <c r="C4" s="145" t="s">
        <v>59</v>
      </c>
      <c r="D4" s="146"/>
    </row>
    <row r="5" spans="2:4" ht="22.5">
      <c r="B5" s="104">
        <v>0</v>
      </c>
      <c r="C5" s="105">
        <v>0</v>
      </c>
      <c r="D5" s="106">
        <v>1000</v>
      </c>
    </row>
    <row r="6" spans="2:4" ht="22.5">
      <c r="B6" s="104">
        <v>1</v>
      </c>
      <c r="C6" s="105">
        <v>2000</v>
      </c>
      <c r="D6" s="106">
        <f>+D5+1500</f>
        <v>2500</v>
      </c>
    </row>
    <row r="7" spans="2:4" ht="22.5">
      <c r="B7" s="104">
        <v>2</v>
      </c>
      <c r="C7" s="105">
        <f>+C$6*B7</f>
        <v>4000</v>
      </c>
      <c r="D7" s="106">
        <f>+D6+1500</f>
        <v>4000</v>
      </c>
    </row>
    <row r="8" spans="2:4" ht="22.5">
      <c r="B8" s="104">
        <v>3</v>
      </c>
      <c r="C8" s="105">
        <f>+C$6*B8</f>
        <v>6000</v>
      </c>
      <c r="D8" s="106">
        <f>+D7+1500</f>
        <v>5500</v>
      </c>
    </row>
    <row r="9" spans="2:4" ht="22.5">
      <c r="B9" s="104">
        <v>4</v>
      </c>
      <c r="C9" s="105">
        <f>+C$6*B9</f>
        <v>8000</v>
      </c>
      <c r="D9" s="106">
        <f>+D8+1500</f>
        <v>7000</v>
      </c>
    </row>
    <row r="10" spans="2:4" ht="23" thickBot="1">
      <c r="B10" s="107">
        <v>5</v>
      </c>
      <c r="C10" s="108">
        <f>+C$6*B10</f>
        <v>10000</v>
      </c>
      <c r="D10" s="109">
        <f>+D9+1500</f>
        <v>8500</v>
      </c>
    </row>
    <row r="12" spans="2:4" ht="22.5">
      <c r="C12" s="1" t="s">
        <v>55</v>
      </c>
    </row>
    <row r="13" spans="2:4" ht="22.5">
      <c r="C13" s="16" t="s">
        <v>54</v>
      </c>
    </row>
    <row r="14" spans="2:4" ht="22.5">
      <c r="C14" s="16"/>
    </row>
    <row r="15" spans="2:4" ht="23">
      <c r="C15" s="99" t="s">
        <v>43</v>
      </c>
    </row>
    <row r="16" spans="2:4" ht="22.5">
      <c r="C16" s="16"/>
    </row>
    <row r="17" spans="3:4" ht="22.5">
      <c r="C17" s="16" t="s">
        <v>42</v>
      </c>
    </row>
    <row r="18" spans="3:4" ht="12" customHeight="1">
      <c r="C18" s="16"/>
    </row>
    <row r="19" spans="3:4" ht="22.5">
      <c r="C19" s="16" t="s">
        <v>50</v>
      </c>
    </row>
    <row r="20" spans="3:4" ht="10" customHeight="1">
      <c r="C20" s="16" t="s">
        <v>24</v>
      </c>
    </row>
    <row r="21" spans="3:4" ht="22.5">
      <c r="C21" s="16" t="s">
        <v>62</v>
      </c>
    </row>
    <row r="22" spans="3:4" ht="22.5">
      <c r="C22" s="16" t="s">
        <v>52</v>
      </c>
    </row>
    <row r="24" spans="3:4" ht="22.5">
      <c r="C24" s="16" t="s">
        <v>58</v>
      </c>
    </row>
    <row r="25" spans="3:4" ht="11" customHeight="1">
      <c r="C25" s="16"/>
    </row>
    <row r="26" spans="3:4" ht="22.5">
      <c r="C26" s="16" t="s">
        <v>51</v>
      </c>
      <c r="D26" t="s">
        <v>24</v>
      </c>
    </row>
    <row r="27" spans="3:4" ht="32" customHeight="1">
      <c r="C27" s="16" t="s">
        <v>60</v>
      </c>
    </row>
    <row r="28" spans="3:4" ht="22.5">
      <c r="C28" s="16" t="s">
        <v>61</v>
      </c>
    </row>
  </sheetData>
  <mergeCells count="1">
    <mergeCell ref="C4:D4"/>
  </mergeCells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8" sqref="M38"/>
    </sheetView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Key Concepts</vt:lpstr>
      <vt:lpstr>Data Entry</vt:lpstr>
      <vt:lpstr>Correlations Charts</vt:lpstr>
      <vt:lpstr>Comparisons--Raw &amp; Normalized</vt:lpstr>
      <vt:lpstr>Cashflows</vt:lpstr>
      <vt:lpstr>Standard Deviation</vt:lpstr>
      <vt:lpstr>'Data Entry'!Print_Area</vt:lpstr>
    </vt:vector>
  </TitlesOfParts>
  <Company>LBNL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Mills</dc:creator>
  <cp:lastModifiedBy>Carina Negreanu</cp:lastModifiedBy>
  <cp:lastPrinted>2003-07-25T18:24:26Z</cp:lastPrinted>
  <dcterms:created xsi:type="dcterms:W3CDTF">2002-11-15T08:47:13Z</dcterms:created>
  <dcterms:modified xsi:type="dcterms:W3CDTF">2020-01-27T11:41:02Z</dcterms:modified>
</cp:coreProperties>
</file>