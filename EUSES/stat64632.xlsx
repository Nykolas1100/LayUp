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B47265-1B2B-4B4A-9589-1B19066DC156}" xr6:coauthVersionLast="45" xr6:coauthVersionMax="45" xr10:uidLastSave="{00000000-0000-0000-0000-000000000000}"/>
  <bookViews>
    <workbookView xWindow="1520" yWindow="1520" windowWidth="28800" windowHeight="15460"/>
  </bookViews>
  <sheets>
    <sheet name="10sum" sheetId="4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5" i="4" l="1"/>
  <c r="AM5" i="4"/>
  <c r="AR5" i="4"/>
  <c r="AS5" i="4"/>
  <c r="AL6" i="4"/>
  <c r="AM6" i="4"/>
  <c r="AR6" i="4"/>
  <c r="AS6" i="4"/>
  <c r="AL7" i="4"/>
  <c r="AM7" i="4"/>
  <c r="AR7" i="4"/>
  <c r="AS7" i="4"/>
  <c r="AL8" i="4"/>
  <c r="AM8" i="4" s="1"/>
  <c r="AR8" i="4" s="1"/>
  <c r="AS8" i="4" s="1"/>
  <c r="AL9" i="4"/>
  <c r="AM9" i="4"/>
  <c r="AR9" i="4"/>
  <c r="AS9" i="4"/>
  <c r="AL10" i="4"/>
  <c r="AM10" i="4"/>
  <c r="AR10" i="4"/>
  <c r="AS10" i="4"/>
  <c r="AL11" i="4"/>
  <c r="AR11" i="4"/>
  <c r="AS11" i="4"/>
  <c r="AL13" i="4"/>
  <c r="AM13" i="4"/>
  <c r="AR13" i="4" s="1"/>
  <c r="AS13" i="4" s="1"/>
  <c r="AL14" i="4"/>
  <c r="AM14" i="4"/>
  <c r="AR14" i="4"/>
  <c r="AS14" i="4"/>
  <c r="AL15" i="4"/>
  <c r="AM15" i="4"/>
  <c r="AR15" i="4" s="1"/>
  <c r="AS15" i="4" s="1"/>
  <c r="AL16" i="4"/>
  <c r="AM16" i="4" s="1"/>
  <c r="AR16" i="4" s="1"/>
  <c r="AS16" i="4" s="1"/>
  <c r="AL17" i="4"/>
  <c r="AM17" i="4"/>
  <c r="AR17" i="4"/>
  <c r="AS17" i="4"/>
  <c r="AL18" i="4"/>
  <c r="AM18" i="4"/>
  <c r="AR18" i="4"/>
  <c r="AS18" i="4"/>
  <c r="AL19" i="4"/>
  <c r="AM19" i="4"/>
  <c r="AR19" i="4"/>
  <c r="AS19" i="4"/>
  <c r="AL21" i="4"/>
  <c r="AM21" i="4"/>
  <c r="AR21" i="4"/>
  <c r="AS21" i="4"/>
  <c r="AL22" i="4"/>
  <c r="AM22" i="4" s="1"/>
  <c r="AR22" i="4" s="1"/>
  <c r="AS22" i="4" s="1"/>
  <c r="AL23" i="4"/>
  <c r="AR23" i="4"/>
  <c r="AS23" i="4"/>
  <c r="AL24" i="4"/>
  <c r="AM24" i="4"/>
  <c r="AR24" i="4"/>
  <c r="AS24" i="4"/>
  <c r="AL25" i="4"/>
  <c r="AM25" i="4"/>
  <c r="AR25" i="4"/>
  <c r="AS25" i="4"/>
  <c r="AL26" i="4"/>
  <c r="AR26" i="4"/>
  <c r="AS26" i="4"/>
  <c r="AL27" i="4"/>
  <c r="AM27" i="4"/>
  <c r="AR27" i="4"/>
  <c r="AS27" i="4" s="1"/>
  <c r="AL29" i="4"/>
  <c r="AM29" i="4"/>
  <c r="AR29" i="4"/>
  <c r="AS29" i="4"/>
  <c r="AL30" i="4"/>
  <c r="AR30" i="4"/>
  <c r="AS30" i="4"/>
  <c r="AL31" i="4"/>
  <c r="AR31" i="4"/>
  <c r="AS31" i="4"/>
  <c r="AL32" i="4"/>
  <c r="AM32" i="4"/>
  <c r="AR32" i="4"/>
  <c r="AS32" i="4"/>
  <c r="AL33" i="4"/>
  <c r="AM33" i="4"/>
  <c r="AR33" i="4" s="1"/>
  <c r="AS33" i="4" s="1"/>
  <c r="AL34" i="4"/>
  <c r="AM34" i="4" s="1"/>
  <c r="AR34" i="4" s="1"/>
  <c r="AS34" i="4" s="1"/>
  <c r="AL35" i="4"/>
  <c r="AM35" i="4"/>
  <c r="AR35" i="4"/>
  <c r="AS35" i="4" s="1"/>
  <c r="AL36" i="4"/>
  <c r="AM36" i="4"/>
  <c r="AR36" i="4"/>
  <c r="AS36" i="4"/>
  <c r="AL37" i="4"/>
  <c r="AM37" i="4"/>
  <c r="AR37" i="4"/>
  <c r="AS37" i="4"/>
</calcChain>
</file>

<file path=xl/sharedStrings.xml><?xml version="1.0" encoding="utf-8"?>
<sst xmlns="http://schemas.openxmlformats.org/spreadsheetml/2006/main" count="220" uniqueCount="45">
  <si>
    <t>E</t>
  </si>
  <si>
    <t>D</t>
  </si>
  <si>
    <t>A</t>
  </si>
  <si>
    <t>C</t>
  </si>
  <si>
    <t>NUM</t>
  </si>
  <si>
    <t>B</t>
  </si>
  <si>
    <t>no</t>
  </si>
  <si>
    <t>TOTAL</t>
  </si>
  <si>
    <t>EX#1</t>
  </si>
  <si>
    <t>EX#2</t>
  </si>
  <si>
    <t>ID</t>
  </si>
  <si>
    <t>perfect</t>
  </si>
  <si>
    <t>FINALS</t>
  </si>
  <si>
    <t>GRADE</t>
  </si>
  <si>
    <t>BA</t>
  </si>
  <si>
    <t>CB</t>
  </si>
  <si>
    <t>DC</t>
  </si>
  <si>
    <t>G%</t>
  </si>
  <si>
    <t>HOMEWORK</t>
  </si>
  <si>
    <t>#1</t>
  </si>
  <si>
    <t>#2</t>
  </si>
  <si>
    <t>#3</t>
  </si>
  <si>
    <t>#4</t>
  </si>
  <si>
    <t>EXCEL HOMEWORK</t>
  </si>
  <si>
    <t>INFORMATION</t>
  </si>
  <si>
    <t>CLASS%</t>
  </si>
  <si>
    <t>GRADING</t>
  </si>
  <si>
    <t>#5</t>
  </si>
  <si>
    <t>#6</t>
  </si>
  <si>
    <t>ONLINE QUIZZES</t>
  </si>
  <si>
    <t>INCLASS QUIZZES</t>
  </si>
  <si>
    <t>extra</t>
  </si>
  <si>
    <t>ex</t>
  </si>
  <si>
    <t>partial</t>
  </si>
  <si>
    <t>#7</t>
  </si>
  <si>
    <t>pracQ</t>
  </si>
  <si>
    <t>#8</t>
  </si>
  <si>
    <t>#3b</t>
  </si>
  <si>
    <t>#3a</t>
  </si>
  <si>
    <t>oldfinal</t>
  </si>
  <si>
    <t>attend</t>
  </si>
  <si>
    <t>#9</t>
  </si>
  <si>
    <t>#10</t>
  </si>
  <si>
    <t>#11</t>
  </si>
  <si>
    <t>STAT 216 10-10:50 SPRING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</si>
</sst>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"/>
    </font>
    <font>
      <sz val="10"/>
      <name val="Arial"/>
      <family val="2"/>
    </font>
    <font>
      <sz val="10"/>
      <name val="Abadi MT Condensed Light"/>
      <family val="2"/>
    </font>
    <font>
      <b/>
      <sz val="10"/>
      <name val="Abadi MT Condensed Light"/>
      <family val="2"/>
    </font>
    <font>
      <b/>
      <sz val="14"/>
      <name val="Arial"/>
      <family val="2"/>
    </font>
    <font>
      <b/>
      <sz val="10"/>
      <name val="Abadi MT Condensed Light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Fill="1" applyBorder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2" fontId="2" fillId="0" borderId="0" xfId="0" applyNumberFormat="1" applyFont="1" applyBorder="1"/>
    <xf numFmtId="2" fontId="2" fillId="0" borderId="0" xfId="0" applyNumberFormat="1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" fontId="2" fillId="0" borderId="0" xfId="0" applyNumberFormat="1" applyFont="1"/>
    <xf numFmtId="0" fontId="3" fillId="0" borderId="0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2" fontId="2" fillId="0" borderId="1" xfId="0" applyNumberFormat="1" applyFont="1" applyBorder="1"/>
    <xf numFmtId="0" fontId="2" fillId="0" borderId="1" xfId="0" applyFont="1" applyFill="1" applyBorder="1"/>
    <xf numFmtId="0" fontId="2" fillId="2" borderId="0" xfId="0" applyFont="1" applyFill="1" applyBorder="1"/>
    <xf numFmtId="2" fontId="2" fillId="2" borderId="0" xfId="0" applyNumberFormat="1" applyFont="1" applyFill="1" applyBorder="1"/>
    <xf numFmtId="0" fontId="4" fillId="0" borderId="0" xfId="0" applyFont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1" fillId="2" borderId="0" xfId="0" applyFont="1" applyFill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0" xfId="0" applyFont="1" applyFill="1"/>
    <xf numFmtId="0" fontId="3" fillId="0" borderId="2" xfId="0" applyFont="1" applyFill="1" applyBorder="1" applyAlignment="1">
      <alignment horizontal="center"/>
    </xf>
    <xf numFmtId="16" fontId="5" fillId="0" borderId="1" xfId="0" applyNumberFormat="1" applyFont="1" applyBorder="1"/>
    <xf numFmtId="0" fontId="2" fillId="5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condense val="0"/>
        <extend val="0"/>
        <color auto="1"/>
      </font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/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/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V38"/>
  <sheetViews>
    <sheetView tabSelected="1" zoomScale="60" workbookViewId="0">
      <selection activeCell="A2" sqref="A2"/>
    </sheetView>
  </sheetViews>
  <sheetFormatPr defaultColWidth="8.81640625" defaultRowHeight="12.5"/>
  <cols>
    <col min="1" max="1" width="6.7265625" style="4" customWidth="1"/>
    <col min="2" max="2" width="8.453125" style="6" customWidth="1"/>
    <col min="3" max="3" width="2.81640625" style="5" customWidth="1"/>
    <col min="4" max="8" width="7.7265625" style="8" customWidth="1"/>
    <col min="9" max="9" width="8.26953125" style="8" bestFit="1" customWidth="1"/>
    <col min="10" max="13" width="7.7265625" style="8" customWidth="1"/>
    <col min="14" max="14" width="3.1796875" style="4" customWidth="1"/>
    <col min="15" max="19" width="7.7265625" style="8" customWidth="1"/>
    <col min="20" max="20" width="3.1796875" style="4" customWidth="1"/>
    <col min="21" max="31" width="6.7265625" style="8" customWidth="1"/>
    <col min="32" max="32" width="2.81640625" style="4" customWidth="1"/>
    <col min="33" max="33" width="7.7265625" style="8" customWidth="1"/>
    <col min="34" max="34" width="8.26953125" style="8" bestFit="1" customWidth="1"/>
    <col min="35" max="36" width="7.7265625" style="8" customWidth="1"/>
    <col min="37" max="37" width="2.54296875" style="10" customWidth="1"/>
    <col min="38" max="38" width="7.7265625" style="38" customWidth="1"/>
    <col min="39" max="39" width="8.81640625" style="4" customWidth="1"/>
    <col min="40" max="42" width="7.7265625" style="4" customWidth="1"/>
    <col min="43" max="43" width="2.54296875" style="4" customWidth="1"/>
    <col min="44" max="16384" width="8.81640625" style="4"/>
  </cols>
  <sheetData>
    <row r="1" spans="1:48" s="8" customFormat="1" ht="18">
      <c r="A1" s="25" t="s">
        <v>44</v>
      </c>
      <c r="B1" s="7"/>
      <c r="C1" s="10"/>
      <c r="N1" s="10"/>
      <c r="T1" s="10"/>
      <c r="AF1" s="10"/>
      <c r="AK1" s="10"/>
      <c r="AL1" s="38"/>
      <c r="AM1" s="11"/>
      <c r="AQ1" s="10"/>
      <c r="AR1" s="12"/>
    </row>
    <row r="2" spans="1:48" s="8" customFormat="1" ht="13">
      <c r="B2" s="7"/>
      <c r="C2" s="10"/>
      <c r="D2" s="42" t="s">
        <v>18</v>
      </c>
      <c r="E2" s="42"/>
      <c r="F2" s="42"/>
      <c r="G2" s="42"/>
      <c r="H2" s="42"/>
      <c r="I2" s="42"/>
      <c r="J2" s="43"/>
      <c r="K2" s="43"/>
      <c r="L2" s="43"/>
      <c r="M2" s="43"/>
      <c r="N2" s="10"/>
      <c r="O2" s="42" t="s">
        <v>30</v>
      </c>
      <c r="P2" s="42"/>
      <c r="Q2" s="42"/>
      <c r="R2" s="42"/>
      <c r="S2" s="43"/>
      <c r="T2" s="10"/>
      <c r="U2" s="42" t="s">
        <v>29</v>
      </c>
      <c r="V2" s="42"/>
      <c r="W2" s="42"/>
      <c r="X2" s="42"/>
      <c r="Y2" s="43"/>
      <c r="Z2" s="43"/>
      <c r="AA2" s="43"/>
      <c r="AB2" s="43"/>
      <c r="AC2" s="43"/>
      <c r="AD2" s="43"/>
      <c r="AE2" s="43"/>
      <c r="AF2" s="10"/>
      <c r="AG2" s="42" t="s">
        <v>23</v>
      </c>
      <c r="AH2" s="42"/>
      <c r="AI2" s="42"/>
      <c r="AJ2" s="43"/>
      <c r="AK2" s="10"/>
      <c r="AL2" s="38"/>
      <c r="AM2" s="44"/>
      <c r="AN2" s="42"/>
      <c r="AO2" s="42"/>
      <c r="AP2" s="42"/>
      <c r="AQ2" s="10"/>
      <c r="AR2" s="12"/>
    </row>
    <row r="3" spans="1:48" s="8" customFormat="1" ht="13">
      <c r="A3" s="9" t="s">
        <v>24</v>
      </c>
      <c r="B3" s="14"/>
      <c r="C3" s="10"/>
      <c r="D3" s="15">
        <v>37643</v>
      </c>
      <c r="E3" s="15">
        <v>37650</v>
      </c>
      <c r="F3" s="15">
        <v>37655</v>
      </c>
      <c r="G3" s="15">
        <v>37659</v>
      </c>
      <c r="I3" s="15" t="s">
        <v>35</v>
      </c>
      <c r="J3" s="15">
        <v>37720</v>
      </c>
      <c r="K3" s="15">
        <v>37727</v>
      </c>
      <c r="L3" s="15" t="s">
        <v>39</v>
      </c>
      <c r="M3" s="15" t="s">
        <v>40</v>
      </c>
      <c r="N3" s="10"/>
      <c r="O3" s="15">
        <v>37662</v>
      </c>
      <c r="P3" s="15">
        <v>37673</v>
      </c>
      <c r="Q3" s="15">
        <v>37673</v>
      </c>
      <c r="R3" s="15">
        <v>37697</v>
      </c>
      <c r="S3" s="15">
        <v>37715</v>
      </c>
      <c r="T3" s="10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0"/>
      <c r="AG3" s="15">
        <v>37663</v>
      </c>
      <c r="AH3" s="15">
        <v>37704</v>
      </c>
      <c r="AI3" s="15">
        <v>37722</v>
      </c>
      <c r="AJ3" s="15">
        <v>37734</v>
      </c>
      <c r="AK3" s="10"/>
      <c r="AL3" s="38"/>
      <c r="AM3" s="11"/>
      <c r="AN3" s="15">
        <v>37298</v>
      </c>
      <c r="AO3" s="15">
        <v>37340</v>
      </c>
      <c r="AP3" s="15">
        <v>37371</v>
      </c>
      <c r="AQ3" s="10"/>
      <c r="AR3" s="12" t="s">
        <v>33</v>
      </c>
      <c r="AS3" s="8" t="s">
        <v>33</v>
      </c>
    </row>
    <row r="4" spans="1:48" s="13" customFormat="1" ht="13">
      <c r="A4" s="26" t="s">
        <v>4</v>
      </c>
      <c r="B4" s="27" t="s">
        <v>10</v>
      </c>
      <c r="C4" s="28"/>
      <c r="D4" s="26" t="s">
        <v>19</v>
      </c>
      <c r="E4" s="26" t="s">
        <v>20</v>
      </c>
      <c r="F4" s="26" t="s">
        <v>21</v>
      </c>
      <c r="G4" s="26" t="s">
        <v>22</v>
      </c>
      <c r="H4" s="40" t="s">
        <v>31</v>
      </c>
      <c r="I4" s="40" t="s">
        <v>31</v>
      </c>
      <c r="J4" s="26" t="s">
        <v>28</v>
      </c>
      <c r="K4" s="26" t="s">
        <v>34</v>
      </c>
      <c r="L4" s="26" t="s">
        <v>31</v>
      </c>
      <c r="M4" s="26" t="s">
        <v>31</v>
      </c>
      <c r="N4" s="28"/>
      <c r="O4" s="26" t="s">
        <v>19</v>
      </c>
      <c r="P4" s="26" t="s">
        <v>20</v>
      </c>
      <c r="Q4" s="26" t="s">
        <v>21</v>
      </c>
      <c r="R4" s="26" t="s">
        <v>22</v>
      </c>
      <c r="S4" s="26" t="s">
        <v>27</v>
      </c>
      <c r="T4" s="28"/>
      <c r="U4" s="26" t="s">
        <v>19</v>
      </c>
      <c r="V4" s="26" t="s">
        <v>20</v>
      </c>
      <c r="W4" s="26" t="s">
        <v>21</v>
      </c>
      <c r="X4" s="26" t="s">
        <v>22</v>
      </c>
      <c r="Y4" s="26" t="s">
        <v>27</v>
      </c>
      <c r="Z4" s="26" t="s">
        <v>28</v>
      </c>
      <c r="AA4" s="26" t="s">
        <v>34</v>
      </c>
      <c r="AB4" s="26" t="s">
        <v>36</v>
      </c>
      <c r="AC4" s="26" t="s">
        <v>41</v>
      </c>
      <c r="AD4" s="26" t="s">
        <v>42</v>
      </c>
      <c r="AE4" s="26" t="s">
        <v>43</v>
      </c>
      <c r="AF4" s="28"/>
      <c r="AG4" s="26" t="s">
        <v>19</v>
      </c>
      <c r="AH4" s="26" t="s">
        <v>20</v>
      </c>
      <c r="AI4" s="26" t="s">
        <v>38</v>
      </c>
      <c r="AJ4" s="26" t="s">
        <v>37</v>
      </c>
      <c r="AK4" s="28"/>
      <c r="AL4" s="39" t="s">
        <v>7</v>
      </c>
      <c r="AM4" s="29" t="s">
        <v>25</v>
      </c>
      <c r="AN4" s="26" t="s">
        <v>8</v>
      </c>
      <c r="AO4" s="26" t="s">
        <v>9</v>
      </c>
      <c r="AP4" s="26" t="s">
        <v>12</v>
      </c>
      <c r="AQ4" s="28"/>
      <c r="AR4" s="29" t="s">
        <v>17</v>
      </c>
      <c r="AS4" s="26" t="s">
        <v>13</v>
      </c>
      <c r="AT4" s="16"/>
    </row>
    <row r="5" spans="1:48" s="17" customFormat="1">
      <c r="A5" s="17">
        <v>0</v>
      </c>
      <c r="B5" s="18" t="s">
        <v>11</v>
      </c>
      <c r="C5" s="20"/>
      <c r="D5" s="17">
        <v>15</v>
      </c>
      <c r="E5" s="17">
        <v>5</v>
      </c>
      <c r="F5" s="17">
        <v>15</v>
      </c>
      <c r="G5" s="17">
        <v>9</v>
      </c>
      <c r="H5" s="17">
        <v>0</v>
      </c>
      <c r="I5" s="17">
        <v>0</v>
      </c>
      <c r="J5" s="17">
        <v>10</v>
      </c>
      <c r="K5" s="17">
        <v>0</v>
      </c>
      <c r="L5" s="17">
        <v>0</v>
      </c>
      <c r="M5" s="17">
        <v>0</v>
      </c>
      <c r="N5" s="20"/>
      <c r="O5" s="17">
        <v>15</v>
      </c>
      <c r="P5" s="17">
        <v>20</v>
      </c>
      <c r="Q5" s="17">
        <v>5</v>
      </c>
      <c r="R5" s="17">
        <v>25</v>
      </c>
      <c r="S5" s="17">
        <v>0</v>
      </c>
      <c r="T5" s="20"/>
      <c r="U5" s="17">
        <v>5</v>
      </c>
      <c r="V5" s="17">
        <v>5</v>
      </c>
      <c r="W5" s="34">
        <v>5</v>
      </c>
      <c r="X5" s="17">
        <v>5</v>
      </c>
      <c r="Y5" s="17">
        <v>5</v>
      </c>
      <c r="Z5" s="17">
        <v>5</v>
      </c>
      <c r="AA5" s="17">
        <v>5</v>
      </c>
      <c r="AB5" s="17">
        <v>5</v>
      </c>
      <c r="AC5" s="17">
        <v>5</v>
      </c>
      <c r="AD5" s="17">
        <v>5</v>
      </c>
      <c r="AE5" s="17">
        <v>5</v>
      </c>
      <c r="AF5" s="20"/>
      <c r="AG5" s="17">
        <v>30</v>
      </c>
      <c r="AH5" s="17">
        <v>30</v>
      </c>
      <c r="AI5" s="17">
        <v>35</v>
      </c>
      <c r="AJ5" s="17">
        <v>30</v>
      </c>
      <c r="AK5" s="20"/>
      <c r="AL5" s="22">
        <f>SUM(D5:AJ5)</f>
        <v>299</v>
      </c>
      <c r="AM5" s="21">
        <f>AL5/$AL$5*20</f>
        <v>20</v>
      </c>
      <c r="AN5" s="22">
        <v>25</v>
      </c>
      <c r="AO5" s="17">
        <v>25</v>
      </c>
      <c r="AP5" s="22">
        <v>30</v>
      </c>
      <c r="AQ5" s="20"/>
      <c r="AR5" s="21">
        <f>(AM5+AN5+AO5+AP5)</f>
        <v>100</v>
      </c>
      <c r="AS5" s="19" t="str">
        <f>LOOKUP(AR5,$AU$8:$AU$15,$AV$8:$AV$15)</f>
        <v>A</v>
      </c>
      <c r="AT5" s="19"/>
    </row>
    <row r="6" spans="1:48" s="17" customFormat="1">
      <c r="A6" s="17">
        <v>1</v>
      </c>
      <c r="B6" s="19">
        <v>7743</v>
      </c>
      <c r="C6" s="20"/>
      <c r="D6" s="17" t="s">
        <v>6</v>
      </c>
      <c r="E6" s="17" t="s">
        <v>6</v>
      </c>
      <c r="F6" s="17">
        <v>6</v>
      </c>
      <c r="G6" s="17">
        <v>4.5</v>
      </c>
      <c r="H6" s="17">
        <v>1.5</v>
      </c>
      <c r="I6" s="17" t="s">
        <v>6</v>
      </c>
      <c r="J6" s="17">
        <v>9</v>
      </c>
      <c r="K6" s="17" t="s">
        <v>6</v>
      </c>
      <c r="L6" s="17">
        <v>2</v>
      </c>
      <c r="M6" s="17">
        <v>0</v>
      </c>
      <c r="N6" s="20"/>
      <c r="O6" s="17">
        <v>7</v>
      </c>
      <c r="P6" s="17" t="s">
        <v>6</v>
      </c>
      <c r="Q6" s="17" t="s">
        <v>6</v>
      </c>
      <c r="R6" s="17">
        <v>8</v>
      </c>
      <c r="S6" s="17">
        <v>5</v>
      </c>
      <c r="T6" s="20"/>
      <c r="U6" s="17">
        <v>3</v>
      </c>
      <c r="V6" s="17">
        <v>5</v>
      </c>
      <c r="W6" s="1">
        <v>0</v>
      </c>
      <c r="X6" s="17">
        <v>0</v>
      </c>
      <c r="Y6" s="17">
        <v>0</v>
      </c>
      <c r="Z6" s="17">
        <v>2</v>
      </c>
      <c r="AA6" s="17">
        <v>0</v>
      </c>
      <c r="AB6" s="17">
        <v>0</v>
      </c>
      <c r="AC6" s="17">
        <v>5</v>
      </c>
      <c r="AD6" s="17">
        <v>0</v>
      </c>
      <c r="AE6" s="17">
        <v>0</v>
      </c>
      <c r="AF6" s="20"/>
      <c r="AG6" s="17">
        <v>18</v>
      </c>
      <c r="AH6" s="17" t="s">
        <v>6</v>
      </c>
      <c r="AI6" s="17">
        <v>3</v>
      </c>
      <c r="AJ6" s="17">
        <v>13.5</v>
      </c>
      <c r="AK6" s="20"/>
      <c r="AL6" s="22">
        <f t="shared" ref="AL6:AL37" si="0">SUM(D6:AJ6)</f>
        <v>92.5</v>
      </c>
      <c r="AM6" s="21">
        <f t="shared" ref="AM6:AM37" si="1">AL6/$AL$5*20</f>
        <v>6.1872909698996654</v>
      </c>
      <c r="AN6" s="22">
        <v>17</v>
      </c>
      <c r="AO6" s="17">
        <v>16</v>
      </c>
      <c r="AP6" s="22">
        <v>15</v>
      </c>
      <c r="AQ6" s="20"/>
      <c r="AR6" s="21">
        <f t="shared" ref="AR6:AR37" si="2">(AM6+AN6+AO6+AP6)</f>
        <v>54.187290969899664</v>
      </c>
      <c r="AS6" s="19" t="str">
        <f t="shared" ref="AS6:AS11" si="3">LOOKUP(AR6,$AU$8:$AU$15,$AV$8:$AV$15)</f>
        <v>D</v>
      </c>
      <c r="AT6" s="19"/>
    </row>
    <row r="7" spans="1:48" s="17" customFormat="1" ht="13">
      <c r="A7" s="17">
        <v>2</v>
      </c>
      <c r="B7" s="19">
        <v>6787</v>
      </c>
      <c r="C7" s="20"/>
      <c r="D7" s="17">
        <v>14.5</v>
      </c>
      <c r="E7" s="17">
        <v>5</v>
      </c>
      <c r="F7" s="17">
        <v>13.5</v>
      </c>
      <c r="G7" s="17" t="s">
        <v>6</v>
      </c>
      <c r="H7" s="17" t="s">
        <v>6</v>
      </c>
      <c r="I7" s="17" t="s">
        <v>6</v>
      </c>
      <c r="J7" s="17" t="s">
        <v>6</v>
      </c>
      <c r="K7" s="17" t="s">
        <v>6</v>
      </c>
      <c r="L7" s="17">
        <v>5.5</v>
      </c>
      <c r="M7" s="17">
        <v>0</v>
      </c>
      <c r="N7" s="20"/>
      <c r="O7" s="17" t="s">
        <v>6</v>
      </c>
      <c r="P7" s="17">
        <v>15</v>
      </c>
      <c r="Q7" s="17">
        <v>1</v>
      </c>
      <c r="R7" s="17" t="s">
        <v>6</v>
      </c>
      <c r="S7" s="17">
        <v>0</v>
      </c>
      <c r="T7" s="20"/>
      <c r="U7" s="17">
        <v>5</v>
      </c>
      <c r="V7" s="17">
        <v>4</v>
      </c>
      <c r="W7" s="1">
        <v>4</v>
      </c>
      <c r="X7" s="17">
        <v>1</v>
      </c>
      <c r="Y7" s="17">
        <v>2</v>
      </c>
      <c r="Z7" s="17">
        <v>2</v>
      </c>
      <c r="AA7" s="17">
        <v>0</v>
      </c>
      <c r="AB7" s="17">
        <v>3</v>
      </c>
      <c r="AC7" s="17">
        <v>3</v>
      </c>
      <c r="AD7" s="17">
        <v>0</v>
      </c>
      <c r="AE7" s="17">
        <v>1</v>
      </c>
      <c r="AF7" s="20"/>
      <c r="AG7" s="22">
        <v>25.5</v>
      </c>
      <c r="AH7" s="17">
        <v>11</v>
      </c>
      <c r="AI7" s="17">
        <v>35</v>
      </c>
      <c r="AJ7" s="17">
        <v>25</v>
      </c>
      <c r="AK7" s="20"/>
      <c r="AL7" s="22">
        <f t="shared" si="0"/>
        <v>176</v>
      </c>
      <c r="AM7" s="21">
        <f t="shared" si="1"/>
        <v>11.772575250836121</v>
      </c>
      <c r="AN7" s="22">
        <v>24</v>
      </c>
      <c r="AO7" s="17">
        <v>17</v>
      </c>
      <c r="AP7" s="22">
        <v>23</v>
      </c>
      <c r="AQ7" s="20"/>
      <c r="AR7" s="21">
        <f t="shared" si="2"/>
        <v>75.772575250836127</v>
      </c>
      <c r="AS7" s="19" t="str">
        <f t="shared" si="3"/>
        <v>CB</v>
      </c>
      <c r="AT7" s="19"/>
      <c r="AU7" s="30" t="s">
        <v>26</v>
      </c>
    </row>
    <row r="8" spans="1:48" s="17" customFormat="1">
      <c r="A8" s="17">
        <v>3</v>
      </c>
      <c r="B8" s="19">
        <v>3340</v>
      </c>
      <c r="C8" s="20"/>
      <c r="D8" s="17">
        <v>8</v>
      </c>
      <c r="E8" s="17">
        <v>5</v>
      </c>
      <c r="F8" s="17">
        <v>13</v>
      </c>
      <c r="G8" s="17" t="s">
        <v>6</v>
      </c>
      <c r="H8" s="17" t="s">
        <v>6</v>
      </c>
      <c r="I8" s="17">
        <v>12</v>
      </c>
      <c r="J8" s="17">
        <v>10.5</v>
      </c>
      <c r="K8" s="17">
        <v>12.5</v>
      </c>
      <c r="L8" s="17" t="s">
        <v>6</v>
      </c>
      <c r="M8" s="17">
        <v>0</v>
      </c>
      <c r="N8" s="20"/>
      <c r="O8" s="17">
        <v>11</v>
      </c>
      <c r="P8" s="17">
        <v>18.5</v>
      </c>
      <c r="Q8" s="17">
        <v>3</v>
      </c>
      <c r="R8" s="17">
        <v>17</v>
      </c>
      <c r="S8" s="17">
        <v>5</v>
      </c>
      <c r="T8" s="20"/>
      <c r="U8" s="17">
        <v>5</v>
      </c>
      <c r="V8" s="17">
        <v>4</v>
      </c>
      <c r="W8" s="1">
        <v>3</v>
      </c>
      <c r="X8" s="17">
        <v>0</v>
      </c>
      <c r="Y8" s="17">
        <v>1</v>
      </c>
      <c r="Z8" s="17">
        <v>2</v>
      </c>
      <c r="AA8" s="17">
        <v>2</v>
      </c>
      <c r="AB8" s="17">
        <v>4</v>
      </c>
      <c r="AC8" s="17">
        <v>4</v>
      </c>
      <c r="AD8" s="17">
        <v>3</v>
      </c>
      <c r="AE8" s="17">
        <v>0</v>
      </c>
      <c r="AF8" s="20"/>
      <c r="AG8" s="22">
        <v>19</v>
      </c>
      <c r="AH8" s="17">
        <v>9.5</v>
      </c>
      <c r="AI8" s="17" t="s">
        <v>6</v>
      </c>
      <c r="AJ8" s="17">
        <v>26</v>
      </c>
      <c r="AK8" s="20"/>
      <c r="AL8" s="22">
        <f t="shared" si="0"/>
        <v>198</v>
      </c>
      <c r="AM8" s="21">
        <f t="shared" si="1"/>
        <v>13.244147157190636</v>
      </c>
      <c r="AN8" s="22">
        <v>17</v>
      </c>
      <c r="AO8" s="17">
        <v>22</v>
      </c>
      <c r="AP8" s="22">
        <v>24</v>
      </c>
      <c r="AQ8" s="20"/>
      <c r="AR8" s="21">
        <f t="shared" si="2"/>
        <v>76.244147157190639</v>
      </c>
      <c r="AS8" s="19" t="str">
        <f t="shared" si="3"/>
        <v>CB</v>
      </c>
      <c r="AT8" s="19"/>
      <c r="AU8" s="31">
        <v>0</v>
      </c>
      <c r="AV8" s="32" t="s">
        <v>0</v>
      </c>
    </row>
    <row r="9" spans="1:48" s="17" customFormat="1">
      <c r="A9" s="17">
        <v>4</v>
      </c>
      <c r="B9" s="19">
        <v>5738</v>
      </c>
      <c r="C9" s="20"/>
      <c r="D9" s="17">
        <v>11</v>
      </c>
      <c r="E9" s="17" t="s">
        <v>6</v>
      </c>
      <c r="F9" s="17">
        <v>10.5</v>
      </c>
      <c r="G9" s="17">
        <v>5</v>
      </c>
      <c r="H9" s="17">
        <v>4</v>
      </c>
      <c r="I9" s="17">
        <v>12</v>
      </c>
      <c r="J9" s="17">
        <v>10</v>
      </c>
      <c r="K9" s="17">
        <v>8</v>
      </c>
      <c r="L9" s="17" t="s">
        <v>6</v>
      </c>
      <c r="M9" s="17">
        <v>10</v>
      </c>
      <c r="N9" s="20"/>
      <c r="O9" s="17">
        <v>7</v>
      </c>
      <c r="P9" s="17">
        <v>5</v>
      </c>
      <c r="Q9" s="17">
        <v>0.5</v>
      </c>
      <c r="R9" s="17">
        <v>10</v>
      </c>
      <c r="S9" s="17">
        <v>0</v>
      </c>
      <c r="T9" s="20"/>
      <c r="U9" s="17">
        <v>3</v>
      </c>
      <c r="V9" s="17">
        <v>3</v>
      </c>
      <c r="W9" s="1">
        <v>4</v>
      </c>
      <c r="X9" s="17">
        <v>2</v>
      </c>
      <c r="Y9" s="17">
        <v>0</v>
      </c>
      <c r="Z9" s="17">
        <v>2</v>
      </c>
      <c r="AA9" s="17">
        <v>2</v>
      </c>
      <c r="AB9" s="17">
        <v>0</v>
      </c>
      <c r="AC9" s="17">
        <v>0</v>
      </c>
      <c r="AD9" s="17">
        <v>1</v>
      </c>
      <c r="AE9" s="17">
        <v>0</v>
      </c>
      <c r="AF9" s="20"/>
      <c r="AG9" s="22">
        <v>24.5</v>
      </c>
      <c r="AH9" s="17">
        <v>25.5</v>
      </c>
      <c r="AI9" s="17">
        <v>31</v>
      </c>
      <c r="AJ9" s="17">
        <v>29.5</v>
      </c>
      <c r="AK9" s="20"/>
      <c r="AL9" s="22">
        <f t="shared" si="0"/>
        <v>220.5</v>
      </c>
      <c r="AM9" s="21">
        <f t="shared" si="1"/>
        <v>14.749163879598662</v>
      </c>
      <c r="AN9" s="22">
        <v>16</v>
      </c>
      <c r="AO9" s="17">
        <v>16</v>
      </c>
      <c r="AP9" s="22">
        <v>18</v>
      </c>
      <c r="AQ9" s="20"/>
      <c r="AR9" s="21">
        <f t="shared" si="2"/>
        <v>64.749163879598655</v>
      </c>
      <c r="AS9" s="19" t="str">
        <f t="shared" si="3"/>
        <v>C</v>
      </c>
      <c r="AT9" s="19"/>
      <c r="AU9" s="31">
        <v>49.5</v>
      </c>
      <c r="AV9" s="32" t="s">
        <v>1</v>
      </c>
    </row>
    <row r="10" spans="1:48" s="17" customFormat="1">
      <c r="A10" s="17">
        <v>5</v>
      </c>
      <c r="B10" s="19">
        <v>4608</v>
      </c>
      <c r="C10" s="20"/>
      <c r="D10" s="17">
        <v>14</v>
      </c>
      <c r="E10" s="17" t="s">
        <v>6</v>
      </c>
      <c r="F10" s="17" t="s">
        <v>6</v>
      </c>
      <c r="G10" s="17" t="s">
        <v>6</v>
      </c>
      <c r="H10" s="17" t="s">
        <v>6</v>
      </c>
      <c r="I10" s="17" t="s">
        <v>6</v>
      </c>
      <c r="J10" s="17" t="s">
        <v>6</v>
      </c>
      <c r="K10" s="17" t="s">
        <v>6</v>
      </c>
      <c r="L10" s="17" t="s">
        <v>6</v>
      </c>
      <c r="M10" s="17">
        <v>0</v>
      </c>
      <c r="N10" s="20"/>
      <c r="O10" s="22" t="s">
        <v>6</v>
      </c>
      <c r="P10" s="22" t="s">
        <v>6</v>
      </c>
      <c r="Q10" s="17" t="s">
        <v>6</v>
      </c>
      <c r="R10" s="17" t="s">
        <v>6</v>
      </c>
      <c r="S10" s="17">
        <v>0</v>
      </c>
      <c r="T10" s="20"/>
      <c r="U10" s="22">
        <v>5</v>
      </c>
      <c r="V10" s="22">
        <v>2</v>
      </c>
      <c r="W10" s="1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4</v>
      </c>
      <c r="AD10" s="17">
        <v>0</v>
      </c>
      <c r="AE10" s="17">
        <v>0</v>
      </c>
      <c r="AF10" s="20"/>
      <c r="AG10" s="22" t="s">
        <v>6</v>
      </c>
      <c r="AH10" s="17" t="s">
        <v>6</v>
      </c>
      <c r="AI10" s="17" t="s">
        <v>6</v>
      </c>
      <c r="AJ10" s="17" t="s">
        <v>6</v>
      </c>
      <c r="AK10" s="20"/>
      <c r="AL10" s="22">
        <f t="shared" si="0"/>
        <v>25</v>
      </c>
      <c r="AM10" s="21">
        <f t="shared" si="1"/>
        <v>1.6722408026755853</v>
      </c>
      <c r="AN10" s="22">
        <v>18</v>
      </c>
      <c r="AO10" s="17">
        <v>16</v>
      </c>
      <c r="AP10" s="22">
        <v>12</v>
      </c>
      <c r="AQ10" s="20"/>
      <c r="AR10" s="21">
        <f t="shared" si="2"/>
        <v>47.672240802675589</v>
      </c>
      <c r="AS10" s="19" t="str">
        <f t="shared" si="3"/>
        <v>E</v>
      </c>
      <c r="AT10" s="19"/>
      <c r="AU10" s="31">
        <v>56.5</v>
      </c>
      <c r="AV10" s="32" t="s">
        <v>16</v>
      </c>
    </row>
    <row r="11" spans="1:48" s="17" customFormat="1">
      <c r="A11" s="17">
        <v>6</v>
      </c>
      <c r="B11" s="19">
        <v>1059</v>
      </c>
      <c r="C11" s="20"/>
      <c r="D11" s="22">
        <v>14</v>
      </c>
      <c r="E11" s="22">
        <v>5</v>
      </c>
      <c r="F11" s="22">
        <v>14</v>
      </c>
      <c r="G11" s="22">
        <v>8.5</v>
      </c>
      <c r="H11" s="17">
        <v>4</v>
      </c>
      <c r="I11" s="17">
        <v>13</v>
      </c>
      <c r="J11" s="17">
        <v>14</v>
      </c>
      <c r="K11" s="17">
        <v>17.5</v>
      </c>
      <c r="L11" s="17">
        <v>14</v>
      </c>
      <c r="M11" s="17">
        <v>10</v>
      </c>
      <c r="N11" s="20"/>
      <c r="O11" s="22">
        <v>13</v>
      </c>
      <c r="P11" s="22">
        <v>17</v>
      </c>
      <c r="Q11" s="17">
        <v>3.5</v>
      </c>
      <c r="R11" s="17">
        <v>18</v>
      </c>
      <c r="S11" s="17">
        <v>5</v>
      </c>
      <c r="T11" s="20"/>
      <c r="U11" s="22">
        <v>5</v>
      </c>
      <c r="V11" s="22">
        <v>4</v>
      </c>
      <c r="W11" s="1">
        <v>5</v>
      </c>
      <c r="X11" s="17">
        <v>4</v>
      </c>
      <c r="Y11" s="17">
        <v>3</v>
      </c>
      <c r="Z11" s="17">
        <v>0</v>
      </c>
      <c r="AA11" s="17">
        <v>3</v>
      </c>
      <c r="AB11" s="17">
        <v>3</v>
      </c>
      <c r="AC11" s="17">
        <v>3</v>
      </c>
      <c r="AD11" s="17">
        <v>4</v>
      </c>
      <c r="AE11" s="17">
        <v>2</v>
      </c>
      <c r="AF11" s="20"/>
      <c r="AG11" s="22">
        <v>30</v>
      </c>
      <c r="AH11" s="17">
        <v>29</v>
      </c>
      <c r="AI11" s="17">
        <v>35</v>
      </c>
      <c r="AJ11" s="17">
        <v>29</v>
      </c>
      <c r="AK11" s="20"/>
      <c r="AL11" s="22">
        <f t="shared" si="0"/>
        <v>329.5</v>
      </c>
      <c r="AM11" s="21">
        <v>20</v>
      </c>
      <c r="AN11" s="22">
        <v>22</v>
      </c>
      <c r="AO11" s="17">
        <v>19</v>
      </c>
      <c r="AP11" s="22">
        <v>28</v>
      </c>
      <c r="AQ11" s="20"/>
      <c r="AR11" s="21">
        <f t="shared" si="2"/>
        <v>89</v>
      </c>
      <c r="AS11" s="19" t="str">
        <f t="shared" si="3"/>
        <v>BA</v>
      </c>
      <c r="AT11" s="19"/>
      <c r="AU11" s="31">
        <v>63.5</v>
      </c>
      <c r="AV11" s="32" t="s">
        <v>3</v>
      </c>
    </row>
    <row r="12" spans="1:48" s="20" customFormat="1">
      <c r="B12" s="35"/>
      <c r="W12" s="2"/>
      <c r="AS12" s="35"/>
      <c r="AT12" s="35"/>
      <c r="AU12" s="31">
        <v>72.5</v>
      </c>
      <c r="AV12" s="32" t="s">
        <v>15</v>
      </c>
    </row>
    <row r="13" spans="1:48" s="17" customFormat="1">
      <c r="A13" s="17">
        <v>7</v>
      </c>
      <c r="B13" s="19">
        <v>9418</v>
      </c>
      <c r="C13" s="20"/>
      <c r="D13" s="22" t="s">
        <v>6</v>
      </c>
      <c r="E13" s="22" t="s">
        <v>6</v>
      </c>
      <c r="F13" s="22">
        <v>7</v>
      </c>
      <c r="G13" s="22" t="s">
        <v>6</v>
      </c>
      <c r="H13" s="17" t="s">
        <v>6</v>
      </c>
      <c r="I13" s="17" t="s">
        <v>6</v>
      </c>
      <c r="J13" s="17" t="s">
        <v>6</v>
      </c>
      <c r="K13" s="17" t="s">
        <v>6</v>
      </c>
      <c r="L13" s="17" t="s">
        <v>6</v>
      </c>
      <c r="M13" s="17">
        <v>0</v>
      </c>
      <c r="N13" s="20"/>
      <c r="O13" s="22" t="s">
        <v>6</v>
      </c>
      <c r="P13" s="22" t="s">
        <v>6</v>
      </c>
      <c r="Q13" s="17" t="s">
        <v>6</v>
      </c>
      <c r="R13" s="17" t="s">
        <v>6</v>
      </c>
      <c r="S13" s="17">
        <v>0</v>
      </c>
      <c r="T13" s="20"/>
      <c r="U13" s="22">
        <v>0</v>
      </c>
      <c r="V13" s="22">
        <v>0</v>
      </c>
      <c r="W13" s="1">
        <v>0</v>
      </c>
      <c r="X13" s="17">
        <v>0</v>
      </c>
      <c r="Y13" s="17">
        <v>1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20"/>
      <c r="AG13" s="22" t="s">
        <v>6</v>
      </c>
      <c r="AH13" s="17" t="s">
        <v>6</v>
      </c>
      <c r="AI13" s="17" t="s">
        <v>6</v>
      </c>
      <c r="AJ13" s="17" t="s">
        <v>6</v>
      </c>
      <c r="AK13" s="20"/>
      <c r="AL13" s="22">
        <f t="shared" si="0"/>
        <v>8</v>
      </c>
      <c r="AM13" s="21">
        <f t="shared" si="1"/>
        <v>0.53511705685618727</v>
      </c>
      <c r="AN13" s="22">
        <v>22</v>
      </c>
      <c r="AO13" s="17">
        <v>16</v>
      </c>
      <c r="AP13" s="22">
        <v>20</v>
      </c>
      <c r="AQ13" s="20"/>
      <c r="AR13" s="21">
        <f t="shared" si="2"/>
        <v>58.535117056856187</v>
      </c>
      <c r="AS13" s="19" t="str">
        <f t="shared" ref="AS13:AS19" si="4">LOOKUP(AR13,$AU$8:$AU$15,$AV$8:$AV$15)</f>
        <v>DC</v>
      </c>
      <c r="AT13" s="19"/>
      <c r="AU13" s="31">
        <v>77.5</v>
      </c>
      <c r="AV13" s="32" t="s">
        <v>5</v>
      </c>
    </row>
    <row r="14" spans="1:48" s="17" customFormat="1">
      <c r="A14" s="17">
        <v>8</v>
      </c>
      <c r="B14" s="19">
        <v>1256</v>
      </c>
      <c r="C14" s="20"/>
      <c r="D14" s="22">
        <v>14</v>
      </c>
      <c r="E14" s="22">
        <v>2</v>
      </c>
      <c r="F14" s="22">
        <v>5</v>
      </c>
      <c r="G14" s="22">
        <v>4.5</v>
      </c>
      <c r="H14" s="17">
        <v>3</v>
      </c>
      <c r="I14" s="17">
        <v>5</v>
      </c>
      <c r="J14" s="17">
        <v>12</v>
      </c>
      <c r="K14" s="17">
        <v>7</v>
      </c>
      <c r="L14" s="17" t="s">
        <v>6</v>
      </c>
      <c r="M14" s="17">
        <v>10</v>
      </c>
      <c r="N14" s="20"/>
      <c r="O14" s="22">
        <v>13.5</v>
      </c>
      <c r="P14" s="22">
        <v>17</v>
      </c>
      <c r="Q14" s="17">
        <v>0.5</v>
      </c>
      <c r="R14" s="17">
        <v>5</v>
      </c>
      <c r="S14" s="17">
        <v>5</v>
      </c>
      <c r="T14" s="20"/>
      <c r="U14" s="22">
        <v>5</v>
      </c>
      <c r="V14" s="22">
        <v>5</v>
      </c>
      <c r="W14" s="1">
        <v>5</v>
      </c>
      <c r="X14" s="17">
        <v>1</v>
      </c>
      <c r="Y14" s="17">
        <v>4</v>
      </c>
      <c r="Z14" s="17">
        <v>5</v>
      </c>
      <c r="AA14" s="17">
        <v>3</v>
      </c>
      <c r="AB14" s="17">
        <v>2</v>
      </c>
      <c r="AC14" s="17">
        <v>5</v>
      </c>
      <c r="AD14" s="17">
        <v>5</v>
      </c>
      <c r="AE14" s="17">
        <v>0</v>
      </c>
      <c r="AF14" s="20"/>
      <c r="AG14" s="22">
        <v>27</v>
      </c>
      <c r="AH14" s="17">
        <v>25.5</v>
      </c>
      <c r="AI14" s="17">
        <v>26</v>
      </c>
      <c r="AJ14" s="17">
        <v>29</v>
      </c>
      <c r="AK14" s="20"/>
      <c r="AL14" s="22">
        <f t="shared" si="0"/>
        <v>251</v>
      </c>
      <c r="AM14" s="21">
        <f t="shared" si="1"/>
        <v>16.789297658862875</v>
      </c>
      <c r="AN14" s="22">
        <v>20</v>
      </c>
      <c r="AO14" s="17">
        <v>15</v>
      </c>
      <c r="AP14" s="22">
        <v>21</v>
      </c>
      <c r="AQ14" s="20"/>
      <c r="AR14" s="21">
        <f t="shared" si="2"/>
        <v>72.789297658862878</v>
      </c>
      <c r="AS14" s="19" t="str">
        <f t="shared" si="4"/>
        <v>CB</v>
      </c>
      <c r="AT14" s="19"/>
      <c r="AU14" s="31">
        <v>84.5</v>
      </c>
      <c r="AV14" s="32" t="s">
        <v>14</v>
      </c>
    </row>
    <row r="15" spans="1:48" s="17" customFormat="1">
      <c r="A15" s="17">
        <v>9</v>
      </c>
      <c r="B15" s="19">
        <v>6398</v>
      </c>
      <c r="C15" s="20"/>
      <c r="D15" s="22">
        <v>15</v>
      </c>
      <c r="E15" s="22">
        <v>3.5</v>
      </c>
      <c r="F15" s="22">
        <v>12.5</v>
      </c>
      <c r="G15" s="22">
        <v>6.5</v>
      </c>
      <c r="H15" s="17" t="s">
        <v>6</v>
      </c>
      <c r="I15" s="17" t="s">
        <v>6</v>
      </c>
      <c r="J15" s="17">
        <v>13.5</v>
      </c>
      <c r="K15" s="17">
        <v>16</v>
      </c>
      <c r="L15" s="17">
        <v>9</v>
      </c>
      <c r="M15" s="17">
        <v>10</v>
      </c>
      <c r="N15" s="20"/>
      <c r="O15" s="22">
        <v>14.5</v>
      </c>
      <c r="P15" s="22">
        <v>19</v>
      </c>
      <c r="Q15" s="17">
        <v>1.5</v>
      </c>
      <c r="R15" s="17">
        <v>10</v>
      </c>
      <c r="S15" s="17">
        <v>0</v>
      </c>
      <c r="T15" s="20"/>
      <c r="U15" s="22">
        <v>5</v>
      </c>
      <c r="V15" s="22">
        <v>4</v>
      </c>
      <c r="W15" s="1">
        <v>0</v>
      </c>
      <c r="X15" s="17">
        <v>3</v>
      </c>
      <c r="Y15" s="17">
        <v>2</v>
      </c>
      <c r="Z15" s="17">
        <v>4</v>
      </c>
      <c r="AA15" s="17">
        <v>4</v>
      </c>
      <c r="AB15" s="17">
        <v>0</v>
      </c>
      <c r="AC15" s="17">
        <v>4</v>
      </c>
      <c r="AD15" s="17">
        <v>4</v>
      </c>
      <c r="AE15" s="17">
        <v>2</v>
      </c>
      <c r="AF15" s="20"/>
      <c r="AG15" s="22">
        <v>28.5</v>
      </c>
      <c r="AH15" s="17" t="s">
        <v>6</v>
      </c>
      <c r="AI15" s="17">
        <v>33</v>
      </c>
      <c r="AJ15" s="17">
        <v>30</v>
      </c>
      <c r="AK15" s="20"/>
      <c r="AL15" s="22">
        <f t="shared" si="0"/>
        <v>254.5</v>
      </c>
      <c r="AM15" s="21">
        <f t="shared" si="1"/>
        <v>17.023411371237458</v>
      </c>
      <c r="AN15" s="22">
        <v>15</v>
      </c>
      <c r="AO15" s="17">
        <v>16</v>
      </c>
      <c r="AP15" s="22">
        <v>19</v>
      </c>
      <c r="AQ15" s="20"/>
      <c r="AR15" s="21">
        <f t="shared" si="2"/>
        <v>67.023411371237458</v>
      </c>
      <c r="AS15" s="19" t="str">
        <f t="shared" si="4"/>
        <v>C</v>
      </c>
      <c r="AT15" s="19"/>
      <c r="AU15" s="31">
        <v>89.5</v>
      </c>
      <c r="AV15" s="32" t="s">
        <v>2</v>
      </c>
    </row>
    <row r="16" spans="1:48" s="17" customFormat="1">
      <c r="A16" s="17">
        <v>10</v>
      </c>
      <c r="B16" s="19">
        <v>5823</v>
      </c>
      <c r="C16" s="20"/>
      <c r="D16" s="22">
        <v>15</v>
      </c>
      <c r="E16" s="22">
        <v>5</v>
      </c>
      <c r="F16" s="22">
        <v>12.5</v>
      </c>
      <c r="G16" s="22">
        <v>6</v>
      </c>
      <c r="H16" s="22" t="s">
        <v>6</v>
      </c>
      <c r="I16" s="17" t="s">
        <v>6</v>
      </c>
      <c r="J16" s="17">
        <v>13.5</v>
      </c>
      <c r="K16" s="17">
        <v>16.5</v>
      </c>
      <c r="L16" s="17">
        <v>12</v>
      </c>
      <c r="M16" s="17">
        <v>0</v>
      </c>
      <c r="N16" s="20"/>
      <c r="O16" s="17">
        <v>14.5</v>
      </c>
      <c r="P16" s="17">
        <v>19</v>
      </c>
      <c r="R16" s="17">
        <v>11</v>
      </c>
      <c r="S16" s="17">
        <v>0</v>
      </c>
      <c r="T16" s="20"/>
      <c r="U16" s="17">
        <v>5</v>
      </c>
      <c r="V16" s="17">
        <v>5</v>
      </c>
      <c r="W16" s="1">
        <v>5</v>
      </c>
      <c r="X16" s="17">
        <v>1</v>
      </c>
      <c r="Y16" s="17">
        <v>3</v>
      </c>
      <c r="Z16" s="17">
        <v>4</v>
      </c>
      <c r="AA16" s="17">
        <v>4</v>
      </c>
      <c r="AB16" s="17">
        <v>0</v>
      </c>
      <c r="AC16" s="17">
        <v>5</v>
      </c>
      <c r="AD16" s="17">
        <v>5</v>
      </c>
      <c r="AE16" s="17">
        <v>5</v>
      </c>
      <c r="AF16" s="20"/>
      <c r="AG16" s="17">
        <v>27</v>
      </c>
      <c r="AH16" s="17">
        <v>30</v>
      </c>
      <c r="AI16" s="17">
        <v>34</v>
      </c>
      <c r="AJ16" s="17">
        <v>30</v>
      </c>
      <c r="AK16" s="20"/>
      <c r="AL16" s="22">
        <f t="shared" si="0"/>
        <v>288</v>
      </c>
      <c r="AM16" s="21">
        <f t="shared" si="1"/>
        <v>19.264214046822744</v>
      </c>
      <c r="AN16" s="22">
        <v>23</v>
      </c>
      <c r="AO16" s="17">
        <v>20</v>
      </c>
      <c r="AP16" s="22">
        <v>29</v>
      </c>
      <c r="AQ16" s="20"/>
      <c r="AR16" s="21">
        <f t="shared" si="2"/>
        <v>91.264214046822744</v>
      </c>
      <c r="AS16" s="19" t="str">
        <f t="shared" si="4"/>
        <v>A</v>
      </c>
      <c r="AT16" s="19"/>
    </row>
    <row r="17" spans="1:46" s="17" customFormat="1">
      <c r="A17" s="17">
        <v>11</v>
      </c>
      <c r="B17" s="19">
        <v>8737</v>
      </c>
      <c r="C17" s="20"/>
      <c r="D17" s="22">
        <v>15</v>
      </c>
      <c r="E17" s="22">
        <v>1</v>
      </c>
      <c r="F17" s="22">
        <v>12</v>
      </c>
      <c r="G17" s="22">
        <v>6.5</v>
      </c>
      <c r="H17" s="22">
        <v>3</v>
      </c>
      <c r="I17" s="17">
        <v>9</v>
      </c>
      <c r="J17" s="17">
        <v>14.5</v>
      </c>
      <c r="K17" s="17">
        <v>19</v>
      </c>
      <c r="L17" s="17">
        <v>7</v>
      </c>
      <c r="M17" s="17">
        <v>10</v>
      </c>
      <c r="N17" s="20"/>
      <c r="O17" s="22">
        <v>14</v>
      </c>
      <c r="P17" s="22">
        <v>17</v>
      </c>
      <c r="Q17" s="22">
        <v>2</v>
      </c>
      <c r="R17" s="17">
        <v>24</v>
      </c>
      <c r="S17" s="17">
        <v>5</v>
      </c>
      <c r="T17" s="20"/>
      <c r="U17" s="22">
        <v>4</v>
      </c>
      <c r="V17" s="22">
        <v>0</v>
      </c>
      <c r="W17" s="3">
        <v>0</v>
      </c>
      <c r="X17" s="17">
        <v>0</v>
      </c>
      <c r="Y17" s="17">
        <v>4</v>
      </c>
      <c r="Z17" s="17">
        <v>0</v>
      </c>
      <c r="AA17" s="17">
        <v>4</v>
      </c>
      <c r="AB17" s="17">
        <v>0</v>
      </c>
      <c r="AC17" s="17">
        <v>3</v>
      </c>
      <c r="AD17" s="17">
        <v>0</v>
      </c>
      <c r="AE17" s="17">
        <v>1</v>
      </c>
      <c r="AF17" s="20"/>
      <c r="AG17" s="22">
        <v>29</v>
      </c>
      <c r="AH17" s="17">
        <v>30</v>
      </c>
      <c r="AI17" s="17">
        <v>30</v>
      </c>
      <c r="AJ17" s="17">
        <v>21.5</v>
      </c>
      <c r="AK17" s="20"/>
      <c r="AL17" s="22">
        <f t="shared" si="0"/>
        <v>285.5</v>
      </c>
      <c r="AM17" s="21">
        <f t="shared" si="1"/>
        <v>19.096989966555185</v>
      </c>
      <c r="AN17" s="22">
        <v>22</v>
      </c>
      <c r="AO17" s="17">
        <v>16</v>
      </c>
      <c r="AP17" s="22">
        <v>21</v>
      </c>
      <c r="AQ17" s="20"/>
      <c r="AR17" s="21">
        <f t="shared" si="2"/>
        <v>78.096989966555185</v>
      </c>
      <c r="AS17" s="19" t="str">
        <f t="shared" si="4"/>
        <v>B</v>
      </c>
      <c r="AT17" s="19"/>
    </row>
    <row r="18" spans="1:46" s="17" customFormat="1">
      <c r="A18" s="17">
        <v>12</v>
      </c>
      <c r="B18" s="19">
        <v>9213</v>
      </c>
      <c r="C18" s="20"/>
      <c r="D18" s="22">
        <v>9</v>
      </c>
      <c r="E18" s="22">
        <v>2</v>
      </c>
      <c r="F18" s="22" t="s">
        <v>6</v>
      </c>
      <c r="G18" s="22" t="s">
        <v>6</v>
      </c>
      <c r="H18" s="22" t="s">
        <v>6</v>
      </c>
      <c r="I18" s="17" t="s">
        <v>6</v>
      </c>
      <c r="J18" s="17" t="s">
        <v>6</v>
      </c>
      <c r="K18" s="17" t="s">
        <v>6</v>
      </c>
      <c r="L18" s="17" t="s">
        <v>6</v>
      </c>
      <c r="M18" s="17">
        <v>0</v>
      </c>
      <c r="N18" s="20"/>
      <c r="O18" s="22" t="s">
        <v>6</v>
      </c>
      <c r="P18" s="22" t="s">
        <v>6</v>
      </c>
      <c r="Q18" s="22" t="s">
        <v>6</v>
      </c>
      <c r="R18" s="17" t="s">
        <v>6</v>
      </c>
      <c r="S18" s="17">
        <v>0</v>
      </c>
      <c r="T18" s="20"/>
      <c r="U18" s="22">
        <v>2</v>
      </c>
      <c r="V18" s="22">
        <v>2</v>
      </c>
      <c r="W18" s="3">
        <v>1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22">
        <v>0</v>
      </c>
      <c r="AF18" s="20"/>
      <c r="AG18" s="22" t="s">
        <v>6</v>
      </c>
      <c r="AH18" s="17" t="s">
        <v>6</v>
      </c>
      <c r="AI18" s="17" t="s">
        <v>6</v>
      </c>
      <c r="AJ18" s="17" t="s">
        <v>6</v>
      </c>
      <c r="AK18" s="20"/>
      <c r="AL18" s="22">
        <f t="shared" si="0"/>
        <v>16</v>
      </c>
      <c r="AM18" s="21">
        <f t="shared" si="1"/>
        <v>1.0702341137123745</v>
      </c>
      <c r="AN18" s="22">
        <v>9</v>
      </c>
      <c r="AO18" s="17">
        <v>0</v>
      </c>
      <c r="AP18" s="22">
        <v>0</v>
      </c>
      <c r="AQ18" s="20"/>
      <c r="AR18" s="21">
        <f t="shared" si="2"/>
        <v>10.070234113712374</v>
      </c>
      <c r="AS18" s="19" t="str">
        <f t="shared" si="4"/>
        <v>E</v>
      </c>
      <c r="AT18" s="19"/>
    </row>
    <row r="19" spans="1:46" s="17" customFormat="1">
      <c r="A19" s="17">
        <v>13</v>
      </c>
      <c r="B19" s="19">
        <v>8655</v>
      </c>
      <c r="C19" s="20"/>
      <c r="D19" s="17" t="s">
        <v>6</v>
      </c>
      <c r="E19" s="17" t="s">
        <v>6</v>
      </c>
      <c r="F19" s="17" t="s">
        <v>6</v>
      </c>
      <c r="G19" s="17" t="s">
        <v>6</v>
      </c>
      <c r="H19" s="17" t="s">
        <v>6</v>
      </c>
      <c r="I19" s="17" t="s">
        <v>6</v>
      </c>
      <c r="J19" s="17" t="s">
        <v>6</v>
      </c>
      <c r="K19" s="17" t="s">
        <v>6</v>
      </c>
      <c r="L19" s="17" t="s">
        <v>6</v>
      </c>
      <c r="M19" s="17">
        <v>0</v>
      </c>
      <c r="N19" s="20"/>
      <c r="O19" s="22" t="s">
        <v>6</v>
      </c>
      <c r="P19" s="22" t="s">
        <v>6</v>
      </c>
      <c r="Q19" s="22" t="s">
        <v>6</v>
      </c>
      <c r="R19" s="17" t="s">
        <v>6</v>
      </c>
      <c r="S19" s="17">
        <v>0</v>
      </c>
      <c r="T19" s="20"/>
      <c r="U19" s="22">
        <v>3</v>
      </c>
      <c r="V19" s="22">
        <v>3</v>
      </c>
      <c r="W19" s="3">
        <v>3</v>
      </c>
      <c r="X19" s="17">
        <v>5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20"/>
      <c r="AG19" s="22" t="s">
        <v>6</v>
      </c>
      <c r="AH19" s="17" t="s">
        <v>6</v>
      </c>
      <c r="AI19" s="17" t="s">
        <v>6</v>
      </c>
      <c r="AJ19" s="17" t="s">
        <v>6</v>
      </c>
      <c r="AK19" s="20"/>
      <c r="AL19" s="22">
        <f t="shared" si="0"/>
        <v>14</v>
      </c>
      <c r="AM19" s="21">
        <f t="shared" si="1"/>
        <v>0.93645484949832769</v>
      </c>
      <c r="AN19" s="22">
        <v>19</v>
      </c>
      <c r="AO19" s="17">
        <v>7</v>
      </c>
      <c r="AP19" s="22">
        <v>0</v>
      </c>
      <c r="AQ19" s="20"/>
      <c r="AR19" s="21">
        <f t="shared" si="2"/>
        <v>26.936454849498329</v>
      </c>
      <c r="AS19" s="19" t="str">
        <f t="shared" si="4"/>
        <v>E</v>
      </c>
      <c r="AT19" s="19"/>
    </row>
    <row r="20" spans="1:46" s="20" customFormat="1">
      <c r="B20" s="35"/>
      <c r="W20" s="2"/>
      <c r="AT20" s="35"/>
    </row>
    <row r="21" spans="1:46" s="17" customFormat="1">
      <c r="A21" s="17">
        <v>14</v>
      </c>
      <c r="B21" s="19">
        <v>6968</v>
      </c>
      <c r="C21" s="20"/>
      <c r="D21" s="17">
        <v>11.5</v>
      </c>
      <c r="E21" s="17">
        <v>3.5</v>
      </c>
      <c r="F21" s="17">
        <v>12</v>
      </c>
      <c r="G21" s="17">
        <v>7</v>
      </c>
      <c r="H21" s="17">
        <v>4</v>
      </c>
      <c r="I21" s="17" t="s">
        <v>6</v>
      </c>
      <c r="J21" s="17" t="s">
        <v>6</v>
      </c>
      <c r="K21" s="17" t="s">
        <v>6</v>
      </c>
      <c r="L21" s="17" t="s">
        <v>6</v>
      </c>
      <c r="M21" s="17">
        <v>10</v>
      </c>
      <c r="N21" s="20"/>
      <c r="O21" s="22">
        <v>13</v>
      </c>
      <c r="P21" s="22">
        <v>15</v>
      </c>
      <c r="Q21" s="22">
        <v>0.5</v>
      </c>
      <c r="R21" s="17">
        <v>9.5</v>
      </c>
      <c r="S21" s="17">
        <v>5</v>
      </c>
      <c r="T21" s="20"/>
      <c r="U21" s="22">
        <v>3</v>
      </c>
      <c r="V21" s="22">
        <v>4</v>
      </c>
      <c r="W21" s="3">
        <v>5</v>
      </c>
      <c r="X21" s="17">
        <v>5</v>
      </c>
      <c r="Y21" s="37">
        <v>5</v>
      </c>
      <c r="Z21" s="22">
        <v>0</v>
      </c>
      <c r="AA21" s="22">
        <v>2</v>
      </c>
      <c r="AB21" s="22">
        <v>0</v>
      </c>
      <c r="AC21" s="37">
        <v>5</v>
      </c>
      <c r="AD21" s="37">
        <v>5</v>
      </c>
      <c r="AE21" s="17">
        <v>0</v>
      </c>
      <c r="AF21" s="20"/>
      <c r="AG21" s="22">
        <v>30</v>
      </c>
      <c r="AH21" s="17">
        <v>23</v>
      </c>
      <c r="AI21" s="17">
        <v>25</v>
      </c>
      <c r="AJ21" s="17">
        <v>12</v>
      </c>
      <c r="AK21" s="20"/>
      <c r="AL21" s="22">
        <f t="shared" si="0"/>
        <v>215</v>
      </c>
      <c r="AM21" s="21">
        <f t="shared" si="1"/>
        <v>14.381270903010034</v>
      </c>
      <c r="AN21" s="22">
        <v>17</v>
      </c>
      <c r="AO21" s="17">
        <v>14</v>
      </c>
      <c r="AP21" s="22">
        <v>13</v>
      </c>
      <c r="AQ21" s="20"/>
      <c r="AR21" s="21">
        <f t="shared" si="2"/>
        <v>58.381270903010034</v>
      </c>
      <c r="AS21" s="19" t="str">
        <f t="shared" ref="AS21:AS27" si="5">LOOKUP(AR21,$AU$8:$AU$15,$AV$8:$AV$15)</f>
        <v>DC</v>
      </c>
      <c r="AT21" s="19"/>
    </row>
    <row r="22" spans="1:46" s="17" customFormat="1">
      <c r="A22" s="17">
        <v>15</v>
      </c>
      <c r="B22" s="19">
        <v>6696</v>
      </c>
      <c r="C22" s="20"/>
      <c r="D22" s="17">
        <v>14</v>
      </c>
      <c r="E22" s="17">
        <v>3.5</v>
      </c>
      <c r="F22" s="17">
        <v>14</v>
      </c>
      <c r="G22" s="17">
        <v>8.5</v>
      </c>
      <c r="H22" s="17" t="s">
        <v>6</v>
      </c>
      <c r="I22" s="17">
        <v>15</v>
      </c>
      <c r="J22" s="17">
        <v>13</v>
      </c>
      <c r="K22" s="17">
        <v>19</v>
      </c>
      <c r="L22" s="17">
        <v>11</v>
      </c>
      <c r="M22" s="17">
        <v>10</v>
      </c>
      <c r="N22" s="20"/>
      <c r="O22" s="22">
        <v>13</v>
      </c>
      <c r="P22" s="22">
        <v>17.5</v>
      </c>
      <c r="Q22" s="22">
        <v>5</v>
      </c>
      <c r="R22" s="17">
        <v>9</v>
      </c>
      <c r="S22" s="17">
        <v>0</v>
      </c>
      <c r="T22" s="20"/>
      <c r="U22" s="22">
        <v>4</v>
      </c>
      <c r="V22" s="22">
        <v>3</v>
      </c>
      <c r="W22" s="3">
        <v>5</v>
      </c>
      <c r="X22" s="17">
        <v>4</v>
      </c>
      <c r="Y22" s="17">
        <v>4</v>
      </c>
      <c r="Z22" s="17">
        <v>0</v>
      </c>
      <c r="AA22" s="17">
        <v>2</v>
      </c>
      <c r="AB22" s="17">
        <v>0</v>
      </c>
      <c r="AC22" s="17">
        <v>2</v>
      </c>
      <c r="AD22" s="17">
        <v>4</v>
      </c>
      <c r="AE22" s="17">
        <v>5</v>
      </c>
      <c r="AF22" s="20"/>
      <c r="AG22" s="22">
        <v>27</v>
      </c>
      <c r="AH22" s="17">
        <v>29.5</v>
      </c>
      <c r="AI22" s="17">
        <v>35</v>
      </c>
      <c r="AJ22" s="17">
        <v>22.5</v>
      </c>
      <c r="AK22" s="20"/>
      <c r="AL22" s="22">
        <f t="shared" si="0"/>
        <v>299.5</v>
      </c>
      <c r="AM22" s="21">
        <f t="shared" si="1"/>
        <v>20.033444816053514</v>
      </c>
      <c r="AN22" s="22">
        <v>23</v>
      </c>
      <c r="AO22" s="17">
        <v>21</v>
      </c>
      <c r="AP22" s="22">
        <v>26</v>
      </c>
      <c r="AQ22" s="20"/>
      <c r="AR22" s="21">
        <f t="shared" si="2"/>
        <v>90.033444816053517</v>
      </c>
      <c r="AS22" s="19" t="str">
        <f t="shared" si="5"/>
        <v>A</v>
      </c>
      <c r="AT22" s="19"/>
    </row>
    <row r="23" spans="1:46" s="17" customFormat="1">
      <c r="A23" s="17">
        <v>16</v>
      </c>
      <c r="B23" s="19">
        <v>6627</v>
      </c>
      <c r="C23" s="20"/>
      <c r="D23" s="17">
        <v>10</v>
      </c>
      <c r="E23" s="17">
        <v>2</v>
      </c>
      <c r="F23" s="17">
        <v>10</v>
      </c>
      <c r="G23" s="17">
        <v>9</v>
      </c>
      <c r="H23" s="17">
        <v>4</v>
      </c>
      <c r="I23" s="17">
        <v>19</v>
      </c>
      <c r="J23" s="41" t="s">
        <v>32</v>
      </c>
      <c r="K23" s="17">
        <v>19</v>
      </c>
      <c r="L23" s="17">
        <v>12.5</v>
      </c>
      <c r="M23" s="17">
        <v>0</v>
      </c>
      <c r="N23" s="20"/>
      <c r="O23" s="22">
        <v>14</v>
      </c>
      <c r="P23" s="22">
        <v>17.5</v>
      </c>
      <c r="Q23" s="22">
        <v>4</v>
      </c>
      <c r="R23" s="17">
        <v>24</v>
      </c>
      <c r="S23" s="17">
        <v>0</v>
      </c>
      <c r="T23" s="20"/>
      <c r="U23" s="22">
        <v>5</v>
      </c>
      <c r="V23" s="22">
        <v>4</v>
      </c>
      <c r="W23" s="3">
        <v>3</v>
      </c>
      <c r="X23" s="17">
        <v>2</v>
      </c>
      <c r="Y23" s="17">
        <v>2</v>
      </c>
      <c r="Z23" s="17">
        <v>4</v>
      </c>
      <c r="AA23" s="17">
        <v>4</v>
      </c>
      <c r="AB23" s="17">
        <v>3</v>
      </c>
      <c r="AC23" s="17">
        <v>4</v>
      </c>
      <c r="AD23" s="17">
        <v>2</v>
      </c>
      <c r="AE23" s="17">
        <v>3</v>
      </c>
      <c r="AF23" s="20"/>
      <c r="AG23" s="17">
        <v>28.5</v>
      </c>
      <c r="AH23" s="22">
        <v>27</v>
      </c>
      <c r="AI23" s="17">
        <v>35</v>
      </c>
      <c r="AJ23" s="17">
        <v>25</v>
      </c>
      <c r="AK23" s="20"/>
      <c r="AL23" s="22">
        <f t="shared" si="0"/>
        <v>296.5</v>
      </c>
      <c r="AM23" s="21">
        <v>20</v>
      </c>
      <c r="AN23" s="22">
        <v>21</v>
      </c>
      <c r="AO23" s="17">
        <v>25</v>
      </c>
      <c r="AP23" s="22">
        <v>28</v>
      </c>
      <c r="AQ23" s="20"/>
      <c r="AR23" s="21">
        <f t="shared" si="2"/>
        <v>94</v>
      </c>
      <c r="AS23" s="19" t="str">
        <f t="shared" si="5"/>
        <v>A</v>
      </c>
      <c r="AT23" s="19"/>
    </row>
    <row r="24" spans="1:46" s="17" customFormat="1">
      <c r="A24" s="17">
        <v>17</v>
      </c>
      <c r="B24" s="19">
        <v>2975</v>
      </c>
      <c r="C24" s="20"/>
      <c r="D24" s="17">
        <v>14</v>
      </c>
      <c r="E24" s="17">
        <v>4</v>
      </c>
      <c r="F24" s="17">
        <v>14</v>
      </c>
      <c r="G24" s="17">
        <v>6</v>
      </c>
      <c r="H24" s="17">
        <v>4</v>
      </c>
      <c r="I24" s="17">
        <v>10</v>
      </c>
      <c r="J24" s="17">
        <v>13</v>
      </c>
      <c r="K24" s="17">
        <v>17.5</v>
      </c>
      <c r="L24" s="17">
        <v>11.5</v>
      </c>
      <c r="M24" s="17">
        <v>10</v>
      </c>
      <c r="N24" s="20"/>
      <c r="O24" s="17">
        <v>12.5</v>
      </c>
      <c r="P24" s="17">
        <v>17</v>
      </c>
      <c r="Q24" s="17">
        <v>5</v>
      </c>
      <c r="R24" s="17" t="s">
        <v>6</v>
      </c>
      <c r="S24" s="17">
        <v>5</v>
      </c>
      <c r="T24" s="20"/>
      <c r="U24" s="17">
        <v>5</v>
      </c>
      <c r="V24" s="17">
        <v>5</v>
      </c>
      <c r="W24" s="1">
        <v>0</v>
      </c>
      <c r="X24" s="17">
        <v>3</v>
      </c>
      <c r="Y24" s="17">
        <v>3</v>
      </c>
      <c r="Z24" s="17">
        <v>0</v>
      </c>
      <c r="AA24" s="17">
        <v>1</v>
      </c>
      <c r="AB24" s="17">
        <v>2</v>
      </c>
      <c r="AC24" s="17">
        <v>3</v>
      </c>
      <c r="AD24" s="17">
        <v>3</v>
      </c>
      <c r="AE24" s="17">
        <v>2</v>
      </c>
      <c r="AF24" s="20"/>
      <c r="AG24" s="17">
        <v>26</v>
      </c>
      <c r="AH24" s="17">
        <v>24</v>
      </c>
      <c r="AI24" s="17">
        <v>35</v>
      </c>
      <c r="AJ24" s="17">
        <v>29</v>
      </c>
      <c r="AK24" s="20"/>
      <c r="AL24" s="22">
        <f t="shared" si="0"/>
        <v>284.5</v>
      </c>
      <c r="AM24" s="21">
        <f t="shared" si="1"/>
        <v>19.030100334448161</v>
      </c>
      <c r="AN24" s="22">
        <v>22</v>
      </c>
      <c r="AO24" s="17">
        <v>17</v>
      </c>
      <c r="AP24" s="22">
        <v>23</v>
      </c>
      <c r="AQ24" s="20"/>
      <c r="AR24" s="21">
        <f t="shared" si="2"/>
        <v>81.030100334448164</v>
      </c>
      <c r="AS24" s="19" t="str">
        <f t="shared" si="5"/>
        <v>B</v>
      </c>
      <c r="AT24" s="19"/>
    </row>
    <row r="25" spans="1:46" s="17" customFormat="1">
      <c r="A25" s="17">
        <v>18</v>
      </c>
      <c r="B25" s="19">
        <v>8279</v>
      </c>
      <c r="C25" s="20"/>
      <c r="D25" s="37">
        <v>5</v>
      </c>
      <c r="E25" s="37">
        <v>3</v>
      </c>
      <c r="F25" s="17">
        <v>4.5</v>
      </c>
      <c r="G25" s="17">
        <v>3</v>
      </c>
      <c r="H25" s="17">
        <v>4</v>
      </c>
      <c r="I25" s="37">
        <v>11</v>
      </c>
      <c r="J25" s="37">
        <v>10</v>
      </c>
      <c r="K25" s="37">
        <v>12</v>
      </c>
      <c r="L25" s="17" t="s">
        <v>6</v>
      </c>
      <c r="M25" s="17">
        <v>0</v>
      </c>
      <c r="N25" s="20"/>
      <c r="O25" s="37">
        <v>10</v>
      </c>
      <c r="P25" s="37">
        <v>12</v>
      </c>
      <c r="Q25" s="17" t="s">
        <v>6</v>
      </c>
      <c r="R25" s="37">
        <v>8</v>
      </c>
      <c r="S25" s="17">
        <v>0</v>
      </c>
      <c r="T25" s="20"/>
      <c r="U25" s="17">
        <v>2</v>
      </c>
      <c r="V25" s="17">
        <v>4</v>
      </c>
      <c r="W25" s="1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22">
        <v>0</v>
      </c>
      <c r="AF25" s="20"/>
      <c r="AG25" s="17">
        <v>27</v>
      </c>
      <c r="AH25" s="17">
        <v>9</v>
      </c>
      <c r="AI25" s="17" t="s">
        <v>6</v>
      </c>
      <c r="AJ25" s="17" t="s">
        <v>6</v>
      </c>
      <c r="AK25" s="20"/>
      <c r="AL25" s="22">
        <f t="shared" si="0"/>
        <v>124.5</v>
      </c>
      <c r="AM25" s="21">
        <f t="shared" si="1"/>
        <v>8.3277591973244149</v>
      </c>
      <c r="AN25" s="17">
        <v>15</v>
      </c>
      <c r="AO25" s="17">
        <v>16</v>
      </c>
      <c r="AP25" s="17">
        <v>24</v>
      </c>
      <c r="AQ25" s="20"/>
      <c r="AR25" s="21">
        <f t="shared" si="2"/>
        <v>63.327759197324411</v>
      </c>
      <c r="AS25" s="19" t="str">
        <f t="shared" si="5"/>
        <v>DC</v>
      </c>
      <c r="AT25" s="19"/>
    </row>
    <row r="26" spans="1:46" s="17" customFormat="1">
      <c r="A26" s="17">
        <v>19</v>
      </c>
      <c r="B26" s="19">
        <v>3896</v>
      </c>
      <c r="C26" s="20"/>
      <c r="D26" s="17">
        <v>14</v>
      </c>
      <c r="E26" s="17">
        <v>2.5</v>
      </c>
      <c r="F26" s="17">
        <v>14</v>
      </c>
      <c r="G26" s="17">
        <v>8</v>
      </c>
      <c r="H26" s="17">
        <v>4</v>
      </c>
      <c r="I26" s="17">
        <v>15</v>
      </c>
      <c r="J26" s="17">
        <v>15</v>
      </c>
      <c r="K26" s="17">
        <v>11.5</v>
      </c>
      <c r="L26" s="17" t="s">
        <v>6</v>
      </c>
      <c r="M26" s="17">
        <v>10</v>
      </c>
      <c r="N26" s="20"/>
      <c r="O26" s="17">
        <v>14</v>
      </c>
      <c r="P26" s="17">
        <v>17.5</v>
      </c>
      <c r="Q26" s="17">
        <v>5</v>
      </c>
      <c r="R26" s="17">
        <v>16</v>
      </c>
      <c r="S26" s="17">
        <v>5</v>
      </c>
      <c r="T26" s="20"/>
      <c r="U26" s="17">
        <v>5</v>
      </c>
      <c r="V26" s="17">
        <v>4</v>
      </c>
      <c r="W26" s="1">
        <v>4</v>
      </c>
      <c r="X26" s="17">
        <v>2</v>
      </c>
      <c r="Y26" s="17">
        <v>2</v>
      </c>
      <c r="Z26" s="17">
        <v>4</v>
      </c>
      <c r="AA26" s="17">
        <v>1</v>
      </c>
      <c r="AB26" s="17">
        <v>3</v>
      </c>
      <c r="AC26" s="17">
        <v>5</v>
      </c>
      <c r="AD26" s="17">
        <v>4</v>
      </c>
      <c r="AE26" s="22">
        <v>0</v>
      </c>
      <c r="AF26" s="20"/>
      <c r="AG26" s="17">
        <v>29</v>
      </c>
      <c r="AH26" s="17">
        <v>29</v>
      </c>
      <c r="AI26" s="17">
        <v>35</v>
      </c>
      <c r="AJ26" s="17">
        <v>28</v>
      </c>
      <c r="AK26" s="20"/>
      <c r="AL26" s="22">
        <f t="shared" si="0"/>
        <v>306.5</v>
      </c>
      <c r="AM26" s="21">
        <v>20</v>
      </c>
      <c r="AN26" s="17">
        <v>17</v>
      </c>
      <c r="AO26" s="17">
        <v>12</v>
      </c>
      <c r="AP26" s="17">
        <v>22</v>
      </c>
      <c r="AQ26" s="20"/>
      <c r="AR26" s="21">
        <f t="shared" si="2"/>
        <v>71</v>
      </c>
      <c r="AS26" s="19" t="str">
        <f t="shared" si="5"/>
        <v>C</v>
      </c>
      <c r="AT26" s="19"/>
    </row>
    <row r="27" spans="1:46" s="17" customFormat="1">
      <c r="A27" s="17">
        <v>20</v>
      </c>
      <c r="B27" s="19">
        <v>4262</v>
      </c>
      <c r="C27" s="20"/>
      <c r="D27" s="22">
        <v>12.5</v>
      </c>
      <c r="E27" s="22">
        <v>3</v>
      </c>
      <c r="F27" s="22">
        <v>10</v>
      </c>
      <c r="G27" s="22">
        <v>5</v>
      </c>
      <c r="H27" s="22" t="s">
        <v>6</v>
      </c>
      <c r="I27" s="22" t="s">
        <v>6</v>
      </c>
      <c r="J27" s="17">
        <v>13.5</v>
      </c>
      <c r="K27" s="17">
        <v>16.5</v>
      </c>
      <c r="L27" s="17">
        <v>8</v>
      </c>
      <c r="M27" s="17">
        <v>10</v>
      </c>
      <c r="N27" s="20"/>
      <c r="O27" s="22">
        <v>14.5</v>
      </c>
      <c r="P27" s="22">
        <v>18.5</v>
      </c>
      <c r="Q27" s="22">
        <v>1.5</v>
      </c>
      <c r="R27" s="22">
        <v>10</v>
      </c>
      <c r="S27" s="17">
        <v>0</v>
      </c>
      <c r="T27" s="20"/>
      <c r="U27" s="22">
        <v>3</v>
      </c>
      <c r="V27" s="22">
        <v>5</v>
      </c>
      <c r="W27" s="3">
        <v>0</v>
      </c>
      <c r="X27" s="22">
        <v>5</v>
      </c>
      <c r="Y27" s="22">
        <v>5</v>
      </c>
      <c r="Z27" s="22">
        <v>0</v>
      </c>
      <c r="AA27" s="22">
        <v>0</v>
      </c>
      <c r="AB27" s="22">
        <v>0</v>
      </c>
      <c r="AC27" s="22">
        <v>5</v>
      </c>
      <c r="AD27" s="22">
        <v>5</v>
      </c>
      <c r="AE27" s="22">
        <v>5</v>
      </c>
      <c r="AF27" s="20"/>
      <c r="AG27" s="17">
        <v>27</v>
      </c>
      <c r="AH27" s="17">
        <v>9</v>
      </c>
      <c r="AI27" s="17">
        <v>28</v>
      </c>
      <c r="AJ27" s="17">
        <v>14</v>
      </c>
      <c r="AK27" s="20"/>
      <c r="AL27" s="22">
        <f t="shared" si="0"/>
        <v>234</v>
      </c>
      <c r="AM27" s="21">
        <f t="shared" si="1"/>
        <v>15.652173913043478</v>
      </c>
      <c r="AN27" s="17">
        <v>8</v>
      </c>
      <c r="AO27" s="17">
        <v>10</v>
      </c>
      <c r="AP27" s="17">
        <v>24</v>
      </c>
      <c r="AQ27" s="20"/>
      <c r="AR27" s="21">
        <f t="shared" si="2"/>
        <v>57.652173913043477</v>
      </c>
      <c r="AS27" s="19" t="str">
        <f t="shared" si="5"/>
        <v>DC</v>
      </c>
      <c r="AT27" s="19"/>
    </row>
    <row r="28" spans="1:46" s="20" customFormat="1">
      <c r="B28" s="35"/>
      <c r="W28" s="2"/>
      <c r="AT28" s="35"/>
    </row>
    <row r="29" spans="1:46" s="17" customFormat="1">
      <c r="A29" s="17">
        <v>21</v>
      </c>
      <c r="B29" s="19">
        <v>8098</v>
      </c>
      <c r="C29" s="20"/>
      <c r="D29" s="17">
        <v>9</v>
      </c>
      <c r="E29" s="17" t="s">
        <v>6</v>
      </c>
      <c r="F29" s="17" t="s">
        <v>6</v>
      </c>
      <c r="G29" s="17" t="s">
        <v>6</v>
      </c>
      <c r="H29" s="17" t="s">
        <v>6</v>
      </c>
      <c r="I29" s="17" t="s">
        <v>6</v>
      </c>
      <c r="J29" s="17" t="s">
        <v>6</v>
      </c>
      <c r="K29" s="17" t="s">
        <v>6</v>
      </c>
      <c r="L29" s="17" t="s">
        <v>6</v>
      </c>
      <c r="M29" s="17">
        <v>0</v>
      </c>
      <c r="N29" s="20"/>
      <c r="O29" s="22" t="s">
        <v>6</v>
      </c>
      <c r="P29" s="22" t="s">
        <v>6</v>
      </c>
      <c r="Q29" s="22" t="s">
        <v>6</v>
      </c>
      <c r="R29" s="22" t="s">
        <v>6</v>
      </c>
      <c r="S29" s="17">
        <v>0</v>
      </c>
      <c r="T29" s="20"/>
      <c r="U29" s="22">
        <v>3</v>
      </c>
      <c r="V29" s="22">
        <v>0</v>
      </c>
      <c r="W29" s="3">
        <v>0</v>
      </c>
      <c r="X29" s="22">
        <v>3</v>
      </c>
      <c r="Y29" s="22">
        <v>3</v>
      </c>
      <c r="Z29" s="22">
        <v>0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0"/>
      <c r="AG29" s="17" t="s">
        <v>6</v>
      </c>
      <c r="AH29" s="17" t="s">
        <v>6</v>
      </c>
      <c r="AI29" s="17" t="s">
        <v>6</v>
      </c>
      <c r="AJ29" s="17" t="s">
        <v>6</v>
      </c>
      <c r="AK29" s="20"/>
      <c r="AL29" s="22">
        <f t="shared" si="0"/>
        <v>19</v>
      </c>
      <c r="AM29" s="21">
        <f t="shared" si="1"/>
        <v>1.2709030100334449</v>
      </c>
      <c r="AN29" s="17">
        <v>16</v>
      </c>
      <c r="AO29" s="17">
        <v>10</v>
      </c>
      <c r="AP29" s="17">
        <v>13</v>
      </c>
      <c r="AQ29" s="20"/>
      <c r="AR29" s="21">
        <f t="shared" si="2"/>
        <v>40.270903010033443</v>
      </c>
      <c r="AS29" s="19" t="str">
        <f t="shared" ref="AS29:AS37" si="6">LOOKUP(AR29,$AU$8:$AU$15,$AV$8:$AV$15)</f>
        <v>E</v>
      </c>
      <c r="AT29" s="19"/>
    </row>
    <row r="30" spans="1:46" s="17" customFormat="1">
      <c r="A30" s="17">
        <v>22</v>
      </c>
      <c r="B30" s="19">
        <v>3715</v>
      </c>
      <c r="C30" s="20"/>
      <c r="D30" s="17">
        <v>15</v>
      </c>
      <c r="E30" s="17">
        <v>2</v>
      </c>
      <c r="F30" s="17">
        <v>12</v>
      </c>
      <c r="G30" s="17">
        <v>6.5</v>
      </c>
      <c r="H30" s="17">
        <v>4</v>
      </c>
      <c r="I30" s="17">
        <v>11</v>
      </c>
      <c r="J30" s="17">
        <v>12.5</v>
      </c>
      <c r="K30" s="17">
        <v>19</v>
      </c>
      <c r="L30" s="17" t="s">
        <v>6</v>
      </c>
      <c r="M30" s="17">
        <v>10</v>
      </c>
      <c r="N30" s="20"/>
      <c r="O30" s="22">
        <v>13.5</v>
      </c>
      <c r="P30" s="22">
        <v>18</v>
      </c>
      <c r="Q30" s="22">
        <v>3.5</v>
      </c>
      <c r="R30" s="22">
        <v>22</v>
      </c>
      <c r="S30" s="17">
        <v>0</v>
      </c>
      <c r="T30" s="20"/>
      <c r="U30" s="22">
        <v>3</v>
      </c>
      <c r="V30" s="22">
        <v>5</v>
      </c>
      <c r="W30" s="3">
        <v>5</v>
      </c>
      <c r="X30" s="22">
        <v>3</v>
      </c>
      <c r="Y30" s="22">
        <v>3</v>
      </c>
      <c r="Z30" s="22">
        <v>5</v>
      </c>
      <c r="AA30" s="22">
        <v>5</v>
      </c>
      <c r="AB30" s="22">
        <v>5</v>
      </c>
      <c r="AC30" s="22">
        <v>5</v>
      </c>
      <c r="AD30" s="22">
        <v>1</v>
      </c>
      <c r="AE30" s="22">
        <v>0</v>
      </c>
      <c r="AF30" s="20"/>
      <c r="AG30" s="17">
        <v>27</v>
      </c>
      <c r="AH30" s="17">
        <v>30</v>
      </c>
      <c r="AI30" s="17">
        <v>35</v>
      </c>
      <c r="AJ30" s="17">
        <v>29</v>
      </c>
      <c r="AK30" s="20"/>
      <c r="AL30" s="22">
        <f t="shared" si="0"/>
        <v>310</v>
      </c>
      <c r="AM30" s="21">
        <v>20</v>
      </c>
      <c r="AN30" s="17">
        <v>23</v>
      </c>
      <c r="AO30" s="17">
        <v>22</v>
      </c>
      <c r="AP30" s="17">
        <v>29</v>
      </c>
      <c r="AQ30" s="20"/>
      <c r="AR30" s="21">
        <f t="shared" si="2"/>
        <v>94</v>
      </c>
      <c r="AS30" s="19" t="str">
        <f t="shared" si="6"/>
        <v>A</v>
      </c>
      <c r="AT30" s="19"/>
    </row>
    <row r="31" spans="1:46" s="17" customFormat="1">
      <c r="A31" s="17">
        <v>23</v>
      </c>
      <c r="B31" s="19">
        <v>1875</v>
      </c>
      <c r="C31" s="20"/>
      <c r="D31" s="17">
        <v>15</v>
      </c>
      <c r="E31" s="17">
        <v>4</v>
      </c>
      <c r="F31" s="17">
        <v>14</v>
      </c>
      <c r="G31" s="17">
        <v>9</v>
      </c>
      <c r="H31" s="17">
        <v>2</v>
      </c>
      <c r="I31" s="17">
        <v>16</v>
      </c>
      <c r="J31" s="17">
        <v>14</v>
      </c>
      <c r="K31" s="17">
        <v>17.5</v>
      </c>
      <c r="L31" s="17" t="s">
        <v>6</v>
      </c>
      <c r="M31" s="17">
        <v>10</v>
      </c>
      <c r="N31" s="20"/>
      <c r="O31" s="22">
        <v>14</v>
      </c>
      <c r="P31" s="22">
        <v>19</v>
      </c>
      <c r="Q31" s="22">
        <v>5</v>
      </c>
      <c r="R31" s="22">
        <v>23.5</v>
      </c>
      <c r="S31" s="17">
        <v>5</v>
      </c>
      <c r="T31" s="20"/>
      <c r="U31" s="22">
        <v>4</v>
      </c>
      <c r="V31" s="22">
        <v>5</v>
      </c>
      <c r="W31" s="3">
        <v>4</v>
      </c>
      <c r="X31" s="22">
        <v>4</v>
      </c>
      <c r="Y31" s="22">
        <v>4</v>
      </c>
      <c r="Z31" s="22">
        <v>3</v>
      </c>
      <c r="AA31" s="22">
        <v>4</v>
      </c>
      <c r="AB31" s="22">
        <v>3</v>
      </c>
      <c r="AC31" s="22">
        <v>4</v>
      </c>
      <c r="AD31" s="22">
        <v>4</v>
      </c>
      <c r="AE31" s="22">
        <v>3</v>
      </c>
      <c r="AF31" s="20"/>
      <c r="AG31" s="17">
        <v>30</v>
      </c>
      <c r="AH31" s="17">
        <v>30</v>
      </c>
      <c r="AI31" s="17">
        <v>29</v>
      </c>
      <c r="AJ31" s="17">
        <v>26</v>
      </c>
      <c r="AK31" s="20"/>
      <c r="AL31" s="22">
        <f t="shared" si="0"/>
        <v>325</v>
      </c>
      <c r="AM31" s="21">
        <v>20</v>
      </c>
      <c r="AN31" s="17">
        <v>21</v>
      </c>
      <c r="AO31" s="17">
        <v>23</v>
      </c>
      <c r="AP31" s="17">
        <v>29</v>
      </c>
      <c r="AQ31" s="20"/>
      <c r="AR31" s="21">
        <f t="shared" si="2"/>
        <v>93</v>
      </c>
      <c r="AS31" s="19" t="str">
        <f t="shared" si="6"/>
        <v>A</v>
      </c>
      <c r="AT31" s="19"/>
    </row>
    <row r="32" spans="1:46" s="17" customFormat="1">
      <c r="A32" s="17">
        <v>24</v>
      </c>
      <c r="B32" s="19">
        <v>5350</v>
      </c>
      <c r="C32" s="20"/>
      <c r="D32" s="17" t="s">
        <v>6</v>
      </c>
      <c r="E32" s="17">
        <v>2</v>
      </c>
      <c r="F32" s="17" t="s">
        <v>6</v>
      </c>
      <c r="G32" s="17" t="s">
        <v>6</v>
      </c>
      <c r="H32" s="17" t="s">
        <v>6</v>
      </c>
      <c r="I32" s="17" t="s">
        <v>6</v>
      </c>
      <c r="J32" s="17" t="s">
        <v>6</v>
      </c>
      <c r="K32" s="17" t="s">
        <v>6</v>
      </c>
      <c r="L32" s="17" t="s">
        <v>6</v>
      </c>
      <c r="M32" s="17">
        <v>0</v>
      </c>
      <c r="N32" s="20"/>
      <c r="O32" s="22">
        <v>12</v>
      </c>
      <c r="P32" s="22" t="s">
        <v>6</v>
      </c>
      <c r="Q32" s="22" t="s">
        <v>6</v>
      </c>
      <c r="R32" s="22" t="s">
        <v>6</v>
      </c>
      <c r="S32" s="17">
        <v>0</v>
      </c>
      <c r="T32" s="20"/>
      <c r="U32" s="22">
        <v>3</v>
      </c>
      <c r="V32" s="22">
        <v>0</v>
      </c>
      <c r="W32" s="3">
        <v>0</v>
      </c>
      <c r="X32" s="22">
        <v>2</v>
      </c>
      <c r="Y32" s="22">
        <v>2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0"/>
      <c r="AG32" s="17">
        <v>24.5</v>
      </c>
      <c r="AH32" s="17" t="s">
        <v>6</v>
      </c>
      <c r="AI32" s="17" t="s">
        <v>6</v>
      </c>
      <c r="AJ32" s="17" t="s">
        <v>6</v>
      </c>
      <c r="AK32" s="20"/>
      <c r="AL32" s="22">
        <f t="shared" si="0"/>
        <v>45.5</v>
      </c>
      <c r="AM32" s="21">
        <f t="shared" si="1"/>
        <v>3.0434782608695654</v>
      </c>
      <c r="AN32" s="17">
        <v>21</v>
      </c>
      <c r="AO32" s="17">
        <v>0</v>
      </c>
      <c r="AP32" s="17">
        <v>0</v>
      </c>
      <c r="AQ32" s="20"/>
      <c r="AR32" s="21">
        <f t="shared" si="2"/>
        <v>24.043478260869566</v>
      </c>
      <c r="AS32" s="19" t="str">
        <f t="shared" si="6"/>
        <v>E</v>
      </c>
      <c r="AT32" s="19"/>
    </row>
    <row r="33" spans="1:46" s="17" customFormat="1">
      <c r="A33" s="17">
        <v>25</v>
      </c>
      <c r="B33" s="19">
        <v>9414</v>
      </c>
      <c r="C33" s="20"/>
      <c r="D33" s="22">
        <v>14</v>
      </c>
      <c r="E33" s="22">
        <v>3.5</v>
      </c>
      <c r="F33" s="22">
        <v>13</v>
      </c>
      <c r="G33" s="22" t="s">
        <v>6</v>
      </c>
      <c r="H33" s="22">
        <v>2</v>
      </c>
      <c r="I33" s="22">
        <v>13</v>
      </c>
      <c r="J33" s="17">
        <v>13</v>
      </c>
      <c r="K33" s="17">
        <v>17</v>
      </c>
      <c r="L33" s="17">
        <v>6</v>
      </c>
      <c r="M33" s="17">
        <v>10</v>
      </c>
      <c r="N33" s="20"/>
      <c r="O33" s="22" t="s">
        <v>6</v>
      </c>
      <c r="P33" s="22">
        <v>18</v>
      </c>
      <c r="Q33" s="22">
        <v>2.5</v>
      </c>
      <c r="R33" s="22">
        <v>13.5</v>
      </c>
      <c r="S33" s="17">
        <v>0</v>
      </c>
      <c r="T33" s="20"/>
      <c r="U33" s="22">
        <v>4</v>
      </c>
      <c r="V33" s="22">
        <v>2</v>
      </c>
      <c r="W33" s="3">
        <v>3</v>
      </c>
      <c r="X33" s="22">
        <v>2</v>
      </c>
      <c r="Y33" s="22">
        <v>2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0"/>
      <c r="AG33" s="17" t="s">
        <v>6</v>
      </c>
      <c r="AH33" s="17">
        <v>8</v>
      </c>
      <c r="AI33" s="17">
        <v>28</v>
      </c>
      <c r="AJ33" s="17">
        <v>22</v>
      </c>
      <c r="AK33" s="20"/>
      <c r="AL33" s="22">
        <f t="shared" si="0"/>
        <v>196.5</v>
      </c>
      <c r="AM33" s="21">
        <f t="shared" si="1"/>
        <v>13.143812709030101</v>
      </c>
      <c r="AN33" s="17">
        <v>15</v>
      </c>
      <c r="AO33" s="17">
        <v>11</v>
      </c>
      <c r="AP33" s="17">
        <v>23</v>
      </c>
      <c r="AQ33" s="20"/>
      <c r="AR33" s="21">
        <f t="shared" si="2"/>
        <v>62.143812709030101</v>
      </c>
      <c r="AS33" s="19" t="str">
        <f t="shared" si="6"/>
        <v>DC</v>
      </c>
      <c r="AT33" s="19"/>
    </row>
    <row r="34" spans="1:46" s="17" customFormat="1">
      <c r="A34" s="17">
        <v>26</v>
      </c>
      <c r="B34" s="19">
        <v>3985</v>
      </c>
      <c r="C34" s="20"/>
      <c r="D34" s="22">
        <v>11.5</v>
      </c>
      <c r="E34" s="22">
        <v>1.5</v>
      </c>
      <c r="F34" s="22">
        <v>7</v>
      </c>
      <c r="G34" s="22" t="s">
        <v>6</v>
      </c>
      <c r="H34" s="22" t="s">
        <v>6</v>
      </c>
      <c r="I34" s="22" t="s">
        <v>6</v>
      </c>
      <c r="J34" s="17">
        <v>13</v>
      </c>
      <c r="K34" s="17" t="s">
        <v>6</v>
      </c>
      <c r="L34" s="17" t="s">
        <v>6</v>
      </c>
      <c r="M34" s="17">
        <v>0</v>
      </c>
      <c r="N34" s="20"/>
      <c r="O34" s="22">
        <v>15</v>
      </c>
      <c r="P34" s="22">
        <v>14</v>
      </c>
      <c r="Q34" s="22" t="s">
        <v>32</v>
      </c>
      <c r="R34" s="22" t="s">
        <v>6</v>
      </c>
      <c r="S34" s="17">
        <v>0</v>
      </c>
      <c r="T34" s="20"/>
      <c r="U34" s="22">
        <v>4</v>
      </c>
      <c r="V34" s="22">
        <v>0</v>
      </c>
      <c r="W34" s="1">
        <v>2</v>
      </c>
      <c r="X34" s="22">
        <v>0</v>
      </c>
      <c r="Y34" s="22">
        <v>0</v>
      </c>
      <c r="Z34" s="22">
        <v>0</v>
      </c>
      <c r="AA34" s="22">
        <v>2</v>
      </c>
      <c r="AB34" s="22">
        <v>0</v>
      </c>
      <c r="AC34" s="22">
        <v>0</v>
      </c>
      <c r="AD34" s="22">
        <v>0</v>
      </c>
      <c r="AE34" s="22">
        <v>0</v>
      </c>
      <c r="AF34" s="20"/>
      <c r="AG34" s="22">
        <v>10</v>
      </c>
      <c r="AH34" s="17">
        <v>7</v>
      </c>
      <c r="AI34" s="17" t="s">
        <v>6</v>
      </c>
      <c r="AJ34" s="17" t="s">
        <v>6</v>
      </c>
      <c r="AK34" s="20"/>
      <c r="AL34" s="22">
        <f t="shared" si="0"/>
        <v>87</v>
      </c>
      <c r="AM34" s="21">
        <f>AL34/($AL$5-5)*20</f>
        <v>5.9183673469387754</v>
      </c>
      <c r="AN34" s="17">
        <v>6</v>
      </c>
      <c r="AO34" s="17">
        <v>6</v>
      </c>
      <c r="AP34" s="17">
        <v>28</v>
      </c>
      <c r="AQ34" s="20"/>
      <c r="AR34" s="21">
        <f t="shared" si="2"/>
        <v>45.91836734693878</v>
      </c>
      <c r="AS34" s="19" t="str">
        <f t="shared" si="6"/>
        <v>E</v>
      </c>
      <c r="AT34" s="19"/>
    </row>
    <row r="35" spans="1:46" s="17" customFormat="1">
      <c r="A35" s="17">
        <v>27</v>
      </c>
      <c r="B35" s="19">
        <v>3922</v>
      </c>
      <c r="C35" s="20"/>
      <c r="D35" s="22" t="s">
        <v>6</v>
      </c>
      <c r="E35" s="22">
        <v>4</v>
      </c>
      <c r="F35" s="22">
        <v>8</v>
      </c>
      <c r="G35" s="22" t="s">
        <v>6</v>
      </c>
      <c r="H35" s="22" t="s">
        <v>6</v>
      </c>
      <c r="I35" s="22">
        <v>12</v>
      </c>
      <c r="J35" s="17">
        <v>9</v>
      </c>
      <c r="K35" s="17">
        <v>15.5</v>
      </c>
      <c r="L35" s="17">
        <v>9</v>
      </c>
      <c r="M35" s="17">
        <v>10</v>
      </c>
      <c r="N35" s="20"/>
      <c r="O35" s="22">
        <v>12</v>
      </c>
      <c r="P35" s="22" t="s">
        <v>6</v>
      </c>
      <c r="Q35" s="22">
        <v>3.5</v>
      </c>
      <c r="R35" s="22">
        <v>16</v>
      </c>
      <c r="S35" s="17">
        <v>5</v>
      </c>
      <c r="T35" s="20"/>
      <c r="U35" s="22">
        <v>1</v>
      </c>
      <c r="V35" s="22">
        <v>0</v>
      </c>
      <c r="W35" s="3">
        <v>3</v>
      </c>
      <c r="X35" s="22">
        <v>0</v>
      </c>
      <c r="Y35" s="22">
        <v>0</v>
      </c>
      <c r="Z35" s="22">
        <v>2</v>
      </c>
      <c r="AA35" s="22">
        <v>2</v>
      </c>
      <c r="AB35" s="22">
        <v>0</v>
      </c>
      <c r="AC35" s="22">
        <v>4</v>
      </c>
      <c r="AD35" s="22">
        <v>2</v>
      </c>
      <c r="AE35" s="17">
        <v>3</v>
      </c>
      <c r="AF35" s="20"/>
      <c r="AG35" s="22" t="s">
        <v>6</v>
      </c>
      <c r="AH35" s="17">
        <v>28</v>
      </c>
      <c r="AI35" s="17">
        <v>32</v>
      </c>
      <c r="AJ35" s="17">
        <v>25</v>
      </c>
      <c r="AK35" s="20"/>
      <c r="AL35" s="22">
        <f t="shared" si="0"/>
        <v>206</v>
      </c>
      <c r="AM35" s="21">
        <f t="shared" si="1"/>
        <v>13.779264214046822</v>
      </c>
      <c r="AN35" s="17">
        <v>13</v>
      </c>
      <c r="AO35" s="17">
        <v>11</v>
      </c>
      <c r="AP35" s="17">
        <v>19</v>
      </c>
      <c r="AQ35" s="20"/>
      <c r="AR35" s="21">
        <f t="shared" si="2"/>
        <v>56.779264214046819</v>
      </c>
      <c r="AS35" s="19" t="str">
        <f t="shared" si="6"/>
        <v>DC</v>
      </c>
      <c r="AT35" s="19"/>
    </row>
    <row r="36" spans="1:46" s="17" customFormat="1">
      <c r="A36" s="17">
        <v>28</v>
      </c>
      <c r="B36" s="19">
        <v>8838</v>
      </c>
      <c r="C36" s="20"/>
      <c r="D36" s="22">
        <v>8.5</v>
      </c>
      <c r="E36" s="22">
        <v>2.5</v>
      </c>
      <c r="F36" s="22">
        <v>13</v>
      </c>
      <c r="G36" s="22" t="s">
        <v>6</v>
      </c>
      <c r="H36" s="22">
        <v>2</v>
      </c>
      <c r="I36" s="22">
        <v>13</v>
      </c>
      <c r="J36" s="17">
        <v>13</v>
      </c>
      <c r="K36" s="17">
        <v>17.5</v>
      </c>
      <c r="L36" s="17" t="s">
        <v>6</v>
      </c>
      <c r="M36" s="17">
        <v>10</v>
      </c>
      <c r="N36" s="20"/>
      <c r="O36" s="22">
        <v>7</v>
      </c>
      <c r="P36" s="22">
        <v>18</v>
      </c>
      <c r="Q36" s="22">
        <v>3.5</v>
      </c>
      <c r="R36" s="22" t="s">
        <v>6</v>
      </c>
      <c r="S36" s="17">
        <v>0</v>
      </c>
      <c r="T36" s="20"/>
      <c r="U36" s="22">
        <v>4</v>
      </c>
      <c r="V36" s="22">
        <v>5</v>
      </c>
      <c r="W36" s="17">
        <v>4</v>
      </c>
      <c r="X36" s="22">
        <v>4</v>
      </c>
      <c r="Y36" s="22">
        <v>4</v>
      </c>
      <c r="Z36" s="22">
        <v>0</v>
      </c>
      <c r="AA36" s="22">
        <v>3</v>
      </c>
      <c r="AB36" s="22">
        <v>0</v>
      </c>
      <c r="AC36" s="22">
        <v>1</v>
      </c>
      <c r="AD36" s="22">
        <v>0</v>
      </c>
      <c r="AE36" s="17">
        <v>0</v>
      </c>
      <c r="AF36" s="20"/>
      <c r="AG36" s="22">
        <v>26</v>
      </c>
      <c r="AH36" s="17">
        <v>24</v>
      </c>
      <c r="AI36" s="17">
        <v>28</v>
      </c>
      <c r="AJ36" s="17">
        <v>19</v>
      </c>
      <c r="AK36" s="20"/>
      <c r="AL36" s="22">
        <f t="shared" si="0"/>
        <v>230</v>
      </c>
      <c r="AM36" s="21">
        <f t="shared" si="1"/>
        <v>15.384615384615385</v>
      </c>
      <c r="AN36" s="22">
        <v>17</v>
      </c>
      <c r="AO36" s="17">
        <v>13</v>
      </c>
      <c r="AP36" s="22">
        <v>22</v>
      </c>
      <c r="AQ36" s="20"/>
      <c r="AR36" s="21">
        <f t="shared" si="2"/>
        <v>67.384615384615387</v>
      </c>
      <c r="AS36" s="19" t="str">
        <f t="shared" si="6"/>
        <v>C</v>
      </c>
      <c r="AT36" s="19"/>
    </row>
    <row r="37" spans="1:46" s="17" customFormat="1">
      <c r="A37" s="17">
        <v>29</v>
      </c>
      <c r="B37" s="19">
        <v>2822</v>
      </c>
      <c r="C37" s="20"/>
      <c r="D37" s="22" t="s">
        <v>6</v>
      </c>
      <c r="E37" s="22">
        <v>3</v>
      </c>
      <c r="F37" s="22">
        <v>9</v>
      </c>
      <c r="G37" s="22">
        <v>4</v>
      </c>
      <c r="H37" s="22" t="s">
        <v>6</v>
      </c>
      <c r="I37" s="22">
        <v>9</v>
      </c>
      <c r="J37" s="17">
        <v>10.5</v>
      </c>
      <c r="K37" s="17">
        <v>14</v>
      </c>
      <c r="L37" s="17">
        <v>10.5</v>
      </c>
      <c r="M37" s="17">
        <v>0</v>
      </c>
      <c r="N37" s="20"/>
      <c r="O37" s="22" t="s">
        <v>6</v>
      </c>
      <c r="P37" s="22">
        <v>16</v>
      </c>
      <c r="Q37" s="22" t="s">
        <v>6</v>
      </c>
      <c r="R37" s="22">
        <v>15</v>
      </c>
      <c r="S37" s="17">
        <v>0</v>
      </c>
      <c r="T37" s="20"/>
      <c r="U37" s="22">
        <v>4</v>
      </c>
      <c r="V37" s="22">
        <v>0</v>
      </c>
      <c r="W37" s="3">
        <v>0</v>
      </c>
      <c r="X37" s="22">
        <v>0</v>
      </c>
      <c r="Y37" s="22">
        <v>0</v>
      </c>
      <c r="Z37" s="22">
        <v>2</v>
      </c>
      <c r="AA37" s="22">
        <v>3</v>
      </c>
      <c r="AB37" s="22">
        <v>0</v>
      </c>
      <c r="AC37" s="22">
        <v>2</v>
      </c>
      <c r="AD37" s="22">
        <v>0</v>
      </c>
      <c r="AE37" s="22">
        <v>0</v>
      </c>
      <c r="AF37" s="20"/>
      <c r="AG37" s="22">
        <v>27</v>
      </c>
      <c r="AH37" s="17">
        <v>17.5</v>
      </c>
      <c r="AI37" s="17">
        <v>6</v>
      </c>
      <c r="AJ37" s="17">
        <v>18.5</v>
      </c>
      <c r="AK37" s="20"/>
      <c r="AL37" s="22">
        <f t="shared" si="0"/>
        <v>171</v>
      </c>
      <c r="AM37" s="21">
        <f t="shared" si="1"/>
        <v>11.438127090301002</v>
      </c>
      <c r="AN37" s="22">
        <v>21</v>
      </c>
      <c r="AO37" s="17">
        <v>16</v>
      </c>
      <c r="AP37" s="22">
        <v>23</v>
      </c>
      <c r="AQ37" s="20"/>
      <c r="AR37" s="21">
        <f t="shared" si="2"/>
        <v>71.438127090301009</v>
      </c>
      <c r="AS37" s="19" t="str">
        <f t="shared" si="6"/>
        <v>C</v>
      </c>
      <c r="AT37" s="19"/>
    </row>
    <row r="38" spans="1:46" s="23" customFormat="1">
      <c r="B38" s="35"/>
      <c r="W38" s="33"/>
      <c r="AM38" s="24"/>
      <c r="AR38" s="24"/>
      <c r="AS38" s="36"/>
      <c r="AT38" s="36"/>
    </row>
  </sheetData>
  <mergeCells count="5">
    <mergeCell ref="AG2:AJ2"/>
    <mergeCell ref="AM2:AP2"/>
    <mergeCell ref="O2:S2"/>
    <mergeCell ref="D2:M2"/>
    <mergeCell ref="U2:AE2"/>
  </mergeCells>
  <phoneticPr fontId="0" type="noConversion"/>
  <conditionalFormatting sqref="AV17:AV26 AO1:AQ1 AV3:AV5 AT3:AU26 AT27:AV38 U1:Y3 S1 T1:T38 N1:N38 AF1:AF38 AG1:AI2 AJ1 Z1:AE1 H4:I4 AE5:AE34 D1:I2 U38:AE40 O1:R2 Z3:AE3 D3:G4 D5:I40 O3:S40 AG3:AJ40 U4:AE4 AE37 U5:AD37 AQ3:AS38 AO3:AP4 AK1:AM40 AN1:AN4 AN5:AP38">
    <cfRule type="cellIs" dxfId="8" priority="1" stopIfTrue="1" operator="equal">
      <formula>"no"</formula>
    </cfRule>
    <cfRule type="cellIs" dxfId="7" priority="2" stopIfTrue="1" operator="equal">
      <formula>"ex"</formula>
    </cfRule>
  </conditionalFormatting>
  <conditionalFormatting sqref="AW17:AW38 AZ1:AZ38 AX1:AX38 AW3:AW5 AV8:AW15">
    <cfRule type="cellIs" dxfId="6" priority="3" stopIfTrue="1" operator="equal">
      <formula>"no"</formula>
    </cfRule>
    <cfRule type="cellIs" dxfId="5" priority="4" stopIfTrue="1" operator="equal">
      <formula>ex</formula>
    </cfRule>
  </conditionalFormatting>
  <conditionalFormatting sqref="BA1:FN38">
    <cfRule type="cellIs" dxfId="4" priority="5" stopIfTrue="1" operator="equal">
      <formula>"no"</formula>
    </cfRule>
    <cfRule type="cellIs" dxfId="3" priority="6" stopIfTrue="1" operator="equal">
      <formula>"""ex"""</formula>
    </cfRule>
  </conditionalFormatting>
  <conditionalFormatting sqref="D41:I65536 AG41:AM65536 O41:S65536 U41:AE65536">
    <cfRule type="cellIs" dxfId="2" priority="7" stopIfTrue="1" operator="equal">
      <formula>"no"</formula>
    </cfRule>
    <cfRule type="cellIs" dxfId="1" priority="8" stopIfTrue="1" operator="equal">
      <formula>"ex"</formula>
    </cfRule>
  </conditionalFormatting>
  <conditionalFormatting sqref="J1:M1 J3:M65536">
    <cfRule type="cellIs" dxfId="0" priority="9" stopIfTrue="1" operator="equal">
      <formula>"no"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10sum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jbi0331</dc:creator>
  <cp:lastModifiedBy>Carina Negreanu</cp:lastModifiedBy>
  <cp:lastPrinted>2002-12-16T19:28:24Z</cp:lastPrinted>
  <dcterms:created xsi:type="dcterms:W3CDTF">2002-09-21T04:40:22Z</dcterms:created>
  <dcterms:modified xsi:type="dcterms:W3CDTF">2020-01-27T12:42:19Z</dcterms:modified>
</cp:coreProperties>
</file>