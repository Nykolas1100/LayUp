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chartsheets/sheet5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worksheets/sheet9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15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6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E27E8B-EFDA-4797-8428-83A2ED796805}" xr6:coauthVersionLast="45" xr6:coauthVersionMax="45" xr10:uidLastSave="{00000000-0000-0000-0000-000000000000}"/>
  <bookViews>
    <workbookView xWindow="1900" yWindow="1900" windowWidth="28800" windowHeight="15460" tabRatio="926" firstSheet="23" activeTab="31"/>
  </bookViews>
  <sheets>
    <sheet name="Q1" sheetId="4" r:id="rId1"/>
    <sheet name="Q1 Data" sheetId="1" r:id="rId2"/>
    <sheet name="Q2 Chart" sheetId="5" r:id="rId3"/>
    <sheet name="Q2 Data" sheetId="2" r:id="rId4"/>
    <sheet name="Q4 Chart" sheetId="33" r:id="rId5"/>
    <sheet name="Q5 Chart" sheetId="34" r:id="rId6"/>
    <sheet name="Q4 " sheetId="32" r:id="rId7"/>
    <sheet name="Q3 Chart" sheetId="6" r:id="rId8"/>
    <sheet name="Q3 Data" sheetId="3" r:id="rId9"/>
    <sheet name="Q4 AND 5 Data" sheetId="11" r:id="rId10"/>
    <sheet name="Q8 Chart" sheetId="35" r:id="rId11"/>
    <sheet name="Q8 9 Data" sheetId="10" r:id="rId12"/>
    <sheet name="Sheet6" sheetId="9" r:id="rId13"/>
    <sheet name="Q7 Chart" sheetId="12" r:id="rId14"/>
    <sheet name="Q7 Data" sheetId="8" r:id="rId15"/>
    <sheet name="Q11 Chart" sheetId="13" r:id="rId16"/>
    <sheet name="Q11 Data" sheetId="7" r:id="rId17"/>
    <sheet name="Q15 Chart" sheetId="15" r:id="rId18"/>
    <sheet name="Q15 Data" sheetId="14" r:id="rId19"/>
    <sheet name="Q19 Chart" sheetId="23" r:id="rId20"/>
    <sheet name="Q19 Data" sheetId="22" r:id="rId21"/>
    <sheet name="Q23 Chart" sheetId="24" r:id="rId22"/>
    <sheet name="Q23 Data" sheetId="21" r:id="rId23"/>
    <sheet name="Q27 chart" sheetId="25" r:id="rId24"/>
    <sheet name="Q27 Data" sheetId="20" r:id="rId25"/>
    <sheet name="Q28Chart" sheetId="26" r:id="rId26"/>
    <sheet name="Q28b Chart" sheetId="27" r:id="rId27"/>
    <sheet name="Q28 Data" sheetId="19" r:id="rId28"/>
    <sheet name="Q29a chart" sheetId="28" r:id="rId29"/>
    <sheet name="Q29b chart" sheetId="29" r:id="rId30"/>
    <sheet name="Q29 Data" sheetId="18" r:id="rId31"/>
    <sheet name="Q30a" sheetId="30" r:id="rId32"/>
    <sheet name="Q30 Data" sheetId="17" r:id="rId33"/>
    <sheet name="Overall Use" sheetId="31" r:id="rId34"/>
    <sheet name="Sheet10" sheetId="16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C10" i="1"/>
  <c r="E2" i="7"/>
  <c r="E3" i="7"/>
  <c r="C4" i="7"/>
  <c r="D2" i="7" s="1"/>
  <c r="E4" i="7"/>
  <c r="C5" i="7"/>
  <c r="D2" i="14"/>
  <c r="E2" i="14"/>
  <c r="E6" i="14" s="1"/>
  <c r="D3" i="14"/>
  <c r="E3" i="14"/>
  <c r="E4" i="14"/>
  <c r="D5" i="14"/>
  <c r="E5" i="14"/>
  <c r="C6" i="14"/>
  <c r="D4" i="14" s="1"/>
  <c r="E2" i="22"/>
  <c r="E3" i="22"/>
  <c r="E4" i="22"/>
  <c r="E5" i="22"/>
  <c r="E6" i="22"/>
  <c r="C7" i="22"/>
  <c r="D2" i="22" s="1"/>
  <c r="E7" i="22"/>
  <c r="B5" i="16" s="1"/>
  <c r="D3" i="2"/>
  <c r="D4" i="2"/>
  <c r="D6" i="2"/>
  <c r="D8" i="2"/>
  <c r="C9" i="2"/>
  <c r="D2" i="2" s="1"/>
  <c r="D9" i="2"/>
  <c r="E3" i="21"/>
  <c r="E4" i="21"/>
  <c r="E5" i="21"/>
  <c r="E6" i="21"/>
  <c r="C7" i="21"/>
  <c r="D3" i="21" s="1"/>
  <c r="E7" i="21"/>
  <c r="B6" i="16" s="1"/>
  <c r="C2" i="20"/>
  <c r="D2" i="20"/>
  <c r="C3" i="20"/>
  <c r="D3" i="20"/>
  <c r="C4" i="20"/>
  <c r="D4" i="20"/>
  <c r="C5" i="20"/>
  <c r="D5" i="20"/>
  <c r="C6" i="20"/>
  <c r="D6" i="20"/>
  <c r="C7" i="20"/>
  <c r="D7" i="20"/>
  <c r="C8" i="20"/>
  <c r="D8" i="20"/>
  <c r="C9" i="20"/>
  <c r="D9" i="20"/>
  <c r="B10" i="20"/>
  <c r="D3" i="19"/>
  <c r="D4" i="19"/>
  <c r="C5" i="19"/>
  <c r="D10" i="19"/>
  <c r="D11" i="19"/>
  <c r="C12" i="19"/>
  <c r="D9" i="19" s="1"/>
  <c r="C2" i="18"/>
  <c r="C3" i="18"/>
  <c r="B4" i="18"/>
  <c r="C7" i="18"/>
  <c r="C8" i="18"/>
  <c r="B10" i="18"/>
  <c r="C9" i="18" s="1"/>
  <c r="E2" i="3"/>
  <c r="E6" i="3" s="1"/>
  <c r="D3" i="3"/>
  <c r="E3" i="3"/>
  <c r="D4" i="3"/>
  <c r="E4" i="3"/>
  <c r="D5" i="3"/>
  <c r="E5" i="3"/>
  <c r="C6" i="3"/>
  <c r="D2" i="3" s="1"/>
  <c r="C2" i="17"/>
  <c r="C3" i="17"/>
  <c r="B4" i="17"/>
  <c r="A23" i="32"/>
  <c r="B23" i="32"/>
  <c r="C23" i="32"/>
  <c r="D23" i="32"/>
  <c r="E23" i="32"/>
  <c r="F23" i="32"/>
  <c r="G23" i="32"/>
  <c r="G24" i="32" s="1"/>
  <c r="H23" i="32"/>
  <c r="I23" i="32"/>
  <c r="J23" i="32"/>
  <c r="J24" i="32" s="1"/>
  <c r="B24" i="32"/>
  <c r="C24" i="32"/>
  <c r="D24" i="32"/>
  <c r="E24" i="32"/>
  <c r="F24" i="32"/>
  <c r="H24" i="32"/>
  <c r="I24" i="32"/>
  <c r="A42" i="32"/>
  <c r="B43" i="32" s="1"/>
  <c r="B42" i="32"/>
  <c r="C42" i="32"/>
  <c r="C43" i="32" s="1"/>
  <c r="D42" i="32"/>
  <c r="E42" i="32"/>
  <c r="E43" i="32" s="1"/>
  <c r="F42" i="32"/>
  <c r="G42" i="32"/>
  <c r="H42" i="32"/>
  <c r="I42" i="32"/>
  <c r="I43" i="32" s="1"/>
  <c r="D43" i="32"/>
  <c r="F43" i="32"/>
  <c r="G43" i="32"/>
  <c r="E2" i="8"/>
  <c r="E3" i="8"/>
  <c r="E5" i="8" s="1"/>
  <c r="E4" i="8"/>
  <c r="C5" i="8"/>
  <c r="D2" i="8" s="1"/>
  <c r="B7" i="10"/>
  <c r="C7" i="10"/>
  <c r="D7" i="10"/>
  <c r="B8" i="10"/>
  <c r="C8" i="10"/>
  <c r="D8" i="10"/>
  <c r="B3" i="16"/>
  <c r="C11" i="16"/>
  <c r="C12" i="16"/>
  <c r="B13" i="16"/>
  <c r="C7" i="3" l="1"/>
  <c r="B1" i="16"/>
  <c r="C7" i="14"/>
  <c r="B4" i="16"/>
  <c r="C6" i="8"/>
  <c r="B2" i="16"/>
  <c r="H43" i="32"/>
  <c r="C8" i="21"/>
  <c r="C8" i="22"/>
  <c r="D6" i="21"/>
  <c r="D5" i="22"/>
  <c r="D6" i="22"/>
  <c r="D5" i="21"/>
  <c r="D4" i="21"/>
  <c r="D4" i="22"/>
  <c r="D3" i="7"/>
  <c r="D3" i="22"/>
  <c r="D4" i="8"/>
  <c r="D7" i="2"/>
  <c r="D3" i="8"/>
  <c r="D5" i="2"/>
</calcChain>
</file>

<file path=xl/sharedStrings.xml><?xml version="1.0" encoding="utf-8"?>
<sst xmlns="http://schemas.openxmlformats.org/spreadsheetml/2006/main" count="224" uniqueCount="137">
  <si>
    <t>Q1_1</t>
  </si>
  <si>
    <t>Q1_2</t>
  </si>
  <si>
    <t>Q1_3</t>
  </si>
  <si>
    <t>Q1_4</t>
  </si>
  <si>
    <t>Q1_5</t>
  </si>
  <si>
    <t>Q1_6</t>
  </si>
  <si>
    <t>Q1_7</t>
  </si>
  <si>
    <t>Q1_8</t>
  </si>
  <si>
    <t>Q1_Other</t>
  </si>
  <si>
    <t>Dean</t>
  </si>
  <si>
    <t>Dept chair/Director</t>
  </si>
  <si>
    <t>Departmental student advisor</t>
  </si>
  <si>
    <t>Graduate student advisor</t>
  </si>
  <si>
    <t>Course Coordinator</t>
  </si>
  <si>
    <t>Faculty</t>
  </si>
  <si>
    <t>Sessional Instructor</t>
  </si>
  <si>
    <t>Other</t>
  </si>
  <si>
    <t>1</t>
  </si>
  <si>
    <t>4</t>
  </si>
  <si>
    <t>5</t>
  </si>
  <si>
    <t>6</t>
  </si>
  <si>
    <t>7</t>
  </si>
  <si>
    <t>8</t>
  </si>
  <si>
    <t>9</t>
  </si>
  <si>
    <t>Business</t>
  </si>
  <si>
    <t>Fine Arts</t>
  </si>
  <si>
    <t>Human &amp; Social Development</t>
  </si>
  <si>
    <t>Humanities</t>
  </si>
  <si>
    <t>Law</t>
  </si>
  <si>
    <t>Science</t>
  </si>
  <si>
    <t>Social Science</t>
  </si>
  <si>
    <t>2</t>
  </si>
  <si>
    <t>3</t>
  </si>
  <si>
    <t>Daily</t>
  </si>
  <si>
    <t>Weekly</t>
  </si>
  <si>
    <t>Monthly</t>
  </si>
  <si>
    <t>Infrequently</t>
  </si>
  <si>
    <t>Never</t>
  </si>
  <si>
    <t>Q11</t>
  </si>
  <si>
    <t>Q15</t>
  </si>
  <si>
    <t>Q19</t>
  </si>
  <si>
    <t>Q23</t>
  </si>
  <si>
    <t>Class lists</t>
  </si>
  <si>
    <t>Advising students</t>
  </si>
  <si>
    <t>Registering students</t>
  </si>
  <si>
    <t>Managing enrollment</t>
  </si>
  <si>
    <t>Obtaining statistical or other reports</t>
  </si>
  <si>
    <t>Transfer credit</t>
  </si>
  <si>
    <t>Booking rooms</t>
  </si>
  <si>
    <t>Q28a</t>
  </si>
  <si>
    <t>Yes</t>
  </si>
  <si>
    <t>No</t>
  </si>
  <si>
    <t>Q28b</t>
  </si>
  <si>
    <t>CountOfQ28b</t>
  </si>
  <si>
    <t/>
  </si>
  <si>
    <t>Web CT</t>
  </si>
  <si>
    <t>Blackboard</t>
  </si>
  <si>
    <t>MS Excel</t>
  </si>
  <si>
    <t>File Maker Pro</t>
  </si>
  <si>
    <t>Q3: ISIS</t>
  </si>
  <si>
    <t>Q7: CUS</t>
  </si>
  <si>
    <t>Q11: CRABS</t>
  </si>
  <si>
    <t>Q15: PADRE</t>
  </si>
  <si>
    <t>Q19: WebCL</t>
  </si>
  <si>
    <t>Q23: WebTT</t>
  </si>
  <si>
    <t>Q4</t>
  </si>
  <si>
    <t>Even when I was program director, I did not use ISIS - primarily because it was not very user friendly and my staff could do it for me.</t>
  </si>
  <si>
    <t>Class lists, student records, timetables.</t>
  </si>
  <si>
    <t>class list, transcripts, student e-mails</t>
  </si>
  <si>
    <t>transcripts</t>
  </si>
  <si>
    <t>Up to date course population numbers (very important);
Up to date wait list numbers (extremely important);
In rare instances, address information to write to students;
With the permission of the student, checks on grade records when I am writing letter</t>
  </si>
  <si>
    <t>class lists, unofficial transcripts</t>
  </si>
  <si>
    <t>class lists, student addresses (e-mails), phones, unofficial transcripts (when writing letters of recommendation</t>
  </si>
  <si>
    <t>Checking Student grades for admission to Honours Program</t>
  </si>
  <si>
    <t>Mostly unofficial transcripts.</t>
  </si>
  <si>
    <t>My secretary will access student records, grades, phone numbers, etc.</t>
  </si>
  <si>
    <t>student records and course lists</t>
  </si>
  <si>
    <t xml:space="preserve">I ask my secretary to look up whatever it is I need.  </t>
  </si>
  <si>
    <t>student transcripts, transfer credit, course credits</t>
  </si>
  <si>
    <t>student transcripts, for advising students about courses to take etc, and to check when writing reference letters for students (in most cases, with students' permission)</t>
  </si>
  <si>
    <t xml:space="preserve">I do not have ISIS access. The Department Secretary responds to my requests for student information. </t>
  </si>
  <si>
    <t>As few as possible right now - I find the interface clumsy and outmoded.</t>
  </si>
  <si>
    <t>none; secretary handles it for me</t>
  </si>
  <si>
    <t xml:space="preserve">Records of student grades </t>
  </si>
  <si>
    <t>access to student trascripts, class lists</t>
  </si>
  <si>
    <t>student records, class lists</t>
  </si>
  <si>
    <t>I occassional need to check students' credits and course completions.
When I served as Chair, for 4 years between 1997 and 2002, I used ISIS every day.</t>
  </si>
  <si>
    <t>Advising</t>
  </si>
  <si>
    <t>Enrolment Numbers</t>
  </si>
  <si>
    <t>Transfer Credit</t>
  </si>
  <si>
    <t>Secretary Provides Information</t>
  </si>
  <si>
    <t>Timetables</t>
  </si>
  <si>
    <t>Student Records</t>
  </si>
  <si>
    <t>Class Lists</t>
  </si>
  <si>
    <t>Student Addresses</t>
  </si>
  <si>
    <t>Transcripts/Grades</t>
  </si>
  <si>
    <t>Q5</t>
  </si>
  <si>
    <t>It concerns me that the assumption is to modify ISIS - which seems a bit problematic to me.  What we need is a web-based system, preferably one that would interface with our Faculty's Blackboard program.  It would be nice if the system could provide class</t>
  </si>
  <si>
    <t xml:space="preserve">easy use, </t>
  </si>
  <si>
    <t>1) I would like to see a student's program and not just his/her year and faculty listed on course lists.
2) I would like to be able to do sophisticated database style inquiries, such as, "what percentage of students [ or what number of students] currentl</t>
  </si>
  <si>
    <t>flagging of students currently on probation at the top of UTs, adjacent to the notation that a student has not satisfied the English Language Requirement, those two flags on class lists would be even more helpful</t>
  </si>
  <si>
    <t xml:space="preserve">As an Advisor, I have no need for further information than courses taken and grades.   </t>
  </si>
  <si>
    <t>student e-mail addresses; printable screens</t>
  </si>
  <si>
    <t>e-mail addresses for students as part of their student information</t>
  </si>
  <si>
    <t>direct access for faculty; I have to go through dept staff</t>
  </si>
  <si>
    <t xml:space="preserve">
- easily customizable and downloadable information (that conforms to standard database formats e.g. SQL)
- user friendliness
-
- ability to integrate with other databases (e.g., grade-keeping, email archives
-integration with Course Management platf</t>
  </si>
  <si>
    <t>Better Math 12 data from high schools</t>
  </si>
  <si>
    <t>Student records should include Uvic-equivalent grades for transfer credits given from community colleges and other universities. As it is now I have to ask Records to fax over student records from other institutions to get this information. I use this inf</t>
  </si>
  <si>
    <t>Enhanced Class Lists</t>
  </si>
  <si>
    <t>Ad Hoc Reporting</t>
  </si>
  <si>
    <t>Direct Access for Faculty</t>
  </si>
  <si>
    <t>Enhanced Student Address Information</t>
  </si>
  <si>
    <t>Better Integration with Other Systems</t>
  </si>
  <si>
    <t>Enhanced Transfer Credit Information</t>
  </si>
  <si>
    <t>Status Quo</t>
  </si>
  <si>
    <t>Interface Improvements</t>
  </si>
  <si>
    <t>Q8</t>
  </si>
  <si>
    <t>Do not know how to use or get access to it.</t>
  </si>
  <si>
    <t>Hard copies</t>
  </si>
  <si>
    <t>My secretary uses it, as does the Departmental admin officer</t>
  </si>
  <si>
    <t>I have never heard of it.</t>
  </si>
  <si>
    <t>I used CUS when I was Chair. It was important to check class enrollments.</t>
  </si>
  <si>
    <t>Don't Use</t>
  </si>
  <si>
    <t>Class Enrolment</t>
  </si>
  <si>
    <t>Secretary Accesses/Provides Information</t>
  </si>
  <si>
    <t>Faculty Role</t>
  </si>
  <si>
    <t>Responses</t>
  </si>
  <si>
    <t>% Unique Responses</t>
  </si>
  <si>
    <t>Total Responses</t>
  </si>
  <si>
    <t>Unique Responses</t>
  </si>
  <si>
    <t>% Responses</t>
  </si>
  <si>
    <t>Frequency</t>
  </si>
  <si>
    <t>Average Response</t>
  </si>
  <si>
    <t>Unique Respondents</t>
  </si>
  <si>
    <t>Activity</t>
  </si>
  <si>
    <t>Answer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</si>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</sst>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"/>
  </numFmts>
  <fonts count="44" x14ac:knownFonts="1">
    <font>
      <sz val="10"/>
      <name val="Arial"/>
    </font>
    <font>
      <sz val="10"/>
      <name val="Arial"/>
    </font>
    <font>
      <sz val="12"/>
      <name val="Times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.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.7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9" fontId="0" fillId="0" borderId="0" xfId="15" applyFont="1"/>
    <xf numFmtId="0" fontId="3" fillId="2" borderId="1" xfId="5" applyFont="1" applyFill="1" applyBorder="1" applyAlignment="1">
      <alignment horizontal="center"/>
    </xf>
    <xf numFmtId="179" fontId="0" fillId="0" borderId="0" xfId="0" applyNumberFormat="1"/>
    <xf numFmtId="0" fontId="3" fillId="2" borderId="1" xfId="13" applyFont="1" applyFill="1" applyBorder="1" applyAlignment="1">
      <alignment horizontal="center"/>
    </xf>
    <xf numFmtId="0" fontId="3" fillId="0" borderId="2" xfId="13" applyFont="1" applyFill="1" applyBorder="1" applyAlignment="1">
      <alignment horizontal="left" wrapText="1"/>
    </xf>
    <xf numFmtId="0" fontId="0" fillId="0" borderId="0" xfId="0" applyAlignment="1">
      <alignment wrapText="1"/>
    </xf>
    <xf numFmtId="9" fontId="0" fillId="0" borderId="0" xfId="15" applyFont="1" applyAlignment="1">
      <alignment wrapText="1"/>
    </xf>
    <xf numFmtId="0" fontId="3" fillId="2" borderId="1" xfId="9" applyFont="1" applyFill="1" applyBorder="1" applyAlignment="1">
      <alignment horizontal="center"/>
    </xf>
    <xf numFmtId="0" fontId="3" fillId="0" borderId="2" xfId="9" applyFont="1" applyFill="1" applyBorder="1" applyAlignment="1">
      <alignment horizontal="left" wrapText="1"/>
    </xf>
    <xf numFmtId="0" fontId="3" fillId="2" borderId="1" xfId="11" applyFont="1" applyFill="1" applyBorder="1" applyAlignment="1">
      <alignment horizontal="center"/>
    </xf>
    <xf numFmtId="0" fontId="3" fillId="0" borderId="2" xfId="11" applyFont="1" applyFill="1" applyBorder="1" applyAlignment="1">
      <alignment horizontal="left" wrapText="1"/>
    </xf>
    <xf numFmtId="0" fontId="40" fillId="0" borderId="3" xfId="0" applyFont="1" applyBorder="1" applyAlignment="1">
      <alignment wrapText="1"/>
    </xf>
    <xf numFmtId="0" fontId="41" fillId="0" borderId="4" xfId="0" applyFont="1" applyBorder="1"/>
    <xf numFmtId="9" fontId="41" fillId="0" borderId="4" xfId="15" applyFont="1" applyBorder="1"/>
    <xf numFmtId="0" fontId="41" fillId="0" borderId="5" xfId="0" applyFont="1" applyBorder="1"/>
    <xf numFmtId="9" fontId="41" fillId="0" borderId="5" xfId="15" applyFont="1" applyBorder="1"/>
    <xf numFmtId="0" fontId="41" fillId="0" borderId="3" xfId="0" applyFont="1" applyBorder="1"/>
    <xf numFmtId="9" fontId="41" fillId="0" borderId="3" xfId="15" applyFont="1" applyBorder="1"/>
    <xf numFmtId="0" fontId="41" fillId="0" borderId="0" xfId="0" applyFont="1"/>
    <xf numFmtId="0" fontId="40" fillId="0" borderId="4" xfId="0" applyFont="1" applyBorder="1"/>
    <xf numFmtId="0" fontId="40" fillId="0" borderId="5" xfId="0" applyFont="1" applyBorder="1"/>
    <xf numFmtId="0" fontId="40" fillId="0" borderId="3" xfId="0" applyFont="1" applyBorder="1"/>
    <xf numFmtId="0" fontId="3" fillId="0" borderId="6" xfId="3" applyFont="1" applyFill="1" applyBorder="1" applyAlignment="1">
      <alignment horizontal="left" wrapText="1"/>
    </xf>
    <xf numFmtId="0" fontId="42" fillId="0" borderId="5" xfId="3" applyFont="1" applyFill="1" applyBorder="1" applyAlignment="1">
      <alignment horizontal="right" wrapText="1"/>
    </xf>
    <xf numFmtId="0" fontId="42" fillId="0" borderId="3" xfId="3" applyFont="1" applyFill="1" applyBorder="1" applyAlignment="1">
      <alignment horizontal="right" wrapText="1"/>
    </xf>
    <xf numFmtId="0" fontId="42" fillId="0" borderId="4" xfId="3" applyFont="1" applyFill="1" applyBorder="1" applyAlignment="1">
      <alignment horizontal="right" wrapText="1"/>
    </xf>
    <xf numFmtId="0" fontId="40" fillId="0" borderId="3" xfId="0" applyFont="1" applyBorder="1" applyAlignment="1">
      <alignment horizontal="left" wrapText="1"/>
    </xf>
    <xf numFmtId="0" fontId="40" fillId="0" borderId="3" xfId="0" applyFont="1" applyBorder="1" applyAlignment="1">
      <alignment horizontal="center" wrapText="1"/>
    </xf>
    <xf numFmtId="0" fontId="40" fillId="0" borderId="7" xfId="0" applyFont="1" applyBorder="1"/>
    <xf numFmtId="9" fontId="40" fillId="0" borderId="7" xfId="15" applyFont="1" applyBorder="1"/>
    <xf numFmtId="2" fontId="3" fillId="0" borderId="6" xfId="7" applyNumberFormat="1" applyFont="1" applyFill="1" applyBorder="1" applyAlignment="1">
      <alignment horizontal="left" wrapText="1"/>
    </xf>
    <xf numFmtId="0" fontId="42" fillId="0" borderId="5" xfId="7" applyFont="1" applyFill="1" applyBorder="1" applyAlignment="1">
      <alignment horizontal="right" wrapText="1"/>
    </xf>
    <xf numFmtId="0" fontId="42" fillId="0" borderId="3" xfId="7" applyFont="1" applyFill="1" applyBorder="1" applyAlignment="1">
      <alignment horizontal="right" wrapText="1"/>
    </xf>
    <xf numFmtId="0" fontId="42" fillId="0" borderId="4" xfId="7" applyFont="1" applyFill="1" applyBorder="1" applyAlignment="1">
      <alignment horizontal="right" wrapText="1"/>
    </xf>
    <xf numFmtId="0" fontId="40" fillId="0" borderId="4" xfId="0" applyFont="1" applyFill="1" applyBorder="1"/>
    <xf numFmtId="0" fontId="40" fillId="0" borderId="3" xfId="0" applyFont="1" applyFill="1" applyBorder="1"/>
    <xf numFmtId="0" fontId="3" fillId="2" borderId="8" xfId="10" applyFont="1" applyFill="1" applyBorder="1" applyAlignment="1">
      <alignment horizontal="center"/>
    </xf>
    <xf numFmtId="0" fontId="3" fillId="0" borderId="6" xfId="10" applyFont="1" applyFill="1" applyBorder="1" applyAlignment="1">
      <alignment horizontal="left" wrapText="1"/>
    </xf>
    <xf numFmtId="0" fontId="42" fillId="0" borderId="5" xfId="10" applyFont="1" applyFill="1" applyBorder="1" applyAlignment="1">
      <alignment horizontal="right" wrapText="1"/>
    </xf>
    <xf numFmtId="0" fontId="42" fillId="0" borderId="4" xfId="10" applyFont="1" applyFill="1" applyBorder="1" applyAlignment="1">
      <alignment horizontal="right" wrapText="1"/>
    </xf>
    <xf numFmtId="0" fontId="42" fillId="0" borderId="3" xfId="10" applyFont="1" applyFill="1" applyBorder="1" applyAlignment="1">
      <alignment horizontal="right" wrapText="1"/>
    </xf>
    <xf numFmtId="179" fontId="40" fillId="0" borderId="3" xfId="0" applyNumberFormat="1" applyFont="1" applyBorder="1"/>
    <xf numFmtId="0" fontId="3" fillId="2" borderId="8" xfId="14" applyFont="1" applyFill="1" applyBorder="1" applyAlignment="1">
      <alignment horizontal="center"/>
    </xf>
    <xf numFmtId="0" fontId="3" fillId="0" borderId="6" xfId="14" applyFont="1" applyFill="1" applyBorder="1" applyAlignment="1">
      <alignment horizontal="left" wrapText="1"/>
    </xf>
    <xf numFmtId="0" fontId="42" fillId="0" borderId="4" xfId="14" applyFont="1" applyFill="1" applyBorder="1" applyAlignment="1">
      <alignment horizontal="right" wrapText="1"/>
    </xf>
    <xf numFmtId="0" fontId="42" fillId="0" borderId="3" xfId="14" applyFont="1" applyFill="1" applyBorder="1" applyAlignment="1">
      <alignment horizontal="right" wrapText="1"/>
    </xf>
    <xf numFmtId="0" fontId="3" fillId="2" borderId="8" xfId="1" applyFont="1" applyFill="1" applyBorder="1" applyAlignment="1">
      <alignment horizontal="center"/>
    </xf>
    <xf numFmtId="0" fontId="3" fillId="0" borderId="6" xfId="1" applyFont="1" applyFill="1" applyBorder="1" applyAlignment="1">
      <alignment horizontal="left" wrapText="1"/>
    </xf>
    <xf numFmtId="0" fontId="42" fillId="0" borderId="5" xfId="1" applyFont="1" applyFill="1" applyBorder="1" applyAlignment="1">
      <alignment horizontal="right" wrapText="1"/>
    </xf>
    <xf numFmtId="0" fontId="42" fillId="0" borderId="4" xfId="1" applyFont="1" applyFill="1" applyBorder="1" applyAlignment="1">
      <alignment horizontal="right" wrapText="1"/>
    </xf>
    <xf numFmtId="0" fontId="42" fillId="0" borderId="3" xfId="1" applyFont="1" applyFill="1" applyBorder="1" applyAlignment="1">
      <alignment horizontal="right" wrapText="1"/>
    </xf>
    <xf numFmtId="0" fontId="3" fillId="2" borderId="8" xfId="2" applyFont="1" applyFill="1" applyBorder="1" applyAlignment="1">
      <alignment horizontal="center"/>
    </xf>
    <xf numFmtId="0" fontId="3" fillId="0" borderId="6" xfId="2" applyFont="1" applyFill="1" applyBorder="1" applyAlignment="1">
      <alignment horizontal="left" wrapText="1"/>
    </xf>
    <xf numFmtId="0" fontId="42" fillId="0" borderId="5" xfId="2" applyFont="1" applyFill="1" applyBorder="1" applyAlignment="1">
      <alignment horizontal="right" wrapText="1"/>
    </xf>
    <xf numFmtId="0" fontId="42" fillId="0" borderId="4" xfId="2" applyFont="1" applyFill="1" applyBorder="1" applyAlignment="1">
      <alignment horizontal="left" wrapText="1"/>
    </xf>
    <xf numFmtId="0" fontId="42" fillId="0" borderId="4" xfId="2" applyFont="1" applyFill="1" applyBorder="1" applyAlignment="1">
      <alignment horizontal="right" wrapText="1"/>
    </xf>
    <xf numFmtId="0" fontId="42" fillId="0" borderId="3" xfId="2" applyFont="1" applyFill="1" applyBorder="1" applyAlignment="1">
      <alignment horizontal="right" wrapText="1"/>
    </xf>
    <xf numFmtId="0" fontId="3" fillId="2" borderId="8" xfId="4" applyFont="1" applyFill="1" applyBorder="1" applyAlignment="1">
      <alignment horizontal="center"/>
    </xf>
    <xf numFmtId="0" fontId="3" fillId="0" borderId="6" xfId="4" applyFont="1" applyFill="1" applyBorder="1" applyAlignment="1">
      <alignment horizontal="left" wrapText="1"/>
    </xf>
    <xf numFmtId="0" fontId="42" fillId="0" borderId="5" xfId="4" applyFont="1" applyFill="1" applyBorder="1" applyAlignment="1">
      <alignment horizontal="right" wrapText="1"/>
    </xf>
    <xf numFmtId="0" fontId="42" fillId="0" borderId="4" xfId="4" applyFont="1" applyFill="1" applyBorder="1" applyAlignment="1">
      <alignment horizontal="right" wrapText="1"/>
    </xf>
    <xf numFmtId="0" fontId="42" fillId="0" borderId="3" xfId="4" applyFont="1" applyFill="1" applyBorder="1" applyAlignment="1">
      <alignment horizontal="right" wrapText="1"/>
    </xf>
    <xf numFmtId="0" fontId="3" fillId="2" borderId="8" xfId="5" applyFont="1" applyFill="1" applyBorder="1" applyAlignment="1">
      <alignment horizontal="center"/>
    </xf>
    <xf numFmtId="0" fontId="3" fillId="0" borderId="6" xfId="5" applyFont="1" applyFill="1" applyBorder="1" applyAlignment="1">
      <alignment horizontal="left" wrapText="1"/>
    </xf>
    <xf numFmtId="0" fontId="43" fillId="0" borderId="5" xfId="5" applyFont="1" applyFill="1" applyBorder="1" applyAlignment="1">
      <alignment horizontal="center"/>
    </xf>
    <xf numFmtId="0" fontId="43" fillId="0" borderId="5" xfId="5" applyFont="1" applyFill="1" applyBorder="1" applyAlignment="1">
      <alignment horizontal="center" wrapText="1"/>
    </xf>
    <xf numFmtId="0" fontId="42" fillId="0" borderId="5" xfId="5" applyFont="1" applyFill="1" applyBorder="1" applyAlignment="1">
      <alignment horizontal="right" wrapText="1"/>
    </xf>
    <xf numFmtId="0" fontId="42" fillId="0" borderId="4" xfId="5" applyFont="1" applyFill="1" applyBorder="1" applyAlignment="1">
      <alignment horizontal="left" wrapText="1"/>
    </xf>
    <xf numFmtId="0" fontId="42" fillId="0" borderId="4" xfId="5" applyFont="1" applyFill="1" applyBorder="1" applyAlignment="1">
      <alignment horizontal="right" wrapText="1"/>
    </xf>
    <xf numFmtId="0" fontId="43" fillId="0" borderId="3" xfId="5" applyFont="1" applyFill="1" applyBorder="1" applyAlignment="1">
      <alignment horizontal="left"/>
    </xf>
    <xf numFmtId="0" fontId="43" fillId="0" borderId="3" xfId="5" applyFont="1" applyFill="1" applyBorder="1" applyAlignment="1">
      <alignment horizontal="center"/>
    </xf>
    <xf numFmtId="0" fontId="43" fillId="0" borderId="3" xfId="5" applyFont="1" applyFill="1" applyBorder="1" applyAlignment="1">
      <alignment horizontal="center" wrapText="1"/>
    </xf>
    <xf numFmtId="0" fontId="42" fillId="0" borderId="3" xfId="5" applyFont="1" applyFill="1" applyBorder="1" applyAlignment="1">
      <alignment horizontal="left" wrapText="1"/>
    </xf>
    <xf numFmtId="0" fontId="42" fillId="0" borderId="3" xfId="5" applyFont="1" applyFill="1" applyBorder="1" applyAlignment="1">
      <alignment horizontal="right" wrapText="1"/>
    </xf>
    <xf numFmtId="0" fontId="40" fillId="0" borderId="9" xfId="0" applyFont="1" applyBorder="1"/>
    <xf numFmtId="0" fontId="41" fillId="0" borderId="9" xfId="0" applyFont="1" applyBorder="1"/>
    <xf numFmtId="0" fontId="42" fillId="2" borderId="10" xfId="5" applyFont="1" applyFill="1" applyBorder="1" applyAlignment="1">
      <alignment horizontal="center"/>
    </xf>
    <xf numFmtId="0" fontId="40" fillId="0" borderId="9" xfId="0" applyFont="1" applyFill="1" applyBorder="1"/>
    <xf numFmtId="0" fontId="40" fillId="0" borderId="3" xfId="0" applyFont="1" applyFill="1" applyBorder="1" applyAlignment="1">
      <alignment horizontal="center" wrapText="1"/>
    </xf>
    <xf numFmtId="0" fontId="0" fillId="0" borderId="0" xfId="0" applyFill="1"/>
    <xf numFmtId="0" fontId="41" fillId="0" borderId="0" xfId="0" applyFont="1" applyFill="1"/>
    <xf numFmtId="0" fontId="3" fillId="0" borderId="4" xfId="6" applyFont="1" applyFill="1" applyBorder="1" applyAlignment="1">
      <alignment horizontal="left" wrapText="1"/>
    </xf>
    <xf numFmtId="0" fontId="42" fillId="0" borderId="4" xfId="6" applyFont="1" applyFill="1" applyBorder="1" applyAlignment="1">
      <alignment horizontal="right" wrapText="1"/>
    </xf>
    <xf numFmtId="0" fontId="43" fillId="0" borderId="3" xfId="6" applyFont="1" applyFill="1" applyBorder="1" applyAlignment="1">
      <alignment horizontal="center"/>
    </xf>
    <xf numFmtId="0" fontId="3" fillId="0" borderId="3" xfId="6" applyFont="1" applyFill="1" applyBorder="1" applyAlignment="1">
      <alignment horizontal="left" wrapText="1"/>
    </xf>
    <xf numFmtId="0" fontId="42" fillId="0" borderId="3" xfId="6" applyFont="1" applyFill="1" applyBorder="1" applyAlignment="1">
      <alignment horizontal="right" wrapText="1"/>
    </xf>
    <xf numFmtId="0" fontId="42" fillId="0" borderId="5" xfId="6" applyFont="1" applyFill="1" applyBorder="1" applyAlignment="1">
      <alignment horizontal="right" wrapText="1"/>
    </xf>
    <xf numFmtId="0" fontId="43" fillId="0" borderId="9" xfId="6" applyFont="1" applyFill="1" applyBorder="1" applyAlignment="1">
      <alignment horizontal="left" wrapText="1"/>
    </xf>
    <xf numFmtId="0" fontId="42" fillId="0" borderId="4" xfId="8" applyFont="1" applyFill="1" applyBorder="1" applyAlignment="1">
      <alignment horizontal="left" wrapText="1"/>
    </xf>
    <xf numFmtId="0" fontId="42" fillId="0" borderId="4" xfId="8" applyFont="1" applyFill="1" applyBorder="1" applyAlignment="1">
      <alignment horizontal="right" wrapText="1"/>
    </xf>
    <xf numFmtId="0" fontId="42" fillId="0" borderId="3" xfId="8" applyFont="1" applyFill="1" applyBorder="1" applyAlignment="1">
      <alignment horizontal="left" wrapText="1"/>
    </xf>
    <xf numFmtId="0" fontId="42" fillId="0" borderId="3" xfId="8" applyFont="1" applyFill="1" applyBorder="1" applyAlignment="1">
      <alignment horizontal="right" wrapText="1"/>
    </xf>
    <xf numFmtId="0" fontId="3" fillId="0" borderId="4" xfId="12" applyFont="1" applyFill="1" applyBorder="1" applyAlignment="1">
      <alignment horizontal="left" wrapText="1"/>
    </xf>
    <xf numFmtId="0" fontId="3" fillId="0" borderId="4" xfId="12" applyFont="1" applyFill="1" applyBorder="1" applyAlignment="1">
      <alignment horizontal="right" wrapText="1"/>
    </xf>
    <xf numFmtId="0" fontId="0" fillId="0" borderId="4" xfId="0" applyBorder="1"/>
    <xf numFmtId="0" fontId="0" fillId="0" borderId="3" xfId="0" applyBorder="1"/>
    <xf numFmtId="0" fontId="0" fillId="0" borderId="9" xfId="0" applyBorder="1"/>
    <xf numFmtId="0" fontId="3" fillId="0" borderId="3" xfId="12" applyFont="1" applyFill="1" applyBorder="1" applyAlignment="1">
      <alignment horizontal="left" wrapText="1"/>
    </xf>
    <xf numFmtId="0" fontId="3" fillId="0" borderId="3" xfId="12" applyFont="1" applyFill="1" applyBorder="1" applyAlignment="1">
      <alignment horizontal="right" wrapText="1"/>
    </xf>
  </cellXfs>
  <cellStyles count="16">
    <cellStyle name="Normal" xfId="0" builtinId="0"/>
    <cellStyle name="Normal_Q15 Data" xfId="1"/>
    <cellStyle name="Normal_Q19 Data" xfId="2"/>
    <cellStyle name="Normal_Q2 Data" xfId="3"/>
    <cellStyle name="Normal_Q23 Data" xfId="4"/>
    <cellStyle name="Normal_Q28 Data" xfId="5"/>
    <cellStyle name="Normal_Q29 Data" xfId="6"/>
    <cellStyle name="Normal_Q3 Data" xfId="7"/>
    <cellStyle name="Normal_Q30 Data" xfId="8"/>
    <cellStyle name="Normal_Q4 " xfId="9"/>
    <cellStyle name="Normal_Q7 Data" xfId="10"/>
    <cellStyle name="Normal_Q8 9 Data" xfId="11"/>
    <cellStyle name="Normal_Sheet10" xfId="12"/>
    <cellStyle name="Normal_Sheet17" xfId="13"/>
    <cellStyle name="Normal_Sheet4" xfId="14"/>
    <cellStyle name="Percent" xfId="1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26" Type="http://schemas.openxmlformats.org/officeDocument/2006/relationships/chartsheet" Target="chartsheets/sheet13.xml"/><Relationship Id="rId39" Type="http://schemas.openxmlformats.org/officeDocument/2006/relationships/calcChain" Target="calcChain.xml"/><Relationship Id="rId21" Type="http://schemas.openxmlformats.org/officeDocument/2006/relationships/worksheet" Target="worksheets/sheet11.xml"/><Relationship Id="rId34" Type="http://schemas.openxmlformats.org/officeDocument/2006/relationships/chartsheet" Target="chartsheets/sheet18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3.xml"/><Relationship Id="rId33" Type="http://schemas.openxmlformats.org/officeDocument/2006/relationships/worksheet" Target="worksheets/sheet1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chartsheet" Target="chartsheets/sheet8.xml"/><Relationship Id="rId20" Type="http://schemas.openxmlformats.org/officeDocument/2006/relationships/chartsheet" Target="chartsheets/sheet10.xml"/><Relationship Id="rId29" Type="http://schemas.openxmlformats.org/officeDocument/2006/relationships/chartsheet" Target="chartsheets/sheet15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6.xml"/><Relationship Id="rId24" Type="http://schemas.openxmlformats.org/officeDocument/2006/relationships/chartsheet" Target="chartsheets/sheet12.xml"/><Relationship Id="rId32" Type="http://schemas.openxmlformats.org/officeDocument/2006/relationships/chartsheet" Target="chartsheets/sheet17.xml"/><Relationship Id="rId37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2.xml"/><Relationship Id="rId28" Type="http://schemas.openxmlformats.org/officeDocument/2006/relationships/worksheet" Target="worksheets/sheet14.xml"/><Relationship Id="rId36" Type="http://schemas.openxmlformats.org/officeDocument/2006/relationships/theme" Target="theme/theme1.xml"/><Relationship Id="rId10" Type="http://schemas.openxmlformats.org/officeDocument/2006/relationships/worksheet" Target="worksheets/sheet5.xml"/><Relationship Id="rId19" Type="http://schemas.openxmlformats.org/officeDocument/2006/relationships/worksheet" Target="worksheets/sheet10.xml"/><Relationship Id="rId31" Type="http://schemas.openxmlformats.org/officeDocument/2006/relationships/worksheet" Target="worksheets/sheet15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1.xml"/><Relationship Id="rId27" Type="http://schemas.openxmlformats.org/officeDocument/2006/relationships/chartsheet" Target="chartsheets/sheet14.xml"/><Relationship Id="rId30" Type="http://schemas.openxmlformats.org/officeDocument/2006/relationships/chartsheet" Target="chartsheets/sheet16.xml"/><Relationship Id="rId35" Type="http://schemas.openxmlformats.org/officeDocument/2006/relationships/worksheet" Target="worksheets/sheet17.xml"/><Relationship Id="rId8" Type="http://schemas.openxmlformats.org/officeDocument/2006/relationships/chartsheet" Target="chartsheets/sheet5.xml"/><Relationship Id="rId3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Q1: Faculty Role</a:t>
            </a:r>
          </a:p>
        </c:rich>
      </c:tx>
      <c:layout>
        <c:manualLayout>
          <c:xMode val="edge"/>
          <c:yMode val="edge"/>
          <c:x val="0.4029629629629629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3071895424836602"/>
          <c:w val="0.93777777777777782"/>
          <c:h val="0.778867102396514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'Q1 Data'!$B$2:$B$7</c:f>
              <c:strCache>
                <c:ptCount val="6"/>
                <c:pt idx="0">
                  <c:v>Dean</c:v>
                </c:pt>
                <c:pt idx="1">
                  <c:v>Dept chair/Director</c:v>
                </c:pt>
                <c:pt idx="2">
                  <c:v>Departmental student advisor</c:v>
                </c:pt>
                <c:pt idx="3">
                  <c:v>Graduate student advisor</c:v>
                </c:pt>
                <c:pt idx="4">
                  <c:v>Course Coordinator</c:v>
                </c:pt>
                <c:pt idx="5">
                  <c:v>Faculty</c:v>
                </c:pt>
              </c:strCache>
            </c:strRef>
          </c:cat>
          <c:val>
            <c:numRef>
              <c:f>'Q1 Data'!$D$2:$D$7</c:f>
              <c:numCache>
                <c:formatCode>0%</c:formatCode>
                <c:ptCount val="6"/>
                <c:pt idx="0">
                  <c:v>3.3333333333333333E-2</c:v>
                </c:pt>
                <c:pt idx="1">
                  <c:v>0.1</c:v>
                </c:pt>
                <c:pt idx="2">
                  <c:v>3.3333333333333333E-2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E-41EF-95CB-8F3464CF5D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85763695"/>
        <c:axId val="1"/>
      </c:barChart>
      <c:catAx>
        <c:axId val="88576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369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Q2: Respondents' Faculty</a:t>
            </a:r>
          </a:p>
        </c:rich>
      </c:tx>
      <c:layout>
        <c:manualLayout>
          <c:xMode val="edge"/>
          <c:yMode val="edge"/>
          <c:x val="0.3881481481481481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66666666666666"/>
          <c:y val="0.22222222222222221"/>
          <c:w val="0.44666666666666666"/>
          <c:h val="0.65686274509803921"/>
        </c:manualLayout>
      </c:layout>
      <c:pieChart>
        <c:varyColors val="1"/>
        <c:ser>
          <c:idx val="0"/>
          <c:order val="0"/>
          <c:tx>
            <c:strRef>
              <c:f>'Q2 Data'!#REF!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268-4E7E-82EA-BA21E4781FF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68-4E7E-82EA-BA21E4781FF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268-4E7E-82EA-BA21E4781FF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68-4E7E-82EA-BA21E4781FF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268-4E7E-82EA-BA21E4781FF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68-4E7E-82EA-BA21E4781FF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268-4E7E-82EA-BA21E4781FF4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 Data'!$B$2:$B$8</c:f>
              <c:strCache>
                <c:ptCount val="7"/>
                <c:pt idx="0">
                  <c:v>Business</c:v>
                </c:pt>
                <c:pt idx="1">
                  <c:v>Fine Arts</c:v>
                </c:pt>
                <c:pt idx="2">
                  <c:v>Human &amp; Social Development</c:v>
                </c:pt>
                <c:pt idx="3">
                  <c:v>Humanities</c:v>
                </c:pt>
                <c:pt idx="4">
                  <c:v>Law</c:v>
                </c:pt>
                <c:pt idx="5">
                  <c:v>Science</c:v>
                </c:pt>
                <c:pt idx="6">
                  <c:v>Social Science</c:v>
                </c:pt>
              </c:strCache>
            </c:strRef>
          </c:cat>
          <c:val>
            <c:numRef>
              <c:f>'Q2 Data'!$C$2:$C$8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68-4E7E-82EA-BA21E4781F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11111111111116"/>
          <c:y val="0.38126361655773422"/>
          <c:w val="0.24888888888888888"/>
          <c:h val="0.32135076252723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Q4: What ISIS Features Do You Use?</a:t>
            </a:r>
          </a:p>
        </c:rich>
      </c:tx>
      <c:layout>
        <c:manualLayout>
          <c:xMode val="edge"/>
          <c:yMode val="edge"/>
          <c:x val="0.3422222222222222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444444444444445"/>
          <c:y val="0.10130718954248366"/>
          <c:w val="0.74888888888888894"/>
          <c:h val="0.835511982570806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'!$B$1:$J$1</c:f>
              <c:strCache>
                <c:ptCount val="9"/>
                <c:pt idx="0">
                  <c:v>Class Lists</c:v>
                </c:pt>
                <c:pt idx="1">
                  <c:v>Student Records</c:v>
                </c:pt>
                <c:pt idx="2">
                  <c:v>Timetables</c:v>
                </c:pt>
                <c:pt idx="3">
                  <c:v>Student Addresses</c:v>
                </c:pt>
                <c:pt idx="4">
                  <c:v>Transcripts/Grades</c:v>
                </c:pt>
                <c:pt idx="5">
                  <c:v>Advising</c:v>
                </c:pt>
                <c:pt idx="6">
                  <c:v>Enrolment Numbers</c:v>
                </c:pt>
                <c:pt idx="7">
                  <c:v>Transfer Credit</c:v>
                </c:pt>
                <c:pt idx="8">
                  <c:v>Secretary Provides Information</c:v>
                </c:pt>
              </c:strCache>
            </c:strRef>
          </c:cat>
          <c:val>
            <c:numRef>
              <c:f>'Q4 '!$B$24:$J$24</c:f>
              <c:numCache>
                <c:formatCode>0%</c:formatCode>
                <c:ptCount val="9"/>
                <c:pt idx="0">
                  <c:v>0.2857142857142857</c:v>
                </c:pt>
                <c:pt idx="1">
                  <c:v>0.19047619047619047</c:v>
                </c:pt>
                <c:pt idx="2">
                  <c:v>9.5238095238095233E-2</c:v>
                </c:pt>
                <c:pt idx="3">
                  <c:v>0.19047619047619047</c:v>
                </c:pt>
                <c:pt idx="4">
                  <c:v>0.61904761904761907</c:v>
                </c:pt>
                <c:pt idx="5">
                  <c:v>4.7619047619047616E-2</c:v>
                </c:pt>
                <c:pt idx="6">
                  <c:v>4.7619047619047616E-2</c:v>
                </c:pt>
                <c:pt idx="7">
                  <c:v>4.7619047619047616E-2</c:v>
                </c:pt>
                <c:pt idx="8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2-49D8-8D5C-68FF1057B1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0895"/>
        <c:axId val="1"/>
      </c:barChart>
      <c:catAx>
        <c:axId val="885760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08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Q5: What features/services should ISIS provide?</a:t>
            </a:r>
          </a:p>
        </c:rich>
      </c:tx>
      <c:layout>
        <c:manualLayout>
          <c:xMode val="edge"/>
          <c:yMode val="edge"/>
          <c:x val="0.29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14814814814814"/>
          <c:y val="0.10130718954248366"/>
          <c:w val="0.76518518518518519"/>
          <c:h val="0.835511982570806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'Q4 '!$B$30:$I$30</c:f>
              <c:strCache>
                <c:ptCount val="8"/>
                <c:pt idx="0">
                  <c:v>Enhanced Class Lists</c:v>
                </c:pt>
                <c:pt idx="1">
                  <c:v>Ad Hoc Reporting</c:v>
                </c:pt>
                <c:pt idx="2">
                  <c:v>Direct Access for Faculty</c:v>
                </c:pt>
                <c:pt idx="3">
                  <c:v>Enhanced Student Address Information</c:v>
                </c:pt>
                <c:pt idx="4">
                  <c:v>Better Integration with Other Systems</c:v>
                </c:pt>
                <c:pt idx="5">
                  <c:v>Enhanced Transfer Credit Information</c:v>
                </c:pt>
                <c:pt idx="6">
                  <c:v>Interface Improvements</c:v>
                </c:pt>
                <c:pt idx="7">
                  <c:v>Status Quo</c:v>
                </c:pt>
              </c:strCache>
            </c:strRef>
          </c:cat>
          <c:val>
            <c:numRef>
              <c:f>'Q4 '!$B$43:$I$43</c:f>
              <c:numCache>
                <c:formatCode>0%</c:formatCode>
                <c:ptCount val="8"/>
                <c:pt idx="0">
                  <c:v>0.18181818181818182</c:v>
                </c:pt>
                <c:pt idx="1">
                  <c:v>0.18181818181818182</c:v>
                </c:pt>
                <c:pt idx="2">
                  <c:v>9.0909090909090912E-2</c:v>
                </c:pt>
                <c:pt idx="3">
                  <c:v>0.18181818181818182</c:v>
                </c:pt>
                <c:pt idx="4">
                  <c:v>9.0909090909090912E-2</c:v>
                </c:pt>
                <c:pt idx="5">
                  <c:v>0.18181818181818182</c:v>
                </c:pt>
                <c:pt idx="6">
                  <c:v>0.18181818181818182</c:v>
                </c:pt>
                <c:pt idx="7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9-4349-87FE-57ABD087F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3295"/>
        <c:axId val="1"/>
      </c:barChart>
      <c:catAx>
        <c:axId val="8857632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32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Q3: Frequency of ISIS Use</a:t>
            </a:r>
          </a:p>
        </c:rich>
      </c:tx>
      <c:layout>
        <c:manualLayout>
          <c:xMode val="edge"/>
          <c:yMode val="edge"/>
          <c:x val="0.3866666666666666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'Q3 Data'!$B$2:$B$5</c:f>
              <c:strCache>
                <c:ptCount val="4"/>
                <c:pt idx="0">
                  <c:v>Weekly</c:v>
                </c:pt>
                <c:pt idx="1">
                  <c:v>Monthly</c:v>
                </c:pt>
                <c:pt idx="2">
                  <c:v>Infrequently</c:v>
                </c:pt>
                <c:pt idx="3">
                  <c:v>Never</c:v>
                </c:pt>
              </c:strCache>
            </c:strRef>
          </c:cat>
          <c:val>
            <c:numRef>
              <c:f>'Q3 Data'!$D$2:$D$5</c:f>
              <c:numCache>
                <c:formatCode>0%</c:formatCode>
                <c:ptCount val="4"/>
                <c:pt idx="0">
                  <c:v>0.33333333333333331</c:v>
                </c:pt>
                <c:pt idx="1">
                  <c:v>0.13333333333333333</c:v>
                </c:pt>
                <c:pt idx="2">
                  <c:v>0.13333333333333333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1-4675-9217-77DB45F95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1695"/>
        <c:axId val="1"/>
      </c:barChart>
      <c:catAx>
        <c:axId val="88576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16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Q8: What features of CUS do you use?</a:t>
            </a:r>
          </a:p>
        </c:rich>
      </c:tx>
      <c:layout>
        <c:manualLayout>
          <c:xMode val="edge"/>
          <c:yMode val="edge"/>
          <c:x val="0.3340740740740740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481481481481482"/>
          <c:y val="0.10130718954248366"/>
          <c:w val="0.75851851851851848"/>
          <c:h val="0.835511982570806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'Q8 9 Data'!$B$1:$D$1</c:f>
              <c:strCache>
                <c:ptCount val="3"/>
                <c:pt idx="0">
                  <c:v>Don't Use</c:v>
                </c:pt>
                <c:pt idx="1">
                  <c:v>Class Enrolment</c:v>
                </c:pt>
                <c:pt idx="2">
                  <c:v>Secretary Accesses/Provides Information</c:v>
                </c:pt>
              </c:strCache>
            </c:strRef>
          </c:cat>
          <c:val>
            <c:numRef>
              <c:f>'Q8 9 Data'!$B$8:$D$8</c:f>
              <c:numCache>
                <c:formatCode>0%</c:formatCode>
                <c:ptCount val="3"/>
                <c:pt idx="0">
                  <c:v>0.4</c:v>
                </c:pt>
                <c:pt idx="1">
                  <c:v>0.2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4-4A9C-A1C6-B312E74629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3035167"/>
        <c:axId val="1"/>
      </c:barChart>
      <c:catAx>
        <c:axId val="703035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03516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Q7: Frequency of CUS Use</a:t>
            </a:r>
          </a:p>
        </c:rich>
      </c:tx>
      <c:layout>
        <c:manualLayout>
          <c:xMode val="edge"/>
          <c:yMode val="edge"/>
          <c:x val="0.3851851851851851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'Q7 Data'!$B$2:$B$4</c:f>
              <c:strCache>
                <c:ptCount val="3"/>
                <c:pt idx="0">
                  <c:v>Daily</c:v>
                </c:pt>
                <c:pt idx="1">
                  <c:v>Infrequently</c:v>
                </c:pt>
                <c:pt idx="2">
                  <c:v>Never</c:v>
                </c:pt>
              </c:strCache>
            </c:strRef>
          </c:cat>
          <c:val>
            <c:numRef>
              <c:f>'Q7 Data'!$D$2:$D$4</c:f>
              <c:numCache>
                <c:formatCode>0%</c:formatCode>
                <c:ptCount val="3"/>
                <c:pt idx="0">
                  <c:v>6.6666666666666666E-2</c:v>
                </c:pt>
                <c:pt idx="1">
                  <c:v>0.1</c:v>
                </c:pt>
                <c:pt idx="2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C-4863-B8DD-F16498A8A1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3034767"/>
        <c:axId val="1"/>
      </c:barChart>
      <c:catAx>
        <c:axId val="703034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034767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Q11: Frequency of CRABS Use</a:t>
            </a:r>
          </a:p>
        </c:rich>
      </c:tx>
      <c:layout>
        <c:manualLayout>
          <c:xMode val="edge"/>
          <c:yMode val="edge"/>
          <c:x val="0.367407407407407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'Q11 Data'!$B$2:$B$3</c:f>
              <c:strCache>
                <c:ptCount val="2"/>
                <c:pt idx="0">
                  <c:v>Infrequently</c:v>
                </c:pt>
                <c:pt idx="1">
                  <c:v>Never</c:v>
                </c:pt>
              </c:strCache>
            </c:strRef>
          </c:cat>
          <c:val>
            <c:numRef>
              <c:f>'Q11 Data'!$D$2:$D$3</c:f>
              <c:numCache>
                <c:formatCode>0%</c:formatCode>
                <c:ptCount val="2"/>
                <c:pt idx="0">
                  <c:v>0.16666666666666666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4-4F60-8BD9-53F4B1E6EC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1295"/>
        <c:axId val="1"/>
      </c:barChart>
      <c:catAx>
        <c:axId val="885761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12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Q15: Frequency of PADRE Use</a:t>
            </a:r>
          </a:p>
        </c:rich>
      </c:tx>
      <c:layout>
        <c:manualLayout>
          <c:xMode val="edge"/>
          <c:yMode val="edge"/>
          <c:x val="0.3681481481481481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'Q15 Data'!$B$2:$B$5</c:f>
              <c:strCache>
                <c:ptCount val="4"/>
                <c:pt idx="0">
                  <c:v>Weekly</c:v>
                </c:pt>
                <c:pt idx="1">
                  <c:v>Monthly</c:v>
                </c:pt>
                <c:pt idx="2">
                  <c:v>Infrequently</c:v>
                </c:pt>
                <c:pt idx="3">
                  <c:v>Never</c:v>
                </c:pt>
              </c:strCache>
            </c:strRef>
          </c:cat>
          <c:val>
            <c:numRef>
              <c:f>'Q15 Data'!$D$2:$D$5</c:f>
              <c:numCache>
                <c:formatCode>0%</c:formatCode>
                <c:ptCount val="4"/>
                <c:pt idx="0">
                  <c:v>0.1</c:v>
                </c:pt>
                <c:pt idx="1">
                  <c:v>6.6666666666666666E-2</c:v>
                </c:pt>
                <c:pt idx="2">
                  <c:v>6.6666666666666666E-2</c:v>
                </c:pt>
                <c:pt idx="3">
                  <c:v>0.76666666666666672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B-44F5-8489-714D197060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2495"/>
        <c:axId val="1"/>
      </c:barChart>
      <c:catAx>
        <c:axId val="88576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24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Q19: Frequency of WebCL Use</a:t>
            </a:r>
          </a:p>
        </c:rich>
      </c:tx>
      <c:layout>
        <c:manualLayout>
          <c:xMode val="edge"/>
          <c:yMode val="edge"/>
          <c:x val="0.3681481481481481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'Q19 Data'!$B$2:$B$6</c:f>
              <c:strCache>
                <c:ptCount val="5"/>
                <c:pt idx="0">
                  <c:v>Daily</c:v>
                </c:pt>
                <c:pt idx="1">
                  <c:v>Weekly</c:v>
                </c:pt>
                <c:pt idx="2">
                  <c:v>Monthly</c:v>
                </c:pt>
                <c:pt idx="3">
                  <c:v>Infrequently</c:v>
                </c:pt>
                <c:pt idx="4">
                  <c:v>Never</c:v>
                </c:pt>
              </c:strCache>
            </c:strRef>
          </c:cat>
          <c:val>
            <c:numRef>
              <c:f>'Q19 Data'!$D$2:$D$6</c:f>
              <c:numCache>
                <c:formatCode>0%</c:formatCode>
                <c:ptCount val="5"/>
                <c:pt idx="0">
                  <c:v>6.6666666666666666E-2</c:v>
                </c:pt>
                <c:pt idx="1">
                  <c:v>0.1</c:v>
                </c:pt>
                <c:pt idx="2">
                  <c:v>0.2</c:v>
                </c:pt>
                <c:pt idx="3">
                  <c:v>0.26666666666666666</c:v>
                </c:pt>
                <c:pt idx="4">
                  <c:v>0.36666666666666664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7-4963-92D0-E18AE17D27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0095"/>
        <c:axId val="1"/>
      </c:barChart>
      <c:catAx>
        <c:axId val="885760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00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Q23: Frequency of WebTT Use</a:t>
            </a:r>
          </a:p>
        </c:rich>
      </c:tx>
      <c:layout>
        <c:manualLayout>
          <c:xMode val="edge"/>
          <c:yMode val="edge"/>
          <c:x val="0.3688888888888888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592592592592594E-2"/>
          <c:y val="0.11873638344226579"/>
          <c:w val="0.93777777777777782"/>
          <c:h val="0.81808278867102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'Q23 Data'!$B$3:$B$6</c:f>
              <c:strCache>
                <c:ptCount val="4"/>
                <c:pt idx="0">
                  <c:v>Daily</c:v>
                </c:pt>
                <c:pt idx="1">
                  <c:v>Weekly</c:v>
                </c:pt>
                <c:pt idx="2">
                  <c:v>Infrequently</c:v>
                </c:pt>
                <c:pt idx="3">
                  <c:v>Never</c:v>
                </c:pt>
              </c:strCache>
            </c:strRef>
          </c:cat>
          <c:val>
            <c:numRef>
              <c:f>'Q23 Data'!$D$3:$D$6</c:f>
              <c:numCache>
                <c:formatCode>0%</c:formatCode>
                <c:ptCount val="4"/>
                <c:pt idx="0">
                  <c:v>3.3333333333333333E-2</c:v>
                </c:pt>
                <c:pt idx="1">
                  <c:v>0.13333333333333333</c:v>
                </c:pt>
                <c:pt idx="2">
                  <c:v>0.16666666666666666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9-4D09-ADF4-A4225F5662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2895"/>
        <c:axId val="1"/>
      </c:barChart>
      <c:catAx>
        <c:axId val="885762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28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Q27: I mainly use these systems to access... </a:t>
            </a:r>
          </a:p>
        </c:rich>
      </c:tx>
      <c:layout>
        <c:manualLayout>
          <c:xMode val="edge"/>
          <c:yMode val="edge"/>
          <c:x val="0.31481481481481483"/>
          <c:y val="1.7429193899782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4074074074074073E-2"/>
          <c:y val="0.13507625272331156"/>
          <c:w val="0.93407407407407406"/>
          <c:h val="0.744008714596949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'Q27 Data'!$A$2:$A$9</c:f>
              <c:strCache>
                <c:ptCount val="8"/>
                <c:pt idx="0">
                  <c:v>Class lists</c:v>
                </c:pt>
                <c:pt idx="1">
                  <c:v>Advising students</c:v>
                </c:pt>
                <c:pt idx="2">
                  <c:v>Registering students</c:v>
                </c:pt>
                <c:pt idx="3">
                  <c:v>Managing enrollment</c:v>
                </c:pt>
                <c:pt idx="4">
                  <c:v>Obtaining statistical or other reports</c:v>
                </c:pt>
                <c:pt idx="5">
                  <c:v>Transfer credit</c:v>
                </c:pt>
                <c:pt idx="6">
                  <c:v>Booking rooms</c:v>
                </c:pt>
                <c:pt idx="7">
                  <c:v>Other</c:v>
                </c:pt>
              </c:strCache>
            </c:strRef>
          </c:cat>
          <c:val>
            <c:numRef>
              <c:f>'Q27 Data'!$D$2:$D$9</c:f>
              <c:numCache>
                <c:formatCode>0%</c:formatCode>
                <c:ptCount val="8"/>
                <c:pt idx="0">
                  <c:v>0.73333333333333328</c:v>
                </c:pt>
                <c:pt idx="1">
                  <c:v>0.53333333333333333</c:v>
                </c:pt>
                <c:pt idx="2">
                  <c:v>3.3333333333333333E-2</c:v>
                </c:pt>
                <c:pt idx="3">
                  <c:v>0.4</c:v>
                </c:pt>
                <c:pt idx="4">
                  <c:v>0.1</c:v>
                </c:pt>
                <c:pt idx="5">
                  <c:v>0.13333333333333333</c:v>
                </c:pt>
                <c:pt idx="6">
                  <c:v>6.6666666666666666E-2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4-4A1D-B892-E6F2A220F9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5760495"/>
        <c:axId val="1"/>
      </c:barChart>
      <c:catAx>
        <c:axId val="885760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76049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Q28a: Do You Use Courseware?</a:t>
            </a:r>
          </a:p>
        </c:rich>
      </c:tx>
      <c:layout>
        <c:manualLayout>
          <c:xMode val="edge"/>
          <c:yMode val="edge"/>
          <c:x val="0.3629629629629629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962962962962962"/>
          <c:y val="0.22222222222222221"/>
          <c:w val="0.44666666666666666"/>
          <c:h val="0.6568627450980392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801-41DD-9F31-E12AF70A82F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01-41DD-9F31-E12AF70A82F5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'Q28 Data'!$B$3:$B$4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'Q28 Data'!$D$3:$D$4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1-41DD-9F31-E12AF70A82F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555555555555559"/>
          <c:y val="0.49782135076252726"/>
          <c:w val="6.5925925925925929E-2"/>
          <c:h val="8.82352941176470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Q28b: Courseware Usage by Product</a:t>
            </a:r>
          </a:p>
        </c:rich>
      </c:tx>
      <c:layout>
        <c:manualLayout>
          <c:xMode val="edge"/>
          <c:yMode val="edge"/>
          <c:x val="0.341481481481481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0370370370369"/>
          <c:y val="0.22004357298474944"/>
          <c:w val="0.44888888888888889"/>
          <c:h val="0.660130718954248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99F-4135-AD4F-47CDF1BAF51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9F-4135-AD4F-47CDF1BAF51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99F-4135-AD4F-47CDF1BAF51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'Q28 Data'!$B$9:$B$11</c:f>
              <c:strCache>
                <c:ptCount val="3"/>
                <c:pt idx="0">
                  <c:v>Web CT</c:v>
                </c:pt>
                <c:pt idx="1">
                  <c:v>Blackboard</c:v>
                </c:pt>
                <c:pt idx="2">
                  <c:v>Other</c:v>
                </c:pt>
              </c:strCache>
            </c:strRef>
          </c:cat>
          <c:val>
            <c:numRef>
              <c:f>'Q28 Data'!$D$9:$D$11</c:f>
              <c:numCache>
                <c:formatCode>0%</c:formatCode>
                <c:ptCount val="3"/>
                <c:pt idx="0">
                  <c:v>0.55555555555555558</c:v>
                </c:pt>
                <c:pt idx="1">
                  <c:v>0.22222222222222221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9F-4135-AD4F-47CDF1BAF5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37037037037037"/>
          <c:y val="0.47930283224400871"/>
          <c:w val="0.13407407407407407"/>
          <c:h val="0.131808278867102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Q29a: Do you currently use any software to manage grades?</a:t>
            </a:r>
          </a:p>
        </c:rich>
      </c:tx>
      <c:layout>
        <c:manualLayout>
          <c:xMode val="edge"/>
          <c:yMode val="edge"/>
          <c:x val="0.2414814814814814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37037037037037"/>
          <c:y val="0.20806100217864923"/>
          <c:w val="0.45629629629629631"/>
          <c:h val="0.6710239651416122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A7C-4CE8-AD3D-0769B22E1B1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7C-4CE8-AD3D-0769B22E1B1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'Q29 Data'!$A$2:$A$3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'Q29 Data'!$C$2:$C$3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C-4CE8-AD3D-0769B22E1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4666666666666666"/>
          <c:y val="0.51198257080610021"/>
          <c:w val="5.0370370370370371E-2"/>
          <c:h val="6.427015250544662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Q29b: Software Used to Manage Grades</a:t>
            </a:r>
          </a:p>
        </c:rich>
      </c:tx>
      <c:layout>
        <c:manualLayout>
          <c:xMode val="edge"/>
          <c:yMode val="edge"/>
          <c:x val="0.2718518518518518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88888888888888"/>
          <c:y val="0.13398692810457516"/>
          <c:w val="0.50740740740740742"/>
          <c:h val="0.7461873638344226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79-4F2C-A6B6-3A850799F6D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79-4F2C-A6B6-3A850799F6D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79-4F2C-A6B6-3A850799F6D3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'Q29 Data'!$A$7:$A$9</c:f>
              <c:strCache>
                <c:ptCount val="3"/>
                <c:pt idx="0">
                  <c:v>MS Excel</c:v>
                </c:pt>
                <c:pt idx="1">
                  <c:v>File Maker Pro</c:v>
                </c:pt>
                <c:pt idx="2">
                  <c:v>Other</c:v>
                </c:pt>
              </c:strCache>
            </c:strRef>
          </c:cat>
          <c:val>
            <c:numRef>
              <c:f>'Q29 Data'!$C$7:$C$9</c:f>
              <c:numCache>
                <c:formatCode>0%</c:formatCode>
                <c:ptCount val="3"/>
                <c:pt idx="0">
                  <c:v>0.76190476190476186</c:v>
                </c:pt>
                <c:pt idx="1">
                  <c:v>4.7619047619047616E-2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9-4F2C-A6B6-3A850799F6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444444444444448"/>
          <c:y val="0.45098039215686275"/>
          <c:w val="0.16370370370370371"/>
          <c:h val="0.131808278867102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Q30: Interest in Using Gradebook Software</a:t>
            </a:r>
          </a:p>
        </c:rich>
      </c:tx>
      <c:layout>
        <c:manualLayout>
          <c:xMode val="edge"/>
          <c:yMode val="edge"/>
          <c:x val="0.316296296296296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48148148148148"/>
          <c:y val="0.16775599128540306"/>
          <c:w val="0.51925925925925931"/>
          <c:h val="0.7636165577342047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5A0-45A6-8CC2-12E1E42CA67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A0-45A6-8CC2-12E1E42CA675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'Q30 Data'!$A$2:$A$3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'Q30 Data'!$B$2:$B$3</c:f>
              <c:numCache>
                <c:formatCode>General</c:formatCode>
                <c:ptCount val="2"/>
                <c:pt idx="0">
                  <c:v>16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0-45A6-8CC2-12E1E42CA6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2370370370370372"/>
          <c:y val="0.48692810457516339"/>
          <c:w val="6.5925925925925929E-2"/>
          <c:h val="8.82352941176470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1111111111111"/>
          <c:y val="1.7429193899782137E-2"/>
          <c:w val="0.83629629629629632"/>
          <c:h val="0.8834422657952070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solidFill>
                <a:srgbClr val="FFFFFF"/>
              </a:solidFill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Sheet10!$A$1:$A$6</c:f>
              <c:strCache>
                <c:ptCount val="6"/>
                <c:pt idx="0">
                  <c:v>Q3: ISIS</c:v>
                </c:pt>
                <c:pt idx="1">
                  <c:v>Q7: CUS</c:v>
                </c:pt>
                <c:pt idx="2">
                  <c:v>Q11: CRABS</c:v>
                </c:pt>
                <c:pt idx="3">
                  <c:v>Q15: PADRE</c:v>
                </c:pt>
                <c:pt idx="4">
                  <c:v>Q19: WebCL</c:v>
                </c:pt>
                <c:pt idx="5">
                  <c:v>Q23: WebTT</c:v>
                </c:pt>
              </c:strCache>
            </c:strRef>
          </c:cat>
          <c:val>
            <c:numRef>
              <c:f>Sheet10!$B$1:$B$6</c:f>
              <c:numCache>
                <c:formatCode>0.0</c:formatCode>
                <c:ptCount val="6"/>
                <c:pt idx="0" formatCode="General">
                  <c:v>1.4</c:v>
                </c:pt>
                <c:pt idx="1">
                  <c:v>0.36666666666666664</c:v>
                </c:pt>
                <c:pt idx="2">
                  <c:v>0.16666666666666666</c:v>
                </c:pt>
                <c:pt idx="3" formatCode="General">
                  <c:v>0.5</c:v>
                </c:pt>
                <c:pt idx="4">
                  <c:v>1.2333333333333334</c:v>
                </c:pt>
                <c:pt idx="5" formatCode="General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D-4D9B-9393-DBA812D95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8528671"/>
        <c:axId val="1"/>
      </c:barChart>
      <c:catAx>
        <c:axId val="708528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8671"/>
        <c:crosses val="autoZero"/>
        <c:crossBetween val="between"/>
        <c:majorUnit val="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tabSelected="1"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orientation="landscape" horizontalDpi="355" verticalDpi="464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5AC07-C507-407F-BBDB-792F01A0D0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0.1125</cdr:x>
      <cdr:y>0.25075</cdr:y>
    </cdr:from>
    <cdr:to>
      <cdr:x>0.50825</cdr:x>
      <cdr:y>0.404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F2531185-4A20-4FBA-B47A-7FE685FE61F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64406" y="1461697"/>
          <a:ext cx="3392567" cy="89334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Note: Respondents were able to indicate that they hold multiple roles within the University. Therefore response total percent is great than 100%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86194-3A4D-4B66-A4A4-E094E73277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E6F79-7BB4-4506-A9DE-40D14D4F2F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77653-36FC-4EA6-968B-6BBDE534FC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42D4E-9F5D-4939-B6D8-0E8A8FA3AD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D8D86-F26C-492A-B4F0-BEE4FAF2B6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1914B-2552-499F-A039-4B7E882F20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316E9-8943-4C69-A78E-D617BF8479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2B59B-787E-474B-AD5F-2F407981B8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05793-924A-4417-BA87-54EA84BC92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44843-6657-417F-97CF-CBD0688B8B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A8002-1163-47E8-B012-031C6877F5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BB0EF-34B3-442C-BC9D-F1DD595369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0D5F9-7634-4D88-BF50-2A75EAADBA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39860-82B1-4CEE-83EC-A6F6E3B8A5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9A12B-292A-4D8D-B6D5-A5E5ADFAF5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63A78-81A7-4064-B701-4089EEB92D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FFA9C-0A77-41C3-925F-BEF3661209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0.0815</cdr:x>
      <cdr:y>0.94075</cdr:y>
    </cdr:from>
    <cdr:to>
      <cdr:x>0.1325</cdr:x>
      <cdr:y>0.97675</cdr:y>
    </cdr:to>
    <cdr:sp macro="" textlink="">
      <cdr:nvSpPr>
        <cdr:cNvPr id="3073" name="Text Box 1">
          <a:extLst xmlns:a="http://schemas.openxmlformats.org/drawingml/2006/main">
            <a:ext uri="{FF2B5EF4-FFF2-40B4-BE49-F238E27FC236}">
              <a16:creationId xmlns:a16="http://schemas.microsoft.com/office/drawing/2014/main" id="{6038CB01-E7C6-4E1A-9C0A-C950992634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8659" y="5483914"/>
          <a:ext cx="437197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27432" bIns="0" anchor="t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Never</a:t>
          </a:r>
        </a:p>
      </cdr:txBody>
    </cdr:sp>
  </cdr:relSizeAnchor>
  <cdr:relSizeAnchor xmlns:cdr="http://schemas.openxmlformats.org/drawingml/2006/chartDrawing">
    <cdr:from>
      <cdr:x>0.2725</cdr:x>
      <cdr:y>0.94075</cdr:y>
    </cdr:from>
    <cdr:to>
      <cdr:x>0.36275</cdr:x>
      <cdr:y>0.97675</cdr:y>
    </cdr:to>
    <cdr:sp macro="" textlink="">
      <cdr:nvSpPr>
        <cdr:cNvPr id="3074" name="Text Box 2">
          <a:extLst xmlns:a="http://schemas.openxmlformats.org/drawingml/2006/main">
            <a:ext uri="{FF2B5EF4-FFF2-40B4-BE49-F238E27FC236}">
              <a16:creationId xmlns:a16="http://schemas.microsoft.com/office/drawing/2014/main" id="{2C761C36-12EC-4353-BDED-EC9DC9B09B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6006" y="5483914"/>
          <a:ext cx="773668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27432" bIns="0" anchor="t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Infrequently</a:t>
          </a:r>
        </a:p>
      </cdr:txBody>
    </cdr:sp>
  </cdr:relSizeAnchor>
  <cdr:relSizeAnchor xmlns:cdr="http://schemas.openxmlformats.org/drawingml/2006/chartDrawing">
    <cdr:from>
      <cdr:x>0.4815</cdr:x>
      <cdr:y>0.94075</cdr:y>
    </cdr:from>
    <cdr:to>
      <cdr:x>0.57</cdr:x>
      <cdr:y>0.98325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695FBA9B-730C-4761-8F06-66E025D788C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27659" y="5483914"/>
          <a:ext cx="758666" cy="2477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Monthly</a:t>
          </a:r>
        </a:p>
      </cdr:txBody>
    </cdr:sp>
  </cdr:relSizeAnchor>
  <cdr:relSizeAnchor xmlns:cdr="http://schemas.openxmlformats.org/drawingml/2006/chartDrawing">
    <cdr:from>
      <cdr:x>0.7105</cdr:x>
      <cdr:y>0.94075</cdr:y>
    </cdr:from>
    <cdr:to>
      <cdr:x>0.769</cdr:x>
      <cdr:y>0.9745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874F379A-2EC7-421B-A558-3B2AD822A8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90761" y="5483914"/>
          <a:ext cx="501492" cy="196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27432" bIns="0" anchor="t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Weekly</a:t>
          </a:r>
        </a:p>
      </cdr:txBody>
    </cdr:sp>
  </cdr:relSizeAnchor>
  <cdr:relSizeAnchor xmlns:cdr="http://schemas.openxmlformats.org/drawingml/2006/chartDrawing">
    <cdr:from>
      <cdr:x>0.92125</cdr:x>
      <cdr:y>0.94075</cdr:y>
    </cdr:from>
    <cdr:to>
      <cdr:x>0.96575</cdr:x>
      <cdr:y>0.9745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CFD209E3-8547-4276-883D-2CA78397B3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97416" y="5483914"/>
          <a:ext cx="381476" cy="196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27432" bIns="0" anchor="t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Daily</a:t>
          </a:r>
        </a:p>
      </cdr:txBody>
    </cdr:sp>
  </cdr:relSizeAnchor>
  <cdr:relSizeAnchor xmlns:cdr="http://schemas.openxmlformats.org/drawingml/2006/chartDrawing">
    <cdr:from>
      <cdr:x>0.5575</cdr:x>
      <cdr:y>0.11625</cdr:y>
    </cdr:from>
    <cdr:to>
      <cdr:x>0.89075</cdr:x>
      <cdr:y>0.22525</cdr:y>
    </cdr:to>
    <cdr:sp macro="" textlink="">
      <cdr:nvSpPr>
        <cdr:cNvPr id="3078" name="Text Box 6">
          <a:extLst xmlns:a="http://schemas.openxmlformats.org/drawingml/2006/main">
            <a:ext uri="{FF2B5EF4-FFF2-40B4-BE49-F238E27FC236}">
              <a16:creationId xmlns:a16="http://schemas.microsoft.com/office/drawing/2014/main" id="{29EAB570-7366-4B60-B661-8EBD088C475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9169" y="677656"/>
          <a:ext cx="2856785" cy="63539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Average Frequency of Use of Current Student Information System Modules by UVic Faculty</a:t>
          </a: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" sqref="B1:D11"/>
    </sheetView>
  </sheetViews>
  <sheetFormatPr defaultRowHeight="12.5" x14ac:dyDescent="0.25"/>
  <cols>
    <col min="2" max="2" width="25.54296875" style="20" bestFit="1" customWidth="1"/>
    <col min="3" max="4" width="11.1796875" style="20" customWidth="1"/>
  </cols>
  <sheetData>
    <row r="1" spans="1:4" ht="26.5" thickBot="1" x14ac:dyDescent="0.35">
      <c r="B1" s="13" t="s">
        <v>125</v>
      </c>
      <c r="C1" s="13" t="s">
        <v>126</v>
      </c>
      <c r="D1" s="13" t="s">
        <v>127</v>
      </c>
    </row>
    <row r="2" spans="1:4" ht="16" thickTop="1" x14ac:dyDescent="0.35">
      <c r="A2" s="1" t="s">
        <v>0</v>
      </c>
      <c r="B2" s="14" t="s">
        <v>9</v>
      </c>
      <c r="C2" s="14">
        <v>1</v>
      </c>
      <c r="D2" s="15">
        <f>C2/30</f>
        <v>3.3333333333333333E-2</v>
      </c>
    </row>
    <row r="3" spans="1:4" ht="15.5" x14ac:dyDescent="0.35">
      <c r="A3" s="1" t="s">
        <v>1</v>
      </c>
      <c r="B3" s="16" t="s">
        <v>10</v>
      </c>
      <c r="C3" s="16">
        <v>3</v>
      </c>
      <c r="D3" s="17">
        <f t="shared" ref="D3:D9" si="0">C3/30</f>
        <v>0.1</v>
      </c>
    </row>
    <row r="4" spans="1:4" ht="15.5" x14ac:dyDescent="0.35">
      <c r="A4" s="1" t="s">
        <v>2</v>
      </c>
      <c r="B4" s="16" t="s">
        <v>11</v>
      </c>
      <c r="C4" s="16">
        <v>1</v>
      </c>
      <c r="D4" s="17">
        <f t="shared" si="0"/>
        <v>3.3333333333333333E-2</v>
      </c>
    </row>
    <row r="5" spans="1:4" ht="15.5" x14ac:dyDescent="0.35">
      <c r="A5" s="1" t="s">
        <v>3</v>
      </c>
      <c r="B5" s="16" t="s">
        <v>12</v>
      </c>
      <c r="C5" s="16">
        <v>2</v>
      </c>
      <c r="D5" s="17">
        <f t="shared" si="0"/>
        <v>6.6666666666666666E-2</v>
      </c>
    </row>
    <row r="6" spans="1:4" ht="15.5" x14ac:dyDescent="0.35">
      <c r="A6" s="1" t="s">
        <v>4</v>
      </c>
      <c r="B6" s="16" t="s">
        <v>13</v>
      </c>
      <c r="C6" s="16">
        <v>2</v>
      </c>
      <c r="D6" s="17">
        <f t="shared" si="0"/>
        <v>6.6666666666666666E-2</v>
      </c>
    </row>
    <row r="7" spans="1:4" ht="15.5" x14ac:dyDescent="0.35">
      <c r="A7" s="1" t="s">
        <v>5</v>
      </c>
      <c r="B7" s="16" t="s">
        <v>14</v>
      </c>
      <c r="C7" s="16">
        <v>24</v>
      </c>
      <c r="D7" s="17">
        <f t="shared" si="0"/>
        <v>0.8</v>
      </c>
    </row>
    <row r="8" spans="1:4" ht="15.5" x14ac:dyDescent="0.35">
      <c r="A8" s="1" t="s">
        <v>6</v>
      </c>
      <c r="B8" s="16" t="s">
        <v>15</v>
      </c>
      <c r="C8" s="16">
        <v>0</v>
      </c>
      <c r="D8" s="17">
        <f t="shared" si="0"/>
        <v>0</v>
      </c>
    </row>
    <row r="9" spans="1:4" ht="16" thickBot="1" x14ac:dyDescent="0.4">
      <c r="A9" s="1" t="s">
        <v>7</v>
      </c>
      <c r="B9" s="18" t="s">
        <v>16</v>
      </c>
      <c r="C9" s="18">
        <v>0</v>
      </c>
      <c r="D9" s="19">
        <f t="shared" si="0"/>
        <v>0</v>
      </c>
    </row>
    <row r="10" spans="1:4" ht="16" thickTop="1" x14ac:dyDescent="0.35">
      <c r="A10" s="1" t="s">
        <v>8</v>
      </c>
      <c r="B10" s="21" t="s">
        <v>128</v>
      </c>
      <c r="C10" s="21">
        <f>SUM(C2:C9)</f>
        <v>33</v>
      </c>
      <c r="D10" s="14"/>
    </row>
    <row r="11" spans="1:4" ht="13.5" thickBot="1" x14ac:dyDescent="0.35">
      <c r="B11" s="23" t="s">
        <v>129</v>
      </c>
      <c r="C11" s="23">
        <v>30</v>
      </c>
      <c r="D11" s="18"/>
    </row>
    <row r="12" spans="1:4" ht="13" thickTop="1" x14ac:dyDescent="0.25"/>
  </sheetData>
  <phoneticPr fontId="0" type="noConversion"/>
  <pageMargins left="0.75" right="0.75" top="1" bottom="1" header="0.5" footer="0.5"/>
  <pageSetup orientation="portrait" horizontalDpi="355" verticalDpi="46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" sqref="B1:D9"/>
    </sheetView>
  </sheetViews>
  <sheetFormatPr defaultRowHeight="12.5" x14ac:dyDescent="0.25"/>
  <cols>
    <col min="2" max="2" width="26.1796875" style="20" bestFit="1" customWidth="1"/>
    <col min="3" max="4" width="10.453125" style="20" customWidth="1"/>
  </cols>
  <sheetData>
    <row r="1" spans="1:4" ht="26.5" thickBot="1" x14ac:dyDescent="0.35">
      <c r="B1" s="28" t="s">
        <v>14</v>
      </c>
      <c r="C1" s="29" t="s">
        <v>126</v>
      </c>
      <c r="D1" s="29" t="s">
        <v>130</v>
      </c>
    </row>
    <row r="2" spans="1:4" ht="13" thickTop="1" x14ac:dyDescent="0.25">
      <c r="A2" s="24" t="s">
        <v>17</v>
      </c>
      <c r="B2" s="14" t="s">
        <v>24</v>
      </c>
      <c r="C2" s="27">
        <v>2</v>
      </c>
      <c r="D2" s="15">
        <f>C2/C$9</f>
        <v>6.6666666666666666E-2</v>
      </c>
    </row>
    <row r="3" spans="1:4" x14ac:dyDescent="0.25">
      <c r="A3" s="24" t="s">
        <v>18</v>
      </c>
      <c r="B3" s="16" t="s">
        <v>25</v>
      </c>
      <c r="C3" s="25">
        <v>1</v>
      </c>
      <c r="D3" s="17">
        <f t="shared" ref="D3:D9" si="0">C3/C$9</f>
        <v>3.3333333333333333E-2</v>
      </c>
    </row>
    <row r="4" spans="1:4" x14ac:dyDescent="0.25">
      <c r="A4" s="24" t="s">
        <v>19</v>
      </c>
      <c r="B4" s="16" t="s">
        <v>26</v>
      </c>
      <c r="C4" s="25">
        <v>4</v>
      </c>
      <c r="D4" s="17">
        <f t="shared" si="0"/>
        <v>0.13333333333333333</v>
      </c>
    </row>
    <row r="5" spans="1:4" x14ac:dyDescent="0.25">
      <c r="A5" s="24" t="s">
        <v>20</v>
      </c>
      <c r="B5" s="16" t="s">
        <v>27</v>
      </c>
      <c r="C5" s="25">
        <v>6</v>
      </c>
      <c r="D5" s="17">
        <f t="shared" si="0"/>
        <v>0.2</v>
      </c>
    </row>
    <row r="6" spans="1:4" x14ac:dyDescent="0.25">
      <c r="A6" s="24" t="s">
        <v>21</v>
      </c>
      <c r="B6" s="16" t="s">
        <v>28</v>
      </c>
      <c r="C6" s="25">
        <v>1</v>
      </c>
      <c r="D6" s="17">
        <f t="shared" si="0"/>
        <v>3.3333333333333333E-2</v>
      </c>
    </row>
    <row r="7" spans="1:4" x14ac:dyDescent="0.25">
      <c r="A7" s="24" t="s">
        <v>22</v>
      </c>
      <c r="B7" s="16" t="s">
        <v>29</v>
      </c>
      <c r="C7" s="25">
        <v>5</v>
      </c>
      <c r="D7" s="17">
        <f t="shared" si="0"/>
        <v>0.16666666666666666</v>
      </c>
    </row>
    <row r="8" spans="1:4" ht="13" thickBot="1" x14ac:dyDescent="0.3">
      <c r="A8" s="24" t="s">
        <v>23</v>
      </c>
      <c r="B8" s="18" t="s">
        <v>30</v>
      </c>
      <c r="C8" s="26">
        <v>11</v>
      </c>
      <c r="D8" s="19">
        <f t="shared" si="0"/>
        <v>0.36666666666666664</v>
      </c>
    </row>
    <row r="9" spans="1:4" ht="14" thickTop="1" thickBot="1" x14ac:dyDescent="0.35">
      <c r="B9" s="30" t="s">
        <v>128</v>
      </c>
      <c r="C9" s="30">
        <f>SUM(C2:C8)</f>
        <v>30</v>
      </c>
      <c r="D9" s="31">
        <f t="shared" si="0"/>
        <v>1</v>
      </c>
    </row>
    <row r="10" spans="1:4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35" workbookViewId="0">
      <selection activeCell="E47" sqref="E47"/>
    </sheetView>
  </sheetViews>
  <sheetFormatPr defaultRowHeight="12.5" x14ac:dyDescent="0.25"/>
  <cols>
    <col min="1" max="1" width="53.7265625" customWidth="1"/>
    <col min="2" max="8" width="8.54296875" style="7" customWidth="1"/>
    <col min="9" max="10" width="8.54296875" customWidth="1"/>
  </cols>
  <sheetData>
    <row r="1" spans="1:10" ht="62.5" x14ac:dyDescent="0.25">
      <c r="A1" s="5" t="s">
        <v>65</v>
      </c>
      <c r="B1" s="7" t="s">
        <v>93</v>
      </c>
      <c r="C1" s="7" t="s">
        <v>92</v>
      </c>
      <c r="D1" s="7" t="s">
        <v>91</v>
      </c>
      <c r="E1" s="7" t="s">
        <v>94</v>
      </c>
      <c r="F1" s="7" t="s">
        <v>95</v>
      </c>
      <c r="G1" s="7" t="s">
        <v>87</v>
      </c>
      <c r="H1" s="7" t="s">
        <v>88</v>
      </c>
      <c r="I1" s="7" t="s">
        <v>89</v>
      </c>
      <c r="J1" s="7" t="s">
        <v>90</v>
      </c>
    </row>
    <row r="2" spans="1:10" ht="40.5" customHeight="1" x14ac:dyDescent="0.25">
      <c r="A2" s="6" t="s">
        <v>66</v>
      </c>
      <c r="J2">
        <v>1</v>
      </c>
    </row>
    <row r="3" spans="1:10" x14ac:dyDescent="0.25">
      <c r="A3" s="6" t="s">
        <v>67</v>
      </c>
      <c r="B3" s="7">
        <v>1</v>
      </c>
      <c r="C3" s="7">
        <v>1</v>
      </c>
      <c r="D3" s="7">
        <v>1</v>
      </c>
    </row>
    <row r="4" spans="1:10" x14ac:dyDescent="0.25">
      <c r="A4" s="6" t="s">
        <v>68</v>
      </c>
      <c r="B4" s="7">
        <v>1</v>
      </c>
      <c r="E4" s="7">
        <v>1</v>
      </c>
      <c r="F4" s="7">
        <v>1</v>
      </c>
    </row>
    <row r="5" spans="1:10" x14ac:dyDescent="0.25">
      <c r="A5" s="6" t="s">
        <v>69</v>
      </c>
      <c r="F5" s="7">
        <v>1</v>
      </c>
    </row>
    <row r="6" spans="1:10" ht="62.5" x14ac:dyDescent="0.25">
      <c r="A6" s="6" t="s">
        <v>70</v>
      </c>
      <c r="E6" s="7">
        <v>1</v>
      </c>
      <c r="F6" s="7">
        <v>1</v>
      </c>
      <c r="H6" s="7">
        <v>1</v>
      </c>
    </row>
    <row r="7" spans="1:10" x14ac:dyDescent="0.25">
      <c r="A7" s="6" t="s">
        <v>71</v>
      </c>
      <c r="B7" s="7">
        <v>1</v>
      </c>
      <c r="F7" s="7">
        <v>1</v>
      </c>
    </row>
    <row r="8" spans="1:10" ht="25" x14ac:dyDescent="0.25">
      <c r="A8" s="6" t="s">
        <v>72</v>
      </c>
      <c r="B8" s="7">
        <v>1</v>
      </c>
      <c r="E8" s="7">
        <v>1</v>
      </c>
      <c r="F8" s="7">
        <v>1</v>
      </c>
    </row>
    <row r="9" spans="1:10" x14ac:dyDescent="0.25">
      <c r="A9" s="6" t="s">
        <v>73</v>
      </c>
      <c r="F9" s="7">
        <v>1</v>
      </c>
    </row>
    <row r="10" spans="1:10" x14ac:dyDescent="0.25">
      <c r="A10" s="6" t="s">
        <v>74</v>
      </c>
      <c r="F10" s="7">
        <v>1</v>
      </c>
    </row>
    <row r="11" spans="1:10" ht="25" x14ac:dyDescent="0.25">
      <c r="A11" s="6" t="s">
        <v>75</v>
      </c>
      <c r="C11" s="7">
        <v>1</v>
      </c>
      <c r="E11" s="7">
        <v>1</v>
      </c>
      <c r="F11" s="7">
        <v>1</v>
      </c>
      <c r="J11">
        <v>1</v>
      </c>
    </row>
    <row r="12" spans="1:10" x14ac:dyDescent="0.25">
      <c r="A12" s="6" t="s">
        <v>76</v>
      </c>
      <c r="C12" s="7">
        <v>1</v>
      </c>
      <c r="D12" s="7">
        <v>1</v>
      </c>
    </row>
    <row r="13" spans="1:10" x14ac:dyDescent="0.25">
      <c r="A13" s="6" t="s">
        <v>77</v>
      </c>
      <c r="J13">
        <v>1</v>
      </c>
    </row>
    <row r="14" spans="1:10" x14ac:dyDescent="0.25">
      <c r="A14" s="6" t="s">
        <v>78</v>
      </c>
      <c r="F14" s="7">
        <v>1</v>
      </c>
      <c r="I14">
        <v>1</v>
      </c>
    </row>
    <row r="15" spans="1:10" ht="37.5" x14ac:dyDescent="0.25">
      <c r="A15" s="6" t="s">
        <v>79</v>
      </c>
      <c r="F15" s="7">
        <v>1</v>
      </c>
      <c r="G15" s="7">
        <v>1</v>
      </c>
    </row>
    <row r="16" spans="1:10" ht="25" x14ac:dyDescent="0.25">
      <c r="A16" s="6" t="s">
        <v>80</v>
      </c>
      <c r="J16">
        <v>1</v>
      </c>
    </row>
    <row r="17" spans="1:10" ht="25" x14ac:dyDescent="0.25">
      <c r="A17" s="6" t="s">
        <v>81</v>
      </c>
      <c r="J17">
        <v>1</v>
      </c>
    </row>
    <row r="18" spans="1:10" x14ac:dyDescent="0.25">
      <c r="A18" s="6" t="s">
        <v>82</v>
      </c>
      <c r="J18">
        <v>1</v>
      </c>
    </row>
    <row r="19" spans="1:10" x14ac:dyDescent="0.25">
      <c r="A19" s="6" t="s">
        <v>83</v>
      </c>
      <c r="F19" s="7">
        <v>1</v>
      </c>
    </row>
    <row r="20" spans="1:10" x14ac:dyDescent="0.25">
      <c r="A20" s="6" t="s">
        <v>84</v>
      </c>
      <c r="B20" s="7">
        <v>1</v>
      </c>
      <c r="F20" s="7">
        <v>1</v>
      </c>
    </row>
    <row r="21" spans="1:10" x14ac:dyDescent="0.25">
      <c r="A21" s="6" t="s">
        <v>85</v>
      </c>
      <c r="B21" s="7">
        <v>1</v>
      </c>
      <c r="C21" s="7">
        <v>1</v>
      </c>
    </row>
    <row r="22" spans="1:10" ht="50" x14ac:dyDescent="0.25">
      <c r="A22" s="6" t="s">
        <v>86</v>
      </c>
      <c r="F22" s="7">
        <v>1</v>
      </c>
    </row>
    <row r="23" spans="1:10" x14ac:dyDescent="0.25">
      <c r="A23">
        <f>COUNTA(A2:A22)</f>
        <v>21</v>
      </c>
      <c r="B23" s="7">
        <f>SUM(B2:B22)</f>
        <v>6</v>
      </c>
      <c r="C23" s="7">
        <f t="shared" ref="C23:J23" si="0">SUM(C2:C22)</f>
        <v>4</v>
      </c>
      <c r="D23" s="7">
        <f t="shared" si="0"/>
        <v>2</v>
      </c>
      <c r="E23" s="7">
        <f t="shared" si="0"/>
        <v>4</v>
      </c>
      <c r="F23" s="7">
        <f t="shared" si="0"/>
        <v>13</v>
      </c>
      <c r="G23" s="7">
        <f t="shared" si="0"/>
        <v>1</v>
      </c>
      <c r="H23" s="7">
        <f t="shared" si="0"/>
        <v>1</v>
      </c>
      <c r="I23" s="7">
        <f t="shared" si="0"/>
        <v>1</v>
      </c>
      <c r="J23" s="7">
        <f t="shared" si="0"/>
        <v>6</v>
      </c>
    </row>
    <row r="24" spans="1:10" x14ac:dyDescent="0.25">
      <c r="B24" s="8">
        <f>B23/$A$23</f>
        <v>0.2857142857142857</v>
      </c>
      <c r="C24" s="8">
        <f t="shared" ref="C24:J24" si="1">C23/$A$23</f>
        <v>0.19047619047619047</v>
      </c>
      <c r="D24" s="8">
        <f t="shared" si="1"/>
        <v>9.5238095238095233E-2</v>
      </c>
      <c r="E24" s="8">
        <f t="shared" si="1"/>
        <v>0.19047619047619047</v>
      </c>
      <c r="F24" s="8">
        <f t="shared" si="1"/>
        <v>0.61904761904761907</v>
      </c>
      <c r="G24" s="8">
        <f t="shared" si="1"/>
        <v>4.7619047619047616E-2</v>
      </c>
      <c r="H24" s="8">
        <f t="shared" si="1"/>
        <v>4.7619047619047616E-2</v>
      </c>
      <c r="I24" s="8">
        <f t="shared" si="1"/>
        <v>4.7619047619047616E-2</v>
      </c>
      <c r="J24" s="8">
        <f t="shared" si="1"/>
        <v>0.2857142857142857</v>
      </c>
    </row>
    <row r="30" spans="1:10" ht="75" x14ac:dyDescent="0.25">
      <c r="A30" s="9" t="s">
        <v>96</v>
      </c>
      <c r="B30" s="7" t="s">
        <v>108</v>
      </c>
      <c r="C30" s="7" t="s">
        <v>109</v>
      </c>
      <c r="D30" s="7" t="s">
        <v>110</v>
      </c>
      <c r="E30" s="7" t="s">
        <v>111</v>
      </c>
      <c r="F30" s="7" t="s">
        <v>112</v>
      </c>
      <c r="G30" s="7" t="s">
        <v>113</v>
      </c>
      <c r="H30" s="7" t="s">
        <v>115</v>
      </c>
      <c r="I30" s="7" t="s">
        <v>114</v>
      </c>
    </row>
    <row r="31" spans="1:10" ht="62.5" x14ac:dyDescent="0.25">
      <c r="A31" s="10" t="s">
        <v>97</v>
      </c>
      <c r="F31" s="7">
        <v>1</v>
      </c>
    </row>
    <row r="32" spans="1:10" x14ac:dyDescent="0.25">
      <c r="A32" s="10" t="s">
        <v>98</v>
      </c>
      <c r="H32" s="7">
        <v>1</v>
      </c>
    </row>
    <row r="33" spans="1:9" ht="62.5" x14ac:dyDescent="0.25">
      <c r="A33" s="10" t="s">
        <v>99</v>
      </c>
      <c r="B33" s="7">
        <v>1</v>
      </c>
      <c r="C33" s="7">
        <v>1</v>
      </c>
    </row>
    <row r="34" spans="1:9" ht="50" x14ac:dyDescent="0.25">
      <c r="A34" s="10" t="s">
        <v>100</v>
      </c>
      <c r="B34" s="7">
        <v>1</v>
      </c>
    </row>
    <row r="35" spans="1:9" ht="25" x14ac:dyDescent="0.25">
      <c r="A35" s="10" t="s">
        <v>101</v>
      </c>
      <c r="I35">
        <v>1</v>
      </c>
    </row>
    <row r="36" spans="1:9" x14ac:dyDescent="0.25">
      <c r="A36" s="10" t="s">
        <v>102</v>
      </c>
      <c r="E36" s="7">
        <v>1</v>
      </c>
      <c r="H36" s="7">
        <v>1</v>
      </c>
    </row>
    <row r="37" spans="1:9" x14ac:dyDescent="0.25">
      <c r="A37" s="10" t="s">
        <v>103</v>
      </c>
      <c r="E37" s="7">
        <v>1</v>
      </c>
    </row>
    <row r="38" spans="1:9" x14ac:dyDescent="0.25">
      <c r="A38" s="10" t="s">
        <v>104</v>
      </c>
      <c r="D38" s="7">
        <v>1</v>
      </c>
    </row>
    <row r="39" spans="1:9" ht="100" x14ac:dyDescent="0.25">
      <c r="A39" s="10" t="s">
        <v>105</v>
      </c>
      <c r="C39" s="7">
        <v>1</v>
      </c>
    </row>
    <row r="40" spans="1:9" x14ac:dyDescent="0.25">
      <c r="A40" s="10" t="s">
        <v>106</v>
      </c>
      <c r="G40" s="7">
        <v>1</v>
      </c>
    </row>
    <row r="41" spans="1:9" ht="62.5" x14ac:dyDescent="0.25">
      <c r="A41" s="10" t="s">
        <v>107</v>
      </c>
      <c r="G41" s="7">
        <v>1</v>
      </c>
    </row>
    <row r="42" spans="1:9" x14ac:dyDescent="0.25">
      <c r="A42">
        <f>COUNTA(A31:A41)</f>
        <v>11</v>
      </c>
      <c r="B42" s="7">
        <f>SUM(B31:B41)</f>
        <v>2</v>
      </c>
      <c r="C42" s="7">
        <f t="shared" ref="C42:I42" si="2">SUM(C31:C41)</f>
        <v>2</v>
      </c>
      <c r="D42" s="7">
        <f t="shared" si="2"/>
        <v>1</v>
      </c>
      <c r="E42" s="7">
        <f t="shared" si="2"/>
        <v>2</v>
      </c>
      <c r="F42" s="7">
        <f t="shared" si="2"/>
        <v>1</v>
      </c>
      <c r="G42" s="7">
        <f t="shared" si="2"/>
        <v>2</v>
      </c>
      <c r="H42" s="7">
        <f t="shared" si="2"/>
        <v>2</v>
      </c>
      <c r="I42" s="7">
        <f t="shared" si="2"/>
        <v>1</v>
      </c>
    </row>
    <row r="43" spans="1:9" x14ac:dyDescent="0.25">
      <c r="B43" s="8">
        <f>B42/$A$42</f>
        <v>0.18181818181818182</v>
      </c>
      <c r="C43" s="8">
        <f t="shared" ref="C43:I43" si="3">C42/$A$42</f>
        <v>0.18181818181818182</v>
      </c>
      <c r="D43" s="8">
        <f t="shared" si="3"/>
        <v>9.0909090909090912E-2</v>
      </c>
      <c r="E43" s="8">
        <f t="shared" si="3"/>
        <v>0.18181818181818182</v>
      </c>
      <c r="F43" s="8">
        <f t="shared" si="3"/>
        <v>9.0909090909090912E-2</v>
      </c>
      <c r="G43" s="8">
        <f t="shared" si="3"/>
        <v>0.18181818181818182</v>
      </c>
      <c r="H43" s="8">
        <f t="shared" si="3"/>
        <v>0.18181818181818182</v>
      </c>
      <c r="I43" s="8">
        <f t="shared" si="3"/>
        <v>9.0909090909090912E-2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" sqref="B1:D1"/>
    </sheetView>
  </sheetViews>
  <sheetFormatPr defaultRowHeight="12.5" x14ac:dyDescent="0.25"/>
  <cols>
    <col min="2" max="2" width="18.1796875" style="20" bestFit="1" customWidth="1"/>
    <col min="3" max="3" width="10.81640625" style="20" customWidth="1"/>
    <col min="4" max="4" width="10.54296875" style="20" customWidth="1"/>
  </cols>
  <sheetData>
    <row r="1" spans="1:5" ht="26.5" thickBot="1" x14ac:dyDescent="0.35">
      <c r="B1" s="13" t="s">
        <v>131</v>
      </c>
      <c r="C1" s="29" t="s">
        <v>126</v>
      </c>
      <c r="D1" s="29" t="s">
        <v>130</v>
      </c>
    </row>
    <row r="2" spans="1:5" ht="13" thickTop="1" x14ac:dyDescent="0.25">
      <c r="A2" s="32">
        <v>3</v>
      </c>
      <c r="B2" s="14" t="s">
        <v>34</v>
      </c>
      <c r="C2" s="35">
        <v>10</v>
      </c>
      <c r="D2" s="15">
        <f>C2/$C$6</f>
        <v>0.33333333333333331</v>
      </c>
      <c r="E2">
        <f>C2*A2</f>
        <v>30</v>
      </c>
    </row>
    <row r="3" spans="1:5" x14ac:dyDescent="0.25">
      <c r="A3" s="32">
        <v>2</v>
      </c>
      <c r="B3" s="16" t="s">
        <v>35</v>
      </c>
      <c r="C3" s="33">
        <v>4</v>
      </c>
      <c r="D3" s="17">
        <f>C3/$C$6</f>
        <v>0.13333333333333333</v>
      </c>
      <c r="E3">
        <f>C3*A3</f>
        <v>8</v>
      </c>
    </row>
    <row r="4" spans="1:5" x14ac:dyDescent="0.25">
      <c r="A4" s="32">
        <v>1</v>
      </c>
      <c r="B4" s="16" t="s">
        <v>36</v>
      </c>
      <c r="C4" s="33">
        <v>4</v>
      </c>
      <c r="D4" s="17">
        <f>C4/$C$6</f>
        <v>0.13333333333333333</v>
      </c>
      <c r="E4">
        <f>C4*A4</f>
        <v>4</v>
      </c>
    </row>
    <row r="5" spans="1:5" ht="13" thickBot="1" x14ac:dyDescent="0.3">
      <c r="A5" s="32">
        <v>0</v>
      </c>
      <c r="B5" s="18" t="s">
        <v>37</v>
      </c>
      <c r="C5" s="34">
        <v>12</v>
      </c>
      <c r="D5" s="19">
        <f>C5/$C$6</f>
        <v>0.4</v>
      </c>
      <c r="E5">
        <f>C5*A5</f>
        <v>0</v>
      </c>
    </row>
    <row r="6" spans="1:5" ht="13.5" thickTop="1" x14ac:dyDescent="0.3">
      <c r="B6" s="36" t="s">
        <v>128</v>
      </c>
      <c r="C6" s="21">
        <f>SUM(C2:C5)</f>
        <v>30</v>
      </c>
      <c r="D6" s="21"/>
      <c r="E6">
        <f>(SUM(E2:E5))/30</f>
        <v>1.4</v>
      </c>
    </row>
    <row r="7" spans="1:5" ht="13.5" thickBot="1" x14ac:dyDescent="0.35">
      <c r="B7" s="37" t="s">
        <v>132</v>
      </c>
      <c r="C7" s="23">
        <f>E6</f>
        <v>1.4</v>
      </c>
      <c r="D7" s="23"/>
    </row>
    <row r="8" spans="1:5" ht="13" thickTop="1" x14ac:dyDescent="0.25"/>
    <row r="9" spans="1:5" ht="15.5" x14ac:dyDescent="0.35">
      <c r="A9" s="1" t="s">
        <v>33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4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11" sqref="A11"/>
    </sheetView>
  </sheetViews>
  <sheetFormatPr defaultRowHeight="12.5" x14ac:dyDescent="0.25"/>
  <cols>
    <col min="1" max="1" width="63.81640625" customWidth="1"/>
  </cols>
  <sheetData>
    <row r="1" spans="1:4" x14ac:dyDescent="0.25">
      <c r="A1" s="11" t="s">
        <v>116</v>
      </c>
      <c r="B1" t="s">
        <v>122</v>
      </c>
      <c r="C1" t="s">
        <v>123</v>
      </c>
      <c r="D1" t="s">
        <v>124</v>
      </c>
    </row>
    <row r="2" spans="1:4" x14ac:dyDescent="0.25">
      <c r="A2" s="12" t="s">
        <v>117</v>
      </c>
      <c r="B2">
        <v>1</v>
      </c>
    </row>
    <row r="3" spans="1:4" x14ac:dyDescent="0.25">
      <c r="A3" s="12" t="s">
        <v>118</v>
      </c>
      <c r="D3">
        <v>1</v>
      </c>
    </row>
    <row r="4" spans="1:4" x14ac:dyDescent="0.25">
      <c r="A4" s="12" t="s">
        <v>119</v>
      </c>
      <c r="D4">
        <v>1</v>
      </c>
    </row>
    <row r="5" spans="1:4" x14ac:dyDescent="0.25">
      <c r="A5" s="12" t="s">
        <v>120</v>
      </c>
      <c r="B5">
        <v>1</v>
      </c>
    </row>
    <row r="6" spans="1:4" x14ac:dyDescent="0.25">
      <c r="A6" s="12" t="s">
        <v>121</v>
      </c>
      <c r="C6">
        <v>1</v>
      </c>
    </row>
    <row r="7" spans="1:4" x14ac:dyDescent="0.25">
      <c r="B7">
        <f>SUM(B2:B6)</f>
        <v>2</v>
      </c>
      <c r="C7">
        <f>SUM(C2:C6)</f>
        <v>1</v>
      </c>
      <c r="D7">
        <f>SUM(D2:D6)</f>
        <v>2</v>
      </c>
    </row>
    <row r="8" spans="1:4" x14ac:dyDescent="0.25">
      <c r="B8" s="2">
        <f>B7/5</f>
        <v>0.4</v>
      </c>
      <c r="C8" s="2">
        <f>C7/5</f>
        <v>0.2</v>
      </c>
      <c r="D8" s="2">
        <f>D7/5</f>
        <v>0.4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1" sqref="B1:D1"/>
    </sheetView>
  </sheetViews>
  <sheetFormatPr defaultRowHeight="12.5" x14ac:dyDescent="0.25"/>
  <cols>
    <col min="2" max="2" width="18.1796875" style="20" bestFit="1" customWidth="1"/>
    <col min="3" max="3" width="10.81640625" style="20" customWidth="1"/>
    <col min="4" max="4" width="10.26953125" style="20" customWidth="1"/>
  </cols>
  <sheetData>
    <row r="1" spans="1:5" ht="39.5" thickBot="1" x14ac:dyDescent="0.35">
      <c r="A1" s="38"/>
      <c r="B1" s="13" t="s">
        <v>131</v>
      </c>
      <c r="C1" s="29" t="s">
        <v>126</v>
      </c>
      <c r="D1" s="29" t="s">
        <v>130</v>
      </c>
    </row>
    <row r="2" spans="1:5" ht="13" thickTop="1" x14ac:dyDescent="0.25">
      <c r="A2" s="39">
        <v>4</v>
      </c>
      <c r="B2" s="14" t="s">
        <v>33</v>
      </c>
      <c r="C2" s="41">
        <v>2</v>
      </c>
      <c r="D2" s="15">
        <f>C2/$C$5</f>
        <v>6.6666666666666666E-2</v>
      </c>
      <c r="E2">
        <f>C2*A2</f>
        <v>8</v>
      </c>
    </row>
    <row r="3" spans="1:5" x14ac:dyDescent="0.25">
      <c r="A3" s="39">
        <v>1</v>
      </c>
      <c r="B3" s="16" t="s">
        <v>36</v>
      </c>
      <c r="C3" s="40">
        <v>3</v>
      </c>
      <c r="D3" s="17">
        <f>C3/$C$5</f>
        <v>0.1</v>
      </c>
      <c r="E3">
        <f>C3*A3</f>
        <v>3</v>
      </c>
    </row>
    <row r="4" spans="1:5" ht="13" thickBot="1" x14ac:dyDescent="0.3">
      <c r="A4" s="39">
        <v>0</v>
      </c>
      <c r="B4" s="18" t="s">
        <v>37</v>
      </c>
      <c r="C4" s="42">
        <v>25</v>
      </c>
      <c r="D4" s="19">
        <f>C4/$C$5</f>
        <v>0.83333333333333337</v>
      </c>
      <c r="E4">
        <f>C4*A4</f>
        <v>0</v>
      </c>
    </row>
    <row r="5" spans="1:5" ht="13.5" thickTop="1" x14ac:dyDescent="0.3">
      <c r="B5" s="21" t="s">
        <v>128</v>
      </c>
      <c r="C5" s="21">
        <f>SUM(C2:C4)</f>
        <v>30</v>
      </c>
      <c r="D5" s="21"/>
      <c r="E5" s="4">
        <f>(SUM(E2:E4))/30</f>
        <v>0.36666666666666664</v>
      </c>
    </row>
    <row r="6" spans="1:5" ht="13.5" thickBot="1" x14ac:dyDescent="0.35">
      <c r="B6" s="23" t="s">
        <v>132</v>
      </c>
      <c r="C6" s="43">
        <f>E5</f>
        <v>0.36666666666666664</v>
      </c>
      <c r="D6" s="23"/>
    </row>
    <row r="7" spans="1:5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" sqref="B1:D1"/>
    </sheetView>
  </sheetViews>
  <sheetFormatPr defaultRowHeight="12.5" x14ac:dyDescent="0.25"/>
  <cols>
    <col min="2" max="2" width="18.1796875" style="20" bestFit="1" customWidth="1"/>
    <col min="3" max="3" width="13.1796875" style="20" customWidth="1"/>
    <col min="4" max="4" width="12.1796875" style="20" customWidth="1"/>
  </cols>
  <sheetData>
    <row r="1" spans="1:5" ht="26.5" thickBot="1" x14ac:dyDescent="0.35">
      <c r="A1" s="44" t="s">
        <v>38</v>
      </c>
      <c r="B1" s="13" t="s">
        <v>131</v>
      </c>
      <c r="C1" s="29" t="s">
        <v>126</v>
      </c>
      <c r="D1" s="29" t="s">
        <v>130</v>
      </c>
    </row>
    <row r="2" spans="1:5" ht="13" thickTop="1" x14ac:dyDescent="0.25">
      <c r="A2" s="45">
        <v>1</v>
      </c>
      <c r="B2" s="15" t="s">
        <v>36</v>
      </c>
      <c r="C2" s="46">
        <v>5</v>
      </c>
      <c r="D2" s="15">
        <f>C2/$C$4</f>
        <v>0.16666666666666666</v>
      </c>
      <c r="E2">
        <f>C2*A2</f>
        <v>5</v>
      </c>
    </row>
    <row r="3" spans="1:5" ht="13" thickBot="1" x14ac:dyDescent="0.3">
      <c r="A3" s="45">
        <v>0</v>
      </c>
      <c r="B3" s="19" t="s">
        <v>37</v>
      </c>
      <c r="C3" s="47">
        <v>25</v>
      </c>
      <c r="D3" s="19">
        <f>C3/$C$4</f>
        <v>0.83333333333333337</v>
      </c>
      <c r="E3">
        <f>C3*A3</f>
        <v>0</v>
      </c>
    </row>
    <row r="4" spans="1:5" ht="13.5" thickTop="1" x14ac:dyDescent="0.3">
      <c r="B4" s="21" t="s">
        <v>128</v>
      </c>
      <c r="C4" s="21">
        <f>SUM(C2:C3)</f>
        <v>30</v>
      </c>
      <c r="D4" s="21"/>
      <c r="E4" s="4">
        <f>(SUM(E2:E3))/30</f>
        <v>0.16666666666666666</v>
      </c>
    </row>
    <row r="5" spans="1:5" ht="13.5" thickBot="1" x14ac:dyDescent="0.35">
      <c r="B5" s="23" t="s">
        <v>132</v>
      </c>
      <c r="C5" s="43">
        <f>E4</f>
        <v>0.16666666666666666</v>
      </c>
      <c r="D5" s="23"/>
    </row>
    <row r="6" spans="1:5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1" sqref="B1:D1"/>
    </sheetView>
  </sheetViews>
  <sheetFormatPr defaultRowHeight="12.5" x14ac:dyDescent="0.25"/>
  <cols>
    <col min="2" max="2" width="18.1796875" style="20" bestFit="1" customWidth="1"/>
    <col min="3" max="4" width="11.453125" style="20" customWidth="1"/>
  </cols>
  <sheetData>
    <row r="1" spans="1:5" ht="26.5" thickBot="1" x14ac:dyDescent="0.35">
      <c r="A1" s="48" t="s">
        <v>39</v>
      </c>
      <c r="B1" s="13" t="s">
        <v>131</v>
      </c>
      <c r="C1" s="29" t="s">
        <v>126</v>
      </c>
      <c r="D1" s="29" t="s">
        <v>130</v>
      </c>
    </row>
    <row r="2" spans="1:5" ht="13" thickTop="1" x14ac:dyDescent="0.25">
      <c r="A2" s="49">
        <v>3</v>
      </c>
      <c r="B2" s="14" t="s">
        <v>34</v>
      </c>
      <c r="C2" s="51">
        <v>3</v>
      </c>
      <c r="D2" s="15">
        <f>C2/$C$6</f>
        <v>0.1</v>
      </c>
      <c r="E2">
        <f>C2*A2</f>
        <v>9</v>
      </c>
    </row>
    <row r="3" spans="1:5" x14ac:dyDescent="0.25">
      <c r="A3" s="49">
        <v>2</v>
      </c>
      <c r="B3" s="16" t="s">
        <v>35</v>
      </c>
      <c r="C3" s="50">
        <v>2</v>
      </c>
      <c r="D3" s="17">
        <f>C3/$C$6</f>
        <v>6.6666666666666666E-2</v>
      </c>
      <c r="E3">
        <f>C3*A3</f>
        <v>4</v>
      </c>
    </row>
    <row r="4" spans="1:5" x14ac:dyDescent="0.25">
      <c r="A4" s="49">
        <v>1</v>
      </c>
      <c r="B4" s="16" t="s">
        <v>36</v>
      </c>
      <c r="C4" s="50">
        <v>2</v>
      </c>
      <c r="D4" s="17">
        <f>C4/$C$6</f>
        <v>6.6666666666666666E-2</v>
      </c>
      <c r="E4">
        <f>C4*A4</f>
        <v>2</v>
      </c>
    </row>
    <row r="5" spans="1:5" ht="13" thickBot="1" x14ac:dyDescent="0.3">
      <c r="A5" s="49">
        <v>0</v>
      </c>
      <c r="B5" s="18" t="s">
        <v>37</v>
      </c>
      <c r="C5" s="52">
        <v>23</v>
      </c>
      <c r="D5" s="19">
        <f>C5/$C$6</f>
        <v>0.76666666666666672</v>
      </c>
      <c r="E5">
        <f>C5*A5</f>
        <v>0</v>
      </c>
    </row>
    <row r="6" spans="1:5" ht="13.5" thickTop="1" x14ac:dyDescent="0.3">
      <c r="B6" s="36" t="s">
        <v>128</v>
      </c>
      <c r="C6" s="21">
        <f>SUM(C2:C5)</f>
        <v>30</v>
      </c>
      <c r="D6" s="21"/>
      <c r="E6">
        <f>(SUM(E2:E5))/30</f>
        <v>0.5</v>
      </c>
    </row>
    <row r="7" spans="1:5" ht="13.5" thickBot="1" x14ac:dyDescent="0.35">
      <c r="B7" s="37" t="s">
        <v>132</v>
      </c>
      <c r="C7" s="23">
        <f>E6</f>
        <v>0.5</v>
      </c>
      <c r="D7" s="23"/>
    </row>
    <row r="8" spans="1:5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" sqref="B1:D1"/>
    </sheetView>
  </sheetViews>
  <sheetFormatPr defaultRowHeight="12.5" x14ac:dyDescent="0.25"/>
  <cols>
    <col min="2" max="2" width="18.1796875" style="20" bestFit="1" customWidth="1"/>
    <col min="3" max="3" width="11.26953125" style="20" customWidth="1"/>
    <col min="4" max="4" width="10.81640625" style="20" customWidth="1"/>
  </cols>
  <sheetData>
    <row r="1" spans="1:5" ht="26.5" thickBot="1" x14ac:dyDescent="0.35">
      <c r="A1" s="53" t="s">
        <v>40</v>
      </c>
      <c r="B1" s="13" t="s">
        <v>131</v>
      </c>
      <c r="C1" s="29" t="s">
        <v>126</v>
      </c>
      <c r="D1" s="29" t="s">
        <v>130</v>
      </c>
    </row>
    <row r="2" spans="1:5" ht="13" thickTop="1" x14ac:dyDescent="0.25">
      <c r="A2" s="54">
        <v>4</v>
      </c>
      <c r="B2" s="56" t="s">
        <v>33</v>
      </c>
      <c r="C2" s="57">
        <v>2</v>
      </c>
      <c r="D2" s="15">
        <f>C2/$C$7</f>
        <v>6.6666666666666666E-2</v>
      </c>
      <c r="E2">
        <f>C2*A2</f>
        <v>8</v>
      </c>
    </row>
    <row r="3" spans="1:5" x14ac:dyDescent="0.25">
      <c r="A3" s="54">
        <v>3</v>
      </c>
      <c r="B3" s="16" t="s">
        <v>34</v>
      </c>
      <c r="C3" s="55">
        <v>3</v>
      </c>
      <c r="D3" s="17">
        <f>C3/$C$7</f>
        <v>0.1</v>
      </c>
      <c r="E3">
        <f>C3*A3</f>
        <v>9</v>
      </c>
    </row>
    <row r="4" spans="1:5" x14ac:dyDescent="0.25">
      <c r="A4" s="54">
        <v>2</v>
      </c>
      <c r="B4" s="16" t="s">
        <v>35</v>
      </c>
      <c r="C4" s="55">
        <v>6</v>
      </c>
      <c r="D4" s="17">
        <f>C4/$C$7</f>
        <v>0.2</v>
      </c>
      <c r="E4">
        <f>C4*A4</f>
        <v>12</v>
      </c>
    </row>
    <row r="5" spans="1:5" x14ac:dyDescent="0.25">
      <c r="A5" s="54">
        <v>1</v>
      </c>
      <c r="B5" s="16" t="s">
        <v>36</v>
      </c>
      <c r="C5" s="55">
        <v>8</v>
      </c>
      <c r="D5" s="17">
        <f>C5/$C$7</f>
        <v>0.26666666666666666</v>
      </c>
      <c r="E5">
        <f>C5*A5</f>
        <v>8</v>
      </c>
    </row>
    <row r="6" spans="1:5" ht="13" thickBot="1" x14ac:dyDescent="0.3">
      <c r="A6" s="54">
        <v>0</v>
      </c>
      <c r="B6" s="18" t="s">
        <v>37</v>
      </c>
      <c r="C6" s="58">
        <v>11</v>
      </c>
      <c r="D6" s="19">
        <f>C6/$C$7</f>
        <v>0.36666666666666664</v>
      </c>
      <c r="E6">
        <f>C6*A6</f>
        <v>0</v>
      </c>
    </row>
    <row r="7" spans="1:5" ht="13.5" thickTop="1" x14ac:dyDescent="0.3">
      <c r="B7" s="21" t="s">
        <v>128</v>
      </c>
      <c r="C7" s="21">
        <f>SUM(C2:C6)</f>
        <v>30</v>
      </c>
      <c r="D7" s="21"/>
      <c r="E7" s="4">
        <f>(SUM(E2:E6))/30</f>
        <v>1.2333333333333334</v>
      </c>
    </row>
    <row r="8" spans="1:5" ht="13.5" thickBot="1" x14ac:dyDescent="0.35">
      <c r="B8" s="37" t="s">
        <v>132</v>
      </c>
      <c r="C8" s="43">
        <f>E7</f>
        <v>1.2333333333333334</v>
      </c>
      <c r="D8" s="23"/>
    </row>
    <row r="9" spans="1:5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opLeftCell="A2" workbookViewId="0">
      <selection activeCell="B2" sqref="B2:D8"/>
    </sheetView>
  </sheetViews>
  <sheetFormatPr defaultRowHeight="12.5" x14ac:dyDescent="0.25"/>
  <cols>
    <col min="2" max="2" width="18.1796875" style="20" bestFit="1" customWidth="1"/>
    <col min="3" max="3" width="10.7265625" style="20" customWidth="1"/>
    <col min="4" max="4" width="10.453125" style="20" customWidth="1"/>
  </cols>
  <sheetData>
    <row r="2" spans="1:5" ht="26.5" thickBot="1" x14ac:dyDescent="0.35">
      <c r="A2" s="59" t="s">
        <v>41</v>
      </c>
      <c r="B2" s="13" t="s">
        <v>131</v>
      </c>
      <c r="C2" s="29" t="s">
        <v>126</v>
      </c>
      <c r="D2" s="29" t="s">
        <v>130</v>
      </c>
    </row>
    <row r="3" spans="1:5" ht="13" thickTop="1" x14ac:dyDescent="0.25">
      <c r="A3" s="60">
        <v>4</v>
      </c>
      <c r="B3" s="56" t="s">
        <v>33</v>
      </c>
      <c r="C3" s="62">
        <v>1</v>
      </c>
      <c r="D3" s="15">
        <f>C3/$C$7</f>
        <v>3.3333333333333333E-2</v>
      </c>
      <c r="E3">
        <f>C3*A3</f>
        <v>4</v>
      </c>
    </row>
    <row r="4" spans="1:5" x14ac:dyDescent="0.25">
      <c r="A4" s="60">
        <v>3</v>
      </c>
      <c r="B4" s="16" t="s">
        <v>34</v>
      </c>
      <c r="C4" s="61">
        <v>4</v>
      </c>
      <c r="D4" s="17">
        <f>C4/$C$7</f>
        <v>0.13333333333333333</v>
      </c>
      <c r="E4">
        <f>C4*A4</f>
        <v>12</v>
      </c>
    </row>
    <row r="5" spans="1:5" x14ac:dyDescent="0.25">
      <c r="A5" s="60">
        <v>1</v>
      </c>
      <c r="B5" s="16" t="s">
        <v>36</v>
      </c>
      <c r="C5" s="61">
        <v>5</v>
      </c>
      <c r="D5" s="17">
        <f>C5/$C$7</f>
        <v>0.16666666666666666</v>
      </c>
      <c r="E5">
        <f>C5*A5</f>
        <v>5</v>
      </c>
    </row>
    <row r="6" spans="1:5" ht="13" thickBot="1" x14ac:dyDescent="0.3">
      <c r="A6" s="60">
        <v>0</v>
      </c>
      <c r="B6" s="18" t="s">
        <v>37</v>
      </c>
      <c r="C6" s="63">
        <v>20</v>
      </c>
      <c r="D6" s="19">
        <f>C6/$C$7</f>
        <v>0.66666666666666663</v>
      </c>
      <c r="E6">
        <f>C6*A6</f>
        <v>0</v>
      </c>
    </row>
    <row r="7" spans="1:5" ht="13.5" thickTop="1" x14ac:dyDescent="0.3">
      <c r="B7" s="36" t="s">
        <v>128</v>
      </c>
      <c r="C7" s="21">
        <f>SUM(C3:C6)</f>
        <v>30</v>
      </c>
      <c r="D7" s="14"/>
      <c r="E7">
        <f>(SUM(E3:E6))/30</f>
        <v>0.7</v>
      </c>
    </row>
    <row r="8" spans="1:5" ht="13.5" thickBot="1" x14ac:dyDescent="0.35">
      <c r="B8" s="37" t="s">
        <v>132</v>
      </c>
      <c r="C8" s="23">
        <f>E7</f>
        <v>0.7</v>
      </c>
      <c r="D8" s="18"/>
    </row>
    <row r="9" spans="1:5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" sqref="B1:C1"/>
    </sheetView>
  </sheetViews>
  <sheetFormatPr defaultRowHeight="12.5" x14ac:dyDescent="0.25"/>
  <cols>
    <col min="1" max="1" width="24.26953125" style="20" customWidth="1"/>
    <col min="2" max="2" width="11.26953125" style="20" customWidth="1"/>
    <col min="3" max="3" width="11" style="20" customWidth="1"/>
    <col min="4" max="4" width="11.54296875" style="20" customWidth="1"/>
  </cols>
  <sheetData>
    <row r="1" spans="1:4" ht="26.5" thickBot="1" x14ac:dyDescent="0.35">
      <c r="A1" s="23" t="s">
        <v>134</v>
      </c>
      <c r="B1" s="29" t="s">
        <v>126</v>
      </c>
      <c r="C1" s="29" t="s">
        <v>130</v>
      </c>
      <c r="D1" s="29" t="s">
        <v>127</v>
      </c>
    </row>
    <row r="2" spans="1:4" ht="13" thickTop="1" x14ac:dyDescent="0.25">
      <c r="A2" s="14" t="s">
        <v>42</v>
      </c>
      <c r="B2" s="14">
        <v>22</v>
      </c>
      <c r="C2" s="15">
        <f>B2/63</f>
        <v>0.34920634920634919</v>
      </c>
      <c r="D2" s="15">
        <f>B2/30</f>
        <v>0.73333333333333328</v>
      </c>
    </row>
    <row r="3" spans="1:4" x14ac:dyDescent="0.25">
      <c r="A3" s="16" t="s">
        <v>43</v>
      </c>
      <c r="B3" s="16">
        <v>16</v>
      </c>
      <c r="C3" s="17">
        <f t="shared" ref="C3:C9" si="0">B3/63</f>
        <v>0.25396825396825395</v>
      </c>
      <c r="D3" s="17">
        <f t="shared" ref="D3:D9" si="1">B3/30</f>
        <v>0.53333333333333333</v>
      </c>
    </row>
    <row r="4" spans="1:4" x14ac:dyDescent="0.25">
      <c r="A4" s="16" t="s">
        <v>44</v>
      </c>
      <c r="B4" s="16">
        <v>1</v>
      </c>
      <c r="C4" s="17">
        <f t="shared" si="0"/>
        <v>1.5873015873015872E-2</v>
      </c>
      <c r="D4" s="17">
        <f t="shared" si="1"/>
        <v>3.3333333333333333E-2</v>
      </c>
    </row>
    <row r="5" spans="1:4" x14ac:dyDescent="0.25">
      <c r="A5" s="16" t="s">
        <v>45</v>
      </c>
      <c r="B5" s="16">
        <v>12</v>
      </c>
      <c r="C5" s="17">
        <f t="shared" si="0"/>
        <v>0.19047619047619047</v>
      </c>
      <c r="D5" s="17">
        <f t="shared" si="1"/>
        <v>0.4</v>
      </c>
    </row>
    <row r="6" spans="1:4" x14ac:dyDescent="0.25">
      <c r="A6" s="16" t="s">
        <v>46</v>
      </c>
      <c r="B6" s="16">
        <v>3</v>
      </c>
      <c r="C6" s="17">
        <f t="shared" si="0"/>
        <v>4.7619047619047616E-2</v>
      </c>
      <c r="D6" s="17">
        <f t="shared" si="1"/>
        <v>0.1</v>
      </c>
    </row>
    <row r="7" spans="1:4" x14ac:dyDescent="0.25">
      <c r="A7" s="16" t="s">
        <v>47</v>
      </c>
      <c r="B7" s="16">
        <v>4</v>
      </c>
      <c r="C7" s="17">
        <f t="shared" si="0"/>
        <v>6.3492063492063489E-2</v>
      </c>
      <c r="D7" s="17">
        <f t="shared" si="1"/>
        <v>0.13333333333333333</v>
      </c>
    </row>
    <row r="8" spans="1:4" x14ac:dyDescent="0.25">
      <c r="A8" s="16" t="s">
        <v>48</v>
      </c>
      <c r="B8" s="16">
        <v>2</v>
      </c>
      <c r="C8" s="17">
        <f t="shared" si="0"/>
        <v>3.1746031746031744E-2</v>
      </c>
      <c r="D8" s="17">
        <f t="shared" si="1"/>
        <v>6.6666666666666666E-2</v>
      </c>
    </row>
    <row r="9" spans="1:4" ht="13" thickBot="1" x14ac:dyDescent="0.3">
      <c r="A9" s="18" t="s">
        <v>16</v>
      </c>
      <c r="B9" s="18">
        <v>3</v>
      </c>
      <c r="C9" s="19">
        <f t="shared" si="0"/>
        <v>4.7619047619047616E-2</v>
      </c>
      <c r="D9" s="19">
        <f t="shared" si="1"/>
        <v>0.1</v>
      </c>
    </row>
    <row r="10" spans="1:4" ht="13.5" thickTop="1" x14ac:dyDescent="0.3">
      <c r="A10" s="21" t="s">
        <v>128</v>
      </c>
      <c r="B10" s="21">
        <f>SUM(B2:B9)</f>
        <v>63</v>
      </c>
      <c r="C10" s="21"/>
      <c r="D10" s="21"/>
    </row>
    <row r="11" spans="1:4" ht="13.5" thickBot="1" x14ac:dyDescent="0.35">
      <c r="A11" s="23" t="s">
        <v>133</v>
      </c>
      <c r="B11" s="23">
        <v>30</v>
      </c>
      <c r="C11" s="23"/>
      <c r="D11" s="23"/>
    </row>
    <row r="12" spans="1:4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B5" sqref="B5"/>
    </sheetView>
  </sheetViews>
  <sheetFormatPr defaultRowHeight="12.5" x14ac:dyDescent="0.25"/>
  <cols>
    <col min="2" max="2" width="15.81640625" style="20" bestFit="1" customWidth="1"/>
    <col min="3" max="3" width="10.54296875" style="20" bestFit="1" customWidth="1"/>
    <col min="4" max="4" width="10.81640625" style="20" customWidth="1"/>
  </cols>
  <sheetData>
    <row r="2" spans="1:4" ht="26.5" thickBot="1" x14ac:dyDescent="0.35">
      <c r="A2" s="64" t="s">
        <v>49</v>
      </c>
      <c r="B2" s="71" t="s">
        <v>135</v>
      </c>
      <c r="C2" s="72" t="s">
        <v>126</v>
      </c>
      <c r="D2" s="73" t="s">
        <v>130</v>
      </c>
    </row>
    <row r="3" spans="1:4" ht="13" thickTop="1" x14ac:dyDescent="0.25">
      <c r="A3" s="65" t="s">
        <v>17</v>
      </c>
      <c r="B3" s="69" t="s">
        <v>51</v>
      </c>
      <c r="C3" s="70">
        <v>21</v>
      </c>
      <c r="D3" s="15">
        <f>C3/C$5</f>
        <v>0.7</v>
      </c>
    </row>
    <row r="4" spans="1:4" ht="13" thickBot="1" x14ac:dyDescent="0.3">
      <c r="A4" s="65" t="s">
        <v>31</v>
      </c>
      <c r="B4" s="74" t="s">
        <v>50</v>
      </c>
      <c r="C4" s="75">
        <v>9</v>
      </c>
      <c r="D4" s="19">
        <f>C4/C$5</f>
        <v>0.3</v>
      </c>
    </row>
    <row r="5" spans="1:4" ht="14" thickTop="1" thickBot="1" x14ac:dyDescent="0.35">
      <c r="B5" s="76" t="s">
        <v>128</v>
      </c>
      <c r="C5" s="76">
        <f>SUM(C3:C4)</f>
        <v>30</v>
      </c>
      <c r="D5" s="77"/>
    </row>
    <row r="6" spans="1:4" ht="13" thickTop="1" x14ac:dyDescent="0.25"/>
    <row r="7" spans="1:4" x14ac:dyDescent="0.25">
      <c r="A7" s="3" t="s">
        <v>52</v>
      </c>
      <c r="B7" s="78" t="s">
        <v>53</v>
      </c>
    </row>
    <row r="8" spans="1:4" ht="26" x14ac:dyDescent="0.3">
      <c r="A8" s="65" t="s">
        <v>54</v>
      </c>
      <c r="B8" s="22" t="s">
        <v>136</v>
      </c>
      <c r="C8" s="66" t="s">
        <v>126</v>
      </c>
      <c r="D8" s="67" t="s">
        <v>130</v>
      </c>
    </row>
    <row r="9" spans="1:4" x14ac:dyDescent="0.25">
      <c r="A9" s="65" t="s">
        <v>17</v>
      </c>
      <c r="B9" s="16" t="s">
        <v>55</v>
      </c>
      <c r="C9" s="68">
        <v>5</v>
      </c>
      <c r="D9" s="17">
        <f>C9/C$12</f>
        <v>0.55555555555555558</v>
      </c>
    </row>
    <row r="10" spans="1:4" x14ac:dyDescent="0.25">
      <c r="A10" s="65" t="s">
        <v>31</v>
      </c>
      <c r="B10" s="16" t="s">
        <v>56</v>
      </c>
      <c r="C10" s="68">
        <v>2</v>
      </c>
      <c r="D10" s="17">
        <f>C10/C$12</f>
        <v>0.22222222222222221</v>
      </c>
    </row>
    <row r="11" spans="1:4" ht="13" thickBot="1" x14ac:dyDescent="0.3">
      <c r="A11" s="65" t="s">
        <v>32</v>
      </c>
      <c r="B11" s="18" t="s">
        <v>16</v>
      </c>
      <c r="C11" s="75">
        <v>2</v>
      </c>
      <c r="D11" s="19">
        <f>C11/C$12</f>
        <v>0.22222222222222221</v>
      </c>
    </row>
    <row r="12" spans="1:4" ht="14" thickTop="1" thickBot="1" x14ac:dyDescent="0.35">
      <c r="B12" s="79" t="s">
        <v>128</v>
      </c>
      <c r="C12" s="76">
        <f>SUM(C8:C11)</f>
        <v>9</v>
      </c>
      <c r="D12" s="77"/>
    </row>
    <row r="13" spans="1:4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C1"/>
    </sheetView>
  </sheetViews>
  <sheetFormatPr defaultRowHeight="12.5" x14ac:dyDescent="0.25"/>
  <cols>
    <col min="1" max="1" width="15.81640625" bestFit="1" customWidth="1"/>
    <col min="2" max="2" width="13.1796875" style="20" customWidth="1"/>
    <col min="3" max="3" width="12" style="20" customWidth="1"/>
    <col min="4" max="4" width="9.1796875" style="20" customWidth="1"/>
  </cols>
  <sheetData>
    <row r="1" spans="1:3" ht="26.5" thickBot="1" x14ac:dyDescent="0.35">
      <c r="A1" s="85" t="s">
        <v>135</v>
      </c>
      <c r="B1" s="80" t="s">
        <v>126</v>
      </c>
      <c r="C1" s="29" t="s">
        <v>130</v>
      </c>
    </row>
    <row r="2" spans="1:3" ht="13" thickTop="1" x14ac:dyDescent="0.25">
      <c r="A2" s="83" t="s">
        <v>51</v>
      </c>
      <c r="B2" s="84">
        <v>9</v>
      </c>
      <c r="C2" s="15">
        <f>B2/30</f>
        <v>0.3</v>
      </c>
    </row>
    <row r="3" spans="1:3" ht="13" thickBot="1" x14ac:dyDescent="0.3">
      <c r="A3" s="86" t="s">
        <v>50</v>
      </c>
      <c r="B3" s="87">
        <v>21</v>
      </c>
      <c r="C3" s="19">
        <f>B3/30</f>
        <v>0.7</v>
      </c>
    </row>
    <row r="4" spans="1:3" ht="14" thickTop="1" thickBot="1" x14ac:dyDescent="0.35">
      <c r="A4" s="79" t="s">
        <v>128</v>
      </c>
      <c r="B4" s="79">
        <f>SUM(B2:B3)</f>
        <v>30</v>
      </c>
      <c r="C4" s="77"/>
    </row>
    <row r="5" spans="1:3" ht="13" thickTop="1" x14ac:dyDescent="0.25">
      <c r="A5" s="81"/>
      <c r="B5" s="82"/>
    </row>
    <row r="6" spans="1:3" ht="26.5" thickBot="1" x14ac:dyDescent="0.35">
      <c r="A6" s="85" t="s">
        <v>136</v>
      </c>
      <c r="B6" s="29" t="s">
        <v>126</v>
      </c>
      <c r="C6" s="29" t="s">
        <v>130</v>
      </c>
    </row>
    <row r="7" spans="1:3" ht="13" thickTop="1" x14ac:dyDescent="0.25">
      <c r="A7" s="14" t="s">
        <v>57</v>
      </c>
      <c r="B7" s="84">
        <v>16</v>
      </c>
      <c r="C7" s="15">
        <f>B7/$B$10</f>
        <v>0.76190476190476186</v>
      </c>
    </row>
    <row r="8" spans="1:3" x14ac:dyDescent="0.25">
      <c r="A8" s="16" t="s">
        <v>58</v>
      </c>
      <c r="B8" s="88">
        <v>1</v>
      </c>
      <c r="C8" s="17">
        <f>B8/$B$10</f>
        <v>4.7619047619047616E-2</v>
      </c>
    </row>
    <row r="9" spans="1:3" ht="13" thickBot="1" x14ac:dyDescent="0.3">
      <c r="A9" s="18" t="s">
        <v>16</v>
      </c>
      <c r="B9" s="87">
        <v>4</v>
      </c>
      <c r="C9" s="19">
        <f>B9/$B$10</f>
        <v>0.19047619047619047</v>
      </c>
    </row>
    <row r="10" spans="1:3" ht="14" thickTop="1" thickBot="1" x14ac:dyDescent="0.35">
      <c r="A10" s="89" t="s">
        <v>128</v>
      </c>
      <c r="B10" s="76">
        <f>SUM(B7:B9)</f>
        <v>21</v>
      </c>
      <c r="C10" s="77"/>
    </row>
    <row r="11" spans="1:3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1"/>
    </sheetView>
  </sheetViews>
  <sheetFormatPr defaultRowHeight="12.5" x14ac:dyDescent="0.25"/>
  <cols>
    <col min="1" max="1" width="15.81640625" style="20" bestFit="1" customWidth="1"/>
    <col min="2" max="2" width="11" style="20" customWidth="1"/>
    <col min="3" max="3" width="11.7265625" style="20" customWidth="1"/>
  </cols>
  <sheetData>
    <row r="1" spans="1:3" ht="26.5" thickBot="1" x14ac:dyDescent="0.35">
      <c r="A1" s="85" t="s">
        <v>135</v>
      </c>
      <c r="B1" s="80" t="s">
        <v>126</v>
      </c>
      <c r="C1" s="29" t="s">
        <v>130</v>
      </c>
    </row>
    <row r="2" spans="1:3" ht="13" thickTop="1" x14ac:dyDescent="0.25">
      <c r="A2" s="90" t="s">
        <v>50</v>
      </c>
      <c r="B2" s="91">
        <v>16</v>
      </c>
      <c r="C2" s="15">
        <f>B2/30</f>
        <v>0.53333333333333333</v>
      </c>
    </row>
    <row r="3" spans="1:3" ht="13" thickBot="1" x14ac:dyDescent="0.3">
      <c r="A3" s="92" t="s">
        <v>51</v>
      </c>
      <c r="B3" s="93">
        <v>14</v>
      </c>
      <c r="C3" s="19">
        <f>B3/30</f>
        <v>0.46666666666666667</v>
      </c>
    </row>
    <row r="4" spans="1:3" ht="14" thickTop="1" thickBot="1" x14ac:dyDescent="0.35">
      <c r="A4" s="76" t="s">
        <v>128</v>
      </c>
      <c r="B4" s="76">
        <f>SUM(B2:B3)</f>
        <v>30</v>
      </c>
      <c r="C4" s="77"/>
    </row>
    <row r="5" spans="1:3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22" sqref="F22"/>
    </sheetView>
  </sheetViews>
  <sheetFormatPr defaultRowHeight="12.5" x14ac:dyDescent="0.25"/>
  <cols>
    <col min="1" max="1" width="15.81640625" bestFit="1" customWidth="1"/>
    <col min="2" max="2" width="10.54296875" customWidth="1"/>
    <col min="3" max="3" width="10.81640625" customWidth="1"/>
  </cols>
  <sheetData>
    <row r="1" spans="1:7" x14ac:dyDescent="0.25">
      <c r="A1" t="s">
        <v>59</v>
      </c>
      <c r="B1">
        <f>'Q3 Data'!E6</f>
        <v>1.4</v>
      </c>
    </row>
    <row r="2" spans="1:7" x14ac:dyDescent="0.25">
      <c r="A2" t="s">
        <v>60</v>
      </c>
      <c r="B2" s="4">
        <f>'Q7 Data'!E5</f>
        <v>0.36666666666666664</v>
      </c>
    </row>
    <row r="3" spans="1:7" x14ac:dyDescent="0.25">
      <c r="A3" t="s">
        <v>61</v>
      </c>
      <c r="B3" s="4">
        <f>'Q11 Data'!E4</f>
        <v>0.16666666666666666</v>
      </c>
      <c r="G3" s="81"/>
    </row>
    <row r="4" spans="1:7" x14ac:dyDescent="0.25">
      <c r="A4" t="s">
        <v>62</v>
      </c>
      <c r="B4">
        <f>'Q15 Data'!E6</f>
        <v>0.5</v>
      </c>
    </row>
    <row r="5" spans="1:7" x14ac:dyDescent="0.25">
      <c r="A5" t="s">
        <v>63</v>
      </c>
      <c r="B5" s="4">
        <f>'Q19 Data'!E7</f>
        <v>1.2333333333333334</v>
      </c>
    </row>
    <row r="6" spans="1:7" x14ac:dyDescent="0.25">
      <c r="A6" t="s">
        <v>64</v>
      </c>
      <c r="B6">
        <f>'Q23 Data'!E7</f>
        <v>0.7</v>
      </c>
    </row>
    <row r="10" spans="1:7" ht="26.5" thickBot="1" x14ac:dyDescent="0.35">
      <c r="A10" s="85" t="s">
        <v>135</v>
      </c>
      <c r="B10" s="80" t="s">
        <v>126</v>
      </c>
      <c r="C10" s="29" t="s">
        <v>130</v>
      </c>
    </row>
    <row r="11" spans="1:7" ht="13" thickTop="1" x14ac:dyDescent="0.25">
      <c r="A11" s="94" t="s">
        <v>51</v>
      </c>
      <c r="B11" s="95">
        <v>24</v>
      </c>
      <c r="C11" s="96">
        <f>B11/30</f>
        <v>0.8</v>
      </c>
    </row>
    <row r="12" spans="1:7" ht="13" thickBot="1" x14ac:dyDescent="0.3">
      <c r="A12" s="99" t="s">
        <v>50</v>
      </c>
      <c r="B12" s="100">
        <v>6</v>
      </c>
      <c r="C12" s="97">
        <f>B12/30</f>
        <v>0.2</v>
      </c>
    </row>
    <row r="13" spans="1:7" ht="14" thickTop="1" thickBot="1" x14ac:dyDescent="0.35">
      <c r="A13" s="76" t="s">
        <v>128</v>
      </c>
      <c r="B13" s="76">
        <f>SUM(B11:B12)</f>
        <v>30</v>
      </c>
      <c r="C13" s="98"/>
    </row>
    <row r="14" spans="1:7" ht="13" thickTop="1" x14ac:dyDescent="0.25"/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Charts</vt:lpstr>
      </vt:variant>
      <vt:variant>
        <vt:i4>18</vt:i4>
      </vt:variant>
    </vt:vector>
  </HeadingPairs>
  <TitlesOfParts>
    <vt:vector size="35" baseType="lpstr">
      <vt:lpstr>Q1 Data</vt:lpstr>
      <vt:lpstr>Q2 Data</vt:lpstr>
      <vt:lpstr>Q4 </vt:lpstr>
      <vt:lpstr>Q3 Data</vt:lpstr>
      <vt:lpstr>Q4 AND 5 Data</vt:lpstr>
      <vt:lpstr>Q8 9 Data</vt:lpstr>
      <vt:lpstr>Sheet6</vt:lpstr>
      <vt:lpstr>Q7 Data</vt:lpstr>
      <vt:lpstr>Q11 Data</vt:lpstr>
      <vt:lpstr>Q15 Data</vt:lpstr>
      <vt:lpstr>Q19 Data</vt:lpstr>
      <vt:lpstr>Q23 Data</vt:lpstr>
      <vt:lpstr>Q27 Data</vt:lpstr>
      <vt:lpstr>Q28 Data</vt:lpstr>
      <vt:lpstr>Q29 Data</vt:lpstr>
      <vt:lpstr>Q30 Data</vt:lpstr>
      <vt:lpstr>Sheet10</vt:lpstr>
      <vt:lpstr>Q1</vt:lpstr>
      <vt:lpstr>Q2 Chart</vt:lpstr>
      <vt:lpstr>Q4 Chart</vt:lpstr>
      <vt:lpstr>Q5 Chart</vt:lpstr>
      <vt:lpstr>Q3 Chart</vt:lpstr>
      <vt:lpstr>Q8 Chart</vt:lpstr>
      <vt:lpstr>Q7 Chart</vt:lpstr>
      <vt:lpstr>Q11 Chart</vt:lpstr>
      <vt:lpstr>Q15 Chart</vt:lpstr>
      <vt:lpstr>Q19 Chart</vt:lpstr>
      <vt:lpstr>Q23 Chart</vt:lpstr>
      <vt:lpstr>Q27 chart</vt:lpstr>
      <vt:lpstr>Q28Chart</vt:lpstr>
      <vt:lpstr>Q28b Chart</vt:lpstr>
      <vt:lpstr>Q29a chart</vt:lpstr>
      <vt:lpstr>Q29b chart</vt:lpstr>
      <vt:lpstr>Q30a</vt:lpstr>
      <vt:lpstr>Overall Use</vt:lpstr>
    </vt:vector>
  </TitlesOfParts>
  <Company>OA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evannan</dc:creator>
  <cp:lastModifiedBy>Carina Negreanu</cp:lastModifiedBy>
  <cp:lastPrinted>2003-04-15T19:41:37Z</cp:lastPrinted>
  <dcterms:created xsi:type="dcterms:W3CDTF">2003-04-14T19:21:20Z</dcterms:created>
  <dcterms:modified xsi:type="dcterms:W3CDTF">2020-01-27T11:33:04Z</dcterms:modified>
</cp:coreProperties>
</file>