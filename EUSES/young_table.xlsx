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094A18-BBDB-444F-9C29-5CD0BB853CAB}" xr6:coauthVersionLast="45" xr6:coauthVersionMax="45" xr10:uidLastSave="{00000000-0000-0000-0000-000000000000}"/>
  <bookViews>
    <workbookView xWindow="4180" yWindow="4180" windowWidth="28800" windowHeight="15460"/>
  </bookViews>
  <sheets>
    <sheet name="Jan 2000" sheetId="1" r:id="rId1"/>
    <sheet name="Sheet2" sheetId="2" r:id="rId2"/>
    <sheet name="Sheet3" sheetId="3" r:id="rId3"/>
  </sheets>
  <definedNames>
    <definedName name="_xlnm.Print_Area" localSheetId="0">'Jan 2000'!$A$1:$G$33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E11" i="1"/>
  <c r="C21" i="1"/>
  <c r="E21" i="1"/>
  <c r="C31" i="1"/>
  <c r="E31" i="1"/>
  <c r="C32" i="1"/>
  <c r="E32" i="1"/>
</calcChain>
</file>

<file path=xl/sharedStrings.xml><?xml version="1.0" encoding="utf-8"?>
<sst xmlns="http://schemas.openxmlformats.org/spreadsheetml/2006/main" count="112" uniqueCount="78">
  <si>
    <t>DOE 8</t>
  </si>
  <si>
    <t>FTE</t>
  </si>
  <si>
    <t>Position</t>
  </si>
  <si>
    <t>Name</t>
  </si>
  <si>
    <t>Tools Manager</t>
  </si>
  <si>
    <t>On-line Core / System Engineer</t>
  </si>
  <si>
    <t>Paul Raines</t>
  </si>
  <si>
    <t>Chris O'Grady</t>
  </si>
  <si>
    <t>Infrastructure</t>
  </si>
  <si>
    <t>Charlotte Hee</t>
  </si>
  <si>
    <t>DB Administrator</t>
  </si>
  <si>
    <t>Adil Hasan</t>
  </si>
  <si>
    <t>Database Core</t>
  </si>
  <si>
    <t>Dave Quarrie</t>
  </si>
  <si>
    <t>Geant4 Core</t>
  </si>
  <si>
    <t>Common Fund 8</t>
  </si>
  <si>
    <t>CVS Core Support</t>
  </si>
  <si>
    <t>Terry Hung</t>
  </si>
  <si>
    <t>On-line Database</t>
  </si>
  <si>
    <t>George Zioulas</t>
  </si>
  <si>
    <t>Simon Patton</t>
  </si>
  <si>
    <t>Igor Gaponenko</t>
  </si>
  <si>
    <t>EPICS Core</t>
  </si>
  <si>
    <t>Paola Grosso</t>
  </si>
  <si>
    <t>Massimo Marino</t>
  </si>
  <si>
    <t>Akbar Mokhtarani</t>
  </si>
  <si>
    <t>Build Core Support</t>
  </si>
  <si>
    <t>Doug Johnson</t>
  </si>
  <si>
    <t>OPR Core</t>
  </si>
  <si>
    <t>Non-DOE 8</t>
  </si>
  <si>
    <t>Database Distribution</t>
  </si>
  <si>
    <t>WIRED/JAS Support</t>
  </si>
  <si>
    <t>Serge Du</t>
  </si>
  <si>
    <t>On-line Run Control</t>
  </si>
  <si>
    <t>France</t>
  </si>
  <si>
    <t>UK</t>
  </si>
  <si>
    <t>Framework Core Support</t>
  </si>
  <si>
    <t>Asoka de Silva</t>
  </si>
  <si>
    <t>Canada</t>
  </si>
  <si>
    <t>Reco Core</t>
  </si>
  <si>
    <t>Matthias Steinke</t>
  </si>
  <si>
    <t>Germany</t>
  </si>
  <si>
    <t>Franz Safai</t>
  </si>
  <si>
    <t>Italy</t>
  </si>
  <si>
    <t>Data Distribution</t>
  </si>
  <si>
    <t>Cristina Bulfon</t>
  </si>
  <si>
    <t>Tools Core</t>
  </si>
  <si>
    <t>Teresa Barillari</t>
  </si>
  <si>
    <t>Funding Source</t>
  </si>
  <si>
    <t>Total</t>
  </si>
  <si>
    <t>Grand Total</t>
  </si>
  <si>
    <t>Country</t>
  </si>
  <si>
    <t>Mike Huffer</t>
  </si>
  <si>
    <t>Owen Saxton</t>
  </si>
  <si>
    <t>Artem Trunov</t>
  </si>
  <si>
    <t>Jacek Becla</t>
  </si>
  <si>
    <t>Ramon Berger</t>
  </si>
  <si>
    <t>Ric Claus</t>
  </si>
  <si>
    <t>Steffen Luitz</t>
  </si>
  <si>
    <t>Adeyemi Adesanya</t>
  </si>
  <si>
    <t>Joe Perl</t>
  </si>
  <si>
    <t>Kevin Rennert</t>
  </si>
  <si>
    <t>3 Russians</t>
  </si>
  <si>
    <t>3 desktop supports</t>
  </si>
  <si>
    <t>Dennis Wright</t>
  </si>
  <si>
    <t>Cal Loomis</t>
  </si>
  <si>
    <t>Pavel replacement</t>
  </si>
  <si>
    <t>Jean-Noel Albert</t>
  </si>
  <si>
    <t>Mark Williams</t>
  </si>
  <si>
    <t>Matthias Wittgen</t>
  </si>
  <si>
    <t>Douglas Smith</t>
  </si>
  <si>
    <t>open</t>
  </si>
  <si>
    <t>Boda Franek et al</t>
  </si>
  <si>
    <t>Stefania Ricciardi</t>
  </si>
  <si>
    <t>Web Master -&gt; Kanga Support</t>
  </si>
  <si>
    <t>Event Display -&gt; OPR core</t>
  </si>
  <si>
    <t>made offer</t>
  </si>
  <si>
    <t xml:space="preserve">Moreno Mazolla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</si>
</sst>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i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3" fillId="0" borderId="1" xfId="0" applyFont="1" applyBorder="1"/>
    <xf numFmtId="0" fontId="0" fillId="0" borderId="0" xfId="0" applyBorder="1"/>
    <xf numFmtId="0" fontId="0" fillId="0" borderId="2" xfId="0" applyBorder="1"/>
    <xf numFmtId="0" fontId="3" fillId="2" borderId="1" xfId="0" applyFont="1" applyFill="1" applyBorder="1"/>
    <xf numFmtId="0" fontId="1" fillId="2" borderId="0" xfId="0" applyFont="1" applyFill="1" applyBorder="1" applyAlignment="1">
      <alignment horizontal="right"/>
    </xf>
    <xf numFmtId="0" fontId="0" fillId="2" borderId="0" xfId="0" applyFill="1" applyBorder="1"/>
    <xf numFmtId="0" fontId="0" fillId="2" borderId="2" xfId="0" applyFill="1" applyBorder="1"/>
    <xf numFmtId="0" fontId="3" fillId="0" borderId="1" xfId="0" applyFont="1" applyFill="1" applyBorder="1"/>
    <xf numFmtId="0" fontId="0" fillId="0" borderId="0" xfId="0" applyFill="1" applyBorder="1"/>
    <xf numFmtId="0" fontId="0" fillId="0" borderId="2" xfId="0" applyFill="1" applyBorder="1"/>
    <xf numFmtId="0" fontId="0" fillId="3" borderId="1" xfId="0" applyFill="1" applyBorder="1"/>
    <xf numFmtId="0" fontId="1" fillId="3" borderId="0" xfId="0" applyFont="1" applyFill="1" applyBorder="1" applyAlignment="1">
      <alignment horizontal="right"/>
    </xf>
    <xf numFmtId="0" fontId="0" fillId="3" borderId="0" xfId="0" applyFill="1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72" fontId="2" fillId="0" borderId="0" xfId="0" applyNumberFormat="1" applyFont="1" applyBorder="1"/>
    <xf numFmtId="172" fontId="0" fillId="0" borderId="0" xfId="0" applyNumberFormat="1" applyBorder="1" applyAlignment="1">
      <alignment horizontal="left"/>
    </xf>
    <xf numFmtId="172" fontId="1" fillId="2" borderId="0" xfId="0" applyNumberFormat="1" applyFont="1" applyFill="1" applyBorder="1" applyAlignment="1">
      <alignment horizontal="left"/>
    </xf>
    <xf numFmtId="172" fontId="0" fillId="0" borderId="0" xfId="0" applyNumberFormat="1" applyFill="1" applyBorder="1" applyAlignment="1">
      <alignment horizontal="left"/>
    </xf>
    <xf numFmtId="172" fontId="1" fillId="3" borderId="0" xfId="0" applyNumberFormat="1" applyFont="1" applyFill="1" applyBorder="1" applyAlignment="1">
      <alignment horizontal="left"/>
    </xf>
    <xf numFmtId="172" fontId="0" fillId="0" borderId="4" xfId="0" applyNumberFormat="1" applyBorder="1" applyAlignment="1">
      <alignment horizontal="left"/>
    </xf>
    <xf numFmtId="172" fontId="0" fillId="0" borderId="0" xfId="0" applyNumberFormat="1"/>
    <xf numFmtId="172" fontId="2" fillId="0" borderId="7" xfId="0" applyNumberFormat="1" applyFont="1" applyBorder="1" applyAlignment="1">
      <alignment horizontal="left"/>
    </xf>
    <xf numFmtId="172" fontId="2" fillId="0" borderId="0" xfId="0" applyNumberFormat="1" applyFont="1" applyBorder="1" applyAlignment="1">
      <alignment horizontal="left"/>
    </xf>
    <xf numFmtId="17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G17" sqref="G17"/>
    </sheetView>
  </sheetViews>
  <sheetFormatPr defaultRowHeight="12.5" x14ac:dyDescent="0.25"/>
  <cols>
    <col min="1" max="1" width="23" customWidth="1"/>
    <col min="2" max="2" width="27.81640625" customWidth="1"/>
    <col min="3" max="3" width="6.7265625" style="36" customWidth="1"/>
    <col min="4" max="4" width="20.7265625" customWidth="1"/>
    <col min="5" max="5" width="6.7265625" style="39" customWidth="1"/>
    <col min="6" max="6" width="20.7265625" customWidth="1"/>
    <col min="7" max="7" width="12" customWidth="1"/>
  </cols>
  <sheetData>
    <row r="1" spans="1:7" s="28" customFormat="1" ht="18" x14ac:dyDescent="0.4">
      <c r="A1" s="25" t="s">
        <v>48</v>
      </c>
      <c r="B1" s="26" t="s">
        <v>2</v>
      </c>
      <c r="C1" s="29" t="s">
        <v>1</v>
      </c>
      <c r="D1" s="26" t="s">
        <v>3</v>
      </c>
      <c r="E1" s="37" t="s">
        <v>1</v>
      </c>
      <c r="F1" s="26" t="s">
        <v>3</v>
      </c>
      <c r="G1" s="27" t="s">
        <v>51</v>
      </c>
    </row>
    <row r="2" spans="1:7" s="4" customFormat="1" ht="18" x14ac:dyDescent="0.4">
      <c r="A2" s="5"/>
      <c r="B2" s="6"/>
      <c r="C2" s="30"/>
      <c r="D2" s="6"/>
      <c r="E2" s="38"/>
      <c r="F2" s="6"/>
      <c r="G2" s="7"/>
    </row>
    <row r="3" spans="1:7" ht="15.5" x14ac:dyDescent="0.35">
      <c r="A3" s="8" t="s">
        <v>0</v>
      </c>
      <c r="B3" s="9" t="s">
        <v>5</v>
      </c>
      <c r="C3" s="31">
        <v>1</v>
      </c>
      <c r="D3" s="9" t="s">
        <v>66</v>
      </c>
      <c r="E3" s="31">
        <v>1</v>
      </c>
      <c r="F3" s="9" t="s">
        <v>69</v>
      </c>
      <c r="G3" s="10"/>
    </row>
    <row r="4" spans="1:7" ht="15.5" x14ac:dyDescent="0.35">
      <c r="A4" s="8"/>
      <c r="B4" s="9" t="s">
        <v>4</v>
      </c>
      <c r="C4" s="31">
        <v>1</v>
      </c>
      <c r="D4" s="9" t="s">
        <v>6</v>
      </c>
      <c r="E4" s="31">
        <v>1</v>
      </c>
      <c r="F4" s="9" t="s">
        <v>70</v>
      </c>
      <c r="G4" s="10"/>
    </row>
    <row r="5" spans="1:7" ht="15.5" x14ac:dyDescent="0.35">
      <c r="A5" s="8"/>
      <c r="B5" s="9" t="s">
        <v>5</v>
      </c>
      <c r="C5" s="31">
        <v>1</v>
      </c>
      <c r="D5" s="9" t="s">
        <v>7</v>
      </c>
      <c r="E5" s="31">
        <v>1</v>
      </c>
      <c r="F5" s="9" t="s">
        <v>7</v>
      </c>
      <c r="G5" s="10"/>
    </row>
    <row r="6" spans="1:7" ht="15.5" x14ac:dyDescent="0.35">
      <c r="A6" s="8"/>
      <c r="B6" s="9" t="s">
        <v>8</v>
      </c>
      <c r="C6" s="31">
        <v>1</v>
      </c>
      <c r="D6" s="9" t="s">
        <v>9</v>
      </c>
      <c r="E6" s="31">
        <v>1</v>
      </c>
      <c r="F6" s="9" t="s">
        <v>9</v>
      </c>
      <c r="G6" s="10"/>
    </row>
    <row r="7" spans="1:7" ht="15.5" x14ac:dyDescent="0.35">
      <c r="A7" s="8"/>
      <c r="B7" s="9" t="s">
        <v>10</v>
      </c>
      <c r="C7" s="31">
        <v>1</v>
      </c>
      <c r="D7" s="9" t="s">
        <v>11</v>
      </c>
      <c r="E7" s="31">
        <v>1</v>
      </c>
      <c r="F7" s="9" t="s">
        <v>11</v>
      </c>
      <c r="G7" s="10"/>
    </row>
    <row r="8" spans="1:7" ht="15.5" x14ac:dyDescent="0.35">
      <c r="A8" s="8"/>
      <c r="B8" s="9" t="s">
        <v>75</v>
      </c>
      <c r="C8" s="31">
        <v>1</v>
      </c>
      <c r="D8" s="9" t="s">
        <v>65</v>
      </c>
      <c r="E8" s="31">
        <v>0.8</v>
      </c>
      <c r="F8" s="9" t="s">
        <v>71</v>
      </c>
      <c r="G8" s="10"/>
    </row>
    <row r="9" spans="1:7" ht="15.5" x14ac:dyDescent="0.35">
      <c r="A9" s="8"/>
      <c r="B9" s="9" t="s">
        <v>12</v>
      </c>
      <c r="C9" s="31">
        <v>1</v>
      </c>
      <c r="D9" s="9" t="s">
        <v>13</v>
      </c>
      <c r="E9" s="31">
        <v>0.2</v>
      </c>
      <c r="F9" s="9" t="s">
        <v>13</v>
      </c>
      <c r="G9" s="10"/>
    </row>
    <row r="10" spans="1:7" ht="15.5" x14ac:dyDescent="0.35">
      <c r="A10" s="8"/>
      <c r="B10" s="9" t="s">
        <v>14</v>
      </c>
      <c r="C10" s="31">
        <v>1</v>
      </c>
      <c r="D10" s="9" t="s">
        <v>64</v>
      </c>
      <c r="E10" s="31">
        <v>1</v>
      </c>
      <c r="F10" s="9" t="s">
        <v>64</v>
      </c>
      <c r="G10" s="10"/>
    </row>
    <row r="11" spans="1:7" s="1" customFormat="1" ht="15.5" x14ac:dyDescent="0.35">
      <c r="A11" s="11"/>
      <c r="B11" s="12" t="s">
        <v>49</v>
      </c>
      <c r="C11" s="32">
        <f>SUM(C3:C10)</f>
        <v>8</v>
      </c>
      <c r="D11" s="13"/>
      <c r="E11" s="32">
        <f>SUM(E3:E10)</f>
        <v>7</v>
      </c>
      <c r="F11" s="13"/>
      <c r="G11" s="14"/>
    </row>
    <row r="12" spans="1:7" ht="15.5" x14ac:dyDescent="0.35">
      <c r="A12" s="8" t="s">
        <v>15</v>
      </c>
      <c r="B12" s="9" t="s">
        <v>16</v>
      </c>
      <c r="C12" s="31">
        <v>1</v>
      </c>
      <c r="D12" s="9" t="s">
        <v>17</v>
      </c>
      <c r="E12" s="31">
        <v>1</v>
      </c>
      <c r="F12" s="9" t="s">
        <v>17</v>
      </c>
      <c r="G12" s="10"/>
    </row>
    <row r="13" spans="1:7" ht="15.5" x14ac:dyDescent="0.35">
      <c r="A13" s="8"/>
      <c r="B13" s="9" t="s">
        <v>18</v>
      </c>
      <c r="C13" s="31">
        <v>1</v>
      </c>
      <c r="D13" s="9" t="s">
        <v>19</v>
      </c>
      <c r="E13" s="31">
        <v>1</v>
      </c>
      <c r="F13" s="9" t="s">
        <v>71</v>
      </c>
      <c r="G13" s="10"/>
    </row>
    <row r="14" spans="1:7" ht="15.5" x14ac:dyDescent="0.35">
      <c r="A14" s="8"/>
      <c r="B14" s="9" t="s">
        <v>12</v>
      </c>
      <c r="C14" s="31">
        <v>1</v>
      </c>
      <c r="D14" s="9" t="s">
        <v>20</v>
      </c>
      <c r="E14" s="31">
        <v>1</v>
      </c>
      <c r="F14" s="9" t="s">
        <v>20</v>
      </c>
      <c r="G14" s="10"/>
    </row>
    <row r="15" spans="1:7" ht="15.5" x14ac:dyDescent="0.35">
      <c r="A15" s="8"/>
      <c r="B15" s="9" t="s">
        <v>12</v>
      </c>
      <c r="C15" s="31">
        <v>1</v>
      </c>
      <c r="D15" s="9" t="s">
        <v>21</v>
      </c>
      <c r="E15" s="31">
        <v>1</v>
      </c>
      <c r="F15" s="9" t="s">
        <v>21</v>
      </c>
      <c r="G15" s="10"/>
    </row>
    <row r="16" spans="1:7" ht="15.5" x14ac:dyDescent="0.35">
      <c r="A16" s="8"/>
      <c r="B16" s="9" t="s">
        <v>22</v>
      </c>
      <c r="C16" s="31">
        <v>1</v>
      </c>
      <c r="D16" s="9" t="s">
        <v>23</v>
      </c>
      <c r="E16" s="31">
        <v>1</v>
      </c>
      <c r="F16" s="9" t="s">
        <v>76</v>
      </c>
      <c r="G16" s="10"/>
    </row>
    <row r="17" spans="1:7" ht="15.5" x14ac:dyDescent="0.35">
      <c r="A17" s="8"/>
      <c r="B17" s="9" t="s">
        <v>39</v>
      </c>
      <c r="C17" s="31">
        <v>1</v>
      </c>
      <c r="D17" s="9" t="s">
        <v>24</v>
      </c>
      <c r="E17" s="31">
        <v>0</v>
      </c>
      <c r="F17" s="9"/>
      <c r="G17" s="10"/>
    </row>
    <row r="18" spans="1:7" ht="15.5" x14ac:dyDescent="0.35">
      <c r="A18" s="8"/>
      <c r="B18" s="9" t="s">
        <v>39</v>
      </c>
      <c r="C18" s="31">
        <v>1</v>
      </c>
      <c r="D18" s="9" t="s">
        <v>25</v>
      </c>
      <c r="E18" s="31">
        <v>1</v>
      </c>
      <c r="F18" s="9" t="s">
        <v>25</v>
      </c>
      <c r="G18" s="10"/>
    </row>
    <row r="19" spans="1:7" ht="15.5" x14ac:dyDescent="0.35">
      <c r="A19" s="8"/>
      <c r="B19" s="9" t="s">
        <v>26</v>
      </c>
      <c r="C19" s="31">
        <v>0.5</v>
      </c>
      <c r="D19" s="9" t="s">
        <v>27</v>
      </c>
      <c r="E19" s="31">
        <v>0.5</v>
      </c>
      <c r="F19" s="9" t="s">
        <v>27</v>
      </c>
      <c r="G19" s="10"/>
    </row>
    <row r="20" spans="1:7" ht="15.5" x14ac:dyDescent="0.35">
      <c r="A20" s="8"/>
      <c r="B20" s="9" t="s">
        <v>28</v>
      </c>
      <c r="C20" s="31">
        <v>0.5</v>
      </c>
      <c r="D20" s="9" t="s">
        <v>71</v>
      </c>
      <c r="E20" s="31">
        <v>0.5</v>
      </c>
      <c r="F20" s="9" t="s">
        <v>71</v>
      </c>
      <c r="G20" s="10"/>
    </row>
    <row r="21" spans="1:7" s="1" customFormat="1" ht="15.5" x14ac:dyDescent="0.35">
      <c r="A21" s="11"/>
      <c r="B21" s="12" t="s">
        <v>49</v>
      </c>
      <c r="C21" s="32">
        <f>SUM(C12:C20)</f>
        <v>8</v>
      </c>
      <c r="D21" s="13"/>
      <c r="E21" s="32">
        <f>SUM(E12:E20)</f>
        <v>7</v>
      </c>
      <c r="F21" s="13"/>
      <c r="G21" s="14"/>
    </row>
    <row r="22" spans="1:7" ht="15.5" x14ac:dyDescent="0.35">
      <c r="A22" s="8" t="s">
        <v>29</v>
      </c>
      <c r="B22" s="9" t="s">
        <v>30</v>
      </c>
      <c r="C22" s="31">
        <v>1</v>
      </c>
      <c r="D22" s="9" t="s">
        <v>67</v>
      </c>
      <c r="E22" s="31">
        <v>1</v>
      </c>
      <c r="F22" s="9" t="s">
        <v>67</v>
      </c>
      <c r="G22" s="10" t="s">
        <v>34</v>
      </c>
    </row>
    <row r="23" spans="1:7" ht="15.5" x14ac:dyDescent="0.35">
      <c r="A23" s="8"/>
      <c r="B23" s="9" t="s">
        <v>31</v>
      </c>
      <c r="C23" s="31">
        <v>1</v>
      </c>
      <c r="D23" s="9" t="s">
        <v>32</v>
      </c>
      <c r="E23" s="31">
        <v>1</v>
      </c>
      <c r="F23" s="9" t="s">
        <v>32</v>
      </c>
      <c r="G23" s="10" t="s">
        <v>34</v>
      </c>
    </row>
    <row r="24" spans="1:7" ht="15.5" x14ac:dyDescent="0.35">
      <c r="A24" s="8"/>
      <c r="B24" s="9" t="s">
        <v>33</v>
      </c>
      <c r="C24" s="31">
        <v>1</v>
      </c>
      <c r="D24" s="9" t="s">
        <v>72</v>
      </c>
      <c r="E24" s="31">
        <v>1</v>
      </c>
      <c r="F24" s="9" t="s">
        <v>72</v>
      </c>
      <c r="G24" s="10" t="s">
        <v>35</v>
      </c>
    </row>
    <row r="25" spans="1:7" ht="15.5" x14ac:dyDescent="0.35">
      <c r="A25" s="8"/>
      <c r="B25" s="9" t="s">
        <v>74</v>
      </c>
      <c r="C25" s="31">
        <v>0.5</v>
      </c>
      <c r="D25" s="9" t="s">
        <v>68</v>
      </c>
      <c r="E25" s="31">
        <v>0.5</v>
      </c>
      <c r="F25" s="9" t="s">
        <v>73</v>
      </c>
      <c r="G25" s="10" t="s">
        <v>35</v>
      </c>
    </row>
    <row r="26" spans="1:7" ht="15.5" x14ac:dyDescent="0.35">
      <c r="A26" s="8"/>
      <c r="B26" s="9" t="s">
        <v>36</v>
      </c>
      <c r="C26" s="31">
        <v>1</v>
      </c>
      <c r="D26" s="9" t="s">
        <v>37</v>
      </c>
      <c r="E26" s="31">
        <v>1</v>
      </c>
      <c r="F26" s="9" t="s">
        <v>37</v>
      </c>
      <c r="G26" s="10" t="s">
        <v>38</v>
      </c>
    </row>
    <row r="27" spans="1:7" ht="15.5" x14ac:dyDescent="0.35">
      <c r="A27" s="8"/>
      <c r="B27" s="9" t="s">
        <v>39</v>
      </c>
      <c r="C27" s="31">
        <v>0.5</v>
      </c>
      <c r="D27" s="9" t="s">
        <v>40</v>
      </c>
      <c r="E27" s="31">
        <v>0.5</v>
      </c>
      <c r="F27" s="9" t="s">
        <v>40</v>
      </c>
      <c r="G27" s="10" t="s">
        <v>41</v>
      </c>
    </row>
    <row r="28" spans="1:7" ht="15.5" x14ac:dyDescent="0.35">
      <c r="A28" s="8"/>
      <c r="B28" s="9" t="s">
        <v>28</v>
      </c>
      <c r="C28" s="31">
        <v>1</v>
      </c>
      <c r="D28" s="9" t="s">
        <v>42</v>
      </c>
      <c r="E28" s="31">
        <v>1</v>
      </c>
      <c r="F28" s="9" t="s">
        <v>42</v>
      </c>
      <c r="G28" s="10" t="s">
        <v>43</v>
      </c>
    </row>
    <row r="29" spans="1:7" ht="15.5" x14ac:dyDescent="0.35">
      <c r="A29" s="8"/>
      <c r="B29" s="9" t="s">
        <v>44</v>
      </c>
      <c r="C29" s="31">
        <v>1</v>
      </c>
      <c r="D29" s="9" t="s">
        <v>45</v>
      </c>
      <c r="E29" s="31">
        <v>1</v>
      </c>
      <c r="F29" s="9" t="s">
        <v>45</v>
      </c>
      <c r="G29" s="10" t="s">
        <v>43</v>
      </c>
    </row>
    <row r="30" spans="1:7" s="2" customFormat="1" ht="15.5" x14ac:dyDescent="0.35">
      <c r="A30" s="15"/>
      <c r="B30" s="16" t="s">
        <v>46</v>
      </c>
      <c r="C30" s="33">
        <v>1</v>
      </c>
      <c r="D30" s="16" t="s">
        <v>47</v>
      </c>
      <c r="E30" s="33">
        <v>1</v>
      </c>
      <c r="F30" s="16" t="s">
        <v>77</v>
      </c>
      <c r="G30" s="17" t="s">
        <v>43</v>
      </c>
    </row>
    <row r="31" spans="1:7" s="1" customFormat="1" ht="15.5" x14ac:dyDescent="0.35">
      <c r="A31" s="11"/>
      <c r="B31" s="12" t="s">
        <v>49</v>
      </c>
      <c r="C31" s="32">
        <f>SUM(C22:C30)</f>
        <v>8</v>
      </c>
      <c r="D31" s="13"/>
      <c r="E31" s="32">
        <f>SUM(E22:E30)</f>
        <v>8</v>
      </c>
      <c r="F31" s="13"/>
      <c r="G31" s="14"/>
    </row>
    <row r="32" spans="1:7" s="3" customFormat="1" ht="13" x14ac:dyDescent="0.3">
      <c r="A32" s="18"/>
      <c r="B32" s="19" t="s">
        <v>50</v>
      </c>
      <c r="C32" s="34">
        <f>C11+C21+C31</f>
        <v>24</v>
      </c>
      <c r="D32" s="20"/>
      <c r="E32" s="34">
        <f>E11+E21+E31</f>
        <v>22</v>
      </c>
      <c r="F32" s="20"/>
      <c r="G32" s="21"/>
    </row>
    <row r="33" spans="1:7" x14ac:dyDescent="0.25">
      <c r="A33" s="22"/>
      <c r="B33" s="23"/>
      <c r="C33" s="35"/>
      <c r="D33" s="23"/>
      <c r="E33" s="35"/>
      <c r="F33" s="23"/>
      <c r="G33" s="24"/>
    </row>
    <row r="37" spans="1:7" x14ac:dyDescent="0.25">
      <c r="D37" t="s">
        <v>52</v>
      </c>
    </row>
    <row r="38" spans="1:7" x14ac:dyDescent="0.25">
      <c r="D38" t="s">
        <v>53</v>
      </c>
    </row>
    <row r="39" spans="1:7" x14ac:dyDescent="0.25">
      <c r="D39" t="s">
        <v>54</v>
      </c>
    </row>
    <row r="40" spans="1:7" x14ac:dyDescent="0.25">
      <c r="D40" t="s">
        <v>55</v>
      </c>
    </row>
    <row r="41" spans="1:7" x14ac:dyDescent="0.25">
      <c r="D41" t="s">
        <v>56</v>
      </c>
    </row>
    <row r="42" spans="1:7" x14ac:dyDescent="0.25">
      <c r="D42" t="s">
        <v>57</v>
      </c>
    </row>
    <row r="43" spans="1:7" x14ac:dyDescent="0.25">
      <c r="D43" t="s">
        <v>58</v>
      </c>
    </row>
    <row r="44" spans="1:7" x14ac:dyDescent="0.25">
      <c r="D44" t="s">
        <v>59</v>
      </c>
    </row>
    <row r="45" spans="1:7" x14ac:dyDescent="0.25">
      <c r="D45" t="s">
        <v>60</v>
      </c>
    </row>
    <row r="46" spans="1:7" x14ac:dyDescent="0.25">
      <c r="D46" t="s">
        <v>61</v>
      </c>
    </row>
    <row r="47" spans="1:7" x14ac:dyDescent="0.25">
      <c r="D47" t="s">
        <v>62</v>
      </c>
    </row>
    <row r="48" spans="1:7" x14ac:dyDescent="0.25">
      <c r="D48" t="s">
        <v>63</v>
      </c>
    </row>
  </sheetData>
  <phoneticPr fontId="0" type="noConversion"/>
  <pageMargins left="0.75" right="0.7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Jan 2000</vt:lpstr>
      <vt:lpstr>Sheet2</vt:lpstr>
      <vt:lpstr>Sheet3</vt:lpstr>
      <vt:lpstr>'Jan 2000'!Print_Area</vt:lpstr>
    </vt:vector>
  </TitlesOfParts>
  <Company>SLAC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Carina Negreanu</cp:lastModifiedBy>
  <cp:lastPrinted>2000-11-07T21:06:50Z</cp:lastPrinted>
  <dcterms:created xsi:type="dcterms:W3CDTF">2000-01-14T19:25:27Z</dcterms:created>
  <dcterms:modified xsi:type="dcterms:W3CDTF">2020-01-27T12:51:38Z</dcterms:modified>
</cp:coreProperties>
</file>